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thijsbijkerk/Github/etdataset/source_analyses/nl/2023/0_preparation/"/>
    </mc:Choice>
  </mc:AlternateContent>
  <xr:revisionPtr revIDLastSave="0" documentId="13_ncr:1_{67947941-F8E6-6841-A1B3-26950D045ED1}" xr6:coauthVersionLast="47" xr6:coauthVersionMax="47" xr10:uidLastSave="{00000000-0000-0000-0000-000000000000}"/>
  <bookViews>
    <workbookView xWindow="-10380" yWindow="-28300" windowWidth="51200" windowHeight="27360" activeTab="9" xr2:uid="{E86455EC-ABBF-054B-A563-AC873FF853A8}"/>
  </bookViews>
  <sheets>
    <sheet name="Cover Sheet" sheetId="20" r:id="rId1"/>
    <sheet name="Contents" sheetId="4" r:id="rId2"/>
    <sheet name="Eurostat EB TJ" sheetId="21" r:id="rId3"/>
    <sheet name="EUROSTAT CB GAS" sheetId="27" r:id="rId4"/>
    <sheet name="EUROSTAT CB OIL" sheetId="28" r:id="rId5"/>
    <sheet name="EUROSTAT CB summary" sheetId="30" r:id="rId6"/>
    <sheet name="Eurostat EB TJ GWh" sheetId="23" r:id="rId7"/>
    <sheet name="Eurostat EB products IEA" sheetId="25" r:id="rId8"/>
    <sheet name="Eurostat EB flows IEA" sheetId="26" r:id="rId9"/>
    <sheet name="energy_balance" sheetId="7" r:id="rId10"/>
  </sheets>
  <externalReferences>
    <externalReference r:id="rId11"/>
    <externalReference r:id="rId12"/>
    <externalReference r:id="rId13"/>
  </externalReferences>
  <definedNames>
    <definedName name="base_year" localSheetId="0">[1]Dashboard!$E$14</definedName>
    <definedName name="base_year">[2]Dashboard!$E$13</definedName>
    <definedName name="BKB_plants">'[2]CEB allocation factors step 1'!$D$55</definedName>
    <definedName name="BKB_plants_carriers">'[2]CEB allocation factors step 1'!$F$17:$AT$17</definedName>
    <definedName name="blast_furnaces">'[2]CEB allocation factors step 1'!$D$50</definedName>
    <definedName name="blast_furnaces_carriers">'[2]CEB allocation factors step 1'!$F$12:$AT$12</definedName>
    <definedName name="charcoal_production_plants">'[2]CEB allocation factors step 1'!$D$63</definedName>
    <definedName name="charcoal_production_plants_carriers">'[2]CEB allocation factors step 1'!$F$25:$AT$25</definedName>
    <definedName name="chemical_and_petrochemical">'[2]CEB allocation factors step 1'!$D$69</definedName>
    <definedName name="chemical_and_petrochemical_carriers">'[2]CEB allocation factors step 1'!$F$31:$BC$31</definedName>
    <definedName name="coal_liquefaction_plants">'[2]CEB allocation factors step 1'!$D$57</definedName>
    <definedName name="coal_liquefaction_plants_carriers">'[2]CEB allocation factors step 1'!$F$19:$AT$19</definedName>
    <definedName name="coal_mines">'[2]CEB allocation factors step 1'!$D$48</definedName>
    <definedName name="coal_mines_carriers">'[2]CEB allocation factors step 1'!$F$10:$AT$10</definedName>
    <definedName name="coke_ovens">'[2]CEB allocation factors step 1'!$D$53</definedName>
    <definedName name="coke_ovens_carriers">'[2]CEB allocation factors step 1'!$F$15:$AT$15</definedName>
    <definedName name="construction">'[2]CEB allocation factors step 1'!$D$78</definedName>
    <definedName name="construction_carriers">'[2]CEB allocation factors step 1'!$F$40:$BC$40</definedName>
    <definedName name="country" localSheetId="0">[1]Dashboard!$E$13</definedName>
    <definedName name="country">[2]Dashboard!$E$12</definedName>
    <definedName name="ei_subsector_allo">'[2]CEB allocation factors step 2'!#REF!</definedName>
    <definedName name="food">'[2]CEB allocation factors step 1'!$D$75</definedName>
    <definedName name="food_carriers">'[2]CEB allocation factors step 1'!$F$37:$BC$37</definedName>
    <definedName name="gas_to_liquids_plants">'[2]CEB allocation factors step 1'!$D$59</definedName>
    <definedName name="gas_to_liquids_plants_carriers">'[2]CEB allocation factors step 1'!$F$21:$AT$21</definedName>
    <definedName name="gas_works">'[2]CEB allocation factors step 1'!$D$51</definedName>
    <definedName name="gas_works_carriers">'[2]CEB allocation factors step 1'!$F$13:$AT$13</definedName>
    <definedName name="gasification_plants">'[2]CEB allocation factors step 1'!$D$52</definedName>
    <definedName name="gasification_plants_carriers">'[2]CEB allocation factors step 1'!$F$14:$AT$14</definedName>
    <definedName name="i_subsector_allo">'[2]CEB allocation factors step 2'!#REF!</definedName>
    <definedName name="iron_and_steel">'[2]CEB allocation factors step 1'!$D$68</definedName>
    <definedName name="iron_and_steel_carriers">'[2]CEB allocation factors step 1'!$F$30:$BC$30</definedName>
    <definedName name="kWh_MJ_conversion">[2]Assumptions!$C$173</definedName>
    <definedName name="LangChoice">'[3]Main Menu'!$L$3</definedName>
    <definedName name="Liquefaction_regasification_plants">'[2]CEB allocation factors step 1'!$D$58</definedName>
    <definedName name="Liquefaction_regasification_plants_carriers">'[2]CEB allocation factors step 1'!$F$20:$AT$20</definedName>
    <definedName name="machinery">'[2]CEB allocation factors step 1'!$D$73</definedName>
    <definedName name="machinery_carriers">'[2]CEB allocation factors step 1'!$F$35:$BC$35</definedName>
    <definedName name="mining">'[2]CEB allocation factors step 1'!$D$74</definedName>
    <definedName name="mining_carriers">'[2]CEB allocation factors step 1'!$F$36:$BC$36</definedName>
    <definedName name="net_gross_conv">'[2]AP net-gross conversion'!$D$12</definedName>
    <definedName name="non_ferrous_metals">'[2]CEB allocation factors step 1'!$D$70</definedName>
    <definedName name="non_ferrous_metals_carriers">'[2]CEB allocation factors step 1'!$F$32:$BC$32</definedName>
    <definedName name="non_metallic_minerals">'[2]CEB allocation factors step 1'!$D$71</definedName>
    <definedName name="non_metallic_minerals_carriers">'[2]CEB allocation factors step 1'!$F$33:$BC$33</definedName>
    <definedName name="non_specified">'[2]CEB allocation factors step 1'!$D$64</definedName>
    <definedName name="non_specified_energy_carriers">'[2]CEB allocation factors step 1'!$F$26:$AT$26</definedName>
    <definedName name="non_specified_industry">'[2]CEB allocation factors step 1'!$D$80</definedName>
    <definedName name="non_specified_industry_carriers">'[2]CEB allocation factors step 1'!$F$42:$BC$42</definedName>
    <definedName name="oil_and_gas_extraction">'[2]CEB allocation factors step 1'!$D$49</definedName>
    <definedName name="oil_and_gas_extraction_carriers">'[2]CEB allocation factors step 1'!$F$11:$AT$11</definedName>
    <definedName name="oil_refineries">'[2]CEB allocation factors step 1'!$D$56</definedName>
    <definedName name="oil_refineries_carriers">'[2]CEB allocation factors step 1'!$F$18:$AT$18</definedName>
    <definedName name="paper">'[2]CEB allocation factors step 1'!$D$76</definedName>
    <definedName name="paper_carriers">'[2]CEB allocation factors step 1'!$F$38:$BC$38</definedName>
    <definedName name="patent_fuel_plants">'[2]CEB allocation factors step 1'!$D$54</definedName>
    <definedName name="patent_fuel_plants_carriers">'[2]CEB allocation factors step 1'!$F$16:$AT$16</definedName>
    <definedName name="switch_decc">'[2]Fuel allocation'!$C$130</definedName>
    <definedName name="switch_iea">'[2]Fuel allocation'!$C$89</definedName>
    <definedName name="switch_protermo">'[2]Fuel allocation'!$C$48</definedName>
    <definedName name="textile">'[2]CEB allocation factors step 1'!$D$79</definedName>
    <definedName name="textile_carriers">'[2]CEB allocation factors step 1'!$F$41:$BC$41</definedName>
    <definedName name="transport_equipment">'[2]CEB allocation factors step 1'!$D$72</definedName>
    <definedName name="transport_equipment_carriers">'[2]CEB allocation factors step 1'!$F$34:$BC$34</definedName>
    <definedName name="wood_products">'[2]CEB allocation factors step 1'!$D$77</definedName>
    <definedName name="wood_products_carriers">'[2]CEB allocation factors step 1'!$F$39:$BC$39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05" i="23" l="1" a="1"/>
  <c r="AI105" i="23" s="1"/>
  <c r="AD94" i="25" s="1"/>
  <c r="AX83" i="26" s="1" a="1"/>
  <c r="AX83" i="26" s="1"/>
  <c r="AD83" i="7" s="1"/>
  <c r="AJ105" i="23" a="1"/>
  <c r="AJ105" i="23"/>
  <c r="AK105" i="23" a="1"/>
  <c r="AK105" i="23"/>
  <c r="AL105" i="23" a="1"/>
  <c r="AL105" i="23"/>
  <c r="AM105" i="23" a="1"/>
  <c r="AM105" i="23" s="1"/>
  <c r="AG94" i="25" s="1"/>
  <c r="BA83" i="26" s="1" a="1"/>
  <c r="BA83" i="26" s="1"/>
  <c r="AG83" i="7" s="1"/>
  <c r="AN105" i="23" a="1"/>
  <c r="AN105" i="23" s="1"/>
  <c r="AH94" i="25" s="1"/>
  <c r="BB83" i="26" s="1" a="1"/>
  <c r="BB83" i="26" s="1"/>
  <c r="AH83" i="7" s="1"/>
  <c r="AO105" i="23" a="1"/>
  <c r="AO105" i="23"/>
  <c r="AP105" i="23" a="1"/>
  <c r="AP105" i="23" s="1"/>
  <c r="AK94" i="25" s="1"/>
  <c r="BE83" i="26" s="1" a="1"/>
  <c r="BE83" i="26" s="1"/>
  <c r="AK83" i="7" s="1"/>
  <c r="AQ105" i="23" a="1"/>
  <c r="AQ105" i="23" s="1"/>
  <c r="AL94" i="25" s="1"/>
  <c r="BF83" i="26" s="1" a="1"/>
  <c r="BF83" i="26" s="1"/>
  <c r="AL83" i="7" s="1"/>
  <c r="AR105" i="23" a="1"/>
  <c r="AR105" i="23" s="1"/>
  <c r="AN94" i="25" s="1"/>
  <c r="BH83" i="26" s="1" a="1"/>
  <c r="BH83" i="26" s="1"/>
  <c r="AN83" i="7" s="1"/>
  <c r="AS105" i="23" a="1"/>
  <c r="AS105" i="23"/>
  <c r="AT105" i="23" a="1"/>
  <c r="AT105" i="23" s="1"/>
  <c r="AM94" i="25" s="1"/>
  <c r="BG83" i="26" s="1" a="1"/>
  <c r="BG83" i="26" s="1"/>
  <c r="AM83" i="7" s="1"/>
  <c r="AU105" i="23" a="1"/>
  <c r="AU105" i="23" s="1"/>
  <c r="AP94" i="25" s="1"/>
  <c r="BJ83" i="26" s="1" a="1"/>
  <c r="BJ83" i="26" s="1"/>
  <c r="AP83" i="7" s="1"/>
  <c r="AV105" i="23" a="1"/>
  <c r="AV105" i="23" s="1"/>
  <c r="AW105" i="23" a="1"/>
  <c r="AW105" i="23"/>
  <c r="AX105" i="23" a="1"/>
  <c r="AX105" i="23" s="1"/>
  <c r="BE94" i="25" s="1"/>
  <c r="BY83" i="26" s="1" a="1"/>
  <c r="BY83" i="26" s="1"/>
  <c r="BE83" i="7" s="1"/>
  <c r="AY105" i="23" a="1"/>
  <c r="AY105" i="23" s="1"/>
  <c r="BI94" i="25" s="1"/>
  <c r="CC83" i="26" s="1" a="1"/>
  <c r="CC83" i="26" s="1"/>
  <c r="BI83" i="7" s="1"/>
  <c r="AZ105" i="23" a="1"/>
  <c r="AZ105" i="23" s="1"/>
  <c r="BG94" i="25" s="1"/>
  <c r="CA83" i="26" s="1" a="1"/>
  <c r="CA83" i="26" s="1"/>
  <c r="BG83" i="7" s="1"/>
  <c r="BA105" i="23" a="1"/>
  <c r="BA105" i="23"/>
  <c r="BB105" i="23" a="1"/>
  <c r="BB105" i="23" s="1"/>
  <c r="BH94" i="25" s="1"/>
  <c r="CB83" i="26" s="1" a="1"/>
  <c r="CB83" i="26" s="1"/>
  <c r="BH83" i="7" s="1"/>
  <c r="BC105" i="23" a="1"/>
  <c r="BC105" i="23" s="1"/>
  <c r="BD105" i="23" a="1"/>
  <c r="BD105" i="23" s="1"/>
  <c r="AT94" i="25" s="1"/>
  <c r="BN83" i="26" s="1" a="1"/>
  <c r="BN83" i="26" s="1"/>
  <c r="AT83" i="7" s="1"/>
  <c r="BE105" i="23" a="1"/>
  <c r="BE105" i="23"/>
  <c r="BF105" i="23" a="1"/>
  <c r="BF105" i="23" s="1"/>
  <c r="BG105" i="23" a="1"/>
  <c r="BG105" i="23" s="1"/>
  <c r="BH105" i="23" a="1"/>
  <c r="BH105" i="23" s="1"/>
  <c r="AW94" i="25" s="1"/>
  <c r="BQ83" i="26" s="1" a="1"/>
  <c r="BQ83" i="26" s="1"/>
  <c r="AW83" i="7" s="1"/>
  <c r="BI105" i="23" a="1"/>
  <c r="BI105" i="23"/>
  <c r="BJ105" i="23" a="1"/>
  <c r="BJ105" i="23" s="1"/>
  <c r="BK105" i="23" a="1"/>
  <c r="BK105" i="23" s="1"/>
  <c r="BL105" i="23" a="1"/>
  <c r="BL105" i="23" s="1"/>
  <c r="AX94" i="25" s="1"/>
  <c r="BR83" i="26" s="1" a="1"/>
  <c r="BR83" i="26" s="1"/>
  <c r="AX83" i="7" s="1"/>
  <c r="BM105" i="23" a="1"/>
  <c r="BM105" i="23"/>
  <c r="BN105" i="23" a="1"/>
  <c r="BN105" i="23" s="1"/>
  <c r="AQ94" i="25" s="1"/>
  <c r="BK83" i="26" s="1" a="1"/>
  <c r="BK83" i="26" s="1"/>
  <c r="AQ83" i="7" s="1"/>
  <c r="BO105" i="23" a="1"/>
  <c r="BO105" i="23" s="1"/>
  <c r="AR94" i="25" s="1"/>
  <c r="BL83" i="26" s="1" a="1"/>
  <c r="BL83" i="26" s="1"/>
  <c r="AR83" i="7" s="1"/>
  <c r="BP105" i="23" a="1"/>
  <c r="BP105" i="23" s="1"/>
  <c r="AS94" i="25" s="1"/>
  <c r="BM83" i="26" s="1" a="1"/>
  <c r="BM83" i="26" s="1"/>
  <c r="AS83" i="7" s="1"/>
  <c r="BQ105" i="23" a="1"/>
  <c r="BQ105" i="23"/>
  <c r="BR105" i="23" a="1"/>
  <c r="BR105" i="23" s="1"/>
  <c r="BC94" i="25" s="1"/>
  <c r="BW83" i="26" s="1" a="1"/>
  <c r="BW83" i="26" s="1"/>
  <c r="BC83" i="7" s="1"/>
  <c r="BS105" i="23" a="1"/>
  <c r="BS105" i="23" s="1"/>
  <c r="BK94" i="25" s="1"/>
  <c r="CE83" i="26" s="1" a="1"/>
  <c r="CE83" i="26" s="1"/>
  <c r="BK83" i="7" s="1"/>
  <c r="BT105" i="23" a="1"/>
  <c r="BT105" i="23" s="1"/>
  <c r="BL94" i="25" s="1"/>
  <c r="CF83" i="26" s="1" a="1"/>
  <c r="CF83" i="26" s="1"/>
  <c r="BL83" i="7" s="1"/>
  <c r="BU105" i="23" a="1"/>
  <c r="BU105" i="23"/>
  <c r="BV105" i="23" a="1"/>
  <c r="BV105" i="23" s="1"/>
  <c r="AE105" i="23" a="1"/>
  <c r="AE105" i="23" s="1"/>
  <c r="Z94" i="25" s="1"/>
  <c r="AT83" i="26" s="1" a="1"/>
  <c r="AT83" i="26" s="1"/>
  <c r="Z83" i="7" s="1"/>
  <c r="AF105" i="23" a="1"/>
  <c r="AF105" i="23"/>
  <c r="AG105" i="23" a="1"/>
  <c r="AG105" i="23"/>
  <c r="AH105" i="23" a="1"/>
  <c r="AH105" i="23"/>
  <c r="Y105" i="23" a="1"/>
  <c r="Y105" i="23"/>
  <c r="Z105" i="23" a="1"/>
  <c r="Z105" i="23"/>
  <c r="AA105" i="23" a="1"/>
  <c r="AA105" i="23"/>
  <c r="AB105" i="23" a="1"/>
  <c r="AB105" i="23"/>
  <c r="AC105" i="23" a="1"/>
  <c r="AC105" i="23"/>
  <c r="AD105" i="23" a="1"/>
  <c r="AD105" i="23"/>
  <c r="J105" i="23" a="1"/>
  <c r="J105" i="23" s="1"/>
  <c r="J94" i="25" s="1"/>
  <c r="AD83" i="26" s="1" a="1"/>
  <c r="AD83" i="26" s="1"/>
  <c r="J83" i="7" s="1"/>
  <c r="K105" i="23" a="1"/>
  <c r="K105" i="23"/>
  <c r="L105" i="23" a="1"/>
  <c r="L105" i="23"/>
  <c r="M105" i="23" a="1"/>
  <c r="M105" i="23"/>
  <c r="N105" i="23" a="1"/>
  <c r="N105" i="23" s="1"/>
  <c r="L94" i="25" s="1"/>
  <c r="AF83" i="26" s="1" a="1"/>
  <c r="AF83" i="26" s="1"/>
  <c r="L83" i="7" s="1"/>
  <c r="O105" i="23" a="1"/>
  <c r="O105" i="23"/>
  <c r="P105" i="23" a="1"/>
  <c r="P105" i="23"/>
  <c r="Q105" i="23" a="1"/>
  <c r="Q105" i="23"/>
  <c r="R105" i="23" a="1"/>
  <c r="R105" i="23" s="1"/>
  <c r="P94" i="25" s="1"/>
  <c r="AJ83" i="26" s="1" a="1"/>
  <c r="AJ83" i="26" s="1"/>
  <c r="P83" i="7" s="1"/>
  <c r="S105" i="23" a="1"/>
  <c r="S105" i="23"/>
  <c r="T105" i="23" a="1"/>
  <c r="T105" i="23"/>
  <c r="U105" i="23" a="1"/>
  <c r="U105" i="23"/>
  <c r="V105" i="23" a="1"/>
  <c r="V105" i="23" s="1"/>
  <c r="R94" i="25" s="1"/>
  <c r="AL83" i="26" s="1" a="1"/>
  <c r="AL83" i="26" s="1"/>
  <c r="R83" i="7" s="1"/>
  <c r="W105" i="23" a="1"/>
  <c r="W105" i="23"/>
  <c r="X105" i="23" a="1"/>
  <c r="X105" i="23"/>
  <c r="S94" i="25" s="1"/>
  <c r="AM83" i="26" s="1" a="1"/>
  <c r="AM83" i="26" s="1"/>
  <c r="S83" i="7" s="1"/>
  <c r="E105" i="23" a="1"/>
  <c r="E105" i="23" s="1"/>
  <c r="F105" i="23" a="1"/>
  <c r="F105" i="23"/>
  <c r="G105" i="23" a="1"/>
  <c r="G105" i="23"/>
  <c r="H105" i="23" a="1"/>
  <c r="H105" i="23" s="1"/>
  <c r="G94" i="25" s="1"/>
  <c r="AA83" i="26" s="1" a="1"/>
  <c r="AA83" i="26" s="1"/>
  <c r="G83" i="7" s="1"/>
  <c r="I105" i="23" a="1"/>
  <c r="I105" i="23" s="1"/>
  <c r="H94" i="25" s="1"/>
  <c r="AB83" i="26" s="1" a="1"/>
  <c r="AB83" i="26" s="1"/>
  <c r="H83" i="7" s="1"/>
  <c r="D105" i="23" a="1"/>
  <c r="D105" i="23"/>
  <c r="Y104" i="23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AN5" i="30"/>
  <c r="AO5" i="30"/>
  <c r="AP5" i="30"/>
  <c r="AQ5" i="30"/>
  <c r="AR5" i="30"/>
  <c r="AS5" i="30"/>
  <c r="AT5" i="30"/>
  <c r="AU5" i="30"/>
  <c r="C5" i="30"/>
  <c r="D5" i="30"/>
  <c r="E5" i="30"/>
  <c r="F5" i="30"/>
  <c r="G5" i="30"/>
  <c r="H5" i="30"/>
  <c r="I5" i="30"/>
  <c r="B5" i="30"/>
  <c r="AU4" i="30"/>
  <c r="AT4" i="30"/>
  <c r="AS4" i="30"/>
  <c r="AR4" i="30"/>
  <c r="AQ4" i="30"/>
  <c r="AP4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AU3" i="30"/>
  <c r="AT3" i="30"/>
  <c r="AS3" i="30"/>
  <c r="AR3" i="30"/>
  <c r="AQ3" i="30"/>
  <c r="AP3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H4" i="30"/>
  <c r="H3" i="30"/>
  <c r="I4" i="30"/>
  <c r="I3" i="30"/>
  <c r="C3" i="30"/>
  <c r="D3" i="30"/>
  <c r="E3" i="30"/>
  <c r="F3" i="30"/>
  <c r="G3" i="30"/>
  <c r="C4" i="30"/>
  <c r="D4" i="30"/>
  <c r="E4" i="30"/>
  <c r="F4" i="30"/>
  <c r="G4" i="30"/>
  <c r="B4" i="30"/>
  <c r="B3" i="30"/>
  <c r="BN135" i="25"/>
  <c r="BN134" i="25"/>
  <c r="BN133" i="25"/>
  <c r="BN132" i="25"/>
  <c r="BN131" i="25"/>
  <c r="BN125" i="25"/>
  <c r="BN124" i="25"/>
  <c r="BN123" i="25"/>
  <c r="BN122" i="25"/>
  <c r="BN121" i="25"/>
  <c r="BN120" i="25"/>
  <c r="BN119" i="25"/>
  <c r="BN118" i="25"/>
  <c r="BN117" i="25"/>
  <c r="BN116" i="25"/>
  <c r="BN115" i="25"/>
  <c r="BN114" i="25"/>
  <c r="BN113" i="25"/>
  <c r="BN112" i="25"/>
  <c r="BN111" i="25"/>
  <c r="BN110" i="25"/>
  <c r="BN109" i="25"/>
  <c r="BN108" i="25"/>
  <c r="BN107" i="25"/>
  <c r="BN106" i="25"/>
  <c r="BN105" i="25"/>
  <c r="BN104" i="25"/>
  <c r="BN103" i="25"/>
  <c r="BN102" i="25"/>
  <c r="BN101" i="25"/>
  <c r="BN100" i="25"/>
  <c r="BN99" i="25"/>
  <c r="BN98" i="25"/>
  <c r="BN97" i="25"/>
  <c r="BN96" i="25"/>
  <c r="BN95" i="25"/>
  <c r="BN94" i="25"/>
  <c r="CH83" i="26" s="1" a="1"/>
  <c r="CH83" i="26" s="1"/>
  <c r="BN83" i="7" s="1"/>
  <c r="BN93" i="25"/>
  <c r="BN92" i="25"/>
  <c r="BN91" i="25"/>
  <c r="BN90" i="25"/>
  <c r="BN89" i="25"/>
  <c r="BN88" i="25"/>
  <c r="BN87" i="25"/>
  <c r="BN86" i="25"/>
  <c r="BN85" i="25"/>
  <c r="BN84" i="25"/>
  <c r="BN83" i="25"/>
  <c r="BN82" i="25"/>
  <c r="BN81" i="25"/>
  <c r="BN80" i="25"/>
  <c r="BN79" i="25"/>
  <c r="BN78" i="25"/>
  <c r="BN77" i="25"/>
  <c r="BN76" i="25"/>
  <c r="BN75" i="25"/>
  <c r="BN74" i="25"/>
  <c r="BN73" i="25"/>
  <c r="BN72" i="25"/>
  <c r="BN71" i="25"/>
  <c r="BN70" i="25"/>
  <c r="BN69" i="25"/>
  <c r="BN68" i="25"/>
  <c r="BN67" i="25"/>
  <c r="BN66" i="25"/>
  <c r="BN65" i="25"/>
  <c r="BN64" i="25"/>
  <c r="BN63" i="25"/>
  <c r="BN62" i="25"/>
  <c r="BN61" i="25"/>
  <c r="BN60" i="25"/>
  <c r="BN59" i="25"/>
  <c r="BN58" i="25"/>
  <c r="BN57" i="25"/>
  <c r="BN56" i="25"/>
  <c r="BN55" i="25"/>
  <c r="BN54" i="25"/>
  <c r="BN53" i="25"/>
  <c r="BN52" i="25"/>
  <c r="BN51" i="25"/>
  <c r="BN50" i="25"/>
  <c r="BN49" i="25"/>
  <c r="BN48" i="25"/>
  <c r="BN47" i="25"/>
  <c r="BN46" i="25"/>
  <c r="BN45" i="25"/>
  <c r="BN44" i="25"/>
  <c r="BN43" i="25"/>
  <c r="BN42" i="25"/>
  <c r="BN41" i="25"/>
  <c r="BN40" i="25"/>
  <c r="BN39" i="25"/>
  <c r="BN38" i="25"/>
  <c r="BN37" i="25"/>
  <c r="BN36" i="25"/>
  <c r="BN35" i="25"/>
  <c r="BN34" i="25"/>
  <c r="BN33" i="25"/>
  <c r="BN32" i="25"/>
  <c r="BN31" i="25"/>
  <c r="BN30" i="25"/>
  <c r="BN29" i="25"/>
  <c r="BN28" i="25"/>
  <c r="BN27" i="25"/>
  <c r="BN26" i="25"/>
  <c r="BN25" i="25"/>
  <c r="BN24" i="25"/>
  <c r="BN23" i="25"/>
  <c r="BN22" i="25"/>
  <c r="BN21" i="25"/>
  <c r="BN20" i="25"/>
  <c r="BN19" i="25"/>
  <c r="BN18" i="25"/>
  <c r="BN17" i="25"/>
  <c r="BN16" i="25"/>
  <c r="BN15" i="25"/>
  <c r="BN14" i="25"/>
  <c r="BN13" i="25"/>
  <c r="BN12" i="25"/>
  <c r="BN11" i="25"/>
  <c r="BN10" i="25"/>
  <c r="BN9" i="25"/>
  <c r="BN8" i="25"/>
  <c r="BN7" i="25"/>
  <c r="BN6" i="25"/>
  <c r="BM135" i="25"/>
  <c r="BM134" i="25"/>
  <c r="BM133" i="25"/>
  <c r="BM132" i="25"/>
  <c r="BM131" i="25"/>
  <c r="BM125" i="25"/>
  <c r="BM124" i="25"/>
  <c r="BM123" i="25"/>
  <c r="BM122" i="25"/>
  <c r="BM121" i="25"/>
  <c r="BM120" i="25"/>
  <c r="BM119" i="25"/>
  <c r="BM118" i="25"/>
  <c r="BM117" i="25"/>
  <c r="BM116" i="25"/>
  <c r="BM115" i="25"/>
  <c r="BM114" i="25"/>
  <c r="BM113" i="25"/>
  <c r="BM112" i="25"/>
  <c r="BM111" i="25"/>
  <c r="BM110" i="25"/>
  <c r="BM109" i="25"/>
  <c r="BM108" i="25"/>
  <c r="BM107" i="25"/>
  <c r="BM106" i="25"/>
  <c r="BM105" i="25"/>
  <c r="BM104" i="25"/>
  <c r="BM103" i="25"/>
  <c r="BM102" i="25"/>
  <c r="BM101" i="25"/>
  <c r="BM100" i="25"/>
  <c r="BM99" i="25"/>
  <c r="BM98" i="25"/>
  <c r="BM97" i="25"/>
  <c r="BM96" i="25"/>
  <c r="BM95" i="25"/>
  <c r="BM93" i="25"/>
  <c r="BM92" i="25"/>
  <c r="BM91" i="25"/>
  <c r="BM90" i="25"/>
  <c r="BM89" i="25"/>
  <c r="BM88" i="25"/>
  <c r="BM87" i="25"/>
  <c r="BM86" i="25"/>
  <c r="BM85" i="25"/>
  <c r="BM84" i="25"/>
  <c r="BM83" i="25"/>
  <c r="BM82" i="25"/>
  <c r="BM81" i="25"/>
  <c r="BM80" i="25"/>
  <c r="BM79" i="25"/>
  <c r="BM78" i="25"/>
  <c r="BM77" i="25"/>
  <c r="BM76" i="25"/>
  <c r="BM75" i="25"/>
  <c r="BM74" i="25"/>
  <c r="BM73" i="25"/>
  <c r="BM72" i="25"/>
  <c r="BM71" i="25"/>
  <c r="BM70" i="25"/>
  <c r="BM69" i="25"/>
  <c r="BM68" i="25"/>
  <c r="BM67" i="25"/>
  <c r="BM66" i="25"/>
  <c r="BM65" i="25"/>
  <c r="BM64" i="25"/>
  <c r="BM63" i="25"/>
  <c r="BM62" i="25"/>
  <c r="BM61" i="25"/>
  <c r="BM60" i="25"/>
  <c r="BM59" i="25"/>
  <c r="BM58" i="25"/>
  <c r="BM57" i="25"/>
  <c r="BM56" i="25"/>
  <c r="BM55" i="25"/>
  <c r="BM54" i="25"/>
  <c r="BM53" i="25"/>
  <c r="BM52" i="25"/>
  <c r="BM51" i="25"/>
  <c r="BM50" i="25"/>
  <c r="BM49" i="25"/>
  <c r="BM48" i="25"/>
  <c r="BM47" i="25"/>
  <c r="BM46" i="25"/>
  <c r="BM45" i="25"/>
  <c r="BM44" i="25"/>
  <c r="BM43" i="25"/>
  <c r="BM42" i="25"/>
  <c r="BM41" i="25"/>
  <c r="BM40" i="25"/>
  <c r="BM39" i="25"/>
  <c r="BM38" i="25"/>
  <c r="BM37" i="25"/>
  <c r="BM36" i="25"/>
  <c r="BM35" i="25"/>
  <c r="BM34" i="25"/>
  <c r="BM33" i="25"/>
  <c r="BM32" i="25"/>
  <c r="BM31" i="25"/>
  <c r="BM30" i="25"/>
  <c r="BM29" i="25"/>
  <c r="BM28" i="25"/>
  <c r="BM27" i="25"/>
  <c r="BM26" i="25"/>
  <c r="BM25" i="25"/>
  <c r="BM24" i="25"/>
  <c r="BM23" i="25"/>
  <c r="BM22" i="25"/>
  <c r="BM21" i="25"/>
  <c r="BM20" i="25"/>
  <c r="BM19" i="25"/>
  <c r="BM18" i="25"/>
  <c r="BM17" i="25"/>
  <c r="BM16" i="25"/>
  <c r="BM15" i="25"/>
  <c r="BM14" i="25"/>
  <c r="BM13" i="25"/>
  <c r="BM12" i="25"/>
  <c r="BM11" i="25"/>
  <c r="BM10" i="25"/>
  <c r="BM9" i="25"/>
  <c r="BM8" i="25"/>
  <c r="BM7" i="25"/>
  <c r="BM6" i="25"/>
  <c r="BL135" i="25"/>
  <c r="BL134" i="25"/>
  <c r="BL133" i="25"/>
  <c r="BL132" i="25"/>
  <c r="BL131" i="25"/>
  <c r="BL125" i="25"/>
  <c r="BL124" i="25"/>
  <c r="BL123" i="25"/>
  <c r="BL122" i="25"/>
  <c r="BL121" i="25"/>
  <c r="BL120" i="25"/>
  <c r="BL119" i="25"/>
  <c r="BL118" i="25"/>
  <c r="BL117" i="25"/>
  <c r="BL116" i="25"/>
  <c r="BL115" i="25"/>
  <c r="BL114" i="25"/>
  <c r="BL113" i="25"/>
  <c r="BL112" i="25"/>
  <c r="BL111" i="25"/>
  <c r="BL110" i="25"/>
  <c r="BL109" i="25"/>
  <c r="BL108" i="25"/>
  <c r="BL107" i="25"/>
  <c r="BL106" i="25"/>
  <c r="BL105" i="25"/>
  <c r="BL104" i="25"/>
  <c r="BL103" i="25"/>
  <c r="BL102" i="25"/>
  <c r="BL101" i="25"/>
  <c r="BL100" i="25"/>
  <c r="BL99" i="25"/>
  <c r="BL98" i="25"/>
  <c r="BL97" i="25"/>
  <c r="BL96" i="25"/>
  <c r="BL95" i="25"/>
  <c r="BL93" i="25"/>
  <c r="BL92" i="25"/>
  <c r="BL91" i="25"/>
  <c r="BL90" i="25"/>
  <c r="BL89" i="25"/>
  <c r="BL88" i="25"/>
  <c r="BL87" i="25"/>
  <c r="BL86" i="25"/>
  <c r="BL85" i="25"/>
  <c r="BL84" i="25"/>
  <c r="BL83" i="25"/>
  <c r="BL82" i="25"/>
  <c r="BL81" i="25"/>
  <c r="BL80" i="25"/>
  <c r="BL79" i="25"/>
  <c r="BL78" i="25"/>
  <c r="BL77" i="25"/>
  <c r="BL76" i="25"/>
  <c r="BL75" i="25"/>
  <c r="BL74" i="25"/>
  <c r="BL73" i="25"/>
  <c r="BL72" i="25"/>
  <c r="BL71" i="25"/>
  <c r="BL70" i="25"/>
  <c r="BL69" i="25"/>
  <c r="BL68" i="25"/>
  <c r="BL67" i="25"/>
  <c r="BL66" i="25"/>
  <c r="BL65" i="25"/>
  <c r="BL64" i="25"/>
  <c r="BL63" i="25"/>
  <c r="BL62" i="25"/>
  <c r="BL61" i="25"/>
  <c r="BL60" i="25"/>
  <c r="BL59" i="25"/>
  <c r="BL58" i="25"/>
  <c r="BL57" i="25"/>
  <c r="BL56" i="25"/>
  <c r="BL55" i="25"/>
  <c r="BL54" i="25"/>
  <c r="BL53" i="25"/>
  <c r="BL52" i="25"/>
  <c r="BL51" i="25"/>
  <c r="BL50" i="25"/>
  <c r="BL49" i="25"/>
  <c r="BL48" i="25"/>
  <c r="BL47" i="25"/>
  <c r="BL46" i="25"/>
  <c r="BL45" i="25"/>
  <c r="BL44" i="25"/>
  <c r="BL43" i="25"/>
  <c r="BL42" i="25"/>
  <c r="BL41" i="25"/>
  <c r="BL40" i="25"/>
  <c r="BL39" i="25"/>
  <c r="BL38" i="25"/>
  <c r="BL37" i="25"/>
  <c r="BL36" i="25"/>
  <c r="BL35" i="25"/>
  <c r="BL34" i="25"/>
  <c r="BL33" i="25"/>
  <c r="BL32" i="25"/>
  <c r="BL31" i="25"/>
  <c r="BL30" i="25"/>
  <c r="BL29" i="25"/>
  <c r="BL28" i="25"/>
  <c r="BL27" i="25"/>
  <c r="BL26" i="25"/>
  <c r="BL25" i="25"/>
  <c r="BL24" i="25"/>
  <c r="BL23" i="25"/>
  <c r="BL22" i="25"/>
  <c r="BL21" i="25"/>
  <c r="BL20" i="25"/>
  <c r="BL19" i="25"/>
  <c r="BL18" i="25"/>
  <c r="BL17" i="25"/>
  <c r="BL16" i="25"/>
  <c r="BL15" i="25"/>
  <c r="BL14" i="25"/>
  <c r="BL13" i="25"/>
  <c r="BL12" i="25"/>
  <c r="BL11" i="25"/>
  <c r="BL10" i="25"/>
  <c r="BL9" i="25"/>
  <c r="BL8" i="25"/>
  <c r="BL7" i="25"/>
  <c r="BL6" i="25"/>
  <c r="BK135" i="25"/>
  <c r="BK134" i="25"/>
  <c r="BK133" i="25"/>
  <c r="BK132" i="25"/>
  <c r="BK131" i="25"/>
  <c r="BK125" i="25"/>
  <c r="BK124" i="25"/>
  <c r="BK123" i="25"/>
  <c r="BK122" i="25"/>
  <c r="BK121" i="25"/>
  <c r="BK120" i="25"/>
  <c r="BK119" i="25"/>
  <c r="BK118" i="25"/>
  <c r="BK117" i="25"/>
  <c r="BK116" i="25"/>
  <c r="BK115" i="25"/>
  <c r="BK114" i="25"/>
  <c r="BK113" i="25"/>
  <c r="BK112" i="25"/>
  <c r="BK111" i="25"/>
  <c r="BK110" i="25"/>
  <c r="BK109" i="25"/>
  <c r="BK108" i="25"/>
  <c r="BK107" i="25"/>
  <c r="BK106" i="25"/>
  <c r="BK105" i="25"/>
  <c r="BK104" i="25"/>
  <c r="BK103" i="25"/>
  <c r="BK102" i="25"/>
  <c r="BK101" i="25"/>
  <c r="BK100" i="25"/>
  <c r="BK99" i="25"/>
  <c r="BK98" i="25"/>
  <c r="BK97" i="25"/>
  <c r="BK96" i="25"/>
  <c r="BK95" i="25"/>
  <c r="BK93" i="25"/>
  <c r="BK92" i="25"/>
  <c r="BK91" i="25"/>
  <c r="BK90" i="25"/>
  <c r="BK89" i="25"/>
  <c r="BK88" i="25"/>
  <c r="BK87" i="25"/>
  <c r="BK86" i="25"/>
  <c r="BK85" i="25"/>
  <c r="BK84" i="25"/>
  <c r="BK83" i="25"/>
  <c r="BK82" i="25"/>
  <c r="BK81" i="25"/>
  <c r="BK80" i="25"/>
  <c r="BK79" i="25"/>
  <c r="BK78" i="25"/>
  <c r="BK77" i="25"/>
  <c r="BK76" i="25"/>
  <c r="BK75" i="25"/>
  <c r="BK74" i="25"/>
  <c r="BK73" i="25"/>
  <c r="BK72" i="25"/>
  <c r="BK71" i="25"/>
  <c r="BK70" i="25"/>
  <c r="BK69" i="25"/>
  <c r="BK68" i="25"/>
  <c r="BK67" i="25"/>
  <c r="BK66" i="25"/>
  <c r="BK65" i="25"/>
  <c r="BK64" i="25"/>
  <c r="BK63" i="25"/>
  <c r="BK62" i="25"/>
  <c r="BK61" i="25"/>
  <c r="BK60" i="25"/>
  <c r="BK59" i="25"/>
  <c r="BK58" i="25"/>
  <c r="BK57" i="25"/>
  <c r="BK56" i="25"/>
  <c r="BK55" i="25"/>
  <c r="BK54" i="25"/>
  <c r="BK53" i="25"/>
  <c r="BK52" i="25"/>
  <c r="BK51" i="25"/>
  <c r="BK50" i="25"/>
  <c r="BK49" i="25"/>
  <c r="BK48" i="25"/>
  <c r="BK47" i="25"/>
  <c r="BK46" i="25"/>
  <c r="BK45" i="25"/>
  <c r="BK44" i="25"/>
  <c r="BK43" i="25"/>
  <c r="BK42" i="25"/>
  <c r="BK41" i="25"/>
  <c r="BK40" i="25"/>
  <c r="BK39" i="25"/>
  <c r="BK38" i="25"/>
  <c r="BK37" i="25"/>
  <c r="BK36" i="25"/>
  <c r="BK35" i="25"/>
  <c r="BK34" i="25"/>
  <c r="BK33" i="25"/>
  <c r="BK32" i="25"/>
  <c r="BK31" i="25"/>
  <c r="BK30" i="25"/>
  <c r="BK29" i="25"/>
  <c r="BK28" i="25"/>
  <c r="BK27" i="25"/>
  <c r="BK26" i="25"/>
  <c r="BK25" i="25"/>
  <c r="BK24" i="25"/>
  <c r="BK23" i="25"/>
  <c r="BK22" i="25"/>
  <c r="BK21" i="25"/>
  <c r="BK20" i="25"/>
  <c r="BK19" i="25"/>
  <c r="BK18" i="25"/>
  <c r="BK17" i="25"/>
  <c r="BK16" i="25"/>
  <c r="BK15" i="25"/>
  <c r="BK14" i="25"/>
  <c r="BK13" i="25"/>
  <c r="BK12" i="25"/>
  <c r="BK11" i="25"/>
  <c r="BK10" i="25"/>
  <c r="BK9" i="25"/>
  <c r="BK8" i="25"/>
  <c r="BK7" i="25"/>
  <c r="BK6" i="25"/>
  <c r="BI135" i="25"/>
  <c r="BH135" i="25"/>
  <c r="BG135" i="25"/>
  <c r="BF135" i="25"/>
  <c r="BE135" i="25"/>
  <c r="BD135" i="25"/>
  <c r="BI134" i="25"/>
  <c r="BH134" i="25"/>
  <c r="BG134" i="25"/>
  <c r="BF134" i="25"/>
  <c r="BE134" i="25"/>
  <c r="BD134" i="25"/>
  <c r="BI133" i="25"/>
  <c r="BH133" i="25"/>
  <c r="BG133" i="25"/>
  <c r="BF133" i="25"/>
  <c r="BE133" i="25"/>
  <c r="BD133" i="25"/>
  <c r="BI132" i="25"/>
  <c r="BH132" i="25"/>
  <c r="BG132" i="25"/>
  <c r="BF132" i="25"/>
  <c r="BE132" i="25"/>
  <c r="BD132" i="25"/>
  <c r="BI131" i="25"/>
  <c r="BH131" i="25"/>
  <c r="BG131" i="25"/>
  <c r="BF131" i="25"/>
  <c r="BE131" i="25"/>
  <c r="BD131" i="25"/>
  <c r="BI125" i="25"/>
  <c r="BH125" i="25"/>
  <c r="BG125" i="25"/>
  <c r="BF125" i="25"/>
  <c r="BE125" i="25"/>
  <c r="BD125" i="25"/>
  <c r="BI124" i="25"/>
  <c r="BH124" i="25"/>
  <c r="BG124" i="25"/>
  <c r="BF124" i="25"/>
  <c r="BE124" i="25"/>
  <c r="BD124" i="25"/>
  <c r="BI123" i="25"/>
  <c r="BH123" i="25"/>
  <c r="BG123" i="25"/>
  <c r="BF123" i="25"/>
  <c r="BE123" i="25"/>
  <c r="BD123" i="25"/>
  <c r="BI122" i="25"/>
  <c r="BH122" i="25"/>
  <c r="BG122" i="25"/>
  <c r="BF122" i="25"/>
  <c r="BE122" i="25"/>
  <c r="BD122" i="25"/>
  <c r="BI121" i="25"/>
  <c r="BH121" i="25"/>
  <c r="BG121" i="25"/>
  <c r="BF121" i="25"/>
  <c r="BE121" i="25"/>
  <c r="BD121" i="25"/>
  <c r="BI120" i="25"/>
  <c r="BH120" i="25"/>
  <c r="BG120" i="25"/>
  <c r="BF120" i="25"/>
  <c r="BE120" i="25"/>
  <c r="BD120" i="25"/>
  <c r="BI119" i="25"/>
  <c r="BH119" i="25"/>
  <c r="BG119" i="25"/>
  <c r="BF119" i="25"/>
  <c r="BE119" i="25"/>
  <c r="BD119" i="25"/>
  <c r="BI118" i="25"/>
  <c r="BH118" i="25"/>
  <c r="BG118" i="25"/>
  <c r="BF118" i="25"/>
  <c r="BE118" i="25"/>
  <c r="BD118" i="25"/>
  <c r="BI117" i="25"/>
  <c r="BH117" i="25"/>
  <c r="BG117" i="25"/>
  <c r="BF117" i="25"/>
  <c r="BE117" i="25"/>
  <c r="BD117" i="25"/>
  <c r="BI116" i="25"/>
  <c r="BH116" i="25"/>
  <c r="BG116" i="25"/>
  <c r="BF116" i="25"/>
  <c r="BE116" i="25"/>
  <c r="BD116" i="25"/>
  <c r="BI115" i="25"/>
  <c r="BH115" i="25"/>
  <c r="BG115" i="25"/>
  <c r="BF115" i="25"/>
  <c r="BE115" i="25"/>
  <c r="BD115" i="25"/>
  <c r="BI114" i="25"/>
  <c r="BH114" i="25"/>
  <c r="BG114" i="25"/>
  <c r="BF114" i="25"/>
  <c r="BE114" i="25"/>
  <c r="BD114" i="25"/>
  <c r="BI113" i="25"/>
  <c r="BH113" i="25"/>
  <c r="BG113" i="25"/>
  <c r="BF113" i="25"/>
  <c r="BE113" i="25"/>
  <c r="BD113" i="25"/>
  <c r="BI112" i="25"/>
  <c r="BH112" i="25"/>
  <c r="BG112" i="25"/>
  <c r="BF112" i="25"/>
  <c r="BE112" i="25"/>
  <c r="BD112" i="25"/>
  <c r="BI111" i="25"/>
  <c r="BH111" i="25"/>
  <c r="BG111" i="25"/>
  <c r="BF111" i="25"/>
  <c r="BE111" i="25"/>
  <c r="BD111" i="25"/>
  <c r="BI110" i="25"/>
  <c r="BH110" i="25"/>
  <c r="BG110" i="25"/>
  <c r="BF110" i="25"/>
  <c r="BE110" i="25"/>
  <c r="BD110" i="25"/>
  <c r="BI109" i="25"/>
  <c r="BH109" i="25"/>
  <c r="BG109" i="25"/>
  <c r="BF109" i="25"/>
  <c r="BE109" i="25"/>
  <c r="BD109" i="25"/>
  <c r="BI108" i="25"/>
  <c r="BH108" i="25"/>
  <c r="BG108" i="25"/>
  <c r="BF108" i="25"/>
  <c r="BE108" i="25"/>
  <c r="BD108" i="25"/>
  <c r="BI107" i="25"/>
  <c r="BH107" i="25"/>
  <c r="BG107" i="25"/>
  <c r="BF107" i="25"/>
  <c r="BE107" i="25"/>
  <c r="BD107" i="25"/>
  <c r="BI106" i="25"/>
  <c r="BH106" i="25"/>
  <c r="BG106" i="25"/>
  <c r="BF106" i="25"/>
  <c r="BE106" i="25"/>
  <c r="BD106" i="25"/>
  <c r="BI105" i="25"/>
  <c r="BH105" i="25"/>
  <c r="BG105" i="25"/>
  <c r="BF105" i="25"/>
  <c r="BE105" i="25"/>
  <c r="BD105" i="25"/>
  <c r="BI104" i="25"/>
  <c r="BH104" i="25"/>
  <c r="BG104" i="25"/>
  <c r="BF104" i="25"/>
  <c r="BE104" i="25"/>
  <c r="BD104" i="25"/>
  <c r="BI103" i="25"/>
  <c r="BH103" i="25"/>
  <c r="BG103" i="25"/>
  <c r="BF103" i="25"/>
  <c r="BE103" i="25"/>
  <c r="BD103" i="25"/>
  <c r="BI102" i="25"/>
  <c r="BH102" i="25"/>
  <c r="BG102" i="25"/>
  <c r="BF102" i="25"/>
  <c r="BE102" i="25"/>
  <c r="BD102" i="25"/>
  <c r="BI101" i="25"/>
  <c r="BH101" i="25"/>
  <c r="BG101" i="25"/>
  <c r="BF101" i="25"/>
  <c r="BE101" i="25"/>
  <c r="BD101" i="25"/>
  <c r="BI100" i="25"/>
  <c r="BH100" i="25"/>
  <c r="BG100" i="25"/>
  <c r="BF100" i="25"/>
  <c r="BE100" i="25"/>
  <c r="BD100" i="25"/>
  <c r="BI99" i="25"/>
  <c r="BH99" i="25"/>
  <c r="BG99" i="25"/>
  <c r="BF99" i="25"/>
  <c r="BE99" i="25"/>
  <c r="BD99" i="25"/>
  <c r="BI98" i="25"/>
  <c r="BH98" i="25"/>
  <c r="BG98" i="25"/>
  <c r="BF98" i="25"/>
  <c r="BE98" i="25"/>
  <c r="BD98" i="25"/>
  <c r="BI97" i="25"/>
  <c r="BH97" i="25"/>
  <c r="BG97" i="25"/>
  <c r="BF97" i="25"/>
  <c r="BE97" i="25"/>
  <c r="BD97" i="25"/>
  <c r="BI96" i="25"/>
  <c r="BH96" i="25"/>
  <c r="BG96" i="25"/>
  <c r="BF96" i="25"/>
  <c r="BE96" i="25"/>
  <c r="BD96" i="25"/>
  <c r="BI95" i="25"/>
  <c r="BH95" i="25"/>
  <c r="BG95" i="25"/>
  <c r="BF95" i="25"/>
  <c r="BE95" i="25"/>
  <c r="BD95" i="25"/>
  <c r="BF94" i="25"/>
  <c r="BD94" i="25"/>
  <c r="BI93" i="25"/>
  <c r="BH93" i="25"/>
  <c r="BG93" i="25"/>
  <c r="BF93" i="25"/>
  <c r="BE93" i="25"/>
  <c r="BD93" i="25"/>
  <c r="BI92" i="25"/>
  <c r="BH92" i="25"/>
  <c r="BG92" i="25"/>
  <c r="BF92" i="25"/>
  <c r="BE92" i="25"/>
  <c r="BD92" i="25"/>
  <c r="BI91" i="25"/>
  <c r="BH91" i="25"/>
  <c r="BG91" i="25"/>
  <c r="BF91" i="25"/>
  <c r="BE91" i="25"/>
  <c r="BD91" i="25"/>
  <c r="BI90" i="25"/>
  <c r="BH90" i="25"/>
  <c r="BG90" i="25"/>
  <c r="BF90" i="25"/>
  <c r="BE90" i="25"/>
  <c r="BD90" i="25"/>
  <c r="BI89" i="25"/>
  <c r="BH89" i="25"/>
  <c r="BG89" i="25"/>
  <c r="BF89" i="25"/>
  <c r="BE89" i="25"/>
  <c r="BD89" i="25"/>
  <c r="BI88" i="25"/>
  <c r="BH88" i="25"/>
  <c r="BG88" i="25"/>
  <c r="BF88" i="25"/>
  <c r="BE88" i="25"/>
  <c r="BD88" i="25"/>
  <c r="BI87" i="25"/>
  <c r="BH87" i="25"/>
  <c r="BG87" i="25"/>
  <c r="BF87" i="25"/>
  <c r="BE87" i="25"/>
  <c r="BD87" i="25"/>
  <c r="BI86" i="25"/>
  <c r="BH86" i="25"/>
  <c r="BG86" i="25"/>
  <c r="BF86" i="25"/>
  <c r="BE86" i="25"/>
  <c r="BD86" i="25"/>
  <c r="BI85" i="25"/>
  <c r="BH85" i="25"/>
  <c r="BG85" i="25"/>
  <c r="BF85" i="25"/>
  <c r="BE85" i="25"/>
  <c r="BD85" i="25"/>
  <c r="BI84" i="25"/>
  <c r="BH84" i="25"/>
  <c r="BG84" i="25"/>
  <c r="BF84" i="25"/>
  <c r="BE84" i="25"/>
  <c r="BD84" i="25"/>
  <c r="BI83" i="25"/>
  <c r="BH83" i="25"/>
  <c r="BG83" i="25"/>
  <c r="BF83" i="25"/>
  <c r="BE83" i="25"/>
  <c r="BD83" i="25"/>
  <c r="BI82" i="25"/>
  <c r="BH82" i="25"/>
  <c r="BG82" i="25"/>
  <c r="BF82" i="25"/>
  <c r="BE82" i="25"/>
  <c r="BD82" i="25"/>
  <c r="BI81" i="25"/>
  <c r="BH81" i="25"/>
  <c r="BG81" i="25"/>
  <c r="BF81" i="25"/>
  <c r="BE81" i="25"/>
  <c r="BD81" i="25"/>
  <c r="BI80" i="25"/>
  <c r="BH80" i="25"/>
  <c r="BG80" i="25"/>
  <c r="BF80" i="25"/>
  <c r="BE80" i="25"/>
  <c r="BD80" i="25"/>
  <c r="BI79" i="25"/>
  <c r="BH79" i="25"/>
  <c r="BG79" i="25"/>
  <c r="BF79" i="25"/>
  <c r="BE79" i="25"/>
  <c r="BD79" i="25"/>
  <c r="BI78" i="25"/>
  <c r="BH78" i="25"/>
  <c r="BG78" i="25"/>
  <c r="BF78" i="25"/>
  <c r="BE78" i="25"/>
  <c r="BD78" i="25"/>
  <c r="BI77" i="25"/>
  <c r="BH77" i="25"/>
  <c r="BG77" i="25"/>
  <c r="BF77" i="25"/>
  <c r="BE77" i="25"/>
  <c r="BD77" i="25"/>
  <c r="BI76" i="25"/>
  <c r="BH76" i="25"/>
  <c r="BG76" i="25"/>
  <c r="BF76" i="25"/>
  <c r="BE76" i="25"/>
  <c r="BD76" i="25"/>
  <c r="BI75" i="25"/>
  <c r="BH75" i="25"/>
  <c r="BG75" i="25"/>
  <c r="BF75" i="25"/>
  <c r="BE75" i="25"/>
  <c r="BD75" i="25"/>
  <c r="BI74" i="25"/>
  <c r="BH74" i="25"/>
  <c r="BG74" i="25"/>
  <c r="BF74" i="25"/>
  <c r="BE74" i="25"/>
  <c r="BD74" i="25"/>
  <c r="BI73" i="25"/>
  <c r="BH73" i="25"/>
  <c r="BG73" i="25"/>
  <c r="BF73" i="25"/>
  <c r="BE73" i="25"/>
  <c r="BD73" i="25"/>
  <c r="BI72" i="25"/>
  <c r="BH72" i="25"/>
  <c r="BG72" i="25"/>
  <c r="BF72" i="25"/>
  <c r="BE72" i="25"/>
  <c r="BD72" i="25"/>
  <c r="BI71" i="25"/>
  <c r="BH71" i="25"/>
  <c r="BG71" i="25"/>
  <c r="BF71" i="25"/>
  <c r="BE71" i="25"/>
  <c r="BD71" i="25"/>
  <c r="BI70" i="25"/>
  <c r="BH70" i="25"/>
  <c r="BG70" i="25"/>
  <c r="BF70" i="25"/>
  <c r="BE70" i="25"/>
  <c r="BD70" i="25"/>
  <c r="BI69" i="25"/>
  <c r="BH69" i="25"/>
  <c r="BG69" i="25"/>
  <c r="BF69" i="25"/>
  <c r="BE69" i="25"/>
  <c r="BD69" i="25"/>
  <c r="BI68" i="25"/>
  <c r="BH68" i="25"/>
  <c r="BG68" i="25"/>
  <c r="BF68" i="25"/>
  <c r="BE68" i="25"/>
  <c r="BD68" i="25"/>
  <c r="BI67" i="25"/>
  <c r="BH67" i="25"/>
  <c r="BG67" i="25"/>
  <c r="BF67" i="25"/>
  <c r="BE67" i="25"/>
  <c r="BD67" i="25"/>
  <c r="BI66" i="25"/>
  <c r="BH66" i="25"/>
  <c r="BG66" i="25"/>
  <c r="BF66" i="25"/>
  <c r="BE66" i="25"/>
  <c r="BD66" i="25"/>
  <c r="BI65" i="25"/>
  <c r="BH65" i="25"/>
  <c r="BG65" i="25"/>
  <c r="BF65" i="25"/>
  <c r="BE65" i="25"/>
  <c r="BD65" i="25"/>
  <c r="BI64" i="25"/>
  <c r="BH64" i="25"/>
  <c r="BG64" i="25"/>
  <c r="BF64" i="25"/>
  <c r="BE64" i="25"/>
  <c r="BD64" i="25"/>
  <c r="BI63" i="25"/>
  <c r="BH63" i="25"/>
  <c r="BG63" i="25"/>
  <c r="BF63" i="25"/>
  <c r="BE63" i="25"/>
  <c r="BD63" i="25"/>
  <c r="BI62" i="25"/>
  <c r="BH62" i="25"/>
  <c r="BG62" i="25"/>
  <c r="BF62" i="25"/>
  <c r="BE62" i="25"/>
  <c r="BD62" i="25"/>
  <c r="BI61" i="25"/>
  <c r="BH61" i="25"/>
  <c r="BG61" i="25"/>
  <c r="BF61" i="25"/>
  <c r="BE61" i="25"/>
  <c r="BD61" i="25"/>
  <c r="BI60" i="25"/>
  <c r="BH60" i="25"/>
  <c r="BG60" i="25"/>
  <c r="BF60" i="25"/>
  <c r="BE60" i="25"/>
  <c r="BD60" i="25"/>
  <c r="BI59" i="25"/>
  <c r="BH59" i="25"/>
  <c r="BG59" i="25"/>
  <c r="BF59" i="25"/>
  <c r="BE59" i="25"/>
  <c r="BD59" i="25"/>
  <c r="BI58" i="25"/>
  <c r="BH58" i="25"/>
  <c r="BG58" i="25"/>
  <c r="BF58" i="25"/>
  <c r="BE58" i="25"/>
  <c r="BD58" i="25"/>
  <c r="BI57" i="25"/>
  <c r="BH57" i="25"/>
  <c r="BG57" i="25"/>
  <c r="BF57" i="25"/>
  <c r="BE57" i="25"/>
  <c r="BD57" i="25"/>
  <c r="BI56" i="25"/>
  <c r="BH56" i="25"/>
  <c r="BG56" i="25"/>
  <c r="BF56" i="25"/>
  <c r="BE56" i="25"/>
  <c r="BD56" i="25"/>
  <c r="BI55" i="25"/>
  <c r="BH55" i="25"/>
  <c r="BG55" i="25"/>
  <c r="BF55" i="25"/>
  <c r="BE55" i="25"/>
  <c r="BD55" i="25"/>
  <c r="BI54" i="25"/>
  <c r="BH54" i="25"/>
  <c r="BG54" i="25"/>
  <c r="BF54" i="25"/>
  <c r="BE54" i="25"/>
  <c r="BD54" i="25"/>
  <c r="BI53" i="25"/>
  <c r="BH53" i="25"/>
  <c r="BG53" i="25"/>
  <c r="BF53" i="25"/>
  <c r="BE53" i="25"/>
  <c r="BD53" i="25"/>
  <c r="BI52" i="25"/>
  <c r="BH52" i="25"/>
  <c r="BG52" i="25"/>
  <c r="BF52" i="25"/>
  <c r="BE52" i="25"/>
  <c r="BD52" i="25"/>
  <c r="BI51" i="25"/>
  <c r="BH51" i="25"/>
  <c r="BG51" i="25"/>
  <c r="BF51" i="25"/>
  <c r="BE51" i="25"/>
  <c r="BD51" i="25"/>
  <c r="BI50" i="25"/>
  <c r="BH50" i="25"/>
  <c r="BG50" i="25"/>
  <c r="BF50" i="25"/>
  <c r="BE50" i="25"/>
  <c r="BD50" i="25"/>
  <c r="BI49" i="25"/>
  <c r="BH49" i="25"/>
  <c r="BG49" i="25"/>
  <c r="BF49" i="25"/>
  <c r="BE49" i="25"/>
  <c r="BD49" i="25"/>
  <c r="BI48" i="25"/>
  <c r="BH48" i="25"/>
  <c r="BG48" i="25"/>
  <c r="BF48" i="25"/>
  <c r="BE48" i="25"/>
  <c r="BD48" i="25"/>
  <c r="BI47" i="25"/>
  <c r="BH47" i="25"/>
  <c r="BG47" i="25"/>
  <c r="BF47" i="25"/>
  <c r="BE47" i="25"/>
  <c r="BD47" i="25"/>
  <c r="BI46" i="25"/>
  <c r="BH46" i="25"/>
  <c r="BG46" i="25"/>
  <c r="BF46" i="25"/>
  <c r="BE46" i="25"/>
  <c r="BD46" i="25"/>
  <c r="BI45" i="25"/>
  <c r="BH45" i="25"/>
  <c r="BG45" i="25"/>
  <c r="BF45" i="25"/>
  <c r="BE45" i="25"/>
  <c r="BD45" i="25"/>
  <c r="BI44" i="25"/>
  <c r="BH44" i="25"/>
  <c r="BG44" i="25"/>
  <c r="BF44" i="25"/>
  <c r="BE44" i="25"/>
  <c r="BD44" i="25"/>
  <c r="BI43" i="25"/>
  <c r="BH43" i="25"/>
  <c r="BG43" i="25"/>
  <c r="BF43" i="25"/>
  <c r="BE43" i="25"/>
  <c r="BD43" i="25"/>
  <c r="BI42" i="25"/>
  <c r="BH42" i="25"/>
  <c r="BG42" i="25"/>
  <c r="BF42" i="25"/>
  <c r="BE42" i="25"/>
  <c r="BD42" i="25"/>
  <c r="BI41" i="25"/>
  <c r="BH41" i="25"/>
  <c r="BG41" i="25"/>
  <c r="BF41" i="25"/>
  <c r="BE41" i="25"/>
  <c r="BD41" i="25"/>
  <c r="BI40" i="25"/>
  <c r="BH40" i="25"/>
  <c r="BG40" i="25"/>
  <c r="BF40" i="25"/>
  <c r="BE40" i="25"/>
  <c r="BD40" i="25"/>
  <c r="BI39" i="25"/>
  <c r="BH39" i="25"/>
  <c r="BG39" i="25"/>
  <c r="BF39" i="25"/>
  <c r="BE39" i="25"/>
  <c r="BD39" i="25"/>
  <c r="BI38" i="25"/>
  <c r="BH38" i="25"/>
  <c r="BG38" i="25"/>
  <c r="BF38" i="25"/>
  <c r="BE38" i="25"/>
  <c r="BD38" i="25"/>
  <c r="BI37" i="25"/>
  <c r="BH37" i="25"/>
  <c r="BG37" i="25"/>
  <c r="BF37" i="25"/>
  <c r="BE37" i="25"/>
  <c r="BD37" i="25"/>
  <c r="BI36" i="25"/>
  <c r="BH36" i="25"/>
  <c r="BG36" i="25"/>
  <c r="BF36" i="25"/>
  <c r="BE36" i="25"/>
  <c r="BD36" i="25"/>
  <c r="BI35" i="25"/>
  <c r="BH35" i="25"/>
  <c r="BG35" i="25"/>
  <c r="BF35" i="25"/>
  <c r="BE35" i="25"/>
  <c r="BD35" i="25"/>
  <c r="BI34" i="25"/>
  <c r="BH34" i="25"/>
  <c r="BG34" i="25"/>
  <c r="BF34" i="25"/>
  <c r="BE34" i="25"/>
  <c r="BD34" i="25"/>
  <c r="BI33" i="25"/>
  <c r="BH33" i="25"/>
  <c r="BG33" i="25"/>
  <c r="BF33" i="25"/>
  <c r="BE33" i="25"/>
  <c r="BD33" i="25"/>
  <c r="BI32" i="25"/>
  <c r="BH32" i="25"/>
  <c r="BG32" i="25"/>
  <c r="BF32" i="25"/>
  <c r="BE32" i="25"/>
  <c r="BD32" i="25"/>
  <c r="BI31" i="25"/>
  <c r="BH31" i="25"/>
  <c r="BG31" i="25"/>
  <c r="BF31" i="25"/>
  <c r="BE31" i="25"/>
  <c r="BD31" i="25"/>
  <c r="BI30" i="25"/>
  <c r="BH30" i="25"/>
  <c r="BG30" i="25"/>
  <c r="BF30" i="25"/>
  <c r="BE30" i="25"/>
  <c r="BD30" i="25"/>
  <c r="BI29" i="25"/>
  <c r="BH29" i="25"/>
  <c r="BG29" i="25"/>
  <c r="BF29" i="25"/>
  <c r="BE29" i="25"/>
  <c r="BD29" i="25"/>
  <c r="BI28" i="25"/>
  <c r="BH28" i="25"/>
  <c r="BG28" i="25"/>
  <c r="BF28" i="25"/>
  <c r="BE28" i="25"/>
  <c r="BD28" i="25"/>
  <c r="BI27" i="25"/>
  <c r="BH27" i="25"/>
  <c r="BG27" i="25"/>
  <c r="BF27" i="25"/>
  <c r="BE27" i="25"/>
  <c r="BD27" i="25"/>
  <c r="BI26" i="25"/>
  <c r="BH26" i="25"/>
  <c r="BG26" i="25"/>
  <c r="BF26" i="25"/>
  <c r="BE26" i="25"/>
  <c r="BD26" i="25"/>
  <c r="BI25" i="25"/>
  <c r="BH25" i="25"/>
  <c r="BG25" i="25"/>
  <c r="BF25" i="25"/>
  <c r="BE25" i="25"/>
  <c r="BD25" i="25"/>
  <c r="BI24" i="25"/>
  <c r="BH24" i="25"/>
  <c r="BG24" i="25"/>
  <c r="BF24" i="25"/>
  <c r="BE24" i="25"/>
  <c r="BD24" i="25"/>
  <c r="BI23" i="25"/>
  <c r="BH23" i="25"/>
  <c r="BG23" i="25"/>
  <c r="BF23" i="25"/>
  <c r="BE23" i="25"/>
  <c r="BD23" i="25"/>
  <c r="BI22" i="25"/>
  <c r="BH22" i="25"/>
  <c r="BG22" i="25"/>
  <c r="BF22" i="25"/>
  <c r="BE22" i="25"/>
  <c r="BD22" i="25"/>
  <c r="BI21" i="25"/>
  <c r="BH21" i="25"/>
  <c r="BG21" i="25"/>
  <c r="BF21" i="25"/>
  <c r="BE21" i="25"/>
  <c r="BD21" i="25"/>
  <c r="BI20" i="25"/>
  <c r="BH20" i="25"/>
  <c r="BG20" i="25"/>
  <c r="BF20" i="25"/>
  <c r="BE20" i="25"/>
  <c r="BD20" i="25"/>
  <c r="BI19" i="25"/>
  <c r="BH19" i="25"/>
  <c r="BG19" i="25"/>
  <c r="BF19" i="25"/>
  <c r="BE19" i="25"/>
  <c r="BD19" i="25"/>
  <c r="BI18" i="25"/>
  <c r="BH18" i="25"/>
  <c r="BG18" i="25"/>
  <c r="BF18" i="25"/>
  <c r="BE18" i="25"/>
  <c r="BD18" i="25"/>
  <c r="BI17" i="25"/>
  <c r="BH17" i="25"/>
  <c r="BG17" i="25"/>
  <c r="BF17" i="25"/>
  <c r="BE17" i="25"/>
  <c r="BD17" i="25"/>
  <c r="BI16" i="25"/>
  <c r="BH16" i="25"/>
  <c r="BG16" i="25"/>
  <c r="BF16" i="25"/>
  <c r="BE16" i="25"/>
  <c r="BD16" i="25"/>
  <c r="BI15" i="25"/>
  <c r="BH15" i="25"/>
  <c r="BG15" i="25"/>
  <c r="BF15" i="25"/>
  <c r="BE15" i="25"/>
  <c r="BD15" i="25"/>
  <c r="BI14" i="25"/>
  <c r="BH14" i="25"/>
  <c r="BG14" i="25"/>
  <c r="BF14" i="25"/>
  <c r="BE14" i="25"/>
  <c r="BD14" i="25"/>
  <c r="BI13" i="25"/>
  <c r="BH13" i="25"/>
  <c r="BG13" i="25"/>
  <c r="BF13" i="25"/>
  <c r="BE13" i="25"/>
  <c r="BD13" i="25"/>
  <c r="BI12" i="25"/>
  <c r="BH12" i="25"/>
  <c r="BG12" i="25"/>
  <c r="BF12" i="25"/>
  <c r="BE12" i="25"/>
  <c r="BD12" i="25"/>
  <c r="BI11" i="25"/>
  <c r="BH11" i="25"/>
  <c r="BG11" i="25"/>
  <c r="BF11" i="25"/>
  <c r="BE11" i="25"/>
  <c r="BD11" i="25"/>
  <c r="BI10" i="25"/>
  <c r="BH10" i="25"/>
  <c r="BG10" i="25"/>
  <c r="BF10" i="25"/>
  <c r="BE10" i="25"/>
  <c r="BD10" i="25"/>
  <c r="BI9" i="25"/>
  <c r="BH9" i="25"/>
  <c r="BG9" i="25"/>
  <c r="BF9" i="25"/>
  <c r="BE9" i="25"/>
  <c r="BD9" i="25"/>
  <c r="BI8" i="25"/>
  <c r="BH8" i="25"/>
  <c r="BG8" i="25"/>
  <c r="BF8" i="25"/>
  <c r="BE8" i="25"/>
  <c r="BD8" i="25"/>
  <c r="BI7" i="25"/>
  <c r="BH7" i="25"/>
  <c r="BG7" i="25"/>
  <c r="BF7" i="25"/>
  <c r="BE7" i="25"/>
  <c r="BD7" i="25"/>
  <c r="BI6" i="25"/>
  <c r="BH6" i="25"/>
  <c r="BG6" i="25"/>
  <c r="BF6" i="25"/>
  <c r="BE6" i="25"/>
  <c r="BD6" i="25"/>
  <c r="BC135" i="25"/>
  <c r="BC134" i="25"/>
  <c r="BC133" i="25"/>
  <c r="BC132" i="25"/>
  <c r="BC131" i="25"/>
  <c r="BC126" i="25"/>
  <c r="BC125" i="25"/>
  <c r="BC124" i="25"/>
  <c r="BC123" i="25"/>
  <c r="BC122" i="25"/>
  <c r="BC121" i="25"/>
  <c r="BC120" i="25"/>
  <c r="BC119" i="25"/>
  <c r="BC118" i="25"/>
  <c r="BC117" i="25"/>
  <c r="BC116" i="25"/>
  <c r="BC115" i="25"/>
  <c r="BC114" i="25"/>
  <c r="BC113" i="25"/>
  <c r="BC112" i="25"/>
  <c r="BC111" i="25"/>
  <c r="BC110" i="25"/>
  <c r="BC109" i="25"/>
  <c r="BC108" i="25"/>
  <c r="BC107" i="25"/>
  <c r="BC106" i="25"/>
  <c r="BC105" i="25"/>
  <c r="BC104" i="25"/>
  <c r="BC103" i="25"/>
  <c r="BC102" i="25"/>
  <c r="BC101" i="25"/>
  <c r="BC100" i="25"/>
  <c r="BC99" i="25"/>
  <c r="BC98" i="25"/>
  <c r="BC97" i="25"/>
  <c r="BC96" i="25"/>
  <c r="BC95" i="25"/>
  <c r="BC93" i="25"/>
  <c r="BC92" i="25"/>
  <c r="BC91" i="25"/>
  <c r="BC90" i="25"/>
  <c r="BC89" i="25"/>
  <c r="BC88" i="25"/>
  <c r="BC87" i="25"/>
  <c r="BC86" i="25"/>
  <c r="BC85" i="25"/>
  <c r="BC84" i="25"/>
  <c r="BC83" i="25"/>
  <c r="BC82" i="25"/>
  <c r="BC81" i="25"/>
  <c r="BC80" i="25"/>
  <c r="BC79" i="25"/>
  <c r="BC78" i="25"/>
  <c r="BC77" i="25"/>
  <c r="BC76" i="25"/>
  <c r="BC75" i="25"/>
  <c r="BC74" i="25"/>
  <c r="BC73" i="25"/>
  <c r="BC72" i="25"/>
  <c r="BC71" i="25"/>
  <c r="BC70" i="25"/>
  <c r="BC69" i="25"/>
  <c r="BC68" i="25"/>
  <c r="BC67" i="25"/>
  <c r="BC66" i="25"/>
  <c r="BC65" i="25"/>
  <c r="BC64" i="25"/>
  <c r="BC63" i="25"/>
  <c r="BC62" i="25"/>
  <c r="BC61" i="25"/>
  <c r="BC60" i="25"/>
  <c r="BC59" i="25"/>
  <c r="BC58" i="25"/>
  <c r="BC57" i="25"/>
  <c r="BC56" i="25"/>
  <c r="BC55" i="25"/>
  <c r="BC54" i="25"/>
  <c r="BC53" i="25"/>
  <c r="BC52" i="25"/>
  <c r="BC51" i="25"/>
  <c r="BC50" i="25"/>
  <c r="BC49" i="25"/>
  <c r="BC48" i="25"/>
  <c r="BC47" i="25"/>
  <c r="BC46" i="25"/>
  <c r="BC45" i="25"/>
  <c r="BC44" i="25"/>
  <c r="BC43" i="25"/>
  <c r="BC42" i="25"/>
  <c r="BC41" i="25"/>
  <c r="BC40" i="25"/>
  <c r="BC39" i="25"/>
  <c r="BC38" i="25"/>
  <c r="BC37" i="25"/>
  <c r="BC36" i="25"/>
  <c r="BC35" i="25"/>
  <c r="BC34" i="25"/>
  <c r="BC33" i="25"/>
  <c r="BC32" i="25"/>
  <c r="BC31" i="25"/>
  <c r="BC30" i="25"/>
  <c r="BC29" i="25"/>
  <c r="BC28" i="25"/>
  <c r="BC27" i="25"/>
  <c r="BC26" i="25"/>
  <c r="BC25" i="25"/>
  <c r="BC24" i="25"/>
  <c r="BC23" i="25"/>
  <c r="BC22" i="25"/>
  <c r="BC21" i="25"/>
  <c r="BC20" i="25"/>
  <c r="BC19" i="25"/>
  <c r="BC18" i="25"/>
  <c r="BC17" i="25"/>
  <c r="BC16" i="25"/>
  <c r="BC15" i="25"/>
  <c r="BC14" i="25"/>
  <c r="BC13" i="25"/>
  <c r="BC12" i="25"/>
  <c r="BC11" i="25"/>
  <c r="BC10" i="25"/>
  <c r="BC9" i="25"/>
  <c r="BC8" i="25"/>
  <c r="AZ135" i="25"/>
  <c r="AZ134" i="25"/>
  <c r="AZ133" i="25"/>
  <c r="AZ132" i="25"/>
  <c r="AZ131" i="25"/>
  <c r="AZ125" i="25"/>
  <c r="AZ124" i="25"/>
  <c r="AZ123" i="25"/>
  <c r="AZ122" i="25"/>
  <c r="AZ121" i="25"/>
  <c r="AZ120" i="25"/>
  <c r="AZ119" i="25"/>
  <c r="AZ118" i="25"/>
  <c r="AZ117" i="25"/>
  <c r="AZ116" i="25"/>
  <c r="AZ115" i="25"/>
  <c r="AZ114" i="25"/>
  <c r="AZ113" i="25"/>
  <c r="AZ112" i="25"/>
  <c r="AZ111" i="25"/>
  <c r="AZ110" i="25"/>
  <c r="AZ109" i="25"/>
  <c r="AZ108" i="25"/>
  <c r="AZ107" i="25"/>
  <c r="AZ106" i="25"/>
  <c r="AZ105" i="25"/>
  <c r="AZ104" i="25"/>
  <c r="AZ103" i="25"/>
  <c r="AZ102" i="25"/>
  <c r="AZ101" i="25"/>
  <c r="AZ100" i="25"/>
  <c r="AZ99" i="25"/>
  <c r="AZ98" i="25"/>
  <c r="AZ97" i="25"/>
  <c r="AZ96" i="25"/>
  <c r="AZ95" i="25"/>
  <c r="AZ94" i="25"/>
  <c r="AZ93" i="25"/>
  <c r="AZ92" i="25"/>
  <c r="AZ91" i="25"/>
  <c r="AZ90" i="25"/>
  <c r="AZ89" i="25"/>
  <c r="AZ88" i="25"/>
  <c r="AZ87" i="25"/>
  <c r="AZ86" i="25"/>
  <c r="AZ85" i="25"/>
  <c r="AZ84" i="25"/>
  <c r="AZ83" i="25"/>
  <c r="AZ82" i="25"/>
  <c r="AZ81" i="25"/>
  <c r="AZ80" i="25"/>
  <c r="AZ79" i="25"/>
  <c r="AZ78" i="25"/>
  <c r="AZ77" i="25"/>
  <c r="AZ76" i="25"/>
  <c r="AZ75" i="25"/>
  <c r="AZ74" i="25"/>
  <c r="AZ73" i="25"/>
  <c r="AZ72" i="25"/>
  <c r="AZ71" i="25"/>
  <c r="AZ70" i="25"/>
  <c r="AZ69" i="25"/>
  <c r="AZ68" i="25"/>
  <c r="AZ67" i="25"/>
  <c r="AZ66" i="25"/>
  <c r="AZ65" i="25"/>
  <c r="AZ64" i="25"/>
  <c r="AZ63" i="25"/>
  <c r="AZ62" i="25"/>
  <c r="AZ61" i="25"/>
  <c r="AZ60" i="25"/>
  <c r="AZ59" i="25"/>
  <c r="AZ58" i="25"/>
  <c r="AZ57" i="25"/>
  <c r="AZ56" i="25"/>
  <c r="AZ55" i="25"/>
  <c r="AZ54" i="25"/>
  <c r="AZ53" i="25"/>
  <c r="AZ52" i="25"/>
  <c r="AZ51" i="25"/>
  <c r="AZ50" i="25"/>
  <c r="AZ49" i="25"/>
  <c r="AZ48" i="25"/>
  <c r="AZ47" i="25"/>
  <c r="AZ46" i="25"/>
  <c r="AZ45" i="25"/>
  <c r="AZ44" i="25"/>
  <c r="AZ43" i="25"/>
  <c r="AZ42" i="25"/>
  <c r="AZ41" i="25"/>
  <c r="AZ40" i="25"/>
  <c r="AZ39" i="25"/>
  <c r="AZ38" i="25"/>
  <c r="AZ37" i="25"/>
  <c r="AZ36" i="25"/>
  <c r="AZ35" i="25"/>
  <c r="AZ34" i="25"/>
  <c r="AZ33" i="25"/>
  <c r="AZ32" i="25"/>
  <c r="AZ31" i="25"/>
  <c r="AZ30" i="25"/>
  <c r="AZ29" i="25"/>
  <c r="AZ28" i="25"/>
  <c r="AZ27" i="25"/>
  <c r="AZ26" i="25"/>
  <c r="AZ25" i="25"/>
  <c r="AZ24" i="25"/>
  <c r="AZ23" i="25"/>
  <c r="AZ22" i="25"/>
  <c r="AZ21" i="25"/>
  <c r="AZ20" i="25"/>
  <c r="AZ19" i="25"/>
  <c r="AZ18" i="25"/>
  <c r="AZ17" i="25"/>
  <c r="AZ16" i="25"/>
  <c r="AZ15" i="25"/>
  <c r="AZ14" i="25"/>
  <c r="AZ13" i="25"/>
  <c r="AZ12" i="25"/>
  <c r="AZ11" i="25"/>
  <c r="AZ10" i="25"/>
  <c r="AZ9" i="25"/>
  <c r="AZ8" i="25"/>
  <c r="AX135" i="25"/>
  <c r="AX134" i="25"/>
  <c r="AX133" i="25"/>
  <c r="AX132" i="25"/>
  <c r="AX131" i="25"/>
  <c r="AX125" i="25"/>
  <c r="AX124" i="25"/>
  <c r="AX123" i="25"/>
  <c r="AX122" i="25"/>
  <c r="AX121" i="25"/>
  <c r="AX120" i="25"/>
  <c r="AX119" i="25"/>
  <c r="AX118" i="25"/>
  <c r="AX117" i="25"/>
  <c r="AX116" i="25"/>
  <c r="AX115" i="25"/>
  <c r="AX114" i="25"/>
  <c r="AX113" i="25"/>
  <c r="AX112" i="25"/>
  <c r="AX111" i="25"/>
  <c r="AX110" i="25"/>
  <c r="AX109" i="25"/>
  <c r="AX108" i="25"/>
  <c r="AX107" i="25"/>
  <c r="AX106" i="25"/>
  <c r="AX105" i="25"/>
  <c r="AX104" i="25"/>
  <c r="AX103" i="25"/>
  <c r="AX102" i="25"/>
  <c r="AX101" i="25"/>
  <c r="AX100" i="25"/>
  <c r="AX99" i="25"/>
  <c r="AX98" i="25"/>
  <c r="AX97" i="25"/>
  <c r="AX96" i="25"/>
  <c r="AX95" i="25"/>
  <c r="AX93" i="25"/>
  <c r="AX92" i="25"/>
  <c r="AX91" i="25"/>
  <c r="AX90" i="25"/>
  <c r="AX89" i="25"/>
  <c r="AX88" i="25"/>
  <c r="AX87" i="25"/>
  <c r="AX86" i="25"/>
  <c r="AX85" i="25"/>
  <c r="AX84" i="25"/>
  <c r="AX83" i="25"/>
  <c r="AX82" i="25"/>
  <c r="AX81" i="25"/>
  <c r="AX80" i="25"/>
  <c r="AX79" i="25"/>
  <c r="AX78" i="25"/>
  <c r="AX77" i="25"/>
  <c r="AX76" i="25"/>
  <c r="AX75" i="25"/>
  <c r="AX74" i="25"/>
  <c r="AX73" i="25"/>
  <c r="AX72" i="25"/>
  <c r="AX71" i="25"/>
  <c r="AX70" i="25"/>
  <c r="AX69" i="25"/>
  <c r="AX68" i="25"/>
  <c r="AX67" i="25"/>
  <c r="AX66" i="25"/>
  <c r="AX65" i="25"/>
  <c r="AX64" i="25"/>
  <c r="AX63" i="25"/>
  <c r="AX62" i="25"/>
  <c r="AX61" i="25"/>
  <c r="AX60" i="25"/>
  <c r="AX59" i="25"/>
  <c r="AX58" i="25"/>
  <c r="AX57" i="25"/>
  <c r="AX56" i="25"/>
  <c r="AX55" i="25"/>
  <c r="AX54" i="25"/>
  <c r="AX53" i="25"/>
  <c r="AX52" i="25"/>
  <c r="AX51" i="25"/>
  <c r="AX50" i="25"/>
  <c r="AX49" i="25"/>
  <c r="AX48" i="25"/>
  <c r="AX47" i="25"/>
  <c r="AX46" i="25"/>
  <c r="AX45" i="25"/>
  <c r="AX44" i="25"/>
  <c r="AX43" i="25"/>
  <c r="AX42" i="25"/>
  <c r="AX41" i="25"/>
  <c r="AX40" i="25"/>
  <c r="AX39" i="25"/>
  <c r="AX38" i="25"/>
  <c r="AX37" i="25"/>
  <c r="AX36" i="25"/>
  <c r="AX35" i="25"/>
  <c r="AX34" i="25"/>
  <c r="AX33" i="25"/>
  <c r="AX32" i="25"/>
  <c r="AX31" i="25"/>
  <c r="AX30" i="25"/>
  <c r="AX29" i="25"/>
  <c r="AX28" i="25"/>
  <c r="AX27" i="25"/>
  <c r="AX26" i="25"/>
  <c r="AX25" i="25"/>
  <c r="AX24" i="25"/>
  <c r="AX23" i="25"/>
  <c r="AX22" i="25"/>
  <c r="AX21" i="25"/>
  <c r="AX20" i="25"/>
  <c r="AX19" i="25"/>
  <c r="AX18" i="25"/>
  <c r="AX17" i="25"/>
  <c r="AX16" i="25"/>
  <c r="AX15" i="25"/>
  <c r="AX14" i="25"/>
  <c r="AX13" i="25"/>
  <c r="AX12" i="25"/>
  <c r="AX11" i="25"/>
  <c r="AX10" i="25"/>
  <c r="AX9" i="25"/>
  <c r="AX8" i="25"/>
  <c r="AW135" i="25"/>
  <c r="AW134" i="25"/>
  <c r="AW133" i="25"/>
  <c r="AW132" i="25"/>
  <c r="AW131" i="25"/>
  <c r="AW125" i="25"/>
  <c r="AW124" i="25"/>
  <c r="AW123" i="25"/>
  <c r="AW122" i="25"/>
  <c r="AW121" i="25"/>
  <c r="AW120" i="25"/>
  <c r="AW119" i="25"/>
  <c r="AW118" i="25"/>
  <c r="AW117" i="25"/>
  <c r="AW116" i="25"/>
  <c r="AW115" i="25"/>
  <c r="AW114" i="25"/>
  <c r="AW113" i="25"/>
  <c r="AW112" i="25"/>
  <c r="AW111" i="25"/>
  <c r="AW110" i="25"/>
  <c r="AW109" i="25"/>
  <c r="AW108" i="25"/>
  <c r="AW107" i="25"/>
  <c r="AW106" i="25"/>
  <c r="AW105" i="25"/>
  <c r="AW104" i="25"/>
  <c r="AW103" i="25"/>
  <c r="AW102" i="25"/>
  <c r="AW101" i="25"/>
  <c r="AW100" i="25"/>
  <c r="AW99" i="25"/>
  <c r="AW98" i="25"/>
  <c r="AW97" i="25"/>
  <c r="AW96" i="25"/>
  <c r="AW95" i="25"/>
  <c r="AW93" i="25"/>
  <c r="AW92" i="25"/>
  <c r="AW91" i="25"/>
  <c r="AW90" i="25"/>
  <c r="AW89" i="25"/>
  <c r="AW88" i="25"/>
  <c r="AW87" i="25"/>
  <c r="AW86" i="25"/>
  <c r="AW85" i="25"/>
  <c r="AW84" i="25"/>
  <c r="AW83" i="25"/>
  <c r="AW82" i="25"/>
  <c r="AW81" i="25"/>
  <c r="AW80" i="25"/>
  <c r="AW79" i="25"/>
  <c r="AW78" i="25"/>
  <c r="AW77" i="25"/>
  <c r="AW76" i="25"/>
  <c r="AW75" i="25"/>
  <c r="AW74" i="25"/>
  <c r="AW73" i="25"/>
  <c r="AW72" i="25"/>
  <c r="AW71" i="25"/>
  <c r="AW70" i="25"/>
  <c r="AW69" i="25"/>
  <c r="AW68" i="25"/>
  <c r="AW67" i="25"/>
  <c r="AW66" i="25"/>
  <c r="AW65" i="25"/>
  <c r="AW64" i="25"/>
  <c r="AW63" i="25"/>
  <c r="AW62" i="25"/>
  <c r="AW61" i="25"/>
  <c r="AW60" i="25"/>
  <c r="AW59" i="25"/>
  <c r="AW58" i="25"/>
  <c r="AW57" i="25"/>
  <c r="AW56" i="25"/>
  <c r="AW55" i="25"/>
  <c r="AW54" i="25"/>
  <c r="AW53" i="25"/>
  <c r="AW52" i="25"/>
  <c r="AW51" i="25"/>
  <c r="AW50" i="25"/>
  <c r="AW49" i="25"/>
  <c r="AW48" i="25"/>
  <c r="AW47" i="25"/>
  <c r="AW46" i="25"/>
  <c r="AW45" i="25"/>
  <c r="AW44" i="25"/>
  <c r="AW43" i="25"/>
  <c r="AW42" i="25"/>
  <c r="AW41" i="25"/>
  <c r="AW40" i="25"/>
  <c r="AW39" i="25"/>
  <c r="AW38" i="25"/>
  <c r="AW37" i="25"/>
  <c r="AW36" i="25"/>
  <c r="AW35" i="25"/>
  <c r="AW34" i="25"/>
  <c r="AW33" i="25"/>
  <c r="AW32" i="25"/>
  <c r="AW31" i="25"/>
  <c r="AW30" i="25"/>
  <c r="AW29" i="25"/>
  <c r="AW28" i="25"/>
  <c r="AW27" i="25"/>
  <c r="AW26" i="25"/>
  <c r="AW25" i="25"/>
  <c r="AW24" i="25"/>
  <c r="AW23" i="25"/>
  <c r="AW22" i="25"/>
  <c r="AW21" i="25"/>
  <c r="AW20" i="25"/>
  <c r="AW19" i="25"/>
  <c r="AW18" i="25"/>
  <c r="AW17" i="25"/>
  <c r="AW16" i="25"/>
  <c r="AW15" i="25"/>
  <c r="AW14" i="25"/>
  <c r="AW13" i="25"/>
  <c r="AW12" i="25"/>
  <c r="AW11" i="25"/>
  <c r="AW10" i="25"/>
  <c r="AW9" i="25"/>
  <c r="AW8" i="25"/>
  <c r="AW7" i="25"/>
  <c r="AW6" i="25"/>
  <c r="AV135" i="25"/>
  <c r="AV134" i="25"/>
  <c r="AV133" i="25"/>
  <c r="AV132" i="25"/>
  <c r="AV131" i="25"/>
  <c r="AV125" i="25"/>
  <c r="AV124" i="25"/>
  <c r="AV123" i="25"/>
  <c r="AV122" i="25"/>
  <c r="AV121" i="25"/>
  <c r="AV120" i="25"/>
  <c r="AV119" i="25"/>
  <c r="AV118" i="25"/>
  <c r="AV117" i="25"/>
  <c r="AV116" i="25"/>
  <c r="AV115" i="25"/>
  <c r="AV114" i="25"/>
  <c r="AV113" i="25"/>
  <c r="AV112" i="25"/>
  <c r="AV111" i="25"/>
  <c r="AV110" i="25"/>
  <c r="AV109" i="25"/>
  <c r="AV108" i="25"/>
  <c r="AV107" i="25"/>
  <c r="AV106" i="25"/>
  <c r="AV105" i="25"/>
  <c r="AV104" i="25"/>
  <c r="AV103" i="25"/>
  <c r="AV102" i="25"/>
  <c r="AV101" i="25"/>
  <c r="AV100" i="25"/>
  <c r="AV99" i="25"/>
  <c r="AV98" i="25"/>
  <c r="AV97" i="25"/>
  <c r="AV96" i="25"/>
  <c r="AV95" i="25"/>
  <c r="AV93" i="25"/>
  <c r="AV92" i="25"/>
  <c r="AV91" i="25"/>
  <c r="AV90" i="25"/>
  <c r="AV89" i="25"/>
  <c r="AV88" i="25"/>
  <c r="AV87" i="25"/>
  <c r="AV86" i="25"/>
  <c r="AV85" i="25"/>
  <c r="AV84" i="25"/>
  <c r="AV83" i="25"/>
  <c r="AV82" i="25"/>
  <c r="AV81" i="25"/>
  <c r="AV80" i="25"/>
  <c r="AV79" i="25"/>
  <c r="AV78" i="25"/>
  <c r="AV77" i="25"/>
  <c r="AV76" i="25"/>
  <c r="AV75" i="25"/>
  <c r="AV74" i="25"/>
  <c r="AV73" i="25"/>
  <c r="AV72" i="25"/>
  <c r="AV71" i="25"/>
  <c r="AV70" i="25"/>
  <c r="AV69" i="25"/>
  <c r="AV68" i="25"/>
  <c r="AV67" i="25"/>
  <c r="AV66" i="25"/>
  <c r="AV65" i="25"/>
  <c r="AV64" i="25"/>
  <c r="AV63" i="25"/>
  <c r="AV62" i="25"/>
  <c r="AV61" i="25"/>
  <c r="AV60" i="25"/>
  <c r="AV59" i="25"/>
  <c r="AV58" i="25"/>
  <c r="AV57" i="25"/>
  <c r="AV56" i="25"/>
  <c r="AV55" i="25"/>
  <c r="AV54" i="25"/>
  <c r="AV53" i="25"/>
  <c r="AV52" i="25"/>
  <c r="AV51" i="25"/>
  <c r="AV50" i="25"/>
  <c r="AV49" i="25"/>
  <c r="AV48" i="25"/>
  <c r="AV47" i="25"/>
  <c r="AV46" i="25"/>
  <c r="AV45" i="25"/>
  <c r="AV44" i="25"/>
  <c r="AV43" i="25"/>
  <c r="AV42" i="25"/>
  <c r="AV41" i="25"/>
  <c r="AV40" i="25"/>
  <c r="AV39" i="25"/>
  <c r="AV38" i="25"/>
  <c r="AV37" i="25"/>
  <c r="AV36" i="25"/>
  <c r="AV35" i="25"/>
  <c r="AV34" i="25"/>
  <c r="AV33" i="25"/>
  <c r="AV32" i="25"/>
  <c r="AV31" i="25"/>
  <c r="AV30" i="25"/>
  <c r="AV29" i="25"/>
  <c r="AV28" i="25"/>
  <c r="AV27" i="25"/>
  <c r="AV26" i="25"/>
  <c r="AV25" i="25"/>
  <c r="AV24" i="25"/>
  <c r="AV23" i="25"/>
  <c r="AV22" i="25"/>
  <c r="AV21" i="25"/>
  <c r="AV20" i="25"/>
  <c r="AV19" i="25"/>
  <c r="AV18" i="25"/>
  <c r="AV17" i="25"/>
  <c r="AV16" i="25"/>
  <c r="AV15" i="25"/>
  <c r="AV14" i="25"/>
  <c r="AV13" i="25"/>
  <c r="AV12" i="25"/>
  <c r="AV11" i="25"/>
  <c r="AV10" i="25"/>
  <c r="AV9" i="25"/>
  <c r="AV8" i="25"/>
  <c r="AU135" i="25"/>
  <c r="AT135" i="25"/>
  <c r="AS135" i="25"/>
  <c r="AR135" i="25"/>
  <c r="AQ135" i="25"/>
  <c r="AP135" i="25"/>
  <c r="AO135" i="25"/>
  <c r="AN135" i="25"/>
  <c r="AM135" i="25"/>
  <c r="AL135" i="25"/>
  <c r="AK135" i="25"/>
  <c r="AJ135" i="25"/>
  <c r="AI135" i="25"/>
  <c r="AH135" i="25"/>
  <c r="AG135" i="25"/>
  <c r="AF135" i="25"/>
  <c r="AE135" i="25"/>
  <c r="AD135" i="25"/>
  <c r="AC135" i="25"/>
  <c r="AB135" i="25"/>
  <c r="AA135" i="25"/>
  <c r="Z135" i="25"/>
  <c r="Y135" i="25"/>
  <c r="X135" i="25"/>
  <c r="W135" i="25"/>
  <c r="V135" i="25"/>
  <c r="AU134" i="25"/>
  <c r="AT134" i="25"/>
  <c r="AS134" i="25"/>
  <c r="AR134" i="25"/>
  <c r="AQ134" i="25"/>
  <c r="AP134" i="25"/>
  <c r="AO134" i="25"/>
  <c r="AN134" i="25"/>
  <c r="AM134" i="25"/>
  <c r="AL134" i="25"/>
  <c r="AK134" i="25"/>
  <c r="AJ134" i="25"/>
  <c r="AI134" i="25"/>
  <c r="AH134" i="25"/>
  <c r="AG134" i="25"/>
  <c r="AF134" i="25"/>
  <c r="AE134" i="25"/>
  <c r="AD134" i="25"/>
  <c r="AC134" i="25"/>
  <c r="AB134" i="25"/>
  <c r="AA134" i="25"/>
  <c r="Z134" i="25"/>
  <c r="Y134" i="25"/>
  <c r="X134" i="25"/>
  <c r="W134" i="25"/>
  <c r="V134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AU125" i="25"/>
  <c r="AT125" i="25"/>
  <c r="AS125" i="25"/>
  <c r="AR125" i="25"/>
  <c r="AQ125" i="25"/>
  <c r="AP125" i="25"/>
  <c r="AO125" i="25"/>
  <c r="AN125" i="25"/>
  <c r="AM125" i="25"/>
  <c r="AL125" i="25"/>
  <c r="AK125" i="25"/>
  <c r="AJ125" i="25"/>
  <c r="AI125" i="25"/>
  <c r="AH125" i="25"/>
  <c r="AG125" i="25"/>
  <c r="AF125" i="25"/>
  <c r="AE125" i="25"/>
  <c r="AD125" i="25"/>
  <c r="AC125" i="25"/>
  <c r="AB125" i="25"/>
  <c r="AA125" i="25"/>
  <c r="Z125" i="25"/>
  <c r="Y125" i="25"/>
  <c r="X125" i="25"/>
  <c r="W125" i="25"/>
  <c r="V125" i="25"/>
  <c r="AU124" i="25"/>
  <c r="AT124" i="25"/>
  <c r="AS124" i="25"/>
  <c r="AR124" i="25"/>
  <c r="AQ124" i="25"/>
  <c r="AP124" i="25"/>
  <c r="AO124" i="25"/>
  <c r="AN124" i="25"/>
  <c r="AM124" i="25"/>
  <c r="AL124" i="25"/>
  <c r="AK124" i="25"/>
  <c r="AJ124" i="25"/>
  <c r="AI124" i="25"/>
  <c r="AH124" i="25"/>
  <c r="AG124" i="25"/>
  <c r="AF124" i="25"/>
  <c r="AE124" i="25"/>
  <c r="AD124" i="25"/>
  <c r="AC124" i="25"/>
  <c r="AB124" i="25"/>
  <c r="AA124" i="25"/>
  <c r="Z124" i="25"/>
  <c r="Y124" i="25"/>
  <c r="X124" i="25"/>
  <c r="W124" i="25"/>
  <c r="V124" i="25"/>
  <c r="AU123" i="25"/>
  <c r="AT123" i="25"/>
  <c r="AS123" i="25"/>
  <c r="AR123" i="25"/>
  <c r="AQ123" i="25"/>
  <c r="AP123" i="25"/>
  <c r="AO123" i="25"/>
  <c r="AN123" i="25"/>
  <c r="AM123" i="25"/>
  <c r="AL123" i="25"/>
  <c r="AK123" i="25"/>
  <c r="AJ123" i="25"/>
  <c r="AI123" i="25"/>
  <c r="AH123" i="25"/>
  <c r="AG123" i="25"/>
  <c r="AF123" i="25"/>
  <c r="AE123" i="25"/>
  <c r="AD123" i="25"/>
  <c r="AC123" i="25"/>
  <c r="AB123" i="25"/>
  <c r="AA123" i="25"/>
  <c r="Z123" i="25"/>
  <c r="Y123" i="25"/>
  <c r="X123" i="25"/>
  <c r="W123" i="25"/>
  <c r="V123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AU114" i="25"/>
  <c r="AT114" i="25"/>
  <c r="AS114" i="25"/>
  <c r="AR114" i="25"/>
  <c r="AQ114" i="25"/>
  <c r="AP114" i="25"/>
  <c r="AO114" i="25"/>
  <c r="AN114" i="25"/>
  <c r="AM114" i="25"/>
  <c r="AL114" i="25"/>
  <c r="AK114" i="25"/>
  <c r="AJ114" i="25"/>
  <c r="AI114" i="25"/>
  <c r="AH114" i="25"/>
  <c r="AG114" i="25"/>
  <c r="AF114" i="25"/>
  <c r="AE114" i="25"/>
  <c r="AD114" i="25"/>
  <c r="AC114" i="25"/>
  <c r="AB114" i="25"/>
  <c r="AA114" i="25"/>
  <c r="Z114" i="25"/>
  <c r="Y114" i="25"/>
  <c r="X114" i="25"/>
  <c r="W114" i="25"/>
  <c r="V114" i="25"/>
  <c r="AU113" i="25"/>
  <c r="AT113" i="25"/>
  <c r="AS113" i="25"/>
  <c r="AR113" i="25"/>
  <c r="AQ113" i="25"/>
  <c r="AP113" i="25"/>
  <c r="AO113" i="25"/>
  <c r="AN113" i="25"/>
  <c r="AM113" i="25"/>
  <c r="AL113" i="25"/>
  <c r="AK113" i="25"/>
  <c r="AJ113" i="25"/>
  <c r="AI113" i="25"/>
  <c r="AH113" i="25"/>
  <c r="AG113" i="25"/>
  <c r="AF113" i="25"/>
  <c r="AE113" i="25"/>
  <c r="AD113" i="25"/>
  <c r="AC113" i="25"/>
  <c r="AB113" i="25"/>
  <c r="AA113" i="25"/>
  <c r="Z113" i="25"/>
  <c r="Y113" i="25"/>
  <c r="X113" i="25"/>
  <c r="W113" i="25"/>
  <c r="V113" i="25"/>
  <c r="AU112" i="25"/>
  <c r="AT112" i="25"/>
  <c r="AS112" i="25"/>
  <c r="AR112" i="25"/>
  <c r="AQ112" i="25"/>
  <c r="AP112" i="25"/>
  <c r="AO112" i="25"/>
  <c r="AN112" i="25"/>
  <c r="AM112" i="25"/>
  <c r="AL112" i="25"/>
  <c r="AK112" i="25"/>
  <c r="AJ112" i="25"/>
  <c r="AI112" i="25"/>
  <c r="AH112" i="25"/>
  <c r="AG112" i="25"/>
  <c r="AF112" i="25"/>
  <c r="AE112" i="25"/>
  <c r="AD112" i="25"/>
  <c r="AC112" i="25"/>
  <c r="AB112" i="25"/>
  <c r="AA112" i="25"/>
  <c r="Z112" i="25"/>
  <c r="Y112" i="25"/>
  <c r="X112" i="25"/>
  <c r="W112" i="25"/>
  <c r="V112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AU103" i="25"/>
  <c r="AT103" i="25"/>
  <c r="AS103" i="25"/>
  <c r="AR103" i="25"/>
  <c r="AQ103" i="25"/>
  <c r="AP103" i="25"/>
  <c r="AO103" i="25"/>
  <c r="AN103" i="25"/>
  <c r="AM103" i="25"/>
  <c r="AL103" i="25"/>
  <c r="AK103" i="25"/>
  <c r="AJ103" i="25"/>
  <c r="AI103" i="25"/>
  <c r="AH103" i="25"/>
  <c r="AG103" i="25"/>
  <c r="AF103" i="25"/>
  <c r="AE103" i="25"/>
  <c r="AD103" i="25"/>
  <c r="AC103" i="25"/>
  <c r="AB103" i="25"/>
  <c r="AA103" i="25"/>
  <c r="Z103" i="25"/>
  <c r="Y103" i="25"/>
  <c r="X103" i="25"/>
  <c r="W103" i="25"/>
  <c r="V103" i="25"/>
  <c r="AU102" i="25"/>
  <c r="AT102" i="25"/>
  <c r="AS102" i="25"/>
  <c r="AR102" i="25"/>
  <c r="AQ102" i="25"/>
  <c r="AP102" i="25"/>
  <c r="AO102" i="25"/>
  <c r="AN102" i="25"/>
  <c r="AM102" i="25"/>
  <c r="AL102" i="25"/>
  <c r="AK102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AU101" i="25"/>
  <c r="AT101" i="25"/>
  <c r="AS101" i="25"/>
  <c r="AR101" i="25"/>
  <c r="AQ101" i="25"/>
  <c r="AP101" i="25"/>
  <c r="AO101" i="25"/>
  <c r="AN101" i="25"/>
  <c r="AM101" i="25"/>
  <c r="AL101" i="25"/>
  <c r="AK101" i="25"/>
  <c r="AJ101" i="25"/>
  <c r="AI101" i="25"/>
  <c r="AH101" i="25"/>
  <c r="AG101" i="25"/>
  <c r="AF101" i="25"/>
  <c r="AE101" i="25"/>
  <c r="AD101" i="25"/>
  <c r="AC101" i="25"/>
  <c r="AB101" i="25"/>
  <c r="AA101" i="25"/>
  <c r="Z101" i="25"/>
  <c r="Y101" i="25"/>
  <c r="X101" i="25"/>
  <c r="W101" i="25"/>
  <c r="V101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AU94" i="25"/>
  <c r="BO83" i="26" s="1" a="1"/>
  <c r="BO83" i="26" s="1"/>
  <c r="AU83" i="7" s="1"/>
  <c r="AO94" i="25"/>
  <c r="BI83" i="26" s="1" a="1"/>
  <c r="BI83" i="26" s="1"/>
  <c r="AO83" i="7" s="1"/>
  <c r="AJ94" i="25"/>
  <c r="AI94" i="25"/>
  <c r="BC83" i="26" s="1" a="1"/>
  <c r="BC83" i="26" s="1"/>
  <c r="AI83" i="7" s="1"/>
  <c r="AF94" i="25"/>
  <c r="AZ83" i="26" s="1" a="1"/>
  <c r="AZ83" i="26" s="1"/>
  <c r="AF83" i="7" s="1"/>
  <c r="AE94" i="25"/>
  <c r="AY83" i="26" s="1" a="1"/>
  <c r="AY83" i="26" s="1"/>
  <c r="AE83" i="7" s="1"/>
  <c r="AC94" i="25"/>
  <c r="AW83" i="26" s="1" a="1"/>
  <c r="AW83" i="26" s="1"/>
  <c r="AC83" i="7" s="1"/>
  <c r="AB94" i="25"/>
  <c r="AV83" i="26" s="1" a="1"/>
  <c r="AV83" i="26" s="1"/>
  <c r="AB83" i="7" s="1"/>
  <c r="AA94" i="25"/>
  <c r="Y94" i="25"/>
  <c r="AS83" i="26" s="1" a="1"/>
  <c r="AS83" i="26" s="1"/>
  <c r="Y83" i="7" s="1"/>
  <c r="X94" i="25"/>
  <c r="AR83" i="26" s="1" a="1"/>
  <c r="AR83" i="26" s="1"/>
  <c r="X83" i="7" s="1"/>
  <c r="W94" i="25"/>
  <c r="AQ83" i="26" s="1" a="1"/>
  <c r="AQ83" i="26" s="1"/>
  <c r="W83" i="7" s="1"/>
  <c r="V94" i="25"/>
  <c r="AP83" i="26" s="1" a="1"/>
  <c r="AP83" i="26" s="1"/>
  <c r="V83" i="7" s="1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AU92" i="25"/>
  <c r="AT92" i="25"/>
  <c r="AS92" i="25"/>
  <c r="AR92" i="25"/>
  <c r="AQ92" i="25"/>
  <c r="AP92" i="25"/>
  <c r="AO92" i="25"/>
  <c r="AN92" i="25"/>
  <c r="AM92" i="25"/>
  <c r="AL92" i="25"/>
  <c r="AK92" i="25"/>
  <c r="AJ92" i="25"/>
  <c r="AI92" i="25"/>
  <c r="AH92" i="25"/>
  <c r="AG92" i="25"/>
  <c r="AF92" i="25"/>
  <c r="AE92" i="25"/>
  <c r="AD92" i="25"/>
  <c r="AC92" i="25"/>
  <c r="AB92" i="25"/>
  <c r="AA92" i="25"/>
  <c r="Z92" i="25"/>
  <c r="Y92" i="25"/>
  <c r="X92" i="25"/>
  <c r="W92" i="25"/>
  <c r="V92" i="25"/>
  <c r="AU91" i="25"/>
  <c r="AT91" i="25"/>
  <c r="AS91" i="25"/>
  <c r="AR91" i="25"/>
  <c r="AQ91" i="25"/>
  <c r="AP91" i="25"/>
  <c r="AO91" i="25"/>
  <c r="AN91" i="25"/>
  <c r="AM91" i="25"/>
  <c r="AL91" i="25"/>
  <c r="AK91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AU90" i="25"/>
  <c r="AT90" i="25"/>
  <c r="AS90" i="25"/>
  <c r="AR90" i="25"/>
  <c r="AQ90" i="25"/>
  <c r="AP90" i="25"/>
  <c r="AO90" i="25"/>
  <c r="AN90" i="25"/>
  <c r="AM90" i="25"/>
  <c r="AL90" i="25"/>
  <c r="AK90" i="25"/>
  <c r="AJ90" i="25"/>
  <c r="AI90" i="25"/>
  <c r="AH90" i="25"/>
  <c r="AG90" i="25"/>
  <c r="AF90" i="25"/>
  <c r="AE90" i="25"/>
  <c r="AD90" i="25"/>
  <c r="AC90" i="25"/>
  <c r="AB90" i="25"/>
  <c r="AA90" i="25"/>
  <c r="Z90" i="25"/>
  <c r="Y90" i="25"/>
  <c r="X90" i="25"/>
  <c r="W90" i="25"/>
  <c r="V90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AU81" i="25"/>
  <c r="AT81" i="25"/>
  <c r="AS81" i="25"/>
  <c r="AR81" i="25"/>
  <c r="AQ81" i="25"/>
  <c r="AP81" i="25"/>
  <c r="AO81" i="25"/>
  <c r="AN81" i="25"/>
  <c r="AM81" i="25"/>
  <c r="AL81" i="25"/>
  <c r="AK81" i="25"/>
  <c r="AJ81" i="25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AU80" i="25"/>
  <c r="AT80" i="25"/>
  <c r="AS80" i="25"/>
  <c r="AR80" i="25"/>
  <c r="AQ80" i="25"/>
  <c r="AP80" i="25"/>
  <c r="AO80" i="25"/>
  <c r="AN80" i="25"/>
  <c r="AM80" i="25"/>
  <c r="AL80" i="25"/>
  <c r="AK80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AU79" i="25"/>
  <c r="AT79" i="25"/>
  <c r="AS79" i="25"/>
  <c r="AR79" i="25"/>
  <c r="AQ79" i="25"/>
  <c r="AP79" i="25"/>
  <c r="AO79" i="25"/>
  <c r="AN79" i="25"/>
  <c r="AM79" i="25"/>
  <c r="AL79" i="25"/>
  <c r="AK79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AU70" i="25"/>
  <c r="AT70" i="25"/>
  <c r="AS70" i="25"/>
  <c r="AR70" i="25"/>
  <c r="AQ70" i="25"/>
  <c r="AP70" i="25"/>
  <c r="AO70" i="25"/>
  <c r="AN70" i="25"/>
  <c r="AM70" i="25"/>
  <c r="AL70" i="25"/>
  <c r="AK70" i="25"/>
  <c r="AJ70" i="25"/>
  <c r="AI70" i="25"/>
  <c r="AH70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AU69" i="25"/>
  <c r="AT69" i="25"/>
  <c r="AS69" i="25"/>
  <c r="AR69" i="25"/>
  <c r="AQ69" i="25"/>
  <c r="AP69" i="25"/>
  <c r="AO69" i="25"/>
  <c r="AN69" i="25"/>
  <c r="AM69" i="25"/>
  <c r="AL69" i="25"/>
  <c r="AK69" i="25"/>
  <c r="AJ69" i="25"/>
  <c r="AI69" i="25"/>
  <c r="AH69" i="25"/>
  <c r="AG69" i="25"/>
  <c r="AF69" i="25"/>
  <c r="AE69" i="25"/>
  <c r="AD69" i="25"/>
  <c r="AC69" i="25"/>
  <c r="AB69" i="25"/>
  <c r="AA69" i="25"/>
  <c r="Z69" i="25"/>
  <c r="Y69" i="25"/>
  <c r="X69" i="25"/>
  <c r="W69" i="25"/>
  <c r="V69" i="25"/>
  <c r="AU68" i="25"/>
  <c r="AT68" i="25"/>
  <c r="AS68" i="25"/>
  <c r="AR68" i="25"/>
  <c r="AQ68" i="25"/>
  <c r="AP68" i="25"/>
  <c r="AO68" i="25"/>
  <c r="AN68" i="25"/>
  <c r="AM68" i="25"/>
  <c r="AL68" i="25"/>
  <c r="AK68" i="25"/>
  <c r="AJ68" i="25"/>
  <c r="AI68" i="25"/>
  <c r="AH68" i="25"/>
  <c r="AG68" i="25"/>
  <c r="AF68" i="25"/>
  <c r="AE68" i="25"/>
  <c r="AD68" i="25"/>
  <c r="AC68" i="25"/>
  <c r="AB68" i="25"/>
  <c r="AA68" i="25"/>
  <c r="Z68" i="25"/>
  <c r="Y68" i="25"/>
  <c r="X68" i="25"/>
  <c r="W68" i="25"/>
  <c r="V68" i="25"/>
  <c r="AU67" i="25"/>
  <c r="AT67" i="25"/>
  <c r="AS67" i="25"/>
  <c r="AR67" i="25"/>
  <c r="AQ67" i="25"/>
  <c r="AP67" i="25"/>
  <c r="AO67" i="25"/>
  <c r="AN67" i="25"/>
  <c r="AM67" i="25"/>
  <c r="AL67" i="25"/>
  <c r="AK67" i="25"/>
  <c r="AJ67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AU66" i="25"/>
  <c r="AT66" i="25"/>
  <c r="AS66" i="25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AU65" i="25"/>
  <c r="AT65" i="25"/>
  <c r="AS65" i="25"/>
  <c r="AR65" i="25"/>
  <c r="AQ65" i="25"/>
  <c r="AP65" i="25"/>
  <c r="AO65" i="25"/>
  <c r="AN65" i="25"/>
  <c r="AM65" i="25"/>
  <c r="AL65" i="25"/>
  <c r="AK65" i="25"/>
  <c r="AJ65" i="25"/>
  <c r="AI65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AU64" i="25"/>
  <c r="AT64" i="25"/>
  <c r="AS64" i="25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AU63" i="25"/>
  <c r="AT63" i="25"/>
  <c r="AS63" i="25"/>
  <c r="AR63" i="25"/>
  <c r="AQ63" i="25"/>
  <c r="AP63" i="25"/>
  <c r="AO63" i="25"/>
  <c r="AN63" i="25"/>
  <c r="AM63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AU62" i="25"/>
  <c r="AT62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AU61" i="25"/>
  <c r="AT61" i="25"/>
  <c r="AS61" i="25"/>
  <c r="AR61" i="25"/>
  <c r="AQ61" i="25"/>
  <c r="AP61" i="25"/>
  <c r="AO61" i="25"/>
  <c r="AN61" i="25"/>
  <c r="AM61" i="25"/>
  <c r="AL61" i="25"/>
  <c r="AK61" i="25"/>
  <c r="AJ61" i="25"/>
  <c r="AI61" i="25"/>
  <c r="AH61" i="25"/>
  <c r="AG61" i="25"/>
  <c r="AF61" i="25"/>
  <c r="AE61" i="25"/>
  <c r="AD61" i="25"/>
  <c r="AC61" i="25"/>
  <c r="AB61" i="25"/>
  <c r="AA61" i="25"/>
  <c r="Z61" i="25"/>
  <c r="Y61" i="25"/>
  <c r="X61" i="25"/>
  <c r="W61" i="25"/>
  <c r="V61" i="25"/>
  <c r="AU60" i="25"/>
  <c r="AT60" i="25"/>
  <c r="AS60" i="25"/>
  <c r="AR60" i="25"/>
  <c r="AQ60" i="25"/>
  <c r="AP60" i="25"/>
  <c r="AO60" i="25"/>
  <c r="AN60" i="25"/>
  <c r="AM60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Y60" i="25"/>
  <c r="X60" i="25"/>
  <c r="W60" i="25"/>
  <c r="V60" i="25"/>
  <c r="AU59" i="25"/>
  <c r="AT59" i="25"/>
  <c r="AS59" i="25"/>
  <c r="AR59" i="25"/>
  <c r="AQ59" i="25"/>
  <c r="AP59" i="25"/>
  <c r="AO59" i="25"/>
  <c r="AN59" i="25"/>
  <c r="AM59" i="25"/>
  <c r="AL59" i="25"/>
  <c r="AK59" i="25"/>
  <c r="AJ59" i="25"/>
  <c r="AI59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AU58" i="25"/>
  <c r="AT58" i="25"/>
  <c r="AS58" i="25"/>
  <c r="AR58" i="25"/>
  <c r="AQ58" i="25"/>
  <c r="AP58" i="25"/>
  <c r="AO58" i="25"/>
  <c r="AN58" i="25"/>
  <c r="AM58" i="25"/>
  <c r="AL58" i="25"/>
  <c r="AK58" i="25"/>
  <c r="AJ58" i="25"/>
  <c r="AI58" i="25"/>
  <c r="AH58" i="25"/>
  <c r="AG58" i="25"/>
  <c r="AF58" i="25"/>
  <c r="AE58" i="25"/>
  <c r="AD58" i="25"/>
  <c r="AC58" i="25"/>
  <c r="AB58" i="25"/>
  <c r="AA58" i="25"/>
  <c r="Z58" i="25"/>
  <c r="Y58" i="25"/>
  <c r="X58" i="25"/>
  <c r="W58" i="25"/>
  <c r="V58" i="25"/>
  <c r="AU57" i="25"/>
  <c r="AT57" i="25"/>
  <c r="AS57" i="25"/>
  <c r="AR57" i="25"/>
  <c r="AQ57" i="25"/>
  <c r="AP57" i="25"/>
  <c r="AO57" i="25"/>
  <c r="AN57" i="25"/>
  <c r="AM57" i="25"/>
  <c r="AL57" i="25"/>
  <c r="AK57" i="25"/>
  <c r="AJ57" i="25"/>
  <c r="AI57" i="25"/>
  <c r="AH57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AU47" i="25"/>
  <c r="AT47" i="25"/>
  <c r="AS47" i="25"/>
  <c r="AR47" i="25"/>
  <c r="AQ47" i="25"/>
  <c r="AP47" i="25"/>
  <c r="AO47" i="25"/>
  <c r="AN47" i="25"/>
  <c r="AM47" i="25"/>
  <c r="AL47" i="25"/>
  <c r="AK47" i="25"/>
  <c r="AJ47" i="25"/>
  <c r="AI47" i="25"/>
  <c r="AH47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AU46" i="25"/>
  <c r="AT46" i="25"/>
  <c r="AS46" i="25"/>
  <c r="AR46" i="25"/>
  <c r="AQ46" i="25"/>
  <c r="AP46" i="25"/>
  <c r="AO46" i="25"/>
  <c r="AN46" i="25"/>
  <c r="AM46" i="25"/>
  <c r="AL46" i="25"/>
  <c r="AK46" i="25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AU37" i="25"/>
  <c r="AT37" i="25"/>
  <c r="AS37" i="25"/>
  <c r="AR37" i="25"/>
  <c r="AQ37" i="25"/>
  <c r="AP37" i="25"/>
  <c r="AO37" i="25"/>
  <c r="AN37" i="25"/>
  <c r="AM37" i="25"/>
  <c r="AL37" i="25"/>
  <c r="AK37" i="25"/>
  <c r="AJ37" i="25"/>
  <c r="AI37" i="25"/>
  <c r="AH37" i="25"/>
  <c r="AG37" i="25"/>
  <c r="AF37" i="25"/>
  <c r="AE37" i="25"/>
  <c r="AD37" i="25"/>
  <c r="AC37" i="25"/>
  <c r="AB37" i="25"/>
  <c r="AA37" i="25"/>
  <c r="Z37" i="25"/>
  <c r="Y37" i="25"/>
  <c r="X37" i="25"/>
  <c r="W37" i="25"/>
  <c r="V37" i="25"/>
  <c r="AU36" i="25"/>
  <c r="AT36" i="25"/>
  <c r="AS36" i="25"/>
  <c r="AR36" i="25"/>
  <c r="AQ36" i="25"/>
  <c r="AP36" i="25"/>
  <c r="AO36" i="25"/>
  <c r="AN36" i="25"/>
  <c r="AM36" i="25"/>
  <c r="AL36" i="25"/>
  <c r="AK36" i="25"/>
  <c r="AJ36" i="25"/>
  <c r="AI36" i="25"/>
  <c r="AH36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AU35" i="25"/>
  <c r="AT35" i="25"/>
  <c r="AS35" i="25"/>
  <c r="AR35" i="25"/>
  <c r="AQ35" i="25"/>
  <c r="AP35" i="25"/>
  <c r="AO35" i="25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AU8" i="25"/>
  <c r="AT8" i="25"/>
  <c r="AS8" i="25"/>
  <c r="AR8" i="25"/>
  <c r="AQ8" i="25"/>
  <c r="AP8" i="25"/>
  <c r="AO8" i="25"/>
  <c r="AN8" i="25"/>
  <c r="AM8" i="25"/>
  <c r="AL8" i="25"/>
  <c r="AK8" i="25"/>
  <c r="AJ8" i="25"/>
  <c r="AI8" i="25"/>
  <c r="AH8" i="25"/>
  <c r="AG8" i="25"/>
  <c r="AF8" i="25"/>
  <c r="AE8" i="25"/>
  <c r="AD8" i="25"/>
  <c r="AC8" i="25"/>
  <c r="AB8" i="25"/>
  <c r="AA8" i="25"/>
  <c r="Z8" i="25"/>
  <c r="Y8" i="25"/>
  <c r="X8" i="25"/>
  <c r="W8" i="25"/>
  <c r="V8" i="25"/>
  <c r="AU7" i="25"/>
  <c r="AT7" i="25"/>
  <c r="AS7" i="25"/>
  <c r="AR7" i="25"/>
  <c r="AQ7" i="25"/>
  <c r="AP7" i="25"/>
  <c r="AO7" i="25"/>
  <c r="AN7" i="25"/>
  <c r="AM7" i="25"/>
  <c r="AL7" i="25"/>
  <c r="AK7" i="25"/>
  <c r="AJ7" i="25"/>
  <c r="AI7" i="25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AU6" i="25"/>
  <c r="AT6" i="25"/>
  <c r="AS6" i="25"/>
  <c r="AR6" i="25"/>
  <c r="AQ6" i="25"/>
  <c r="AP6" i="25"/>
  <c r="AO6" i="25"/>
  <c r="AN6" i="25"/>
  <c r="AM6" i="25"/>
  <c r="AL6" i="25"/>
  <c r="AK6" i="25"/>
  <c r="AJ6" i="25"/>
  <c r="AI6" i="25"/>
  <c r="AH6" i="25"/>
  <c r="AG6" i="25"/>
  <c r="AF6" i="25"/>
  <c r="AE6" i="25"/>
  <c r="AD6" i="25"/>
  <c r="AC6" i="25"/>
  <c r="AB6" i="25"/>
  <c r="AA6" i="25"/>
  <c r="Z6" i="25"/>
  <c r="Y6" i="25"/>
  <c r="X6" i="25"/>
  <c r="W6" i="25"/>
  <c r="V6" i="25"/>
  <c r="U135" i="25"/>
  <c r="U134" i="25"/>
  <c r="U133" i="25"/>
  <c r="U132" i="25"/>
  <c r="U131" i="25"/>
  <c r="U125" i="25"/>
  <c r="U124" i="25"/>
  <c r="U123" i="25"/>
  <c r="U122" i="25"/>
  <c r="U121" i="25"/>
  <c r="U120" i="25"/>
  <c r="U119" i="25"/>
  <c r="U118" i="25"/>
  <c r="U117" i="25"/>
  <c r="U116" i="25"/>
  <c r="U115" i="25"/>
  <c r="U114" i="25"/>
  <c r="U113" i="25"/>
  <c r="U112" i="25"/>
  <c r="U111" i="25"/>
  <c r="U110" i="25"/>
  <c r="U109" i="25"/>
  <c r="U108" i="25"/>
  <c r="U107" i="25"/>
  <c r="U106" i="25"/>
  <c r="U105" i="25"/>
  <c r="U104" i="25"/>
  <c r="U103" i="25"/>
  <c r="U102" i="25"/>
  <c r="U101" i="25"/>
  <c r="U100" i="25"/>
  <c r="U99" i="25"/>
  <c r="U98" i="25"/>
  <c r="U97" i="25"/>
  <c r="U96" i="25"/>
  <c r="U95" i="25"/>
  <c r="U94" i="25"/>
  <c r="AO83" i="26" s="1" a="1"/>
  <c r="AO83" i="26" s="1"/>
  <c r="U83" i="7" s="1"/>
  <c r="U93" i="25"/>
  <c r="U92" i="25"/>
  <c r="U91" i="25"/>
  <c r="U90" i="25"/>
  <c r="U89" i="25"/>
  <c r="U88" i="25"/>
  <c r="U87" i="25"/>
  <c r="U86" i="25"/>
  <c r="U85" i="25"/>
  <c r="U84" i="25"/>
  <c r="U83" i="25"/>
  <c r="U82" i="25"/>
  <c r="U81" i="25"/>
  <c r="U80" i="25"/>
  <c r="U79" i="25"/>
  <c r="U78" i="25"/>
  <c r="U77" i="25"/>
  <c r="U76" i="25"/>
  <c r="U75" i="25"/>
  <c r="U74" i="25"/>
  <c r="U73" i="25"/>
  <c r="U72" i="25"/>
  <c r="U71" i="25"/>
  <c r="U70" i="25"/>
  <c r="U69" i="25"/>
  <c r="U68" i="25"/>
  <c r="U67" i="25"/>
  <c r="U66" i="25"/>
  <c r="U65" i="25"/>
  <c r="U64" i="25"/>
  <c r="U63" i="25"/>
  <c r="U62" i="25"/>
  <c r="U61" i="25"/>
  <c r="U60" i="25"/>
  <c r="U59" i="25"/>
  <c r="U58" i="25"/>
  <c r="U57" i="25"/>
  <c r="U56" i="25"/>
  <c r="U55" i="25"/>
  <c r="U54" i="25"/>
  <c r="U53" i="25"/>
  <c r="U52" i="25"/>
  <c r="U51" i="25"/>
  <c r="U50" i="25"/>
  <c r="U49" i="25"/>
  <c r="U48" i="25"/>
  <c r="U47" i="25"/>
  <c r="U46" i="25"/>
  <c r="U45" i="25"/>
  <c r="U44" i="25"/>
  <c r="U43" i="25"/>
  <c r="U42" i="25"/>
  <c r="U41" i="25"/>
  <c r="U40" i="25"/>
  <c r="U39" i="25"/>
  <c r="U38" i="25"/>
  <c r="U37" i="25"/>
  <c r="U36" i="25"/>
  <c r="U35" i="25"/>
  <c r="U34" i="25"/>
  <c r="U33" i="25"/>
  <c r="U32" i="25"/>
  <c r="U31" i="25"/>
  <c r="U30" i="25"/>
  <c r="U29" i="25"/>
  <c r="U28" i="25"/>
  <c r="U27" i="25"/>
  <c r="U26" i="25"/>
  <c r="U25" i="25"/>
  <c r="U24" i="25"/>
  <c r="U23" i="25"/>
  <c r="U22" i="25"/>
  <c r="U21" i="25"/>
  <c r="U20" i="25"/>
  <c r="U19" i="25"/>
  <c r="U18" i="25"/>
  <c r="U17" i="25"/>
  <c r="U16" i="25"/>
  <c r="U15" i="25"/>
  <c r="U14" i="25"/>
  <c r="U13" i="25"/>
  <c r="U12" i="25"/>
  <c r="U11" i="25"/>
  <c r="U10" i="25"/>
  <c r="U9" i="25"/>
  <c r="U8" i="25"/>
  <c r="S135" i="25"/>
  <c r="S134" i="25"/>
  <c r="S133" i="25"/>
  <c r="S132" i="25"/>
  <c r="S131" i="25"/>
  <c r="S125" i="25"/>
  <c r="S124" i="25"/>
  <c r="S123" i="25"/>
  <c r="S122" i="25"/>
  <c r="S121" i="25"/>
  <c r="S120" i="25"/>
  <c r="S119" i="25"/>
  <c r="S118" i="25"/>
  <c r="S117" i="25"/>
  <c r="S116" i="25"/>
  <c r="S115" i="25"/>
  <c r="S114" i="25"/>
  <c r="S113" i="25"/>
  <c r="S112" i="25"/>
  <c r="S111" i="25"/>
  <c r="S110" i="25"/>
  <c r="S109" i="25"/>
  <c r="S108" i="25"/>
  <c r="S107" i="25"/>
  <c r="S106" i="25"/>
  <c r="S105" i="25"/>
  <c r="S104" i="25"/>
  <c r="S103" i="25"/>
  <c r="S102" i="25"/>
  <c r="S101" i="25"/>
  <c r="S100" i="25"/>
  <c r="S99" i="25"/>
  <c r="S98" i="25"/>
  <c r="S97" i="25"/>
  <c r="S96" i="25"/>
  <c r="S95" i="25"/>
  <c r="S93" i="25"/>
  <c r="S92" i="25"/>
  <c r="S91" i="25"/>
  <c r="S90" i="25"/>
  <c r="S89" i="25"/>
  <c r="S88" i="25"/>
  <c r="S87" i="25"/>
  <c r="S86" i="25"/>
  <c r="S85" i="25"/>
  <c r="S84" i="25"/>
  <c r="S83" i="25"/>
  <c r="S82" i="25"/>
  <c r="S81" i="25"/>
  <c r="S80" i="25"/>
  <c r="S79" i="25"/>
  <c r="S78" i="25"/>
  <c r="S77" i="25"/>
  <c r="S76" i="25"/>
  <c r="S75" i="25"/>
  <c r="S74" i="25"/>
  <c r="S73" i="25"/>
  <c r="S72" i="25"/>
  <c r="S71" i="25"/>
  <c r="S70" i="25"/>
  <c r="S69" i="25"/>
  <c r="S68" i="25"/>
  <c r="S67" i="25"/>
  <c r="S66" i="25"/>
  <c r="S65" i="25"/>
  <c r="S64" i="25"/>
  <c r="S63" i="25"/>
  <c r="S62" i="25"/>
  <c r="S61" i="25"/>
  <c r="S60" i="25"/>
  <c r="S59" i="25"/>
  <c r="S58" i="25"/>
  <c r="S57" i="25"/>
  <c r="S56" i="25"/>
  <c r="S55" i="25"/>
  <c r="S54" i="25"/>
  <c r="S53" i="25"/>
  <c r="S52" i="25"/>
  <c r="S51" i="25"/>
  <c r="S50" i="25"/>
  <c r="S49" i="25"/>
  <c r="S48" i="25"/>
  <c r="S47" i="25"/>
  <c r="S46" i="25"/>
  <c r="S45" i="25"/>
  <c r="S44" i="25"/>
  <c r="S43" i="25"/>
  <c r="S42" i="25"/>
  <c r="S41" i="25"/>
  <c r="S40" i="25"/>
  <c r="S39" i="25"/>
  <c r="S38" i="25"/>
  <c r="S37" i="25"/>
  <c r="S36" i="25"/>
  <c r="S35" i="25"/>
  <c r="S34" i="25"/>
  <c r="S33" i="25"/>
  <c r="S32" i="25"/>
  <c r="S31" i="25"/>
  <c r="S30" i="25"/>
  <c r="S29" i="25"/>
  <c r="S28" i="25"/>
  <c r="S27" i="25"/>
  <c r="S26" i="25"/>
  <c r="S25" i="25"/>
  <c r="S24" i="25"/>
  <c r="S23" i="25"/>
  <c r="S22" i="25"/>
  <c r="S21" i="25"/>
  <c r="S20" i="25"/>
  <c r="S19" i="25"/>
  <c r="S18" i="25"/>
  <c r="S17" i="25"/>
  <c r="S16" i="25"/>
  <c r="S15" i="25"/>
  <c r="S14" i="25"/>
  <c r="S13" i="25"/>
  <c r="S12" i="25"/>
  <c r="S11" i="25"/>
  <c r="S10" i="25"/>
  <c r="S9" i="25"/>
  <c r="S8" i="25"/>
  <c r="R135" i="25"/>
  <c r="R134" i="25"/>
  <c r="R133" i="25"/>
  <c r="R132" i="25"/>
  <c r="R131" i="25"/>
  <c r="R125" i="25"/>
  <c r="R124" i="25"/>
  <c r="R123" i="25"/>
  <c r="R122" i="25"/>
  <c r="R121" i="25"/>
  <c r="R120" i="25"/>
  <c r="R119" i="25"/>
  <c r="R118" i="25"/>
  <c r="R117" i="25"/>
  <c r="R116" i="25"/>
  <c r="R115" i="25"/>
  <c r="R114" i="25"/>
  <c r="R113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8" i="25"/>
  <c r="R97" i="25"/>
  <c r="R96" i="25"/>
  <c r="R95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R69" i="25"/>
  <c r="R68" i="25"/>
  <c r="R67" i="25"/>
  <c r="R66" i="25"/>
  <c r="R65" i="25"/>
  <c r="R64" i="25"/>
  <c r="R63" i="25"/>
  <c r="R62" i="25"/>
  <c r="R61" i="25"/>
  <c r="R60" i="25"/>
  <c r="R59" i="25"/>
  <c r="R58" i="25"/>
  <c r="R57" i="25"/>
  <c r="R56" i="25"/>
  <c r="R55" i="25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R39" i="25"/>
  <c r="R38" i="25"/>
  <c r="R37" i="25"/>
  <c r="R36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R8" i="25"/>
  <c r="Q135" i="25"/>
  <c r="P135" i="25"/>
  <c r="O135" i="25"/>
  <c r="N135" i="25"/>
  <c r="M135" i="25"/>
  <c r="L135" i="25"/>
  <c r="K135" i="25"/>
  <c r="J135" i="25"/>
  <c r="I135" i="25"/>
  <c r="H135" i="25"/>
  <c r="G135" i="25"/>
  <c r="F135" i="25"/>
  <c r="E135" i="25"/>
  <c r="Q134" i="25"/>
  <c r="P134" i="25"/>
  <c r="O134" i="25"/>
  <c r="N134" i="25"/>
  <c r="M134" i="25"/>
  <c r="L134" i="25"/>
  <c r="K134" i="25"/>
  <c r="J134" i="25"/>
  <c r="I134" i="25"/>
  <c r="H134" i="25"/>
  <c r="G134" i="25"/>
  <c r="F134" i="25"/>
  <c r="E134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N129" i="25"/>
  <c r="G128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Y79" i="26" s="1" a="1"/>
  <c r="Y79" i="26" s="1"/>
  <c r="E79" i="7" s="1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Q94" i="25"/>
  <c r="AK83" i="26" s="1" a="1"/>
  <c r="AK83" i="26" s="1"/>
  <c r="Q83" i="7" s="1"/>
  <c r="O94" i="25"/>
  <c r="AI83" i="26" s="1" a="1"/>
  <c r="AI83" i="26" s="1"/>
  <c r="O83" i="7" s="1"/>
  <c r="N94" i="25"/>
  <c r="AH83" i="26" s="1" a="1"/>
  <c r="AH83" i="26" s="1"/>
  <c r="N83" i="7" s="1"/>
  <c r="M94" i="25"/>
  <c r="AG83" i="26" s="1" a="1"/>
  <c r="AG83" i="26" s="1"/>
  <c r="M83" i="7" s="1"/>
  <c r="K94" i="25"/>
  <c r="AE83" i="26" s="1" a="1"/>
  <c r="AE83" i="26" s="1"/>
  <c r="K83" i="7" s="1"/>
  <c r="I94" i="25"/>
  <c r="AC83" i="26" s="1" a="1"/>
  <c r="AC83" i="26" s="1"/>
  <c r="I83" i="7" s="1"/>
  <c r="F94" i="25"/>
  <c r="Z83" i="26" s="1" a="1"/>
  <c r="Z83" i="26" s="1"/>
  <c r="F83" i="7" s="1"/>
  <c r="E94" i="25"/>
  <c r="Y83" i="26" s="1" a="1"/>
  <c r="Y83" i="26" s="1"/>
  <c r="E83" i="7" s="1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U7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31" i="25"/>
  <c r="D132" i="25"/>
  <c r="D133" i="25"/>
  <c r="D134" i="25"/>
  <c r="D135" i="25"/>
  <c r="AY3" i="7"/>
  <c r="BA3" i="7"/>
  <c r="BB3" i="7"/>
  <c r="BJ3" i="7"/>
  <c r="AY4" i="7"/>
  <c r="BA4" i="7"/>
  <c r="BB4" i="7"/>
  <c r="BJ4" i="7"/>
  <c r="AY5" i="7"/>
  <c r="BA5" i="7"/>
  <c r="BB5" i="7"/>
  <c r="BJ5" i="7"/>
  <c r="AY6" i="7"/>
  <c r="BA6" i="7"/>
  <c r="BB6" i="7"/>
  <c r="BJ6" i="7"/>
  <c r="AY7" i="7"/>
  <c r="BA7" i="7"/>
  <c r="BB7" i="7"/>
  <c r="BJ7" i="7"/>
  <c r="AY8" i="7"/>
  <c r="BA8" i="7"/>
  <c r="BB8" i="7"/>
  <c r="BJ8" i="7"/>
  <c r="AY9" i="7"/>
  <c r="BA9" i="7"/>
  <c r="BB9" i="7"/>
  <c r="BJ9" i="7"/>
  <c r="AY10" i="7"/>
  <c r="BA10" i="7"/>
  <c r="BB10" i="7"/>
  <c r="BJ10" i="7"/>
  <c r="AY11" i="7"/>
  <c r="BA11" i="7"/>
  <c r="BB11" i="7"/>
  <c r="BJ11" i="7"/>
  <c r="AY12" i="7"/>
  <c r="BA12" i="7"/>
  <c r="BB12" i="7"/>
  <c r="BJ12" i="7"/>
  <c r="AY13" i="7"/>
  <c r="BA13" i="7"/>
  <c r="BB13" i="7"/>
  <c r="BJ13" i="7"/>
  <c r="AY14" i="7"/>
  <c r="BA14" i="7"/>
  <c r="BB14" i="7"/>
  <c r="BJ14" i="7"/>
  <c r="AY15" i="7"/>
  <c r="BA15" i="7"/>
  <c r="BB15" i="7"/>
  <c r="BJ15" i="7"/>
  <c r="AY16" i="7"/>
  <c r="BA16" i="7"/>
  <c r="BB16" i="7"/>
  <c r="BJ16" i="7"/>
  <c r="AY17" i="7"/>
  <c r="BA17" i="7"/>
  <c r="BB17" i="7"/>
  <c r="BJ17" i="7"/>
  <c r="AY18" i="7"/>
  <c r="BA18" i="7"/>
  <c r="BB18" i="7"/>
  <c r="BJ18" i="7"/>
  <c r="AY19" i="7"/>
  <c r="BA19" i="7"/>
  <c r="BB19" i="7"/>
  <c r="BJ19" i="7"/>
  <c r="AY20" i="7"/>
  <c r="BA20" i="7"/>
  <c r="BB20" i="7"/>
  <c r="BJ20" i="7"/>
  <c r="AY21" i="7"/>
  <c r="BA21" i="7"/>
  <c r="BB21" i="7"/>
  <c r="BJ21" i="7"/>
  <c r="AY22" i="7"/>
  <c r="BA22" i="7"/>
  <c r="BB22" i="7"/>
  <c r="BJ22" i="7"/>
  <c r="AY23" i="7"/>
  <c r="BA23" i="7"/>
  <c r="BB23" i="7"/>
  <c r="BJ23" i="7"/>
  <c r="AY24" i="7"/>
  <c r="BA24" i="7"/>
  <c r="BB24" i="7"/>
  <c r="BJ24" i="7"/>
  <c r="AY25" i="7"/>
  <c r="BA25" i="7"/>
  <c r="BB25" i="7"/>
  <c r="BJ25" i="7"/>
  <c r="AY26" i="7"/>
  <c r="BA26" i="7"/>
  <c r="BB26" i="7"/>
  <c r="BJ26" i="7"/>
  <c r="AY27" i="7"/>
  <c r="BA27" i="7"/>
  <c r="BB27" i="7"/>
  <c r="BJ27" i="7"/>
  <c r="AY28" i="7"/>
  <c r="BA28" i="7"/>
  <c r="BB28" i="7"/>
  <c r="BJ28" i="7"/>
  <c r="AY29" i="7"/>
  <c r="BA29" i="7"/>
  <c r="BB29" i="7"/>
  <c r="BJ29" i="7"/>
  <c r="AY30" i="7"/>
  <c r="BA30" i="7"/>
  <c r="BB30" i="7"/>
  <c r="BJ30" i="7"/>
  <c r="AY31" i="7"/>
  <c r="BA31" i="7"/>
  <c r="BB31" i="7"/>
  <c r="BJ31" i="7"/>
  <c r="AY32" i="7"/>
  <c r="BA32" i="7"/>
  <c r="BB32" i="7"/>
  <c r="BJ32" i="7"/>
  <c r="AY33" i="7"/>
  <c r="BA33" i="7"/>
  <c r="BB33" i="7"/>
  <c r="BJ33" i="7"/>
  <c r="AY34" i="7"/>
  <c r="BA34" i="7"/>
  <c r="BB34" i="7"/>
  <c r="BJ34" i="7"/>
  <c r="AY35" i="7"/>
  <c r="BA35" i="7"/>
  <c r="BB35" i="7"/>
  <c r="BJ35" i="7"/>
  <c r="AY36" i="7"/>
  <c r="BA36" i="7"/>
  <c r="BB36" i="7"/>
  <c r="BJ36" i="7"/>
  <c r="AY37" i="7"/>
  <c r="BA37" i="7"/>
  <c r="BB37" i="7"/>
  <c r="BJ37" i="7"/>
  <c r="AY38" i="7"/>
  <c r="BA38" i="7"/>
  <c r="BB38" i="7"/>
  <c r="BJ38" i="7"/>
  <c r="AY39" i="7"/>
  <c r="BA39" i="7"/>
  <c r="BB39" i="7"/>
  <c r="BJ39" i="7"/>
  <c r="AY40" i="7"/>
  <c r="BA40" i="7"/>
  <c r="BB40" i="7"/>
  <c r="BJ40" i="7"/>
  <c r="AY41" i="7"/>
  <c r="BA41" i="7"/>
  <c r="BB41" i="7"/>
  <c r="BJ41" i="7"/>
  <c r="AY42" i="7"/>
  <c r="BA42" i="7"/>
  <c r="BB42" i="7"/>
  <c r="BJ42" i="7"/>
  <c r="AY43" i="7"/>
  <c r="BA43" i="7"/>
  <c r="BB43" i="7"/>
  <c r="BJ43" i="7"/>
  <c r="AY44" i="7"/>
  <c r="BA44" i="7"/>
  <c r="BB44" i="7"/>
  <c r="BJ44" i="7"/>
  <c r="AY45" i="7"/>
  <c r="BA45" i="7"/>
  <c r="BB45" i="7"/>
  <c r="BJ45" i="7"/>
  <c r="AY46" i="7"/>
  <c r="BA46" i="7"/>
  <c r="BB46" i="7"/>
  <c r="BJ46" i="7"/>
  <c r="AY47" i="7"/>
  <c r="BA47" i="7"/>
  <c r="BB47" i="7"/>
  <c r="BJ47" i="7"/>
  <c r="AY48" i="7"/>
  <c r="BA48" i="7"/>
  <c r="BB48" i="7"/>
  <c r="BJ48" i="7"/>
  <c r="AY49" i="7"/>
  <c r="BA49" i="7"/>
  <c r="BB49" i="7"/>
  <c r="BJ49" i="7"/>
  <c r="AY50" i="7"/>
  <c r="BA50" i="7"/>
  <c r="BB50" i="7"/>
  <c r="BJ50" i="7"/>
  <c r="AY51" i="7"/>
  <c r="BA51" i="7"/>
  <c r="BB51" i="7"/>
  <c r="BJ51" i="7"/>
  <c r="AY52" i="7"/>
  <c r="BA52" i="7"/>
  <c r="BB52" i="7"/>
  <c r="BJ52" i="7"/>
  <c r="AY53" i="7"/>
  <c r="BA53" i="7"/>
  <c r="BB53" i="7"/>
  <c r="BJ53" i="7"/>
  <c r="AY54" i="7"/>
  <c r="BA54" i="7"/>
  <c r="BB54" i="7"/>
  <c r="BJ54" i="7"/>
  <c r="AY55" i="7"/>
  <c r="BA55" i="7"/>
  <c r="BB55" i="7"/>
  <c r="BJ55" i="7"/>
  <c r="AY56" i="7"/>
  <c r="BA56" i="7"/>
  <c r="BB56" i="7"/>
  <c r="BJ56" i="7"/>
  <c r="AY57" i="7"/>
  <c r="BA57" i="7"/>
  <c r="BB57" i="7"/>
  <c r="BJ57" i="7"/>
  <c r="AY58" i="7"/>
  <c r="BA58" i="7"/>
  <c r="BB58" i="7"/>
  <c r="BJ58" i="7"/>
  <c r="AY59" i="7"/>
  <c r="BA59" i="7"/>
  <c r="BB59" i="7"/>
  <c r="BJ59" i="7"/>
  <c r="AY60" i="7"/>
  <c r="BA60" i="7"/>
  <c r="BB60" i="7"/>
  <c r="BJ60" i="7"/>
  <c r="AY61" i="7"/>
  <c r="BA61" i="7"/>
  <c r="BB61" i="7"/>
  <c r="BJ61" i="7"/>
  <c r="AY62" i="7"/>
  <c r="BA62" i="7"/>
  <c r="BB62" i="7"/>
  <c r="BJ62" i="7"/>
  <c r="AY63" i="7"/>
  <c r="BA63" i="7"/>
  <c r="BB63" i="7"/>
  <c r="BJ63" i="7"/>
  <c r="AY64" i="7"/>
  <c r="BA64" i="7"/>
  <c r="BB64" i="7"/>
  <c r="BJ64" i="7"/>
  <c r="AY65" i="7"/>
  <c r="BA65" i="7"/>
  <c r="BB65" i="7"/>
  <c r="BJ65" i="7"/>
  <c r="AY66" i="7"/>
  <c r="BA66" i="7"/>
  <c r="BB66" i="7"/>
  <c r="BJ66" i="7"/>
  <c r="AY67" i="7"/>
  <c r="BA67" i="7"/>
  <c r="BB67" i="7"/>
  <c r="BJ67" i="7"/>
  <c r="AY68" i="7"/>
  <c r="BA68" i="7"/>
  <c r="BB68" i="7"/>
  <c r="BJ68" i="7"/>
  <c r="AY69" i="7"/>
  <c r="BA69" i="7"/>
  <c r="BB69" i="7"/>
  <c r="BJ69" i="7"/>
  <c r="AY70" i="7"/>
  <c r="BA70" i="7"/>
  <c r="BB70" i="7"/>
  <c r="BJ70" i="7"/>
  <c r="AY71" i="7"/>
  <c r="BA71" i="7"/>
  <c r="BB71" i="7"/>
  <c r="BJ71" i="7"/>
  <c r="AY72" i="7"/>
  <c r="BA72" i="7"/>
  <c r="BB72" i="7"/>
  <c r="BJ72" i="7"/>
  <c r="AY73" i="7"/>
  <c r="BA73" i="7"/>
  <c r="BB73" i="7"/>
  <c r="BJ73" i="7"/>
  <c r="AY74" i="7"/>
  <c r="BA74" i="7"/>
  <c r="BB74" i="7"/>
  <c r="BJ74" i="7"/>
  <c r="AY75" i="7"/>
  <c r="BA75" i="7"/>
  <c r="BB75" i="7"/>
  <c r="BJ75" i="7"/>
  <c r="AY76" i="7"/>
  <c r="BA76" i="7"/>
  <c r="BB76" i="7"/>
  <c r="BJ76" i="7"/>
  <c r="AY77" i="7"/>
  <c r="BA77" i="7"/>
  <c r="BB77" i="7"/>
  <c r="BJ77" i="7"/>
  <c r="AY78" i="7"/>
  <c r="BA78" i="7"/>
  <c r="BB78" i="7"/>
  <c r="BJ78" i="7"/>
  <c r="AY79" i="7"/>
  <c r="BA79" i="7"/>
  <c r="BB79" i="7"/>
  <c r="BJ79" i="7"/>
  <c r="AY80" i="7"/>
  <c r="BA80" i="7"/>
  <c r="BB80" i="7"/>
  <c r="BJ80" i="7"/>
  <c r="AY81" i="7"/>
  <c r="BA81" i="7"/>
  <c r="BB81" i="7"/>
  <c r="BJ81" i="7"/>
  <c r="AY82" i="7"/>
  <c r="BA82" i="7"/>
  <c r="BB82" i="7"/>
  <c r="BJ82" i="7"/>
  <c r="AY83" i="7"/>
  <c r="BA83" i="7"/>
  <c r="BB83" i="7"/>
  <c r="BJ83" i="7"/>
  <c r="AY84" i="7"/>
  <c r="BA84" i="7"/>
  <c r="BB84" i="7"/>
  <c r="BJ84" i="7"/>
  <c r="AY85" i="7"/>
  <c r="BA85" i="7"/>
  <c r="BB85" i="7"/>
  <c r="BJ85" i="7"/>
  <c r="AY86" i="7"/>
  <c r="BA86" i="7"/>
  <c r="BB86" i="7"/>
  <c r="BJ86" i="7"/>
  <c r="AY87" i="7"/>
  <c r="BA87" i="7"/>
  <c r="BB87" i="7"/>
  <c r="BJ87" i="7"/>
  <c r="AY88" i="7"/>
  <c r="BA88" i="7"/>
  <c r="BB88" i="7"/>
  <c r="BJ88" i="7"/>
  <c r="AY89" i="7"/>
  <c r="BA89" i="7"/>
  <c r="BB89" i="7"/>
  <c r="BJ89" i="7"/>
  <c r="AY90" i="7"/>
  <c r="BA90" i="7"/>
  <c r="BB90" i="7"/>
  <c r="BJ90" i="7"/>
  <c r="AY91" i="7"/>
  <c r="BA91" i="7"/>
  <c r="BB91" i="7"/>
  <c r="BJ91" i="7"/>
  <c r="AY92" i="7"/>
  <c r="BA92" i="7"/>
  <c r="BB92" i="7"/>
  <c r="BJ92" i="7"/>
  <c r="AY93" i="7"/>
  <c r="BA93" i="7"/>
  <c r="BB93" i="7"/>
  <c r="BJ93" i="7"/>
  <c r="AY94" i="7"/>
  <c r="BA94" i="7"/>
  <c r="BB94" i="7"/>
  <c r="BJ94" i="7"/>
  <c r="AY95" i="7"/>
  <c r="BA95" i="7"/>
  <c r="BB95" i="7"/>
  <c r="BJ95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3" i="7"/>
  <c r="BZ83" i="26" a="1"/>
  <c r="BZ83" i="26" s="1"/>
  <c r="BF83" i="7" s="1"/>
  <c r="BX83" i="26" a="1"/>
  <c r="BX83" i="26" s="1"/>
  <c r="BD83" i="7" s="1"/>
  <c r="BT83" i="26" a="1"/>
  <c r="BT83" i="26" s="1"/>
  <c r="AZ83" i="7" s="1"/>
  <c r="AU83" i="26" a="1"/>
  <c r="AU83" i="26" s="1"/>
  <c r="AA83" i="7" s="1"/>
  <c r="BD83" i="26" a="1"/>
  <c r="BD83" i="26" s="1"/>
  <c r="AJ83" i="7" s="1"/>
  <c r="C137" i="23"/>
  <c r="C138" i="23"/>
  <c r="BM127" i="25" s="1"/>
  <c r="C139" i="23"/>
  <c r="BM128" i="25" s="1"/>
  <c r="C140" i="23"/>
  <c r="C141" i="23"/>
  <c r="BM130" i="25" s="1"/>
  <c r="C142" i="23"/>
  <c r="CG91" i="26" s="1" a="1"/>
  <c r="CG91" i="26" s="1"/>
  <c r="BM91" i="7" s="1"/>
  <c r="C143" i="23"/>
  <c r="C144" i="23"/>
  <c r="C145" i="23"/>
  <c r="CG93" i="26" s="1" a="1"/>
  <c r="CG93" i="26" s="1"/>
  <c r="BM93" i="7" s="1"/>
  <c r="C146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V79" i="26" s="1" a="1"/>
  <c r="AV79" i="26" s="1"/>
  <c r="AB79" i="7" s="1"/>
  <c r="AH134" i="23"/>
  <c r="AI134" i="23"/>
  <c r="AJ134" i="23"/>
  <c r="AK134" i="23"/>
  <c r="AL134" i="23"/>
  <c r="AM134" i="23"/>
  <c r="AN134" i="23"/>
  <c r="AO134" i="23"/>
  <c r="AP134" i="23"/>
  <c r="AQ134" i="23"/>
  <c r="AR134" i="23"/>
  <c r="AS134" i="23"/>
  <c r="AT134" i="23"/>
  <c r="AU134" i="23"/>
  <c r="AV134" i="23"/>
  <c r="AW134" i="23"/>
  <c r="AX134" i="23"/>
  <c r="AY134" i="23"/>
  <c r="CC79" i="26" s="1" a="1"/>
  <c r="CC79" i="26" s="1"/>
  <c r="BI79" i="7" s="1"/>
  <c r="AZ134" i="23"/>
  <c r="BA134" i="23"/>
  <c r="BZ79" i="26" s="1" a="1"/>
  <c r="BZ79" i="26" s="1"/>
  <c r="BF79" i="7" s="1"/>
  <c r="BB134" i="23"/>
  <c r="BC134" i="23"/>
  <c r="BD134" i="23"/>
  <c r="BE134" i="23"/>
  <c r="BF134" i="23"/>
  <c r="BG134" i="23"/>
  <c r="BH134" i="23"/>
  <c r="BI134" i="23"/>
  <c r="BJ134" i="23"/>
  <c r="BK134" i="23"/>
  <c r="BL134" i="23"/>
  <c r="BR79" i="26" s="1" a="1"/>
  <c r="BR79" i="26" s="1"/>
  <c r="AX79" i="7" s="1"/>
  <c r="BM134" i="23"/>
  <c r="BN134" i="23"/>
  <c r="BO134" i="23"/>
  <c r="BP134" i="23"/>
  <c r="BQ134" i="23"/>
  <c r="BR134" i="23"/>
  <c r="BS134" i="23"/>
  <c r="BT134" i="23"/>
  <c r="CF79" i="26" s="1" a="1"/>
  <c r="CF79" i="26" s="1"/>
  <c r="BL79" i="7" s="1"/>
  <c r="BU134" i="23"/>
  <c r="CH79" i="26" s="1" a="1"/>
  <c r="CH79" i="26" s="1"/>
  <c r="BN79" i="7" s="1"/>
  <c r="BV134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AH80" i="26" s="1" a="1"/>
  <c r="AH80" i="26" s="1"/>
  <c r="N80" i="7" s="1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AK135" i="23"/>
  <c r="AL135" i="23"/>
  <c r="AZ80" i="26" s="1" a="1"/>
  <c r="AZ80" i="26" s="1"/>
  <c r="AF80" i="7" s="1"/>
  <c r="AM135" i="23"/>
  <c r="AN135" i="23"/>
  <c r="AO135" i="23"/>
  <c r="AP135" i="23"/>
  <c r="AQ135" i="23"/>
  <c r="AR135" i="23"/>
  <c r="AS135" i="23"/>
  <c r="AT135" i="23"/>
  <c r="AU135" i="23"/>
  <c r="AV135" i="23"/>
  <c r="AW135" i="23"/>
  <c r="AX135" i="23"/>
  <c r="AY135" i="23"/>
  <c r="AZ135" i="23"/>
  <c r="BA135" i="23"/>
  <c r="BB135" i="23"/>
  <c r="CB80" i="26" s="1" a="1"/>
  <c r="CB80" i="26" s="1"/>
  <c r="BH80" i="7" s="1"/>
  <c r="BC135" i="23"/>
  <c r="BD135" i="23"/>
  <c r="BE135" i="23"/>
  <c r="BF135" i="23"/>
  <c r="BG135" i="23"/>
  <c r="BH135" i="23"/>
  <c r="BI135" i="23"/>
  <c r="BJ135" i="23"/>
  <c r="BK135" i="23"/>
  <c r="BL135" i="23"/>
  <c r="BM135" i="23"/>
  <c r="BN135" i="23"/>
  <c r="BO135" i="23"/>
  <c r="BP135" i="23"/>
  <c r="BQ135" i="23"/>
  <c r="BR135" i="23"/>
  <c r="BW80" i="26" s="1" a="1"/>
  <c r="BW80" i="26" s="1"/>
  <c r="BC80" i="7" s="1"/>
  <c r="BS135" i="23"/>
  <c r="CE80" i="26" s="1" a="1"/>
  <c r="CE80" i="26" s="1"/>
  <c r="BK80" i="7" s="1"/>
  <c r="BT135" i="23"/>
  <c r="CF80" i="26" s="1" a="1"/>
  <c r="CF80" i="26" s="1"/>
  <c r="BL80" i="7" s="1"/>
  <c r="BU135" i="23"/>
  <c r="CH80" i="26" s="1" a="1"/>
  <c r="CH80" i="26" s="1"/>
  <c r="BN80" i="7" s="1"/>
  <c r="BV135" i="23"/>
  <c r="D136" i="23"/>
  <c r="E136" i="23"/>
  <c r="F136" i="23"/>
  <c r="G136" i="23"/>
  <c r="H136" i="23"/>
  <c r="I136" i="23"/>
  <c r="J136" i="23"/>
  <c r="AD11" i="26" s="1" a="1"/>
  <c r="AD11" i="26" s="1"/>
  <c r="J11" i="7" s="1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P11" i="26" s="1" a="1"/>
  <c r="AP11" i="26" s="1"/>
  <c r="V11" i="7" s="1"/>
  <c r="AB136" i="23"/>
  <c r="AC136" i="23"/>
  <c r="AD136" i="23"/>
  <c r="AE136" i="23"/>
  <c r="AT11" i="26" s="1" a="1"/>
  <c r="AT11" i="26" s="1"/>
  <c r="Z11" i="7" s="1"/>
  <c r="AF136" i="23"/>
  <c r="AG136" i="23"/>
  <c r="AH136" i="23"/>
  <c r="AI136" i="23"/>
  <c r="AX11" i="26" s="1" a="1"/>
  <c r="AX11" i="26" s="1"/>
  <c r="AD11" i="7" s="1"/>
  <c r="AJ136" i="23"/>
  <c r="AK136" i="23"/>
  <c r="AL136" i="23"/>
  <c r="AM136" i="23"/>
  <c r="BA11" i="26" s="1" a="1"/>
  <c r="BA11" i="26" s="1"/>
  <c r="AG11" i="7" s="1"/>
  <c r="AN136" i="23"/>
  <c r="AO136" i="23"/>
  <c r="AP136" i="23"/>
  <c r="AQ136" i="23"/>
  <c r="BF11" i="26" s="1" a="1"/>
  <c r="BF11" i="26" s="1"/>
  <c r="AL11" i="7" s="1"/>
  <c r="AR136" i="23"/>
  <c r="AS136" i="23"/>
  <c r="AT136" i="23"/>
  <c r="AU136" i="23"/>
  <c r="BJ11" i="26" s="1" a="1"/>
  <c r="BJ11" i="26" s="1"/>
  <c r="AP11" i="7" s="1"/>
  <c r="AV136" i="23"/>
  <c r="AW136" i="23"/>
  <c r="BX11" i="26" s="1" a="1"/>
  <c r="BX11" i="26" s="1"/>
  <c r="BD11" i="7" s="1"/>
  <c r="AX136" i="23"/>
  <c r="BY11" i="26" s="1" a="1"/>
  <c r="BY11" i="26" s="1"/>
  <c r="BE11" i="7" s="1"/>
  <c r="AY136" i="23"/>
  <c r="CC11" i="26" s="1" a="1"/>
  <c r="CC11" i="26" s="1"/>
  <c r="BI11" i="7" s="1"/>
  <c r="AZ136" i="23"/>
  <c r="BA136" i="23"/>
  <c r="BB136" i="23"/>
  <c r="BC136" i="23"/>
  <c r="BD136" i="23"/>
  <c r="BN11" i="26" s="1" a="1"/>
  <c r="BN11" i="26" s="1"/>
  <c r="AT11" i="7" s="1"/>
  <c r="BE136" i="23"/>
  <c r="BF136" i="23"/>
  <c r="BG136" i="23"/>
  <c r="BH136" i="23"/>
  <c r="BI136" i="23"/>
  <c r="BJ136" i="23"/>
  <c r="BK136" i="23"/>
  <c r="BL136" i="23"/>
  <c r="BM136" i="23"/>
  <c r="BN136" i="23"/>
  <c r="BO136" i="23"/>
  <c r="BP136" i="23"/>
  <c r="BQ136" i="23"/>
  <c r="BR136" i="23"/>
  <c r="BS136" i="23"/>
  <c r="CE11" i="26" s="1" a="1"/>
  <c r="CE11" i="26" s="1"/>
  <c r="BK11" i="7" s="1"/>
  <c r="BT136" i="23"/>
  <c r="CF11" i="26" s="1" a="1"/>
  <c r="CF11" i="26" s="1"/>
  <c r="BL11" i="7" s="1"/>
  <c r="BU136" i="23"/>
  <c r="CH11" i="26" s="1" a="1"/>
  <c r="CH11" i="26" s="1"/>
  <c r="BN11" i="7" s="1"/>
  <c r="BV136" i="23"/>
  <c r="D137" i="23"/>
  <c r="E137" i="23"/>
  <c r="D126" i="25" s="1"/>
  <c r="F137" i="23"/>
  <c r="E126" i="25" s="1"/>
  <c r="G137" i="23"/>
  <c r="F126" i="25" s="1"/>
  <c r="H137" i="23"/>
  <c r="G126" i="25" s="1"/>
  <c r="I137" i="23"/>
  <c r="H126" i="25" s="1"/>
  <c r="J137" i="23"/>
  <c r="J126" i="25" s="1"/>
  <c r="K137" i="23"/>
  <c r="K126" i="25" s="1"/>
  <c r="L137" i="23"/>
  <c r="I126" i="25" s="1"/>
  <c r="M137" i="23"/>
  <c r="M126" i="25" s="1"/>
  <c r="N137" i="23"/>
  <c r="L126" i="25" s="1"/>
  <c r="O137" i="23"/>
  <c r="P137" i="23"/>
  <c r="O126" i="25" s="1"/>
  <c r="Q137" i="23"/>
  <c r="N126" i="25" s="1"/>
  <c r="R137" i="23"/>
  <c r="P126" i="25" s="1"/>
  <c r="S137" i="23"/>
  <c r="Q126" i="25" s="1"/>
  <c r="T137" i="23"/>
  <c r="U137" i="23"/>
  <c r="V137" i="23"/>
  <c r="W137" i="23"/>
  <c r="X137" i="23"/>
  <c r="S126" i="25" s="1"/>
  <c r="Y137" i="23"/>
  <c r="Z137" i="23"/>
  <c r="AA137" i="23"/>
  <c r="V126" i="25" s="1"/>
  <c r="AB137" i="23"/>
  <c r="W126" i="25" s="1"/>
  <c r="AC137" i="23"/>
  <c r="X126" i="25" s="1"/>
  <c r="AD137" i="23"/>
  <c r="AE137" i="23"/>
  <c r="Z126" i="25" s="1"/>
  <c r="AF137" i="23"/>
  <c r="AA126" i="25" s="1"/>
  <c r="AG137" i="23"/>
  <c r="AB126" i="25" s="1"/>
  <c r="AH137" i="23"/>
  <c r="AJ126" i="25" s="1"/>
  <c r="AI137" i="23"/>
  <c r="AD126" i="25" s="1"/>
  <c r="AJ137" i="23"/>
  <c r="AC126" i="25" s="1"/>
  <c r="AK137" i="23"/>
  <c r="AE126" i="25" s="1"/>
  <c r="AL137" i="23"/>
  <c r="AF126" i="25" s="1"/>
  <c r="AM137" i="23"/>
  <c r="AG126" i="25" s="1"/>
  <c r="AN137" i="23"/>
  <c r="AH126" i="25" s="1"/>
  <c r="AO137" i="23"/>
  <c r="AI126" i="25" s="1"/>
  <c r="AP137" i="23"/>
  <c r="AK126" i="25" s="1"/>
  <c r="AQ137" i="23"/>
  <c r="AL126" i="25" s="1"/>
  <c r="AR137" i="23"/>
  <c r="AN126" i="25" s="1"/>
  <c r="AS137" i="23"/>
  <c r="AO126" i="25" s="1"/>
  <c r="AT137" i="23"/>
  <c r="AM126" i="25" s="1"/>
  <c r="AU137" i="23"/>
  <c r="AV137" i="23"/>
  <c r="AW137" i="23"/>
  <c r="BD126" i="25" s="1"/>
  <c r="AX137" i="23"/>
  <c r="AY137" i="23"/>
  <c r="BI126" i="25" s="1"/>
  <c r="AZ137" i="23"/>
  <c r="BA137" i="23"/>
  <c r="BF126" i="25" s="1"/>
  <c r="BB137" i="23"/>
  <c r="BH126" i="25" s="1"/>
  <c r="BC137" i="23"/>
  <c r="BD137" i="23"/>
  <c r="AT126" i="25" s="1"/>
  <c r="BE137" i="23"/>
  <c r="AZ126" i="25" s="1"/>
  <c r="BF137" i="23"/>
  <c r="BG137" i="23"/>
  <c r="AV126" i="25" s="1"/>
  <c r="BH137" i="23"/>
  <c r="BI137" i="23"/>
  <c r="BJ137" i="23"/>
  <c r="BK137" i="23"/>
  <c r="BL137" i="23"/>
  <c r="BM137" i="23"/>
  <c r="AU126" i="25" s="1"/>
  <c r="BN137" i="23"/>
  <c r="AQ126" i="25" s="1"/>
  <c r="BO137" i="23"/>
  <c r="BP137" i="23"/>
  <c r="AS126" i="25" s="1"/>
  <c r="BQ137" i="23"/>
  <c r="BR137" i="23"/>
  <c r="BS137" i="23"/>
  <c r="BK126" i="25" s="1"/>
  <c r="BT137" i="23"/>
  <c r="BU137" i="23"/>
  <c r="BN126" i="25" s="1"/>
  <c r="BV137" i="23"/>
  <c r="D138" i="23"/>
  <c r="E138" i="23"/>
  <c r="D127" i="25" s="1"/>
  <c r="F138" i="23"/>
  <c r="E127" i="25" s="1"/>
  <c r="G138" i="23"/>
  <c r="F127" i="25" s="1"/>
  <c r="H138" i="23"/>
  <c r="G127" i="25" s="1"/>
  <c r="I138" i="23"/>
  <c r="H127" i="25" s="1"/>
  <c r="J138" i="23"/>
  <c r="J127" i="25" s="1"/>
  <c r="K138" i="23"/>
  <c r="K127" i="25" s="1"/>
  <c r="L138" i="23"/>
  <c r="I127" i="25" s="1"/>
  <c r="M138" i="23"/>
  <c r="M127" i="25" s="1"/>
  <c r="N138" i="23"/>
  <c r="L127" i="25" s="1"/>
  <c r="O138" i="23"/>
  <c r="P138" i="23"/>
  <c r="O127" i="25" s="1"/>
  <c r="Q138" i="23"/>
  <c r="N127" i="25" s="1"/>
  <c r="R138" i="23"/>
  <c r="P127" i="25" s="1"/>
  <c r="S138" i="23"/>
  <c r="Q127" i="25" s="1"/>
  <c r="T138" i="23"/>
  <c r="U138" i="23"/>
  <c r="V138" i="23"/>
  <c r="W138" i="23"/>
  <c r="X138" i="23"/>
  <c r="S127" i="25" s="1"/>
  <c r="Y138" i="23"/>
  <c r="Z138" i="23"/>
  <c r="U127" i="25" s="1"/>
  <c r="AA138" i="23"/>
  <c r="V127" i="25" s="1"/>
  <c r="AB138" i="23"/>
  <c r="W127" i="25" s="1"/>
  <c r="AC138" i="23"/>
  <c r="X127" i="25" s="1"/>
  <c r="AD138" i="23"/>
  <c r="Y127" i="25" s="1"/>
  <c r="AE138" i="23"/>
  <c r="Z127" i="25" s="1"/>
  <c r="AF138" i="23"/>
  <c r="AA127" i="25" s="1"/>
  <c r="AG138" i="23"/>
  <c r="AB127" i="25" s="1"/>
  <c r="AH138" i="23"/>
  <c r="AJ127" i="25" s="1"/>
  <c r="AI138" i="23"/>
  <c r="AD127" i="25" s="1"/>
  <c r="AJ138" i="23"/>
  <c r="AC127" i="25" s="1"/>
  <c r="AK138" i="23"/>
  <c r="AE127" i="25" s="1"/>
  <c r="AL138" i="23"/>
  <c r="AF127" i="25" s="1"/>
  <c r="AM138" i="23"/>
  <c r="AG127" i="25" s="1"/>
  <c r="AN138" i="23"/>
  <c r="AO138" i="23"/>
  <c r="AI127" i="25" s="1"/>
  <c r="AP138" i="23"/>
  <c r="AK127" i="25" s="1"/>
  <c r="AQ138" i="23"/>
  <c r="AL127" i="25" s="1"/>
  <c r="AR138" i="23"/>
  <c r="AS138" i="23"/>
  <c r="AO127" i="25" s="1"/>
  <c r="AT138" i="23"/>
  <c r="AM127" i="25" s="1"/>
  <c r="AU138" i="23"/>
  <c r="AV138" i="23"/>
  <c r="AW138" i="23"/>
  <c r="AX138" i="23"/>
  <c r="BE127" i="25" s="1"/>
  <c r="AY138" i="23"/>
  <c r="AZ138" i="23"/>
  <c r="BA138" i="23"/>
  <c r="BB138" i="23"/>
  <c r="BH127" i="25" s="1"/>
  <c r="BC138" i="23"/>
  <c r="BD138" i="23"/>
  <c r="AT127" i="25" s="1"/>
  <c r="BE138" i="23"/>
  <c r="BF138" i="23"/>
  <c r="BG138" i="23"/>
  <c r="BH138" i="23"/>
  <c r="BI138" i="23"/>
  <c r="BJ138" i="23"/>
  <c r="BK138" i="23"/>
  <c r="BL138" i="23"/>
  <c r="BM138" i="23"/>
  <c r="AU127" i="25" s="1"/>
  <c r="BN138" i="23"/>
  <c r="AQ127" i="25" s="1"/>
  <c r="BO138" i="23"/>
  <c r="AR127" i="25" s="1"/>
  <c r="BP138" i="23"/>
  <c r="AS127" i="25" s="1"/>
  <c r="BQ138" i="23"/>
  <c r="BR138" i="23"/>
  <c r="BS138" i="23"/>
  <c r="BT138" i="23"/>
  <c r="BU138" i="23"/>
  <c r="BV138" i="23"/>
  <c r="D139" i="23"/>
  <c r="E139" i="23"/>
  <c r="D128" i="25" s="1"/>
  <c r="F139" i="23"/>
  <c r="E128" i="25" s="1"/>
  <c r="G139" i="23"/>
  <c r="F128" i="25" s="1"/>
  <c r="H139" i="23"/>
  <c r="I139" i="23"/>
  <c r="H128" i="25" s="1"/>
  <c r="J139" i="23"/>
  <c r="J128" i="25" s="1"/>
  <c r="K139" i="23"/>
  <c r="K128" i="25" s="1"/>
  <c r="L139" i="23"/>
  <c r="I128" i="25" s="1"/>
  <c r="M139" i="23"/>
  <c r="M128" i="25" s="1"/>
  <c r="N139" i="23"/>
  <c r="L128" i="25" s="1"/>
  <c r="O139" i="23"/>
  <c r="P139" i="23"/>
  <c r="O128" i="25" s="1"/>
  <c r="Q139" i="23"/>
  <c r="N128" i="25" s="1"/>
  <c r="R139" i="23"/>
  <c r="P128" i="25" s="1"/>
  <c r="S139" i="23"/>
  <c r="Q128" i="25" s="1"/>
  <c r="T139" i="23"/>
  <c r="U139" i="23"/>
  <c r="V139" i="23"/>
  <c r="W139" i="23"/>
  <c r="X139" i="23"/>
  <c r="S128" i="25" s="1"/>
  <c r="Y139" i="23"/>
  <c r="Z139" i="23"/>
  <c r="U128" i="25" s="1"/>
  <c r="AA139" i="23"/>
  <c r="V128" i="25" s="1"/>
  <c r="AB139" i="23"/>
  <c r="AC139" i="23"/>
  <c r="AD139" i="23"/>
  <c r="Y128" i="25" s="1"/>
  <c r="AE139" i="23"/>
  <c r="Z128" i="25" s="1"/>
  <c r="AF139" i="23"/>
  <c r="AA128" i="25" s="1"/>
  <c r="AG139" i="23"/>
  <c r="AB128" i="25" s="1"/>
  <c r="AH139" i="23"/>
  <c r="AI139" i="23"/>
  <c r="AD128" i="25" s="1"/>
  <c r="AJ139" i="23"/>
  <c r="AC128" i="25" s="1"/>
  <c r="AK139" i="23"/>
  <c r="AL139" i="23"/>
  <c r="AM139" i="23"/>
  <c r="AG128" i="25" s="1"/>
  <c r="AN139" i="23"/>
  <c r="AH128" i="25" s="1"/>
  <c r="AO139" i="23"/>
  <c r="AI128" i="25" s="1"/>
  <c r="AP139" i="23"/>
  <c r="AK128" i="25" s="1"/>
  <c r="AQ139" i="23"/>
  <c r="AL128" i="25" s="1"/>
  <c r="AR139" i="23"/>
  <c r="AS139" i="23"/>
  <c r="AO128" i="25" s="1"/>
  <c r="AT139" i="23"/>
  <c r="AM128" i="25" s="1"/>
  <c r="AU139" i="23"/>
  <c r="AP128" i="25" s="1"/>
  <c r="AV139" i="23"/>
  <c r="AW139" i="23"/>
  <c r="BD128" i="25" s="1"/>
  <c r="AX139" i="23"/>
  <c r="AY139" i="23"/>
  <c r="BI128" i="25" s="1"/>
  <c r="AZ139" i="23"/>
  <c r="BG128" i="25" s="1"/>
  <c r="BA139" i="23"/>
  <c r="BF128" i="25" s="1"/>
  <c r="BB139" i="23"/>
  <c r="BC139" i="23"/>
  <c r="BD139" i="23"/>
  <c r="AT128" i="25" s="1"/>
  <c r="BE139" i="23"/>
  <c r="BF139" i="23"/>
  <c r="BG139" i="23"/>
  <c r="AV128" i="25" s="1"/>
  <c r="BH139" i="23"/>
  <c r="BI139" i="23"/>
  <c r="AW128" i="25" s="1"/>
  <c r="BJ139" i="23"/>
  <c r="BK139" i="23"/>
  <c r="BL139" i="23"/>
  <c r="BM139" i="23"/>
  <c r="AU128" i="25" s="1"/>
  <c r="BN139" i="23"/>
  <c r="BO139" i="23"/>
  <c r="AR128" i="25" s="1"/>
  <c r="BP139" i="23"/>
  <c r="AS128" i="25" s="1"/>
  <c r="BQ139" i="23"/>
  <c r="BR139" i="23"/>
  <c r="BS139" i="23"/>
  <c r="BT139" i="23"/>
  <c r="BL128" i="25" s="1"/>
  <c r="BU139" i="23"/>
  <c r="BV139" i="23"/>
  <c r="D140" i="23"/>
  <c r="E140" i="23"/>
  <c r="D129" i="25" s="1"/>
  <c r="F140" i="23"/>
  <c r="G140" i="23"/>
  <c r="H140" i="23"/>
  <c r="G129" i="25" s="1"/>
  <c r="I140" i="23"/>
  <c r="H129" i="25" s="1"/>
  <c r="J140" i="23"/>
  <c r="J129" i="25" s="1"/>
  <c r="K140" i="23"/>
  <c r="K129" i="25" s="1"/>
  <c r="L140" i="23"/>
  <c r="I129" i="25" s="1"/>
  <c r="M140" i="23"/>
  <c r="M129" i="25" s="1"/>
  <c r="N140" i="23"/>
  <c r="L129" i="25" s="1"/>
  <c r="O140" i="23"/>
  <c r="P140" i="23"/>
  <c r="O129" i="25" s="1"/>
  <c r="Q140" i="23"/>
  <c r="R140" i="23"/>
  <c r="P129" i="25" s="1"/>
  <c r="S140" i="23"/>
  <c r="Q129" i="25" s="1"/>
  <c r="T140" i="23"/>
  <c r="U140" i="23"/>
  <c r="V140" i="23"/>
  <c r="W140" i="23"/>
  <c r="X140" i="23"/>
  <c r="S129" i="25" s="1"/>
  <c r="Y140" i="23"/>
  <c r="Z140" i="23"/>
  <c r="U129" i="25" s="1"/>
  <c r="AA140" i="23"/>
  <c r="AB140" i="23"/>
  <c r="W129" i="25" s="1"/>
  <c r="AC140" i="23"/>
  <c r="AD140" i="23"/>
  <c r="Y129" i="25" s="1"/>
  <c r="AE140" i="23"/>
  <c r="Z129" i="25" s="1"/>
  <c r="AF140" i="23"/>
  <c r="AA129" i="25" s="1"/>
  <c r="AG140" i="23"/>
  <c r="AB129" i="25" s="1"/>
  <c r="AH140" i="23"/>
  <c r="AJ129" i="25" s="1"/>
  <c r="AI140" i="23"/>
  <c r="AJ140" i="23"/>
  <c r="AC129" i="25" s="1"/>
  <c r="AK140" i="23"/>
  <c r="AE129" i="25" s="1"/>
  <c r="AL140" i="23"/>
  <c r="AM140" i="23"/>
  <c r="AN140" i="23"/>
  <c r="AH129" i="25" s="1"/>
  <c r="AO140" i="23"/>
  <c r="AP140" i="23"/>
  <c r="AK129" i="25" s="1"/>
  <c r="AQ140" i="23"/>
  <c r="AR140" i="23"/>
  <c r="AN129" i="25" s="1"/>
  <c r="AS140" i="23"/>
  <c r="AO129" i="25" s="1"/>
  <c r="AT140" i="23"/>
  <c r="AM129" i="25" s="1"/>
  <c r="AU140" i="23"/>
  <c r="AP129" i="25" s="1"/>
  <c r="AV140" i="23"/>
  <c r="AW140" i="23"/>
  <c r="BD129" i="25" s="1"/>
  <c r="AX140" i="23"/>
  <c r="AY140" i="23"/>
  <c r="AZ140" i="23"/>
  <c r="BA140" i="23"/>
  <c r="BB140" i="23"/>
  <c r="BH129" i="25" s="1"/>
  <c r="BC140" i="23"/>
  <c r="BD140" i="23"/>
  <c r="AT129" i="25" s="1"/>
  <c r="BE140" i="23"/>
  <c r="AZ129" i="25" s="1"/>
  <c r="BF140" i="23"/>
  <c r="BG140" i="23"/>
  <c r="AV129" i="25" s="1"/>
  <c r="BH140" i="23"/>
  <c r="BI140" i="23"/>
  <c r="BJ140" i="23"/>
  <c r="BK140" i="23"/>
  <c r="BL140" i="23"/>
  <c r="AX129" i="25" s="1"/>
  <c r="BM140" i="23"/>
  <c r="AU129" i="25" s="1"/>
  <c r="BN140" i="23"/>
  <c r="AQ129" i="25" s="1"/>
  <c r="BO140" i="23"/>
  <c r="AR129" i="25" s="1"/>
  <c r="BP140" i="23"/>
  <c r="AS129" i="25" s="1"/>
  <c r="BQ140" i="23"/>
  <c r="BR140" i="23"/>
  <c r="BS140" i="23"/>
  <c r="BK129" i="25" s="1"/>
  <c r="BT140" i="23"/>
  <c r="BL129" i="25" s="1"/>
  <c r="BU140" i="23"/>
  <c r="BV140" i="23"/>
  <c r="D141" i="23"/>
  <c r="E141" i="23"/>
  <c r="D130" i="25" s="1"/>
  <c r="F141" i="23"/>
  <c r="E130" i="25" s="1"/>
  <c r="G141" i="23"/>
  <c r="F130" i="25" s="1"/>
  <c r="H141" i="23"/>
  <c r="G130" i="25" s="1"/>
  <c r="I141" i="23"/>
  <c r="H130" i="25" s="1"/>
  <c r="J141" i="23"/>
  <c r="J130" i="25" s="1"/>
  <c r="K141" i="23"/>
  <c r="K130" i="25" s="1"/>
  <c r="L141" i="23"/>
  <c r="M141" i="23"/>
  <c r="M130" i="25" s="1"/>
  <c r="N141" i="23"/>
  <c r="L130" i="25" s="1"/>
  <c r="O141" i="23"/>
  <c r="P141" i="23"/>
  <c r="O130" i="25" s="1"/>
  <c r="Q141" i="23"/>
  <c r="N130" i="25" s="1"/>
  <c r="R141" i="23"/>
  <c r="P130" i="25" s="1"/>
  <c r="S141" i="23"/>
  <c r="Q130" i="25" s="1"/>
  <c r="T141" i="23"/>
  <c r="U141" i="23"/>
  <c r="V141" i="23"/>
  <c r="W141" i="23"/>
  <c r="X141" i="23"/>
  <c r="S130" i="25" s="1"/>
  <c r="Y141" i="23"/>
  <c r="Z141" i="23"/>
  <c r="U130" i="25" s="1"/>
  <c r="AA141" i="23"/>
  <c r="V130" i="25" s="1"/>
  <c r="AB141" i="23"/>
  <c r="AC141" i="23"/>
  <c r="X130" i="25" s="1"/>
  <c r="AD141" i="23"/>
  <c r="Y130" i="25" s="1"/>
  <c r="AE141" i="23"/>
  <c r="AF141" i="23"/>
  <c r="AA130" i="25" s="1"/>
  <c r="AG141" i="23"/>
  <c r="AB130" i="25" s="1"/>
  <c r="AH141" i="23"/>
  <c r="AJ130" i="25" s="1"/>
  <c r="AI141" i="23"/>
  <c r="AD130" i="25" s="1"/>
  <c r="AJ141" i="23"/>
  <c r="AC130" i="25" s="1"/>
  <c r="AK141" i="23"/>
  <c r="AE130" i="25" s="1"/>
  <c r="AL141" i="23"/>
  <c r="AM141" i="23"/>
  <c r="AG130" i="25" s="1"/>
  <c r="AN141" i="23"/>
  <c r="AO141" i="23"/>
  <c r="AI130" i="25" s="1"/>
  <c r="AP141" i="23"/>
  <c r="AK130" i="25" s="1"/>
  <c r="AQ141" i="23"/>
  <c r="AL130" i="25" s="1"/>
  <c r="AR141" i="23"/>
  <c r="AS141" i="23"/>
  <c r="AT141" i="23"/>
  <c r="AM130" i="25" s="1"/>
  <c r="AU141" i="23"/>
  <c r="AV141" i="23"/>
  <c r="AW141" i="23"/>
  <c r="BD130" i="25" s="1"/>
  <c r="AX141" i="23"/>
  <c r="BE130" i="25" s="1"/>
  <c r="AY141" i="23"/>
  <c r="AZ141" i="23"/>
  <c r="BA141" i="23"/>
  <c r="BF130" i="25" s="1"/>
  <c r="BB141" i="23"/>
  <c r="BC141" i="23"/>
  <c r="BD141" i="23"/>
  <c r="BE141" i="23"/>
  <c r="AZ130" i="25" s="1"/>
  <c r="BF141" i="23"/>
  <c r="BG141" i="23"/>
  <c r="AV130" i="25" s="1"/>
  <c r="BH141" i="23"/>
  <c r="BI141" i="23"/>
  <c r="AW130" i="25" s="1"/>
  <c r="BJ141" i="23"/>
  <c r="BK141" i="23"/>
  <c r="BL141" i="23"/>
  <c r="BM141" i="23"/>
  <c r="BN141" i="23"/>
  <c r="AQ130" i="25" s="1"/>
  <c r="BO141" i="23"/>
  <c r="BP141" i="23"/>
  <c r="AS130" i="25" s="1"/>
  <c r="BQ141" i="23"/>
  <c r="BR141" i="23"/>
  <c r="BS141" i="23"/>
  <c r="BK130" i="25" s="1"/>
  <c r="BT141" i="23"/>
  <c r="BU141" i="23"/>
  <c r="BV141" i="23"/>
  <c r="D142" i="23"/>
  <c r="E142" i="23"/>
  <c r="F142" i="23"/>
  <c r="G142" i="23"/>
  <c r="H142" i="23"/>
  <c r="I142" i="23"/>
  <c r="J142" i="23"/>
  <c r="K142" i="23"/>
  <c r="L142" i="23"/>
  <c r="M142" i="23"/>
  <c r="N142" i="23"/>
  <c r="O142" i="23"/>
  <c r="P142" i="23"/>
  <c r="Q142" i="23"/>
  <c r="R142" i="23"/>
  <c r="S142" i="23"/>
  <c r="T142" i="23"/>
  <c r="U142" i="23"/>
  <c r="V142" i="23"/>
  <c r="W142" i="23"/>
  <c r="X142" i="23"/>
  <c r="Y142" i="23"/>
  <c r="Z142" i="23"/>
  <c r="AA142" i="23"/>
  <c r="AB142" i="23"/>
  <c r="AC142" i="23"/>
  <c r="AD142" i="23"/>
  <c r="AE142" i="23"/>
  <c r="AT91" i="26" s="1" a="1"/>
  <c r="AT91" i="26" s="1"/>
  <c r="Z91" i="7" s="1"/>
  <c r="AF142" i="23"/>
  <c r="AG142" i="23"/>
  <c r="AV91" i="26" s="1" a="1"/>
  <c r="AV91" i="26" s="1"/>
  <c r="AB91" i="7" s="1"/>
  <c r="AH142" i="23"/>
  <c r="AI142" i="23"/>
  <c r="AJ142" i="23"/>
  <c r="AW91" i="26" s="1" a="1"/>
  <c r="AW91" i="26" s="1"/>
  <c r="AC91" i="7" s="1"/>
  <c r="AK142" i="23"/>
  <c r="AY91" i="26" s="1" a="1"/>
  <c r="AY91" i="26" s="1"/>
  <c r="AE91" i="7" s="1"/>
  <c r="AL142" i="23"/>
  <c r="AM142" i="23"/>
  <c r="BA91" i="26" s="1" a="1"/>
  <c r="BA91" i="26" s="1"/>
  <c r="AG91" i="7" s="1"/>
  <c r="AN142" i="23"/>
  <c r="BB91" i="26" s="1" a="1"/>
  <c r="BB91" i="26" s="1"/>
  <c r="AH91" i="7" s="1"/>
  <c r="AO142" i="23"/>
  <c r="AP142" i="23"/>
  <c r="BE91" i="26" s="1" a="1"/>
  <c r="BE91" i="26" s="1"/>
  <c r="AK91" i="7" s="1"/>
  <c r="AQ142" i="23"/>
  <c r="AR142" i="23"/>
  <c r="AS142" i="23"/>
  <c r="AT142" i="23"/>
  <c r="BG91" i="26" s="1" a="1"/>
  <c r="BG91" i="26" s="1"/>
  <c r="AM91" i="7" s="1"/>
  <c r="AU142" i="23"/>
  <c r="BJ91" i="26" s="1" a="1"/>
  <c r="BJ91" i="26" s="1"/>
  <c r="AP91" i="7" s="1"/>
  <c r="AV142" i="23"/>
  <c r="AW142" i="23"/>
  <c r="BX91" i="26" s="1" a="1"/>
  <c r="BX91" i="26" s="1"/>
  <c r="BD91" i="7" s="1"/>
  <c r="AX142" i="23"/>
  <c r="AY142" i="23"/>
  <c r="AZ142" i="23"/>
  <c r="BA142" i="23"/>
  <c r="BZ91" i="26" s="1" a="1"/>
  <c r="BZ91" i="26" s="1"/>
  <c r="BF91" i="7" s="1"/>
  <c r="BB142" i="23"/>
  <c r="BC142" i="23"/>
  <c r="BD142" i="23"/>
  <c r="BE142" i="23"/>
  <c r="BT91" i="26" s="1" a="1"/>
  <c r="BT91" i="26" s="1"/>
  <c r="AZ91" i="7" s="1"/>
  <c r="BF142" i="23"/>
  <c r="BG142" i="23"/>
  <c r="BH142" i="23"/>
  <c r="BI142" i="23"/>
  <c r="BJ142" i="23"/>
  <c r="BK142" i="23"/>
  <c r="BL142" i="23"/>
  <c r="BR91" i="26" s="1" a="1"/>
  <c r="BR91" i="26" s="1"/>
  <c r="AX91" i="7" s="1"/>
  <c r="BM142" i="23"/>
  <c r="BN142" i="23"/>
  <c r="BO142" i="23"/>
  <c r="BP142" i="23"/>
  <c r="BM91" i="26" s="1" a="1"/>
  <c r="BM91" i="26" s="1"/>
  <c r="AS91" i="7" s="1"/>
  <c r="BQ142" i="23"/>
  <c r="BR142" i="23"/>
  <c r="BS142" i="23"/>
  <c r="CE91" i="26" s="1" a="1"/>
  <c r="CE91" i="26" s="1"/>
  <c r="BK91" i="7" s="1"/>
  <c r="BT142" i="23"/>
  <c r="CF91" i="26" s="1" a="1"/>
  <c r="CF91" i="26" s="1"/>
  <c r="BL91" i="7" s="1"/>
  <c r="BU142" i="23"/>
  <c r="CH91" i="26" s="1" a="1"/>
  <c r="CH91" i="26" s="1"/>
  <c r="BN91" i="7" s="1"/>
  <c r="BV142" i="23"/>
  <c r="D143" i="23"/>
  <c r="E143" i="23"/>
  <c r="F143" i="23"/>
  <c r="G143" i="23"/>
  <c r="H143" i="23"/>
  <c r="AA92" i="26" s="1" a="1"/>
  <c r="AA92" i="26" s="1"/>
  <c r="G92" i="7" s="1"/>
  <c r="I143" i="23"/>
  <c r="J143" i="23"/>
  <c r="K143" i="23"/>
  <c r="L143" i="23"/>
  <c r="M143" i="23"/>
  <c r="N143" i="23"/>
  <c r="O143" i="23"/>
  <c r="P143" i="23"/>
  <c r="AI92" i="26" s="1" a="1"/>
  <c r="AI92" i="26" s="1"/>
  <c r="O92" i="7" s="1"/>
  <c r="Q143" i="23"/>
  <c r="AH92" i="26" s="1" a="1"/>
  <c r="AH92" i="26" s="1"/>
  <c r="N92" i="7" s="1"/>
  <c r="R143" i="23"/>
  <c r="S143" i="23"/>
  <c r="T143" i="23"/>
  <c r="U143" i="23"/>
  <c r="V143" i="23"/>
  <c r="W143" i="23"/>
  <c r="X143" i="23"/>
  <c r="Y143" i="23"/>
  <c r="Z143" i="23"/>
  <c r="AA143" i="23"/>
  <c r="AB143" i="23"/>
  <c r="AC143" i="23"/>
  <c r="AR92" i="26" s="1" a="1"/>
  <c r="AR92" i="26" s="1"/>
  <c r="X92" i="7" s="1"/>
  <c r="AD143" i="23"/>
  <c r="AE143" i="23"/>
  <c r="AF143" i="23"/>
  <c r="AG143" i="23"/>
  <c r="AH143" i="23"/>
  <c r="AI143" i="23"/>
  <c r="AJ143" i="23"/>
  <c r="AK143" i="23"/>
  <c r="AL143" i="23"/>
  <c r="AZ92" i="26" s="1" a="1"/>
  <c r="AZ92" i="26" s="1"/>
  <c r="AF92" i="7" s="1"/>
  <c r="AM143" i="23"/>
  <c r="AN143" i="23"/>
  <c r="BB92" i="26" s="1" a="1"/>
  <c r="BB92" i="26" s="1"/>
  <c r="AH92" i="7" s="1"/>
  <c r="AO143" i="23"/>
  <c r="AP143" i="23"/>
  <c r="AQ143" i="23"/>
  <c r="AR143" i="23"/>
  <c r="BH92" i="26" s="1" a="1"/>
  <c r="BH92" i="26" s="1"/>
  <c r="AN92" i="7" s="1"/>
  <c r="AS143" i="23"/>
  <c r="AT143" i="23"/>
  <c r="AU143" i="23"/>
  <c r="AV143" i="23"/>
  <c r="AW143" i="23"/>
  <c r="AX143" i="23"/>
  <c r="AY143" i="23"/>
  <c r="CC92" i="26" s="1" a="1"/>
  <c r="CC92" i="26" s="1"/>
  <c r="BI92" i="7" s="1"/>
  <c r="AZ143" i="23"/>
  <c r="BA143" i="23"/>
  <c r="BZ92" i="26" s="1" a="1"/>
  <c r="BZ92" i="26" s="1"/>
  <c r="BF92" i="7" s="1"/>
  <c r="BB143" i="23"/>
  <c r="CB92" i="26" s="1" a="1"/>
  <c r="CB92" i="26" s="1"/>
  <c r="BH92" i="7" s="1"/>
  <c r="BC143" i="23"/>
  <c r="BD143" i="23"/>
  <c r="BN92" i="26" s="1" a="1"/>
  <c r="BN92" i="26" s="1"/>
  <c r="AT92" i="7" s="1"/>
  <c r="BE143" i="23"/>
  <c r="BF143" i="23"/>
  <c r="BG143" i="23"/>
  <c r="BH143" i="23"/>
  <c r="BI143" i="23"/>
  <c r="BJ143" i="23"/>
  <c r="BK143" i="23"/>
  <c r="BL143" i="23"/>
  <c r="BR92" i="26" s="1" a="1"/>
  <c r="BR92" i="26" s="1"/>
  <c r="AX92" i="7" s="1"/>
  <c r="BM143" i="23"/>
  <c r="BO92" i="26" s="1" a="1"/>
  <c r="BO92" i="26" s="1"/>
  <c r="AU92" i="7" s="1"/>
  <c r="BN143" i="23"/>
  <c r="BK92" i="26" s="1" a="1"/>
  <c r="BK92" i="26" s="1"/>
  <c r="AQ92" i="7" s="1"/>
  <c r="BO143" i="23"/>
  <c r="BP143" i="23"/>
  <c r="BQ143" i="23"/>
  <c r="BR143" i="23"/>
  <c r="BW92" i="26" s="1" a="1"/>
  <c r="BW92" i="26" s="1"/>
  <c r="BC92" i="7" s="1"/>
  <c r="BS143" i="23"/>
  <c r="CE92" i="26" s="1" a="1"/>
  <c r="CE92" i="26" s="1"/>
  <c r="BK92" i="7" s="1"/>
  <c r="BT143" i="23"/>
  <c r="CF92" i="26" s="1" a="1"/>
  <c r="CF92" i="26" s="1"/>
  <c r="BL92" i="7" s="1"/>
  <c r="BU143" i="23"/>
  <c r="CH92" i="26" s="1" a="1"/>
  <c r="CH92" i="26" s="1"/>
  <c r="BN92" i="7" s="1"/>
  <c r="BV143" i="23"/>
  <c r="D144" i="23"/>
  <c r="E144" i="23"/>
  <c r="F144" i="23"/>
  <c r="G144" i="23"/>
  <c r="H144" i="23"/>
  <c r="I144" i="23"/>
  <c r="J144" i="23"/>
  <c r="AD94" i="26" s="1" a="1"/>
  <c r="AD94" i="26" s="1"/>
  <c r="J94" i="7" s="1"/>
  <c r="K144" i="23"/>
  <c r="L144" i="23"/>
  <c r="M144" i="23"/>
  <c r="N144" i="23"/>
  <c r="O144" i="23"/>
  <c r="P144" i="23"/>
  <c r="Q144" i="23"/>
  <c r="R144" i="23"/>
  <c r="S144" i="23"/>
  <c r="T144" i="23"/>
  <c r="U144" i="23"/>
  <c r="V144" i="23"/>
  <c r="W144" i="23"/>
  <c r="X144" i="23"/>
  <c r="AM94" i="26" s="1" a="1"/>
  <c r="AM94" i="26" s="1"/>
  <c r="S94" i="7" s="1"/>
  <c r="Y144" i="23"/>
  <c r="Z144" i="23"/>
  <c r="AO94" i="26" s="1" a="1"/>
  <c r="AO94" i="26" s="1"/>
  <c r="U94" i="7" s="1"/>
  <c r="AA144" i="23"/>
  <c r="AP94" i="26" s="1" a="1"/>
  <c r="AP94" i="26" s="1"/>
  <c r="V94" i="7" s="1"/>
  <c r="AB144" i="23"/>
  <c r="AC144" i="23"/>
  <c r="AD144" i="23"/>
  <c r="AS94" i="26" s="1" a="1"/>
  <c r="AS94" i="26" s="1"/>
  <c r="Y94" i="7" s="1"/>
  <c r="AE144" i="23"/>
  <c r="AT94" i="26" s="1" a="1"/>
  <c r="AT94" i="26" s="1"/>
  <c r="Z94" i="7" s="1"/>
  <c r="AF144" i="23"/>
  <c r="AU94" i="26" s="1" a="1"/>
  <c r="AU94" i="26" s="1"/>
  <c r="AA94" i="7" s="1"/>
  <c r="AG144" i="23"/>
  <c r="AV94" i="26" s="1" a="1"/>
  <c r="AV94" i="26" s="1"/>
  <c r="AB94" i="7" s="1"/>
  <c r="AH144" i="23"/>
  <c r="BD94" i="26" s="1" a="1"/>
  <c r="BD94" i="26" s="1"/>
  <c r="AJ94" i="7" s="1"/>
  <c r="AI144" i="23"/>
  <c r="AX94" i="26" s="1" a="1"/>
  <c r="AX94" i="26" s="1"/>
  <c r="AD94" i="7" s="1"/>
  <c r="AJ144" i="23"/>
  <c r="AK144" i="23"/>
  <c r="AL144" i="23"/>
  <c r="AM144" i="23"/>
  <c r="BA94" i="26" s="1" a="1"/>
  <c r="BA94" i="26" s="1"/>
  <c r="AG94" i="7" s="1"/>
  <c r="AN144" i="23"/>
  <c r="BB94" i="26" s="1" a="1"/>
  <c r="BB94" i="26" s="1"/>
  <c r="AH94" i="7" s="1"/>
  <c r="AO144" i="23"/>
  <c r="BC94" i="26" s="1" a="1"/>
  <c r="BC94" i="26" s="1"/>
  <c r="AI94" i="7" s="1"/>
  <c r="AP144" i="23"/>
  <c r="BE94" i="26" s="1" a="1"/>
  <c r="BE94" i="26" s="1"/>
  <c r="AK94" i="7" s="1"/>
  <c r="AQ144" i="23"/>
  <c r="BF94" i="26" s="1" a="1"/>
  <c r="BF94" i="26" s="1"/>
  <c r="AL94" i="7" s="1"/>
  <c r="AR144" i="23"/>
  <c r="AS144" i="23"/>
  <c r="BI94" i="26" s="1" a="1"/>
  <c r="BI94" i="26" s="1"/>
  <c r="AO94" i="7" s="1"/>
  <c r="AT144" i="23"/>
  <c r="AU144" i="23"/>
  <c r="BJ94" i="26" s="1" a="1"/>
  <c r="BJ94" i="26" s="1"/>
  <c r="AP94" i="7" s="1"/>
  <c r="AV144" i="23"/>
  <c r="AW144" i="23"/>
  <c r="BX94" i="26" s="1" a="1"/>
  <c r="BX94" i="26" s="1"/>
  <c r="BD94" i="7" s="1"/>
  <c r="AX144" i="23"/>
  <c r="BY94" i="26" s="1" a="1"/>
  <c r="BY94" i="26" s="1"/>
  <c r="BE94" i="7" s="1"/>
  <c r="AY144" i="23"/>
  <c r="CC94" i="26" s="1" a="1"/>
  <c r="CC94" i="26" s="1"/>
  <c r="BI94" i="7" s="1"/>
  <c r="AZ144" i="23"/>
  <c r="BA144" i="23"/>
  <c r="BB144" i="23"/>
  <c r="CB94" i="26" s="1" a="1"/>
  <c r="CB94" i="26" s="1"/>
  <c r="BH94" i="7" s="1"/>
  <c r="BC144" i="23"/>
  <c r="BD144" i="23"/>
  <c r="BN94" i="26" s="1" a="1"/>
  <c r="BN94" i="26" s="1"/>
  <c r="AT94" i="7" s="1"/>
  <c r="BE144" i="23"/>
  <c r="BT94" i="26" s="1" a="1"/>
  <c r="BT94" i="26" s="1"/>
  <c r="AZ94" i="7" s="1"/>
  <c r="BF144" i="23"/>
  <c r="BG144" i="23"/>
  <c r="BH144" i="23"/>
  <c r="BI144" i="23"/>
  <c r="BQ94" i="26" s="1" a="1"/>
  <c r="BQ94" i="26" s="1"/>
  <c r="AW94" i="7" s="1"/>
  <c r="BJ144" i="23"/>
  <c r="BK144" i="23"/>
  <c r="BL144" i="23"/>
  <c r="BM144" i="23"/>
  <c r="BN144" i="23"/>
  <c r="BO144" i="23"/>
  <c r="BL94" i="26" s="1" a="1"/>
  <c r="BL94" i="26" s="1"/>
  <c r="AR94" i="7" s="1"/>
  <c r="BP144" i="23"/>
  <c r="BQ144" i="23"/>
  <c r="BR144" i="23"/>
  <c r="BW94" i="26" s="1" a="1"/>
  <c r="BW94" i="26" s="1"/>
  <c r="BC94" i="7" s="1"/>
  <c r="BS144" i="23"/>
  <c r="CE94" i="26" s="1" a="1"/>
  <c r="CE94" i="26" s="1"/>
  <c r="BK94" i="7" s="1"/>
  <c r="BT144" i="23"/>
  <c r="CF94" i="26" s="1" a="1"/>
  <c r="CF94" i="26" s="1"/>
  <c r="BL94" i="7" s="1"/>
  <c r="BU144" i="23"/>
  <c r="CH94" i="26" s="1" a="1"/>
  <c r="CH94" i="26" s="1"/>
  <c r="BN94" i="7" s="1"/>
  <c r="BV144" i="23"/>
  <c r="D145" i="23"/>
  <c r="E145" i="23"/>
  <c r="F145" i="23"/>
  <c r="G145" i="23"/>
  <c r="H145" i="23"/>
  <c r="I145" i="23"/>
  <c r="J145" i="23"/>
  <c r="K145" i="23"/>
  <c r="L145" i="23"/>
  <c r="M145" i="23"/>
  <c r="N145" i="23"/>
  <c r="O145" i="23"/>
  <c r="P145" i="23"/>
  <c r="Q145" i="23"/>
  <c r="R145" i="23"/>
  <c r="S145" i="23"/>
  <c r="T145" i="23"/>
  <c r="U145" i="23"/>
  <c r="V145" i="23"/>
  <c r="W145" i="23"/>
  <c r="X145" i="23"/>
  <c r="AM93" i="26" s="1" a="1"/>
  <c r="AM93" i="26" s="1"/>
  <c r="S93" i="7" s="1"/>
  <c r="Y145" i="23"/>
  <c r="Z145" i="23"/>
  <c r="AO93" i="26" s="1" a="1"/>
  <c r="AO93" i="26" s="1"/>
  <c r="U93" i="7" s="1"/>
  <c r="AA145" i="23"/>
  <c r="AP93" i="26" s="1" a="1"/>
  <c r="AP93" i="26" s="1"/>
  <c r="V93" i="7" s="1"/>
  <c r="AB145" i="23"/>
  <c r="AQ93" i="26" s="1" a="1"/>
  <c r="AQ93" i="26" s="1"/>
  <c r="W93" i="7" s="1"/>
  <c r="AC145" i="23"/>
  <c r="AD145" i="23"/>
  <c r="AE145" i="23"/>
  <c r="AF145" i="23"/>
  <c r="AG145" i="23"/>
  <c r="AV93" i="26" s="1" a="1"/>
  <c r="AV93" i="26" s="1"/>
  <c r="AB93" i="7" s="1"/>
  <c r="AH145" i="23"/>
  <c r="BD93" i="26" s="1" a="1"/>
  <c r="BD93" i="26" s="1"/>
  <c r="AJ93" i="7" s="1"/>
  <c r="AI145" i="23"/>
  <c r="AX93" i="26" s="1" a="1"/>
  <c r="AX93" i="26" s="1"/>
  <c r="AD93" i="7" s="1"/>
  <c r="AJ145" i="23"/>
  <c r="AK145" i="23"/>
  <c r="AY93" i="26" s="1" a="1"/>
  <c r="AY93" i="26" s="1"/>
  <c r="AE93" i="7" s="1"/>
  <c r="AL145" i="23"/>
  <c r="AM145" i="23"/>
  <c r="AN145" i="23"/>
  <c r="AO145" i="23"/>
  <c r="AP145" i="23"/>
  <c r="AQ145" i="23"/>
  <c r="BF93" i="26" s="1" a="1"/>
  <c r="BF93" i="26" s="1"/>
  <c r="AL93" i="7" s="1"/>
  <c r="AR145" i="23"/>
  <c r="AS145" i="23"/>
  <c r="AT145" i="23"/>
  <c r="BG93" i="26" s="1" a="1"/>
  <c r="BG93" i="26" s="1"/>
  <c r="AM93" i="7" s="1"/>
  <c r="AU145" i="23"/>
  <c r="AV145" i="23"/>
  <c r="AW145" i="23"/>
  <c r="BX93" i="26" s="1" a="1"/>
  <c r="BX93" i="26" s="1"/>
  <c r="BD93" i="7" s="1"/>
  <c r="AX145" i="23"/>
  <c r="BY93" i="26" s="1" a="1"/>
  <c r="BY93" i="26" s="1"/>
  <c r="BE93" i="7" s="1"/>
  <c r="AY145" i="23"/>
  <c r="AZ145" i="23"/>
  <c r="CA93" i="26" s="1" a="1"/>
  <c r="CA93" i="26" s="1"/>
  <c r="BG93" i="7" s="1"/>
  <c r="BA145" i="23"/>
  <c r="BB145" i="23"/>
  <c r="BC145" i="23"/>
  <c r="BD145" i="23"/>
  <c r="BN93" i="26" s="1" a="1"/>
  <c r="BN93" i="26" s="1"/>
  <c r="AT93" i="7" s="1"/>
  <c r="BE145" i="23"/>
  <c r="BT93" i="26" s="1" a="1"/>
  <c r="BT93" i="26" s="1"/>
  <c r="AZ93" i="7" s="1"/>
  <c r="BF145" i="23"/>
  <c r="BG145" i="23"/>
  <c r="BH145" i="23"/>
  <c r="BI145" i="23"/>
  <c r="BJ145" i="23"/>
  <c r="BK145" i="23"/>
  <c r="BL145" i="23"/>
  <c r="BR93" i="26" s="1" a="1"/>
  <c r="BR93" i="26" s="1"/>
  <c r="AX93" i="7" s="1"/>
  <c r="BM145" i="23"/>
  <c r="BO93" i="26" s="1" a="1"/>
  <c r="BO93" i="26" s="1"/>
  <c r="AU93" i="7" s="1"/>
  <c r="BN145" i="23"/>
  <c r="BK93" i="26" s="1" a="1"/>
  <c r="BK93" i="26" s="1"/>
  <c r="AQ93" i="7" s="1"/>
  <c r="BO145" i="23"/>
  <c r="BL93" i="26" s="1" a="1"/>
  <c r="BL93" i="26" s="1"/>
  <c r="AR93" i="7" s="1"/>
  <c r="BP145" i="23"/>
  <c r="BQ145" i="23"/>
  <c r="BR145" i="23"/>
  <c r="BS145" i="23"/>
  <c r="CE93" i="26" s="1" a="1"/>
  <c r="CE93" i="26" s="1"/>
  <c r="BK93" i="7" s="1"/>
  <c r="BT145" i="23"/>
  <c r="CF93" i="26" s="1" a="1"/>
  <c r="CF93" i="26" s="1"/>
  <c r="BL93" i="7" s="1"/>
  <c r="BU145" i="23"/>
  <c r="BV145" i="23"/>
  <c r="D146" i="23"/>
  <c r="E146" i="23"/>
  <c r="F146" i="23"/>
  <c r="G146" i="23"/>
  <c r="H146" i="23"/>
  <c r="I146" i="23"/>
  <c r="J146" i="23"/>
  <c r="K146" i="23"/>
  <c r="L146" i="23"/>
  <c r="M146" i="23"/>
  <c r="N146" i="23"/>
  <c r="O146" i="23"/>
  <c r="P146" i="23"/>
  <c r="Q146" i="23"/>
  <c r="AH95" i="26" s="1" a="1"/>
  <c r="AH95" i="26" s="1"/>
  <c r="N95" i="7" s="1"/>
  <c r="R146" i="23"/>
  <c r="S146" i="23"/>
  <c r="T146" i="23"/>
  <c r="U146" i="23"/>
  <c r="V146" i="23"/>
  <c r="W146" i="23"/>
  <c r="X146" i="23"/>
  <c r="Y146" i="23"/>
  <c r="Z146" i="23"/>
  <c r="AA146" i="23"/>
  <c r="AP95" i="26" s="1" a="1"/>
  <c r="AP95" i="26" s="1"/>
  <c r="V95" i="7" s="1"/>
  <c r="AB146" i="23"/>
  <c r="AC146" i="23"/>
  <c r="AR95" i="26" s="1" a="1"/>
  <c r="AR95" i="26" s="1"/>
  <c r="X95" i="7" s="1"/>
  <c r="AD146" i="23"/>
  <c r="AE146" i="23"/>
  <c r="AT95" i="26" s="1" a="1"/>
  <c r="AT95" i="26" s="1"/>
  <c r="Z95" i="7" s="1"/>
  <c r="AF146" i="23"/>
  <c r="AG146" i="23"/>
  <c r="AV95" i="26" s="1" a="1"/>
  <c r="AV95" i="26" s="1"/>
  <c r="AB95" i="7" s="1"/>
  <c r="AH146" i="23"/>
  <c r="AI146" i="23"/>
  <c r="AX95" i="26" s="1" a="1"/>
  <c r="AX95" i="26" s="1"/>
  <c r="AD95" i="7" s="1"/>
  <c r="AJ146" i="23"/>
  <c r="AW95" i="26" s="1" a="1"/>
  <c r="AW95" i="26" s="1"/>
  <c r="AC95" i="7" s="1"/>
  <c r="AK146" i="23"/>
  <c r="AL146" i="23"/>
  <c r="AM146" i="23"/>
  <c r="AN146" i="23"/>
  <c r="BB95" i="26" s="1" a="1"/>
  <c r="BB95" i="26" s="1"/>
  <c r="AH95" i="7" s="1"/>
  <c r="AO146" i="23"/>
  <c r="BC95" i="26" s="1" a="1"/>
  <c r="BC95" i="26" s="1"/>
  <c r="AI95" i="7" s="1"/>
  <c r="AP146" i="23"/>
  <c r="BE95" i="26" s="1" a="1"/>
  <c r="BE95" i="26" s="1"/>
  <c r="AK95" i="7" s="1"/>
  <c r="AQ146" i="23"/>
  <c r="BF95" i="26" s="1" a="1"/>
  <c r="BF95" i="26" s="1"/>
  <c r="AL95" i="7" s="1"/>
  <c r="AR146" i="23"/>
  <c r="BH95" i="26" s="1" a="1"/>
  <c r="BH95" i="26" s="1"/>
  <c r="AN95" i="7" s="1"/>
  <c r="AS146" i="23"/>
  <c r="BI95" i="26" s="1" a="1"/>
  <c r="BI95" i="26" s="1"/>
  <c r="AO95" i="7" s="1"/>
  <c r="AT146" i="23"/>
  <c r="AU146" i="23"/>
  <c r="BJ95" i="26" s="1" a="1"/>
  <c r="BJ95" i="26" s="1"/>
  <c r="AP95" i="7" s="1"/>
  <c r="AV146" i="23"/>
  <c r="AW146" i="23"/>
  <c r="BX95" i="26" s="1" a="1"/>
  <c r="BX95" i="26" s="1"/>
  <c r="BD95" i="7" s="1"/>
  <c r="AX146" i="23"/>
  <c r="AY146" i="23"/>
  <c r="CC95" i="26" s="1" a="1"/>
  <c r="CC95" i="26" s="1"/>
  <c r="BI95" i="7" s="1"/>
  <c r="AZ146" i="23"/>
  <c r="CA95" i="26" s="1" a="1"/>
  <c r="CA95" i="26" s="1"/>
  <c r="BG95" i="7" s="1"/>
  <c r="BA146" i="23"/>
  <c r="BZ95" i="26" s="1" a="1"/>
  <c r="BZ95" i="26" s="1"/>
  <c r="BF95" i="7" s="1"/>
  <c r="BB146" i="23"/>
  <c r="BC146" i="23"/>
  <c r="BD146" i="23"/>
  <c r="BN95" i="26" s="1" a="1"/>
  <c r="BN95" i="26" s="1"/>
  <c r="AT95" i="7" s="1"/>
  <c r="BE146" i="23"/>
  <c r="BT95" i="26" s="1" a="1"/>
  <c r="BT95" i="26" s="1"/>
  <c r="AZ95" i="7" s="1"/>
  <c r="BF146" i="23"/>
  <c r="BG146" i="23"/>
  <c r="BP95" i="26" s="1" a="1"/>
  <c r="BP95" i="26" s="1"/>
  <c r="AV95" i="7" s="1"/>
  <c r="BH146" i="23"/>
  <c r="BI146" i="23"/>
  <c r="BJ146" i="23"/>
  <c r="BK146" i="23"/>
  <c r="BL146" i="23"/>
  <c r="BM146" i="23"/>
  <c r="BO95" i="26" s="1" a="1"/>
  <c r="BO95" i="26" s="1"/>
  <c r="AU95" i="7" s="1"/>
  <c r="BN146" i="23"/>
  <c r="BO146" i="23"/>
  <c r="BL95" i="26" s="1" a="1"/>
  <c r="BL95" i="26" s="1"/>
  <c r="AR95" i="7" s="1"/>
  <c r="BP146" i="23"/>
  <c r="BM95" i="26" s="1" a="1"/>
  <c r="BM95" i="26" s="1"/>
  <c r="AS95" i="7" s="1"/>
  <c r="BQ146" i="23"/>
  <c r="BR146" i="23"/>
  <c r="BW95" i="26" s="1" a="1"/>
  <c r="BW95" i="26" s="1"/>
  <c r="BC95" i="7" s="1"/>
  <c r="BS146" i="23"/>
  <c r="CE95" i="26" s="1" a="1"/>
  <c r="CE95" i="26" s="1"/>
  <c r="BK95" i="7" s="1"/>
  <c r="BT146" i="23"/>
  <c r="CF95" i="26" s="1" a="1"/>
  <c r="CF95" i="26" s="1"/>
  <c r="BL95" i="7" s="1"/>
  <c r="BU146" i="23"/>
  <c r="CH95" i="26" s="1" a="1"/>
  <c r="CH95" i="26" s="1"/>
  <c r="BN95" i="7" s="1"/>
  <c r="BV146" i="23"/>
  <c r="R130" i="25" l="1"/>
  <c r="AW129" i="25"/>
  <c r="BW11" i="26" a="1"/>
  <c r="BW11" i="26" s="1"/>
  <c r="BC11" i="7" s="1"/>
  <c r="BQ11" i="26" a="1"/>
  <c r="BQ11" i="26" s="1"/>
  <c r="AW11" i="7" s="1"/>
  <c r="BR95" i="26" a="1"/>
  <c r="BR95" i="26" s="1"/>
  <c r="AX95" i="7" s="1"/>
  <c r="AS93" i="26" a="1"/>
  <c r="AS93" i="26" s="1"/>
  <c r="Y93" i="7" s="1"/>
  <c r="BM92" i="26" a="1"/>
  <c r="BM92" i="26" s="1"/>
  <c r="AS92" i="7" s="1"/>
  <c r="AW92" i="26" a="1"/>
  <c r="AW92" i="26" s="1"/>
  <c r="AC92" i="7" s="1"/>
  <c r="CC91" i="26" a="1"/>
  <c r="CC91" i="26" s="1"/>
  <c r="BI91" i="7" s="1"/>
  <c r="R126" i="25"/>
  <c r="BM80" i="26" a="1"/>
  <c r="BM80" i="26" s="1"/>
  <c r="AS80" i="7" s="1"/>
  <c r="AW80" i="26" a="1"/>
  <c r="AW80" i="26" s="1"/>
  <c r="AC80" i="7" s="1"/>
  <c r="AF129" i="25"/>
  <c r="AZ88" i="26" s="1" a="1"/>
  <c r="AZ88" i="26" s="1"/>
  <c r="AF88" i="7" s="1"/>
  <c r="AW127" i="25"/>
  <c r="R127" i="25"/>
  <c r="BL11" i="26" a="1"/>
  <c r="BL11" i="26" s="1"/>
  <c r="AR11" i="7" s="1"/>
  <c r="BT79" i="26" a="1"/>
  <c r="BT79" i="26" s="1"/>
  <c r="AZ79" i="7" s="1"/>
  <c r="BX79" i="26" a="1"/>
  <c r="BX79" i="26" s="1"/>
  <c r="BD79" i="7" s="1"/>
  <c r="CG94" i="26" a="1"/>
  <c r="CG94" i="26" s="1"/>
  <c r="BM94" i="7" s="1"/>
  <c r="BE11" i="26" a="1"/>
  <c r="BE11" i="26" s="1"/>
  <c r="AK11" i="7" s="1"/>
  <c r="BD11" i="26" a="1"/>
  <c r="BD11" i="26" s="1"/>
  <c r="AJ11" i="7" s="1"/>
  <c r="BO80" i="26" a="1"/>
  <c r="BO80" i="26" s="1"/>
  <c r="AU80" i="7" s="1"/>
  <c r="CG92" i="26" a="1"/>
  <c r="CG92" i="26" s="1"/>
  <c r="BM92" i="7" s="1"/>
  <c r="X128" i="25"/>
  <c r="AR89" i="26" s="1" a="1"/>
  <c r="AR89" i="26" s="1"/>
  <c r="X89" i="7" s="1"/>
  <c r="AR126" i="25"/>
  <c r="BL86" i="26" s="1" a="1"/>
  <c r="BL86" i="26" s="1"/>
  <c r="AR86" i="7" s="1"/>
  <c r="BH130" i="25"/>
  <c r="CB90" i="26" s="1" a="1"/>
  <c r="CB90" i="26" s="1"/>
  <c r="BH90" i="7" s="1"/>
  <c r="AU90" i="26" a="1"/>
  <c r="AU90" i="26" s="1"/>
  <c r="AA90" i="7" s="1"/>
  <c r="BG89" i="26" a="1"/>
  <c r="BG89" i="26" s="1"/>
  <c r="AM89" i="7" s="1"/>
  <c r="BF127" i="25"/>
  <c r="BZ87" i="26" s="1" a="1"/>
  <c r="BZ87" i="26" s="1"/>
  <c r="BF87" i="7" s="1"/>
  <c r="BF129" i="25"/>
  <c r="BZ88" i="26" s="1" a="1"/>
  <c r="BZ88" i="26" s="1"/>
  <c r="BF88" i="7" s="1"/>
  <c r="R129" i="25"/>
  <c r="BE126" i="25"/>
  <c r="BY86" i="26" s="1" a="1"/>
  <c r="BY86" i="26" s="1"/>
  <c r="BE86" i="7" s="1"/>
  <c r="U126" i="25"/>
  <c r="AO86" i="26" s="1" a="1"/>
  <c r="AO86" i="26" s="1"/>
  <c r="U86" i="7" s="1"/>
  <c r="BC130" i="25"/>
  <c r="BW90" i="26" s="1" a="1"/>
  <c r="BW90" i="26" s="1"/>
  <c r="BC90" i="7" s="1"/>
  <c r="AU93" i="26" a="1"/>
  <c r="AU93" i="26" s="1"/>
  <c r="AA93" i="7" s="1"/>
  <c r="BG92" i="26" a="1"/>
  <c r="BG92" i="26" s="1"/>
  <c r="AM92" i="7" s="1"/>
  <c r="AL129" i="25"/>
  <c r="BF88" i="26" s="1" a="1"/>
  <c r="BF88" i="26" s="1"/>
  <c r="AL88" i="7" s="1"/>
  <c r="AD129" i="25"/>
  <c r="AX88" i="26" s="1" a="1"/>
  <c r="AX88" i="26" s="1"/>
  <c r="AD88" i="7" s="1"/>
  <c r="V129" i="25"/>
  <c r="AP88" i="26" s="1" a="1"/>
  <c r="AP88" i="26" s="1"/>
  <c r="V88" i="7" s="1"/>
  <c r="AJ128" i="25"/>
  <c r="BD89" i="26" s="1" a="1"/>
  <c r="BD89" i="26" s="1"/>
  <c r="AJ89" i="7" s="1"/>
  <c r="BN127" i="25"/>
  <c r="CH87" i="26" s="1" a="1"/>
  <c r="CH87" i="26" s="1"/>
  <c r="BN87" i="7" s="1"/>
  <c r="AZ127" i="25"/>
  <c r="BT87" i="26" s="1" a="1"/>
  <c r="BT87" i="26" s="1"/>
  <c r="AZ87" i="7" s="1"/>
  <c r="AB87" i="26" a="1"/>
  <c r="AB87" i="26" s="1"/>
  <c r="H87" i="7" s="1"/>
  <c r="BL126" i="25"/>
  <c r="CF86" i="26" s="1" a="1"/>
  <c r="CF86" i="26" s="1"/>
  <c r="BL86" i="7" s="1"/>
  <c r="AX126" i="25"/>
  <c r="BR86" i="26" s="1" a="1"/>
  <c r="BR86" i="26" s="1"/>
  <c r="AX86" i="7" s="1"/>
  <c r="AU86" i="26" a="1"/>
  <c r="AU86" i="26" s="1"/>
  <c r="AA86" i="7" s="1"/>
  <c r="BG80" i="26" a="1"/>
  <c r="BG80" i="26" s="1"/>
  <c r="AM80" i="7" s="1"/>
  <c r="BI79" i="26" a="1"/>
  <c r="BI79" i="26" s="1"/>
  <c r="AO79" i="7" s="1"/>
  <c r="BM129" i="25"/>
  <c r="CG88" i="26" s="1" a="1"/>
  <c r="CG88" i="26" s="1"/>
  <c r="BM88" i="7" s="1"/>
  <c r="BI129" i="25"/>
  <c r="CC88" i="26" s="1" a="1"/>
  <c r="CC88" i="26" s="1"/>
  <c r="BI88" i="7" s="1"/>
  <c r="BG126" i="25"/>
  <c r="CA86" i="26" s="1" a="1"/>
  <c r="CA86" i="26" s="1"/>
  <c r="BG86" i="7" s="1"/>
  <c r="AX130" i="25"/>
  <c r="BR90" i="26" s="1" a="1"/>
  <c r="BR90" i="26" s="1"/>
  <c r="AX90" i="7" s="1"/>
  <c r="W128" i="25"/>
  <c r="AQ89" i="26" s="1" a="1"/>
  <c r="AQ89" i="26" s="1"/>
  <c r="W89" i="7" s="1"/>
  <c r="AB95" i="26" a="1"/>
  <c r="AB95" i="26" s="1"/>
  <c r="H95" i="7" s="1"/>
  <c r="BB93" i="26" a="1"/>
  <c r="BB93" i="26" s="1"/>
  <c r="AH93" i="7" s="1"/>
  <c r="BI91" i="26" a="1"/>
  <c r="BI91" i="26" s="1"/>
  <c r="AO91" i="7" s="1"/>
  <c r="AR91" i="26" a="1"/>
  <c r="AR91" i="26" s="1"/>
  <c r="X91" i="7" s="1"/>
  <c r="BG130" i="25"/>
  <c r="CA90" i="26" s="1" a="1"/>
  <c r="CA90" i="26" s="1"/>
  <c r="BG90" i="7" s="1"/>
  <c r="AN130" i="25"/>
  <c r="BH90" i="26" s="1" a="1"/>
  <c r="BH90" i="26" s="1"/>
  <c r="AN90" i="7" s="1"/>
  <c r="AQ90" i="26" a="1"/>
  <c r="AQ90" i="26" s="1"/>
  <c r="W90" i="7" s="1"/>
  <c r="W130" i="25"/>
  <c r="BL88" i="26" a="1"/>
  <c r="BL88" i="26" s="1"/>
  <c r="AR88" i="7" s="1"/>
  <c r="AQ128" i="25"/>
  <c r="BK89" i="26" s="1" a="1"/>
  <c r="BK89" i="26" s="1"/>
  <c r="AQ89" i="7" s="1"/>
  <c r="BE128" i="25"/>
  <c r="BY89" i="26" s="1" a="1"/>
  <c r="BY89" i="26" s="1"/>
  <c r="BE89" i="7" s="1"/>
  <c r="BB86" i="26" a="1"/>
  <c r="BB86" i="26" s="1"/>
  <c r="AH86" i="7" s="1"/>
  <c r="BJ93" i="26" a="1"/>
  <c r="BJ93" i="26" s="1"/>
  <c r="AP93" i="7" s="1"/>
  <c r="AT93" i="26" a="1"/>
  <c r="AT93" i="26" s="1"/>
  <c r="Z93" i="7" s="1"/>
  <c r="AY92" i="26" a="1"/>
  <c r="AY92" i="26" s="1"/>
  <c r="AE92" i="7" s="1"/>
  <c r="BH91" i="26" a="1"/>
  <c r="BH91" i="26" s="1"/>
  <c r="AN91" i="7" s="1"/>
  <c r="AR130" i="25"/>
  <c r="BL90" i="26" s="1" a="1"/>
  <c r="BL90" i="26" s="1"/>
  <c r="AR90" i="7" s="1"/>
  <c r="BI130" i="25"/>
  <c r="CC90" i="26" s="1" a="1"/>
  <c r="CC90" i="26" s="1"/>
  <c r="BI90" i="7" s="1"/>
  <c r="AK90" i="26" a="1"/>
  <c r="AK90" i="26" s="1"/>
  <c r="Q90" i="7" s="1"/>
  <c r="BY88" i="26" a="1"/>
  <c r="BY88" i="26" s="1"/>
  <c r="BE88" i="7" s="1"/>
  <c r="BE129" i="25"/>
  <c r="BE88" i="26" a="1"/>
  <c r="BE88" i="26" s="1"/>
  <c r="AK88" i="7" s="1"/>
  <c r="BD88" i="26" a="1"/>
  <c r="BD88" i="26" s="1"/>
  <c r="AJ88" i="7" s="1"/>
  <c r="BN128" i="25"/>
  <c r="CH89" i="26" s="1" a="1"/>
  <c r="CH89" i="26" s="1"/>
  <c r="BN89" i="7" s="1"/>
  <c r="AZ128" i="25"/>
  <c r="BT89" i="26" s="1" a="1"/>
  <c r="BT89" i="26" s="1"/>
  <c r="AZ89" i="7" s="1"/>
  <c r="BL127" i="25"/>
  <c r="CF87" i="26" s="1" a="1"/>
  <c r="CF87" i="26" s="1"/>
  <c r="BL87" i="7" s="1"/>
  <c r="AX127" i="25"/>
  <c r="BR87" i="26" s="1" a="1"/>
  <c r="BR87" i="26" s="1"/>
  <c r="AX87" i="7" s="1"/>
  <c r="AH127" i="25"/>
  <c r="BB87" i="26" s="1" a="1"/>
  <c r="BB87" i="26" s="1"/>
  <c r="AH87" i="7" s="1"/>
  <c r="AT86" i="26" a="1"/>
  <c r="AT86" i="26" s="1"/>
  <c r="Z86" i="7" s="1"/>
  <c r="CB11" i="26" a="1"/>
  <c r="CB11" i="26" s="1"/>
  <c r="BH11" i="7" s="1"/>
  <c r="BZ80" i="26" a="1"/>
  <c r="BZ80" i="26" s="1"/>
  <c r="BF80" i="7" s="1"/>
  <c r="X129" i="25"/>
  <c r="AR88" i="26" s="1" a="1"/>
  <c r="AR88" i="26" s="1"/>
  <c r="X88" i="7" s="1"/>
  <c r="AP130" i="25"/>
  <c r="BJ90" i="26" s="1" a="1"/>
  <c r="BJ90" i="26" s="1"/>
  <c r="AP90" i="7" s="1"/>
  <c r="CE88" i="26" a="1"/>
  <c r="CE88" i="26" s="1"/>
  <c r="BK88" i="7" s="1"/>
  <c r="AG129" i="25"/>
  <c r="BA88" i="26" s="1" a="1"/>
  <c r="BA88" i="26" s="1"/>
  <c r="AG88" i="7" s="1"/>
  <c r="AR87" i="26" a="1"/>
  <c r="AR87" i="26" s="1"/>
  <c r="X87" i="7" s="1"/>
  <c r="CE90" i="26" a="1"/>
  <c r="CE90" i="26" s="1"/>
  <c r="BK90" i="7" s="1"/>
  <c r="CB88" i="26" a="1"/>
  <c r="CB88" i="26" s="1"/>
  <c r="BH88" i="7" s="1"/>
  <c r="AF130" i="25"/>
  <c r="AZ90" i="26" s="1" a="1"/>
  <c r="AZ90" i="26" s="1"/>
  <c r="AF90" i="7" s="1"/>
  <c r="CA89" i="26" a="1"/>
  <c r="CA89" i="26" s="1"/>
  <c r="BG89" i="7" s="1"/>
  <c r="AN128" i="25"/>
  <c r="BH89" i="26" s="1" a="1"/>
  <c r="BH89" i="26" s="1"/>
  <c r="AN89" i="7" s="1"/>
  <c r="BL87" i="26" a="1"/>
  <c r="BL87" i="26" s="1"/>
  <c r="AR87" i="7" s="1"/>
  <c r="AV127" i="25"/>
  <c r="BP87" i="26" s="1" a="1"/>
  <c r="BP87" i="26" s="1"/>
  <c r="AV87" i="7" s="1"/>
  <c r="BI127" i="25"/>
  <c r="CC87" i="26" s="1" a="1"/>
  <c r="CC87" i="26" s="1"/>
  <c r="BI87" i="7" s="1"/>
  <c r="AH130" i="25"/>
  <c r="BB90" i="26" s="1" a="1"/>
  <c r="BB90" i="26" s="1"/>
  <c r="AH90" i="7" s="1"/>
  <c r="E129" i="25"/>
  <c r="Y88" i="26" s="1" a="1"/>
  <c r="Y88" i="26" s="1"/>
  <c r="E88" i="7" s="1"/>
  <c r="AP126" i="25"/>
  <c r="BJ86" i="26" s="1" a="1"/>
  <c r="BJ86" i="26" s="1"/>
  <c r="AP86" i="7" s="1"/>
  <c r="AE128" i="25"/>
  <c r="AY89" i="26" s="1" a="1"/>
  <c r="AY89" i="26" s="1"/>
  <c r="AE89" i="7" s="1"/>
  <c r="BD127" i="25"/>
  <c r="BX87" i="26" s="1" a="1"/>
  <c r="BX87" i="26" s="1"/>
  <c r="BD87" i="7" s="1"/>
  <c r="BL130" i="25"/>
  <c r="CF90" i="26" s="1" a="1"/>
  <c r="CF90" i="26" s="1"/>
  <c r="BL90" i="7" s="1"/>
  <c r="BC128" i="25"/>
  <c r="BW89" i="26" s="1" a="1"/>
  <c r="BW89" i="26" s="1"/>
  <c r="BC89" i="7" s="1"/>
  <c r="CB89" i="26" a="1"/>
  <c r="CB89" i="26" s="1"/>
  <c r="BH89" i="7" s="1"/>
  <c r="BH128" i="25"/>
  <c r="AF128" i="25"/>
  <c r="AZ89" i="26" s="1" a="1"/>
  <c r="AZ89" i="26" s="1"/>
  <c r="AF89" i="7" s="1"/>
  <c r="BI87" i="26" a="1"/>
  <c r="BI87" i="26" s="1"/>
  <c r="AO87" i="7" s="1"/>
  <c r="BW88" i="26" a="1"/>
  <c r="BW88" i="26" s="1"/>
  <c r="BC88" i="7" s="1"/>
  <c r="BC129" i="25"/>
  <c r="BZ89" i="26" a="1"/>
  <c r="BZ89" i="26" s="1"/>
  <c r="BF89" i="7" s="1"/>
  <c r="R128" i="25"/>
  <c r="BG127" i="25"/>
  <c r="CA87" i="26" s="1" a="1"/>
  <c r="CA87" i="26" s="1"/>
  <c r="BG87" i="7" s="1"/>
  <c r="AW126" i="25"/>
  <c r="F129" i="25"/>
  <c r="Z88" i="26" s="1" a="1"/>
  <c r="Z88" i="26" s="1"/>
  <c r="F88" i="7" s="1"/>
  <c r="I130" i="25"/>
  <c r="AC90" i="26" s="1" a="1"/>
  <c r="AC90" i="26" s="1"/>
  <c r="I90" i="7" s="1"/>
  <c r="AN127" i="25"/>
  <c r="BH87" i="26" s="1" a="1"/>
  <c r="BH87" i="26" s="1"/>
  <c r="AN87" i="7" s="1"/>
  <c r="Z130" i="25"/>
  <c r="AT90" i="26" s="1" a="1"/>
  <c r="AT90" i="26" s="1"/>
  <c r="Z90" i="7" s="1"/>
  <c r="AT130" i="25"/>
  <c r="BN90" i="26" s="1" a="1"/>
  <c r="BN90" i="26" s="1"/>
  <c r="AT90" i="7" s="1"/>
  <c r="BA95" i="26" a="1"/>
  <c r="BA95" i="26" s="1"/>
  <c r="AG95" i="7" s="1"/>
  <c r="BW93" i="26" a="1"/>
  <c r="BW93" i="26" s="1"/>
  <c r="BC93" i="7" s="1"/>
  <c r="AQ92" i="26" a="1"/>
  <c r="AQ92" i="26" s="1"/>
  <c r="W92" i="7" s="1"/>
  <c r="BK90" i="26" a="1"/>
  <c r="BK90" i="26" s="1"/>
  <c r="AQ90" i="7" s="1"/>
  <c r="AV88" i="26" a="1"/>
  <c r="AV88" i="26" s="1"/>
  <c r="AB88" i="7" s="1"/>
  <c r="CF89" i="26" a="1"/>
  <c r="CF89" i="26" s="1"/>
  <c r="BL89" i="7" s="1"/>
  <c r="BN89" i="26" a="1"/>
  <c r="BN89" i="26" s="1"/>
  <c r="AT89" i="7" s="1"/>
  <c r="BW86" i="26" a="1"/>
  <c r="BW86" i="26" s="1"/>
  <c r="BC86" i="7" s="1"/>
  <c r="Y86" i="26" a="1"/>
  <c r="Y86" i="26" s="1"/>
  <c r="E86" i="7" s="1"/>
  <c r="CA80" i="26" a="1"/>
  <c r="CA80" i="26" s="1"/>
  <c r="BG80" i="7" s="1"/>
  <c r="AP127" i="25"/>
  <c r="BJ87" i="26" s="1" a="1"/>
  <c r="BJ87" i="26" s="1"/>
  <c r="AP87" i="7" s="1"/>
  <c r="Y93" i="26" a="1"/>
  <c r="Y93" i="26" s="1"/>
  <c r="E93" i="7" s="1"/>
  <c r="CA92" i="26" a="1"/>
  <c r="CA92" i="26" s="1"/>
  <c r="BG92" i="7" s="1"/>
  <c r="BD90" i="26" a="1"/>
  <c r="BD90" i="26" s="1"/>
  <c r="AJ90" i="7" s="1"/>
  <c r="AH88" i="26" a="1"/>
  <c r="AH88" i="26" s="1"/>
  <c r="N88" i="7" s="1"/>
  <c r="AT87" i="26" a="1"/>
  <c r="AT87" i="26" s="1"/>
  <c r="Z87" i="7" s="1"/>
  <c r="CB95" i="26" a="1"/>
  <c r="CB95" i="26" s="1"/>
  <c r="BH95" i="7" s="1"/>
  <c r="AZ95" i="26" a="1"/>
  <c r="AZ95" i="26" s="1"/>
  <c r="AF95" i="7" s="1"/>
  <c r="AS95" i="26" a="1"/>
  <c r="AS95" i="26" s="1"/>
  <c r="Y95" i="7" s="1"/>
  <c r="BZ93" i="26" a="1"/>
  <c r="BZ93" i="26" s="1"/>
  <c r="BF93" i="7" s="1"/>
  <c r="AG93" i="26" a="1"/>
  <c r="AG93" i="26" s="1"/>
  <c r="M93" i="7" s="1"/>
  <c r="BM94" i="26" a="1"/>
  <c r="BM94" i="26" s="1"/>
  <c r="AS94" i="7" s="1"/>
  <c r="BH94" i="26" a="1"/>
  <c r="BH94" i="26" s="1"/>
  <c r="AN94" i="7" s="1"/>
  <c r="AW94" i="26" a="1"/>
  <c r="AW94" i="26" s="1"/>
  <c r="AC94" i="7" s="1"/>
  <c r="AC94" i="26" a="1"/>
  <c r="AC94" i="26" s="1"/>
  <c r="I94" i="7" s="1"/>
  <c r="BF92" i="26" a="1"/>
  <c r="BF92" i="26" s="1"/>
  <c r="AL92" i="7" s="1"/>
  <c r="AX92" i="26" a="1"/>
  <c r="AX92" i="26" s="1"/>
  <c r="AD92" i="7" s="1"/>
  <c r="AP92" i="26" a="1"/>
  <c r="AP92" i="26" s="1"/>
  <c r="V92" i="7" s="1"/>
  <c r="BY91" i="26" a="1"/>
  <c r="BY91" i="26" s="1"/>
  <c r="BE91" i="7" s="1"/>
  <c r="BD91" i="26" a="1"/>
  <c r="BD91" i="26" s="1"/>
  <c r="AJ91" i="7" s="1"/>
  <c r="BT90" i="26" a="1"/>
  <c r="BT90" i="26" s="1"/>
  <c r="AZ90" i="7" s="1"/>
  <c r="BX90" i="26" a="1"/>
  <c r="BX90" i="26" s="1"/>
  <c r="BD90" i="7" s="1"/>
  <c r="BC90" i="26" a="1"/>
  <c r="BC90" i="26" s="1"/>
  <c r="AI90" i="7" s="1"/>
  <c r="AV90" i="26" a="1"/>
  <c r="AV90" i="26" s="1"/>
  <c r="AB90" i="7" s="1"/>
  <c r="CF88" i="26" a="1"/>
  <c r="CF88" i="26" s="1"/>
  <c r="BL88" i="7" s="1"/>
  <c r="BN88" i="26" a="1"/>
  <c r="BN88" i="26" s="1"/>
  <c r="AT88" i="7" s="1"/>
  <c r="BJ89" i="26" a="1"/>
  <c r="BJ89" i="26" s="1"/>
  <c r="AP89" i="7" s="1"/>
  <c r="AT89" i="26" a="1"/>
  <c r="AT89" i="26" s="1"/>
  <c r="Z89" i="7" s="1"/>
  <c r="CB87" i="26" a="1"/>
  <c r="CB87" i="26" s="1"/>
  <c r="BH87" i="7" s="1"/>
  <c r="AZ87" i="26" a="1"/>
  <c r="AZ87" i="26" s="1"/>
  <c r="AF87" i="7" s="1"/>
  <c r="AS87" i="26" a="1"/>
  <c r="AS87" i="26" s="1"/>
  <c r="Y87" i="7" s="1"/>
  <c r="BZ86" i="26" a="1"/>
  <c r="BZ86" i="26" s="1"/>
  <c r="BF86" i="7" s="1"/>
  <c r="AG86" i="26" a="1"/>
  <c r="AG86" i="26" s="1"/>
  <c r="M86" i="7" s="1"/>
  <c r="BH11" i="26" a="1"/>
  <c r="BH11" i="26" s="1"/>
  <c r="AN11" i="7" s="1"/>
  <c r="BF80" i="26" a="1"/>
  <c r="BF80" i="26" s="1"/>
  <c r="AL80" i="7" s="1"/>
  <c r="AX80" i="26" a="1"/>
  <c r="AX80" i="26" s="1"/>
  <c r="AD80" i="7" s="1"/>
  <c r="AP80" i="26" a="1"/>
  <c r="AP80" i="26" s="1"/>
  <c r="V80" i="7" s="1"/>
  <c r="BY79" i="26" a="1"/>
  <c r="BY79" i="26" s="1"/>
  <c r="BE79" i="7" s="1"/>
  <c r="BN129" i="25"/>
  <c r="CH88" i="26" s="1" a="1"/>
  <c r="CH88" i="26" s="1"/>
  <c r="BN88" i="7" s="1"/>
  <c r="AU130" i="25"/>
  <c r="BO90" i="26" s="1" a="1"/>
  <c r="BO90" i="26" s="1"/>
  <c r="AU90" i="7" s="1"/>
  <c r="BC127" i="25"/>
  <c r="BW87" i="26" s="1" a="1"/>
  <c r="BW87" i="26" s="1"/>
  <c r="BC87" i="7" s="1"/>
  <c r="BN130" i="25"/>
  <c r="CH90" i="26" s="1" a="1"/>
  <c r="CH90" i="26" s="1"/>
  <c r="BN90" i="7" s="1"/>
  <c r="BK127" i="25"/>
  <c r="CE87" i="26" s="1" a="1"/>
  <c r="CE87" i="26" s="1"/>
  <c r="BK87" i="7" s="1"/>
  <c r="BT11" i="26" a="1"/>
  <c r="BT11" i="26" s="1"/>
  <c r="AZ11" i="7" s="1"/>
  <c r="AI80" i="26" a="1"/>
  <c r="AI80" i="26" s="1"/>
  <c r="O80" i="7" s="1"/>
  <c r="AA80" i="26" a="1"/>
  <c r="AA80" i="26" s="1"/>
  <c r="G80" i="7" s="1"/>
  <c r="BY95" i="26" a="1"/>
  <c r="BY95" i="26" s="1"/>
  <c r="BE95" i="7" s="1"/>
  <c r="BD95" i="26" a="1"/>
  <c r="BD95" i="26" s="1"/>
  <c r="AJ95" i="7" s="1"/>
  <c r="AJ95" i="26" a="1"/>
  <c r="AJ95" i="26" s="1"/>
  <c r="P95" i="7" s="1"/>
  <c r="CH93" i="26" a="1"/>
  <c r="CH93" i="26" s="1"/>
  <c r="BN93" i="7" s="1"/>
  <c r="BC93" i="26" a="1"/>
  <c r="BC93" i="26" s="1"/>
  <c r="AI93" i="7" s="1"/>
  <c r="BR94" i="26" a="1"/>
  <c r="BR94" i="26" s="1"/>
  <c r="AX94" i="7" s="1"/>
  <c r="BJ92" i="26" a="1"/>
  <c r="BJ92" i="26" s="1"/>
  <c r="AP92" i="7" s="1"/>
  <c r="AT92" i="26" a="1"/>
  <c r="AT92" i="26" s="1"/>
  <c r="Z92" i="7" s="1"/>
  <c r="Z92" i="26" a="1"/>
  <c r="Z92" i="26" s="1"/>
  <c r="F92" i="7" s="1"/>
  <c r="BW91" i="26" a="1"/>
  <c r="BW91" i="26" s="1"/>
  <c r="BC91" i="7" s="1"/>
  <c r="CB91" i="26" a="1"/>
  <c r="CB91" i="26" s="1"/>
  <c r="BH91" i="7" s="1"/>
  <c r="AZ91" i="26" a="1"/>
  <c r="AZ91" i="26" s="1"/>
  <c r="AF91" i="7" s="1"/>
  <c r="AS91" i="26" a="1"/>
  <c r="AS91" i="26" s="1"/>
  <c r="Y91" i="7" s="1"/>
  <c r="AF91" i="26" a="1"/>
  <c r="AF91" i="26" s="1"/>
  <c r="L91" i="7" s="1"/>
  <c r="BZ90" i="26" a="1"/>
  <c r="BZ90" i="26" s="1"/>
  <c r="BF90" i="7" s="1"/>
  <c r="BI90" i="26" a="1"/>
  <c r="BI90" i="26" s="1"/>
  <c r="AO90" i="7" s="1"/>
  <c r="AY90" i="26" a="1"/>
  <c r="AY90" i="26" s="1"/>
  <c r="AE90" i="7" s="1"/>
  <c r="AR90" i="26" a="1"/>
  <c r="AR90" i="26" s="1"/>
  <c r="X90" i="7" s="1"/>
  <c r="BM88" i="26" a="1"/>
  <c r="BM88" i="26" s="1"/>
  <c r="AS88" i="7" s="1"/>
  <c r="BH88" i="26" a="1"/>
  <c r="BH88" i="26" s="1"/>
  <c r="AN88" i="7" s="1"/>
  <c r="AW88" i="26" a="1"/>
  <c r="AW88" i="26" s="1"/>
  <c r="AC88" i="7" s="1"/>
  <c r="BL89" i="26" a="1"/>
  <c r="BL89" i="26" s="1"/>
  <c r="AR89" i="7" s="1"/>
  <c r="BF89" i="26" a="1"/>
  <c r="BF89" i="26" s="1"/>
  <c r="AL89" i="7" s="1"/>
  <c r="AX89" i="26" a="1"/>
  <c r="AX89" i="26" s="1"/>
  <c r="AD89" i="7" s="1"/>
  <c r="AP89" i="26" a="1"/>
  <c r="AP89" i="26" s="1"/>
  <c r="V89" i="7" s="1"/>
  <c r="AE89" i="26" a="1"/>
  <c r="AE89" i="26" s="1"/>
  <c r="K89" i="7" s="1"/>
  <c r="BY87" i="26" a="1"/>
  <c r="BY87" i="26" s="1"/>
  <c r="BE87" i="7" s="1"/>
  <c r="BE87" i="26" a="1"/>
  <c r="BE87" i="26" s="1"/>
  <c r="AK87" i="7" s="1"/>
  <c r="BD87" i="26" a="1"/>
  <c r="BD87" i="26" s="1"/>
  <c r="AJ87" i="7" s="1"/>
  <c r="AJ87" i="26" a="1"/>
  <c r="AJ87" i="26" s="1"/>
  <c r="P87" i="7" s="1"/>
  <c r="CH86" i="26" a="1"/>
  <c r="CH86" i="26" s="1"/>
  <c r="BN86" i="7" s="1"/>
  <c r="BO86" i="26" a="1"/>
  <c r="BO86" i="26" s="1"/>
  <c r="AU86" i="7" s="1"/>
  <c r="BT86" i="26" a="1"/>
  <c r="BT86" i="26" s="1"/>
  <c r="AZ86" i="7" s="1"/>
  <c r="BX86" i="26" a="1"/>
  <c r="BX86" i="26" s="1"/>
  <c r="BD86" i="7" s="1"/>
  <c r="BC86" i="26" a="1"/>
  <c r="BC86" i="26" s="1"/>
  <c r="AI86" i="7" s="1"/>
  <c r="AV86" i="26" a="1"/>
  <c r="AV86" i="26" s="1"/>
  <c r="AB86" i="7" s="1"/>
  <c r="BR11" i="26" a="1"/>
  <c r="BR11" i="26" s="1"/>
  <c r="AX11" i="7" s="1"/>
  <c r="BJ80" i="26" a="1"/>
  <c r="BJ80" i="26" s="1"/>
  <c r="AP80" i="7" s="1"/>
  <c r="AT80" i="26" a="1"/>
  <c r="AT80" i="26" s="1"/>
  <c r="Z80" i="7" s="1"/>
  <c r="BW79" i="26" a="1"/>
  <c r="BW79" i="26" s="1"/>
  <c r="BC79" i="7" s="1"/>
  <c r="CB79" i="26" a="1"/>
  <c r="CB79" i="26" s="1"/>
  <c r="BH79" i="7" s="1"/>
  <c r="AF79" i="26" a="1"/>
  <c r="AF79" i="26" s="1"/>
  <c r="L79" i="7" s="1"/>
  <c r="CG90" i="26" a="1"/>
  <c r="CG90" i="26" s="1"/>
  <c r="BM90" i="7" s="1"/>
  <c r="Y126" i="25"/>
  <c r="AS86" i="26" s="1" a="1"/>
  <c r="AS86" i="26" s="1"/>
  <c r="Y86" i="7" s="1"/>
  <c r="AI129" i="25"/>
  <c r="BC88" i="26" s="1" a="1"/>
  <c r="BC88" i="26" s="1"/>
  <c r="AI88" i="7" s="1"/>
  <c r="AO130" i="25"/>
  <c r="AX128" i="25"/>
  <c r="BR89" i="26" s="1" a="1"/>
  <c r="BR89" i="26" s="1"/>
  <c r="AX89" i="7" s="1"/>
  <c r="BG129" i="25"/>
  <c r="CA88" i="26" s="1" a="1"/>
  <c r="CA88" i="26" s="1"/>
  <c r="BG88" i="7" s="1"/>
  <c r="BK128" i="25"/>
  <c r="CE89" i="26" s="1" a="1"/>
  <c r="CE89" i="26" s="1"/>
  <c r="BK89" i="7" s="1"/>
  <c r="BM126" i="25"/>
  <c r="CG86" i="26" s="1" a="1"/>
  <c r="CG86" i="26" s="1"/>
  <c r="BM86" i="7" s="1"/>
  <c r="AV94" i="25"/>
  <c r="BP83" i="26" s="1" a="1"/>
  <c r="BP83" i="26" s="1"/>
  <c r="AV83" i="7" s="1"/>
  <c r="X91" i="26" a="1"/>
  <c r="X91" i="26" s="1"/>
  <c r="D91" i="7" s="1"/>
  <c r="C105" i="23"/>
  <c r="BM94" i="25" s="1"/>
  <c r="CG83" i="26" s="1" a="1"/>
  <c r="CG83" i="26" s="1"/>
  <c r="BM83" i="7" s="1"/>
  <c r="D94" i="25"/>
  <c r="X83" i="26" s="1" a="1"/>
  <c r="X83" i="26" s="1"/>
  <c r="D83" i="7" s="1"/>
  <c r="AB90" i="26" a="1"/>
  <c r="AB90" i="26" s="1"/>
  <c r="H90" i="7" s="1"/>
  <c r="AD89" i="26" a="1"/>
  <c r="AD89" i="26" s="1"/>
  <c r="J89" i="7" s="1"/>
  <c r="AM86" i="26" a="1"/>
  <c r="AM86" i="26" s="1"/>
  <c r="S86" i="7" s="1"/>
  <c r="AO11" i="26" a="1"/>
  <c r="AO11" i="26" s="1"/>
  <c r="U11" i="7" s="1"/>
  <c r="AS90" i="26" a="1"/>
  <c r="AS90" i="26" s="1"/>
  <c r="Y90" i="7" s="1"/>
  <c r="BM89" i="26" a="1"/>
  <c r="BM89" i="26" s="1"/>
  <c r="AS89" i="7" s="1"/>
  <c r="AW89" i="26" a="1"/>
  <c r="AW89" i="26" s="1"/>
  <c r="AC89" i="7" s="1"/>
  <c r="BC11" i="26" a="1"/>
  <c r="BC11" i="26" s="1"/>
  <c r="AI11" i="7" s="1"/>
  <c r="AK89" i="26" a="1"/>
  <c r="AK89" i="26" s="1"/>
  <c r="Q89" i="7" s="1"/>
  <c r="AU11" i="26" a="1"/>
  <c r="AU11" i="26" s="1"/>
  <c r="AA11" i="7" s="1"/>
  <c r="BG79" i="26" a="1"/>
  <c r="BG79" i="26" s="1"/>
  <c r="AM79" i="7" s="1"/>
  <c r="BE89" i="26" a="1"/>
  <c r="BE89" i="26" s="1"/>
  <c r="AK89" i="7" s="1"/>
  <c r="BO87" i="26" a="1"/>
  <c r="BO87" i="26" s="1"/>
  <c r="AU87" i="7" s="1"/>
  <c r="AH87" i="26" a="1"/>
  <c r="AH87" i="26" s="1"/>
  <c r="N87" i="7" s="1"/>
  <c r="Y80" i="26" a="1"/>
  <c r="Y80" i="26" s="1"/>
  <c r="E80" i="7" s="1"/>
  <c r="AY79" i="26" a="1"/>
  <c r="AY79" i="26" s="1"/>
  <c r="AE79" i="7" s="1"/>
  <c r="Y92" i="26" a="1"/>
  <c r="Y92" i="26" s="1"/>
  <c r="E92" i="7" s="1"/>
  <c r="BA93" i="26" a="1"/>
  <c r="BA93" i="26" s="1"/>
  <c r="AG93" i="7" s="1"/>
  <c r="AQ91" i="26" a="1"/>
  <c r="AQ91" i="26" s="1"/>
  <c r="W91" i="7" s="1"/>
  <c r="BK88" i="26" a="1"/>
  <c r="BK88" i="26" s="1"/>
  <c r="AQ88" i="7" s="1"/>
  <c r="BA86" i="26" a="1"/>
  <c r="BA86" i="26" s="1"/>
  <c r="AG86" i="7" s="1"/>
  <c r="AE95" i="26" a="1"/>
  <c r="AE95" i="26" s="1"/>
  <c r="K95" i="7" s="1"/>
  <c r="AF90" i="26" a="1"/>
  <c r="AF90" i="26" s="1"/>
  <c r="L90" i="7" s="1"/>
  <c r="AJ93" i="26" a="1"/>
  <c r="AJ93" i="26" s="1"/>
  <c r="P93" i="7" s="1"/>
  <c r="AC88" i="26" a="1"/>
  <c r="AC88" i="26" s="1"/>
  <c r="I88" i="7" s="1"/>
  <c r="AB93" i="26" a="1"/>
  <c r="AB93" i="26" s="1"/>
  <c r="H93" i="7" s="1"/>
  <c r="Z94" i="26" a="1"/>
  <c r="Z94" i="26" s="1"/>
  <c r="F94" i="7" s="1"/>
  <c r="AU89" i="26" a="1"/>
  <c r="AU89" i="26" s="1"/>
  <c r="AA89" i="7" s="1"/>
  <c r="BG86" i="26" a="1"/>
  <c r="BG86" i="26" s="1"/>
  <c r="AM86" i="7" s="1"/>
  <c r="BI11" i="26" a="1"/>
  <c r="BI11" i="26" s="1"/>
  <c r="AO11" i="7" s="1"/>
  <c r="AG88" i="26" a="1"/>
  <c r="AG88" i="26" s="1"/>
  <c r="M88" i="7" s="1"/>
  <c r="AI95" i="26" a="1"/>
  <c r="AI95" i="26" s="1"/>
  <c r="O95" i="7" s="1"/>
  <c r="AA95" i="26" a="1"/>
  <c r="AA95" i="26" s="1"/>
  <c r="G95" i="7" s="1"/>
  <c r="X92" i="26" a="1"/>
  <c r="X92" i="26" s="1"/>
  <c r="D92" i="7" s="1"/>
  <c r="AF93" i="26" a="1"/>
  <c r="AF93" i="26" s="1"/>
  <c r="L93" i="7" s="1"/>
  <c r="AL94" i="26" a="1"/>
  <c r="AL94" i="26" s="1"/>
  <c r="R94" i="7" s="1"/>
  <c r="AE91" i="26" a="1"/>
  <c r="AE91" i="26" s="1"/>
  <c r="K91" i="7" s="1"/>
  <c r="AJ90" i="26" a="1"/>
  <c r="AJ90" i="26" s="1"/>
  <c r="P90" i="7" s="1"/>
  <c r="AF86" i="26" a="1"/>
  <c r="AF86" i="26" s="1"/>
  <c r="L86" i="7" s="1"/>
  <c r="AL11" i="26" a="1"/>
  <c r="AL11" i="26" s="1"/>
  <c r="R11" i="7" s="1"/>
  <c r="AD93" i="26" a="1"/>
  <c r="AD93" i="26" s="1"/>
  <c r="J93" i="7" s="1"/>
  <c r="AD86" i="26" a="1"/>
  <c r="AD86" i="26" s="1"/>
  <c r="J86" i="7" s="1"/>
  <c r="AD95" i="26" a="1"/>
  <c r="AD95" i="26" s="1"/>
  <c r="J95" i="7" s="1"/>
  <c r="AI94" i="26" a="1"/>
  <c r="AI94" i="26" s="1"/>
  <c r="O94" i="7" s="1"/>
  <c r="AA94" i="26" a="1"/>
  <c r="AA94" i="26" s="1"/>
  <c r="G94" i="7" s="1"/>
  <c r="AD87" i="26" a="1"/>
  <c r="AD87" i="26" s="1"/>
  <c r="J87" i="7" s="1"/>
  <c r="CE79" i="26" a="1"/>
  <c r="CE79" i="26" s="1"/>
  <c r="BK79" i="7" s="1"/>
  <c r="BQ88" i="26" a="1"/>
  <c r="BQ88" i="26" s="1"/>
  <c r="AW88" i="7" s="1"/>
  <c r="BK95" i="26" a="1"/>
  <c r="BK95" i="26" s="1"/>
  <c r="AQ95" i="7" s="1"/>
  <c r="AO95" i="26" a="1"/>
  <c r="AO95" i="26" s="1"/>
  <c r="U95" i="7" s="1"/>
  <c r="AH93" i="26" a="1"/>
  <c r="AH93" i="26" s="1"/>
  <c r="N93" i="7" s="1"/>
  <c r="BA92" i="26" a="1"/>
  <c r="BA92" i="26" s="1"/>
  <c r="AG92" i="7" s="1"/>
  <c r="Y91" i="26" a="1"/>
  <c r="Y91" i="26" s="1"/>
  <c r="E91" i="7" s="1"/>
  <c r="AQ88" i="26" a="1"/>
  <c r="AQ88" i="26" s="1"/>
  <c r="W88" i="7" s="1"/>
  <c r="CC89" i="26" a="1"/>
  <c r="CC89" i="26" s="1"/>
  <c r="BI89" i="7" s="1"/>
  <c r="BK87" i="26" a="1"/>
  <c r="BK87" i="26" s="1"/>
  <c r="AQ87" i="7" s="1"/>
  <c r="AO87" i="26" a="1"/>
  <c r="AO87" i="26" s="1"/>
  <c r="U87" i="7" s="1"/>
  <c r="AH86" i="26" a="1"/>
  <c r="AH86" i="26" s="1"/>
  <c r="N86" i="7" s="1"/>
  <c r="AM11" i="26" a="1"/>
  <c r="AM11" i="26" s="1"/>
  <c r="S11" i="7" s="1"/>
  <c r="Z80" i="26" a="1"/>
  <c r="Z80" i="26" s="1"/>
  <c r="F80" i="7" s="1"/>
  <c r="AI87" i="26" a="1"/>
  <c r="AI87" i="26" s="1"/>
  <c r="O87" i="7" s="1"/>
  <c r="AA87" i="26" a="1"/>
  <c r="AA87" i="26" s="1"/>
  <c r="G87" i="7" s="1"/>
  <c r="AQ94" i="26" a="1"/>
  <c r="AQ94" i="26" s="1"/>
  <c r="W94" i="7" s="1"/>
  <c r="CC80" i="26" a="1"/>
  <c r="CC80" i="26" s="1"/>
  <c r="BI80" i="7" s="1"/>
  <c r="BK91" i="26" a="1"/>
  <c r="BK91" i="26" s="1"/>
  <c r="AQ91" i="7" s="1"/>
  <c r="BR88" i="26" a="1"/>
  <c r="BR88" i="26" s="1"/>
  <c r="AX88" i="7" s="1"/>
  <c r="BM93" i="26" a="1"/>
  <c r="BM93" i="26" s="1"/>
  <c r="AS93" i="7" s="1"/>
  <c r="AW93" i="26" a="1"/>
  <c r="AW93" i="26" s="1"/>
  <c r="AC93" i="7" s="1"/>
  <c r="AK94" i="26" a="1"/>
  <c r="AK94" i="26" s="1"/>
  <c r="Q94" i="7" s="1"/>
  <c r="BC91" i="26" a="1"/>
  <c r="BC91" i="26" s="1"/>
  <c r="AI91" i="7" s="1"/>
  <c r="AS89" i="26" a="1"/>
  <c r="AS89" i="26" s="1"/>
  <c r="Y89" i="7" s="1"/>
  <c r="BM86" i="26" a="1"/>
  <c r="BM86" i="26" s="1"/>
  <c r="AS86" i="7" s="1"/>
  <c r="AW86" i="26" a="1"/>
  <c r="AW86" i="26" s="1"/>
  <c r="AC86" i="7" s="1"/>
  <c r="AK11" i="26" a="1"/>
  <c r="AK11" i="26" s="1"/>
  <c r="Q11" i="7" s="1"/>
  <c r="AD91" i="26" a="1"/>
  <c r="AD91" i="26" s="1"/>
  <c r="J91" i="7" s="1"/>
  <c r="AD79" i="26" a="1"/>
  <c r="AD79" i="26" s="1"/>
  <c r="J79" i="7" s="1"/>
  <c r="AK95" i="26" a="1"/>
  <c r="AK95" i="26" s="1"/>
  <c r="Q95" i="7" s="1"/>
  <c r="AH94" i="26" a="1"/>
  <c r="AH94" i="26" s="1"/>
  <c r="N94" i="7" s="1"/>
  <c r="AB94" i="26" a="1"/>
  <c r="AB94" i="26" s="1"/>
  <c r="H94" i="7" s="1"/>
  <c r="AM92" i="26" a="1"/>
  <c r="AM92" i="26" s="1"/>
  <c r="S92" i="7" s="1"/>
  <c r="Z91" i="26" a="1"/>
  <c r="Z91" i="26" s="1"/>
  <c r="F91" i="7" s="1"/>
  <c r="Y90" i="26" a="1"/>
  <c r="Y90" i="26" s="1"/>
  <c r="E90" i="7" s="1"/>
  <c r="X88" i="26" a="1"/>
  <c r="X88" i="26" s="1"/>
  <c r="D88" i="7" s="1"/>
  <c r="AC89" i="26" a="1"/>
  <c r="AC89" i="26" s="1"/>
  <c r="I89" i="7" s="1"/>
  <c r="BF87" i="26" a="1"/>
  <c r="BF87" i="26" s="1"/>
  <c r="AL87" i="7" s="1"/>
  <c r="AX87" i="26" a="1"/>
  <c r="AX87" i="26" s="1"/>
  <c r="AD87" i="7" s="1"/>
  <c r="AP87" i="26" a="1"/>
  <c r="AP87" i="26" s="1"/>
  <c r="V87" i="7" s="1"/>
  <c r="AK87" i="26" a="1"/>
  <c r="AK87" i="26" s="1"/>
  <c r="Q87" i="7" s="1"/>
  <c r="AB11" i="26" a="1"/>
  <c r="AB11" i="26" s="1"/>
  <c r="H11" i="7" s="1"/>
  <c r="AM80" i="26" a="1"/>
  <c r="AM80" i="26" s="1"/>
  <c r="S80" i="7" s="1"/>
  <c r="Z79" i="26" a="1"/>
  <c r="Z79" i="26" s="1"/>
  <c r="F79" i="7" s="1"/>
  <c r="X90" i="26" a="1"/>
  <c r="X90" i="26" s="1"/>
  <c r="D90" i="7" s="1"/>
  <c r="AI93" i="26" a="1"/>
  <c r="AI93" i="26" s="1"/>
  <c r="O93" i="7" s="1"/>
  <c r="AF92" i="26" a="1"/>
  <c r="AF92" i="26" s="1"/>
  <c r="L92" i="7" s="1"/>
  <c r="AG91" i="26" a="1"/>
  <c r="AG91" i="26" s="1"/>
  <c r="M91" i="7" s="1"/>
  <c r="BM90" i="26" a="1"/>
  <c r="BM90" i="26" s="1"/>
  <c r="AS90" i="7" s="1"/>
  <c r="AE88" i="26" a="1"/>
  <c r="AE88" i="26" s="1"/>
  <c r="K88" i="7" s="1"/>
  <c r="AJ89" i="26" a="1"/>
  <c r="AJ89" i="26" s="1"/>
  <c r="P89" i="7" s="1"/>
  <c r="BC87" i="26" a="1"/>
  <c r="BC87" i="26" s="1"/>
  <c r="AI87" i="7" s="1"/>
  <c r="BN86" i="26" a="1"/>
  <c r="BN86" i="26" s="1"/>
  <c r="AT86" i="7" s="1"/>
  <c r="AS80" i="26" a="1"/>
  <c r="AS80" i="26" s="1"/>
  <c r="Y80" i="7" s="1"/>
  <c r="AU95" i="26" a="1"/>
  <c r="AU95" i="26" s="1"/>
  <c r="AA95" i="7" s="1"/>
  <c r="AM95" i="26" a="1"/>
  <c r="AM95" i="26" s="1"/>
  <c r="S95" i="7" s="1"/>
  <c r="Z93" i="26" a="1"/>
  <c r="Z93" i="26" s="1"/>
  <c r="F93" i="7" s="1"/>
  <c r="BG94" i="26" a="1"/>
  <c r="BG94" i="26" s="1"/>
  <c r="AM94" i="7" s="1"/>
  <c r="AZ94" i="26" a="1"/>
  <c r="AZ94" i="26" s="1"/>
  <c r="AF94" i="7" s="1"/>
  <c r="AF94" i="26" a="1"/>
  <c r="AF94" i="26" s="1"/>
  <c r="L94" i="7" s="1"/>
  <c r="Y94" i="26" a="1"/>
  <c r="Y94" i="26" s="1"/>
  <c r="E94" i="7" s="1"/>
  <c r="BI92" i="26" a="1"/>
  <c r="BI92" i="26" s="1"/>
  <c r="AO92" i="7" s="1"/>
  <c r="AL92" i="26" a="1"/>
  <c r="AL92" i="26" s="1"/>
  <c r="R92" i="7" s="1"/>
  <c r="AG92" i="26" a="1"/>
  <c r="AG92" i="26" s="1"/>
  <c r="M92" i="7" s="1"/>
  <c r="CA91" i="26" a="1"/>
  <c r="CA91" i="26" s="1"/>
  <c r="BG91" i="7" s="1"/>
  <c r="AC91" i="26" a="1"/>
  <c r="AC91" i="26" s="1"/>
  <c r="I91" i="7" s="1"/>
  <c r="BF90" i="26" a="1"/>
  <c r="BF90" i="26" s="1"/>
  <c r="AL90" i="7" s="1"/>
  <c r="AX90" i="26" a="1"/>
  <c r="AX90" i="26" s="1"/>
  <c r="AD90" i="7" s="1"/>
  <c r="AP90" i="26" a="1"/>
  <c r="AP90" i="26" s="1"/>
  <c r="V90" i="7" s="1"/>
  <c r="AB89" i="26" a="1"/>
  <c r="AB89" i="26" s="1"/>
  <c r="H89" i="7" s="1"/>
  <c r="AL80" i="26" a="1"/>
  <c r="AL80" i="26" s="1"/>
  <c r="R80" i="7" s="1"/>
  <c r="AG80" i="26" a="1"/>
  <c r="AG80" i="26" s="1"/>
  <c r="M80" i="7" s="1"/>
  <c r="CA79" i="26" a="1"/>
  <c r="CA79" i="26" s="1"/>
  <c r="BG79" i="7" s="1"/>
  <c r="AQ79" i="26" a="1"/>
  <c r="AQ79" i="26" s="1"/>
  <c r="W79" i="7" s="1"/>
  <c r="CG89" i="26" a="1"/>
  <c r="CG89" i="26" s="1"/>
  <c r="BM89" i="7" s="1"/>
  <c r="AA93" i="26" a="1"/>
  <c r="AA93" i="26" s="1"/>
  <c r="G93" i="7" s="1"/>
  <c r="AS92" i="26" a="1"/>
  <c r="AS92" i="26" s="1"/>
  <c r="Y92" i="7" s="1"/>
  <c r="AW90" i="26" a="1"/>
  <c r="AW90" i="26" s="1"/>
  <c r="AC90" i="7" s="1"/>
  <c r="AK88" i="26" a="1"/>
  <c r="AK88" i="26" s="1"/>
  <c r="Q88" i="7" s="1"/>
  <c r="AO89" i="26" a="1"/>
  <c r="AO89" i="26" s="1"/>
  <c r="U89" i="7" s="1"/>
  <c r="AV87" i="26" a="1"/>
  <c r="AV87" i="26" s="1"/>
  <c r="AB87" i="7" s="1"/>
  <c r="AF80" i="26" a="1"/>
  <c r="AF80" i="26" s="1"/>
  <c r="L80" i="7" s="1"/>
  <c r="Z95" i="26" a="1"/>
  <c r="Z95" i="26" s="1"/>
  <c r="F95" i="7" s="1"/>
  <c r="AY94" i="26" a="1"/>
  <c r="AY94" i="26" s="1"/>
  <c r="AE94" i="7" s="1"/>
  <c r="AR94" i="26" a="1"/>
  <c r="AR94" i="26" s="1"/>
  <c r="X94" i="7" s="1"/>
  <c r="AG94" i="26" a="1"/>
  <c r="AG94" i="26" s="1"/>
  <c r="M94" i="7" s="1"/>
  <c r="X94" i="26" a="1"/>
  <c r="X94" i="26" s="1"/>
  <c r="D94" i="7" s="1"/>
  <c r="AC92" i="26" a="1"/>
  <c r="AC92" i="26" s="1"/>
  <c r="I92" i="7" s="1"/>
  <c r="BL91" i="26" a="1"/>
  <c r="BL91" i="26" s="1"/>
  <c r="AR91" i="7" s="1"/>
  <c r="BP91" i="26" a="1"/>
  <c r="BP91" i="26" s="1"/>
  <c r="AV91" i="7" s="1"/>
  <c r="AK91" i="26" a="1"/>
  <c r="AK91" i="26" s="1"/>
  <c r="Q91" i="7" s="1"/>
  <c r="BY90" i="26" a="1"/>
  <c r="BY90" i="26" s="1"/>
  <c r="BE90" i="7" s="1"/>
  <c r="BE90" i="26" a="1"/>
  <c r="BE90" i="26" s="1"/>
  <c r="AK90" i="7" s="1"/>
  <c r="BO88" i="26" a="1"/>
  <c r="BO88" i="26" s="1"/>
  <c r="AU88" i="7" s="1"/>
  <c r="BT88" i="26" a="1"/>
  <c r="BT88" i="26" s="1"/>
  <c r="AZ88" i="7" s="1"/>
  <c r="BX88" i="26" a="1"/>
  <c r="BX88" i="26" s="1"/>
  <c r="BD88" i="7" s="1"/>
  <c r="BB89" i="26" a="1"/>
  <c r="BB89" i="26" s="1"/>
  <c r="AH89" i="7" s="1"/>
  <c r="Z87" i="26" a="1"/>
  <c r="Z87" i="26" s="1"/>
  <c r="F87" i="7" s="1"/>
  <c r="AY11" i="26" a="1"/>
  <c r="AY11" i="26" s="1"/>
  <c r="AE11" i="7" s="1"/>
  <c r="X11" i="26" a="1"/>
  <c r="X11" i="26" s="1"/>
  <c r="D11" i="7" s="1"/>
  <c r="BP79" i="26" a="1"/>
  <c r="BP79" i="26" s="1"/>
  <c r="AV79" i="7" s="1"/>
  <c r="AK79" i="26" a="1"/>
  <c r="AK79" i="26" s="1"/>
  <c r="Q79" i="7" s="1"/>
  <c r="CG95" i="26" a="1"/>
  <c r="CG95" i="26" s="1"/>
  <c r="BM95" i="7" s="1"/>
  <c r="CG87" i="26" a="1"/>
  <c r="CG87" i="26" s="1"/>
  <c r="BM87" i="7" s="1"/>
  <c r="AH11" i="26" a="1"/>
  <c r="AH11" i="26" s="1"/>
  <c r="N11" i="7" s="1"/>
  <c r="BR80" i="26" a="1"/>
  <c r="BR80" i="26" s="1"/>
  <c r="AX80" i="7" s="1"/>
  <c r="AG90" i="26" a="1"/>
  <c r="AG90" i="26" s="1"/>
  <c r="M90" i="7" s="1"/>
  <c r="BB11" i="26" a="1"/>
  <c r="BB11" i="26" s="1"/>
  <c r="AH11" i="7" s="1"/>
  <c r="AU88" i="26" a="1"/>
  <c r="AU88" i="26" s="1"/>
  <c r="AA88" i="7" s="1"/>
  <c r="BI86" i="26" a="1"/>
  <c r="BI86" i="26" s="1"/>
  <c r="AO86" i="7" s="1"/>
  <c r="CB93" i="26" a="1"/>
  <c r="CB93" i="26" s="1"/>
  <c r="BH93" i="7" s="1"/>
  <c r="AZ93" i="26" a="1"/>
  <c r="AZ93" i="26" s="1"/>
  <c r="AF93" i="7" s="1"/>
  <c r="BZ94" i="26" a="1"/>
  <c r="BZ94" i="26" s="1"/>
  <c r="BF94" i="7" s="1"/>
  <c r="CA94" i="26" a="1"/>
  <c r="CA94" i="26" s="1"/>
  <c r="BG94" i="7" s="1"/>
  <c r="AK92" i="26" a="1"/>
  <c r="AK92" i="26" s="1"/>
  <c r="Q92" i="7" s="1"/>
  <c r="Y87" i="26" a="1"/>
  <c r="Y87" i="26" s="1"/>
  <c r="E87" i="7" s="1"/>
  <c r="AY95" i="26" a="1"/>
  <c r="AY95" i="26" s="1"/>
  <c r="AE95" i="7" s="1"/>
  <c r="AG95" i="26" a="1"/>
  <c r="AG95" i="26" s="1"/>
  <c r="M95" i="7" s="1"/>
  <c r="X95" i="26" a="1"/>
  <c r="X95" i="26" s="1"/>
  <c r="D95" i="7" s="1"/>
  <c r="BH93" i="26" a="1"/>
  <c r="BH93" i="26" s="1"/>
  <c r="AN93" i="7" s="1"/>
  <c r="AC93" i="26" a="1"/>
  <c r="AC93" i="26" s="1"/>
  <c r="I93" i="7" s="1"/>
  <c r="AE94" i="26" a="1"/>
  <c r="AE94" i="26" s="1"/>
  <c r="K94" i="7" s="1"/>
  <c r="BY92" i="26" a="1"/>
  <c r="BY92" i="26" s="1"/>
  <c r="BE92" i="7" s="1"/>
  <c r="BE92" i="26" a="1"/>
  <c r="BE92" i="26" s="1"/>
  <c r="AK92" i="7" s="1"/>
  <c r="BD92" i="26" a="1"/>
  <c r="BD92" i="26" s="1"/>
  <c r="AJ92" i="7" s="1"/>
  <c r="AO92" i="26" a="1"/>
  <c r="AO92" i="26" s="1"/>
  <c r="U92" i="7" s="1"/>
  <c r="AJ92" i="26" a="1"/>
  <c r="AJ92" i="26" s="1"/>
  <c r="P92" i="7" s="1"/>
  <c r="AD92" i="26" a="1"/>
  <c r="AD92" i="26" s="1"/>
  <c r="J92" i="7" s="1"/>
  <c r="BO91" i="26" a="1"/>
  <c r="BO91" i="26" s="1"/>
  <c r="AU91" i="7" s="1"/>
  <c r="AH91" i="26" a="1"/>
  <c r="AH91" i="26" s="1"/>
  <c r="N91" i="7" s="1"/>
  <c r="AB91" i="26" a="1"/>
  <c r="AB91" i="26" s="1"/>
  <c r="H91" i="7" s="1"/>
  <c r="AM90" i="26" a="1"/>
  <c r="AM90" i="26" s="1"/>
  <c r="S90" i="7" s="1"/>
  <c r="AI90" i="26" a="1"/>
  <c r="AI90" i="26" s="1"/>
  <c r="O90" i="7" s="1"/>
  <c r="AA90" i="26" a="1"/>
  <c r="AA90" i="26" s="1"/>
  <c r="G90" i="7" s="1"/>
  <c r="BJ88" i="26" a="1"/>
  <c r="BJ88" i="26" s="1"/>
  <c r="AP88" i="7" s="1"/>
  <c r="AT88" i="26" a="1"/>
  <c r="AT88" i="26" s="1"/>
  <c r="Z88" i="7" s="1"/>
  <c r="AF89" i="26" a="1"/>
  <c r="AF89" i="26" s="1"/>
  <c r="L89" i="7" s="1"/>
  <c r="Y89" i="26" a="1"/>
  <c r="Y89" i="26" s="1"/>
  <c r="E89" i="7" s="1"/>
  <c r="AY87" i="26" a="1"/>
  <c r="AY87" i="26" s="1"/>
  <c r="AE87" i="7" s="1"/>
  <c r="AG87" i="26" a="1"/>
  <c r="AG87" i="26" s="1"/>
  <c r="M87" i="7" s="1"/>
  <c r="BH86" i="26" a="1"/>
  <c r="BH86" i="26" s="1"/>
  <c r="AN86" i="7" s="1"/>
  <c r="AC86" i="26" a="1"/>
  <c r="AC86" i="26" s="1"/>
  <c r="I86" i="7" s="1"/>
  <c r="BY80" i="26" a="1"/>
  <c r="BY80" i="26" s="1"/>
  <c r="BE80" i="7" s="1"/>
  <c r="BE80" i="26" a="1"/>
  <c r="BE80" i="26" s="1"/>
  <c r="AK80" i="7" s="1"/>
  <c r="AO80" i="26" a="1"/>
  <c r="AO80" i="26" s="1"/>
  <c r="U80" i="7" s="1"/>
  <c r="BO79" i="26" a="1"/>
  <c r="BO79" i="26" s="1"/>
  <c r="AU79" i="7" s="1"/>
  <c r="BG95" i="26" a="1"/>
  <c r="BG95" i="26" s="1"/>
  <c r="AM95" i="7" s="1"/>
  <c r="Y95" i="26" a="1"/>
  <c r="Y95" i="26" s="1"/>
  <c r="E95" i="7" s="1"/>
  <c r="BI93" i="26" a="1"/>
  <c r="BI93" i="26" s="1"/>
  <c r="AO93" i="7" s="1"/>
  <c r="AO91" i="26" a="1"/>
  <c r="AO91" i="26" s="1"/>
  <c r="U91" i="7" s="1"/>
  <c r="AH90" i="26" a="1"/>
  <c r="AH90" i="26" s="1"/>
  <c r="N90" i="7" s="1"/>
  <c r="BG87" i="26" a="1"/>
  <c r="BG87" i="26" s="1"/>
  <c r="AM87" i="7" s="1"/>
  <c r="CA11" i="26" a="1"/>
  <c r="CA11" i="26" s="1"/>
  <c r="BG11" i="7" s="1"/>
  <c r="AO79" i="26" a="1"/>
  <c r="AO79" i="26" s="1"/>
  <c r="U79" i="7" s="1"/>
  <c r="AQ95" i="26" a="1"/>
  <c r="AQ95" i="26" s="1"/>
  <c r="W95" i="7" s="1"/>
  <c r="AC95" i="26" a="1"/>
  <c r="AC95" i="26" s="1"/>
  <c r="I95" i="7" s="1"/>
  <c r="CC93" i="26" a="1"/>
  <c r="CC93" i="26" s="1"/>
  <c r="BI93" i="7" s="1"/>
  <c r="AK93" i="26" a="1"/>
  <c r="AK93" i="26" s="1"/>
  <c r="Q93" i="7" s="1"/>
  <c r="AE93" i="26" a="1"/>
  <c r="AE93" i="26" s="1"/>
  <c r="K93" i="7" s="1"/>
  <c r="BK94" i="26" a="1"/>
  <c r="BK94" i="26" s="1"/>
  <c r="AQ94" i="7" s="1"/>
  <c r="AJ94" i="26" a="1"/>
  <c r="AJ94" i="26" s="1"/>
  <c r="P94" i="7" s="1"/>
  <c r="BT92" i="26" a="1"/>
  <c r="BT92" i="26" s="1"/>
  <c r="AZ92" i="7" s="1"/>
  <c r="BX92" i="26" a="1"/>
  <c r="BX92" i="26" s="1"/>
  <c r="BD92" i="7" s="1"/>
  <c r="AV92" i="26" a="1"/>
  <c r="AV92" i="26" s="1"/>
  <c r="AB92" i="7" s="1"/>
  <c r="AB92" i="26" a="1"/>
  <c r="AB92" i="26" s="1"/>
  <c r="H92" i="7" s="1"/>
  <c r="BN91" i="26" a="1"/>
  <c r="BN91" i="26" s="1"/>
  <c r="AT91" i="7" s="1"/>
  <c r="AM91" i="26" a="1"/>
  <c r="AM91" i="26" s="1"/>
  <c r="S91" i="7" s="1"/>
  <c r="AI91" i="26" a="1"/>
  <c r="AI91" i="26" s="1"/>
  <c r="O91" i="7" s="1"/>
  <c r="AA91" i="26" a="1"/>
  <c r="AA91" i="26" s="1"/>
  <c r="G91" i="7" s="1"/>
  <c r="BA90" i="26" a="1"/>
  <c r="BA90" i="26" s="1"/>
  <c r="AG90" i="7" s="1"/>
  <c r="Z90" i="26" a="1"/>
  <c r="Z90" i="26" s="1"/>
  <c r="F90" i="7" s="1"/>
  <c r="AF88" i="26" a="1"/>
  <c r="AF88" i="26" s="1"/>
  <c r="L88" i="7" s="1"/>
  <c r="AG89" i="26" a="1"/>
  <c r="AG89" i="26" s="1"/>
  <c r="M89" i="7" s="1"/>
  <c r="X89" i="26" a="1"/>
  <c r="X89" i="26" s="1"/>
  <c r="D89" i="7" s="1"/>
  <c r="AQ87" i="26" a="1"/>
  <c r="AQ87" i="26" s="1"/>
  <c r="W87" i="7" s="1"/>
  <c r="AC87" i="26" a="1"/>
  <c r="AC87" i="26" s="1"/>
  <c r="I87" i="7" s="1"/>
  <c r="CC86" i="26" a="1"/>
  <c r="CC86" i="26" s="1"/>
  <c r="BI86" i="7" s="1"/>
  <c r="AK86" i="26" a="1"/>
  <c r="AK86" i="26" s="1"/>
  <c r="Q86" i="7" s="1"/>
  <c r="AE86" i="26" a="1"/>
  <c r="AE86" i="26" s="1"/>
  <c r="K86" i="7" s="1"/>
  <c r="BK11" i="26" a="1"/>
  <c r="BK11" i="26" s="1"/>
  <c r="AQ11" i="7" s="1"/>
  <c r="AJ11" i="26" a="1"/>
  <c r="AJ11" i="26" s="1"/>
  <c r="P11" i="7" s="1"/>
  <c r="BT80" i="26" a="1"/>
  <c r="BT80" i="26" s="1"/>
  <c r="AZ80" i="7" s="1"/>
  <c r="BX80" i="26" a="1"/>
  <c r="BX80" i="26" s="1"/>
  <c r="BD80" i="7" s="1"/>
  <c r="AV80" i="26" a="1"/>
  <c r="AV80" i="26" s="1"/>
  <c r="AB80" i="7" s="1"/>
  <c r="AB80" i="26" a="1"/>
  <c r="AB80" i="26" s="1"/>
  <c r="H80" i="7" s="1"/>
  <c r="BN79" i="26" a="1"/>
  <c r="BN79" i="26" s="1"/>
  <c r="AT79" i="7" s="1"/>
  <c r="AM79" i="26" a="1"/>
  <c r="AM79" i="26" s="1"/>
  <c r="S79" i="7" s="1"/>
  <c r="X80" i="26" a="1"/>
  <c r="X80" i="26" s="1"/>
  <c r="D80" i="7" s="1"/>
  <c r="AE87" i="26" a="1"/>
  <c r="AE87" i="26" s="1"/>
  <c r="K87" i="7" s="1"/>
  <c r="AJ86" i="26" a="1"/>
  <c r="AJ86" i="26" s="1"/>
  <c r="P86" i="7" s="1"/>
  <c r="AB86" i="26" a="1"/>
  <c r="AB86" i="26" s="1"/>
  <c r="H86" i="7" s="1"/>
  <c r="X87" i="26" a="1"/>
  <c r="X87" i="26" s="1"/>
  <c r="D87" i="7" s="1"/>
  <c r="AI79" i="26" a="1"/>
  <c r="AI79" i="26" s="1"/>
  <c r="O79" i="7" s="1"/>
  <c r="AA79" i="26" a="1"/>
  <c r="AA79" i="26" s="1"/>
  <c r="G79" i="7" s="1"/>
  <c r="X79" i="26" a="1"/>
  <c r="X79" i="26" s="1"/>
  <c r="D79" i="7" s="1"/>
  <c r="AE90" i="26" a="1"/>
  <c r="AE90" i="26" s="1"/>
  <c r="K90" i="7" s="1"/>
  <c r="AO88" i="26" a="1"/>
  <c r="AO88" i="26" s="1"/>
  <c r="U88" i="7" s="1"/>
  <c r="BX89" i="26" a="1"/>
  <c r="BX89" i="26" s="1"/>
  <c r="BD89" i="7" s="1"/>
  <c r="AV89" i="26" a="1"/>
  <c r="AV89" i="26" s="1"/>
  <c r="AB89" i="7" s="1"/>
  <c r="BN87" i="26" a="1"/>
  <c r="BN87" i="26" s="1"/>
  <c r="AT87" i="7" s="1"/>
  <c r="AM87" i="26" a="1"/>
  <c r="AM87" i="26" s="1"/>
  <c r="S87" i="7" s="1"/>
  <c r="CE86" i="26" a="1"/>
  <c r="CE86" i="26" s="1"/>
  <c r="BK86" i="7" s="1"/>
  <c r="BF91" i="26" a="1"/>
  <c r="BF91" i="26" s="1"/>
  <c r="AL91" i="7" s="1"/>
  <c r="AX91" i="26" a="1"/>
  <c r="AX91" i="26" s="1"/>
  <c r="AD91" i="7" s="1"/>
  <c r="AP91" i="26" a="1"/>
  <c r="AP91" i="26" s="1"/>
  <c r="V91" i="7" s="1"/>
  <c r="AO90" i="26" a="1"/>
  <c r="AO90" i="26" s="1"/>
  <c r="U90" i="7" s="1"/>
  <c r="AD90" i="26" a="1"/>
  <c r="AD90" i="26" s="1"/>
  <c r="J90" i="7" s="1"/>
  <c r="AB88" i="26" a="1"/>
  <c r="AB88" i="26" s="1"/>
  <c r="H88" i="7" s="1"/>
  <c r="CB86" i="26" a="1"/>
  <c r="CB86" i="26" s="1"/>
  <c r="BH86" i="7" s="1"/>
  <c r="AZ86" i="26" a="1"/>
  <c r="AZ86" i="26" s="1"/>
  <c r="AF86" i="7" s="1"/>
  <c r="BZ11" i="26" a="1"/>
  <c r="BZ11" i="26" s="1"/>
  <c r="BF11" i="7" s="1"/>
  <c r="BF79" i="26" a="1"/>
  <c r="BF79" i="26" s="1"/>
  <c r="AL79" i="7" s="1"/>
  <c r="AX79" i="26" a="1"/>
  <c r="AX79" i="26" s="1"/>
  <c r="AD79" i="7" s="1"/>
  <c r="AP79" i="26" a="1"/>
  <c r="AP79" i="26" s="1"/>
  <c r="V79" i="7" s="1"/>
  <c r="AF95" i="26" a="1"/>
  <c r="AF95" i="26" s="1"/>
  <c r="L95" i="7" s="1"/>
  <c r="AR93" i="26" a="1"/>
  <c r="AR93" i="26" s="1"/>
  <c r="X93" i="7" s="1"/>
  <c r="X93" i="26" a="1"/>
  <c r="X93" i="26" s="1"/>
  <c r="D93" i="7" s="1"/>
  <c r="BL92" i="26" a="1"/>
  <c r="BL92" i="26" s="1"/>
  <c r="AR92" i="7" s="1"/>
  <c r="AE92" i="26" a="1"/>
  <c r="AE92" i="26" s="1"/>
  <c r="K92" i="7" s="1"/>
  <c r="AJ91" i="26" a="1"/>
  <c r="AJ91" i="26" s="1"/>
  <c r="P91" i="7" s="1"/>
  <c r="BB88" i="26" a="1"/>
  <c r="BB88" i="26" s="1"/>
  <c r="AH88" i="7" s="1"/>
  <c r="AM88" i="26" a="1"/>
  <c r="AM88" i="26" s="1"/>
  <c r="S88" i="7" s="1"/>
  <c r="AR86" i="26" a="1"/>
  <c r="AR86" i="26" s="1"/>
  <c r="X86" i="7" s="1"/>
  <c r="X86" i="26" a="1"/>
  <c r="X86" i="26" s="1"/>
  <c r="D86" i="7" s="1"/>
  <c r="BL80" i="26" a="1"/>
  <c r="BL80" i="26" s="1"/>
  <c r="AR80" i="7" s="1"/>
  <c r="AE11" i="26" a="1"/>
  <c r="AE11" i="26" s="1"/>
  <c r="K11" i="7" s="1"/>
  <c r="BD80" i="26" a="1"/>
  <c r="BD80" i="26" s="1"/>
  <c r="AJ80" i="7" s="1"/>
  <c r="AJ80" i="26" a="1"/>
  <c r="AJ80" i="26" s="1"/>
  <c r="P80" i="7" s="1"/>
  <c r="AD80" i="26" a="1"/>
  <c r="AD80" i="26" s="1"/>
  <c r="J80" i="7" s="1"/>
  <c r="AH79" i="26" a="1"/>
  <c r="AH79" i="26" s="1"/>
  <c r="N79" i="7" s="1"/>
  <c r="AB79" i="26" a="1"/>
  <c r="AB79" i="26" s="1"/>
  <c r="H79" i="7" s="1"/>
  <c r="AI86" i="26" a="1"/>
  <c r="AI86" i="26" s="1"/>
  <c r="O86" i="7" s="1"/>
  <c r="AA86" i="26" a="1"/>
  <c r="AA86" i="26" s="1"/>
  <c r="G86" i="7" s="1"/>
  <c r="Z11" i="26" a="1"/>
  <c r="Z11" i="26" s="1"/>
  <c r="F11" i="7" s="1"/>
  <c r="AG79" i="26" a="1"/>
  <c r="AG79" i="26" s="1"/>
  <c r="M79" i="7" s="1"/>
  <c r="AJ88" i="26" a="1"/>
  <c r="AJ88" i="26" s="1"/>
  <c r="P88" i="7" s="1"/>
  <c r="AD88" i="26" a="1"/>
  <c r="AD88" i="26" s="1"/>
  <c r="J88" i="7" s="1"/>
  <c r="AH89" i="26" a="1"/>
  <c r="AH89" i="26" s="1"/>
  <c r="N89" i="7" s="1"/>
  <c r="Z86" i="26" a="1"/>
  <c r="Z86" i="26" s="1"/>
  <c r="F86" i="7" s="1"/>
  <c r="AF11" i="26" a="1"/>
  <c r="AF11" i="26" s="1"/>
  <c r="L11" i="7" s="1"/>
  <c r="Y11" i="26" a="1"/>
  <c r="Y11" i="26" s="1"/>
  <c r="E11" i="7" s="1"/>
  <c r="AI89" i="26" a="1"/>
  <c r="AI89" i="26" s="1"/>
  <c r="O89" i="7" s="1"/>
  <c r="AA89" i="26" a="1"/>
  <c r="AA89" i="26" s="1"/>
  <c r="G89" i="7" s="1"/>
  <c r="AG11" i="26" a="1"/>
  <c r="AG11" i="26" s="1"/>
  <c r="M11" i="7" s="1"/>
  <c r="AC80" i="26" a="1"/>
  <c r="AC80" i="26" s="1"/>
  <c r="I80" i="7" s="1"/>
  <c r="AI88" i="26" a="1"/>
  <c r="AI88" i="26" s="1"/>
  <c r="O88" i="7" s="1"/>
  <c r="AA88" i="26" a="1"/>
  <c r="AA88" i="26" s="1"/>
  <c r="G88" i="7" s="1"/>
  <c r="Z89" i="26" a="1"/>
  <c r="Z89" i="26" s="1"/>
  <c r="F89" i="7" s="1"/>
  <c r="AF87" i="26" a="1"/>
  <c r="AF87" i="26" s="1"/>
  <c r="L87" i="7" s="1"/>
  <c r="AK80" i="26" a="1"/>
  <c r="AK80" i="26" s="1"/>
  <c r="Q80" i="7" s="1"/>
  <c r="AE80" i="26" a="1"/>
  <c r="AE80" i="26" s="1"/>
  <c r="K80" i="7" s="1"/>
  <c r="AJ79" i="26" a="1"/>
  <c r="AJ79" i="26" s="1"/>
  <c r="P79" i="7" s="1"/>
  <c r="BK86" i="26" a="1"/>
  <c r="BK86" i="26" s="1"/>
  <c r="AQ86" i="7" s="1"/>
  <c r="BA79" i="26" a="1"/>
  <c r="BA79" i="26" s="1"/>
  <c r="AG79" i="7" s="1"/>
  <c r="AS79" i="26" a="1"/>
  <c r="AS79" i="26" s="1"/>
  <c r="Y79" i="7" s="1"/>
  <c r="BO89" i="26" a="1"/>
  <c r="BO89" i="26" s="1"/>
  <c r="AU89" i="7" s="1"/>
  <c r="AZ11" i="26" a="1"/>
  <c r="AZ11" i="26" s="1"/>
  <c r="AF11" i="7" s="1"/>
  <c r="AY80" i="26" a="1"/>
  <c r="AY80" i="26" s="1"/>
  <c r="AE80" i="7" s="1"/>
  <c r="AR80" i="26" a="1"/>
  <c r="AR80" i="26" s="1"/>
  <c r="X80" i="7" s="1"/>
  <c r="BA87" i="26" a="1"/>
  <c r="BA87" i="26" s="1"/>
  <c r="AG87" i="7" s="1"/>
  <c r="AR11" i="26" a="1"/>
  <c r="AR11" i="26" s="1"/>
  <c r="X11" i="7" s="1"/>
  <c r="BH80" i="26" a="1"/>
  <c r="BH80" i="26" s="1"/>
  <c r="AN80" i="7" s="1"/>
  <c r="AQ80" i="26" a="1"/>
  <c r="AQ80" i="26" s="1"/>
  <c r="W80" i="7" s="1"/>
  <c r="BL79" i="26" a="1"/>
  <c r="BL79" i="26" s="1"/>
  <c r="AR79" i="7" s="1"/>
  <c r="BM11" i="26" a="1"/>
  <c r="BM11" i="26" s="1"/>
  <c r="AS11" i="7" s="1"/>
  <c r="AW11" i="26" a="1"/>
  <c r="AW11" i="26" s="1"/>
  <c r="AC11" i="7" s="1"/>
  <c r="BD79" i="26" a="1"/>
  <c r="BD79" i="26" s="1"/>
  <c r="AJ79" i="7" s="1"/>
  <c r="BC89" i="26" a="1"/>
  <c r="BC89" i="26" s="1"/>
  <c r="AI89" i="7" s="1"/>
  <c r="AU87" i="26" a="1"/>
  <c r="AU87" i="26" s="1"/>
  <c r="AA87" i="7" s="1"/>
  <c r="BG11" i="26" a="1"/>
  <c r="BG11" i="26" s="1"/>
  <c r="AM11" i="7" s="1"/>
  <c r="AS11" i="26" a="1"/>
  <c r="AS11" i="26" s="1"/>
  <c r="Y11" i="7" s="1"/>
  <c r="BI80" i="26" a="1"/>
  <c r="BI80" i="26" s="1"/>
  <c r="AO80" i="7" s="1"/>
  <c r="BM79" i="26" a="1"/>
  <c r="BM79" i="26" s="1"/>
  <c r="AS79" i="7" s="1"/>
  <c r="AW79" i="26" a="1"/>
  <c r="AW79" i="26" s="1"/>
  <c r="AC79" i="7" s="1"/>
  <c r="BA89" i="26" a="1"/>
  <c r="BA89" i="26" s="1"/>
  <c r="AG89" i="7" s="1"/>
  <c r="AY86" i="26" a="1"/>
  <c r="AY86" i="26" s="1"/>
  <c r="AE86" i="7" s="1"/>
  <c r="AQ11" i="26" a="1"/>
  <c r="AQ11" i="26" s="1"/>
  <c r="W11" i="7" s="1"/>
  <c r="BK79" i="26" a="1"/>
  <c r="BK79" i="26" s="1"/>
  <c r="AQ79" i="7" s="1"/>
  <c r="BE79" i="26" a="1"/>
  <c r="BE79" i="26" s="1"/>
  <c r="AK79" i="7" s="1"/>
  <c r="AQ86" i="26" a="1"/>
  <c r="AQ86" i="26" s="1"/>
  <c r="W86" i="7" s="1"/>
  <c r="BK80" i="26" a="1"/>
  <c r="BK80" i="26" s="1"/>
  <c r="AQ80" i="7" s="1"/>
  <c r="BC79" i="26" a="1"/>
  <c r="BC79" i="26" s="1"/>
  <c r="AI79" i="7" s="1"/>
  <c r="BC92" i="26" a="1"/>
  <c r="BC92" i="26" s="1"/>
  <c r="AI92" i="7" s="1"/>
  <c r="AU91" i="26" a="1"/>
  <c r="AU91" i="26" s="1"/>
  <c r="AA91" i="7" s="1"/>
  <c r="BG88" i="26" a="1"/>
  <c r="BG88" i="26" s="1"/>
  <c r="AM88" i="7" s="1"/>
  <c r="AS88" i="26" a="1"/>
  <c r="AS88" i="26" s="1"/>
  <c r="Y88" i="7" s="1"/>
  <c r="BI89" i="26" a="1"/>
  <c r="BI89" i="26" s="1"/>
  <c r="AO89" i="7" s="1"/>
  <c r="BM87" i="26" a="1"/>
  <c r="BM87" i="26" s="1"/>
  <c r="AS87" i="7" s="1"/>
  <c r="AW87" i="26" a="1"/>
  <c r="AW87" i="26" s="1"/>
  <c r="AC87" i="7" s="1"/>
  <c r="BF86" i="26" a="1"/>
  <c r="BF86" i="26" s="1"/>
  <c r="AL86" i="7" s="1"/>
  <c r="AX86" i="26" a="1"/>
  <c r="AX86" i="26" s="1"/>
  <c r="AD86" i="7" s="1"/>
  <c r="AP86" i="26" a="1"/>
  <c r="AP86" i="26" s="1"/>
  <c r="V86" i="7" s="1"/>
  <c r="BC80" i="26" a="1"/>
  <c r="BC80" i="26" s="1"/>
  <c r="AI80" i="7" s="1"/>
  <c r="BB79" i="26" a="1"/>
  <c r="BB79" i="26" s="1"/>
  <c r="AH79" i="7" s="1"/>
  <c r="AU79" i="26" a="1"/>
  <c r="AU79" i="26" s="1"/>
  <c r="AA79" i="7" s="1"/>
  <c r="BE93" i="26" a="1"/>
  <c r="BE93" i="26" s="1"/>
  <c r="AK93" i="7" s="1"/>
  <c r="BO94" i="26" a="1"/>
  <c r="BO94" i="26" s="1"/>
  <c r="AU94" i="7" s="1"/>
  <c r="AU92" i="26" a="1"/>
  <c r="AU92" i="26" s="1"/>
  <c r="AA92" i="7" s="1"/>
  <c r="BG90" i="26" a="1"/>
  <c r="BG90" i="26" s="1"/>
  <c r="AM90" i="7" s="1"/>
  <c r="BI88" i="26" a="1"/>
  <c r="BI88" i="26" s="1"/>
  <c r="AO88" i="7" s="1"/>
  <c r="AY88" i="26" a="1"/>
  <c r="AY88" i="26" s="1"/>
  <c r="AE88" i="7" s="1"/>
  <c r="BE86" i="26" a="1"/>
  <c r="BE86" i="26" s="1"/>
  <c r="AK86" i="7" s="1"/>
  <c r="BD86" i="26" a="1"/>
  <c r="BD86" i="26" s="1"/>
  <c r="AJ86" i="7" s="1"/>
  <c r="BO11" i="26" a="1"/>
  <c r="BO11" i="26" s="1"/>
  <c r="AU11" i="7" s="1"/>
  <c r="BB80" i="26" a="1"/>
  <c r="BB80" i="26" s="1"/>
  <c r="AH80" i="7" s="1"/>
  <c r="AU80" i="26" a="1"/>
  <c r="AU80" i="26" s="1"/>
  <c r="AA80" i="7" s="1"/>
  <c r="BJ79" i="26" a="1"/>
  <c r="BJ79" i="26" s="1"/>
  <c r="AP79" i="7" s="1"/>
  <c r="AT79" i="26" a="1"/>
  <c r="AT79" i="26" s="1"/>
  <c r="Z79" i="7" s="1"/>
  <c r="BA80" i="26" a="1"/>
  <c r="BA80" i="26" s="1"/>
  <c r="AG80" i="7" s="1"/>
  <c r="AV11" i="26" a="1"/>
  <c r="AV11" i="26" s="1"/>
  <c r="AB11" i="7" s="1"/>
  <c r="BN80" i="26" a="1"/>
  <c r="BN80" i="26" s="1"/>
  <c r="AT80" i="7" s="1"/>
  <c r="AZ79" i="26" a="1"/>
  <c r="AZ79" i="26" s="1"/>
  <c r="AF79" i="7" s="1"/>
  <c r="AR79" i="26" a="1"/>
  <c r="AR79" i="26" s="1"/>
  <c r="X79" i="7" s="1"/>
  <c r="BH79" i="26" a="1"/>
  <c r="BH79" i="26" s="1"/>
  <c r="AN79" i="7" s="1"/>
  <c r="AM89" i="26" a="1"/>
  <c r="AM89" i="26" s="1"/>
  <c r="S89" i="7" s="1"/>
  <c r="AC79" i="26" a="1"/>
  <c r="AC79" i="26" s="1"/>
  <c r="I79" i="7" s="1"/>
  <c r="AC11" i="26" a="1"/>
  <c r="AC11" i="26" s="1"/>
  <c r="I11" i="7" s="1"/>
  <c r="AI11" i="26" a="1"/>
  <c r="AI11" i="26" s="1"/>
  <c r="O11" i="7" s="1"/>
  <c r="AA11" i="26" a="1"/>
  <c r="AA11" i="26" s="1"/>
  <c r="G11" i="7" s="1"/>
  <c r="AE79" i="26" a="1"/>
  <c r="AE79" i="26" s="1"/>
  <c r="K79" i="7" s="1"/>
  <c r="BQ95" i="26" a="1"/>
  <c r="BQ95" i="26" s="1"/>
  <c r="AW95" i="7" s="1"/>
  <c r="AL95" i="26" a="1"/>
  <c r="AL95" i="26" s="1"/>
  <c r="R95" i="7" s="1"/>
  <c r="BP94" i="26" a="1"/>
  <c r="BP94" i="26" s="1"/>
  <c r="AV94" i="7" s="1"/>
  <c r="BP11" i="26" a="1"/>
  <c r="BP11" i="26" s="1"/>
  <c r="AV11" i="7" s="1"/>
  <c r="AL88" i="26" a="1"/>
  <c r="AL88" i="26" s="1"/>
  <c r="R88" i="7" s="1"/>
  <c r="BQ90" i="26" a="1"/>
  <c r="BQ90" i="26" s="1"/>
  <c r="AW90" i="7" s="1"/>
  <c r="BP89" i="26" a="1"/>
  <c r="BP89" i="26" s="1"/>
  <c r="AV89" i="7" s="1"/>
  <c r="BQ87" i="26" a="1"/>
  <c r="BQ87" i="26" s="1"/>
  <c r="AW87" i="7" s="1"/>
  <c r="AL87" i="26" a="1"/>
  <c r="AL87" i="26" s="1"/>
  <c r="R87" i="7" s="1"/>
  <c r="BQ93" i="26" a="1"/>
  <c r="BQ93" i="26" s="1"/>
  <c r="AW93" i="7" s="1"/>
  <c r="AL93" i="26" a="1"/>
  <c r="AL93" i="26" s="1"/>
  <c r="R93" i="7" s="1"/>
  <c r="BP92" i="26" a="1"/>
  <c r="BP92" i="26" s="1"/>
  <c r="AV92" i="7" s="1"/>
  <c r="BQ86" i="26" a="1"/>
  <c r="BQ86" i="26" s="1"/>
  <c r="AW86" i="7" s="1"/>
  <c r="AL86" i="26" a="1"/>
  <c r="AL86" i="26" s="1"/>
  <c r="R86" i="7" s="1"/>
  <c r="BP80" i="26" a="1"/>
  <c r="BP80" i="26" s="1"/>
  <c r="AV80" i="7" s="1"/>
  <c r="BP93" i="26" a="1"/>
  <c r="BP93" i="26" s="1"/>
  <c r="AV93" i="7" s="1"/>
  <c r="BQ89" i="26" a="1"/>
  <c r="BQ89" i="26" s="1"/>
  <c r="AW89" i="7" s="1"/>
  <c r="AL89" i="26" a="1"/>
  <c r="AL89" i="26" s="1"/>
  <c r="R89" i="7" s="1"/>
  <c r="BP86" i="26" a="1"/>
  <c r="BP86" i="26" s="1"/>
  <c r="AV86" i="7" s="1"/>
  <c r="AL90" i="26" a="1"/>
  <c r="AL90" i="26" s="1"/>
  <c r="R90" i="7" s="1"/>
  <c r="BQ91" i="26" a="1"/>
  <c r="BQ91" i="26" s="1"/>
  <c r="AW91" i="7" s="1"/>
  <c r="AL91" i="26" a="1"/>
  <c r="AL91" i="26" s="1"/>
  <c r="R91" i="7" s="1"/>
  <c r="BP88" i="26" a="1"/>
  <c r="BP88" i="26" s="1"/>
  <c r="AV88" i="7" s="1"/>
  <c r="BQ92" i="26" a="1"/>
  <c r="BQ92" i="26" s="1"/>
  <c r="AW92" i="7" s="1"/>
  <c r="BP90" i="26" a="1"/>
  <c r="BP90" i="26" s="1"/>
  <c r="AV90" i="7" s="1"/>
  <c r="BQ80" i="26" a="1"/>
  <c r="BQ80" i="26" s="1"/>
  <c r="AW80" i="7" s="1"/>
  <c r="BQ79" i="26" a="1"/>
  <c r="BQ79" i="26" s="1"/>
  <c r="AW79" i="7" s="1"/>
  <c r="AL79" i="26" a="1"/>
  <c r="AL79" i="26" s="1"/>
  <c r="R79" i="7" s="1"/>
  <c r="AO4" i="23"/>
  <c r="BC3" i="26" s="1" a="1"/>
  <c r="BC3" i="26" s="1"/>
  <c r="AI3" i="7" s="1"/>
  <c r="AP4" i="23"/>
  <c r="BE3" i="26" s="1" a="1"/>
  <c r="BE3" i="26" s="1"/>
  <c r="AK3" i="7" s="1"/>
  <c r="AQ4" i="23"/>
  <c r="BF3" i="26" s="1" a="1"/>
  <c r="BF3" i="26" s="1"/>
  <c r="AL3" i="7" s="1"/>
  <c r="AR4" i="23"/>
  <c r="BH3" i="26" s="1" a="1"/>
  <c r="BH3" i="26" s="1"/>
  <c r="AN3" i="7" s="1"/>
  <c r="AS4" i="23"/>
  <c r="BI3" i="26" s="1" a="1"/>
  <c r="BI3" i="26" s="1"/>
  <c r="AO3" i="7" s="1"/>
  <c r="AT4" i="23"/>
  <c r="BG3" i="26" s="1" a="1"/>
  <c r="BG3" i="26" s="1"/>
  <c r="AM3" i="7" s="1"/>
  <c r="AU4" i="23"/>
  <c r="BJ3" i="26" s="1" a="1"/>
  <c r="BJ3" i="26" s="1"/>
  <c r="AP3" i="7" s="1"/>
  <c r="AV4" i="23"/>
  <c r="AW4" i="23"/>
  <c r="BX3" i="26" s="1" a="1"/>
  <c r="BX3" i="26" s="1"/>
  <c r="BD3" i="7" s="1"/>
  <c r="AX4" i="23"/>
  <c r="BY3" i="26" s="1" a="1"/>
  <c r="BY3" i="26" s="1"/>
  <c r="BE3" i="7" s="1"/>
  <c r="AY4" i="23"/>
  <c r="CC3" i="26" s="1" a="1"/>
  <c r="CC3" i="26" s="1"/>
  <c r="BI3" i="7" s="1"/>
  <c r="AZ4" i="23"/>
  <c r="CA3" i="26" s="1" a="1"/>
  <c r="CA3" i="26" s="1"/>
  <c r="BG3" i="7" s="1"/>
  <c r="BA4" i="23"/>
  <c r="BZ3" i="26" s="1" a="1"/>
  <c r="BZ3" i="26" s="1"/>
  <c r="BF3" i="7" s="1"/>
  <c r="BB4" i="23"/>
  <c r="CB3" i="26" s="1" a="1"/>
  <c r="CB3" i="26" s="1"/>
  <c r="BH3" i="7" s="1"/>
  <c r="BC4" i="23"/>
  <c r="BD4" i="23"/>
  <c r="BN3" i="26" s="1" a="1"/>
  <c r="BN3" i="26" s="1"/>
  <c r="AT3" i="7" s="1"/>
  <c r="BE4" i="23"/>
  <c r="AZ6" i="25" s="1"/>
  <c r="BT3" i="26" s="1" a="1"/>
  <c r="BT3" i="26" s="1"/>
  <c r="AZ3" i="7" s="1"/>
  <c r="BF4" i="23"/>
  <c r="BG4" i="23"/>
  <c r="AV6" i="25" s="1"/>
  <c r="BP3" i="26" s="1" a="1"/>
  <c r="BP3" i="26" s="1"/>
  <c r="AV3" i="7" s="1"/>
  <c r="BH4" i="23"/>
  <c r="BI4" i="23"/>
  <c r="BJ4" i="23"/>
  <c r="BK4" i="23"/>
  <c r="BL4" i="23"/>
  <c r="AX6" i="25" s="1"/>
  <c r="BR3" i="26" s="1" a="1"/>
  <c r="BR3" i="26" s="1"/>
  <c r="AX3" i="7" s="1"/>
  <c r="BM4" i="23"/>
  <c r="BO3" i="26" s="1" a="1"/>
  <c r="BO3" i="26" s="1"/>
  <c r="AU3" i="7" s="1"/>
  <c r="BN4" i="23"/>
  <c r="BK3" i="26" s="1" a="1"/>
  <c r="BK3" i="26" s="1"/>
  <c r="AQ3" i="7" s="1"/>
  <c r="BO4" i="23"/>
  <c r="BL3" i="26" s="1" a="1"/>
  <c r="BL3" i="26" s="1"/>
  <c r="AR3" i="7" s="1"/>
  <c r="BP4" i="23"/>
  <c r="BM3" i="26" s="1" a="1"/>
  <c r="BM3" i="26" s="1"/>
  <c r="AS3" i="7" s="1"/>
  <c r="BQ4" i="23"/>
  <c r="BR4" i="23"/>
  <c r="BC6" i="25" s="1"/>
  <c r="BW3" i="26" s="1" a="1"/>
  <c r="BW3" i="26" s="1"/>
  <c r="BC3" i="7" s="1"/>
  <c r="BS4" i="23"/>
  <c r="CE3" i="26" s="1" a="1"/>
  <c r="CE3" i="26" s="1"/>
  <c r="BK3" i="7" s="1"/>
  <c r="BT4" i="23"/>
  <c r="CF3" i="26" s="1" a="1"/>
  <c r="CF3" i="26" s="1"/>
  <c r="BL3" i="7" s="1"/>
  <c r="BU4" i="23"/>
  <c r="CH3" i="26" s="1" a="1"/>
  <c r="CH3" i="26" s="1"/>
  <c r="BN3" i="7" s="1"/>
  <c r="BV4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AZ7" i="25" s="1"/>
  <c r="BF5" i="23"/>
  <c r="BG5" i="23"/>
  <c r="BH5" i="23"/>
  <c r="BI5" i="23"/>
  <c r="BJ5" i="23"/>
  <c r="BK5" i="23"/>
  <c r="BL5" i="23"/>
  <c r="AX7" i="25" s="1"/>
  <c r="BM5" i="23"/>
  <c r="BN5" i="23"/>
  <c r="BO5" i="23"/>
  <c r="BP5" i="23"/>
  <c r="BQ5" i="23"/>
  <c r="BR5" i="23"/>
  <c r="BC7" i="25" s="1"/>
  <c r="BS5" i="23"/>
  <c r="BT5" i="23"/>
  <c r="BU5" i="23"/>
  <c r="BV5" i="23"/>
  <c r="AO6" i="23"/>
  <c r="BC4" i="26" s="1" a="1"/>
  <c r="BC4" i="26" s="1"/>
  <c r="AI4" i="7" s="1"/>
  <c r="AP6" i="23"/>
  <c r="BE4" i="26" s="1" a="1"/>
  <c r="BE4" i="26" s="1"/>
  <c r="AK4" i="7" s="1"/>
  <c r="AQ6" i="23"/>
  <c r="BF4" i="26" s="1" a="1"/>
  <c r="BF4" i="26" s="1"/>
  <c r="AL4" i="7" s="1"/>
  <c r="AR6" i="23"/>
  <c r="BH4" i="26" s="1" a="1"/>
  <c r="BH4" i="26" s="1"/>
  <c r="AN4" i="7" s="1"/>
  <c r="AS6" i="23"/>
  <c r="BI4" i="26" s="1" a="1"/>
  <c r="BI4" i="26" s="1"/>
  <c r="AO4" i="7" s="1"/>
  <c r="AT6" i="23"/>
  <c r="BG4" i="26" s="1" a="1"/>
  <c r="BG4" i="26" s="1"/>
  <c r="AM4" i="7" s="1"/>
  <c r="AU6" i="23"/>
  <c r="BJ4" i="26" s="1" a="1"/>
  <c r="BJ4" i="26" s="1"/>
  <c r="AP4" i="7" s="1"/>
  <c r="AV6" i="23"/>
  <c r="AW6" i="23"/>
  <c r="BX4" i="26" s="1" a="1"/>
  <c r="BX4" i="26" s="1"/>
  <c r="BD4" i="7" s="1"/>
  <c r="AX6" i="23"/>
  <c r="BY4" i="26" s="1" a="1"/>
  <c r="BY4" i="26" s="1"/>
  <c r="BE4" i="7" s="1"/>
  <c r="AY6" i="23"/>
  <c r="CC4" i="26" s="1" a="1"/>
  <c r="CC4" i="26" s="1"/>
  <c r="BI4" i="7" s="1"/>
  <c r="AZ6" i="23"/>
  <c r="CA4" i="26" s="1" a="1"/>
  <c r="CA4" i="26" s="1"/>
  <c r="BG4" i="7" s="1"/>
  <c r="BA6" i="23"/>
  <c r="BZ4" i="26" s="1" a="1"/>
  <c r="BZ4" i="26" s="1"/>
  <c r="BF4" i="7" s="1"/>
  <c r="BB6" i="23"/>
  <c r="CB4" i="26" s="1" a="1"/>
  <c r="CB4" i="26" s="1"/>
  <c r="BH4" i="7" s="1"/>
  <c r="BC6" i="23"/>
  <c r="BD6" i="23"/>
  <c r="BN4" i="26" s="1" a="1"/>
  <c r="BN4" i="26" s="1"/>
  <c r="AT4" i="7" s="1"/>
  <c r="BE6" i="23"/>
  <c r="BT4" i="26" s="1" a="1"/>
  <c r="BT4" i="26" s="1"/>
  <c r="AZ4" i="7" s="1"/>
  <c r="BF6" i="23"/>
  <c r="BG6" i="23"/>
  <c r="BP4" i="26" s="1" a="1"/>
  <c r="BP4" i="26" s="1"/>
  <c r="AV4" i="7" s="1"/>
  <c r="BH6" i="23"/>
  <c r="BI6" i="23"/>
  <c r="BJ6" i="23"/>
  <c r="BK6" i="23"/>
  <c r="BL6" i="23"/>
  <c r="BR4" i="26" s="1" a="1"/>
  <c r="BR4" i="26" s="1"/>
  <c r="AX4" i="7" s="1"/>
  <c r="BM6" i="23"/>
  <c r="BO4" i="26" s="1" a="1"/>
  <c r="BO4" i="26" s="1"/>
  <c r="AU4" i="7" s="1"/>
  <c r="BN6" i="23"/>
  <c r="BK4" i="26" s="1" a="1"/>
  <c r="BK4" i="26" s="1"/>
  <c r="AQ4" i="7" s="1"/>
  <c r="BO6" i="23"/>
  <c r="BL4" i="26" s="1" a="1"/>
  <c r="BL4" i="26" s="1"/>
  <c r="AR4" i="7" s="1"/>
  <c r="BP6" i="23"/>
  <c r="BM4" i="26" s="1" a="1"/>
  <c r="BM4" i="26" s="1"/>
  <c r="AS4" i="7" s="1"/>
  <c r="BQ6" i="23"/>
  <c r="BR6" i="23"/>
  <c r="BW4" i="26" s="1" a="1"/>
  <c r="BW4" i="26" s="1"/>
  <c r="BC4" i="7" s="1"/>
  <c r="BS6" i="23"/>
  <c r="CE4" i="26" s="1" a="1"/>
  <c r="CE4" i="26" s="1"/>
  <c r="BK4" i="7" s="1"/>
  <c r="BT6" i="23"/>
  <c r="CF4" i="26" s="1" a="1"/>
  <c r="CF4" i="26" s="1"/>
  <c r="BL4" i="7" s="1"/>
  <c r="BU6" i="23"/>
  <c r="CH4" i="26" s="1" a="1"/>
  <c r="CH4" i="26" s="1"/>
  <c r="BN4" i="7" s="1"/>
  <c r="BV6" i="23"/>
  <c r="AO7" i="23"/>
  <c r="BC5" i="26" s="1" a="1"/>
  <c r="BC5" i="26" s="1"/>
  <c r="AI5" i="7" s="1"/>
  <c r="AP7" i="23"/>
  <c r="BE5" i="26" s="1" a="1"/>
  <c r="BE5" i="26" s="1"/>
  <c r="AK5" i="7" s="1"/>
  <c r="AQ7" i="23"/>
  <c r="BF5" i="26" s="1" a="1"/>
  <c r="BF5" i="26" s="1"/>
  <c r="AL5" i="7" s="1"/>
  <c r="AR7" i="23"/>
  <c r="BH5" i="26" s="1" a="1"/>
  <c r="BH5" i="26" s="1"/>
  <c r="AN5" i="7" s="1"/>
  <c r="AS7" i="23"/>
  <c r="BI5" i="26" s="1" a="1"/>
  <c r="BI5" i="26" s="1"/>
  <c r="AO5" i="7" s="1"/>
  <c r="AT7" i="23"/>
  <c r="BG5" i="26" s="1" a="1"/>
  <c r="BG5" i="26" s="1"/>
  <c r="AM5" i="7" s="1"/>
  <c r="AU7" i="23"/>
  <c r="BJ5" i="26" s="1" a="1"/>
  <c r="BJ5" i="26" s="1"/>
  <c r="AP5" i="7" s="1"/>
  <c r="AV7" i="23"/>
  <c r="AW7" i="23"/>
  <c r="BX5" i="26" s="1" a="1"/>
  <c r="BX5" i="26" s="1"/>
  <c r="BD5" i="7" s="1"/>
  <c r="AX7" i="23"/>
  <c r="BY5" i="26" s="1" a="1"/>
  <c r="BY5" i="26" s="1"/>
  <c r="BE5" i="7" s="1"/>
  <c r="AY7" i="23"/>
  <c r="CC5" i="26" s="1" a="1"/>
  <c r="CC5" i="26" s="1"/>
  <c r="BI5" i="7" s="1"/>
  <c r="AZ7" i="23"/>
  <c r="CA5" i="26" s="1" a="1"/>
  <c r="CA5" i="26" s="1"/>
  <c r="BG5" i="7" s="1"/>
  <c r="BA7" i="23"/>
  <c r="BZ5" i="26" s="1" a="1"/>
  <c r="BZ5" i="26" s="1"/>
  <c r="BF5" i="7" s="1"/>
  <c r="BB7" i="23"/>
  <c r="CB5" i="26" s="1" a="1"/>
  <c r="CB5" i="26" s="1"/>
  <c r="BH5" i="7" s="1"/>
  <c r="BC7" i="23"/>
  <c r="BD7" i="23"/>
  <c r="BN5" i="26" s="1" a="1"/>
  <c r="BN5" i="26" s="1"/>
  <c r="AT5" i="7" s="1"/>
  <c r="BE7" i="23"/>
  <c r="BT5" i="26" s="1" a="1"/>
  <c r="BT5" i="26" s="1"/>
  <c r="AZ5" i="7" s="1"/>
  <c r="BF7" i="23"/>
  <c r="BG7" i="23"/>
  <c r="BH7" i="23"/>
  <c r="BI7" i="23"/>
  <c r="BQ5" i="26" s="1" a="1"/>
  <c r="BQ5" i="26" s="1"/>
  <c r="AW5" i="7" s="1"/>
  <c r="BJ7" i="23"/>
  <c r="BK7" i="23"/>
  <c r="BL7" i="23"/>
  <c r="BR5" i="26" s="1" a="1"/>
  <c r="BR5" i="26" s="1"/>
  <c r="AX5" i="7" s="1"/>
  <c r="BM7" i="23"/>
  <c r="BO5" i="26" s="1" a="1"/>
  <c r="BO5" i="26" s="1"/>
  <c r="AU5" i="7" s="1"/>
  <c r="BN7" i="23"/>
  <c r="BK5" i="26" s="1" a="1"/>
  <c r="BK5" i="26" s="1"/>
  <c r="AQ5" i="7" s="1"/>
  <c r="BO7" i="23"/>
  <c r="BL5" i="26" s="1" a="1"/>
  <c r="BL5" i="26" s="1"/>
  <c r="AR5" i="7" s="1"/>
  <c r="BP7" i="23"/>
  <c r="BM5" i="26" s="1" a="1"/>
  <c r="BM5" i="26" s="1"/>
  <c r="AS5" i="7" s="1"/>
  <c r="BQ7" i="23"/>
  <c r="BR7" i="23"/>
  <c r="BW5" i="26" s="1" a="1"/>
  <c r="BW5" i="26" s="1"/>
  <c r="BC5" i="7" s="1"/>
  <c r="BS7" i="23"/>
  <c r="CE5" i="26" s="1" a="1"/>
  <c r="CE5" i="26" s="1"/>
  <c r="BK5" i="7" s="1"/>
  <c r="BT7" i="23"/>
  <c r="CF5" i="26" s="1" a="1"/>
  <c r="CF5" i="26" s="1"/>
  <c r="BL5" i="7" s="1"/>
  <c r="BU7" i="23"/>
  <c r="CH5" i="26" s="1" a="1"/>
  <c r="CH5" i="26" s="1"/>
  <c r="BN5" i="7" s="1"/>
  <c r="BV7" i="23"/>
  <c r="AO8" i="23"/>
  <c r="BC8" i="26" s="1" a="1"/>
  <c r="BC8" i="26" s="1"/>
  <c r="AI8" i="7" s="1"/>
  <c r="AP8" i="23"/>
  <c r="BE8" i="26" s="1" a="1"/>
  <c r="BE8" i="26" s="1"/>
  <c r="AK8" i="7" s="1"/>
  <c r="AQ8" i="23"/>
  <c r="BF8" i="26" s="1" a="1"/>
  <c r="BF8" i="26" s="1"/>
  <c r="AL8" i="7" s="1"/>
  <c r="AR8" i="23"/>
  <c r="BH8" i="26" s="1" a="1"/>
  <c r="BH8" i="26" s="1"/>
  <c r="AN8" i="7" s="1"/>
  <c r="AS8" i="23"/>
  <c r="BI8" i="26" s="1" a="1"/>
  <c r="BI8" i="26" s="1"/>
  <c r="AO8" i="7" s="1"/>
  <c r="AT8" i="23"/>
  <c r="BG8" i="26" s="1" a="1"/>
  <c r="BG8" i="26" s="1"/>
  <c r="AM8" i="7" s="1"/>
  <c r="AU8" i="23"/>
  <c r="BJ8" i="26" s="1" a="1"/>
  <c r="BJ8" i="26" s="1"/>
  <c r="AP8" i="7" s="1"/>
  <c r="AV8" i="23"/>
  <c r="AW8" i="23"/>
  <c r="BX8" i="26" s="1" a="1"/>
  <c r="BX8" i="26" s="1"/>
  <c r="BD8" i="7" s="1"/>
  <c r="AX8" i="23"/>
  <c r="BY8" i="26" s="1" a="1"/>
  <c r="BY8" i="26" s="1"/>
  <c r="BE8" i="7" s="1"/>
  <c r="AY8" i="23"/>
  <c r="CC8" i="26" s="1" a="1"/>
  <c r="CC8" i="26" s="1"/>
  <c r="BI8" i="7" s="1"/>
  <c r="AZ8" i="23"/>
  <c r="CA8" i="26" s="1" a="1"/>
  <c r="CA8" i="26" s="1"/>
  <c r="BG8" i="7" s="1"/>
  <c r="BA8" i="23"/>
  <c r="BZ8" i="26" s="1" a="1"/>
  <c r="BZ8" i="26" s="1"/>
  <c r="BF8" i="7" s="1"/>
  <c r="BB8" i="23"/>
  <c r="CB8" i="26" s="1" a="1"/>
  <c r="CB8" i="26" s="1"/>
  <c r="BH8" i="7" s="1"/>
  <c r="BC8" i="23"/>
  <c r="BD8" i="23"/>
  <c r="BN8" i="26" s="1" a="1"/>
  <c r="BN8" i="26" s="1"/>
  <c r="AT8" i="7" s="1"/>
  <c r="BE8" i="23"/>
  <c r="BT8" i="26" s="1" a="1"/>
  <c r="BT8" i="26" s="1"/>
  <c r="AZ8" i="7" s="1"/>
  <c r="BF8" i="23"/>
  <c r="BG8" i="23"/>
  <c r="BP8" i="26" s="1" a="1"/>
  <c r="BP8" i="26" s="1"/>
  <c r="AV8" i="7" s="1"/>
  <c r="BH8" i="23"/>
  <c r="BI8" i="23"/>
  <c r="BJ8" i="23"/>
  <c r="BK8" i="23"/>
  <c r="BL8" i="23"/>
  <c r="BR8" i="26" s="1" a="1"/>
  <c r="BR8" i="26" s="1"/>
  <c r="AX8" i="7" s="1"/>
  <c r="BM8" i="23"/>
  <c r="BO8" i="26" s="1" a="1"/>
  <c r="BO8" i="26" s="1"/>
  <c r="AU8" i="7" s="1"/>
  <c r="BN8" i="23"/>
  <c r="BK8" i="26" s="1" a="1"/>
  <c r="BK8" i="26" s="1"/>
  <c r="AQ8" i="7" s="1"/>
  <c r="BO8" i="23"/>
  <c r="BL8" i="26" s="1" a="1"/>
  <c r="BL8" i="26" s="1"/>
  <c r="AR8" i="7" s="1"/>
  <c r="BP8" i="23"/>
  <c r="BM8" i="26" s="1" a="1"/>
  <c r="BM8" i="26" s="1"/>
  <c r="AS8" i="7" s="1"/>
  <c r="BQ8" i="23"/>
  <c r="BR8" i="23"/>
  <c r="BW8" i="26" s="1" a="1"/>
  <c r="BW8" i="26" s="1"/>
  <c r="BC8" i="7" s="1"/>
  <c r="BS8" i="23"/>
  <c r="CE8" i="26" s="1" a="1"/>
  <c r="CE8" i="26" s="1"/>
  <c r="BK8" i="7" s="1"/>
  <c r="BT8" i="23"/>
  <c r="CF8" i="26" s="1" a="1"/>
  <c r="CF8" i="26" s="1"/>
  <c r="BL8" i="7" s="1"/>
  <c r="BU8" i="23"/>
  <c r="CH8" i="26" s="1" a="1"/>
  <c r="CH8" i="26" s="1"/>
  <c r="BN8" i="7" s="1"/>
  <c r="BV8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AO10" i="23"/>
  <c r="BC6" i="26" s="1" a="1"/>
  <c r="BC6" i="26" s="1"/>
  <c r="AI6" i="7" s="1"/>
  <c r="AP10" i="23"/>
  <c r="BE6" i="26" s="1" a="1"/>
  <c r="BE6" i="26" s="1"/>
  <c r="AK6" i="7" s="1"/>
  <c r="AQ10" i="23"/>
  <c r="BF6" i="26" s="1" a="1"/>
  <c r="BF6" i="26" s="1"/>
  <c r="AL6" i="7" s="1"/>
  <c r="AR10" i="23"/>
  <c r="BH6" i="26" s="1" a="1"/>
  <c r="BH6" i="26" s="1"/>
  <c r="AN6" i="7" s="1"/>
  <c r="AS10" i="23"/>
  <c r="BI6" i="26" s="1" a="1"/>
  <c r="BI6" i="26" s="1"/>
  <c r="AO6" i="7" s="1"/>
  <c r="AT10" i="23"/>
  <c r="BG6" i="26" s="1" a="1"/>
  <c r="BG6" i="26" s="1"/>
  <c r="AM6" i="7" s="1"/>
  <c r="AU10" i="23"/>
  <c r="BJ6" i="26" s="1" a="1"/>
  <c r="BJ6" i="26" s="1"/>
  <c r="AP6" i="7" s="1"/>
  <c r="AV10" i="23"/>
  <c r="AW10" i="23"/>
  <c r="BX6" i="26" s="1" a="1"/>
  <c r="BX6" i="26" s="1"/>
  <c r="BD6" i="7" s="1"/>
  <c r="AX10" i="23"/>
  <c r="BY6" i="26" s="1" a="1"/>
  <c r="BY6" i="26" s="1"/>
  <c r="BE6" i="7" s="1"/>
  <c r="AY10" i="23"/>
  <c r="CC6" i="26" s="1" a="1"/>
  <c r="CC6" i="26" s="1"/>
  <c r="BI6" i="7" s="1"/>
  <c r="AZ10" i="23"/>
  <c r="CA6" i="26" s="1" a="1"/>
  <c r="CA6" i="26" s="1"/>
  <c r="BG6" i="7" s="1"/>
  <c r="BA10" i="23"/>
  <c r="BZ6" i="26" s="1" a="1"/>
  <c r="BZ6" i="26" s="1"/>
  <c r="BF6" i="7" s="1"/>
  <c r="BB10" i="23"/>
  <c r="CB6" i="26" s="1" a="1"/>
  <c r="CB6" i="26" s="1"/>
  <c r="BH6" i="7" s="1"/>
  <c r="BC10" i="23"/>
  <c r="BD10" i="23"/>
  <c r="BN6" i="26" s="1" a="1"/>
  <c r="BN6" i="26" s="1"/>
  <c r="AT6" i="7" s="1"/>
  <c r="BE10" i="23"/>
  <c r="BT6" i="26" s="1" a="1"/>
  <c r="BT6" i="26" s="1"/>
  <c r="AZ6" i="7" s="1"/>
  <c r="BF10" i="23"/>
  <c r="BG10" i="23"/>
  <c r="BP6" i="26" s="1" a="1"/>
  <c r="BP6" i="26" s="1"/>
  <c r="AV6" i="7" s="1"/>
  <c r="BH10" i="23"/>
  <c r="BI10" i="23"/>
  <c r="BJ10" i="23"/>
  <c r="BK10" i="23"/>
  <c r="BL10" i="23"/>
  <c r="BR6" i="26" s="1" a="1"/>
  <c r="BR6" i="26" s="1"/>
  <c r="AX6" i="7" s="1"/>
  <c r="BM10" i="23"/>
  <c r="BO6" i="26" s="1" a="1"/>
  <c r="BO6" i="26" s="1"/>
  <c r="AU6" i="7" s="1"/>
  <c r="BN10" i="23"/>
  <c r="BK6" i="26" s="1" a="1"/>
  <c r="BK6" i="26" s="1"/>
  <c r="AQ6" i="7" s="1"/>
  <c r="BO10" i="23"/>
  <c r="BL6" i="26" s="1" a="1"/>
  <c r="BL6" i="26" s="1"/>
  <c r="AR6" i="7" s="1"/>
  <c r="BP10" i="23"/>
  <c r="BM6" i="26" s="1" a="1"/>
  <c r="BM6" i="26" s="1"/>
  <c r="AS6" i="7" s="1"/>
  <c r="BQ10" i="23"/>
  <c r="BR10" i="23"/>
  <c r="BW6" i="26" s="1" a="1"/>
  <c r="BW6" i="26" s="1"/>
  <c r="BC6" i="7" s="1"/>
  <c r="BS10" i="23"/>
  <c r="CE6" i="26" s="1" a="1"/>
  <c r="CE6" i="26" s="1"/>
  <c r="BK6" i="7" s="1"/>
  <c r="BT10" i="23"/>
  <c r="CF6" i="26" s="1" a="1"/>
  <c r="CF6" i="26" s="1"/>
  <c r="BL6" i="7" s="1"/>
  <c r="BU10" i="23"/>
  <c r="CH6" i="26" s="1" a="1"/>
  <c r="CH6" i="26" s="1"/>
  <c r="BN6" i="7" s="1"/>
  <c r="BV10" i="23"/>
  <c r="AO11" i="23"/>
  <c r="AP11" i="23"/>
  <c r="AQ11" i="23"/>
  <c r="AR11" i="23"/>
  <c r="AS11" i="23"/>
  <c r="AT11" i="23"/>
  <c r="AU11" i="23"/>
  <c r="AV11" i="23"/>
  <c r="AW11" i="23"/>
  <c r="AX11" i="23"/>
  <c r="AY11" i="23"/>
  <c r="AZ11" i="23"/>
  <c r="BA11" i="23"/>
  <c r="BB11" i="23"/>
  <c r="BC11" i="23"/>
  <c r="BD11" i="23"/>
  <c r="BE11" i="23"/>
  <c r="BF11" i="23"/>
  <c r="BG11" i="23"/>
  <c r="BH11" i="23"/>
  <c r="BI11" i="23"/>
  <c r="BJ11" i="23"/>
  <c r="BK11" i="23"/>
  <c r="BL11" i="23"/>
  <c r="BM11" i="23"/>
  <c r="BN11" i="23"/>
  <c r="BO11" i="23"/>
  <c r="BP11" i="23"/>
  <c r="BQ11" i="23"/>
  <c r="BR11" i="23"/>
  <c r="BS11" i="23"/>
  <c r="BT11" i="23"/>
  <c r="BU11" i="23"/>
  <c r="BV11" i="23"/>
  <c r="AO12" i="23"/>
  <c r="BC7" i="26" s="1" a="1"/>
  <c r="BC7" i="26" s="1"/>
  <c r="AI7" i="7" s="1"/>
  <c r="AP12" i="23"/>
  <c r="BE7" i="26" s="1" a="1"/>
  <c r="BE7" i="26" s="1"/>
  <c r="AK7" i="7" s="1"/>
  <c r="AQ12" i="23"/>
  <c r="BF7" i="26" s="1" a="1"/>
  <c r="BF7" i="26" s="1"/>
  <c r="AL7" i="7" s="1"/>
  <c r="AR12" i="23"/>
  <c r="BH7" i="26" s="1" a="1"/>
  <c r="BH7" i="26" s="1"/>
  <c r="AN7" i="7" s="1"/>
  <c r="AS12" i="23"/>
  <c r="BI7" i="26" s="1" a="1"/>
  <c r="BI7" i="26" s="1"/>
  <c r="AO7" i="7" s="1"/>
  <c r="AT12" i="23"/>
  <c r="BG7" i="26" s="1" a="1"/>
  <c r="BG7" i="26" s="1"/>
  <c r="AM7" i="7" s="1"/>
  <c r="AU12" i="23"/>
  <c r="BJ7" i="26" s="1" a="1"/>
  <c r="BJ7" i="26" s="1"/>
  <c r="AP7" i="7" s="1"/>
  <c r="AV12" i="23"/>
  <c r="AW12" i="23"/>
  <c r="BX7" i="26" s="1" a="1"/>
  <c r="BX7" i="26" s="1"/>
  <c r="BD7" i="7" s="1"/>
  <c r="AX12" i="23"/>
  <c r="BY7" i="26" s="1" a="1"/>
  <c r="BY7" i="26" s="1"/>
  <c r="BE7" i="7" s="1"/>
  <c r="AY12" i="23"/>
  <c r="CC7" i="26" s="1" a="1"/>
  <c r="CC7" i="26" s="1"/>
  <c r="BI7" i="7" s="1"/>
  <c r="AZ12" i="23"/>
  <c r="CA7" i="26" s="1" a="1"/>
  <c r="CA7" i="26" s="1"/>
  <c r="BG7" i="7" s="1"/>
  <c r="BA12" i="23"/>
  <c r="BZ7" i="26" s="1" a="1"/>
  <c r="BZ7" i="26" s="1"/>
  <c r="BF7" i="7" s="1"/>
  <c r="BB12" i="23"/>
  <c r="CB7" i="26" s="1" a="1"/>
  <c r="CB7" i="26" s="1"/>
  <c r="BH7" i="7" s="1"/>
  <c r="BC12" i="23"/>
  <c r="BD12" i="23"/>
  <c r="BN7" i="26" s="1" a="1"/>
  <c r="BN7" i="26" s="1"/>
  <c r="AT7" i="7" s="1"/>
  <c r="BE12" i="23"/>
  <c r="BT7" i="26" s="1" a="1"/>
  <c r="BT7" i="26" s="1"/>
  <c r="AZ7" i="7" s="1"/>
  <c r="BF12" i="23"/>
  <c r="BG12" i="23"/>
  <c r="BP7" i="26" s="1" a="1"/>
  <c r="BP7" i="26" s="1"/>
  <c r="AV7" i="7" s="1"/>
  <c r="BH12" i="23"/>
  <c r="BI12" i="23"/>
  <c r="BJ12" i="23"/>
  <c r="BK12" i="23"/>
  <c r="BL12" i="23"/>
  <c r="BR7" i="26" s="1" a="1"/>
  <c r="BR7" i="26" s="1"/>
  <c r="AX7" i="7" s="1"/>
  <c r="BM12" i="23"/>
  <c r="BO7" i="26" s="1" a="1"/>
  <c r="BO7" i="26" s="1"/>
  <c r="AU7" i="7" s="1"/>
  <c r="BN12" i="23"/>
  <c r="BK7" i="26" s="1" a="1"/>
  <c r="BK7" i="26" s="1"/>
  <c r="AQ7" i="7" s="1"/>
  <c r="BO12" i="23"/>
  <c r="BL7" i="26" s="1" a="1"/>
  <c r="BL7" i="26" s="1"/>
  <c r="AR7" i="7" s="1"/>
  <c r="BP12" i="23"/>
  <c r="BM7" i="26" s="1" a="1"/>
  <c r="BM7" i="26" s="1"/>
  <c r="AS7" i="7" s="1"/>
  <c r="BQ12" i="23"/>
  <c r="BR12" i="23"/>
  <c r="BW7" i="26" s="1" a="1"/>
  <c r="BW7" i="26" s="1"/>
  <c r="BC7" i="7" s="1"/>
  <c r="BS12" i="23"/>
  <c r="CE7" i="26" s="1" a="1"/>
  <c r="CE7" i="26" s="1"/>
  <c r="BK7" i="7" s="1"/>
  <c r="BT12" i="23"/>
  <c r="CF7" i="26" s="1" a="1"/>
  <c r="CF7" i="26" s="1"/>
  <c r="BL7" i="7" s="1"/>
  <c r="BU12" i="23"/>
  <c r="CH7" i="26" s="1" a="1"/>
  <c r="CH7" i="26" s="1"/>
  <c r="BN7" i="7" s="1"/>
  <c r="BV12" i="23"/>
  <c r="AO13" i="23"/>
  <c r="AP13" i="23"/>
  <c r="AQ13" i="23"/>
  <c r="AR13" i="23"/>
  <c r="AS13" i="23"/>
  <c r="AT13" i="23"/>
  <c r="AU13" i="23"/>
  <c r="AV13" i="23"/>
  <c r="AW13" i="23"/>
  <c r="AX13" i="23"/>
  <c r="AY13" i="23"/>
  <c r="AZ13" i="23"/>
  <c r="BA13" i="23"/>
  <c r="BB13" i="23"/>
  <c r="BC13" i="23"/>
  <c r="BD13" i="23"/>
  <c r="BE13" i="23"/>
  <c r="BF13" i="23"/>
  <c r="BG13" i="23"/>
  <c r="BH13" i="23"/>
  <c r="BI13" i="23"/>
  <c r="BJ13" i="23"/>
  <c r="BK13" i="23"/>
  <c r="BL13" i="23"/>
  <c r="BM13" i="23"/>
  <c r="BN13" i="23"/>
  <c r="BO13" i="23"/>
  <c r="BP13" i="23"/>
  <c r="BQ13" i="23"/>
  <c r="BR13" i="23"/>
  <c r="BS13" i="23"/>
  <c r="BT13" i="23"/>
  <c r="BU13" i="23"/>
  <c r="BV13" i="23"/>
  <c r="AO14" i="23"/>
  <c r="AP14" i="23"/>
  <c r="AQ14" i="23"/>
  <c r="AR14" i="23"/>
  <c r="AS14" i="23"/>
  <c r="AT14" i="23"/>
  <c r="AU14" i="23"/>
  <c r="AV14" i="23"/>
  <c r="AW14" i="23"/>
  <c r="AX14" i="23"/>
  <c r="AY14" i="23"/>
  <c r="AZ14" i="23"/>
  <c r="BA14" i="23"/>
  <c r="BB14" i="23"/>
  <c r="BC14" i="23"/>
  <c r="BD14" i="23"/>
  <c r="BE14" i="23"/>
  <c r="BF14" i="23"/>
  <c r="BG14" i="23"/>
  <c r="BH14" i="23"/>
  <c r="BI14" i="23"/>
  <c r="BJ14" i="23"/>
  <c r="BK14" i="23"/>
  <c r="BL14" i="23"/>
  <c r="BM14" i="23"/>
  <c r="BN14" i="23"/>
  <c r="BO14" i="23"/>
  <c r="BP14" i="23"/>
  <c r="BQ14" i="23"/>
  <c r="BR14" i="23"/>
  <c r="BS14" i="23"/>
  <c r="BT14" i="23"/>
  <c r="BU14" i="23"/>
  <c r="BV14" i="23"/>
  <c r="AO15" i="23"/>
  <c r="AP15" i="23"/>
  <c r="AQ15" i="23"/>
  <c r="AR15" i="23"/>
  <c r="AS15" i="23"/>
  <c r="AT15" i="23"/>
  <c r="AU15" i="23"/>
  <c r="AV15" i="23"/>
  <c r="AW15" i="23"/>
  <c r="AX15" i="23"/>
  <c r="AY15" i="23"/>
  <c r="AZ15" i="23"/>
  <c r="BA15" i="23"/>
  <c r="BB15" i="23"/>
  <c r="BC15" i="23"/>
  <c r="BD15" i="23"/>
  <c r="BE15" i="23"/>
  <c r="BF15" i="23"/>
  <c r="BG15" i="23"/>
  <c r="BH15" i="23"/>
  <c r="BI15" i="23"/>
  <c r="BJ15" i="23"/>
  <c r="BK15" i="23"/>
  <c r="BL15" i="23"/>
  <c r="BM15" i="23"/>
  <c r="BN15" i="23"/>
  <c r="BO15" i="23"/>
  <c r="BP15" i="23"/>
  <c r="BQ15" i="23"/>
  <c r="BR15" i="23"/>
  <c r="BS15" i="23"/>
  <c r="BT15" i="23"/>
  <c r="BU15" i="23"/>
  <c r="BV15" i="23"/>
  <c r="AO16" i="23"/>
  <c r="AP16" i="23"/>
  <c r="AQ16" i="23"/>
  <c r="AR16" i="23"/>
  <c r="AS16" i="23"/>
  <c r="AT16" i="23"/>
  <c r="AU16" i="23"/>
  <c r="AV16" i="23"/>
  <c r="AW16" i="23"/>
  <c r="AX16" i="23"/>
  <c r="AY16" i="23"/>
  <c r="AZ16" i="23"/>
  <c r="BA16" i="23"/>
  <c r="BB16" i="23"/>
  <c r="BC16" i="23"/>
  <c r="BD16" i="23"/>
  <c r="BE16" i="23"/>
  <c r="BF16" i="23"/>
  <c r="BG16" i="23"/>
  <c r="BH16" i="23"/>
  <c r="BI16" i="23"/>
  <c r="BJ16" i="23"/>
  <c r="BK16" i="23"/>
  <c r="BL16" i="23"/>
  <c r="BM16" i="23"/>
  <c r="BN16" i="23"/>
  <c r="BO16" i="23"/>
  <c r="BP16" i="23"/>
  <c r="BQ16" i="23"/>
  <c r="BR16" i="23"/>
  <c r="BS16" i="23"/>
  <c r="BT16" i="23"/>
  <c r="BU16" i="23"/>
  <c r="BV16" i="23"/>
  <c r="AO17" i="23"/>
  <c r="AP17" i="23"/>
  <c r="AQ17" i="23"/>
  <c r="AR17" i="23"/>
  <c r="AS17" i="23"/>
  <c r="AT17" i="23"/>
  <c r="AU17" i="23"/>
  <c r="AV17" i="23"/>
  <c r="AW17" i="23"/>
  <c r="AX17" i="23"/>
  <c r="AY17" i="23"/>
  <c r="AZ17" i="23"/>
  <c r="BA17" i="23"/>
  <c r="BB17" i="23"/>
  <c r="BC17" i="23"/>
  <c r="BD17" i="23"/>
  <c r="BE17" i="23"/>
  <c r="BF17" i="23"/>
  <c r="BG17" i="23"/>
  <c r="BH17" i="23"/>
  <c r="BI17" i="23"/>
  <c r="BJ17" i="23"/>
  <c r="BK17" i="23"/>
  <c r="BL17" i="23"/>
  <c r="BM17" i="23"/>
  <c r="BN17" i="23"/>
  <c r="BO17" i="23"/>
  <c r="BP17" i="23"/>
  <c r="BQ17" i="23"/>
  <c r="BR17" i="23"/>
  <c r="BS17" i="23"/>
  <c r="BT17" i="23"/>
  <c r="BU17" i="23"/>
  <c r="BV17" i="23"/>
  <c r="AO18" i="23"/>
  <c r="AP18" i="23"/>
  <c r="AQ18" i="23"/>
  <c r="AR18" i="23"/>
  <c r="AS18" i="23"/>
  <c r="AT18" i="23"/>
  <c r="AU18" i="23"/>
  <c r="AV18" i="23"/>
  <c r="AW18" i="23"/>
  <c r="AX18" i="23"/>
  <c r="AY18" i="23"/>
  <c r="AZ18" i="23"/>
  <c r="BA18" i="23"/>
  <c r="BB18" i="23"/>
  <c r="BC18" i="23"/>
  <c r="BD18" i="23"/>
  <c r="BE18" i="23"/>
  <c r="BF18" i="23"/>
  <c r="BG18" i="23"/>
  <c r="BH18" i="23"/>
  <c r="BI18" i="23"/>
  <c r="BJ18" i="23"/>
  <c r="BK18" i="23"/>
  <c r="BL18" i="23"/>
  <c r="BM18" i="23"/>
  <c r="BN18" i="23"/>
  <c r="BO18" i="23"/>
  <c r="BP18" i="23"/>
  <c r="BQ18" i="23"/>
  <c r="BR18" i="23"/>
  <c r="BS18" i="23"/>
  <c r="BT18" i="23"/>
  <c r="BU18" i="23"/>
  <c r="BV18" i="23"/>
  <c r="AO19" i="23"/>
  <c r="AP19" i="23"/>
  <c r="AQ19" i="23"/>
  <c r="AR19" i="23"/>
  <c r="AS19" i="23"/>
  <c r="AT19" i="23"/>
  <c r="AU19" i="23"/>
  <c r="AV19" i="23"/>
  <c r="AW19" i="23"/>
  <c r="AX19" i="23"/>
  <c r="AY19" i="23"/>
  <c r="AZ19" i="23"/>
  <c r="BA19" i="23"/>
  <c r="BB19" i="23"/>
  <c r="BC19" i="23"/>
  <c r="BD19" i="23"/>
  <c r="BE19" i="23"/>
  <c r="BF19" i="23"/>
  <c r="BG19" i="23"/>
  <c r="BH19" i="23"/>
  <c r="BI19" i="23"/>
  <c r="BJ19" i="23"/>
  <c r="BK19" i="23"/>
  <c r="BL19" i="23"/>
  <c r="BM19" i="23"/>
  <c r="BN19" i="23"/>
  <c r="BO19" i="23"/>
  <c r="BP19" i="23"/>
  <c r="BQ19" i="23"/>
  <c r="BR19" i="23"/>
  <c r="BS19" i="23"/>
  <c r="BT19" i="23"/>
  <c r="BU19" i="23"/>
  <c r="BV19" i="23"/>
  <c r="AO20" i="23"/>
  <c r="AP20" i="23"/>
  <c r="AQ20" i="23"/>
  <c r="AR20" i="23"/>
  <c r="AS20" i="23"/>
  <c r="AT20" i="23"/>
  <c r="AU20" i="23"/>
  <c r="AV20" i="23"/>
  <c r="AW20" i="23"/>
  <c r="AX20" i="23"/>
  <c r="AY20" i="23"/>
  <c r="AZ20" i="23"/>
  <c r="BA20" i="23"/>
  <c r="BB20" i="23"/>
  <c r="BC20" i="23"/>
  <c r="BD20" i="23"/>
  <c r="BE20" i="23"/>
  <c r="BF20" i="23"/>
  <c r="BG20" i="23"/>
  <c r="BH20" i="23"/>
  <c r="BI20" i="23"/>
  <c r="BJ20" i="23"/>
  <c r="BK20" i="23"/>
  <c r="BL20" i="23"/>
  <c r="BM20" i="23"/>
  <c r="BN20" i="23"/>
  <c r="BO20" i="23"/>
  <c r="BP20" i="23"/>
  <c r="BQ20" i="23"/>
  <c r="BR20" i="23"/>
  <c r="BS20" i="23"/>
  <c r="BT20" i="23"/>
  <c r="BU20" i="23"/>
  <c r="BV20" i="23"/>
  <c r="AO21" i="23"/>
  <c r="AP21" i="23"/>
  <c r="AQ21" i="23"/>
  <c r="AR21" i="23"/>
  <c r="AS21" i="23"/>
  <c r="AT21" i="23"/>
  <c r="AU21" i="23"/>
  <c r="AV21" i="23"/>
  <c r="AW21" i="23"/>
  <c r="AX21" i="23"/>
  <c r="AY21" i="23"/>
  <c r="AZ21" i="23"/>
  <c r="BA21" i="23"/>
  <c r="BB21" i="23"/>
  <c r="BC21" i="23"/>
  <c r="BD21" i="23"/>
  <c r="BE21" i="23"/>
  <c r="BF21" i="23"/>
  <c r="BG21" i="23"/>
  <c r="BH21" i="23"/>
  <c r="BI21" i="23"/>
  <c r="BJ21" i="23"/>
  <c r="BK21" i="23"/>
  <c r="BL21" i="23"/>
  <c r="BM21" i="23"/>
  <c r="BN21" i="23"/>
  <c r="BO21" i="23"/>
  <c r="BP21" i="23"/>
  <c r="BQ21" i="23"/>
  <c r="BR21" i="23"/>
  <c r="BS21" i="23"/>
  <c r="BT21" i="23"/>
  <c r="BU21" i="23"/>
  <c r="BV21" i="23"/>
  <c r="AO22" i="23"/>
  <c r="AP22" i="23"/>
  <c r="AQ22" i="23"/>
  <c r="AR22" i="23"/>
  <c r="AS22" i="23"/>
  <c r="AT22" i="23"/>
  <c r="AU22" i="23"/>
  <c r="AV22" i="23"/>
  <c r="AW22" i="23"/>
  <c r="AX22" i="23"/>
  <c r="AY22" i="23"/>
  <c r="AZ22" i="23"/>
  <c r="BA22" i="23"/>
  <c r="BB22" i="23"/>
  <c r="BC22" i="23"/>
  <c r="BD22" i="23"/>
  <c r="BE22" i="23"/>
  <c r="BF22" i="23"/>
  <c r="BG22" i="23"/>
  <c r="BH22" i="23"/>
  <c r="BI22" i="23"/>
  <c r="BJ22" i="23"/>
  <c r="BK22" i="23"/>
  <c r="BL22" i="23"/>
  <c r="BM22" i="23"/>
  <c r="BN22" i="23"/>
  <c r="BO22" i="23"/>
  <c r="BP22" i="23"/>
  <c r="BQ22" i="23"/>
  <c r="BR22" i="23"/>
  <c r="BS22" i="23"/>
  <c r="BT22" i="23"/>
  <c r="BU22" i="23"/>
  <c r="BV22" i="23"/>
  <c r="AO23" i="23"/>
  <c r="AP23" i="23"/>
  <c r="AQ23" i="23"/>
  <c r="AR23" i="23"/>
  <c r="AS23" i="23"/>
  <c r="AT23" i="23"/>
  <c r="AU23" i="23"/>
  <c r="AV23" i="23"/>
  <c r="AW23" i="23"/>
  <c r="AX23" i="23"/>
  <c r="AY23" i="23"/>
  <c r="AZ23" i="23"/>
  <c r="BA23" i="23"/>
  <c r="BB23" i="23"/>
  <c r="BC23" i="23"/>
  <c r="BD23" i="23"/>
  <c r="BE23" i="23"/>
  <c r="BF23" i="23"/>
  <c r="BG23" i="23"/>
  <c r="BH23" i="23"/>
  <c r="BI23" i="23"/>
  <c r="BJ23" i="23"/>
  <c r="BK23" i="23"/>
  <c r="BL23" i="23"/>
  <c r="BM23" i="23"/>
  <c r="BN23" i="23"/>
  <c r="BO23" i="23"/>
  <c r="BP23" i="23"/>
  <c r="BQ23" i="23"/>
  <c r="BR23" i="23"/>
  <c r="BS23" i="23"/>
  <c r="BT23" i="23"/>
  <c r="BU23" i="23"/>
  <c r="BV23" i="23"/>
  <c r="AO24" i="23"/>
  <c r="AP24" i="23"/>
  <c r="AQ24" i="23"/>
  <c r="AR24" i="23"/>
  <c r="AS24" i="23"/>
  <c r="AT24" i="23"/>
  <c r="AU24" i="23"/>
  <c r="AV24" i="23"/>
  <c r="AW24" i="23"/>
  <c r="AX24" i="23"/>
  <c r="AY24" i="23"/>
  <c r="AZ24" i="23"/>
  <c r="BA24" i="23"/>
  <c r="BB24" i="23"/>
  <c r="BC24" i="23"/>
  <c r="BD24" i="23"/>
  <c r="BE24" i="23"/>
  <c r="BF24" i="23"/>
  <c r="BG24" i="23"/>
  <c r="BH24" i="23"/>
  <c r="BI24" i="23"/>
  <c r="BJ24" i="23"/>
  <c r="BK24" i="23"/>
  <c r="BL24" i="23"/>
  <c r="BM24" i="23"/>
  <c r="BN24" i="23"/>
  <c r="BO24" i="23"/>
  <c r="BP24" i="23"/>
  <c r="BQ24" i="23"/>
  <c r="BR24" i="23"/>
  <c r="BS24" i="23"/>
  <c r="BT24" i="23"/>
  <c r="BU24" i="23"/>
  <c r="BV24" i="23"/>
  <c r="AO25" i="23"/>
  <c r="AP25" i="23"/>
  <c r="AQ25" i="23"/>
  <c r="AR25" i="23"/>
  <c r="AS25" i="23"/>
  <c r="AT25" i="23"/>
  <c r="AU25" i="23"/>
  <c r="AV25" i="23"/>
  <c r="AW25" i="23"/>
  <c r="AX25" i="23"/>
  <c r="AY25" i="23"/>
  <c r="AZ25" i="23"/>
  <c r="BA25" i="23"/>
  <c r="BB25" i="23"/>
  <c r="BC25" i="23"/>
  <c r="BD25" i="23"/>
  <c r="BE25" i="23"/>
  <c r="BF25" i="23"/>
  <c r="BG25" i="23"/>
  <c r="BH25" i="23"/>
  <c r="BI25" i="23"/>
  <c r="BJ25" i="23"/>
  <c r="BK25" i="23"/>
  <c r="BL25" i="23"/>
  <c r="BM25" i="23"/>
  <c r="BN25" i="23"/>
  <c r="BO25" i="23"/>
  <c r="BP25" i="23"/>
  <c r="BQ25" i="23"/>
  <c r="BR25" i="23"/>
  <c r="BS25" i="23"/>
  <c r="BT25" i="23"/>
  <c r="BU25" i="23"/>
  <c r="BV25" i="23"/>
  <c r="AO26" i="23"/>
  <c r="AP26" i="23"/>
  <c r="AQ26" i="23"/>
  <c r="AR26" i="23"/>
  <c r="AS26" i="23"/>
  <c r="AT26" i="23"/>
  <c r="AU26" i="23"/>
  <c r="AV26" i="23"/>
  <c r="AW26" i="23"/>
  <c r="AX26" i="23"/>
  <c r="AY26" i="23"/>
  <c r="AZ26" i="23"/>
  <c r="BA26" i="23"/>
  <c r="BB26" i="23"/>
  <c r="BC26" i="23"/>
  <c r="BD26" i="23"/>
  <c r="BE26" i="23"/>
  <c r="BF26" i="23"/>
  <c r="BG26" i="23"/>
  <c r="BH26" i="23"/>
  <c r="BI26" i="23"/>
  <c r="BJ26" i="23"/>
  <c r="BK26" i="23"/>
  <c r="BL26" i="23"/>
  <c r="BM26" i="23"/>
  <c r="BN26" i="23"/>
  <c r="BO26" i="23"/>
  <c r="BP26" i="23"/>
  <c r="BQ26" i="23"/>
  <c r="BR26" i="23"/>
  <c r="BS26" i="23"/>
  <c r="BT26" i="23"/>
  <c r="BU26" i="23"/>
  <c r="BV26" i="23"/>
  <c r="AO27" i="23"/>
  <c r="AP27" i="23"/>
  <c r="AQ27" i="23"/>
  <c r="AR27" i="23"/>
  <c r="AS27" i="23"/>
  <c r="AT27" i="23"/>
  <c r="AU27" i="23"/>
  <c r="AV27" i="23"/>
  <c r="AW27" i="23"/>
  <c r="AX27" i="23"/>
  <c r="AY27" i="23"/>
  <c r="AZ27" i="23"/>
  <c r="BA27" i="23"/>
  <c r="BB27" i="23"/>
  <c r="BC27" i="23"/>
  <c r="BD27" i="23"/>
  <c r="BE27" i="23"/>
  <c r="BF27" i="23"/>
  <c r="BG27" i="23"/>
  <c r="BH27" i="23"/>
  <c r="BI27" i="23"/>
  <c r="BJ27" i="23"/>
  <c r="BK27" i="23"/>
  <c r="BL27" i="23"/>
  <c r="BM27" i="23"/>
  <c r="BN27" i="23"/>
  <c r="BO27" i="23"/>
  <c r="BP27" i="23"/>
  <c r="BQ27" i="23"/>
  <c r="BR27" i="23"/>
  <c r="BS27" i="23"/>
  <c r="BT27" i="23"/>
  <c r="BU27" i="23"/>
  <c r="BV27" i="23"/>
  <c r="AO28" i="23"/>
  <c r="AP28" i="23"/>
  <c r="AQ28" i="23"/>
  <c r="AR28" i="23"/>
  <c r="AS28" i="23"/>
  <c r="AT28" i="23"/>
  <c r="AU28" i="23"/>
  <c r="AV28" i="23"/>
  <c r="AW28" i="23"/>
  <c r="AX28" i="23"/>
  <c r="AY28" i="23"/>
  <c r="AZ28" i="23"/>
  <c r="BA28" i="23"/>
  <c r="BB28" i="23"/>
  <c r="BC28" i="23"/>
  <c r="BD28" i="23"/>
  <c r="BE28" i="23"/>
  <c r="BF28" i="23"/>
  <c r="BG28" i="23"/>
  <c r="BH28" i="23"/>
  <c r="BI28" i="23"/>
  <c r="BJ28" i="23"/>
  <c r="BK28" i="23"/>
  <c r="BL28" i="23"/>
  <c r="BM28" i="23"/>
  <c r="BN28" i="23"/>
  <c r="BO28" i="23"/>
  <c r="BP28" i="23"/>
  <c r="BQ28" i="23"/>
  <c r="BR28" i="23"/>
  <c r="BS28" i="23"/>
  <c r="BT28" i="23"/>
  <c r="BU28" i="23"/>
  <c r="BV28" i="23"/>
  <c r="AO29" i="23"/>
  <c r="AP29" i="23"/>
  <c r="AQ29" i="23"/>
  <c r="AR29" i="23"/>
  <c r="AS29" i="23"/>
  <c r="AT29" i="23"/>
  <c r="AU29" i="23"/>
  <c r="AV29" i="23"/>
  <c r="AW29" i="23"/>
  <c r="AX29" i="23"/>
  <c r="AY29" i="23"/>
  <c r="AZ29" i="23"/>
  <c r="BA29" i="23"/>
  <c r="BB29" i="23"/>
  <c r="BC29" i="23"/>
  <c r="BD29" i="23"/>
  <c r="BE29" i="23"/>
  <c r="BF29" i="23"/>
  <c r="BG29" i="23"/>
  <c r="BH29" i="23"/>
  <c r="BI29" i="23"/>
  <c r="BJ29" i="23"/>
  <c r="BK29" i="23"/>
  <c r="BL29" i="23"/>
  <c r="BM29" i="23"/>
  <c r="BN29" i="23"/>
  <c r="BO29" i="23"/>
  <c r="BP29" i="23"/>
  <c r="BQ29" i="23"/>
  <c r="BR29" i="23"/>
  <c r="BS29" i="23"/>
  <c r="BT29" i="23"/>
  <c r="BU29" i="23"/>
  <c r="BV29" i="23"/>
  <c r="AO30" i="23"/>
  <c r="AP30" i="23"/>
  <c r="AQ30" i="23"/>
  <c r="AR30" i="23"/>
  <c r="AS30" i="23"/>
  <c r="AT30" i="23"/>
  <c r="AU30" i="23"/>
  <c r="AV30" i="23"/>
  <c r="AW30" i="23"/>
  <c r="AX30" i="23"/>
  <c r="AY30" i="23"/>
  <c r="AZ30" i="23"/>
  <c r="BA30" i="23"/>
  <c r="BB30" i="23"/>
  <c r="BC30" i="23"/>
  <c r="BD30" i="23"/>
  <c r="BE30" i="23"/>
  <c r="BF30" i="23"/>
  <c r="BG30" i="23"/>
  <c r="BH30" i="23"/>
  <c r="BI30" i="23"/>
  <c r="BJ30" i="23"/>
  <c r="BK30" i="23"/>
  <c r="BL30" i="23"/>
  <c r="BM30" i="23"/>
  <c r="BN30" i="23"/>
  <c r="BO30" i="23"/>
  <c r="BP30" i="23"/>
  <c r="BQ30" i="23"/>
  <c r="BR30" i="23"/>
  <c r="BS30" i="23"/>
  <c r="BT30" i="23"/>
  <c r="BU30" i="23"/>
  <c r="BV30" i="23"/>
  <c r="AO31" i="23"/>
  <c r="AP31" i="23"/>
  <c r="AQ31" i="23"/>
  <c r="AR31" i="23"/>
  <c r="AS31" i="23"/>
  <c r="AT31" i="23"/>
  <c r="AU31" i="23"/>
  <c r="AV31" i="23"/>
  <c r="AW31" i="23"/>
  <c r="AX31" i="23"/>
  <c r="AY31" i="23"/>
  <c r="AZ31" i="23"/>
  <c r="BA31" i="23"/>
  <c r="BB31" i="23"/>
  <c r="BC31" i="23"/>
  <c r="BD31" i="23"/>
  <c r="BE31" i="23"/>
  <c r="BF31" i="23"/>
  <c r="BG31" i="23"/>
  <c r="BH31" i="23"/>
  <c r="BI31" i="23"/>
  <c r="BJ31" i="23"/>
  <c r="BK31" i="23"/>
  <c r="BL31" i="23"/>
  <c r="BM31" i="23"/>
  <c r="BN31" i="23"/>
  <c r="BO31" i="23"/>
  <c r="BP31" i="23"/>
  <c r="BQ31" i="23"/>
  <c r="BR31" i="23"/>
  <c r="BS31" i="23"/>
  <c r="BT31" i="23"/>
  <c r="BU31" i="23"/>
  <c r="BV31" i="23"/>
  <c r="AO32" i="23"/>
  <c r="AP32" i="23"/>
  <c r="AQ32" i="23"/>
  <c r="AR32" i="23"/>
  <c r="AS32" i="23"/>
  <c r="AT32" i="23"/>
  <c r="AU32" i="23"/>
  <c r="AV32" i="23"/>
  <c r="AW32" i="23"/>
  <c r="AX32" i="23"/>
  <c r="AY32" i="23"/>
  <c r="AZ32" i="23"/>
  <c r="BA32" i="23"/>
  <c r="BB32" i="23"/>
  <c r="BC32" i="23"/>
  <c r="BD32" i="23"/>
  <c r="BE32" i="23"/>
  <c r="BF32" i="23"/>
  <c r="BG32" i="23"/>
  <c r="BH32" i="23"/>
  <c r="BI32" i="23"/>
  <c r="BJ32" i="23"/>
  <c r="BK32" i="23"/>
  <c r="BL32" i="23"/>
  <c r="BM32" i="23"/>
  <c r="BN32" i="23"/>
  <c r="BO32" i="23"/>
  <c r="BP32" i="23"/>
  <c r="BQ32" i="23"/>
  <c r="BR32" i="23"/>
  <c r="BS32" i="23"/>
  <c r="BT32" i="23"/>
  <c r="BU32" i="23"/>
  <c r="BV32" i="23"/>
  <c r="AO33" i="23"/>
  <c r="AP33" i="23"/>
  <c r="AQ33" i="23"/>
  <c r="AR33" i="23"/>
  <c r="AS33" i="23"/>
  <c r="AT33" i="23"/>
  <c r="AU33" i="23"/>
  <c r="AV33" i="23"/>
  <c r="AW33" i="23"/>
  <c r="AX33" i="23"/>
  <c r="AY33" i="23"/>
  <c r="AZ33" i="23"/>
  <c r="BA33" i="23"/>
  <c r="BB33" i="23"/>
  <c r="BC33" i="23"/>
  <c r="BD33" i="23"/>
  <c r="BE33" i="23"/>
  <c r="BF33" i="23"/>
  <c r="BG33" i="23"/>
  <c r="BH33" i="23"/>
  <c r="BI33" i="23"/>
  <c r="BJ33" i="23"/>
  <c r="BK33" i="23"/>
  <c r="BL33" i="23"/>
  <c r="BM33" i="23"/>
  <c r="BN33" i="23"/>
  <c r="BO33" i="23"/>
  <c r="BP33" i="23"/>
  <c r="BQ33" i="23"/>
  <c r="BR33" i="23"/>
  <c r="BS33" i="23"/>
  <c r="BT33" i="23"/>
  <c r="BU33" i="23"/>
  <c r="BV33" i="23"/>
  <c r="AO34" i="23"/>
  <c r="AP34" i="23"/>
  <c r="AQ34" i="23"/>
  <c r="AR34" i="23"/>
  <c r="AS34" i="23"/>
  <c r="AT34" i="23"/>
  <c r="AU34" i="23"/>
  <c r="AV34" i="23"/>
  <c r="AW34" i="23"/>
  <c r="AX34" i="23"/>
  <c r="AY34" i="23"/>
  <c r="AZ34" i="23"/>
  <c r="BA34" i="23"/>
  <c r="BB34" i="23"/>
  <c r="BC34" i="23"/>
  <c r="BD34" i="23"/>
  <c r="BE34" i="23"/>
  <c r="BF34" i="23"/>
  <c r="BG34" i="23"/>
  <c r="BH34" i="23"/>
  <c r="BI34" i="23"/>
  <c r="BJ34" i="23"/>
  <c r="BK34" i="23"/>
  <c r="BL34" i="23"/>
  <c r="BM34" i="23"/>
  <c r="BN34" i="23"/>
  <c r="BO34" i="23"/>
  <c r="BP34" i="23"/>
  <c r="BQ34" i="23"/>
  <c r="BR34" i="23"/>
  <c r="BS34" i="23"/>
  <c r="BT34" i="23"/>
  <c r="BU34" i="23"/>
  <c r="BV34" i="23"/>
  <c r="AO35" i="23"/>
  <c r="AP35" i="23"/>
  <c r="AQ35" i="23"/>
  <c r="AR35" i="23"/>
  <c r="AS35" i="23"/>
  <c r="AT35" i="23"/>
  <c r="AU35" i="23"/>
  <c r="AV35" i="23"/>
  <c r="AW35" i="23"/>
  <c r="AX35" i="23"/>
  <c r="AY35" i="23"/>
  <c r="AZ35" i="23"/>
  <c r="BA35" i="23"/>
  <c r="BB35" i="23"/>
  <c r="BC35" i="23"/>
  <c r="BD35" i="23"/>
  <c r="BE35" i="23"/>
  <c r="BF35" i="23"/>
  <c r="BG35" i="23"/>
  <c r="BH35" i="23"/>
  <c r="BI35" i="23"/>
  <c r="BJ35" i="23"/>
  <c r="BK35" i="23"/>
  <c r="BL35" i="23"/>
  <c r="BM35" i="23"/>
  <c r="BN35" i="23"/>
  <c r="BO35" i="23"/>
  <c r="BP35" i="23"/>
  <c r="BQ35" i="23"/>
  <c r="BR35" i="23"/>
  <c r="BS35" i="23"/>
  <c r="BT35" i="23"/>
  <c r="BU35" i="23"/>
  <c r="BV35" i="23"/>
  <c r="AO36" i="23"/>
  <c r="AP36" i="23"/>
  <c r="AQ36" i="23"/>
  <c r="AR36" i="23"/>
  <c r="AS36" i="23"/>
  <c r="AT36" i="23"/>
  <c r="AU36" i="23"/>
  <c r="AV36" i="23"/>
  <c r="AW36" i="23"/>
  <c r="AX36" i="23"/>
  <c r="AY36" i="23"/>
  <c r="AZ36" i="23"/>
  <c r="BA36" i="23"/>
  <c r="BB36" i="23"/>
  <c r="BC36" i="23"/>
  <c r="BD36" i="23"/>
  <c r="BE36" i="23"/>
  <c r="BF36" i="23"/>
  <c r="BG36" i="23"/>
  <c r="BH36" i="23"/>
  <c r="BI36" i="23"/>
  <c r="BJ36" i="23"/>
  <c r="BK36" i="23"/>
  <c r="BL36" i="23"/>
  <c r="BM36" i="23"/>
  <c r="BN36" i="23"/>
  <c r="BO36" i="23"/>
  <c r="BP36" i="23"/>
  <c r="BQ36" i="23"/>
  <c r="BR36" i="23"/>
  <c r="BS36" i="23"/>
  <c r="BT36" i="23"/>
  <c r="BU36" i="23"/>
  <c r="BV36" i="23"/>
  <c r="AO37" i="23"/>
  <c r="AP37" i="23"/>
  <c r="AQ37" i="23"/>
  <c r="AR37" i="23"/>
  <c r="AS37" i="23"/>
  <c r="AT37" i="23"/>
  <c r="AU37" i="23"/>
  <c r="AV37" i="23"/>
  <c r="AW37" i="23"/>
  <c r="AX37" i="23"/>
  <c r="AY37" i="23"/>
  <c r="AZ37" i="23"/>
  <c r="BA37" i="23"/>
  <c r="BB37" i="23"/>
  <c r="BC37" i="23"/>
  <c r="BD37" i="23"/>
  <c r="BE37" i="23"/>
  <c r="BF37" i="23"/>
  <c r="BG37" i="23"/>
  <c r="BH37" i="23"/>
  <c r="BI37" i="23"/>
  <c r="BJ37" i="23"/>
  <c r="BK37" i="23"/>
  <c r="BL37" i="23"/>
  <c r="BM37" i="23"/>
  <c r="BN37" i="23"/>
  <c r="BO37" i="23"/>
  <c r="BP37" i="23"/>
  <c r="BQ37" i="23"/>
  <c r="BR37" i="23"/>
  <c r="BS37" i="23"/>
  <c r="BT37" i="23"/>
  <c r="BU37" i="23"/>
  <c r="BV37" i="23"/>
  <c r="AO38" i="23"/>
  <c r="AP38" i="23"/>
  <c r="AQ38" i="23"/>
  <c r="AR38" i="23"/>
  <c r="AS38" i="23"/>
  <c r="AT38" i="23"/>
  <c r="AU38" i="23"/>
  <c r="AV38" i="23"/>
  <c r="AW38" i="23"/>
  <c r="AX38" i="23"/>
  <c r="AY38" i="23"/>
  <c r="AZ38" i="23"/>
  <c r="BA38" i="23"/>
  <c r="BB38" i="23"/>
  <c r="BC38" i="23"/>
  <c r="BD38" i="23"/>
  <c r="BE38" i="23"/>
  <c r="BF38" i="23"/>
  <c r="BG38" i="23"/>
  <c r="BH38" i="23"/>
  <c r="BI38" i="23"/>
  <c r="BJ38" i="23"/>
  <c r="BK38" i="23"/>
  <c r="BL38" i="23"/>
  <c r="BM38" i="23"/>
  <c r="BN38" i="23"/>
  <c r="BO38" i="23"/>
  <c r="BP38" i="23"/>
  <c r="BQ38" i="23"/>
  <c r="BR38" i="23"/>
  <c r="BS38" i="23"/>
  <c r="BT38" i="23"/>
  <c r="BU38" i="23"/>
  <c r="BV38" i="23"/>
  <c r="AO39" i="23"/>
  <c r="AP39" i="23"/>
  <c r="AQ39" i="23"/>
  <c r="AR39" i="23"/>
  <c r="AS39" i="23"/>
  <c r="AT39" i="23"/>
  <c r="AU39" i="23"/>
  <c r="AV39" i="23"/>
  <c r="AW39" i="23"/>
  <c r="AX39" i="23"/>
  <c r="AY39" i="23"/>
  <c r="AZ39" i="23"/>
  <c r="BA39" i="23"/>
  <c r="BB39" i="23"/>
  <c r="BC39" i="23"/>
  <c r="BD39" i="23"/>
  <c r="BE39" i="23"/>
  <c r="BF39" i="23"/>
  <c r="BG39" i="23"/>
  <c r="BH39" i="23"/>
  <c r="BI39" i="23"/>
  <c r="BJ39" i="23"/>
  <c r="BK39" i="23"/>
  <c r="BL39" i="23"/>
  <c r="BM39" i="23"/>
  <c r="BN39" i="23"/>
  <c r="BO39" i="23"/>
  <c r="BP39" i="23"/>
  <c r="BQ39" i="23"/>
  <c r="BR39" i="23"/>
  <c r="BS39" i="23"/>
  <c r="BT39" i="23"/>
  <c r="BU39" i="23"/>
  <c r="BV39" i="23"/>
  <c r="AO40" i="23"/>
  <c r="AP40" i="23"/>
  <c r="AQ40" i="23"/>
  <c r="AR40" i="23"/>
  <c r="AS40" i="23"/>
  <c r="AT40" i="23"/>
  <c r="AU40" i="23"/>
  <c r="AV40" i="23"/>
  <c r="AW40" i="23"/>
  <c r="AX40" i="23"/>
  <c r="AY40" i="23"/>
  <c r="AZ40" i="23"/>
  <c r="BA40" i="23"/>
  <c r="BB40" i="23"/>
  <c r="BC40" i="23"/>
  <c r="BD40" i="23"/>
  <c r="BE40" i="23"/>
  <c r="BF40" i="23"/>
  <c r="BG40" i="23"/>
  <c r="BH40" i="23"/>
  <c r="BI40" i="23"/>
  <c r="BJ40" i="23"/>
  <c r="BK40" i="23"/>
  <c r="BL40" i="23"/>
  <c r="BM40" i="23"/>
  <c r="BN40" i="23"/>
  <c r="BO40" i="23"/>
  <c r="BP40" i="23"/>
  <c r="BQ40" i="23"/>
  <c r="BR40" i="23"/>
  <c r="BS40" i="23"/>
  <c r="BT40" i="23"/>
  <c r="BU40" i="23"/>
  <c r="BV40" i="23"/>
  <c r="AO41" i="23"/>
  <c r="AP41" i="23"/>
  <c r="AQ41" i="23"/>
  <c r="AR41" i="23"/>
  <c r="AS41" i="23"/>
  <c r="AT41" i="23"/>
  <c r="AU41" i="23"/>
  <c r="AV41" i="23"/>
  <c r="AW41" i="23"/>
  <c r="AX41" i="23"/>
  <c r="AY41" i="23"/>
  <c r="AZ41" i="23"/>
  <c r="BA41" i="23"/>
  <c r="BB41" i="23"/>
  <c r="BC41" i="23"/>
  <c r="BD41" i="23"/>
  <c r="BE41" i="23"/>
  <c r="BF41" i="23"/>
  <c r="BG41" i="23"/>
  <c r="BH41" i="23"/>
  <c r="BI41" i="23"/>
  <c r="BJ41" i="23"/>
  <c r="BK41" i="23"/>
  <c r="BL41" i="23"/>
  <c r="BM41" i="23"/>
  <c r="BN41" i="23"/>
  <c r="BO41" i="23"/>
  <c r="BP41" i="23"/>
  <c r="BQ41" i="23"/>
  <c r="BR41" i="23"/>
  <c r="BS41" i="23"/>
  <c r="BT41" i="23"/>
  <c r="BU41" i="23"/>
  <c r="BV41" i="23"/>
  <c r="AO42" i="23"/>
  <c r="AP42" i="23"/>
  <c r="AQ42" i="23"/>
  <c r="AR42" i="23"/>
  <c r="AS42" i="23"/>
  <c r="AT42" i="23"/>
  <c r="AU42" i="23"/>
  <c r="AV42" i="23"/>
  <c r="AW42" i="23"/>
  <c r="AX42" i="23"/>
  <c r="AY42" i="23"/>
  <c r="AZ42" i="23"/>
  <c r="BA42" i="23"/>
  <c r="BB42" i="23"/>
  <c r="BC42" i="23"/>
  <c r="BD42" i="23"/>
  <c r="BE42" i="23"/>
  <c r="BF42" i="23"/>
  <c r="BG42" i="23"/>
  <c r="BH42" i="23"/>
  <c r="BI42" i="23"/>
  <c r="BJ42" i="23"/>
  <c r="BK42" i="23"/>
  <c r="BL42" i="23"/>
  <c r="BM42" i="23"/>
  <c r="BN42" i="23"/>
  <c r="BO42" i="23"/>
  <c r="BP42" i="23"/>
  <c r="BQ42" i="23"/>
  <c r="BR42" i="23"/>
  <c r="BS42" i="23"/>
  <c r="BT42" i="23"/>
  <c r="BU42" i="23"/>
  <c r="BV42" i="23"/>
  <c r="AO43" i="23"/>
  <c r="AP43" i="23"/>
  <c r="AQ43" i="23"/>
  <c r="AR43" i="23"/>
  <c r="AS43" i="23"/>
  <c r="AT43" i="23"/>
  <c r="AU43" i="23"/>
  <c r="AV43" i="23"/>
  <c r="AW43" i="23"/>
  <c r="AX43" i="23"/>
  <c r="AY43" i="23"/>
  <c r="AZ43" i="23"/>
  <c r="BA43" i="23"/>
  <c r="BB43" i="23"/>
  <c r="BC43" i="23"/>
  <c r="BD43" i="23"/>
  <c r="BE43" i="23"/>
  <c r="BF43" i="23"/>
  <c r="BG43" i="23"/>
  <c r="BH43" i="23"/>
  <c r="BI43" i="23"/>
  <c r="BJ43" i="23"/>
  <c r="BK43" i="23"/>
  <c r="BL43" i="23"/>
  <c r="BM43" i="23"/>
  <c r="BN43" i="23"/>
  <c r="BO43" i="23"/>
  <c r="BP43" i="23"/>
  <c r="BQ43" i="23"/>
  <c r="BR43" i="23"/>
  <c r="BS43" i="23"/>
  <c r="BT43" i="23"/>
  <c r="BU43" i="23"/>
  <c r="BV43" i="23"/>
  <c r="AO44" i="23"/>
  <c r="AP44" i="23"/>
  <c r="AQ44" i="23"/>
  <c r="AR44" i="23"/>
  <c r="AS44" i="23"/>
  <c r="AT44" i="23"/>
  <c r="AU44" i="23"/>
  <c r="AV44" i="23"/>
  <c r="AW44" i="23"/>
  <c r="AX44" i="23"/>
  <c r="AY44" i="23"/>
  <c r="AZ44" i="23"/>
  <c r="BA44" i="23"/>
  <c r="BB44" i="23"/>
  <c r="BC44" i="23"/>
  <c r="BD44" i="23"/>
  <c r="BE44" i="23"/>
  <c r="BF44" i="23"/>
  <c r="BG44" i="23"/>
  <c r="BH44" i="23"/>
  <c r="BI44" i="23"/>
  <c r="BJ44" i="23"/>
  <c r="BK44" i="23"/>
  <c r="BL44" i="23"/>
  <c r="BM44" i="23"/>
  <c r="BN44" i="23"/>
  <c r="BO44" i="23"/>
  <c r="BP44" i="23"/>
  <c r="BQ44" i="23"/>
  <c r="BR44" i="23"/>
  <c r="BS44" i="23"/>
  <c r="BT44" i="23"/>
  <c r="BU44" i="23"/>
  <c r="BV44" i="23"/>
  <c r="AO45" i="23"/>
  <c r="AP45" i="23"/>
  <c r="AQ45" i="23"/>
  <c r="AR45" i="23"/>
  <c r="AS45" i="23"/>
  <c r="AT45" i="23"/>
  <c r="AU45" i="23"/>
  <c r="AV45" i="23"/>
  <c r="AW45" i="23"/>
  <c r="AX45" i="23"/>
  <c r="AY45" i="23"/>
  <c r="AZ45" i="23"/>
  <c r="BA45" i="23"/>
  <c r="BB45" i="23"/>
  <c r="BC45" i="23"/>
  <c r="BD45" i="23"/>
  <c r="BE45" i="23"/>
  <c r="BF45" i="23"/>
  <c r="BG45" i="23"/>
  <c r="BH45" i="23"/>
  <c r="BI45" i="23"/>
  <c r="BJ45" i="23"/>
  <c r="BK45" i="23"/>
  <c r="BL45" i="23"/>
  <c r="BM45" i="23"/>
  <c r="BN45" i="23"/>
  <c r="BO45" i="23"/>
  <c r="BP45" i="23"/>
  <c r="BQ45" i="23"/>
  <c r="BR45" i="23"/>
  <c r="BS45" i="23"/>
  <c r="BT45" i="23"/>
  <c r="BU45" i="23"/>
  <c r="BV45" i="23"/>
  <c r="AO46" i="23"/>
  <c r="AP46" i="23"/>
  <c r="AQ46" i="23"/>
  <c r="AR46" i="23"/>
  <c r="AS46" i="23"/>
  <c r="AT46" i="23"/>
  <c r="AU46" i="23"/>
  <c r="AV46" i="23"/>
  <c r="AW46" i="23"/>
  <c r="AX46" i="23"/>
  <c r="AY46" i="23"/>
  <c r="AZ46" i="23"/>
  <c r="BA46" i="23"/>
  <c r="BB46" i="23"/>
  <c r="BC46" i="23"/>
  <c r="BD46" i="23"/>
  <c r="BE46" i="23"/>
  <c r="BF46" i="23"/>
  <c r="BG46" i="23"/>
  <c r="BH46" i="23"/>
  <c r="BI46" i="23"/>
  <c r="BJ46" i="23"/>
  <c r="BK46" i="23"/>
  <c r="BL46" i="23"/>
  <c r="BM46" i="23"/>
  <c r="BN46" i="23"/>
  <c r="BO46" i="23"/>
  <c r="BP46" i="23"/>
  <c r="BQ46" i="23"/>
  <c r="BR46" i="23"/>
  <c r="BS46" i="23"/>
  <c r="BT46" i="23"/>
  <c r="BU46" i="23"/>
  <c r="BV46" i="23"/>
  <c r="AO47" i="23"/>
  <c r="AP47" i="23"/>
  <c r="AQ47" i="23"/>
  <c r="AR47" i="23"/>
  <c r="AS47" i="23"/>
  <c r="AT47" i="23"/>
  <c r="AU47" i="23"/>
  <c r="AV47" i="23"/>
  <c r="AW47" i="23"/>
  <c r="AX47" i="23"/>
  <c r="AY47" i="23"/>
  <c r="AZ47" i="23"/>
  <c r="BA47" i="23"/>
  <c r="BB47" i="23"/>
  <c r="BC47" i="23"/>
  <c r="BD47" i="23"/>
  <c r="BE47" i="23"/>
  <c r="BF47" i="23"/>
  <c r="BG47" i="23"/>
  <c r="BH47" i="23"/>
  <c r="BI47" i="23"/>
  <c r="BJ47" i="23"/>
  <c r="BK47" i="23"/>
  <c r="BL47" i="23"/>
  <c r="BM47" i="23"/>
  <c r="BN47" i="23"/>
  <c r="BO47" i="23"/>
  <c r="BP47" i="23"/>
  <c r="BQ47" i="23"/>
  <c r="BR47" i="23"/>
  <c r="BS47" i="23"/>
  <c r="BT47" i="23"/>
  <c r="BU47" i="23"/>
  <c r="BV47" i="23"/>
  <c r="AO48" i="23"/>
  <c r="AP48" i="23"/>
  <c r="AQ48" i="23"/>
  <c r="AR48" i="23"/>
  <c r="AS48" i="23"/>
  <c r="AT48" i="23"/>
  <c r="AU48" i="23"/>
  <c r="AV48" i="23"/>
  <c r="AW48" i="23"/>
  <c r="AX48" i="23"/>
  <c r="AY48" i="23"/>
  <c r="AZ48" i="23"/>
  <c r="BA48" i="23"/>
  <c r="BB48" i="23"/>
  <c r="BC48" i="23"/>
  <c r="BD48" i="23"/>
  <c r="BE48" i="23"/>
  <c r="BF48" i="23"/>
  <c r="BG48" i="23"/>
  <c r="BH48" i="23"/>
  <c r="BI48" i="23"/>
  <c r="BJ48" i="23"/>
  <c r="BK48" i="23"/>
  <c r="BL48" i="23"/>
  <c r="BM48" i="23"/>
  <c r="BN48" i="23"/>
  <c r="BO48" i="23"/>
  <c r="BP48" i="23"/>
  <c r="BQ48" i="23"/>
  <c r="BR48" i="23"/>
  <c r="BS48" i="23"/>
  <c r="BT48" i="23"/>
  <c r="BU48" i="23"/>
  <c r="BV48" i="23"/>
  <c r="AO49" i="23"/>
  <c r="AP49" i="23"/>
  <c r="AQ49" i="23"/>
  <c r="AR49" i="23"/>
  <c r="AS49" i="23"/>
  <c r="AT49" i="23"/>
  <c r="AU49" i="23"/>
  <c r="AV49" i="23"/>
  <c r="AW49" i="23"/>
  <c r="AX49" i="23"/>
  <c r="AY49" i="23"/>
  <c r="AZ49" i="23"/>
  <c r="BA49" i="23"/>
  <c r="BB49" i="23"/>
  <c r="BC49" i="23"/>
  <c r="BD49" i="23"/>
  <c r="BE49" i="23"/>
  <c r="BF49" i="23"/>
  <c r="BG49" i="23"/>
  <c r="BH49" i="23"/>
  <c r="BI49" i="23"/>
  <c r="BJ49" i="23"/>
  <c r="BK49" i="23"/>
  <c r="BL49" i="23"/>
  <c r="BM49" i="23"/>
  <c r="BN49" i="23"/>
  <c r="BO49" i="23"/>
  <c r="BP49" i="23"/>
  <c r="BQ49" i="23"/>
  <c r="BR49" i="23"/>
  <c r="BS49" i="23"/>
  <c r="BT49" i="23"/>
  <c r="BU49" i="23"/>
  <c r="BV49" i="23"/>
  <c r="AO50" i="23"/>
  <c r="AP50" i="23"/>
  <c r="AQ50" i="23"/>
  <c r="AR50" i="23"/>
  <c r="AS50" i="23"/>
  <c r="AT50" i="23"/>
  <c r="AU50" i="23"/>
  <c r="AV50" i="23"/>
  <c r="AW50" i="23"/>
  <c r="AX50" i="23"/>
  <c r="AY50" i="23"/>
  <c r="AZ50" i="23"/>
  <c r="BA50" i="23"/>
  <c r="BB50" i="23"/>
  <c r="BC50" i="23"/>
  <c r="BD50" i="23"/>
  <c r="BE50" i="23"/>
  <c r="BF50" i="23"/>
  <c r="BG50" i="23"/>
  <c r="BH50" i="23"/>
  <c r="BI50" i="23"/>
  <c r="BJ50" i="23"/>
  <c r="BK50" i="23"/>
  <c r="BL50" i="23"/>
  <c r="BM50" i="23"/>
  <c r="BN50" i="23"/>
  <c r="BO50" i="23"/>
  <c r="BP50" i="23"/>
  <c r="BQ50" i="23"/>
  <c r="BR50" i="23"/>
  <c r="BS50" i="23"/>
  <c r="BT50" i="23"/>
  <c r="BU50" i="23"/>
  <c r="BV50" i="23"/>
  <c r="AO51" i="23"/>
  <c r="AP51" i="23"/>
  <c r="AQ51" i="23"/>
  <c r="AR51" i="23"/>
  <c r="AS51" i="23"/>
  <c r="AT51" i="23"/>
  <c r="AU51" i="23"/>
  <c r="AV51" i="23"/>
  <c r="AW51" i="23"/>
  <c r="AX51" i="23"/>
  <c r="AY51" i="23"/>
  <c r="AZ51" i="23"/>
  <c r="BA51" i="23"/>
  <c r="BB51" i="23"/>
  <c r="BC51" i="23"/>
  <c r="BD51" i="23"/>
  <c r="BE51" i="23"/>
  <c r="BF51" i="23"/>
  <c r="BG51" i="23"/>
  <c r="BH51" i="23"/>
  <c r="BI51" i="23"/>
  <c r="BJ51" i="23"/>
  <c r="BK51" i="23"/>
  <c r="BL51" i="23"/>
  <c r="BM51" i="23"/>
  <c r="BN51" i="23"/>
  <c r="BO51" i="23"/>
  <c r="BP51" i="23"/>
  <c r="BQ51" i="23"/>
  <c r="BR51" i="23"/>
  <c r="BS51" i="23"/>
  <c r="BT51" i="23"/>
  <c r="BU51" i="23"/>
  <c r="BV51" i="23"/>
  <c r="AO52" i="23"/>
  <c r="AP52" i="23"/>
  <c r="AQ52" i="23"/>
  <c r="AR52" i="23"/>
  <c r="AS52" i="23"/>
  <c r="AT52" i="23"/>
  <c r="AU52" i="23"/>
  <c r="AV52" i="23"/>
  <c r="AW52" i="23"/>
  <c r="AX52" i="23"/>
  <c r="AY52" i="23"/>
  <c r="AZ52" i="23"/>
  <c r="BA52" i="23"/>
  <c r="BB52" i="23"/>
  <c r="BC52" i="23"/>
  <c r="BD52" i="23"/>
  <c r="BE52" i="23"/>
  <c r="BF52" i="23"/>
  <c r="BG52" i="23"/>
  <c r="BH52" i="23"/>
  <c r="BI52" i="23"/>
  <c r="BJ52" i="23"/>
  <c r="BK52" i="23"/>
  <c r="BL52" i="23"/>
  <c r="BM52" i="23"/>
  <c r="BN52" i="23"/>
  <c r="BO52" i="23"/>
  <c r="BP52" i="23"/>
  <c r="BQ52" i="23"/>
  <c r="BR52" i="23"/>
  <c r="BS52" i="23"/>
  <c r="BT52" i="23"/>
  <c r="BU52" i="23"/>
  <c r="BV52" i="23"/>
  <c r="AO53" i="23"/>
  <c r="AP53" i="23"/>
  <c r="AQ53" i="23"/>
  <c r="AR53" i="23"/>
  <c r="AS53" i="23"/>
  <c r="AT53" i="23"/>
  <c r="AU53" i="23"/>
  <c r="AV53" i="23"/>
  <c r="AW53" i="23"/>
  <c r="AX53" i="23"/>
  <c r="AY53" i="23"/>
  <c r="AZ53" i="23"/>
  <c r="BA53" i="23"/>
  <c r="BB53" i="23"/>
  <c r="BC53" i="23"/>
  <c r="BD53" i="23"/>
  <c r="BE53" i="23"/>
  <c r="BF53" i="23"/>
  <c r="BG53" i="23"/>
  <c r="BH53" i="23"/>
  <c r="BI53" i="23"/>
  <c r="BJ53" i="23"/>
  <c r="BK53" i="23"/>
  <c r="BL53" i="23"/>
  <c r="BM53" i="23"/>
  <c r="BN53" i="23"/>
  <c r="BO53" i="23"/>
  <c r="BP53" i="23"/>
  <c r="BQ53" i="23"/>
  <c r="BR53" i="23"/>
  <c r="BS53" i="23"/>
  <c r="BT53" i="23"/>
  <c r="BU53" i="23"/>
  <c r="BV53" i="23"/>
  <c r="AO54" i="23"/>
  <c r="AP54" i="23"/>
  <c r="AQ54" i="23"/>
  <c r="AR54" i="23"/>
  <c r="AS54" i="23"/>
  <c r="AT54" i="23"/>
  <c r="AU54" i="23"/>
  <c r="AV54" i="23"/>
  <c r="AW54" i="23"/>
  <c r="AX54" i="23"/>
  <c r="AY54" i="23"/>
  <c r="AZ54" i="23"/>
  <c r="BA54" i="23"/>
  <c r="BB54" i="23"/>
  <c r="BC54" i="23"/>
  <c r="BD54" i="23"/>
  <c r="BE54" i="23"/>
  <c r="BF54" i="23"/>
  <c r="BG54" i="23"/>
  <c r="BH54" i="23"/>
  <c r="BI54" i="23"/>
  <c r="BJ54" i="23"/>
  <c r="BK54" i="23"/>
  <c r="BL54" i="23"/>
  <c r="BM54" i="23"/>
  <c r="BN54" i="23"/>
  <c r="BO54" i="23"/>
  <c r="BP54" i="23"/>
  <c r="BQ54" i="23"/>
  <c r="BR54" i="23"/>
  <c r="BS54" i="23"/>
  <c r="BT54" i="23"/>
  <c r="BU54" i="23"/>
  <c r="BV54" i="23"/>
  <c r="AO55" i="23"/>
  <c r="AP55" i="23"/>
  <c r="AQ55" i="23"/>
  <c r="AR55" i="23"/>
  <c r="AS55" i="23"/>
  <c r="AT55" i="23"/>
  <c r="AU55" i="23"/>
  <c r="AV55" i="23"/>
  <c r="AW55" i="23"/>
  <c r="AX55" i="23"/>
  <c r="AY55" i="23"/>
  <c r="AZ55" i="23"/>
  <c r="BA55" i="23"/>
  <c r="BB55" i="23"/>
  <c r="BC55" i="23"/>
  <c r="BD55" i="23"/>
  <c r="BE55" i="23"/>
  <c r="BF55" i="23"/>
  <c r="BG55" i="23"/>
  <c r="BH55" i="23"/>
  <c r="BI55" i="23"/>
  <c r="BJ55" i="23"/>
  <c r="BK55" i="23"/>
  <c r="BL55" i="23"/>
  <c r="BM55" i="23"/>
  <c r="BN55" i="23"/>
  <c r="BO55" i="23"/>
  <c r="BP55" i="23"/>
  <c r="BQ55" i="23"/>
  <c r="BR55" i="23"/>
  <c r="BS55" i="23"/>
  <c r="BT55" i="23"/>
  <c r="BU55" i="23"/>
  <c r="BV55" i="23"/>
  <c r="AO56" i="23"/>
  <c r="AP56" i="23"/>
  <c r="AQ56" i="23"/>
  <c r="AR56" i="23"/>
  <c r="AS56" i="23"/>
  <c r="AT56" i="23"/>
  <c r="AU56" i="23"/>
  <c r="AV56" i="23"/>
  <c r="AW56" i="23"/>
  <c r="AX56" i="23"/>
  <c r="AY56" i="23"/>
  <c r="AZ56" i="23"/>
  <c r="BA56" i="23"/>
  <c r="BB56" i="23"/>
  <c r="BC56" i="23"/>
  <c r="BD56" i="23"/>
  <c r="BE56" i="23"/>
  <c r="BF56" i="23"/>
  <c r="BG56" i="23"/>
  <c r="BH56" i="23"/>
  <c r="BI56" i="23"/>
  <c r="BJ56" i="23"/>
  <c r="BK56" i="23"/>
  <c r="BL56" i="23"/>
  <c r="BM56" i="23"/>
  <c r="BN56" i="23"/>
  <c r="BO56" i="23"/>
  <c r="BP56" i="23"/>
  <c r="BQ56" i="23"/>
  <c r="BR56" i="23"/>
  <c r="BS56" i="23"/>
  <c r="BT56" i="23"/>
  <c r="BU56" i="23"/>
  <c r="BV56" i="23"/>
  <c r="AO57" i="23"/>
  <c r="AP57" i="23"/>
  <c r="AQ57" i="23"/>
  <c r="AR57" i="23"/>
  <c r="AS57" i="23"/>
  <c r="AT57" i="23"/>
  <c r="AU57" i="23"/>
  <c r="AV57" i="23"/>
  <c r="AW57" i="23"/>
  <c r="AX57" i="23"/>
  <c r="AY57" i="23"/>
  <c r="AZ57" i="23"/>
  <c r="BA57" i="23"/>
  <c r="BB57" i="23"/>
  <c r="BC57" i="23"/>
  <c r="BD57" i="23"/>
  <c r="BE57" i="23"/>
  <c r="BF57" i="23"/>
  <c r="BG57" i="23"/>
  <c r="BH57" i="23"/>
  <c r="BI57" i="23"/>
  <c r="BJ57" i="23"/>
  <c r="BK57" i="23"/>
  <c r="BL57" i="23"/>
  <c r="BM57" i="23"/>
  <c r="BN57" i="23"/>
  <c r="BO57" i="23"/>
  <c r="BP57" i="23"/>
  <c r="BQ57" i="23"/>
  <c r="BR57" i="23"/>
  <c r="BS57" i="23"/>
  <c r="BT57" i="23"/>
  <c r="BU57" i="23"/>
  <c r="BV57" i="23"/>
  <c r="AO58" i="23"/>
  <c r="AP58" i="23"/>
  <c r="AQ58" i="23"/>
  <c r="AR58" i="23"/>
  <c r="AS58" i="23"/>
  <c r="AT58" i="23"/>
  <c r="AU58" i="23"/>
  <c r="AV58" i="23"/>
  <c r="AW58" i="23"/>
  <c r="AX58" i="23"/>
  <c r="AY58" i="23"/>
  <c r="AZ58" i="23"/>
  <c r="BA58" i="23"/>
  <c r="BB58" i="23"/>
  <c r="BC58" i="23"/>
  <c r="BD58" i="23"/>
  <c r="BE58" i="23"/>
  <c r="BF58" i="23"/>
  <c r="BG58" i="23"/>
  <c r="BH58" i="23"/>
  <c r="BI58" i="23"/>
  <c r="BJ58" i="23"/>
  <c r="BK58" i="23"/>
  <c r="BL58" i="23"/>
  <c r="BM58" i="23"/>
  <c r="BN58" i="23"/>
  <c r="BO58" i="23"/>
  <c r="BP58" i="23"/>
  <c r="BQ58" i="23"/>
  <c r="BR58" i="23"/>
  <c r="BS58" i="23"/>
  <c r="BT58" i="23"/>
  <c r="BU58" i="23"/>
  <c r="BV58" i="23"/>
  <c r="AO59" i="23"/>
  <c r="AP59" i="23"/>
  <c r="AQ59" i="23"/>
  <c r="AR59" i="23"/>
  <c r="AS59" i="23"/>
  <c r="AT59" i="23"/>
  <c r="AU59" i="23"/>
  <c r="AV59" i="23"/>
  <c r="AW59" i="23"/>
  <c r="AX59" i="23"/>
  <c r="AY59" i="23"/>
  <c r="AZ59" i="23"/>
  <c r="BA59" i="23"/>
  <c r="BB59" i="23"/>
  <c r="BC59" i="23"/>
  <c r="BD59" i="23"/>
  <c r="BE59" i="23"/>
  <c r="BF59" i="23"/>
  <c r="BG59" i="23"/>
  <c r="BH59" i="23"/>
  <c r="BI59" i="23"/>
  <c r="BJ59" i="23"/>
  <c r="BK59" i="23"/>
  <c r="BL59" i="23"/>
  <c r="BM59" i="23"/>
  <c r="BN59" i="23"/>
  <c r="BO59" i="23"/>
  <c r="BP59" i="23"/>
  <c r="BQ59" i="23"/>
  <c r="BR59" i="23"/>
  <c r="BS59" i="23"/>
  <c r="BT59" i="23"/>
  <c r="BU59" i="23"/>
  <c r="BV59" i="23"/>
  <c r="AO60" i="23"/>
  <c r="AP60" i="23"/>
  <c r="AQ60" i="23"/>
  <c r="AR60" i="23"/>
  <c r="AS60" i="23"/>
  <c r="AT60" i="23"/>
  <c r="AU60" i="23"/>
  <c r="AV60" i="23"/>
  <c r="AW60" i="23"/>
  <c r="AX60" i="23"/>
  <c r="AY60" i="23"/>
  <c r="AZ60" i="23"/>
  <c r="BA60" i="23"/>
  <c r="BB60" i="23"/>
  <c r="BC60" i="23"/>
  <c r="BD60" i="23"/>
  <c r="BE60" i="23"/>
  <c r="BF60" i="23"/>
  <c r="BG60" i="23"/>
  <c r="BH60" i="23"/>
  <c r="BI60" i="23"/>
  <c r="BJ60" i="23"/>
  <c r="BK60" i="23"/>
  <c r="BL60" i="23"/>
  <c r="BM60" i="23"/>
  <c r="BN60" i="23"/>
  <c r="BO60" i="23"/>
  <c r="BP60" i="23"/>
  <c r="BQ60" i="23"/>
  <c r="BR60" i="23"/>
  <c r="BS60" i="23"/>
  <c r="BT60" i="23"/>
  <c r="BU60" i="23"/>
  <c r="BV60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G61" i="23"/>
  <c r="BH61" i="23"/>
  <c r="BI61" i="23"/>
  <c r="BJ61" i="23"/>
  <c r="BK61" i="23"/>
  <c r="BL61" i="23"/>
  <c r="BM61" i="23"/>
  <c r="BN61" i="23"/>
  <c r="BO61" i="23"/>
  <c r="BP61" i="23"/>
  <c r="BQ61" i="23"/>
  <c r="BR61" i="23"/>
  <c r="BS61" i="23"/>
  <c r="BT61" i="23"/>
  <c r="BU61" i="23"/>
  <c r="BV61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G62" i="23"/>
  <c r="BH62" i="23"/>
  <c r="BI62" i="23"/>
  <c r="BJ62" i="23"/>
  <c r="BK62" i="23"/>
  <c r="BL62" i="23"/>
  <c r="BM62" i="23"/>
  <c r="BN62" i="23"/>
  <c r="BO62" i="23"/>
  <c r="BP62" i="23"/>
  <c r="BQ62" i="23"/>
  <c r="BR62" i="23"/>
  <c r="BS62" i="23"/>
  <c r="BT62" i="23"/>
  <c r="BU62" i="23"/>
  <c r="BV62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G63" i="23"/>
  <c r="BH63" i="23"/>
  <c r="BI63" i="23"/>
  <c r="BJ63" i="23"/>
  <c r="BK63" i="23"/>
  <c r="BL63" i="23"/>
  <c r="BM63" i="23"/>
  <c r="BN63" i="23"/>
  <c r="BO63" i="23"/>
  <c r="BP63" i="23"/>
  <c r="BQ63" i="23"/>
  <c r="BR63" i="23"/>
  <c r="BS63" i="23"/>
  <c r="BT63" i="23"/>
  <c r="BU63" i="23"/>
  <c r="BV63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G64" i="23"/>
  <c r="BH64" i="23"/>
  <c r="BI64" i="23"/>
  <c r="BJ64" i="23"/>
  <c r="BK64" i="23"/>
  <c r="BL64" i="23"/>
  <c r="BM64" i="23"/>
  <c r="BN64" i="23"/>
  <c r="BO64" i="23"/>
  <c r="BP64" i="23"/>
  <c r="BQ64" i="23"/>
  <c r="BR64" i="23"/>
  <c r="BS64" i="23"/>
  <c r="BT64" i="23"/>
  <c r="BU64" i="23"/>
  <c r="BV64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G65" i="23"/>
  <c r="BH65" i="23"/>
  <c r="BI65" i="23"/>
  <c r="BJ65" i="23"/>
  <c r="BK65" i="23"/>
  <c r="BL65" i="23"/>
  <c r="BM65" i="23"/>
  <c r="BN65" i="23"/>
  <c r="BO65" i="23"/>
  <c r="BP65" i="23"/>
  <c r="BQ65" i="23"/>
  <c r="BR65" i="23"/>
  <c r="BS65" i="23"/>
  <c r="BT65" i="23"/>
  <c r="BU65" i="23"/>
  <c r="BV65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G66" i="23"/>
  <c r="BH66" i="23"/>
  <c r="BI66" i="23"/>
  <c r="BJ66" i="23"/>
  <c r="BK66" i="23"/>
  <c r="BL66" i="23"/>
  <c r="BM66" i="23"/>
  <c r="BN66" i="23"/>
  <c r="BO66" i="23"/>
  <c r="BP66" i="23"/>
  <c r="BQ66" i="23"/>
  <c r="BR66" i="23"/>
  <c r="BS66" i="23"/>
  <c r="BT66" i="23"/>
  <c r="BU66" i="23"/>
  <c r="BV66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G67" i="23"/>
  <c r="BH67" i="23"/>
  <c r="BI67" i="23"/>
  <c r="BJ67" i="23"/>
  <c r="BK67" i="23"/>
  <c r="BL67" i="23"/>
  <c r="BM67" i="23"/>
  <c r="BN67" i="23"/>
  <c r="BO67" i="23"/>
  <c r="BP67" i="23"/>
  <c r="BQ67" i="23"/>
  <c r="BR67" i="23"/>
  <c r="BS67" i="23"/>
  <c r="BT67" i="23"/>
  <c r="BU67" i="23"/>
  <c r="BV67" i="23"/>
  <c r="AO68" i="23"/>
  <c r="AP68" i="23"/>
  <c r="AQ68" i="23"/>
  <c r="AR68" i="23"/>
  <c r="AS68" i="23"/>
  <c r="AT68" i="23"/>
  <c r="AU68" i="23"/>
  <c r="AV68" i="23"/>
  <c r="AW68" i="23"/>
  <c r="AX68" i="23"/>
  <c r="AY68" i="23"/>
  <c r="AZ68" i="23"/>
  <c r="BA68" i="23"/>
  <c r="BB68" i="23"/>
  <c r="BC68" i="23"/>
  <c r="BD68" i="23"/>
  <c r="BE68" i="23"/>
  <c r="BF68" i="23"/>
  <c r="BG68" i="23"/>
  <c r="BH68" i="23"/>
  <c r="BI68" i="23"/>
  <c r="BJ68" i="23"/>
  <c r="BK68" i="23"/>
  <c r="BL68" i="23"/>
  <c r="BM68" i="23"/>
  <c r="BN68" i="23"/>
  <c r="BO68" i="23"/>
  <c r="BP68" i="23"/>
  <c r="BQ68" i="23"/>
  <c r="BR68" i="23"/>
  <c r="BS68" i="23"/>
  <c r="BT68" i="23"/>
  <c r="BU68" i="23"/>
  <c r="BV68" i="23"/>
  <c r="AO69" i="23"/>
  <c r="AP69" i="23"/>
  <c r="AQ69" i="23"/>
  <c r="AR69" i="23"/>
  <c r="AS69" i="23"/>
  <c r="AT69" i="23"/>
  <c r="AU69" i="23"/>
  <c r="AV69" i="23"/>
  <c r="AW69" i="23"/>
  <c r="AX69" i="23"/>
  <c r="AY69" i="23"/>
  <c r="AZ69" i="23"/>
  <c r="BA69" i="23"/>
  <c r="BB69" i="23"/>
  <c r="BC69" i="23"/>
  <c r="BD69" i="23"/>
  <c r="BE69" i="23"/>
  <c r="BF69" i="23"/>
  <c r="BG69" i="23"/>
  <c r="BH69" i="23"/>
  <c r="BI69" i="23"/>
  <c r="BJ69" i="23"/>
  <c r="BK69" i="23"/>
  <c r="BL69" i="23"/>
  <c r="BM69" i="23"/>
  <c r="BN69" i="23"/>
  <c r="BO69" i="23"/>
  <c r="BP69" i="23"/>
  <c r="BQ69" i="23"/>
  <c r="BR69" i="23"/>
  <c r="BS69" i="23"/>
  <c r="BT69" i="23"/>
  <c r="BU69" i="23"/>
  <c r="BV69" i="23"/>
  <c r="AO70" i="23"/>
  <c r="AP70" i="23"/>
  <c r="AQ70" i="23"/>
  <c r="AR70" i="23"/>
  <c r="AS70" i="23"/>
  <c r="AT70" i="23"/>
  <c r="AU70" i="23"/>
  <c r="AV70" i="23"/>
  <c r="AW70" i="23"/>
  <c r="AX70" i="23"/>
  <c r="AY70" i="23"/>
  <c r="AZ70" i="23"/>
  <c r="BA70" i="23"/>
  <c r="BB70" i="23"/>
  <c r="BC70" i="23"/>
  <c r="BD70" i="23"/>
  <c r="BE70" i="23"/>
  <c r="BF70" i="23"/>
  <c r="BG70" i="23"/>
  <c r="BH70" i="23"/>
  <c r="BI70" i="23"/>
  <c r="BJ70" i="23"/>
  <c r="BK70" i="23"/>
  <c r="BL70" i="23"/>
  <c r="BM70" i="23"/>
  <c r="BN70" i="23"/>
  <c r="BO70" i="23"/>
  <c r="BP70" i="23"/>
  <c r="BQ70" i="23"/>
  <c r="BR70" i="23"/>
  <c r="BS70" i="23"/>
  <c r="BT70" i="23"/>
  <c r="BU70" i="23"/>
  <c r="BV70" i="23"/>
  <c r="AO71" i="23"/>
  <c r="AP71" i="23"/>
  <c r="AQ71" i="23"/>
  <c r="AR71" i="23"/>
  <c r="AS71" i="23"/>
  <c r="AT71" i="23"/>
  <c r="AU71" i="23"/>
  <c r="AV71" i="23"/>
  <c r="AW71" i="23"/>
  <c r="AX71" i="23"/>
  <c r="AY71" i="23"/>
  <c r="AZ71" i="23"/>
  <c r="BA71" i="23"/>
  <c r="BB71" i="23"/>
  <c r="BC71" i="23"/>
  <c r="BD71" i="23"/>
  <c r="BE71" i="23"/>
  <c r="BF71" i="23"/>
  <c r="BG71" i="23"/>
  <c r="BH71" i="23"/>
  <c r="BI71" i="23"/>
  <c r="BJ71" i="23"/>
  <c r="BK71" i="23"/>
  <c r="BL71" i="23"/>
  <c r="BM71" i="23"/>
  <c r="BN71" i="23"/>
  <c r="BO71" i="23"/>
  <c r="BP71" i="23"/>
  <c r="BQ71" i="23"/>
  <c r="BR71" i="23"/>
  <c r="BS71" i="23"/>
  <c r="BT71" i="23"/>
  <c r="BU71" i="23"/>
  <c r="BV71" i="23"/>
  <c r="AO72" i="23"/>
  <c r="AP72" i="23"/>
  <c r="AQ72" i="23"/>
  <c r="AR72" i="23"/>
  <c r="AS72" i="23"/>
  <c r="AT72" i="23"/>
  <c r="AU72" i="23"/>
  <c r="AV72" i="23"/>
  <c r="AW72" i="23"/>
  <c r="AX72" i="23"/>
  <c r="AY72" i="23"/>
  <c r="AZ72" i="23"/>
  <c r="BA72" i="23"/>
  <c r="BB72" i="23"/>
  <c r="BC72" i="23"/>
  <c r="BD72" i="23"/>
  <c r="BE72" i="23"/>
  <c r="BF72" i="23"/>
  <c r="BG72" i="23"/>
  <c r="BH72" i="23"/>
  <c r="BI72" i="23"/>
  <c r="BJ72" i="23"/>
  <c r="BK72" i="23"/>
  <c r="BL72" i="23"/>
  <c r="BM72" i="23"/>
  <c r="BN72" i="23"/>
  <c r="BO72" i="23"/>
  <c r="BP72" i="23"/>
  <c r="BQ72" i="23"/>
  <c r="BR72" i="23"/>
  <c r="BS72" i="23"/>
  <c r="BT72" i="23"/>
  <c r="BU72" i="23"/>
  <c r="BV72" i="23"/>
  <c r="AO73" i="23"/>
  <c r="AP73" i="23"/>
  <c r="AQ73" i="23"/>
  <c r="AR73" i="23"/>
  <c r="AS73" i="23"/>
  <c r="AT73" i="23"/>
  <c r="AU73" i="23"/>
  <c r="AV73" i="23"/>
  <c r="AW73" i="23"/>
  <c r="AX73" i="23"/>
  <c r="AY73" i="23"/>
  <c r="AZ73" i="23"/>
  <c r="BA73" i="23"/>
  <c r="BB73" i="23"/>
  <c r="BC73" i="23"/>
  <c r="BD73" i="23"/>
  <c r="BE73" i="23"/>
  <c r="BF73" i="23"/>
  <c r="BG73" i="23"/>
  <c r="BH73" i="23"/>
  <c r="BI73" i="23"/>
  <c r="BJ73" i="23"/>
  <c r="BK73" i="23"/>
  <c r="BL73" i="23"/>
  <c r="BM73" i="23"/>
  <c r="BN73" i="23"/>
  <c r="BO73" i="23"/>
  <c r="BP73" i="23"/>
  <c r="BQ73" i="23"/>
  <c r="BR73" i="23"/>
  <c r="BS73" i="23"/>
  <c r="BT73" i="23"/>
  <c r="BU73" i="23"/>
  <c r="BV73" i="23"/>
  <c r="AO74" i="23"/>
  <c r="AP74" i="23"/>
  <c r="AQ74" i="23"/>
  <c r="AR74" i="23"/>
  <c r="AS74" i="23"/>
  <c r="AT74" i="23"/>
  <c r="AU74" i="23"/>
  <c r="AV74" i="23"/>
  <c r="AW74" i="23"/>
  <c r="AX74" i="23"/>
  <c r="AY74" i="23"/>
  <c r="AZ74" i="23"/>
  <c r="BA74" i="23"/>
  <c r="BB74" i="23"/>
  <c r="BC74" i="23"/>
  <c r="BD74" i="23"/>
  <c r="BE74" i="23"/>
  <c r="BF74" i="23"/>
  <c r="BG74" i="23"/>
  <c r="BH74" i="23"/>
  <c r="BI74" i="23"/>
  <c r="BJ74" i="23"/>
  <c r="BK74" i="23"/>
  <c r="BL74" i="23"/>
  <c r="BM74" i="23"/>
  <c r="BN74" i="23"/>
  <c r="BO74" i="23"/>
  <c r="BP74" i="23"/>
  <c r="BQ74" i="23"/>
  <c r="BR74" i="23"/>
  <c r="BS74" i="23"/>
  <c r="BT74" i="23"/>
  <c r="BU74" i="23"/>
  <c r="BV74" i="23"/>
  <c r="AO75" i="23"/>
  <c r="AP75" i="23"/>
  <c r="AQ75" i="23"/>
  <c r="AR75" i="23"/>
  <c r="AS75" i="23"/>
  <c r="AT75" i="23"/>
  <c r="AU75" i="23"/>
  <c r="AV75" i="23"/>
  <c r="AW75" i="23"/>
  <c r="AX75" i="23"/>
  <c r="AY75" i="23"/>
  <c r="AZ75" i="23"/>
  <c r="BA75" i="23"/>
  <c r="BB75" i="23"/>
  <c r="BC75" i="23"/>
  <c r="BD75" i="23"/>
  <c r="BE75" i="23"/>
  <c r="BF75" i="23"/>
  <c r="BG75" i="23"/>
  <c r="BH75" i="23"/>
  <c r="BI75" i="23"/>
  <c r="BJ75" i="23"/>
  <c r="BK75" i="23"/>
  <c r="BL75" i="23"/>
  <c r="BM75" i="23"/>
  <c r="BN75" i="23"/>
  <c r="BO75" i="23"/>
  <c r="BP75" i="23"/>
  <c r="BQ75" i="23"/>
  <c r="BR75" i="23"/>
  <c r="BS75" i="23"/>
  <c r="BT75" i="23"/>
  <c r="BU75" i="23"/>
  <c r="BV75" i="23"/>
  <c r="AO76" i="23"/>
  <c r="AP76" i="23"/>
  <c r="AQ76" i="23"/>
  <c r="AR76" i="23"/>
  <c r="AS76" i="23"/>
  <c r="AT76" i="23"/>
  <c r="AU76" i="23"/>
  <c r="AV76" i="23"/>
  <c r="AW76" i="23"/>
  <c r="AX76" i="23"/>
  <c r="AY76" i="23"/>
  <c r="AZ76" i="23"/>
  <c r="BA76" i="23"/>
  <c r="BB76" i="23"/>
  <c r="BC76" i="23"/>
  <c r="BD76" i="23"/>
  <c r="BE76" i="23"/>
  <c r="BF76" i="23"/>
  <c r="BG76" i="23"/>
  <c r="BH76" i="23"/>
  <c r="BI76" i="23"/>
  <c r="BJ76" i="23"/>
  <c r="BK76" i="23"/>
  <c r="BL76" i="23"/>
  <c r="BM76" i="23"/>
  <c r="BN76" i="23"/>
  <c r="BO76" i="23"/>
  <c r="BP76" i="23"/>
  <c r="BQ76" i="23"/>
  <c r="BR76" i="23"/>
  <c r="BS76" i="23"/>
  <c r="BT76" i="23"/>
  <c r="BU76" i="23"/>
  <c r="BV76" i="23"/>
  <c r="AO77" i="23"/>
  <c r="AP77" i="23"/>
  <c r="AQ77" i="23"/>
  <c r="AR77" i="23"/>
  <c r="AS77" i="23"/>
  <c r="AT77" i="23"/>
  <c r="AU77" i="23"/>
  <c r="AV77" i="23"/>
  <c r="AW77" i="23"/>
  <c r="AX77" i="23"/>
  <c r="AY77" i="23"/>
  <c r="AZ77" i="23"/>
  <c r="BA77" i="23"/>
  <c r="BB77" i="23"/>
  <c r="BC77" i="23"/>
  <c r="BD77" i="23"/>
  <c r="BE77" i="23"/>
  <c r="BF77" i="23"/>
  <c r="BG77" i="23"/>
  <c r="BH77" i="23"/>
  <c r="BI77" i="23"/>
  <c r="BJ77" i="23"/>
  <c r="BK77" i="23"/>
  <c r="BL77" i="23"/>
  <c r="BM77" i="23"/>
  <c r="BN77" i="23"/>
  <c r="BO77" i="23"/>
  <c r="BP77" i="23"/>
  <c r="BQ77" i="23"/>
  <c r="BR77" i="23"/>
  <c r="BS77" i="23"/>
  <c r="BT77" i="23"/>
  <c r="BU77" i="23"/>
  <c r="BV77" i="23"/>
  <c r="AO78" i="23"/>
  <c r="AP78" i="23"/>
  <c r="AQ78" i="23"/>
  <c r="AR78" i="23"/>
  <c r="AS78" i="23"/>
  <c r="AT78" i="23"/>
  <c r="AU78" i="23"/>
  <c r="AV78" i="23"/>
  <c r="AW78" i="23"/>
  <c r="AX78" i="23"/>
  <c r="AY78" i="23"/>
  <c r="AZ78" i="23"/>
  <c r="BA78" i="23"/>
  <c r="BB78" i="23"/>
  <c r="BC78" i="23"/>
  <c r="BD78" i="23"/>
  <c r="BE78" i="23"/>
  <c r="BF78" i="23"/>
  <c r="BG78" i="23"/>
  <c r="BH78" i="23"/>
  <c r="BI78" i="23"/>
  <c r="BJ78" i="23"/>
  <c r="BK78" i="23"/>
  <c r="BL78" i="23"/>
  <c r="BM78" i="23"/>
  <c r="BN78" i="23"/>
  <c r="BO78" i="23"/>
  <c r="BP78" i="23"/>
  <c r="BQ78" i="23"/>
  <c r="BR78" i="23"/>
  <c r="BS78" i="23"/>
  <c r="BT78" i="23"/>
  <c r="BU78" i="23"/>
  <c r="BV78" i="23"/>
  <c r="AO79" i="23"/>
  <c r="AP79" i="23"/>
  <c r="AQ79" i="23"/>
  <c r="AR79" i="23"/>
  <c r="AS79" i="23"/>
  <c r="AT79" i="23"/>
  <c r="AU79" i="23"/>
  <c r="AV79" i="23"/>
  <c r="AW79" i="23"/>
  <c r="AX79" i="23"/>
  <c r="AY79" i="23"/>
  <c r="AZ79" i="23"/>
  <c r="BA79" i="23"/>
  <c r="BB79" i="23"/>
  <c r="BC79" i="23"/>
  <c r="BD79" i="23"/>
  <c r="BE79" i="23"/>
  <c r="BF79" i="23"/>
  <c r="BG79" i="23"/>
  <c r="BH79" i="23"/>
  <c r="BI79" i="23"/>
  <c r="BJ79" i="23"/>
  <c r="BK79" i="23"/>
  <c r="BL79" i="23"/>
  <c r="BM79" i="23"/>
  <c r="BN79" i="23"/>
  <c r="BO79" i="23"/>
  <c r="BP79" i="23"/>
  <c r="BQ79" i="23"/>
  <c r="BR79" i="23"/>
  <c r="BS79" i="23"/>
  <c r="BT79" i="23"/>
  <c r="BU79" i="23"/>
  <c r="BV79" i="23"/>
  <c r="AO80" i="23"/>
  <c r="AP80" i="23"/>
  <c r="AQ80" i="23"/>
  <c r="AR80" i="23"/>
  <c r="AS80" i="23"/>
  <c r="AT80" i="23"/>
  <c r="AU80" i="23"/>
  <c r="AV80" i="23"/>
  <c r="AW80" i="23"/>
  <c r="AX80" i="23"/>
  <c r="AY80" i="23"/>
  <c r="AZ80" i="23"/>
  <c r="BA80" i="23"/>
  <c r="BB80" i="23"/>
  <c r="BC80" i="23"/>
  <c r="BD80" i="23"/>
  <c r="BE80" i="23"/>
  <c r="BF80" i="23"/>
  <c r="BG80" i="23"/>
  <c r="BH80" i="23"/>
  <c r="BI80" i="23"/>
  <c r="BJ80" i="23"/>
  <c r="BK80" i="23"/>
  <c r="BL80" i="23"/>
  <c r="BM80" i="23"/>
  <c r="BN80" i="23"/>
  <c r="BO80" i="23"/>
  <c r="BP80" i="23"/>
  <c r="BQ80" i="23"/>
  <c r="BR80" i="23"/>
  <c r="BS80" i="23"/>
  <c r="BT80" i="23"/>
  <c r="BU80" i="23"/>
  <c r="BV80" i="23"/>
  <c r="AO81" i="23"/>
  <c r="AP81" i="23"/>
  <c r="AQ81" i="23"/>
  <c r="AR81" i="23"/>
  <c r="AS81" i="23"/>
  <c r="AT81" i="23"/>
  <c r="AU81" i="23"/>
  <c r="AV81" i="23"/>
  <c r="AW81" i="23"/>
  <c r="AX81" i="23"/>
  <c r="AY81" i="23"/>
  <c r="AZ81" i="23"/>
  <c r="BA81" i="23"/>
  <c r="BB81" i="23"/>
  <c r="BC81" i="23"/>
  <c r="BD81" i="23"/>
  <c r="BE81" i="23"/>
  <c r="BF81" i="23"/>
  <c r="BG81" i="23"/>
  <c r="BH81" i="23"/>
  <c r="BI81" i="23"/>
  <c r="BJ81" i="23"/>
  <c r="BK81" i="23"/>
  <c r="BL81" i="23"/>
  <c r="BM81" i="23"/>
  <c r="BN81" i="23"/>
  <c r="BO81" i="23"/>
  <c r="BP81" i="23"/>
  <c r="BQ81" i="23"/>
  <c r="BR81" i="23"/>
  <c r="BS81" i="23"/>
  <c r="BT81" i="23"/>
  <c r="BU81" i="23"/>
  <c r="BV81" i="23"/>
  <c r="AO82" i="23"/>
  <c r="BC47" i="26" s="1" a="1"/>
  <c r="BC47" i="26" s="1"/>
  <c r="AI47" i="7" s="1"/>
  <c r="AP82" i="23"/>
  <c r="BE47" i="26" s="1" a="1"/>
  <c r="BE47" i="26" s="1"/>
  <c r="AK47" i="7" s="1"/>
  <c r="AQ82" i="23"/>
  <c r="BF47" i="26" s="1" a="1"/>
  <c r="BF47" i="26" s="1"/>
  <c r="AL47" i="7" s="1"/>
  <c r="AR82" i="23"/>
  <c r="BH47" i="26" s="1" a="1"/>
  <c r="BH47" i="26" s="1"/>
  <c r="AN47" i="7" s="1"/>
  <c r="AS82" i="23"/>
  <c r="BI47" i="26" s="1" a="1"/>
  <c r="BI47" i="26" s="1"/>
  <c r="AO47" i="7" s="1"/>
  <c r="AT82" i="23"/>
  <c r="BG47" i="26" s="1" a="1"/>
  <c r="BG47" i="26" s="1"/>
  <c r="AM47" i="7" s="1"/>
  <c r="AU82" i="23"/>
  <c r="BJ47" i="26" s="1" a="1"/>
  <c r="BJ47" i="26" s="1"/>
  <c r="AP47" i="7" s="1"/>
  <c r="AV82" i="23"/>
  <c r="AW82" i="23"/>
  <c r="BX47" i="26" s="1" a="1"/>
  <c r="BX47" i="26" s="1"/>
  <c r="BD47" i="7" s="1"/>
  <c r="AX82" i="23"/>
  <c r="BY47" i="26" s="1" a="1"/>
  <c r="BY47" i="26" s="1"/>
  <c r="BE47" i="7" s="1"/>
  <c r="AY82" i="23"/>
  <c r="CC47" i="26" s="1" a="1"/>
  <c r="CC47" i="26" s="1"/>
  <c r="BI47" i="7" s="1"/>
  <c r="AZ82" i="23"/>
  <c r="CA47" i="26" s="1" a="1"/>
  <c r="CA47" i="26" s="1"/>
  <c r="BG47" i="7" s="1"/>
  <c r="BA82" i="23"/>
  <c r="BZ47" i="26" s="1" a="1"/>
  <c r="BZ47" i="26" s="1"/>
  <c r="BF47" i="7" s="1"/>
  <c r="BB82" i="23"/>
  <c r="CB47" i="26" s="1" a="1"/>
  <c r="CB47" i="26" s="1"/>
  <c r="BH47" i="7" s="1"/>
  <c r="BC82" i="23"/>
  <c r="BD82" i="23"/>
  <c r="BN47" i="26" s="1" a="1"/>
  <c r="BN47" i="26" s="1"/>
  <c r="AT47" i="7" s="1"/>
  <c r="BE82" i="23"/>
  <c r="BT47" i="26" s="1" a="1"/>
  <c r="BT47" i="26" s="1"/>
  <c r="AZ47" i="7" s="1"/>
  <c r="BF82" i="23"/>
  <c r="BG82" i="23"/>
  <c r="BP47" i="26" s="1" a="1"/>
  <c r="BP47" i="26" s="1"/>
  <c r="AV47" i="7" s="1"/>
  <c r="BH82" i="23"/>
  <c r="BI82" i="23"/>
  <c r="BQ47" i="26" s="1" a="1"/>
  <c r="BQ47" i="26" s="1"/>
  <c r="AW47" i="7" s="1"/>
  <c r="BJ82" i="23"/>
  <c r="BK82" i="23"/>
  <c r="BL82" i="23"/>
  <c r="BR47" i="26" s="1" a="1"/>
  <c r="BR47" i="26" s="1"/>
  <c r="AX47" i="7" s="1"/>
  <c r="BM82" i="23"/>
  <c r="BO47" i="26" s="1" a="1"/>
  <c r="BO47" i="26" s="1"/>
  <c r="AU47" i="7" s="1"/>
  <c r="BN82" i="23"/>
  <c r="BK47" i="26" s="1" a="1"/>
  <c r="BK47" i="26" s="1"/>
  <c r="AQ47" i="7" s="1"/>
  <c r="BO82" i="23"/>
  <c r="BL47" i="26" s="1" a="1"/>
  <c r="BL47" i="26" s="1"/>
  <c r="AR47" i="7" s="1"/>
  <c r="BP82" i="23"/>
  <c r="BM47" i="26" s="1" a="1"/>
  <c r="BM47" i="26" s="1"/>
  <c r="AS47" i="7" s="1"/>
  <c r="BQ82" i="23"/>
  <c r="BR82" i="23"/>
  <c r="BW47" i="26" s="1" a="1"/>
  <c r="BW47" i="26" s="1"/>
  <c r="BC47" i="7" s="1"/>
  <c r="BS82" i="23"/>
  <c r="CE47" i="26" s="1" a="1"/>
  <c r="CE47" i="26" s="1"/>
  <c r="BK47" i="7" s="1"/>
  <c r="BT82" i="23"/>
  <c r="CF47" i="26" s="1" a="1"/>
  <c r="CF47" i="26" s="1"/>
  <c r="BL47" i="7" s="1"/>
  <c r="BU82" i="23"/>
  <c r="CH47" i="26" s="1" a="1"/>
  <c r="CH47" i="26" s="1"/>
  <c r="BN47" i="7" s="1"/>
  <c r="BV82" i="23"/>
  <c r="AO83" i="23"/>
  <c r="BC35" i="26" s="1" a="1"/>
  <c r="BC35" i="26" s="1"/>
  <c r="AI35" i="7" s="1"/>
  <c r="AP83" i="23"/>
  <c r="BE35" i="26" s="1" a="1"/>
  <c r="BE35" i="26" s="1"/>
  <c r="AK35" i="7" s="1"/>
  <c r="AQ83" i="23"/>
  <c r="BF35" i="26" s="1" a="1"/>
  <c r="BF35" i="26" s="1"/>
  <c r="AL35" i="7" s="1"/>
  <c r="AR83" i="23"/>
  <c r="BH35" i="26" s="1" a="1"/>
  <c r="BH35" i="26" s="1"/>
  <c r="AN35" i="7" s="1"/>
  <c r="AS83" i="23"/>
  <c r="BI35" i="26" s="1" a="1"/>
  <c r="BI35" i="26" s="1"/>
  <c r="AO35" i="7" s="1"/>
  <c r="AT83" i="23"/>
  <c r="BG35" i="26" s="1" a="1"/>
  <c r="BG35" i="26" s="1"/>
  <c r="AM35" i="7" s="1"/>
  <c r="AU83" i="23"/>
  <c r="BJ35" i="26" s="1" a="1"/>
  <c r="BJ35" i="26" s="1"/>
  <c r="AP35" i="7" s="1"/>
  <c r="AV83" i="23"/>
  <c r="AW83" i="23"/>
  <c r="BX35" i="26" s="1" a="1"/>
  <c r="BX35" i="26" s="1"/>
  <c r="BD35" i="7" s="1"/>
  <c r="AX83" i="23"/>
  <c r="BY35" i="26" s="1" a="1"/>
  <c r="BY35" i="26" s="1"/>
  <c r="BE35" i="7" s="1"/>
  <c r="AY83" i="23"/>
  <c r="CC35" i="26" s="1" a="1"/>
  <c r="CC35" i="26" s="1"/>
  <c r="BI35" i="7" s="1"/>
  <c r="AZ83" i="23"/>
  <c r="CA35" i="26" s="1" a="1"/>
  <c r="CA35" i="26" s="1"/>
  <c r="BG35" i="7" s="1"/>
  <c r="BA83" i="23"/>
  <c r="BZ35" i="26" s="1" a="1"/>
  <c r="BZ35" i="26" s="1"/>
  <c r="BF35" i="7" s="1"/>
  <c r="BB83" i="23"/>
  <c r="CB35" i="26" s="1" a="1"/>
  <c r="CB35" i="26" s="1"/>
  <c r="BH35" i="7" s="1"/>
  <c r="BC83" i="23"/>
  <c r="BD83" i="23"/>
  <c r="BN35" i="26" s="1" a="1"/>
  <c r="BN35" i="26" s="1"/>
  <c r="AT35" i="7" s="1"/>
  <c r="BE83" i="23"/>
  <c r="BT35" i="26" s="1" a="1"/>
  <c r="BT35" i="26" s="1"/>
  <c r="AZ35" i="7" s="1"/>
  <c r="BF83" i="23"/>
  <c r="BG83" i="23"/>
  <c r="BP35" i="26" s="1" a="1"/>
  <c r="BP35" i="26" s="1"/>
  <c r="AV35" i="7" s="1"/>
  <c r="BH83" i="23"/>
  <c r="BI83" i="23"/>
  <c r="BQ35" i="26" s="1" a="1"/>
  <c r="BQ35" i="26" s="1"/>
  <c r="AW35" i="7" s="1"/>
  <c r="BJ83" i="23"/>
  <c r="BK83" i="23"/>
  <c r="BL83" i="23"/>
  <c r="BR35" i="26" s="1" a="1"/>
  <c r="BR35" i="26" s="1"/>
  <c r="AX35" i="7" s="1"/>
  <c r="BM83" i="23"/>
  <c r="BO35" i="26" s="1" a="1"/>
  <c r="BO35" i="26" s="1"/>
  <c r="AU35" i="7" s="1"/>
  <c r="BN83" i="23"/>
  <c r="BK35" i="26" s="1" a="1"/>
  <c r="BK35" i="26" s="1"/>
  <c r="AQ35" i="7" s="1"/>
  <c r="BO83" i="23"/>
  <c r="BL35" i="26" s="1" a="1"/>
  <c r="BL35" i="26" s="1"/>
  <c r="AR35" i="7" s="1"/>
  <c r="BP83" i="23"/>
  <c r="BM35" i="26" s="1" a="1"/>
  <c r="BM35" i="26" s="1"/>
  <c r="AS35" i="7" s="1"/>
  <c r="BQ83" i="23"/>
  <c r="BR83" i="23"/>
  <c r="BW35" i="26" s="1" a="1"/>
  <c r="BW35" i="26" s="1"/>
  <c r="BC35" i="7" s="1"/>
  <c r="BS83" i="23"/>
  <c r="CE35" i="26" s="1" a="1"/>
  <c r="CE35" i="26" s="1"/>
  <c r="BK35" i="7" s="1"/>
  <c r="BT83" i="23"/>
  <c r="CF35" i="26" s="1" a="1"/>
  <c r="CF35" i="26" s="1"/>
  <c r="BL35" i="7" s="1"/>
  <c r="BU83" i="23"/>
  <c r="CH35" i="26" s="1" a="1"/>
  <c r="CH35" i="26" s="1"/>
  <c r="BN35" i="7" s="1"/>
  <c r="BV83" i="23"/>
  <c r="AO84" i="23"/>
  <c r="BC36" i="26" s="1" a="1"/>
  <c r="BC36" i="26" s="1"/>
  <c r="AI36" i="7" s="1"/>
  <c r="AP84" i="23"/>
  <c r="BE36" i="26" s="1" a="1"/>
  <c r="BE36" i="26" s="1"/>
  <c r="AK36" i="7" s="1"/>
  <c r="AQ84" i="23"/>
  <c r="BF36" i="26" s="1" a="1"/>
  <c r="BF36" i="26" s="1"/>
  <c r="AL36" i="7" s="1"/>
  <c r="AR84" i="23"/>
  <c r="BH36" i="26" s="1" a="1"/>
  <c r="BH36" i="26" s="1"/>
  <c r="AN36" i="7" s="1"/>
  <c r="AS84" i="23"/>
  <c r="BI36" i="26" s="1" a="1"/>
  <c r="BI36" i="26" s="1"/>
  <c r="AO36" i="7" s="1"/>
  <c r="AT84" i="23"/>
  <c r="BG36" i="26" s="1" a="1"/>
  <c r="BG36" i="26" s="1"/>
  <c r="AM36" i="7" s="1"/>
  <c r="AU84" i="23"/>
  <c r="BJ36" i="26" s="1" a="1"/>
  <c r="BJ36" i="26" s="1"/>
  <c r="AP36" i="7" s="1"/>
  <c r="AV84" i="23"/>
  <c r="AW84" i="23"/>
  <c r="BX36" i="26" s="1" a="1"/>
  <c r="BX36" i="26" s="1"/>
  <c r="BD36" i="7" s="1"/>
  <c r="AX84" i="23"/>
  <c r="BY36" i="26" s="1" a="1"/>
  <c r="BY36" i="26" s="1"/>
  <c r="BE36" i="7" s="1"/>
  <c r="AY84" i="23"/>
  <c r="CC36" i="26" s="1" a="1"/>
  <c r="CC36" i="26" s="1"/>
  <c r="BI36" i="7" s="1"/>
  <c r="AZ84" i="23"/>
  <c r="CA36" i="26" s="1" a="1"/>
  <c r="CA36" i="26" s="1"/>
  <c r="BG36" i="7" s="1"/>
  <c r="BA84" i="23"/>
  <c r="BZ36" i="26" s="1" a="1"/>
  <c r="BZ36" i="26" s="1"/>
  <c r="BF36" i="7" s="1"/>
  <c r="BB84" i="23"/>
  <c r="CB36" i="26" s="1" a="1"/>
  <c r="CB36" i="26" s="1"/>
  <c r="BH36" i="7" s="1"/>
  <c r="BC84" i="23"/>
  <c r="BD84" i="23"/>
  <c r="BN36" i="26" s="1" a="1"/>
  <c r="BN36" i="26" s="1"/>
  <c r="AT36" i="7" s="1"/>
  <c r="BE84" i="23"/>
  <c r="BT36" i="26" s="1" a="1"/>
  <c r="BT36" i="26" s="1"/>
  <c r="AZ36" i="7" s="1"/>
  <c r="BF84" i="23"/>
  <c r="BG84" i="23"/>
  <c r="BP36" i="26" s="1" a="1"/>
  <c r="BP36" i="26" s="1"/>
  <c r="AV36" i="7" s="1"/>
  <c r="BH84" i="23"/>
  <c r="BI84" i="23"/>
  <c r="BQ36" i="26" s="1" a="1"/>
  <c r="BQ36" i="26" s="1"/>
  <c r="AW36" i="7" s="1"/>
  <c r="BJ84" i="23"/>
  <c r="BK84" i="23"/>
  <c r="BL84" i="23"/>
  <c r="BR36" i="26" s="1" a="1"/>
  <c r="BR36" i="26" s="1"/>
  <c r="AX36" i="7" s="1"/>
  <c r="BM84" i="23"/>
  <c r="BO36" i="26" s="1" a="1"/>
  <c r="BO36" i="26" s="1"/>
  <c r="AU36" i="7" s="1"/>
  <c r="BN84" i="23"/>
  <c r="BK36" i="26" s="1" a="1"/>
  <c r="BK36" i="26" s="1"/>
  <c r="AQ36" i="7" s="1"/>
  <c r="BO84" i="23"/>
  <c r="BL36" i="26" s="1" a="1"/>
  <c r="BL36" i="26" s="1"/>
  <c r="AR36" i="7" s="1"/>
  <c r="BP84" i="23"/>
  <c r="BM36" i="26" s="1" a="1"/>
  <c r="BM36" i="26" s="1"/>
  <c r="AS36" i="7" s="1"/>
  <c r="BQ84" i="23"/>
  <c r="BR84" i="23"/>
  <c r="BW36" i="26" s="1" a="1"/>
  <c r="BW36" i="26" s="1"/>
  <c r="BC36" i="7" s="1"/>
  <c r="BS84" i="23"/>
  <c r="CE36" i="26" s="1" a="1"/>
  <c r="CE36" i="26" s="1"/>
  <c r="BK36" i="7" s="1"/>
  <c r="BT84" i="23"/>
  <c r="CF36" i="26" s="1" a="1"/>
  <c r="CF36" i="26" s="1"/>
  <c r="BL36" i="7" s="1"/>
  <c r="BU84" i="23"/>
  <c r="CH36" i="26" s="1" a="1"/>
  <c r="CH36" i="26" s="1"/>
  <c r="BN36" i="7" s="1"/>
  <c r="BV84" i="23"/>
  <c r="AO85" i="23"/>
  <c r="BC41" i="26" s="1" a="1"/>
  <c r="BC41" i="26" s="1"/>
  <c r="AI41" i="7" s="1"/>
  <c r="AP85" i="23"/>
  <c r="BE41" i="26" s="1" a="1"/>
  <c r="BE41" i="26" s="1"/>
  <c r="AK41" i="7" s="1"/>
  <c r="AQ85" i="23"/>
  <c r="BF41" i="26" s="1" a="1"/>
  <c r="BF41" i="26" s="1"/>
  <c r="AL41" i="7" s="1"/>
  <c r="AR85" i="23"/>
  <c r="BH41" i="26" s="1" a="1"/>
  <c r="BH41" i="26" s="1"/>
  <c r="AN41" i="7" s="1"/>
  <c r="AS85" i="23"/>
  <c r="BI41" i="26" s="1" a="1"/>
  <c r="BI41" i="26" s="1"/>
  <c r="AO41" i="7" s="1"/>
  <c r="AT85" i="23"/>
  <c r="BG41" i="26" s="1" a="1"/>
  <c r="BG41" i="26" s="1"/>
  <c r="AM41" i="7" s="1"/>
  <c r="AU85" i="23"/>
  <c r="BJ41" i="26" s="1" a="1"/>
  <c r="BJ41" i="26" s="1"/>
  <c r="AP41" i="7" s="1"/>
  <c r="AV85" i="23"/>
  <c r="AW85" i="23"/>
  <c r="BX41" i="26" s="1" a="1"/>
  <c r="BX41" i="26" s="1"/>
  <c r="BD41" i="7" s="1"/>
  <c r="AX85" i="23"/>
  <c r="BY41" i="26" s="1" a="1"/>
  <c r="BY41" i="26" s="1"/>
  <c r="BE41" i="7" s="1"/>
  <c r="AY85" i="23"/>
  <c r="CC41" i="26" s="1" a="1"/>
  <c r="CC41" i="26" s="1"/>
  <c r="BI41" i="7" s="1"/>
  <c r="AZ85" i="23"/>
  <c r="CA41" i="26" s="1" a="1"/>
  <c r="CA41" i="26" s="1"/>
  <c r="BG41" i="7" s="1"/>
  <c r="BA85" i="23"/>
  <c r="BZ41" i="26" s="1" a="1"/>
  <c r="BZ41" i="26" s="1"/>
  <c r="BF41" i="7" s="1"/>
  <c r="BB85" i="23"/>
  <c r="CB41" i="26" s="1" a="1"/>
  <c r="CB41" i="26" s="1"/>
  <c r="BH41" i="7" s="1"/>
  <c r="BC85" i="23"/>
  <c r="BD85" i="23"/>
  <c r="BN41" i="26" s="1" a="1"/>
  <c r="BN41" i="26" s="1"/>
  <c r="AT41" i="7" s="1"/>
  <c r="BE85" i="23"/>
  <c r="BT41" i="26" s="1" a="1"/>
  <c r="BT41" i="26" s="1"/>
  <c r="AZ41" i="7" s="1"/>
  <c r="BF85" i="23"/>
  <c r="BG85" i="23"/>
  <c r="BP41" i="26" s="1" a="1"/>
  <c r="BP41" i="26" s="1"/>
  <c r="AV41" i="7" s="1"/>
  <c r="BH85" i="23"/>
  <c r="BI85" i="23"/>
  <c r="BQ41" i="26" s="1" a="1"/>
  <c r="BQ41" i="26" s="1"/>
  <c r="AW41" i="7" s="1"/>
  <c r="BJ85" i="23"/>
  <c r="BK85" i="23"/>
  <c r="BL85" i="23"/>
  <c r="BR41" i="26" s="1" a="1"/>
  <c r="BR41" i="26" s="1"/>
  <c r="AX41" i="7" s="1"/>
  <c r="BM85" i="23"/>
  <c r="BO41" i="26" s="1" a="1"/>
  <c r="BO41" i="26" s="1"/>
  <c r="AU41" i="7" s="1"/>
  <c r="BN85" i="23"/>
  <c r="BK41" i="26" s="1" a="1"/>
  <c r="BK41" i="26" s="1"/>
  <c r="AQ41" i="7" s="1"/>
  <c r="BO85" i="23"/>
  <c r="BL41" i="26" s="1" a="1"/>
  <c r="BL41" i="26" s="1"/>
  <c r="AR41" i="7" s="1"/>
  <c r="BP85" i="23"/>
  <c r="BM41" i="26" s="1" a="1"/>
  <c r="BM41" i="26" s="1"/>
  <c r="AS41" i="7" s="1"/>
  <c r="BQ85" i="23"/>
  <c r="BR85" i="23"/>
  <c r="BW41" i="26" s="1" a="1"/>
  <c r="BW41" i="26" s="1"/>
  <c r="BC41" i="7" s="1"/>
  <c r="BS85" i="23"/>
  <c r="CE41" i="26" s="1" a="1"/>
  <c r="CE41" i="26" s="1"/>
  <c r="BK41" i="7" s="1"/>
  <c r="BT85" i="23"/>
  <c r="CF41" i="26" s="1" a="1"/>
  <c r="CF41" i="26" s="1"/>
  <c r="BL41" i="7" s="1"/>
  <c r="BU85" i="23"/>
  <c r="CH41" i="26" s="1" a="1"/>
  <c r="CH41" i="26" s="1"/>
  <c r="BN41" i="7" s="1"/>
  <c r="BV85" i="23"/>
  <c r="AO86" i="23"/>
  <c r="BC40" i="26" s="1" a="1"/>
  <c r="BC40" i="26" s="1"/>
  <c r="AI40" i="7" s="1"/>
  <c r="AP86" i="23"/>
  <c r="BE40" i="26" s="1" a="1"/>
  <c r="BE40" i="26" s="1"/>
  <c r="AK40" i="7" s="1"/>
  <c r="AQ86" i="23"/>
  <c r="BF40" i="26" s="1" a="1"/>
  <c r="BF40" i="26" s="1"/>
  <c r="AL40" i="7" s="1"/>
  <c r="AR86" i="23"/>
  <c r="BH40" i="26" s="1" a="1"/>
  <c r="BH40" i="26" s="1"/>
  <c r="AN40" i="7" s="1"/>
  <c r="AS86" i="23"/>
  <c r="BI40" i="26" s="1" a="1"/>
  <c r="BI40" i="26" s="1"/>
  <c r="AO40" i="7" s="1"/>
  <c r="AT86" i="23"/>
  <c r="BG40" i="26" s="1" a="1"/>
  <c r="BG40" i="26" s="1"/>
  <c r="AM40" i="7" s="1"/>
  <c r="AU86" i="23"/>
  <c r="BJ40" i="26" s="1" a="1"/>
  <c r="BJ40" i="26" s="1"/>
  <c r="AP40" i="7" s="1"/>
  <c r="AV86" i="23"/>
  <c r="AW86" i="23"/>
  <c r="BX40" i="26" s="1" a="1"/>
  <c r="BX40" i="26" s="1"/>
  <c r="BD40" i="7" s="1"/>
  <c r="AX86" i="23"/>
  <c r="BY40" i="26" s="1" a="1"/>
  <c r="BY40" i="26" s="1"/>
  <c r="BE40" i="7" s="1"/>
  <c r="AY86" i="23"/>
  <c r="CC40" i="26" s="1" a="1"/>
  <c r="CC40" i="26" s="1"/>
  <c r="BI40" i="7" s="1"/>
  <c r="AZ86" i="23"/>
  <c r="CA40" i="26" s="1" a="1"/>
  <c r="CA40" i="26" s="1"/>
  <c r="BG40" i="7" s="1"/>
  <c r="BA86" i="23"/>
  <c r="BZ40" i="26" s="1" a="1"/>
  <c r="BZ40" i="26" s="1"/>
  <c r="BF40" i="7" s="1"/>
  <c r="BB86" i="23"/>
  <c r="CB40" i="26" s="1" a="1"/>
  <c r="CB40" i="26" s="1"/>
  <c r="BH40" i="7" s="1"/>
  <c r="BC86" i="23"/>
  <c r="BD86" i="23"/>
  <c r="BN40" i="26" s="1" a="1"/>
  <c r="BN40" i="26" s="1"/>
  <c r="AT40" i="7" s="1"/>
  <c r="BE86" i="23"/>
  <c r="BT40" i="26" s="1" a="1"/>
  <c r="BT40" i="26" s="1"/>
  <c r="AZ40" i="7" s="1"/>
  <c r="BF86" i="23"/>
  <c r="BG86" i="23"/>
  <c r="BP40" i="26" s="1" a="1"/>
  <c r="BP40" i="26" s="1"/>
  <c r="AV40" i="7" s="1"/>
  <c r="BH86" i="23"/>
  <c r="BI86" i="23"/>
  <c r="BQ40" i="26" s="1" a="1"/>
  <c r="BQ40" i="26" s="1"/>
  <c r="AW40" i="7" s="1"/>
  <c r="BJ86" i="23"/>
  <c r="BK86" i="23"/>
  <c r="BL86" i="23"/>
  <c r="BR40" i="26" s="1" a="1"/>
  <c r="BR40" i="26" s="1"/>
  <c r="AX40" i="7" s="1"/>
  <c r="BM86" i="23"/>
  <c r="BO40" i="26" s="1" a="1"/>
  <c r="BO40" i="26" s="1"/>
  <c r="AU40" i="7" s="1"/>
  <c r="BN86" i="23"/>
  <c r="BK40" i="26" s="1" a="1"/>
  <c r="BK40" i="26" s="1"/>
  <c r="AQ40" i="7" s="1"/>
  <c r="BO86" i="23"/>
  <c r="BL40" i="26" s="1" a="1"/>
  <c r="BL40" i="26" s="1"/>
  <c r="AR40" i="7" s="1"/>
  <c r="BP86" i="23"/>
  <c r="BM40" i="26" s="1" a="1"/>
  <c r="BM40" i="26" s="1"/>
  <c r="AS40" i="7" s="1"/>
  <c r="BQ86" i="23"/>
  <c r="BR86" i="23"/>
  <c r="BW40" i="26" s="1" a="1"/>
  <c r="BW40" i="26" s="1"/>
  <c r="BC40" i="7" s="1"/>
  <c r="BS86" i="23"/>
  <c r="CE40" i="26" s="1" a="1"/>
  <c r="CE40" i="26" s="1"/>
  <c r="BK40" i="7" s="1"/>
  <c r="BT86" i="23"/>
  <c r="CF40" i="26" s="1" a="1"/>
  <c r="CF40" i="26" s="1"/>
  <c r="BL40" i="7" s="1"/>
  <c r="BU86" i="23"/>
  <c r="CH40" i="26" s="1" a="1"/>
  <c r="CH40" i="26" s="1"/>
  <c r="BN40" i="7" s="1"/>
  <c r="BV86" i="23"/>
  <c r="AO87" i="23"/>
  <c r="BC42" i="26" s="1" a="1"/>
  <c r="BC42" i="26" s="1"/>
  <c r="AI42" i="7" s="1"/>
  <c r="AP87" i="23"/>
  <c r="BE42" i="26" s="1" a="1"/>
  <c r="BE42" i="26" s="1"/>
  <c r="AK42" i="7" s="1"/>
  <c r="AQ87" i="23"/>
  <c r="BF42" i="26" s="1" a="1"/>
  <c r="BF42" i="26" s="1"/>
  <c r="AL42" i="7" s="1"/>
  <c r="AR87" i="23"/>
  <c r="BH42" i="26" s="1" a="1"/>
  <c r="BH42" i="26" s="1"/>
  <c r="AN42" i="7" s="1"/>
  <c r="AS87" i="23"/>
  <c r="BI42" i="26" s="1" a="1"/>
  <c r="BI42" i="26" s="1"/>
  <c r="AO42" i="7" s="1"/>
  <c r="AT87" i="23"/>
  <c r="BG42" i="26" s="1" a="1"/>
  <c r="BG42" i="26" s="1"/>
  <c r="AM42" i="7" s="1"/>
  <c r="AU87" i="23"/>
  <c r="BJ42" i="26" s="1" a="1"/>
  <c r="BJ42" i="26" s="1"/>
  <c r="AP42" i="7" s="1"/>
  <c r="AV87" i="23"/>
  <c r="AW87" i="23"/>
  <c r="BX42" i="26" s="1" a="1"/>
  <c r="BX42" i="26" s="1"/>
  <c r="BD42" i="7" s="1"/>
  <c r="AX87" i="23"/>
  <c r="BY42" i="26" s="1" a="1"/>
  <c r="BY42" i="26" s="1"/>
  <c r="BE42" i="7" s="1"/>
  <c r="AY87" i="23"/>
  <c r="CC42" i="26" s="1" a="1"/>
  <c r="CC42" i="26" s="1"/>
  <c r="BI42" i="7" s="1"/>
  <c r="AZ87" i="23"/>
  <c r="CA42" i="26" s="1" a="1"/>
  <c r="CA42" i="26" s="1"/>
  <c r="BG42" i="7" s="1"/>
  <c r="BA87" i="23"/>
  <c r="BZ42" i="26" s="1" a="1"/>
  <c r="BZ42" i="26" s="1"/>
  <c r="BF42" i="7" s="1"/>
  <c r="BB87" i="23"/>
  <c r="CB42" i="26" s="1" a="1"/>
  <c r="CB42" i="26" s="1"/>
  <c r="BH42" i="7" s="1"/>
  <c r="BC87" i="23"/>
  <c r="BD87" i="23"/>
  <c r="BN42" i="26" s="1" a="1"/>
  <c r="BN42" i="26" s="1"/>
  <c r="AT42" i="7" s="1"/>
  <c r="BE87" i="23"/>
  <c r="BT42" i="26" s="1" a="1"/>
  <c r="BT42" i="26" s="1"/>
  <c r="AZ42" i="7" s="1"/>
  <c r="BF87" i="23"/>
  <c r="BG87" i="23"/>
  <c r="BP42" i="26" s="1" a="1"/>
  <c r="BP42" i="26" s="1"/>
  <c r="AV42" i="7" s="1"/>
  <c r="BH87" i="23"/>
  <c r="BI87" i="23"/>
  <c r="BQ42" i="26" s="1" a="1"/>
  <c r="BQ42" i="26" s="1"/>
  <c r="AW42" i="7" s="1"/>
  <c r="BJ87" i="23"/>
  <c r="BK87" i="23"/>
  <c r="BL87" i="23"/>
  <c r="BR42" i="26" s="1" a="1"/>
  <c r="BR42" i="26" s="1"/>
  <c r="AX42" i="7" s="1"/>
  <c r="BM87" i="23"/>
  <c r="BO42" i="26" s="1" a="1"/>
  <c r="BO42" i="26" s="1"/>
  <c r="AU42" i="7" s="1"/>
  <c r="BN87" i="23"/>
  <c r="BK42" i="26" s="1" a="1"/>
  <c r="BK42" i="26" s="1"/>
  <c r="AQ42" i="7" s="1"/>
  <c r="BO87" i="23"/>
  <c r="BL42" i="26" s="1" a="1"/>
  <c r="BL42" i="26" s="1"/>
  <c r="AR42" i="7" s="1"/>
  <c r="BP87" i="23"/>
  <c r="BM42" i="26" s="1" a="1"/>
  <c r="BM42" i="26" s="1"/>
  <c r="AS42" i="7" s="1"/>
  <c r="BQ87" i="23"/>
  <c r="BR87" i="23"/>
  <c r="BW42" i="26" s="1" a="1"/>
  <c r="BW42" i="26" s="1"/>
  <c r="BC42" i="7" s="1"/>
  <c r="BS87" i="23"/>
  <c r="CE42" i="26" s="1" a="1"/>
  <c r="CE42" i="26" s="1"/>
  <c r="BK42" i="7" s="1"/>
  <c r="BT87" i="23"/>
  <c r="CF42" i="26" s="1" a="1"/>
  <c r="CF42" i="26" s="1"/>
  <c r="BL42" i="7" s="1"/>
  <c r="BU87" i="23"/>
  <c r="CH42" i="26" s="1" a="1"/>
  <c r="CH42" i="26" s="1"/>
  <c r="BN42" i="7" s="1"/>
  <c r="BV87" i="23"/>
  <c r="AO88" i="23"/>
  <c r="BC38" i="26" s="1" a="1"/>
  <c r="BC38" i="26" s="1"/>
  <c r="AI38" i="7" s="1"/>
  <c r="AP88" i="23"/>
  <c r="BE38" i="26" s="1" a="1"/>
  <c r="BE38" i="26" s="1"/>
  <c r="AK38" i="7" s="1"/>
  <c r="AQ88" i="23"/>
  <c r="BF38" i="26" s="1" a="1"/>
  <c r="BF38" i="26" s="1"/>
  <c r="AL38" i="7" s="1"/>
  <c r="AR88" i="23"/>
  <c r="BH38" i="26" s="1" a="1"/>
  <c r="BH38" i="26" s="1"/>
  <c r="AN38" i="7" s="1"/>
  <c r="AS88" i="23"/>
  <c r="BI38" i="26" s="1" a="1"/>
  <c r="BI38" i="26" s="1"/>
  <c r="AO38" i="7" s="1"/>
  <c r="AT88" i="23"/>
  <c r="BG38" i="26" s="1" a="1"/>
  <c r="BG38" i="26" s="1"/>
  <c r="AM38" i="7" s="1"/>
  <c r="AU88" i="23"/>
  <c r="BJ38" i="26" s="1" a="1"/>
  <c r="BJ38" i="26" s="1"/>
  <c r="AP38" i="7" s="1"/>
  <c r="AV88" i="23"/>
  <c r="AW88" i="23"/>
  <c r="BX38" i="26" s="1" a="1"/>
  <c r="BX38" i="26" s="1"/>
  <c r="BD38" i="7" s="1"/>
  <c r="AX88" i="23"/>
  <c r="BY38" i="26" s="1" a="1"/>
  <c r="BY38" i="26" s="1"/>
  <c r="BE38" i="7" s="1"/>
  <c r="AY88" i="23"/>
  <c r="CC38" i="26" s="1" a="1"/>
  <c r="CC38" i="26" s="1"/>
  <c r="BI38" i="7" s="1"/>
  <c r="AZ88" i="23"/>
  <c r="CA38" i="26" s="1" a="1"/>
  <c r="CA38" i="26" s="1"/>
  <c r="BG38" i="7" s="1"/>
  <c r="BA88" i="23"/>
  <c r="BZ38" i="26" s="1" a="1"/>
  <c r="BZ38" i="26" s="1"/>
  <c r="BF38" i="7" s="1"/>
  <c r="BB88" i="23"/>
  <c r="CB38" i="26" s="1" a="1"/>
  <c r="CB38" i="26" s="1"/>
  <c r="BH38" i="7" s="1"/>
  <c r="BC88" i="23"/>
  <c r="BD88" i="23"/>
  <c r="BN38" i="26" s="1" a="1"/>
  <c r="BN38" i="26" s="1"/>
  <c r="AT38" i="7" s="1"/>
  <c r="BE88" i="23"/>
  <c r="BT38" i="26" s="1" a="1"/>
  <c r="BT38" i="26" s="1"/>
  <c r="AZ38" i="7" s="1"/>
  <c r="BF88" i="23"/>
  <c r="BG88" i="23"/>
  <c r="BP38" i="26" s="1" a="1"/>
  <c r="BP38" i="26" s="1"/>
  <c r="AV38" i="7" s="1"/>
  <c r="BH88" i="23"/>
  <c r="BI88" i="23"/>
  <c r="BQ38" i="26" s="1" a="1"/>
  <c r="BQ38" i="26" s="1"/>
  <c r="AW38" i="7" s="1"/>
  <c r="BJ88" i="23"/>
  <c r="BK88" i="23"/>
  <c r="BL88" i="23"/>
  <c r="BR38" i="26" s="1" a="1"/>
  <c r="BR38" i="26" s="1"/>
  <c r="AX38" i="7" s="1"/>
  <c r="BM88" i="23"/>
  <c r="BO38" i="26" s="1" a="1"/>
  <c r="BO38" i="26" s="1"/>
  <c r="AU38" i="7" s="1"/>
  <c r="BN88" i="23"/>
  <c r="BK38" i="26" s="1" a="1"/>
  <c r="BK38" i="26" s="1"/>
  <c r="AQ38" i="7" s="1"/>
  <c r="BO88" i="23"/>
  <c r="BL38" i="26" s="1" a="1"/>
  <c r="BL38" i="26" s="1"/>
  <c r="AR38" i="7" s="1"/>
  <c r="BP88" i="23"/>
  <c r="BM38" i="26" s="1" a="1"/>
  <c r="BM38" i="26" s="1"/>
  <c r="AS38" i="7" s="1"/>
  <c r="BQ88" i="23"/>
  <c r="BR88" i="23"/>
  <c r="BW38" i="26" s="1" a="1"/>
  <c r="BW38" i="26" s="1"/>
  <c r="BC38" i="7" s="1"/>
  <c r="BS88" i="23"/>
  <c r="CE38" i="26" s="1" a="1"/>
  <c r="CE38" i="26" s="1"/>
  <c r="BK38" i="7" s="1"/>
  <c r="BT88" i="23"/>
  <c r="CF38" i="26" s="1" a="1"/>
  <c r="CF38" i="26" s="1"/>
  <c r="BL38" i="7" s="1"/>
  <c r="BU88" i="23"/>
  <c r="CH38" i="26" s="1" a="1"/>
  <c r="CH38" i="26" s="1"/>
  <c r="BN38" i="7" s="1"/>
  <c r="BV88" i="23"/>
  <c r="AO89" i="23"/>
  <c r="BC37" i="26" s="1" a="1"/>
  <c r="BC37" i="26" s="1"/>
  <c r="AI37" i="7" s="1"/>
  <c r="AP89" i="23"/>
  <c r="BE37" i="26" s="1" a="1"/>
  <c r="BE37" i="26" s="1"/>
  <c r="AK37" i="7" s="1"/>
  <c r="AQ89" i="23"/>
  <c r="BF37" i="26" s="1" a="1"/>
  <c r="BF37" i="26" s="1"/>
  <c r="AL37" i="7" s="1"/>
  <c r="AR89" i="23"/>
  <c r="BH37" i="26" s="1" a="1"/>
  <c r="BH37" i="26" s="1"/>
  <c r="AN37" i="7" s="1"/>
  <c r="AS89" i="23"/>
  <c r="BI37" i="26" s="1" a="1"/>
  <c r="BI37" i="26" s="1"/>
  <c r="AO37" i="7" s="1"/>
  <c r="AT89" i="23"/>
  <c r="BG37" i="26" s="1" a="1"/>
  <c r="BG37" i="26" s="1"/>
  <c r="AM37" i="7" s="1"/>
  <c r="AU89" i="23"/>
  <c r="BJ37" i="26" s="1" a="1"/>
  <c r="BJ37" i="26" s="1"/>
  <c r="AP37" i="7" s="1"/>
  <c r="AV89" i="23"/>
  <c r="AW89" i="23"/>
  <c r="BX37" i="26" s="1" a="1"/>
  <c r="BX37" i="26" s="1"/>
  <c r="BD37" i="7" s="1"/>
  <c r="AX89" i="23"/>
  <c r="BY37" i="26" s="1" a="1"/>
  <c r="BY37" i="26" s="1"/>
  <c r="BE37" i="7" s="1"/>
  <c r="AY89" i="23"/>
  <c r="CC37" i="26" s="1" a="1"/>
  <c r="CC37" i="26" s="1"/>
  <c r="BI37" i="7" s="1"/>
  <c r="AZ89" i="23"/>
  <c r="CA37" i="26" s="1" a="1"/>
  <c r="CA37" i="26" s="1"/>
  <c r="BG37" i="7" s="1"/>
  <c r="BA89" i="23"/>
  <c r="BZ37" i="26" s="1" a="1"/>
  <c r="BZ37" i="26" s="1"/>
  <c r="BF37" i="7" s="1"/>
  <c r="BB89" i="23"/>
  <c r="CB37" i="26" s="1" a="1"/>
  <c r="CB37" i="26" s="1"/>
  <c r="BH37" i="7" s="1"/>
  <c r="BC89" i="23"/>
  <c r="BD89" i="23"/>
  <c r="BN37" i="26" s="1" a="1"/>
  <c r="BN37" i="26" s="1"/>
  <c r="AT37" i="7" s="1"/>
  <c r="BE89" i="23"/>
  <c r="BT37" i="26" s="1" a="1"/>
  <c r="BT37" i="26" s="1"/>
  <c r="AZ37" i="7" s="1"/>
  <c r="BF89" i="23"/>
  <c r="BG89" i="23"/>
  <c r="BP37" i="26" s="1" a="1"/>
  <c r="BP37" i="26" s="1"/>
  <c r="AV37" i="7" s="1"/>
  <c r="BH89" i="23"/>
  <c r="BI89" i="23"/>
  <c r="BQ37" i="26" s="1" a="1"/>
  <c r="BQ37" i="26" s="1"/>
  <c r="AW37" i="7" s="1"/>
  <c r="BJ89" i="23"/>
  <c r="BK89" i="23"/>
  <c r="BL89" i="23"/>
  <c r="BR37" i="26" s="1" a="1"/>
  <c r="BR37" i="26" s="1"/>
  <c r="AX37" i="7" s="1"/>
  <c r="BM89" i="23"/>
  <c r="BO37" i="26" s="1" a="1"/>
  <c r="BO37" i="26" s="1"/>
  <c r="AU37" i="7" s="1"/>
  <c r="BN89" i="23"/>
  <c r="BK37" i="26" s="1" a="1"/>
  <c r="BK37" i="26" s="1"/>
  <c r="AQ37" i="7" s="1"/>
  <c r="BO89" i="23"/>
  <c r="BL37" i="26" s="1" a="1"/>
  <c r="BL37" i="26" s="1"/>
  <c r="AR37" i="7" s="1"/>
  <c r="BP89" i="23"/>
  <c r="BM37" i="26" s="1" a="1"/>
  <c r="BM37" i="26" s="1"/>
  <c r="AS37" i="7" s="1"/>
  <c r="BQ89" i="23"/>
  <c r="BR89" i="23"/>
  <c r="BW37" i="26" s="1" a="1"/>
  <c r="BW37" i="26" s="1"/>
  <c r="BC37" i="7" s="1"/>
  <c r="BS89" i="23"/>
  <c r="CE37" i="26" s="1" a="1"/>
  <c r="CE37" i="26" s="1"/>
  <c r="BK37" i="7" s="1"/>
  <c r="BT89" i="23"/>
  <c r="CF37" i="26" s="1" a="1"/>
  <c r="CF37" i="26" s="1"/>
  <c r="BL37" i="7" s="1"/>
  <c r="BU89" i="23"/>
  <c r="CH37" i="26" s="1" a="1"/>
  <c r="CH37" i="26" s="1"/>
  <c r="BN37" i="7" s="1"/>
  <c r="BV89" i="23"/>
  <c r="AO90" i="23"/>
  <c r="BC43" i="26" s="1" a="1"/>
  <c r="BC43" i="26" s="1"/>
  <c r="AI43" i="7" s="1"/>
  <c r="AP90" i="23"/>
  <c r="BE43" i="26" s="1" a="1"/>
  <c r="BE43" i="26" s="1"/>
  <c r="AK43" i="7" s="1"/>
  <c r="AQ90" i="23"/>
  <c r="BF43" i="26" s="1" a="1"/>
  <c r="BF43" i="26" s="1"/>
  <c r="AL43" i="7" s="1"/>
  <c r="AR90" i="23"/>
  <c r="BH43" i="26" s="1" a="1"/>
  <c r="BH43" i="26" s="1"/>
  <c r="AN43" i="7" s="1"/>
  <c r="AS90" i="23"/>
  <c r="BI43" i="26" s="1" a="1"/>
  <c r="BI43" i="26" s="1"/>
  <c r="AO43" i="7" s="1"/>
  <c r="AT90" i="23"/>
  <c r="BG43" i="26" s="1" a="1"/>
  <c r="BG43" i="26" s="1"/>
  <c r="AM43" i="7" s="1"/>
  <c r="AU90" i="23"/>
  <c r="BJ43" i="26" s="1" a="1"/>
  <c r="BJ43" i="26" s="1"/>
  <c r="AP43" i="7" s="1"/>
  <c r="AV90" i="23"/>
  <c r="AW90" i="23"/>
  <c r="BX43" i="26" s="1" a="1"/>
  <c r="BX43" i="26" s="1"/>
  <c r="BD43" i="7" s="1"/>
  <c r="AX90" i="23"/>
  <c r="BY43" i="26" s="1" a="1"/>
  <c r="BY43" i="26" s="1"/>
  <c r="BE43" i="7" s="1"/>
  <c r="AY90" i="23"/>
  <c r="CC43" i="26" s="1" a="1"/>
  <c r="CC43" i="26" s="1"/>
  <c r="BI43" i="7" s="1"/>
  <c r="AZ90" i="23"/>
  <c r="CA43" i="26" s="1" a="1"/>
  <c r="CA43" i="26" s="1"/>
  <c r="BG43" i="7" s="1"/>
  <c r="BA90" i="23"/>
  <c r="BZ43" i="26" s="1" a="1"/>
  <c r="BZ43" i="26" s="1"/>
  <c r="BF43" i="7" s="1"/>
  <c r="BB90" i="23"/>
  <c r="CB43" i="26" s="1" a="1"/>
  <c r="CB43" i="26" s="1"/>
  <c r="BH43" i="7" s="1"/>
  <c r="BC90" i="23"/>
  <c r="BD90" i="23"/>
  <c r="BN43" i="26" s="1" a="1"/>
  <c r="BN43" i="26" s="1"/>
  <c r="AT43" i="7" s="1"/>
  <c r="BE90" i="23"/>
  <c r="BT43" i="26" s="1" a="1"/>
  <c r="BT43" i="26" s="1"/>
  <c r="AZ43" i="7" s="1"/>
  <c r="BF90" i="23"/>
  <c r="BG90" i="23"/>
  <c r="BP43" i="26" s="1" a="1"/>
  <c r="BP43" i="26" s="1"/>
  <c r="AV43" i="7" s="1"/>
  <c r="BH90" i="23"/>
  <c r="BI90" i="23"/>
  <c r="BJ90" i="23"/>
  <c r="BK90" i="23"/>
  <c r="BL90" i="23"/>
  <c r="BR43" i="26" s="1" a="1"/>
  <c r="BR43" i="26" s="1"/>
  <c r="AX43" i="7" s="1"/>
  <c r="BM90" i="23"/>
  <c r="BO43" i="26" s="1" a="1"/>
  <c r="BO43" i="26" s="1"/>
  <c r="AU43" i="7" s="1"/>
  <c r="BN90" i="23"/>
  <c r="BK43" i="26" s="1" a="1"/>
  <c r="BK43" i="26" s="1"/>
  <c r="AQ43" i="7" s="1"/>
  <c r="BO90" i="23"/>
  <c r="BL43" i="26" s="1" a="1"/>
  <c r="BL43" i="26" s="1"/>
  <c r="AR43" i="7" s="1"/>
  <c r="BP90" i="23"/>
  <c r="BM43" i="26" s="1" a="1"/>
  <c r="BM43" i="26" s="1"/>
  <c r="AS43" i="7" s="1"/>
  <c r="BQ90" i="23"/>
  <c r="BR90" i="23"/>
  <c r="BW43" i="26" s="1" a="1"/>
  <c r="BW43" i="26" s="1"/>
  <c r="BC43" i="7" s="1"/>
  <c r="BS90" i="23"/>
  <c r="CE43" i="26" s="1" a="1"/>
  <c r="CE43" i="26" s="1"/>
  <c r="BK43" i="7" s="1"/>
  <c r="BT90" i="23"/>
  <c r="CF43" i="26" s="1" a="1"/>
  <c r="CF43" i="26" s="1"/>
  <c r="BL43" i="7" s="1"/>
  <c r="BU90" i="23"/>
  <c r="CH43" i="26" s="1" a="1"/>
  <c r="CH43" i="26" s="1"/>
  <c r="BN43" i="7" s="1"/>
  <c r="BV90" i="23"/>
  <c r="AO91" i="23"/>
  <c r="BC49" i="26" s="1" a="1"/>
  <c r="BC49" i="26" s="1"/>
  <c r="AI49" i="7" s="1"/>
  <c r="AP91" i="23"/>
  <c r="BE49" i="26" s="1" a="1"/>
  <c r="BE49" i="26" s="1"/>
  <c r="AK49" i="7" s="1"/>
  <c r="AQ91" i="23"/>
  <c r="BF49" i="26" s="1" a="1"/>
  <c r="BF49" i="26" s="1"/>
  <c r="AL49" i="7" s="1"/>
  <c r="AR91" i="23"/>
  <c r="BH49" i="26" s="1" a="1"/>
  <c r="BH49" i="26" s="1"/>
  <c r="AN49" i="7" s="1"/>
  <c r="AS91" i="23"/>
  <c r="BI49" i="26" s="1" a="1"/>
  <c r="BI49" i="26" s="1"/>
  <c r="AO49" i="7" s="1"/>
  <c r="AT91" i="23"/>
  <c r="BG49" i="26" s="1" a="1"/>
  <c r="BG49" i="26" s="1"/>
  <c r="AM49" i="7" s="1"/>
  <c r="AU91" i="23"/>
  <c r="BJ49" i="26" s="1" a="1"/>
  <c r="BJ49" i="26" s="1"/>
  <c r="AP49" i="7" s="1"/>
  <c r="AV91" i="23"/>
  <c r="AW91" i="23"/>
  <c r="BX49" i="26" s="1" a="1"/>
  <c r="BX49" i="26" s="1"/>
  <c r="BD49" i="7" s="1"/>
  <c r="AX91" i="23"/>
  <c r="BY49" i="26" s="1" a="1"/>
  <c r="BY49" i="26" s="1"/>
  <c r="BE49" i="7" s="1"/>
  <c r="AY91" i="23"/>
  <c r="CC49" i="26" s="1" a="1"/>
  <c r="CC49" i="26" s="1"/>
  <c r="BI49" i="7" s="1"/>
  <c r="AZ91" i="23"/>
  <c r="CA49" i="26" s="1" a="1"/>
  <c r="CA49" i="26" s="1"/>
  <c r="BG49" i="7" s="1"/>
  <c r="BA91" i="23"/>
  <c r="BZ49" i="26" s="1" a="1"/>
  <c r="BZ49" i="26" s="1"/>
  <c r="BF49" i="7" s="1"/>
  <c r="BB91" i="23"/>
  <c r="CB49" i="26" s="1" a="1"/>
  <c r="CB49" i="26" s="1"/>
  <c r="BH49" i="7" s="1"/>
  <c r="BC91" i="23"/>
  <c r="BD91" i="23"/>
  <c r="BN49" i="26" s="1" a="1"/>
  <c r="BN49" i="26" s="1"/>
  <c r="AT49" i="7" s="1"/>
  <c r="BE91" i="23"/>
  <c r="BT49" i="26" s="1" a="1"/>
  <c r="BT49" i="26" s="1"/>
  <c r="AZ49" i="7" s="1"/>
  <c r="BF91" i="23"/>
  <c r="BG91" i="23"/>
  <c r="BH91" i="23"/>
  <c r="BI91" i="23"/>
  <c r="BQ49" i="26" s="1" a="1"/>
  <c r="BQ49" i="26" s="1"/>
  <c r="AW49" i="7" s="1"/>
  <c r="BJ91" i="23"/>
  <c r="BK91" i="23"/>
  <c r="BL91" i="23"/>
  <c r="BR49" i="26" s="1" a="1"/>
  <c r="BR49" i="26" s="1"/>
  <c r="AX49" i="7" s="1"/>
  <c r="BM91" i="23"/>
  <c r="BO49" i="26" s="1" a="1"/>
  <c r="BO49" i="26" s="1"/>
  <c r="AU49" i="7" s="1"/>
  <c r="BN91" i="23"/>
  <c r="BK49" i="26" s="1" a="1"/>
  <c r="BK49" i="26" s="1"/>
  <c r="AQ49" i="7" s="1"/>
  <c r="BO91" i="23"/>
  <c r="BL49" i="26" s="1" a="1"/>
  <c r="BL49" i="26" s="1"/>
  <c r="AR49" i="7" s="1"/>
  <c r="BP91" i="23"/>
  <c r="BM49" i="26" s="1" a="1"/>
  <c r="BM49" i="26" s="1"/>
  <c r="AS49" i="7" s="1"/>
  <c r="BQ91" i="23"/>
  <c r="BR91" i="23"/>
  <c r="BW49" i="26" s="1" a="1"/>
  <c r="BW49" i="26" s="1"/>
  <c r="BC49" i="7" s="1"/>
  <c r="BS91" i="23"/>
  <c r="CE49" i="26" s="1" a="1"/>
  <c r="CE49" i="26" s="1"/>
  <c r="BK49" i="7" s="1"/>
  <c r="BT91" i="23"/>
  <c r="CF49" i="26" s="1" a="1"/>
  <c r="CF49" i="26" s="1"/>
  <c r="BL49" i="7" s="1"/>
  <c r="BU91" i="23"/>
  <c r="CH49" i="26" s="1" a="1"/>
  <c r="CH49" i="26" s="1"/>
  <c r="BN49" i="7" s="1"/>
  <c r="BV91" i="23"/>
  <c r="AO92" i="23"/>
  <c r="BC44" i="26" s="1" a="1"/>
  <c r="BC44" i="26" s="1"/>
  <c r="AI44" i="7" s="1"/>
  <c r="AP92" i="23"/>
  <c r="BE44" i="26" s="1" a="1"/>
  <c r="BE44" i="26" s="1"/>
  <c r="AK44" i="7" s="1"/>
  <c r="AQ92" i="23"/>
  <c r="BF44" i="26" s="1" a="1"/>
  <c r="BF44" i="26" s="1"/>
  <c r="AL44" i="7" s="1"/>
  <c r="AR92" i="23"/>
  <c r="BH44" i="26" s="1" a="1"/>
  <c r="BH44" i="26" s="1"/>
  <c r="AN44" i="7" s="1"/>
  <c r="AS92" i="23"/>
  <c r="BI44" i="26" s="1" a="1"/>
  <c r="BI44" i="26" s="1"/>
  <c r="AO44" i="7" s="1"/>
  <c r="AT92" i="23"/>
  <c r="BG44" i="26" s="1" a="1"/>
  <c r="BG44" i="26" s="1"/>
  <c r="AM44" i="7" s="1"/>
  <c r="AU92" i="23"/>
  <c r="BJ44" i="26" s="1" a="1"/>
  <c r="BJ44" i="26" s="1"/>
  <c r="AP44" i="7" s="1"/>
  <c r="AV92" i="23"/>
  <c r="AW92" i="23"/>
  <c r="BX44" i="26" s="1" a="1"/>
  <c r="BX44" i="26" s="1"/>
  <c r="BD44" i="7" s="1"/>
  <c r="AX92" i="23"/>
  <c r="BY44" i="26" s="1" a="1"/>
  <c r="BY44" i="26" s="1"/>
  <c r="BE44" i="7" s="1"/>
  <c r="AY92" i="23"/>
  <c r="CC44" i="26" s="1" a="1"/>
  <c r="CC44" i="26" s="1"/>
  <c r="BI44" i="7" s="1"/>
  <c r="AZ92" i="23"/>
  <c r="CA44" i="26" s="1" a="1"/>
  <c r="CA44" i="26" s="1"/>
  <c r="BG44" i="7" s="1"/>
  <c r="BA92" i="23"/>
  <c r="BZ44" i="26" s="1" a="1"/>
  <c r="BZ44" i="26" s="1"/>
  <c r="BF44" i="7" s="1"/>
  <c r="BB92" i="23"/>
  <c r="CB44" i="26" s="1" a="1"/>
  <c r="CB44" i="26" s="1"/>
  <c r="BH44" i="7" s="1"/>
  <c r="BC92" i="23"/>
  <c r="BD92" i="23"/>
  <c r="BN44" i="26" s="1" a="1"/>
  <c r="BN44" i="26" s="1"/>
  <c r="AT44" i="7" s="1"/>
  <c r="BE92" i="23"/>
  <c r="BT44" i="26" s="1" a="1"/>
  <c r="BT44" i="26" s="1"/>
  <c r="AZ44" i="7" s="1"/>
  <c r="BF92" i="23"/>
  <c r="BG92" i="23"/>
  <c r="BP44" i="26" s="1" a="1"/>
  <c r="BP44" i="26" s="1"/>
  <c r="AV44" i="7" s="1"/>
  <c r="BH92" i="23"/>
  <c r="BI92" i="23"/>
  <c r="BQ44" i="26" s="1" a="1"/>
  <c r="BQ44" i="26" s="1"/>
  <c r="AW44" i="7" s="1"/>
  <c r="BJ92" i="23"/>
  <c r="BK92" i="23"/>
  <c r="BL92" i="23"/>
  <c r="BR44" i="26" s="1" a="1"/>
  <c r="BR44" i="26" s="1"/>
  <c r="AX44" i="7" s="1"/>
  <c r="BM92" i="23"/>
  <c r="BO44" i="26" s="1" a="1"/>
  <c r="BO44" i="26" s="1"/>
  <c r="AU44" i="7" s="1"/>
  <c r="BN92" i="23"/>
  <c r="BK44" i="26" s="1" a="1"/>
  <c r="BK44" i="26" s="1"/>
  <c r="AQ44" i="7" s="1"/>
  <c r="BO92" i="23"/>
  <c r="BL44" i="26" s="1" a="1"/>
  <c r="BL44" i="26" s="1"/>
  <c r="AR44" i="7" s="1"/>
  <c r="BP92" i="23"/>
  <c r="BM44" i="26" s="1" a="1"/>
  <c r="BM44" i="26" s="1"/>
  <c r="AS44" i="7" s="1"/>
  <c r="BQ92" i="23"/>
  <c r="BR92" i="23"/>
  <c r="BW44" i="26" s="1" a="1"/>
  <c r="BW44" i="26" s="1"/>
  <c r="BC44" i="7" s="1"/>
  <c r="BS92" i="23"/>
  <c r="CE44" i="26" s="1" a="1"/>
  <c r="CE44" i="26" s="1"/>
  <c r="BK44" i="7" s="1"/>
  <c r="BT92" i="23"/>
  <c r="CF44" i="26" s="1" a="1"/>
  <c r="CF44" i="26" s="1"/>
  <c r="BL44" i="7" s="1"/>
  <c r="BU92" i="23"/>
  <c r="CH44" i="26" s="1" a="1"/>
  <c r="CH44" i="26" s="1"/>
  <c r="BN44" i="7" s="1"/>
  <c r="BV92" i="23"/>
  <c r="AO93" i="23"/>
  <c r="BC45" i="26" s="1" a="1"/>
  <c r="BC45" i="26" s="1"/>
  <c r="AI45" i="7" s="1"/>
  <c r="AP93" i="23"/>
  <c r="BE45" i="26" s="1" a="1"/>
  <c r="BE45" i="26" s="1"/>
  <c r="AK45" i="7" s="1"/>
  <c r="AQ93" i="23"/>
  <c r="BF45" i="26" s="1" a="1"/>
  <c r="BF45" i="26" s="1"/>
  <c r="AL45" i="7" s="1"/>
  <c r="AR93" i="23"/>
  <c r="BH45" i="26" s="1" a="1"/>
  <c r="BH45" i="26" s="1"/>
  <c r="AN45" i="7" s="1"/>
  <c r="AS93" i="23"/>
  <c r="BI45" i="26" s="1" a="1"/>
  <c r="BI45" i="26" s="1"/>
  <c r="AO45" i="7" s="1"/>
  <c r="AT93" i="23"/>
  <c r="BG45" i="26" s="1" a="1"/>
  <c r="BG45" i="26" s="1"/>
  <c r="AM45" i="7" s="1"/>
  <c r="AU93" i="23"/>
  <c r="BJ45" i="26" s="1" a="1"/>
  <c r="BJ45" i="26" s="1"/>
  <c r="AP45" i="7" s="1"/>
  <c r="AV93" i="23"/>
  <c r="AW93" i="23"/>
  <c r="BX45" i="26" s="1" a="1"/>
  <c r="BX45" i="26" s="1"/>
  <c r="BD45" i="7" s="1"/>
  <c r="AX93" i="23"/>
  <c r="BY45" i="26" s="1" a="1"/>
  <c r="BY45" i="26" s="1"/>
  <c r="BE45" i="7" s="1"/>
  <c r="AY93" i="23"/>
  <c r="CC45" i="26" s="1" a="1"/>
  <c r="CC45" i="26" s="1"/>
  <c r="BI45" i="7" s="1"/>
  <c r="AZ93" i="23"/>
  <c r="CA45" i="26" s="1" a="1"/>
  <c r="CA45" i="26" s="1"/>
  <c r="BG45" i="7" s="1"/>
  <c r="BA93" i="23"/>
  <c r="BZ45" i="26" s="1" a="1"/>
  <c r="BZ45" i="26" s="1"/>
  <c r="BF45" i="7" s="1"/>
  <c r="BB93" i="23"/>
  <c r="CB45" i="26" s="1" a="1"/>
  <c r="CB45" i="26" s="1"/>
  <c r="BH45" i="7" s="1"/>
  <c r="BC93" i="23"/>
  <c r="BD93" i="23"/>
  <c r="BN45" i="26" s="1" a="1"/>
  <c r="BN45" i="26" s="1"/>
  <c r="AT45" i="7" s="1"/>
  <c r="BE93" i="23"/>
  <c r="BT45" i="26" s="1" a="1"/>
  <c r="BT45" i="26" s="1"/>
  <c r="AZ45" i="7" s="1"/>
  <c r="BF93" i="23"/>
  <c r="BG93" i="23"/>
  <c r="BP45" i="26" s="1" a="1"/>
  <c r="BP45" i="26" s="1"/>
  <c r="AV45" i="7" s="1"/>
  <c r="BH93" i="23"/>
  <c r="BI93" i="23"/>
  <c r="BQ45" i="26" s="1" a="1"/>
  <c r="BQ45" i="26" s="1"/>
  <c r="AW45" i="7" s="1"/>
  <c r="BJ93" i="23"/>
  <c r="BK93" i="23"/>
  <c r="BL93" i="23"/>
  <c r="BR45" i="26" s="1" a="1"/>
  <c r="BR45" i="26" s="1"/>
  <c r="AX45" i="7" s="1"/>
  <c r="BM93" i="23"/>
  <c r="BO45" i="26" s="1" a="1"/>
  <c r="BO45" i="26" s="1"/>
  <c r="AU45" i="7" s="1"/>
  <c r="BN93" i="23"/>
  <c r="BK45" i="26" s="1" a="1"/>
  <c r="BK45" i="26" s="1"/>
  <c r="AQ45" i="7" s="1"/>
  <c r="BO93" i="23"/>
  <c r="BL45" i="26" s="1" a="1"/>
  <c r="BL45" i="26" s="1"/>
  <c r="AR45" i="7" s="1"/>
  <c r="BP93" i="23"/>
  <c r="BM45" i="26" s="1" a="1"/>
  <c r="BM45" i="26" s="1"/>
  <c r="AS45" i="7" s="1"/>
  <c r="BQ93" i="23"/>
  <c r="BR93" i="23"/>
  <c r="BW45" i="26" s="1" a="1"/>
  <c r="BW45" i="26" s="1"/>
  <c r="BC45" i="7" s="1"/>
  <c r="BS93" i="23"/>
  <c r="CE45" i="26" s="1" a="1"/>
  <c r="CE45" i="26" s="1"/>
  <c r="BK45" i="7" s="1"/>
  <c r="BT93" i="23"/>
  <c r="CF45" i="26" s="1" a="1"/>
  <c r="CF45" i="26" s="1"/>
  <c r="BL45" i="7" s="1"/>
  <c r="BU93" i="23"/>
  <c r="CH45" i="26" s="1" a="1"/>
  <c r="CH45" i="26" s="1"/>
  <c r="BN45" i="7" s="1"/>
  <c r="BV93" i="23"/>
  <c r="AO94" i="23"/>
  <c r="BC39" i="26" s="1" a="1"/>
  <c r="BC39" i="26" s="1"/>
  <c r="AI39" i="7" s="1"/>
  <c r="AP94" i="23"/>
  <c r="BE39" i="26" s="1" a="1"/>
  <c r="BE39" i="26" s="1"/>
  <c r="AK39" i="7" s="1"/>
  <c r="AQ94" i="23"/>
  <c r="BF39" i="26" s="1" a="1"/>
  <c r="BF39" i="26" s="1"/>
  <c r="AL39" i="7" s="1"/>
  <c r="AR94" i="23"/>
  <c r="BH39" i="26" s="1" a="1"/>
  <c r="BH39" i="26" s="1"/>
  <c r="AN39" i="7" s="1"/>
  <c r="AS94" i="23"/>
  <c r="BI39" i="26" s="1" a="1"/>
  <c r="BI39" i="26" s="1"/>
  <c r="AO39" i="7" s="1"/>
  <c r="AT94" i="23"/>
  <c r="BG39" i="26" s="1" a="1"/>
  <c r="BG39" i="26" s="1"/>
  <c r="AM39" i="7" s="1"/>
  <c r="AU94" i="23"/>
  <c r="BJ39" i="26" s="1" a="1"/>
  <c r="BJ39" i="26" s="1"/>
  <c r="AP39" i="7" s="1"/>
  <c r="AV94" i="23"/>
  <c r="AW94" i="23"/>
  <c r="BX39" i="26" s="1" a="1"/>
  <c r="BX39" i="26" s="1"/>
  <c r="BD39" i="7" s="1"/>
  <c r="AX94" i="23"/>
  <c r="BY39" i="26" s="1" a="1"/>
  <c r="BY39" i="26" s="1"/>
  <c r="BE39" i="7" s="1"/>
  <c r="AY94" i="23"/>
  <c r="CC39" i="26" s="1" a="1"/>
  <c r="CC39" i="26" s="1"/>
  <c r="BI39" i="7" s="1"/>
  <c r="AZ94" i="23"/>
  <c r="CA39" i="26" s="1" a="1"/>
  <c r="CA39" i="26" s="1"/>
  <c r="BG39" i="7" s="1"/>
  <c r="BA94" i="23"/>
  <c r="BZ39" i="26" s="1" a="1"/>
  <c r="BZ39" i="26" s="1"/>
  <c r="BF39" i="7" s="1"/>
  <c r="BB94" i="23"/>
  <c r="CB39" i="26" s="1" a="1"/>
  <c r="CB39" i="26" s="1"/>
  <c r="BH39" i="7" s="1"/>
  <c r="BC94" i="23"/>
  <c r="BD94" i="23"/>
  <c r="BN39" i="26" s="1" a="1"/>
  <c r="BN39" i="26" s="1"/>
  <c r="AT39" i="7" s="1"/>
  <c r="BE94" i="23"/>
  <c r="BT39" i="26" s="1" a="1"/>
  <c r="BT39" i="26" s="1"/>
  <c r="AZ39" i="7" s="1"/>
  <c r="BF94" i="23"/>
  <c r="BG94" i="23"/>
  <c r="BP39" i="26" s="1" a="1"/>
  <c r="BP39" i="26" s="1"/>
  <c r="AV39" i="7" s="1"/>
  <c r="BH94" i="23"/>
  <c r="BI94" i="23"/>
  <c r="BJ94" i="23"/>
  <c r="BK94" i="23"/>
  <c r="BL94" i="23"/>
  <c r="BR39" i="26" s="1" a="1"/>
  <c r="BR39" i="26" s="1"/>
  <c r="AX39" i="7" s="1"/>
  <c r="BM94" i="23"/>
  <c r="BO39" i="26" s="1" a="1"/>
  <c r="BO39" i="26" s="1"/>
  <c r="AU39" i="7" s="1"/>
  <c r="BN94" i="23"/>
  <c r="BK39" i="26" s="1" a="1"/>
  <c r="BK39" i="26" s="1"/>
  <c r="AQ39" i="7" s="1"/>
  <c r="BO94" i="23"/>
  <c r="BL39" i="26" s="1" a="1"/>
  <c r="BL39" i="26" s="1"/>
  <c r="AR39" i="7" s="1"/>
  <c r="BP94" i="23"/>
  <c r="BM39" i="26" s="1" a="1"/>
  <c r="BM39" i="26" s="1"/>
  <c r="AS39" i="7" s="1"/>
  <c r="BQ94" i="23"/>
  <c r="BR94" i="23"/>
  <c r="BW39" i="26" s="1" a="1"/>
  <c r="BW39" i="26" s="1"/>
  <c r="BC39" i="7" s="1"/>
  <c r="BS94" i="23"/>
  <c r="CE39" i="26" s="1" a="1"/>
  <c r="CE39" i="26" s="1"/>
  <c r="BK39" i="7" s="1"/>
  <c r="BT94" i="23"/>
  <c r="CF39" i="26" s="1" a="1"/>
  <c r="CF39" i="26" s="1"/>
  <c r="BL39" i="7" s="1"/>
  <c r="BU94" i="23"/>
  <c r="CH39" i="26" s="1" a="1"/>
  <c r="CH39" i="26" s="1"/>
  <c r="BN39" i="7" s="1"/>
  <c r="BV94" i="23"/>
  <c r="AO95" i="23"/>
  <c r="BC46" i="26" s="1" a="1"/>
  <c r="BC46" i="26" s="1"/>
  <c r="AI46" i="7" s="1"/>
  <c r="AP95" i="23"/>
  <c r="BE46" i="26" s="1" a="1"/>
  <c r="BE46" i="26" s="1"/>
  <c r="AK46" i="7" s="1"/>
  <c r="AQ95" i="23"/>
  <c r="BF46" i="26" s="1" a="1"/>
  <c r="BF46" i="26" s="1"/>
  <c r="AL46" i="7" s="1"/>
  <c r="AR95" i="23"/>
  <c r="BH46" i="26" s="1" a="1"/>
  <c r="BH46" i="26" s="1"/>
  <c r="AN46" i="7" s="1"/>
  <c r="AS95" i="23"/>
  <c r="BI46" i="26" s="1" a="1"/>
  <c r="BI46" i="26" s="1"/>
  <c r="AO46" i="7" s="1"/>
  <c r="AT95" i="23"/>
  <c r="BG46" i="26" s="1" a="1"/>
  <c r="BG46" i="26" s="1"/>
  <c r="AM46" i="7" s="1"/>
  <c r="AU95" i="23"/>
  <c r="BJ46" i="26" s="1" a="1"/>
  <c r="BJ46" i="26" s="1"/>
  <c r="AP46" i="7" s="1"/>
  <c r="AV95" i="23"/>
  <c r="AW95" i="23"/>
  <c r="BX46" i="26" s="1" a="1"/>
  <c r="BX46" i="26" s="1"/>
  <c r="BD46" i="7" s="1"/>
  <c r="AX95" i="23"/>
  <c r="BY46" i="26" s="1" a="1"/>
  <c r="BY46" i="26" s="1"/>
  <c r="BE46" i="7" s="1"/>
  <c r="AY95" i="23"/>
  <c r="CC46" i="26" s="1" a="1"/>
  <c r="CC46" i="26" s="1"/>
  <c r="BI46" i="7" s="1"/>
  <c r="AZ95" i="23"/>
  <c r="CA46" i="26" s="1" a="1"/>
  <c r="CA46" i="26" s="1"/>
  <c r="BG46" i="7" s="1"/>
  <c r="BA95" i="23"/>
  <c r="BZ46" i="26" s="1" a="1"/>
  <c r="BZ46" i="26" s="1"/>
  <c r="BF46" i="7" s="1"/>
  <c r="BB95" i="23"/>
  <c r="CB46" i="26" s="1" a="1"/>
  <c r="CB46" i="26" s="1"/>
  <c r="BH46" i="7" s="1"/>
  <c r="BC95" i="23"/>
  <c r="BD95" i="23"/>
  <c r="BN46" i="26" s="1" a="1"/>
  <c r="BN46" i="26" s="1"/>
  <c r="AT46" i="7" s="1"/>
  <c r="BE95" i="23"/>
  <c r="BT46" i="26" s="1" a="1"/>
  <c r="BT46" i="26" s="1"/>
  <c r="AZ46" i="7" s="1"/>
  <c r="BF95" i="23"/>
  <c r="BG95" i="23"/>
  <c r="BH95" i="23"/>
  <c r="BI95" i="23"/>
  <c r="BQ46" i="26" s="1" a="1"/>
  <c r="BQ46" i="26" s="1"/>
  <c r="AW46" i="7" s="1"/>
  <c r="BJ95" i="23"/>
  <c r="BK95" i="23"/>
  <c r="BL95" i="23"/>
  <c r="BR46" i="26" s="1" a="1"/>
  <c r="BR46" i="26" s="1"/>
  <c r="AX46" i="7" s="1"/>
  <c r="BM95" i="23"/>
  <c r="BO46" i="26" s="1" a="1"/>
  <c r="BO46" i="26" s="1"/>
  <c r="AU46" i="7" s="1"/>
  <c r="BN95" i="23"/>
  <c r="BK46" i="26" s="1" a="1"/>
  <c r="BK46" i="26" s="1"/>
  <c r="AQ46" i="7" s="1"/>
  <c r="BO95" i="23"/>
  <c r="BL46" i="26" s="1" a="1"/>
  <c r="BL46" i="26" s="1"/>
  <c r="AR46" i="7" s="1"/>
  <c r="BP95" i="23"/>
  <c r="BM46" i="26" s="1" a="1"/>
  <c r="BM46" i="26" s="1"/>
  <c r="AS46" i="7" s="1"/>
  <c r="BQ95" i="23"/>
  <c r="BR95" i="23"/>
  <c r="BW46" i="26" s="1" a="1"/>
  <c r="BW46" i="26" s="1"/>
  <c r="BC46" i="7" s="1"/>
  <c r="BS95" i="23"/>
  <c r="CE46" i="26" s="1" a="1"/>
  <c r="CE46" i="26" s="1"/>
  <c r="BK46" i="7" s="1"/>
  <c r="BT95" i="23"/>
  <c r="CF46" i="26" s="1" a="1"/>
  <c r="CF46" i="26" s="1"/>
  <c r="BL46" i="7" s="1"/>
  <c r="BU95" i="23"/>
  <c r="CH46" i="26" s="1" a="1"/>
  <c r="CH46" i="26" s="1"/>
  <c r="BN46" i="7" s="1"/>
  <c r="BV95" i="23"/>
  <c r="AO96" i="23"/>
  <c r="BC50" i="26" s="1" a="1"/>
  <c r="BC50" i="26" s="1"/>
  <c r="AI50" i="7" s="1"/>
  <c r="AP96" i="23"/>
  <c r="BE50" i="26" s="1" a="1"/>
  <c r="BE50" i="26" s="1"/>
  <c r="AK50" i="7" s="1"/>
  <c r="AQ96" i="23"/>
  <c r="BF50" i="26" s="1" a="1"/>
  <c r="BF50" i="26" s="1"/>
  <c r="AL50" i="7" s="1"/>
  <c r="AR96" i="23"/>
  <c r="BH50" i="26" s="1" a="1"/>
  <c r="BH50" i="26" s="1"/>
  <c r="AN50" i="7" s="1"/>
  <c r="AS96" i="23"/>
  <c r="BI50" i="26" s="1" a="1"/>
  <c r="BI50" i="26" s="1"/>
  <c r="AO50" i="7" s="1"/>
  <c r="AT96" i="23"/>
  <c r="BG50" i="26" s="1" a="1"/>
  <c r="BG50" i="26" s="1"/>
  <c r="AM50" i="7" s="1"/>
  <c r="AU96" i="23"/>
  <c r="BJ50" i="26" s="1" a="1"/>
  <c r="BJ50" i="26" s="1"/>
  <c r="AP50" i="7" s="1"/>
  <c r="AV96" i="23"/>
  <c r="AW96" i="23"/>
  <c r="BX50" i="26" s="1" a="1"/>
  <c r="BX50" i="26" s="1"/>
  <c r="BD50" i="7" s="1"/>
  <c r="AX96" i="23"/>
  <c r="BY50" i="26" s="1" a="1"/>
  <c r="BY50" i="26" s="1"/>
  <c r="BE50" i="7" s="1"/>
  <c r="AY96" i="23"/>
  <c r="CC50" i="26" s="1" a="1"/>
  <c r="CC50" i="26" s="1"/>
  <c r="BI50" i="7" s="1"/>
  <c r="AZ96" i="23"/>
  <c r="CA50" i="26" s="1" a="1"/>
  <c r="CA50" i="26" s="1"/>
  <c r="BG50" i="7" s="1"/>
  <c r="BA96" i="23"/>
  <c r="BZ50" i="26" s="1" a="1"/>
  <c r="BZ50" i="26" s="1"/>
  <c r="BF50" i="7" s="1"/>
  <c r="BB96" i="23"/>
  <c r="CB50" i="26" s="1" a="1"/>
  <c r="CB50" i="26" s="1"/>
  <c r="BH50" i="7" s="1"/>
  <c r="BC96" i="23"/>
  <c r="BD96" i="23"/>
  <c r="BN50" i="26" s="1" a="1"/>
  <c r="BN50" i="26" s="1"/>
  <c r="AT50" i="7" s="1"/>
  <c r="BE96" i="23"/>
  <c r="BT50" i="26" s="1" a="1"/>
  <c r="BT50" i="26" s="1"/>
  <c r="AZ50" i="7" s="1"/>
  <c r="BF96" i="23"/>
  <c r="BG96" i="23"/>
  <c r="BP50" i="26" s="1" a="1"/>
  <c r="BP50" i="26" s="1"/>
  <c r="AV50" i="7" s="1"/>
  <c r="BH96" i="23"/>
  <c r="BI96" i="23"/>
  <c r="BQ50" i="26" s="1" a="1"/>
  <c r="BQ50" i="26" s="1"/>
  <c r="AW50" i="7" s="1"/>
  <c r="BJ96" i="23"/>
  <c r="BK96" i="23"/>
  <c r="BL96" i="23"/>
  <c r="BR50" i="26" s="1" a="1"/>
  <c r="BR50" i="26" s="1"/>
  <c r="AX50" i="7" s="1"/>
  <c r="BM96" i="23"/>
  <c r="BO50" i="26" s="1" a="1"/>
  <c r="BO50" i="26" s="1"/>
  <c r="AU50" i="7" s="1"/>
  <c r="BN96" i="23"/>
  <c r="BK50" i="26" s="1" a="1"/>
  <c r="BK50" i="26" s="1"/>
  <c r="AQ50" i="7" s="1"/>
  <c r="BO96" i="23"/>
  <c r="BL50" i="26" s="1" a="1"/>
  <c r="BL50" i="26" s="1"/>
  <c r="AR50" i="7" s="1"/>
  <c r="BP96" i="23"/>
  <c r="BM50" i="26" s="1" a="1"/>
  <c r="BM50" i="26" s="1"/>
  <c r="AS50" i="7" s="1"/>
  <c r="BQ96" i="23"/>
  <c r="BR96" i="23"/>
  <c r="BW50" i="26" s="1" a="1"/>
  <c r="BW50" i="26" s="1"/>
  <c r="BC50" i="7" s="1"/>
  <c r="BS96" i="23"/>
  <c r="CE50" i="26" s="1" a="1"/>
  <c r="CE50" i="26" s="1"/>
  <c r="BK50" i="7" s="1"/>
  <c r="BT96" i="23"/>
  <c r="CF50" i="26" s="1" a="1"/>
  <c r="CF50" i="26" s="1"/>
  <c r="BL50" i="7" s="1"/>
  <c r="BU96" i="23"/>
  <c r="CH50" i="26" s="1" a="1"/>
  <c r="CH50" i="26" s="1"/>
  <c r="BN50" i="7" s="1"/>
  <c r="BV96" i="23"/>
  <c r="AO97" i="23"/>
  <c r="BC51" i="26" s="1" a="1"/>
  <c r="BC51" i="26" s="1"/>
  <c r="AI51" i="7" s="1"/>
  <c r="AP97" i="23"/>
  <c r="BE51" i="26" s="1" a="1"/>
  <c r="BE51" i="26" s="1"/>
  <c r="AK51" i="7" s="1"/>
  <c r="AQ97" i="23"/>
  <c r="BF51" i="26" s="1" a="1"/>
  <c r="BF51" i="26" s="1"/>
  <c r="AL51" i="7" s="1"/>
  <c r="AR97" i="23"/>
  <c r="BH51" i="26" s="1" a="1"/>
  <c r="BH51" i="26" s="1"/>
  <c r="AN51" i="7" s="1"/>
  <c r="AS97" i="23"/>
  <c r="BI51" i="26" s="1" a="1"/>
  <c r="BI51" i="26" s="1"/>
  <c r="AO51" i="7" s="1"/>
  <c r="AT97" i="23"/>
  <c r="BG51" i="26" s="1" a="1"/>
  <c r="BG51" i="26" s="1"/>
  <c r="AM51" i="7" s="1"/>
  <c r="AU97" i="23"/>
  <c r="BJ51" i="26" s="1" a="1"/>
  <c r="BJ51" i="26" s="1"/>
  <c r="AP51" i="7" s="1"/>
  <c r="AV97" i="23"/>
  <c r="AW97" i="23"/>
  <c r="BX51" i="26" s="1" a="1"/>
  <c r="BX51" i="26" s="1"/>
  <c r="BD51" i="7" s="1"/>
  <c r="AX97" i="23"/>
  <c r="BY51" i="26" s="1" a="1"/>
  <c r="BY51" i="26" s="1"/>
  <c r="BE51" i="7" s="1"/>
  <c r="AY97" i="23"/>
  <c r="CC51" i="26" s="1" a="1"/>
  <c r="CC51" i="26" s="1"/>
  <c r="BI51" i="7" s="1"/>
  <c r="AZ97" i="23"/>
  <c r="CA51" i="26" s="1" a="1"/>
  <c r="CA51" i="26" s="1"/>
  <c r="BG51" i="7" s="1"/>
  <c r="BA97" i="23"/>
  <c r="BZ51" i="26" s="1" a="1"/>
  <c r="BZ51" i="26" s="1"/>
  <c r="BF51" i="7" s="1"/>
  <c r="BB97" i="23"/>
  <c r="CB51" i="26" s="1" a="1"/>
  <c r="CB51" i="26" s="1"/>
  <c r="BH51" i="7" s="1"/>
  <c r="BC97" i="23"/>
  <c r="BD97" i="23"/>
  <c r="BN51" i="26" s="1" a="1"/>
  <c r="BN51" i="26" s="1"/>
  <c r="AT51" i="7" s="1"/>
  <c r="BE97" i="23"/>
  <c r="BT51" i="26" s="1" a="1"/>
  <c r="BT51" i="26" s="1"/>
  <c r="AZ51" i="7" s="1"/>
  <c r="BF97" i="23"/>
  <c r="BG97" i="23"/>
  <c r="BP51" i="26" s="1" a="1"/>
  <c r="BP51" i="26" s="1"/>
  <c r="AV51" i="7" s="1"/>
  <c r="BH97" i="23"/>
  <c r="BI97" i="23"/>
  <c r="BQ51" i="26" s="1" a="1"/>
  <c r="BQ51" i="26" s="1"/>
  <c r="AW51" i="7" s="1"/>
  <c r="BJ97" i="23"/>
  <c r="BK97" i="23"/>
  <c r="BL97" i="23"/>
  <c r="BR51" i="26" s="1" a="1"/>
  <c r="BR51" i="26" s="1"/>
  <c r="AX51" i="7" s="1"/>
  <c r="BM97" i="23"/>
  <c r="BO51" i="26" s="1" a="1"/>
  <c r="BO51" i="26" s="1"/>
  <c r="AU51" i="7" s="1"/>
  <c r="BN97" i="23"/>
  <c r="BK51" i="26" s="1" a="1"/>
  <c r="BK51" i="26" s="1"/>
  <c r="AQ51" i="7" s="1"/>
  <c r="BO97" i="23"/>
  <c r="BL51" i="26" s="1" a="1"/>
  <c r="BL51" i="26" s="1"/>
  <c r="AR51" i="7" s="1"/>
  <c r="BP97" i="23"/>
  <c r="BM51" i="26" s="1" a="1"/>
  <c r="BM51" i="26" s="1"/>
  <c r="AS51" i="7" s="1"/>
  <c r="BQ97" i="23"/>
  <c r="BR97" i="23"/>
  <c r="BW51" i="26" s="1" a="1"/>
  <c r="BW51" i="26" s="1"/>
  <c r="BC51" i="7" s="1"/>
  <c r="BS97" i="23"/>
  <c r="CE51" i="26" s="1" a="1"/>
  <c r="CE51" i="26" s="1"/>
  <c r="BK51" i="7" s="1"/>
  <c r="BT97" i="23"/>
  <c r="CF51" i="26" s="1" a="1"/>
  <c r="CF51" i="26" s="1"/>
  <c r="BL51" i="7" s="1"/>
  <c r="BU97" i="23"/>
  <c r="CH51" i="26" s="1" a="1"/>
  <c r="CH51" i="26" s="1"/>
  <c r="BN51" i="7" s="1"/>
  <c r="BV97" i="23"/>
  <c r="AO98" i="23"/>
  <c r="BC52" i="26" s="1" a="1"/>
  <c r="BC52" i="26" s="1"/>
  <c r="AI52" i="7" s="1"/>
  <c r="AP98" i="23"/>
  <c r="BE52" i="26" s="1" a="1"/>
  <c r="BE52" i="26" s="1"/>
  <c r="AK52" i="7" s="1"/>
  <c r="AQ98" i="23"/>
  <c r="BF52" i="26" s="1" a="1"/>
  <c r="BF52" i="26" s="1"/>
  <c r="AL52" i="7" s="1"/>
  <c r="AR98" i="23"/>
  <c r="BH52" i="26" s="1" a="1"/>
  <c r="BH52" i="26" s="1"/>
  <c r="AN52" i="7" s="1"/>
  <c r="AS98" i="23"/>
  <c r="BI52" i="26" s="1" a="1"/>
  <c r="BI52" i="26" s="1"/>
  <c r="AO52" i="7" s="1"/>
  <c r="AT98" i="23"/>
  <c r="BG52" i="26" s="1" a="1"/>
  <c r="BG52" i="26" s="1"/>
  <c r="AM52" i="7" s="1"/>
  <c r="AU98" i="23"/>
  <c r="BJ52" i="26" s="1" a="1"/>
  <c r="BJ52" i="26" s="1"/>
  <c r="AP52" i="7" s="1"/>
  <c r="AV98" i="23"/>
  <c r="AW98" i="23"/>
  <c r="BX52" i="26" s="1" a="1"/>
  <c r="BX52" i="26" s="1"/>
  <c r="BD52" i="7" s="1"/>
  <c r="AX98" i="23"/>
  <c r="BY52" i="26" s="1" a="1"/>
  <c r="BY52" i="26" s="1"/>
  <c r="BE52" i="7" s="1"/>
  <c r="AY98" i="23"/>
  <c r="CC52" i="26" s="1" a="1"/>
  <c r="CC52" i="26" s="1"/>
  <c r="BI52" i="7" s="1"/>
  <c r="AZ98" i="23"/>
  <c r="CA52" i="26" s="1" a="1"/>
  <c r="CA52" i="26" s="1"/>
  <c r="BG52" i="7" s="1"/>
  <c r="BA98" i="23"/>
  <c r="BZ52" i="26" s="1" a="1"/>
  <c r="BZ52" i="26" s="1"/>
  <c r="BF52" i="7" s="1"/>
  <c r="BB98" i="23"/>
  <c r="CB52" i="26" s="1" a="1"/>
  <c r="CB52" i="26" s="1"/>
  <c r="BH52" i="7" s="1"/>
  <c r="BC98" i="23"/>
  <c r="BD98" i="23"/>
  <c r="BN52" i="26" s="1" a="1"/>
  <c r="BN52" i="26" s="1"/>
  <c r="AT52" i="7" s="1"/>
  <c r="BE98" i="23"/>
  <c r="BT52" i="26" s="1" a="1"/>
  <c r="BT52" i="26" s="1"/>
  <c r="AZ52" i="7" s="1"/>
  <c r="BF98" i="23"/>
  <c r="BG98" i="23"/>
  <c r="BP52" i="26" s="1" a="1"/>
  <c r="BP52" i="26" s="1"/>
  <c r="AV52" i="7" s="1"/>
  <c r="BH98" i="23"/>
  <c r="BI98" i="23"/>
  <c r="BQ52" i="26" s="1" a="1"/>
  <c r="BQ52" i="26" s="1"/>
  <c r="AW52" i="7" s="1"/>
  <c r="BJ98" i="23"/>
  <c r="BK98" i="23"/>
  <c r="BL98" i="23"/>
  <c r="BR52" i="26" s="1" a="1"/>
  <c r="BR52" i="26" s="1"/>
  <c r="AX52" i="7" s="1"/>
  <c r="BM98" i="23"/>
  <c r="BO52" i="26" s="1" a="1"/>
  <c r="BO52" i="26" s="1"/>
  <c r="AU52" i="7" s="1"/>
  <c r="BN98" i="23"/>
  <c r="BK52" i="26" s="1" a="1"/>
  <c r="BK52" i="26" s="1"/>
  <c r="AQ52" i="7" s="1"/>
  <c r="BO98" i="23"/>
  <c r="BL52" i="26" s="1" a="1"/>
  <c r="BL52" i="26" s="1"/>
  <c r="AR52" i="7" s="1"/>
  <c r="BP98" i="23"/>
  <c r="BM52" i="26" s="1" a="1"/>
  <c r="BM52" i="26" s="1"/>
  <c r="AS52" i="7" s="1"/>
  <c r="BQ98" i="23"/>
  <c r="BR98" i="23"/>
  <c r="BW52" i="26" s="1" a="1"/>
  <c r="BW52" i="26" s="1"/>
  <c r="BC52" i="7" s="1"/>
  <c r="BS98" i="23"/>
  <c r="CE52" i="26" s="1" a="1"/>
  <c r="CE52" i="26" s="1"/>
  <c r="BK52" i="7" s="1"/>
  <c r="BT98" i="23"/>
  <c r="CF52" i="26" s="1" a="1"/>
  <c r="CF52" i="26" s="1"/>
  <c r="BL52" i="7" s="1"/>
  <c r="BU98" i="23"/>
  <c r="CH52" i="26" s="1" a="1"/>
  <c r="CH52" i="26" s="1"/>
  <c r="BN52" i="7" s="1"/>
  <c r="BV98" i="23"/>
  <c r="AO99" i="23"/>
  <c r="AP99" i="23"/>
  <c r="AQ99" i="23"/>
  <c r="AR99" i="23"/>
  <c r="AS99" i="23"/>
  <c r="AT99" i="23"/>
  <c r="AU99" i="23"/>
  <c r="AV99" i="23"/>
  <c r="AW99" i="23"/>
  <c r="AX99" i="23"/>
  <c r="AY99" i="23"/>
  <c r="AZ99" i="23"/>
  <c r="BA99" i="23"/>
  <c r="BB99" i="23"/>
  <c r="BC99" i="23"/>
  <c r="BD99" i="23"/>
  <c r="BE99" i="23"/>
  <c r="BF99" i="23"/>
  <c r="BG99" i="23"/>
  <c r="BH99" i="23"/>
  <c r="BI99" i="23"/>
  <c r="BJ99" i="23"/>
  <c r="BK99" i="23"/>
  <c r="BL99" i="23"/>
  <c r="BM99" i="23"/>
  <c r="BN99" i="23"/>
  <c r="BO99" i="23"/>
  <c r="BP99" i="23"/>
  <c r="BQ99" i="23"/>
  <c r="BR99" i="23"/>
  <c r="BS99" i="23"/>
  <c r="BT99" i="23"/>
  <c r="BU99" i="23"/>
  <c r="BV99" i="23"/>
  <c r="AO100" i="23"/>
  <c r="AP100" i="23"/>
  <c r="AQ100" i="23"/>
  <c r="AR100" i="23"/>
  <c r="AS100" i="23"/>
  <c r="AT100" i="23"/>
  <c r="AU100" i="23"/>
  <c r="AV100" i="23"/>
  <c r="AW100" i="23"/>
  <c r="AX100" i="23"/>
  <c r="AY100" i="23"/>
  <c r="AZ100" i="23"/>
  <c r="BA100" i="23"/>
  <c r="BB100" i="23"/>
  <c r="BC100" i="23"/>
  <c r="BD100" i="23"/>
  <c r="BE100" i="23"/>
  <c r="BF100" i="23"/>
  <c r="BG100" i="23"/>
  <c r="BH100" i="23"/>
  <c r="BI100" i="23"/>
  <c r="BJ100" i="23"/>
  <c r="BK100" i="23"/>
  <c r="BL100" i="23"/>
  <c r="BM100" i="23"/>
  <c r="BN100" i="23"/>
  <c r="BO100" i="23"/>
  <c r="BP100" i="23"/>
  <c r="BQ100" i="23"/>
  <c r="BR100" i="23"/>
  <c r="BS100" i="23"/>
  <c r="BT100" i="23"/>
  <c r="BU100" i="23"/>
  <c r="BV100" i="23"/>
  <c r="AO101" i="23"/>
  <c r="BC82" i="26" s="1" a="1"/>
  <c r="BC82" i="26" s="1"/>
  <c r="AI82" i="7" s="1"/>
  <c r="AP101" i="23"/>
  <c r="BE82" i="26" s="1" a="1"/>
  <c r="BE82" i="26" s="1"/>
  <c r="AK82" i="7" s="1"/>
  <c r="AQ101" i="23"/>
  <c r="BF82" i="26" s="1" a="1"/>
  <c r="BF82" i="26" s="1"/>
  <c r="AL82" i="7" s="1"/>
  <c r="AR101" i="23"/>
  <c r="BH82" i="26" s="1" a="1"/>
  <c r="BH82" i="26" s="1"/>
  <c r="AN82" i="7" s="1"/>
  <c r="AS101" i="23"/>
  <c r="BI82" i="26" s="1" a="1"/>
  <c r="BI82" i="26" s="1"/>
  <c r="AO82" i="7" s="1"/>
  <c r="AT101" i="23"/>
  <c r="BG82" i="26" s="1" a="1"/>
  <c r="BG82" i="26" s="1"/>
  <c r="AM82" i="7" s="1"/>
  <c r="AU101" i="23"/>
  <c r="BJ82" i="26" s="1" a="1"/>
  <c r="BJ82" i="26" s="1"/>
  <c r="AP82" i="7" s="1"/>
  <c r="AV101" i="23"/>
  <c r="AW101" i="23"/>
  <c r="BX82" i="26" s="1" a="1"/>
  <c r="BX82" i="26" s="1"/>
  <c r="BD82" i="7" s="1"/>
  <c r="AX101" i="23"/>
  <c r="BY82" i="26" s="1" a="1"/>
  <c r="BY82" i="26" s="1"/>
  <c r="BE82" i="7" s="1"/>
  <c r="AY101" i="23"/>
  <c r="CC82" i="26" s="1" a="1"/>
  <c r="CC82" i="26" s="1"/>
  <c r="BI82" i="7" s="1"/>
  <c r="AZ101" i="23"/>
  <c r="CA82" i="26" s="1" a="1"/>
  <c r="CA82" i="26" s="1"/>
  <c r="BG82" i="7" s="1"/>
  <c r="BA101" i="23"/>
  <c r="BZ82" i="26" s="1" a="1"/>
  <c r="BZ82" i="26" s="1"/>
  <c r="BF82" i="7" s="1"/>
  <c r="BB101" i="23"/>
  <c r="CB82" i="26" s="1" a="1"/>
  <c r="CB82" i="26" s="1"/>
  <c r="BH82" i="7" s="1"/>
  <c r="BC101" i="23"/>
  <c r="BD101" i="23"/>
  <c r="BN82" i="26" s="1" a="1"/>
  <c r="BN82" i="26" s="1"/>
  <c r="AT82" i="7" s="1"/>
  <c r="BE101" i="23"/>
  <c r="BT82" i="26" s="1" a="1"/>
  <c r="BT82" i="26" s="1"/>
  <c r="AZ82" i="7" s="1"/>
  <c r="BF101" i="23"/>
  <c r="BG101" i="23"/>
  <c r="BP82" i="26" s="1" a="1"/>
  <c r="BP82" i="26" s="1"/>
  <c r="AV82" i="7" s="1"/>
  <c r="BH101" i="23"/>
  <c r="BI101" i="23"/>
  <c r="BQ82" i="26" s="1" a="1"/>
  <c r="BQ82" i="26" s="1"/>
  <c r="AW82" i="7" s="1"/>
  <c r="BJ101" i="23"/>
  <c r="BK101" i="23"/>
  <c r="BL101" i="23"/>
  <c r="BR82" i="26" s="1" a="1"/>
  <c r="BR82" i="26" s="1"/>
  <c r="AX82" i="7" s="1"/>
  <c r="BM101" i="23"/>
  <c r="BO82" i="26" s="1" a="1"/>
  <c r="BO82" i="26" s="1"/>
  <c r="AU82" i="7" s="1"/>
  <c r="BN101" i="23"/>
  <c r="BK82" i="26" s="1" a="1"/>
  <c r="BK82" i="26" s="1"/>
  <c r="AQ82" i="7" s="1"/>
  <c r="BO101" i="23"/>
  <c r="BL82" i="26" s="1" a="1"/>
  <c r="BL82" i="26" s="1"/>
  <c r="AR82" i="7" s="1"/>
  <c r="BP101" i="23"/>
  <c r="BM82" i="26" s="1" a="1"/>
  <c r="BM82" i="26" s="1"/>
  <c r="AS82" i="7" s="1"/>
  <c r="BQ101" i="23"/>
  <c r="BR101" i="23"/>
  <c r="BW82" i="26" s="1" a="1"/>
  <c r="BW82" i="26" s="1"/>
  <c r="BC82" i="7" s="1"/>
  <c r="BS101" i="23"/>
  <c r="CE82" i="26" s="1" a="1"/>
  <c r="CE82" i="26" s="1"/>
  <c r="BK82" i="7" s="1"/>
  <c r="BT101" i="23"/>
  <c r="CF82" i="26" s="1" a="1"/>
  <c r="CF82" i="26" s="1"/>
  <c r="BL82" i="7" s="1"/>
  <c r="BU101" i="23"/>
  <c r="CH82" i="26" s="1" a="1"/>
  <c r="CH82" i="26" s="1"/>
  <c r="BN82" i="7" s="1"/>
  <c r="BV101" i="23"/>
  <c r="AO102" i="23"/>
  <c r="AP102" i="23"/>
  <c r="AQ102" i="23"/>
  <c r="AR102" i="23"/>
  <c r="AS102" i="23"/>
  <c r="AT102" i="23"/>
  <c r="AU102" i="23"/>
  <c r="AV102" i="23"/>
  <c r="AW102" i="23"/>
  <c r="AX102" i="23"/>
  <c r="AY102" i="23"/>
  <c r="AZ102" i="23"/>
  <c r="BA102" i="23"/>
  <c r="BB102" i="23"/>
  <c r="BC102" i="23"/>
  <c r="BD102" i="23"/>
  <c r="BE102" i="23"/>
  <c r="BF102" i="23"/>
  <c r="BG102" i="23"/>
  <c r="BH102" i="23"/>
  <c r="BI102" i="23"/>
  <c r="BJ102" i="23"/>
  <c r="BK102" i="23"/>
  <c r="BL102" i="23"/>
  <c r="BM102" i="23"/>
  <c r="BN102" i="23"/>
  <c r="BO102" i="23"/>
  <c r="BP102" i="23"/>
  <c r="BQ102" i="23"/>
  <c r="BR102" i="23"/>
  <c r="BS102" i="23"/>
  <c r="BT102" i="23"/>
  <c r="BU102" i="23"/>
  <c r="BV102" i="23"/>
  <c r="AO103" i="23"/>
  <c r="AP103" i="23"/>
  <c r="AQ103" i="23"/>
  <c r="AR103" i="23"/>
  <c r="AS103" i="23"/>
  <c r="AT103" i="23"/>
  <c r="AU103" i="23"/>
  <c r="AV103" i="23"/>
  <c r="AW103" i="23"/>
  <c r="AX103" i="23"/>
  <c r="AY103" i="23"/>
  <c r="AZ103" i="23"/>
  <c r="BA103" i="23"/>
  <c r="BB103" i="23"/>
  <c r="BC103" i="23"/>
  <c r="BD103" i="23"/>
  <c r="BE103" i="23"/>
  <c r="BF103" i="23"/>
  <c r="BG103" i="23"/>
  <c r="BH103" i="23"/>
  <c r="BI103" i="23"/>
  <c r="BJ103" i="23"/>
  <c r="BK103" i="23"/>
  <c r="BL103" i="23"/>
  <c r="BM103" i="23"/>
  <c r="BN103" i="23"/>
  <c r="BO103" i="23"/>
  <c r="BP103" i="23"/>
  <c r="BQ103" i="23"/>
  <c r="BR103" i="23"/>
  <c r="BS103" i="23"/>
  <c r="BT103" i="23"/>
  <c r="BU103" i="23"/>
  <c r="BV103" i="23"/>
  <c r="AO104" i="23"/>
  <c r="AP104" i="23"/>
  <c r="AQ104" i="23"/>
  <c r="AR104" i="23"/>
  <c r="AS104" i="23"/>
  <c r="AT104" i="23"/>
  <c r="AU104" i="23"/>
  <c r="AV104" i="23"/>
  <c r="AW104" i="23"/>
  <c r="AX104" i="23"/>
  <c r="AY104" i="23"/>
  <c r="AZ104" i="23"/>
  <c r="BA104" i="23"/>
  <c r="BB104" i="23"/>
  <c r="BC104" i="23"/>
  <c r="BD104" i="23"/>
  <c r="BE104" i="23"/>
  <c r="BF104" i="23"/>
  <c r="BG104" i="23"/>
  <c r="BH104" i="23"/>
  <c r="BI104" i="23"/>
  <c r="BJ104" i="23"/>
  <c r="BK104" i="23"/>
  <c r="BL104" i="23"/>
  <c r="BM104" i="23"/>
  <c r="BN104" i="23"/>
  <c r="BO104" i="23"/>
  <c r="BP104" i="23"/>
  <c r="BQ104" i="23"/>
  <c r="BR104" i="23"/>
  <c r="BS104" i="23"/>
  <c r="BT104" i="23"/>
  <c r="BU104" i="23"/>
  <c r="BV104" i="23"/>
  <c r="AO106" i="23"/>
  <c r="BC84" i="26" s="1" a="1"/>
  <c r="BC84" i="26" s="1"/>
  <c r="AI84" i="7" s="1"/>
  <c r="AP106" i="23"/>
  <c r="BE84" i="26" s="1" a="1"/>
  <c r="BE84" i="26" s="1"/>
  <c r="AK84" i="7" s="1"/>
  <c r="AQ106" i="23"/>
  <c r="BF84" i="26" s="1" a="1"/>
  <c r="BF84" i="26" s="1"/>
  <c r="AL84" i="7" s="1"/>
  <c r="AR106" i="23"/>
  <c r="BH84" i="26" s="1" a="1"/>
  <c r="BH84" i="26" s="1"/>
  <c r="AN84" i="7" s="1"/>
  <c r="AS106" i="23"/>
  <c r="BI84" i="26" s="1" a="1"/>
  <c r="BI84" i="26" s="1"/>
  <c r="AO84" i="7" s="1"/>
  <c r="AT106" i="23"/>
  <c r="BG84" i="26" s="1" a="1"/>
  <c r="BG84" i="26" s="1"/>
  <c r="AM84" i="7" s="1"/>
  <c r="AU106" i="23"/>
  <c r="BJ84" i="26" s="1" a="1"/>
  <c r="BJ84" i="26" s="1"/>
  <c r="AP84" i="7" s="1"/>
  <c r="AV106" i="23"/>
  <c r="AW106" i="23"/>
  <c r="BX84" i="26" s="1" a="1"/>
  <c r="BX84" i="26" s="1"/>
  <c r="BD84" i="7" s="1"/>
  <c r="AX106" i="23"/>
  <c r="BY84" i="26" s="1" a="1"/>
  <c r="BY84" i="26" s="1"/>
  <c r="BE84" i="7" s="1"/>
  <c r="AY106" i="23"/>
  <c r="CC84" i="26" s="1" a="1"/>
  <c r="CC84" i="26" s="1"/>
  <c r="BI84" i="7" s="1"/>
  <c r="AZ106" i="23"/>
  <c r="CA84" i="26" s="1" a="1"/>
  <c r="CA84" i="26" s="1"/>
  <c r="BG84" i="7" s="1"/>
  <c r="BA106" i="23"/>
  <c r="BZ84" i="26" s="1" a="1"/>
  <c r="BZ84" i="26" s="1"/>
  <c r="BF84" i="7" s="1"/>
  <c r="BB106" i="23"/>
  <c r="CB84" i="26" s="1" a="1"/>
  <c r="CB84" i="26" s="1"/>
  <c r="BH84" i="7" s="1"/>
  <c r="BC106" i="23"/>
  <c r="BD106" i="23"/>
  <c r="BN84" i="26" s="1" a="1"/>
  <c r="BN84" i="26" s="1"/>
  <c r="AT84" i="7" s="1"/>
  <c r="BE106" i="23"/>
  <c r="BT84" i="26" s="1" a="1"/>
  <c r="BT84" i="26" s="1"/>
  <c r="AZ84" i="7" s="1"/>
  <c r="BF106" i="23"/>
  <c r="BG106" i="23"/>
  <c r="BP84" i="26" s="1" a="1"/>
  <c r="BP84" i="26" s="1"/>
  <c r="AV84" i="7" s="1"/>
  <c r="BH106" i="23"/>
  <c r="BI106" i="23"/>
  <c r="BQ84" i="26" s="1" a="1"/>
  <c r="BQ84" i="26" s="1"/>
  <c r="AW84" i="7" s="1"/>
  <c r="BJ106" i="23"/>
  <c r="BK106" i="23"/>
  <c r="BL106" i="23"/>
  <c r="BR84" i="26" s="1" a="1"/>
  <c r="BR84" i="26" s="1"/>
  <c r="AX84" i="7" s="1"/>
  <c r="BM106" i="23"/>
  <c r="BO84" i="26" s="1" a="1"/>
  <c r="BO84" i="26" s="1"/>
  <c r="AU84" i="7" s="1"/>
  <c r="BN106" i="23"/>
  <c r="BK84" i="26" s="1" a="1"/>
  <c r="BK84" i="26" s="1"/>
  <c r="AQ84" i="7" s="1"/>
  <c r="BO106" i="23"/>
  <c r="BL84" i="26" s="1" a="1"/>
  <c r="BL84" i="26" s="1"/>
  <c r="AR84" i="7" s="1"/>
  <c r="BP106" i="23"/>
  <c r="BM84" i="26" s="1" a="1"/>
  <c r="BM84" i="26" s="1"/>
  <c r="AS84" i="7" s="1"/>
  <c r="BQ106" i="23"/>
  <c r="BR106" i="23"/>
  <c r="BW84" i="26" s="1" a="1"/>
  <c r="BW84" i="26" s="1"/>
  <c r="BC84" i="7" s="1"/>
  <c r="BS106" i="23"/>
  <c r="CE84" i="26" s="1" a="1"/>
  <c r="CE84" i="26" s="1"/>
  <c r="BK84" i="7" s="1"/>
  <c r="BT106" i="23"/>
  <c r="CF84" i="26" s="1" a="1"/>
  <c r="CF84" i="26" s="1"/>
  <c r="BL84" i="7" s="1"/>
  <c r="BU106" i="23"/>
  <c r="CH84" i="26" s="1" a="1"/>
  <c r="CH84" i="26" s="1"/>
  <c r="BN84" i="7" s="1"/>
  <c r="BV106" i="23"/>
  <c r="AO107" i="23"/>
  <c r="AP107" i="23"/>
  <c r="AQ107" i="23"/>
  <c r="AR107" i="23"/>
  <c r="AS107" i="23"/>
  <c r="AT107" i="23"/>
  <c r="AU107" i="23"/>
  <c r="AV107" i="23"/>
  <c r="AW107" i="23"/>
  <c r="AX107" i="23"/>
  <c r="AY107" i="23"/>
  <c r="AZ107" i="23"/>
  <c r="BA107" i="23"/>
  <c r="BB107" i="23"/>
  <c r="BC107" i="23"/>
  <c r="BD107" i="23"/>
  <c r="BE107" i="23"/>
  <c r="BF107" i="23"/>
  <c r="BG107" i="23"/>
  <c r="BH107" i="23"/>
  <c r="BI107" i="23"/>
  <c r="BJ107" i="23"/>
  <c r="BK107" i="23"/>
  <c r="BL107" i="23"/>
  <c r="BM107" i="23"/>
  <c r="BN107" i="23"/>
  <c r="BO107" i="23"/>
  <c r="BP107" i="23"/>
  <c r="BQ107" i="23"/>
  <c r="BR107" i="23"/>
  <c r="BS107" i="23"/>
  <c r="BT107" i="23"/>
  <c r="BU107" i="23"/>
  <c r="BV107" i="23"/>
  <c r="AO108" i="23"/>
  <c r="AP108" i="23"/>
  <c r="AQ108" i="23"/>
  <c r="AR108" i="23"/>
  <c r="AS108" i="23"/>
  <c r="AT108" i="23"/>
  <c r="AU108" i="23"/>
  <c r="AV108" i="23"/>
  <c r="AW108" i="23"/>
  <c r="AX108" i="23"/>
  <c r="AY108" i="23"/>
  <c r="AZ108" i="23"/>
  <c r="BA108" i="23"/>
  <c r="BB108" i="23"/>
  <c r="BC108" i="23"/>
  <c r="BD108" i="23"/>
  <c r="BE108" i="23"/>
  <c r="BF108" i="23"/>
  <c r="BG108" i="23"/>
  <c r="BH108" i="23"/>
  <c r="BI108" i="23"/>
  <c r="BJ108" i="23"/>
  <c r="BK108" i="23"/>
  <c r="BL108" i="23"/>
  <c r="BM108" i="23"/>
  <c r="BN108" i="23"/>
  <c r="BO108" i="23"/>
  <c r="BP108" i="23"/>
  <c r="BQ108" i="23"/>
  <c r="BR108" i="23"/>
  <c r="BS108" i="23"/>
  <c r="BT108" i="23"/>
  <c r="BU108" i="23"/>
  <c r="BV108" i="23"/>
  <c r="AO109" i="23"/>
  <c r="BC54" i="26" s="1" a="1"/>
  <c r="BC54" i="26" s="1"/>
  <c r="AI54" i="7" s="1"/>
  <c r="AP109" i="23"/>
  <c r="BE54" i="26" s="1" a="1"/>
  <c r="BE54" i="26" s="1"/>
  <c r="AK54" i="7" s="1"/>
  <c r="AQ109" i="23"/>
  <c r="BF54" i="26" s="1" a="1"/>
  <c r="BF54" i="26" s="1"/>
  <c r="AL54" i="7" s="1"/>
  <c r="AR109" i="23"/>
  <c r="BH54" i="26" s="1" a="1"/>
  <c r="BH54" i="26" s="1"/>
  <c r="AN54" i="7" s="1"/>
  <c r="AS109" i="23"/>
  <c r="BI54" i="26" s="1" a="1"/>
  <c r="BI54" i="26" s="1"/>
  <c r="AO54" i="7" s="1"/>
  <c r="AT109" i="23"/>
  <c r="BG54" i="26" s="1" a="1"/>
  <c r="BG54" i="26" s="1"/>
  <c r="AM54" i="7" s="1"/>
  <c r="AU109" i="23"/>
  <c r="BJ54" i="26" s="1" a="1"/>
  <c r="BJ54" i="26" s="1"/>
  <c r="AP54" i="7" s="1"/>
  <c r="AV109" i="23"/>
  <c r="AW109" i="23"/>
  <c r="BX54" i="26" s="1" a="1"/>
  <c r="BX54" i="26" s="1"/>
  <c r="BD54" i="7" s="1"/>
  <c r="AX109" i="23"/>
  <c r="BY54" i="26" s="1" a="1"/>
  <c r="BY54" i="26" s="1"/>
  <c r="BE54" i="7" s="1"/>
  <c r="AY109" i="23"/>
  <c r="CC54" i="26" s="1" a="1"/>
  <c r="CC54" i="26" s="1"/>
  <c r="BI54" i="7" s="1"/>
  <c r="AZ109" i="23"/>
  <c r="CA54" i="26" s="1" a="1"/>
  <c r="CA54" i="26" s="1"/>
  <c r="BG54" i="7" s="1"/>
  <c r="BA109" i="23"/>
  <c r="BZ54" i="26" s="1" a="1"/>
  <c r="BZ54" i="26" s="1"/>
  <c r="BF54" i="7" s="1"/>
  <c r="BB109" i="23"/>
  <c r="CB54" i="26" s="1" a="1"/>
  <c r="CB54" i="26" s="1"/>
  <c r="BH54" i="7" s="1"/>
  <c r="BC109" i="23"/>
  <c r="BD109" i="23"/>
  <c r="BN54" i="26" s="1" a="1"/>
  <c r="BN54" i="26" s="1"/>
  <c r="AT54" i="7" s="1"/>
  <c r="BE109" i="23"/>
  <c r="BT54" i="26" s="1" a="1"/>
  <c r="BT54" i="26" s="1"/>
  <c r="AZ54" i="7" s="1"/>
  <c r="BF109" i="23"/>
  <c r="BG109" i="23"/>
  <c r="BP54" i="26" s="1" a="1"/>
  <c r="BP54" i="26" s="1"/>
  <c r="AV54" i="7" s="1"/>
  <c r="BH109" i="23"/>
  <c r="BI109" i="23"/>
  <c r="BQ54" i="26" s="1" a="1"/>
  <c r="BQ54" i="26" s="1"/>
  <c r="AW54" i="7" s="1"/>
  <c r="BJ109" i="23"/>
  <c r="BK109" i="23"/>
  <c r="BL109" i="23"/>
  <c r="BR54" i="26" s="1" a="1"/>
  <c r="BR54" i="26" s="1"/>
  <c r="AX54" i="7" s="1"/>
  <c r="BM109" i="23"/>
  <c r="BO54" i="26" s="1" a="1"/>
  <c r="BO54" i="26" s="1"/>
  <c r="AU54" i="7" s="1"/>
  <c r="BN109" i="23"/>
  <c r="BK54" i="26" s="1" a="1"/>
  <c r="BK54" i="26" s="1"/>
  <c r="AQ54" i="7" s="1"/>
  <c r="BO109" i="23"/>
  <c r="BL54" i="26" s="1" a="1"/>
  <c r="BL54" i="26" s="1"/>
  <c r="AR54" i="7" s="1"/>
  <c r="BP109" i="23"/>
  <c r="BM54" i="26" s="1" a="1"/>
  <c r="BM54" i="26" s="1"/>
  <c r="AS54" i="7" s="1"/>
  <c r="BQ109" i="23"/>
  <c r="BR109" i="23"/>
  <c r="BW54" i="26" s="1" a="1"/>
  <c r="BW54" i="26" s="1"/>
  <c r="BC54" i="7" s="1"/>
  <c r="BS109" i="23"/>
  <c r="CE54" i="26" s="1" a="1"/>
  <c r="CE54" i="26" s="1"/>
  <c r="BK54" i="7" s="1"/>
  <c r="BT109" i="23"/>
  <c r="CF54" i="26" s="1" a="1"/>
  <c r="CF54" i="26" s="1"/>
  <c r="BL54" i="7" s="1"/>
  <c r="BU109" i="23"/>
  <c r="CH54" i="26" s="1" a="1"/>
  <c r="CH54" i="26" s="1"/>
  <c r="BN54" i="7" s="1"/>
  <c r="BV109" i="23"/>
  <c r="AO110" i="23"/>
  <c r="BC55" i="26" s="1" a="1"/>
  <c r="BC55" i="26" s="1"/>
  <c r="AI55" i="7" s="1"/>
  <c r="AP110" i="23"/>
  <c r="BE55" i="26" s="1" a="1"/>
  <c r="BE55" i="26" s="1"/>
  <c r="AK55" i="7" s="1"/>
  <c r="AQ110" i="23"/>
  <c r="BF55" i="26" s="1" a="1"/>
  <c r="BF55" i="26" s="1"/>
  <c r="AL55" i="7" s="1"/>
  <c r="AR110" i="23"/>
  <c r="BH55" i="26" s="1" a="1"/>
  <c r="BH55" i="26" s="1"/>
  <c r="AN55" i="7" s="1"/>
  <c r="AS110" i="23"/>
  <c r="BI55" i="26" s="1" a="1"/>
  <c r="BI55" i="26" s="1"/>
  <c r="AO55" i="7" s="1"/>
  <c r="AT110" i="23"/>
  <c r="BG55" i="26" s="1" a="1"/>
  <c r="BG55" i="26" s="1"/>
  <c r="AM55" i="7" s="1"/>
  <c r="AU110" i="23"/>
  <c r="BJ55" i="26" s="1" a="1"/>
  <c r="BJ55" i="26" s="1"/>
  <c r="AP55" i="7" s="1"/>
  <c r="AV110" i="23"/>
  <c r="AW110" i="23"/>
  <c r="BX55" i="26" s="1" a="1"/>
  <c r="BX55" i="26" s="1"/>
  <c r="BD55" i="7" s="1"/>
  <c r="AX110" i="23"/>
  <c r="BY55" i="26" s="1" a="1"/>
  <c r="BY55" i="26" s="1"/>
  <c r="BE55" i="7" s="1"/>
  <c r="AY110" i="23"/>
  <c r="CC55" i="26" s="1" a="1"/>
  <c r="CC55" i="26" s="1"/>
  <c r="BI55" i="7" s="1"/>
  <c r="AZ110" i="23"/>
  <c r="CA55" i="26" s="1" a="1"/>
  <c r="CA55" i="26" s="1"/>
  <c r="BG55" i="7" s="1"/>
  <c r="BA110" i="23"/>
  <c r="BZ55" i="26" s="1" a="1"/>
  <c r="BZ55" i="26" s="1"/>
  <c r="BF55" i="7" s="1"/>
  <c r="BB110" i="23"/>
  <c r="CB55" i="26" s="1" a="1"/>
  <c r="CB55" i="26" s="1"/>
  <c r="BH55" i="7" s="1"/>
  <c r="BC110" i="23"/>
  <c r="BD110" i="23"/>
  <c r="BN55" i="26" s="1" a="1"/>
  <c r="BN55" i="26" s="1"/>
  <c r="AT55" i="7" s="1"/>
  <c r="BE110" i="23"/>
  <c r="BT55" i="26" s="1" a="1"/>
  <c r="BT55" i="26" s="1"/>
  <c r="AZ55" i="7" s="1"/>
  <c r="BF110" i="23"/>
  <c r="BG110" i="23"/>
  <c r="BP55" i="26" s="1" a="1"/>
  <c r="BP55" i="26" s="1"/>
  <c r="AV55" i="7" s="1"/>
  <c r="BH110" i="23"/>
  <c r="BI110" i="23"/>
  <c r="BQ55" i="26" s="1" a="1"/>
  <c r="BQ55" i="26" s="1"/>
  <c r="AW55" i="7" s="1"/>
  <c r="BJ110" i="23"/>
  <c r="BK110" i="23"/>
  <c r="BL110" i="23"/>
  <c r="BR55" i="26" s="1" a="1"/>
  <c r="BR55" i="26" s="1"/>
  <c r="AX55" i="7" s="1"/>
  <c r="BM110" i="23"/>
  <c r="BO55" i="26" s="1" a="1"/>
  <c r="BO55" i="26" s="1"/>
  <c r="AU55" i="7" s="1"/>
  <c r="BN110" i="23"/>
  <c r="BK55" i="26" s="1" a="1"/>
  <c r="BK55" i="26" s="1"/>
  <c r="AQ55" i="7" s="1"/>
  <c r="BO110" i="23"/>
  <c r="BL55" i="26" s="1" a="1"/>
  <c r="BL55" i="26" s="1"/>
  <c r="AR55" i="7" s="1"/>
  <c r="BP110" i="23"/>
  <c r="BM55" i="26" s="1" a="1"/>
  <c r="BM55" i="26" s="1"/>
  <c r="AS55" i="7" s="1"/>
  <c r="BQ110" i="23"/>
  <c r="BR110" i="23"/>
  <c r="BW55" i="26" s="1" a="1"/>
  <c r="BW55" i="26" s="1"/>
  <c r="BC55" i="7" s="1"/>
  <c r="BS110" i="23"/>
  <c r="CE55" i="26" s="1" a="1"/>
  <c r="CE55" i="26" s="1"/>
  <c r="BK55" i="7" s="1"/>
  <c r="BT110" i="23"/>
  <c r="CF55" i="26" s="1" a="1"/>
  <c r="CF55" i="26" s="1"/>
  <c r="BL55" i="7" s="1"/>
  <c r="BU110" i="23"/>
  <c r="CH55" i="26" s="1" a="1"/>
  <c r="CH55" i="26" s="1"/>
  <c r="BN55" i="7" s="1"/>
  <c r="BV110" i="23"/>
  <c r="AO111" i="23"/>
  <c r="BC56" i="26" s="1" a="1"/>
  <c r="BC56" i="26" s="1"/>
  <c r="AI56" i="7" s="1"/>
  <c r="AP111" i="23"/>
  <c r="BE56" i="26" s="1" a="1"/>
  <c r="BE56" i="26" s="1"/>
  <c r="AK56" i="7" s="1"/>
  <c r="AQ111" i="23"/>
  <c r="BF56" i="26" s="1" a="1"/>
  <c r="BF56" i="26" s="1"/>
  <c r="AL56" i="7" s="1"/>
  <c r="AR111" i="23"/>
  <c r="BH56" i="26" s="1" a="1"/>
  <c r="BH56" i="26" s="1"/>
  <c r="AN56" i="7" s="1"/>
  <c r="AS111" i="23"/>
  <c r="BI56" i="26" s="1" a="1"/>
  <c r="BI56" i="26" s="1"/>
  <c r="AO56" i="7" s="1"/>
  <c r="AT111" i="23"/>
  <c r="BG56" i="26" s="1" a="1"/>
  <c r="BG56" i="26" s="1"/>
  <c r="AM56" i="7" s="1"/>
  <c r="AU111" i="23"/>
  <c r="BJ56" i="26" s="1" a="1"/>
  <c r="BJ56" i="26" s="1"/>
  <c r="AP56" i="7" s="1"/>
  <c r="AV111" i="23"/>
  <c r="AW111" i="23"/>
  <c r="BX56" i="26" s="1" a="1"/>
  <c r="BX56" i="26" s="1"/>
  <c r="BD56" i="7" s="1"/>
  <c r="AX111" i="23"/>
  <c r="BY56" i="26" s="1" a="1"/>
  <c r="BY56" i="26" s="1"/>
  <c r="BE56" i="7" s="1"/>
  <c r="AY111" i="23"/>
  <c r="CC56" i="26" s="1" a="1"/>
  <c r="CC56" i="26" s="1"/>
  <c r="BI56" i="7" s="1"/>
  <c r="AZ111" i="23"/>
  <c r="CA56" i="26" s="1" a="1"/>
  <c r="CA56" i="26" s="1"/>
  <c r="BG56" i="7" s="1"/>
  <c r="BA111" i="23"/>
  <c r="BZ56" i="26" s="1" a="1"/>
  <c r="BZ56" i="26" s="1"/>
  <c r="BF56" i="7" s="1"/>
  <c r="BB111" i="23"/>
  <c r="CB56" i="26" s="1" a="1"/>
  <c r="CB56" i="26" s="1"/>
  <c r="BH56" i="7" s="1"/>
  <c r="BC111" i="23"/>
  <c r="BD111" i="23"/>
  <c r="BN56" i="26" s="1" a="1"/>
  <c r="BN56" i="26" s="1"/>
  <c r="AT56" i="7" s="1"/>
  <c r="BE111" i="23"/>
  <c r="BT56" i="26" s="1" a="1"/>
  <c r="BT56" i="26" s="1"/>
  <c r="AZ56" i="7" s="1"/>
  <c r="BF111" i="23"/>
  <c r="BG111" i="23"/>
  <c r="BP56" i="26" s="1" a="1"/>
  <c r="BP56" i="26" s="1"/>
  <c r="AV56" i="7" s="1"/>
  <c r="BH111" i="23"/>
  <c r="BI111" i="23"/>
  <c r="BQ56" i="26" s="1" a="1"/>
  <c r="BQ56" i="26" s="1"/>
  <c r="AW56" i="7" s="1"/>
  <c r="BJ111" i="23"/>
  <c r="BK111" i="23"/>
  <c r="BL111" i="23"/>
  <c r="BR56" i="26" s="1" a="1"/>
  <c r="BR56" i="26" s="1"/>
  <c r="AX56" i="7" s="1"/>
  <c r="BM111" i="23"/>
  <c r="BO56" i="26" s="1" a="1"/>
  <c r="BO56" i="26" s="1"/>
  <c r="AU56" i="7" s="1"/>
  <c r="BN111" i="23"/>
  <c r="BK56" i="26" s="1" a="1"/>
  <c r="BK56" i="26" s="1"/>
  <c r="AQ56" i="7" s="1"/>
  <c r="BO111" i="23"/>
  <c r="BL56" i="26" s="1" a="1"/>
  <c r="BL56" i="26" s="1"/>
  <c r="AR56" i="7" s="1"/>
  <c r="BP111" i="23"/>
  <c r="BM56" i="26" s="1" a="1"/>
  <c r="BM56" i="26" s="1"/>
  <c r="AS56" i="7" s="1"/>
  <c r="BQ111" i="23"/>
  <c r="BR111" i="23"/>
  <c r="BW56" i="26" s="1" a="1"/>
  <c r="BW56" i="26" s="1"/>
  <c r="BC56" i="7" s="1"/>
  <c r="BS111" i="23"/>
  <c r="CE56" i="26" s="1" a="1"/>
  <c r="CE56" i="26" s="1"/>
  <c r="BK56" i="7" s="1"/>
  <c r="BT111" i="23"/>
  <c r="CF56" i="26" s="1" a="1"/>
  <c r="CF56" i="26" s="1"/>
  <c r="BL56" i="7" s="1"/>
  <c r="BU111" i="23"/>
  <c r="CH56" i="26" s="1" a="1"/>
  <c r="CH56" i="26" s="1"/>
  <c r="BN56" i="7" s="1"/>
  <c r="BV111" i="23"/>
  <c r="AO112" i="23"/>
  <c r="BC57" i="26" s="1" a="1"/>
  <c r="BC57" i="26" s="1"/>
  <c r="AI57" i="7" s="1"/>
  <c r="AP112" i="23"/>
  <c r="BE57" i="26" s="1" a="1"/>
  <c r="BE57" i="26" s="1"/>
  <c r="AK57" i="7" s="1"/>
  <c r="AQ112" i="23"/>
  <c r="BF57" i="26" s="1" a="1"/>
  <c r="BF57" i="26" s="1"/>
  <c r="AL57" i="7" s="1"/>
  <c r="AR112" i="23"/>
  <c r="BH57" i="26" s="1" a="1"/>
  <c r="BH57" i="26" s="1"/>
  <c r="AN57" i="7" s="1"/>
  <c r="AS112" i="23"/>
  <c r="BI57" i="26" s="1" a="1"/>
  <c r="BI57" i="26" s="1"/>
  <c r="AO57" i="7" s="1"/>
  <c r="AT112" i="23"/>
  <c r="BG57" i="26" s="1" a="1"/>
  <c r="BG57" i="26" s="1"/>
  <c r="AM57" i="7" s="1"/>
  <c r="AU112" i="23"/>
  <c r="BJ57" i="26" s="1" a="1"/>
  <c r="BJ57" i="26" s="1"/>
  <c r="AP57" i="7" s="1"/>
  <c r="AV112" i="23"/>
  <c r="AW112" i="23"/>
  <c r="BX57" i="26" s="1" a="1"/>
  <c r="BX57" i="26" s="1"/>
  <c r="BD57" i="7" s="1"/>
  <c r="AX112" i="23"/>
  <c r="BY57" i="26" s="1" a="1"/>
  <c r="BY57" i="26" s="1"/>
  <c r="BE57" i="7" s="1"/>
  <c r="AY112" i="23"/>
  <c r="CC57" i="26" s="1" a="1"/>
  <c r="CC57" i="26" s="1"/>
  <c r="BI57" i="7" s="1"/>
  <c r="AZ112" i="23"/>
  <c r="CA57" i="26" s="1" a="1"/>
  <c r="CA57" i="26" s="1"/>
  <c r="BG57" i="7" s="1"/>
  <c r="BA112" i="23"/>
  <c r="BZ57" i="26" s="1" a="1"/>
  <c r="BZ57" i="26" s="1"/>
  <c r="BF57" i="7" s="1"/>
  <c r="BB112" i="23"/>
  <c r="CB57" i="26" s="1" a="1"/>
  <c r="CB57" i="26" s="1"/>
  <c r="BH57" i="7" s="1"/>
  <c r="BC112" i="23"/>
  <c r="BD112" i="23"/>
  <c r="BN57" i="26" s="1" a="1"/>
  <c r="BN57" i="26" s="1"/>
  <c r="AT57" i="7" s="1"/>
  <c r="BE112" i="23"/>
  <c r="BT57" i="26" s="1" a="1"/>
  <c r="BT57" i="26" s="1"/>
  <c r="AZ57" i="7" s="1"/>
  <c r="BF112" i="23"/>
  <c r="BG112" i="23"/>
  <c r="BP57" i="26" s="1" a="1"/>
  <c r="BP57" i="26" s="1"/>
  <c r="AV57" i="7" s="1"/>
  <c r="BH112" i="23"/>
  <c r="BI112" i="23"/>
  <c r="BQ57" i="26" s="1" a="1"/>
  <c r="BQ57" i="26" s="1"/>
  <c r="AW57" i="7" s="1"/>
  <c r="BJ112" i="23"/>
  <c r="BK112" i="23"/>
  <c r="BL112" i="23"/>
  <c r="BR57" i="26" s="1" a="1"/>
  <c r="BR57" i="26" s="1"/>
  <c r="AX57" i="7" s="1"/>
  <c r="BM112" i="23"/>
  <c r="BO57" i="26" s="1" a="1"/>
  <c r="BO57" i="26" s="1"/>
  <c r="AU57" i="7" s="1"/>
  <c r="BN112" i="23"/>
  <c r="BK57" i="26" s="1" a="1"/>
  <c r="BK57" i="26" s="1"/>
  <c r="AQ57" i="7" s="1"/>
  <c r="BO112" i="23"/>
  <c r="BL57" i="26" s="1" a="1"/>
  <c r="BL57" i="26" s="1"/>
  <c r="AR57" i="7" s="1"/>
  <c r="BP112" i="23"/>
  <c r="BM57" i="26" s="1" a="1"/>
  <c r="BM57" i="26" s="1"/>
  <c r="AS57" i="7" s="1"/>
  <c r="BQ112" i="23"/>
  <c r="BR112" i="23"/>
  <c r="BW57" i="26" s="1" a="1"/>
  <c r="BW57" i="26" s="1"/>
  <c r="BC57" i="7" s="1"/>
  <c r="BS112" i="23"/>
  <c r="CE57" i="26" s="1" a="1"/>
  <c r="CE57" i="26" s="1"/>
  <c r="BK57" i="7" s="1"/>
  <c r="BT112" i="23"/>
  <c r="CF57" i="26" s="1" a="1"/>
  <c r="CF57" i="26" s="1"/>
  <c r="BL57" i="7" s="1"/>
  <c r="BU112" i="23"/>
  <c r="CH57" i="26" s="1" a="1"/>
  <c r="CH57" i="26" s="1"/>
  <c r="BN57" i="7" s="1"/>
  <c r="BV112" i="23"/>
  <c r="AO113" i="23"/>
  <c r="BC58" i="26" s="1" a="1"/>
  <c r="BC58" i="26" s="1"/>
  <c r="AI58" i="7" s="1"/>
  <c r="AP113" i="23"/>
  <c r="BE58" i="26" s="1" a="1"/>
  <c r="BE58" i="26" s="1"/>
  <c r="AK58" i="7" s="1"/>
  <c r="AQ113" i="23"/>
  <c r="BF58" i="26" s="1" a="1"/>
  <c r="BF58" i="26" s="1"/>
  <c r="AL58" i="7" s="1"/>
  <c r="AR113" i="23"/>
  <c r="BH58" i="26" s="1" a="1"/>
  <c r="BH58" i="26" s="1"/>
  <c r="AN58" i="7" s="1"/>
  <c r="AS113" i="23"/>
  <c r="BI58" i="26" s="1" a="1"/>
  <c r="BI58" i="26" s="1"/>
  <c r="AO58" i="7" s="1"/>
  <c r="AT113" i="23"/>
  <c r="BG58" i="26" s="1" a="1"/>
  <c r="BG58" i="26" s="1"/>
  <c r="AM58" i="7" s="1"/>
  <c r="AU113" i="23"/>
  <c r="BJ58" i="26" s="1" a="1"/>
  <c r="BJ58" i="26" s="1"/>
  <c r="AP58" i="7" s="1"/>
  <c r="AV113" i="23"/>
  <c r="AW113" i="23"/>
  <c r="BX58" i="26" s="1" a="1"/>
  <c r="BX58" i="26" s="1"/>
  <c r="BD58" i="7" s="1"/>
  <c r="AX113" i="23"/>
  <c r="BY58" i="26" s="1" a="1"/>
  <c r="BY58" i="26" s="1"/>
  <c r="BE58" i="7" s="1"/>
  <c r="AY113" i="23"/>
  <c r="CC58" i="26" s="1" a="1"/>
  <c r="CC58" i="26" s="1"/>
  <c r="BI58" i="7" s="1"/>
  <c r="AZ113" i="23"/>
  <c r="CA58" i="26" s="1" a="1"/>
  <c r="CA58" i="26" s="1"/>
  <c r="BG58" i="7" s="1"/>
  <c r="BA113" i="23"/>
  <c r="BZ58" i="26" s="1" a="1"/>
  <c r="BZ58" i="26" s="1"/>
  <c r="BF58" i="7" s="1"/>
  <c r="BB113" i="23"/>
  <c r="CB58" i="26" s="1" a="1"/>
  <c r="CB58" i="26" s="1"/>
  <c r="BH58" i="7" s="1"/>
  <c r="BC113" i="23"/>
  <c r="BD113" i="23"/>
  <c r="BN58" i="26" s="1" a="1"/>
  <c r="BN58" i="26" s="1"/>
  <c r="AT58" i="7" s="1"/>
  <c r="BE113" i="23"/>
  <c r="BT58" i="26" s="1" a="1"/>
  <c r="BT58" i="26" s="1"/>
  <c r="AZ58" i="7" s="1"/>
  <c r="BF113" i="23"/>
  <c r="BG113" i="23"/>
  <c r="BP58" i="26" s="1" a="1"/>
  <c r="BP58" i="26" s="1"/>
  <c r="AV58" i="7" s="1"/>
  <c r="BH113" i="23"/>
  <c r="BI113" i="23"/>
  <c r="BQ58" i="26" s="1" a="1"/>
  <c r="BQ58" i="26" s="1"/>
  <c r="AW58" i="7" s="1"/>
  <c r="BJ113" i="23"/>
  <c r="BK113" i="23"/>
  <c r="BL113" i="23"/>
  <c r="BR58" i="26" s="1" a="1"/>
  <c r="BR58" i="26" s="1"/>
  <c r="AX58" i="7" s="1"/>
  <c r="BM113" i="23"/>
  <c r="BO58" i="26" s="1" a="1"/>
  <c r="BO58" i="26" s="1"/>
  <c r="AU58" i="7" s="1"/>
  <c r="BN113" i="23"/>
  <c r="BK58" i="26" s="1" a="1"/>
  <c r="BK58" i="26" s="1"/>
  <c r="AQ58" i="7" s="1"/>
  <c r="BO113" i="23"/>
  <c r="BL58" i="26" s="1" a="1"/>
  <c r="BL58" i="26" s="1"/>
  <c r="AR58" i="7" s="1"/>
  <c r="BP113" i="23"/>
  <c r="BM58" i="26" s="1" a="1"/>
  <c r="BM58" i="26" s="1"/>
  <c r="AS58" i="7" s="1"/>
  <c r="BQ113" i="23"/>
  <c r="BR113" i="23"/>
  <c r="BW58" i="26" s="1" a="1"/>
  <c r="BW58" i="26" s="1"/>
  <c r="BC58" i="7" s="1"/>
  <c r="BS113" i="23"/>
  <c r="CE58" i="26" s="1" a="1"/>
  <c r="CE58" i="26" s="1"/>
  <c r="BK58" i="7" s="1"/>
  <c r="BT113" i="23"/>
  <c r="CF58" i="26" s="1" a="1"/>
  <c r="CF58" i="26" s="1"/>
  <c r="BL58" i="7" s="1"/>
  <c r="BU113" i="23"/>
  <c r="CH58" i="26" s="1" a="1"/>
  <c r="CH58" i="26" s="1"/>
  <c r="BN58" i="7" s="1"/>
  <c r="BV113" i="23"/>
  <c r="AO114" i="23"/>
  <c r="BC59" i="26" s="1" a="1"/>
  <c r="BC59" i="26" s="1"/>
  <c r="AI59" i="7" s="1"/>
  <c r="AP114" i="23"/>
  <c r="BE59" i="26" s="1" a="1"/>
  <c r="BE59" i="26" s="1"/>
  <c r="AK59" i="7" s="1"/>
  <c r="AQ114" i="23"/>
  <c r="BF59" i="26" s="1" a="1"/>
  <c r="BF59" i="26" s="1"/>
  <c r="AL59" i="7" s="1"/>
  <c r="AR114" i="23"/>
  <c r="BH59" i="26" s="1" a="1"/>
  <c r="BH59" i="26" s="1"/>
  <c r="AN59" i="7" s="1"/>
  <c r="AS114" i="23"/>
  <c r="BI59" i="26" s="1" a="1"/>
  <c r="BI59" i="26" s="1"/>
  <c r="AO59" i="7" s="1"/>
  <c r="AT114" i="23"/>
  <c r="BG59" i="26" s="1" a="1"/>
  <c r="BG59" i="26" s="1"/>
  <c r="AM59" i="7" s="1"/>
  <c r="AU114" i="23"/>
  <c r="BJ59" i="26" s="1" a="1"/>
  <c r="BJ59" i="26" s="1"/>
  <c r="AP59" i="7" s="1"/>
  <c r="AV114" i="23"/>
  <c r="AW114" i="23"/>
  <c r="BX59" i="26" s="1" a="1"/>
  <c r="BX59" i="26" s="1"/>
  <c r="BD59" i="7" s="1"/>
  <c r="AX114" i="23"/>
  <c r="BY59" i="26" s="1" a="1"/>
  <c r="BY59" i="26" s="1"/>
  <c r="BE59" i="7" s="1"/>
  <c r="AY114" i="23"/>
  <c r="CC59" i="26" s="1" a="1"/>
  <c r="CC59" i="26" s="1"/>
  <c r="BI59" i="7" s="1"/>
  <c r="AZ114" i="23"/>
  <c r="CA59" i="26" s="1" a="1"/>
  <c r="CA59" i="26" s="1"/>
  <c r="BG59" i="7" s="1"/>
  <c r="BA114" i="23"/>
  <c r="BZ59" i="26" s="1" a="1"/>
  <c r="BZ59" i="26" s="1"/>
  <c r="BF59" i="7" s="1"/>
  <c r="BB114" i="23"/>
  <c r="CB59" i="26" s="1" a="1"/>
  <c r="CB59" i="26" s="1"/>
  <c r="BH59" i="7" s="1"/>
  <c r="BC114" i="23"/>
  <c r="BD114" i="23"/>
  <c r="BN59" i="26" s="1" a="1"/>
  <c r="BN59" i="26" s="1"/>
  <c r="AT59" i="7" s="1"/>
  <c r="BE114" i="23"/>
  <c r="BT59" i="26" s="1" a="1"/>
  <c r="BT59" i="26" s="1"/>
  <c r="AZ59" i="7" s="1"/>
  <c r="BF114" i="23"/>
  <c r="BG114" i="23"/>
  <c r="BP59" i="26" s="1" a="1"/>
  <c r="BP59" i="26" s="1"/>
  <c r="AV59" i="7" s="1"/>
  <c r="BH114" i="23"/>
  <c r="BI114" i="23"/>
  <c r="BQ59" i="26" s="1" a="1"/>
  <c r="BQ59" i="26" s="1"/>
  <c r="AW59" i="7" s="1"/>
  <c r="BJ114" i="23"/>
  <c r="BK114" i="23"/>
  <c r="BL114" i="23"/>
  <c r="BR59" i="26" s="1" a="1"/>
  <c r="BR59" i="26" s="1"/>
  <c r="AX59" i="7" s="1"/>
  <c r="BM114" i="23"/>
  <c r="BO59" i="26" s="1" a="1"/>
  <c r="BO59" i="26" s="1"/>
  <c r="AU59" i="7" s="1"/>
  <c r="BN114" i="23"/>
  <c r="BK59" i="26" s="1" a="1"/>
  <c r="BK59" i="26" s="1"/>
  <c r="AQ59" i="7" s="1"/>
  <c r="BO114" i="23"/>
  <c r="BL59" i="26" s="1" a="1"/>
  <c r="BL59" i="26" s="1"/>
  <c r="AR59" i="7" s="1"/>
  <c r="BP114" i="23"/>
  <c r="BM59" i="26" s="1" a="1"/>
  <c r="BM59" i="26" s="1"/>
  <c r="AS59" i="7" s="1"/>
  <c r="BQ114" i="23"/>
  <c r="BR114" i="23"/>
  <c r="BW59" i="26" s="1" a="1"/>
  <c r="BW59" i="26" s="1"/>
  <c r="BC59" i="7" s="1"/>
  <c r="BS114" i="23"/>
  <c r="CE59" i="26" s="1" a="1"/>
  <c r="CE59" i="26" s="1"/>
  <c r="BK59" i="7" s="1"/>
  <c r="BT114" i="23"/>
  <c r="CF59" i="26" s="1" a="1"/>
  <c r="CF59" i="26" s="1"/>
  <c r="BL59" i="7" s="1"/>
  <c r="BU114" i="23"/>
  <c r="CH59" i="26" s="1" a="1"/>
  <c r="CH59" i="26" s="1"/>
  <c r="BN59" i="7" s="1"/>
  <c r="BV114" i="23"/>
  <c r="AO115" i="23"/>
  <c r="BC60" i="26" s="1" a="1"/>
  <c r="BC60" i="26" s="1"/>
  <c r="AI60" i="7" s="1"/>
  <c r="AP115" i="23"/>
  <c r="BE60" i="26" s="1" a="1"/>
  <c r="BE60" i="26" s="1"/>
  <c r="AK60" i="7" s="1"/>
  <c r="AQ115" i="23"/>
  <c r="BF60" i="26" s="1" a="1"/>
  <c r="BF60" i="26" s="1"/>
  <c r="AL60" i="7" s="1"/>
  <c r="AR115" i="23"/>
  <c r="BH60" i="26" s="1" a="1"/>
  <c r="BH60" i="26" s="1"/>
  <c r="AN60" i="7" s="1"/>
  <c r="AS115" i="23"/>
  <c r="BI60" i="26" s="1" a="1"/>
  <c r="BI60" i="26" s="1"/>
  <c r="AO60" i="7" s="1"/>
  <c r="AT115" i="23"/>
  <c r="BG60" i="26" s="1" a="1"/>
  <c r="BG60" i="26" s="1"/>
  <c r="AM60" i="7" s="1"/>
  <c r="AU115" i="23"/>
  <c r="BJ60" i="26" s="1" a="1"/>
  <c r="BJ60" i="26" s="1"/>
  <c r="AP60" i="7" s="1"/>
  <c r="AV115" i="23"/>
  <c r="AW115" i="23"/>
  <c r="BX60" i="26" s="1" a="1"/>
  <c r="BX60" i="26" s="1"/>
  <c r="BD60" i="7" s="1"/>
  <c r="AX115" i="23"/>
  <c r="BY60" i="26" s="1" a="1"/>
  <c r="BY60" i="26" s="1"/>
  <c r="BE60" i="7" s="1"/>
  <c r="AY115" i="23"/>
  <c r="CC60" i="26" s="1" a="1"/>
  <c r="CC60" i="26" s="1"/>
  <c r="BI60" i="7" s="1"/>
  <c r="AZ115" i="23"/>
  <c r="CA60" i="26" s="1" a="1"/>
  <c r="CA60" i="26" s="1"/>
  <c r="BG60" i="7" s="1"/>
  <c r="BA115" i="23"/>
  <c r="BZ60" i="26" s="1" a="1"/>
  <c r="BZ60" i="26" s="1"/>
  <c r="BF60" i="7" s="1"/>
  <c r="BB115" i="23"/>
  <c r="CB60" i="26" s="1" a="1"/>
  <c r="CB60" i="26" s="1"/>
  <c r="BH60" i="7" s="1"/>
  <c r="BC115" i="23"/>
  <c r="BD115" i="23"/>
  <c r="BN60" i="26" s="1" a="1"/>
  <c r="BN60" i="26" s="1"/>
  <c r="AT60" i="7" s="1"/>
  <c r="BE115" i="23"/>
  <c r="BT60" i="26" s="1" a="1"/>
  <c r="BT60" i="26" s="1"/>
  <c r="AZ60" i="7" s="1"/>
  <c r="BF115" i="23"/>
  <c r="BG115" i="23"/>
  <c r="BP60" i="26" s="1" a="1"/>
  <c r="BP60" i="26" s="1"/>
  <c r="AV60" i="7" s="1"/>
  <c r="BH115" i="23"/>
  <c r="BI115" i="23"/>
  <c r="BQ60" i="26" s="1" a="1"/>
  <c r="BQ60" i="26" s="1"/>
  <c r="AW60" i="7" s="1"/>
  <c r="BJ115" i="23"/>
  <c r="BK115" i="23"/>
  <c r="BL115" i="23"/>
  <c r="BR60" i="26" s="1" a="1"/>
  <c r="BR60" i="26" s="1"/>
  <c r="AX60" i="7" s="1"/>
  <c r="BM115" i="23"/>
  <c r="BO60" i="26" s="1" a="1"/>
  <c r="BO60" i="26" s="1"/>
  <c r="AU60" i="7" s="1"/>
  <c r="BN115" i="23"/>
  <c r="BK60" i="26" s="1" a="1"/>
  <c r="BK60" i="26" s="1"/>
  <c r="AQ60" i="7" s="1"/>
  <c r="BO115" i="23"/>
  <c r="BL60" i="26" s="1" a="1"/>
  <c r="BL60" i="26" s="1"/>
  <c r="AR60" i="7" s="1"/>
  <c r="BP115" i="23"/>
  <c r="BM60" i="26" s="1" a="1"/>
  <c r="BM60" i="26" s="1"/>
  <c r="AS60" i="7" s="1"/>
  <c r="BQ115" i="23"/>
  <c r="BR115" i="23"/>
  <c r="BW60" i="26" s="1" a="1"/>
  <c r="BW60" i="26" s="1"/>
  <c r="BC60" i="7" s="1"/>
  <c r="BS115" i="23"/>
  <c r="CE60" i="26" s="1" a="1"/>
  <c r="CE60" i="26" s="1"/>
  <c r="BK60" i="7" s="1"/>
  <c r="BT115" i="23"/>
  <c r="CF60" i="26" s="1" a="1"/>
  <c r="CF60" i="26" s="1"/>
  <c r="BL60" i="7" s="1"/>
  <c r="BU115" i="23"/>
  <c r="CH60" i="26" s="1" a="1"/>
  <c r="CH60" i="26" s="1"/>
  <c r="BN60" i="7" s="1"/>
  <c r="BV115" i="23"/>
  <c r="AO116" i="23"/>
  <c r="BC61" i="26" s="1" a="1"/>
  <c r="BC61" i="26" s="1"/>
  <c r="AI61" i="7" s="1"/>
  <c r="AP116" i="23"/>
  <c r="BE61" i="26" s="1" a="1"/>
  <c r="BE61" i="26" s="1"/>
  <c r="AK61" i="7" s="1"/>
  <c r="AQ116" i="23"/>
  <c r="BF61" i="26" s="1" a="1"/>
  <c r="BF61" i="26" s="1"/>
  <c r="AL61" i="7" s="1"/>
  <c r="AR116" i="23"/>
  <c r="BH61" i="26" s="1" a="1"/>
  <c r="BH61" i="26" s="1"/>
  <c r="AN61" i="7" s="1"/>
  <c r="AS116" i="23"/>
  <c r="BI61" i="26" s="1" a="1"/>
  <c r="BI61" i="26" s="1"/>
  <c r="AO61" i="7" s="1"/>
  <c r="AT116" i="23"/>
  <c r="BG61" i="26" s="1" a="1"/>
  <c r="BG61" i="26" s="1"/>
  <c r="AM61" i="7" s="1"/>
  <c r="AU116" i="23"/>
  <c r="BJ61" i="26" s="1" a="1"/>
  <c r="BJ61" i="26" s="1"/>
  <c r="AP61" i="7" s="1"/>
  <c r="AV116" i="23"/>
  <c r="AW116" i="23"/>
  <c r="BX61" i="26" s="1" a="1"/>
  <c r="BX61" i="26" s="1"/>
  <c r="BD61" i="7" s="1"/>
  <c r="AX116" i="23"/>
  <c r="BY61" i="26" s="1" a="1"/>
  <c r="BY61" i="26" s="1"/>
  <c r="BE61" i="7" s="1"/>
  <c r="AY116" i="23"/>
  <c r="CC61" i="26" s="1" a="1"/>
  <c r="CC61" i="26" s="1"/>
  <c r="BI61" i="7" s="1"/>
  <c r="AZ116" i="23"/>
  <c r="CA61" i="26" s="1" a="1"/>
  <c r="CA61" i="26" s="1"/>
  <c r="BG61" i="7" s="1"/>
  <c r="BA116" i="23"/>
  <c r="BZ61" i="26" s="1" a="1"/>
  <c r="BZ61" i="26" s="1"/>
  <c r="BF61" i="7" s="1"/>
  <c r="BB116" i="23"/>
  <c r="CB61" i="26" s="1" a="1"/>
  <c r="CB61" i="26" s="1"/>
  <c r="BH61" i="7" s="1"/>
  <c r="BC116" i="23"/>
  <c r="BD116" i="23"/>
  <c r="BN61" i="26" s="1" a="1"/>
  <c r="BN61" i="26" s="1"/>
  <c r="AT61" i="7" s="1"/>
  <c r="BE116" i="23"/>
  <c r="BT61" i="26" s="1" a="1"/>
  <c r="BT61" i="26" s="1"/>
  <c r="AZ61" i="7" s="1"/>
  <c r="BF116" i="23"/>
  <c r="BG116" i="23"/>
  <c r="BP61" i="26" s="1" a="1"/>
  <c r="BP61" i="26" s="1"/>
  <c r="AV61" i="7" s="1"/>
  <c r="BH116" i="23"/>
  <c r="BI116" i="23"/>
  <c r="BQ61" i="26" s="1" a="1"/>
  <c r="BQ61" i="26" s="1"/>
  <c r="AW61" i="7" s="1"/>
  <c r="BJ116" i="23"/>
  <c r="BK116" i="23"/>
  <c r="BL116" i="23"/>
  <c r="BR61" i="26" s="1" a="1"/>
  <c r="BR61" i="26" s="1"/>
  <c r="AX61" i="7" s="1"/>
  <c r="BM116" i="23"/>
  <c r="BO61" i="26" s="1" a="1"/>
  <c r="BO61" i="26" s="1"/>
  <c r="AU61" i="7" s="1"/>
  <c r="BN116" i="23"/>
  <c r="BK61" i="26" s="1" a="1"/>
  <c r="BK61" i="26" s="1"/>
  <c r="AQ61" i="7" s="1"/>
  <c r="BO116" i="23"/>
  <c r="BL61" i="26" s="1" a="1"/>
  <c r="BL61" i="26" s="1"/>
  <c r="AR61" i="7" s="1"/>
  <c r="BP116" i="23"/>
  <c r="BM61" i="26" s="1" a="1"/>
  <c r="BM61" i="26" s="1"/>
  <c r="AS61" i="7" s="1"/>
  <c r="BQ116" i="23"/>
  <c r="BR116" i="23"/>
  <c r="BW61" i="26" s="1" a="1"/>
  <c r="BW61" i="26" s="1"/>
  <c r="BC61" i="7" s="1"/>
  <c r="BS116" i="23"/>
  <c r="CE61" i="26" s="1" a="1"/>
  <c r="CE61" i="26" s="1"/>
  <c r="BK61" i="7" s="1"/>
  <c r="BT116" i="23"/>
  <c r="CF61" i="26" s="1" a="1"/>
  <c r="CF61" i="26" s="1"/>
  <c r="BL61" i="7" s="1"/>
  <c r="BU116" i="23"/>
  <c r="CH61" i="26" s="1" a="1"/>
  <c r="CH61" i="26" s="1"/>
  <c r="BN61" i="7" s="1"/>
  <c r="BV116" i="23"/>
  <c r="AO117" i="23"/>
  <c r="BC62" i="26" s="1" a="1"/>
  <c r="BC62" i="26" s="1"/>
  <c r="AI62" i="7" s="1"/>
  <c r="AP117" i="23"/>
  <c r="BE62" i="26" s="1" a="1"/>
  <c r="BE62" i="26" s="1"/>
  <c r="AK62" i="7" s="1"/>
  <c r="AQ117" i="23"/>
  <c r="BF62" i="26" s="1" a="1"/>
  <c r="BF62" i="26" s="1"/>
  <c r="AL62" i="7" s="1"/>
  <c r="AR117" i="23"/>
  <c r="BH62" i="26" s="1" a="1"/>
  <c r="BH62" i="26" s="1"/>
  <c r="AN62" i="7" s="1"/>
  <c r="AS117" i="23"/>
  <c r="BI62" i="26" s="1" a="1"/>
  <c r="BI62" i="26" s="1"/>
  <c r="AO62" i="7" s="1"/>
  <c r="AT117" i="23"/>
  <c r="BG62" i="26" s="1" a="1"/>
  <c r="BG62" i="26" s="1"/>
  <c r="AM62" i="7" s="1"/>
  <c r="AU117" i="23"/>
  <c r="BJ62" i="26" s="1" a="1"/>
  <c r="BJ62" i="26" s="1"/>
  <c r="AP62" i="7" s="1"/>
  <c r="AV117" i="23"/>
  <c r="AW117" i="23"/>
  <c r="BX62" i="26" s="1" a="1"/>
  <c r="BX62" i="26" s="1"/>
  <c r="BD62" i="7" s="1"/>
  <c r="AX117" i="23"/>
  <c r="BY62" i="26" s="1" a="1"/>
  <c r="BY62" i="26" s="1"/>
  <c r="BE62" i="7" s="1"/>
  <c r="AY117" i="23"/>
  <c r="CC62" i="26" s="1" a="1"/>
  <c r="CC62" i="26" s="1"/>
  <c r="BI62" i="7" s="1"/>
  <c r="AZ117" i="23"/>
  <c r="CA62" i="26" s="1" a="1"/>
  <c r="CA62" i="26" s="1"/>
  <c r="BG62" i="7" s="1"/>
  <c r="BA117" i="23"/>
  <c r="BZ62" i="26" s="1" a="1"/>
  <c r="BZ62" i="26" s="1"/>
  <c r="BF62" i="7" s="1"/>
  <c r="BB117" i="23"/>
  <c r="CB62" i="26" s="1" a="1"/>
  <c r="CB62" i="26" s="1"/>
  <c r="BH62" i="7" s="1"/>
  <c r="BC117" i="23"/>
  <c r="BD117" i="23"/>
  <c r="BN62" i="26" s="1" a="1"/>
  <c r="BN62" i="26" s="1"/>
  <c r="AT62" i="7" s="1"/>
  <c r="BE117" i="23"/>
  <c r="BT62" i="26" s="1" a="1"/>
  <c r="BT62" i="26" s="1"/>
  <c r="AZ62" i="7" s="1"/>
  <c r="BF117" i="23"/>
  <c r="BG117" i="23"/>
  <c r="BP62" i="26" s="1" a="1"/>
  <c r="BP62" i="26" s="1"/>
  <c r="AV62" i="7" s="1"/>
  <c r="BH117" i="23"/>
  <c r="BI117" i="23"/>
  <c r="BQ62" i="26" s="1" a="1"/>
  <c r="BQ62" i="26" s="1"/>
  <c r="AW62" i="7" s="1"/>
  <c r="BJ117" i="23"/>
  <c r="BK117" i="23"/>
  <c r="BL117" i="23"/>
  <c r="BR62" i="26" s="1" a="1"/>
  <c r="BR62" i="26" s="1"/>
  <c r="AX62" i="7" s="1"/>
  <c r="BM117" i="23"/>
  <c r="BO62" i="26" s="1" a="1"/>
  <c r="BO62" i="26" s="1"/>
  <c r="AU62" i="7" s="1"/>
  <c r="BN117" i="23"/>
  <c r="BK62" i="26" s="1" a="1"/>
  <c r="BK62" i="26" s="1"/>
  <c r="AQ62" i="7" s="1"/>
  <c r="BO117" i="23"/>
  <c r="BL62" i="26" s="1" a="1"/>
  <c r="BL62" i="26" s="1"/>
  <c r="AR62" i="7" s="1"/>
  <c r="BP117" i="23"/>
  <c r="BM62" i="26" s="1" a="1"/>
  <c r="BM62" i="26" s="1"/>
  <c r="AS62" i="7" s="1"/>
  <c r="BQ117" i="23"/>
  <c r="BR117" i="23"/>
  <c r="BW62" i="26" s="1" a="1"/>
  <c r="BW62" i="26" s="1"/>
  <c r="BC62" i="7" s="1"/>
  <c r="BS117" i="23"/>
  <c r="CE62" i="26" s="1" a="1"/>
  <c r="CE62" i="26" s="1"/>
  <c r="BK62" i="7" s="1"/>
  <c r="BT117" i="23"/>
  <c r="CF62" i="26" s="1" a="1"/>
  <c r="CF62" i="26" s="1"/>
  <c r="BL62" i="7" s="1"/>
  <c r="BU117" i="23"/>
  <c r="CH62" i="26" s="1" a="1"/>
  <c r="CH62" i="26" s="1"/>
  <c r="BN62" i="7" s="1"/>
  <c r="BV117" i="23"/>
  <c r="AO118" i="23"/>
  <c r="BC63" i="26" s="1" a="1"/>
  <c r="BC63" i="26" s="1"/>
  <c r="AI63" i="7" s="1"/>
  <c r="AP118" i="23"/>
  <c r="BE63" i="26" s="1" a="1"/>
  <c r="BE63" i="26" s="1"/>
  <c r="AK63" i="7" s="1"/>
  <c r="AQ118" i="23"/>
  <c r="BF63" i="26" s="1" a="1"/>
  <c r="BF63" i="26" s="1"/>
  <c r="AL63" i="7" s="1"/>
  <c r="AR118" i="23"/>
  <c r="BH63" i="26" s="1" a="1"/>
  <c r="BH63" i="26" s="1"/>
  <c r="AN63" i="7" s="1"/>
  <c r="AS118" i="23"/>
  <c r="BI63" i="26" s="1" a="1"/>
  <c r="BI63" i="26" s="1"/>
  <c r="AO63" i="7" s="1"/>
  <c r="AT118" i="23"/>
  <c r="BG63" i="26" s="1" a="1"/>
  <c r="BG63" i="26" s="1"/>
  <c r="AM63" i="7" s="1"/>
  <c r="AU118" i="23"/>
  <c r="BJ63" i="26" s="1" a="1"/>
  <c r="BJ63" i="26" s="1"/>
  <c r="AP63" i="7" s="1"/>
  <c r="AV118" i="23"/>
  <c r="AW118" i="23"/>
  <c r="BX63" i="26" s="1" a="1"/>
  <c r="BX63" i="26" s="1"/>
  <c r="BD63" i="7" s="1"/>
  <c r="AX118" i="23"/>
  <c r="BY63" i="26" s="1" a="1"/>
  <c r="BY63" i="26" s="1"/>
  <c r="BE63" i="7" s="1"/>
  <c r="AY118" i="23"/>
  <c r="CC63" i="26" s="1" a="1"/>
  <c r="CC63" i="26" s="1"/>
  <c r="BI63" i="7" s="1"/>
  <c r="AZ118" i="23"/>
  <c r="CA63" i="26" s="1" a="1"/>
  <c r="CA63" i="26" s="1"/>
  <c r="BG63" i="7" s="1"/>
  <c r="BA118" i="23"/>
  <c r="BZ63" i="26" s="1" a="1"/>
  <c r="BZ63" i="26" s="1"/>
  <c r="BF63" i="7" s="1"/>
  <c r="BB118" i="23"/>
  <c r="CB63" i="26" s="1" a="1"/>
  <c r="CB63" i="26" s="1"/>
  <c r="BH63" i="7" s="1"/>
  <c r="BC118" i="23"/>
  <c r="BD118" i="23"/>
  <c r="BN63" i="26" s="1" a="1"/>
  <c r="BN63" i="26" s="1"/>
  <c r="AT63" i="7" s="1"/>
  <c r="BE118" i="23"/>
  <c r="BT63" i="26" s="1" a="1"/>
  <c r="BT63" i="26" s="1"/>
  <c r="AZ63" i="7" s="1"/>
  <c r="BF118" i="23"/>
  <c r="BG118" i="23"/>
  <c r="BP63" i="26" s="1" a="1"/>
  <c r="BP63" i="26" s="1"/>
  <c r="AV63" i="7" s="1"/>
  <c r="BH118" i="23"/>
  <c r="BI118" i="23"/>
  <c r="BQ63" i="26" s="1" a="1"/>
  <c r="BQ63" i="26" s="1"/>
  <c r="AW63" i="7" s="1"/>
  <c r="BJ118" i="23"/>
  <c r="BK118" i="23"/>
  <c r="BL118" i="23"/>
  <c r="BR63" i="26" s="1" a="1"/>
  <c r="BR63" i="26" s="1"/>
  <c r="AX63" i="7" s="1"/>
  <c r="BM118" i="23"/>
  <c r="BO63" i="26" s="1" a="1"/>
  <c r="BO63" i="26" s="1"/>
  <c r="AU63" i="7" s="1"/>
  <c r="BN118" i="23"/>
  <c r="BK63" i="26" s="1" a="1"/>
  <c r="BK63" i="26" s="1"/>
  <c r="AQ63" i="7" s="1"/>
  <c r="BO118" i="23"/>
  <c r="BL63" i="26" s="1" a="1"/>
  <c r="BL63" i="26" s="1"/>
  <c r="AR63" i="7" s="1"/>
  <c r="BP118" i="23"/>
  <c r="BM63" i="26" s="1" a="1"/>
  <c r="BM63" i="26" s="1"/>
  <c r="AS63" i="7" s="1"/>
  <c r="BQ118" i="23"/>
  <c r="BR118" i="23"/>
  <c r="BW63" i="26" s="1" a="1"/>
  <c r="BW63" i="26" s="1"/>
  <c r="BC63" i="7" s="1"/>
  <c r="BS118" i="23"/>
  <c r="CE63" i="26" s="1" a="1"/>
  <c r="CE63" i="26" s="1"/>
  <c r="BK63" i="7" s="1"/>
  <c r="BT118" i="23"/>
  <c r="CF63" i="26" s="1" a="1"/>
  <c r="CF63" i="26" s="1"/>
  <c r="BL63" i="7" s="1"/>
  <c r="BU118" i="23"/>
  <c r="CH63" i="26" s="1" a="1"/>
  <c r="CH63" i="26" s="1"/>
  <c r="BN63" i="7" s="1"/>
  <c r="BV118" i="23"/>
  <c r="AO119" i="23"/>
  <c r="BC64" i="26" s="1" a="1"/>
  <c r="BC64" i="26" s="1"/>
  <c r="AI64" i="7" s="1"/>
  <c r="AP119" i="23"/>
  <c r="BE64" i="26" s="1" a="1"/>
  <c r="BE64" i="26" s="1"/>
  <c r="AK64" i="7" s="1"/>
  <c r="AQ119" i="23"/>
  <c r="BF64" i="26" s="1" a="1"/>
  <c r="BF64" i="26" s="1"/>
  <c r="AL64" i="7" s="1"/>
  <c r="AR119" i="23"/>
  <c r="BH64" i="26" s="1" a="1"/>
  <c r="BH64" i="26" s="1"/>
  <c r="AN64" i="7" s="1"/>
  <c r="AS119" i="23"/>
  <c r="BI64" i="26" s="1" a="1"/>
  <c r="BI64" i="26" s="1"/>
  <c r="AO64" i="7" s="1"/>
  <c r="AT119" i="23"/>
  <c r="BG64" i="26" s="1" a="1"/>
  <c r="BG64" i="26" s="1"/>
  <c r="AM64" i="7" s="1"/>
  <c r="AU119" i="23"/>
  <c r="BJ64" i="26" s="1" a="1"/>
  <c r="BJ64" i="26" s="1"/>
  <c r="AP64" i="7" s="1"/>
  <c r="AV119" i="23"/>
  <c r="AW119" i="23"/>
  <c r="BX64" i="26" s="1" a="1"/>
  <c r="BX64" i="26" s="1"/>
  <c r="BD64" i="7" s="1"/>
  <c r="AX119" i="23"/>
  <c r="BY64" i="26" s="1" a="1"/>
  <c r="BY64" i="26" s="1"/>
  <c r="BE64" i="7" s="1"/>
  <c r="AY119" i="23"/>
  <c r="CC64" i="26" s="1" a="1"/>
  <c r="CC64" i="26" s="1"/>
  <c r="BI64" i="7" s="1"/>
  <c r="AZ119" i="23"/>
  <c r="CA64" i="26" s="1" a="1"/>
  <c r="CA64" i="26" s="1"/>
  <c r="BG64" i="7" s="1"/>
  <c r="BA119" i="23"/>
  <c r="BZ64" i="26" s="1" a="1"/>
  <c r="BZ64" i="26" s="1"/>
  <c r="BF64" i="7" s="1"/>
  <c r="BB119" i="23"/>
  <c r="CB64" i="26" s="1" a="1"/>
  <c r="CB64" i="26" s="1"/>
  <c r="BH64" i="7" s="1"/>
  <c r="BC119" i="23"/>
  <c r="BD119" i="23"/>
  <c r="BN64" i="26" s="1" a="1"/>
  <c r="BN64" i="26" s="1"/>
  <c r="AT64" i="7" s="1"/>
  <c r="BE119" i="23"/>
  <c r="BT64" i="26" s="1" a="1"/>
  <c r="BT64" i="26" s="1"/>
  <c r="AZ64" i="7" s="1"/>
  <c r="BF119" i="23"/>
  <c r="BG119" i="23"/>
  <c r="BP64" i="26" s="1" a="1"/>
  <c r="BP64" i="26" s="1"/>
  <c r="AV64" i="7" s="1"/>
  <c r="BH119" i="23"/>
  <c r="BI119" i="23"/>
  <c r="BJ119" i="23"/>
  <c r="BK119" i="23"/>
  <c r="BL119" i="23"/>
  <c r="BR64" i="26" s="1" a="1"/>
  <c r="BR64" i="26" s="1"/>
  <c r="AX64" i="7" s="1"/>
  <c r="BM119" i="23"/>
  <c r="BO64" i="26" s="1" a="1"/>
  <c r="BO64" i="26" s="1"/>
  <c r="AU64" i="7" s="1"/>
  <c r="BN119" i="23"/>
  <c r="BK64" i="26" s="1" a="1"/>
  <c r="BK64" i="26" s="1"/>
  <c r="AQ64" i="7" s="1"/>
  <c r="BO119" i="23"/>
  <c r="BL64" i="26" s="1" a="1"/>
  <c r="BL64" i="26" s="1"/>
  <c r="AR64" i="7" s="1"/>
  <c r="BP119" i="23"/>
  <c r="BM64" i="26" s="1" a="1"/>
  <c r="BM64" i="26" s="1"/>
  <c r="AS64" i="7" s="1"/>
  <c r="BQ119" i="23"/>
  <c r="BR119" i="23"/>
  <c r="BW64" i="26" s="1" a="1"/>
  <c r="BW64" i="26" s="1"/>
  <c r="BC64" i="7" s="1"/>
  <c r="BS119" i="23"/>
  <c r="CE64" i="26" s="1" a="1"/>
  <c r="CE64" i="26" s="1"/>
  <c r="BK64" i="7" s="1"/>
  <c r="BT119" i="23"/>
  <c r="CF64" i="26" s="1" a="1"/>
  <c r="CF64" i="26" s="1"/>
  <c r="BL64" i="7" s="1"/>
  <c r="BU119" i="23"/>
  <c r="CH64" i="26" s="1" a="1"/>
  <c r="CH64" i="26" s="1"/>
  <c r="BN64" i="7" s="1"/>
  <c r="BV119" i="23"/>
  <c r="AO120" i="23"/>
  <c r="BC65" i="26" s="1" a="1"/>
  <c r="BC65" i="26" s="1"/>
  <c r="AI65" i="7" s="1"/>
  <c r="AP120" i="23"/>
  <c r="BE65" i="26" s="1" a="1"/>
  <c r="BE65" i="26" s="1"/>
  <c r="AK65" i="7" s="1"/>
  <c r="AQ120" i="23"/>
  <c r="BF65" i="26" s="1" a="1"/>
  <c r="BF65" i="26" s="1"/>
  <c r="AL65" i="7" s="1"/>
  <c r="AR120" i="23"/>
  <c r="BH65" i="26" s="1" a="1"/>
  <c r="BH65" i="26" s="1"/>
  <c r="AN65" i="7" s="1"/>
  <c r="AS120" i="23"/>
  <c r="BI65" i="26" s="1" a="1"/>
  <c r="BI65" i="26" s="1"/>
  <c r="AO65" i="7" s="1"/>
  <c r="AT120" i="23"/>
  <c r="BG65" i="26" s="1" a="1"/>
  <c r="BG65" i="26" s="1"/>
  <c r="AM65" i="7" s="1"/>
  <c r="AU120" i="23"/>
  <c r="BJ65" i="26" s="1" a="1"/>
  <c r="BJ65" i="26" s="1"/>
  <c r="AP65" i="7" s="1"/>
  <c r="AV120" i="23"/>
  <c r="AW120" i="23"/>
  <c r="BX65" i="26" s="1" a="1"/>
  <c r="BX65" i="26" s="1"/>
  <c r="BD65" i="7" s="1"/>
  <c r="AX120" i="23"/>
  <c r="BY65" i="26" s="1" a="1"/>
  <c r="BY65" i="26" s="1"/>
  <c r="BE65" i="7" s="1"/>
  <c r="AY120" i="23"/>
  <c r="CC65" i="26" s="1" a="1"/>
  <c r="CC65" i="26" s="1"/>
  <c r="BI65" i="7" s="1"/>
  <c r="AZ120" i="23"/>
  <c r="CA65" i="26" s="1" a="1"/>
  <c r="CA65" i="26" s="1"/>
  <c r="BG65" i="7" s="1"/>
  <c r="BA120" i="23"/>
  <c r="BZ65" i="26" s="1" a="1"/>
  <c r="BZ65" i="26" s="1"/>
  <c r="BF65" i="7" s="1"/>
  <c r="BB120" i="23"/>
  <c r="CB65" i="26" s="1" a="1"/>
  <c r="CB65" i="26" s="1"/>
  <c r="BH65" i="7" s="1"/>
  <c r="BC120" i="23"/>
  <c r="BD120" i="23"/>
  <c r="BN65" i="26" s="1" a="1"/>
  <c r="BN65" i="26" s="1"/>
  <c r="AT65" i="7" s="1"/>
  <c r="BE120" i="23"/>
  <c r="BT65" i="26" s="1" a="1"/>
  <c r="BT65" i="26" s="1"/>
  <c r="AZ65" i="7" s="1"/>
  <c r="BF120" i="23"/>
  <c r="BG120" i="23"/>
  <c r="BH120" i="23"/>
  <c r="BI120" i="23"/>
  <c r="BQ65" i="26" s="1" a="1"/>
  <c r="BQ65" i="26" s="1"/>
  <c r="AW65" i="7" s="1"/>
  <c r="BJ120" i="23"/>
  <c r="BK120" i="23"/>
  <c r="BL120" i="23"/>
  <c r="BR65" i="26" s="1" a="1"/>
  <c r="BR65" i="26" s="1"/>
  <c r="AX65" i="7" s="1"/>
  <c r="BM120" i="23"/>
  <c r="BO65" i="26" s="1" a="1"/>
  <c r="BO65" i="26" s="1"/>
  <c r="AU65" i="7" s="1"/>
  <c r="BN120" i="23"/>
  <c r="BK65" i="26" s="1" a="1"/>
  <c r="BK65" i="26" s="1"/>
  <c r="AQ65" i="7" s="1"/>
  <c r="BO120" i="23"/>
  <c r="BL65" i="26" s="1" a="1"/>
  <c r="BL65" i="26" s="1"/>
  <c r="AR65" i="7" s="1"/>
  <c r="BP120" i="23"/>
  <c r="BM65" i="26" s="1" a="1"/>
  <c r="BM65" i="26" s="1"/>
  <c r="AS65" i="7" s="1"/>
  <c r="BQ120" i="23"/>
  <c r="BR120" i="23"/>
  <c r="BW65" i="26" s="1" a="1"/>
  <c r="BW65" i="26" s="1"/>
  <c r="BC65" i="7" s="1"/>
  <c r="BS120" i="23"/>
  <c r="CE65" i="26" s="1" a="1"/>
  <c r="CE65" i="26" s="1"/>
  <c r="BK65" i="7" s="1"/>
  <c r="BT120" i="23"/>
  <c r="CF65" i="26" s="1" a="1"/>
  <c r="CF65" i="26" s="1"/>
  <c r="BL65" i="7" s="1"/>
  <c r="BU120" i="23"/>
  <c r="CH65" i="26" s="1" a="1"/>
  <c r="CH65" i="26" s="1"/>
  <c r="BN65" i="7" s="1"/>
  <c r="BV120" i="23"/>
  <c r="AO121" i="23"/>
  <c r="BC66" i="26" s="1" a="1"/>
  <c r="BC66" i="26" s="1"/>
  <c r="AI66" i="7" s="1"/>
  <c r="AP121" i="23"/>
  <c r="BE66" i="26" s="1" a="1"/>
  <c r="BE66" i="26" s="1"/>
  <c r="AK66" i="7" s="1"/>
  <c r="AQ121" i="23"/>
  <c r="BF66" i="26" s="1" a="1"/>
  <c r="BF66" i="26" s="1"/>
  <c r="AL66" i="7" s="1"/>
  <c r="AR121" i="23"/>
  <c r="BH66" i="26" s="1" a="1"/>
  <c r="BH66" i="26" s="1"/>
  <c r="AN66" i="7" s="1"/>
  <c r="AS121" i="23"/>
  <c r="BI66" i="26" s="1" a="1"/>
  <c r="BI66" i="26" s="1"/>
  <c r="AO66" i="7" s="1"/>
  <c r="AT121" i="23"/>
  <c r="BG66" i="26" s="1" a="1"/>
  <c r="BG66" i="26" s="1"/>
  <c r="AM66" i="7" s="1"/>
  <c r="AU121" i="23"/>
  <c r="BJ66" i="26" s="1" a="1"/>
  <c r="BJ66" i="26" s="1"/>
  <c r="AP66" i="7" s="1"/>
  <c r="AV121" i="23"/>
  <c r="AW121" i="23"/>
  <c r="BX66" i="26" s="1" a="1"/>
  <c r="BX66" i="26" s="1"/>
  <c r="BD66" i="7" s="1"/>
  <c r="AX121" i="23"/>
  <c r="BY66" i="26" s="1" a="1"/>
  <c r="BY66" i="26" s="1"/>
  <c r="BE66" i="7" s="1"/>
  <c r="AY121" i="23"/>
  <c r="CC66" i="26" s="1" a="1"/>
  <c r="CC66" i="26" s="1"/>
  <c r="BI66" i="7" s="1"/>
  <c r="AZ121" i="23"/>
  <c r="CA66" i="26" s="1" a="1"/>
  <c r="CA66" i="26" s="1"/>
  <c r="BG66" i="7" s="1"/>
  <c r="BA121" i="23"/>
  <c r="BZ66" i="26" s="1" a="1"/>
  <c r="BZ66" i="26" s="1"/>
  <c r="BF66" i="7" s="1"/>
  <c r="BB121" i="23"/>
  <c r="CB66" i="26" s="1" a="1"/>
  <c r="CB66" i="26" s="1"/>
  <c r="BH66" i="7" s="1"/>
  <c r="BC121" i="23"/>
  <c r="BD121" i="23"/>
  <c r="BN66" i="26" s="1" a="1"/>
  <c r="BN66" i="26" s="1"/>
  <c r="AT66" i="7" s="1"/>
  <c r="BE121" i="23"/>
  <c r="BT66" i="26" s="1" a="1"/>
  <c r="BT66" i="26" s="1"/>
  <c r="AZ66" i="7" s="1"/>
  <c r="BF121" i="23"/>
  <c r="BG121" i="23"/>
  <c r="BP66" i="26" s="1" a="1"/>
  <c r="BP66" i="26" s="1"/>
  <c r="AV66" i="7" s="1"/>
  <c r="BH121" i="23"/>
  <c r="BI121" i="23"/>
  <c r="BQ66" i="26" s="1" a="1"/>
  <c r="BQ66" i="26" s="1"/>
  <c r="AW66" i="7" s="1"/>
  <c r="BJ121" i="23"/>
  <c r="BK121" i="23"/>
  <c r="BL121" i="23"/>
  <c r="BR66" i="26" s="1" a="1"/>
  <c r="BR66" i="26" s="1"/>
  <c r="AX66" i="7" s="1"/>
  <c r="BM121" i="23"/>
  <c r="BO66" i="26" s="1" a="1"/>
  <c r="BO66" i="26" s="1"/>
  <c r="AU66" i="7" s="1"/>
  <c r="BN121" i="23"/>
  <c r="BK66" i="26" s="1" a="1"/>
  <c r="BK66" i="26" s="1"/>
  <c r="AQ66" i="7" s="1"/>
  <c r="BO121" i="23"/>
  <c r="BL66" i="26" s="1" a="1"/>
  <c r="BL66" i="26" s="1"/>
  <c r="AR66" i="7" s="1"/>
  <c r="BP121" i="23"/>
  <c r="BM66" i="26" s="1" a="1"/>
  <c r="BM66" i="26" s="1"/>
  <c r="AS66" i="7" s="1"/>
  <c r="BQ121" i="23"/>
  <c r="BR121" i="23"/>
  <c r="BW66" i="26" s="1" a="1"/>
  <c r="BW66" i="26" s="1"/>
  <c r="BC66" i="7" s="1"/>
  <c r="BS121" i="23"/>
  <c r="CE66" i="26" s="1" a="1"/>
  <c r="CE66" i="26" s="1"/>
  <c r="BK66" i="7" s="1"/>
  <c r="BT121" i="23"/>
  <c r="CF66" i="26" s="1" a="1"/>
  <c r="CF66" i="26" s="1"/>
  <c r="BL66" i="7" s="1"/>
  <c r="BU121" i="23"/>
  <c r="CH66" i="26" s="1" a="1"/>
  <c r="CH66" i="26" s="1"/>
  <c r="BN66" i="7" s="1"/>
  <c r="BV121" i="23"/>
  <c r="AO122" i="23"/>
  <c r="BC67" i="26" s="1" a="1"/>
  <c r="BC67" i="26" s="1"/>
  <c r="AI67" i="7" s="1"/>
  <c r="AP122" i="23"/>
  <c r="BE67" i="26" s="1" a="1"/>
  <c r="BE67" i="26" s="1"/>
  <c r="AK67" i="7" s="1"/>
  <c r="AQ122" i="23"/>
  <c r="BF67" i="26" s="1" a="1"/>
  <c r="BF67" i="26" s="1"/>
  <c r="AL67" i="7" s="1"/>
  <c r="AR122" i="23"/>
  <c r="BH67" i="26" s="1" a="1"/>
  <c r="BH67" i="26" s="1"/>
  <c r="AN67" i="7" s="1"/>
  <c r="AS122" i="23"/>
  <c r="BI67" i="26" s="1" a="1"/>
  <c r="BI67" i="26" s="1"/>
  <c r="AO67" i="7" s="1"/>
  <c r="AT122" i="23"/>
  <c r="BG67" i="26" s="1" a="1"/>
  <c r="BG67" i="26" s="1"/>
  <c r="AM67" i="7" s="1"/>
  <c r="AU122" i="23"/>
  <c r="BJ67" i="26" s="1" a="1"/>
  <c r="BJ67" i="26" s="1"/>
  <c r="AP67" i="7" s="1"/>
  <c r="AV122" i="23"/>
  <c r="AW122" i="23"/>
  <c r="BX67" i="26" s="1" a="1"/>
  <c r="BX67" i="26" s="1"/>
  <c r="BD67" i="7" s="1"/>
  <c r="AX122" i="23"/>
  <c r="BY67" i="26" s="1" a="1"/>
  <c r="BY67" i="26" s="1"/>
  <c r="BE67" i="7" s="1"/>
  <c r="AY122" i="23"/>
  <c r="CC67" i="26" s="1" a="1"/>
  <c r="CC67" i="26" s="1"/>
  <c r="BI67" i="7" s="1"/>
  <c r="AZ122" i="23"/>
  <c r="CA67" i="26" s="1" a="1"/>
  <c r="CA67" i="26" s="1"/>
  <c r="BG67" i="7" s="1"/>
  <c r="BA122" i="23"/>
  <c r="BZ67" i="26" s="1" a="1"/>
  <c r="BZ67" i="26" s="1"/>
  <c r="BF67" i="7" s="1"/>
  <c r="BB122" i="23"/>
  <c r="CB67" i="26" s="1" a="1"/>
  <c r="CB67" i="26" s="1"/>
  <c r="BH67" i="7" s="1"/>
  <c r="BC122" i="23"/>
  <c r="BD122" i="23"/>
  <c r="BN67" i="26" s="1" a="1"/>
  <c r="BN67" i="26" s="1"/>
  <c r="AT67" i="7" s="1"/>
  <c r="BE122" i="23"/>
  <c r="BT67" i="26" s="1" a="1"/>
  <c r="BT67" i="26" s="1"/>
  <c r="AZ67" i="7" s="1"/>
  <c r="BF122" i="23"/>
  <c r="BG122" i="23"/>
  <c r="BP67" i="26" s="1" a="1"/>
  <c r="BP67" i="26" s="1"/>
  <c r="AV67" i="7" s="1"/>
  <c r="BH122" i="23"/>
  <c r="BI122" i="23"/>
  <c r="BQ67" i="26" s="1" a="1"/>
  <c r="BQ67" i="26" s="1"/>
  <c r="AW67" i="7" s="1"/>
  <c r="BJ122" i="23"/>
  <c r="BK122" i="23"/>
  <c r="BL122" i="23"/>
  <c r="BR67" i="26" s="1" a="1"/>
  <c r="BR67" i="26" s="1"/>
  <c r="AX67" i="7" s="1"/>
  <c r="BM122" i="23"/>
  <c r="BO67" i="26" s="1" a="1"/>
  <c r="BO67" i="26" s="1"/>
  <c r="AU67" i="7" s="1"/>
  <c r="BN122" i="23"/>
  <c r="BK67" i="26" s="1" a="1"/>
  <c r="BK67" i="26" s="1"/>
  <c r="AQ67" i="7" s="1"/>
  <c r="BO122" i="23"/>
  <c r="BL67" i="26" s="1" a="1"/>
  <c r="BL67" i="26" s="1"/>
  <c r="AR67" i="7" s="1"/>
  <c r="BP122" i="23"/>
  <c r="BM67" i="26" s="1" a="1"/>
  <c r="BM67" i="26" s="1"/>
  <c r="AS67" i="7" s="1"/>
  <c r="BQ122" i="23"/>
  <c r="BR122" i="23"/>
  <c r="BW67" i="26" s="1" a="1"/>
  <c r="BW67" i="26" s="1"/>
  <c r="BC67" i="7" s="1"/>
  <c r="BS122" i="23"/>
  <c r="CE67" i="26" s="1" a="1"/>
  <c r="CE67" i="26" s="1"/>
  <c r="BK67" i="7" s="1"/>
  <c r="BT122" i="23"/>
  <c r="CF67" i="26" s="1" a="1"/>
  <c r="CF67" i="26" s="1"/>
  <c r="BL67" i="7" s="1"/>
  <c r="BU122" i="23"/>
  <c r="CH67" i="26" s="1" a="1"/>
  <c r="CH67" i="26" s="1"/>
  <c r="BN67" i="7" s="1"/>
  <c r="BV122" i="23"/>
  <c r="AO123" i="23"/>
  <c r="BC68" i="26" s="1" a="1"/>
  <c r="BC68" i="26" s="1"/>
  <c r="AI68" i="7" s="1"/>
  <c r="AP123" i="23"/>
  <c r="BE68" i="26" s="1" a="1"/>
  <c r="BE68" i="26" s="1"/>
  <c r="AK68" i="7" s="1"/>
  <c r="AQ123" i="23"/>
  <c r="BF68" i="26" s="1" a="1"/>
  <c r="BF68" i="26" s="1"/>
  <c r="AL68" i="7" s="1"/>
  <c r="AR123" i="23"/>
  <c r="BH68" i="26" s="1" a="1"/>
  <c r="BH68" i="26" s="1"/>
  <c r="AN68" i="7" s="1"/>
  <c r="AS123" i="23"/>
  <c r="BI68" i="26" s="1" a="1"/>
  <c r="BI68" i="26" s="1"/>
  <c r="AO68" i="7" s="1"/>
  <c r="AT123" i="23"/>
  <c r="BG68" i="26" s="1" a="1"/>
  <c r="BG68" i="26" s="1"/>
  <c r="AM68" i="7" s="1"/>
  <c r="AU123" i="23"/>
  <c r="BJ68" i="26" s="1" a="1"/>
  <c r="BJ68" i="26" s="1"/>
  <c r="AP68" i="7" s="1"/>
  <c r="AV123" i="23"/>
  <c r="AW123" i="23"/>
  <c r="BX68" i="26" s="1" a="1"/>
  <c r="BX68" i="26" s="1"/>
  <c r="BD68" i="7" s="1"/>
  <c r="AX123" i="23"/>
  <c r="BY68" i="26" s="1" a="1"/>
  <c r="BY68" i="26" s="1"/>
  <c r="BE68" i="7" s="1"/>
  <c r="AY123" i="23"/>
  <c r="CC68" i="26" s="1" a="1"/>
  <c r="CC68" i="26" s="1"/>
  <c r="BI68" i="7" s="1"/>
  <c r="AZ123" i="23"/>
  <c r="CA68" i="26" s="1" a="1"/>
  <c r="CA68" i="26" s="1"/>
  <c r="BG68" i="7" s="1"/>
  <c r="BA123" i="23"/>
  <c r="BZ68" i="26" s="1" a="1"/>
  <c r="BZ68" i="26" s="1"/>
  <c r="BF68" i="7" s="1"/>
  <c r="BB123" i="23"/>
  <c r="CB68" i="26" s="1" a="1"/>
  <c r="CB68" i="26" s="1"/>
  <c r="BH68" i="7" s="1"/>
  <c r="BC123" i="23"/>
  <c r="BD123" i="23"/>
  <c r="BN68" i="26" s="1" a="1"/>
  <c r="BN68" i="26" s="1"/>
  <c r="AT68" i="7" s="1"/>
  <c r="BE123" i="23"/>
  <c r="BT68" i="26" s="1" a="1"/>
  <c r="BT68" i="26" s="1"/>
  <c r="AZ68" i="7" s="1"/>
  <c r="BF123" i="23"/>
  <c r="BG123" i="23"/>
  <c r="BP68" i="26" s="1" a="1"/>
  <c r="BP68" i="26" s="1"/>
  <c r="AV68" i="7" s="1"/>
  <c r="BH123" i="23"/>
  <c r="BI123" i="23"/>
  <c r="BJ123" i="23"/>
  <c r="BK123" i="23"/>
  <c r="BL123" i="23"/>
  <c r="BR68" i="26" s="1" a="1"/>
  <c r="BR68" i="26" s="1"/>
  <c r="AX68" i="7" s="1"/>
  <c r="BM123" i="23"/>
  <c r="BO68" i="26" s="1" a="1"/>
  <c r="BO68" i="26" s="1"/>
  <c r="AU68" i="7" s="1"/>
  <c r="BN123" i="23"/>
  <c r="BK68" i="26" s="1" a="1"/>
  <c r="BK68" i="26" s="1"/>
  <c r="AQ68" i="7" s="1"/>
  <c r="BO123" i="23"/>
  <c r="BL68" i="26" s="1" a="1"/>
  <c r="BL68" i="26" s="1"/>
  <c r="AR68" i="7" s="1"/>
  <c r="BP123" i="23"/>
  <c r="BM68" i="26" s="1" a="1"/>
  <c r="BM68" i="26" s="1"/>
  <c r="AS68" i="7" s="1"/>
  <c r="BQ123" i="23"/>
  <c r="BR123" i="23"/>
  <c r="BW68" i="26" s="1" a="1"/>
  <c r="BW68" i="26" s="1"/>
  <c r="BC68" i="7" s="1"/>
  <c r="BS123" i="23"/>
  <c r="CE68" i="26" s="1" a="1"/>
  <c r="CE68" i="26" s="1"/>
  <c r="BK68" i="7" s="1"/>
  <c r="BT123" i="23"/>
  <c r="CF68" i="26" s="1" a="1"/>
  <c r="CF68" i="26" s="1"/>
  <c r="BL68" i="7" s="1"/>
  <c r="BU123" i="23"/>
  <c r="CH68" i="26" s="1" a="1"/>
  <c r="CH68" i="26" s="1"/>
  <c r="BN68" i="7" s="1"/>
  <c r="BV123" i="23"/>
  <c r="AO124" i="23"/>
  <c r="BC71" i="26" s="1" a="1"/>
  <c r="BC71" i="26" s="1"/>
  <c r="AI71" i="7" s="1"/>
  <c r="AP124" i="23"/>
  <c r="BE71" i="26" s="1" a="1"/>
  <c r="BE71" i="26" s="1"/>
  <c r="AK71" i="7" s="1"/>
  <c r="AQ124" i="23"/>
  <c r="BF71" i="26" s="1" a="1"/>
  <c r="BF71" i="26" s="1"/>
  <c r="AL71" i="7" s="1"/>
  <c r="AR124" i="23"/>
  <c r="BH71" i="26" s="1" a="1"/>
  <c r="BH71" i="26" s="1"/>
  <c r="AN71" i="7" s="1"/>
  <c r="AS124" i="23"/>
  <c r="BI71" i="26" s="1" a="1"/>
  <c r="BI71" i="26" s="1"/>
  <c r="AO71" i="7" s="1"/>
  <c r="AT124" i="23"/>
  <c r="BG71" i="26" s="1" a="1"/>
  <c r="BG71" i="26" s="1"/>
  <c r="AM71" i="7" s="1"/>
  <c r="AU124" i="23"/>
  <c r="BJ71" i="26" s="1" a="1"/>
  <c r="BJ71" i="26" s="1"/>
  <c r="AP71" i="7" s="1"/>
  <c r="AV124" i="23"/>
  <c r="AW124" i="23"/>
  <c r="BX71" i="26" s="1" a="1"/>
  <c r="BX71" i="26" s="1"/>
  <c r="BD71" i="7" s="1"/>
  <c r="AX124" i="23"/>
  <c r="BY71" i="26" s="1" a="1"/>
  <c r="BY71" i="26" s="1"/>
  <c r="BE71" i="7" s="1"/>
  <c r="AY124" i="23"/>
  <c r="CC71" i="26" s="1" a="1"/>
  <c r="CC71" i="26" s="1"/>
  <c r="BI71" i="7" s="1"/>
  <c r="AZ124" i="23"/>
  <c r="CA71" i="26" s="1" a="1"/>
  <c r="CA71" i="26" s="1"/>
  <c r="BG71" i="7" s="1"/>
  <c r="BA124" i="23"/>
  <c r="BZ71" i="26" s="1" a="1"/>
  <c r="BZ71" i="26" s="1"/>
  <c r="BF71" i="7" s="1"/>
  <c r="BB124" i="23"/>
  <c r="CB71" i="26" s="1" a="1"/>
  <c r="CB71" i="26" s="1"/>
  <c r="BH71" i="7" s="1"/>
  <c r="BC124" i="23"/>
  <c r="BD124" i="23"/>
  <c r="BN71" i="26" s="1" a="1"/>
  <c r="BN71" i="26" s="1"/>
  <c r="AT71" i="7" s="1"/>
  <c r="BE124" i="23"/>
  <c r="BT71" i="26" s="1" a="1"/>
  <c r="BT71" i="26" s="1"/>
  <c r="AZ71" i="7" s="1"/>
  <c r="BF124" i="23"/>
  <c r="BG124" i="23"/>
  <c r="BP71" i="26" s="1" a="1"/>
  <c r="BP71" i="26" s="1"/>
  <c r="AV71" i="7" s="1"/>
  <c r="BH124" i="23"/>
  <c r="BI124" i="23"/>
  <c r="BQ71" i="26" s="1" a="1"/>
  <c r="BQ71" i="26" s="1"/>
  <c r="AW71" i="7" s="1"/>
  <c r="BJ124" i="23"/>
  <c r="BK124" i="23"/>
  <c r="BL124" i="23"/>
  <c r="BR71" i="26" s="1" a="1"/>
  <c r="BR71" i="26" s="1"/>
  <c r="AX71" i="7" s="1"/>
  <c r="BM124" i="23"/>
  <c r="BO71" i="26" s="1" a="1"/>
  <c r="BO71" i="26" s="1"/>
  <c r="AU71" i="7" s="1"/>
  <c r="BN124" i="23"/>
  <c r="BK71" i="26" s="1" a="1"/>
  <c r="BK71" i="26" s="1"/>
  <c r="AQ71" i="7" s="1"/>
  <c r="BO124" i="23"/>
  <c r="BL71" i="26" s="1" a="1"/>
  <c r="BL71" i="26" s="1"/>
  <c r="AR71" i="7" s="1"/>
  <c r="BP124" i="23"/>
  <c r="BM71" i="26" s="1" a="1"/>
  <c r="BM71" i="26" s="1"/>
  <c r="AS71" i="7" s="1"/>
  <c r="BQ124" i="23"/>
  <c r="BR124" i="23"/>
  <c r="BW71" i="26" s="1" a="1"/>
  <c r="BW71" i="26" s="1"/>
  <c r="BC71" i="7" s="1"/>
  <c r="BS124" i="23"/>
  <c r="CE71" i="26" s="1" a="1"/>
  <c r="CE71" i="26" s="1"/>
  <c r="BK71" i="7" s="1"/>
  <c r="BT124" i="23"/>
  <c r="CF71" i="26" s="1" a="1"/>
  <c r="CF71" i="26" s="1"/>
  <c r="BL71" i="7" s="1"/>
  <c r="BU124" i="23"/>
  <c r="CH71" i="26" s="1" a="1"/>
  <c r="CH71" i="26" s="1"/>
  <c r="BN71" i="7" s="1"/>
  <c r="BV124" i="23"/>
  <c r="AO125" i="23"/>
  <c r="BC70" i="26" s="1" a="1"/>
  <c r="BC70" i="26" s="1"/>
  <c r="AI70" i="7" s="1"/>
  <c r="AP125" i="23"/>
  <c r="BE70" i="26" s="1" a="1"/>
  <c r="BE70" i="26" s="1"/>
  <c r="AK70" i="7" s="1"/>
  <c r="AQ125" i="23"/>
  <c r="BF70" i="26" s="1" a="1"/>
  <c r="BF70" i="26" s="1"/>
  <c r="AL70" i="7" s="1"/>
  <c r="AR125" i="23"/>
  <c r="BH70" i="26" s="1" a="1"/>
  <c r="BH70" i="26" s="1"/>
  <c r="AN70" i="7" s="1"/>
  <c r="AS125" i="23"/>
  <c r="BI70" i="26" s="1" a="1"/>
  <c r="BI70" i="26" s="1"/>
  <c r="AO70" i="7" s="1"/>
  <c r="AT125" i="23"/>
  <c r="BG70" i="26" s="1" a="1"/>
  <c r="BG70" i="26" s="1"/>
  <c r="AM70" i="7" s="1"/>
  <c r="AU125" i="23"/>
  <c r="BJ70" i="26" s="1" a="1"/>
  <c r="BJ70" i="26" s="1"/>
  <c r="AP70" i="7" s="1"/>
  <c r="AV125" i="23"/>
  <c r="AW125" i="23"/>
  <c r="BX70" i="26" s="1" a="1"/>
  <c r="BX70" i="26" s="1"/>
  <c r="BD70" i="7" s="1"/>
  <c r="AX125" i="23"/>
  <c r="BY70" i="26" s="1" a="1"/>
  <c r="BY70" i="26" s="1"/>
  <c r="BE70" i="7" s="1"/>
  <c r="AY125" i="23"/>
  <c r="CC70" i="26" s="1" a="1"/>
  <c r="CC70" i="26" s="1"/>
  <c r="BI70" i="7" s="1"/>
  <c r="AZ125" i="23"/>
  <c r="CA70" i="26" s="1" a="1"/>
  <c r="CA70" i="26" s="1"/>
  <c r="BG70" i="7" s="1"/>
  <c r="BA125" i="23"/>
  <c r="BZ70" i="26" s="1" a="1"/>
  <c r="BZ70" i="26" s="1"/>
  <c r="BF70" i="7" s="1"/>
  <c r="BB125" i="23"/>
  <c r="CB70" i="26" s="1" a="1"/>
  <c r="CB70" i="26" s="1"/>
  <c r="BH70" i="7" s="1"/>
  <c r="BC125" i="23"/>
  <c r="BD125" i="23"/>
  <c r="BN70" i="26" s="1" a="1"/>
  <c r="BN70" i="26" s="1"/>
  <c r="AT70" i="7" s="1"/>
  <c r="BE125" i="23"/>
  <c r="BT70" i="26" s="1" a="1"/>
  <c r="BT70" i="26" s="1"/>
  <c r="AZ70" i="7" s="1"/>
  <c r="BF125" i="23"/>
  <c r="BG125" i="23"/>
  <c r="BP70" i="26" s="1" a="1"/>
  <c r="BP70" i="26" s="1"/>
  <c r="AV70" i="7" s="1"/>
  <c r="BH125" i="23"/>
  <c r="BI125" i="23"/>
  <c r="BQ70" i="26" s="1" a="1"/>
  <c r="BQ70" i="26" s="1"/>
  <c r="AW70" i="7" s="1"/>
  <c r="BJ125" i="23"/>
  <c r="BK125" i="23"/>
  <c r="BL125" i="23"/>
  <c r="BR70" i="26" s="1" a="1"/>
  <c r="BR70" i="26" s="1"/>
  <c r="AX70" i="7" s="1"/>
  <c r="BM125" i="23"/>
  <c r="BO70" i="26" s="1" a="1"/>
  <c r="BO70" i="26" s="1"/>
  <c r="AU70" i="7" s="1"/>
  <c r="BN125" i="23"/>
  <c r="BK70" i="26" s="1" a="1"/>
  <c r="BK70" i="26" s="1"/>
  <c r="AQ70" i="7" s="1"/>
  <c r="BO125" i="23"/>
  <c r="BL70" i="26" s="1" a="1"/>
  <c r="BL70" i="26" s="1"/>
  <c r="AR70" i="7" s="1"/>
  <c r="BP125" i="23"/>
  <c r="BM70" i="26" s="1" a="1"/>
  <c r="BM70" i="26" s="1"/>
  <c r="AS70" i="7" s="1"/>
  <c r="BQ125" i="23"/>
  <c r="BR125" i="23"/>
  <c r="BW70" i="26" s="1" a="1"/>
  <c r="BW70" i="26" s="1"/>
  <c r="BC70" i="7" s="1"/>
  <c r="BS125" i="23"/>
  <c r="CE70" i="26" s="1" a="1"/>
  <c r="CE70" i="26" s="1"/>
  <c r="BK70" i="7" s="1"/>
  <c r="BT125" i="23"/>
  <c r="CF70" i="26" s="1" a="1"/>
  <c r="CF70" i="26" s="1"/>
  <c r="BL70" i="7" s="1"/>
  <c r="BU125" i="23"/>
  <c r="CH70" i="26" s="1" a="1"/>
  <c r="CH70" i="26" s="1"/>
  <c r="BN70" i="7" s="1"/>
  <c r="BV125" i="23"/>
  <c r="AO126" i="23"/>
  <c r="BC69" i="26" s="1" a="1"/>
  <c r="BC69" i="26" s="1"/>
  <c r="AI69" i="7" s="1"/>
  <c r="AP126" i="23"/>
  <c r="BE69" i="26" s="1" a="1"/>
  <c r="BE69" i="26" s="1"/>
  <c r="AK69" i="7" s="1"/>
  <c r="AQ126" i="23"/>
  <c r="BF69" i="26" s="1" a="1"/>
  <c r="BF69" i="26" s="1"/>
  <c r="AL69" i="7" s="1"/>
  <c r="AR126" i="23"/>
  <c r="BH69" i="26" s="1" a="1"/>
  <c r="BH69" i="26" s="1"/>
  <c r="AN69" i="7" s="1"/>
  <c r="AS126" i="23"/>
  <c r="BI69" i="26" s="1" a="1"/>
  <c r="BI69" i="26" s="1"/>
  <c r="AO69" i="7" s="1"/>
  <c r="AT126" i="23"/>
  <c r="BG69" i="26" s="1" a="1"/>
  <c r="BG69" i="26" s="1"/>
  <c r="AM69" i="7" s="1"/>
  <c r="AU126" i="23"/>
  <c r="BJ69" i="26" s="1" a="1"/>
  <c r="BJ69" i="26" s="1"/>
  <c r="AP69" i="7" s="1"/>
  <c r="AV126" i="23"/>
  <c r="AW126" i="23"/>
  <c r="BX69" i="26" s="1" a="1"/>
  <c r="BX69" i="26" s="1"/>
  <c r="BD69" i="7" s="1"/>
  <c r="AX126" i="23"/>
  <c r="BY69" i="26" s="1" a="1"/>
  <c r="BY69" i="26" s="1"/>
  <c r="BE69" i="7" s="1"/>
  <c r="AY126" i="23"/>
  <c r="CC69" i="26" s="1" a="1"/>
  <c r="CC69" i="26" s="1"/>
  <c r="BI69" i="7" s="1"/>
  <c r="AZ126" i="23"/>
  <c r="CA69" i="26" s="1" a="1"/>
  <c r="CA69" i="26" s="1"/>
  <c r="BG69" i="7" s="1"/>
  <c r="BA126" i="23"/>
  <c r="BZ69" i="26" s="1" a="1"/>
  <c r="BZ69" i="26" s="1"/>
  <c r="BF69" i="7" s="1"/>
  <c r="BB126" i="23"/>
  <c r="CB69" i="26" s="1" a="1"/>
  <c r="CB69" i="26" s="1"/>
  <c r="BH69" i="7" s="1"/>
  <c r="BC126" i="23"/>
  <c r="BD126" i="23"/>
  <c r="BN69" i="26" s="1" a="1"/>
  <c r="BN69" i="26" s="1"/>
  <c r="AT69" i="7" s="1"/>
  <c r="BE126" i="23"/>
  <c r="BT69" i="26" s="1" a="1"/>
  <c r="BT69" i="26" s="1"/>
  <c r="AZ69" i="7" s="1"/>
  <c r="BF126" i="23"/>
  <c r="BG126" i="23"/>
  <c r="BP69" i="26" s="1" a="1"/>
  <c r="BP69" i="26" s="1"/>
  <c r="AV69" i="7" s="1"/>
  <c r="BH126" i="23"/>
  <c r="BI126" i="23"/>
  <c r="BQ69" i="26" s="1" a="1"/>
  <c r="BQ69" i="26" s="1"/>
  <c r="AW69" i="7" s="1"/>
  <c r="BJ126" i="23"/>
  <c r="BK126" i="23"/>
  <c r="BL126" i="23"/>
  <c r="BR69" i="26" s="1" a="1"/>
  <c r="BR69" i="26" s="1"/>
  <c r="AX69" i="7" s="1"/>
  <c r="BM126" i="23"/>
  <c r="BO69" i="26" s="1" a="1"/>
  <c r="BO69" i="26" s="1"/>
  <c r="AU69" i="7" s="1"/>
  <c r="BN126" i="23"/>
  <c r="BK69" i="26" s="1" a="1"/>
  <c r="BK69" i="26" s="1"/>
  <c r="AQ69" i="7" s="1"/>
  <c r="BO126" i="23"/>
  <c r="BL69" i="26" s="1" a="1"/>
  <c r="BL69" i="26" s="1"/>
  <c r="AR69" i="7" s="1"/>
  <c r="BP126" i="23"/>
  <c r="BM69" i="26" s="1" a="1"/>
  <c r="BM69" i="26" s="1"/>
  <c r="AS69" i="7" s="1"/>
  <c r="BQ126" i="23"/>
  <c r="BR126" i="23"/>
  <c r="BW69" i="26" s="1" a="1"/>
  <c r="BW69" i="26" s="1"/>
  <c r="BC69" i="7" s="1"/>
  <c r="BS126" i="23"/>
  <c r="CE69" i="26" s="1" a="1"/>
  <c r="CE69" i="26" s="1"/>
  <c r="BK69" i="7" s="1"/>
  <c r="BT126" i="23"/>
  <c r="CF69" i="26" s="1" a="1"/>
  <c r="CF69" i="26" s="1"/>
  <c r="BL69" i="7" s="1"/>
  <c r="BU126" i="23"/>
  <c r="CH69" i="26" s="1" a="1"/>
  <c r="CH69" i="26" s="1"/>
  <c r="BN69" i="7" s="1"/>
  <c r="BV126" i="23"/>
  <c r="AO127" i="23"/>
  <c r="BC73" i="26" s="1" a="1"/>
  <c r="BC73" i="26" s="1"/>
  <c r="AI73" i="7" s="1"/>
  <c r="AP127" i="23"/>
  <c r="BE73" i="26" s="1" a="1"/>
  <c r="BE73" i="26" s="1"/>
  <c r="AK73" i="7" s="1"/>
  <c r="AQ127" i="23"/>
  <c r="BF73" i="26" s="1" a="1"/>
  <c r="BF73" i="26" s="1"/>
  <c r="AL73" i="7" s="1"/>
  <c r="AR127" i="23"/>
  <c r="BH73" i="26" s="1" a="1"/>
  <c r="BH73" i="26" s="1"/>
  <c r="AN73" i="7" s="1"/>
  <c r="AS127" i="23"/>
  <c r="BI73" i="26" s="1" a="1"/>
  <c r="BI73" i="26" s="1"/>
  <c r="AO73" i="7" s="1"/>
  <c r="AT127" i="23"/>
  <c r="BG73" i="26" s="1" a="1"/>
  <c r="BG73" i="26" s="1"/>
  <c r="AM73" i="7" s="1"/>
  <c r="AU127" i="23"/>
  <c r="BJ73" i="26" s="1" a="1"/>
  <c r="BJ73" i="26" s="1"/>
  <c r="AP73" i="7" s="1"/>
  <c r="AV127" i="23"/>
  <c r="AW127" i="23"/>
  <c r="BX73" i="26" s="1" a="1"/>
  <c r="BX73" i="26" s="1"/>
  <c r="BD73" i="7" s="1"/>
  <c r="AX127" i="23"/>
  <c r="BY73" i="26" s="1" a="1"/>
  <c r="BY73" i="26" s="1"/>
  <c r="BE73" i="7" s="1"/>
  <c r="AY127" i="23"/>
  <c r="CC73" i="26" s="1" a="1"/>
  <c r="CC73" i="26" s="1"/>
  <c r="BI73" i="7" s="1"/>
  <c r="AZ127" i="23"/>
  <c r="CA73" i="26" s="1" a="1"/>
  <c r="CA73" i="26" s="1"/>
  <c r="BG73" i="7" s="1"/>
  <c r="BA127" i="23"/>
  <c r="BZ73" i="26" s="1" a="1"/>
  <c r="BZ73" i="26" s="1"/>
  <c r="BF73" i="7" s="1"/>
  <c r="BB127" i="23"/>
  <c r="CB73" i="26" s="1" a="1"/>
  <c r="CB73" i="26" s="1"/>
  <c r="BH73" i="7" s="1"/>
  <c r="BC127" i="23"/>
  <c r="BD127" i="23"/>
  <c r="BN73" i="26" s="1" a="1"/>
  <c r="BN73" i="26" s="1"/>
  <c r="AT73" i="7" s="1"/>
  <c r="BE127" i="23"/>
  <c r="BT73" i="26" s="1" a="1"/>
  <c r="BT73" i="26" s="1"/>
  <c r="AZ73" i="7" s="1"/>
  <c r="BF127" i="23"/>
  <c r="BG127" i="23"/>
  <c r="BP73" i="26" s="1" a="1"/>
  <c r="BP73" i="26" s="1"/>
  <c r="AV73" i="7" s="1"/>
  <c r="BH127" i="23"/>
  <c r="BI127" i="23"/>
  <c r="BQ73" i="26" s="1" a="1"/>
  <c r="BQ73" i="26" s="1"/>
  <c r="AW73" i="7" s="1"/>
  <c r="BJ127" i="23"/>
  <c r="BK127" i="23"/>
  <c r="BL127" i="23"/>
  <c r="BR73" i="26" s="1" a="1"/>
  <c r="BR73" i="26" s="1"/>
  <c r="AX73" i="7" s="1"/>
  <c r="BM127" i="23"/>
  <c r="BO73" i="26" s="1" a="1"/>
  <c r="BO73" i="26" s="1"/>
  <c r="AU73" i="7" s="1"/>
  <c r="BN127" i="23"/>
  <c r="BK73" i="26" s="1" a="1"/>
  <c r="BK73" i="26" s="1"/>
  <c r="AQ73" i="7" s="1"/>
  <c r="BO127" i="23"/>
  <c r="BL73" i="26" s="1" a="1"/>
  <c r="BL73" i="26" s="1"/>
  <c r="AR73" i="7" s="1"/>
  <c r="BP127" i="23"/>
  <c r="BM73" i="26" s="1" a="1"/>
  <c r="BM73" i="26" s="1"/>
  <c r="AS73" i="7" s="1"/>
  <c r="BQ127" i="23"/>
  <c r="BR127" i="23"/>
  <c r="BW73" i="26" s="1" a="1"/>
  <c r="BW73" i="26" s="1"/>
  <c r="BC73" i="7" s="1"/>
  <c r="BS127" i="23"/>
  <c r="CE73" i="26" s="1" a="1"/>
  <c r="CE73" i="26" s="1"/>
  <c r="BK73" i="7" s="1"/>
  <c r="BT127" i="23"/>
  <c r="CF73" i="26" s="1" a="1"/>
  <c r="CF73" i="26" s="1"/>
  <c r="BL73" i="7" s="1"/>
  <c r="BU127" i="23"/>
  <c r="CH73" i="26" s="1" a="1"/>
  <c r="CH73" i="26" s="1"/>
  <c r="BN73" i="7" s="1"/>
  <c r="BV127" i="23"/>
  <c r="AO128" i="23"/>
  <c r="BC72" i="26" s="1" a="1"/>
  <c r="BC72" i="26" s="1"/>
  <c r="AI72" i="7" s="1"/>
  <c r="AP128" i="23"/>
  <c r="BE72" i="26" s="1" a="1"/>
  <c r="BE72" i="26" s="1"/>
  <c r="AK72" i="7" s="1"/>
  <c r="AQ128" i="23"/>
  <c r="BF72" i="26" s="1" a="1"/>
  <c r="BF72" i="26" s="1"/>
  <c r="AL72" i="7" s="1"/>
  <c r="AR128" i="23"/>
  <c r="BH72" i="26" s="1" a="1"/>
  <c r="BH72" i="26" s="1"/>
  <c r="AN72" i="7" s="1"/>
  <c r="AS128" i="23"/>
  <c r="BI72" i="26" s="1" a="1"/>
  <c r="BI72" i="26" s="1"/>
  <c r="AO72" i="7" s="1"/>
  <c r="AT128" i="23"/>
  <c r="BG72" i="26" s="1" a="1"/>
  <c r="BG72" i="26" s="1"/>
  <c r="AM72" i="7" s="1"/>
  <c r="AU128" i="23"/>
  <c r="BJ72" i="26" s="1" a="1"/>
  <c r="BJ72" i="26" s="1"/>
  <c r="AP72" i="7" s="1"/>
  <c r="AV128" i="23"/>
  <c r="AW128" i="23"/>
  <c r="BX72" i="26" s="1" a="1"/>
  <c r="BX72" i="26" s="1"/>
  <c r="BD72" i="7" s="1"/>
  <c r="AX128" i="23"/>
  <c r="BY72" i="26" s="1" a="1"/>
  <c r="BY72" i="26" s="1"/>
  <c r="BE72" i="7" s="1"/>
  <c r="AY128" i="23"/>
  <c r="CC72" i="26" s="1" a="1"/>
  <c r="CC72" i="26" s="1"/>
  <c r="BI72" i="7" s="1"/>
  <c r="AZ128" i="23"/>
  <c r="CA72" i="26" s="1" a="1"/>
  <c r="CA72" i="26" s="1"/>
  <c r="BG72" i="7" s="1"/>
  <c r="BA128" i="23"/>
  <c r="BZ72" i="26" s="1" a="1"/>
  <c r="BZ72" i="26" s="1"/>
  <c r="BF72" i="7" s="1"/>
  <c r="BB128" i="23"/>
  <c r="CB72" i="26" s="1" a="1"/>
  <c r="CB72" i="26" s="1"/>
  <c r="BH72" i="7" s="1"/>
  <c r="BC128" i="23"/>
  <c r="BD128" i="23"/>
  <c r="BN72" i="26" s="1" a="1"/>
  <c r="BN72" i="26" s="1"/>
  <c r="AT72" i="7" s="1"/>
  <c r="BE128" i="23"/>
  <c r="BT72" i="26" s="1" a="1"/>
  <c r="BT72" i="26" s="1"/>
  <c r="AZ72" i="7" s="1"/>
  <c r="BF128" i="23"/>
  <c r="BG128" i="23"/>
  <c r="BH128" i="23"/>
  <c r="BI128" i="23"/>
  <c r="BQ72" i="26" s="1" a="1"/>
  <c r="BQ72" i="26" s="1"/>
  <c r="AW72" i="7" s="1"/>
  <c r="BJ128" i="23"/>
  <c r="BK128" i="23"/>
  <c r="BL128" i="23"/>
  <c r="BR72" i="26" s="1" a="1"/>
  <c r="BR72" i="26" s="1"/>
  <c r="AX72" i="7" s="1"/>
  <c r="BM128" i="23"/>
  <c r="BO72" i="26" s="1" a="1"/>
  <c r="BO72" i="26" s="1"/>
  <c r="AU72" i="7" s="1"/>
  <c r="BN128" i="23"/>
  <c r="BK72" i="26" s="1" a="1"/>
  <c r="BK72" i="26" s="1"/>
  <c r="AQ72" i="7" s="1"/>
  <c r="BO128" i="23"/>
  <c r="BL72" i="26" s="1" a="1"/>
  <c r="BL72" i="26" s="1"/>
  <c r="AR72" i="7" s="1"/>
  <c r="BP128" i="23"/>
  <c r="BM72" i="26" s="1" a="1"/>
  <c r="BM72" i="26" s="1"/>
  <c r="AS72" i="7" s="1"/>
  <c r="BQ128" i="23"/>
  <c r="BR128" i="23"/>
  <c r="BW72" i="26" s="1" a="1"/>
  <c r="BW72" i="26" s="1"/>
  <c r="BC72" i="7" s="1"/>
  <c r="BS128" i="23"/>
  <c r="CE72" i="26" s="1" a="1"/>
  <c r="CE72" i="26" s="1"/>
  <c r="BK72" i="7" s="1"/>
  <c r="BT128" i="23"/>
  <c r="CF72" i="26" s="1" a="1"/>
  <c r="CF72" i="26" s="1"/>
  <c r="BL72" i="7" s="1"/>
  <c r="BU128" i="23"/>
  <c r="CH72" i="26" s="1" a="1"/>
  <c r="CH72" i="26" s="1"/>
  <c r="BN72" i="7" s="1"/>
  <c r="BV128" i="23"/>
  <c r="AO129" i="23"/>
  <c r="BC74" i="26" s="1" a="1"/>
  <c r="BC74" i="26" s="1"/>
  <c r="AI74" i="7" s="1"/>
  <c r="AP129" i="23"/>
  <c r="BE74" i="26" s="1" a="1"/>
  <c r="BE74" i="26" s="1"/>
  <c r="AK74" i="7" s="1"/>
  <c r="AQ129" i="23"/>
  <c r="BF74" i="26" s="1" a="1"/>
  <c r="BF74" i="26" s="1"/>
  <c r="AL74" i="7" s="1"/>
  <c r="AR129" i="23"/>
  <c r="BH74" i="26" s="1" a="1"/>
  <c r="BH74" i="26" s="1"/>
  <c r="AN74" i="7" s="1"/>
  <c r="AS129" i="23"/>
  <c r="BI74" i="26" s="1" a="1"/>
  <c r="BI74" i="26" s="1"/>
  <c r="AO74" i="7" s="1"/>
  <c r="AT129" i="23"/>
  <c r="BG74" i="26" s="1" a="1"/>
  <c r="BG74" i="26" s="1"/>
  <c r="AM74" i="7" s="1"/>
  <c r="AU129" i="23"/>
  <c r="BJ74" i="26" s="1" a="1"/>
  <c r="BJ74" i="26" s="1"/>
  <c r="AP74" i="7" s="1"/>
  <c r="AV129" i="23"/>
  <c r="AW129" i="23"/>
  <c r="BX74" i="26" s="1" a="1"/>
  <c r="BX74" i="26" s="1"/>
  <c r="BD74" i="7" s="1"/>
  <c r="AX129" i="23"/>
  <c r="BY74" i="26" s="1" a="1"/>
  <c r="BY74" i="26" s="1"/>
  <c r="BE74" i="7" s="1"/>
  <c r="AY129" i="23"/>
  <c r="CC74" i="26" s="1" a="1"/>
  <c r="CC74" i="26" s="1"/>
  <c r="BI74" i="7" s="1"/>
  <c r="AZ129" i="23"/>
  <c r="CA74" i="26" s="1" a="1"/>
  <c r="CA74" i="26" s="1"/>
  <c r="BG74" i="7" s="1"/>
  <c r="BA129" i="23"/>
  <c r="BZ74" i="26" s="1" a="1"/>
  <c r="BZ74" i="26" s="1"/>
  <c r="BF74" i="7" s="1"/>
  <c r="BB129" i="23"/>
  <c r="CB74" i="26" s="1" a="1"/>
  <c r="CB74" i="26" s="1"/>
  <c r="BH74" i="7" s="1"/>
  <c r="BC129" i="23"/>
  <c r="BD129" i="23"/>
  <c r="BN74" i="26" s="1" a="1"/>
  <c r="BN74" i="26" s="1"/>
  <c r="AT74" i="7" s="1"/>
  <c r="BE129" i="23"/>
  <c r="BT74" i="26" s="1" a="1"/>
  <c r="BT74" i="26" s="1"/>
  <c r="AZ74" i="7" s="1"/>
  <c r="BF129" i="23"/>
  <c r="BG129" i="23"/>
  <c r="BP74" i="26" s="1" a="1"/>
  <c r="BP74" i="26" s="1"/>
  <c r="AV74" i="7" s="1"/>
  <c r="BH129" i="23"/>
  <c r="BI129" i="23"/>
  <c r="BQ74" i="26" s="1" a="1"/>
  <c r="BQ74" i="26" s="1"/>
  <c r="AW74" i="7" s="1"/>
  <c r="BJ129" i="23"/>
  <c r="BK129" i="23"/>
  <c r="BL129" i="23"/>
  <c r="BR74" i="26" s="1" a="1"/>
  <c r="BR74" i="26" s="1"/>
  <c r="AX74" i="7" s="1"/>
  <c r="BM129" i="23"/>
  <c r="BO74" i="26" s="1" a="1"/>
  <c r="BO74" i="26" s="1"/>
  <c r="AU74" i="7" s="1"/>
  <c r="BN129" i="23"/>
  <c r="BK74" i="26" s="1" a="1"/>
  <c r="BK74" i="26" s="1"/>
  <c r="AQ74" i="7" s="1"/>
  <c r="BO129" i="23"/>
  <c r="BL74" i="26" s="1" a="1"/>
  <c r="BL74" i="26" s="1"/>
  <c r="AR74" i="7" s="1"/>
  <c r="BP129" i="23"/>
  <c r="BM74" i="26" s="1" a="1"/>
  <c r="BM74" i="26" s="1"/>
  <c r="AS74" i="7" s="1"/>
  <c r="BQ129" i="23"/>
  <c r="BR129" i="23"/>
  <c r="BW74" i="26" s="1" a="1"/>
  <c r="BW74" i="26" s="1"/>
  <c r="BC74" i="7" s="1"/>
  <c r="BS129" i="23"/>
  <c r="CE74" i="26" s="1" a="1"/>
  <c r="CE74" i="26" s="1"/>
  <c r="BK74" i="7" s="1"/>
  <c r="BT129" i="23"/>
  <c r="CF74" i="26" s="1" a="1"/>
  <c r="CF74" i="26" s="1"/>
  <c r="BL74" i="7" s="1"/>
  <c r="BU129" i="23"/>
  <c r="CH74" i="26" s="1" a="1"/>
  <c r="CH74" i="26" s="1"/>
  <c r="BN74" i="7" s="1"/>
  <c r="BV129" i="23"/>
  <c r="AO130" i="23"/>
  <c r="BC75" i="26" s="1" a="1"/>
  <c r="BC75" i="26" s="1"/>
  <c r="AI75" i="7" s="1"/>
  <c r="AP130" i="23"/>
  <c r="BE75" i="26" s="1" a="1"/>
  <c r="BE75" i="26" s="1"/>
  <c r="AK75" i="7" s="1"/>
  <c r="AQ130" i="23"/>
  <c r="BF75" i="26" s="1" a="1"/>
  <c r="BF75" i="26" s="1"/>
  <c r="AL75" i="7" s="1"/>
  <c r="AR130" i="23"/>
  <c r="BH75" i="26" s="1" a="1"/>
  <c r="BH75" i="26" s="1"/>
  <c r="AN75" i="7" s="1"/>
  <c r="AS130" i="23"/>
  <c r="BI75" i="26" s="1" a="1"/>
  <c r="BI75" i="26" s="1"/>
  <c r="AO75" i="7" s="1"/>
  <c r="AT130" i="23"/>
  <c r="BG75" i="26" s="1" a="1"/>
  <c r="BG75" i="26" s="1"/>
  <c r="AM75" i="7" s="1"/>
  <c r="AU130" i="23"/>
  <c r="BJ75" i="26" s="1" a="1"/>
  <c r="BJ75" i="26" s="1"/>
  <c r="AP75" i="7" s="1"/>
  <c r="AV130" i="23"/>
  <c r="AW130" i="23"/>
  <c r="BX75" i="26" s="1" a="1"/>
  <c r="BX75" i="26" s="1"/>
  <c r="BD75" i="7" s="1"/>
  <c r="AX130" i="23"/>
  <c r="BY75" i="26" s="1" a="1"/>
  <c r="BY75" i="26" s="1"/>
  <c r="BE75" i="7" s="1"/>
  <c r="AY130" i="23"/>
  <c r="CC75" i="26" s="1" a="1"/>
  <c r="CC75" i="26" s="1"/>
  <c r="BI75" i="7" s="1"/>
  <c r="AZ130" i="23"/>
  <c r="CA75" i="26" s="1" a="1"/>
  <c r="CA75" i="26" s="1"/>
  <c r="BG75" i="7" s="1"/>
  <c r="BA130" i="23"/>
  <c r="BZ75" i="26" s="1" a="1"/>
  <c r="BZ75" i="26" s="1"/>
  <c r="BF75" i="7" s="1"/>
  <c r="BB130" i="23"/>
  <c r="CB75" i="26" s="1" a="1"/>
  <c r="CB75" i="26" s="1"/>
  <c r="BH75" i="7" s="1"/>
  <c r="BC130" i="23"/>
  <c r="BD130" i="23"/>
  <c r="BN75" i="26" s="1" a="1"/>
  <c r="BN75" i="26" s="1"/>
  <c r="AT75" i="7" s="1"/>
  <c r="BE130" i="23"/>
  <c r="BT75" i="26" s="1" a="1"/>
  <c r="BT75" i="26" s="1"/>
  <c r="AZ75" i="7" s="1"/>
  <c r="BF130" i="23"/>
  <c r="BG130" i="23"/>
  <c r="BP75" i="26" s="1" a="1"/>
  <c r="BP75" i="26" s="1"/>
  <c r="AV75" i="7" s="1"/>
  <c r="BH130" i="23"/>
  <c r="BI130" i="23"/>
  <c r="BQ75" i="26" s="1" a="1"/>
  <c r="BQ75" i="26" s="1"/>
  <c r="AW75" i="7" s="1"/>
  <c r="BJ130" i="23"/>
  <c r="BK130" i="23"/>
  <c r="BL130" i="23"/>
  <c r="BR75" i="26" s="1" a="1"/>
  <c r="BR75" i="26" s="1"/>
  <c r="AX75" i="7" s="1"/>
  <c r="BM130" i="23"/>
  <c r="BO75" i="26" s="1" a="1"/>
  <c r="BO75" i="26" s="1"/>
  <c r="AU75" i="7" s="1"/>
  <c r="BN130" i="23"/>
  <c r="BK75" i="26" s="1" a="1"/>
  <c r="BK75" i="26" s="1"/>
  <c r="AQ75" i="7" s="1"/>
  <c r="BO130" i="23"/>
  <c r="BL75" i="26" s="1" a="1"/>
  <c r="BL75" i="26" s="1"/>
  <c r="AR75" i="7" s="1"/>
  <c r="BP130" i="23"/>
  <c r="BM75" i="26" s="1" a="1"/>
  <c r="BM75" i="26" s="1"/>
  <c r="AS75" i="7" s="1"/>
  <c r="BQ130" i="23"/>
  <c r="BR130" i="23"/>
  <c r="BW75" i="26" s="1" a="1"/>
  <c r="BW75" i="26" s="1"/>
  <c r="BC75" i="7" s="1"/>
  <c r="BS130" i="23"/>
  <c r="CE75" i="26" s="1" a="1"/>
  <c r="CE75" i="26" s="1"/>
  <c r="BK75" i="7" s="1"/>
  <c r="BT130" i="23"/>
  <c r="CF75" i="26" s="1" a="1"/>
  <c r="CF75" i="26" s="1"/>
  <c r="BL75" i="7" s="1"/>
  <c r="BU130" i="23"/>
  <c r="CH75" i="26" s="1" a="1"/>
  <c r="CH75" i="26" s="1"/>
  <c r="BN75" i="7" s="1"/>
  <c r="BV130" i="23"/>
  <c r="AO131" i="23"/>
  <c r="BC77" i="26" s="1" a="1"/>
  <c r="BC77" i="26" s="1"/>
  <c r="AI77" i="7" s="1"/>
  <c r="AP131" i="23"/>
  <c r="BE77" i="26" s="1" a="1"/>
  <c r="BE77" i="26" s="1"/>
  <c r="AK77" i="7" s="1"/>
  <c r="AQ131" i="23"/>
  <c r="BF77" i="26" s="1" a="1"/>
  <c r="BF77" i="26" s="1"/>
  <c r="AL77" i="7" s="1"/>
  <c r="AR131" i="23"/>
  <c r="BH77" i="26" s="1" a="1"/>
  <c r="BH77" i="26" s="1"/>
  <c r="AN77" i="7" s="1"/>
  <c r="AS131" i="23"/>
  <c r="BI77" i="26" s="1" a="1"/>
  <c r="BI77" i="26" s="1"/>
  <c r="AO77" i="7" s="1"/>
  <c r="AT131" i="23"/>
  <c r="BG77" i="26" s="1" a="1"/>
  <c r="BG77" i="26" s="1"/>
  <c r="AM77" i="7" s="1"/>
  <c r="AU131" i="23"/>
  <c r="BJ77" i="26" s="1" a="1"/>
  <c r="BJ77" i="26" s="1"/>
  <c r="AP77" i="7" s="1"/>
  <c r="AV131" i="23"/>
  <c r="AW131" i="23"/>
  <c r="BX77" i="26" s="1" a="1"/>
  <c r="BX77" i="26" s="1"/>
  <c r="BD77" i="7" s="1"/>
  <c r="AX131" i="23"/>
  <c r="BY77" i="26" s="1" a="1"/>
  <c r="BY77" i="26" s="1"/>
  <c r="BE77" i="7" s="1"/>
  <c r="AY131" i="23"/>
  <c r="CC77" i="26" s="1" a="1"/>
  <c r="CC77" i="26" s="1"/>
  <c r="BI77" i="7" s="1"/>
  <c r="AZ131" i="23"/>
  <c r="CA77" i="26" s="1" a="1"/>
  <c r="CA77" i="26" s="1"/>
  <c r="BG77" i="7" s="1"/>
  <c r="BA131" i="23"/>
  <c r="BZ77" i="26" s="1" a="1"/>
  <c r="BZ77" i="26" s="1"/>
  <c r="BF77" i="7" s="1"/>
  <c r="BB131" i="23"/>
  <c r="CB77" i="26" s="1" a="1"/>
  <c r="CB77" i="26" s="1"/>
  <c r="BH77" i="7" s="1"/>
  <c r="BC131" i="23"/>
  <c r="BD131" i="23"/>
  <c r="BN77" i="26" s="1" a="1"/>
  <c r="BN77" i="26" s="1"/>
  <c r="AT77" i="7" s="1"/>
  <c r="BE131" i="23"/>
  <c r="BT77" i="26" s="1" a="1"/>
  <c r="BT77" i="26" s="1"/>
  <c r="AZ77" i="7" s="1"/>
  <c r="BF131" i="23"/>
  <c r="BG131" i="23"/>
  <c r="BP77" i="26" s="1" a="1"/>
  <c r="BP77" i="26" s="1"/>
  <c r="AV77" i="7" s="1"/>
  <c r="BH131" i="23"/>
  <c r="BI131" i="23"/>
  <c r="BJ131" i="23"/>
  <c r="BK131" i="23"/>
  <c r="BL131" i="23"/>
  <c r="BR77" i="26" s="1" a="1"/>
  <c r="BR77" i="26" s="1"/>
  <c r="AX77" i="7" s="1"/>
  <c r="BM131" i="23"/>
  <c r="BO77" i="26" s="1" a="1"/>
  <c r="BO77" i="26" s="1"/>
  <c r="AU77" i="7" s="1"/>
  <c r="BN131" i="23"/>
  <c r="BK77" i="26" s="1" a="1"/>
  <c r="BK77" i="26" s="1"/>
  <c r="AQ77" i="7" s="1"/>
  <c r="BO131" i="23"/>
  <c r="BL77" i="26" s="1" a="1"/>
  <c r="BL77" i="26" s="1"/>
  <c r="AR77" i="7" s="1"/>
  <c r="BP131" i="23"/>
  <c r="BM77" i="26" s="1" a="1"/>
  <c r="BM77" i="26" s="1"/>
  <c r="AS77" i="7" s="1"/>
  <c r="BQ131" i="23"/>
  <c r="BR131" i="23"/>
  <c r="BW77" i="26" s="1" a="1"/>
  <c r="BW77" i="26" s="1"/>
  <c r="BC77" i="7" s="1"/>
  <c r="BS131" i="23"/>
  <c r="CE77" i="26" s="1" a="1"/>
  <c r="CE77" i="26" s="1"/>
  <c r="BK77" i="7" s="1"/>
  <c r="BT131" i="23"/>
  <c r="CF77" i="26" s="1" a="1"/>
  <c r="CF77" i="26" s="1"/>
  <c r="BL77" i="7" s="1"/>
  <c r="BU131" i="23"/>
  <c r="CH77" i="26" s="1" a="1"/>
  <c r="CH77" i="26" s="1"/>
  <c r="BN77" i="7" s="1"/>
  <c r="BV131" i="23"/>
  <c r="AO132" i="23"/>
  <c r="BC76" i="26" s="1" a="1"/>
  <c r="BC76" i="26" s="1"/>
  <c r="AI76" i="7" s="1"/>
  <c r="AP132" i="23"/>
  <c r="BE76" i="26" s="1" a="1"/>
  <c r="BE76" i="26" s="1"/>
  <c r="AK76" i="7" s="1"/>
  <c r="AQ132" i="23"/>
  <c r="BF76" i="26" s="1" a="1"/>
  <c r="BF76" i="26" s="1"/>
  <c r="AL76" i="7" s="1"/>
  <c r="AR132" i="23"/>
  <c r="BH76" i="26" s="1" a="1"/>
  <c r="BH76" i="26" s="1"/>
  <c r="AN76" i="7" s="1"/>
  <c r="AS132" i="23"/>
  <c r="BI76" i="26" s="1" a="1"/>
  <c r="BI76" i="26" s="1"/>
  <c r="AO76" i="7" s="1"/>
  <c r="AT132" i="23"/>
  <c r="BG76" i="26" s="1" a="1"/>
  <c r="BG76" i="26" s="1"/>
  <c r="AM76" i="7" s="1"/>
  <c r="AU132" i="23"/>
  <c r="BJ76" i="26" s="1" a="1"/>
  <c r="BJ76" i="26" s="1"/>
  <c r="AP76" i="7" s="1"/>
  <c r="AV132" i="23"/>
  <c r="AW132" i="23"/>
  <c r="BX76" i="26" s="1" a="1"/>
  <c r="BX76" i="26" s="1"/>
  <c r="BD76" i="7" s="1"/>
  <c r="AX132" i="23"/>
  <c r="BY76" i="26" s="1" a="1"/>
  <c r="BY76" i="26" s="1"/>
  <c r="BE76" i="7" s="1"/>
  <c r="AY132" i="23"/>
  <c r="CC76" i="26" s="1" a="1"/>
  <c r="CC76" i="26" s="1"/>
  <c r="BI76" i="7" s="1"/>
  <c r="AZ132" i="23"/>
  <c r="CA76" i="26" s="1" a="1"/>
  <c r="CA76" i="26" s="1"/>
  <c r="BG76" i="7" s="1"/>
  <c r="BA132" i="23"/>
  <c r="BZ76" i="26" s="1" a="1"/>
  <c r="BZ76" i="26" s="1"/>
  <c r="BF76" i="7" s="1"/>
  <c r="BB132" i="23"/>
  <c r="CB76" i="26" s="1" a="1"/>
  <c r="CB76" i="26" s="1"/>
  <c r="BH76" i="7" s="1"/>
  <c r="BC132" i="23"/>
  <c r="BD132" i="23"/>
  <c r="BN76" i="26" s="1" a="1"/>
  <c r="BN76" i="26" s="1"/>
  <c r="AT76" i="7" s="1"/>
  <c r="BE132" i="23"/>
  <c r="BT76" i="26" s="1" a="1"/>
  <c r="BT76" i="26" s="1"/>
  <c r="AZ76" i="7" s="1"/>
  <c r="BF132" i="23"/>
  <c r="BG132" i="23"/>
  <c r="BH132" i="23"/>
  <c r="BI132" i="23"/>
  <c r="BQ76" i="26" s="1" a="1"/>
  <c r="BQ76" i="26" s="1"/>
  <c r="AW76" i="7" s="1"/>
  <c r="BJ132" i="23"/>
  <c r="BK132" i="23"/>
  <c r="BL132" i="23"/>
  <c r="BR76" i="26" s="1" a="1"/>
  <c r="BR76" i="26" s="1"/>
  <c r="AX76" i="7" s="1"/>
  <c r="BM132" i="23"/>
  <c r="BO76" i="26" s="1" a="1"/>
  <c r="BO76" i="26" s="1"/>
  <c r="AU76" i="7" s="1"/>
  <c r="BN132" i="23"/>
  <c r="BK76" i="26" s="1" a="1"/>
  <c r="BK76" i="26" s="1"/>
  <c r="AQ76" i="7" s="1"/>
  <c r="BO132" i="23"/>
  <c r="BL76" i="26" s="1" a="1"/>
  <c r="BL76" i="26" s="1"/>
  <c r="AR76" i="7" s="1"/>
  <c r="BP132" i="23"/>
  <c r="BM76" i="26" s="1" a="1"/>
  <c r="BM76" i="26" s="1"/>
  <c r="AS76" i="7" s="1"/>
  <c r="BQ132" i="23"/>
  <c r="BR132" i="23"/>
  <c r="BW76" i="26" s="1" a="1"/>
  <c r="BW76" i="26" s="1"/>
  <c r="BC76" i="7" s="1"/>
  <c r="BS132" i="23"/>
  <c r="CE76" i="26" s="1" a="1"/>
  <c r="CE76" i="26" s="1"/>
  <c r="BK76" i="7" s="1"/>
  <c r="BT132" i="23"/>
  <c r="CF76" i="26" s="1" a="1"/>
  <c r="CF76" i="26" s="1"/>
  <c r="BL76" i="7" s="1"/>
  <c r="BU132" i="23"/>
  <c r="CH76" i="26" s="1" a="1"/>
  <c r="CH76" i="26" s="1"/>
  <c r="BN76" i="7" s="1"/>
  <c r="BV132" i="23"/>
  <c r="AO133" i="23"/>
  <c r="BC78" i="26" s="1" a="1"/>
  <c r="BC78" i="26" s="1"/>
  <c r="AI78" i="7" s="1"/>
  <c r="AP133" i="23"/>
  <c r="BE78" i="26" s="1" a="1"/>
  <c r="BE78" i="26" s="1"/>
  <c r="AK78" i="7" s="1"/>
  <c r="AQ133" i="23"/>
  <c r="BF78" i="26" s="1" a="1"/>
  <c r="BF78" i="26" s="1"/>
  <c r="AL78" i="7" s="1"/>
  <c r="AR133" i="23"/>
  <c r="BH78" i="26" s="1" a="1"/>
  <c r="BH78" i="26" s="1"/>
  <c r="AN78" i="7" s="1"/>
  <c r="AS133" i="23"/>
  <c r="BI78" i="26" s="1" a="1"/>
  <c r="BI78" i="26" s="1"/>
  <c r="AO78" i="7" s="1"/>
  <c r="AT133" i="23"/>
  <c r="BG78" i="26" s="1" a="1"/>
  <c r="BG78" i="26" s="1"/>
  <c r="AM78" i="7" s="1"/>
  <c r="AU133" i="23"/>
  <c r="BJ78" i="26" s="1" a="1"/>
  <c r="BJ78" i="26" s="1"/>
  <c r="AP78" i="7" s="1"/>
  <c r="AV133" i="23"/>
  <c r="AW133" i="23"/>
  <c r="BX78" i="26" s="1" a="1"/>
  <c r="BX78" i="26" s="1"/>
  <c r="BD78" i="7" s="1"/>
  <c r="AX133" i="23"/>
  <c r="BY78" i="26" s="1" a="1"/>
  <c r="BY78" i="26" s="1"/>
  <c r="BE78" i="7" s="1"/>
  <c r="AY133" i="23"/>
  <c r="CC78" i="26" s="1" a="1"/>
  <c r="CC78" i="26" s="1"/>
  <c r="BI78" i="7" s="1"/>
  <c r="AZ133" i="23"/>
  <c r="CA78" i="26" s="1" a="1"/>
  <c r="CA78" i="26" s="1"/>
  <c r="BG78" i="7" s="1"/>
  <c r="BA133" i="23"/>
  <c r="BZ78" i="26" s="1" a="1"/>
  <c r="BZ78" i="26" s="1"/>
  <c r="BF78" i="7" s="1"/>
  <c r="BB133" i="23"/>
  <c r="CB78" i="26" s="1" a="1"/>
  <c r="CB78" i="26" s="1"/>
  <c r="BH78" i="7" s="1"/>
  <c r="BC133" i="23"/>
  <c r="BD133" i="23"/>
  <c r="BN78" i="26" s="1" a="1"/>
  <c r="BN78" i="26" s="1"/>
  <c r="AT78" i="7" s="1"/>
  <c r="BE133" i="23"/>
  <c r="BT78" i="26" s="1" a="1"/>
  <c r="BT78" i="26" s="1"/>
  <c r="AZ78" i="7" s="1"/>
  <c r="BF133" i="23"/>
  <c r="BG133" i="23"/>
  <c r="BP78" i="26" s="1" a="1"/>
  <c r="BP78" i="26" s="1"/>
  <c r="AV78" i="7" s="1"/>
  <c r="BH133" i="23"/>
  <c r="BI133" i="23"/>
  <c r="BQ78" i="26" s="1" a="1"/>
  <c r="BQ78" i="26" s="1"/>
  <c r="AW78" i="7" s="1"/>
  <c r="BJ133" i="23"/>
  <c r="BK133" i="23"/>
  <c r="BL133" i="23"/>
  <c r="BR78" i="26" s="1" a="1"/>
  <c r="BR78" i="26" s="1"/>
  <c r="AX78" i="7" s="1"/>
  <c r="BM133" i="23"/>
  <c r="BO78" i="26" s="1" a="1"/>
  <c r="BO78" i="26" s="1"/>
  <c r="AU78" i="7" s="1"/>
  <c r="BN133" i="23"/>
  <c r="BK78" i="26" s="1" a="1"/>
  <c r="BK78" i="26" s="1"/>
  <c r="AQ78" i="7" s="1"/>
  <c r="BO133" i="23"/>
  <c r="BL78" i="26" s="1" a="1"/>
  <c r="BL78" i="26" s="1"/>
  <c r="AR78" i="7" s="1"/>
  <c r="BP133" i="23"/>
  <c r="BM78" i="26" s="1" a="1"/>
  <c r="BM78" i="26" s="1"/>
  <c r="AS78" i="7" s="1"/>
  <c r="BQ133" i="23"/>
  <c r="BR133" i="23"/>
  <c r="BW78" i="26" s="1" a="1"/>
  <c r="BW78" i="26" s="1"/>
  <c r="BC78" i="7" s="1"/>
  <c r="BS133" i="23"/>
  <c r="CE78" i="26" s="1" a="1"/>
  <c r="CE78" i="26" s="1"/>
  <c r="BK78" i="7" s="1"/>
  <c r="BT133" i="23"/>
  <c r="CF78" i="26" s="1" a="1"/>
  <c r="CF78" i="26" s="1"/>
  <c r="BL78" i="7" s="1"/>
  <c r="BU133" i="23"/>
  <c r="CH78" i="26" s="1" a="1"/>
  <c r="CH78" i="26" s="1"/>
  <c r="BN78" i="7" s="1"/>
  <c r="BV133" i="23"/>
  <c r="V4" i="23"/>
  <c r="W4" i="23"/>
  <c r="X4" i="23"/>
  <c r="S6" i="25" s="1"/>
  <c r="AM3" i="26" s="1" a="1"/>
  <c r="AM3" i="26" s="1"/>
  <c r="S3" i="7" s="1"/>
  <c r="Y4" i="23"/>
  <c r="Z4" i="23"/>
  <c r="U6" i="25" s="1"/>
  <c r="AO3" i="26" s="1" a="1"/>
  <c r="AO3" i="26" s="1"/>
  <c r="U3" i="7" s="1"/>
  <c r="AA4" i="23"/>
  <c r="AP3" i="26" s="1" a="1"/>
  <c r="AP3" i="26" s="1"/>
  <c r="V3" i="7" s="1"/>
  <c r="AB4" i="23"/>
  <c r="AQ3" i="26" s="1" a="1"/>
  <c r="AQ3" i="26" s="1"/>
  <c r="W3" i="7" s="1"/>
  <c r="AC4" i="23"/>
  <c r="AR3" i="26" s="1" a="1"/>
  <c r="AR3" i="26" s="1"/>
  <c r="X3" i="7" s="1"/>
  <c r="AD4" i="23"/>
  <c r="AS3" i="26" s="1" a="1"/>
  <c r="AS3" i="26" s="1"/>
  <c r="Y3" i="7" s="1"/>
  <c r="AE4" i="23"/>
  <c r="AT3" i="26" s="1" a="1"/>
  <c r="AT3" i="26" s="1"/>
  <c r="Z3" i="7" s="1"/>
  <c r="AF4" i="23"/>
  <c r="AU3" i="26" s="1" a="1"/>
  <c r="AU3" i="26" s="1"/>
  <c r="AA3" i="7" s="1"/>
  <c r="AG4" i="23"/>
  <c r="AV3" i="26" s="1" a="1"/>
  <c r="AV3" i="26" s="1"/>
  <c r="AB3" i="7" s="1"/>
  <c r="AH4" i="23"/>
  <c r="BD3" i="26" s="1" a="1"/>
  <c r="BD3" i="26" s="1"/>
  <c r="AJ3" i="7" s="1"/>
  <c r="AI4" i="23"/>
  <c r="AX3" i="26" s="1" a="1"/>
  <c r="AX3" i="26" s="1"/>
  <c r="AD3" i="7" s="1"/>
  <c r="AJ4" i="23"/>
  <c r="AW3" i="26" s="1" a="1"/>
  <c r="AW3" i="26" s="1"/>
  <c r="AC3" i="7" s="1"/>
  <c r="AK4" i="23"/>
  <c r="AY3" i="26" s="1" a="1"/>
  <c r="AY3" i="26" s="1"/>
  <c r="AE3" i="7" s="1"/>
  <c r="AL4" i="23"/>
  <c r="AZ3" i="26" s="1" a="1"/>
  <c r="AZ3" i="26" s="1"/>
  <c r="AF3" i="7" s="1"/>
  <c r="AM4" i="23"/>
  <c r="BA3" i="26" s="1" a="1"/>
  <c r="BA3" i="26" s="1"/>
  <c r="AG3" i="7" s="1"/>
  <c r="AN4" i="23"/>
  <c r="BB3" i="26" s="1" a="1"/>
  <c r="BB3" i="26" s="1"/>
  <c r="AH3" i="7" s="1"/>
  <c r="V5" i="23"/>
  <c r="W5" i="23"/>
  <c r="X5" i="23"/>
  <c r="S7" i="25" s="1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V6" i="23"/>
  <c r="W6" i="23"/>
  <c r="X6" i="23"/>
  <c r="AM4" i="26" s="1" a="1"/>
  <c r="AM4" i="26" s="1"/>
  <c r="S4" i="7" s="1"/>
  <c r="Y6" i="23"/>
  <c r="Z6" i="23"/>
  <c r="AO4" i="26" s="1" a="1"/>
  <c r="AO4" i="26" s="1"/>
  <c r="U4" i="7" s="1"/>
  <c r="AA6" i="23"/>
  <c r="AP4" i="26" s="1" a="1"/>
  <c r="AP4" i="26" s="1"/>
  <c r="V4" i="7" s="1"/>
  <c r="AB6" i="23"/>
  <c r="AQ4" i="26" s="1" a="1"/>
  <c r="AQ4" i="26" s="1"/>
  <c r="W4" i="7" s="1"/>
  <c r="AC6" i="23"/>
  <c r="AR4" i="26" s="1" a="1"/>
  <c r="AR4" i="26" s="1"/>
  <c r="X4" i="7" s="1"/>
  <c r="AD6" i="23"/>
  <c r="AS4" i="26" s="1" a="1"/>
  <c r="AS4" i="26" s="1"/>
  <c r="Y4" i="7" s="1"/>
  <c r="AE6" i="23"/>
  <c r="AT4" i="26" s="1" a="1"/>
  <c r="AT4" i="26" s="1"/>
  <c r="Z4" i="7" s="1"/>
  <c r="AF6" i="23"/>
  <c r="AU4" i="26" s="1" a="1"/>
  <c r="AU4" i="26" s="1"/>
  <c r="AA4" i="7" s="1"/>
  <c r="AG6" i="23"/>
  <c r="AV4" i="26" s="1" a="1"/>
  <c r="AV4" i="26" s="1"/>
  <c r="AB4" i="7" s="1"/>
  <c r="AH6" i="23"/>
  <c r="BD4" i="26" s="1" a="1"/>
  <c r="BD4" i="26" s="1"/>
  <c r="AJ4" i="7" s="1"/>
  <c r="AI6" i="23"/>
  <c r="AX4" i="26" s="1" a="1"/>
  <c r="AX4" i="26" s="1"/>
  <c r="AD4" i="7" s="1"/>
  <c r="AJ6" i="23"/>
  <c r="AW4" i="26" s="1" a="1"/>
  <c r="AW4" i="26" s="1"/>
  <c r="AC4" i="7" s="1"/>
  <c r="AK6" i="23"/>
  <c r="AY4" i="26" s="1" a="1"/>
  <c r="AY4" i="26" s="1"/>
  <c r="AE4" i="7" s="1"/>
  <c r="AL6" i="23"/>
  <c r="AZ4" i="26" s="1" a="1"/>
  <c r="AZ4" i="26" s="1"/>
  <c r="AF4" i="7" s="1"/>
  <c r="AM6" i="23"/>
  <c r="BA4" i="26" s="1" a="1"/>
  <c r="BA4" i="26" s="1"/>
  <c r="AG4" i="7" s="1"/>
  <c r="AN6" i="23"/>
  <c r="BB4" i="26" s="1" a="1"/>
  <c r="BB4" i="26" s="1"/>
  <c r="AH4" i="7" s="1"/>
  <c r="V7" i="23"/>
  <c r="W7" i="23"/>
  <c r="X7" i="23"/>
  <c r="AM5" i="26" s="1" a="1"/>
  <c r="AM5" i="26" s="1"/>
  <c r="S5" i="7" s="1"/>
  <c r="Y7" i="23"/>
  <c r="Z7" i="23"/>
  <c r="AO5" i="26" s="1" a="1"/>
  <c r="AO5" i="26" s="1"/>
  <c r="U5" i="7" s="1"/>
  <c r="AA7" i="23"/>
  <c r="AP5" i="26" s="1" a="1"/>
  <c r="AP5" i="26" s="1"/>
  <c r="V5" i="7" s="1"/>
  <c r="AB7" i="23"/>
  <c r="AQ5" i="26" s="1" a="1"/>
  <c r="AQ5" i="26" s="1"/>
  <c r="W5" i="7" s="1"/>
  <c r="AC7" i="23"/>
  <c r="AR5" i="26" s="1" a="1"/>
  <c r="AR5" i="26" s="1"/>
  <c r="X5" i="7" s="1"/>
  <c r="AD7" i="23"/>
  <c r="AS5" i="26" s="1" a="1"/>
  <c r="AS5" i="26" s="1"/>
  <c r="Y5" i="7" s="1"/>
  <c r="AE7" i="23"/>
  <c r="AT5" i="26" s="1" a="1"/>
  <c r="AT5" i="26" s="1"/>
  <c r="Z5" i="7" s="1"/>
  <c r="AF7" i="23"/>
  <c r="AU5" i="26" s="1" a="1"/>
  <c r="AU5" i="26" s="1"/>
  <c r="AA5" i="7" s="1"/>
  <c r="AG7" i="23"/>
  <c r="AV5" i="26" s="1" a="1"/>
  <c r="AV5" i="26" s="1"/>
  <c r="AB5" i="7" s="1"/>
  <c r="AH7" i="23"/>
  <c r="BD5" i="26" s="1" a="1"/>
  <c r="BD5" i="26" s="1"/>
  <c r="AJ5" i="7" s="1"/>
  <c r="AI7" i="23"/>
  <c r="AX5" i="26" s="1" a="1"/>
  <c r="AX5" i="26" s="1"/>
  <c r="AD5" i="7" s="1"/>
  <c r="AJ7" i="23"/>
  <c r="AW5" i="26" s="1" a="1"/>
  <c r="AW5" i="26" s="1"/>
  <c r="AC5" i="7" s="1"/>
  <c r="AK7" i="23"/>
  <c r="AY5" i="26" s="1" a="1"/>
  <c r="AY5" i="26" s="1"/>
  <c r="AE5" i="7" s="1"/>
  <c r="AL7" i="23"/>
  <c r="AZ5" i="26" s="1" a="1"/>
  <c r="AZ5" i="26" s="1"/>
  <c r="AF5" i="7" s="1"/>
  <c r="AM7" i="23"/>
  <c r="BA5" i="26" s="1" a="1"/>
  <c r="BA5" i="26" s="1"/>
  <c r="AG5" i="7" s="1"/>
  <c r="AN7" i="23"/>
  <c r="BB5" i="26" s="1" a="1"/>
  <c r="BB5" i="26" s="1"/>
  <c r="AH5" i="7" s="1"/>
  <c r="V8" i="23"/>
  <c r="W8" i="23"/>
  <c r="X8" i="23"/>
  <c r="AM8" i="26" s="1" a="1"/>
  <c r="AM8" i="26" s="1"/>
  <c r="S8" i="7" s="1"/>
  <c r="Y8" i="23"/>
  <c r="Z8" i="23"/>
  <c r="AO8" i="26" s="1" a="1"/>
  <c r="AO8" i="26" s="1"/>
  <c r="U8" i="7" s="1"/>
  <c r="AA8" i="23"/>
  <c r="AP8" i="26" s="1" a="1"/>
  <c r="AP8" i="26" s="1"/>
  <c r="V8" i="7" s="1"/>
  <c r="AB8" i="23"/>
  <c r="AQ8" i="26" s="1" a="1"/>
  <c r="AQ8" i="26" s="1"/>
  <c r="W8" i="7" s="1"/>
  <c r="AC8" i="23"/>
  <c r="AR8" i="26" s="1" a="1"/>
  <c r="AR8" i="26" s="1"/>
  <c r="X8" i="7" s="1"/>
  <c r="AD8" i="23"/>
  <c r="AS8" i="26" s="1" a="1"/>
  <c r="AS8" i="26" s="1"/>
  <c r="Y8" i="7" s="1"/>
  <c r="AE8" i="23"/>
  <c r="AT8" i="26" s="1" a="1"/>
  <c r="AT8" i="26" s="1"/>
  <c r="Z8" i="7" s="1"/>
  <c r="AF8" i="23"/>
  <c r="AU8" i="26" s="1" a="1"/>
  <c r="AU8" i="26" s="1"/>
  <c r="AA8" i="7" s="1"/>
  <c r="AG8" i="23"/>
  <c r="AV8" i="26" s="1" a="1"/>
  <c r="AV8" i="26" s="1"/>
  <c r="AB8" i="7" s="1"/>
  <c r="AH8" i="23"/>
  <c r="BD8" i="26" s="1" a="1"/>
  <c r="BD8" i="26" s="1"/>
  <c r="AJ8" i="7" s="1"/>
  <c r="AI8" i="23"/>
  <c r="AX8" i="26" s="1" a="1"/>
  <c r="AX8" i="26" s="1"/>
  <c r="AD8" i="7" s="1"/>
  <c r="AJ8" i="23"/>
  <c r="AW8" i="26" s="1" a="1"/>
  <c r="AW8" i="26" s="1"/>
  <c r="AC8" i="7" s="1"/>
  <c r="AK8" i="23"/>
  <c r="AY8" i="26" s="1" a="1"/>
  <c r="AY8" i="26" s="1"/>
  <c r="AE8" i="7" s="1"/>
  <c r="AL8" i="23"/>
  <c r="AZ8" i="26" s="1" a="1"/>
  <c r="AZ8" i="26" s="1"/>
  <c r="AF8" i="7" s="1"/>
  <c r="AM8" i="23"/>
  <c r="BA8" i="26" s="1" a="1"/>
  <c r="BA8" i="26" s="1"/>
  <c r="AG8" i="7" s="1"/>
  <c r="AN8" i="23"/>
  <c r="BB8" i="26" s="1" a="1"/>
  <c r="BB8" i="26" s="1"/>
  <c r="AH8" i="7" s="1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V10" i="23"/>
  <c r="W10" i="23"/>
  <c r="X10" i="23"/>
  <c r="AM6" i="26" s="1" a="1"/>
  <c r="AM6" i="26" s="1"/>
  <c r="S6" i="7" s="1"/>
  <c r="Y10" i="23"/>
  <c r="Z10" i="23"/>
  <c r="AO6" i="26" s="1" a="1"/>
  <c r="AO6" i="26" s="1"/>
  <c r="U6" i="7" s="1"/>
  <c r="AA10" i="23"/>
  <c r="AP6" i="26" s="1" a="1"/>
  <c r="AP6" i="26" s="1"/>
  <c r="V6" i="7" s="1"/>
  <c r="AB10" i="23"/>
  <c r="AQ6" i="26" s="1" a="1"/>
  <c r="AQ6" i="26" s="1"/>
  <c r="W6" i="7" s="1"/>
  <c r="AC10" i="23"/>
  <c r="AR6" i="26" s="1" a="1"/>
  <c r="AR6" i="26" s="1"/>
  <c r="X6" i="7" s="1"/>
  <c r="AD10" i="23"/>
  <c r="AS6" i="26" s="1" a="1"/>
  <c r="AS6" i="26" s="1"/>
  <c r="Y6" i="7" s="1"/>
  <c r="AE10" i="23"/>
  <c r="AT6" i="26" s="1" a="1"/>
  <c r="AT6" i="26" s="1"/>
  <c r="Z6" i="7" s="1"/>
  <c r="AF10" i="23"/>
  <c r="AU6" i="26" s="1" a="1"/>
  <c r="AU6" i="26" s="1"/>
  <c r="AA6" i="7" s="1"/>
  <c r="AG10" i="23"/>
  <c r="AV6" i="26" s="1" a="1"/>
  <c r="AV6" i="26" s="1"/>
  <c r="AB6" i="7" s="1"/>
  <c r="AH10" i="23"/>
  <c r="BD6" i="26" s="1" a="1"/>
  <c r="BD6" i="26" s="1"/>
  <c r="AJ6" i="7" s="1"/>
  <c r="AI10" i="23"/>
  <c r="AX6" i="26" s="1" a="1"/>
  <c r="AX6" i="26" s="1"/>
  <c r="AD6" i="7" s="1"/>
  <c r="AJ10" i="23"/>
  <c r="AW6" i="26" s="1" a="1"/>
  <c r="AW6" i="26" s="1"/>
  <c r="AC6" i="7" s="1"/>
  <c r="AK10" i="23"/>
  <c r="AY6" i="26" s="1" a="1"/>
  <c r="AY6" i="26" s="1"/>
  <c r="AE6" i="7" s="1"/>
  <c r="AL10" i="23"/>
  <c r="AZ6" i="26" s="1" a="1"/>
  <c r="AZ6" i="26" s="1"/>
  <c r="AF6" i="7" s="1"/>
  <c r="AM10" i="23"/>
  <c r="BA6" i="26" s="1" a="1"/>
  <c r="BA6" i="26" s="1"/>
  <c r="AG6" i="7" s="1"/>
  <c r="AN10" i="23"/>
  <c r="BB6" i="26" s="1" a="1"/>
  <c r="BB6" i="26" s="1"/>
  <c r="AH6" i="7" s="1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V12" i="23"/>
  <c r="W12" i="23"/>
  <c r="X12" i="23"/>
  <c r="AM7" i="26" s="1" a="1"/>
  <c r="AM7" i="26" s="1"/>
  <c r="S7" i="7" s="1"/>
  <c r="Y12" i="23"/>
  <c r="Z12" i="23"/>
  <c r="AO7" i="26" s="1" a="1"/>
  <c r="AO7" i="26" s="1"/>
  <c r="U7" i="7" s="1"/>
  <c r="AA12" i="23"/>
  <c r="AP7" i="26" s="1" a="1"/>
  <c r="AP7" i="26" s="1"/>
  <c r="V7" i="7" s="1"/>
  <c r="AB12" i="23"/>
  <c r="AQ7" i="26" s="1" a="1"/>
  <c r="AQ7" i="26" s="1"/>
  <c r="W7" i="7" s="1"/>
  <c r="AC12" i="23"/>
  <c r="AR7" i="26" s="1" a="1"/>
  <c r="AR7" i="26" s="1"/>
  <c r="X7" i="7" s="1"/>
  <c r="AD12" i="23"/>
  <c r="AS7" i="26" s="1" a="1"/>
  <c r="AS7" i="26" s="1"/>
  <c r="Y7" i="7" s="1"/>
  <c r="AE12" i="23"/>
  <c r="AT7" i="26" s="1" a="1"/>
  <c r="AT7" i="26" s="1"/>
  <c r="Z7" i="7" s="1"/>
  <c r="AF12" i="23"/>
  <c r="AU7" i="26" s="1" a="1"/>
  <c r="AU7" i="26" s="1"/>
  <c r="AA7" i="7" s="1"/>
  <c r="AG12" i="23"/>
  <c r="AV7" i="26" s="1" a="1"/>
  <c r="AV7" i="26" s="1"/>
  <c r="AB7" i="7" s="1"/>
  <c r="AH12" i="23"/>
  <c r="BD7" i="26" s="1" a="1"/>
  <c r="BD7" i="26" s="1"/>
  <c r="AJ7" i="7" s="1"/>
  <c r="AI12" i="23"/>
  <c r="AX7" i="26" s="1" a="1"/>
  <c r="AX7" i="26" s="1"/>
  <c r="AD7" i="7" s="1"/>
  <c r="AJ12" i="23"/>
  <c r="AW7" i="26" s="1" a="1"/>
  <c r="AW7" i="26" s="1"/>
  <c r="AC7" i="7" s="1"/>
  <c r="AK12" i="23"/>
  <c r="AY7" i="26" s="1" a="1"/>
  <c r="AY7" i="26" s="1"/>
  <c r="AE7" i="7" s="1"/>
  <c r="AL12" i="23"/>
  <c r="AZ7" i="26" s="1" a="1"/>
  <c r="AZ7" i="26" s="1"/>
  <c r="AF7" i="7" s="1"/>
  <c r="AM12" i="23"/>
  <c r="BA7" i="26" s="1" a="1"/>
  <c r="BA7" i="26" s="1"/>
  <c r="AG7" i="7" s="1"/>
  <c r="AN12" i="23"/>
  <c r="BB7" i="26" s="1" a="1"/>
  <c r="BB7" i="26" s="1"/>
  <c r="AH7" i="7" s="1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AH22" i="23"/>
  <c r="AI22" i="23"/>
  <c r="AJ22" i="23"/>
  <c r="AK22" i="23"/>
  <c r="AL22" i="23"/>
  <c r="AM22" i="23"/>
  <c r="AN22" i="23"/>
  <c r="V23" i="23"/>
  <c r="W23" i="23"/>
  <c r="X23" i="23"/>
  <c r="Y23" i="23"/>
  <c r="Z23" i="23"/>
  <c r="AA23" i="23"/>
  <c r="AB23" i="23"/>
  <c r="AC23" i="23"/>
  <c r="AR15" i="26" s="1" a="1"/>
  <c r="AR15" i="26" s="1"/>
  <c r="X15" i="7" s="1"/>
  <c r="AD23" i="23"/>
  <c r="AE23" i="23"/>
  <c r="AF23" i="23"/>
  <c r="AG23" i="23"/>
  <c r="AH23" i="23"/>
  <c r="AI23" i="23"/>
  <c r="AJ23" i="23"/>
  <c r="AK23" i="23"/>
  <c r="AY15" i="26" s="1" a="1"/>
  <c r="AY15" i="26" s="1"/>
  <c r="AE15" i="7" s="1"/>
  <c r="AL23" i="23"/>
  <c r="AM23" i="23"/>
  <c r="AN23" i="23"/>
  <c r="V24" i="23"/>
  <c r="W24" i="23"/>
  <c r="X24" i="23"/>
  <c r="Y24" i="23"/>
  <c r="Z24" i="23"/>
  <c r="AO17" i="26" s="1" a="1"/>
  <c r="AO17" i="26" s="1"/>
  <c r="U17" i="7" s="1"/>
  <c r="AA24" i="23"/>
  <c r="AB24" i="23"/>
  <c r="AC24" i="23"/>
  <c r="AD24" i="23"/>
  <c r="AE24" i="23"/>
  <c r="AF24" i="23"/>
  <c r="AG24" i="23"/>
  <c r="AH24" i="23"/>
  <c r="BD17" i="26" s="1" a="1"/>
  <c r="BD17" i="26" s="1"/>
  <c r="AJ17" i="7" s="1"/>
  <c r="AI24" i="23"/>
  <c r="AJ24" i="23"/>
  <c r="AK24" i="23"/>
  <c r="AL24" i="23"/>
  <c r="AM24" i="23"/>
  <c r="AN24" i="23"/>
  <c r="V25" i="23"/>
  <c r="W25" i="23"/>
  <c r="X25" i="23"/>
  <c r="Y25" i="23"/>
  <c r="Z25" i="23"/>
  <c r="AA25" i="23"/>
  <c r="AB25" i="23"/>
  <c r="AC25" i="23"/>
  <c r="AD25" i="23"/>
  <c r="AE25" i="23"/>
  <c r="AT14" i="26" s="1" a="1"/>
  <c r="AT14" i="26" s="1"/>
  <c r="Z14" i="7" s="1"/>
  <c r="AF25" i="23"/>
  <c r="AG25" i="23"/>
  <c r="AH25" i="23"/>
  <c r="AI25" i="23"/>
  <c r="AJ25" i="23"/>
  <c r="AK25" i="23"/>
  <c r="AL25" i="23"/>
  <c r="AM25" i="23"/>
  <c r="BA14" i="26" s="1" a="1"/>
  <c r="BA14" i="26" s="1"/>
  <c r="AG14" i="7" s="1"/>
  <c r="AN25" i="23"/>
  <c r="V26" i="23"/>
  <c r="W26" i="23"/>
  <c r="X26" i="23"/>
  <c r="Y26" i="23"/>
  <c r="Z26" i="23"/>
  <c r="AA26" i="23"/>
  <c r="AB26" i="23"/>
  <c r="AQ16" i="26" s="1" a="1"/>
  <c r="AQ16" i="26" s="1"/>
  <c r="W16" i="7" s="1"/>
  <c r="AC26" i="23"/>
  <c r="AD26" i="23"/>
  <c r="AE26" i="23"/>
  <c r="AF26" i="23"/>
  <c r="AG26" i="23"/>
  <c r="AH26" i="23"/>
  <c r="AI26" i="23"/>
  <c r="AJ26" i="23"/>
  <c r="AW16" i="26" s="1" a="1"/>
  <c r="AW16" i="26" s="1"/>
  <c r="AC16" i="7" s="1"/>
  <c r="AK26" i="23"/>
  <c r="AL26" i="23"/>
  <c r="AM26" i="23"/>
  <c r="AN26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AV18" i="26" s="1" a="1"/>
  <c r="AV18" i="26" s="1"/>
  <c r="AB18" i="7" s="1"/>
  <c r="AH27" i="23"/>
  <c r="AI27" i="23"/>
  <c r="AJ27" i="23"/>
  <c r="AK27" i="23"/>
  <c r="AL27" i="23"/>
  <c r="AM27" i="23"/>
  <c r="AN27" i="23"/>
  <c r="V28" i="23"/>
  <c r="W28" i="23"/>
  <c r="X28" i="23"/>
  <c r="Y28" i="23"/>
  <c r="Z28" i="23"/>
  <c r="AA28" i="23"/>
  <c r="AB28" i="23"/>
  <c r="AC28" i="23"/>
  <c r="AD28" i="23"/>
  <c r="AS19" i="26" s="1" a="1"/>
  <c r="AS19" i="26" s="1"/>
  <c r="Y19" i="7" s="1"/>
  <c r="AE28" i="23"/>
  <c r="AF28" i="23"/>
  <c r="AG28" i="23"/>
  <c r="AH28" i="23"/>
  <c r="AI28" i="23"/>
  <c r="AJ28" i="23"/>
  <c r="AK28" i="23"/>
  <c r="AL28" i="23"/>
  <c r="AZ19" i="26" s="1" a="1"/>
  <c r="AZ19" i="26" s="1"/>
  <c r="AF19" i="7" s="1"/>
  <c r="AM28" i="23"/>
  <c r="AN28" i="23"/>
  <c r="V29" i="23"/>
  <c r="W29" i="23"/>
  <c r="X29" i="23"/>
  <c r="Y29" i="23"/>
  <c r="Z29" i="23"/>
  <c r="AA29" i="23"/>
  <c r="AP20" i="26" s="1" a="1"/>
  <c r="AP20" i="26" s="1"/>
  <c r="V20" i="7" s="1"/>
  <c r="AB29" i="23"/>
  <c r="AC29" i="23"/>
  <c r="AD29" i="23"/>
  <c r="AE29" i="23"/>
  <c r="AF29" i="23"/>
  <c r="AG29" i="23"/>
  <c r="AH29" i="23"/>
  <c r="AI29" i="23"/>
  <c r="AX20" i="26" s="1" a="1"/>
  <c r="AX20" i="26" s="1"/>
  <c r="AD20" i="7" s="1"/>
  <c r="AJ29" i="23"/>
  <c r="AK29" i="23"/>
  <c r="AL29" i="23"/>
  <c r="AM29" i="23"/>
  <c r="AN29" i="23"/>
  <c r="V30" i="23"/>
  <c r="W30" i="23"/>
  <c r="X30" i="23"/>
  <c r="Y30" i="23"/>
  <c r="Z30" i="23"/>
  <c r="AA30" i="23"/>
  <c r="AB30" i="23"/>
  <c r="AC30" i="23"/>
  <c r="AD30" i="23"/>
  <c r="AE30" i="23"/>
  <c r="AF30" i="23"/>
  <c r="AG30" i="23"/>
  <c r="AH30" i="23"/>
  <c r="AI30" i="23"/>
  <c r="AJ30" i="23"/>
  <c r="AK30" i="23"/>
  <c r="AL30" i="23"/>
  <c r="AM30" i="23"/>
  <c r="AN30" i="23"/>
  <c r="V31" i="23"/>
  <c r="W31" i="23"/>
  <c r="X31" i="23"/>
  <c r="Y31" i="23"/>
  <c r="Z31" i="23"/>
  <c r="AA31" i="23"/>
  <c r="AB31" i="23"/>
  <c r="AC31" i="23"/>
  <c r="AR21" i="26" s="1" a="1"/>
  <c r="AR21" i="26" s="1"/>
  <c r="X21" i="7" s="1"/>
  <c r="AD31" i="23"/>
  <c r="AE31" i="23"/>
  <c r="AF31" i="23"/>
  <c r="AG31" i="23"/>
  <c r="AH31" i="23"/>
  <c r="AI31" i="23"/>
  <c r="AJ31" i="23"/>
  <c r="AK31" i="23"/>
  <c r="AY21" i="26" s="1" a="1"/>
  <c r="AY21" i="26" s="1"/>
  <c r="AE21" i="7" s="1"/>
  <c r="AL31" i="23"/>
  <c r="AM31" i="23"/>
  <c r="AN31" i="23"/>
  <c r="V32" i="23"/>
  <c r="W32" i="23"/>
  <c r="X32" i="23"/>
  <c r="Y32" i="23"/>
  <c r="Z32" i="23"/>
  <c r="AA32" i="23"/>
  <c r="AB32" i="23"/>
  <c r="AC32" i="23"/>
  <c r="AD32" i="23"/>
  <c r="AE32" i="23"/>
  <c r="AF32" i="23"/>
  <c r="AG32" i="23"/>
  <c r="AH32" i="23"/>
  <c r="AI32" i="23"/>
  <c r="AJ32" i="23"/>
  <c r="AK32" i="23"/>
  <c r="AL32" i="23"/>
  <c r="AM32" i="23"/>
  <c r="AN32" i="23"/>
  <c r="V33" i="23"/>
  <c r="W33" i="23"/>
  <c r="X33" i="23"/>
  <c r="Y33" i="23"/>
  <c r="Z33" i="23"/>
  <c r="AA33" i="23"/>
  <c r="AB33" i="23"/>
  <c r="AC33" i="23"/>
  <c r="AD33" i="23"/>
  <c r="AE33" i="23"/>
  <c r="AF33" i="23"/>
  <c r="AG33" i="23"/>
  <c r="AH33" i="23"/>
  <c r="AI33" i="23"/>
  <c r="AJ33" i="23"/>
  <c r="AK33" i="23"/>
  <c r="AL33" i="23"/>
  <c r="AM33" i="23"/>
  <c r="AN33" i="23"/>
  <c r="V34" i="23"/>
  <c r="W34" i="23"/>
  <c r="X34" i="23"/>
  <c r="Y34" i="23"/>
  <c r="Z34" i="23"/>
  <c r="AA34" i="23"/>
  <c r="AB34" i="23"/>
  <c r="AC34" i="23"/>
  <c r="AD34" i="23"/>
  <c r="AE34" i="23"/>
  <c r="AF34" i="23"/>
  <c r="AG34" i="23"/>
  <c r="AH34" i="23"/>
  <c r="AI34" i="23"/>
  <c r="AJ34" i="23"/>
  <c r="AK34" i="23"/>
  <c r="AL34" i="23"/>
  <c r="AM34" i="23"/>
  <c r="AN34" i="23"/>
  <c r="V35" i="23"/>
  <c r="W35" i="23"/>
  <c r="X35" i="23"/>
  <c r="Y35" i="23"/>
  <c r="Z35" i="23"/>
  <c r="AA35" i="23"/>
  <c r="AB35" i="23"/>
  <c r="AC35" i="23"/>
  <c r="AD35" i="23"/>
  <c r="AE35" i="23"/>
  <c r="AF35" i="23"/>
  <c r="AG35" i="23"/>
  <c r="AH35" i="23"/>
  <c r="AI35" i="23"/>
  <c r="AJ35" i="23"/>
  <c r="AK35" i="23"/>
  <c r="AL35" i="23"/>
  <c r="AM35" i="23"/>
  <c r="AN35" i="23"/>
  <c r="V36" i="23"/>
  <c r="W36" i="23"/>
  <c r="X36" i="23"/>
  <c r="Y36" i="23"/>
  <c r="Z36" i="23"/>
  <c r="AA36" i="23"/>
  <c r="AB36" i="23"/>
  <c r="AC36" i="23"/>
  <c r="AD36" i="23"/>
  <c r="AE36" i="23"/>
  <c r="AF36" i="23"/>
  <c r="AG36" i="23"/>
  <c r="AH36" i="23"/>
  <c r="AI36" i="23"/>
  <c r="AJ36" i="23"/>
  <c r="AK36" i="23"/>
  <c r="AL36" i="23"/>
  <c r="AM36" i="23"/>
  <c r="AN36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AK37" i="23"/>
  <c r="AL37" i="23"/>
  <c r="AM37" i="23"/>
  <c r="AN37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AK39" i="23"/>
  <c r="AL39" i="23"/>
  <c r="AM39" i="23"/>
  <c r="AN39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AK40" i="23"/>
  <c r="AL40" i="23"/>
  <c r="AM40" i="23"/>
  <c r="AN40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AK41" i="23"/>
  <c r="AL41" i="23"/>
  <c r="AM41" i="23"/>
  <c r="AN41" i="23"/>
  <c r="V42" i="23"/>
  <c r="W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AL42" i="23"/>
  <c r="AM42" i="23"/>
  <c r="AN42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AL43" i="23"/>
  <c r="AM43" i="23"/>
  <c r="AN43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AK44" i="23"/>
  <c r="AL44" i="23"/>
  <c r="AM44" i="23"/>
  <c r="AN44" i="23"/>
  <c r="V45" i="23"/>
  <c r="W45" i="23"/>
  <c r="X45" i="23"/>
  <c r="Y45" i="23"/>
  <c r="Z45" i="23"/>
  <c r="AA45" i="23"/>
  <c r="AB45" i="23"/>
  <c r="AC45" i="23"/>
  <c r="AD45" i="23"/>
  <c r="AE45" i="23"/>
  <c r="AF45" i="23"/>
  <c r="AG45" i="23"/>
  <c r="AH45" i="23"/>
  <c r="AI45" i="23"/>
  <c r="AJ45" i="23"/>
  <c r="AK45" i="23"/>
  <c r="AL45" i="23"/>
  <c r="AM45" i="23"/>
  <c r="AN45" i="23"/>
  <c r="V46" i="23"/>
  <c r="W46" i="23"/>
  <c r="X46" i="23"/>
  <c r="Y46" i="23"/>
  <c r="Z46" i="23"/>
  <c r="AA46" i="23"/>
  <c r="AB46" i="23"/>
  <c r="AC46" i="23"/>
  <c r="AD46" i="23"/>
  <c r="AE46" i="23"/>
  <c r="AF46" i="23"/>
  <c r="AG46" i="23"/>
  <c r="AH46" i="23"/>
  <c r="AI46" i="23"/>
  <c r="AJ46" i="23"/>
  <c r="AK46" i="23"/>
  <c r="AL46" i="23"/>
  <c r="AM46" i="23"/>
  <c r="AN46" i="23"/>
  <c r="V47" i="23"/>
  <c r="W47" i="23"/>
  <c r="X47" i="23"/>
  <c r="Y47" i="23"/>
  <c r="Z47" i="23"/>
  <c r="AA47" i="23"/>
  <c r="AB47" i="23"/>
  <c r="AC47" i="23"/>
  <c r="AD47" i="23"/>
  <c r="AE47" i="23"/>
  <c r="AF47" i="23"/>
  <c r="AG47" i="23"/>
  <c r="AH47" i="23"/>
  <c r="AI47" i="23"/>
  <c r="AJ47" i="23"/>
  <c r="AK47" i="23"/>
  <c r="AL47" i="23"/>
  <c r="AM47" i="23"/>
  <c r="AN47" i="23"/>
  <c r="V48" i="23"/>
  <c r="W48" i="23"/>
  <c r="X48" i="23"/>
  <c r="Y48" i="23"/>
  <c r="Z48" i="23"/>
  <c r="AA48" i="23"/>
  <c r="AB48" i="23"/>
  <c r="AC48" i="23"/>
  <c r="AD48" i="23"/>
  <c r="AE48" i="23"/>
  <c r="AF48" i="23"/>
  <c r="AG48" i="23"/>
  <c r="AH48" i="23"/>
  <c r="AI48" i="23"/>
  <c r="AJ48" i="23"/>
  <c r="AK48" i="23"/>
  <c r="AL48" i="23"/>
  <c r="AM48" i="23"/>
  <c r="AN48" i="23"/>
  <c r="V49" i="23"/>
  <c r="W49" i="23"/>
  <c r="X49" i="23"/>
  <c r="Y49" i="23"/>
  <c r="Z49" i="23"/>
  <c r="AA49" i="23"/>
  <c r="AB49" i="23"/>
  <c r="AC49" i="23"/>
  <c r="AD49" i="23"/>
  <c r="AE49" i="23"/>
  <c r="AF49" i="23"/>
  <c r="AG49" i="23"/>
  <c r="AH49" i="23"/>
  <c r="AI49" i="23"/>
  <c r="AJ49" i="23"/>
  <c r="AK49" i="23"/>
  <c r="AL49" i="23"/>
  <c r="AM49" i="23"/>
  <c r="BA30" i="26" s="1" a="1"/>
  <c r="BA30" i="26" s="1"/>
  <c r="AG30" i="7" s="1"/>
  <c r="AN49" i="23"/>
  <c r="V50" i="23"/>
  <c r="W50" i="23"/>
  <c r="X50" i="23"/>
  <c r="Y50" i="23"/>
  <c r="Z50" i="23"/>
  <c r="AA50" i="23"/>
  <c r="AB50" i="23"/>
  <c r="AQ33" i="26" s="1" a="1"/>
  <c r="AQ33" i="26" s="1"/>
  <c r="W33" i="7" s="1"/>
  <c r="AC50" i="23"/>
  <c r="AD50" i="23"/>
  <c r="AE50" i="23"/>
  <c r="AF50" i="23"/>
  <c r="AG50" i="23"/>
  <c r="AH50" i="23"/>
  <c r="AI50" i="23"/>
  <c r="AJ50" i="23"/>
  <c r="AW33" i="26" s="1" a="1"/>
  <c r="AW33" i="26" s="1"/>
  <c r="AC33" i="7" s="1"/>
  <c r="AK50" i="23"/>
  <c r="AL50" i="23"/>
  <c r="AM50" i="23"/>
  <c r="AN50" i="23"/>
  <c r="V51" i="23"/>
  <c r="W51" i="23"/>
  <c r="X51" i="23"/>
  <c r="Y51" i="23"/>
  <c r="Z51" i="23"/>
  <c r="AA51" i="23"/>
  <c r="AB51" i="23"/>
  <c r="AC51" i="23"/>
  <c r="AD51" i="23"/>
  <c r="AE51" i="23"/>
  <c r="AF51" i="23"/>
  <c r="AG51" i="23"/>
  <c r="AH51" i="23"/>
  <c r="AI51" i="23"/>
  <c r="AJ51" i="23"/>
  <c r="AK51" i="23"/>
  <c r="AL51" i="23"/>
  <c r="AM51" i="23"/>
  <c r="AN51" i="23"/>
  <c r="V52" i="23"/>
  <c r="W52" i="23"/>
  <c r="X52" i="23"/>
  <c r="Y52" i="23"/>
  <c r="Z52" i="23"/>
  <c r="AA52" i="23"/>
  <c r="AB52" i="23"/>
  <c r="AC52" i="23"/>
  <c r="AD52" i="23"/>
  <c r="AE52" i="23"/>
  <c r="AF52" i="23"/>
  <c r="AG52" i="23"/>
  <c r="AH52" i="23"/>
  <c r="AI52" i="23"/>
  <c r="AJ52" i="23"/>
  <c r="AK52" i="23"/>
  <c r="AL52" i="23"/>
  <c r="AM52" i="23"/>
  <c r="AN52" i="23"/>
  <c r="V53" i="23"/>
  <c r="W53" i="23"/>
  <c r="X53" i="23"/>
  <c r="Y53" i="23"/>
  <c r="Z53" i="23"/>
  <c r="AA53" i="23"/>
  <c r="AB53" i="23"/>
  <c r="AC53" i="23"/>
  <c r="AD53" i="23"/>
  <c r="AE53" i="23"/>
  <c r="AF53" i="23"/>
  <c r="AG53" i="23"/>
  <c r="AH53" i="23"/>
  <c r="AI53" i="23"/>
  <c r="AJ53" i="23"/>
  <c r="AK53" i="23"/>
  <c r="AL53" i="23"/>
  <c r="AM53" i="23"/>
  <c r="AN53" i="23"/>
  <c r="V54" i="23"/>
  <c r="W54" i="23"/>
  <c r="X54" i="23"/>
  <c r="Y54" i="23"/>
  <c r="Z54" i="23"/>
  <c r="AA54" i="23"/>
  <c r="AB54" i="23"/>
  <c r="AC54" i="23"/>
  <c r="AD54" i="23"/>
  <c r="AE54" i="23"/>
  <c r="AF54" i="23"/>
  <c r="AG54" i="23"/>
  <c r="AH54" i="23"/>
  <c r="AI54" i="23"/>
  <c r="AJ54" i="23"/>
  <c r="AK54" i="23"/>
  <c r="AL54" i="23"/>
  <c r="AM54" i="23"/>
  <c r="AN54" i="23"/>
  <c r="V55" i="23"/>
  <c r="W55" i="23"/>
  <c r="X55" i="23"/>
  <c r="Y55" i="23"/>
  <c r="Z55" i="23"/>
  <c r="AA55" i="23"/>
  <c r="AB55" i="23"/>
  <c r="AC55" i="23"/>
  <c r="AD55" i="23"/>
  <c r="AE55" i="23"/>
  <c r="AF55" i="23"/>
  <c r="AG55" i="23"/>
  <c r="AH55" i="23"/>
  <c r="AI55" i="23"/>
  <c r="AJ55" i="23"/>
  <c r="AK55" i="23"/>
  <c r="AL55" i="23"/>
  <c r="AM55" i="23"/>
  <c r="AN55" i="23"/>
  <c r="V56" i="23"/>
  <c r="W56" i="23"/>
  <c r="X56" i="23"/>
  <c r="Y56" i="23"/>
  <c r="Z56" i="23"/>
  <c r="AA56" i="23"/>
  <c r="AB56" i="23"/>
  <c r="AC56" i="23"/>
  <c r="AD56" i="23"/>
  <c r="AE56" i="23"/>
  <c r="AF56" i="23"/>
  <c r="AG56" i="23"/>
  <c r="AH56" i="23"/>
  <c r="AI56" i="23"/>
  <c r="AJ56" i="23"/>
  <c r="AK56" i="23"/>
  <c r="AL56" i="23"/>
  <c r="AM56" i="23"/>
  <c r="AN56" i="23"/>
  <c r="V57" i="23"/>
  <c r="W57" i="23"/>
  <c r="X57" i="23"/>
  <c r="Y57" i="23"/>
  <c r="Z57" i="23"/>
  <c r="AA57" i="23"/>
  <c r="AB57" i="23"/>
  <c r="AC57" i="23"/>
  <c r="AD57" i="23"/>
  <c r="AE57" i="23"/>
  <c r="AF57" i="23"/>
  <c r="AG57" i="23"/>
  <c r="AH57" i="23"/>
  <c r="AI57" i="23"/>
  <c r="AJ57" i="23"/>
  <c r="AK57" i="23"/>
  <c r="AL57" i="23"/>
  <c r="AM57" i="23"/>
  <c r="AN57" i="23"/>
  <c r="V58" i="23"/>
  <c r="W58" i="23"/>
  <c r="X58" i="23"/>
  <c r="Y58" i="23"/>
  <c r="Z58" i="23"/>
  <c r="AA58" i="23"/>
  <c r="AB58" i="23"/>
  <c r="AC58" i="23"/>
  <c r="AD58" i="23"/>
  <c r="AE58" i="23"/>
  <c r="AF58" i="23"/>
  <c r="AG58" i="23"/>
  <c r="AH58" i="23"/>
  <c r="AI58" i="23"/>
  <c r="AJ58" i="23"/>
  <c r="AK58" i="23"/>
  <c r="AL58" i="23"/>
  <c r="AM58" i="23"/>
  <c r="AN58" i="23"/>
  <c r="V59" i="23"/>
  <c r="W59" i="23"/>
  <c r="X59" i="23"/>
  <c r="Y59" i="23"/>
  <c r="Z59" i="23"/>
  <c r="AA59" i="23"/>
  <c r="AB59" i="23"/>
  <c r="AC59" i="23"/>
  <c r="AD59" i="23"/>
  <c r="AE59" i="23"/>
  <c r="AF59" i="23"/>
  <c r="AG59" i="23"/>
  <c r="AH59" i="23"/>
  <c r="AI59" i="23"/>
  <c r="AJ59" i="23"/>
  <c r="AK59" i="23"/>
  <c r="AL59" i="23"/>
  <c r="AM59" i="23"/>
  <c r="AN59" i="23"/>
  <c r="V60" i="23"/>
  <c r="W60" i="23"/>
  <c r="X60" i="23"/>
  <c r="Y60" i="23"/>
  <c r="Z60" i="23"/>
  <c r="AA60" i="23"/>
  <c r="AB60" i="23"/>
  <c r="AC60" i="23"/>
  <c r="AD60" i="23"/>
  <c r="AE60" i="23"/>
  <c r="AF60" i="23"/>
  <c r="AG60" i="23"/>
  <c r="AH60" i="23"/>
  <c r="AI60" i="23"/>
  <c r="AJ60" i="23"/>
  <c r="AK60" i="23"/>
  <c r="AL60" i="23"/>
  <c r="AM60" i="23"/>
  <c r="AN60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V68" i="23"/>
  <c r="W68" i="23"/>
  <c r="X68" i="23"/>
  <c r="Y68" i="23"/>
  <c r="Z68" i="23"/>
  <c r="AA68" i="23"/>
  <c r="AB68" i="23"/>
  <c r="AC68" i="23"/>
  <c r="AD68" i="23"/>
  <c r="AE68" i="23"/>
  <c r="AF68" i="23"/>
  <c r="AG68" i="23"/>
  <c r="AH68" i="23"/>
  <c r="AI68" i="23"/>
  <c r="AJ68" i="23"/>
  <c r="AK68" i="23"/>
  <c r="AL68" i="23"/>
  <c r="AM68" i="23"/>
  <c r="AN68" i="23"/>
  <c r="V69" i="23"/>
  <c r="W69" i="23"/>
  <c r="X69" i="23"/>
  <c r="Y69" i="23"/>
  <c r="Z69" i="23"/>
  <c r="AA69" i="23"/>
  <c r="AB69" i="23"/>
  <c r="AC69" i="23"/>
  <c r="AD69" i="23"/>
  <c r="AE69" i="23"/>
  <c r="AF69" i="23"/>
  <c r="AG69" i="23"/>
  <c r="AH69" i="23"/>
  <c r="AI69" i="23"/>
  <c r="AJ69" i="23"/>
  <c r="AK69" i="23"/>
  <c r="AL69" i="23"/>
  <c r="AM69" i="23"/>
  <c r="AN69" i="23"/>
  <c r="V70" i="23"/>
  <c r="W70" i="23"/>
  <c r="X70" i="23"/>
  <c r="Y70" i="23"/>
  <c r="Z70" i="23"/>
  <c r="AA70" i="23"/>
  <c r="AB70" i="23"/>
  <c r="AC70" i="23"/>
  <c r="AD70" i="23"/>
  <c r="AE70" i="23"/>
  <c r="AF70" i="23"/>
  <c r="AG70" i="23"/>
  <c r="AH70" i="23"/>
  <c r="AI70" i="23"/>
  <c r="AJ70" i="23"/>
  <c r="AK70" i="23"/>
  <c r="AL70" i="23"/>
  <c r="AM70" i="23"/>
  <c r="AN70" i="23"/>
  <c r="V71" i="23"/>
  <c r="W71" i="23"/>
  <c r="X71" i="23"/>
  <c r="Y71" i="23"/>
  <c r="Z71" i="23"/>
  <c r="AA71" i="23"/>
  <c r="AB71" i="23"/>
  <c r="AC71" i="23"/>
  <c r="AR10" i="26" s="1" a="1"/>
  <c r="AR10" i="26" s="1"/>
  <c r="X10" i="7" s="1"/>
  <c r="AD71" i="23"/>
  <c r="AE71" i="23"/>
  <c r="AF71" i="23"/>
  <c r="AG71" i="23"/>
  <c r="AH71" i="23"/>
  <c r="AI71" i="23"/>
  <c r="AJ71" i="23"/>
  <c r="AK71" i="23"/>
  <c r="AY10" i="26" s="1" a="1"/>
  <c r="AY10" i="26" s="1"/>
  <c r="AE10" i="7" s="1"/>
  <c r="AL71" i="23"/>
  <c r="AM71" i="23"/>
  <c r="AN71" i="23"/>
  <c r="V72" i="23"/>
  <c r="W72" i="23"/>
  <c r="X72" i="23"/>
  <c r="Y72" i="23"/>
  <c r="Z72" i="23"/>
  <c r="AA72" i="23"/>
  <c r="AB72" i="23"/>
  <c r="AC72" i="23"/>
  <c r="AD72" i="23"/>
  <c r="AE72" i="23"/>
  <c r="AF72" i="23"/>
  <c r="AG72" i="23"/>
  <c r="AH72" i="23"/>
  <c r="AI72" i="23"/>
  <c r="AJ72" i="23"/>
  <c r="AK72" i="23"/>
  <c r="AL72" i="23"/>
  <c r="AM72" i="23"/>
  <c r="AN72" i="23"/>
  <c r="V73" i="23"/>
  <c r="W73" i="23"/>
  <c r="X73" i="23"/>
  <c r="Y73" i="23"/>
  <c r="Z73" i="23"/>
  <c r="AA73" i="23"/>
  <c r="AB73" i="23"/>
  <c r="AC73" i="23"/>
  <c r="AD73" i="23"/>
  <c r="AE73" i="23"/>
  <c r="AF73" i="23"/>
  <c r="AG73" i="23"/>
  <c r="AH73" i="23"/>
  <c r="AI73" i="23"/>
  <c r="AJ73" i="23"/>
  <c r="AK73" i="23"/>
  <c r="AL73" i="23"/>
  <c r="AM73" i="23"/>
  <c r="AN73" i="23"/>
  <c r="V74" i="23"/>
  <c r="W74" i="23"/>
  <c r="X74" i="23"/>
  <c r="Y74" i="23"/>
  <c r="Z74" i="23"/>
  <c r="AA74" i="23"/>
  <c r="AB74" i="23"/>
  <c r="AC74" i="23"/>
  <c r="AD74" i="23"/>
  <c r="AE74" i="23"/>
  <c r="AF74" i="23"/>
  <c r="AG74" i="23"/>
  <c r="AH74" i="23"/>
  <c r="AI74" i="23"/>
  <c r="AJ74" i="23"/>
  <c r="AK74" i="23"/>
  <c r="AL74" i="23"/>
  <c r="AM74" i="23"/>
  <c r="AN74" i="23"/>
  <c r="V75" i="23"/>
  <c r="W75" i="23"/>
  <c r="X75" i="23"/>
  <c r="Y75" i="23"/>
  <c r="Z75" i="23"/>
  <c r="AA75" i="23"/>
  <c r="AB75" i="23"/>
  <c r="AC75" i="23"/>
  <c r="AD75" i="23"/>
  <c r="AE75" i="23"/>
  <c r="AF75" i="23"/>
  <c r="AG75" i="23"/>
  <c r="AH75" i="23"/>
  <c r="AI75" i="23"/>
  <c r="AJ75" i="23"/>
  <c r="AK75" i="23"/>
  <c r="AL75" i="23"/>
  <c r="AM75" i="23"/>
  <c r="AN75" i="23"/>
  <c r="V76" i="23"/>
  <c r="W76" i="23"/>
  <c r="X76" i="23"/>
  <c r="Y76" i="23"/>
  <c r="Z76" i="23"/>
  <c r="AA76" i="23"/>
  <c r="AB76" i="23"/>
  <c r="AC76" i="23"/>
  <c r="AD76" i="23"/>
  <c r="AE76" i="23"/>
  <c r="AF76" i="23"/>
  <c r="AG76" i="23"/>
  <c r="AH76" i="23"/>
  <c r="AI76" i="23"/>
  <c r="AJ76" i="23"/>
  <c r="AK76" i="23"/>
  <c r="AL76" i="23"/>
  <c r="AM76" i="23"/>
  <c r="AN76" i="23"/>
  <c r="V77" i="23"/>
  <c r="W77" i="23"/>
  <c r="X77" i="23"/>
  <c r="Y77" i="23"/>
  <c r="Z77" i="23"/>
  <c r="AA77" i="23"/>
  <c r="AB77" i="23"/>
  <c r="AC77" i="23"/>
  <c r="AD77" i="23"/>
  <c r="AE77" i="23"/>
  <c r="AF77" i="23"/>
  <c r="AG77" i="23"/>
  <c r="AH77" i="23"/>
  <c r="AI77" i="23"/>
  <c r="AJ77" i="23"/>
  <c r="AK77" i="23"/>
  <c r="AL77" i="23"/>
  <c r="AM77" i="23"/>
  <c r="AN77" i="23"/>
  <c r="V78" i="23"/>
  <c r="W78" i="23"/>
  <c r="X78" i="23"/>
  <c r="Y78" i="23"/>
  <c r="Z78" i="23"/>
  <c r="AA78" i="23"/>
  <c r="AB78" i="23"/>
  <c r="AC78" i="23"/>
  <c r="AD78" i="23"/>
  <c r="AE78" i="23"/>
  <c r="AF78" i="23"/>
  <c r="AG78" i="23"/>
  <c r="AH78" i="23"/>
  <c r="AI78" i="23"/>
  <c r="AJ78" i="23"/>
  <c r="AK78" i="23"/>
  <c r="AL78" i="23"/>
  <c r="AM78" i="23"/>
  <c r="AN78" i="23"/>
  <c r="V79" i="23"/>
  <c r="W79" i="23"/>
  <c r="X79" i="23"/>
  <c r="Y79" i="23"/>
  <c r="Z79" i="23"/>
  <c r="AA79" i="23"/>
  <c r="AB79" i="23"/>
  <c r="AC79" i="23"/>
  <c r="AD79" i="23"/>
  <c r="AE79" i="23"/>
  <c r="AF79" i="23"/>
  <c r="AG79" i="23"/>
  <c r="AH79" i="23"/>
  <c r="AI79" i="23"/>
  <c r="AJ79" i="23"/>
  <c r="AK79" i="23"/>
  <c r="AL79" i="23"/>
  <c r="AM79" i="23"/>
  <c r="AN79" i="23"/>
  <c r="V80" i="23"/>
  <c r="W80" i="23"/>
  <c r="X80" i="23"/>
  <c r="Y80" i="23"/>
  <c r="Z80" i="23"/>
  <c r="AA80" i="23"/>
  <c r="AB80" i="23"/>
  <c r="AC80" i="23"/>
  <c r="AD80" i="23"/>
  <c r="AE80" i="23"/>
  <c r="AF80" i="23"/>
  <c r="AG80" i="23"/>
  <c r="AH80" i="23"/>
  <c r="AI80" i="23"/>
  <c r="AJ80" i="23"/>
  <c r="AK80" i="23"/>
  <c r="AL80" i="23"/>
  <c r="AM80" i="23"/>
  <c r="AN80" i="23"/>
  <c r="V81" i="23"/>
  <c r="W81" i="23"/>
  <c r="X81" i="23"/>
  <c r="Y81" i="23"/>
  <c r="Z81" i="23"/>
  <c r="AA81" i="23"/>
  <c r="AB81" i="23"/>
  <c r="AC81" i="23"/>
  <c r="AD81" i="23"/>
  <c r="AE81" i="23"/>
  <c r="AF81" i="23"/>
  <c r="AG81" i="23"/>
  <c r="AH81" i="23"/>
  <c r="AI81" i="23"/>
  <c r="AJ81" i="23"/>
  <c r="AK81" i="23"/>
  <c r="AL81" i="23"/>
  <c r="AM81" i="23"/>
  <c r="AN81" i="23"/>
  <c r="V82" i="23"/>
  <c r="W82" i="23"/>
  <c r="X82" i="23"/>
  <c r="AM47" i="26" s="1" a="1"/>
  <c r="AM47" i="26" s="1"/>
  <c r="S47" i="7" s="1"/>
  <c r="Y82" i="23"/>
  <c r="Z82" i="23"/>
  <c r="AO47" i="26" s="1" a="1"/>
  <c r="AO47" i="26" s="1"/>
  <c r="U47" i="7" s="1"/>
  <c r="AA82" i="23"/>
  <c r="AP47" i="26" s="1" a="1"/>
  <c r="AP47" i="26" s="1"/>
  <c r="V47" i="7" s="1"/>
  <c r="AB82" i="23"/>
  <c r="AQ47" i="26" s="1" a="1"/>
  <c r="AQ47" i="26" s="1"/>
  <c r="W47" i="7" s="1"/>
  <c r="AC82" i="23"/>
  <c r="AR47" i="26" s="1" a="1"/>
  <c r="AR47" i="26" s="1"/>
  <c r="X47" i="7" s="1"/>
  <c r="AD82" i="23"/>
  <c r="AS47" i="26" s="1" a="1"/>
  <c r="AS47" i="26" s="1"/>
  <c r="Y47" i="7" s="1"/>
  <c r="AE82" i="23"/>
  <c r="AT47" i="26" s="1" a="1"/>
  <c r="AT47" i="26" s="1"/>
  <c r="Z47" i="7" s="1"/>
  <c r="AF82" i="23"/>
  <c r="AU47" i="26" s="1" a="1"/>
  <c r="AU47" i="26" s="1"/>
  <c r="AA47" i="7" s="1"/>
  <c r="AG82" i="23"/>
  <c r="AV47" i="26" s="1" a="1"/>
  <c r="AV47" i="26" s="1"/>
  <c r="AB47" i="7" s="1"/>
  <c r="AH82" i="23"/>
  <c r="BD47" i="26" s="1" a="1"/>
  <c r="BD47" i="26" s="1"/>
  <c r="AJ47" i="7" s="1"/>
  <c r="AI82" i="23"/>
  <c r="AX47" i="26" s="1" a="1"/>
  <c r="AX47" i="26" s="1"/>
  <c r="AD47" i="7" s="1"/>
  <c r="AJ82" i="23"/>
  <c r="AW47" i="26" s="1" a="1"/>
  <c r="AW47" i="26" s="1"/>
  <c r="AC47" i="7" s="1"/>
  <c r="AK82" i="23"/>
  <c r="AY47" i="26" s="1" a="1"/>
  <c r="AY47" i="26" s="1"/>
  <c r="AE47" i="7" s="1"/>
  <c r="AL82" i="23"/>
  <c r="AZ47" i="26" s="1" a="1"/>
  <c r="AZ47" i="26" s="1"/>
  <c r="AF47" i="7" s="1"/>
  <c r="AM82" i="23"/>
  <c r="BA47" i="26" s="1" a="1"/>
  <c r="BA47" i="26" s="1"/>
  <c r="AG47" i="7" s="1"/>
  <c r="AN82" i="23"/>
  <c r="BB47" i="26" s="1" a="1"/>
  <c r="BB47" i="26" s="1"/>
  <c r="AH47" i="7" s="1"/>
  <c r="V83" i="23"/>
  <c r="W83" i="23"/>
  <c r="X83" i="23"/>
  <c r="AM35" i="26" s="1" a="1"/>
  <c r="AM35" i="26" s="1"/>
  <c r="S35" i="7" s="1"/>
  <c r="Y83" i="23"/>
  <c r="Z83" i="23"/>
  <c r="AO35" i="26" s="1" a="1"/>
  <c r="AO35" i="26" s="1"/>
  <c r="U35" i="7" s="1"/>
  <c r="AA83" i="23"/>
  <c r="AP35" i="26" s="1" a="1"/>
  <c r="AP35" i="26" s="1"/>
  <c r="V35" i="7" s="1"/>
  <c r="AB83" i="23"/>
  <c r="AQ35" i="26" s="1" a="1"/>
  <c r="AQ35" i="26" s="1"/>
  <c r="W35" i="7" s="1"/>
  <c r="AC83" i="23"/>
  <c r="AR35" i="26" s="1" a="1"/>
  <c r="AR35" i="26" s="1"/>
  <c r="X35" i="7" s="1"/>
  <c r="AD83" i="23"/>
  <c r="AS35" i="26" s="1" a="1"/>
  <c r="AS35" i="26" s="1"/>
  <c r="Y35" i="7" s="1"/>
  <c r="AE83" i="23"/>
  <c r="AT35" i="26" s="1" a="1"/>
  <c r="AT35" i="26" s="1"/>
  <c r="Z35" i="7" s="1"/>
  <c r="AF83" i="23"/>
  <c r="AU35" i="26" s="1" a="1"/>
  <c r="AU35" i="26" s="1"/>
  <c r="AA35" i="7" s="1"/>
  <c r="AG83" i="23"/>
  <c r="AV35" i="26" s="1" a="1"/>
  <c r="AV35" i="26" s="1"/>
  <c r="AB35" i="7" s="1"/>
  <c r="AH83" i="23"/>
  <c r="BD35" i="26" s="1" a="1"/>
  <c r="BD35" i="26" s="1"/>
  <c r="AJ35" i="7" s="1"/>
  <c r="AI83" i="23"/>
  <c r="AX35" i="26" s="1" a="1"/>
  <c r="AX35" i="26" s="1"/>
  <c r="AD35" i="7" s="1"/>
  <c r="AJ83" i="23"/>
  <c r="AW35" i="26" s="1" a="1"/>
  <c r="AW35" i="26" s="1"/>
  <c r="AC35" i="7" s="1"/>
  <c r="AK83" i="23"/>
  <c r="AY35" i="26" s="1" a="1"/>
  <c r="AY35" i="26" s="1"/>
  <c r="AE35" i="7" s="1"/>
  <c r="AL83" i="23"/>
  <c r="AZ35" i="26" s="1" a="1"/>
  <c r="AZ35" i="26" s="1"/>
  <c r="AF35" i="7" s="1"/>
  <c r="AM83" i="23"/>
  <c r="BA35" i="26" s="1" a="1"/>
  <c r="BA35" i="26" s="1"/>
  <c r="AG35" i="7" s="1"/>
  <c r="AN83" i="23"/>
  <c r="BB35" i="26" s="1" a="1"/>
  <c r="BB35" i="26" s="1"/>
  <c r="AH35" i="7" s="1"/>
  <c r="V84" i="23"/>
  <c r="W84" i="23"/>
  <c r="X84" i="23"/>
  <c r="AM36" i="26" s="1" a="1"/>
  <c r="AM36" i="26" s="1"/>
  <c r="S36" i="7" s="1"/>
  <c r="Y84" i="23"/>
  <c r="Z84" i="23"/>
  <c r="AO36" i="26" s="1" a="1"/>
  <c r="AO36" i="26" s="1"/>
  <c r="U36" i="7" s="1"/>
  <c r="AA84" i="23"/>
  <c r="AP36" i="26" s="1" a="1"/>
  <c r="AP36" i="26" s="1"/>
  <c r="V36" i="7" s="1"/>
  <c r="AB84" i="23"/>
  <c r="AQ36" i="26" s="1" a="1"/>
  <c r="AQ36" i="26" s="1"/>
  <c r="W36" i="7" s="1"/>
  <c r="AC84" i="23"/>
  <c r="AR36" i="26" s="1" a="1"/>
  <c r="AR36" i="26" s="1"/>
  <c r="X36" i="7" s="1"/>
  <c r="AD84" i="23"/>
  <c r="AS36" i="26" s="1" a="1"/>
  <c r="AS36" i="26" s="1"/>
  <c r="Y36" i="7" s="1"/>
  <c r="AE84" i="23"/>
  <c r="AT36" i="26" s="1" a="1"/>
  <c r="AT36" i="26" s="1"/>
  <c r="Z36" i="7" s="1"/>
  <c r="AF84" i="23"/>
  <c r="AU36" i="26" s="1" a="1"/>
  <c r="AU36" i="26" s="1"/>
  <c r="AA36" i="7" s="1"/>
  <c r="AG84" i="23"/>
  <c r="AV36" i="26" s="1" a="1"/>
  <c r="AV36" i="26" s="1"/>
  <c r="AB36" i="7" s="1"/>
  <c r="AH84" i="23"/>
  <c r="BD36" i="26" s="1" a="1"/>
  <c r="BD36" i="26" s="1"/>
  <c r="AJ36" i="7" s="1"/>
  <c r="AI84" i="23"/>
  <c r="AX36" i="26" s="1" a="1"/>
  <c r="AX36" i="26" s="1"/>
  <c r="AD36" i="7" s="1"/>
  <c r="AJ84" i="23"/>
  <c r="AW36" i="26" s="1" a="1"/>
  <c r="AW36" i="26" s="1"/>
  <c r="AC36" i="7" s="1"/>
  <c r="AK84" i="23"/>
  <c r="AY36" i="26" s="1" a="1"/>
  <c r="AY36" i="26" s="1"/>
  <c r="AE36" i="7" s="1"/>
  <c r="AL84" i="23"/>
  <c r="AZ36" i="26" s="1" a="1"/>
  <c r="AZ36" i="26" s="1"/>
  <c r="AF36" i="7" s="1"/>
  <c r="AM84" i="23"/>
  <c r="BA36" i="26" s="1" a="1"/>
  <c r="BA36" i="26" s="1"/>
  <c r="AG36" i="7" s="1"/>
  <c r="AN84" i="23"/>
  <c r="BB36" i="26" s="1" a="1"/>
  <c r="BB36" i="26" s="1"/>
  <c r="AH36" i="7" s="1"/>
  <c r="V85" i="23"/>
  <c r="W85" i="23"/>
  <c r="X85" i="23"/>
  <c r="AM41" i="26" s="1" a="1"/>
  <c r="AM41" i="26" s="1"/>
  <c r="S41" i="7" s="1"/>
  <c r="Y85" i="23"/>
  <c r="Z85" i="23"/>
  <c r="AO41" i="26" s="1" a="1"/>
  <c r="AO41" i="26" s="1"/>
  <c r="U41" i="7" s="1"/>
  <c r="AA85" i="23"/>
  <c r="AP41" i="26" s="1" a="1"/>
  <c r="AP41" i="26" s="1"/>
  <c r="V41" i="7" s="1"/>
  <c r="AB85" i="23"/>
  <c r="AQ41" i="26" s="1" a="1"/>
  <c r="AQ41" i="26" s="1"/>
  <c r="W41" i="7" s="1"/>
  <c r="AC85" i="23"/>
  <c r="AR41" i="26" s="1" a="1"/>
  <c r="AR41" i="26" s="1"/>
  <c r="X41" i="7" s="1"/>
  <c r="AD85" i="23"/>
  <c r="AS41" i="26" s="1" a="1"/>
  <c r="AS41" i="26" s="1"/>
  <c r="Y41" i="7" s="1"/>
  <c r="AE85" i="23"/>
  <c r="AT41" i="26" s="1" a="1"/>
  <c r="AT41" i="26" s="1"/>
  <c r="Z41" i="7" s="1"/>
  <c r="AF85" i="23"/>
  <c r="AU41" i="26" s="1" a="1"/>
  <c r="AU41" i="26" s="1"/>
  <c r="AA41" i="7" s="1"/>
  <c r="AG85" i="23"/>
  <c r="AV41" i="26" s="1" a="1"/>
  <c r="AV41" i="26" s="1"/>
  <c r="AB41" i="7" s="1"/>
  <c r="AH85" i="23"/>
  <c r="BD41" i="26" s="1" a="1"/>
  <c r="BD41" i="26" s="1"/>
  <c r="AJ41" i="7" s="1"/>
  <c r="AI85" i="23"/>
  <c r="AX41" i="26" s="1" a="1"/>
  <c r="AX41" i="26" s="1"/>
  <c r="AD41" i="7" s="1"/>
  <c r="AJ85" i="23"/>
  <c r="AW41" i="26" s="1" a="1"/>
  <c r="AW41" i="26" s="1"/>
  <c r="AC41" i="7" s="1"/>
  <c r="AK85" i="23"/>
  <c r="AY41" i="26" s="1" a="1"/>
  <c r="AY41" i="26" s="1"/>
  <c r="AE41" i="7" s="1"/>
  <c r="AL85" i="23"/>
  <c r="AZ41" i="26" s="1" a="1"/>
  <c r="AZ41" i="26" s="1"/>
  <c r="AF41" i="7" s="1"/>
  <c r="AM85" i="23"/>
  <c r="BA41" i="26" s="1" a="1"/>
  <c r="BA41" i="26" s="1"/>
  <c r="AG41" i="7" s="1"/>
  <c r="AN85" i="23"/>
  <c r="BB41" i="26" s="1" a="1"/>
  <c r="BB41" i="26" s="1"/>
  <c r="AH41" i="7" s="1"/>
  <c r="V86" i="23"/>
  <c r="W86" i="23"/>
  <c r="X86" i="23"/>
  <c r="AM40" i="26" s="1" a="1"/>
  <c r="AM40" i="26" s="1"/>
  <c r="S40" i="7" s="1"/>
  <c r="Y86" i="23"/>
  <c r="Z86" i="23"/>
  <c r="AO40" i="26" s="1" a="1"/>
  <c r="AO40" i="26" s="1"/>
  <c r="U40" i="7" s="1"/>
  <c r="AA86" i="23"/>
  <c r="AP40" i="26" s="1" a="1"/>
  <c r="AP40" i="26" s="1"/>
  <c r="V40" i="7" s="1"/>
  <c r="AB86" i="23"/>
  <c r="AQ40" i="26" s="1" a="1"/>
  <c r="AQ40" i="26" s="1"/>
  <c r="W40" i="7" s="1"/>
  <c r="AC86" i="23"/>
  <c r="AR40" i="26" s="1" a="1"/>
  <c r="AR40" i="26" s="1"/>
  <c r="X40" i="7" s="1"/>
  <c r="AD86" i="23"/>
  <c r="AS40" i="26" s="1" a="1"/>
  <c r="AS40" i="26" s="1"/>
  <c r="Y40" i="7" s="1"/>
  <c r="AE86" i="23"/>
  <c r="AT40" i="26" s="1" a="1"/>
  <c r="AT40" i="26" s="1"/>
  <c r="Z40" i="7" s="1"/>
  <c r="AF86" i="23"/>
  <c r="AU40" i="26" s="1" a="1"/>
  <c r="AU40" i="26" s="1"/>
  <c r="AA40" i="7" s="1"/>
  <c r="AG86" i="23"/>
  <c r="AV40" i="26" s="1" a="1"/>
  <c r="AV40" i="26" s="1"/>
  <c r="AB40" i="7" s="1"/>
  <c r="AH86" i="23"/>
  <c r="BD40" i="26" s="1" a="1"/>
  <c r="BD40" i="26" s="1"/>
  <c r="AJ40" i="7" s="1"/>
  <c r="AI86" i="23"/>
  <c r="AX40" i="26" s="1" a="1"/>
  <c r="AX40" i="26" s="1"/>
  <c r="AD40" i="7" s="1"/>
  <c r="AJ86" i="23"/>
  <c r="AW40" i="26" s="1" a="1"/>
  <c r="AW40" i="26" s="1"/>
  <c r="AC40" i="7" s="1"/>
  <c r="AK86" i="23"/>
  <c r="AY40" i="26" s="1" a="1"/>
  <c r="AY40" i="26" s="1"/>
  <c r="AE40" i="7" s="1"/>
  <c r="AL86" i="23"/>
  <c r="AZ40" i="26" s="1" a="1"/>
  <c r="AZ40" i="26" s="1"/>
  <c r="AF40" i="7" s="1"/>
  <c r="AM86" i="23"/>
  <c r="BA40" i="26" s="1" a="1"/>
  <c r="BA40" i="26" s="1"/>
  <c r="AG40" i="7" s="1"/>
  <c r="AN86" i="23"/>
  <c r="BB40" i="26" s="1" a="1"/>
  <c r="BB40" i="26" s="1"/>
  <c r="AH40" i="7" s="1"/>
  <c r="V87" i="23"/>
  <c r="W87" i="23"/>
  <c r="X87" i="23"/>
  <c r="AM42" i="26" s="1" a="1"/>
  <c r="AM42" i="26" s="1"/>
  <c r="S42" i="7" s="1"/>
  <c r="Y87" i="23"/>
  <c r="Z87" i="23"/>
  <c r="AO42" i="26" s="1" a="1"/>
  <c r="AO42" i="26" s="1"/>
  <c r="U42" i="7" s="1"/>
  <c r="AA87" i="23"/>
  <c r="AP42" i="26" s="1" a="1"/>
  <c r="AP42" i="26" s="1"/>
  <c r="V42" i="7" s="1"/>
  <c r="AB87" i="23"/>
  <c r="AQ42" i="26" s="1" a="1"/>
  <c r="AQ42" i="26" s="1"/>
  <c r="W42" i="7" s="1"/>
  <c r="AC87" i="23"/>
  <c r="AR42" i="26" s="1" a="1"/>
  <c r="AR42" i="26" s="1"/>
  <c r="X42" i="7" s="1"/>
  <c r="AD87" i="23"/>
  <c r="AS42" i="26" s="1" a="1"/>
  <c r="AS42" i="26" s="1"/>
  <c r="Y42" i="7" s="1"/>
  <c r="AE87" i="23"/>
  <c r="AT42" i="26" s="1" a="1"/>
  <c r="AT42" i="26" s="1"/>
  <c r="Z42" i="7" s="1"/>
  <c r="AF87" i="23"/>
  <c r="AU42" i="26" s="1" a="1"/>
  <c r="AU42" i="26" s="1"/>
  <c r="AA42" i="7" s="1"/>
  <c r="AG87" i="23"/>
  <c r="AV42" i="26" s="1" a="1"/>
  <c r="AV42" i="26" s="1"/>
  <c r="AB42" i="7" s="1"/>
  <c r="AH87" i="23"/>
  <c r="BD42" i="26" s="1" a="1"/>
  <c r="BD42" i="26" s="1"/>
  <c r="AJ42" i="7" s="1"/>
  <c r="AI87" i="23"/>
  <c r="AX42" i="26" s="1" a="1"/>
  <c r="AX42" i="26" s="1"/>
  <c r="AD42" i="7" s="1"/>
  <c r="AJ87" i="23"/>
  <c r="AW42" i="26" s="1" a="1"/>
  <c r="AW42" i="26" s="1"/>
  <c r="AC42" i="7" s="1"/>
  <c r="AK87" i="23"/>
  <c r="AY42" i="26" s="1" a="1"/>
  <c r="AY42" i="26" s="1"/>
  <c r="AE42" i="7" s="1"/>
  <c r="AL87" i="23"/>
  <c r="AZ42" i="26" s="1" a="1"/>
  <c r="AZ42" i="26" s="1"/>
  <c r="AF42" i="7" s="1"/>
  <c r="AM87" i="23"/>
  <c r="BA42" i="26" s="1" a="1"/>
  <c r="BA42" i="26" s="1"/>
  <c r="AG42" i="7" s="1"/>
  <c r="AN87" i="23"/>
  <c r="BB42" i="26" s="1" a="1"/>
  <c r="BB42" i="26" s="1"/>
  <c r="AH42" i="7" s="1"/>
  <c r="V88" i="23"/>
  <c r="W88" i="23"/>
  <c r="X88" i="23"/>
  <c r="AM38" i="26" s="1" a="1"/>
  <c r="AM38" i="26" s="1"/>
  <c r="S38" i="7" s="1"/>
  <c r="Y88" i="23"/>
  <c r="Z88" i="23"/>
  <c r="AO38" i="26" s="1" a="1"/>
  <c r="AO38" i="26" s="1"/>
  <c r="U38" i="7" s="1"/>
  <c r="AA88" i="23"/>
  <c r="AP38" i="26" s="1" a="1"/>
  <c r="AP38" i="26" s="1"/>
  <c r="V38" i="7" s="1"/>
  <c r="AB88" i="23"/>
  <c r="AQ38" i="26" s="1" a="1"/>
  <c r="AQ38" i="26" s="1"/>
  <c r="W38" i="7" s="1"/>
  <c r="AC88" i="23"/>
  <c r="AR38" i="26" s="1" a="1"/>
  <c r="AR38" i="26" s="1"/>
  <c r="X38" i="7" s="1"/>
  <c r="AD88" i="23"/>
  <c r="AS38" i="26" s="1" a="1"/>
  <c r="AS38" i="26" s="1"/>
  <c r="Y38" i="7" s="1"/>
  <c r="AE88" i="23"/>
  <c r="AT38" i="26" s="1" a="1"/>
  <c r="AT38" i="26" s="1"/>
  <c r="Z38" i="7" s="1"/>
  <c r="AF88" i="23"/>
  <c r="AU38" i="26" s="1" a="1"/>
  <c r="AU38" i="26" s="1"/>
  <c r="AA38" i="7" s="1"/>
  <c r="AG88" i="23"/>
  <c r="AV38" i="26" s="1" a="1"/>
  <c r="AV38" i="26" s="1"/>
  <c r="AB38" i="7" s="1"/>
  <c r="AH88" i="23"/>
  <c r="BD38" i="26" s="1" a="1"/>
  <c r="BD38" i="26" s="1"/>
  <c r="AJ38" i="7" s="1"/>
  <c r="AI88" i="23"/>
  <c r="AX38" i="26" s="1" a="1"/>
  <c r="AX38" i="26" s="1"/>
  <c r="AD38" i="7" s="1"/>
  <c r="AJ88" i="23"/>
  <c r="AW38" i="26" s="1" a="1"/>
  <c r="AW38" i="26" s="1"/>
  <c r="AC38" i="7" s="1"/>
  <c r="AK88" i="23"/>
  <c r="AY38" i="26" s="1" a="1"/>
  <c r="AY38" i="26" s="1"/>
  <c r="AE38" i="7" s="1"/>
  <c r="AL88" i="23"/>
  <c r="AZ38" i="26" s="1" a="1"/>
  <c r="AZ38" i="26" s="1"/>
  <c r="AF38" i="7" s="1"/>
  <c r="AM88" i="23"/>
  <c r="BA38" i="26" s="1" a="1"/>
  <c r="BA38" i="26" s="1"/>
  <c r="AG38" i="7" s="1"/>
  <c r="AN88" i="23"/>
  <c r="BB38" i="26" s="1" a="1"/>
  <c r="BB38" i="26" s="1"/>
  <c r="AH38" i="7" s="1"/>
  <c r="V89" i="23"/>
  <c r="W89" i="23"/>
  <c r="X89" i="23"/>
  <c r="AM37" i="26" s="1" a="1"/>
  <c r="AM37" i="26" s="1"/>
  <c r="S37" i="7" s="1"/>
  <c r="Y89" i="23"/>
  <c r="Z89" i="23"/>
  <c r="AO37" i="26" s="1" a="1"/>
  <c r="AO37" i="26" s="1"/>
  <c r="U37" i="7" s="1"/>
  <c r="AA89" i="23"/>
  <c r="AP37" i="26" s="1" a="1"/>
  <c r="AP37" i="26" s="1"/>
  <c r="V37" i="7" s="1"/>
  <c r="AB89" i="23"/>
  <c r="AQ37" i="26" s="1" a="1"/>
  <c r="AQ37" i="26" s="1"/>
  <c r="W37" i="7" s="1"/>
  <c r="AC89" i="23"/>
  <c r="AR37" i="26" s="1" a="1"/>
  <c r="AR37" i="26" s="1"/>
  <c r="X37" i="7" s="1"/>
  <c r="AD89" i="23"/>
  <c r="AS37" i="26" s="1" a="1"/>
  <c r="AS37" i="26" s="1"/>
  <c r="Y37" i="7" s="1"/>
  <c r="AE89" i="23"/>
  <c r="AT37" i="26" s="1" a="1"/>
  <c r="AT37" i="26" s="1"/>
  <c r="Z37" i="7" s="1"/>
  <c r="AF89" i="23"/>
  <c r="AU37" i="26" s="1" a="1"/>
  <c r="AU37" i="26" s="1"/>
  <c r="AA37" i="7" s="1"/>
  <c r="AG89" i="23"/>
  <c r="AV37" i="26" s="1" a="1"/>
  <c r="AV37" i="26" s="1"/>
  <c r="AB37" i="7" s="1"/>
  <c r="AH89" i="23"/>
  <c r="BD37" i="26" s="1" a="1"/>
  <c r="BD37" i="26" s="1"/>
  <c r="AJ37" i="7" s="1"/>
  <c r="AI89" i="23"/>
  <c r="AX37" i="26" s="1" a="1"/>
  <c r="AX37" i="26" s="1"/>
  <c r="AD37" i="7" s="1"/>
  <c r="AJ89" i="23"/>
  <c r="AW37" i="26" s="1" a="1"/>
  <c r="AW37" i="26" s="1"/>
  <c r="AC37" i="7" s="1"/>
  <c r="AK89" i="23"/>
  <c r="AY37" i="26" s="1" a="1"/>
  <c r="AY37" i="26" s="1"/>
  <c r="AE37" i="7" s="1"/>
  <c r="AL89" i="23"/>
  <c r="AZ37" i="26" s="1" a="1"/>
  <c r="AZ37" i="26" s="1"/>
  <c r="AF37" i="7" s="1"/>
  <c r="AM89" i="23"/>
  <c r="BA37" i="26" s="1" a="1"/>
  <c r="BA37" i="26" s="1"/>
  <c r="AG37" i="7" s="1"/>
  <c r="AN89" i="23"/>
  <c r="BB37" i="26" s="1" a="1"/>
  <c r="BB37" i="26" s="1"/>
  <c r="AH37" i="7" s="1"/>
  <c r="V90" i="23"/>
  <c r="W90" i="23"/>
  <c r="X90" i="23"/>
  <c r="AM43" i="26" s="1" a="1"/>
  <c r="AM43" i="26" s="1"/>
  <c r="S43" i="7" s="1"/>
  <c r="Y90" i="23"/>
  <c r="Z90" i="23"/>
  <c r="AO43" i="26" s="1" a="1"/>
  <c r="AO43" i="26" s="1"/>
  <c r="U43" i="7" s="1"/>
  <c r="AA90" i="23"/>
  <c r="AP43" i="26" s="1" a="1"/>
  <c r="AP43" i="26" s="1"/>
  <c r="V43" i="7" s="1"/>
  <c r="AB90" i="23"/>
  <c r="AQ43" i="26" s="1" a="1"/>
  <c r="AQ43" i="26" s="1"/>
  <c r="W43" i="7" s="1"/>
  <c r="AC90" i="23"/>
  <c r="AR43" i="26" s="1" a="1"/>
  <c r="AR43" i="26" s="1"/>
  <c r="X43" i="7" s="1"/>
  <c r="AD90" i="23"/>
  <c r="AS43" i="26" s="1" a="1"/>
  <c r="AS43" i="26" s="1"/>
  <c r="Y43" i="7" s="1"/>
  <c r="AE90" i="23"/>
  <c r="AT43" i="26" s="1" a="1"/>
  <c r="AT43" i="26" s="1"/>
  <c r="Z43" i="7" s="1"/>
  <c r="AF90" i="23"/>
  <c r="AU43" i="26" s="1" a="1"/>
  <c r="AU43" i="26" s="1"/>
  <c r="AA43" i="7" s="1"/>
  <c r="AG90" i="23"/>
  <c r="AV43" i="26" s="1" a="1"/>
  <c r="AV43" i="26" s="1"/>
  <c r="AB43" i="7" s="1"/>
  <c r="AH90" i="23"/>
  <c r="BD43" i="26" s="1" a="1"/>
  <c r="BD43" i="26" s="1"/>
  <c r="AJ43" i="7" s="1"/>
  <c r="AI90" i="23"/>
  <c r="AX43" i="26" s="1" a="1"/>
  <c r="AX43" i="26" s="1"/>
  <c r="AD43" i="7" s="1"/>
  <c r="AJ90" i="23"/>
  <c r="AW43" i="26" s="1" a="1"/>
  <c r="AW43" i="26" s="1"/>
  <c r="AC43" i="7" s="1"/>
  <c r="AK90" i="23"/>
  <c r="AY43" i="26" s="1" a="1"/>
  <c r="AY43" i="26" s="1"/>
  <c r="AE43" i="7" s="1"/>
  <c r="AL90" i="23"/>
  <c r="AZ43" i="26" s="1" a="1"/>
  <c r="AZ43" i="26" s="1"/>
  <c r="AF43" i="7" s="1"/>
  <c r="AM90" i="23"/>
  <c r="BA43" i="26" s="1" a="1"/>
  <c r="BA43" i="26" s="1"/>
  <c r="AG43" i="7" s="1"/>
  <c r="AN90" i="23"/>
  <c r="BB43" i="26" s="1" a="1"/>
  <c r="BB43" i="26" s="1"/>
  <c r="AH43" i="7" s="1"/>
  <c r="V91" i="23"/>
  <c r="W91" i="23"/>
  <c r="X91" i="23"/>
  <c r="AM49" i="26" s="1" a="1"/>
  <c r="AM49" i="26" s="1"/>
  <c r="S49" i="7" s="1"/>
  <c r="Y91" i="23"/>
  <c r="Z91" i="23"/>
  <c r="AO49" i="26" s="1" a="1"/>
  <c r="AO49" i="26" s="1"/>
  <c r="U49" i="7" s="1"/>
  <c r="AA91" i="23"/>
  <c r="AP49" i="26" s="1" a="1"/>
  <c r="AP49" i="26" s="1"/>
  <c r="V49" i="7" s="1"/>
  <c r="AB91" i="23"/>
  <c r="AQ49" i="26" s="1" a="1"/>
  <c r="AQ49" i="26" s="1"/>
  <c r="W49" i="7" s="1"/>
  <c r="AC91" i="23"/>
  <c r="AR49" i="26" s="1" a="1"/>
  <c r="AR49" i="26" s="1"/>
  <c r="X49" i="7" s="1"/>
  <c r="AD91" i="23"/>
  <c r="AS49" i="26" s="1" a="1"/>
  <c r="AS49" i="26" s="1"/>
  <c r="Y49" i="7" s="1"/>
  <c r="AE91" i="23"/>
  <c r="AT49" i="26" s="1" a="1"/>
  <c r="AT49" i="26" s="1"/>
  <c r="Z49" i="7" s="1"/>
  <c r="AF91" i="23"/>
  <c r="AU49" i="26" s="1" a="1"/>
  <c r="AU49" i="26" s="1"/>
  <c r="AA49" i="7" s="1"/>
  <c r="AG91" i="23"/>
  <c r="AV49" i="26" s="1" a="1"/>
  <c r="AV49" i="26" s="1"/>
  <c r="AB49" i="7" s="1"/>
  <c r="AH91" i="23"/>
  <c r="BD49" i="26" s="1" a="1"/>
  <c r="BD49" i="26" s="1"/>
  <c r="AJ49" i="7" s="1"/>
  <c r="AI91" i="23"/>
  <c r="AX49" i="26" s="1" a="1"/>
  <c r="AX49" i="26" s="1"/>
  <c r="AD49" i="7" s="1"/>
  <c r="AJ91" i="23"/>
  <c r="AW49" i="26" s="1" a="1"/>
  <c r="AW49" i="26" s="1"/>
  <c r="AC49" i="7" s="1"/>
  <c r="AK91" i="23"/>
  <c r="AY49" i="26" s="1" a="1"/>
  <c r="AY49" i="26" s="1"/>
  <c r="AE49" i="7" s="1"/>
  <c r="AL91" i="23"/>
  <c r="AZ49" i="26" s="1" a="1"/>
  <c r="AZ49" i="26" s="1"/>
  <c r="AF49" i="7" s="1"/>
  <c r="AM91" i="23"/>
  <c r="BA49" i="26" s="1" a="1"/>
  <c r="BA49" i="26" s="1"/>
  <c r="AG49" i="7" s="1"/>
  <c r="AN91" i="23"/>
  <c r="BB49" i="26" s="1" a="1"/>
  <c r="BB49" i="26" s="1"/>
  <c r="AH49" i="7" s="1"/>
  <c r="V92" i="23"/>
  <c r="W92" i="23"/>
  <c r="X92" i="23"/>
  <c r="AM44" i="26" s="1" a="1"/>
  <c r="AM44" i="26" s="1"/>
  <c r="S44" i="7" s="1"/>
  <c r="Y92" i="23"/>
  <c r="Z92" i="23"/>
  <c r="AO44" i="26" s="1" a="1"/>
  <c r="AO44" i="26" s="1"/>
  <c r="U44" i="7" s="1"/>
  <c r="AA92" i="23"/>
  <c r="AP44" i="26" s="1" a="1"/>
  <c r="AP44" i="26" s="1"/>
  <c r="V44" i="7" s="1"/>
  <c r="AB92" i="23"/>
  <c r="AQ44" i="26" s="1" a="1"/>
  <c r="AQ44" i="26" s="1"/>
  <c r="W44" i="7" s="1"/>
  <c r="AC92" i="23"/>
  <c r="AR44" i="26" s="1" a="1"/>
  <c r="AR44" i="26" s="1"/>
  <c r="X44" i="7" s="1"/>
  <c r="AD92" i="23"/>
  <c r="AS44" i="26" s="1" a="1"/>
  <c r="AS44" i="26" s="1"/>
  <c r="Y44" i="7" s="1"/>
  <c r="AE92" i="23"/>
  <c r="AT44" i="26" s="1" a="1"/>
  <c r="AT44" i="26" s="1"/>
  <c r="Z44" i="7" s="1"/>
  <c r="AF92" i="23"/>
  <c r="AU44" i="26" s="1" a="1"/>
  <c r="AU44" i="26" s="1"/>
  <c r="AA44" i="7" s="1"/>
  <c r="AG92" i="23"/>
  <c r="AV44" i="26" s="1" a="1"/>
  <c r="AV44" i="26" s="1"/>
  <c r="AB44" i="7" s="1"/>
  <c r="AH92" i="23"/>
  <c r="BD44" i="26" s="1" a="1"/>
  <c r="BD44" i="26" s="1"/>
  <c r="AJ44" i="7" s="1"/>
  <c r="AI92" i="23"/>
  <c r="AX44" i="26" s="1" a="1"/>
  <c r="AX44" i="26" s="1"/>
  <c r="AD44" i="7" s="1"/>
  <c r="AJ92" i="23"/>
  <c r="AW44" i="26" s="1" a="1"/>
  <c r="AW44" i="26" s="1"/>
  <c r="AC44" i="7" s="1"/>
  <c r="AK92" i="23"/>
  <c r="AY44" i="26" s="1" a="1"/>
  <c r="AY44" i="26" s="1"/>
  <c r="AE44" i="7" s="1"/>
  <c r="AL92" i="23"/>
  <c r="AZ44" i="26" s="1" a="1"/>
  <c r="AZ44" i="26" s="1"/>
  <c r="AF44" i="7" s="1"/>
  <c r="AM92" i="23"/>
  <c r="BA44" i="26" s="1" a="1"/>
  <c r="BA44" i="26" s="1"/>
  <c r="AG44" i="7" s="1"/>
  <c r="AN92" i="23"/>
  <c r="BB44" i="26" s="1" a="1"/>
  <c r="BB44" i="26" s="1"/>
  <c r="AH44" i="7" s="1"/>
  <c r="V93" i="23"/>
  <c r="W93" i="23"/>
  <c r="X93" i="23"/>
  <c r="AM45" i="26" s="1" a="1"/>
  <c r="AM45" i="26" s="1"/>
  <c r="S45" i="7" s="1"/>
  <c r="Y93" i="23"/>
  <c r="Z93" i="23"/>
  <c r="AO45" i="26" s="1" a="1"/>
  <c r="AO45" i="26" s="1"/>
  <c r="U45" i="7" s="1"/>
  <c r="AA93" i="23"/>
  <c r="AP45" i="26" s="1" a="1"/>
  <c r="AP45" i="26" s="1"/>
  <c r="V45" i="7" s="1"/>
  <c r="AB93" i="23"/>
  <c r="AQ45" i="26" s="1" a="1"/>
  <c r="AQ45" i="26" s="1"/>
  <c r="W45" i="7" s="1"/>
  <c r="AC93" i="23"/>
  <c r="AR45" i="26" s="1" a="1"/>
  <c r="AR45" i="26" s="1"/>
  <c r="X45" i="7" s="1"/>
  <c r="AD93" i="23"/>
  <c r="AS45" i="26" s="1" a="1"/>
  <c r="AS45" i="26" s="1"/>
  <c r="Y45" i="7" s="1"/>
  <c r="AE93" i="23"/>
  <c r="AT45" i="26" s="1" a="1"/>
  <c r="AT45" i="26" s="1"/>
  <c r="Z45" i="7" s="1"/>
  <c r="AF93" i="23"/>
  <c r="AU45" i="26" s="1" a="1"/>
  <c r="AU45" i="26" s="1"/>
  <c r="AA45" i="7" s="1"/>
  <c r="AG93" i="23"/>
  <c r="AV45" i="26" s="1" a="1"/>
  <c r="AV45" i="26" s="1"/>
  <c r="AB45" i="7" s="1"/>
  <c r="AH93" i="23"/>
  <c r="BD45" i="26" s="1" a="1"/>
  <c r="BD45" i="26" s="1"/>
  <c r="AJ45" i="7" s="1"/>
  <c r="AI93" i="23"/>
  <c r="AX45" i="26" s="1" a="1"/>
  <c r="AX45" i="26" s="1"/>
  <c r="AD45" i="7" s="1"/>
  <c r="AJ93" i="23"/>
  <c r="AW45" i="26" s="1" a="1"/>
  <c r="AW45" i="26" s="1"/>
  <c r="AC45" i="7" s="1"/>
  <c r="AK93" i="23"/>
  <c r="AY45" i="26" s="1" a="1"/>
  <c r="AY45" i="26" s="1"/>
  <c r="AE45" i="7" s="1"/>
  <c r="AL93" i="23"/>
  <c r="AZ45" i="26" s="1" a="1"/>
  <c r="AZ45" i="26" s="1"/>
  <c r="AF45" i="7" s="1"/>
  <c r="AM93" i="23"/>
  <c r="BA45" i="26" s="1" a="1"/>
  <c r="BA45" i="26" s="1"/>
  <c r="AG45" i="7" s="1"/>
  <c r="AN93" i="23"/>
  <c r="BB45" i="26" s="1" a="1"/>
  <c r="BB45" i="26" s="1"/>
  <c r="AH45" i="7" s="1"/>
  <c r="V94" i="23"/>
  <c r="W94" i="23"/>
  <c r="X94" i="23"/>
  <c r="AM39" i="26" s="1" a="1"/>
  <c r="AM39" i="26" s="1"/>
  <c r="S39" i="7" s="1"/>
  <c r="Y94" i="23"/>
  <c r="Z94" i="23"/>
  <c r="AO39" i="26" s="1" a="1"/>
  <c r="AO39" i="26" s="1"/>
  <c r="U39" i="7" s="1"/>
  <c r="AA94" i="23"/>
  <c r="AP39" i="26" s="1" a="1"/>
  <c r="AP39" i="26" s="1"/>
  <c r="V39" i="7" s="1"/>
  <c r="AB94" i="23"/>
  <c r="AQ39" i="26" s="1" a="1"/>
  <c r="AQ39" i="26" s="1"/>
  <c r="W39" i="7" s="1"/>
  <c r="AC94" i="23"/>
  <c r="AR39" i="26" s="1" a="1"/>
  <c r="AR39" i="26" s="1"/>
  <c r="X39" i="7" s="1"/>
  <c r="AD94" i="23"/>
  <c r="AS39" i="26" s="1" a="1"/>
  <c r="AS39" i="26" s="1"/>
  <c r="Y39" i="7" s="1"/>
  <c r="AE94" i="23"/>
  <c r="AT39" i="26" s="1" a="1"/>
  <c r="AT39" i="26" s="1"/>
  <c r="Z39" i="7" s="1"/>
  <c r="AF94" i="23"/>
  <c r="AU39" i="26" s="1" a="1"/>
  <c r="AU39" i="26" s="1"/>
  <c r="AA39" i="7" s="1"/>
  <c r="AG94" i="23"/>
  <c r="AV39" i="26" s="1" a="1"/>
  <c r="AV39" i="26" s="1"/>
  <c r="AB39" i="7" s="1"/>
  <c r="AH94" i="23"/>
  <c r="BD39" i="26" s="1" a="1"/>
  <c r="BD39" i="26" s="1"/>
  <c r="AJ39" i="7" s="1"/>
  <c r="AI94" i="23"/>
  <c r="AX39" i="26" s="1" a="1"/>
  <c r="AX39" i="26" s="1"/>
  <c r="AD39" i="7" s="1"/>
  <c r="AJ94" i="23"/>
  <c r="AW39" i="26" s="1" a="1"/>
  <c r="AW39" i="26" s="1"/>
  <c r="AC39" i="7" s="1"/>
  <c r="AK94" i="23"/>
  <c r="AY39" i="26" s="1" a="1"/>
  <c r="AY39" i="26" s="1"/>
  <c r="AE39" i="7" s="1"/>
  <c r="AL94" i="23"/>
  <c r="AZ39" i="26" s="1" a="1"/>
  <c r="AZ39" i="26" s="1"/>
  <c r="AF39" i="7" s="1"/>
  <c r="AM94" i="23"/>
  <c r="BA39" i="26" s="1" a="1"/>
  <c r="BA39" i="26" s="1"/>
  <c r="AG39" i="7" s="1"/>
  <c r="AN94" i="23"/>
  <c r="BB39" i="26" s="1" a="1"/>
  <c r="BB39" i="26" s="1"/>
  <c r="AH39" i="7" s="1"/>
  <c r="V95" i="23"/>
  <c r="W95" i="23"/>
  <c r="X95" i="23"/>
  <c r="AM46" i="26" s="1" a="1"/>
  <c r="AM46" i="26" s="1"/>
  <c r="S46" i="7" s="1"/>
  <c r="Y95" i="23"/>
  <c r="Z95" i="23"/>
  <c r="AO46" i="26" s="1" a="1"/>
  <c r="AO46" i="26" s="1"/>
  <c r="U46" i="7" s="1"/>
  <c r="AA95" i="23"/>
  <c r="AP46" i="26" s="1" a="1"/>
  <c r="AP46" i="26" s="1"/>
  <c r="V46" i="7" s="1"/>
  <c r="AB95" i="23"/>
  <c r="AQ46" i="26" s="1" a="1"/>
  <c r="AQ46" i="26" s="1"/>
  <c r="W46" i="7" s="1"/>
  <c r="AC95" i="23"/>
  <c r="AR46" i="26" s="1" a="1"/>
  <c r="AR46" i="26" s="1"/>
  <c r="X46" i="7" s="1"/>
  <c r="AD95" i="23"/>
  <c r="AS46" i="26" s="1" a="1"/>
  <c r="AS46" i="26" s="1"/>
  <c r="Y46" i="7" s="1"/>
  <c r="AE95" i="23"/>
  <c r="AT46" i="26" s="1" a="1"/>
  <c r="AT46" i="26" s="1"/>
  <c r="Z46" i="7" s="1"/>
  <c r="AF95" i="23"/>
  <c r="AU46" i="26" s="1" a="1"/>
  <c r="AU46" i="26" s="1"/>
  <c r="AA46" i="7" s="1"/>
  <c r="AG95" i="23"/>
  <c r="AV46" i="26" s="1" a="1"/>
  <c r="AV46" i="26" s="1"/>
  <c r="AB46" i="7" s="1"/>
  <c r="AH95" i="23"/>
  <c r="BD46" i="26" s="1" a="1"/>
  <c r="BD46" i="26" s="1"/>
  <c r="AJ46" i="7" s="1"/>
  <c r="AI95" i="23"/>
  <c r="AX46" i="26" s="1" a="1"/>
  <c r="AX46" i="26" s="1"/>
  <c r="AD46" i="7" s="1"/>
  <c r="AJ95" i="23"/>
  <c r="AW46" i="26" s="1" a="1"/>
  <c r="AW46" i="26" s="1"/>
  <c r="AC46" i="7" s="1"/>
  <c r="AK95" i="23"/>
  <c r="AY46" i="26" s="1" a="1"/>
  <c r="AY46" i="26" s="1"/>
  <c r="AE46" i="7" s="1"/>
  <c r="AL95" i="23"/>
  <c r="AZ46" i="26" s="1" a="1"/>
  <c r="AZ46" i="26" s="1"/>
  <c r="AF46" i="7" s="1"/>
  <c r="AM95" i="23"/>
  <c r="BA46" i="26" s="1" a="1"/>
  <c r="BA46" i="26" s="1"/>
  <c r="AG46" i="7" s="1"/>
  <c r="AN95" i="23"/>
  <c r="BB46" i="26" s="1" a="1"/>
  <c r="BB46" i="26" s="1"/>
  <c r="AH46" i="7" s="1"/>
  <c r="V96" i="23"/>
  <c r="W96" i="23"/>
  <c r="X96" i="23"/>
  <c r="AM50" i="26" s="1" a="1"/>
  <c r="AM50" i="26" s="1"/>
  <c r="S50" i="7" s="1"/>
  <c r="Y96" i="23"/>
  <c r="Z96" i="23"/>
  <c r="AO50" i="26" s="1" a="1"/>
  <c r="AO50" i="26" s="1"/>
  <c r="U50" i="7" s="1"/>
  <c r="AA96" i="23"/>
  <c r="AP50" i="26" s="1" a="1"/>
  <c r="AP50" i="26" s="1"/>
  <c r="V50" i="7" s="1"/>
  <c r="AB96" i="23"/>
  <c r="AQ50" i="26" s="1" a="1"/>
  <c r="AQ50" i="26" s="1"/>
  <c r="W50" i="7" s="1"/>
  <c r="AC96" i="23"/>
  <c r="AR50" i="26" s="1" a="1"/>
  <c r="AR50" i="26" s="1"/>
  <c r="X50" i="7" s="1"/>
  <c r="AD96" i="23"/>
  <c r="AS50" i="26" s="1" a="1"/>
  <c r="AS50" i="26" s="1"/>
  <c r="Y50" i="7" s="1"/>
  <c r="AE96" i="23"/>
  <c r="AT50" i="26" s="1" a="1"/>
  <c r="AT50" i="26" s="1"/>
  <c r="Z50" i="7" s="1"/>
  <c r="AF96" i="23"/>
  <c r="AU50" i="26" s="1" a="1"/>
  <c r="AU50" i="26" s="1"/>
  <c r="AA50" i="7" s="1"/>
  <c r="AG96" i="23"/>
  <c r="AV50" i="26" s="1" a="1"/>
  <c r="AV50" i="26" s="1"/>
  <c r="AB50" i="7" s="1"/>
  <c r="AH96" i="23"/>
  <c r="BD50" i="26" s="1" a="1"/>
  <c r="BD50" i="26" s="1"/>
  <c r="AJ50" i="7" s="1"/>
  <c r="AI96" i="23"/>
  <c r="AX50" i="26" s="1" a="1"/>
  <c r="AX50" i="26" s="1"/>
  <c r="AD50" i="7" s="1"/>
  <c r="AJ96" i="23"/>
  <c r="AW50" i="26" s="1" a="1"/>
  <c r="AW50" i="26" s="1"/>
  <c r="AC50" i="7" s="1"/>
  <c r="AK96" i="23"/>
  <c r="AY50" i="26" s="1" a="1"/>
  <c r="AY50" i="26" s="1"/>
  <c r="AE50" i="7" s="1"/>
  <c r="AL96" i="23"/>
  <c r="AZ50" i="26" s="1" a="1"/>
  <c r="AZ50" i="26" s="1"/>
  <c r="AF50" i="7" s="1"/>
  <c r="AM96" i="23"/>
  <c r="BA50" i="26" s="1" a="1"/>
  <c r="BA50" i="26" s="1"/>
  <c r="AG50" i="7" s="1"/>
  <c r="AN96" i="23"/>
  <c r="BB50" i="26" s="1" a="1"/>
  <c r="BB50" i="26" s="1"/>
  <c r="AH50" i="7" s="1"/>
  <c r="V97" i="23"/>
  <c r="W97" i="23"/>
  <c r="X97" i="23"/>
  <c r="AM51" i="26" s="1" a="1"/>
  <c r="AM51" i="26" s="1"/>
  <c r="S51" i="7" s="1"/>
  <c r="Y97" i="23"/>
  <c r="Z97" i="23"/>
  <c r="AO51" i="26" s="1" a="1"/>
  <c r="AO51" i="26" s="1"/>
  <c r="U51" i="7" s="1"/>
  <c r="AA97" i="23"/>
  <c r="AP51" i="26" s="1" a="1"/>
  <c r="AP51" i="26" s="1"/>
  <c r="V51" i="7" s="1"/>
  <c r="AB97" i="23"/>
  <c r="AQ51" i="26" s="1" a="1"/>
  <c r="AQ51" i="26" s="1"/>
  <c r="W51" i="7" s="1"/>
  <c r="AC97" i="23"/>
  <c r="AR51" i="26" s="1" a="1"/>
  <c r="AR51" i="26" s="1"/>
  <c r="X51" i="7" s="1"/>
  <c r="AD97" i="23"/>
  <c r="AS51" i="26" s="1" a="1"/>
  <c r="AS51" i="26" s="1"/>
  <c r="Y51" i="7" s="1"/>
  <c r="AE97" i="23"/>
  <c r="AT51" i="26" s="1" a="1"/>
  <c r="AT51" i="26" s="1"/>
  <c r="Z51" i="7" s="1"/>
  <c r="AF97" i="23"/>
  <c r="AU51" i="26" s="1" a="1"/>
  <c r="AU51" i="26" s="1"/>
  <c r="AA51" i="7" s="1"/>
  <c r="AG97" i="23"/>
  <c r="AV51" i="26" s="1" a="1"/>
  <c r="AV51" i="26" s="1"/>
  <c r="AB51" i="7" s="1"/>
  <c r="AH97" i="23"/>
  <c r="BD51" i="26" s="1" a="1"/>
  <c r="BD51" i="26" s="1"/>
  <c r="AJ51" i="7" s="1"/>
  <c r="AI97" i="23"/>
  <c r="AX51" i="26" s="1" a="1"/>
  <c r="AX51" i="26" s="1"/>
  <c r="AD51" i="7" s="1"/>
  <c r="AJ97" i="23"/>
  <c r="AW51" i="26" s="1" a="1"/>
  <c r="AW51" i="26" s="1"/>
  <c r="AC51" i="7" s="1"/>
  <c r="AK97" i="23"/>
  <c r="AY51" i="26" s="1" a="1"/>
  <c r="AY51" i="26" s="1"/>
  <c r="AE51" i="7" s="1"/>
  <c r="AL97" i="23"/>
  <c r="AZ51" i="26" s="1" a="1"/>
  <c r="AZ51" i="26" s="1"/>
  <c r="AF51" i="7" s="1"/>
  <c r="AM97" i="23"/>
  <c r="BA51" i="26" s="1" a="1"/>
  <c r="BA51" i="26" s="1"/>
  <c r="AG51" i="7" s="1"/>
  <c r="AN97" i="23"/>
  <c r="BB51" i="26" s="1" a="1"/>
  <c r="BB51" i="26" s="1"/>
  <c r="AH51" i="7" s="1"/>
  <c r="V98" i="23"/>
  <c r="W98" i="23"/>
  <c r="X98" i="23"/>
  <c r="AM52" i="26" s="1" a="1"/>
  <c r="AM52" i="26" s="1"/>
  <c r="S52" i="7" s="1"/>
  <c r="Y98" i="23"/>
  <c r="Z98" i="23"/>
  <c r="AO52" i="26" s="1" a="1"/>
  <c r="AO52" i="26" s="1"/>
  <c r="U52" i="7" s="1"/>
  <c r="AA98" i="23"/>
  <c r="AP52" i="26" s="1" a="1"/>
  <c r="AP52" i="26" s="1"/>
  <c r="V52" i="7" s="1"/>
  <c r="AB98" i="23"/>
  <c r="AQ52" i="26" s="1" a="1"/>
  <c r="AQ52" i="26" s="1"/>
  <c r="W52" i="7" s="1"/>
  <c r="AC98" i="23"/>
  <c r="AR52" i="26" s="1" a="1"/>
  <c r="AR52" i="26" s="1"/>
  <c r="X52" i="7" s="1"/>
  <c r="AD98" i="23"/>
  <c r="AS52" i="26" s="1" a="1"/>
  <c r="AS52" i="26" s="1"/>
  <c r="Y52" i="7" s="1"/>
  <c r="AE98" i="23"/>
  <c r="AT52" i="26" s="1" a="1"/>
  <c r="AT52" i="26" s="1"/>
  <c r="Z52" i="7" s="1"/>
  <c r="AF98" i="23"/>
  <c r="AU52" i="26" s="1" a="1"/>
  <c r="AU52" i="26" s="1"/>
  <c r="AA52" i="7" s="1"/>
  <c r="AG98" i="23"/>
  <c r="AV52" i="26" s="1" a="1"/>
  <c r="AV52" i="26" s="1"/>
  <c r="AB52" i="7" s="1"/>
  <c r="AH98" i="23"/>
  <c r="BD52" i="26" s="1" a="1"/>
  <c r="BD52" i="26" s="1"/>
  <c r="AJ52" i="7" s="1"/>
  <c r="AI98" i="23"/>
  <c r="AX52" i="26" s="1" a="1"/>
  <c r="AX52" i="26" s="1"/>
  <c r="AD52" i="7" s="1"/>
  <c r="AJ98" i="23"/>
  <c r="AW52" i="26" s="1" a="1"/>
  <c r="AW52" i="26" s="1"/>
  <c r="AC52" i="7" s="1"/>
  <c r="AK98" i="23"/>
  <c r="AY52" i="26" s="1" a="1"/>
  <c r="AY52" i="26" s="1"/>
  <c r="AE52" i="7" s="1"/>
  <c r="AL98" i="23"/>
  <c r="AZ52" i="26" s="1" a="1"/>
  <c r="AZ52" i="26" s="1"/>
  <c r="AF52" i="7" s="1"/>
  <c r="AM98" i="23"/>
  <c r="BA52" i="26" s="1" a="1"/>
  <c r="BA52" i="26" s="1"/>
  <c r="AG52" i="7" s="1"/>
  <c r="AN98" i="23"/>
  <c r="BB52" i="26" s="1" a="1"/>
  <c r="BB52" i="26" s="1"/>
  <c r="AH52" i="7" s="1"/>
  <c r="V99" i="23"/>
  <c r="W99" i="23"/>
  <c r="X99" i="23"/>
  <c r="Y99" i="23"/>
  <c r="Z99" i="23"/>
  <c r="AA99" i="23"/>
  <c r="AB99" i="23"/>
  <c r="AC99" i="23"/>
  <c r="AD99" i="23"/>
  <c r="AE99" i="23"/>
  <c r="AF99" i="23"/>
  <c r="AG99" i="23"/>
  <c r="AH99" i="23"/>
  <c r="AI99" i="23"/>
  <c r="AJ99" i="23"/>
  <c r="AK99" i="23"/>
  <c r="AL99" i="23"/>
  <c r="AM99" i="23"/>
  <c r="AN99" i="23"/>
  <c r="V100" i="23"/>
  <c r="W100" i="23"/>
  <c r="X100" i="23"/>
  <c r="Y100" i="23"/>
  <c r="Z100" i="23"/>
  <c r="AA100" i="23"/>
  <c r="AB100" i="23"/>
  <c r="AC100" i="23"/>
  <c r="AD100" i="23"/>
  <c r="AE100" i="23"/>
  <c r="AF100" i="23"/>
  <c r="AG100" i="23"/>
  <c r="AH100" i="23"/>
  <c r="AI100" i="23"/>
  <c r="AJ100" i="23"/>
  <c r="AK100" i="23"/>
  <c r="AL100" i="23"/>
  <c r="AM100" i="23"/>
  <c r="AN100" i="23"/>
  <c r="V101" i="23"/>
  <c r="W101" i="23"/>
  <c r="X101" i="23"/>
  <c r="AM82" i="26" s="1" a="1"/>
  <c r="AM82" i="26" s="1"/>
  <c r="S82" i="7" s="1"/>
  <c r="Y101" i="23"/>
  <c r="Z101" i="23"/>
  <c r="AO82" i="26" s="1" a="1"/>
  <c r="AO82" i="26" s="1"/>
  <c r="U82" i="7" s="1"/>
  <c r="AA101" i="23"/>
  <c r="AP82" i="26" s="1" a="1"/>
  <c r="AP82" i="26" s="1"/>
  <c r="V82" i="7" s="1"/>
  <c r="AB101" i="23"/>
  <c r="AQ82" i="26" s="1" a="1"/>
  <c r="AQ82" i="26" s="1"/>
  <c r="W82" i="7" s="1"/>
  <c r="AC101" i="23"/>
  <c r="AR82" i="26" s="1" a="1"/>
  <c r="AR82" i="26" s="1"/>
  <c r="X82" i="7" s="1"/>
  <c r="AD101" i="23"/>
  <c r="AS82" i="26" s="1" a="1"/>
  <c r="AS82" i="26" s="1"/>
  <c r="Y82" i="7" s="1"/>
  <c r="AE101" i="23"/>
  <c r="AT82" i="26" s="1" a="1"/>
  <c r="AT82" i="26" s="1"/>
  <c r="Z82" i="7" s="1"/>
  <c r="AF101" i="23"/>
  <c r="AU82" i="26" s="1" a="1"/>
  <c r="AU82" i="26" s="1"/>
  <c r="AA82" i="7" s="1"/>
  <c r="AG101" i="23"/>
  <c r="AV82" i="26" s="1" a="1"/>
  <c r="AV82" i="26" s="1"/>
  <c r="AB82" i="7" s="1"/>
  <c r="AH101" i="23"/>
  <c r="BD82" i="26" s="1" a="1"/>
  <c r="BD82" i="26" s="1"/>
  <c r="AJ82" i="7" s="1"/>
  <c r="AI101" i="23"/>
  <c r="AX82" i="26" s="1" a="1"/>
  <c r="AX82" i="26" s="1"/>
  <c r="AD82" i="7" s="1"/>
  <c r="AJ101" i="23"/>
  <c r="AW82" i="26" s="1" a="1"/>
  <c r="AW82" i="26" s="1"/>
  <c r="AC82" i="7" s="1"/>
  <c r="AK101" i="23"/>
  <c r="AY82" i="26" s="1" a="1"/>
  <c r="AY82" i="26" s="1"/>
  <c r="AE82" i="7" s="1"/>
  <c r="AL101" i="23"/>
  <c r="AZ82" i="26" s="1" a="1"/>
  <c r="AZ82" i="26" s="1"/>
  <c r="AF82" i="7" s="1"/>
  <c r="AM101" i="23"/>
  <c r="BA82" i="26" s="1" a="1"/>
  <c r="BA82" i="26" s="1"/>
  <c r="AG82" i="7" s="1"/>
  <c r="AN101" i="23"/>
  <c r="BB82" i="26" s="1" a="1"/>
  <c r="BB82" i="26" s="1"/>
  <c r="AH82" i="7" s="1"/>
  <c r="V102" i="23"/>
  <c r="W102" i="23"/>
  <c r="X102" i="23"/>
  <c r="Y102" i="23"/>
  <c r="Z102" i="23"/>
  <c r="AA102" i="23"/>
  <c r="AB102" i="23"/>
  <c r="AC102" i="23"/>
  <c r="AD102" i="23"/>
  <c r="AE102" i="23"/>
  <c r="AF102" i="23"/>
  <c r="AG102" i="23"/>
  <c r="AH102" i="23"/>
  <c r="AI102" i="23"/>
  <c r="AJ102" i="23"/>
  <c r="AK102" i="23"/>
  <c r="AL102" i="23"/>
  <c r="AM102" i="23"/>
  <c r="AN102" i="23"/>
  <c r="V103" i="23"/>
  <c r="W103" i="23"/>
  <c r="X103" i="23"/>
  <c r="Y103" i="23"/>
  <c r="Z103" i="23"/>
  <c r="AA103" i="23"/>
  <c r="AB103" i="23"/>
  <c r="AC103" i="23"/>
  <c r="AD103" i="23"/>
  <c r="AE103" i="23"/>
  <c r="AF103" i="23"/>
  <c r="AG103" i="23"/>
  <c r="AH103" i="23"/>
  <c r="AI103" i="23"/>
  <c r="AJ103" i="23"/>
  <c r="AK103" i="23"/>
  <c r="AL103" i="23"/>
  <c r="AM103" i="23"/>
  <c r="AN103" i="23"/>
  <c r="V104" i="23"/>
  <c r="W104" i="23"/>
  <c r="X104" i="23"/>
  <c r="Z104" i="23"/>
  <c r="AA104" i="23"/>
  <c r="AB104" i="23"/>
  <c r="AC104" i="23"/>
  <c r="AD104" i="23"/>
  <c r="AE104" i="23"/>
  <c r="AF104" i="23"/>
  <c r="AG104" i="23"/>
  <c r="AH104" i="23"/>
  <c r="AI104" i="23"/>
  <c r="AJ104" i="23"/>
  <c r="AK104" i="23"/>
  <c r="AL104" i="23"/>
  <c r="AM104" i="23"/>
  <c r="AN104" i="23"/>
  <c r="V106" i="23"/>
  <c r="W106" i="23"/>
  <c r="X106" i="23"/>
  <c r="AM84" i="26" s="1" a="1"/>
  <c r="AM84" i="26" s="1"/>
  <c r="S84" i="7" s="1"/>
  <c r="Y106" i="23"/>
  <c r="Z106" i="23"/>
  <c r="AO84" i="26" s="1" a="1"/>
  <c r="AO84" i="26" s="1"/>
  <c r="U84" i="7" s="1"/>
  <c r="AA106" i="23"/>
  <c r="AP84" i="26" s="1" a="1"/>
  <c r="AP84" i="26" s="1"/>
  <c r="V84" i="7" s="1"/>
  <c r="AB106" i="23"/>
  <c r="AQ84" i="26" s="1" a="1"/>
  <c r="AQ84" i="26" s="1"/>
  <c r="W84" i="7" s="1"/>
  <c r="AC106" i="23"/>
  <c r="AR84" i="26" s="1" a="1"/>
  <c r="AR84" i="26" s="1"/>
  <c r="X84" i="7" s="1"/>
  <c r="AD106" i="23"/>
  <c r="AS84" i="26" s="1" a="1"/>
  <c r="AS84" i="26" s="1"/>
  <c r="Y84" i="7" s="1"/>
  <c r="AE106" i="23"/>
  <c r="AT84" i="26" s="1" a="1"/>
  <c r="AT84" i="26" s="1"/>
  <c r="Z84" i="7" s="1"/>
  <c r="AF106" i="23"/>
  <c r="AU84" i="26" s="1" a="1"/>
  <c r="AU84" i="26" s="1"/>
  <c r="AA84" i="7" s="1"/>
  <c r="AG106" i="23"/>
  <c r="AV84" i="26" s="1" a="1"/>
  <c r="AV84" i="26" s="1"/>
  <c r="AB84" i="7" s="1"/>
  <c r="AH106" i="23"/>
  <c r="BD84" i="26" s="1" a="1"/>
  <c r="BD84" i="26" s="1"/>
  <c r="AJ84" i="7" s="1"/>
  <c r="AI106" i="23"/>
  <c r="AX84" i="26" s="1" a="1"/>
  <c r="AX84" i="26" s="1"/>
  <c r="AD84" i="7" s="1"/>
  <c r="AJ106" i="23"/>
  <c r="AW84" i="26" s="1" a="1"/>
  <c r="AW84" i="26" s="1"/>
  <c r="AC84" i="7" s="1"/>
  <c r="AK106" i="23"/>
  <c r="AY84" i="26" s="1" a="1"/>
  <c r="AY84" i="26" s="1"/>
  <c r="AE84" i="7" s="1"/>
  <c r="AL106" i="23"/>
  <c r="AZ84" i="26" s="1" a="1"/>
  <c r="AZ84" i="26" s="1"/>
  <c r="AF84" i="7" s="1"/>
  <c r="AM106" i="23"/>
  <c r="BA84" i="26" s="1" a="1"/>
  <c r="BA84" i="26" s="1"/>
  <c r="AG84" i="7" s="1"/>
  <c r="AN106" i="23"/>
  <c r="BB84" i="26" s="1" a="1"/>
  <c r="BB84" i="26" s="1"/>
  <c r="AH84" i="7" s="1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AK107" i="23"/>
  <c r="AL107" i="23"/>
  <c r="AM107" i="23"/>
  <c r="AN107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V53" i="26" s="1" a="1"/>
  <c r="AV53" i="26" s="1"/>
  <c r="AB53" i="7" s="1"/>
  <c r="AH108" i="23"/>
  <c r="AI108" i="23"/>
  <c r="AJ108" i="23"/>
  <c r="AK108" i="23"/>
  <c r="AL108" i="23"/>
  <c r="AM108" i="23"/>
  <c r="AN108" i="23"/>
  <c r="V109" i="23"/>
  <c r="W109" i="23"/>
  <c r="X109" i="23"/>
  <c r="AM54" i="26" s="1" a="1"/>
  <c r="AM54" i="26" s="1"/>
  <c r="S54" i="7" s="1"/>
  <c r="Y109" i="23"/>
  <c r="Z109" i="23"/>
  <c r="AO54" i="26" s="1" a="1"/>
  <c r="AO54" i="26" s="1"/>
  <c r="U54" i="7" s="1"/>
  <c r="AA109" i="23"/>
  <c r="AP54" i="26" s="1" a="1"/>
  <c r="AP54" i="26" s="1"/>
  <c r="V54" i="7" s="1"/>
  <c r="AB109" i="23"/>
  <c r="AQ54" i="26" s="1" a="1"/>
  <c r="AQ54" i="26" s="1"/>
  <c r="W54" i="7" s="1"/>
  <c r="AC109" i="23"/>
  <c r="AR54" i="26" s="1" a="1"/>
  <c r="AR54" i="26" s="1"/>
  <c r="X54" i="7" s="1"/>
  <c r="AD109" i="23"/>
  <c r="AS54" i="26" s="1" a="1"/>
  <c r="AS54" i="26" s="1"/>
  <c r="Y54" i="7" s="1"/>
  <c r="AE109" i="23"/>
  <c r="AT54" i="26" s="1" a="1"/>
  <c r="AT54" i="26" s="1"/>
  <c r="Z54" i="7" s="1"/>
  <c r="AF109" i="23"/>
  <c r="AU54" i="26" s="1" a="1"/>
  <c r="AU54" i="26" s="1"/>
  <c r="AA54" i="7" s="1"/>
  <c r="AG109" i="23"/>
  <c r="AV54" i="26" s="1" a="1"/>
  <c r="AV54" i="26" s="1"/>
  <c r="AB54" i="7" s="1"/>
  <c r="AH109" i="23"/>
  <c r="BD54" i="26" s="1" a="1"/>
  <c r="BD54" i="26" s="1"/>
  <c r="AJ54" i="7" s="1"/>
  <c r="AI109" i="23"/>
  <c r="AX54" i="26" s="1" a="1"/>
  <c r="AX54" i="26" s="1"/>
  <c r="AD54" i="7" s="1"/>
  <c r="AJ109" i="23"/>
  <c r="AW54" i="26" s="1" a="1"/>
  <c r="AW54" i="26" s="1"/>
  <c r="AC54" i="7" s="1"/>
  <c r="AK109" i="23"/>
  <c r="AY54" i="26" s="1" a="1"/>
  <c r="AY54" i="26" s="1"/>
  <c r="AE54" i="7" s="1"/>
  <c r="AL109" i="23"/>
  <c r="AZ54" i="26" s="1" a="1"/>
  <c r="AZ54" i="26" s="1"/>
  <c r="AF54" i="7" s="1"/>
  <c r="AM109" i="23"/>
  <c r="BA54" i="26" s="1" a="1"/>
  <c r="BA54" i="26" s="1"/>
  <c r="AG54" i="7" s="1"/>
  <c r="AN109" i="23"/>
  <c r="BB54" i="26" s="1" a="1"/>
  <c r="BB54" i="26" s="1"/>
  <c r="AH54" i="7" s="1"/>
  <c r="V110" i="23"/>
  <c r="W110" i="23"/>
  <c r="X110" i="23"/>
  <c r="AM55" i="26" s="1" a="1"/>
  <c r="AM55" i="26" s="1"/>
  <c r="S55" i="7" s="1"/>
  <c r="Y110" i="23"/>
  <c r="Z110" i="23"/>
  <c r="AO55" i="26" s="1" a="1"/>
  <c r="AO55" i="26" s="1"/>
  <c r="U55" i="7" s="1"/>
  <c r="AA110" i="23"/>
  <c r="AP55" i="26" s="1" a="1"/>
  <c r="AP55" i="26" s="1"/>
  <c r="V55" i="7" s="1"/>
  <c r="AB110" i="23"/>
  <c r="AQ55" i="26" s="1" a="1"/>
  <c r="AQ55" i="26" s="1"/>
  <c r="W55" i="7" s="1"/>
  <c r="AC110" i="23"/>
  <c r="AR55" i="26" s="1" a="1"/>
  <c r="AR55" i="26" s="1"/>
  <c r="X55" i="7" s="1"/>
  <c r="AD110" i="23"/>
  <c r="AS55" i="26" s="1" a="1"/>
  <c r="AS55" i="26" s="1"/>
  <c r="Y55" i="7" s="1"/>
  <c r="AE110" i="23"/>
  <c r="AT55" i="26" s="1" a="1"/>
  <c r="AT55" i="26" s="1"/>
  <c r="Z55" i="7" s="1"/>
  <c r="AF110" i="23"/>
  <c r="AU55" i="26" s="1" a="1"/>
  <c r="AU55" i="26" s="1"/>
  <c r="AA55" i="7" s="1"/>
  <c r="AG110" i="23"/>
  <c r="AV55" i="26" s="1" a="1"/>
  <c r="AV55" i="26" s="1"/>
  <c r="AB55" i="7" s="1"/>
  <c r="AH110" i="23"/>
  <c r="BD55" i="26" s="1" a="1"/>
  <c r="BD55" i="26" s="1"/>
  <c r="AJ55" i="7" s="1"/>
  <c r="AI110" i="23"/>
  <c r="AX55" i="26" s="1" a="1"/>
  <c r="AX55" i="26" s="1"/>
  <c r="AD55" i="7" s="1"/>
  <c r="AJ110" i="23"/>
  <c r="AW55" i="26" s="1" a="1"/>
  <c r="AW55" i="26" s="1"/>
  <c r="AC55" i="7" s="1"/>
  <c r="AK110" i="23"/>
  <c r="AY55" i="26" s="1" a="1"/>
  <c r="AY55" i="26" s="1"/>
  <c r="AE55" i="7" s="1"/>
  <c r="AL110" i="23"/>
  <c r="AZ55" i="26" s="1" a="1"/>
  <c r="AZ55" i="26" s="1"/>
  <c r="AF55" i="7" s="1"/>
  <c r="AM110" i="23"/>
  <c r="BA55" i="26" s="1" a="1"/>
  <c r="BA55" i="26" s="1"/>
  <c r="AG55" i="7" s="1"/>
  <c r="AN110" i="23"/>
  <c r="BB55" i="26" s="1" a="1"/>
  <c r="BB55" i="26" s="1"/>
  <c r="AH55" i="7" s="1"/>
  <c r="V111" i="23"/>
  <c r="W111" i="23"/>
  <c r="X111" i="23"/>
  <c r="AM56" i="26" s="1" a="1"/>
  <c r="AM56" i="26" s="1"/>
  <c r="S56" i="7" s="1"/>
  <c r="Y111" i="23"/>
  <c r="Z111" i="23"/>
  <c r="AO56" i="26" s="1" a="1"/>
  <c r="AO56" i="26" s="1"/>
  <c r="U56" i="7" s="1"/>
  <c r="AA111" i="23"/>
  <c r="AP56" i="26" s="1" a="1"/>
  <c r="AP56" i="26" s="1"/>
  <c r="V56" i="7" s="1"/>
  <c r="AB111" i="23"/>
  <c r="AQ56" i="26" s="1" a="1"/>
  <c r="AQ56" i="26" s="1"/>
  <c r="W56" i="7" s="1"/>
  <c r="AC111" i="23"/>
  <c r="AR56" i="26" s="1" a="1"/>
  <c r="AR56" i="26" s="1"/>
  <c r="X56" i="7" s="1"/>
  <c r="AD111" i="23"/>
  <c r="AS56" i="26" s="1" a="1"/>
  <c r="AS56" i="26" s="1"/>
  <c r="Y56" i="7" s="1"/>
  <c r="AE111" i="23"/>
  <c r="AT56" i="26" s="1" a="1"/>
  <c r="AT56" i="26" s="1"/>
  <c r="Z56" i="7" s="1"/>
  <c r="AF111" i="23"/>
  <c r="AU56" i="26" s="1" a="1"/>
  <c r="AU56" i="26" s="1"/>
  <c r="AA56" i="7" s="1"/>
  <c r="AG111" i="23"/>
  <c r="AV56" i="26" s="1" a="1"/>
  <c r="AV56" i="26" s="1"/>
  <c r="AB56" i="7" s="1"/>
  <c r="AH111" i="23"/>
  <c r="BD56" i="26" s="1" a="1"/>
  <c r="BD56" i="26" s="1"/>
  <c r="AJ56" i="7" s="1"/>
  <c r="AI111" i="23"/>
  <c r="AX56" i="26" s="1" a="1"/>
  <c r="AX56" i="26" s="1"/>
  <c r="AD56" i="7" s="1"/>
  <c r="AJ111" i="23"/>
  <c r="AW56" i="26" s="1" a="1"/>
  <c r="AW56" i="26" s="1"/>
  <c r="AC56" i="7" s="1"/>
  <c r="AK111" i="23"/>
  <c r="AY56" i="26" s="1" a="1"/>
  <c r="AY56" i="26" s="1"/>
  <c r="AE56" i="7" s="1"/>
  <c r="AL111" i="23"/>
  <c r="AZ56" i="26" s="1" a="1"/>
  <c r="AZ56" i="26" s="1"/>
  <c r="AF56" i="7" s="1"/>
  <c r="AM111" i="23"/>
  <c r="BA56" i="26" s="1" a="1"/>
  <c r="BA56" i="26" s="1"/>
  <c r="AG56" i="7" s="1"/>
  <c r="AN111" i="23"/>
  <c r="BB56" i="26" s="1" a="1"/>
  <c r="BB56" i="26" s="1"/>
  <c r="AH56" i="7" s="1"/>
  <c r="V112" i="23"/>
  <c r="W112" i="23"/>
  <c r="X112" i="23"/>
  <c r="AM57" i="26" s="1" a="1"/>
  <c r="AM57" i="26" s="1"/>
  <c r="S57" i="7" s="1"/>
  <c r="Y112" i="23"/>
  <c r="Z112" i="23"/>
  <c r="AO57" i="26" s="1" a="1"/>
  <c r="AO57" i="26" s="1"/>
  <c r="U57" i="7" s="1"/>
  <c r="AA112" i="23"/>
  <c r="AP57" i="26" s="1" a="1"/>
  <c r="AP57" i="26" s="1"/>
  <c r="V57" i="7" s="1"/>
  <c r="AB112" i="23"/>
  <c r="AQ57" i="26" s="1" a="1"/>
  <c r="AQ57" i="26" s="1"/>
  <c r="W57" i="7" s="1"/>
  <c r="AC112" i="23"/>
  <c r="AR57" i="26" s="1" a="1"/>
  <c r="AR57" i="26" s="1"/>
  <c r="X57" i="7" s="1"/>
  <c r="AD112" i="23"/>
  <c r="AS57" i="26" s="1" a="1"/>
  <c r="AS57" i="26" s="1"/>
  <c r="Y57" i="7" s="1"/>
  <c r="AE112" i="23"/>
  <c r="AT57" i="26" s="1" a="1"/>
  <c r="AT57" i="26" s="1"/>
  <c r="Z57" i="7" s="1"/>
  <c r="AF112" i="23"/>
  <c r="AU57" i="26" s="1" a="1"/>
  <c r="AU57" i="26" s="1"/>
  <c r="AA57" i="7" s="1"/>
  <c r="AG112" i="23"/>
  <c r="AV57" i="26" s="1" a="1"/>
  <c r="AV57" i="26" s="1"/>
  <c r="AB57" i="7" s="1"/>
  <c r="AH112" i="23"/>
  <c r="BD57" i="26" s="1" a="1"/>
  <c r="BD57" i="26" s="1"/>
  <c r="AJ57" i="7" s="1"/>
  <c r="AI112" i="23"/>
  <c r="AX57" i="26" s="1" a="1"/>
  <c r="AX57" i="26" s="1"/>
  <c r="AD57" i="7" s="1"/>
  <c r="AJ112" i="23"/>
  <c r="AW57" i="26" s="1" a="1"/>
  <c r="AW57" i="26" s="1"/>
  <c r="AC57" i="7" s="1"/>
  <c r="AK112" i="23"/>
  <c r="AY57" i="26" s="1" a="1"/>
  <c r="AY57" i="26" s="1"/>
  <c r="AE57" i="7" s="1"/>
  <c r="AL112" i="23"/>
  <c r="AZ57" i="26" s="1" a="1"/>
  <c r="AZ57" i="26" s="1"/>
  <c r="AF57" i="7" s="1"/>
  <c r="AM112" i="23"/>
  <c r="BA57" i="26" s="1" a="1"/>
  <c r="BA57" i="26" s="1"/>
  <c r="AG57" i="7" s="1"/>
  <c r="AN112" i="23"/>
  <c r="BB57" i="26" s="1" a="1"/>
  <c r="BB57" i="26" s="1"/>
  <c r="AH57" i="7" s="1"/>
  <c r="V113" i="23"/>
  <c r="W113" i="23"/>
  <c r="X113" i="23"/>
  <c r="AM58" i="26" s="1" a="1"/>
  <c r="AM58" i="26" s="1"/>
  <c r="S58" i="7" s="1"/>
  <c r="Y113" i="23"/>
  <c r="Z113" i="23"/>
  <c r="AO58" i="26" s="1" a="1"/>
  <c r="AO58" i="26" s="1"/>
  <c r="U58" i="7" s="1"/>
  <c r="AA113" i="23"/>
  <c r="AP58" i="26" s="1" a="1"/>
  <c r="AP58" i="26" s="1"/>
  <c r="V58" i="7" s="1"/>
  <c r="AB113" i="23"/>
  <c r="AQ58" i="26" s="1" a="1"/>
  <c r="AQ58" i="26" s="1"/>
  <c r="W58" i="7" s="1"/>
  <c r="AC113" i="23"/>
  <c r="AR58" i="26" s="1" a="1"/>
  <c r="AR58" i="26" s="1"/>
  <c r="X58" i="7" s="1"/>
  <c r="AD113" i="23"/>
  <c r="AS58" i="26" s="1" a="1"/>
  <c r="AS58" i="26" s="1"/>
  <c r="Y58" i="7" s="1"/>
  <c r="AE113" i="23"/>
  <c r="AT58" i="26" s="1" a="1"/>
  <c r="AT58" i="26" s="1"/>
  <c r="Z58" i="7" s="1"/>
  <c r="AF113" i="23"/>
  <c r="AU58" i="26" s="1" a="1"/>
  <c r="AU58" i="26" s="1"/>
  <c r="AA58" i="7" s="1"/>
  <c r="AG113" i="23"/>
  <c r="AV58" i="26" s="1" a="1"/>
  <c r="AV58" i="26" s="1"/>
  <c r="AB58" i="7" s="1"/>
  <c r="AH113" i="23"/>
  <c r="BD58" i="26" s="1" a="1"/>
  <c r="BD58" i="26" s="1"/>
  <c r="AJ58" i="7" s="1"/>
  <c r="AI113" i="23"/>
  <c r="AX58" i="26" s="1" a="1"/>
  <c r="AX58" i="26" s="1"/>
  <c r="AD58" i="7" s="1"/>
  <c r="AJ113" i="23"/>
  <c r="AW58" i="26" s="1" a="1"/>
  <c r="AW58" i="26" s="1"/>
  <c r="AC58" i="7" s="1"/>
  <c r="AK113" i="23"/>
  <c r="AY58" i="26" s="1" a="1"/>
  <c r="AY58" i="26" s="1"/>
  <c r="AE58" i="7" s="1"/>
  <c r="AL113" i="23"/>
  <c r="AZ58" i="26" s="1" a="1"/>
  <c r="AZ58" i="26" s="1"/>
  <c r="AF58" i="7" s="1"/>
  <c r="AM113" i="23"/>
  <c r="BA58" i="26" s="1" a="1"/>
  <c r="BA58" i="26" s="1"/>
  <c r="AG58" i="7" s="1"/>
  <c r="AN113" i="23"/>
  <c r="BB58" i="26" s="1" a="1"/>
  <c r="BB58" i="26" s="1"/>
  <c r="AH58" i="7" s="1"/>
  <c r="V114" i="23"/>
  <c r="W114" i="23"/>
  <c r="X114" i="23"/>
  <c r="AM59" i="26" s="1" a="1"/>
  <c r="AM59" i="26" s="1"/>
  <c r="S59" i="7" s="1"/>
  <c r="Y114" i="23"/>
  <c r="Z114" i="23"/>
  <c r="AO59" i="26" s="1" a="1"/>
  <c r="AO59" i="26" s="1"/>
  <c r="U59" i="7" s="1"/>
  <c r="AA114" i="23"/>
  <c r="AP59" i="26" s="1" a="1"/>
  <c r="AP59" i="26" s="1"/>
  <c r="V59" i="7" s="1"/>
  <c r="AB114" i="23"/>
  <c r="AQ59" i="26" s="1" a="1"/>
  <c r="AQ59" i="26" s="1"/>
  <c r="W59" i="7" s="1"/>
  <c r="AC114" i="23"/>
  <c r="AR59" i="26" s="1" a="1"/>
  <c r="AR59" i="26" s="1"/>
  <c r="X59" i="7" s="1"/>
  <c r="AD114" i="23"/>
  <c r="AS59" i="26" s="1" a="1"/>
  <c r="AS59" i="26" s="1"/>
  <c r="Y59" i="7" s="1"/>
  <c r="AE114" i="23"/>
  <c r="AT59" i="26" s="1" a="1"/>
  <c r="AT59" i="26" s="1"/>
  <c r="Z59" i="7" s="1"/>
  <c r="AF114" i="23"/>
  <c r="AU59" i="26" s="1" a="1"/>
  <c r="AU59" i="26" s="1"/>
  <c r="AA59" i="7" s="1"/>
  <c r="AG114" i="23"/>
  <c r="AV59" i="26" s="1" a="1"/>
  <c r="AV59" i="26" s="1"/>
  <c r="AB59" i="7" s="1"/>
  <c r="AH114" i="23"/>
  <c r="BD59" i="26" s="1" a="1"/>
  <c r="BD59" i="26" s="1"/>
  <c r="AJ59" i="7" s="1"/>
  <c r="AI114" i="23"/>
  <c r="AX59" i="26" s="1" a="1"/>
  <c r="AX59" i="26" s="1"/>
  <c r="AD59" i="7" s="1"/>
  <c r="AJ114" i="23"/>
  <c r="AW59" i="26" s="1" a="1"/>
  <c r="AW59" i="26" s="1"/>
  <c r="AC59" i="7" s="1"/>
  <c r="AK114" i="23"/>
  <c r="AY59" i="26" s="1" a="1"/>
  <c r="AY59" i="26" s="1"/>
  <c r="AE59" i="7" s="1"/>
  <c r="AL114" i="23"/>
  <c r="AZ59" i="26" s="1" a="1"/>
  <c r="AZ59" i="26" s="1"/>
  <c r="AF59" i="7" s="1"/>
  <c r="AM114" i="23"/>
  <c r="BA59" i="26" s="1" a="1"/>
  <c r="BA59" i="26" s="1"/>
  <c r="AG59" i="7" s="1"/>
  <c r="AN114" i="23"/>
  <c r="BB59" i="26" s="1" a="1"/>
  <c r="BB59" i="26" s="1"/>
  <c r="AH59" i="7" s="1"/>
  <c r="V115" i="23"/>
  <c r="W115" i="23"/>
  <c r="X115" i="23"/>
  <c r="AM60" i="26" s="1" a="1"/>
  <c r="AM60" i="26" s="1"/>
  <c r="S60" i="7" s="1"/>
  <c r="Y115" i="23"/>
  <c r="Z115" i="23"/>
  <c r="AO60" i="26" s="1" a="1"/>
  <c r="AO60" i="26" s="1"/>
  <c r="U60" i="7" s="1"/>
  <c r="AA115" i="23"/>
  <c r="AP60" i="26" s="1" a="1"/>
  <c r="AP60" i="26" s="1"/>
  <c r="V60" i="7" s="1"/>
  <c r="AB115" i="23"/>
  <c r="AQ60" i="26" s="1" a="1"/>
  <c r="AQ60" i="26" s="1"/>
  <c r="W60" i="7" s="1"/>
  <c r="AC115" i="23"/>
  <c r="AR60" i="26" s="1" a="1"/>
  <c r="AR60" i="26" s="1"/>
  <c r="X60" i="7" s="1"/>
  <c r="AD115" i="23"/>
  <c r="AS60" i="26" s="1" a="1"/>
  <c r="AS60" i="26" s="1"/>
  <c r="Y60" i="7" s="1"/>
  <c r="AE115" i="23"/>
  <c r="AT60" i="26" s="1" a="1"/>
  <c r="AT60" i="26" s="1"/>
  <c r="Z60" i="7" s="1"/>
  <c r="AF115" i="23"/>
  <c r="AU60" i="26" s="1" a="1"/>
  <c r="AU60" i="26" s="1"/>
  <c r="AA60" i="7" s="1"/>
  <c r="AG115" i="23"/>
  <c r="AV60" i="26" s="1" a="1"/>
  <c r="AV60" i="26" s="1"/>
  <c r="AB60" i="7" s="1"/>
  <c r="AH115" i="23"/>
  <c r="BD60" i="26" s="1" a="1"/>
  <c r="BD60" i="26" s="1"/>
  <c r="AJ60" i="7" s="1"/>
  <c r="AI115" i="23"/>
  <c r="AX60" i="26" s="1" a="1"/>
  <c r="AX60" i="26" s="1"/>
  <c r="AD60" i="7" s="1"/>
  <c r="AJ115" i="23"/>
  <c r="AW60" i="26" s="1" a="1"/>
  <c r="AW60" i="26" s="1"/>
  <c r="AC60" i="7" s="1"/>
  <c r="AK115" i="23"/>
  <c r="AY60" i="26" s="1" a="1"/>
  <c r="AY60" i="26" s="1"/>
  <c r="AE60" i="7" s="1"/>
  <c r="AL115" i="23"/>
  <c r="AZ60" i="26" s="1" a="1"/>
  <c r="AZ60" i="26" s="1"/>
  <c r="AF60" i="7" s="1"/>
  <c r="AM115" i="23"/>
  <c r="BA60" i="26" s="1" a="1"/>
  <c r="BA60" i="26" s="1"/>
  <c r="AG60" i="7" s="1"/>
  <c r="AN115" i="23"/>
  <c r="BB60" i="26" s="1" a="1"/>
  <c r="BB60" i="26" s="1"/>
  <c r="AH60" i="7" s="1"/>
  <c r="V116" i="23"/>
  <c r="W116" i="23"/>
  <c r="X116" i="23"/>
  <c r="AM61" i="26" s="1" a="1"/>
  <c r="AM61" i="26" s="1"/>
  <c r="S61" i="7" s="1"/>
  <c r="Y116" i="23"/>
  <c r="Z116" i="23"/>
  <c r="AO61" i="26" s="1" a="1"/>
  <c r="AO61" i="26" s="1"/>
  <c r="U61" i="7" s="1"/>
  <c r="AA116" i="23"/>
  <c r="AP61" i="26" s="1" a="1"/>
  <c r="AP61" i="26" s="1"/>
  <c r="V61" i="7" s="1"/>
  <c r="AB116" i="23"/>
  <c r="AQ61" i="26" s="1" a="1"/>
  <c r="AQ61" i="26" s="1"/>
  <c r="W61" i="7" s="1"/>
  <c r="AC116" i="23"/>
  <c r="AR61" i="26" s="1" a="1"/>
  <c r="AR61" i="26" s="1"/>
  <c r="X61" i="7" s="1"/>
  <c r="AD116" i="23"/>
  <c r="AS61" i="26" s="1" a="1"/>
  <c r="AS61" i="26" s="1"/>
  <c r="Y61" i="7" s="1"/>
  <c r="AE116" i="23"/>
  <c r="AT61" i="26" s="1" a="1"/>
  <c r="AT61" i="26" s="1"/>
  <c r="Z61" i="7" s="1"/>
  <c r="AF116" i="23"/>
  <c r="AU61" i="26" s="1" a="1"/>
  <c r="AU61" i="26" s="1"/>
  <c r="AA61" i="7" s="1"/>
  <c r="AG116" i="23"/>
  <c r="AV61" i="26" s="1" a="1"/>
  <c r="AV61" i="26" s="1"/>
  <c r="AB61" i="7" s="1"/>
  <c r="AH116" i="23"/>
  <c r="BD61" i="26" s="1" a="1"/>
  <c r="BD61" i="26" s="1"/>
  <c r="AJ61" i="7" s="1"/>
  <c r="AI116" i="23"/>
  <c r="AX61" i="26" s="1" a="1"/>
  <c r="AX61" i="26" s="1"/>
  <c r="AD61" i="7" s="1"/>
  <c r="AJ116" i="23"/>
  <c r="AW61" i="26" s="1" a="1"/>
  <c r="AW61" i="26" s="1"/>
  <c r="AC61" i="7" s="1"/>
  <c r="AK116" i="23"/>
  <c r="AY61" i="26" s="1" a="1"/>
  <c r="AY61" i="26" s="1"/>
  <c r="AE61" i="7" s="1"/>
  <c r="AL116" i="23"/>
  <c r="AZ61" i="26" s="1" a="1"/>
  <c r="AZ61" i="26" s="1"/>
  <c r="AF61" i="7" s="1"/>
  <c r="AM116" i="23"/>
  <c r="BA61" i="26" s="1" a="1"/>
  <c r="BA61" i="26" s="1"/>
  <c r="AG61" i="7" s="1"/>
  <c r="AN116" i="23"/>
  <c r="BB61" i="26" s="1" a="1"/>
  <c r="BB61" i="26" s="1"/>
  <c r="AH61" i="7" s="1"/>
  <c r="V117" i="23"/>
  <c r="W117" i="23"/>
  <c r="X117" i="23"/>
  <c r="AM62" i="26" s="1" a="1"/>
  <c r="AM62" i="26" s="1"/>
  <c r="S62" i="7" s="1"/>
  <c r="Y117" i="23"/>
  <c r="Z117" i="23"/>
  <c r="AO62" i="26" s="1" a="1"/>
  <c r="AO62" i="26" s="1"/>
  <c r="U62" i="7" s="1"/>
  <c r="AA117" i="23"/>
  <c r="AP62" i="26" s="1" a="1"/>
  <c r="AP62" i="26" s="1"/>
  <c r="V62" i="7" s="1"/>
  <c r="AB117" i="23"/>
  <c r="AQ62" i="26" s="1" a="1"/>
  <c r="AQ62" i="26" s="1"/>
  <c r="W62" i="7" s="1"/>
  <c r="AC117" i="23"/>
  <c r="AR62" i="26" s="1" a="1"/>
  <c r="AR62" i="26" s="1"/>
  <c r="X62" i="7" s="1"/>
  <c r="AD117" i="23"/>
  <c r="AS62" i="26" s="1" a="1"/>
  <c r="AS62" i="26" s="1"/>
  <c r="Y62" i="7" s="1"/>
  <c r="AE117" i="23"/>
  <c r="AT62" i="26" s="1" a="1"/>
  <c r="AT62" i="26" s="1"/>
  <c r="Z62" i="7" s="1"/>
  <c r="AF117" i="23"/>
  <c r="AU62" i="26" s="1" a="1"/>
  <c r="AU62" i="26" s="1"/>
  <c r="AA62" i="7" s="1"/>
  <c r="AG117" i="23"/>
  <c r="AV62" i="26" s="1" a="1"/>
  <c r="AV62" i="26" s="1"/>
  <c r="AB62" i="7" s="1"/>
  <c r="AH117" i="23"/>
  <c r="BD62" i="26" s="1" a="1"/>
  <c r="BD62" i="26" s="1"/>
  <c r="AJ62" i="7" s="1"/>
  <c r="AI117" i="23"/>
  <c r="AX62" i="26" s="1" a="1"/>
  <c r="AX62" i="26" s="1"/>
  <c r="AD62" i="7" s="1"/>
  <c r="AJ117" i="23"/>
  <c r="AW62" i="26" s="1" a="1"/>
  <c r="AW62" i="26" s="1"/>
  <c r="AC62" i="7" s="1"/>
  <c r="AK117" i="23"/>
  <c r="AY62" i="26" s="1" a="1"/>
  <c r="AY62" i="26" s="1"/>
  <c r="AE62" i="7" s="1"/>
  <c r="AL117" i="23"/>
  <c r="AZ62" i="26" s="1" a="1"/>
  <c r="AZ62" i="26" s="1"/>
  <c r="AF62" i="7" s="1"/>
  <c r="AM117" i="23"/>
  <c r="BA62" i="26" s="1" a="1"/>
  <c r="BA62" i="26" s="1"/>
  <c r="AG62" i="7" s="1"/>
  <c r="AN117" i="23"/>
  <c r="BB62" i="26" s="1" a="1"/>
  <c r="BB62" i="26" s="1"/>
  <c r="AH62" i="7" s="1"/>
  <c r="V118" i="23"/>
  <c r="W118" i="23"/>
  <c r="X118" i="23"/>
  <c r="AM63" i="26" s="1" a="1"/>
  <c r="AM63" i="26" s="1"/>
  <c r="S63" i="7" s="1"/>
  <c r="Y118" i="23"/>
  <c r="Z118" i="23"/>
  <c r="AO63" i="26" s="1" a="1"/>
  <c r="AO63" i="26" s="1"/>
  <c r="U63" i="7" s="1"/>
  <c r="AA118" i="23"/>
  <c r="AP63" i="26" s="1" a="1"/>
  <c r="AP63" i="26" s="1"/>
  <c r="V63" i="7" s="1"/>
  <c r="AB118" i="23"/>
  <c r="AQ63" i="26" s="1" a="1"/>
  <c r="AQ63" i="26" s="1"/>
  <c r="W63" i="7" s="1"/>
  <c r="AC118" i="23"/>
  <c r="AR63" i="26" s="1" a="1"/>
  <c r="AR63" i="26" s="1"/>
  <c r="X63" i="7" s="1"/>
  <c r="AD118" i="23"/>
  <c r="AS63" i="26" s="1" a="1"/>
  <c r="AS63" i="26" s="1"/>
  <c r="Y63" i="7" s="1"/>
  <c r="AE118" i="23"/>
  <c r="AT63" i="26" s="1" a="1"/>
  <c r="AT63" i="26" s="1"/>
  <c r="Z63" i="7" s="1"/>
  <c r="AF118" i="23"/>
  <c r="AU63" i="26" s="1" a="1"/>
  <c r="AU63" i="26" s="1"/>
  <c r="AA63" i="7" s="1"/>
  <c r="AG118" i="23"/>
  <c r="AV63" i="26" s="1" a="1"/>
  <c r="AV63" i="26" s="1"/>
  <c r="AB63" i="7" s="1"/>
  <c r="AH118" i="23"/>
  <c r="BD63" i="26" s="1" a="1"/>
  <c r="BD63" i="26" s="1"/>
  <c r="AJ63" i="7" s="1"/>
  <c r="AI118" i="23"/>
  <c r="AX63" i="26" s="1" a="1"/>
  <c r="AX63" i="26" s="1"/>
  <c r="AD63" i="7" s="1"/>
  <c r="AJ118" i="23"/>
  <c r="AW63" i="26" s="1" a="1"/>
  <c r="AW63" i="26" s="1"/>
  <c r="AC63" i="7" s="1"/>
  <c r="AK118" i="23"/>
  <c r="AY63" i="26" s="1" a="1"/>
  <c r="AY63" i="26" s="1"/>
  <c r="AE63" i="7" s="1"/>
  <c r="AL118" i="23"/>
  <c r="AZ63" i="26" s="1" a="1"/>
  <c r="AZ63" i="26" s="1"/>
  <c r="AF63" i="7" s="1"/>
  <c r="AM118" i="23"/>
  <c r="BA63" i="26" s="1" a="1"/>
  <c r="BA63" i="26" s="1"/>
  <c r="AG63" i="7" s="1"/>
  <c r="AN118" i="23"/>
  <c r="BB63" i="26" s="1" a="1"/>
  <c r="BB63" i="26" s="1"/>
  <c r="AH63" i="7" s="1"/>
  <c r="V119" i="23"/>
  <c r="W119" i="23"/>
  <c r="X119" i="23"/>
  <c r="AM64" i="26" s="1" a="1"/>
  <c r="AM64" i="26" s="1"/>
  <c r="S64" i="7" s="1"/>
  <c r="Y119" i="23"/>
  <c r="Z119" i="23"/>
  <c r="AO64" i="26" s="1" a="1"/>
  <c r="AO64" i="26" s="1"/>
  <c r="U64" i="7" s="1"/>
  <c r="AA119" i="23"/>
  <c r="AP64" i="26" s="1" a="1"/>
  <c r="AP64" i="26" s="1"/>
  <c r="V64" i="7" s="1"/>
  <c r="AB119" i="23"/>
  <c r="AQ64" i="26" s="1" a="1"/>
  <c r="AQ64" i="26" s="1"/>
  <c r="W64" i="7" s="1"/>
  <c r="AC119" i="23"/>
  <c r="AR64" i="26" s="1" a="1"/>
  <c r="AR64" i="26" s="1"/>
  <c r="X64" i="7" s="1"/>
  <c r="AD119" i="23"/>
  <c r="AS64" i="26" s="1" a="1"/>
  <c r="AS64" i="26" s="1"/>
  <c r="Y64" i="7" s="1"/>
  <c r="AE119" i="23"/>
  <c r="AT64" i="26" s="1" a="1"/>
  <c r="AT64" i="26" s="1"/>
  <c r="Z64" i="7" s="1"/>
  <c r="AF119" i="23"/>
  <c r="AU64" i="26" s="1" a="1"/>
  <c r="AU64" i="26" s="1"/>
  <c r="AA64" i="7" s="1"/>
  <c r="AG119" i="23"/>
  <c r="AV64" i="26" s="1" a="1"/>
  <c r="AV64" i="26" s="1"/>
  <c r="AB64" i="7" s="1"/>
  <c r="AH119" i="23"/>
  <c r="BD64" i="26" s="1" a="1"/>
  <c r="BD64" i="26" s="1"/>
  <c r="AJ64" i="7" s="1"/>
  <c r="AI119" i="23"/>
  <c r="AX64" i="26" s="1" a="1"/>
  <c r="AX64" i="26" s="1"/>
  <c r="AD64" i="7" s="1"/>
  <c r="AJ119" i="23"/>
  <c r="AW64" i="26" s="1" a="1"/>
  <c r="AW64" i="26" s="1"/>
  <c r="AC64" i="7" s="1"/>
  <c r="AK119" i="23"/>
  <c r="AY64" i="26" s="1" a="1"/>
  <c r="AY64" i="26" s="1"/>
  <c r="AE64" i="7" s="1"/>
  <c r="AL119" i="23"/>
  <c r="AZ64" i="26" s="1" a="1"/>
  <c r="AZ64" i="26" s="1"/>
  <c r="AF64" i="7" s="1"/>
  <c r="AM119" i="23"/>
  <c r="BA64" i="26" s="1" a="1"/>
  <c r="BA64" i="26" s="1"/>
  <c r="AG64" i="7" s="1"/>
  <c r="AN119" i="23"/>
  <c r="BB64" i="26" s="1" a="1"/>
  <c r="BB64" i="26" s="1"/>
  <c r="AH64" i="7" s="1"/>
  <c r="V120" i="23"/>
  <c r="W120" i="23"/>
  <c r="X120" i="23"/>
  <c r="AM65" i="26" s="1" a="1"/>
  <c r="AM65" i="26" s="1"/>
  <c r="S65" i="7" s="1"/>
  <c r="Y120" i="23"/>
  <c r="Z120" i="23"/>
  <c r="AO65" i="26" s="1" a="1"/>
  <c r="AO65" i="26" s="1"/>
  <c r="U65" i="7" s="1"/>
  <c r="AA120" i="23"/>
  <c r="AP65" i="26" s="1" a="1"/>
  <c r="AP65" i="26" s="1"/>
  <c r="V65" i="7" s="1"/>
  <c r="AB120" i="23"/>
  <c r="AQ65" i="26" s="1" a="1"/>
  <c r="AQ65" i="26" s="1"/>
  <c r="W65" i="7" s="1"/>
  <c r="AC120" i="23"/>
  <c r="AR65" i="26" s="1" a="1"/>
  <c r="AR65" i="26" s="1"/>
  <c r="X65" i="7" s="1"/>
  <c r="AD120" i="23"/>
  <c r="AS65" i="26" s="1" a="1"/>
  <c r="AS65" i="26" s="1"/>
  <c r="Y65" i="7" s="1"/>
  <c r="AE120" i="23"/>
  <c r="AT65" i="26" s="1" a="1"/>
  <c r="AT65" i="26" s="1"/>
  <c r="Z65" i="7" s="1"/>
  <c r="AF120" i="23"/>
  <c r="AU65" i="26" s="1" a="1"/>
  <c r="AU65" i="26" s="1"/>
  <c r="AA65" i="7" s="1"/>
  <c r="AG120" i="23"/>
  <c r="AV65" i="26" s="1" a="1"/>
  <c r="AV65" i="26" s="1"/>
  <c r="AB65" i="7" s="1"/>
  <c r="AH120" i="23"/>
  <c r="BD65" i="26" s="1" a="1"/>
  <c r="BD65" i="26" s="1"/>
  <c r="AJ65" i="7" s="1"/>
  <c r="AI120" i="23"/>
  <c r="AX65" i="26" s="1" a="1"/>
  <c r="AX65" i="26" s="1"/>
  <c r="AD65" i="7" s="1"/>
  <c r="AJ120" i="23"/>
  <c r="AW65" i="26" s="1" a="1"/>
  <c r="AW65" i="26" s="1"/>
  <c r="AC65" i="7" s="1"/>
  <c r="AK120" i="23"/>
  <c r="AY65" i="26" s="1" a="1"/>
  <c r="AY65" i="26" s="1"/>
  <c r="AE65" i="7" s="1"/>
  <c r="AL120" i="23"/>
  <c r="AZ65" i="26" s="1" a="1"/>
  <c r="AZ65" i="26" s="1"/>
  <c r="AF65" i="7" s="1"/>
  <c r="AM120" i="23"/>
  <c r="BA65" i="26" s="1" a="1"/>
  <c r="BA65" i="26" s="1"/>
  <c r="AG65" i="7" s="1"/>
  <c r="AN120" i="23"/>
  <c r="BB65" i="26" s="1" a="1"/>
  <c r="BB65" i="26" s="1"/>
  <c r="AH65" i="7" s="1"/>
  <c r="V121" i="23"/>
  <c r="W121" i="23"/>
  <c r="X121" i="23"/>
  <c r="AM66" i="26" s="1" a="1"/>
  <c r="AM66" i="26" s="1"/>
  <c r="S66" i="7" s="1"/>
  <c r="Y121" i="23"/>
  <c r="Z121" i="23"/>
  <c r="AO66" i="26" s="1" a="1"/>
  <c r="AO66" i="26" s="1"/>
  <c r="U66" i="7" s="1"/>
  <c r="AA121" i="23"/>
  <c r="AP66" i="26" s="1" a="1"/>
  <c r="AP66" i="26" s="1"/>
  <c r="V66" i="7" s="1"/>
  <c r="AB121" i="23"/>
  <c r="AQ66" i="26" s="1" a="1"/>
  <c r="AQ66" i="26" s="1"/>
  <c r="W66" i="7" s="1"/>
  <c r="AC121" i="23"/>
  <c r="AR66" i="26" s="1" a="1"/>
  <c r="AR66" i="26" s="1"/>
  <c r="X66" i="7" s="1"/>
  <c r="AD121" i="23"/>
  <c r="AS66" i="26" s="1" a="1"/>
  <c r="AS66" i="26" s="1"/>
  <c r="Y66" i="7" s="1"/>
  <c r="AE121" i="23"/>
  <c r="AT66" i="26" s="1" a="1"/>
  <c r="AT66" i="26" s="1"/>
  <c r="Z66" i="7" s="1"/>
  <c r="AF121" i="23"/>
  <c r="AU66" i="26" s="1" a="1"/>
  <c r="AU66" i="26" s="1"/>
  <c r="AA66" i="7" s="1"/>
  <c r="AG121" i="23"/>
  <c r="AV66" i="26" s="1" a="1"/>
  <c r="AV66" i="26" s="1"/>
  <c r="AB66" i="7" s="1"/>
  <c r="AH121" i="23"/>
  <c r="BD66" i="26" s="1" a="1"/>
  <c r="BD66" i="26" s="1"/>
  <c r="AJ66" i="7" s="1"/>
  <c r="AI121" i="23"/>
  <c r="AX66" i="26" s="1" a="1"/>
  <c r="AX66" i="26" s="1"/>
  <c r="AD66" i="7" s="1"/>
  <c r="AJ121" i="23"/>
  <c r="AW66" i="26" s="1" a="1"/>
  <c r="AW66" i="26" s="1"/>
  <c r="AC66" i="7" s="1"/>
  <c r="AK121" i="23"/>
  <c r="AY66" i="26" s="1" a="1"/>
  <c r="AY66" i="26" s="1"/>
  <c r="AE66" i="7" s="1"/>
  <c r="AL121" i="23"/>
  <c r="AZ66" i="26" s="1" a="1"/>
  <c r="AZ66" i="26" s="1"/>
  <c r="AF66" i="7" s="1"/>
  <c r="AM121" i="23"/>
  <c r="BA66" i="26" s="1" a="1"/>
  <c r="BA66" i="26" s="1"/>
  <c r="AG66" i="7" s="1"/>
  <c r="AN121" i="23"/>
  <c r="BB66" i="26" s="1" a="1"/>
  <c r="BB66" i="26" s="1"/>
  <c r="AH66" i="7" s="1"/>
  <c r="V122" i="23"/>
  <c r="W122" i="23"/>
  <c r="X122" i="23"/>
  <c r="AM67" i="26" s="1" a="1"/>
  <c r="AM67" i="26" s="1"/>
  <c r="S67" i="7" s="1"/>
  <c r="Y122" i="23"/>
  <c r="Z122" i="23"/>
  <c r="AO67" i="26" s="1" a="1"/>
  <c r="AO67" i="26" s="1"/>
  <c r="U67" i="7" s="1"/>
  <c r="AA122" i="23"/>
  <c r="AP67" i="26" s="1" a="1"/>
  <c r="AP67" i="26" s="1"/>
  <c r="V67" i="7" s="1"/>
  <c r="AB122" i="23"/>
  <c r="AQ67" i="26" s="1" a="1"/>
  <c r="AQ67" i="26" s="1"/>
  <c r="W67" i="7" s="1"/>
  <c r="AC122" i="23"/>
  <c r="AR67" i="26" s="1" a="1"/>
  <c r="AR67" i="26" s="1"/>
  <c r="X67" i="7" s="1"/>
  <c r="AD122" i="23"/>
  <c r="AS67" i="26" s="1" a="1"/>
  <c r="AS67" i="26" s="1"/>
  <c r="Y67" i="7" s="1"/>
  <c r="AE122" i="23"/>
  <c r="AT67" i="26" s="1" a="1"/>
  <c r="AT67" i="26" s="1"/>
  <c r="Z67" i="7" s="1"/>
  <c r="AF122" i="23"/>
  <c r="AU67" i="26" s="1" a="1"/>
  <c r="AU67" i="26" s="1"/>
  <c r="AA67" i="7" s="1"/>
  <c r="AG122" i="23"/>
  <c r="AV67" i="26" s="1" a="1"/>
  <c r="AV67" i="26" s="1"/>
  <c r="AB67" i="7" s="1"/>
  <c r="AH122" i="23"/>
  <c r="BD67" i="26" s="1" a="1"/>
  <c r="BD67" i="26" s="1"/>
  <c r="AJ67" i="7" s="1"/>
  <c r="AI122" i="23"/>
  <c r="AX67" i="26" s="1" a="1"/>
  <c r="AX67" i="26" s="1"/>
  <c r="AD67" i="7" s="1"/>
  <c r="AJ122" i="23"/>
  <c r="AW67" i="26" s="1" a="1"/>
  <c r="AW67" i="26" s="1"/>
  <c r="AC67" i="7" s="1"/>
  <c r="AK122" i="23"/>
  <c r="AY67" i="26" s="1" a="1"/>
  <c r="AY67" i="26" s="1"/>
  <c r="AE67" i="7" s="1"/>
  <c r="AL122" i="23"/>
  <c r="AZ67" i="26" s="1" a="1"/>
  <c r="AZ67" i="26" s="1"/>
  <c r="AF67" i="7" s="1"/>
  <c r="AM122" i="23"/>
  <c r="BA67" i="26" s="1" a="1"/>
  <c r="BA67" i="26" s="1"/>
  <c r="AG67" i="7" s="1"/>
  <c r="AN122" i="23"/>
  <c r="BB67" i="26" s="1" a="1"/>
  <c r="BB67" i="26" s="1"/>
  <c r="AH67" i="7" s="1"/>
  <c r="V123" i="23"/>
  <c r="W123" i="23"/>
  <c r="X123" i="23"/>
  <c r="AM68" i="26" s="1" a="1"/>
  <c r="AM68" i="26" s="1"/>
  <c r="S68" i="7" s="1"/>
  <c r="Y123" i="23"/>
  <c r="Z123" i="23"/>
  <c r="AO68" i="26" s="1" a="1"/>
  <c r="AO68" i="26" s="1"/>
  <c r="U68" i="7" s="1"/>
  <c r="AA123" i="23"/>
  <c r="AP68" i="26" s="1" a="1"/>
  <c r="AP68" i="26" s="1"/>
  <c r="V68" i="7" s="1"/>
  <c r="AB123" i="23"/>
  <c r="AQ68" i="26" s="1" a="1"/>
  <c r="AQ68" i="26" s="1"/>
  <c r="W68" i="7" s="1"/>
  <c r="AC123" i="23"/>
  <c r="AR68" i="26" s="1" a="1"/>
  <c r="AR68" i="26" s="1"/>
  <c r="X68" i="7" s="1"/>
  <c r="AD123" i="23"/>
  <c r="AS68" i="26" s="1" a="1"/>
  <c r="AS68" i="26" s="1"/>
  <c r="Y68" i="7" s="1"/>
  <c r="AE123" i="23"/>
  <c r="AT68" i="26" s="1" a="1"/>
  <c r="AT68" i="26" s="1"/>
  <c r="Z68" i="7" s="1"/>
  <c r="AF123" i="23"/>
  <c r="AU68" i="26" s="1" a="1"/>
  <c r="AU68" i="26" s="1"/>
  <c r="AA68" i="7" s="1"/>
  <c r="AG123" i="23"/>
  <c r="AV68" i="26" s="1" a="1"/>
  <c r="AV68" i="26" s="1"/>
  <c r="AB68" i="7" s="1"/>
  <c r="AH123" i="23"/>
  <c r="BD68" i="26" s="1" a="1"/>
  <c r="BD68" i="26" s="1"/>
  <c r="AJ68" i="7" s="1"/>
  <c r="AI123" i="23"/>
  <c r="AX68" i="26" s="1" a="1"/>
  <c r="AX68" i="26" s="1"/>
  <c r="AD68" i="7" s="1"/>
  <c r="AJ123" i="23"/>
  <c r="AW68" i="26" s="1" a="1"/>
  <c r="AW68" i="26" s="1"/>
  <c r="AC68" i="7" s="1"/>
  <c r="AK123" i="23"/>
  <c r="AY68" i="26" s="1" a="1"/>
  <c r="AY68" i="26" s="1"/>
  <c r="AE68" i="7" s="1"/>
  <c r="AL123" i="23"/>
  <c r="AZ68" i="26" s="1" a="1"/>
  <c r="AZ68" i="26" s="1"/>
  <c r="AF68" i="7" s="1"/>
  <c r="AM123" i="23"/>
  <c r="BA68" i="26" s="1" a="1"/>
  <c r="BA68" i="26" s="1"/>
  <c r="AG68" i="7" s="1"/>
  <c r="AN123" i="23"/>
  <c r="BB68" i="26" s="1" a="1"/>
  <c r="BB68" i="26" s="1"/>
  <c r="AH68" i="7" s="1"/>
  <c r="V124" i="23"/>
  <c r="W124" i="23"/>
  <c r="X124" i="23"/>
  <c r="AM71" i="26" s="1" a="1"/>
  <c r="AM71" i="26" s="1"/>
  <c r="S71" i="7" s="1"/>
  <c r="Y124" i="23"/>
  <c r="Z124" i="23"/>
  <c r="AO71" i="26" s="1" a="1"/>
  <c r="AO71" i="26" s="1"/>
  <c r="U71" i="7" s="1"/>
  <c r="AA124" i="23"/>
  <c r="AP71" i="26" s="1" a="1"/>
  <c r="AP71" i="26" s="1"/>
  <c r="V71" i="7" s="1"/>
  <c r="AB124" i="23"/>
  <c r="AQ71" i="26" s="1" a="1"/>
  <c r="AQ71" i="26" s="1"/>
  <c r="W71" i="7" s="1"/>
  <c r="AC124" i="23"/>
  <c r="AR71" i="26" s="1" a="1"/>
  <c r="AR71" i="26" s="1"/>
  <c r="X71" i="7" s="1"/>
  <c r="AD124" i="23"/>
  <c r="AS71" i="26" s="1" a="1"/>
  <c r="AS71" i="26" s="1"/>
  <c r="Y71" i="7" s="1"/>
  <c r="AE124" i="23"/>
  <c r="AT71" i="26" s="1" a="1"/>
  <c r="AT71" i="26" s="1"/>
  <c r="Z71" i="7" s="1"/>
  <c r="AF124" i="23"/>
  <c r="AU71" i="26" s="1" a="1"/>
  <c r="AU71" i="26" s="1"/>
  <c r="AA71" i="7" s="1"/>
  <c r="AG124" i="23"/>
  <c r="AV71" i="26" s="1" a="1"/>
  <c r="AV71" i="26" s="1"/>
  <c r="AB71" i="7" s="1"/>
  <c r="AH124" i="23"/>
  <c r="BD71" i="26" s="1" a="1"/>
  <c r="BD71" i="26" s="1"/>
  <c r="AJ71" i="7" s="1"/>
  <c r="AI124" i="23"/>
  <c r="AX71" i="26" s="1" a="1"/>
  <c r="AX71" i="26" s="1"/>
  <c r="AD71" i="7" s="1"/>
  <c r="AJ124" i="23"/>
  <c r="AW71" i="26" s="1" a="1"/>
  <c r="AW71" i="26" s="1"/>
  <c r="AC71" i="7" s="1"/>
  <c r="AK124" i="23"/>
  <c r="AY71" i="26" s="1" a="1"/>
  <c r="AY71" i="26" s="1"/>
  <c r="AE71" i="7" s="1"/>
  <c r="AL124" i="23"/>
  <c r="AZ71" i="26" s="1" a="1"/>
  <c r="AZ71" i="26" s="1"/>
  <c r="AF71" i="7" s="1"/>
  <c r="AM124" i="23"/>
  <c r="BA71" i="26" s="1" a="1"/>
  <c r="BA71" i="26" s="1"/>
  <c r="AG71" i="7" s="1"/>
  <c r="AN124" i="23"/>
  <c r="BB71" i="26" s="1" a="1"/>
  <c r="BB71" i="26" s="1"/>
  <c r="AH71" i="7" s="1"/>
  <c r="V125" i="23"/>
  <c r="W125" i="23"/>
  <c r="X125" i="23"/>
  <c r="AM70" i="26" s="1" a="1"/>
  <c r="AM70" i="26" s="1"/>
  <c r="S70" i="7" s="1"/>
  <c r="Y125" i="23"/>
  <c r="Z125" i="23"/>
  <c r="AO70" i="26" s="1" a="1"/>
  <c r="AO70" i="26" s="1"/>
  <c r="U70" i="7" s="1"/>
  <c r="AA125" i="23"/>
  <c r="AP70" i="26" s="1" a="1"/>
  <c r="AP70" i="26" s="1"/>
  <c r="V70" i="7" s="1"/>
  <c r="AB125" i="23"/>
  <c r="AQ70" i="26" s="1" a="1"/>
  <c r="AQ70" i="26" s="1"/>
  <c r="W70" i="7" s="1"/>
  <c r="AC125" i="23"/>
  <c r="AR70" i="26" s="1" a="1"/>
  <c r="AR70" i="26" s="1"/>
  <c r="X70" i="7" s="1"/>
  <c r="AD125" i="23"/>
  <c r="AS70" i="26" s="1" a="1"/>
  <c r="AS70" i="26" s="1"/>
  <c r="Y70" i="7" s="1"/>
  <c r="AE125" i="23"/>
  <c r="AT70" i="26" s="1" a="1"/>
  <c r="AT70" i="26" s="1"/>
  <c r="Z70" i="7" s="1"/>
  <c r="AF125" i="23"/>
  <c r="AU70" i="26" s="1" a="1"/>
  <c r="AU70" i="26" s="1"/>
  <c r="AA70" i="7" s="1"/>
  <c r="AG125" i="23"/>
  <c r="AV70" i="26" s="1" a="1"/>
  <c r="AV70" i="26" s="1"/>
  <c r="AB70" i="7" s="1"/>
  <c r="AH125" i="23"/>
  <c r="BD70" i="26" s="1" a="1"/>
  <c r="BD70" i="26" s="1"/>
  <c r="AJ70" i="7" s="1"/>
  <c r="AI125" i="23"/>
  <c r="AX70" i="26" s="1" a="1"/>
  <c r="AX70" i="26" s="1"/>
  <c r="AD70" i="7" s="1"/>
  <c r="AJ125" i="23"/>
  <c r="AW70" i="26" s="1" a="1"/>
  <c r="AW70" i="26" s="1"/>
  <c r="AC70" i="7" s="1"/>
  <c r="AK125" i="23"/>
  <c r="AY70" i="26" s="1" a="1"/>
  <c r="AY70" i="26" s="1"/>
  <c r="AE70" i="7" s="1"/>
  <c r="AL125" i="23"/>
  <c r="AZ70" i="26" s="1" a="1"/>
  <c r="AZ70" i="26" s="1"/>
  <c r="AF70" i="7" s="1"/>
  <c r="AM125" i="23"/>
  <c r="BA70" i="26" s="1" a="1"/>
  <c r="BA70" i="26" s="1"/>
  <c r="AG70" i="7" s="1"/>
  <c r="AN125" i="23"/>
  <c r="BB70" i="26" s="1" a="1"/>
  <c r="BB70" i="26" s="1"/>
  <c r="AH70" i="7" s="1"/>
  <c r="V126" i="23"/>
  <c r="W126" i="23"/>
  <c r="X126" i="23"/>
  <c r="AM69" i="26" s="1" a="1"/>
  <c r="AM69" i="26" s="1"/>
  <c r="S69" i="7" s="1"/>
  <c r="Y126" i="23"/>
  <c r="Z126" i="23"/>
  <c r="AO69" i="26" s="1" a="1"/>
  <c r="AO69" i="26" s="1"/>
  <c r="U69" i="7" s="1"/>
  <c r="AA126" i="23"/>
  <c r="AP69" i="26" s="1" a="1"/>
  <c r="AP69" i="26" s="1"/>
  <c r="V69" i="7" s="1"/>
  <c r="AB126" i="23"/>
  <c r="AQ69" i="26" s="1" a="1"/>
  <c r="AQ69" i="26" s="1"/>
  <c r="W69" i="7" s="1"/>
  <c r="AC126" i="23"/>
  <c r="AR69" i="26" s="1" a="1"/>
  <c r="AR69" i="26" s="1"/>
  <c r="X69" i="7" s="1"/>
  <c r="AD126" i="23"/>
  <c r="AS69" i="26" s="1" a="1"/>
  <c r="AS69" i="26" s="1"/>
  <c r="Y69" i="7" s="1"/>
  <c r="AE126" i="23"/>
  <c r="AT69" i="26" s="1" a="1"/>
  <c r="AT69" i="26" s="1"/>
  <c r="Z69" i="7" s="1"/>
  <c r="AF126" i="23"/>
  <c r="AU69" i="26" s="1" a="1"/>
  <c r="AU69" i="26" s="1"/>
  <c r="AA69" i="7" s="1"/>
  <c r="AG126" i="23"/>
  <c r="AV69" i="26" s="1" a="1"/>
  <c r="AV69" i="26" s="1"/>
  <c r="AB69" i="7" s="1"/>
  <c r="AH126" i="23"/>
  <c r="BD69" i="26" s="1" a="1"/>
  <c r="BD69" i="26" s="1"/>
  <c r="AJ69" i="7" s="1"/>
  <c r="AI126" i="23"/>
  <c r="AX69" i="26" s="1" a="1"/>
  <c r="AX69" i="26" s="1"/>
  <c r="AD69" i="7" s="1"/>
  <c r="AJ126" i="23"/>
  <c r="AW69" i="26" s="1" a="1"/>
  <c r="AW69" i="26" s="1"/>
  <c r="AC69" i="7" s="1"/>
  <c r="AK126" i="23"/>
  <c r="AY69" i="26" s="1" a="1"/>
  <c r="AY69" i="26" s="1"/>
  <c r="AE69" i="7" s="1"/>
  <c r="AL126" i="23"/>
  <c r="AZ69" i="26" s="1" a="1"/>
  <c r="AZ69" i="26" s="1"/>
  <c r="AF69" i="7" s="1"/>
  <c r="AM126" i="23"/>
  <c r="BA69" i="26" s="1" a="1"/>
  <c r="BA69" i="26" s="1"/>
  <c r="AG69" i="7" s="1"/>
  <c r="AN126" i="23"/>
  <c r="BB69" i="26" s="1" a="1"/>
  <c r="BB69" i="26" s="1"/>
  <c r="AH69" i="7" s="1"/>
  <c r="V127" i="23"/>
  <c r="W127" i="23"/>
  <c r="X127" i="23"/>
  <c r="AM73" i="26" s="1" a="1"/>
  <c r="AM73" i="26" s="1"/>
  <c r="S73" i="7" s="1"/>
  <c r="Y127" i="23"/>
  <c r="Z127" i="23"/>
  <c r="AO73" i="26" s="1" a="1"/>
  <c r="AO73" i="26" s="1"/>
  <c r="U73" i="7" s="1"/>
  <c r="AA127" i="23"/>
  <c r="AP73" i="26" s="1" a="1"/>
  <c r="AP73" i="26" s="1"/>
  <c r="V73" i="7" s="1"/>
  <c r="AB127" i="23"/>
  <c r="AQ73" i="26" s="1" a="1"/>
  <c r="AQ73" i="26" s="1"/>
  <c r="W73" i="7" s="1"/>
  <c r="AC127" i="23"/>
  <c r="AR73" i="26" s="1" a="1"/>
  <c r="AR73" i="26" s="1"/>
  <c r="X73" i="7" s="1"/>
  <c r="AD127" i="23"/>
  <c r="AS73" i="26" s="1" a="1"/>
  <c r="AS73" i="26" s="1"/>
  <c r="Y73" i="7" s="1"/>
  <c r="AE127" i="23"/>
  <c r="AT73" i="26" s="1" a="1"/>
  <c r="AT73" i="26" s="1"/>
  <c r="Z73" i="7" s="1"/>
  <c r="AF127" i="23"/>
  <c r="AU73" i="26" s="1" a="1"/>
  <c r="AU73" i="26" s="1"/>
  <c r="AA73" i="7" s="1"/>
  <c r="AG127" i="23"/>
  <c r="AV73" i="26" s="1" a="1"/>
  <c r="AV73" i="26" s="1"/>
  <c r="AB73" i="7" s="1"/>
  <c r="AH127" i="23"/>
  <c r="BD73" i="26" s="1" a="1"/>
  <c r="BD73" i="26" s="1"/>
  <c r="AJ73" i="7" s="1"/>
  <c r="AI127" i="23"/>
  <c r="AX73" i="26" s="1" a="1"/>
  <c r="AX73" i="26" s="1"/>
  <c r="AD73" i="7" s="1"/>
  <c r="AJ127" i="23"/>
  <c r="AW73" i="26" s="1" a="1"/>
  <c r="AW73" i="26" s="1"/>
  <c r="AC73" i="7" s="1"/>
  <c r="AK127" i="23"/>
  <c r="AY73" i="26" s="1" a="1"/>
  <c r="AY73" i="26" s="1"/>
  <c r="AE73" i="7" s="1"/>
  <c r="AL127" i="23"/>
  <c r="AZ73" i="26" s="1" a="1"/>
  <c r="AZ73" i="26" s="1"/>
  <c r="AF73" i="7" s="1"/>
  <c r="AM127" i="23"/>
  <c r="BA73" i="26" s="1" a="1"/>
  <c r="BA73" i="26" s="1"/>
  <c r="AG73" i="7" s="1"/>
  <c r="AN127" i="23"/>
  <c r="BB73" i="26" s="1" a="1"/>
  <c r="BB73" i="26" s="1"/>
  <c r="AH73" i="7" s="1"/>
  <c r="V128" i="23"/>
  <c r="W128" i="23"/>
  <c r="X128" i="23"/>
  <c r="AM72" i="26" s="1" a="1"/>
  <c r="AM72" i="26" s="1"/>
  <c r="S72" i="7" s="1"/>
  <c r="Y128" i="23"/>
  <c r="Z128" i="23"/>
  <c r="AO72" i="26" s="1" a="1"/>
  <c r="AO72" i="26" s="1"/>
  <c r="U72" i="7" s="1"/>
  <c r="AA128" i="23"/>
  <c r="AP72" i="26" s="1" a="1"/>
  <c r="AP72" i="26" s="1"/>
  <c r="V72" i="7" s="1"/>
  <c r="AB128" i="23"/>
  <c r="AQ72" i="26" s="1" a="1"/>
  <c r="AQ72" i="26" s="1"/>
  <c r="W72" i="7" s="1"/>
  <c r="AC128" i="23"/>
  <c r="AR72" i="26" s="1" a="1"/>
  <c r="AR72" i="26" s="1"/>
  <c r="X72" i="7" s="1"/>
  <c r="AD128" i="23"/>
  <c r="AS72" i="26" s="1" a="1"/>
  <c r="AS72" i="26" s="1"/>
  <c r="Y72" i="7" s="1"/>
  <c r="AE128" i="23"/>
  <c r="AT72" i="26" s="1" a="1"/>
  <c r="AT72" i="26" s="1"/>
  <c r="Z72" i="7" s="1"/>
  <c r="AF128" i="23"/>
  <c r="AU72" i="26" s="1" a="1"/>
  <c r="AU72" i="26" s="1"/>
  <c r="AA72" i="7" s="1"/>
  <c r="AG128" i="23"/>
  <c r="AV72" i="26" s="1" a="1"/>
  <c r="AV72" i="26" s="1"/>
  <c r="AB72" i="7" s="1"/>
  <c r="AH128" i="23"/>
  <c r="BD72" i="26" s="1" a="1"/>
  <c r="BD72" i="26" s="1"/>
  <c r="AJ72" i="7" s="1"/>
  <c r="AI128" i="23"/>
  <c r="AX72" i="26" s="1" a="1"/>
  <c r="AX72" i="26" s="1"/>
  <c r="AD72" i="7" s="1"/>
  <c r="AJ128" i="23"/>
  <c r="AW72" i="26" s="1" a="1"/>
  <c r="AW72" i="26" s="1"/>
  <c r="AC72" i="7" s="1"/>
  <c r="AK128" i="23"/>
  <c r="AY72" i="26" s="1" a="1"/>
  <c r="AY72" i="26" s="1"/>
  <c r="AE72" i="7" s="1"/>
  <c r="AL128" i="23"/>
  <c r="AZ72" i="26" s="1" a="1"/>
  <c r="AZ72" i="26" s="1"/>
  <c r="AF72" i="7" s="1"/>
  <c r="AM128" i="23"/>
  <c r="BA72" i="26" s="1" a="1"/>
  <c r="BA72" i="26" s="1"/>
  <c r="AG72" i="7" s="1"/>
  <c r="AN128" i="23"/>
  <c r="BB72" i="26" s="1" a="1"/>
  <c r="BB72" i="26" s="1"/>
  <c r="AH72" i="7" s="1"/>
  <c r="V129" i="23"/>
  <c r="W129" i="23"/>
  <c r="X129" i="23"/>
  <c r="AM74" i="26" s="1" a="1"/>
  <c r="AM74" i="26" s="1"/>
  <c r="S74" i="7" s="1"/>
  <c r="Y129" i="23"/>
  <c r="Z129" i="23"/>
  <c r="AO74" i="26" s="1" a="1"/>
  <c r="AO74" i="26" s="1"/>
  <c r="U74" i="7" s="1"/>
  <c r="AA129" i="23"/>
  <c r="AP74" i="26" s="1" a="1"/>
  <c r="AP74" i="26" s="1"/>
  <c r="V74" i="7" s="1"/>
  <c r="AB129" i="23"/>
  <c r="AQ74" i="26" s="1" a="1"/>
  <c r="AQ74" i="26" s="1"/>
  <c r="W74" i="7" s="1"/>
  <c r="AC129" i="23"/>
  <c r="AR74" i="26" s="1" a="1"/>
  <c r="AR74" i="26" s="1"/>
  <c r="X74" i="7" s="1"/>
  <c r="AD129" i="23"/>
  <c r="AS74" i="26" s="1" a="1"/>
  <c r="AS74" i="26" s="1"/>
  <c r="Y74" i="7" s="1"/>
  <c r="AE129" i="23"/>
  <c r="AT74" i="26" s="1" a="1"/>
  <c r="AT74" i="26" s="1"/>
  <c r="Z74" i="7" s="1"/>
  <c r="AF129" i="23"/>
  <c r="AU74" i="26" s="1" a="1"/>
  <c r="AU74" i="26" s="1"/>
  <c r="AA74" i="7" s="1"/>
  <c r="AG129" i="23"/>
  <c r="AV74" i="26" s="1" a="1"/>
  <c r="AV74" i="26" s="1"/>
  <c r="AB74" i="7" s="1"/>
  <c r="AH129" i="23"/>
  <c r="BD74" i="26" s="1" a="1"/>
  <c r="BD74" i="26" s="1"/>
  <c r="AJ74" i="7" s="1"/>
  <c r="AI129" i="23"/>
  <c r="AX74" i="26" s="1" a="1"/>
  <c r="AX74" i="26" s="1"/>
  <c r="AD74" i="7" s="1"/>
  <c r="AJ129" i="23"/>
  <c r="AW74" i="26" s="1" a="1"/>
  <c r="AW74" i="26" s="1"/>
  <c r="AC74" i="7" s="1"/>
  <c r="AK129" i="23"/>
  <c r="AY74" i="26" s="1" a="1"/>
  <c r="AY74" i="26" s="1"/>
  <c r="AE74" i="7" s="1"/>
  <c r="AL129" i="23"/>
  <c r="AZ74" i="26" s="1" a="1"/>
  <c r="AZ74" i="26" s="1"/>
  <c r="AF74" i="7" s="1"/>
  <c r="AM129" i="23"/>
  <c r="BA74" i="26" s="1" a="1"/>
  <c r="BA74" i="26" s="1"/>
  <c r="AG74" i="7" s="1"/>
  <c r="AN129" i="23"/>
  <c r="BB74" i="26" s="1" a="1"/>
  <c r="BB74" i="26" s="1"/>
  <c r="AH74" i="7" s="1"/>
  <c r="V130" i="23"/>
  <c r="W130" i="23"/>
  <c r="X130" i="23"/>
  <c r="AM75" i="26" s="1" a="1"/>
  <c r="AM75" i="26" s="1"/>
  <c r="S75" i="7" s="1"/>
  <c r="Y130" i="23"/>
  <c r="Z130" i="23"/>
  <c r="AO75" i="26" s="1" a="1"/>
  <c r="AO75" i="26" s="1"/>
  <c r="U75" i="7" s="1"/>
  <c r="AA130" i="23"/>
  <c r="AP75" i="26" s="1" a="1"/>
  <c r="AP75" i="26" s="1"/>
  <c r="V75" i="7" s="1"/>
  <c r="AB130" i="23"/>
  <c r="AQ75" i="26" s="1" a="1"/>
  <c r="AQ75" i="26" s="1"/>
  <c r="W75" i="7" s="1"/>
  <c r="AC130" i="23"/>
  <c r="AR75" i="26" s="1" a="1"/>
  <c r="AR75" i="26" s="1"/>
  <c r="X75" i="7" s="1"/>
  <c r="AD130" i="23"/>
  <c r="AS75" i="26" s="1" a="1"/>
  <c r="AS75" i="26" s="1"/>
  <c r="Y75" i="7" s="1"/>
  <c r="AE130" i="23"/>
  <c r="AT75" i="26" s="1" a="1"/>
  <c r="AT75" i="26" s="1"/>
  <c r="Z75" i="7" s="1"/>
  <c r="AF130" i="23"/>
  <c r="AU75" i="26" s="1" a="1"/>
  <c r="AU75" i="26" s="1"/>
  <c r="AA75" i="7" s="1"/>
  <c r="AG130" i="23"/>
  <c r="AV75" i="26" s="1" a="1"/>
  <c r="AV75" i="26" s="1"/>
  <c r="AB75" i="7" s="1"/>
  <c r="AH130" i="23"/>
  <c r="BD75" i="26" s="1" a="1"/>
  <c r="BD75" i="26" s="1"/>
  <c r="AJ75" i="7" s="1"/>
  <c r="AI130" i="23"/>
  <c r="AX75" i="26" s="1" a="1"/>
  <c r="AX75" i="26" s="1"/>
  <c r="AD75" i="7" s="1"/>
  <c r="AJ130" i="23"/>
  <c r="AW75" i="26" s="1" a="1"/>
  <c r="AW75" i="26" s="1"/>
  <c r="AC75" i="7" s="1"/>
  <c r="AK130" i="23"/>
  <c r="AY75" i="26" s="1" a="1"/>
  <c r="AY75" i="26" s="1"/>
  <c r="AE75" i="7" s="1"/>
  <c r="AL130" i="23"/>
  <c r="AZ75" i="26" s="1" a="1"/>
  <c r="AZ75" i="26" s="1"/>
  <c r="AF75" i="7" s="1"/>
  <c r="AM130" i="23"/>
  <c r="BA75" i="26" s="1" a="1"/>
  <c r="BA75" i="26" s="1"/>
  <c r="AG75" i="7" s="1"/>
  <c r="AN130" i="23"/>
  <c r="BB75" i="26" s="1" a="1"/>
  <c r="BB75" i="26" s="1"/>
  <c r="AH75" i="7" s="1"/>
  <c r="V131" i="23"/>
  <c r="W131" i="23"/>
  <c r="X131" i="23"/>
  <c r="AM77" i="26" s="1" a="1"/>
  <c r="AM77" i="26" s="1"/>
  <c r="S77" i="7" s="1"/>
  <c r="Y131" i="23"/>
  <c r="Z131" i="23"/>
  <c r="AO77" i="26" s="1" a="1"/>
  <c r="AO77" i="26" s="1"/>
  <c r="U77" i="7" s="1"/>
  <c r="AA131" i="23"/>
  <c r="AP77" i="26" s="1" a="1"/>
  <c r="AP77" i="26" s="1"/>
  <c r="V77" i="7" s="1"/>
  <c r="AB131" i="23"/>
  <c r="AQ77" i="26" s="1" a="1"/>
  <c r="AQ77" i="26" s="1"/>
  <c r="W77" i="7" s="1"/>
  <c r="AC131" i="23"/>
  <c r="AR77" i="26" s="1" a="1"/>
  <c r="AR77" i="26" s="1"/>
  <c r="X77" i="7" s="1"/>
  <c r="AD131" i="23"/>
  <c r="AS77" i="26" s="1" a="1"/>
  <c r="AS77" i="26" s="1"/>
  <c r="Y77" i="7" s="1"/>
  <c r="AE131" i="23"/>
  <c r="AT77" i="26" s="1" a="1"/>
  <c r="AT77" i="26" s="1"/>
  <c r="Z77" i="7" s="1"/>
  <c r="AF131" i="23"/>
  <c r="AU77" i="26" s="1" a="1"/>
  <c r="AU77" i="26" s="1"/>
  <c r="AA77" i="7" s="1"/>
  <c r="AG131" i="23"/>
  <c r="AV77" i="26" s="1" a="1"/>
  <c r="AV77" i="26" s="1"/>
  <c r="AB77" i="7" s="1"/>
  <c r="AH131" i="23"/>
  <c r="BD77" i="26" s="1" a="1"/>
  <c r="BD77" i="26" s="1"/>
  <c r="AJ77" i="7" s="1"/>
  <c r="AI131" i="23"/>
  <c r="AX77" i="26" s="1" a="1"/>
  <c r="AX77" i="26" s="1"/>
  <c r="AD77" i="7" s="1"/>
  <c r="AJ131" i="23"/>
  <c r="AW77" i="26" s="1" a="1"/>
  <c r="AW77" i="26" s="1"/>
  <c r="AC77" i="7" s="1"/>
  <c r="AK131" i="23"/>
  <c r="AY77" i="26" s="1" a="1"/>
  <c r="AY77" i="26" s="1"/>
  <c r="AE77" i="7" s="1"/>
  <c r="AL131" i="23"/>
  <c r="AZ77" i="26" s="1" a="1"/>
  <c r="AZ77" i="26" s="1"/>
  <c r="AF77" i="7" s="1"/>
  <c r="AM131" i="23"/>
  <c r="BA77" i="26" s="1" a="1"/>
  <c r="BA77" i="26" s="1"/>
  <c r="AG77" i="7" s="1"/>
  <c r="AN131" i="23"/>
  <c r="BB77" i="26" s="1" a="1"/>
  <c r="BB77" i="26" s="1"/>
  <c r="AH77" i="7" s="1"/>
  <c r="V132" i="23"/>
  <c r="W132" i="23"/>
  <c r="X132" i="23"/>
  <c r="AM76" i="26" s="1" a="1"/>
  <c r="AM76" i="26" s="1"/>
  <c r="S76" i="7" s="1"/>
  <c r="Y132" i="23"/>
  <c r="Z132" i="23"/>
  <c r="AO76" i="26" s="1" a="1"/>
  <c r="AO76" i="26" s="1"/>
  <c r="U76" i="7" s="1"/>
  <c r="AA132" i="23"/>
  <c r="AP76" i="26" s="1" a="1"/>
  <c r="AP76" i="26" s="1"/>
  <c r="V76" i="7" s="1"/>
  <c r="AB132" i="23"/>
  <c r="AQ76" i="26" s="1" a="1"/>
  <c r="AQ76" i="26" s="1"/>
  <c r="W76" i="7" s="1"/>
  <c r="AC132" i="23"/>
  <c r="AR76" i="26" s="1" a="1"/>
  <c r="AR76" i="26" s="1"/>
  <c r="X76" i="7" s="1"/>
  <c r="AD132" i="23"/>
  <c r="AS76" i="26" s="1" a="1"/>
  <c r="AS76" i="26" s="1"/>
  <c r="Y76" i="7" s="1"/>
  <c r="AE132" i="23"/>
  <c r="AT76" i="26" s="1" a="1"/>
  <c r="AT76" i="26" s="1"/>
  <c r="Z76" i="7" s="1"/>
  <c r="AF132" i="23"/>
  <c r="AU76" i="26" s="1" a="1"/>
  <c r="AU76" i="26" s="1"/>
  <c r="AA76" i="7" s="1"/>
  <c r="AG132" i="23"/>
  <c r="AV76" i="26" s="1" a="1"/>
  <c r="AV76" i="26" s="1"/>
  <c r="AB76" i="7" s="1"/>
  <c r="AH132" i="23"/>
  <c r="BD76" i="26" s="1" a="1"/>
  <c r="BD76" i="26" s="1"/>
  <c r="AJ76" i="7" s="1"/>
  <c r="AI132" i="23"/>
  <c r="AX76" i="26" s="1" a="1"/>
  <c r="AX76" i="26" s="1"/>
  <c r="AD76" i="7" s="1"/>
  <c r="AJ132" i="23"/>
  <c r="AW76" i="26" s="1" a="1"/>
  <c r="AW76" i="26" s="1"/>
  <c r="AC76" i="7" s="1"/>
  <c r="AK132" i="23"/>
  <c r="AY76" i="26" s="1" a="1"/>
  <c r="AY76" i="26" s="1"/>
  <c r="AE76" i="7" s="1"/>
  <c r="AL132" i="23"/>
  <c r="AZ76" i="26" s="1" a="1"/>
  <c r="AZ76" i="26" s="1"/>
  <c r="AF76" i="7" s="1"/>
  <c r="AM132" i="23"/>
  <c r="BA76" i="26" s="1" a="1"/>
  <c r="BA76" i="26" s="1"/>
  <c r="AG76" i="7" s="1"/>
  <c r="AN132" i="23"/>
  <c r="BB76" i="26" s="1" a="1"/>
  <c r="BB76" i="26" s="1"/>
  <c r="AH76" i="7" s="1"/>
  <c r="V133" i="23"/>
  <c r="W133" i="23"/>
  <c r="X133" i="23"/>
  <c r="AM78" i="26" s="1" a="1"/>
  <c r="AM78" i="26" s="1"/>
  <c r="S78" i="7" s="1"/>
  <c r="Y133" i="23"/>
  <c r="Z133" i="23"/>
  <c r="AO78" i="26" s="1" a="1"/>
  <c r="AO78" i="26" s="1"/>
  <c r="U78" i="7" s="1"/>
  <c r="AA133" i="23"/>
  <c r="AP78" i="26" s="1" a="1"/>
  <c r="AP78" i="26" s="1"/>
  <c r="V78" i="7" s="1"/>
  <c r="AB133" i="23"/>
  <c r="AQ78" i="26" s="1" a="1"/>
  <c r="AQ78" i="26" s="1"/>
  <c r="W78" i="7" s="1"/>
  <c r="AC133" i="23"/>
  <c r="AR78" i="26" s="1" a="1"/>
  <c r="AR78" i="26" s="1"/>
  <c r="X78" i="7" s="1"/>
  <c r="AD133" i="23"/>
  <c r="AS78" i="26" s="1" a="1"/>
  <c r="AS78" i="26" s="1"/>
  <c r="Y78" i="7" s="1"/>
  <c r="AE133" i="23"/>
  <c r="AT78" i="26" s="1" a="1"/>
  <c r="AT78" i="26" s="1"/>
  <c r="Z78" i="7" s="1"/>
  <c r="AF133" i="23"/>
  <c r="AU78" i="26" s="1" a="1"/>
  <c r="AU78" i="26" s="1"/>
  <c r="AA78" i="7" s="1"/>
  <c r="AG133" i="23"/>
  <c r="AV78" i="26" s="1" a="1"/>
  <c r="AV78" i="26" s="1"/>
  <c r="AB78" i="7" s="1"/>
  <c r="AH133" i="23"/>
  <c r="BD78" i="26" s="1" a="1"/>
  <c r="BD78" i="26" s="1"/>
  <c r="AJ78" i="7" s="1"/>
  <c r="AI133" i="23"/>
  <c r="AX78" i="26" s="1" a="1"/>
  <c r="AX78" i="26" s="1"/>
  <c r="AD78" i="7" s="1"/>
  <c r="AJ133" i="23"/>
  <c r="AW78" i="26" s="1" a="1"/>
  <c r="AW78" i="26" s="1"/>
  <c r="AC78" i="7" s="1"/>
  <c r="AK133" i="23"/>
  <c r="AY78" i="26" s="1" a="1"/>
  <c r="AY78" i="26" s="1"/>
  <c r="AE78" i="7" s="1"/>
  <c r="AL133" i="23"/>
  <c r="AZ78" i="26" s="1" a="1"/>
  <c r="AZ78" i="26" s="1"/>
  <c r="AF78" i="7" s="1"/>
  <c r="AM133" i="23"/>
  <c r="BA78" i="26" s="1" a="1"/>
  <c r="BA78" i="26" s="1"/>
  <c r="AG78" i="7" s="1"/>
  <c r="AN133" i="23"/>
  <c r="BB78" i="26" s="1" a="1"/>
  <c r="BB78" i="26" s="1"/>
  <c r="AH78" i="7" s="1"/>
  <c r="D4" i="23"/>
  <c r="E4" i="23"/>
  <c r="F4" i="23"/>
  <c r="Y3" i="26" s="1" a="1"/>
  <c r="Y3" i="26" s="1"/>
  <c r="E3" i="7" s="1"/>
  <c r="G4" i="23"/>
  <c r="Z3" i="26" s="1" a="1"/>
  <c r="Z3" i="26" s="1"/>
  <c r="F3" i="7" s="1"/>
  <c r="H4" i="23"/>
  <c r="AA3" i="26" s="1" a="1"/>
  <c r="AA3" i="26" s="1"/>
  <c r="G3" i="7" s="1"/>
  <c r="I4" i="23"/>
  <c r="AB3" i="26" s="1" a="1"/>
  <c r="AB3" i="26" s="1"/>
  <c r="H3" i="7" s="1"/>
  <c r="J4" i="23"/>
  <c r="AD3" i="26" s="1" a="1"/>
  <c r="AD3" i="26" s="1"/>
  <c r="J3" i="7" s="1"/>
  <c r="K4" i="23"/>
  <c r="AE3" i="26" s="1" a="1"/>
  <c r="AE3" i="26" s="1"/>
  <c r="K3" i="7" s="1"/>
  <c r="L4" i="23"/>
  <c r="AC3" i="26" s="1" a="1"/>
  <c r="AC3" i="26" s="1"/>
  <c r="I3" i="7" s="1"/>
  <c r="M4" i="23"/>
  <c r="AG3" i="26" s="1" a="1"/>
  <c r="AG3" i="26" s="1"/>
  <c r="M3" i="7" s="1"/>
  <c r="N4" i="23"/>
  <c r="AF3" i="26" s="1" a="1"/>
  <c r="AF3" i="26" s="1"/>
  <c r="L3" i="7" s="1"/>
  <c r="O4" i="23"/>
  <c r="P4" i="23"/>
  <c r="AI3" i="26" s="1" a="1"/>
  <c r="AI3" i="26" s="1"/>
  <c r="O3" i="7" s="1"/>
  <c r="Q4" i="23"/>
  <c r="AH3" i="26" s="1" a="1"/>
  <c r="AH3" i="26" s="1"/>
  <c r="N3" i="7" s="1"/>
  <c r="R4" i="23"/>
  <c r="AJ3" i="26" s="1" a="1"/>
  <c r="AJ3" i="26" s="1"/>
  <c r="P3" i="7" s="1"/>
  <c r="S4" i="23"/>
  <c r="AK3" i="26" s="1" a="1"/>
  <c r="AK3" i="26" s="1"/>
  <c r="Q3" i="7" s="1"/>
  <c r="T4" i="23"/>
  <c r="U4" i="23"/>
  <c r="R6" i="25" s="1"/>
  <c r="AL3" i="26" s="1" a="1"/>
  <c r="AL3" i="26" s="1"/>
  <c r="R3" i="7" s="1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R7" i="25" s="1"/>
  <c r="D6" i="23"/>
  <c r="E6" i="23"/>
  <c r="X4" i="26" s="1" a="1"/>
  <c r="X4" i="26" s="1"/>
  <c r="D4" i="7" s="1"/>
  <c r="F6" i="23"/>
  <c r="Y4" i="26" s="1" a="1"/>
  <c r="Y4" i="26" s="1"/>
  <c r="E4" i="7" s="1"/>
  <c r="G6" i="23"/>
  <c r="Z4" i="26" s="1" a="1"/>
  <c r="Z4" i="26" s="1"/>
  <c r="F4" i="7" s="1"/>
  <c r="H6" i="23"/>
  <c r="AA4" i="26" s="1" a="1"/>
  <c r="AA4" i="26" s="1"/>
  <c r="G4" i="7" s="1"/>
  <c r="I6" i="23"/>
  <c r="AB4" i="26" s="1" a="1"/>
  <c r="AB4" i="26" s="1"/>
  <c r="H4" i="7" s="1"/>
  <c r="J6" i="23"/>
  <c r="AD4" i="26" s="1" a="1"/>
  <c r="AD4" i="26" s="1"/>
  <c r="J4" i="7" s="1"/>
  <c r="K6" i="23"/>
  <c r="AE4" i="26" s="1" a="1"/>
  <c r="AE4" i="26" s="1"/>
  <c r="K4" i="7" s="1"/>
  <c r="L6" i="23"/>
  <c r="AC4" i="26" s="1" a="1"/>
  <c r="AC4" i="26" s="1"/>
  <c r="I4" i="7" s="1"/>
  <c r="M6" i="23"/>
  <c r="AG4" i="26" s="1" a="1"/>
  <c r="AG4" i="26" s="1"/>
  <c r="M4" i="7" s="1"/>
  <c r="N6" i="23"/>
  <c r="AF4" i="26" s="1" a="1"/>
  <c r="AF4" i="26" s="1"/>
  <c r="L4" i="7" s="1"/>
  <c r="O6" i="23"/>
  <c r="P6" i="23"/>
  <c r="AI4" i="26" s="1" a="1"/>
  <c r="AI4" i="26" s="1"/>
  <c r="O4" i="7" s="1"/>
  <c r="Q6" i="23"/>
  <c r="AH4" i="26" s="1" a="1"/>
  <c r="AH4" i="26" s="1"/>
  <c r="N4" i="7" s="1"/>
  <c r="R6" i="23"/>
  <c r="AJ4" i="26" s="1" a="1"/>
  <c r="AJ4" i="26" s="1"/>
  <c r="P4" i="7" s="1"/>
  <c r="S6" i="23"/>
  <c r="AK4" i="26" s="1" a="1"/>
  <c r="AK4" i="26" s="1"/>
  <c r="Q4" i="7" s="1"/>
  <c r="T6" i="23"/>
  <c r="U6" i="23"/>
  <c r="AL4" i="26" s="1" a="1"/>
  <c r="AL4" i="26" s="1"/>
  <c r="R4" i="7" s="1"/>
  <c r="D7" i="23"/>
  <c r="E7" i="23"/>
  <c r="X5" i="26" s="1" a="1"/>
  <c r="X5" i="26" s="1"/>
  <c r="D5" i="7" s="1"/>
  <c r="F7" i="23"/>
  <c r="Y5" i="26" s="1" a="1"/>
  <c r="Y5" i="26" s="1"/>
  <c r="E5" i="7" s="1"/>
  <c r="G7" i="23"/>
  <c r="Z5" i="26" s="1" a="1"/>
  <c r="Z5" i="26" s="1"/>
  <c r="F5" i="7" s="1"/>
  <c r="H7" i="23"/>
  <c r="AA5" i="26" s="1" a="1"/>
  <c r="AA5" i="26" s="1"/>
  <c r="G5" i="7" s="1"/>
  <c r="I7" i="23"/>
  <c r="AB5" i="26" s="1" a="1"/>
  <c r="AB5" i="26" s="1"/>
  <c r="H5" i="7" s="1"/>
  <c r="J7" i="23"/>
  <c r="AD5" i="26" s="1" a="1"/>
  <c r="AD5" i="26" s="1"/>
  <c r="J5" i="7" s="1"/>
  <c r="K7" i="23"/>
  <c r="AE5" i="26" s="1" a="1"/>
  <c r="AE5" i="26" s="1"/>
  <c r="K5" i="7" s="1"/>
  <c r="L7" i="23"/>
  <c r="AC5" i="26" s="1" a="1"/>
  <c r="AC5" i="26" s="1"/>
  <c r="I5" i="7" s="1"/>
  <c r="M7" i="23"/>
  <c r="AG5" i="26" s="1" a="1"/>
  <c r="AG5" i="26" s="1"/>
  <c r="M5" i="7" s="1"/>
  <c r="N7" i="23"/>
  <c r="AF5" i="26" s="1" a="1"/>
  <c r="AF5" i="26" s="1"/>
  <c r="L5" i="7" s="1"/>
  <c r="O7" i="23"/>
  <c r="P7" i="23"/>
  <c r="AI5" i="26" s="1" a="1"/>
  <c r="AI5" i="26" s="1"/>
  <c r="O5" i="7" s="1"/>
  <c r="Q7" i="23"/>
  <c r="AH5" i="26" s="1" a="1"/>
  <c r="AH5" i="26" s="1"/>
  <c r="N5" i="7" s="1"/>
  <c r="R7" i="23"/>
  <c r="AJ5" i="26" s="1" a="1"/>
  <c r="AJ5" i="26" s="1"/>
  <c r="P5" i="7" s="1"/>
  <c r="S7" i="23"/>
  <c r="AK5" i="26" s="1" a="1"/>
  <c r="AK5" i="26" s="1"/>
  <c r="Q5" i="7" s="1"/>
  <c r="T7" i="23"/>
  <c r="U7" i="23"/>
  <c r="AL5" i="26" s="1" a="1"/>
  <c r="AL5" i="26" s="1"/>
  <c r="R5" i="7" s="1"/>
  <c r="D8" i="23"/>
  <c r="E8" i="23"/>
  <c r="X8" i="26" s="1" a="1"/>
  <c r="X8" i="26" s="1"/>
  <c r="D8" i="7" s="1"/>
  <c r="F8" i="23"/>
  <c r="Y8" i="26" s="1" a="1"/>
  <c r="Y8" i="26" s="1"/>
  <c r="E8" i="7" s="1"/>
  <c r="G8" i="23"/>
  <c r="Z8" i="26" s="1" a="1"/>
  <c r="Z8" i="26" s="1"/>
  <c r="F8" i="7" s="1"/>
  <c r="H8" i="23"/>
  <c r="AA8" i="26" s="1" a="1"/>
  <c r="AA8" i="26" s="1"/>
  <c r="G8" i="7" s="1"/>
  <c r="I8" i="23"/>
  <c r="AB8" i="26" s="1" a="1"/>
  <c r="AB8" i="26" s="1"/>
  <c r="H8" i="7" s="1"/>
  <c r="J8" i="23"/>
  <c r="AD8" i="26" s="1" a="1"/>
  <c r="AD8" i="26" s="1"/>
  <c r="J8" i="7" s="1"/>
  <c r="K8" i="23"/>
  <c r="AE8" i="26" s="1" a="1"/>
  <c r="AE8" i="26" s="1"/>
  <c r="K8" i="7" s="1"/>
  <c r="L8" i="23"/>
  <c r="AC8" i="26" s="1" a="1"/>
  <c r="AC8" i="26" s="1"/>
  <c r="I8" i="7" s="1"/>
  <c r="M8" i="23"/>
  <c r="AG8" i="26" s="1" a="1"/>
  <c r="AG8" i="26" s="1"/>
  <c r="M8" i="7" s="1"/>
  <c r="N8" i="23"/>
  <c r="AF8" i="26" s="1" a="1"/>
  <c r="AF8" i="26" s="1"/>
  <c r="L8" i="7" s="1"/>
  <c r="O8" i="23"/>
  <c r="P8" i="23"/>
  <c r="AI8" i="26" s="1" a="1"/>
  <c r="AI8" i="26" s="1"/>
  <c r="O8" i="7" s="1"/>
  <c r="Q8" i="23"/>
  <c r="AH8" i="26" s="1" a="1"/>
  <c r="AH8" i="26" s="1"/>
  <c r="N8" i="7" s="1"/>
  <c r="R8" i="23"/>
  <c r="AJ8" i="26" s="1" a="1"/>
  <c r="AJ8" i="26" s="1"/>
  <c r="P8" i="7" s="1"/>
  <c r="S8" i="23"/>
  <c r="AK8" i="26" s="1" a="1"/>
  <c r="AK8" i="26" s="1"/>
  <c r="Q8" i="7" s="1"/>
  <c r="T8" i="23"/>
  <c r="U8" i="23"/>
  <c r="AL8" i="26" s="1" a="1"/>
  <c r="AL8" i="26" s="1"/>
  <c r="R8" i="7" s="1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D10" i="23"/>
  <c r="E10" i="23"/>
  <c r="X6" i="26" s="1" a="1"/>
  <c r="X6" i="26" s="1"/>
  <c r="D6" i="7" s="1"/>
  <c r="F10" i="23"/>
  <c r="Y6" i="26" s="1" a="1"/>
  <c r="Y6" i="26" s="1"/>
  <c r="E6" i="7" s="1"/>
  <c r="G10" i="23"/>
  <c r="Z6" i="26" s="1" a="1"/>
  <c r="Z6" i="26" s="1"/>
  <c r="F6" i="7" s="1"/>
  <c r="H10" i="23"/>
  <c r="AA6" i="26" s="1" a="1"/>
  <c r="AA6" i="26" s="1"/>
  <c r="G6" i="7" s="1"/>
  <c r="I10" i="23"/>
  <c r="AB6" i="26" s="1" a="1"/>
  <c r="AB6" i="26" s="1"/>
  <c r="H6" i="7" s="1"/>
  <c r="J10" i="23"/>
  <c r="AD6" i="26" s="1" a="1"/>
  <c r="AD6" i="26" s="1"/>
  <c r="J6" i="7" s="1"/>
  <c r="K10" i="23"/>
  <c r="AE6" i="26" s="1" a="1"/>
  <c r="AE6" i="26" s="1"/>
  <c r="K6" i="7" s="1"/>
  <c r="L10" i="23"/>
  <c r="AC6" i="26" s="1" a="1"/>
  <c r="AC6" i="26" s="1"/>
  <c r="I6" i="7" s="1"/>
  <c r="M10" i="23"/>
  <c r="AG6" i="26" s="1" a="1"/>
  <c r="AG6" i="26" s="1"/>
  <c r="M6" i="7" s="1"/>
  <c r="N10" i="23"/>
  <c r="AF6" i="26" s="1" a="1"/>
  <c r="AF6" i="26" s="1"/>
  <c r="L6" i="7" s="1"/>
  <c r="O10" i="23"/>
  <c r="P10" i="23"/>
  <c r="AI6" i="26" s="1" a="1"/>
  <c r="AI6" i="26" s="1"/>
  <c r="O6" i="7" s="1"/>
  <c r="Q10" i="23"/>
  <c r="AH6" i="26" s="1" a="1"/>
  <c r="AH6" i="26" s="1"/>
  <c r="N6" i="7" s="1"/>
  <c r="R10" i="23"/>
  <c r="AJ6" i="26" s="1" a="1"/>
  <c r="AJ6" i="26" s="1"/>
  <c r="P6" i="7" s="1"/>
  <c r="S10" i="23"/>
  <c r="AK6" i="26" s="1" a="1"/>
  <c r="AK6" i="26" s="1"/>
  <c r="Q6" i="7" s="1"/>
  <c r="T10" i="23"/>
  <c r="U10" i="23"/>
  <c r="AL6" i="26" s="1" a="1"/>
  <c r="AL6" i="26" s="1"/>
  <c r="R6" i="7" s="1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D12" i="23"/>
  <c r="E12" i="23"/>
  <c r="X7" i="26" s="1" a="1"/>
  <c r="X7" i="26" s="1"/>
  <c r="D7" i="7" s="1"/>
  <c r="F12" i="23"/>
  <c r="Y7" i="26" s="1" a="1"/>
  <c r="Y7" i="26" s="1"/>
  <c r="E7" i="7" s="1"/>
  <c r="G12" i="23"/>
  <c r="Z7" i="26" s="1" a="1"/>
  <c r="Z7" i="26" s="1"/>
  <c r="F7" i="7" s="1"/>
  <c r="H12" i="23"/>
  <c r="AA7" i="26" s="1" a="1"/>
  <c r="AA7" i="26" s="1"/>
  <c r="G7" i="7" s="1"/>
  <c r="I12" i="23"/>
  <c r="AB7" i="26" s="1" a="1"/>
  <c r="AB7" i="26" s="1"/>
  <c r="H7" i="7" s="1"/>
  <c r="J12" i="23"/>
  <c r="AD7" i="26" s="1" a="1"/>
  <c r="AD7" i="26" s="1"/>
  <c r="J7" i="7" s="1"/>
  <c r="K12" i="23"/>
  <c r="AE7" i="26" s="1" a="1"/>
  <c r="AE7" i="26" s="1"/>
  <c r="K7" i="7" s="1"/>
  <c r="L12" i="23"/>
  <c r="AC7" i="26" s="1" a="1"/>
  <c r="AC7" i="26" s="1"/>
  <c r="I7" i="7" s="1"/>
  <c r="M12" i="23"/>
  <c r="AG7" i="26" s="1" a="1"/>
  <c r="AG7" i="26" s="1"/>
  <c r="M7" i="7" s="1"/>
  <c r="N12" i="23"/>
  <c r="AF7" i="26" s="1" a="1"/>
  <c r="AF7" i="26" s="1"/>
  <c r="L7" i="7" s="1"/>
  <c r="O12" i="23"/>
  <c r="P12" i="23"/>
  <c r="AI7" i="26" s="1" a="1"/>
  <c r="AI7" i="26" s="1"/>
  <c r="O7" i="7" s="1"/>
  <c r="Q12" i="23"/>
  <c r="AH7" i="26" s="1" a="1"/>
  <c r="AH7" i="26" s="1"/>
  <c r="N7" i="7" s="1"/>
  <c r="R12" i="23"/>
  <c r="AJ7" i="26" s="1" a="1"/>
  <c r="AJ7" i="26" s="1"/>
  <c r="P7" i="7" s="1"/>
  <c r="S12" i="23"/>
  <c r="AK7" i="26" s="1" a="1"/>
  <c r="AK7" i="26" s="1"/>
  <c r="Q7" i="7" s="1"/>
  <c r="T12" i="23"/>
  <c r="U12" i="23"/>
  <c r="AL7" i="26" s="1" a="1"/>
  <c r="AL7" i="26" s="1"/>
  <c r="R7" i="7" s="1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D24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D25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D26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D27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D28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D29" i="23"/>
  <c r="E29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D30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Q30" i="23"/>
  <c r="R30" i="23"/>
  <c r="S30" i="23"/>
  <c r="T30" i="23"/>
  <c r="U30" i="23"/>
  <c r="D31" i="23"/>
  <c r="E31" i="23"/>
  <c r="F31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D32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D33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D34" i="23"/>
  <c r="E34" i="23"/>
  <c r="F34" i="23"/>
  <c r="G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D35" i="23"/>
  <c r="E35" i="23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D36" i="23"/>
  <c r="E36" i="23"/>
  <c r="F36" i="23"/>
  <c r="G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D37" i="23"/>
  <c r="E37" i="23"/>
  <c r="F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D39" i="23"/>
  <c r="E39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D40" i="23"/>
  <c r="E40" i="23"/>
  <c r="F40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D41" i="23"/>
  <c r="E41" i="23"/>
  <c r="F41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D42" i="23"/>
  <c r="E42" i="23"/>
  <c r="F42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D43" i="23"/>
  <c r="E43" i="23"/>
  <c r="F43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D44" i="23"/>
  <c r="E44" i="23"/>
  <c r="F44" i="23"/>
  <c r="G44" i="23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D45" i="23"/>
  <c r="E45" i="23"/>
  <c r="F45" i="23"/>
  <c r="G45" i="23"/>
  <c r="H45" i="23"/>
  <c r="I45" i="23"/>
  <c r="J45" i="23"/>
  <c r="K45" i="23"/>
  <c r="L45" i="23"/>
  <c r="M45" i="23"/>
  <c r="N45" i="23"/>
  <c r="O45" i="23"/>
  <c r="P45" i="23"/>
  <c r="Q45" i="23"/>
  <c r="R45" i="23"/>
  <c r="S45" i="23"/>
  <c r="T45" i="23"/>
  <c r="U45" i="23"/>
  <c r="D46" i="23"/>
  <c r="E46" i="23"/>
  <c r="F46" i="23"/>
  <c r="G46" i="23"/>
  <c r="H46" i="23"/>
  <c r="I46" i="23"/>
  <c r="J46" i="23"/>
  <c r="K46" i="23"/>
  <c r="L46" i="23"/>
  <c r="M46" i="23"/>
  <c r="N46" i="23"/>
  <c r="O46" i="23"/>
  <c r="P46" i="23"/>
  <c r="Q46" i="23"/>
  <c r="R46" i="23"/>
  <c r="S46" i="23"/>
  <c r="T46" i="23"/>
  <c r="U46" i="23"/>
  <c r="D47" i="23"/>
  <c r="E47" i="23"/>
  <c r="F47" i="23"/>
  <c r="G47" i="23"/>
  <c r="H47" i="23"/>
  <c r="I47" i="23"/>
  <c r="J47" i="23"/>
  <c r="K47" i="23"/>
  <c r="L47" i="23"/>
  <c r="M47" i="23"/>
  <c r="N47" i="23"/>
  <c r="O47" i="23"/>
  <c r="P47" i="23"/>
  <c r="Q47" i="23"/>
  <c r="R47" i="23"/>
  <c r="S47" i="23"/>
  <c r="T47" i="23"/>
  <c r="U47" i="23"/>
  <c r="D48" i="23"/>
  <c r="E48" i="23"/>
  <c r="F48" i="23"/>
  <c r="G48" i="23"/>
  <c r="H48" i="23"/>
  <c r="I48" i="23"/>
  <c r="J48" i="23"/>
  <c r="K48" i="23"/>
  <c r="L48" i="23"/>
  <c r="M48" i="23"/>
  <c r="N48" i="23"/>
  <c r="O48" i="23"/>
  <c r="P48" i="23"/>
  <c r="Q48" i="23"/>
  <c r="R48" i="23"/>
  <c r="S48" i="23"/>
  <c r="T48" i="23"/>
  <c r="U48" i="23"/>
  <c r="D49" i="23"/>
  <c r="E49" i="23"/>
  <c r="F49" i="23"/>
  <c r="G49" i="23"/>
  <c r="H49" i="23"/>
  <c r="I49" i="23"/>
  <c r="J49" i="23"/>
  <c r="K49" i="23"/>
  <c r="L49" i="23"/>
  <c r="M49" i="23"/>
  <c r="N49" i="23"/>
  <c r="O49" i="23"/>
  <c r="P49" i="23"/>
  <c r="Q49" i="23"/>
  <c r="R49" i="23"/>
  <c r="S49" i="23"/>
  <c r="T49" i="23"/>
  <c r="U49" i="23"/>
  <c r="D50" i="23"/>
  <c r="E50" i="23"/>
  <c r="F50" i="23"/>
  <c r="G50" i="23"/>
  <c r="H50" i="23"/>
  <c r="I50" i="23"/>
  <c r="J50" i="23"/>
  <c r="K50" i="23"/>
  <c r="L50" i="23"/>
  <c r="M50" i="23"/>
  <c r="N50" i="23"/>
  <c r="O50" i="23"/>
  <c r="P50" i="23"/>
  <c r="Q50" i="23"/>
  <c r="R50" i="23"/>
  <c r="S50" i="23"/>
  <c r="T50" i="23"/>
  <c r="U50" i="23"/>
  <c r="D51" i="23"/>
  <c r="E51" i="23"/>
  <c r="F51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S51" i="23"/>
  <c r="T51" i="23"/>
  <c r="U51" i="23"/>
  <c r="D52" i="23"/>
  <c r="E52" i="23"/>
  <c r="F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U52" i="23"/>
  <c r="D53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U53" i="23"/>
  <c r="D54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U54" i="23"/>
  <c r="D55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U55" i="23"/>
  <c r="D56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U56" i="23"/>
  <c r="D57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U57" i="23"/>
  <c r="D58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U58" i="23"/>
  <c r="D59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U59" i="23"/>
  <c r="D60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U60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D68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U68" i="23"/>
  <c r="D69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U69" i="23"/>
  <c r="D70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U70" i="23"/>
  <c r="D71" i="23"/>
  <c r="E71" i="23"/>
  <c r="F71" i="23"/>
  <c r="G71" i="23"/>
  <c r="H71" i="23"/>
  <c r="I71" i="23"/>
  <c r="J71" i="23"/>
  <c r="K71" i="23"/>
  <c r="L71" i="23"/>
  <c r="M71" i="23"/>
  <c r="N71" i="23"/>
  <c r="O71" i="23"/>
  <c r="P71" i="23"/>
  <c r="Q71" i="23"/>
  <c r="R71" i="23"/>
  <c r="S71" i="23"/>
  <c r="T71" i="23"/>
  <c r="U71" i="23"/>
  <c r="D72" i="23"/>
  <c r="E72" i="23"/>
  <c r="F72" i="23"/>
  <c r="G72" i="23"/>
  <c r="H72" i="23"/>
  <c r="I72" i="23"/>
  <c r="J72" i="23"/>
  <c r="K72" i="23"/>
  <c r="L72" i="23"/>
  <c r="M72" i="23"/>
  <c r="N72" i="23"/>
  <c r="O72" i="23"/>
  <c r="P72" i="23"/>
  <c r="Q72" i="23"/>
  <c r="R72" i="23"/>
  <c r="S72" i="23"/>
  <c r="T72" i="23"/>
  <c r="U72" i="23"/>
  <c r="D73" i="23"/>
  <c r="E73" i="23"/>
  <c r="F73" i="23"/>
  <c r="G73" i="23"/>
  <c r="H73" i="23"/>
  <c r="I73" i="23"/>
  <c r="J73" i="23"/>
  <c r="K73" i="23"/>
  <c r="L73" i="23"/>
  <c r="M73" i="23"/>
  <c r="N73" i="23"/>
  <c r="O73" i="23"/>
  <c r="P73" i="23"/>
  <c r="Q73" i="23"/>
  <c r="R73" i="23"/>
  <c r="S73" i="23"/>
  <c r="T73" i="23"/>
  <c r="U73" i="23"/>
  <c r="D74" i="23"/>
  <c r="E74" i="23"/>
  <c r="F74" i="23"/>
  <c r="G74" i="23"/>
  <c r="H74" i="23"/>
  <c r="I74" i="23"/>
  <c r="J74" i="23"/>
  <c r="K74" i="23"/>
  <c r="L74" i="23"/>
  <c r="M74" i="23"/>
  <c r="N74" i="23"/>
  <c r="O74" i="23"/>
  <c r="P74" i="23"/>
  <c r="Q74" i="23"/>
  <c r="R74" i="23"/>
  <c r="S74" i="23"/>
  <c r="T74" i="23"/>
  <c r="U74" i="23"/>
  <c r="D75" i="23"/>
  <c r="E75" i="23"/>
  <c r="F75" i="23"/>
  <c r="G75" i="23"/>
  <c r="H75" i="23"/>
  <c r="I75" i="23"/>
  <c r="J75" i="23"/>
  <c r="K75" i="23"/>
  <c r="L75" i="23"/>
  <c r="M75" i="23"/>
  <c r="N75" i="23"/>
  <c r="O75" i="23"/>
  <c r="P75" i="23"/>
  <c r="Q75" i="23"/>
  <c r="R75" i="23"/>
  <c r="S75" i="23"/>
  <c r="T75" i="23"/>
  <c r="U75" i="23"/>
  <c r="D76" i="23"/>
  <c r="E76" i="23"/>
  <c r="F76" i="23"/>
  <c r="G76" i="23"/>
  <c r="H76" i="23"/>
  <c r="I76" i="23"/>
  <c r="J76" i="23"/>
  <c r="K76" i="23"/>
  <c r="L76" i="23"/>
  <c r="M76" i="23"/>
  <c r="N76" i="23"/>
  <c r="O76" i="23"/>
  <c r="P76" i="23"/>
  <c r="Q76" i="23"/>
  <c r="R76" i="23"/>
  <c r="S76" i="23"/>
  <c r="T76" i="23"/>
  <c r="U76" i="23"/>
  <c r="D77" i="23"/>
  <c r="E77" i="23"/>
  <c r="F77" i="23"/>
  <c r="G77" i="23"/>
  <c r="H77" i="23"/>
  <c r="I77" i="23"/>
  <c r="J77" i="23"/>
  <c r="K77" i="23"/>
  <c r="L77" i="23"/>
  <c r="M77" i="23"/>
  <c r="N77" i="23"/>
  <c r="O77" i="23"/>
  <c r="P77" i="23"/>
  <c r="Q77" i="23"/>
  <c r="R77" i="23"/>
  <c r="S77" i="23"/>
  <c r="T77" i="23"/>
  <c r="U77" i="23"/>
  <c r="D78" i="23"/>
  <c r="E78" i="23"/>
  <c r="F78" i="23"/>
  <c r="G78" i="23"/>
  <c r="H78" i="23"/>
  <c r="I78" i="23"/>
  <c r="J78" i="23"/>
  <c r="K78" i="23"/>
  <c r="L78" i="23"/>
  <c r="M78" i="23"/>
  <c r="N78" i="23"/>
  <c r="O78" i="23"/>
  <c r="P78" i="23"/>
  <c r="Q78" i="23"/>
  <c r="R78" i="23"/>
  <c r="S78" i="23"/>
  <c r="T78" i="23"/>
  <c r="U78" i="23"/>
  <c r="D79" i="23"/>
  <c r="E79" i="23"/>
  <c r="F79" i="23"/>
  <c r="G79" i="23"/>
  <c r="H79" i="23"/>
  <c r="I79" i="23"/>
  <c r="J79" i="23"/>
  <c r="K79" i="23"/>
  <c r="L79" i="23"/>
  <c r="M79" i="23"/>
  <c r="N79" i="23"/>
  <c r="O79" i="23"/>
  <c r="P79" i="23"/>
  <c r="Q79" i="23"/>
  <c r="R79" i="23"/>
  <c r="S79" i="23"/>
  <c r="T79" i="23"/>
  <c r="U79" i="23"/>
  <c r="D80" i="23"/>
  <c r="E80" i="23"/>
  <c r="F80" i="23"/>
  <c r="G80" i="23"/>
  <c r="H80" i="23"/>
  <c r="I80" i="23"/>
  <c r="J80" i="23"/>
  <c r="K80" i="23"/>
  <c r="L80" i="23"/>
  <c r="M80" i="23"/>
  <c r="N80" i="23"/>
  <c r="O80" i="23"/>
  <c r="P80" i="23"/>
  <c r="Q80" i="23"/>
  <c r="R80" i="23"/>
  <c r="S80" i="23"/>
  <c r="T80" i="23"/>
  <c r="U80" i="23"/>
  <c r="D81" i="23"/>
  <c r="E81" i="23"/>
  <c r="F81" i="23"/>
  <c r="G81" i="23"/>
  <c r="H81" i="23"/>
  <c r="I81" i="23"/>
  <c r="J81" i="23"/>
  <c r="K81" i="23"/>
  <c r="L81" i="23"/>
  <c r="M81" i="23"/>
  <c r="N81" i="23"/>
  <c r="O81" i="23"/>
  <c r="P81" i="23"/>
  <c r="Q81" i="23"/>
  <c r="R81" i="23"/>
  <c r="S81" i="23"/>
  <c r="T81" i="23"/>
  <c r="U81" i="23"/>
  <c r="D82" i="23"/>
  <c r="E82" i="23"/>
  <c r="X47" i="26" s="1" a="1"/>
  <c r="X47" i="26" s="1"/>
  <c r="D47" i="7" s="1"/>
  <c r="F82" i="23"/>
  <c r="Y47" i="26" s="1" a="1"/>
  <c r="Y47" i="26" s="1"/>
  <c r="E47" i="7" s="1"/>
  <c r="G82" i="23"/>
  <c r="Z47" i="26" s="1" a="1"/>
  <c r="Z47" i="26" s="1"/>
  <c r="F47" i="7" s="1"/>
  <c r="H82" i="23"/>
  <c r="AA47" i="26" s="1" a="1"/>
  <c r="AA47" i="26" s="1"/>
  <c r="G47" i="7" s="1"/>
  <c r="I82" i="23"/>
  <c r="AB47" i="26" s="1" a="1"/>
  <c r="AB47" i="26" s="1"/>
  <c r="H47" i="7" s="1"/>
  <c r="J82" i="23"/>
  <c r="AD47" i="26" s="1" a="1"/>
  <c r="AD47" i="26" s="1"/>
  <c r="J47" i="7" s="1"/>
  <c r="K82" i="23"/>
  <c r="AE47" i="26" s="1" a="1"/>
  <c r="AE47" i="26" s="1"/>
  <c r="K47" i="7" s="1"/>
  <c r="L82" i="23"/>
  <c r="AC47" i="26" s="1" a="1"/>
  <c r="AC47" i="26" s="1"/>
  <c r="I47" i="7" s="1"/>
  <c r="M82" i="23"/>
  <c r="AG47" i="26" s="1" a="1"/>
  <c r="AG47" i="26" s="1"/>
  <c r="M47" i="7" s="1"/>
  <c r="N82" i="23"/>
  <c r="AF47" i="26" s="1" a="1"/>
  <c r="AF47" i="26" s="1"/>
  <c r="L47" i="7" s="1"/>
  <c r="O82" i="23"/>
  <c r="P82" i="23"/>
  <c r="AI47" i="26" s="1" a="1"/>
  <c r="AI47" i="26" s="1"/>
  <c r="O47" i="7" s="1"/>
  <c r="Q82" i="23"/>
  <c r="AH47" i="26" s="1" a="1"/>
  <c r="AH47" i="26" s="1"/>
  <c r="N47" i="7" s="1"/>
  <c r="R82" i="23"/>
  <c r="AJ47" i="26" s="1" a="1"/>
  <c r="AJ47" i="26" s="1"/>
  <c r="P47" i="7" s="1"/>
  <c r="S82" i="23"/>
  <c r="AK47" i="26" s="1" a="1"/>
  <c r="AK47" i="26" s="1"/>
  <c r="Q47" i="7" s="1"/>
  <c r="T82" i="23"/>
  <c r="U82" i="23"/>
  <c r="AL47" i="26" s="1" a="1"/>
  <c r="AL47" i="26" s="1"/>
  <c r="R47" i="7" s="1"/>
  <c r="D83" i="23"/>
  <c r="E83" i="23"/>
  <c r="X35" i="26" s="1" a="1"/>
  <c r="X35" i="26" s="1"/>
  <c r="D35" i="7" s="1"/>
  <c r="F83" i="23"/>
  <c r="Y35" i="26" s="1" a="1"/>
  <c r="Y35" i="26" s="1"/>
  <c r="E35" i="7" s="1"/>
  <c r="G83" i="23"/>
  <c r="Z35" i="26" s="1" a="1"/>
  <c r="Z35" i="26" s="1"/>
  <c r="F35" i="7" s="1"/>
  <c r="H83" i="23"/>
  <c r="AA35" i="26" s="1" a="1"/>
  <c r="AA35" i="26" s="1"/>
  <c r="G35" i="7" s="1"/>
  <c r="I83" i="23"/>
  <c r="AB35" i="26" s="1" a="1"/>
  <c r="AB35" i="26" s="1"/>
  <c r="H35" i="7" s="1"/>
  <c r="J83" i="23"/>
  <c r="AD35" i="26" s="1" a="1"/>
  <c r="AD35" i="26" s="1"/>
  <c r="J35" i="7" s="1"/>
  <c r="K83" i="23"/>
  <c r="AE35" i="26" s="1" a="1"/>
  <c r="AE35" i="26" s="1"/>
  <c r="K35" i="7" s="1"/>
  <c r="L83" i="23"/>
  <c r="AC35" i="26" s="1" a="1"/>
  <c r="AC35" i="26" s="1"/>
  <c r="I35" i="7" s="1"/>
  <c r="M83" i="23"/>
  <c r="AG35" i="26" s="1" a="1"/>
  <c r="AG35" i="26" s="1"/>
  <c r="M35" i="7" s="1"/>
  <c r="N83" i="23"/>
  <c r="AF35" i="26" s="1" a="1"/>
  <c r="AF35" i="26" s="1"/>
  <c r="L35" i="7" s="1"/>
  <c r="O83" i="23"/>
  <c r="P83" i="23"/>
  <c r="AI35" i="26" s="1" a="1"/>
  <c r="AI35" i="26" s="1"/>
  <c r="O35" i="7" s="1"/>
  <c r="Q83" i="23"/>
  <c r="AH35" i="26" s="1" a="1"/>
  <c r="AH35" i="26" s="1"/>
  <c r="N35" i="7" s="1"/>
  <c r="R83" i="23"/>
  <c r="AJ35" i="26" s="1" a="1"/>
  <c r="AJ35" i="26" s="1"/>
  <c r="P35" i="7" s="1"/>
  <c r="S83" i="23"/>
  <c r="AK35" i="26" s="1" a="1"/>
  <c r="AK35" i="26" s="1"/>
  <c r="Q35" i="7" s="1"/>
  <c r="T83" i="23"/>
  <c r="U83" i="23"/>
  <c r="AL35" i="26" s="1" a="1"/>
  <c r="AL35" i="26" s="1"/>
  <c r="R35" i="7" s="1"/>
  <c r="D84" i="23"/>
  <c r="E84" i="23"/>
  <c r="X36" i="26" s="1" a="1"/>
  <c r="X36" i="26" s="1"/>
  <c r="D36" i="7" s="1"/>
  <c r="F84" i="23"/>
  <c r="Y36" i="26" s="1" a="1"/>
  <c r="Y36" i="26" s="1"/>
  <c r="E36" i="7" s="1"/>
  <c r="G84" i="23"/>
  <c r="Z36" i="26" s="1" a="1"/>
  <c r="Z36" i="26" s="1"/>
  <c r="F36" i="7" s="1"/>
  <c r="H84" i="23"/>
  <c r="AA36" i="26" s="1" a="1"/>
  <c r="AA36" i="26" s="1"/>
  <c r="G36" i="7" s="1"/>
  <c r="I84" i="23"/>
  <c r="AB36" i="26" s="1" a="1"/>
  <c r="AB36" i="26" s="1"/>
  <c r="H36" i="7" s="1"/>
  <c r="J84" i="23"/>
  <c r="AD36" i="26" s="1" a="1"/>
  <c r="AD36" i="26" s="1"/>
  <c r="J36" i="7" s="1"/>
  <c r="K84" i="23"/>
  <c r="AE36" i="26" s="1" a="1"/>
  <c r="AE36" i="26" s="1"/>
  <c r="K36" i="7" s="1"/>
  <c r="L84" i="23"/>
  <c r="AC36" i="26" s="1" a="1"/>
  <c r="AC36" i="26" s="1"/>
  <c r="I36" i="7" s="1"/>
  <c r="M84" i="23"/>
  <c r="AG36" i="26" s="1" a="1"/>
  <c r="AG36" i="26" s="1"/>
  <c r="M36" i="7" s="1"/>
  <c r="N84" i="23"/>
  <c r="AF36" i="26" s="1" a="1"/>
  <c r="AF36" i="26" s="1"/>
  <c r="L36" i="7" s="1"/>
  <c r="O84" i="23"/>
  <c r="P84" i="23"/>
  <c r="AI36" i="26" s="1" a="1"/>
  <c r="AI36" i="26" s="1"/>
  <c r="O36" i="7" s="1"/>
  <c r="Q84" i="23"/>
  <c r="AH36" i="26" s="1" a="1"/>
  <c r="AH36" i="26" s="1"/>
  <c r="N36" i="7" s="1"/>
  <c r="R84" i="23"/>
  <c r="AJ36" i="26" s="1" a="1"/>
  <c r="AJ36" i="26" s="1"/>
  <c r="P36" i="7" s="1"/>
  <c r="S84" i="23"/>
  <c r="AK36" i="26" s="1" a="1"/>
  <c r="AK36" i="26" s="1"/>
  <c r="Q36" i="7" s="1"/>
  <c r="T84" i="23"/>
  <c r="U84" i="23"/>
  <c r="AL36" i="26" s="1" a="1"/>
  <c r="AL36" i="26" s="1"/>
  <c r="R36" i="7" s="1"/>
  <c r="D85" i="23"/>
  <c r="E85" i="23"/>
  <c r="X41" i="26" s="1" a="1"/>
  <c r="X41" i="26" s="1"/>
  <c r="D41" i="7" s="1"/>
  <c r="F85" i="23"/>
  <c r="Y41" i="26" s="1" a="1"/>
  <c r="Y41" i="26" s="1"/>
  <c r="E41" i="7" s="1"/>
  <c r="G85" i="23"/>
  <c r="Z41" i="26" s="1" a="1"/>
  <c r="Z41" i="26" s="1"/>
  <c r="F41" i="7" s="1"/>
  <c r="H85" i="23"/>
  <c r="AA41" i="26" s="1" a="1"/>
  <c r="AA41" i="26" s="1"/>
  <c r="G41" i="7" s="1"/>
  <c r="I85" i="23"/>
  <c r="AB41" i="26" s="1" a="1"/>
  <c r="AB41" i="26" s="1"/>
  <c r="H41" i="7" s="1"/>
  <c r="J85" i="23"/>
  <c r="AD41" i="26" s="1" a="1"/>
  <c r="AD41" i="26" s="1"/>
  <c r="J41" i="7" s="1"/>
  <c r="K85" i="23"/>
  <c r="AE41" i="26" s="1" a="1"/>
  <c r="AE41" i="26" s="1"/>
  <c r="K41" i="7" s="1"/>
  <c r="L85" i="23"/>
  <c r="AC41" i="26" s="1" a="1"/>
  <c r="AC41" i="26" s="1"/>
  <c r="I41" i="7" s="1"/>
  <c r="M85" i="23"/>
  <c r="AG41" i="26" s="1" a="1"/>
  <c r="AG41" i="26" s="1"/>
  <c r="M41" i="7" s="1"/>
  <c r="N85" i="23"/>
  <c r="AF41" i="26" s="1" a="1"/>
  <c r="AF41" i="26" s="1"/>
  <c r="L41" i="7" s="1"/>
  <c r="O85" i="23"/>
  <c r="P85" i="23"/>
  <c r="AI41" i="26" s="1" a="1"/>
  <c r="AI41" i="26" s="1"/>
  <c r="O41" i="7" s="1"/>
  <c r="Q85" i="23"/>
  <c r="AH41" i="26" s="1" a="1"/>
  <c r="AH41" i="26" s="1"/>
  <c r="N41" i="7" s="1"/>
  <c r="R85" i="23"/>
  <c r="AJ41" i="26" s="1" a="1"/>
  <c r="AJ41" i="26" s="1"/>
  <c r="P41" i="7" s="1"/>
  <c r="S85" i="23"/>
  <c r="AK41" i="26" s="1" a="1"/>
  <c r="AK41" i="26" s="1"/>
  <c r="Q41" i="7" s="1"/>
  <c r="T85" i="23"/>
  <c r="U85" i="23"/>
  <c r="AL41" i="26" s="1" a="1"/>
  <c r="AL41" i="26" s="1"/>
  <c r="R41" i="7" s="1"/>
  <c r="D86" i="23"/>
  <c r="E86" i="23"/>
  <c r="X40" i="26" s="1" a="1"/>
  <c r="X40" i="26" s="1"/>
  <c r="D40" i="7" s="1"/>
  <c r="F86" i="23"/>
  <c r="Y40" i="26" s="1" a="1"/>
  <c r="Y40" i="26" s="1"/>
  <c r="E40" i="7" s="1"/>
  <c r="G86" i="23"/>
  <c r="Z40" i="26" s="1" a="1"/>
  <c r="Z40" i="26" s="1"/>
  <c r="F40" i="7" s="1"/>
  <c r="H86" i="23"/>
  <c r="AA40" i="26" s="1" a="1"/>
  <c r="AA40" i="26" s="1"/>
  <c r="G40" i="7" s="1"/>
  <c r="I86" i="23"/>
  <c r="AB40" i="26" s="1" a="1"/>
  <c r="AB40" i="26" s="1"/>
  <c r="H40" i="7" s="1"/>
  <c r="J86" i="23"/>
  <c r="AD40" i="26" s="1" a="1"/>
  <c r="AD40" i="26" s="1"/>
  <c r="J40" i="7" s="1"/>
  <c r="K86" i="23"/>
  <c r="AE40" i="26" s="1" a="1"/>
  <c r="AE40" i="26" s="1"/>
  <c r="K40" i="7" s="1"/>
  <c r="L86" i="23"/>
  <c r="AC40" i="26" s="1" a="1"/>
  <c r="AC40" i="26" s="1"/>
  <c r="I40" i="7" s="1"/>
  <c r="M86" i="23"/>
  <c r="AG40" i="26" s="1" a="1"/>
  <c r="AG40" i="26" s="1"/>
  <c r="M40" i="7" s="1"/>
  <c r="N86" i="23"/>
  <c r="AF40" i="26" s="1" a="1"/>
  <c r="AF40" i="26" s="1"/>
  <c r="L40" i="7" s="1"/>
  <c r="O86" i="23"/>
  <c r="P86" i="23"/>
  <c r="AI40" i="26" s="1" a="1"/>
  <c r="AI40" i="26" s="1"/>
  <c r="O40" i="7" s="1"/>
  <c r="Q86" i="23"/>
  <c r="AH40" i="26" s="1" a="1"/>
  <c r="AH40" i="26" s="1"/>
  <c r="N40" i="7" s="1"/>
  <c r="R86" i="23"/>
  <c r="AJ40" i="26" s="1" a="1"/>
  <c r="AJ40" i="26" s="1"/>
  <c r="P40" i="7" s="1"/>
  <c r="S86" i="23"/>
  <c r="AK40" i="26" s="1" a="1"/>
  <c r="AK40" i="26" s="1"/>
  <c r="Q40" i="7" s="1"/>
  <c r="T86" i="23"/>
  <c r="U86" i="23"/>
  <c r="AL40" i="26" s="1" a="1"/>
  <c r="AL40" i="26" s="1"/>
  <c r="R40" i="7" s="1"/>
  <c r="D87" i="23"/>
  <c r="E87" i="23"/>
  <c r="X42" i="26" s="1" a="1"/>
  <c r="X42" i="26" s="1"/>
  <c r="D42" i="7" s="1"/>
  <c r="F87" i="23"/>
  <c r="Y42" i="26" s="1" a="1"/>
  <c r="Y42" i="26" s="1"/>
  <c r="E42" i="7" s="1"/>
  <c r="G87" i="23"/>
  <c r="Z42" i="26" s="1" a="1"/>
  <c r="Z42" i="26" s="1"/>
  <c r="F42" i="7" s="1"/>
  <c r="H87" i="23"/>
  <c r="AA42" i="26" s="1" a="1"/>
  <c r="AA42" i="26" s="1"/>
  <c r="G42" i="7" s="1"/>
  <c r="I87" i="23"/>
  <c r="AB42" i="26" s="1" a="1"/>
  <c r="AB42" i="26" s="1"/>
  <c r="H42" i="7" s="1"/>
  <c r="J87" i="23"/>
  <c r="AD42" i="26" s="1" a="1"/>
  <c r="AD42" i="26" s="1"/>
  <c r="J42" i="7" s="1"/>
  <c r="K87" i="23"/>
  <c r="AE42" i="26" s="1" a="1"/>
  <c r="AE42" i="26" s="1"/>
  <c r="K42" i="7" s="1"/>
  <c r="L87" i="23"/>
  <c r="AC42" i="26" s="1" a="1"/>
  <c r="AC42" i="26" s="1"/>
  <c r="I42" i="7" s="1"/>
  <c r="M87" i="23"/>
  <c r="AG42" i="26" s="1" a="1"/>
  <c r="AG42" i="26" s="1"/>
  <c r="M42" i="7" s="1"/>
  <c r="N87" i="23"/>
  <c r="AF42" i="26" s="1" a="1"/>
  <c r="AF42" i="26" s="1"/>
  <c r="L42" i="7" s="1"/>
  <c r="O87" i="23"/>
  <c r="P87" i="23"/>
  <c r="AI42" i="26" s="1" a="1"/>
  <c r="AI42" i="26" s="1"/>
  <c r="O42" i="7" s="1"/>
  <c r="Q87" i="23"/>
  <c r="AH42" i="26" s="1" a="1"/>
  <c r="AH42" i="26" s="1"/>
  <c r="N42" i="7" s="1"/>
  <c r="R87" i="23"/>
  <c r="AJ42" i="26" s="1" a="1"/>
  <c r="AJ42" i="26" s="1"/>
  <c r="P42" i="7" s="1"/>
  <c r="S87" i="23"/>
  <c r="AK42" i="26" s="1" a="1"/>
  <c r="AK42" i="26" s="1"/>
  <c r="Q42" i="7" s="1"/>
  <c r="T87" i="23"/>
  <c r="U87" i="23"/>
  <c r="AL42" i="26" s="1" a="1"/>
  <c r="AL42" i="26" s="1"/>
  <c r="R42" i="7" s="1"/>
  <c r="D88" i="23"/>
  <c r="E88" i="23"/>
  <c r="X38" i="26" s="1" a="1"/>
  <c r="X38" i="26" s="1"/>
  <c r="D38" i="7" s="1"/>
  <c r="F88" i="23"/>
  <c r="Y38" i="26" s="1" a="1"/>
  <c r="Y38" i="26" s="1"/>
  <c r="E38" i="7" s="1"/>
  <c r="G88" i="23"/>
  <c r="Z38" i="26" s="1" a="1"/>
  <c r="Z38" i="26" s="1"/>
  <c r="F38" i="7" s="1"/>
  <c r="H88" i="23"/>
  <c r="AA38" i="26" s="1" a="1"/>
  <c r="AA38" i="26" s="1"/>
  <c r="G38" i="7" s="1"/>
  <c r="I88" i="23"/>
  <c r="AB38" i="26" s="1" a="1"/>
  <c r="AB38" i="26" s="1"/>
  <c r="H38" i="7" s="1"/>
  <c r="J88" i="23"/>
  <c r="AD38" i="26" s="1" a="1"/>
  <c r="AD38" i="26" s="1"/>
  <c r="J38" i="7" s="1"/>
  <c r="K88" i="23"/>
  <c r="AE38" i="26" s="1" a="1"/>
  <c r="AE38" i="26" s="1"/>
  <c r="K38" i="7" s="1"/>
  <c r="L88" i="23"/>
  <c r="AC38" i="26" s="1" a="1"/>
  <c r="AC38" i="26" s="1"/>
  <c r="I38" i="7" s="1"/>
  <c r="M88" i="23"/>
  <c r="AG38" i="26" s="1" a="1"/>
  <c r="AG38" i="26" s="1"/>
  <c r="M38" i="7" s="1"/>
  <c r="N88" i="23"/>
  <c r="AF38" i="26" s="1" a="1"/>
  <c r="AF38" i="26" s="1"/>
  <c r="L38" i="7" s="1"/>
  <c r="O88" i="23"/>
  <c r="P88" i="23"/>
  <c r="AI38" i="26" s="1" a="1"/>
  <c r="AI38" i="26" s="1"/>
  <c r="O38" i="7" s="1"/>
  <c r="Q88" i="23"/>
  <c r="AH38" i="26" s="1" a="1"/>
  <c r="AH38" i="26" s="1"/>
  <c r="N38" i="7" s="1"/>
  <c r="R88" i="23"/>
  <c r="AJ38" i="26" s="1" a="1"/>
  <c r="AJ38" i="26" s="1"/>
  <c r="P38" i="7" s="1"/>
  <c r="S88" i="23"/>
  <c r="AK38" i="26" s="1" a="1"/>
  <c r="AK38" i="26" s="1"/>
  <c r="Q38" i="7" s="1"/>
  <c r="T88" i="23"/>
  <c r="U88" i="23"/>
  <c r="AL38" i="26" s="1" a="1"/>
  <c r="AL38" i="26" s="1"/>
  <c r="R38" i="7" s="1"/>
  <c r="D89" i="23"/>
  <c r="E89" i="23"/>
  <c r="X37" i="26" s="1" a="1"/>
  <c r="X37" i="26" s="1"/>
  <c r="D37" i="7" s="1"/>
  <c r="F89" i="23"/>
  <c r="Y37" i="26" s="1" a="1"/>
  <c r="Y37" i="26" s="1"/>
  <c r="E37" i="7" s="1"/>
  <c r="G89" i="23"/>
  <c r="Z37" i="26" s="1" a="1"/>
  <c r="Z37" i="26" s="1"/>
  <c r="F37" i="7" s="1"/>
  <c r="H89" i="23"/>
  <c r="AA37" i="26" s="1" a="1"/>
  <c r="AA37" i="26" s="1"/>
  <c r="G37" i="7" s="1"/>
  <c r="I89" i="23"/>
  <c r="AB37" i="26" s="1" a="1"/>
  <c r="AB37" i="26" s="1"/>
  <c r="H37" i="7" s="1"/>
  <c r="J89" i="23"/>
  <c r="AD37" i="26" s="1" a="1"/>
  <c r="AD37" i="26" s="1"/>
  <c r="J37" i="7" s="1"/>
  <c r="K89" i="23"/>
  <c r="AE37" i="26" s="1" a="1"/>
  <c r="AE37" i="26" s="1"/>
  <c r="K37" i="7" s="1"/>
  <c r="L89" i="23"/>
  <c r="AC37" i="26" s="1" a="1"/>
  <c r="AC37" i="26" s="1"/>
  <c r="I37" i="7" s="1"/>
  <c r="M89" i="23"/>
  <c r="AG37" i="26" s="1" a="1"/>
  <c r="AG37" i="26" s="1"/>
  <c r="M37" i="7" s="1"/>
  <c r="N89" i="23"/>
  <c r="AF37" i="26" s="1" a="1"/>
  <c r="AF37" i="26" s="1"/>
  <c r="L37" i="7" s="1"/>
  <c r="O89" i="23"/>
  <c r="P89" i="23"/>
  <c r="AI37" i="26" s="1" a="1"/>
  <c r="AI37" i="26" s="1"/>
  <c r="O37" i="7" s="1"/>
  <c r="Q89" i="23"/>
  <c r="AH37" i="26" s="1" a="1"/>
  <c r="AH37" i="26" s="1"/>
  <c r="N37" i="7" s="1"/>
  <c r="R89" i="23"/>
  <c r="AJ37" i="26" s="1" a="1"/>
  <c r="AJ37" i="26" s="1"/>
  <c r="P37" i="7" s="1"/>
  <c r="S89" i="23"/>
  <c r="AK37" i="26" s="1" a="1"/>
  <c r="AK37" i="26" s="1"/>
  <c r="Q37" i="7" s="1"/>
  <c r="T89" i="23"/>
  <c r="U89" i="23"/>
  <c r="AL37" i="26" s="1" a="1"/>
  <c r="AL37" i="26" s="1"/>
  <c r="R37" i="7" s="1"/>
  <c r="D90" i="23"/>
  <c r="E90" i="23"/>
  <c r="X43" i="26" s="1" a="1"/>
  <c r="X43" i="26" s="1"/>
  <c r="D43" i="7" s="1"/>
  <c r="F90" i="23"/>
  <c r="Y43" i="26" s="1" a="1"/>
  <c r="Y43" i="26" s="1"/>
  <c r="E43" i="7" s="1"/>
  <c r="G90" i="23"/>
  <c r="Z43" i="26" s="1" a="1"/>
  <c r="Z43" i="26" s="1"/>
  <c r="F43" i="7" s="1"/>
  <c r="H90" i="23"/>
  <c r="AA43" i="26" s="1" a="1"/>
  <c r="AA43" i="26" s="1"/>
  <c r="G43" i="7" s="1"/>
  <c r="I90" i="23"/>
  <c r="AB43" i="26" s="1" a="1"/>
  <c r="AB43" i="26" s="1"/>
  <c r="H43" i="7" s="1"/>
  <c r="J90" i="23"/>
  <c r="AD43" i="26" s="1" a="1"/>
  <c r="AD43" i="26" s="1"/>
  <c r="J43" i="7" s="1"/>
  <c r="K90" i="23"/>
  <c r="AE43" i="26" s="1" a="1"/>
  <c r="AE43" i="26" s="1"/>
  <c r="K43" i="7" s="1"/>
  <c r="L90" i="23"/>
  <c r="AC43" i="26" s="1" a="1"/>
  <c r="AC43" i="26" s="1"/>
  <c r="I43" i="7" s="1"/>
  <c r="M90" i="23"/>
  <c r="AG43" i="26" s="1" a="1"/>
  <c r="AG43" i="26" s="1"/>
  <c r="M43" i="7" s="1"/>
  <c r="N90" i="23"/>
  <c r="AF43" i="26" s="1" a="1"/>
  <c r="AF43" i="26" s="1"/>
  <c r="L43" i="7" s="1"/>
  <c r="O90" i="23"/>
  <c r="P90" i="23"/>
  <c r="AI43" i="26" s="1" a="1"/>
  <c r="AI43" i="26" s="1"/>
  <c r="O43" i="7" s="1"/>
  <c r="Q90" i="23"/>
  <c r="AH43" i="26" s="1" a="1"/>
  <c r="AH43" i="26" s="1"/>
  <c r="N43" i="7" s="1"/>
  <c r="R90" i="23"/>
  <c r="AJ43" i="26" s="1" a="1"/>
  <c r="AJ43" i="26" s="1"/>
  <c r="P43" i="7" s="1"/>
  <c r="S90" i="23"/>
  <c r="AK43" i="26" s="1" a="1"/>
  <c r="AK43" i="26" s="1"/>
  <c r="Q43" i="7" s="1"/>
  <c r="T90" i="23"/>
  <c r="U90" i="23"/>
  <c r="AL43" i="26" s="1" a="1"/>
  <c r="AL43" i="26" s="1"/>
  <c r="R43" i="7" s="1"/>
  <c r="D91" i="23"/>
  <c r="E91" i="23"/>
  <c r="X49" i="26" s="1" a="1"/>
  <c r="X49" i="26" s="1"/>
  <c r="D49" i="7" s="1"/>
  <c r="F91" i="23"/>
  <c r="Y49" i="26" s="1" a="1"/>
  <c r="Y49" i="26" s="1"/>
  <c r="E49" i="7" s="1"/>
  <c r="G91" i="23"/>
  <c r="Z49" i="26" s="1" a="1"/>
  <c r="Z49" i="26" s="1"/>
  <c r="F49" i="7" s="1"/>
  <c r="H91" i="23"/>
  <c r="AA49" i="26" s="1" a="1"/>
  <c r="AA49" i="26" s="1"/>
  <c r="G49" i="7" s="1"/>
  <c r="I91" i="23"/>
  <c r="AB49" i="26" s="1" a="1"/>
  <c r="AB49" i="26" s="1"/>
  <c r="H49" i="7" s="1"/>
  <c r="J91" i="23"/>
  <c r="AD49" i="26" s="1" a="1"/>
  <c r="AD49" i="26" s="1"/>
  <c r="J49" i="7" s="1"/>
  <c r="K91" i="23"/>
  <c r="AE49" i="26" s="1" a="1"/>
  <c r="AE49" i="26" s="1"/>
  <c r="K49" i="7" s="1"/>
  <c r="L91" i="23"/>
  <c r="AC49" i="26" s="1" a="1"/>
  <c r="AC49" i="26" s="1"/>
  <c r="I49" i="7" s="1"/>
  <c r="M91" i="23"/>
  <c r="AG49" i="26" s="1" a="1"/>
  <c r="AG49" i="26" s="1"/>
  <c r="M49" i="7" s="1"/>
  <c r="N91" i="23"/>
  <c r="AF49" i="26" s="1" a="1"/>
  <c r="AF49" i="26" s="1"/>
  <c r="L49" i="7" s="1"/>
  <c r="O91" i="23"/>
  <c r="P91" i="23"/>
  <c r="AI49" i="26" s="1" a="1"/>
  <c r="AI49" i="26" s="1"/>
  <c r="O49" i="7" s="1"/>
  <c r="Q91" i="23"/>
  <c r="AH49" i="26" s="1" a="1"/>
  <c r="AH49" i="26" s="1"/>
  <c r="N49" i="7" s="1"/>
  <c r="R91" i="23"/>
  <c r="AJ49" i="26" s="1" a="1"/>
  <c r="AJ49" i="26" s="1"/>
  <c r="P49" i="7" s="1"/>
  <c r="S91" i="23"/>
  <c r="AK49" i="26" s="1" a="1"/>
  <c r="AK49" i="26" s="1"/>
  <c r="Q49" i="7" s="1"/>
  <c r="T91" i="23"/>
  <c r="U91" i="23"/>
  <c r="AL49" i="26" s="1" a="1"/>
  <c r="AL49" i="26" s="1"/>
  <c r="R49" i="7" s="1"/>
  <c r="D92" i="23"/>
  <c r="E92" i="23"/>
  <c r="X44" i="26" s="1" a="1"/>
  <c r="X44" i="26" s="1"/>
  <c r="D44" i="7" s="1"/>
  <c r="F92" i="23"/>
  <c r="Y44" i="26" s="1" a="1"/>
  <c r="Y44" i="26" s="1"/>
  <c r="E44" i="7" s="1"/>
  <c r="G92" i="23"/>
  <c r="Z44" i="26" s="1" a="1"/>
  <c r="Z44" i="26" s="1"/>
  <c r="F44" i="7" s="1"/>
  <c r="H92" i="23"/>
  <c r="AA44" i="26" s="1" a="1"/>
  <c r="AA44" i="26" s="1"/>
  <c r="G44" i="7" s="1"/>
  <c r="I92" i="23"/>
  <c r="AB44" i="26" s="1" a="1"/>
  <c r="AB44" i="26" s="1"/>
  <c r="H44" i="7" s="1"/>
  <c r="J92" i="23"/>
  <c r="AD44" i="26" s="1" a="1"/>
  <c r="AD44" i="26" s="1"/>
  <c r="J44" i="7" s="1"/>
  <c r="K92" i="23"/>
  <c r="AE44" i="26" s="1" a="1"/>
  <c r="AE44" i="26" s="1"/>
  <c r="K44" i="7" s="1"/>
  <c r="L92" i="23"/>
  <c r="AC44" i="26" s="1" a="1"/>
  <c r="AC44" i="26" s="1"/>
  <c r="I44" i="7" s="1"/>
  <c r="M92" i="23"/>
  <c r="AG44" i="26" s="1" a="1"/>
  <c r="AG44" i="26" s="1"/>
  <c r="M44" i="7" s="1"/>
  <c r="N92" i="23"/>
  <c r="AF44" i="26" s="1" a="1"/>
  <c r="AF44" i="26" s="1"/>
  <c r="L44" i="7" s="1"/>
  <c r="O92" i="23"/>
  <c r="P92" i="23"/>
  <c r="AI44" i="26" s="1" a="1"/>
  <c r="AI44" i="26" s="1"/>
  <c r="O44" i="7" s="1"/>
  <c r="Q92" i="23"/>
  <c r="AH44" i="26" s="1" a="1"/>
  <c r="AH44" i="26" s="1"/>
  <c r="N44" i="7" s="1"/>
  <c r="R92" i="23"/>
  <c r="AJ44" i="26" s="1" a="1"/>
  <c r="AJ44" i="26" s="1"/>
  <c r="P44" i="7" s="1"/>
  <c r="S92" i="23"/>
  <c r="AK44" i="26" s="1" a="1"/>
  <c r="AK44" i="26" s="1"/>
  <c r="Q44" i="7" s="1"/>
  <c r="T92" i="23"/>
  <c r="U92" i="23"/>
  <c r="AL44" i="26" s="1" a="1"/>
  <c r="AL44" i="26" s="1"/>
  <c r="R44" i="7" s="1"/>
  <c r="D93" i="23"/>
  <c r="E93" i="23"/>
  <c r="X45" i="26" s="1" a="1"/>
  <c r="X45" i="26" s="1"/>
  <c r="D45" i="7" s="1"/>
  <c r="F93" i="23"/>
  <c r="Y45" i="26" s="1" a="1"/>
  <c r="Y45" i="26" s="1"/>
  <c r="E45" i="7" s="1"/>
  <c r="G93" i="23"/>
  <c r="Z45" i="26" s="1" a="1"/>
  <c r="Z45" i="26" s="1"/>
  <c r="F45" i="7" s="1"/>
  <c r="H93" i="23"/>
  <c r="AA45" i="26" s="1" a="1"/>
  <c r="AA45" i="26" s="1"/>
  <c r="G45" i="7" s="1"/>
  <c r="I93" i="23"/>
  <c r="AB45" i="26" s="1" a="1"/>
  <c r="AB45" i="26" s="1"/>
  <c r="H45" i="7" s="1"/>
  <c r="J93" i="23"/>
  <c r="AD45" i="26" s="1" a="1"/>
  <c r="AD45" i="26" s="1"/>
  <c r="J45" i="7" s="1"/>
  <c r="K93" i="23"/>
  <c r="AE45" i="26" s="1" a="1"/>
  <c r="AE45" i="26" s="1"/>
  <c r="K45" i="7" s="1"/>
  <c r="L93" i="23"/>
  <c r="AC45" i="26" s="1" a="1"/>
  <c r="AC45" i="26" s="1"/>
  <c r="I45" i="7" s="1"/>
  <c r="M93" i="23"/>
  <c r="AG45" i="26" s="1" a="1"/>
  <c r="AG45" i="26" s="1"/>
  <c r="M45" i="7" s="1"/>
  <c r="N93" i="23"/>
  <c r="AF45" i="26" s="1" a="1"/>
  <c r="AF45" i="26" s="1"/>
  <c r="L45" i="7" s="1"/>
  <c r="O93" i="23"/>
  <c r="P93" i="23"/>
  <c r="AI45" i="26" s="1" a="1"/>
  <c r="AI45" i="26" s="1"/>
  <c r="O45" i="7" s="1"/>
  <c r="Q93" i="23"/>
  <c r="AH45" i="26" s="1" a="1"/>
  <c r="AH45" i="26" s="1"/>
  <c r="N45" i="7" s="1"/>
  <c r="R93" i="23"/>
  <c r="AJ45" i="26" s="1" a="1"/>
  <c r="AJ45" i="26" s="1"/>
  <c r="P45" i="7" s="1"/>
  <c r="S93" i="23"/>
  <c r="AK45" i="26" s="1" a="1"/>
  <c r="AK45" i="26" s="1"/>
  <c r="Q45" i="7" s="1"/>
  <c r="T93" i="23"/>
  <c r="U93" i="23"/>
  <c r="AL45" i="26" s="1" a="1"/>
  <c r="AL45" i="26" s="1"/>
  <c r="R45" i="7" s="1"/>
  <c r="D94" i="23"/>
  <c r="E94" i="23"/>
  <c r="X39" i="26" s="1" a="1"/>
  <c r="X39" i="26" s="1"/>
  <c r="D39" i="7" s="1"/>
  <c r="F94" i="23"/>
  <c r="Y39" i="26" s="1" a="1"/>
  <c r="Y39" i="26" s="1"/>
  <c r="E39" i="7" s="1"/>
  <c r="G94" i="23"/>
  <c r="Z39" i="26" s="1" a="1"/>
  <c r="Z39" i="26" s="1"/>
  <c r="F39" i="7" s="1"/>
  <c r="H94" i="23"/>
  <c r="AA39" i="26" s="1" a="1"/>
  <c r="AA39" i="26" s="1"/>
  <c r="G39" i="7" s="1"/>
  <c r="I94" i="23"/>
  <c r="AB39" i="26" s="1" a="1"/>
  <c r="AB39" i="26" s="1"/>
  <c r="H39" i="7" s="1"/>
  <c r="J94" i="23"/>
  <c r="AD39" i="26" s="1" a="1"/>
  <c r="AD39" i="26" s="1"/>
  <c r="J39" i="7" s="1"/>
  <c r="K94" i="23"/>
  <c r="AE39" i="26" s="1" a="1"/>
  <c r="AE39" i="26" s="1"/>
  <c r="K39" i="7" s="1"/>
  <c r="L94" i="23"/>
  <c r="AC39" i="26" s="1" a="1"/>
  <c r="AC39" i="26" s="1"/>
  <c r="I39" i="7" s="1"/>
  <c r="M94" i="23"/>
  <c r="AG39" i="26" s="1" a="1"/>
  <c r="AG39" i="26" s="1"/>
  <c r="M39" i="7" s="1"/>
  <c r="N94" i="23"/>
  <c r="AF39" i="26" s="1" a="1"/>
  <c r="AF39" i="26" s="1"/>
  <c r="L39" i="7" s="1"/>
  <c r="O94" i="23"/>
  <c r="P94" i="23"/>
  <c r="AI39" i="26" s="1" a="1"/>
  <c r="AI39" i="26" s="1"/>
  <c r="O39" i="7" s="1"/>
  <c r="Q94" i="23"/>
  <c r="AH39" i="26" s="1" a="1"/>
  <c r="AH39" i="26" s="1"/>
  <c r="N39" i="7" s="1"/>
  <c r="R94" i="23"/>
  <c r="AJ39" i="26" s="1" a="1"/>
  <c r="AJ39" i="26" s="1"/>
  <c r="P39" i="7" s="1"/>
  <c r="S94" i="23"/>
  <c r="AK39" i="26" s="1" a="1"/>
  <c r="AK39" i="26" s="1"/>
  <c r="Q39" i="7" s="1"/>
  <c r="T94" i="23"/>
  <c r="U94" i="23"/>
  <c r="AL39" i="26" s="1" a="1"/>
  <c r="AL39" i="26" s="1"/>
  <c r="R39" i="7" s="1"/>
  <c r="D95" i="23"/>
  <c r="E95" i="23"/>
  <c r="X46" i="26" s="1" a="1"/>
  <c r="X46" i="26" s="1"/>
  <c r="D46" i="7" s="1"/>
  <c r="F95" i="23"/>
  <c r="Y46" i="26" s="1" a="1"/>
  <c r="Y46" i="26" s="1"/>
  <c r="E46" i="7" s="1"/>
  <c r="G95" i="23"/>
  <c r="Z46" i="26" s="1" a="1"/>
  <c r="Z46" i="26" s="1"/>
  <c r="F46" i="7" s="1"/>
  <c r="H95" i="23"/>
  <c r="AA46" i="26" s="1" a="1"/>
  <c r="AA46" i="26" s="1"/>
  <c r="G46" i="7" s="1"/>
  <c r="I95" i="23"/>
  <c r="AB46" i="26" s="1" a="1"/>
  <c r="AB46" i="26" s="1"/>
  <c r="H46" i="7" s="1"/>
  <c r="J95" i="23"/>
  <c r="AD46" i="26" s="1" a="1"/>
  <c r="AD46" i="26" s="1"/>
  <c r="J46" i="7" s="1"/>
  <c r="K95" i="23"/>
  <c r="AE46" i="26" s="1" a="1"/>
  <c r="AE46" i="26" s="1"/>
  <c r="K46" i="7" s="1"/>
  <c r="L95" i="23"/>
  <c r="AC46" i="26" s="1" a="1"/>
  <c r="AC46" i="26" s="1"/>
  <c r="I46" i="7" s="1"/>
  <c r="M95" i="23"/>
  <c r="AG46" i="26" s="1" a="1"/>
  <c r="AG46" i="26" s="1"/>
  <c r="M46" i="7" s="1"/>
  <c r="N95" i="23"/>
  <c r="AF46" i="26" s="1" a="1"/>
  <c r="AF46" i="26" s="1"/>
  <c r="L46" i="7" s="1"/>
  <c r="O95" i="23"/>
  <c r="P95" i="23"/>
  <c r="AI46" i="26" s="1" a="1"/>
  <c r="AI46" i="26" s="1"/>
  <c r="O46" i="7" s="1"/>
  <c r="Q95" i="23"/>
  <c r="AH46" i="26" s="1" a="1"/>
  <c r="AH46" i="26" s="1"/>
  <c r="N46" i="7" s="1"/>
  <c r="R95" i="23"/>
  <c r="AJ46" i="26" s="1" a="1"/>
  <c r="AJ46" i="26" s="1"/>
  <c r="P46" i="7" s="1"/>
  <c r="S95" i="23"/>
  <c r="AK46" i="26" s="1" a="1"/>
  <c r="AK46" i="26" s="1"/>
  <c r="Q46" i="7" s="1"/>
  <c r="T95" i="23"/>
  <c r="U95" i="23"/>
  <c r="AL46" i="26" s="1" a="1"/>
  <c r="AL46" i="26" s="1"/>
  <c r="R46" i="7" s="1"/>
  <c r="D96" i="23"/>
  <c r="E96" i="23"/>
  <c r="X50" i="26" s="1" a="1"/>
  <c r="X50" i="26" s="1"/>
  <c r="D50" i="7" s="1"/>
  <c r="F96" i="23"/>
  <c r="Y50" i="26" s="1" a="1"/>
  <c r="Y50" i="26" s="1"/>
  <c r="E50" i="7" s="1"/>
  <c r="G96" i="23"/>
  <c r="Z50" i="26" s="1" a="1"/>
  <c r="Z50" i="26" s="1"/>
  <c r="F50" i="7" s="1"/>
  <c r="H96" i="23"/>
  <c r="AA50" i="26" s="1" a="1"/>
  <c r="AA50" i="26" s="1"/>
  <c r="G50" i="7" s="1"/>
  <c r="I96" i="23"/>
  <c r="AB50" i="26" s="1" a="1"/>
  <c r="AB50" i="26" s="1"/>
  <c r="H50" i="7" s="1"/>
  <c r="J96" i="23"/>
  <c r="AD50" i="26" s="1" a="1"/>
  <c r="AD50" i="26" s="1"/>
  <c r="J50" i="7" s="1"/>
  <c r="K96" i="23"/>
  <c r="AE50" i="26" s="1" a="1"/>
  <c r="AE50" i="26" s="1"/>
  <c r="K50" i="7" s="1"/>
  <c r="L96" i="23"/>
  <c r="AC50" i="26" s="1" a="1"/>
  <c r="AC50" i="26" s="1"/>
  <c r="I50" i="7" s="1"/>
  <c r="M96" i="23"/>
  <c r="AG50" i="26" s="1" a="1"/>
  <c r="AG50" i="26" s="1"/>
  <c r="M50" i="7" s="1"/>
  <c r="N96" i="23"/>
  <c r="AF50" i="26" s="1" a="1"/>
  <c r="AF50" i="26" s="1"/>
  <c r="L50" i="7" s="1"/>
  <c r="O96" i="23"/>
  <c r="P96" i="23"/>
  <c r="AI50" i="26" s="1" a="1"/>
  <c r="AI50" i="26" s="1"/>
  <c r="O50" i="7" s="1"/>
  <c r="Q96" i="23"/>
  <c r="AH50" i="26" s="1" a="1"/>
  <c r="AH50" i="26" s="1"/>
  <c r="N50" i="7" s="1"/>
  <c r="R96" i="23"/>
  <c r="AJ50" i="26" s="1" a="1"/>
  <c r="AJ50" i="26" s="1"/>
  <c r="P50" i="7" s="1"/>
  <c r="S96" i="23"/>
  <c r="AK50" i="26" s="1" a="1"/>
  <c r="AK50" i="26" s="1"/>
  <c r="Q50" i="7" s="1"/>
  <c r="T96" i="23"/>
  <c r="U96" i="23"/>
  <c r="AL50" i="26" s="1" a="1"/>
  <c r="AL50" i="26" s="1"/>
  <c r="R50" i="7" s="1"/>
  <c r="D97" i="23"/>
  <c r="E97" i="23"/>
  <c r="X51" i="26" s="1" a="1"/>
  <c r="X51" i="26" s="1"/>
  <c r="D51" i="7" s="1"/>
  <c r="F97" i="23"/>
  <c r="Y51" i="26" s="1" a="1"/>
  <c r="Y51" i="26" s="1"/>
  <c r="E51" i="7" s="1"/>
  <c r="G97" i="23"/>
  <c r="Z51" i="26" s="1" a="1"/>
  <c r="Z51" i="26" s="1"/>
  <c r="F51" i="7" s="1"/>
  <c r="H97" i="23"/>
  <c r="AA51" i="26" s="1" a="1"/>
  <c r="AA51" i="26" s="1"/>
  <c r="G51" i="7" s="1"/>
  <c r="I97" i="23"/>
  <c r="AB51" i="26" s="1" a="1"/>
  <c r="AB51" i="26" s="1"/>
  <c r="H51" i="7" s="1"/>
  <c r="J97" i="23"/>
  <c r="AD51" i="26" s="1" a="1"/>
  <c r="AD51" i="26" s="1"/>
  <c r="J51" i="7" s="1"/>
  <c r="K97" i="23"/>
  <c r="AE51" i="26" s="1" a="1"/>
  <c r="AE51" i="26" s="1"/>
  <c r="K51" i="7" s="1"/>
  <c r="L97" i="23"/>
  <c r="AC51" i="26" s="1" a="1"/>
  <c r="AC51" i="26" s="1"/>
  <c r="I51" i="7" s="1"/>
  <c r="M97" i="23"/>
  <c r="AG51" i="26" s="1" a="1"/>
  <c r="AG51" i="26" s="1"/>
  <c r="M51" i="7" s="1"/>
  <c r="N97" i="23"/>
  <c r="AF51" i="26" s="1" a="1"/>
  <c r="AF51" i="26" s="1"/>
  <c r="L51" i="7" s="1"/>
  <c r="O97" i="23"/>
  <c r="P97" i="23"/>
  <c r="AI51" i="26" s="1" a="1"/>
  <c r="AI51" i="26" s="1"/>
  <c r="O51" i="7" s="1"/>
  <c r="Q97" i="23"/>
  <c r="AH51" i="26" s="1" a="1"/>
  <c r="AH51" i="26" s="1"/>
  <c r="N51" i="7" s="1"/>
  <c r="R97" i="23"/>
  <c r="AJ51" i="26" s="1" a="1"/>
  <c r="AJ51" i="26" s="1"/>
  <c r="P51" i="7" s="1"/>
  <c r="S97" i="23"/>
  <c r="AK51" i="26" s="1" a="1"/>
  <c r="AK51" i="26" s="1"/>
  <c r="Q51" i="7" s="1"/>
  <c r="T97" i="23"/>
  <c r="U97" i="23"/>
  <c r="AL51" i="26" s="1" a="1"/>
  <c r="AL51" i="26" s="1"/>
  <c r="R51" i="7" s="1"/>
  <c r="D98" i="23"/>
  <c r="E98" i="23"/>
  <c r="X52" i="26" s="1" a="1"/>
  <c r="X52" i="26" s="1"/>
  <c r="D52" i="7" s="1"/>
  <c r="F98" i="23"/>
  <c r="Y52" i="26" s="1" a="1"/>
  <c r="Y52" i="26" s="1"/>
  <c r="E52" i="7" s="1"/>
  <c r="G98" i="23"/>
  <c r="Z52" i="26" s="1" a="1"/>
  <c r="Z52" i="26" s="1"/>
  <c r="F52" i="7" s="1"/>
  <c r="H98" i="23"/>
  <c r="AA52" i="26" s="1" a="1"/>
  <c r="AA52" i="26" s="1"/>
  <c r="G52" i="7" s="1"/>
  <c r="I98" i="23"/>
  <c r="AB52" i="26" s="1" a="1"/>
  <c r="AB52" i="26" s="1"/>
  <c r="H52" i="7" s="1"/>
  <c r="J98" i="23"/>
  <c r="AD52" i="26" s="1" a="1"/>
  <c r="AD52" i="26" s="1"/>
  <c r="J52" i="7" s="1"/>
  <c r="K98" i="23"/>
  <c r="AE52" i="26" s="1" a="1"/>
  <c r="AE52" i="26" s="1"/>
  <c r="K52" i="7" s="1"/>
  <c r="L98" i="23"/>
  <c r="AC52" i="26" s="1" a="1"/>
  <c r="AC52" i="26" s="1"/>
  <c r="I52" i="7" s="1"/>
  <c r="M98" i="23"/>
  <c r="AG52" i="26" s="1" a="1"/>
  <c r="AG52" i="26" s="1"/>
  <c r="M52" i="7" s="1"/>
  <c r="N98" i="23"/>
  <c r="AF52" i="26" s="1" a="1"/>
  <c r="AF52" i="26" s="1"/>
  <c r="L52" i="7" s="1"/>
  <c r="O98" i="23"/>
  <c r="P98" i="23"/>
  <c r="AI52" i="26" s="1" a="1"/>
  <c r="AI52" i="26" s="1"/>
  <c r="O52" i="7" s="1"/>
  <c r="Q98" i="23"/>
  <c r="AH52" i="26" s="1" a="1"/>
  <c r="AH52" i="26" s="1"/>
  <c r="N52" i="7" s="1"/>
  <c r="R98" i="23"/>
  <c r="AJ52" i="26" s="1" a="1"/>
  <c r="AJ52" i="26" s="1"/>
  <c r="P52" i="7" s="1"/>
  <c r="S98" i="23"/>
  <c r="AK52" i="26" s="1" a="1"/>
  <c r="AK52" i="26" s="1"/>
  <c r="Q52" i="7" s="1"/>
  <c r="T98" i="23"/>
  <c r="U98" i="23"/>
  <c r="AL52" i="26" s="1" a="1"/>
  <c r="AL52" i="26" s="1"/>
  <c r="R52" i="7" s="1"/>
  <c r="D99" i="23"/>
  <c r="E99" i="23"/>
  <c r="F99" i="23"/>
  <c r="G99" i="23"/>
  <c r="H99" i="23"/>
  <c r="I99" i="23"/>
  <c r="J99" i="23"/>
  <c r="K99" i="23"/>
  <c r="L99" i="23"/>
  <c r="M99" i="23"/>
  <c r="N99" i="23"/>
  <c r="O99" i="23"/>
  <c r="P99" i="23"/>
  <c r="Q99" i="23"/>
  <c r="R99" i="23"/>
  <c r="S99" i="23"/>
  <c r="T99" i="23"/>
  <c r="U99" i="23"/>
  <c r="D100" i="23"/>
  <c r="E100" i="23"/>
  <c r="F100" i="23"/>
  <c r="G100" i="23"/>
  <c r="H100" i="23"/>
  <c r="I100" i="23"/>
  <c r="J100" i="23"/>
  <c r="K100" i="23"/>
  <c r="L100" i="23"/>
  <c r="M100" i="23"/>
  <c r="N100" i="23"/>
  <c r="O100" i="23"/>
  <c r="P100" i="23"/>
  <c r="Q100" i="23"/>
  <c r="R100" i="23"/>
  <c r="S100" i="23"/>
  <c r="T100" i="23"/>
  <c r="U100" i="23"/>
  <c r="D101" i="23"/>
  <c r="E101" i="23"/>
  <c r="X82" i="26" s="1" a="1"/>
  <c r="X82" i="26" s="1"/>
  <c r="D82" i="7" s="1"/>
  <c r="F101" i="23"/>
  <c r="Y82" i="26" s="1" a="1"/>
  <c r="Y82" i="26" s="1"/>
  <c r="E82" i="7" s="1"/>
  <c r="G101" i="23"/>
  <c r="Z82" i="26" s="1" a="1"/>
  <c r="Z82" i="26" s="1"/>
  <c r="F82" i="7" s="1"/>
  <c r="H101" i="23"/>
  <c r="AA82" i="26" s="1" a="1"/>
  <c r="AA82" i="26" s="1"/>
  <c r="G82" i="7" s="1"/>
  <c r="I101" i="23"/>
  <c r="AB82" i="26" s="1" a="1"/>
  <c r="AB82" i="26" s="1"/>
  <c r="H82" i="7" s="1"/>
  <c r="J101" i="23"/>
  <c r="AD82" i="26" s="1" a="1"/>
  <c r="AD82" i="26" s="1"/>
  <c r="J82" i="7" s="1"/>
  <c r="K101" i="23"/>
  <c r="AE82" i="26" s="1" a="1"/>
  <c r="AE82" i="26" s="1"/>
  <c r="K82" i="7" s="1"/>
  <c r="L101" i="23"/>
  <c r="AC82" i="26" s="1" a="1"/>
  <c r="AC82" i="26" s="1"/>
  <c r="I82" i="7" s="1"/>
  <c r="M101" i="23"/>
  <c r="AG82" i="26" s="1" a="1"/>
  <c r="AG82" i="26" s="1"/>
  <c r="M82" i="7" s="1"/>
  <c r="N101" i="23"/>
  <c r="AF82" i="26" s="1" a="1"/>
  <c r="AF82" i="26" s="1"/>
  <c r="L82" i="7" s="1"/>
  <c r="O101" i="23"/>
  <c r="P101" i="23"/>
  <c r="AI82" i="26" s="1" a="1"/>
  <c r="AI82" i="26" s="1"/>
  <c r="O82" i="7" s="1"/>
  <c r="Q101" i="23"/>
  <c r="AH82" i="26" s="1" a="1"/>
  <c r="AH82" i="26" s="1"/>
  <c r="N82" i="7" s="1"/>
  <c r="R101" i="23"/>
  <c r="AJ82" i="26" s="1" a="1"/>
  <c r="AJ82" i="26" s="1"/>
  <c r="P82" i="7" s="1"/>
  <c r="S101" i="23"/>
  <c r="AK82" i="26" s="1" a="1"/>
  <c r="AK82" i="26" s="1"/>
  <c r="Q82" i="7" s="1"/>
  <c r="T101" i="23"/>
  <c r="U101" i="23"/>
  <c r="AL82" i="26" s="1" a="1"/>
  <c r="AL82" i="26" s="1"/>
  <c r="R82" i="7" s="1"/>
  <c r="D102" i="23"/>
  <c r="E102" i="23"/>
  <c r="F102" i="23"/>
  <c r="G102" i="23"/>
  <c r="H102" i="23"/>
  <c r="I102" i="23"/>
  <c r="J102" i="23"/>
  <c r="K102" i="23"/>
  <c r="L102" i="23"/>
  <c r="M102" i="23"/>
  <c r="N102" i="23"/>
  <c r="O102" i="23"/>
  <c r="P102" i="23"/>
  <c r="Q102" i="23"/>
  <c r="R102" i="23"/>
  <c r="S102" i="23"/>
  <c r="T102" i="23"/>
  <c r="U102" i="23"/>
  <c r="D103" i="23"/>
  <c r="E103" i="23"/>
  <c r="F103" i="23"/>
  <c r="G103" i="23"/>
  <c r="H103" i="23"/>
  <c r="I103" i="23"/>
  <c r="J103" i="23"/>
  <c r="K103" i="23"/>
  <c r="L103" i="23"/>
  <c r="M103" i="23"/>
  <c r="N103" i="23"/>
  <c r="O103" i="23"/>
  <c r="P103" i="23"/>
  <c r="Q103" i="23"/>
  <c r="R103" i="23"/>
  <c r="S103" i="23"/>
  <c r="T103" i="23"/>
  <c r="U103" i="23"/>
  <c r="D104" i="23"/>
  <c r="E104" i="23"/>
  <c r="F104" i="23"/>
  <c r="G104" i="23"/>
  <c r="H104" i="23"/>
  <c r="I104" i="23"/>
  <c r="J104" i="23"/>
  <c r="K104" i="23"/>
  <c r="L104" i="23"/>
  <c r="M104" i="23"/>
  <c r="N104" i="23"/>
  <c r="O104" i="23"/>
  <c r="P104" i="23"/>
  <c r="Q104" i="23"/>
  <c r="R104" i="23"/>
  <c r="S104" i="23"/>
  <c r="T104" i="23"/>
  <c r="U104" i="23"/>
  <c r="D106" i="23"/>
  <c r="E106" i="23"/>
  <c r="X84" i="26" s="1" a="1"/>
  <c r="X84" i="26" s="1"/>
  <c r="D84" i="7" s="1"/>
  <c r="F106" i="23"/>
  <c r="Y84" i="26" s="1" a="1"/>
  <c r="Y84" i="26" s="1"/>
  <c r="E84" i="7" s="1"/>
  <c r="G106" i="23"/>
  <c r="Z84" i="26" s="1" a="1"/>
  <c r="Z84" i="26" s="1"/>
  <c r="F84" i="7" s="1"/>
  <c r="H106" i="23"/>
  <c r="AA84" i="26" s="1" a="1"/>
  <c r="AA84" i="26" s="1"/>
  <c r="G84" i="7" s="1"/>
  <c r="I106" i="23"/>
  <c r="AB84" i="26" s="1" a="1"/>
  <c r="AB84" i="26" s="1"/>
  <c r="H84" i="7" s="1"/>
  <c r="J106" i="23"/>
  <c r="AD84" i="26" s="1" a="1"/>
  <c r="AD84" i="26" s="1"/>
  <c r="J84" i="7" s="1"/>
  <c r="K106" i="23"/>
  <c r="AE84" i="26" s="1" a="1"/>
  <c r="AE84" i="26" s="1"/>
  <c r="K84" i="7" s="1"/>
  <c r="L106" i="23"/>
  <c r="AC84" i="26" s="1" a="1"/>
  <c r="AC84" i="26" s="1"/>
  <c r="I84" i="7" s="1"/>
  <c r="M106" i="23"/>
  <c r="AG84" i="26" s="1" a="1"/>
  <c r="AG84" i="26" s="1"/>
  <c r="M84" i="7" s="1"/>
  <c r="N106" i="23"/>
  <c r="AF84" i="26" s="1" a="1"/>
  <c r="AF84" i="26" s="1"/>
  <c r="L84" i="7" s="1"/>
  <c r="O106" i="23"/>
  <c r="P106" i="23"/>
  <c r="AI84" i="26" s="1" a="1"/>
  <c r="AI84" i="26" s="1"/>
  <c r="O84" i="7" s="1"/>
  <c r="Q106" i="23"/>
  <c r="AH84" i="26" s="1" a="1"/>
  <c r="AH84" i="26" s="1"/>
  <c r="N84" i="7" s="1"/>
  <c r="R106" i="23"/>
  <c r="AJ84" i="26" s="1" a="1"/>
  <c r="AJ84" i="26" s="1"/>
  <c r="P84" i="7" s="1"/>
  <c r="S106" i="23"/>
  <c r="AK84" i="26" s="1" a="1"/>
  <c r="AK84" i="26" s="1"/>
  <c r="Q84" i="7" s="1"/>
  <c r="T106" i="23"/>
  <c r="U106" i="23"/>
  <c r="AL84" i="26" s="1" a="1"/>
  <c r="AL84" i="26" s="1"/>
  <c r="R84" i="7" s="1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D108" i="23"/>
  <c r="E108" i="23"/>
  <c r="F108" i="23"/>
  <c r="G108" i="23"/>
  <c r="H108" i="23"/>
  <c r="I108" i="23"/>
  <c r="J108" i="23"/>
  <c r="K108" i="23"/>
  <c r="AE53" i="26" s="1" a="1"/>
  <c r="AE53" i="26" s="1"/>
  <c r="K53" i="7" s="1"/>
  <c r="L108" i="23"/>
  <c r="M108" i="23"/>
  <c r="N108" i="23"/>
  <c r="O108" i="23"/>
  <c r="P108" i="23"/>
  <c r="Q108" i="23"/>
  <c r="R108" i="23"/>
  <c r="S108" i="23"/>
  <c r="AK53" i="26" s="1" a="1"/>
  <c r="AK53" i="26" s="1"/>
  <c r="Q53" i="7" s="1"/>
  <c r="T108" i="23"/>
  <c r="U108" i="23"/>
  <c r="D109" i="23"/>
  <c r="E109" i="23"/>
  <c r="X54" i="26" s="1" a="1"/>
  <c r="X54" i="26" s="1"/>
  <c r="D54" i="7" s="1"/>
  <c r="F109" i="23"/>
  <c r="Y54" i="26" s="1" a="1"/>
  <c r="Y54" i="26" s="1"/>
  <c r="E54" i="7" s="1"/>
  <c r="G109" i="23"/>
  <c r="Z54" i="26" s="1" a="1"/>
  <c r="Z54" i="26" s="1"/>
  <c r="F54" i="7" s="1"/>
  <c r="H109" i="23"/>
  <c r="AA54" i="26" s="1" a="1"/>
  <c r="AA54" i="26" s="1"/>
  <c r="G54" i="7" s="1"/>
  <c r="I109" i="23"/>
  <c r="AB54" i="26" s="1" a="1"/>
  <c r="AB54" i="26" s="1"/>
  <c r="H54" i="7" s="1"/>
  <c r="J109" i="23"/>
  <c r="AD54" i="26" s="1" a="1"/>
  <c r="AD54" i="26" s="1"/>
  <c r="J54" i="7" s="1"/>
  <c r="K109" i="23"/>
  <c r="AE54" i="26" s="1" a="1"/>
  <c r="AE54" i="26" s="1"/>
  <c r="K54" i="7" s="1"/>
  <c r="L109" i="23"/>
  <c r="AC54" i="26" s="1" a="1"/>
  <c r="AC54" i="26" s="1"/>
  <c r="I54" i="7" s="1"/>
  <c r="M109" i="23"/>
  <c r="AG54" i="26" s="1" a="1"/>
  <c r="AG54" i="26" s="1"/>
  <c r="M54" i="7" s="1"/>
  <c r="N109" i="23"/>
  <c r="AF54" i="26" s="1" a="1"/>
  <c r="AF54" i="26" s="1"/>
  <c r="L54" i="7" s="1"/>
  <c r="O109" i="23"/>
  <c r="P109" i="23"/>
  <c r="AI54" i="26" s="1" a="1"/>
  <c r="AI54" i="26" s="1"/>
  <c r="O54" i="7" s="1"/>
  <c r="Q109" i="23"/>
  <c r="AH54" i="26" s="1" a="1"/>
  <c r="AH54" i="26" s="1"/>
  <c r="N54" i="7" s="1"/>
  <c r="R109" i="23"/>
  <c r="AJ54" i="26" s="1" a="1"/>
  <c r="AJ54" i="26" s="1"/>
  <c r="P54" i="7" s="1"/>
  <c r="S109" i="23"/>
  <c r="AK54" i="26" s="1" a="1"/>
  <c r="AK54" i="26" s="1"/>
  <c r="Q54" i="7" s="1"/>
  <c r="T109" i="23"/>
  <c r="U109" i="23"/>
  <c r="AL54" i="26" s="1" a="1"/>
  <c r="AL54" i="26" s="1"/>
  <c r="R54" i="7" s="1"/>
  <c r="D110" i="23"/>
  <c r="E110" i="23"/>
  <c r="X55" i="26" s="1" a="1"/>
  <c r="X55" i="26" s="1"/>
  <c r="D55" i="7" s="1"/>
  <c r="F110" i="23"/>
  <c r="Y55" i="26" s="1" a="1"/>
  <c r="Y55" i="26" s="1"/>
  <c r="E55" i="7" s="1"/>
  <c r="G110" i="23"/>
  <c r="Z55" i="26" s="1" a="1"/>
  <c r="Z55" i="26" s="1"/>
  <c r="F55" i="7" s="1"/>
  <c r="H110" i="23"/>
  <c r="AA55" i="26" s="1" a="1"/>
  <c r="AA55" i="26" s="1"/>
  <c r="G55" i="7" s="1"/>
  <c r="I110" i="23"/>
  <c r="AB55" i="26" s="1" a="1"/>
  <c r="AB55" i="26" s="1"/>
  <c r="H55" i="7" s="1"/>
  <c r="J110" i="23"/>
  <c r="AD55" i="26" s="1" a="1"/>
  <c r="AD55" i="26" s="1"/>
  <c r="J55" i="7" s="1"/>
  <c r="K110" i="23"/>
  <c r="AE55" i="26" s="1" a="1"/>
  <c r="AE55" i="26" s="1"/>
  <c r="K55" i="7" s="1"/>
  <c r="L110" i="23"/>
  <c r="AC55" i="26" s="1" a="1"/>
  <c r="AC55" i="26" s="1"/>
  <c r="I55" i="7" s="1"/>
  <c r="M110" i="23"/>
  <c r="AG55" i="26" s="1" a="1"/>
  <c r="AG55" i="26" s="1"/>
  <c r="M55" i="7" s="1"/>
  <c r="N110" i="23"/>
  <c r="AF55" i="26" s="1" a="1"/>
  <c r="AF55" i="26" s="1"/>
  <c r="L55" i="7" s="1"/>
  <c r="O110" i="23"/>
  <c r="P110" i="23"/>
  <c r="AI55" i="26" s="1" a="1"/>
  <c r="AI55" i="26" s="1"/>
  <c r="O55" i="7" s="1"/>
  <c r="Q110" i="23"/>
  <c r="AH55" i="26" s="1" a="1"/>
  <c r="AH55" i="26" s="1"/>
  <c r="N55" i="7" s="1"/>
  <c r="R110" i="23"/>
  <c r="AJ55" i="26" s="1" a="1"/>
  <c r="AJ55" i="26" s="1"/>
  <c r="P55" i="7" s="1"/>
  <c r="S110" i="23"/>
  <c r="AK55" i="26" s="1" a="1"/>
  <c r="AK55" i="26" s="1"/>
  <c r="Q55" i="7" s="1"/>
  <c r="T110" i="23"/>
  <c r="U110" i="23"/>
  <c r="AL55" i="26" s="1" a="1"/>
  <c r="AL55" i="26" s="1"/>
  <c r="R55" i="7" s="1"/>
  <c r="D111" i="23"/>
  <c r="E111" i="23"/>
  <c r="X56" i="26" s="1" a="1"/>
  <c r="X56" i="26" s="1"/>
  <c r="D56" i="7" s="1"/>
  <c r="F111" i="23"/>
  <c r="Y56" i="26" s="1" a="1"/>
  <c r="Y56" i="26" s="1"/>
  <c r="E56" i="7" s="1"/>
  <c r="G111" i="23"/>
  <c r="Z56" i="26" s="1" a="1"/>
  <c r="Z56" i="26" s="1"/>
  <c r="F56" i="7" s="1"/>
  <c r="H111" i="23"/>
  <c r="AA56" i="26" s="1" a="1"/>
  <c r="AA56" i="26" s="1"/>
  <c r="G56" i="7" s="1"/>
  <c r="I111" i="23"/>
  <c r="AB56" i="26" s="1" a="1"/>
  <c r="AB56" i="26" s="1"/>
  <c r="H56" i="7" s="1"/>
  <c r="J111" i="23"/>
  <c r="AD56" i="26" s="1" a="1"/>
  <c r="AD56" i="26" s="1"/>
  <c r="J56" i="7" s="1"/>
  <c r="K111" i="23"/>
  <c r="AE56" i="26" s="1" a="1"/>
  <c r="AE56" i="26" s="1"/>
  <c r="K56" i="7" s="1"/>
  <c r="L111" i="23"/>
  <c r="AC56" i="26" s="1" a="1"/>
  <c r="AC56" i="26" s="1"/>
  <c r="I56" i="7" s="1"/>
  <c r="M111" i="23"/>
  <c r="AG56" i="26" s="1" a="1"/>
  <c r="AG56" i="26" s="1"/>
  <c r="M56" i="7" s="1"/>
  <c r="N111" i="23"/>
  <c r="AF56" i="26" s="1" a="1"/>
  <c r="AF56" i="26" s="1"/>
  <c r="L56" i="7" s="1"/>
  <c r="O111" i="23"/>
  <c r="P111" i="23"/>
  <c r="AI56" i="26" s="1" a="1"/>
  <c r="AI56" i="26" s="1"/>
  <c r="O56" i="7" s="1"/>
  <c r="Q111" i="23"/>
  <c r="AH56" i="26" s="1" a="1"/>
  <c r="AH56" i="26" s="1"/>
  <c r="N56" i="7" s="1"/>
  <c r="R111" i="23"/>
  <c r="AJ56" i="26" s="1" a="1"/>
  <c r="AJ56" i="26" s="1"/>
  <c r="P56" i="7" s="1"/>
  <c r="S111" i="23"/>
  <c r="AK56" i="26" s="1" a="1"/>
  <c r="AK56" i="26" s="1"/>
  <c r="Q56" i="7" s="1"/>
  <c r="T111" i="23"/>
  <c r="U111" i="23"/>
  <c r="AL56" i="26" s="1" a="1"/>
  <c r="AL56" i="26" s="1"/>
  <c r="R56" i="7" s="1"/>
  <c r="D112" i="23"/>
  <c r="E112" i="23"/>
  <c r="X57" i="26" s="1" a="1"/>
  <c r="X57" i="26" s="1"/>
  <c r="D57" i="7" s="1"/>
  <c r="F112" i="23"/>
  <c r="Y57" i="26" s="1" a="1"/>
  <c r="Y57" i="26" s="1"/>
  <c r="E57" i="7" s="1"/>
  <c r="G112" i="23"/>
  <c r="Z57" i="26" s="1" a="1"/>
  <c r="Z57" i="26" s="1"/>
  <c r="F57" i="7" s="1"/>
  <c r="H112" i="23"/>
  <c r="AA57" i="26" s="1" a="1"/>
  <c r="AA57" i="26" s="1"/>
  <c r="G57" i="7" s="1"/>
  <c r="I112" i="23"/>
  <c r="AB57" i="26" s="1" a="1"/>
  <c r="AB57" i="26" s="1"/>
  <c r="H57" i="7" s="1"/>
  <c r="J112" i="23"/>
  <c r="AD57" i="26" s="1" a="1"/>
  <c r="AD57" i="26" s="1"/>
  <c r="J57" i="7" s="1"/>
  <c r="K112" i="23"/>
  <c r="AE57" i="26" s="1" a="1"/>
  <c r="AE57" i="26" s="1"/>
  <c r="K57" i="7" s="1"/>
  <c r="L112" i="23"/>
  <c r="AC57" i="26" s="1" a="1"/>
  <c r="AC57" i="26" s="1"/>
  <c r="I57" i="7" s="1"/>
  <c r="M112" i="23"/>
  <c r="AG57" i="26" s="1" a="1"/>
  <c r="AG57" i="26" s="1"/>
  <c r="M57" i="7" s="1"/>
  <c r="N112" i="23"/>
  <c r="AF57" i="26" s="1" a="1"/>
  <c r="AF57" i="26" s="1"/>
  <c r="L57" i="7" s="1"/>
  <c r="O112" i="23"/>
  <c r="P112" i="23"/>
  <c r="AI57" i="26" s="1" a="1"/>
  <c r="AI57" i="26" s="1"/>
  <c r="O57" i="7" s="1"/>
  <c r="Q112" i="23"/>
  <c r="AH57" i="26" s="1" a="1"/>
  <c r="AH57" i="26" s="1"/>
  <c r="N57" i="7" s="1"/>
  <c r="R112" i="23"/>
  <c r="AJ57" i="26" s="1" a="1"/>
  <c r="AJ57" i="26" s="1"/>
  <c r="P57" i="7" s="1"/>
  <c r="S112" i="23"/>
  <c r="AK57" i="26" s="1" a="1"/>
  <c r="AK57" i="26" s="1"/>
  <c r="Q57" i="7" s="1"/>
  <c r="T112" i="23"/>
  <c r="U112" i="23"/>
  <c r="AL57" i="26" s="1" a="1"/>
  <c r="AL57" i="26" s="1"/>
  <c r="R57" i="7" s="1"/>
  <c r="D113" i="23"/>
  <c r="E113" i="23"/>
  <c r="X58" i="26" s="1" a="1"/>
  <c r="X58" i="26" s="1"/>
  <c r="D58" i="7" s="1"/>
  <c r="F113" i="23"/>
  <c r="Y58" i="26" s="1" a="1"/>
  <c r="Y58" i="26" s="1"/>
  <c r="E58" i="7" s="1"/>
  <c r="G113" i="23"/>
  <c r="Z58" i="26" s="1" a="1"/>
  <c r="Z58" i="26" s="1"/>
  <c r="F58" i="7" s="1"/>
  <c r="H113" i="23"/>
  <c r="AA58" i="26" s="1" a="1"/>
  <c r="AA58" i="26" s="1"/>
  <c r="G58" i="7" s="1"/>
  <c r="I113" i="23"/>
  <c r="AB58" i="26" s="1" a="1"/>
  <c r="AB58" i="26" s="1"/>
  <c r="H58" i="7" s="1"/>
  <c r="J113" i="23"/>
  <c r="AD58" i="26" s="1" a="1"/>
  <c r="AD58" i="26" s="1"/>
  <c r="J58" i="7" s="1"/>
  <c r="K113" i="23"/>
  <c r="AE58" i="26" s="1" a="1"/>
  <c r="AE58" i="26" s="1"/>
  <c r="K58" i="7" s="1"/>
  <c r="L113" i="23"/>
  <c r="AC58" i="26" s="1" a="1"/>
  <c r="AC58" i="26" s="1"/>
  <c r="I58" i="7" s="1"/>
  <c r="M113" i="23"/>
  <c r="AG58" i="26" s="1" a="1"/>
  <c r="AG58" i="26" s="1"/>
  <c r="M58" i="7" s="1"/>
  <c r="N113" i="23"/>
  <c r="AF58" i="26" s="1" a="1"/>
  <c r="AF58" i="26" s="1"/>
  <c r="L58" i="7" s="1"/>
  <c r="O113" i="23"/>
  <c r="P113" i="23"/>
  <c r="AI58" i="26" s="1" a="1"/>
  <c r="AI58" i="26" s="1"/>
  <c r="O58" i="7" s="1"/>
  <c r="Q113" i="23"/>
  <c r="AH58" i="26" s="1" a="1"/>
  <c r="AH58" i="26" s="1"/>
  <c r="N58" i="7" s="1"/>
  <c r="R113" i="23"/>
  <c r="AJ58" i="26" s="1" a="1"/>
  <c r="AJ58" i="26" s="1"/>
  <c r="P58" i="7" s="1"/>
  <c r="S113" i="23"/>
  <c r="AK58" i="26" s="1" a="1"/>
  <c r="AK58" i="26" s="1"/>
  <c r="Q58" i="7" s="1"/>
  <c r="T113" i="23"/>
  <c r="U113" i="23"/>
  <c r="AL58" i="26" s="1" a="1"/>
  <c r="AL58" i="26" s="1"/>
  <c r="R58" i="7" s="1"/>
  <c r="D114" i="23"/>
  <c r="E114" i="23"/>
  <c r="X59" i="26" s="1" a="1"/>
  <c r="X59" i="26" s="1"/>
  <c r="D59" i="7" s="1"/>
  <c r="F114" i="23"/>
  <c r="Y59" i="26" s="1" a="1"/>
  <c r="Y59" i="26" s="1"/>
  <c r="E59" i="7" s="1"/>
  <c r="G114" i="23"/>
  <c r="Z59" i="26" s="1" a="1"/>
  <c r="Z59" i="26" s="1"/>
  <c r="F59" i="7" s="1"/>
  <c r="H114" i="23"/>
  <c r="AA59" i="26" s="1" a="1"/>
  <c r="AA59" i="26" s="1"/>
  <c r="G59" i="7" s="1"/>
  <c r="I114" i="23"/>
  <c r="AB59" i="26" s="1" a="1"/>
  <c r="AB59" i="26" s="1"/>
  <c r="H59" i="7" s="1"/>
  <c r="J114" i="23"/>
  <c r="AD59" i="26" s="1" a="1"/>
  <c r="AD59" i="26" s="1"/>
  <c r="J59" i="7" s="1"/>
  <c r="K114" i="23"/>
  <c r="AE59" i="26" s="1" a="1"/>
  <c r="AE59" i="26" s="1"/>
  <c r="K59" i="7" s="1"/>
  <c r="L114" i="23"/>
  <c r="AC59" i="26" s="1" a="1"/>
  <c r="AC59" i="26" s="1"/>
  <c r="I59" i="7" s="1"/>
  <c r="M114" i="23"/>
  <c r="AG59" i="26" s="1" a="1"/>
  <c r="AG59" i="26" s="1"/>
  <c r="M59" i="7" s="1"/>
  <c r="N114" i="23"/>
  <c r="AF59" i="26" s="1" a="1"/>
  <c r="AF59" i="26" s="1"/>
  <c r="L59" i="7" s="1"/>
  <c r="O114" i="23"/>
  <c r="P114" i="23"/>
  <c r="AI59" i="26" s="1" a="1"/>
  <c r="AI59" i="26" s="1"/>
  <c r="O59" i="7" s="1"/>
  <c r="Q114" i="23"/>
  <c r="AH59" i="26" s="1" a="1"/>
  <c r="AH59" i="26" s="1"/>
  <c r="N59" i="7" s="1"/>
  <c r="R114" i="23"/>
  <c r="AJ59" i="26" s="1" a="1"/>
  <c r="AJ59" i="26" s="1"/>
  <c r="P59" i="7" s="1"/>
  <c r="S114" i="23"/>
  <c r="AK59" i="26" s="1" a="1"/>
  <c r="AK59" i="26" s="1"/>
  <c r="Q59" i="7" s="1"/>
  <c r="T114" i="23"/>
  <c r="U114" i="23"/>
  <c r="AL59" i="26" s="1" a="1"/>
  <c r="AL59" i="26" s="1"/>
  <c r="R59" i="7" s="1"/>
  <c r="D115" i="23"/>
  <c r="E115" i="23"/>
  <c r="X60" i="26" s="1" a="1"/>
  <c r="X60" i="26" s="1"/>
  <c r="D60" i="7" s="1"/>
  <c r="F115" i="23"/>
  <c r="Y60" i="26" s="1" a="1"/>
  <c r="Y60" i="26" s="1"/>
  <c r="E60" i="7" s="1"/>
  <c r="G115" i="23"/>
  <c r="Z60" i="26" s="1" a="1"/>
  <c r="Z60" i="26" s="1"/>
  <c r="F60" i="7" s="1"/>
  <c r="H115" i="23"/>
  <c r="AA60" i="26" s="1" a="1"/>
  <c r="AA60" i="26" s="1"/>
  <c r="G60" i="7" s="1"/>
  <c r="I115" i="23"/>
  <c r="AB60" i="26" s="1" a="1"/>
  <c r="AB60" i="26" s="1"/>
  <c r="H60" i="7" s="1"/>
  <c r="J115" i="23"/>
  <c r="AD60" i="26" s="1" a="1"/>
  <c r="AD60" i="26" s="1"/>
  <c r="J60" i="7" s="1"/>
  <c r="K115" i="23"/>
  <c r="AE60" i="26" s="1" a="1"/>
  <c r="AE60" i="26" s="1"/>
  <c r="K60" i="7" s="1"/>
  <c r="L115" i="23"/>
  <c r="AC60" i="26" s="1" a="1"/>
  <c r="AC60" i="26" s="1"/>
  <c r="I60" i="7" s="1"/>
  <c r="M115" i="23"/>
  <c r="AG60" i="26" s="1" a="1"/>
  <c r="AG60" i="26" s="1"/>
  <c r="M60" i="7" s="1"/>
  <c r="N115" i="23"/>
  <c r="AF60" i="26" s="1" a="1"/>
  <c r="AF60" i="26" s="1"/>
  <c r="L60" i="7" s="1"/>
  <c r="O115" i="23"/>
  <c r="P115" i="23"/>
  <c r="AI60" i="26" s="1" a="1"/>
  <c r="AI60" i="26" s="1"/>
  <c r="O60" i="7" s="1"/>
  <c r="Q115" i="23"/>
  <c r="AH60" i="26" s="1" a="1"/>
  <c r="AH60" i="26" s="1"/>
  <c r="N60" i="7" s="1"/>
  <c r="R115" i="23"/>
  <c r="AJ60" i="26" s="1" a="1"/>
  <c r="AJ60" i="26" s="1"/>
  <c r="P60" i="7" s="1"/>
  <c r="S115" i="23"/>
  <c r="AK60" i="26" s="1" a="1"/>
  <c r="AK60" i="26" s="1"/>
  <c r="Q60" i="7" s="1"/>
  <c r="T115" i="23"/>
  <c r="U115" i="23"/>
  <c r="AL60" i="26" s="1" a="1"/>
  <c r="AL60" i="26" s="1"/>
  <c r="R60" i="7" s="1"/>
  <c r="D116" i="23"/>
  <c r="E116" i="23"/>
  <c r="X61" i="26" s="1" a="1"/>
  <c r="X61" i="26" s="1"/>
  <c r="D61" i="7" s="1"/>
  <c r="F116" i="23"/>
  <c r="Y61" i="26" s="1" a="1"/>
  <c r="Y61" i="26" s="1"/>
  <c r="E61" i="7" s="1"/>
  <c r="G116" i="23"/>
  <c r="Z61" i="26" s="1" a="1"/>
  <c r="Z61" i="26" s="1"/>
  <c r="F61" i="7" s="1"/>
  <c r="H116" i="23"/>
  <c r="AA61" i="26" s="1" a="1"/>
  <c r="AA61" i="26" s="1"/>
  <c r="G61" i="7" s="1"/>
  <c r="I116" i="23"/>
  <c r="AB61" i="26" s="1" a="1"/>
  <c r="AB61" i="26" s="1"/>
  <c r="H61" i="7" s="1"/>
  <c r="J116" i="23"/>
  <c r="AD61" i="26" s="1" a="1"/>
  <c r="AD61" i="26" s="1"/>
  <c r="J61" i="7" s="1"/>
  <c r="K116" i="23"/>
  <c r="AE61" i="26" s="1" a="1"/>
  <c r="AE61" i="26" s="1"/>
  <c r="K61" i="7" s="1"/>
  <c r="L116" i="23"/>
  <c r="AC61" i="26" s="1" a="1"/>
  <c r="AC61" i="26" s="1"/>
  <c r="I61" i="7" s="1"/>
  <c r="M116" i="23"/>
  <c r="AG61" i="26" s="1" a="1"/>
  <c r="AG61" i="26" s="1"/>
  <c r="M61" i="7" s="1"/>
  <c r="N116" i="23"/>
  <c r="AF61" i="26" s="1" a="1"/>
  <c r="AF61" i="26" s="1"/>
  <c r="L61" i="7" s="1"/>
  <c r="O116" i="23"/>
  <c r="P116" i="23"/>
  <c r="AI61" i="26" s="1" a="1"/>
  <c r="AI61" i="26" s="1"/>
  <c r="O61" i="7" s="1"/>
  <c r="Q116" i="23"/>
  <c r="AH61" i="26" s="1" a="1"/>
  <c r="AH61" i="26" s="1"/>
  <c r="N61" i="7" s="1"/>
  <c r="R116" i="23"/>
  <c r="AJ61" i="26" s="1" a="1"/>
  <c r="AJ61" i="26" s="1"/>
  <c r="P61" i="7" s="1"/>
  <c r="S116" i="23"/>
  <c r="AK61" i="26" s="1" a="1"/>
  <c r="AK61" i="26" s="1"/>
  <c r="Q61" i="7" s="1"/>
  <c r="T116" i="23"/>
  <c r="U116" i="23"/>
  <c r="AL61" i="26" s="1" a="1"/>
  <c r="AL61" i="26" s="1"/>
  <c r="R61" i="7" s="1"/>
  <c r="D117" i="23"/>
  <c r="E117" i="23"/>
  <c r="X62" i="26" s="1" a="1"/>
  <c r="X62" i="26" s="1"/>
  <c r="D62" i="7" s="1"/>
  <c r="F117" i="23"/>
  <c r="Y62" i="26" s="1" a="1"/>
  <c r="Y62" i="26" s="1"/>
  <c r="E62" i="7" s="1"/>
  <c r="G117" i="23"/>
  <c r="Z62" i="26" s="1" a="1"/>
  <c r="Z62" i="26" s="1"/>
  <c r="F62" i="7" s="1"/>
  <c r="H117" i="23"/>
  <c r="AA62" i="26" s="1" a="1"/>
  <c r="AA62" i="26" s="1"/>
  <c r="G62" i="7" s="1"/>
  <c r="I117" i="23"/>
  <c r="AB62" i="26" s="1" a="1"/>
  <c r="AB62" i="26" s="1"/>
  <c r="H62" i="7" s="1"/>
  <c r="J117" i="23"/>
  <c r="AD62" i="26" s="1" a="1"/>
  <c r="AD62" i="26" s="1"/>
  <c r="J62" i="7" s="1"/>
  <c r="K117" i="23"/>
  <c r="AE62" i="26" s="1" a="1"/>
  <c r="AE62" i="26" s="1"/>
  <c r="K62" i="7" s="1"/>
  <c r="L117" i="23"/>
  <c r="AC62" i="26" s="1" a="1"/>
  <c r="AC62" i="26" s="1"/>
  <c r="I62" i="7" s="1"/>
  <c r="M117" i="23"/>
  <c r="AG62" i="26" s="1" a="1"/>
  <c r="AG62" i="26" s="1"/>
  <c r="M62" i="7" s="1"/>
  <c r="N117" i="23"/>
  <c r="AF62" i="26" s="1" a="1"/>
  <c r="AF62" i="26" s="1"/>
  <c r="L62" i="7" s="1"/>
  <c r="O117" i="23"/>
  <c r="P117" i="23"/>
  <c r="AI62" i="26" s="1" a="1"/>
  <c r="AI62" i="26" s="1"/>
  <c r="O62" i="7" s="1"/>
  <c r="Q117" i="23"/>
  <c r="AH62" i="26" s="1" a="1"/>
  <c r="AH62" i="26" s="1"/>
  <c r="N62" i="7" s="1"/>
  <c r="R117" i="23"/>
  <c r="AJ62" i="26" s="1" a="1"/>
  <c r="AJ62" i="26" s="1"/>
  <c r="P62" i="7" s="1"/>
  <c r="S117" i="23"/>
  <c r="AK62" i="26" s="1" a="1"/>
  <c r="AK62" i="26" s="1"/>
  <c r="Q62" i="7" s="1"/>
  <c r="T117" i="23"/>
  <c r="U117" i="23"/>
  <c r="AL62" i="26" s="1" a="1"/>
  <c r="AL62" i="26" s="1"/>
  <c r="R62" i="7" s="1"/>
  <c r="D118" i="23"/>
  <c r="E118" i="23"/>
  <c r="X63" i="26" s="1" a="1"/>
  <c r="X63" i="26" s="1"/>
  <c r="D63" i="7" s="1"/>
  <c r="F118" i="23"/>
  <c r="Y63" i="26" s="1" a="1"/>
  <c r="Y63" i="26" s="1"/>
  <c r="E63" i="7" s="1"/>
  <c r="G118" i="23"/>
  <c r="Z63" i="26" s="1" a="1"/>
  <c r="Z63" i="26" s="1"/>
  <c r="F63" i="7" s="1"/>
  <c r="H118" i="23"/>
  <c r="AA63" i="26" s="1" a="1"/>
  <c r="AA63" i="26" s="1"/>
  <c r="G63" i="7" s="1"/>
  <c r="I118" i="23"/>
  <c r="AB63" i="26" s="1" a="1"/>
  <c r="AB63" i="26" s="1"/>
  <c r="H63" i="7" s="1"/>
  <c r="J118" i="23"/>
  <c r="AD63" i="26" s="1" a="1"/>
  <c r="AD63" i="26" s="1"/>
  <c r="J63" i="7" s="1"/>
  <c r="K118" i="23"/>
  <c r="AE63" i="26" s="1" a="1"/>
  <c r="AE63" i="26" s="1"/>
  <c r="K63" i="7" s="1"/>
  <c r="L118" i="23"/>
  <c r="AC63" i="26" s="1" a="1"/>
  <c r="AC63" i="26" s="1"/>
  <c r="I63" i="7" s="1"/>
  <c r="M118" i="23"/>
  <c r="AG63" i="26" s="1" a="1"/>
  <c r="AG63" i="26" s="1"/>
  <c r="M63" i="7" s="1"/>
  <c r="N118" i="23"/>
  <c r="AF63" i="26" s="1" a="1"/>
  <c r="AF63" i="26" s="1"/>
  <c r="L63" i="7" s="1"/>
  <c r="O118" i="23"/>
  <c r="P118" i="23"/>
  <c r="AI63" i="26" s="1" a="1"/>
  <c r="AI63" i="26" s="1"/>
  <c r="O63" i="7" s="1"/>
  <c r="Q118" i="23"/>
  <c r="AH63" i="26" s="1" a="1"/>
  <c r="AH63" i="26" s="1"/>
  <c r="N63" i="7" s="1"/>
  <c r="R118" i="23"/>
  <c r="AJ63" i="26" s="1" a="1"/>
  <c r="AJ63" i="26" s="1"/>
  <c r="P63" i="7" s="1"/>
  <c r="S118" i="23"/>
  <c r="AK63" i="26" s="1" a="1"/>
  <c r="AK63" i="26" s="1"/>
  <c r="Q63" i="7" s="1"/>
  <c r="T118" i="23"/>
  <c r="U118" i="23"/>
  <c r="AL63" i="26" s="1" a="1"/>
  <c r="AL63" i="26" s="1"/>
  <c r="R63" i="7" s="1"/>
  <c r="D119" i="23"/>
  <c r="E119" i="23"/>
  <c r="X64" i="26" s="1" a="1"/>
  <c r="X64" i="26" s="1"/>
  <c r="D64" i="7" s="1"/>
  <c r="F119" i="23"/>
  <c r="Y64" i="26" s="1" a="1"/>
  <c r="Y64" i="26" s="1"/>
  <c r="E64" i="7" s="1"/>
  <c r="G119" i="23"/>
  <c r="Z64" i="26" s="1" a="1"/>
  <c r="Z64" i="26" s="1"/>
  <c r="F64" i="7" s="1"/>
  <c r="H119" i="23"/>
  <c r="AA64" i="26" s="1" a="1"/>
  <c r="AA64" i="26" s="1"/>
  <c r="G64" i="7" s="1"/>
  <c r="I119" i="23"/>
  <c r="AB64" i="26" s="1" a="1"/>
  <c r="AB64" i="26" s="1"/>
  <c r="H64" i="7" s="1"/>
  <c r="J119" i="23"/>
  <c r="AD64" i="26" s="1" a="1"/>
  <c r="AD64" i="26" s="1"/>
  <c r="J64" i="7" s="1"/>
  <c r="K119" i="23"/>
  <c r="AE64" i="26" s="1" a="1"/>
  <c r="AE64" i="26" s="1"/>
  <c r="K64" i="7" s="1"/>
  <c r="L119" i="23"/>
  <c r="AC64" i="26" s="1" a="1"/>
  <c r="AC64" i="26" s="1"/>
  <c r="I64" i="7" s="1"/>
  <c r="M119" i="23"/>
  <c r="AG64" i="26" s="1" a="1"/>
  <c r="AG64" i="26" s="1"/>
  <c r="M64" i="7" s="1"/>
  <c r="N119" i="23"/>
  <c r="AF64" i="26" s="1" a="1"/>
  <c r="AF64" i="26" s="1"/>
  <c r="L64" i="7" s="1"/>
  <c r="O119" i="23"/>
  <c r="P119" i="23"/>
  <c r="AI64" i="26" s="1" a="1"/>
  <c r="AI64" i="26" s="1"/>
  <c r="O64" i="7" s="1"/>
  <c r="Q119" i="23"/>
  <c r="AH64" i="26" s="1" a="1"/>
  <c r="AH64" i="26" s="1"/>
  <c r="N64" i="7" s="1"/>
  <c r="R119" i="23"/>
  <c r="AJ64" i="26" s="1" a="1"/>
  <c r="AJ64" i="26" s="1"/>
  <c r="P64" i="7" s="1"/>
  <c r="S119" i="23"/>
  <c r="AK64" i="26" s="1" a="1"/>
  <c r="AK64" i="26" s="1"/>
  <c r="Q64" i="7" s="1"/>
  <c r="T119" i="23"/>
  <c r="U119" i="23"/>
  <c r="AL64" i="26" s="1" a="1"/>
  <c r="AL64" i="26" s="1"/>
  <c r="R64" i="7" s="1"/>
  <c r="D120" i="23"/>
  <c r="E120" i="23"/>
  <c r="X65" i="26" s="1" a="1"/>
  <c r="X65" i="26" s="1"/>
  <c r="D65" i="7" s="1"/>
  <c r="F120" i="23"/>
  <c r="Y65" i="26" s="1" a="1"/>
  <c r="Y65" i="26" s="1"/>
  <c r="E65" i="7" s="1"/>
  <c r="G120" i="23"/>
  <c r="Z65" i="26" s="1" a="1"/>
  <c r="Z65" i="26" s="1"/>
  <c r="F65" i="7" s="1"/>
  <c r="H120" i="23"/>
  <c r="AA65" i="26" s="1" a="1"/>
  <c r="AA65" i="26" s="1"/>
  <c r="G65" i="7" s="1"/>
  <c r="I120" i="23"/>
  <c r="AB65" i="26" s="1" a="1"/>
  <c r="AB65" i="26" s="1"/>
  <c r="H65" i="7" s="1"/>
  <c r="J120" i="23"/>
  <c r="AD65" i="26" s="1" a="1"/>
  <c r="AD65" i="26" s="1"/>
  <c r="J65" i="7" s="1"/>
  <c r="K120" i="23"/>
  <c r="AE65" i="26" s="1" a="1"/>
  <c r="AE65" i="26" s="1"/>
  <c r="K65" i="7" s="1"/>
  <c r="L120" i="23"/>
  <c r="AC65" i="26" s="1" a="1"/>
  <c r="AC65" i="26" s="1"/>
  <c r="I65" i="7" s="1"/>
  <c r="M120" i="23"/>
  <c r="AG65" i="26" s="1" a="1"/>
  <c r="AG65" i="26" s="1"/>
  <c r="M65" i="7" s="1"/>
  <c r="N120" i="23"/>
  <c r="AF65" i="26" s="1" a="1"/>
  <c r="AF65" i="26" s="1"/>
  <c r="L65" i="7" s="1"/>
  <c r="O120" i="23"/>
  <c r="P120" i="23"/>
  <c r="AI65" i="26" s="1" a="1"/>
  <c r="AI65" i="26" s="1"/>
  <c r="O65" i="7" s="1"/>
  <c r="Q120" i="23"/>
  <c r="AH65" i="26" s="1" a="1"/>
  <c r="AH65" i="26" s="1"/>
  <c r="N65" i="7" s="1"/>
  <c r="R120" i="23"/>
  <c r="AJ65" i="26" s="1" a="1"/>
  <c r="AJ65" i="26" s="1"/>
  <c r="P65" i="7" s="1"/>
  <c r="S120" i="23"/>
  <c r="AK65" i="26" s="1" a="1"/>
  <c r="AK65" i="26" s="1"/>
  <c r="Q65" i="7" s="1"/>
  <c r="T120" i="23"/>
  <c r="U120" i="23"/>
  <c r="AL65" i="26" s="1" a="1"/>
  <c r="AL65" i="26" s="1"/>
  <c r="R65" i="7" s="1"/>
  <c r="D121" i="23"/>
  <c r="E121" i="23"/>
  <c r="X66" i="26" s="1" a="1"/>
  <c r="X66" i="26" s="1"/>
  <c r="D66" i="7" s="1"/>
  <c r="F121" i="23"/>
  <c r="Y66" i="26" s="1" a="1"/>
  <c r="Y66" i="26" s="1"/>
  <c r="E66" i="7" s="1"/>
  <c r="G121" i="23"/>
  <c r="Z66" i="26" s="1" a="1"/>
  <c r="Z66" i="26" s="1"/>
  <c r="F66" i="7" s="1"/>
  <c r="H121" i="23"/>
  <c r="AA66" i="26" s="1" a="1"/>
  <c r="AA66" i="26" s="1"/>
  <c r="G66" i="7" s="1"/>
  <c r="I121" i="23"/>
  <c r="AB66" i="26" s="1" a="1"/>
  <c r="AB66" i="26" s="1"/>
  <c r="H66" i="7" s="1"/>
  <c r="J121" i="23"/>
  <c r="AD66" i="26" s="1" a="1"/>
  <c r="AD66" i="26" s="1"/>
  <c r="J66" i="7" s="1"/>
  <c r="K121" i="23"/>
  <c r="AE66" i="26" s="1" a="1"/>
  <c r="AE66" i="26" s="1"/>
  <c r="K66" i="7" s="1"/>
  <c r="L121" i="23"/>
  <c r="AC66" i="26" s="1" a="1"/>
  <c r="AC66" i="26" s="1"/>
  <c r="I66" i="7" s="1"/>
  <c r="M121" i="23"/>
  <c r="AG66" i="26" s="1" a="1"/>
  <c r="AG66" i="26" s="1"/>
  <c r="M66" i="7" s="1"/>
  <c r="N121" i="23"/>
  <c r="AF66" i="26" s="1" a="1"/>
  <c r="AF66" i="26" s="1"/>
  <c r="L66" i="7" s="1"/>
  <c r="O121" i="23"/>
  <c r="P121" i="23"/>
  <c r="AI66" i="26" s="1" a="1"/>
  <c r="AI66" i="26" s="1"/>
  <c r="O66" i="7" s="1"/>
  <c r="Q121" i="23"/>
  <c r="AH66" i="26" s="1" a="1"/>
  <c r="AH66" i="26" s="1"/>
  <c r="N66" i="7" s="1"/>
  <c r="R121" i="23"/>
  <c r="AJ66" i="26" s="1" a="1"/>
  <c r="AJ66" i="26" s="1"/>
  <c r="P66" i="7" s="1"/>
  <c r="S121" i="23"/>
  <c r="AK66" i="26" s="1" a="1"/>
  <c r="AK66" i="26" s="1"/>
  <c r="Q66" i="7" s="1"/>
  <c r="T121" i="23"/>
  <c r="U121" i="23"/>
  <c r="AL66" i="26" s="1" a="1"/>
  <c r="AL66" i="26" s="1"/>
  <c r="R66" i="7" s="1"/>
  <c r="D122" i="23"/>
  <c r="E122" i="23"/>
  <c r="X67" i="26" s="1" a="1"/>
  <c r="X67" i="26" s="1"/>
  <c r="D67" i="7" s="1"/>
  <c r="F122" i="23"/>
  <c r="Y67" i="26" s="1" a="1"/>
  <c r="Y67" i="26" s="1"/>
  <c r="E67" i="7" s="1"/>
  <c r="G122" i="23"/>
  <c r="Z67" i="26" s="1" a="1"/>
  <c r="Z67" i="26" s="1"/>
  <c r="F67" i="7" s="1"/>
  <c r="H122" i="23"/>
  <c r="AA67" i="26" s="1" a="1"/>
  <c r="AA67" i="26" s="1"/>
  <c r="G67" i="7" s="1"/>
  <c r="I122" i="23"/>
  <c r="AB67" i="26" s="1" a="1"/>
  <c r="AB67" i="26" s="1"/>
  <c r="H67" i="7" s="1"/>
  <c r="J122" i="23"/>
  <c r="AD67" i="26" s="1" a="1"/>
  <c r="AD67" i="26" s="1"/>
  <c r="J67" i="7" s="1"/>
  <c r="K122" i="23"/>
  <c r="AE67" i="26" s="1" a="1"/>
  <c r="AE67" i="26" s="1"/>
  <c r="K67" i="7" s="1"/>
  <c r="L122" i="23"/>
  <c r="AC67" i="26" s="1" a="1"/>
  <c r="AC67" i="26" s="1"/>
  <c r="I67" i="7" s="1"/>
  <c r="M122" i="23"/>
  <c r="AG67" i="26" s="1" a="1"/>
  <c r="AG67" i="26" s="1"/>
  <c r="M67" i="7" s="1"/>
  <c r="N122" i="23"/>
  <c r="AF67" i="26" s="1" a="1"/>
  <c r="AF67" i="26" s="1"/>
  <c r="L67" i="7" s="1"/>
  <c r="O122" i="23"/>
  <c r="P122" i="23"/>
  <c r="AI67" i="26" s="1" a="1"/>
  <c r="AI67" i="26" s="1"/>
  <c r="O67" i="7" s="1"/>
  <c r="Q122" i="23"/>
  <c r="AH67" i="26" s="1" a="1"/>
  <c r="AH67" i="26" s="1"/>
  <c r="N67" i="7" s="1"/>
  <c r="R122" i="23"/>
  <c r="AJ67" i="26" s="1" a="1"/>
  <c r="AJ67" i="26" s="1"/>
  <c r="P67" i="7" s="1"/>
  <c r="S122" i="23"/>
  <c r="AK67" i="26" s="1" a="1"/>
  <c r="AK67" i="26" s="1"/>
  <c r="Q67" i="7" s="1"/>
  <c r="T122" i="23"/>
  <c r="U122" i="23"/>
  <c r="AL67" i="26" s="1" a="1"/>
  <c r="AL67" i="26" s="1"/>
  <c r="R67" i="7" s="1"/>
  <c r="D123" i="23"/>
  <c r="E123" i="23"/>
  <c r="X68" i="26" s="1" a="1"/>
  <c r="X68" i="26" s="1"/>
  <c r="D68" i="7" s="1"/>
  <c r="F123" i="23"/>
  <c r="Y68" i="26" s="1" a="1"/>
  <c r="Y68" i="26" s="1"/>
  <c r="E68" i="7" s="1"/>
  <c r="G123" i="23"/>
  <c r="Z68" i="26" s="1" a="1"/>
  <c r="Z68" i="26" s="1"/>
  <c r="F68" i="7" s="1"/>
  <c r="H123" i="23"/>
  <c r="AA68" i="26" s="1" a="1"/>
  <c r="AA68" i="26" s="1"/>
  <c r="G68" i="7" s="1"/>
  <c r="I123" i="23"/>
  <c r="AB68" i="26" s="1" a="1"/>
  <c r="AB68" i="26" s="1"/>
  <c r="H68" i="7" s="1"/>
  <c r="J123" i="23"/>
  <c r="AD68" i="26" s="1" a="1"/>
  <c r="AD68" i="26" s="1"/>
  <c r="J68" i="7" s="1"/>
  <c r="K123" i="23"/>
  <c r="AE68" i="26" s="1" a="1"/>
  <c r="AE68" i="26" s="1"/>
  <c r="K68" i="7" s="1"/>
  <c r="L123" i="23"/>
  <c r="AC68" i="26" s="1" a="1"/>
  <c r="AC68" i="26" s="1"/>
  <c r="I68" i="7" s="1"/>
  <c r="M123" i="23"/>
  <c r="AG68" i="26" s="1" a="1"/>
  <c r="AG68" i="26" s="1"/>
  <c r="M68" i="7" s="1"/>
  <c r="N123" i="23"/>
  <c r="AF68" i="26" s="1" a="1"/>
  <c r="AF68" i="26" s="1"/>
  <c r="L68" i="7" s="1"/>
  <c r="O123" i="23"/>
  <c r="P123" i="23"/>
  <c r="AI68" i="26" s="1" a="1"/>
  <c r="AI68" i="26" s="1"/>
  <c r="O68" i="7" s="1"/>
  <c r="Q123" i="23"/>
  <c r="AH68" i="26" s="1" a="1"/>
  <c r="AH68" i="26" s="1"/>
  <c r="N68" i="7" s="1"/>
  <c r="R123" i="23"/>
  <c r="AJ68" i="26" s="1" a="1"/>
  <c r="AJ68" i="26" s="1"/>
  <c r="P68" i="7" s="1"/>
  <c r="S123" i="23"/>
  <c r="AK68" i="26" s="1" a="1"/>
  <c r="AK68" i="26" s="1"/>
  <c r="Q68" i="7" s="1"/>
  <c r="T123" i="23"/>
  <c r="U123" i="23"/>
  <c r="AL68" i="26" s="1" a="1"/>
  <c r="AL68" i="26" s="1"/>
  <c r="R68" i="7" s="1"/>
  <c r="D124" i="23"/>
  <c r="E124" i="23"/>
  <c r="X71" i="26" s="1" a="1"/>
  <c r="X71" i="26" s="1"/>
  <c r="D71" i="7" s="1"/>
  <c r="F124" i="23"/>
  <c r="Y71" i="26" s="1" a="1"/>
  <c r="Y71" i="26" s="1"/>
  <c r="E71" i="7" s="1"/>
  <c r="G124" i="23"/>
  <c r="Z71" i="26" s="1" a="1"/>
  <c r="Z71" i="26" s="1"/>
  <c r="F71" i="7" s="1"/>
  <c r="H124" i="23"/>
  <c r="AA71" i="26" s="1" a="1"/>
  <c r="AA71" i="26" s="1"/>
  <c r="G71" i="7" s="1"/>
  <c r="I124" i="23"/>
  <c r="AB71" i="26" s="1" a="1"/>
  <c r="AB71" i="26" s="1"/>
  <c r="H71" i="7" s="1"/>
  <c r="J124" i="23"/>
  <c r="AD71" i="26" s="1" a="1"/>
  <c r="AD71" i="26" s="1"/>
  <c r="J71" i="7" s="1"/>
  <c r="K124" i="23"/>
  <c r="AE71" i="26" s="1" a="1"/>
  <c r="AE71" i="26" s="1"/>
  <c r="K71" i="7" s="1"/>
  <c r="L124" i="23"/>
  <c r="AC71" i="26" s="1" a="1"/>
  <c r="AC71" i="26" s="1"/>
  <c r="I71" i="7" s="1"/>
  <c r="M124" i="23"/>
  <c r="AG71" i="26" s="1" a="1"/>
  <c r="AG71" i="26" s="1"/>
  <c r="M71" i="7" s="1"/>
  <c r="N124" i="23"/>
  <c r="AF71" i="26" s="1" a="1"/>
  <c r="AF71" i="26" s="1"/>
  <c r="L71" i="7" s="1"/>
  <c r="O124" i="23"/>
  <c r="P124" i="23"/>
  <c r="AI71" i="26" s="1" a="1"/>
  <c r="AI71" i="26" s="1"/>
  <c r="O71" i="7" s="1"/>
  <c r="Q124" i="23"/>
  <c r="AH71" i="26" s="1" a="1"/>
  <c r="AH71" i="26" s="1"/>
  <c r="N71" i="7" s="1"/>
  <c r="R124" i="23"/>
  <c r="AJ71" i="26" s="1" a="1"/>
  <c r="AJ71" i="26" s="1"/>
  <c r="P71" i="7" s="1"/>
  <c r="S124" i="23"/>
  <c r="AK71" i="26" s="1" a="1"/>
  <c r="AK71" i="26" s="1"/>
  <c r="Q71" i="7" s="1"/>
  <c r="T124" i="23"/>
  <c r="U124" i="23"/>
  <c r="AL71" i="26" s="1" a="1"/>
  <c r="AL71" i="26" s="1"/>
  <c r="R71" i="7" s="1"/>
  <c r="D125" i="23"/>
  <c r="E125" i="23"/>
  <c r="X70" i="26" s="1" a="1"/>
  <c r="X70" i="26" s="1"/>
  <c r="D70" i="7" s="1"/>
  <c r="F125" i="23"/>
  <c r="Y70" i="26" s="1" a="1"/>
  <c r="Y70" i="26" s="1"/>
  <c r="E70" i="7" s="1"/>
  <c r="G125" i="23"/>
  <c r="Z70" i="26" s="1" a="1"/>
  <c r="Z70" i="26" s="1"/>
  <c r="F70" i="7" s="1"/>
  <c r="H125" i="23"/>
  <c r="AA70" i="26" s="1" a="1"/>
  <c r="AA70" i="26" s="1"/>
  <c r="G70" i="7" s="1"/>
  <c r="I125" i="23"/>
  <c r="AB70" i="26" s="1" a="1"/>
  <c r="AB70" i="26" s="1"/>
  <c r="H70" i="7" s="1"/>
  <c r="J125" i="23"/>
  <c r="AD70" i="26" s="1" a="1"/>
  <c r="AD70" i="26" s="1"/>
  <c r="J70" i="7" s="1"/>
  <c r="K125" i="23"/>
  <c r="AE70" i="26" s="1" a="1"/>
  <c r="AE70" i="26" s="1"/>
  <c r="K70" i="7" s="1"/>
  <c r="L125" i="23"/>
  <c r="AC70" i="26" s="1" a="1"/>
  <c r="AC70" i="26" s="1"/>
  <c r="I70" i="7" s="1"/>
  <c r="M125" i="23"/>
  <c r="AG70" i="26" s="1" a="1"/>
  <c r="AG70" i="26" s="1"/>
  <c r="M70" i="7" s="1"/>
  <c r="N125" i="23"/>
  <c r="AF70" i="26" s="1" a="1"/>
  <c r="AF70" i="26" s="1"/>
  <c r="L70" i="7" s="1"/>
  <c r="O125" i="23"/>
  <c r="P125" i="23"/>
  <c r="AI70" i="26" s="1" a="1"/>
  <c r="AI70" i="26" s="1"/>
  <c r="O70" i="7" s="1"/>
  <c r="Q125" i="23"/>
  <c r="AH70" i="26" s="1" a="1"/>
  <c r="AH70" i="26" s="1"/>
  <c r="N70" i="7" s="1"/>
  <c r="R125" i="23"/>
  <c r="AJ70" i="26" s="1" a="1"/>
  <c r="AJ70" i="26" s="1"/>
  <c r="P70" i="7" s="1"/>
  <c r="S125" i="23"/>
  <c r="AK70" i="26" s="1" a="1"/>
  <c r="AK70" i="26" s="1"/>
  <c r="Q70" i="7" s="1"/>
  <c r="T125" i="23"/>
  <c r="U125" i="23"/>
  <c r="AL70" i="26" s="1" a="1"/>
  <c r="AL70" i="26" s="1"/>
  <c r="R70" i="7" s="1"/>
  <c r="D126" i="23"/>
  <c r="E126" i="23"/>
  <c r="X69" i="26" s="1" a="1"/>
  <c r="X69" i="26" s="1"/>
  <c r="D69" i="7" s="1"/>
  <c r="F126" i="23"/>
  <c r="Y69" i="26" s="1" a="1"/>
  <c r="Y69" i="26" s="1"/>
  <c r="E69" i="7" s="1"/>
  <c r="G126" i="23"/>
  <c r="Z69" i="26" s="1" a="1"/>
  <c r="Z69" i="26" s="1"/>
  <c r="F69" i="7" s="1"/>
  <c r="H126" i="23"/>
  <c r="AA69" i="26" s="1" a="1"/>
  <c r="AA69" i="26" s="1"/>
  <c r="G69" i="7" s="1"/>
  <c r="I126" i="23"/>
  <c r="AB69" i="26" s="1" a="1"/>
  <c r="AB69" i="26" s="1"/>
  <c r="H69" i="7" s="1"/>
  <c r="J126" i="23"/>
  <c r="AD69" i="26" s="1" a="1"/>
  <c r="AD69" i="26" s="1"/>
  <c r="J69" i="7" s="1"/>
  <c r="K126" i="23"/>
  <c r="AE69" i="26" s="1" a="1"/>
  <c r="AE69" i="26" s="1"/>
  <c r="K69" i="7" s="1"/>
  <c r="L126" i="23"/>
  <c r="AC69" i="26" s="1" a="1"/>
  <c r="AC69" i="26" s="1"/>
  <c r="I69" i="7" s="1"/>
  <c r="M126" i="23"/>
  <c r="AG69" i="26" s="1" a="1"/>
  <c r="AG69" i="26" s="1"/>
  <c r="M69" i="7" s="1"/>
  <c r="N126" i="23"/>
  <c r="AF69" i="26" s="1" a="1"/>
  <c r="AF69" i="26" s="1"/>
  <c r="L69" i="7" s="1"/>
  <c r="O126" i="23"/>
  <c r="P126" i="23"/>
  <c r="AI69" i="26" s="1" a="1"/>
  <c r="AI69" i="26" s="1"/>
  <c r="O69" i="7" s="1"/>
  <c r="Q126" i="23"/>
  <c r="AH69" i="26" s="1" a="1"/>
  <c r="AH69" i="26" s="1"/>
  <c r="N69" i="7" s="1"/>
  <c r="R126" i="23"/>
  <c r="AJ69" i="26" s="1" a="1"/>
  <c r="AJ69" i="26" s="1"/>
  <c r="P69" i="7" s="1"/>
  <c r="S126" i="23"/>
  <c r="AK69" i="26" s="1" a="1"/>
  <c r="AK69" i="26" s="1"/>
  <c r="Q69" i="7" s="1"/>
  <c r="T126" i="23"/>
  <c r="U126" i="23"/>
  <c r="AL69" i="26" s="1" a="1"/>
  <c r="AL69" i="26" s="1"/>
  <c r="R69" i="7" s="1"/>
  <c r="D127" i="23"/>
  <c r="E127" i="23"/>
  <c r="X73" i="26" s="1" a="1"/>
  <c r="X73" i="26" s="1"/>
  <c r="D73" i="7" s="1"/>
  <c r="F127" i="23"/>
  <c r="Y73" i="26" s="1" a="1"/>
  <c r="Y73" i="26" s="1"/>
  <c r="E73" i="7" s="1"/>
  <c r="G127" i="23"/>
  <c r="Z73" i="26" s="1" a="1"/>
  <c r="Z73" i="26" s="1"/>
  <c r="F73" i="7" s="1"/>
  <c r="H127" i="23"/>
  <c r="AA73" i="26" s="1" a="1"/>
  <c r="AA73" i="26" s="1"/>
  <c r="G73" i="7" s="1"/>
  <c r="I127" i="23"/>
  <c r="AB73" i="26" s="1" a="1"/>
  <c r="AB73" i="26" s="1"/>
  <c r="H73" i="7" s="1"/>
  <c r="J127" i="23"/>
  <c r="AD73" i="26" s="1" a="1"/>
  <c r="AD73" i="26" s="1"/>
  <c r="J73" i="7" s="1"/>
  <c r="K127" i="23"/>
  <c r="AE73" i="26" s="1" a="1"/>
  <c r="AE73" i="26" s="1"/>
  <c r="K73" i="7" s="1"/>
  <c r="L127" i="23"/>
  <c r="AC73" i="26" s="1" a="1"/>
  <c r="AC73" i="26" s="1"/>
  <c r="I73" i="7" s="1"/>
  <c r="M127" i="23"/>
  <c r="AG73" i="26" s="1" a="1"/>
  <c r="AG73" i="26" s="1"/>
  <c r="M73" i="7" s="1"/>
  <c r="N127" i="23"/>
  <c r="AF73" i="26" s="1" a="1"/>
  <c r="AF73" i="26" s="1"/>
  <c r="L73" i="7" s="1"/>
  <c r="O127" i="23"/>
  <c r="P127" i="23"/>
  <c r="AI73" i="26" s="1" a="1"/>
  <c r="AI73" i="26" s="1"/>
  <c r="O73" i="7" s="1"/>
  <c r="Q127" i="23"/>
  <c r="AH73" i="26" s="1" a="1"/>
  <c r="AH73" i="26" s="1"/>
  <c r="N73" i="7" s="1"/>
  <c r="R127" i="23"/>
  <c r="AJ73" i="26" s="1" a="1"/>
  <c r="AJ73" i="26" s="1"/>
  <c r="P73" i="7" s="1"/>
  <c r="S127" i="23"/>
  <c r="AK73" i="26" s="1" a="1"/>
  <c r="AK73" i="26" s="1"/>
  <c r="Q73" i="7" s="1"/>
  <c r="T127" i="23"/>
  <c r="U127" i="23"/>
  <c r="AL73" i="26" s="1" a="1"/>
  <c r="AL73" i="26" s="1"/>
  <c r="R73" i="7" s="1"/>
  <c r="D128" i="23"/>
  <c r="E128" i="23"/>
  <c r="X72" i="26" s="1" a="1"/>
  <c r="X72" i="26" s="1"/>
  <c r="D72" i="7" s="1"/>
  <c r="F128" i="23"/>
  <c r="Y72" i="26" s="1" a="1"/>
  <c r="Y72" i="26" s="1"/>
  <c r="E72" i="7" s="1"/>
  <c r="G128" i="23"/>
  <c r="Z72" i="26" s="1" a="1"/>
  <c r="Z72" i="26" s="1"/>
  <c r="F72" i="7" s="1"/>
  <c r="H128" i="23"/>
  <c r="AA72" i="26" s="1" a="1"/>
  <c r="AA72" i="26" s="1"/>
  <c r="G72" i="7" s="1"/>
  <c r="I128" i="23"/>
  <c r="AB72" i="26" s="1" a="1"/>
  <c r="AB72" i="26" s="1"/>
  <c r="H72" i="7" s="1"/>
  <c r="J128" i="23"/>
  <c r="AD72" i="26" s="1" a="1"/>
  <c r="AD72" i="26" s="1"/>
  <c r="J72" i="7" s="1"/>
  <c r="K128" i="23"/>
  <c r="AE72" i="26" s="1" a="1"/>
  <c r="AE72" i="26" s="1"/>
  <c r="K72" i="7" s="1"/>
  <c r="L128" i="23"/>
  <c r="AC72" i="26" s="1" a="1"/>
  <c r="AC72" i="26" s="1"/>
  <c r="I72" i="7" s="1"/>
  <c r="M128" i="23"/>
  <c r="AG72" i="26" s="1" a="1"/>
  <c r="AG72" i="26" s="1"/>
  <c r="M72" i="7" s="1"/>
  <c r="N128" i="23"/>
  <c r="AF72" i="26" s="1" a="1"/>
  <c r="AF72" i="26" s="1"/>
  <c r="L72" i="7" s="1"/>
  <c r="O128" i="23"/>
  <c r="P128" i="23"/>
  <c r="AI72" i="26" s="1" a="1"/>
  <c r="AI72" i="26" s="1"/>
  <c r="O72" i="7" s="1"/>
  <c r="Q128" i="23"/>
  <c r="AH72" i="26" s="1" a="1"/>
  <c r="AH72" i="26" s="1"/>
  <c r="N72" i="7" s="1"/>
  <c r="R128" i="23"/>
  <c r="AJ72" i="26" s="1" a="1"/>
  <c r="AJ72" i="26" s="1"/>
  <c r="P72" i="7" s="1"/>
  <c r="S128" i="23"/>
  <c r="AK72" i="26" s="1" a="1"/>
  <c r="AK72" i="26" s="1"/>
  <c r="Q72" i="7" s="1"/>
  <c r="T128" i="23"/>
  <c r="U128" i="23"/>
  <c r="AL72" i="26" s="1" a="1"/>
  <c r="AL72" i="26" s="1"/>
  <c r="R72" i="7" s="1"/>
  <c r="D129" i="23"/>
  <c r="E129" i="23"/>
  <c r="X74" i="26" s="1" a="1"/>
  <c r="X74" i="26" s="1"/>
  <c r="D74" i="7" s="1"/>
  <c r="F129" i="23"/>
  <c r="Y74" i="26" s="1" a="1"/>
  <c r="Y74" i="26" s="1"/>
  <c r="E74" i="7" s="1"/>
  <c r="G129" i="23"/>
  <c r="Z74" i="26" s="1" a="1"/>
  <c r="Z74" i="26" s="1"/>
  <c r="F74" i="7" s="1"/>
  <c r="H129" i="23"/>
  <c r="AA74" i="26" s="1" a="1"/>
  <c r="AA74" i="26" s="1"/>
  <c r="G74" i="7" s="1"/>
  <c r="I129" i="23"/>
  <c r="AB74" i="26" s="1" a="1"/>
  <c r="AB74" i="26" s="1"/>
  <c r="H74" i="7" s="1"/>
  <c r="J129" i="23"/>
  <c r="AD74" i="26" s="1" a="1"/>
  <c r="AD74" i="26" s="1"/>
  <c r="J74" i="7" s="1"/>
  <c r="K129" i="23"/>
  <c r="AE74" i="26" s="1" a="1"/>
  <c r="AE74" i="26" s="1"/>
  <c r="K74" i="7" s="1"/>
  <c r="L129" i="23"/>
  <c r="AC74" i="26" s="1" a="1"/>
  <c r="AC74" i="26" s="1"/>
  <c r="I74" i="7" s="1"/>
  <c r="M129" i="23"/>
  <c r="AG74" i="26" s="1" a="1"/>
  <c r="AG74" i="26" s="1"/>
  <c r="M74" i="7" s="1"/>
  <c r="N129" i="23"/>
  <c r="AF74" i="26" s="1" a="1"/>
  <c r="AF74" i="26" s="1"/>
  <c r="L74" i="7" s="1"/>
  <c r="O129" i="23"/>
  <c r="P129" i="23"/>
  <c r="AI74" i="26" s="1" a="1"/>
  <c r="AI74" i="26" s="1"/>
  <c r="O74" i="7" s="1"/>
  <c r="Q129" i="23"/>
  <c r="AH74" i="26" s="1" a="1"/>
  <c r="AH74" i="26" s="1"/>
  <c r="N74" i="7" s="1"/>
  <c r="R129" i="23"/>
  <c r="AJ74" i="26" s="1" a="1"/>
  <c r="AJ74" i="26" s="1"/>
  <c r="P74" i="7" s="1"/>
  <c r="S129" i="23"/>
  <c r="AK74" i="26" s="1" a="1"/>
  <c r="AK74" i="26" s="1"/>
  <c r="Q74" i="7" s="1"/>
  <c r="T129" i="23"/>
  <c r="U129" i="23"/>
  <c r="AL74" i="26" s="1" a="1"/>
  <c r="AL74" i="26" s="1"/>
  <c r="R74" i="7" s="1"/>
  <c r="D130" i="23"/>
  <c r="E130" i="23"/>
  <c r="X75" i="26" s="1" a="1"/>
  <c r="X75" i="26" s="1"/>
  <c r="D75" i="7" s="1"/>
  <c r="F130" i="23"/>
  <c r="Y75" i="26" s="1" a="1"/>
  <c r="Y75" i="26" s="1"/>
  <c r="E75" i="7" s="1"/>
  <c r="G130" i="23"/>
  <c r="Z75" i="26" s="1" a="1"/>
  <c r="Z75" i="26" s="1"/>
  <c r="F75" i="7" s="1"/>
  <c r="H130" i="23"/>
  <c r="AA75" i="26" s="1" a="1"/>
  <c r="AA75" i="26" s="1"/>
  <c r="G75" i="7" s="1"/>
  <c r="I130" i="23"/>
  <c r="AB75" i="26" s="1" a="1"/>
  <c r="AB75" i="26" s="1"/>
  <c r="H75" i="7" s="1"/>
  <c r="J130" i="23"/>
  <c r="AD75" i="26" s="1" a="1"/>
  <c r="AD75" i="26" s="1"/>
  <c r="J75" i="7" s="1"/>
  <c r="K130" i="23"/>
  <c r="AE75" i="26" s="1" a="1"/>
  <c r="AE75" i="26" s="1"/>
  <c r="K75" i="7" s="1"/>
  <c r="L130" i="23"/>
  <c r="AC75" i="26" s="1" a="1"/>
  <c r="AC75" i="26" s="1"/>
  <c r="I75" i="7" s="1"/>
  <c r="M130" i="23"/>
  <c r="AG75" i="26" s="1" a="1"/>
  <c r="AG75" i="26" s="1"/>
  <c r="M75" i="7" s="1"/>
  <c r="N130" i="23"/>
  <c r="AF75" i="26" s="1" a="1"/>
  <c r="AF75" i="26" s="1"/>
  <c r="L75" i="7" s="1"/>
  <c r="O130" i="23"/>
  <c r="P130" i="23"/>
  <c r="AI75" i="26" s="1" a="1"/>
  <c r="AI75" i="26" s="1"/>
  <c r="O75" i="7" s="1"/>
  <c r="Q130" i="23"/>
  <c r="AH75" i="26" s="1" a="1"/>
  <c r="AH75" i="26" s="1"/>
  <c r="N75" i="7" s="1"/>
  <c r="R130" i="23"/>
  <c r="AJ75" i="26" s="1" a="1"/>
  <c r="AJ75" i="26" s="1"/>
  <c r="P75" i="7" s="1"/>
  <c r="S130" i="23"/>
  <c r="AK75" i="26" s="1" a="1"/>
  <c r="AK75" i="26" s="1"/>
  <c r="Q75" i="7" s="1"/>
  <c r="T130" i="23"/>
  <c r="U130" i="23"/>
  <c r="AL75" i="26" s="1" a="1"/>
  <c r="AL75" i="26" s="1"/>
  <c r="R75" i="7" s="1"/>
  <c r="D131" i="23"/>
  <c r="E131" i="23"/>
  <c r="X77" i="26" s="1" a="1"/>
  <c r="X77" i="26" s="1"/>
  <c r="D77" i="7" s="1"/>
  <c r="F131" i="23"/>
  <c r="Y77" i="26" s="1" a="1"/>
  <c r="Y77" i="26" s="1"/>
  <c r="E77" i="7" s="1"/>
  <c r="G131" i="23"/>
  <c r="Z77" i="26" s="1" a="1"/>
  <c r="Z77" i="26" s="1"/>
  <c r="F77" i="7" s="1"/>
  <c r="H131" i="23"/>
  <c r="AA77" i="26" s="1" a="1"/>
  <c r="AA77" i="26" s="1"/>
  <c r="G77" i="7" s="1"/>
  <c r="I131" i="23"/>
  <c r="AB77" i="26" s="1" a="1"/>
  <c r="AB77" i="26" s="1"/>
  <c r="H77" i="7" s="1"/>
  <c r="J131" i="23"/>
  <c r="AD77" i="26" s="1" a="1"/>
  <c r="AD77" i="26" s="1"/>
  <c r="J77" i="7" s="1"/>
  <c r="K131" i="23"/>
  <c r="AE77" i="26" s="1" a="1"/>
  <c r="AE77" i="26" s="1"/>
  <c r="K77" i="7" s="1"/>
  <c r="L131" i="23"/>
  <c r="AC77" i="26" s="1" a="1"/>
  <c r="AC77" i="26" s="1"/>
  <c r="I77" i="7" s="1"/>
  <c r="M131" i="23"/>
  <c r="AG77" i="26" s="1" a="1"/>
  <c r="AG77" i="26" s="1"/>
  <c r="M77" i="7" s="1"/>
  <c r="N131" i="23"/>
  <c r="AF77" i="26" s="1" a="1"/>
  <c r="AF77" i="26" s="1"/>
  <c r="L77" i="7" s="1"/>
  <c r="O131" i="23"/>
  <c r="P131" i="23"/>
  <c r="AI77" i="26" s="1" a="1"/>
  <c r="AI77" i="26" s="1"/>
  <c r="O77" i="7" s="1"/>
  <c r="Q131" i="23"/>
  <c r="AH77" i="26" s="1" a="1"/>
  <c r="AH77" i="26" s="1"/>
  <c r="N77" i="7" s="1"/>
  <c r="R131" i="23"/>
  <c r="AJ77" i="26" s="1" a="1"/>
  <c r="AJ77" i="26" s="1"/>
  <c r="P77" i="7" s="1"/>
  <c r="S131" i="23"/>
  <c r="AK77" i="26" s="1" a="1"/>
  <c r="AK77" i="26" s="1"/>
  <c r="Q77" i="7" s="1"/>
  <c r="T131" i="23"/>
  <c r="U131" i="23"/>
  <c r="AL77" i="26" s="1" a="1"/>
  <c r="AL77" i="26" s="1"/>
  <c r="R77" i="7" s="1"/>
  <c r="D132" i="23"/>
  <c r="E132" i="23"/>
  <c r="X76" i="26" s="1" a="1"/>
  <c r="X76" i="26" s="1"/>
  <c r="D76" i="7" s="1"/>
  <c r="F132" i="23"/>
  <c r="Y76" i="26" s="1" a="1"/>
  <c r="Y76" i="26" s="1"/>
  <c r="E76" i="7" s="1"/>
  <c r="G132" i="23"/>
  <c r="Z76" i="26" s="1" a="1"/>
  <c r="Z76" i="26" s="1"/>
  <c r="F76" i="7" s="1"/>
  <c r="H132" i="23"/>
  <c r="AA76" i="26" s="1" a="1"/>
  <c r="AA76" i="26" s="1"/>
  <c r="G76" i="7" s="1"/>
  <c r="I132" i="23"/>
  <c r="AB76" i="26" s="1" a="1"/>
  <c r="AB76" i="26" s="1"/>
  <c r="H76" i="7" s="1"/>
  <c r="J132" i="23"/>
  <c r="AD76" i="26" s="1" a="1"/>
  <c r="AD76" i="26" s="1"/>
  <c r="J76" i="7" s="1"/>
  <c r="K132" i="23"/>
  <c r="AE76" i="26" s="1" a="1"/>
  <c r="AE76" i="26" s="1"/>
  <c r="K76" i="7" s="1"/>
  <c r="L132" i="23"/>
  <c r="AC76" i="26" s="1" a="1"/>
  <c r="AC76" i="26" s="1"/>
  <c r="I76" i="7" s="1"/>
  <c r="M132" i="23"/>
  <c r="AG76" i="26" s="1" a="1"/>
  <c r="AG76" i="26" s="1"/>
  <c r="M76" i="7" s="1"/>
  <c r="N132" i="23"/>
  <c r="AF76" i="26" s="1" a="1"/>
  <c r="AF76" i="26" s="1"/>
  <c r="L76" i="7" s="1"/>
  <c r="O132" i="23"/>
  <c r="P132" i="23"/>
  <c r="AI76" i="26" s="1" a="1"/>
  <c r="AI76" i="26" s="1"/>
  <c r="O76" i="7" s="1"/>
  <c r="Q132" i="23"/>
  <c r="AH76" i="26" s="1" a="1"/>
  <c r="AH76" i="26" s="1"/>
  <c r="N76" i="7" s="1"/>
  <c r="R132" i="23"/>
  <c r="AJ76" i="26" s="1" a="1"/>
  <c r="AJ76" i="26" s="1"/>
  <c r="P76" i="7" s="1"/>
  <c r="S132" i="23"/>
  <c r="AK76" i="26" s="1" a="1"/>
  <c r="AK76" i="26" s="1"/>
  <c r="Q76" i="7" s="1"/>
  <c r="T132" i="23"/>
  <c r="U132" i="23"/>
  <c r="AL76" i="26" s="1" a="1"/>
  <c r="AL76" i="26" s="1"/>
  <c r="R76" i="7" s="1"/>
  <c r="D133" i="23"/>
  <c r="E133" i="23"/>
  <c r="X78" i="26" s="1" a="1"/>
  <c r="X78" i="26" s="1"/>
  <c r="D78" i="7" s="1"/>
  <c r="F133" i="23"/>
  <c r="Y78" i="26" s="1" a="1"/>
  <c r="Y78" i="26" s="1"/>
  <c r="E78" i="7" s="1"/>
  <c r="G133" i="23"/>
  <c r="Z78" i="26" s="1" a="1"/>
  <c r="Z78" i="26" s="1"/>
  <c r="F78" i="7" s="1"/>
  <c r="H133" i="23"/>
  <c r="AA78" i="26" s="1" a="1"/>
  <c r="AA78" i="26" s="1"/>
  <c r="G78" i="7" s="1"/>
  <c r="I133" i="23"/>
  <c r="AB78" i="26" s="1" a="1"/>
  <c r="AB78" i="26" s="1"/>
  <c r="H78" i="7" s="1"/>
  <c r="J133" i="23"/>
  <c r="AD78" i="26" s="1" a="1"/>
  <c r="AD78" i="26" s="1"/>
  <c r="J78" i="7" s="1"/>
  <c r="K133" i="23"/>
  <c r="AE78" i="26" s="1" a="1"/>
  <c r="AE78" i="26" s="1"/>
  <c r="K78" i="7" s="1"/>
  <c r="L133" i="23"/>
  <c r="AC78" i="26" s="1" a="1"/>
  <c r="AC78" i="26" s="1"/>
  <c r="I78" i="7" s="1"/>
  <c r="M133" i="23"/>
  <c r="AG78" i="26" s="1" a="1"/>
  <c r="AG78" i="26" s="1"/>
  <c r="M78" i="7" s="1"/>
  <c r="N133" i="23"/>
  <c r="AF78" i="26" s="1" a="1"/>
  <c r="AF78" i="26" s="1"/>
  <c r="L78" i="7" s="1"/>
  <c r="O133" i="23"/>
  <c r="P133" i="23"/>
  <c r="AI78" i="26" s="1" a="1"/>
  <c r="AI78" i="26" s="1"/>
  <c r="O78" i="7" s="1"/>
  <c r="Q133" i="23"/>
  <c r="AH78" i="26" s="1" a="1"/>
  <c r="AH78" i="26" s="1"/>
  <c r="N78" i="7" s="1"/>
  <c r="R133" i="23"/>
  <c r="AJ78" i="26" s="1" a="1"/>
  <c r="AJ78" i="26" s="1"/>
  <c r="P78" i="7" s="1"/>
  <c r="S133" i="23"/>
  <c r="AK78" i="26" s="1" a="1"/>
  <c r="AK78" i="26" s="1"/>
  <c r="Q78" i="7" s="1"/>
  <c r="T133" i="23"/>
  <c r="U133" i="23"/>
  <c r="AL78" i="26" s="1" a="1"/>
  <c r="AL78" i="26" s="1"/>
  <c r="R78" i="7" s="1"/>
  <c r="C20" i="23"/>
  <c r="C21" i="23"/>
  <c r="C22" i="23"/>
  <c r="C23" i="23"/>
  <c r="CG15" i="26" s="1" a="1"/>
  <c r="CG15" i="26" s="1"/>
  <c r="BM15" i="7" s="1"/>
  <c r="C24" i="23"/>
  <c r="C25" i="23"/>
  <c r="C26" i="23"/>
  <c r="C27" i="23"/>
  <c r="C28" i="23"/>
  <c r="C29" i="23"/>
  <c r="CG20" i="26" s="1" a="1"/>
  <c r="CG20" i="26" s="1"/>
  <c r="BM20" i="7" s="1"/>
  <c r="C30" i="23"/>
  <c r="C31" i="23"/>
  <c r="CG21" i="26" s="1" a="1"/>
  <c r="CG21" i="26" s="1"/>
  <c r="BM21" i="7" s="1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G47" i="26" s="1" a="1"/>
  <c r="CG47" i="26" s="1"/>
  <c r="BM47" i="7" s="1"/>
  <c r="C83" i="23"/>
  <c r="CG35" i="26" s="1" a="1"/>
  <c r="CG35" i="26" s="1"/>
  <c r="BM35" i="7" s="1"/>
  <c r="C84" i="23"/>
  <c r="CG36" i="26" s="1" a="1"/>
  <c r="CG36" i="26" s="1"/>
  <c r="BM36" i="7" s="1"/>
  <c r="C85" i="23"/>
  <c r="CG41" i="26" s="1" a="1"/>
  <c r="CG41" i="26" s="1"/>
  <c r="BM41" i="7" s="1"/>
  <c r="C86" i="23"/>
  <c r="CG40" i="26" s="1" a="1"/>
  <c r="CG40" i="26" s="1"/>
  <c r="BM40" i="7" s="1"/>
  <c r="C87" i="23"/>
  <c r="CG42" i="26" s="1" a="1"/>
  <c r="CG42" i="26" s="1"/>
  <c r="BM42" i="7" s="1"/>
  <c r="C88" i="23"/>
  <c r="CG38" i="26" s="1" a="1"/>
  <c r="CG38" i="26" s="1"/>
  <c r="BM38" i="7" s="1"/>
  <c r="C89" i="23"/>
  <c r="CG37" i="26" s="1" a="1"/>
  <c r="CG37" i="26" s="1"/>
  <c r="BM37" i="7" s="1"/>
  <c r="C90" i="23"/>
  <c r="CG43" i="26" s="1" a="1"/>
  <c r="CG43" i="26" s="1"/>
  <c r="BM43" i="7" s="1"/>
  <c r="C91" i="23"/>
  <c r="CG49" i="26" s="1" a="1"/>
  <c r="CG49" i="26" s="1"/>
  <c r="BM49" i="7" s="1"/>
  <c r="C92" i="23"/>
  <c r="CG44" i="26" s="1" a="1"/>
  <c r="CG44" i="26" s="1"/>
  <c r="BM44" i="7" s="1"/>
  <c r="C93" i="23"/>
  <c r="CG45" i="26" s="1" a="1"/>
  <c r="CG45" i="26" s="1"/>
  <c r="BM45" i="7" s="1"/>
  <c r="C94" i="23"/>
  <c r="CG39" i="26" s="1" a="1"/>
  <c r="CG39" i="26" s="1"/>
  <c r="BM39" i="7" s="1"/>
  <c r="C95" i="23"/>
  <c r="CG46" i="26" s="1" a="1"/>
  <c r="CG46" i="26" s="1"/>
  <c r="BM46" i="7" s="1"/>
  <c r="C96" i="23"/>
  <c r="CG50" i="26" s="1" a="1"/>
  <c r="CG50" i="26" s="1"/>
  <c r="BM50" i="7" s="1"/>
  <c r="C97" i="23"/>
  <c r="CG51" i="26" s="1" a="1"/>
  <c r="CG51" i="26" s="1"/>
  <c r="BM51" i="7" s="1"/>
  <c r="C98" i="23"/>
  <c r="CG52" i="26" s="1" a="1"/>
  <c r="CG52" i="26" s="1"/>
  <c r="BM52" i="7" s="1"/>
  <c r="C99" i="23"/>
  <c r="C100" i="23"/>
  <c r="C101" i="23"/>
  <c r="CG82" i="26" s="1" a="1"/>
  <c r="CG82" i="26" s="1"/>
  <c r="BM82" i="7" s="1"/>
  <c r="C102" i="23"/>
  <c r="C103" i="23"/>
  <c r="C104" i="23"/>
  <c r="C106" i="23"/>
  <c r="CG84" i="26" s="1" a="1"/>
  <c r="CG84" i="26" s="1"/>
  <c r="BM84" i="7" s="1"/>
  <c r="C107" i="23"/>
  <c r="C108" i="23"/>
  <c r="C109" i="23"/>
  <c r="CG54" i="26" s="1" a="1"/>
  <c r="CG54" i="26" s="1"/>
  <c r="BM54" i="7" s="1"/>
  <c r="C110" i="23"/>
  <c r="CG55" i="26" s="1" a="1"/>
  <c r="CG55" i="26" s="1"/>
  <c r="BM55" i="7" s="1"/>
  <c r="C111" i="23"/>
  <c r="CG56" i="26" s="1" a="1"/>
  <c r="CG56" i="26" s="1"/>
  <c r="BM56" i="7" s="1"/>
  <c r="C112" i="23"/>
  <c r="CG57" i="26" s="1" a="1"/>
  <c r="CG57" i="26" s="1"/>
  <c r="BM57" i="7" s="1"/>
  <c r="C113" i="23"/>
  <c r="CG58" i="26" s="1" a="1"/>
  <c r="CG58" i="26" s="1"/>
  <c r="BM58" i="7" s="1"/>
  <c r="C114" i="23"/>
  <c r="CG59" i="26" s="1" a="1"/>
  <c r="CG59" i="26" s="1"/>
  <c r="BM59" i="7" s="1"/>
  <c r="C115" i="23"/>
  <c r="CG60" i="26" s="1" a="1"/>
  <c r="CG60" i="26" s="1"/>
  <c r="BM60" i="7" s="1"/>
  <c r="C116" i="23"/>
  <c r="CG61" i="26" s="1" a="1"/>
  <c r="CG61" i="26" s="1"/>
  <c r="BM61" i="7" s="1"/>
  <c r="C117" i="23"/>
  <c r="CG62" i="26" s="1" a="1"/>
  <c r="CG62" i="26" s="1"/>
  <c r="BM62" i="7" s="1"/>
  <c r="C118" i="23"/>
  <c r="CG63" i="26" s="1" a="1"/>
  <c r="CG63" i="26" s="1"/>
  <c r="BM63" i="7" s="1"/>
  <c r="C119" i="23"/>
  <c r="CG64" i="26" s="1" a="1"/>
  <c r="CG64" i="26" s="1"/>
  <c r="BM64" i="7" s="1"/>
  <c r="C120" i="23"/>
  <c r="CG65" i="26" s="1" a="1"/>
  <c r="CG65" i="26" s="1"/>
  <c r="BM65" i="7" s="1"/>
  <c r="C121" i="23"/>
  <c r="CG66" i="26" s="1" a="1"/>
  <c r="CG66" i="26" s="1"/>
  <c r="BM66" i="7" s="1"/>
  <c r="C122" i="23"/>
  <c r="CG67" i="26" s="1" a="1"/>
  <c r="CG67" i="26" s="1"/>
  <c r="BM67" i="7" s="1"/>
  <c r="C123" i="23"/>
  <c r="CG68" i="26" s="1" a="1"/>
  <c r="CG68" i="26" s="1"/>
  <c r="BM68" i="7" s="1"/>
  <c r="C124" i="23"/>
  <c r="CG71" i="26" s="1" a="1"/>
  <c r="CG71" i="26" s="1"/>
  <c r="BM71" i="7" s="1"/>
  <c r="C125" i="23"/>
  <c r="CG70" i="26" s="1" a="1"/>
  <c r="CG70" i="26" s="1"/>
  <c r="BM70" i="7" s="1"/>
  <c r="C126" i="23"/>
  <c r="CG69" i="26" s="1" a="1"/>
  <c r="CG69" i="26" s="1"/>
  <c r="BM69" i="7" s="1"/>
  <c r="C127" i="23"/>
  <c r="CG73" i="26" s="1" a="1"/>
  <c r="CG73" i="26" s="1"/>
  <c r="BM73" i="7" s="1"/>
  <c r="C128" i="23"/>
  <c r="CG72" i="26" s="1" a="1"/>
  <c r="CG72" i="26" s="1"/>
  <c r="BM72" i="7" s="1"/>
  <c r="C129" i="23"/>
  <c r="CG74" i="26" s="1" a="1"/>
  <c r="CG74" i="26" s="1"/>
  <c r="BM74" i="7" s="1"/>
  <c r="C130" i="23"/>
  <c r="CG75" i="26" s="1" a="1"/>
  <c r="CG75" i="26" s="1"/>
  <c r="BM75" i="7" s="1"/>
  <c r="C131" i="23"/>
  <c r="CG77" i="26" s="1" a="1"/>
  <c r="CG77" i="26" s="1"/>
  <c r="BM77" i="7" s="1"/>
  <c r="C132" i="23"/>
  <c r="CG76" i="26" s="1" a="1"/>
  <c r="CG76" i="26" s="1"/>
  <c r="BM76" i="7" s="1"/>
  <c r="C133" i="23"/>
  <c r="CG78" i="26" s="1" a="1"/>
  <c r="CG78" i="26" s="1"/>
  <c r="BM78" i="7" s="1"/>
  <c r="C134" i="23"/>
  <c r="CG79" i="26" s="1" a="1"/>
  <c r="CG79" i="26" s="1"/>
  <c r="BM79" i="7" s="1"/>
  <c r="C135" i="23"/>
  <c r="CG80" i="26" s="1" a="1"/>
  <c r="CG80" i="26" s="1"/>
  <c r="BM80" i="7" s="1"/>
  <c r="C136" i="23"/>
  <c r="CG11" i="26" s="1" a="1"/>
  <c r="CG11" i="26" s="1"/>
  <c r="BM11" i="7" s="1"/>
  <c r="C6" i="23"/>
  <c r="CG4" i="26" s="1" a="1"/>
  <c r="CG4" i="26" s="1"/>
  <c r="BM4" i="7" s="1"/>
  <c r="C7" i="23"/>
  <c r="CG5" i="26" s="1" a="1"/>
  <c r="CG5" i="26" s="1"/>
  <c r="BM5" i="7" s="1"/>
  <c r="C8" i="23"/>
  <c r="CG8" i="26" s="1" a="1"/>
  <c r="CG8" i="26" s="1"/>
  <c r="BM8" i="7" s="1"/>
  <c r="C9" i="23"/>
  <c r="C10" i="23"/>
  <c r="CG6" i="26" s="1" a="1"/>
  <c r="CG6" i="26" s="1"/>
  <c r="BM6" i="7" s="1"/>
  <c r="C11" i="23"/>
  <c r="C12" i="23"/>
  <c r="CG7" i="26" s="1" a="1"/>
  <c r="CG7" i="26" s="1"/>
  <c r="BM7" i="7" s="1"/>
  <c r="C13" i="23"/>
  <c r="C14" i="23"/>
  <c r="C15" i="23"/>
  <c r="C16" i="23"/>
  <c r="C17" i="23"/>
  <c r="C18" i="23"/>
  <c r="C19" i="23"/>
  <c r="C5" i="23"/>
  <c r="C4" i="23"/>
  <c r="CG3" i="26" s="1" a="1"/>
  <c r="CG3" i="26" s="1"/>
  <c r="BM3" i="7" s="1"/>
  <c r="AI33" i="26" l="1" a="1"/>
  <c r="AI33" i="26" s="1"/>
  <c r="O33" i="7" s="1"/>
  <c r="AA33" i="26" a="1"/>
  <c r="AA33" i="26" s="1"/>
  <c r="G33" i="7" s="1"/>
  <c r="AJ30" i="26" a="1"/>
  <c r="AJ30" i="26" s="1"/>
  <c r="P30" i="7" s="1"/>
  <c r="AD30" i="26" a="1"/>
  <c r="AD30" i="26" s="1"/>
  <c r="J30" i="7" s="1"/>
  <c r="AC32" i="26" a="1"/>
  <c r="AC32" i="26" s="1"/>
  <c r="I32" i="7" s="1"/>
  <c r="AI31" i="26" a="1"/>
  <c r="AI31" i="26" s="1"/>
  <c r="O31" i="7" s="1"/>
  <c r="AA31" i="26" a="1"/>
  <c r="AA31" i="26" s="1"/>
  <c r="G31" i="7" s="1"/>
  <c r="AJ29" i="26" a="1"/>
  <c r="AJ29" i="26" s="1"/>
  <c r="P29" i="7" s="1"/>
  <c r="AD29" i="26" a="1"/>
  <c r="AD29" i="26" s="1"/>
  <c r="J29" i="7" s="1"/>
  <c r="AC26" i="26" a="1"/>
  <c r="AC26" i="26" s="1"/>
  <c r="I26" i="7" s="1"/>
  <c r="AF25" i="26" a="1"/>
  <c r="AF25" i="26" s="1"/>
  <c r="L25" i="7" s="1"/>
  <c r="Y25" i="26" a="1"/>
  <c r="Y25" i="26" s="1"/>
  <c r="E25" i="7" s="1"/>
  <c r="AX53" i="26" a="1"/>
  <c r="AX53" i="26" s="1"/>
  <c r="AD53" i="7" s="1"/>
  <c r="AP53" i="26" a="1"/>
  <c r="AP53" i="26" s="1"/>
  <c r="V53" i="7" s="1"/>
  <c r="AT30" i="26" a="1"/>
  <c r="AT30" i="26" s="1"/>
  <c r="Z30" i="7" s="1"/>
  <c r="BD32" i="26" a="1"/>
  <c r="BD32" i="26" s="1"/>
  <c r="AJ32" i="7" s="1"/>
  <c r="AO32" i="26" a="1"/>
  <c r="AO32" i="26" s="1"/>
  <c r="U32" i="7" s="1"/>
  <c r="BB31" i="26" a="1"/>
  <c r="BB31" i="26" s="1"/>
  <c r="AH31" i="7" s="1"/>
  <c r="AU31" i="26" a="1"/>
  <c r="AU31" i="26" s="1"/>
  <c r="AA31" i="7" s="1"/>
  <c r="AM31" i="26" a="1"/>
  <c r="AM31" i="26" s="1"/>
  <c r="S31" i="7" s="1"/>
  <c r="AX29" i="26" a="1"/>
  <c r="AX29" i="26" s="1"/>
  <c r="AD29" i="7" s="1"/>
  <c r="AP29" i="26" a="1"/>
  <c r="AP29" i="26" s="1"/>
  <c r="V29" i="7" s="1"/>
  <c r="AZ26" i="26" a="1"/>
  <c r="AZ26" i="26" s="1"/>
  <c r="AF26" i="7" s="1"/>
  <c r="AS26" i="26" a="1"/>
  <c r="AS26" i="26" s="1"/>
  <c r="Y26" i="7" s="1"/>
  <c r="AV25" i="26" a="1"/>
  <c r="AV25" i="26" s="1"/>
  <c r="AB25" i="7" s="1"/>
  <c r="AX27" i="26" a="1"/>
  <c r="AX27" i="26" s="1"/>
  <c r="AD27" i="7" s="1"/>
  <c r="AP27" i="26" a="1"/>
  <c r="AP27" i="26" s="1"/>
  <c r="V27" i="7" s="1"/>
  <c r="AV23" i="26" a="1"/>
  <c r="AV23" i="26" s="1"/>
  <c r="AB23" i="7" s="1"/>
  <c r="AW22" i="26" a="1"/>
  <c r="AW22" i="26" s="1"/>
  <c r="AC22" i="7" s="1"/>
  <c r="AQ22" i="26" a="1"/>
  <c r="AQ22" i="26" s="1"/>
  <c r="W22" i="7" s="1"/>
  <c r="BA24" i="26" a="1"/>
  <c r="BA24" i="26" s="1"/>
  <c r="AG24" i="7" s="1"/>
  <c r="AT24" i="26" a="1"/>
  <c r="AT24" i="26" s="1"/>
  <c r="Z24" i="7" s="1"/>
  <c r="BQ53" i="26" a="1"/>
  <c r="BQ53" i="26" s="1"/>
  <c r="AW53" i="7" s="1"/>
  <c r="BZ53" i="26" a="1"/>
  <c r="BZ53" i="26" s="1"/>
  <c r="BF53" i="7" s="1"/>
  <c r="BI53" i="26" a="1"/>
  <c r="BI53" i="26" s="1"/>
  <c r="AO53" i="7" s="1"/>
  <c r="AJ27" i="26" a="1"/>
  <c r="AJ27" i="26" s="1"/>
  <c r="P27" i="7" s="1"/>
  <c r="AD27" i="26" a="1"/>
  <c r="AD27" i="26" s="1"/>
  <c r="J27" i="7" s="1"/>
  <c r="AF23" i="26" a="1"/>
  <c r="AF23" i="26" s="1"/>
  <c r="L23" i="7" s="1"/>
  <c r="Y23" i="26" a="1"/>
  <c r="Y23" i="26" s="1"/>
  <c r="E23" i="7" s="1"/>
  <c r="AI22" i="26" a="1"/>
  <c r="AI22" i="26" s="1"/>
  <c r="O22" i="7" s="1"/>
  <c r="AA22" i="26" a="1"/>
  <c r="AA22" i="26" s="1"/>
  <c r="G22" i="7" s="1"/>
  <c r="AJ24" i="26" a="1"/>
  <c r="AJ24" i="26" s="1"/>
  <c r="P24" i="7" s="1"/>
  <c r="AD24" i="26" a="1"/>
  <c r="AD24" i="26" s="1"/>
  <c r="J24" i="7" s="1"/>
  <c r="BA53" i="26" a="1"/>
  <c r="BA53" i="26" s="1"/>
  <c r="AG53" i="7" s="1"/>
  <c r="AT53" i="26" a="1"/>
  <c r="AT53" i="26" s="1"/>
  <c r="Z53" i="7" s="1"/>
  <c r="CG14" i="26" a="1"/>
  <c r="CG14" i="26" s="1"/>
  <c r="BM14" i="7" s="1"/>
  <c r="CG53" i="26" a="1"/>
  <c r="CG53" i="26" s="1"/>
  <c r="BM53" i="7" s="1"/>
  <c r="CG18" i="26" a="1"/>
  <c r="CG18" i="26" s="1"/>
  <c r="BM18" i="7" s="1"/>
  <c r="BZ10" i="26" a="1"/>
  <c r="BZ10" i="26" s="1"/>
  <c r="BF10" i="7" s="1"/>
  <c r="BI10" i="26" a="1"/>
  <c r="BI10" i="26" s="1"/>
  <c r="AO10" i="7" s="1"/>
  <c r="BM53" i="26" a="1"/>
  <c r="BM53" i="26" s="1"/>
  <c r="AS53" i="7" s="1"/>
  <c r="CA53" i="26" a="1"/>
  <c r="CA53" i="26" s="1"/>
  <c r="BG53" i="7" s="1"/>
  <c r="BH53" i="26" a="1"/>
  <c r="BH53" i="26" s="1"/>
  <c r="AN53" i="7" s="1"/>
  <c r="CG25" i="26" a="1"/>
  <c r="CG25" i="26" s="1"/>
  <c r="BM25" i="7" s="1"/>
  <c r="Z53" i="26" a="1"/>
  <c r="Z53" i="26" s="1"/>
  <c r="F53" i="7" s="1"/>
  <c r="CG23" i="26" a="1"/>
  <c r="CG23" i="26" s="1"/>
  <c r="BM23" i="7" s="1"/>
  <c r="AF33" i="26" a="1"/>
  <c r="AF33" i="26" s="1"/>
  <c r="L33" i="7" s="1"/>
  <c r="Y33" i="26" a="1"/>
  <c r="Y33" i="26" s="1"/>
  <c r="E33" i="7" s="1"/>
  <c r="AI30" i="26" a="1"/>
  <c r="AI30" i="26" s="1"/>
  <c r="O30" i="7" s="1"/>
  <c r="AA30" i="26" a="1"/>
  <c r="AA30" i="26" s="1"/>
  <c r="G30" i="7" s="1"/>
  <c r="AJ32" i="26" a="1"/>
  <c r="AJ32" i="26" s="1"/>
  <c r="P32" i="7" s="1"/>
  <c r="AD32" i="26" a="1"/>
  <c r="AD32" i="26" s="1"/>
  <c r="J32" i="7" s="1"/>
  <c r="AF31" i="26" a="1"/>
  <c r="AF31" i="26" s="1"/>
  <c r="L31" i="7" s="1"/>
  <c r="Y31" i="26" a="1"/>
  <c r="Y31" i="26" s="1"/>
  <c r="E31" i="7" s="1"/>
  <c r="AI29" i="26" a="1"/>
  <c r="AI29" i="26" s="1"/>
  <c r="O29" i="7" s="1"/>
  <c r="AA29" i="26" a="1"/>
  <c r="AA29" i="26" s="1"/>
  <c r="G29" i="7" s="1"/>
  <c r="AJ26" i="26" a="1"/>
  <c r="AJ26" i="26" s="1"/>
  <c r="P26" i="7" s="1"/>
  <c r="AD26" i="26" a="1"/>
  <c r="AD26" i="26" s="1"/>
  <c r="J26" i="7" s="1"/>
  <c r="AC25" i="26" a="1"/>
  <c r="AC25" i="26" s="1"/>
  <c r="I25" i="7" s="1"/>
  <c r="AI27" i="26" a="1"/>
  <c r="AI27" i="26" s="1"/>
  <c r="O27" i="7" s="1"/>
  <c r="AA27" i="26" a="1"/>
  <c r="AA27" i="26" s="1"/>
  <c r="G27" i="7" s="1"/>
  <c r="AC23" i="26" a="1"/>
  <c r="AC23" i="26" s="1"/>
  <c r="I23" i="7" s="1"/>
  <c r="AF22" i="26" a="1"/>
  <c r="AF22" i="26" s="1"/>
  <c r="L22" i="7" s="1"/>
  <c r="Y22" i="26" a="1"/>
  <c r="Y22" i="26" s="1"/>
  <c r="E22" i="7" s="1"/>
  <c r="AI24" i="26" a="1"/>
  <c r="AI24" i="26" s="1"/>
  <c r="O24" i="7" s="1"/>
  <c r="AA24" i="26" a="1"/>
  <c r="AA24" i="26" s="1"/>
  <c r="G24" i="7" s="1"/>
  <c r="BB13" i="26" a="1"/>
  <c r="BB13" i="26" s="1"/>
  <c r="AH13" i="7" s="1"/>
  <c r="AU13" i="26" a="1"/>
  <c r="AU13" i="26" s="1"/>
  <c r="AA13" i="7" s="1"/>
  <c r="AM13" i="26" a="1"/>
  <c r="AM13" i="26" s="1"/>
  <c r="S13" i="7" s="1"/>
  <c r="AK33" i="26" a="1"/>
  <c r="AK33" i="26" s="1"/>
  <c r="Q33" i="7" s="1"/>
  <c r="AE33" i="26" a="1"/>
  <c r="AE33" i="26" s="1"/>
  <c r="K33" i="7" s="1"/>
  <c r="AL30" i="26" a="1"/>
  <c r="AL30" i="26" s="1"/>
  <c r="R30" i="7" s="1"/>
  <c r="AG30" i="26" a="1"/>
  <c r="AG30" i="26" s="1"/>
  <c r="M30" i="7" s="1"/>
  <c r="X30" i="26" a="1"/>
  <c r="X30" i="26" s="1"/>
  <c r="D30" i="7" s="1"/>
  <c r="Z32" i="26" a="1"/>
  <c r="Z32" i="26" s="1"/>
  <c r="F32" i="7" s="1"/>
  <c r="AK31" i="26" a="1"/>
  <c r="AK31" i="26" s="1"/>
  <c r="Q31" i="7" s="1"/>
  <c r="AE31" i="26" a="1"/>
  <c r="AE31" i="26" s="1"/>
  <c r="K31" i="7" s="1"/>
  <c r="AL29" i="26" a="1"/>
  <c r="AL29" i="26" s="1"/>
  <c r="R29" i="7" s="1"/>
  <c r="AG29" i="26" a="1"/>
  <c r="AG29" i="26" s="1"/>
  <c r="M29" i="7" s="1"/>
  <c r="X29" i="26" a="1"/>
  <c r="X29" i="26" s="1"/>
  <c r="D29" i="7" s="1"/>
  <c r="Z26" i="26" a="1"/>
  <c r="Z26" i="26" s="1"/>
  <c r="F26" i="7" s="1"/>
  <c r="AH25" i="26" a="1"/>
  <c r="AH25" i="26" s="1"/>
  <c r="N25" i="7" s="1"/>
  <c r="AB25" i="26" a="1"/>
  <c r="AB25" i="26" s="1"/>
  <c r="H25" i="7" s="1"/>
  <c r="AL27" i="26" a="1"/>
  <c r="AL27" i="26" s="1"/>
  <c r="R27" i="7" s="1"/>
  <c r="AG27" i="26" a="1"/>
  <c r="AG27" i="26" s="1"/>
  <c r="M27" i="7" s="1"/>
  <c r="X27" i="26" a="1"/>
  <c r="X27" i="26" s="1"/>
  <c r="D27" i="7" s="1"/>
  <c r="AH23" i="26" a="1"/>
  <c r="AH23" i="26" s="1"/>
  <c r="N23" i="7" s="1"/>
  <c r="AB23" i="26" a="1"/>
  <c r="AB23" i="26" s="1"/>
  <c r="H23" i="7" s="1"/>
  <c r="AK22" i="26" a="1"/>
  <c r="AK22" i="26" s="1"/>
  <c r="Q22" i="7" s="1"/>
  <c r="AE22" i="26" a="1"/>
  <c r="AE22" i="26" s="1"/>
  <c r="K22" i="7" s="1"/>
  <c r="AL24" i="26" a="1"/>
  <c r="AL24" i="26" s="1"/>
  <c r="R24" i="7" s="1"/>
  <c r="AG24" i="26" a="1"/>
  <c r="AG24" i="26" s="1"/>
  <c r="M24" i="7" s="1"/>
  <c r="X24" i="26" a="1"/>
  <c r="X24" i="26" s="1"/>
  <c r="D24" i="7" s="1"/>
  <c r="BP76" i="26" a="1"/>
  <c r="BP76" i="26" s="1"/>
  <c r="AV76" i="7" s="1"/>
  <c r="BQ77" i="26" a="1"/>
  <c r="BQ77" i="26" s="1"/>
  <c r="AW77" i="7" s="1"/>
  <c r="BP72" i="26" a="1"/>
  <c r="BP72" i="26" s="1"/>
  <c r="AV72" i="7" s="1"/>
  <c r="BQ68" i="26" a="1"/>
  <c r="BQ68" i="26" s="1"/>
  <c r="AW68" i="7" s="1"/>
  <c r="BP65" i="26" a="1"/>
  <c r="BP65" i="26" s="1"/>
  <c r="AV65" i="7" s="1"/>
  <c r="BQ64" i="26" a="1"/>
  <c r="BQ64" i="26" s="1"/>
  <c r="AW64" i="7" s="1"/>
  <c r="Z21" i="26" a="1"/>
  <c r="Z21" i="26" s="1"/>
  <c r="F21" i="7" s="1"/>
  <c r="AK20" i="26" a="1"/>
  <c r="AK20" i="26" s="1"/>
  <c r="Q20" i="7" s="1"/>
  <c r="AE20" i="26" a="1"/>
  <c r="AE20" i="26" s="1"/>
  <c r="K20" i="7" s="1"/>
  <c r="AL19" i="26" a="1"/>
  <c r="AL19" i="26" s="1"/>
  <c r="R19" i="7" s="1"/>
  <c r="AG19" i="26" a="1"/>
  <c r="AG19" i="26" s="1"/>
  <c r="M19" i="7" s="1"/>
  <c r="X19" i="26" a="1"/>
  <c r="X19" i="26" s="1"/>
  <c r="D19" i="7" s="1"/>
  <c r="Z18" i="26" a="1"/>
  <c r="Z18" i="26" s="1"/>
  <c r="F18" i="7" s="1"/>
  <c r="AH16" i="26" a="1"/>
  <c r="AH16" i="26" s="1"/>
  <c r="N16" i="7" s="1"/>
  <c r="AB16" i="26" a="1"/>
  <c r="AB16" i="26" s="1"/>
  <c r="H16" i="7" s="1"/>
  <c r="AK14" i="26" a="1"/>
  <c r="AK14" i="26" s="1"/>
  <c r="Q14" i="7" s="1"/>
  <c r="AE14" i="26" a="1"/>
  <c r="AE14" i="26" s="1"/>
  <c r="K14" i="7" s="1"/>
  <c r="AL17" i="26" a="1"/>
  <c r="AL17" i="26" s="1"/>
  <c r="R17" i="7" s="1"/>
  <c r="AG17" i="26" a="1"/>
  <c r="AG17" i="26" s="1"/>
  <c r="M17" i="7" s="1"/>
  <c r="X17" i="26" a="1"/>
  <c r="X17" i="26" s="1"/>
  <c r="D17" i="7" s="1"/>
  <c r="Z15" i="26" a="1"/>
  <c r="Z15" i="26" s="1"/>
  <c r="F15" i="7" s="1"/>
  <c r="AH13" i="26" a="1"/>
  <c r="AH13" i="26" s="1"/>
  <c r="N13" i="7" s="1"/>
  <c r="AB13" i="26" a="1"/>
  <c r="AB13" i="26" s="1"/>
  <c r="H13" i="7" s="1"/>
  <c r="CH53" i="26" a="1"/>
  <c r="CH53" i="26" s="1"/>
  <c r="BN53" i="7" s="1"/>
  <c r="BO53" i="26" a="1"/>
  <c r="BO53" i="26" s="1"/>
  <c r="AU53" i="7" s="1"/>
  <c r="BT53" i="26" a="1"/>
  <c r="BT53" i="26" s="1"/>
  <c r="AZ53" i="7" s="1"/>
  <c r="BX53" i="26" a="1"/>
  <c r="BX53" i="26" s="1"/>
  <c r="BD53" i="7" s="1"/>
  <c r="BC53" i="26" a="1"/>
  <c r="BC53" i="26" s="1"/>
  <c r="AI53" i="7" s="1"/>
  <c r="BA33" i="26" a="1"/>
  <c r="BA33" i="26" s="1"/>
  <c r="AG33" i="7" s="1"/>
  <c r="AT33" i="26" a="1"/>
  <c r="AT33" i="26" s="1"/>
  <c r="Z33" i="7" s="1"/>
  <c r="BD30" i="26" a="1"/>
  <c r="BD30" i="26" s="1"/>
  <c r="AJ30" i="7" s="1"/>
  <c r="AO30" i="26" a="1"/>
  <c r="AO30" i="26" s="1"/>
  <c r="U30" i="7" s="1"/>
  <c r="AY32" i="26" a="1"/>
  <c r="AY32" i="26" s="1"/>
  <c r="AE32" i="7" s="1"/>
  <c r="AR32" i="26" a="1"/>
  <c r="AR32" i="26" s="1"/>
  <c r="X32" i="7" s="1"/>
  <c r="AX31" i="26" a="1"/>
  <c r="AX31" i="26" s="1"/>
  <c r="AD31" i="7" s="1"/>
  <c r="AP31" i="26" a="1"/>
  <c r="AP31" i="26" s="1"/>
  <c r="V31" i="7" s="1"/>
  <c r="AZ29" i="26" a="1"/>
  <c r="AZ29" i="26" s="1"/>
  <c r="AF29" i="7" s="1"/>
  <c r="CF53" i="26" a="1"/>
  <c r="CF53" i="26" s="1"/>
  <c r="BL53" i="7" s="1"/>
  <c r="BR53" i="26" a="1"/>
  <c r="BR53" i="26" s="1"/>
  <c r="AX53" i="7" s="1"/>
  <c r="BN53" i="26" a="1"/>
  <c r="BN53" i="26" s="1"/>
  <c r="AT53" i="7" s="1"/>
  <c r="BQ10" i="26" a="1"/>
  <c r="BQ10" i="26" s="1"/>
  <c r="AW10" i="7" s="1"/>
  <c r="BQ8" i="26" a="1"/>
  <c r="BQ8" i="26" s="1"/>
  <c r="AW8" i="7" s="1"/>
  <c r="AV7" i="25"/>
  <c r="AH53" i="26" a="1"/>
  <c r="AH53" i="26" s="1"/>
  <c r="N53" i="7" s="1"/>
  <c r="AB53" i="26" a="1"/>
  <c r="AB53" i="26" s="1"/>
  <c r="H53" i="7" s="1"/>
  <c r="CG26" i="26" a="1"/>
  <c r="CG26" i="26" s="1"/>
  <c r="BM26" i="7" s="1"/>
  <c r="AI53" i="26" a="1"/>
  <c r="AI53" i="26" s="1"/>
  <c r="O53" i="7" s="1"/>
  <c r="AA53" i="26" a="1"/>
  <c r="AA53" i="26" s="1"/>
  <c r="G53" i="7" s="1"/>
  <c r="X31" i="26" a="1"/>
  <c r="X31" i="26" s="1"/>
  <c r="D31" i="7" s="1"/>
  <c r="Z10" i="26" a="1"/>
  <c r="Z10" i="26" s="1"/>
  <c r="F10" i="7" s="1"/>
  <c r="AH33" i="26" a="1"/>
  <c r="AH33" i="26" s="1"/>
  <c r="N33" i="7" s="1"/>
  <c r="AB33" i="26" a="1"/>
  <c r="AB33" i="26" s="1"/>
  <c r="H33" i="7" s="1"/>
  <c r="AK30" i="26" a="1"/>
  <c r="AK30" i="26" s="1"/>
  <c r="Q30" i="7" s="1"/>
  <c r="AE30" i="26" a="1"/>
  <c r="AE30" i="26" s="1"/>
  <c r="K30" i="7" s="1"/>
  <c r="AL32" i="26" a="1"/>
  <c r="AL32" i="26" s="1"/>
  <c r="R32" i="7" s="1"/>
  <c r="AG32" i="26" a="1"/>
  <c r="AG32" i="26" s="1"/>
  <c r="M32" i="7" s="1"/>
  <c r="X32" i="26" a="1"/>
  <c r="X32" i="26" s="1"/>
  <c r="D32" i="7" s="1"/>
  <c r="AH31" i="26" a="1"/>
  <c r="AH31" i="26" s="1"/>
  <c r="N31" i="7" s="1"/>
  <c r="AB31" i="26" a="1"/>
  <c r="AB31" i="26" s="1"/>
  <c r="H31" i="7" s="1"/>
  <c r="AK29" i="26" a="1"/>
  <c r="AK29" i="26" s="1"/>
  <c r="Q29" i="7" s="1"/>
  <c r="AE29" i="26" a="1"/>
  <c r="AE29" i="26" s="1"/>
  <c r="K29" i="7" s="1"/>
  <c r="AL26" i="26" a="1"/>
  <c r="AL26" i="26" s="1"/>
  <c r="R26" i="7" s="1"/>
  <c r="AG26" i="26" a="1"/>
  <c r="AG26" i="26" s="1"/>
  <c r="M26" i="7" s="1"/>
  <c r="X26" i="26" a="1"/>
  <c r="X26" i="26" s="1"/>
  <c r="D26" i="7" s="1"/>
  <c r="Z25" i="26" a="1"/>
  <c r="Z25" i="26" s="1"/>
  <c r="F25" i="7" s="1"/>
  <c r="AK27" i="26" a="1"/>
  <c r="AK27" i="26" s="1"/>
  <c r="Q27" i="7" s="1"/>
  <c r="AE27" i="26" a="1"/>
  <c r="AE27" i="26" s="1"/>
  <c r="K27" i="7" s="1"/>
  <c r="Z23" i="26" a="1"/>
  <c r="Z23" i="26" s="1"/>
  <c r="F23" i="7" s="1"/>
  <c r="AH22" i="26" a="1"/>
  <c r="AH22" i="26" s="1"/>
  <c r="N22" i="7" s="1"/>
  <c r="AB22" i="26" a="1"/>
  <c r="AB22" i="26" s="1"/>
  <c r="H22" i="7" s="1"/>
  <c r="AK24" i="26" a="1"/>
  <c r="AK24" i="26" s="1"/>
  <c r="Q24" i="7" s="1"/>
  <c r="AE24" i="26" a="1"/>
  <c r="AE24" i="26" s="1"/>
  <c r="K24" i="7" s="1"/>
  <c r="AY53" i="26" a="1"/>
  <c r="AY53" i="26" s="1"/>
  <c r="AE53" i="7" s="1"/>
  <c r="AR53" i="26" a="1"/>
  <c r="AR53" i="26" s="1"/>
  <c r="X53" i="7" s="1"/>
  <c r="CF10" i="26" a="1"/>
  <c r="CF10" i="26" s="1"/>
  <c r="BL10" i="7" s="1"/>
  <c r="BR10" i="26" a="1"/>
  <c r="BR10" i="26" s="1"/>
  <c r="AX10" i="7" s="1"/>
  <c r="BN10" i="26" a="1"/>
  <c r="BN10" i="26" s="1"/>
  <c r="AT10" i="7" s="1"/>
  <c r="CG30" i="26" a="1"/>
  <c r="CG30" i="26" s="1"/>
  <c r="BM30" i="7" s="1"/>
  <c r="CG24" i="26" a="1"/>
  <c r="CG24" i="26" s="1"/>
  <c r="BM24" i="7" s="1"/>
  <c r="BA21" i="26" a="1"/>
  <c r="BA21" i="26" s="1"/>
  <c r="AG21" i="7" s="1"/>
  <c r="AT21" i="26" a="1"/>
  <c r="AT21" i="26" s="1"/>
  <c r="Z21" i="7" s="1"/>
  <c r="AY20" i="26" a="1"/>
  <c r="AY20" i="26" s="1"/>
  <c r="AE20" i="7" s="1"/>
  <c r="AR20" i="26" a="1"/>
  <c r="AR20" i="26" s="1"/>
  <c r="X20" i="7" s="1"/>
  <c r="BB19" i="26" a="1"/>
  <c r="BB19" i="26" s="1"/>
  <c r="AH19" i="7" s="1"/>
  <c r="CG32" i="26" a="1"/>
  <c r="CG32" i="26" s="1"/>
  <c r="BM32" i="7" s="1"/>
  <c r="CG17" i="26" a="1"/>
  <c r="CG17" i="26" s="1"/>
  <c r="BM17" i="7" s="1"/>
  <c r="AC53" i="26" a="1"/>
  <c r="AC53" i="26" s="1"/>
  <c r="I53" i="7" s="1"/>
  <c r="AC10" i="26" a="1"/>
  <c r="AC10" i="26" s="1"/>
  <c r="I10" i="7" s="1"/>
  <c r="AC21" i="26" a="1"/>
  <c r="AC21" i="26" s="1"/>
  <c r="I21" i="7" s="1"/>
  <c r="AI20" i="26" a="1"/>
  <c r="AI20" i="26" s="1"/>
  <c r="O20" i="7" s="1"/>
  <c r="AA20" i="26" a="1"/>
  <c r="AA20" i="26" s="1"/>
  <c r="G20" i="7" s="1"/>
  <c r="AJ19" i="26" a="1"/>
  <c r="AJ19" i="26" s="1"/>
  <c r="P19" i="7" s="1"/>
  <c r="AD19" i="26" a="1"/>
  <c r="AD19" i="26" s="1"/>
  <c r="J19" i="7" s="1"/>
  <c r="AC18" i="26" a="1"/>
  <c r="AC18" i="26" s="1"/>
  <c r="I18" i="7" s="1"/>
  <c r="AF16" i="26" a="1"/>
  <c r="AF16" i="26" s="1"/>
  <c r="L16" i="7" s="1"/>
  <c r="Y16" i="26" a="1"/>
  <c r="Y16" i="26" s="1"/>
  <c r="E16" i="7" s="1"/>
  <c r="AI14" i="26" a="1"/>
  <c r="AI14" i="26" s="1"/>
  <c r="O14" i="7" s="1"/>
  <c r="AA14" i="26" a="1"/>
  <c r="AA14" i="26" s="1"/>
  <c r="G14" i="7" s="1"/>
  <c r="AJ17" i="26" a="1"/>
  <c r="AJ17" i="26" s="1"/>
  <c r="P17" i="7" s="1"/>
  <c r="AD17" i="26" a="1"/>
  <c r="AD17" i="26" s="1"/>
  <c r="J17" i="7" s="1"/>
  <c r="AC15" i="26" a="1"/>
  <c r="AC15" i="26" s="1"/>
  <c r="I15" i="7" s="1"/>
  <c r="AF13" i="26" a="1"/>
  <c r="AF13" i="26" s="1"/>
  <c r="L13" i="7" s="1"/>
  <c r="Y13" i="26" a="1"/>
  <c r="Y13" i="26" s="1"/>
  <c r="E13" i="7" s="1"/>
  <c r="AY33" i="26" a="1"/>
  <c r="AY33" i="26" s="1"/>
  <c r="AE33" i="7" s="1"/>
  <c r="AR33" i="26" a="1"/>
  <c r="AR33" i="26" s="1"/>
  <c r="X33" i="7" s="1"/>
  <c r="BB30" i="26" a="1"/>
  <c r="BB30" i="26" s="1"/>
  <c r="AH30" i="7" s="1"/>
  <c r="AU30" i="26" a="1"/>
  <c r="AU30" i="26" s="1"/>
  <c r="AA30" i="7" s="1"/>
  <c r="AM30" i="26" a="1"/>
  <c r="AM30" i="26" s="1"/>
  <c r="S30" i="7" s="1"/>
  <c r="AX32" i="26" a="1"/>
  <c r="AX32" i="26" s="1"/>
  <c r="AD32" i="7" s="1"/>
  <c r="AP32" i="26" a="1"/>
  <c r="AP32" i="26" s="1"/>
  <c r="V32" i="7" s="1"/>
  <c r="AV31" i="26" a="1"/>
  <c r="AV31" i="26" s="1"/>
  <c r="AB31" i="7" s="1"/>
  <c r="AW29" i="26" a="1"/>
  <c r="AW29" i="26" s="1"/>
  <c r="AC29" i="7" s="1"/>
  <c r="AQ29" i="26" a="1"/>
  <c r="AQ29" i="26" s="1"/>
  <c r="W29" i="7" s="1"/>
  <c r="BA26" i="26" a="1"/>
  <c r="BA26" i="26" s="1"/>
  <c r="AG26" i="7" s="1"/>
  <c r="AT26" i="26" a="1"/>
  <c r="AT26" i="26" s="1"/>
  <c r="Z26" i="7" s="1"/>
  <c r="BD25" i="26" a="1"/>
  <c r="BD25" i="26" s="1"/>
  <c r="AJ25" i="7" s="1"/>
  <c r="AO25" i="26" a="1"/>
  <c r="AO25" i="26" s="1"/>
  <c r="U25" i="7" s="1"/>
  <c r="AV28" i="26" a="1"/>
  <c r="AV28" i="26" s="1"/>
  <c r="AB28" i="7" s="1"/>
  <c r="AW27" i="26" a="1"/>
  <c r="AW27" i="26" s="1"/>
  <c r="AC27" i="7" s="1"/>
  <c r="AQ27" i="26" a="1"/>
  <c r="AQ27" i="26" s="1"/>
  <c r="W27" i="7" s="1"/>
  <c r="BD23" i="26" a="1"/>
  <c r="BD23" i="26" s="1"/>
  <c r="AJ23" i="7" s="1"/>
  <c r="AO23" i="26" a="1"/>
  <c r="AO23" i="26" s="1"/>
  <c r="U23" i="7" s="1"/>
  <c r="AY22" i="26" a="1"/>
  <c r="AY22" i="26" s="1"/>
  <c r="AE22" i="7" s="1"/>
  <c r="CG29" i="26" a="1"/>
  <c r="CG29" i="26" s="1"/>
  <c r="BM29" i="7" s="1"/>
  <c r="CG27" i="26" a="1"/>
  <c r="CG27" i="26" s="1"/>
  <c r="BM27" i="7" s="1"/>
  <c r="AX10" i="26" a="1"/>
  <c r="AX10" i="26" s="1"/>
  <c r="AD10" i="7" s="1"/>
  <c r="AP10" i="26" a="1"/>
  <c r="AP10" i="26" s="1"/>
  <c r="V10" i="7" s="1"/>
  <c r="BD33" i="26" a="1"/>
  <c r="BD33" i="26" s="1"/>
  <c r="AJ33" i="7" s="1"/>
  <c r="AO33" i="26" a="1"/>
  <c r="AO33" i="26" s="1"/>
  <c r="U33" i="7" s="1"/>
  <c r="AY30" i="26" a="1"/>
  <c r="AY30" i="26" s="1"/>
  <c r="AE30" i="7" s="1"/>
  <c r="AR30" i="26" a="1"/>
  <c r="AR30" i="26" s="1"/>
  <c r="X30" i="7" s="1"/>
  <c r="BB32" i="26" a="1"/>
  <c r="BB32" i="26" s="1"/>
  <c r="AH32" i="7" s="1"/>
  <c r="AU32" i="26" a="1"/>
  <c r="AU32" i="26" s="1"/>
  <c r="AA32" i="7" s="1"/>
  <c r="AM32" i="26" a="1"/>
  <c r="AM32" i="26" s="1"/>
  <c r="S32" i="7" s="1"/>
  <c r="AZ31" i="26" a="1"/>
  <c r="AZ31" i="26" s="1"/>
  <c r="AF31" i="7" s="1"/>
  <c r="AS31" i="26" a="1"/>
  <c r="AS31" i="26" s="1"/>
  <c r="Y31" i="7" s="1"/>
  <c r="AX21" i="26" a="1"/>
  <c r="AX21" i="26" s="1"/>
  <c r="AD21" i="7" s="1"/>
  <c r="AP21" i="26" a="1"/>
  <c r="AP21" i="26" s="1"/>
  <c r="V21" i="7" s="1"/>
  <c r="AV20" i="26" a="1"/>
  <c r="AV20" i="26" s="1"/>
  <c r="AB20" i="7" s="1"/>
  <c r="AW19" i="26" a="1"/>
  <c r="AW19" i="26" s="1"/>
  <c r="AC19" i="7" s="1"/>
  <c r="AQ19" i="26" a="1"/>
  <c r="AQ19" i="26" s="1"/>
  <c r="W19" i="7" s="1"/>
  <c r="BA18" i="26" a="1"/>
  <c r="BA18" i="26" s="1"/>
  <c r="AG18" i="7" s="1"/>
  <c r="AT18" i="26" a="1"/>
  <c r="AT18" i="26" s="1"/>
  <c r="Z18" i="7" s="1"/>
  <c r="BD16" i="26" a="1"/>
  <c r="BD16" i="26" s="1"/>
  <c r="AJ16" i="7" s="1"/>
  <c r="AO16" i="26" a="1"/>
  <c r="AO16" i="26" s="1"/>
  <c r="U16" i="7" s="1"/>
  <c r="AY14" i="26" a="1"/>
  <c r="AY14" i="26" s="1"/>
  <c r="AE14" i="7" s="1"/>
  <c r="AR14" i="26" a="1"/>
  <c r="AR14" i="26" s="1"/>
  <c r="X14" i="7" s="1"/>
  <c r="BB17" i="26" a="1"/>
  <c r="BB17" i="26" s="1"/>
  <c r="AH17" i="7" s="1"/>
  <c r="AU17" i="26" a="1"/>
  <c r="AU17" i="26" s="1"/>
  <c r="AA17" i="7" s="1"/>
  <c r="AM17" i="26" a="1"/>
  <c r="AM17" i="26" s="1"/>
  <c r="S17" i="7" s="1"/>
  <c r="AX15" i="26" a="1"/>
  <c r="AX15" i="26" s="1"/>
  <c r="AD15" i="7" s="1"/>
  <c r="AP15" i="26" a="1"/>
  <c r="AP15" i="26" s="1"/>
  <c r="V15" i="7" s="1"/>
  <c r="AZ13" i="26" a="1"/>
  <c r="AZ13" i="26" s="1"/>
  <c r="AF13" i="7" s="1"/>
  <c r="AS13" i="26" a="1"/>
  <c r="AS13" i="26" s="1"/>
  <c r="Y13" i="7" s="1"/>
  <c r="BL53" i="26" a="1"/>
  <c r="BL53" i="26" s="1"/>
  <c r="AR53" i="7" s="1"/>
  <c r="BP53" i="26" a="1"/>
  <c r="BP53" i="26" s="1"/>
  <c r="AV53" i="7" s="1"/>
  <c r="CC53" i="26" a="1"/>
  <c r="CC53" i="26" s="1"/>
  <c r="BI53" i="7" s="1"/>
  <c r="BF53" i="26" a="1"/>
  <c r="BF53" i="26" s="1"/>
  <c r="AL53" i="7" s="1"/>
  <c r="BL10" i="26" a="1"/>
  <c r="BL10" i="26" s="1"/>
  <c r="AR10" i="7" s="1"/>
  <c r="CC10" i="26" a="1"/>
  <c r="CC10" i="26" s="1"/>
  <c r="BI10" i="7" s="1"/>
  <c r="BF10" i="26" a="1"/>
  <c r="BF10" i="26" s="1"/>
  <c r="AL10" i="7" s="1"/>
  <c r="CG19" i="26" a="1"/>
  <c r="CG19" i="26" s="1"/>
  <c r="BM19" i="7" s="1"/>
  <c r="AJ81" i="26" a="1"/>
  <c r="AJ81" i="26" s="1"/>
  <c r="P81" i="7" s="1"/>
  <c r="AJ85" i="26" a="1"/>
  <c r="AJ85" i="26" s="1"/>
  <c r="P85" i="7" s="1"/>
  <c r="AD85" i="26" a="1"/>
  <c r="AD85" i="26" s="1"/>
  <c r="J85" i="7" s="1"/>
  <c r="AD81" i="26" a="1"/>
  <c r="AD81" i="26" s="1"/>
  <c r="J81" i="7" s="1"/>
  <c r="AI10" i="26" a="1"/>
  <c r="AI10" i="26" s="1"/>
  <c r="O10" i="7" s="1"/>
  <c r="AA10" i="26" a="1"/>
  <c r="AA10" i="26" s="1"/>
  <c r="G10" i="7" s="1"/>
  <c r="AJ33" i="26" a="1"/>
  <c r="AJ33" i="26" s="1"/>
  <c r="P33" i="7" s="1"/>
  <c r="AD33" i="26" a="1"/>
  <c r="AD33" i="26" s="1"/>
  <c r="J33" i="7" s="1"/>
  <c r="AC30" i="26" a="1"/>
  <c r="AC30" i="26" s="1"/>
  <c r="I30" i="7" s="1"/>
  <c r="AF32" i="26" a="1"/>
  <c r="AF32" i="26" s="1"/>
  <c r="L32" i="7" s="1"/>
  <c r="Y32" i="26" a="1"/>
  <c r="Y32" i="26" s="1"/>
  <c r="E32" i="7" s="1"/>
  <c r="AJ31" i="26" a="1"/>
  <c r="AJ31" i="26" s="1"/>
  <c r="P31" i="7" s="1"/>
  <c r="AD31" i="26" a="1"/>
  <c r="AD31" i="26" s="1"/>
  <c r="J31" i="7" s="1"/>
  <c r="AC29" i="26" a="1"/>
  <c r="AC29" i="26" s="1"/>
  <c r="I29" i="7" s="1"/>
  <c r="AF26" i="26" a="1"/>
  <c r="AF26" i="26" s="1"/>
  <c r="L26" i="7" s="1"/>
  <c r="Y26" i="26" a="1"/>
  <c r="Y26" i="26" s="1"/>
  <c r="E26" i="7" s="1"/>
  <c r="AI25" i="26" a="1"/>
  <c r="AI25" i="26" s="1"/>
  <c r="O25" i="7" s="1"/>
  <c r="AA25" i="26" a="1"/>
  <c r="AA25" i="26" s="1"/>
  <c r="G25" i="7" s="1"/>
  <c r="AH81" i="26" a="1"/>
  <c r="AH81" i="26" s="1"/>
  <c r="N81" i="7" s="1"/>
  <c r="AH85" i="26" a="1"/>
  <c r="AH85" i="26" s="1"/>
  <c r="N85" i="7" s="1"/>
  <c r="AK12" i="26" a="1"/>
  <c r="AK12" i="26" s="1"/>
  <c r="Q12" i="7" s="1"/>
  <c r="AE12" i="26" a="1"/>
  <c r="AE12" i="26" s="1"/>
  <c r="K12" i="7" s="1"/>
  <c r="AH28" i="26" a="1"/>
  <c r="AH28" i="26" s="1"/>
  <c r="N28" i="7" s="1"/>
  <c r="AB28" i="26" a="1"/>
  <c r="AB28" i="26" s="1"/>
  <c r="H28" i="7" s="1"/>
  <c r="AH34" i="26" a="1"/>
  <c r="AH34" i="26" s="1"/>
  <c r="N34" i="7" s="1"/>
  <c r="AH48" i="26" a="1"/>
  <c r="AH48" i="26" s="1"/>
  <c r="N48" i="7" s="1"/>
  <c r="AB34" i="26" a="1"/>
  <c r="AB34" i="26" s="1"/>
  <c r="H34" i="7" s="1"/>
  <c r="AB48" i="26" a="1"/>
  <c r="AB48" i="26" s="1"/>
  <c r="H48" i="7" s="1"/>
  <c r="AK9" i="26" a="1"/>
  <c r="AK9" i="26" s="1"/>
  <c r="Q9" i="7" s="1"/>
  <c r="AE9" i="26" a="1"/>
  <c r="AE9" i="26" s="1"/>
  <c r="K9" i="7" s="1"/>
  <c r="AB81" i="26" a="1"/>
  <c r="AB81" i="26" s="1"/>
  <c r="H81" i="7" s="1"/>
  <c r="AB85" i="26" a="1"/>
  <c r="AB85" i="26" s="1"/>
  <c r="H85" i="7" s="1"/>
  <c r="CG81" i="26" a="1"/>
  <c r="CG81" i="26" s="1"/>
  <c r="BM81" i="7" s="1"/>
  <c r="CG85" i="26" a="1"/>
  <c r="CG85" i="26" s="1"/>
  <c r="BM85" i="7" s="1"/>
  <c r="CG33" i="26" a="1"/>
  <c r="CG33" i="26" s="1"/>
  <c r="BM33" i="7" s="1"/>
  <c r="CG22" i="26" a="1"/>
  <c r="CG22" i="26" s="1"/>
  <c r="BM22" i="7" s="1"/>
  <c r="CG16" i="26" a="1"/>
  <c r="CG16" i="26" s="1"/>
  <c r="BM16" i="7" s="1"/>
  <c r="AF53" i="26" a="1"/>
  <c r="AF53" i="26" s="1"/>
  <c r="L53" i="7" s="1"/>
  <c r="Y53" i="26" a="1"/>
  <c r="Y53" i="26" s="1"/>
  <c r="E53" i="7" s="1"/>
  <c r="AI81" i="26" a="1"/>
  <c r="AI81" i="26" s="1"/>
  <c r="O81" i="7" s="1"/>
  <c r="AI85" i="26" a="1"/>
  <c r="AI85" i="26" s="1"/>
  <c r="O85" i="7" s="1"/>
  <c r="AA81" i="26" a="1"/>
  <c r="AA81" i="26" s="1"/>
  <c r="G81" i="7" s="1"/>
  <c r="AA85" i="26" a="1"/>
  <c r="AA85" i="26" s="1"/>
  <c r="G85" i="7" s="1"/>
  <c r="AF10" i="26" a="1"/>
  <c r="AF10" i="26" s="1"/>
  <c r="L10" i="7" s="1"/>
  <c r="Y10" i="26" a="1"/>
  <c r="Y10" i="26" s="1"/>
  <c r="E10" i="7" s="1"/>
  <c r="AL53" i="26" a="1"/>
  <c r="AL53" i="26" s="1"/>
  <c r="R53" i="7" s="1"/>
  <c r="AG53" i="26" a="1"/>
  <c r="AG53" i="26" s="1"/>
  <c r="M53" i="7" s="1"/>
  <c r="X53" i="26" a="1"/>
  <c r="X53" i="26" s="1"/>
  <c r="D53" i="7" s="1"/>
  <c r="Z85" i="26" a="1"/>
  <c r="Z85" i="26" s="1"/>
  <c r="F85" i="7" s="1"/>
  <c r="Z81" i="26" a="1"/>
  <c r="Z81" i="26" s="1"/>
  <c r="F81" i="7" s="1"/>
  <c r="AL10" i="26" a="1"/>
  <c r="AL10" i="26" s="1"/>
  <c r="R10" i="7" s="1"/>
  <c r="AG10" i="26" a="1"/>
  <c r="AG10" i="26" s="1"/>
  <c r="M10" i="7" s="1"/>
  <c r="X10" i="26" a="1"/>
  <c r="X10" i="26" s="1"/>
  <c r="D10" i="7" s="1"/>
  <c r="Z33" i="26" a="1"/>
  <c r="Z33" i="26" s="1"/>
  <c r="F33" i="7" s="1"/>
  <c r="AH30" i="26" a="1"/>
  <c r="AH30" i="26" s="1"/>
  <c r="N30" i="7" s="1"/>
  <c r="AB30" i="26" a="1"/>
  <c r="AB30" i="26" s="1"/>
  <c r="H30" i="7" s="1"/>
  <c r="AK32" i="26" a="1"/>
  <c r="AK32" i="26" s="1"/>
  <c r="Q32" i="7" s="1"/>
  <c r="AE32" i="26" a="1"/>
  <c r="AE32" i="26" s="1"/>
  <c r="K32" i="7" s="1"/>
  <c r="CG12" i="26" a="1"/>
  <c r="CG12" i="26" s="1"/>
  <c r="BM12" i="7" s="1"/>
  <c r="AF85" i="26" a="1"/>
  <c r="AF85" i="26" s="1"/>
  <c r="L85" i="7" s="1"/>
  <c r="AF81" i="26" a="1"/>
  <c r="AF81" i="26" s="1"/>
  <c r="L81" i="7" s="1"/>
  <c r="Y85" i="26" a="1"/>
  <c r="Y85" i="26" s="1"/>
  <c r="E85" i="7" s="1"/>
  <c r="Y81" i="26" a="1"/>
  <c r="Y81" i="26" s="1"/>
  <c r="E81" i="7" s="1"/>
  <c r="AI12" i="26" a="1"/>
  <c r="AI12" i="26" s="1"/>
  <c r="O12" i="7" s="1"/>
  <c r="AA12" i="26" a="1"/>
  <c r="AA12" i="26" s="1"/>
  <c r="G12" i="7" s="1"/>
  <c r="AF28" i="26" a="1"/>
  <c r="AF28" i="26" s="1"/>
  <c r="L28" i="7" s="1"/>
  <c r="Y28" i="26" a="1"/>
  <c r="Y28" i="26" s="1"/>
  <c r="E28" i="7" s="1"/>
  <c r="AF34" i="26" a="1"/>
  <c r="AF34" i="26" s="1"/>
  <c r="L34" i="7" s="1"/>
  <c r="AF48" i="26" a="1"/>
  <c r="AF48" i="26" s="1"/>
  <c r="L48" i="7" s="1"/>
  <c r="Y48" i="26" a="1"/>
  <c r="Y48" i="26" s="1"/>
  <c r="E48" i="7" s="1"/>
  <c r="Y34" i="26" a="1"/>
  <c r="Y34" i="26" s="1"/>
  <c r="E34" i="7" s="1"/>
  <c r="AI9" i="26" a="1"/>
  <c r="AI9" i="26" s="1"/>
  <c r="O9" i="7" s="1"/>
  <c r="AA9" i="26" a="1"/>
  <c r="AA9" i="26" s="1"/>
  <c r="G9" i="7" s="1"/>
  <c r="AL81" i="26" a="1"/>
  <c r="AL81" i="26" s="1"/>
  <c r="R81" i="7" s="1"/>
  <c r="AL85" i="26" a="1"/>
  <c r="AL85" i="26" s="1"/>
  <c r="R85" i="7" s="1"/>
  <c r="AG85" i="26" a="1"/>
  <c r="AG85" i="26" s="1"/>
  <c r="M85" i="7" s="1"/>
  <c r="AG81" i="26" a="1"/>
  <c r="AG81" i="26" s="1"/>
  <c r="M81" i="7" s="1"/>
  <c r="X85" i="26" a="1"/>
  <c r="X85" i="26" s="1"/>
  <c r="D85" i="7" s="1"/>
  <c r="X81" i="26" a="1"/>
  <c r="X81" i="26" s="1"/>
  <c r="D81" i="7" s="1"/>
  <c r="AK10" i="26" a="1"/>
  <c r="AK10" i="26" s="1"/>
  <c r="Q10" i="7" s="1"/>
  <c r="AE10" i="26" a="1"/>
  <c r="AE10" i="26" s="1"/>
  <c r="K10" i="7" s="1"/>
  <c r="AL33" i="26" a="1"/>
  <c r="AL33" i="26" s="1"/>
  <c r="R33" i="7" s="1"/>
  <c r="AG33" i="26" a="1"/>
  <c r="AG33" i="26" s="1"/>
  <c r="M33" i="7" s="1"/>
  <c r="X33" i="26" a="1"/>
  <c r="X33" i="26" s="1"/>
  <c r="D33" i="7" s="1"/>
  <c r="Z30" i="26" a="1"/>
  <c r="Z30" i="26" s="1"/>
  <c r="F30" i="7" s="1"/>
  <c r="AH32" i="26" a="1"/>
  <c r="AH32" i="26" s="1"/>
  <c r="N32" i="7" s="1"/>
  <c r="AB32" i="26" a="1"/>
  <c r="AB32" i="26" s="1"/>
  <c r="H32" i="7" s="1"/>
  <c r="AL31" i="26" a="1"/>
  <c r="AL31" i="26" s="1"/>
  <c r="R31" i="7" s="1"/>
  <c r="AG31" i="26" a="1"/>
  <c r="AG31" i="26" s="1"/>
  <c r="M31" i="7" s="1"/>
  <c r="Z29" i="26" a="1"/>
  <c r="Z29" i="26" s="1"/>
  <c r="F29" i="7" s="1"/>
  <c r="AH26" i="26" a="1"/>
  <c r="AH26" i="26" s="1"/>
  <c r="N26" i="7" s="1"/>
  <c r="AB26" i="26" a="1"/>
  <c r="AB26" i="26" s="1"/>
  <c r="H26" i="7" s="1"/>
  <c r="AK25" i="26" a="1"/>
  <c r="AK25" i="26" s="1"/>
  <c r="Q25" i="7" s="1"/>
  <c r="AE25" i="26" a="1"/>
  <c r="AE25" i="26" s="1"/>
  <c r="K25" i="7" s="1"/>
  <c r="Z12" i="26" a="1"/>
  <c r="Z12" i="26" s="1"/>
  <c r="F12" i="7" s="1"/>
  <c r="AL28" i="26" a="1"/>
  <c r="AL28" i="26" s="1"/>
  <c r="R28" i="7" s="1"/>
  <c r="AG28" i="26" a="1"/>
  <c r="AG28" i="26" s="1"/>
  <c r="M28" i="7" s="1"/>
  <c r="X28" i="26" a="1"/>
  <c r="X28" i="26" s="1"/>
  <c r="D28" i="7" s="1"/>
  <c r="Z27" i="26" a="1"/>
  <c r="Z27" i="26" s="1"/>
  <c r="F27" i="7" s="1"/>
  <c r="AK23" i="26" a="1"/>
  <c r="AK23" i="26" s="1"/>
  <c r="Q23" i="7" s="1"/>
  <c r="AE23" i="26" a="1"/>
  <c r="AE23" i="26" s="1"/>
  <c r="K23" i="7" s="1"/>
  <c r="AL22" i="26" a="1"/>
  <c r="AL22" i="26" s="1"/>
  <c r="R22" i="7" s="1"/>
  <c r="AG22" i="26" a="1"/>
  <c r="AG22" i="26" s="1"/>
  <c r="M22" i="7" s="1"/>
  <c r="X22" i="26" a="1"/>
  <c r="X22" i="26" s="1"/>
  <c r="D22" i="7" s="1"/>
  <c r="Z24" i="26" a="1"/>
  <c r="Z24" i="26" s="1"/>
  <c r="F24" i="7" s="1"/>
  <c r="AK21" i="26" a="1"/>
  <c r="AK21" i="26" s="1"/>
  <c r="Q21" i="7" s="1"/>
  <c r="AE21" i="26" a="1"/>
  <c r="AE21" i="26" s="1"/>
  <c r="K21" i="7" s="1"/>
  <c r="AL34" i="26" a="1"/>
  <c r="AL34" i="26" s="1"/>
  <c r="R34" i="7" s="1"/>
  <c r="AL48" i="26" a="1"/>
  <c r="AL48" i="26" s="1"/>
  <c r="R48" i="7" s="1"/>
  <c r="AG34" i="26" a="1"/>
  <c r="AG34" i="26" s="1"/>
  <c r="M34" i="7" s="1"/>
  <c r="AG48" i="26" a="1"/>
  <c r="AG48" i="26" s="1"/>
  <c r="M48" i="7" s="1"/>
  <c r="X48" i="26" a="1"/>
  <c r="X48" i="26" s="1"/>
  <c r="D48" i="7" s="1"/>
  <c r="X34" i="26" a="1"/>
  <c r="X34" i="26" s="1"/>
  <c r="D34" i="7" s="1"/>
  <c r="Z20" i="26" a="1"/>
  <c r="Z20" i="26" s="1"/>
  <c r="F20" i="7" s="1"/>
  <c r="AH19" i="26" a="1"/>
  <c r="AH19" i="26" s="1"/>
  <c r="N19" i="7" s="1"/>
  <c r="AB19" i="26" a="1"/>
  <c r="AB19" i="26" s="1"/>
  <c r="H19" i="7" s="1"/>
  <c r="AK18" i="26" a="1"/>
  <c r="AK18" i="26" s="1"/>
  <c r="Q18" i="7" s="1"/>
  <c r="AE18" i="26" a="1"/>
  <c r="AE18" i="26" s="1"/>
  <c r="K18" i="7" s="1"/>
  <c r="AL16" i="26" a="1"/>
  <c r="AL16" i="26" s="1"/>
  <c r="R16" i="7" s="1"/>
  <c r="AG16" i="26" a="1"/>
  <c r="AG16" i="26" s="1"/>
  <c r="M16" i="7" s="1"/>
  <c r="X16" i="26" a="1"/>
  <c r="X16" i="26" s="1"/>
  <c r="D16" i="7" s="1"/>
  <c r="Z14" i="26" a="1"/>
  <c r="Z14" i="26" s="1"/>
  <c r="F14" i="7" s="1"/>
  <c r="AH17" i="26" a="1"/>
  <c r="AH17" i="26" s="1"/>
  <c r="N17" i="7" s="1"/>
  <c r="AB17" i="26" a="1"/>
  <c r="AB17" i="26" s="1"/>
  <c r="H17" i="7" s="1"/>
  <c r="AK15" i="26" a="1"/>
  <c r="AK15" i="26" s="1"/>
  <c r="Q15" i="7" s="1"/>
  <c r="AE15" i="26" a="1"/>
  <c r="AE15" i="26" s="1"/>
  <c r="K15" i="7" s="1"/>
  <c r="AL13" i="26" a="1"/>
  <c r="AL13" i="26" s="1"/>
  <c r="R13" i="7" s="1"/>
  <c r="AG13" i="26" a="1"/>
  <c r="AG13" i="26" s="1"/>
  <c r="M13" i="7" s="1"/>
  <c r="X13" i="26" a="1"/>
  <c r="X13" i="26" s="1"/>
  <c r="D13" i="7" s="1"/>
  <c r="CG10" i="26" a="1"/>
  <c r="CG10" i="26" s="1"/>
  <c r="BM10" i="7" s="1"/>
  <c r="CG9" i="26" a="1"/>
  <c r="CG9" i="26" s="1"/>
  <c r="BM9" i="7" s="1"/>
  <c r="CG31" i="26" a="1"/>
  <c r="CG31" i="26" s="1"/>
  <c r="BM31" i="7" s="1"/>
  <c r="CG28" i="26" a="1"/>
  <c r="CG28" i="26" s="1"/>
  <c r="BM28" i="7" s="1"/>
  <c r="CG34" i="26" a="1"/>
  <c r="CG34" i="26" s="1"/>
  <c r="BM34" i="7" s="1"/>
  <c r="CG48" i="26" a="1"/>
  <c r="CG48" i="26" s="1"/>
  <c r="BM48" i="7" s="1"/>
  <c r="CG13" i="26" a="1"/>
  <c r="CG13" i="26" s="1"/>
  <c r="BM13" i="7" s="1"/>
  <c r="AJ53" i="26" a="1"/>
  <c r="AJ53" i="26" s="1"/>
  <c r="P53" i="7" s="1"/>
  <c r="AD53" i="26" a="1"/>
  <c r="AD53" i="26" s="1"/>
  <c r="J53" i="7" s="1"/>
  <c r="AC81" i="26" a="1"/>
  <c r="AC81" i="26" s="1"/>
  <c r="I81" i="7" s="1"/>
  <c r="AC85" i="26" a="1"/>
  <c r="AC85" i="26" s="1"/>
  <c r="I85" i="7" s="1"/>
  <c r="AK81" i="26" a="1"/>
  <c r="AK81" i="26" s="1"/>
  <c r="Q81" i="7" s="1"/>
  <c r="AK85" i="26" a="1"/>
  <c r="AK85" i="26" s="1"/>
  <c r="Q85" i="7" s="1"/>
  <c r="AE85" i="26" a="1"/>
  <c r="AE85" i="26" s="1"/>
  <c r="K85" i="7" s="1"/>
  <c r="AE81" i="26" a="1"/>
  <c r="AE81" i="26" s="1"/>
  <c r="K81" i="7" s="1"/>
  <c r="AH10" i="26" a="1"/>
  <c r="AH10" i="26" s="1"/>
  <c r="N10" i="7" s="1"/>
  <c r="AB10" i="26" a="1"/>
  <c r="AB10" i="26" s="1"/>
  <c r="H10" i="7" s="1"/>
  <c r="AL12" i="26" a="1"/>
  <c r="AL12" i="26" s="1"/>
  <c r="R12" i="7" s="1"/>
  <c r="AG12" i="26" a="1"/>
  <c r="AG12" i="26" s="1"/>
  <c r="M12" i="7" s="1"/>
  <c r="X12" i="26" a="1"/>
  <c r="X12" i="26" s="1"/>
  <c r="D12" i="7" s="1"/>
  <c r="AK28" i="26" a="1"/>
  <c r="AK28" i="26" s="1"/>
  <c r="Q28" i="7" s="1"/>
  <c r="AE28" i="26" a="1"/>
  <c r="AE28" i="26" s="1"/>
  <c r="K28" i="7" s="1"/>
  <c r="AH21" i="26" a="1"/>
  <c r="AH21" i="26" s="1"/>
  <c r="N21" i="7" s="1"/>
  <c r="AB21" i="26" a="1"/>
  <c r="AB21" i="26" s="1"/>
  <c r="H21" i="7" s="1"/>
  <c r="AK34" i="26" a="1"/>
  <c r="AK34" i="26" s="1"/>
  <c r="Q34" i="7" s="1"/>
  <c r="AK48" i="26" a="1"/>
  <c r="AK48" i="26" s="1"/>
  <c r="Q48" i="7" s="1"/>
  <c r="AE34" i="26" a="1"/>
  <c r="AE34" i="26" s="1"/>
  <c r="K34" i="7" s="1"/>
  <c r="AE48" i="26" a="1"/>
  <c r="AE48" i="26" s="1"/>
  <c r="K48" i="7" s="1"/>
  <c r="AL20" i="26" a="1"/>
  <c r="AL20" i="26" s="1"/>
  <c r="R20" i="7" s="1"/>
  <c r="AG20" i="26" a="1"/>
  <c r="AG20" i="26" s="1"/>
  <c r="M20" i="7" s="1"/>
  <c r="X20" i="26" a="1"/>
  <c r="X20" i="26" s="1"/>
  <c r="D20" i="7" s="1"/>
  <c r="Z19" i="26" a="1"/>
  <c r="Z19" i="26" s="1"/>
  <c r="F19" i="7" s="1"/>
  <c r="AH18" i="26" a="1"/>
  <c r="AH18" i="26" s="1"/>
  <c r="N18" i="7" s="1"/>
  <c r="AB18" i="26" a="1"/>
  <c r="AB18" i="26" s="1"/>
  <c r="H18" i="7" s="1"/>
  <c r="AK16" i="26" a="1"/>
  <c r="AK16" i="26" s="1"/>
  <c r="Q16" i="7" s="1"/>
  <c r="AE16" i="26" a="1"/>
  <c r="AE16" i="26" s="1"/>
  <c r="K16" i="7" s="1"/>
  <c r="AL14" i="26" a="1"/>
  <c r="AL14" i="26" s="1"/>
  <c r="R14" i="7" s="1"/>
  <c r="AG14" i="26" a="1"/>
  <c r="AG14" i="26" s="1"/>
  <c r="M14" i="7" s="1"/>
  <c r="X14" i="26" a="1"/>
  <c r="X14" i="26" s="1"/>
  <c r="D14" i="7" s="1"/>
  <c r="Z17" i="26" a="1"/>
  <c r="Z17" i="26" s="1"/>
  <c r="F17" i="7" s="1"/>
  <c r="AH15" i="26" a="1"/>
  <c r="AH15" i="26" s="1"/>
  <c r="N15" i="7" s="1"/>
  <c r="AB15" i="26" a="1"/>
  <c r="AB15" i="26" s="1"/>
  <c r="H15" i="7" s="1"/>
  <c r="AK13" i="26" a="1"/>
  <c r="AK13" i="26" s="1"/>
  <c r="Q13" i="7" s="1"/>
  <c r="AE13" i="26" a="1"/>
  <c r="AE13" i="26" s="1"/>
  <c r="K13" i="7" s="1"/>
  <c r="AL9" i="26" a="1"/>
  <c r="AL9" i="26" s="1"/>
  <c r="R9" i="7" s="1"/>
  <c r="AG9" i="26" a="1"/>
  <c r="AG9" i="26" s="1"/>
  <c r="M9" i="7" s="1"/>
  <c r="X9" i="26" a="1"/>
  <c r="X9" i="26" s="1"/>
  <c r="D9" i="7" s="1"/>
  <c r="AC12" i="26" a="1"/>
  <c r="AC12" i="26" s="1"/>
  <c r="I12" i="7" s="1"/>
  <c r="AJ28" i="26" a="1"/>
  <c r="AJ28" i="26" s="1"/>
  <c r="P28" i="7" s="1"/>
  <c r="AD28" i="26" a="1"/>
  <c r="AD28" i="26" s="1"/>
  <c r="J28" i="7" s="1"/>
  <c r="AC27" i="26" a="1"/>
  <c r="AC27" i="26" s="1"/>
  <c r="I27" i="7" s="1"/>
  <c r="AI23" i="26" a="1"/>
  <c r="AI23" i="26" s="1"/>
  <c r="O23" i="7" s="1"/>
  <c r="AA23" i="26" a="1"/>
  <c r="AA23" i="26" s="1"/>
  <c r="G23" i="7" s="1"/>
  <c r="AJ22" i="26" a="1"/>
  <c r="AJ22" i="26" s="1"/>
  <c r="P22" i="7" s="1"/>
  <c r="AD22" i="26" a="1"/>
  <c r="AD22" i="26" s="1"/>
  <c r="J22" i="7" s="1"/>
  <c r="AC24" i="26" a="1"/>
  <c r="AC24" i="26" s="1"/>
  <c r="I24" i="7" s="1"/>
  <c r="AI21" i="26" a="1"/>
  <c r="AI21" i="26" s="1"/>
  <c r="O21" i="7" s="1"/>
  <c r="AA21" i="26" a="1"/>
  <c r="AA21" i="26" s="1"/>
  <c r="G21" i="7" s="1"/>
  <c r="AJ34" i="26" a="1"/>
  <c r="AJ34" i="26" s="1"/>
  <c r="P34" i="7" s="1"/>
  <c r="AJ48" i="26" a="1"/>
  <c r="AJ48" i="26" s="1"/>
  <c r="P48" i="7" s="1"/>
  <c r="AD48" i="26" a="1"/>
  <c r="AD48" i="26" s="1"/>
  <c r="J48" i="7" s="1"/>
  <c r="AD34" i="26" a="1"/>
  <c r="AD34" i="26" s="1"/>
  <c r="J34" i="7" s="1"/>
  <c r="AC20" i="26" a="1"/>
  <c r="AC20" i="26" s="1"/>
  <c r="I20" i="7" s="1"/>
  <c r="AF19" i="26" a="1"/>
  <c r="AF19" i="26" s="1"/>
  <c r="L19" i="7" s="1"/>
  <c r="Y19" i="26" a="1"/>
  <c r="Y19" i="26" s="1"/>
  <c r="E19" i="7" s="1"/>
  <c r="AI18" i="26" a="1"/>
  <c r="AI18" i="26" s="1"/>
  <c r="O18" i="7" s="1"/>
  <c r="AA18" i="26" a="1"/>
  <c r="AA18" i="26" s="1"/>
  <c r="G18" i="7" s="1"/>
  <c r="AJ16" i="26" a="1"/>
  <c r="AJ16" i="26" s="1"/>
  <c r="P16" i="7" s="1"/>
  <c r="AD16" i="26" a="1"/>
  <c r="AD16" i="26" s="1"/>
  <c r="J16" i="7" s="1"/>
  <c r="AC14" i="26" a="1"/>
  <c r="AC14" i="26" s="1"/>
  <c r="I14" i="7" s="1"/>
  <c r="AF17" i="26" a="1"/>
  <c r="AF17" i="26" s="1"/>
  <c r="L17" i="7" s="1"/>
  <c r="Y17" i="26" a="1"/>
  <c r="Y17" i="26" s="1"/>
  <c r="E17" i="7" s="1"/>
  <c r="AI15" i="26" a="1"/>
  <c r="AI15" i="26" s="1"/>
  <c r="O15" i="7" s="1"/>
  <c r="AA15" i="26" a="1"/>
  <c r="AA15" i="26" s="1"/>
  <c r="G15" i="7" s="1"/>
  <c r="AJ13" i="26" a="1"/>
  <c r="AJ13" i="26" s="1"/>
  <c r="P13" i="7" s="1"/>
  <c r="AD13" i="26" a="1"/>
  <c r="AD13" i="26" s="1"/>
  <c r="J13" i="7" s="1"/>
  <c r="AC9" i="26" a="1"/>
  <c r="AC9" i="26" s="1"/>
  <c r="I9" i="7" s="1"/>
  <c r="AZ53" i="26" a="1"/>
  <c r="AZ53" i="26" s="1"/>
  <c r="AF53" i="7" s="1"/>
  <c r="AS53" i="26" a="1"/>
  <c r="AS53" i="26" s="1"/>
  <c r="Y53" i="7" s="1"/>
  <c r="AV81" i="26" a="1"/>
  <c r="AV81" i="26" s="1"/>
  <c r="AB81" i="7" s="1"/>
  <c r="AV85" i="26" a="1"/>
  <c r="AV85" i="26" s="1"/>
  <c r="AB85" i="7" s="1"/>
  <c r="BD10" i="26" a="1"/>
  <c r="BD10" i="26" s="1"/>
  <c r="AJ10" i="7" s="1"/>
  <c r="AO10" i="26" a="1"/>
  <c r="AO10" i="26" s="1"/>
  <c r="U10" i="7" s="1"/>
  <c r="AV33" i="26" a="1"/>
  <c r="AV33" i="26" s="1"/>
  <c r="AB33" i="7" s="1"/>
  <c r="AW30" i="26" a="1"/>
  <c r="AW30" i="26" s="1"/>
  <c r="AC30" i="7" s="1"/>
  <c r="AQ30" i="26" a="1"/>
  <c r="AQ30" i="26" s="1"/>
  <c r="W30" i="7" s="1"/>
  <c r="BA32" i="26" a="1"/>
  <c r="BA32" i="26" s="1"/>
  <c r="AG32" i="7" s="1"/>
  <c r="AT32" i="26" a="1"/>
  <c r="AT32" i="26" s="1"/>
  <c r="Z32" i="7" s="1"/>
  <c r="AY31" i="26" a="1"/>
  <c r="AY31" i="26" s="1"/>
  <c r="AE31" i="7" s="1"/>
  <c r="AR31" i="26" a="1"/>
  <c r="AR31" i="26" s="1"/>
  <c r="X31" i="7" s="1"/>
  <c r="BB29" i="26" a="1"/>
  <c r="BB29" i="26" s="1"/>
  <c r="AH29" i="7" s="1"/>
  <c r="AU29" i="26" a="1"/>
  <c r="AU29" i="26" s="1"/>
  <c r="AA29" i="7" s="1"/>
  <c r="AM29" i="26" a="1"/>
  <c r="AM29" i="26" s="1"/>
  <c r="S29" i="7" s="1"/>
  <c r="AX26" i="26" a="1"/>
  <c r="AX26" i="26" s="1"/>
  <c r="AD26" i="7" s="1"/>
  <c r="AP26" i="26" a="1"/>
  <c r="AP26" i="26" s="1"/>
  <c r="V26" i="7" s="1"/>
  <c r="AZ25" i="26" a="1"/>
  <c r="AZ25" i="26" s="1"/>
  <c r="AF25" i="7" s="1"/>
  <c r="AS25" i="26" a="1"/>
  <c r="AS25" i="26" s="1"/>
  <c r="Y25" i="7" s="1"/>
  <c r="AW12" i="26" a="1"/>
  <c r="AW12" i="26" s="1"/>
  <c r="AC12" i="7" s="1"/>
  <c r="AQ12" i="26" a="1"/>
  <c r="AQ12" i="26" s="1"/>
  <c r="W12" i="7" s="1"/>
  <c r="AY28" i="26" a="1"/>
  <c r="AY28" i="26" s="1"/>
  <c r="AE28" i="7" s="1"/>
  <c r="AR28" i="26" a="1"/>
  <c r="AR28" i="26" s="1"/>
  <c r="X28" i="7" s="1"/>
  <c r="BB27" i="26" a="1"/>
  <c r="BB27" i="26" s="1"/>
  <c r="AH27" i="7" s="1"/>
  <c r="AU27" i="26" a="1"/>
  <c r="AU27" i="26" s="1"/>
  <c r="AA27" i="7" s="1"/>
  <c r="AM27" i="26" a="1"/>
  <c r="AM27" i="26" s="1"/>
  <c r="S27" i="7" s="1"/>
  <c r="AZ23" i="26" a="1"/>
  <c r="AZ23" i="26" s="1"/>
  <c r="AF23" i="7" s="1"/>
  <c r="AS23" i="26" a="1"/>
  <c r="AS23" i="26" s="1"/>
  <c r="Y23" i="7" s="1"/>
  <c r="AV22" i="26" a="1"/>
  <c r="AV22" i="26" s="1"/>
  <c r="AB22" i="7" s="1"/>
  <c r="AW24" i="26" a="1"/>
  <c r="AW24" i="26" s="1"/>
  <c r="AC24" i="7" s="1"/>
  <c r="AQ24" i="26" a="1"/>
  <c r="AQ24" i="26" s="1"/>
  <c r="W24" i="7" s="1"/>
  <c r="BD21" i="26" a="1"/>
  <c r="BD21" i="26" s="1"/>
  <c r="AJ21" i="7" s="1"/>
  <c r="AO21" i="26" a="1"/>
  <c r="AO21" i="26" s="1"/>
  <c r="U21" i="7" s="1"/>
  <c r="AY34" i="26" a="1"/>
  <c r="AY34" i="26" s="1"/>
  <c r="AE34" i="7" s="1"/>
  <c r="AY48" i="26" a="1"/>
  <c r="AY48" i="26" s="1"/>
  <c r="AE48" i="7" s="1"/>
  <c r="AR34" i="26" a="1"/>
  <c r="AR34" i="26" s="1"/>
  <c r="X34" i="7" s="1"/>
  <c r="AR48" i="26" a="1"/>
  <c r="AR48" i="26" s="1"/>
  <c r="X48" i="7" s="1"/>
  <c r="BB20" i="26" a="1"/>
  <c r="BB20" i="26" s="1"/>
  <c r="AH20" i="7" s="1"/>
  <c r="AU20" i="26" a="1"/>
  <c r="AU20" i="26" s="1"/>
  <c r="AA20" i="7" s="1"/>
  <c r="AM20" i="26" a="1"/>
  <c r="AM20" i="26" s="1"/>
  <c r="S20" i="7" s="1"/>
  <c r="AX19" i="26" a="1"/>
  <c r="AX19" i="26" s="1"/>
  <c r="AD19" i="7" s="1"/>
  <c r="AP19" i="26" a="1"/>
  <c r="AP19" i="26" s="1"/>
  <c r="V19" i="7" s="1"/>
  <c r="AZ18" i="26" a="1"/>
  <c r="AZ18" i="26" s="1"/>
  <c r="AF18" i="7" s="1"/>
  <c r="AS18" i="26" a="1"/>
  <c r="AS18" i="26" s="1"/>
  <c r="Y18" i="7" s="1"/>
  <c r="AV16" i="26" a="1"/>
  <c r="AV16" i="26" s="1"/>
  <c r="AB16" i="7" s="1"/>
  <c r="AW14" i="26" a="1"/>
  <c r="AW14" i="26" s="1"/>
  <c r="AC14" i="7" s="1"/>
  <c r="AQ14" i="26" a="1"/>
  <c r="AQ14" i="26" s="1"/>
  <c r="W14" i="7" s="1"/>
  <c r="BA17" i="26" a="1"/>
  <c r="BA17" i="26" s="1"/>
  <c r="AG17" i="7" s="1"/>
  <c r="AT17" i="26" a="1"/>
  <c r="AT17" i="26" s="1"/>
  <c r="Z17" i="7" s="1"/>
  <c r="BD15" i="26" a="1"/>
  <c r="BD15" i="26" s="1"/>
  <c r="AJ15" i="7" s="1"/>
  <c r="AO15" i="26" a="1"/>
  <c r="AO15" i="26" s="1"/>
  <c r="U15" i="7" s="1"/>
  <c r="AY13" i="26" a="1"/>
  <c r="AY13" i="26" s="1"/>
  <c r="AE13" i="7" s="1"/>
  <c r="AR13" i="26" a="1"/>
  <c r="AR13" i="26" s="1"/>
  <c r="X13" i="7" s="1"/>
  <c r="BB9" i="26" a="1"/>
  <c r="BB9" i="26" s="1"/>
  <c r="AH9" i="7" s="1"/>
  <c r="AU9" i="26" a="1"/>
  <c r="AU9" i="26" s="1"/>
  <c r="AA9" i="7" s="1"/>
  <c r="AM9" i="26" a="1"/>
  <c r="AM9" i="26" s="1"/>
  <c r="S9" i="7" s="1"/>
  <c r="BK53" i="26" a="1"/>
  <c r="BK53" i="26" s="1"/>
  <c r="AQ53" i="7" s="1"/>
  <c r="BY53" i="26" a="1"/>
  <c r="BY53" i="26" s="1"/>
  <c r="BE53" i="7" s="1"/>
  <c r="BE53" i="26" a="1"/>
  <c r="BE53" i="26" s="1"/>
  <c r="AK53" i="7" s="1"/>
  <c r="BM85" i="26" a="1"/>
  <c r="BM85" i="26" s="1"/>
  <c r="AS85" i="7" s="1"/>
  <c r="BM81" i="26" a="1"/>
  <c r="BM81" i="26" s="1"/>
  <c r="AS81" i="7" s="1"/>
  <c r="CA85" i="26" a="1"/>
  <c r="CA85" i="26" s="1"/>
  <c r="BG85" i="7" s="1"/>
  <c r="CA81" i="26" a="1"/>
  <c r="CA81" i="26" s="1"/>
  <c r="BG81" i="7" s="1"/>
  <c r="BH81" i="26" a="1"/>
  <c r="BH81" i="26" s="1"/>
  <c r="AN81" i="7" s="1"/>
  <c r="BH85" i="26" a="1"/>
  <c r="BH85" i="26" s="1"/>
  <c r="AN85" i="7" s="1"/>
  <c r="BK10" i="26" a="1"/>
  <c r="BK10" i="26" s="1"/>
  <c r="AQ10" i="7" s="1"/>
  <c r="BY10" i="26" a="1"/>
  <c r="BY10" i="26" s="1"/>
  <c r="BE10" i="7" s="1"/>
  <c r="BE10" i="26" a="1"/>
  <c r="BE10" i="26" s="1"/>
  <c r="AK10" i="7" s="1"/>
  <c r="BM33" i="26" a="1"/>
  <c r="BM33" i="26" s="1"/>
  <c r="AS33" i="7" s="1"/>
  <c r="CA33" i="26" a="1"/>
  <c r="CA33" i="26" s="1"/>
  <c r="BG33" i="7" s="1"/>
  <c r="BH33" i="26" a="1"/>
  <c r="BH33" i="26" s="1"/>
  <c r="AN33" i="7" s="1"/>
  <c r="BW30" i="26" a="1"/>
  <c r="BW30" i="26" s="1"/>
  <c r="BC30" i="7" s="1"/>
  <c r="CB30" i="26" a="1"/>
  <c r="CB30" i="26" s="1"/>
  <c r="BH30" i="7" s="1"/>
  <c r="BG30" i="26" a="1"/>
  <c r="BG30" i="26" s="1"/>
  <c r="AM30" i="7" s="1"/>
  <c r="CF32" i="26" a="1"/>
  <c r="CF32" i="26" s="1"/>
  <c r="BL32" i="7" s="1"/>
  <c r="BR32" i="26" a="1"/>
  <c r="BR32" i="26" s="1"/>
  <c r="AX32" i="7" s="1"/>
  <c r="BN32" i="26" a="1"/>
  <c r="BN32" i="26" s="1"/>
  <c r="AT32" i="7" s="1"/>
  <c r="BM31" i="26" a="1"/>
  <c r="BM31" i="26" s="1"/>
  <c r="AS31" i="7" s="1"/>
  <c r="CA31" i="26" a="1"/>
  <c r="CA31" i="26" s="1"/>
  <c r="BG31" i="7" s="1"/>
  <c r="BH31" i="26" a="1"/>
  <c r="BH31" i="26" s="1"/>
  <c r="AN31" i="7" s="1"/>
  <c r="BW29" i="26" a="1"/>
  <c r="BW29" i="26" s="1"/>
  <c r="BC29" i="7" s="1"/>
  <c r="CB29" i="26" a="1"/>
  <c r="CB29" i="26" s="1"/>
  <c r="BH29" i="7" s="1"/>
  <c r="BG29" i="26" a="1"/>
  <c r="BG29" i="26" s="1"/>
  <c r="AM29" i="7" s="1"/>
  <c r="CF26" i="26" a="1"/>
  <c r="CF26" i="26" s="1"/>
  <c r="BL26" i="7" s="1"/>
  <c r="BR26" i="26" a="1"/>
  <c r="BR26" i="26" s="1"/>
  <c r="AX26" i="7" s="1"/>
  <c r="BN26" i="26" a="1"/>
  <c r="BN26" i="26" s="1"/>
  <c r="AT26" i="7" s="1"/>
  <c r="BK25" i="26" a="1"/>
  <c r="BK25" i="26" s="1"/>
  <c r="AQ25" i="7" s="1"/>
  <c r="BY25" i="26" a="1"/>
  <c r="BY25" i="26" s="1"/>
  <c r="BE25" i="7" s="1"/>
  <c r="BE25" i="26" a="1"/>
  <c r="BE25" i="26" s="1"/>
  <c r="AK25" i="7" s="1"/>
  <c r="BW12" i="26" a="1"/>
  <c r="BW12" i="26" s="1"/>
  <c r="BC12" i="7" s="1"/>
  <c r="CB12" i="26" a="1"/>
  <c r="CB12" i="26" s="1"/>
  <c r="BH12" i="7" s="1"/>
  <c r="BG12" i="26" a="1"/>
  <c r="BG12" i="26" s="1"/>
  <c r="AM12" i="7" s="1"/>
  <c r="BM28" i="26" a="1"/>
  <c r="BM28" i="26" s="1"/>
  <c r="AS28" i="7" s="1"/>
  <c r="CA28" i="26" a="1"/>
  <c r="CA28" i="26" s="1"/>
  <c r="BG28" i="7" s="1"/>
  <c r="BH28" i="26" a="1"/>
  <c r="BH28" i="26" s="1"/>
  <c r="AN28" i="7" s="1"/>
  <c r="BW27" i="26" a="1"/>
  <c r="BW27" i="26" s="1"/>
  <c r="BC27" i="7" s="1"/>
  <c r="CB27" i="26" a="1"/>
  <c r="CB27" i="26" s="1"/>
  <c r="BH27" i="7" s="1"/>
  <c r="BG27" i="26" a="1"/>
  <c r="BG27" i="26" s="1"/>
  <c r="AM27" i="7" s="1"/>
  <c r="BK23" i="26" a="1"/>
  <c r="BK23" i="26" s="1"/>
  <c r="AQ23" i="7" s="1"/>
  <c r="BY23" i="26" a="1"/>
  <c r="BY23" i="26" s="1"/>
  <c r="BE23" i="7" s="1"/>
  <c r="BE23" i="26" a="1"/>
  <c r="BE23" i="26" s="1"/>
  <c r="AK23" i="7" s="1"/>
  <c r="BM22" i="26" a="1"/>
  <c r="BM22" i="26" s="1"/>
  <c r="AS22" i="7" s="1"/>
  <c r="CA22" i="26" a="1"/>
  <c r="CA22" i="26" s="1"/>
  <c r="BG22" i="7" s="1"/>
  <c r="BH22" i="26" a="1"/>
  <c r="BH22" i="26" s="1"/>
  <c r="AN22" i="7" s="1"/>
  <c r="BW24" i="26" a="1"/>
  <c r="BW24" i="26" s="1"/>
  <c r="BC24" i="7" s="1"/>
  <c r="CB24" i="26" a="1"/>
  <c r="CB24" i="26" s="1"/>
  <c r="BH24" i="7" s="1"/>
  <c r="BG24" i="26" a="1"/>
  <c r="BG24" i="26" s="1"/>
  <c r="AM24" i="7" s="1"/>
  <c r="BK21" i="26" a="1"/>
  <c r="BK21" i="26" s="1"/>
  <c r="AQ21" i="7" s="1"/>
  <c r="BY21" i="26" a="1"/>
  <c r="BY21" i="26" s="1"/>
  <c r="BE21" i="7" s="1"/>
  <c r="BE21" i="26" a="1"/>
  <c r="BE21" i="26" s="1"/>
  <c r="AK21" i="7" s="1"/>
  <c r="BM48" i="26" a="1"/>
  <c r="BM48" i="26" s="1"/>
  <c r="AS48" i="7" s="1"/>
  <c r="BM34" i="26" a="1"/>
  <c r="BM34" i="26" s="1"/>
  <c r="AS34" i="7" s="1"/>
  <c r="CA48" i="26" a="1"/>
  <c r="CA48" i="26" s="1"/>
  <c r="BG48" i="7" s="1"/>
  <c r="CA34" i="26" a="1"/>
  <c r="CA34" i="26" s="1"/>
  <c r="BG34" i="7" s="1"/>
  <c r="BH34" i="26" a="1"/>
  <c r="BH34" i="26" s="1"/>
  <c r="AN34" i="7" s="1"/>
  <c r="BH48" i="26" a="1"/>
  <c r="BH48" i="26" s="1"/>
  <c r="AN48" i="7" s="1"/>
  <c r="BW20" i="26" a="1"/>
  <c r="BW20" i="26" s="1"/>
  <c r="BC20" i="7" s="1"/>
  <c r="CB20" i="26" a="1"/>
  <c r="CB20" i="26" s="1"/>
  <c r="BH20" i="7" s="1"/>
  <c r="BG20" i="26" a="1"/>
  <c r="BG20" i="26" s="1"/>
  <c r="AM20" i="7" s="1"/>
  <c r="CF19" i="26" a="1"/>
  <c r="CF19" i="26" s="1"/>
  <c r="BL19" i="7" s="1"/>
  <c r="BR19" i="26" a="1"/>
  <c r="BR19" i="26" s="1"/>
  <c r="AX19" i="7" s="1"/>
  <c r="BN19" i="26" a="1"/>
  <c r="BN19" i="26" s="1"/>
  <c r="AT19" i="7" s="1"/>
  <c r="BK18" i="26" a="1"/>
  <c r="BK18" i="26" s="1"/>
  <c r="AQ18" i="7" s="1"/>
  <c r="BY18" i="26" a="1"/>
  <c r="BY18" i="26" s="1"/>
  <c r="BE18" i="7" s="1"/>
  <c r="BE18" i="26" a="1"/>
  <c r="BE18" i="26" s="1"/>
  <c r="AK18" i="7" s="1"/>
  <c r="BM16" i="26" a="1"/>
  <c r="BM16" i="26" s="1"/>
  <c r="AS16" i="7" s="1"/>
  <c r="CA16" i="26" a="1"/>
  <c r="CA16" i="26" s="1"/>
  <c r="BG16" i="7" s="1"/>
  <c r="BH16" i="26" a="1"/>
  <c r="BH16" i="26" s="1"/>
  <c r="AN16" i="7" s="1"/>
  <c r="BW14" i="26" a="1"/>
  <c r="BW14" i="26" s="1"/>
  <c r="BC14" i="7" s="1"/>
  <c r="CB14" i="26" a="1"/>
  <c r="CB14" i="26" s="1"/>
  <c r="BH14" i="7" s="1"/>
  <c r="BG14" i="26" a="1"/>
  <c r="BG14" i="26" s="1"/>
  <c r="AM14" i="7" s="1"/>
  <c r="CF17" i="26" a="1"/>
  <c r="CF17" i="26" s="1"/>
  <c r="BL17" i="7" s="1"/>
  <c r="BR17" i="26" a="1"/>
  <c r="BR17" i="26" s="1"/>
  <c r="AX17" i="7" s="1"/>
  <c r="BN17" i="26" a="1"/>
  <c r="BN17" i="26" s="1"/>
  <c r="AT17" i="7" s="1"/>
  <c r="BK15" i="26" a="1"/>
  <c r="BK15" i="26" s="1"/>
  <c r="AQ15" i="7" s="1"/>
  <c r="BY15" i="26" a="1"/>
  <c r="BY15" i="26" s="1"/>
  <c r="BE15" i="7" s="1"/>
  <c r="BE15" i="26" a="1"/>
  <c r="BE15" i="26" s="1"/>
  <c r="AK15" i="7" s="1"/>
  <c r="BM13" i="26" a="1"/>
  <c r="BM13" i="26" s="1"/>
  <c r="AS13" i="7" s="1"/>
  <c r="CA13" i="26" a="1"/>
  <c r="CA13" i="26" s="1"/>
  <c r="BG13" i="7" s="1"/>
  <c r="BH13" i="26" a="1"/>
  <c r="BH13" i="26" s="1"/>
  <c r="AN13" i="7" s="1"/>
  <c r="BW9" i="26" a="1"/>
  <c r="BW9" i="26" s="1"/>
  <c r="BC9" i="7" s="1"/>
  <c r="CB9" i="26" a="1"/>
  <c r="CB9" i="26" s="1"/>
  <c r="BH9" i="7" s="1"/>
  <c r="BG9" i="26" a="1"/>
  <c r="BG9" i="26" s="1"/>
  <c r="AM9" i="7" s="1"/>
  <c r="BB85" i="26" a="1"/>
  <c r="BB85" i="26" s="1"/>
  <c r="AH85" i="7" s="1"/>
  <c r="BB81" i="26" a="1"/>
  <c r="BB81" i="26" s="1"/>
  <c r="AH81" i="7" s="1"/>
  <c r="AU81" i="26" a="1"/>
  <c r="AU81" i="26" s="1"/>
  <c r="AA81" i="7" s="1"/>
  <c r="AU85" i="26" a="1"/>
  <c r="AU85" i="26" s="1"/>
  <c r="AA85" i="7" s="1"/>
  <c r="AM81" i="26" a="1"/>
  <c r="AM81" i="26" s="1"/>
  <c r="S81" i="7" s="1"/>
  <c r="AM85" i="26" a="1"/>
  <c r="AM85" i="26" s="1"/>
  <c r="S85" i="7" s="1"/>
  <c r="AV10" i="26" a="1"/>
  <c r="AV10" i="26" s="1"/>
  <c r="AB10" i="7" s="1"/>
  <c r="BB33" i="26" a="1"/>
  <c r="BB33" i="26" s="1"/>
  <c r="AH33" i="7" s="1"/>
  <c r="AU33" i="26" a="1"/>
  <c r="AU33" i="26" s="1"/>
  <c r="AA33" i="7" s="1"/>
  <c r="AM33" i="26" a="1"/>
  <c r="AM33" i="26" s="1"/>
  <c r="S33" i="7" s="1"/>
  <c r="AX30" i="26" a="1"/>
  <c r="AX30" i="26" s="1"/>
  <c r="AD30" i="7" s="1"/>
  <c r="AP30" i="26" a="1"/>
  <c r="AP30" i="26" s="1"/>
  <c r="V30" i="7" s="1"/>
  <c r="AZ32" i="26" a="1"/>
  <c r="AZ32" i="26" s="1"/>
  <c r="AF32" i="7" s="1"/>
  <c r="AS32" i="26" a="1"/>
  <c r="AS32" i="26" s="1"/>
  <c r="Y32" i="7" s="1"/>
  <c r="AW31" i="26" a="1"/>
  <c r="AW31" i="26" s="1"/>
  <c r="AC31" i="7" s="1"/>
  <c r="AQ31" i="26" a="1"/>
  <c r="AQ31" i="26" s="1"/>
  <c r="W31" i="7" s="1"/>
  <c r="BA29" i="26" a="1"/>
  <c r="BA29" i="26" s="1"/>
  <c r="AG29" i="7" s="1"/>
  <c r="AT29" i="26" a="1"/>
  <c r="AT29" i="26" s="1"/>
  <c r="Z29" i="7" s="1"/>
  <c r="BD26" i="26" a="1"/>
  <c r="BD26" i="26" s="1"/>
  <c r="AJ26" i="7" s="1"/>
  <c r="AO26" i="26" a="1"/>
  <c r="AO26" i="26" s="1"/>
  <c r="U26" i="7" s="1"/>
  <c r="AY25" i="26" a="1"/>
  <c r="AY25" i="26" s="1"/>
  <c r="AE25" i="7" s="1"/>
  <c r="AR25" i="26" a="1"/>
  <c r="AR25" i="26" s="1"/>
  <c r="X25" i="7" s="1"/>
  <c r="AX12" i="26" a="1"/>
  <c r="AX12" i="26" s="1"/>
  <c r="AD12" i="7" s="1"/>
  <c r="AP12" i="26" a="1"/>
  <c r="AP12" i="26" s="1"/>
  <c r="V12" i="7" s="1"/>
  <c r="AW28" i="26" a="1"/>
  <c r="AW28" i="26" s="1"/>
  <c r="AC28" i="7" s="1"/>
  <c r="AQ28" i="26" a="1"/>
  <c r="AQ28" i="26" s="1"/>
  <c r="W28" i="7" s="1"/>
  <c r="BA27" i="26" a="1"/>
  <c r="BA27" i="26" s="1"/>
  <c r="AG27" i="7" s="1"/>
  <c r="AT27" i="26" a="1"/>
  <c r="AT27" i="26" s="1"/>
  <c r="Z27" i="7" s="1"/>
  <c r="AY23" i="26" a="1"/>
  <c r="AY23" i="26" s="1"/>
  <c r="AE23" i="7" s="1"/>
  <c r="AR23" i="26" a="1"/>
  <c r="AR23" i="26" s="1"/>
  <c r="X23" i="7" s="1"/>
  <c r="BB22" i="26" a="1"/>
  <c r="BB22" i="26" s="1"/>
  <c r="AH22" i="7" s="1"/>
  <c r="AU22" i="26" a="1"/>
  <c r="AU22" i="26" s="1"/>
  <c r="AA22" i="7" s="1"/>
  <c r="AM22" i="26" a="1"/>
  <c r="AM22" i="26" s="1"/>
  <c r="S22" i="7" s="1"/>
  <c r="AX24" i="26" a="1"/>
  <c r="AX24" i="26" s="1"/>
  <c r="AD24" i="7" s="1"/>
  <c r="AP24" i="26" a="1"/>
  <c r="AP24" i="26" s="1"/>
  <c r="V24" i="7" s="1"/>
  <c r="AV21" i="26" a="1"/>
  <c r="AV21" i="26" s="1"/>
  <c r="AB21" i="7" s="1"/>
  <c r="AW34" i="26" a="1"/>
  <c r="AW34" i="26" s="1"/>
  <c r="AC34" i="7" s="1"/>
  <c r="AW48" i="26" a="1"/>
  <c r="AW48" i="26" s="1"/>
  <c r="AC48" i="7" s="1"/>
  <c r="AQ34" i="26" a="1"/>
  <c r="AQ34" i="26" s="1"/>
  <c r="W34" i="7" s="1"/>
  <c r="AQ48" i="26" a="1"/>
  <c r="AQ48" i="26" s="1"/>
  <c r="W48" i="7" s="1"/>
  <c r="BA20" i="26" a="1"/>
  <c r="BA20" i="26" s="1"/>
  <c r="AG20" i="7" s="1"/>
  <c r="AT20" i="26" a="1"/>
  <c r="AT20" i="26" s="1"/>
  <c r="Z20" i="7" s="1"/>
  <c r="BD19" i="26" a="1"/>
  <c r="BD19" i="26" s="1"/>
  <c r="AJ19" i="7" s="1"/>
  <c r="AO19" i="26" a="1"/>
  <c r="AO19" i="26" s="1"/>
  <c r="U19" i="7" s="1"/>
  <c r="AY18" i="26" a="1"/>
  <c r="AY18" i="26" s="1"/>
  <c r="AE18" i="7" s="1"/>
  <c r="AR18" i="26" a="1"/>
  <c r="AR18" i="26" s="1"/>
  <c r="X18" i="7" s="1"/>
  <c r="BB16" i="26" a="1"/>
  <c r="BB16" i="26" s="1"/>
  <c r="AH16" i="7" s="1"/>
  <c r="AU16" i="26" a="1"/>
  <c r="AU16" i="26" s="1"/>
  <c r="AA16" i="7" s="1"/>
  <c r="AM16" i="26" a="1"/>
  <c r="AM16" i="26" s="1"/>
  <c r="S16" i="7" s="1"/>
  <c r="AX14" i="26" a="1"/>
  <c r="AX14" i="26" s="1"/>
  <c r="AD14" i="7" s="1"/>
  <c r="AP14" i="26" a="1"/>
  <c r="AP14" i="26" s="1"/>
  <c r="V14" i="7" s="1"/>
  <c r="AZ17" i="26" a="1"/>
  <c r="AZ17" i="26" s="1"/>
  <c r="AF17" i="7" s="1"/>
  <c r="AS17" i="26" a="1"/>
  <c r="AS17" i="26" s="1"/>
  <c r="Y17" i="7" s="1"/>
  <c r="AV15" i="26" a="1"/>
  <c r="AV15" i="26" s="1"/>
  <c r="AB15" i="7" s="1"/>
  <c r="AW13" i="26" a="1"/>
  <c r="AW13" i="26" s="1"/>
  <c r="AC13" i="7" s="1"/>
  <c r="AQ13" i="26" a="1"/>
  <c r="AQ13" i="26" s="1"/>
  <c r="W13" i="7" s="1"/>
  <c r="BA9" i="26" a="1"/>
  <c r="BA9" i="26" s="1"/>
  <c r="AG9" i="7" s="1"/>
  <c r="AT9" i="26" a="1"/>
  <c r="AT9" i="26" s="1"/>
  <c r="Z9" i="7" s="1"/>
  <c r="BL85" i="26" a="1"/>
  <c r="BL85" i="26" s="1"/>
  <c r="AR85" i="7" s="1"/>
  <c r="BL81" i="26" a="1"/>
  <c r="BL81" i="26" s="1"/>
  <c r="AR81" i="7" s="1"/>
  <c r="BP81" i="26" a="1"/>
  <c r="BP81" i="26" s="1"/>
  <c r="AV81" i="7" s="1"/>
  <c r="BP85" i="26" a="1"/>
  <c r="BP85" i="26" s="1"/>
  <c r="AV85" i="7" s="1"/>
  <c r="CC85" i="26" a="1"/>
  <c r="CC85" i="26" s="1"/>
  <c r="BI85" i="7" s="1"/>
  <c r="CC81" i="26" a="1"/>
  <c r="CC81" i="26" s="1"/>
  <c r="BI81" i="7" s="1"/>
  <c r="BF81" i="26" a="1"/>
  <c r="BF81" i="26" s="1"/>
  <c r="AL81" i="7" s="1"/>
  <c r="BF85" i="26" a="1"/>
  <c r="BF85" i="26" s="1"/>
  <c r="AL85" i="7" s="1"/>
  <c r="CH10" i="26" a="1"/>
  <c r="CH10" i="26" s="1"/>
  <c r="BN10" i="7" s="1"/>
  <c r="BO10" i="26" a="1"/>
  <c r="BO10" i="26" s="1"/>
  <c r="AU10" i="7" s="1"/>
  <c r="BT10" i="26" a="1"/>
  <c r="BT10" i="26" s="1"/>
  <c r="AZ10" i="7" s="1"/>
  <c r="BX10" i="26" a="1"/>
  <c r="BX10" i="26" s="1"/>
  <c r="BD10" i="7" s="1"/>
  <c r="BC10" i="26" a="1"/>
  <c r="BC10" i="26" s="1"/>
  <c r="AI10" i="7" s="1"/>
  <c r="BL33" i="26" a="1"/>
  <c r="BL33" i="26" s="1"/>
  <c r="AR33" i="7" s="1"/>
  <c r="BP33" i="26" a="1"/>
  <c r="BP33" i="26" s="1"/>
  <c r="AV33" i="7" s="1"/>
  <c r="CC33" i="26" a="1"/>
  <c r="CC33" i="26" s="1"/>
  <c r="BI33" i="7" s="1"/>
  <c r="BF33" i="26" a="1"/>
  <c r="BF33" i="26" s="1"/>
  <c r="AL33" i="7" s="1"/>
  <c r="BQ30" i="26" a="1"/>
  <c r="BQ30" i="26" s="1"/>
  <c r="AW30" i="7" s="1"/>
  <c r="BZ30" i="26" a="1"/>
  <c r="BZ30" i="26" s="1"/>
  <c r="BF30" i="7" s="1"/>
  <c r="BI30" i="26" a="1"/>
  <c r="BI30" i="26" s="1"/>
  <c r="AO30" i="7" s="1"/>
  <c r="CE32" i="26" a="1"/>
  <c r="CE32" i="26" s="1"/>
  <c r="BK32" i="7" s="1"/>
  <c r="BJ32" i="26" a="1"/>
  <c r="BJ32" i="26" s="1"/>
  <c r="AP32" i="7" s="1"/>
  <c r="BL31" i="26" a="1"/>
  <c r="BL31" i="26" s="1"/>
  <c r="AR31" i="7" s="1"/>
  <c r="BP31" i="26" a="1"/>
  <c r="BP31" i="26" s="1"/>
  <c r="AV31" i="7" s="1"/>
  <c r="CC31" i="26" a="1"/>
  <c r="CC31" i="26" s="1"/>
  <c r="BI31" i="7" s="1"/>
  <c r="BF31" i="26" a="1"/>
  <c r="BF31" i="26" s="1"/>
  <c r="AL31" i="7" s="1"/>
  <c r="BQ29" i="26" a="1"/>
  <c r="BQ29" i="26" s="1"/>
  <c r="AW29" i="7" s="1"/>
  <c r="BZ29" i="26" a="1"/>
  <c r="BZ29" i="26" s="1"/>
  <c r="BF29" i="7" s="1"/>
  <c r="BI29" i="26" a="1"/>
  <c r="BI29" i="26" s="1"/>
  <c r="AO29" i="7" s="1"/>
  <c r="CE26" i="26" a="1"/>
  <c r="CE26" i="26" s="1"/>
  <c r="BK26" i="7" s="1"/>
  <c r="BJ26" i="26" a="1"/>
  <c r="BJ26" i="26" s="1"/>
  <c r="AP26" i="7" s="1"/>
  <c r="CH25" i="26" a="1"/>
  <c r="CH25" i="26" s="1"/>
  <c r="BN25" i="7" s="1"/>
  <c r="BO25" i="26" a="1"/>
  <c r="BO25" i="26" s="1"/>
  <c r="AU25" i="7" s="1"/>
  <c r="BT25" i="26" a="1"/>
  <c r="BT25" i="26" s="1"/>
  <c r="AZ25" i="7" s="1"/>
  <c r="BX25" i="26" a="1"/>
  <c r="BX25" i="26" s="1"/>
  <c r="BD25" i="7" s="1"/>
  <c r="BC25" i="26" a="1"/>
  <c r="BC25" i="26" s="1"/>
  <c r="AI25" i="7" s="1"/>
  <c r="BQ12" i="26" a="1"/>
  <c r="BQ12" i="26" s="1"/>
  <c r="AW12" i="7" s="1"/>
  <c r="BZ12" i="26" a="1"/>
  <c r="BZ12" i="26" s="1"/>
  <c r="BF12" i="7" s="1"/>
  <c r="BI12" i="26" a="1"/>
  <c r="BI12" i="26" s="1"/>
  <c r="AO12" i="7" s="1"/>
  <c r="BL28" i="26" a="1"/>
  <c r="BL28" i="26" s="1"/>
  <c r="AR28" i="7" s="1"/>
  <c r="BP28" i="26" a="1"/>
  <c r="BP28" i="26" s="1"/>
  <c r="AV28" i="7" s="1"/>
  <c r="CC28" i="26" a="1"/>
  <c r="CC28" i="26" s="1"/>
  <c r="BI28" i="7" s="1"/>
  <c r="BF28" i="26" a="1"/>
  <c r="BF28" i="26" s="1"/>
  <c r="AL28" i="7" s="1"/>
  <c r="BQ27" i="26" a="1"/>
  <c r="BQ27" i="26" s="1"/>
  <c r="AW27" i="7" s="1"/>
  <c r="BZ27" i="26" a="1"/>
  <c r="BZ27" i="26" s="1"/>
  <c r="BF27" i="7" s="1"/>
  <c r="BI27" i="26" a="1"/>
  <c r="BI27" i="26" s="1"/>
  <c r="AO27" i="7" s="1"/>
  <c r="CH23" i="26" a="1"/>
  <c r="CH23" i="26" s="1"/>
  <c r="BN23" i="7" s="1"/>
  <c r="BO23" i="26" a="1"/>
  <c r="BO23" i="26" s="1"/>
  <c r="AU23" i="7" s="1"/>
  <c r="BT23" i="26" a="1"/>
  <c r="BT23" i="26" s="1"/>
  <c r="AZ23" i="7" s="1"/>
  <c r="BX23" i="26" a="1"/>
  <c r="BX23" i="26" s="1"/>
  <c r="BD23" i="7" s="1"/>
  <c r="BC23" i="26" a="1"/>
  <c r="BC23" i="26" s="1"/>
  <c r="AI23" i="7" s="1"/>
  <c r="BL22" i="26" a="1"/>
  <c r="BL22" i="26" s="1"/>
  <c r="AR22" i="7" s="1"/>
  <c r="BP22" i="26" a="1"/>
  <c r="BP22" i="26" s="1"/>
  <c r="AV22" i="7" s="1"/>
  <c r="CC22" i="26" a="1"/>
  <c r="CC22" i="26" s="1"/>
  <c r="BI22" i="7" s="1"/>
  <c r="BF22" i="26" a="1"/>
  <c r="BF22" i="26" s="1"/>
  <c r="AL22" i="7" s="1"/>
  <c r="BQ24" i="26" a="1"/>
  <c r="BQ24" i="26" s="1"/>
  <c r="AW24" i="7" s="1"/>
  <c r="BZ24" i="26" a="1"/>
  <c r="BZ24" i="26" s="1"/>
  <c r="BF24" i="7" s="1"/>
  <c r="BI24" i="26" a="1"/>
  <c r="BI24" i="26" s="1"/>
  <c r="AO24" i="7" s="1"/>
  <c r="CH21" i="26" a="1"/>
  <c r="CH21" i="26" s="1"/>
  <c r="BN21" i="7" s="1"/>
  <c r="BO21" i="26" a="1"/>
  <c r="BO21" i="26" s="1"/>
  <c r="AU21" i="7" s="1"/>
  <c r="BT21" i="26" a="1"/>
  <c r="BT21" i="26" s="1"/>
  <c r="AZ21" i="7" s="1"/>
  <c r="BX21" i="26" a="1"/>
  <c r="BX21" i="26" s="1"/>
  <c r="BD21" i="7" s="1"/>
  <c r="BC21" i="26" a="1"/>
  <c r="BC21" i="26" s="1"/>
  <c r="AI21" i="7" s="1"/>
  <c r="BL34" i="26" a="1"/>
  <c r="BL34" i="26" s="1"/>
  <c r="AR34" i="7" s="1"/>
  <c r="BL48" i="26" a="1"/>
  <c r="BL48" i="26" s="1"/>
  <c r="AR48" i="7" s="1"/>
  <c r="BP34" i="26" a="1"/>
  <c r="BP34" i="26" s="1"/>
  <c r="AV34" i="7" s="1"/>
  <c r="BP48" i="26" a="1"/>
  <c r="BP48" i="26" s="1"/>
  <c r="AV48" i="7" s="1"/>
  <c r="CC34" i="26" a="1"/>
  <c r="CC34" i="26" s="1"/>
  <c r="BI34" i="7" s="1"/>
  <c r="CC48" i="26" a="1"/>
  <c r="CC48" i="26" s="1"/>
  <c r="BI48" i="7" s="1"/>
  <c r="BF34" i="26" a="1"/>
  <c r="BF34" i="26" s="1"/>
  <c r="AL34" i="7" s="1"/>
  <c r="BF48" i="26" a="1"/>
  <c r="BF48" i="26" s="1"/>
  <c r="AL48" i="7" s="1"/>
  <c r="BQ20" i="26" a="1"/>
  <c r="BQ20" i="26" s="1"/>
  <c r="AW20" i="7" s="1"/>
  <c r="BZ20" i="26" a="1"/>
  <c r="BZ20" i="26" s="1"/>
  <c r="BF20" i="7" s="1"/>
  <c r="BI20" i="26" a="1"/>
  <c r="BI20" i="26" s="1"/>
  <c r="AO20" i="7" s="1"/>
  <c r="CE19" i="26" a="1"/>
  <c r="CE19" i="26" s="1"/>
  <c r="BK19" i="7" s="1"/>
  <c r="BJ19" i="26" a="1"/>
  <c r="BJ19" i="26" s="1"/>
  <c r="AP19" i="7" s="1"/>
  <c r="CH18" i="26" a="1"/>
  <c r="CH18" i="26" s="1"/>
  <c r="BN18" i="7" s="1"/>
  <c r="BO18" i="26" a="1"/>
  <c r="BO18" i="26" s="1"/>
  <c r="AU18" i="7" s="1"/>
  <c r="BT18" i="26" a="1"/>
  <c r="BT18" i="26" s="1"/>
  <c r="AZ18" i="7" s="1"/>
  <c r="BX18" i="26" a="1"/>
  <c r="BX18" i="26" s="1"/>
  <c r="BD18" i="7" s="1"/>
  <c r="BC18" i="26" a="1"/>
  <c r="BC18" i="26" s="1"/>
  <c r="AI18" i="7" s="1"/>
  <c r="BL16" i="26" a="1"/>
  <c r="BL16" i="26" s="1"/>
  <c r="AR16" i="7" s="1"/>
  <c r="BP16" i="26" a="1"/>
  <c r="BP16" i="26" s="1"/>
  <c r="AV16" i="7" s="1"/>
  <c r="CC16" i="26" a="1"/>
  <c r="CC16" i="26" s="1"/>
  <c r="BI16" i="7" s="1"/>
  <c r="BF16" i="26" a="1"/>
  <c r="BF16" i="26" s="1"/>
  <c r="AL16" i="7" s="1"/>
  <c r="BQ14" i="26" a="1"/>
  <c r="BQ14" i="26" s="1"/>
  <c r="AW14" i="7" s="1"/>
  <c r="BZ14" i="26" a="1"/>
  <c r="BZ14" i="26" s="1"/>
  <c r="BF14" i="7" s="1"/>
  <c r="BI14" i="26" a="1"/>
  <c r="BI14" i="26" s="1"/>
  <c r="AO14" i="7" s="1"/>
  <c r="CE17" i="26" a="1"/>
  <c r="CE17" i="26" s="1"/>
  <c r="BK17" i="7" s="1"/>
  <c r="BJ17" i="26" a="1"/>
  <c r="BJ17" i="26" s="1"/>
  <c r="AP17" i="7" s="1"/>
  <c r="CH15" i="26" a="1"/>
  <c r="CH15" i="26" s="1"/>
  <c r="BN15" i="7" s="1"/>
  <c r="BO15" i="26" a="1"/>
  <c r="BO15" i="26" s="1"/>
  <c r="AU15" i="7" s="1"/>
  <c r="BT15" i="26" a="1"/>
  <c r="BT15" i="26" s="1"/>
  <c r="AZ15" i="7" s="1"/>
  <c r="BX15" i="26" a="1"/>
  <c r="BX15" i="26" s="1"/>
  <c r="BD15" i="7" s="1"/>
  <c r="BC15" i="26" a="1"/>
  <c r="BC15" i="26" s="1"/>
  <c r="AI15" i="7" s="1"/>
  <c r="BL13" i="26" a="1"/>
  <c r="BL13" i="26" s="1"/>
  <c r="AR13" i="7" s="1"/>
  <c r="BP13" i="26" a="1"/>
  <c r="BP13" i="26" s="1"/>
  <c r="AV13" i="7" s="1"/>
  <c r="CC13" i="26" a="1"/>
  <c r="CC13" i="26" s="1"/>
  <c r="BI13" i="7" s="1"/>
  <c r="BF13" i="26" a="1"/>
  <c r="BF13" i="26" s="1"/>
  <c r="AL13" i="7" s="1"/>
  <c r="BQ9" i="26" a="1"/>
  <c r="BQ9" i="26" s="1"/>
  <c r="AW9" i="7" s="1"/>
  <c r="BZ9" i="26" a="1"/>
  <c r="BZ9" i="26" s="1"/>
  <c r="BF9" i="7" s="1"/>
  <c r="BI9" i="26" a="1"/>
  <c r="BI9" i="26" s="1"/>
  <c r="AO9" i="7" s="1"/>
  <c r="AJ12" i="26" a="1"/>
  <c r="AJ12" i="26" s="1"/>
  <c r="P12" i="7" s="1"/>
  <c r="AD12" i="26" a="1"/>
  <c r="AD12" i="26" s="1"/>
  <c r="J12" i="7" s="1"/>
  <c r="AI28" i="26" a="1"/>
  <c r="AI28" i="26" s="1"/>
  <c r="O28" i="7" s="1"/>
  <c r="AA28" i="26" a="1"/>
  <c r="AA28" i="26" s="1"/>
  <c r="G28" i="7" s="1"/>
  <c r="AF21" i="26" a="1"/>
  <c r="AF21" i="26" s="1"/>
  <c r="L21" i="7" s="1"/>
  <c r="Y21" i="26" a="1"/>
  <c r="Y21" i="26" s="1"/>
  <c r="E21" i="7" s="1"/>
  <c r="AI48" i="26" a="1"/>
  <c r="AI48" i="26" s="1"/>
  <c r="O48" i="7" s="1"/>
  <c r="AI34" i="26" a="1"/>
  <c r="AI34" i="26" s="1"/>
  <c r="O34" i="7" s="1"/>
  <c r="AA48" i="26" a="1"/>
  <c r="AA48" i="26" s="1"/>
  <c r="G48" i="7" s="1"/>
  <c r="AA34" i="26" a="1"/>
  <c r="AA34" i="26" s="1"/>
  <c r="G34" i="7" s="1"/>
  <c r="AJ20" i="26" a="1"/>
  <c r="AJ20" i="26" s="1"/>
  <c r="P20" i="7" s="1"/>
  <c r="AD20" i="26" a="1"/>
  <c r="AD20" i="26" s="1"/>
  <c r="J20" i="7" s="1"/>
  <c r="AC19" i="26" a="1"/>
  <c r="AC19" i="26" s="1"/>
  <c r="I19" i="7" s="1"/>
  <c r="AF18" i="26" a="1"/>
  <c r="AF18" i="26" s="1"/>
  <c r="L18" i="7" s="1"/>
  <c r="Y18" i="26" a="1"/>
  <c r="Y18" i="26" s="1"/>
  <c r="E18" i="7" s="1"/>
  <c r="AI16" i="26" a="1"/>
  <c r="AI16" i="26" s="1"/>
  <c r="O16" i="7" s="1"/>
  <c r="AA16" i="26" a="1"/>
  <c r="AA16" i="26" s="1"/>
  <c r="G16" i="7" s="1"/>
  <c r="AJ14" i="26" a="1"/>
  <c r="AJ14" i="26" s="1"/>
  <c r="P14" i="7" s="1"/>
  <c r="AD14" i="26" a="1"/>
  <c r="AD14" i="26" s="1"/>
  <c r="J14" i="7" s="1"/>
  <c r="AC17" i="26" a="1"/>
  <c r="AC17" i="26" s="1"/>
  <c r="I17" i="7" s="1"/>
  <c r="AF15" i="26" a="1"/>
  <c r="AF15" i="26" s="1"/>
  <c r="L15" i="7" s="1"/>
  <c r="Y15" i="26" a="1"/>
  <c r="Y15" i="26" s="1"/>
  <c r="E15" i="7" s="1"/>
  <c r="AI13" i="26" a="1"/>
  <c r="AI13" i="26" s="1"/>
  <c r="O13" i="7" s="1"/>
  <c r="AA13" i="26" a="1"/>
  <c r="AA13" i="26" s="1"/>
  <c r="G13" i="7" s="1"/>
  <c r="AJ9" i="26" a="1"/>
  <c r="AJ9" i="26" s="1"/>
  <c r="P9" i="7" s="1"/>
  <c r="AD9" i="26" a="1"/>
  <c r="AD9" i="26" s="1"/>
  <c r="J9" i="7" s="1"/>
  <c r="AW53" i="26" a="1"/>
  <c r="AW53" i="26" s="1"/>
  <c r="AC53" i="7" s="1"/>
  <c r="AQ53" i="26" a="1"/>
  <c r="AQ53" i="26" s="1"/>
  <c r="W53" i="7" s="1"/>
  <c r="BA85" i="26" a="1"/>
  <c r="BA85" i="26" s="1"/>
  <c r="AG85" i="7" s="1"/>
  <c r="BA81" i="26" a="1"/>
  <c r="BA81" i="26" s="1"/>
  <c r="AG81" i="7" s="1"/>
  <c r="AT85" i="26" a="1"/>
  <c r="AT85" i="26" s="1"/>
  <c r="Z85" i="7" s="1"/>
  <c r="AT81" i="26" a="1"/>
  <c r="AT81" i="26" s="1"/>
  <c r="Z81" i="7" s="1"/>
  <c r="BB10" i="26" a="1"/>
  <c r="BB10" i="26" s="1"/>
  <c r="AH10" i="7" s="1"/>
  <c r="AU10" i="26" a="1"/>
  <c r="AU10" i="26" s="1"/>
  <c r="AA10" i="7" s="1"/>
  <c r="AM10" i="26" a="1"/>
  <c r="AM10" i="26" s="1"/>
  <c r="S10" i="7" s="1"/>
  <c r="AS29" i="26" a="1"/>
  <c r="AS29" i="26" s="1"/>
  <c r="Y29" i="7" s="1"/>
  <c r="AV26" i="26" a="1"/>
  <c r="AV26" i="26" s="1"/>
  <c r="AB26" i="7" s="1"/>
  <c r="AW25" i="26" a="1"/>
  <c r="AW25" i="26" s="1"/>
  <c r="AC25" i="7" s="1"/>
  <c r="AQ25" i="26" a="1"/>
  <c r="AQ25" i="26" s="1"/>
  <c r="W25" i="7" s="1"/>
  <c r="BD12" i="26" a="1"/>
  <c r="BD12" i="26" s="1"/>
  <c r="AJ12" i="7" s="1"/>
  <c r="AO12" i="26" a="1"/>
  <c r="AO12" i="26" s="1"/>
  <c r="U12" i="7" s="1"/>
  <c r="AX28" i="26" a="1"/>
  <c r="AX28" i="26" s="1"/>
  <c r="AD28" i="7" s="1"/>
  <c r="AP28" i="26" a="1"/>
  <c r="AP28" i="26" s="1"/>
  <c r="V28" i="7" s="1"/>
  <c r="AZ27" i="26" a="1"/>
  <c r="AZ27" i="26" s="1"/>
  <c r="AF27" i="7" s="1"/>
  <c r="AS27" i="26" a="1"/>
  <c r="AS27" i="26" s="1"/>
  <c r="Y27" i="7" s="1"/>
  <c r="AW23" i="26" a="1"/>
  <c r="AW23" i="26" s="1"/>
  <c r="AC23" i="7" s="1"/>
  <c r="AQ23" i="26" a="1"/>
  <c r="AQ23" i="26" s="1"/>
  <c r="W23" i="7" s="1"/>
  <c r="BA22" i="26" a="1"/>
  <c r="BA22" i="26" s="1"/>
  <c r="AG22" i="7" s="1"/>
  <c r="AT22" i="26" a="1"/>
  <c r="AT22" i="26" s="1"/>
  <c r="Z22" i="7" s="1"/>
  <c r="BD24" i="26" a="1"/>
  <c r="BD24" i="26" s="1"/>
  <c r="AJ24" i="7" s="1"/>
  <c r="AO24" i="26" a="1"/>
  <c r="AO24" i="26" s="1"/>
  <c r="U24" i="7" s="1"/>
  <c r="BB21" i="26" a="1"/>
  <c r="BB21" i="26" s="1"/>
  <c r="AH21" i="7" s="1"/>
  <c r="AU21" i="26" a="1"/>
  <c r="AU21" i="26" s="1"/>
  <c r="AA21" i="7" s="1"/>
  <c r="AM21" i="26" a="1"/>
  <c r="AM21" i="26" s="1"/>
  <c r="S21" i="7" s="1"/>
  <c r="AX48" i="26" a="1"/>
  <c r="AX48" i="26" s="1"/>
  <c r="AD48" i="7" s="1"/>
  <c r="AX34" i="26" a="1"/>
  <c r="AX34" i="26" s="1"/>
  <c r="AD34" i="7" s="1"/>
  <c r="AP48" i="26" a="1"/>
  <c r="AP48" i="26" s="1"/>
  <c r="V48" i="7" s="1"/>
  <c r="AP34" i="26" a="1"/>
  <c r="AP34" i="26" s="1"/>
  <c r="V34" i="7" s="1"/>
  <c r="AZ20" i="26" a="1"/>
  <c r="AZ20" i="26" s="1"/>
  <c r="AF20" i="7" s="1"/>
  <c r="AS20" i="26" a="1"/>
  <c r="AS20" i="26" s="1"/>
  <c r="Y20" i="7" s="1"/>
  <c r="AV19" i="26" a="1"/>
  <c r="AV19" i="26" s="1"/>
  <c r="AB19" i="7" s="1"/>
  <c r="AW18" i="26" a="1"/>
  <c r="AW18" i="26" s="1"/>
  <c r="AC18" i="7" s="1"/>
  <c r="AQ18" i="26" a="1"/>
  <c r="AQ18" i="26" s="1"/>
  <c r="W18" i="7" s="1"/>
  <c r="BA16" i="26" a="1"/>
  <c r="BA16" i="26" s="1"/>
  <c r="AG16" i="7" s="1"/>
  <c r="AT16" i="26" a="1"/>
  <c r="AT16" i="26" s="1"/>
  <c r="Z16" i="7" s="1"/>
  <c r="BD14" i="26" a="1"/>
  <c r="BD14" i="26" s="1"/>
  <c r="AJ14" i="7" s="1"/>
  <c r="AO14" i="26" a="1"/>
  <c r="AO14" i="26" s="1"/>
  <c r="U14" i="7" s="1"/>
  <c r="AY17" i="26" a="1"/>
  <c r="AY17" i="26" s="1"/>
  <c r="AE17" i="7" s="1"/>
  <c r="AR17" i="26" a="1"/>
  <c r="AR17" i="26" s="1"/>
  <c r="X17" i="7" s="1"/>
  <c r="BB15" i="26" a="1"/>
  <c r="BB15" i="26" s="1"/>
  <c r="AH15" i="7" s="1"/>
  <c r="AU15" i="26" a="1"/>
  <c r="AU15" i="26" s="1"/>
  <c r="AA15" i="7" s="1"/>
  <c r="AM15" i="26" a="1"/>
  <c r="AM15" i="26" s="1"/>
  <c r="S15" i="7" s="1"/>
  <c r="AX13" i="26" a="1"/>
  <c r="AX13" i="26" s="1"/>
  <c r="AD13" i="7" s="1"/>
  <c r="AP13" i="26" a="1"/>
  <c r="AP13" i="26" s="1"/>
  <c r="V13" i="7" s="1"/>
  <c r="AZ9" i="26" a="1"/>
  <c r="AZ9" i="26" s="1"/>
  <c r="AF9" i="7" s="1"/>
  <c r="AS9" i="26" a="1"/>
  <c r="AS9" i="26" s="1"/>
  <c r="Y9" i="7" s="1"/>
  <c r="BK81" i="26" a="1"/>
  <c r="BK81" i="26" s="1"/>
  <c r="AQ81" i="7" s="1"/>
  <c r="BK85" i="26" a="1"/>
  <c r="BK85" i="26" s="1"/>
  <c r="AQ85" i="7" s="1"/>
  <c r="BY81" i="26" a="1"/>
  <c r="BY81" i="26" s="1"/>
  <c r="BE81" i="7" s="1"/>
  <c r="BY85" i="26" a="1"/>
  <c r="BY85" i="26" s="1"/>
  <c r="BE85" i="7" s="1"/>
  <c r="BE81" i="26" a="1"/>
  <c r="BE81" i="26" s="1"/>
  <c r="AK81" i="7" s="1"/>
  <c r="BE85" i="26" a="1"/>
  <c r="BE85" i="26" s="1"/>
  <c r="AK85" i="7" s="1"/>
  <c r="BK33" i="26" a="1"/>
  <c r="BK33" i="26" s="1"/>
  <c r="AQ33" i="7" s="1"/>
  <c r="BY33" i="26" a="1"/>
  <c r="BY33" i="26" s="1"/>
  <c r="BE33" i="7" s="1"/>
  <c r="BE33" i="26" a="1"/>
  <c r="BE33" i="26" s="1"/>
  <c r="AK33" i="7" s="1"/>
  <c r="BM30" i="26" a="1"/>
  <c r="BM30" i="26" s="1"/>
  <c r="AS30" i="7" s="1"/>
  <c r="CA30" i="26" a="1"/>
  <c r="CA30" i="26" s="1"/>
  <c r="BG30" i="7" s="1"/>
  <c r="BH30" i="26" a="1"/>
  <c r="BH30" i="26" s="1"/>
  <c r="AN30" i="7" s="1"/>
  <c r="BW32" i="26" a="1"/>
  <c r="BW32" i="26" s="1"/>
  <c r="BC32" i="7" s="1"/>
  <c r="CB32" i="26" a="1"/>
  <c r="CB32" i="26" s="1"/>
  <c r="BH32" i="7" s="1"/>
  <c r="BG32" i="26" a="1"/>
  <c r="BG32" i="26" s="1"/>
  <c r="AM32" i="7" s="1"/>
  <c r="BK31" i="26" a="1"/>
  <c r="BK31" i="26" s="1"/>
  <c r="AQ31" i="7" s="1"/>
  <c r="BY31" i="26" a="1"/>
  <c r="BY31" i="26" s="1"/>
  <c r="BE31" i="7" s="1"/>
  <c r="BE31" i="26" a="1"/>
  <c r="BE31" i="26" s="1"/>
  <c r="AK31" i="7" s="1"/>
  <c r="BM29" i="26" a="1"/>
  <c r="BM29" i="26" s="1"/>
  <c r="AS29" i="7" s="1"/>
  <c r="CA29" i="26" a="1"/>
  <c r="CA29" i="26" s="1"/>
  <c r="BG29" i="7" s="1"/>
  <c r="BH29" i="26" a="1"/>
  <c r="BH29" i="26" s="1"/>
  <c r="AN29" i="7" s="1"/>
  <c r="BW26" i="26" a="1"/>
  <c r="BW26" i="26" s="1"/>
  <c r="BC26" i="7" s="1"/>
  <c r="CB26" i="26" a="1"/>
  <c r="CB26" i="26" s="1"/>
  <c r="BH26" i="7" s="1"/>
  <c r="BG26" i="26" a="1"/>
  <c r="BG26" i="26" s="1"/>
  <c r="AM26" i="7" s="1"/>
  <c r="CF25" i="26" a="1"/>
  <c r="CF25" i="26" s="1"/>
  <c r="BL25" i="7" s="1"/>
  <c r="BR25" i="26" a="1"/>
  <c r="BR25" i="26" s="1"/>
  <c r="AX25" i="7" s="1"/>
  <c r="BN25" i="26" a="1"/>
  <c r="BN25" i="26" s="1"/>
  <c r="AT25" i="7" s="1"/>
  <c r="BM12" i="26" a="1"/>
  <c r="BM12" i="26" s="1"/>
  <c r="AS12" i="7" s="1"/>
  <c r="CA12" i="26" a="1"/>
  <c r="CA12" i="26" s="1"/>
  <c r="BG12" i="7" s="1"/>
  <c r="BH12" i="26" a="1"/>
  <c r="BH12" i="26" s="1"/>
  <c r="AN12" i="7" s="1"/>
  <c r="BK28" i="26" a="1"/>
  <c r="BK28" i="26" s="1"/>
  <c r="AQ28" i="7" s="1"/>
  <c r="BY28" i="26" a="1"/>
  <c r="BY28" i="26" s="1"/>
  <c r="BE28" i="7" s="1"/>
  <c r="BE28" i="26" a="1"/>
  <c r="BE28" i="26" s="1"/>
  <c r="AK28" i="7" s="1"/>
  <c r="BM27" i="26" a="1"/>
  <c r="BM27" i="26" s="1"/>
  <c r="AS27" i="7" s="1"/>
  <c r="CA27" i="26" a="1"/>
  <c r="CA27" i="26" s="1"/>
  <c r="BG27" i="7" s="1"/>
  <c r="BH27" i="26" a="1"/>
  <c r="BH27" i="26" s="1"/>
  <c r="AN27" i="7" s="1"/>
  <c r="CF23" i="26" a="1"/>
  <c r="CF23" i="26" s="1"/>
  <c r="BL23" i="7" s="1"/>
  <c r="BR23" i="26" a="1"/>
  <c r="BR23" i="26" s="1"/>
  <c r="AX23" i="7" s="1"/>
  <c r="BN23" i="26" a="1"/>
  <c r="BN23" i="26" s="1"/>
  <c r="AT23" i="7" s="1"/>
  <c r="BK22" i="26" a="1"/>
  <c r="BK22" i="26" s="1"/>
  <c r="AQ22" i="7" s="1"/>
  <c r="BY22" i="26" a="1"/>
  <c r="BY22" i="26" s="1"/>
  <c r="BE22" i="7" s="1"/>
  <c r="BE22" i="26" a="1"/>
  <c r="BE22" i="26" s="1"/>
  <c r="AK22" i="7" s="1"/>
  <c r="BM24" i="26" a="1"/>
  <c r="BM24" i="26" s="1"/>
  <c r="AS24" i="7" s="1"/>
  <c r="CA24" i="26" a="1"/>
  <c r="CA24" i="26" s="1"/>
  <c r="BG24" i="7" s="1"/>
  <c r="BH24" i="26" a="1"/>
  <c r="BH24" i="26" s="1"/>
  <c r="AN24" i="7" s="1"/>
  <c r="CF21" i="26" a="1"/>
  <c r="CF21" i="26" s="1"/>
  <c r="BL21" i="7" s="1"/>
  <c r="BR21" i="26" a="1"/>
  <c r="BR21" i="26" s="1"/>
  <c r="AX21" i="7" s="1"/>
  <c r="BN21" i="26" a="1"/>
  <c r="BN21" i="26" s="1"/>
  <c r="AT21" i="7" s="1"/>
  <c r="BK34" i="26" a="1"/>
  <c r="BK34" i="26" s="1"/>
  <c r="AQ34" i="7" s="1"/>
  <c r="BK48" i="26" a="1"/>
  <c r="BK48" i="26" s="1"/>
  <c r="AQ48" i="7" s="1"/>
  <c r="BY34" i="26" a="1"/>
  <c r="BY34" i="26" s="1"/>
  <c r="BE34" i="7" s="1"/>
  <c r="BY48" i="26" a="1"/>
  <c r="BY48" i="26" s="1"/>
  <c r="BE48" i="7" s="1"/>
  <c r="BE34" i="26" a="1"/>
  <c r="BE34" i="26" s="1"/>
  <c r="AK34" i="7" s="1"/>
  <c r="BE48" i="26" a="1"/>
  <c r="BE48" i="26" s="1"/>
  <c r="AK48" i="7" s="1"/>
  <c r="BM20" i="26" a="1"/>
  <c r="BM20" i="26" s="1"/>
  <c r="AS20" i="7" s="1"/>
  <c r="CA20" i="26" a="1"/>
  <c r="CA20" i="26" s="1"/>
  <c r="BG20" i="7" s="1"/>
  <c r="BH20" i="26" a="1"/>
  <c r="BH20" i="26" s="1"/>
  <c r="AN20" i="7" s="1"/>
  <c r="BW19" i="26" a="1"/>
  <c r="BW19" i="26" s="1"/>
  <c r="BC19" i="7" s="1"/>
  <c r="CB19" i="26" a="1"/>
  <c r="CB19" i="26" s="1"/>
  <c r="BH19" i="7" s="1"/>
  <c r="BG19" i="26" a="1"/>
  <c r="BG19" i="26" s="1"/>
  <c r="AM19" i="7" s="1"/>
  <c r="CF18" i="26" a="1"/>
  <c r="CF18" i="26" s="1"/>
  <c r="BL18" i="7" s="1"/>
  <c r="BR18" i="26" a="1"/>
  <c r="BR18" i="26" s="1"/>
  <c r="AX18" i="7" s="1"/>
  <c r="BN18" i="26" a="1"/>
  <c r="BN18" i="26" s="1"/>
  <c r="AT18" i="7" s="1"/>
  <c r="BK16" i="26" a="1"/>
  <c r="BK16" i="26" s="1"/>
  <c r="AQ16" i="7" s="1"/>
  <c r="BY16" i="26" a="1"/>
  <c r="BY16" i="26" s="1"/>
  <c r="BE16" i="7" s="1"/>
  <c r="BE16" i="26" a="1"/>
  <c r="BE16" i="26" s="1"/>
  <c r="AK16" i="7" s="1"/>
  <c r="BM14" i="26" a="1"/>
  <c r="BM14" i="26" s="1"/>
  <c r="AS14" i="7" s="1"/>
  <c r="CA14" i="26" a="1"/>
  <c r="CA14" i="26" s="1"/>
  <c r="BG14" i="7" s="1"/>
  <c r="BH14" i="26" a="1"/>
  <c r="BH14" i="26" s="1"/>
  <c r="AN14" i="7" s="1"/>
  <c r="BW17" i="26" a="1"/>
  <c r="BW17" i="26" s="1"/>
  <c r="BC17" i="7" s="1"/>
  <c r="CB17" i="26" a="1"/>
  <c r="CB17" i="26" s="1"/>
  <c r="BH17" i="7" s="1"/>
  <c r="BG17" i="26" a="1"/>
  <c r="BG17" i="26" s="1"/>
  <c r="AM17" i="7" s="1"/>
  <c r="CF15" i="26" a="1"/>
  <c r="CF15" i="26" s="1"/>
  <c r="BL15" i="7" s="1"/>
  <c r="BR15" i="26" a="1"/>
  <c r="BR15" i="26" s="1"/>
  <c r="AX15" i="7" s="1"/>
  <c r="BN15" i="26" a="1"/>
  <c r="BN15" i="26" s="1"/>
  <c r="AT15" i="7" s="1"/>
  <c r="BK13" i="26" a="1"/>
  <c r="BK13" i="26" s="1"/>
  <c r="AQ13" i="7" s="1"/>
  <c r="BY13" i="26" a="1"/>
  <c r="BY13" i="26" s="1"/>
  <c r="BE13" i="7" s="1"/>
  <c r="BE13" i="26" a="1"/>
  <c r="BE13" i="26" s="1"/>
  <c r="AK13" i="7" s="1"/>
  <c r="BM9" i="26" a="1"/>
  <c r="BM9" i="26" s="1"/>
  <c r="AS9" i="7" s="1"/>
  <c r="CA9" i="26" a="1"/>
  <c r="CA9" i="26" s="1"/>
  <c r="BG9" i="7" s="1"/>
  <c r="BH9" i="26" a="1"/>
  <c r="BH9" i="26" s="1"/>
  <c r="AN9" i="7" s="1"/>
  <c r="Z31" i="26" a="1"/>
  <c r="Z31" i="26" s="1"/>
  <c r="F31" i="7" s="1"/>
  <c r="AH29" i="26" a="1"/>
  <c r="AH29" i="26" s="1"/>
  <c r="N29" i="7" s="1"/>
  <c r="AB29" i="26" a="1"/>
  <c r="AB29" i="26" s="1"/>
  <c r="H29" i="7" s="1"/>
  <c r="AK26" i="26" a="1"/>
  <c r="AK26" i="26" s="1"/>
  <c r="Q26" i="7" s="1"/>
  <c r="AE26" i="26" a="1"/>
  <c r="AE26" i="26" s="1"/>
  <c r="K26" i="7" s="1"/>
  <c r="AL25" i="26" a="1"/>
  <c r="AL25" i="26" s="1"/>
  <c r="R25" i="7" s="1"/>
  <c r="AG25" i="26" a="1"/>
  <c r="AG25" i="26" s="1"/>
  <c r="M25" i="7" s="1"/>
  <c r="X25" i="26" a="1"/>
  <c r="X25" i="26" s="1"/>
  <c r="D25" i="7" s="1"/>
  <c r="AH12" i="26" a="1"/>
  <c r="AH12" i="26" s="1"/>
  <c r="N12" i="7" s="1"/>
  <c r="AB12" i="26" a="1"/>
  <c r="AB12" i="26" s="1"/>
  <c r="H12" i="7" s="1"/>
  <c r="Z28" i="26" a="1"/>
  <c r="Z28" i="26" s="1"/>
  <c r="F28" i="7" s="1"/>
  <c r="AH27" i="26" a="1"/>
  <c r="AH27" i="26" s="1"/>
  <c r="N27" i="7" s="1"/>
  <c r="AB27" i="26" a="1"/>
  <c r="AB27" i="26" s="1"/>
  <c r="H27" i="7" s="1"/>
  <c r="AL23" i="26" a="1"/>
  <c r="AL23" i="26" s="1"/>
  <c r="R23" i="7" s="1"/>
  <c r="AG23" i="26" a="1"/>
  <c r="AG23" i="26" s="1"/>
  <c r="M23" i="7" s="1"/>
  <c r="X23" i="26" a="1"/>
  <c r="X23" i="26" s="1"/>
  <c r="D23" i="7" s="1"/>
  <c r="Z22" i="26" a="1"/>
  <c r="Z22" i="26" s="1"/>
  <c r="F22" i="7" s="1"/>
  <c r="AH24" i="26" a="1"/>
  <c r="AH24" i="26" s="1"/>
  <c r="N24" i="7" s="1"/>
  <c r="AB24" i="26" a="1"/>
  <c r="AB24" i="26" s="1"/>
  <c r="H24" i="7" s="1"/>
  <c r="AL21" i="26" a="1"/>
  <c r="AL21" i="26" s="1"/>
  <c r="R21" i="7" s="1"/>
  <c r="AG21" i="26" a="1"/>
  <c r="AG21" i="26" s="1"/>
  <c r="M21" i="7" s="1"/>
  <c r="X21" i="26" a="1"/>
  <c r="X21" i="26" s="1"/>
  <c r="D21" i="7" s="1"/>
  <c r="Z34" i="26" a="1"/>
  <c r="Z34" i="26" s="1"/>
  <c r="F34" i="7" s="1"/>
  <c r="Z48" i="26" a="1"/>
  <c r="Z48" i="26" s="1"/>
  <c r="F48" i="7" s="1"/>
  <c r="AH20" i="26" a="1"/>
  <c r="AH20" i="26" s="1"/>
  <c r="N20" i="7" s="1"/>
  <c r="AB20" i="26" a="1"/>
  <c r="AB20" i="26" s="1"/>
  <c r="H20" i="7" s="1"/>
  <c r="AK19" i="26" a="1"/>
  <c r="AK19" i="26" s="1"/>
  <c r="Q19" i="7" s="1"/>
  <c r="AE19" i="26" a="1"/>
  <c r="AE19" i="26" s="1"/>
  <c r="K19" i="7" s="1"/>
  <c r="AL18" i="26" a="1"/>
  <c r="AL18" i="26" s="1"/>
  <c r="R18" i="7" s="1"/>
  <c r="AG18" i="26" a="1"/>
  <c r="AG18" i="26" s="1"/>
  <c r="M18" i="7" s="1"/>
  <c r="X18" i="26" a="1"/>
  <c r="X18" i="26" s="1"/>
  <c r="D18" i="7" s="1"/>
  <c r="Z16" i="26" a="1"/>
  <c r="Z16" i="26" s="1"/>
  <c r="F16" i="7" s="1"/>
  <c r="AH14" i="26" a="1"/>
  <c r="AH14" i="26" s="1"/>
  <c r="N14" i="7" s="1"/>
  <c r="AB14" i="26" a="1"/>
  <c r="AB14" i="26" s="1"/>
  <c r="H14" i="7" s="1"/>
  <c r="AK17" i="26" a="1"/>
  <c r="AK17" i="26" s="1"/>
  <c r="Q17" i="7" s="1"/>
  <c r="AE17" i="26" a="1"/>
  <c r="AE17" i="26" s="1"/>
  <c r="K17" i="7" s="1"/>
  <c r="AL15" i="26" a="1"/>
  <c r="AL15" i="26" s="1"/>
  <c r="R15" i="7" s="1"/>
  <c r="AG15" i="26" a="1"/>
  <c r="AG15" i="26" s="1"/>
  <c r="M15" i="7" s="1"/>
  <c r="X15" i="26" a="1"/>
  <c r="X15" i="26" s="1"/>
  <c r="D15" i="7" s="1"/>
  <c r="Z13" i="26" a="1"/>
  <c r="Z13" i="26" s="1"/>
  <c r="F13" i="7" s="1"/>
  <c r="AH9" i="26" a="1"/>
  <c r="AH9" i="26" s="1"/>
  <c r="N9" i="7" s="1"/>
  <c r="AB9" i="26" a="1"/>
  <c r="AB9" i="26" s="1"/>
  <c r="H9" i="7" s="1"/>
  <c r="AZ81" i="26" a="1"/>
  <c r="AZ81" i="26" s="1"/>
  <c r="AF81" i="7" s="1"/>
  <c r="AZ85" i="26" a="1"/>
  <c r="AZ85" i="26" s="1"/>
  <c r="AF85" i="7" s="1"/>
  <c r="AS81" i="26" a="1"/>
  <c r="AS81" i="26" s="1"/>
  <c r="Y81" i="7" s="1"/>
  <c r="AS85" i="26" a="1"/>
  <c r="AS85" i="26" s="1"/>
  <c r="Y85" i="7" s="1"/>
  <c r="BA10" i="26" a="1"/>
  <c r="BA10" i="26" s="1"/>
  <c r="AG10" i="7" s="1"/>
  <c r="AT10" i="26" a="1"/>
  <c r="AT10" i="26" s="1"/>
  <c r="Z10" i="7" s="1"/>
  <c r="AZ33" i="26" a="1"/>
  <c r="AZ33" i="26" s="1"/>
  <c r="AF33" i="7" s="1"/>
  <c r="AS33" i="26" a="1"/>
  <c r="AS33" i="26" s="1"/>
  <c r="Y33" i="7" s="1"/>
  <c r="AV30" i="26" a="1"/>
  <c r="AV30" i="26" s="1"/>
  <c r="AB30" i="7" s="1"/>
  <c r="AW32" i="26" a="1"/>
  <c r="AW32" i="26" s="1"/>
  <c r="AC32" i="7" s="1"/>
  <c r="AQ32" i="26" a="1"/>
  <c r="AQ32" i="26" s="1"/>
  <c r="W32" i="7" s="1"/>
  <c r="BD31" i="26" a="1"/>
  <c r="BD31" i="26" s="1"/>
  <c r="AJ31" i="7" s="1"/>
  <c r="AO31" i="26" a="1"/>
  <c r="AO31" i="26" s="1"/>
  <c r="U31" i="7" s="1"/>
  <c r="AY29" i="26" a="1"/>
  <c r="AY29" i="26" s="1"/>
  <c r="AE29" i="7" s="1"/>
  <c r="AR29" i="26" a="1"/>
  <c r="AR29" i="26" s="1"/>
  <c r="X29" i="7" s="1"/>
  <c r="BB26" i="26" a="1"/>
  <c r="BB26" i="26" s="1"/>
  <c r="AH26" i="7" s="1"/>
  <c r="AU26" i="26" a="1"/>
  <c r="AU26" i="26" s="1"/>
  <c r="AA26" i="7" s="1"/>
  <c r="AM26" i="26" a="1"/>
  <c r="AM26" i="26" s="1"/>
  <c r="S26" i="7" s="1"/>
  <c r="AX25" i="26" a="1"/>
  <c r="AX25" i="26" s="1"/>
  <c r="AD25" i="7" s="1"/>
  <c r="AP25" i="26" a="1"/>
  <c r="AP25" i="26" s="1"/>
  <c r="V25" i="7" s="1"/>
  <c r="AV12" i="26" a="1"/>
  <c r="AV12" i="26" s="1"/>
  <c r="AB12" i="7" s="1"/>
  <c r="BD28" i="26" a="1"/>
  <c r="BD28" i="26" s="1"/>
  <c r="AJ28" i="7" s="1"/>
  <c r="AO28" i="26" a="1"/>
  <c r="AO28" i="26" s="1"/>
  <c r="U28" i="7" s="1"/>
  <c r="AY27" i="26" a="1"/>
  <c r="AY27" i="26" s="1"/>
  <c r="AE27" i="7" s="1"/>
  <c r="AR27" i="26" a="1"/>
  <c r="AR27" i="26" s="1"/>
  <c r="X27" i="7" s="1"/>
  <c r="AX23" i="26" a="1"/>
  <c r="AX23" i="26" s="1"/>
  <c r="AD23" i="7" s="1"/>
  <c r="AP23" i="26" a="1"/>
  <c r="AP23" i="26" s="1"/>
  <c r="V23" i="7" s="1"/>
  <c r="AZ22" i="26" a="1"/>
  <c r="AZ22" i="26" s="1"/>
  <c r="AF22" i="7" s="1"/>
  <c r="AS22" i="26" a="1"/>
  <c r="AS22" i="26" s="1"/>
  <c r="Y22" i="7" s="1"/>
  <c r="AV24" i="26" a="1"/>
  <c r="AV24" i="26" s="1"/>
  <c r="AB24" i="7" s="1"/>
  <c r="BD34" i="26" a="1"/>
  <c r="BD34" i="26" s="1"/>
  <c r="AJ34" i="7" s="1"/>
  <c r="BD48" i="26" a="1"/>
  <c r="BD48" i="26" s="1"/>
  <c r="AJ48" i="7" s="1"/>
  <c r="AO48" i="26" a="1"/>
  <c r="AO48" i="26" s="1"/>
  <c r="U48" i="7" s="1"/>
  <c r="AO34" i="26" a="1"/>
  <c r="AO34" i="26" s="1"/>
  <c r="U34" i="7" s="1"/>
  <c r="AU19" i="26" a="1"/>
  <c r="AU19" i="26" s="1"/>
  <c r="AA19" i="7" s="1"/>
  <c r="AM19" i="26" a="1"/>
  <c r="AM19" i="26" s="1"/>
  <c r="S19" i="7" s="1"/>
  <c r="AX18" i="26" a="1"/>
  <c r="AX18" i="26" s="1"/>
  <c r="AD18" i="7" s="1"/>
  <c r="AP18" i="26" a="1"/>
  <c r="AP18" i="26" s="1"/>
  <c r="V18" i="7" s="1"/>
  <c r="AZ16" i="26" a="1"/>
  <c r="AZ16" i="26" s="1"/>
  <c r="AF16" i="7" s="1"/>
  <c r="AS16" i="26" a="1"/>
  <c r="AS16" i="26" s="1"/>
  <c r="Y16" i="7" s="1"/>
  <c r="AV14" i="26" a="1"/>
  <c r="AV14" i="26" s="1"/>
  <c r="AB14" i="7" s="1"/>
  <c r="AW17" i="26" a="1"/>
  <c r="AW17" i="26" s="1"/>
  <c r="AC17" i="7" s="1"/>
  <c r="AQ17" i="26" a="1"/>
  <c r="AQ17" i="26" s="1"/>
  <c r="W17" i="7" s="1"/>
  <c r="BA15" i="26" a="1"/>
  <c r="BA15" i="26" s="1"/>
  <c r="AG15" i="7" s="1"/>
  <c r="AT15" i="26" a="1"/>
  <c r="AT15" i="26" s="1"/>
  <c r="Z15" i="7" s="1"/>
  <c r="BD13" i="26" a="1"/>
  <c r="BD13" i="26" s="1"/>
  <c r="AJ13" i="7" s="1"/>
  <c r="AO13" i="26" a="1"/>
  <c r="AO13" i="26" s="1"/>
  <c r="U13" i="7" s="1"/>
  <c r="AY9" i="26" a="1"/>
  <c r="AY9" i="26" s="1"/>
  <c r="AE9" i="7" s="1"/>
  <c r="AR9" i="26" a="1"/>
  <c r="AR9" i="26" s="1"/>
  <c r="X9" i="7" s="1"/>
  <c r="CE53" i="26" a="1"/>
  <c r="CE53" i="26" s="1"/>
  <c r="BK53" i="7" s="1"/>
  <c r="BJ53" i="26" a="1"/>
  <c r="BJ53" i="26" s="1"/>
  <c r="AP53" i="7" s="1"/>
  <c r="CH81" i="26" a="1"/>
  <c r="CH81" i="26" s="1"/>
  <c r="BN81" i="7" s="1"/>
  <c r="CH85" i="26" a="1"/>
  <c r="CH85" i="26" s="1"/>
  <c r="BN85" i="7" s="1"/>
  <c r="BO81" i="26" a="1"/>
  <c r="BO81" i="26" s="1"/>
  <c r="AU81" i="7" s="1"/>
  <c r="BO85" i="26" a="1"/>
  <c r="BO85" i="26" s="1"/>
  <c r="AU85" i="7" s="1"/>
  <c r="BT81" i="26" a="1"/>
  <c r="BT81" i="26" s="1"/>
  <c r="AZ81" i="7" s="1"/>
  <c r="BT85" i="26" a="1"/>
  <c r="BT85" i="26" s="1"/>
  <c r="AZ85" i="7" s="1"/>
  <c r="BX81" i="26" a="1"/>
  <c r="BX81" i="26" s="1"/>
  <c r="BD81" i="7" s="1"/>
  <c r="BX85" i="26" a="1"/>
  <c r="BX85" i="26" s="1"/>
  <c r="BD85" i="7" s="1"/>
  <c r="BC81" i="26" a="1"/>
  <c r="BC81" i="26" s="1"/>
  <c r="AI81" i="7" s="1"/>
  <c r="BC85" i="26" a="1"/>
  <c r="BC85" i="26" s="1"/>
  <c r="AI85" i="7" s="1"/>
  <c r="CE10" i="26" a="1"/>
  <c r="CE10" i="26" s="1"/>
  <c r="BK10" i="7" s="1"/>
  <c r="BJ10" i="26" a="1"/>
  <c r="BJ10" i="26" s="1"/>
  <c r="AP10" i="7" s="1"/>
  <c r="CH33" i="26" a="1"/>
  <c r="CH33" i="26" s="1"/>
  <c r="BN33" i="7" s="1"/>
  <c r="BO33" i="26" a="1"/>
  <c r="BO33" i="26" s="1"/>
  <c r="AU33" i="7" s="1"/>
  <c r="BT33" i="26" a="1"/>
  <c r="BT33" i="26" s="1"/>
  <c r="AZ33" i="7" s="1"/>
  <c r="BX33" i="26" a="1"/>
  <c r="BX33" i="26" s="1"/>
  <c r="BD33" i="7" s="1"/>
  <c r="BC33" i="26" a="1"/>
  <c r="BC33" i="26" s="1"/>
  <c r="AI33" i="7" s="1"/>
  <c r="BL30" i="26" a="1"/>
  <c r="BL30" i="26" s="1"/>
  <c r="AR30" i="7" s="1"/>
  <c r="BP30" i="26" a="1"/>
  <c r="BP30" i="26" s="1"/>
  <c r="AV30" i="7" s="1"/>
  <c r="CC30" i="26" a="1"/>
  <c r="CC30" i="26" s="1"/>
  <c r="BI30" i="7" s="1"/>
  <c r="BF30" i="26" a="1"/>
  <c r="BF30" i="26" s="1"/>
  <c r="AL30" i="7" s="1"/>
  <c r="BQ32" i="26" a="1"/>
  <c r="BQ32" i="26" s="1"/>
  <c r="AW32" i="7" s="1"/>
  <c r="BZ32" i="26" a="1"/>
  <c r="BZ32" i="26" s="1"/>
  <c r="BF32" i="7" s="1"/>
  <c r="BI32" i="26" a="1"/>
  <c r="BI32" i="26" s="1"/>
  <c r="AO32" i="7" s="1"/>
  <c r="CH31" i="26" a="1"/>
  <c r="CH31" i="26" s="1"/>
  <c r="BN31" i="7" s="1"/>
  <c r="BO31" i="26" a="1"/>
  <c r="BO31" i="26" s="1"/>
  <c r="AU31" i="7" s="1"/>
  <c r="BT31" i="26" a="1"/>
  <c r="BT31" i="26" s="1"/>
  <c r="AZ31" i="7" s="1"/>
  <c r="BX31" i="26" a="1"/>
  <c r="BX31" i="26" s="1"/>
  <c r="BD31" i="7" s="1"/>
  <c r="BC31" i="26" a="1"/>
  <c r="BC31" i="26" s="1"/>
  <c r="AI31" i="7" s="1"/>
  <c r="BL29" i="26" a="1"/>
  <c r="BL29" i="26" s="1"/>
  <c r="AR29" i="7" s="1"/>
  <c r="BP29" i="26" a="1"/>
  <c r="BP29" i="26" s="1"/>
  <c r="AV29" i="7" s="1"/>
  <c r="CC29" i="26" a="1"/>
  <c r="CC29" i="26" s="1"/>
  <c r="BI29" i="7" s="1"/>
  <c r="BF29" i="26" a="1"/>
  <c r="BF29" i="26" s="1"/>
  <c r="AL29" i="7" s="1"/>
  <c r="BQ26" i="26" a="1"/>
  <c r="BQ26" i="26" s="1"/>
  <c r="AW26" i="7" s="1"/>
  <c r="BZ26" i="26" a="1"/>
  <c r="BZ26" i="26" s="1"/>
  <c r="BF26" i="7" s="1"/>
  <c r="BI26" i="26" a="1"/>
  <c r="BI26" i="26" s="1"/>
  <c r="AO26" i="7" s="1"/>
  <c r="CE25" i="26" a="1"/>
  <c r="CE25" i="26" s="1"/>
  <c r="BK25" i="7" s="1"/>
  <c r="BJ25" i="26" a="1"/>
  <c r="BJ25" i="26" s="1"/>
  <c r="AP25" i="7" s="1"/>
  <c r="BL12" i="26" a="1"/>
  <c r="BL12" i="26" s="1"/>
  <c r="AR12" i="7" s="1"/>
  <c r="BP12" i="26" a="1"/>
  <c r="BP12" i="26" s="1"/>
  <c r="AV12" i="7" s="1"/>
  <c r="CC12" i="26" a="1"/>
  <c r="CC12" i="26" s="1"/>
  <c r="BI12" i="7" s="1"/>
  <c r="BF12" i="26" a="1"/>
  <c r="BF12" i="26" s="1"/>
  <c r="AL12" i="7" s="1"/>
  <c r="CH28" i="26" a="1"/>
  <c r="CH28" i="26" s="1"/>
  <c r="BN28" i="7" s="1"/>
  <c r="BO28" i="26" a="1"/>
  <c r="BO28" i="26" s="1"/>
  <c r="AU28" i="7" s="1"/>
  <c r="BT28" i="26" a="1"/>
  <c r="BT28" i="26" s="1"/>
  <c r="AZ28" i="7" s="1"/>
  <c r="BX28" i="26" a="1"/>
  <c r="BX28" i="26" s="1"/>
  <c r="BD28" i="7" s="1"/>
  <c r="BC28" i="26" a="1"/>
  <c r="BC28" i="26" s="1"/>
  <c r="AI28" i="7" s="1"/>
  <c r="BL27" i="26" a="1"/>
  <c r="BL27" i="26" s="1"/>
  <c r="AR27" i="7" s="1"/>
  <c r="BP27" i="26" a="1"/>
  <c r="BP27" i="26" s="1"/>
  <c r="AV27" i="7" s="1"/>
  <c r="CC27" i="26" a="1"/>
  <c r="CC27" i="26" s="1"/>
  <c r="BI27" i="7" s="1"/>
  <c r="BF27" i="26" a="1"/>
  <c r="BF27" i="26" s="1"/>
  <c r="AL27" i="7" s="1"/>
  <c r="CE23" i="26" a="1"/>
  <c r="CE23" i="26" s="1"/>
  <c r="BK23" i="7" s="1"/>
  <c r="BJ23" i="26" a="1"/>
  <c r="BJ23" i="26" s="1"/>
  <c r="AP23" i="7" s="1"/>
  <c r="CH22" i="26" a="1"/>
  <c r="CH22" i="26" s="1"/>
  <c r="BN22" i="7" s="1"/>
  <c r="BO22" i="26" a="1"/>
  <c r="BO22" i="26" s="1"/>
  <c r="AU22" i="7" s="1"/>
  <c r="BT22" i="26" a="1"/>
  <c r="BT22" i="26" s="1"/>
  <c r="AZ22" i="7" s="1"/>
  <c r="BX22" i="26" a="1"/>
  <c r="BX22" i="26" s="1"/>
  <c r="BD22" i="7" s="1"/>
  <c r="BC22" i="26" a="1"/>
  <c r="BC22" i="26" s="1"/>
  <c r="AI22" i="7" s="1"/>
  <c r="BL24" i="26" a="1"/>
  <c r="BL24" i="26" s="1"/>
  <c r="AR24" i="7" s="1"/>
  <c r="BP24" i="26" a="1"/>
  <c r="BP24" i="26" s="1"/>
  <c r="AV24" i="7" s="1"/>
  <c r="CC24" i="26" a="1"/>
  <c r="CC24" i="26" s="1"/>
  <c r="BI24" i="7" s="1"/>
  <c r="BF24" i="26" a="1"/>
  <c r="BF24" i="26" s="1"/>
  <c r="AL24" i="7" s="1"/>
  <c r="CE21" i="26" a="1"/>
  <c r="CE21" i="26" s="1"/>
  <c r="BK21" i="7" s="1"/>
  <c r="BJ21" i="26" a="1"/>
  <c r="BJ21" i="26" s="1"/>
  <c r="AP21" i="7" s="1"/>
  <c r="CH48" i="26" a="1"/>
  <c r="CH48" i="26" s="1"/>
  <c r="BN48" i="7" s="1"/>
  <c r="CH34" i="26" a="1"/>
  <c r="CH34" i="26" s="1"/>
  <c r="BN34" i="7" s="1"/>
  <c r="BO34" i="26" a="1"/>
  <c r="BO34" i="26" s="1"/>
  <c r="AU34" i="7" s="1"/>
  <c r="BO48" i="26" a="1"/>
  <c r="BO48" i="26" s="1"/>
  <c r="AU48" i="7" s="1"/>
  <c r="BT34" i="26" a="1"/>
  <c r="BT34" i="26" s="1"/>
  <c r="AZ34" i="7" s="1"/>
  <c r="BT48" i="26" a="1"/>
  <c r="BT48" i="26" s="1"/>
  <c r="AZ48" i="7" s="1"/>
  <c r="BX34" i="26" a="1"/>
  <c r="BX34" i="26" s="1"/>
  <c r="BD34" i="7" s="1"/>
  <c r="BX48" i="26" a="1"/>
  <c r="BX48" i="26" s="1"/>
  <c r="BD48" i="7" s="1"/>
  <c r="BC34" i="26" a="1"/>
  <c r="BC34" i="26" s="1"/>
  <c r="AI34" i="7" s="1"/>
  <c r="BC48" i="26" a="1"/>
  <c r="BC48" i="26" s="1"/>
  <c r="AI48" i="7" s="1"/>
  <c r="BL20" i="26" a="1"/>
  <c r="BL20" i="26" s="1"/>
  <c r="AR20" i="7" s="1"/>
  <c r="CC20" i="26" a="1"/>
  <c r="CC20" i="26" s="1"/>
  <c r="BI20" i="7" s="1"/>
  <c r="BF20" i="26" a="1"/>
  <c r="BF20" i="26" s="1"/>
  <c r="AL20" i="7" s="1"/>
  <c r="BZ19" i="26" a="1"/>
  <c r="BZ19" i="26" s="1"/>
  <c r="BF19" i="7" s="1"/>
  <c r="BI19" i="26" a="1"/>
  <c r="BI19" i="26" s="1"/>
  <c r="AO19" i="7" s="1"/>
  <c r="CE18" i="26" a="1"/>
  <c r="CE18" i="26" s="1"/>
  <c r="BK18" i="7" s="1"/>
  <c r="BJ18" i="26" a="1"/>
  <c r="BJ18" i="26" s="1"/>
  <c r="AP18" i="7" s="1"/>
  <c r="CH16" i="26" a="1"/>
  <c r="CH16" i="26" s="1"/>
  <c r="BN16" i="7" s="1"/>
  <c r="BO16" i="26" a="1"/>
  <c r="BO16" i="26" s="1"/>
  <c r="AU16" i="7" s="1"/>
  <c r="BT16" i="26" a="1"/>
  <c r="BT16" i="26" s="1"/>
  <c r="AZ16" i="7" s="1"/>
  <c r="BX16" i="26" a="1"/>
  <c r="BX16" i="26" s="1"/>
  <c r="BD16" i="7" s="1"/>
  <c r="BC16" i="26" a="1"/>
  <c r="BC16" i="26" s="1"/>
  <c r="AI16" i="7" s="1"/>
  <c r="BL14" i="26" a="1"/>
  <c r="BL14" i="26" s="1"/>
  <c r="AR14" i="7" s="1"/>
  <c r="CC14" i="26" a="1"/>
  <c r="CC14" i="26" s="1"/>
  <c r="BI14" i="7" s="1"/>
  <c r="BF14" i="26" a="1"/>
  <c r="BF14" i="26" s="1"/>
  <c r="AL14" i="7" s="1"/>
  <c r="BZ17" i="26" a="1"/>
  <c r="BZ17" i="26" s="1"/>
  <c r="BF17" i="7" s="1"/>
  <c r="BI17" i="26" a="1"/>
  <c r="BI17" i="26" s="1"/>
  <c r="AO17" i="7" s="1"/>
  <c r="CE15" i="26" a="1"/>
  <c r="CE15" i="26" s="1"/>
  <c r="BK15" i="7" s="1"/>
  <c r="BJ15" i="26" a="1"/>
  <c r="BJ15" i="26" s="1"/>
  <c r="AP15" i="7" s="1"/>
  <c r="CH13" i="26" a="1"/>
  <c r="CH13" i="26" s="1"/>
  <c r="BN13" i="7" s="1"/>
  <c r="BO13" i="26" a="1"/>
  <c r="BO13" i="26" s="1"/>
  <c r="AU13" i="7" s="1"/>
  <c r="BT13" i="26" a="1"/>
  <c r="BT13" i="26" s="1"/>
  <c r="AZ13" i="7" s="1"/>
  <c r="BX13" i="26" a="1"/>
  <c r="BX13" i="26" s="1"/>
  <c r="BD13" i="7" s="1"/>
  <c r="BC13" i="26" a="1"/>
  <c r="BC13" i="26" s="1"/>
  <c r="AI13" i="7" s="1"/>
  <c r="BL9" i="26" a="1"/>
  <c r="BL9" i="26" s="1"/>
  <c r="AR9" i="7" s="1"/>
  <c r="BP9" i="26" a="1"/>
  <c r="BP9" i="26" s="1"/>
  <c r="AV9" i="7" s="1"/>
  <c r="CC9" i="26" a="1"/>
  <c r="CC9" i="26" s="1"/>
  <c r="BI9" i="7" s="1"/>
  <c r="BF9" i="26" a="1"/>
  <c r="BF9" i="26" s="1"/>
  <c r="AL9" i="7" s="1"/>
  <c r="BD53" i="26" a="1"/>
  <c r="BD53" i="26" s="1"/>
  <c r="AJ53" i="7" s="1"/>
  <c r="AO53" i="26" a="1"/>
  <c r="AO53" i="26" s="1"/>
  <c r="U53" i="7" s="1"/>
  <c r="AY85" i="26" a="1"/>
  <c r="AY85" i="26" s="1"/>
  <c r="AE85" i="7" s="1"/>
  <c r="AY81" i="26" a="1"/>
  <c r="AY81" i="26" s="1"/>
  <c r="AE81" i="7" s="1"/>
  <c r="AR81" i="26" a="1"/>
  <c r="AR81" i="26" s="1"/>
  <c r="X81" i="7" s="1"/>
  <c r="AR85" i="26" a="1"/>
  <c r="AR85" i="26" s="1"/>
  <c r="X85" i="7" s="1"/>
  <c r="AZ10" i="26" a="1"/>
  <c r="AZ10" i="26" s="1"/>
  <c r="AF10" i="7" s="1"/>
  <c r="AS10" i="26" a="1"/>
  <c r="AS10" i="26" s="1"/>
  <c r="Y10" i="7" s="1"/>
  <c r="BB12" i="26" a="1"/>
  <c r="BB12" i="26" s="1"/>
  <c r="AH12" i="7" s="1"/>
  <c r="AU12" i="26" a="1"/>
  <c r="AU12" i="26" s="1"/>
  <c r="AA12" i="7" s="1"/>
  <c r="AM12" i="26" a="1"/>
  <c r="AM12" i="26" s="1"/>
  <c r="S12" i="7" s="1"/>
  <c r="AR22" i="26" a="1"/>
  <c r="AR22" i="26" s="1"/>
  <c r="X22" i="7" s="1"/>
  <c r="BB24" i="26" a="1"/>
  <c r="BB24" i="26" s="1"/>
  <c r="AH24" i="7" s="1"/>
  <c r="AU24" i="26" a="1"/>
  <c r="AU24" i="26" s="1"/>
  <c r="AA24" i="7" s="1"/>
  <c r="AM24" i="26" a="1"/>
  <c r="AM24" i="26" s="1"/>
  <c r="S24" i="7" s="1"/>
  <c r="AZ21" i="26" a="1"/>
  <c r="AZ21" i="26" s="1"/>
  <c r="AF21" i="7" s="1"/>
  <c r="AS21" i="26" a="1"/>
  <c r="AS21" i="26" s="1"/>
  <c r="Y21" i="7" s="1"/>
  <c r="AV48" i="26" a="1"/>
  <c r="AV48" i="26" s="1"/>
  <c r="AB48" i="7" s="1"/>
  <c r="AV34" i="26" a="1"/>
  <c r="AV34" i="26" s="1"/>
  <c r="AB34" i="7" s="1"/>
  <c r="AW20" i="26" a="1"/>
  <c r="AW20" i="26" s="1"/>
  <c r="AC20" i="7" s="1"/>
  <c r="AQ20" i="26" a="1"/>
  <c r="AQ20" i="26" s="1"/>
  <c r="W20" i="7" s="1"/>
  <c r="BA19" i="26" a="1"/>
  <c r="BA19" i="26" s="1"/>
  <c r="AG19" i="7" s="1"/>
  <c r="AT19" i="26" a="1"/>
  <c r="AT19" i="26" s="1"/>
  <c r="Z19" i="7" s="1"/>
  <c r="BD18" i="26" a="1"/>
  <c r="BD18" i="26" s="1"/>
  <c r="AJ18" i="7" s="1"/>
  <c r="AO18" i="26" a="1"/>
  <c r="AO18" i="26" s="1"/>
  <c r="U18" i="7" s="1"/>
  <c r="AY16" i="26" a="1"/>
  <c r="AY16" i="26" s="1"/>
  <c r="AE16" i="7" s="1"/>
  <c r="AR16" i="26" a="1"/>
  <c r="AR16" i="26" s="1"/>
  <c r="X16" i="7" s="1"/>
  <c r="BB14" i="26" a="1"/>
  <c r="BB14" i="26" s="1"/>
  <c r="AH14" i="7" s="1"/>
  <c r="AU14" i="26" a="1"/>
  <c r="AU14" i="26" s="1"/>
  <c r="AA14" i="7" s="1"/>
  <c r="AM14" i="26" a="1"/>
  <c r="AM14" i="26" s="1"/>
  <c r="S14" i="7" s="1"/>
  <c r="AX17" i="26" a="1"/>
  <c r="AX17" i="26" s="1"/>
  <c r="AD17" i="7" s="1"/>
  <c r="AP17" i="26" a="1"/>
  <c r="AP17" i="26" s="1"/>
  <c r="V17" i="7" s="1"/>
  <c r="AZ15" i="26" a="1"/>
  <c r="AZ15" i="26" s="1"/>
  <c r="AF15" i="7" s="1"/>
  <c r="AS15" i="26" a="1"/>
  <c r="AS15" i="26" s="1"/>
  <c r="Y15" i="7" s="1"/>
  <c r="AV13" i="26" a="1"/>
  <c r="AV13" i="26" s="1"/>
  <c r="AB13" i="7" s="1"/>
  <c r="AW9" i="26" a="1"/>
  <c r="AW9" i="26" s="1"/>
  <c r="AC9" i="7" s="1"/>
  <c r="AQ9" i="26" a="1"/>
  <c r="AQ9" i="26" s="1"/>
  <c r="W9" i="7" s="1"/>
  <c r="BW53" i="26" a="1"/>
  <c r="BW53" i="26" s="1"/>
  <c r="BC53" i="7" s="1"/>
  <c r="CB53" i="26" a="1"/>
  <c r="CB53" i="26" s="1"/>
  <c r="BH53" i="7" s="1"/>
  <c r="BG53" i="26" a="1"/>
  <c r="BG53" i="26" s="1"/>
  <c r="AM53" i="7" s="1"/>
  <c r="CF85" i="26" a="1"/>
  <c r="CF85" i="26" s="1"/>
  <c r="BL85" i="7" s="1"/>
  <c r="CF81" i="26" a="1"/>
  <c r="CF81" i="26" s="1"/>
  <c r="BL81" i="7" s="1"/>
  <c r="BR81" i="26" a="1"/>
  <c r="BR81" i="26" s="1"/>
  <c r="AX81" i="7" s="1"/>
  <c r="BR85" i="26" a="1"/>
  <c r="BR85" i="26" s="1"/>
  <c r="AX85" i="7" s="1"/>
  <c r="BN85" i="26" a="1"/>
  <c r="BN85" i="26" s="1"/>
  <c r="AT85" i="7" s="1"/>
  <c r="BN81" i="26" a="1"/>
  <c r="BN81" i="26" s="1"/>
  <c r="AT81" i="7" s="1"/>
  <c r="BW10" i="26" a="1"/>
  <c r="BW10" i="26" s="1"/>
  <c r="BC10" i="7" s="1"/>
  <c r="CB10" i="26" a="1"/>
  <c r="CB10" i="26" s="1"/>
  <c r="BH10" i="7" s="1"/>
  <c r="BG10" i="26" a="1"/>
  <c r="BG10" i="26" s="1"/>
  <c r="AM10" i="7" s="1"/>
  <c r="CF33" i="26" a="1"/>
  <c r="CF33" i="26" s="1"/>
  <c r="BL33" i="7" s="1"/>
  <c r="BR33" i="26" a="1"/>
  <c r="BR33" i="26" s="1"/>
  <c r="AX33" i="7" s="1"/>
  <c r="BN33" i="26" a="1"/>
  <c r="BN33" i="26" s="1"/>
  <c r="AT33" i="7" s="1"/>
  <c r="BK30" i="26" a="1"/>
  <c r="BK30" i="26" s="1"/>
  <c r="AQ30" i="7" s="1"/>
  <c r="BY30" i="26" a="1"/>
  <c r="BY30" i="26" s="1"/>
  <c r="BE30" i="7" s="1"/>
  <c r="BE30" i="26" a="1"/>
  <c r="BE30" i="26" s="1"/>
  <c r="AK30" i="7" s="1"/>
  <c r="BM32" i="26" a="1"/>
  <c r="BM32" i="26" s="1"/>
  <c r="AS32" i="7" s="1"/>
  <c r="CA32" i="26" a="1"/>
  <c r="CA32" i="26" s="1"/>
  <c r="BG32" i="7" s="1"/>
  <c r="BH32" i="26" a="1"/>
  <c r="BH32" i="26" s="1"/>
  <c r="AN32" i="7" s="1"/>
  <c r="CF31" i="26" a="1"/>
  <c r="CF31" i="26" s="1"/>
  <c r="BL31" i="7" s="1"/>
  <c r="BR31" i="26" a="1"/>
  <c r="BR31" i="26" s="1"/>
  <c r="AX31" i="7" s="1"/>
  <c r="BN31" i="26" a="1"/>
  <c r="BN31" i="26" s="1"/>
  <c r="AT31" i="7" s="1"/>
  <c r="BK29" i="26" a="1"/>
  <c r="BK29" i="26" s="1"/>
  <c r="AQ29" i="7" s="1"/>
  <c r="BY29" i="26" a="1"/>
  <c r="BY29" i="26" s="1"/>
  <c r="BE29" i="7" s="1"/>
  <c r="BE29" i="26" a="1"/>
  <c r="BE29" i="26" s="1"/>
  <c r="AK29" i="7" s="1"/>
  <c r="BM26" i="26" a="1"/>
  <c r="BM26" i="26" s="1"/>
  <c r="AS26" i="7" s="1"/>
  <c r="CA26" i="26" a="1"/>
  <c r="CA26" i="26" s="1"/>
  <c r="BG26" i="7" s="1"/>
  <c r="BH26" i="26" a="1"/>
  <c r="BH26" i="26" s="1"/>
  <c r="AN26" i="7" s="1"/>
  <c r="BW25" i="26" a="1"/>
  <c r="BW25" i="26" s="1"/>
  <c r="BC25" i="7" s="1"/>
  <c r="CB25" i="26" a="1"/>
  <c r="CB25" i="26" s="1"/>
  <c r="BH25" i="7" s="1"/>
  <c r="BG25" i="26" a="1"/>
  <c r="BG25" i="26" s="1"/>
  <c r="AM25" i="7" s="1"/>
  <c r="BK12" i="26" a="1"/>
  <c r="BK12" i="26" s="1"/>
  <c r="AQ12" i="7" s="1"/>
  <c r="BY12" i="26" a="1"/>
  <c r="BY12" i="26" s="1"/>
  <c r="BE12" i="7" s="1"/>
  <c r="BE12" i="26" a="1"/>
  <c r="BE12" i="26" s="1"/>
  <c r="AK12" i="7" s="1"/>
  <c r="CF28" i="26" a="1"/>
  <c r="CF28" i="26" s="1"/>
  <c r="BL28" i="7" s="1"/>
  <c r="BR28" i="26" a="1"/>
  <c r="BR28" i="26" s="1"/>
  <c r="AX28" i="7" s="1"/>
  <c r="BN28" i="26" a="1"/>
  <c r="BN28" i="26" s="1"/>
  <c r="AT28" i="7" s="1"/>
  <c r="BK27" i="26" a="1"/>
  <c r="BK27" i="26" s="1"/>
  <c r="AQ27" i="7" s="1"/>
  <c r="BY27" i="26" a="1"/>
  <c r="BY27" i="26" s="1"/>
  <c r="BE27" i="7" s="1"/>
  <c r="BE27" i="26" a="1"/>
  <c r="BE27" i="26" s="1"/>
  <c r="AK27" i="7" s="1"/>
  <c r="BW23" i="26" a="1"/>
  <c r="BW23" i="26" s="1"/>
  <c r="BC23" i="7" s="1"/>
  <c r="CB23" i="26" a="1"/>
  <c r="CB23" i="26" s="1"/>
  <c r="BH23" i="7" s="1"/>
  <c r="BG23" i="26" a="1"/>
  <c r="BG23" i="26" s="1"/>
  <c r="AM23" i="7" s="1"/>
  <c r="CF22" i="26" a="1"/>
  <c r="CF22" i="26" s="1"/>
  <c r="BL22" i="7" s="1"/>
  <c r="BR22" i="26" a="1"/>
  <c r="BR22" i="26" s="1"/>
  <c r="AX22" i="7" s="1"/>
  <c r="BN22" i="26" a="1"/>
  <c r="BN22" i="26" s="1"/>
  <c r="AT22" i="7" s="1"/>
  <c r="BK24" i="26" a="1"/>
  <c r="BK24" i="26" s="1"/>
  <c r="AQ24" i="7" s="1"/>
  <c r="BY24" i="26" a="1"/>
  <c r="BY24" i="26" s="1"/>
  <c r="BE24" i="7" s="1"/>
  <c r="BE24" i="26" a="1"/>
  <c r="BE24" i="26" s="1"/>
  <c r="AK24" i="7" s="1"/>
  <c r="BW21" i="26" a="1"/>
  <c r="BW21" i="26" s="1"/>
  <c r="BC21" i="7" s="1"/>
  <c r="CB21" i="26" a="1"/>
  <c r="CB21" i="26" s="1"/>
  <c r="BH21" i="7" s="1"/>
  <c r="BG21" i="26" a="1"/>
  <c r="BG21" i="26" s="1"/>
  <c r="AM21" i="7" s="1"/>
  <c r="CF34" i="26" a="1"/>
  <c r="CF34" i="26" s="1"/>
  <c r="BL34" i="7" s="1"/>
  <c r="CF48" i="26" a="1"/>
  <c r="CF48" i="26" s="1"/>
  <c r="BL48" i="7" s="1"/>
  <c r="BR34" i="26" a="1"/>
  <c r="BR34" i="26" s="1"/>
  <c r="AX34" i="7" s="1"/>
  <c r="BR48" i="26" a="1"/>
  <c r="BR48" i="26" s="1"/>
  <c r="AX48" i="7" s="1"/>
  <c r="BN34" i="26" a="1"/>
  <c r="BN34" i="26" s="1"/>
  <c r="AT34" i="7" s="1"/>
  <c r="BN48" i="26" a="1"/>
  <c r="BN48" i="26" s="1"/>
  <c r="AT48" i="7" s="1"/>
  <c r="BK20" i="26" a="1"/>
  <c r="BK20" i="26" s="1"/>
  <c r="AQ20" i="7" s="1"/>
  <c r="BY20" i="26" a="1"/>
  <c r="BY20" i="26" s="1"/>
  <c r="BE20" i="7" s="1"/>
  <c r="BE20" i="26" a="1"/>
  <c r="BE20" i="26" s="1"/>
  <c r="AK20" i="7" s="1"/>
  <c r="BM19" i="26" a="1"/>
  <c r="BM19" i="26" s="1"/>
  <c r="AS19" i="7" s="1"/>
  <c r="CA19" i="26" a="1"/>
  <c r="CA19" i="26" s="1"/>
  <c r="BG19" i="7" s="1"/>
  <c r="BH19" i="26" a="1"/>
  <c r="BH19" i="26" s="1"/>
  <c r="AN19" i="7" s="1"/>
  <c r="BW18" i="26" a="1"/>
  <c r="BW18" i="26" s="1"/>
  <c r="BC18" i="7" s="1"/>
  <c r="CB18" i="26" a="1"/>
  <c r="CB18" i="26" s="1"/>
  <c r="BH18" i="7" s="1"/>
  <c r="BG18" i="26" a="1"/>
  <c r="BG18" i="26" s="1"/>
  <c r="AM18" i="7" s="1"/>
  <c r="CF16" i="26" a="1"/>
  <c r="CF16" i="26" s="1"/>
  <c r="BL16" i="7" s="1"/>
  <c r="BR16" i="26" a="1"/>
  <c r="BR16" i="26" s="1"/>
  <c r="AX16" i="7" s="1"/>
  <c r="BN16" i="26" a="1"/>
  <c r="BN16" i="26" s="1"/>
  <c r="AT16" i="7" s="1"/>
  <c r="BK14" i="26" a="1"/>
  <c r="BK14" i="26" s="1"/>
  <c r="AQ14" i="7" s="1"/>
  <c r="BY14" i="26" a="1"/>
  <c r="BY14" i="26" s="1"/>
  <c r="BE14" i="7" s="1"/>
  <c r="BE14" i="26" a="1"/>
  <c r="BE14" i="26" s="1"/>
  <c r="AK14" i="7" s="1"/>
  <c r="BM17" i="26" a="1"/>
  <c r="BM17" i="26" s="1"/>
  <c r="AS17" i="7" s="1"/>
  <c r="CA17" i="26" a="1"/>
  <c r="CA17" i="26" s="1"/>
  <c r="BG17" i="7" s="1"/>
  <c r="BH17" i="26" a="1"/>
  <c r="BH17" i="26" s="1"/>
  <c r="AN17" i="7" s="1"/>
  <c r="BW15" i="26" a="1"/>
  <c r="BW15" i="26" s="1"/>
  <c r="BC15" i="7" s="1"/>
  <c r="CB15" i="26" a="1"/>
  <c r="CB15" i="26" s="1"/>
  <c r="BH15" i="7" s="1"/>
  <c r="BG15" i="26" a="1"/>
  <c r="BG15" i="26" s="1"/>
  <c r="AM15" i="7" s="1"/>
  <c r="CF13" i="26" a="1"/>
  <c r="CF13" i="26" s="1"/>
  <c r="BL13" i="7" s="1"/>
  <c r="BR13" i="26" a="1"/>
  <c r="BR13" i="26" s="1"/>
  <c r="AX13" i="7" s="1"/>
  <c r="BN13" i="26" a="1"/>
  <c r="BN13" i="26" s="1"/>
  <c r="AT13" i="7" s="1"/>
  <c r="BK9" i="26" a="1"/>
  <c r="BK9" i="26" s="1"/>
  <c r="AQ9" i="7" s="1"/>
  <c r="BY9" i="26" a="1"/>
  <c r="BY9" i="26" s="1"/>
  <c r="BE9" i="7" s="1"/>
  <c r="BE9" i="26" a="1"/>
  <c r="BE9" i="26" s="1"/>
  <c r="AK9" i="7" s="1"/>
  <c r="Z9" i="26" a="1"/>
  <c r="Z9" i="26" s="1"/>
  <c r="F9" i="7" s="1"/>
  <c r="AW81" i="26" a="1"/>
  <c r="AW81" i="26" s="1"/>
  <c r="AC81" i="7" s="1"/>
  <c r="AW85" i="26" a="1"/>
  <c r="AW85" i="26" s="1"/>
  <c r="AC85" i="7" s="1"/>
  <c r="AQ81" i="26" a="1"/>
  <c r="AQ81" i="26" s="1"/>
  <c r="W81" i="7" s="1"/>
  <c r="AQ85" i="26" a="1"/>
  <c r="AQ85" i="26" s="1"/>
  <c r="W85" i="7" s="1"/>
  <c r="BA12" i="26" a="1"/>
  <c r="BA12" i="26" s="1"/>
  <c r="AG12" i="7" s="1"/>
  <c r="AT12" i="26" a="1"/>
  <c r="AT12" i="26" s="1"/>
  <c r="Z12" i="7" s="1"/>
  <c r="BB28" i="26" a="1"/>
  <c r="BB28" i="26" s="1"/>
  <c r="AH28" i="7" s="1"/>
  <c r="AU28" i="26" a="1"/>
  <c r="AU28" i="26" s="1"/>
  <c r="AA28" i="7" s="1"/>
  <c r="AM28" i="26" a="1"/>
  <c r="AM28" i="26" s="1"/>
  <c r="S28" i="7" s="1"/>
  <c r="BB34" i="26" a="1"/>
  <c r="BB34" i="26" s="1"/>
  <c r="AH34" i="7" s="1"/>
  <c r="BB48" i="26" a="1"/>
  <c r="BB48" i="26" s="1"/>
  <c r="AH48" i="7" s="1"/>
  <c r="AU34" i="26" a="1"/>
  <c r="AU34" i="26" s="1"/>
  <c r="AA34" i="7" s="1"/>
  <c r="AU48" i="26" a="1"/>
  <c r="AU48" i="26" s="1"/>
  <c r="AA48" i="7" s="1"/>
  <c r="AM48" i="26" a="1"/>
  <c r="AM48" i="26" s="1"/>
  <c r="S48" i="7" s="1"/>
  <c r="AM34" i="26" a="1"/>
  <c r="AM34" i="26" s="1"/>
  <c r="S34" i="7" s="1"/>
  <c r="AX9" i="26" a="1"/>
  <c r="AX9" i="26" s="1"/>
  <c r="AD9" i="7" s="1"/>
  <c r="AP9" i="26" a="1"/>
  <c r="AP9" i="26" s="1"/>
  <c r="V9" i="7" s="1"/>
  <c r="CE85" i="26" a="1"/>
  <c r="CE85" i="26" s="1"/>
  <c r="BK85" i="7" s="1"/>
  <c r="CE81" i="26" a="1"/>
  <c r="CE81" i="26" s="1"/>
  <c r="BK81" i="7" s="1"/>
  <c r="BJ85" i="26" a="1"/>
  <c r="BJ85" i="26" s="1"/>
  <c r="AP85" i="7" s="1"/>
  <c r="BJ81" i="26" a="1"/>
  <c r="BJ81" i="26" s="1"/>
  <c r="AP81" i="7" s="1"/>
  <c r="CE33" i="26" a="1"/>
  <c r="CE33" i="26" s="1"/>
  <c r="BK33" i="7" s="1"/>
  <c r="BJ33" i="26" a="1"/>
  <c r="BJ33" i="26" s="1"/>
  <c r="AP33" i="7" s="1"/>
  <c r="CH30" i="26" a="1"/>
  <c r="CH30" i="26" s="1"/>
  <c r="BN30" i="7" s="1"/>
  <c r="BO30" i="26" a="1"/>
  <c r="BO30" i="26" s="1"/>
  <c r="AU30" i="7" s="1"/>
  <c r="BT30" i="26" a="1"/>
  <c r="BT30" i="26" s="1"/>
  <c r="AZ30" i="7" s="1"/>
  <c r="BX30" i="26" a="1"/>
  <c r="BX30" i="26" s="1"/>
  <c r="BD30" i="7" s="1"/>
  <c r="BC30" i="26" a="1"/>
  <c r="BC30" i="26" s="1"/>
  <c r="AI30" i="7" s="1"/>
  <c r="BL32" i="26" a="1"/>
  <c r="BL32" i="26" s="1"/>
  <c r="AR32" i="7" s="1"/>
  <c r="BP32" i="26" a="1"/>
  <c r="BP32" i="26" s="1"/>
  <c r="AV32" i="7" s="1"/>
  <c r="CC32" i="26" a="1"/>
  <c r="CC32" i="26" s="1"/>
  <c r="BI32" i="7" s="1"/>
  <c r="BF32" i="26" a="1"/>
  <c r="BF32" i="26" s="1"/>
  <c r="AL32" i="7" s="1"/>
  <c r="CE31" i="26" a="1"/>
  <c r="CE31" i="26" s="1"/>
  <c r="BK31" i="7" s="1"/>
  <c r="BJ31" i="26" a="1"/>
  <c r="BJ31" i="26" s="1"/>
  <c r="AP31" i="7" s="1"/>
  <c r="CH29" i="26" a="1"/>
  <c r="CH29" i="26" s="1"/>
  <c r="BN29" i="7" s="1"/>
  <c r="BO29" i="26" a="1"/>
  <c r="BO29" i="26" s="1"/>
  <c r="AU29" i="7" s="1"/>
  <c r="BT29" i="26" a="1"/>
  <c r="BT29" i="26" s="1"/>
  <c r="AZ29" i="7" s="1"/>
  <c r="BX29" i="26" a="1"/>
  <c r="BX29" i="26" s="1"/>
  <c r="BD29" i="7" s="1"/>
  <c r="BC29" i="26" a="1"/>
  <c r="BC29" i="26" s="1"/>
  <c r="AI29" i="7" s="1"/>
  <c r="BL26" i="26" a="1"/>
  <c r="BL26" i="26" s="1"/>
  <c r="AR26" i="7" s="1"/>
  <c r="BP26" i="26" a="1"/>
  <c r="BP26" i="26" s="1"/>
  <c r="AV26" i="7" s="1"/>
  <c r="CC26" i="26" a="1"/>
  <c r="CC26" i="26" s="1"/>
  <c r="BI26" i="7" s="1"/>
  <c r="BF26" i="26" a="1"/>
  <c r="BF26" i="26" s="1"/>
  <c r="AL26" i="7" s="1"/>
  <c r="BQ25" i="26" a="1"/>
  <c r="BQ25" i="26" s="1"/>
  <c r="AW25" i="7" s="1"/>
  <c r="BZ25" i="26" a="1"/>
  <c r="BZ25" i="26" s="1"/>
  <c r="BF25" i="7" s="1"/>
  <c r="BI25" i="26" a="1"/>
  <c r="BI25" i="26" s="1"/>
  <c r="AO25" i="7" s="1"/>
  <c r="CH12" i="26" a="1"/>
  <c r="CH12" i="26" s="1"/>
  <c r="BN12" i="7" s="1"/>
  <c r="BO12" i="26" a="1"/>
  <c r="BO12" i="26" s="1"/>
  <c r="AU12" i="7" s="1"/>
  <c r="BT12" i="26" a="1"/>
  <c r="BT12" i="26" s="1"/>
  <c r="AZ12" i="7" s="1"/>
  <c r="BX12" i="26" a="1"/>
  <c r="BX12" i="26" s="1"/>
  <c r="BD12" i="7" s="1"/>
  <c r="BC12" i="26" a="1"/>
  <c r="BC12" i="26" s="1"/>
  <c r="AI12" i="7" s="1"/>
  <c r="CE28" i="26" a="1"/>
  <c r="CE28" i="26" s="1"/>
  <c r="BK28" i="7" s="1"/>
  <c r="BJ28" i="26" a="1"/>
  <c r="BJ28" i="26" s="1"/>
  <c r="AP28" i="7" s="1"/>
  <c r="CH27" i="26" a="1"/>
  <c r="CH27" i="26" s="1"/>
  <c r="BN27" i="7" s="1"/>
  <c r="BO27" i="26" a="1"/>
  <c r="BO27" i="26" s="1"/>
  <c r="AU27" i="7" s="1"/>
  <c r="BT27" i="26" a="1"/>
  <c r="BT27" i="26" s="1"/>
  <c r="AZ27" i="7" s="1"/>
  <c r="BX27" i="26" a="1"/>
  <c r="BX27" i="26" s="1"/>
  <c r="BD27" i="7" s="1"/>
  <c r="BC27" i="26" a="1"/>
  <c r="BC27" i="26" s="1"/>
  <c r="AI27" i="7" s="1"/>
  <c r="BQ23" i="26" a="1"/>
  <c r="BQ23" i="26" s="1"/>
  <c r="AW23" i="7" s="1"/>
  <c r="BZ23" i="26" a="1"/>
  <c r="BZ23" i="26" s="1"/>
  <c r="BF23" i="7" s="1"/>
  <c r="BI23" i="26" a="1"/>
  <c r="BI23" i="26" s="1"/>
  <c r="AO23" i="7" s="1"/>
  <c r="CE22" i="26" a="1"/>
  <c r="CE22" i="26" s="1"/>
  <c r="BK22" i="7" s="1"/>
  <c r="BJ22" i="26" a="1"/>
  <c r="BJ22" i="26" s="1"/>
  <c r="AP22" i="7" s="1"/>
  <c r="CH24" i="26" a="1"/>
  <c r="CH24" i="26" s="1"/>
  <c r="BN24" i="7" s="1"/>
  <c r="BO24" i="26" a="1"/>
  <c r="BO24" i="26" s="1"/>
  <c r="AU24" i="7" s="1"/>
  <c r="BT24" i="26" a="1"/>
  <c r="BT24" i="26" s="1"/>
  <c r="AZ24" i="7" s="1"/>
  <c r="BX24" i="26" a="1"/>
  <c r="BX24" i="26" s="1"/>
  <c r="BD24" i="7" s="1"/>
  <c r="BC24" i="26" a="1"/>
  <c r="BC24" i="26" s="1"/>
  <c r="AI24" i="7" s="1"/>
  <c r="BQ21" i="26" a="1"/>
  <c r="BQ21" i="26" s="1"/>
  <c r="AW21" i="7" s="1"/>
  <c r="BZ21" i="26" a="1"/>
  <c r="BZ21" i="26" s="1"/>
  <c r="BF21" i="7" s="1"/>
  <c r="BI21" i="26" a="1"/>
  <c r="BI21" i="26" s="1"/>
  <c r="AO21" i="7" s="1"/>
  <c r="CE34" i="26" a="1"/>
  <c r="CE34" i="26" s="1"/>
  <c r="BK34" i="7" s="1"/>
  <c r="CE48" i="26" a="1"/>
  <c r="CE48" i="26" s="1"/>
  <c r="BK48" i="7" s="1"/>
  <c r="BJ34" i="26" a="1"/>
  <c r="BJ34" i="26" s="1"/>
  <c r="AP34" i="7" s="1"/>
  <c r="BJ48" i="26" a="1"/>
  <c r="BJ48" i="26" s="1"/>
  <c r="AP48" i="7" s="1"/>
  <c r="CH20" i="26" a="1"/>
  <c r="CH20" i="26" s="1"/>
  <c r="BN20" i="7" s="1"/>
  <c r="BO20" i="26" a="1"/>
  <c r="BO20" i="26" s="1"/>
  <c r="AU20" i="7" s="1"/>
  <c r="BT20" i="26" a="1"/>
  <c r="BT20" i="26" s="1"/>
  <c r="AZ20" i="7" s="1"/>
  <c r="BX20" i="26" a="1"/>
  <c r="BX20" i="26" s="1"/>
  <c r="BD20" i="7" s="1"/>
  <c r="BC20" i="26" a="1"/>
  <c r="BC20" i="26" s="1"/>
  <c r="AI20" i="7" s="1"/>
  <c r="BL19" i="26" a="1"/>
  <c r="BL19" i="26" s="1"/>
  <c r="AR19" i="7" s="1"/>
  <c r="BP19" i="26" a="1"/>
  <c r="BP19" i="26" s="1"/>
  <c r="AV19" i="7" s="1"/>
  <c r="CC19" i="26" a="1"/>
  <c r="CC19" i="26" s="1"/>
  <c r="BI19" i="7" s="1"/>
  <c r="BF19" i="26" a="1"/>
  <c r="BF19" i="26" s="1"/>
  <c r="AL19" i="7" s="1"/>
  <c r="BQ18" i="26" a="1"/>
  <c r="BQ18" i="26" s="1"/>
  <c r="AW18" i="7" s="1"/>
  <c r="BZ18" i="26" a="1"/>
  <c r="BZ18" i="26" s="1"/>
  <c r="BF18" i="7" s="1"/>
  <c r="BI18" i="26" a="1"/>
  <c r="BI18" i="26" s="1"/>
  <c r="AO18" i="7" s="1"/>
  <c r="CE16" i="26" a="1"/>
  <c r="CE16" i="26" s="1"/>
  <c r="BK16" i="7" s="1"/>
  <c r="BJ16" i="26" a="1"/>
  <c r="BJ16" i="26" s="1"/>
  <c r="AP16" i="7" s="1"/>
  <c r="CH14" i="26" a="1"/>
  <c r="CH14" i="26" s="1"/>
  <c r="BN14" i="7" s="1"/>
  <c r="BO14" i="26" a="1"/>
  <c r="BO14" i="26" s="1"/>
  <c r="AU14" i="7" s="1"/>
  <c r="BT14" i="26" a="1"/>
  <c r="BT14" i="26" s="1"/>
  <c r="AZ14" i="7" s="1"/>
  <c r="BX14" i="26" a="1"/>
  <c r="BX14" i="26" s="1"/>
  <c r="BD14" i="7" s="1"/>
  <c r="BC14" i="26" a="1"/>
  <c r="BC14" i="26" s="1"/>
  <c r="AI14" i="7" s="1"/>
  <c r="BL17" i="26" a="1"/>
  <c r="BL17" i="26" s="1"/>
  <c r="AR17" i="7" s="1"/>
  <c r="BP17" i="26" a="1"/>
  <c r="BP17" i="26" s="1"/>
  <c r="AV17" i="7" s="1"/>
  <c r="CC17" i="26" a="1"/>
  <c r="CC17" i="26" s="1"/>
  <c r="BI17" i="7" s="1"/>
  <c r="BF17" i="26" a="1"/>
  <c r="BF17" i="26" s="1"/>
  <c r="AL17" i="7" s="1"/>
  <c r="BQ15" i="26" a="1"/>
  <c r="BQ15" i="26" s="1"/>
  <c r="AW15" i="7" s="1"/>
  <c r="BZ15" i="26" a="1"/>
  <c r="BZ15" i="26" s="1"/>
  <c r="BF15" i="7" s="1"/>
  <c r="BI15" i="26" a="1"/>
  <c r="BI15" i="26" s="1"/>
  <c r="AO15" i="7" s="1"/>
  <c r="CE13" i="26" a="1"/>
  <c r="CE13" i="26" s="1"/>
  <c r="BK13" i="7" s="1"/>
  <c r="BJ13" i="26" a="1"/>
  <c r="BJ13" i="26" s="1"/>
  <c r="AP13" i="7" s="1"/>
  <c r="CH9" i="26" a="1"/>
  <c r="CH9" i="26" s="1"/>
  <c r="BN9" i="7" s="1"/>
  <c r="BO9" i="26" a="1"/>
  <c r="BO9" i="26" s="1"/>
  <c r="AU9" i="7" s="1"/>
  <c r="BT9" i="26" a="1"/>
  <c r="BT9" i="26" s="1"/>
  <c r="AZ9" i="7" s="1"/>
  <c r="BX9" i="26" a="1"/>
  <c r="BX9" i="26" s="1"/>
  <c r="BD9" i="7" s="1"/>
  <c r="BC9" i="26" a="1"/>
  <c r="BC9" i="26" s="1"/>
  <c r="AI9" i="7" s="1"/>
  <c r="AJ10" i="26" a="1"/>
  <c r="AJ10" i="26" s="1"/>
  <c r="P10" i="7" s="1"/>
  <c r="AD10" i="26" a="1"/>
  <c r="AD10" i="26" s="1"/>
  <c r="J10" i="7" s="1"/>
  <c r="AC33" i="26" a="1"/>
  <c r="AC33" i="26" s="1"/>
  <c r="I33" i="7" s="1"/>
  <c r="AF30" i="26" a="1"/>
  <c r="AF30" i="26" s="1"/>
  <c r="L30" i="7" s="1"/>
  <c r="Y30" i="26" a="1"/>
  <c r="Y30" i="26" s="1"/>
  <c r="E30" i="7" s="1"/>
  <c r="AI32" i="26" a="1"/>
  <c r="AI32" i="26" s="1"/>
  <c r="O32" i="7" s="1"/>
  <c r="AA32" i="26" a="1"/>
  <c r="AA32" i="26" s="1"/>
  <c r="G32" i="7" s="1"/>
  <c r="AC31" i="26" a="1"/>
  <c r="AC31" i="26" s="1"/>
  <c r="I31" i="7" s="1"/>
  <c r="AF29" i="26" a="1"/>
  <c r="AF29" i="26" s="1"/>
  <c r="L29" i="7" s="1"/>
  <c r="Y29" i="26" a="1"/>
  <c r="Y29" i="26" s="1"/>
  <c r="E29" i="7" s="1"/>
  <c r="AI26" i="26" a="1"/>
  <c r="AI26" i="26" s="1"/>
  <c r="O26" i="7" s="1"/>
  <c r="AA26" i="26" a="1"/>
  <c r="AA26" i="26" s="1"/>
  <c r="G26" i="7" s="1"/>
  <c r="AJ25" i="26" a="1"/>
  <c r="AJ25" i="26" s="1"/>
  <c r="P25" i="7" s="1"/>
  <c r="AD25" i="26" a="1"/>
  <c r="AD25" i="26" s="1"/>
  <c r="J25" i="7" s="1"/>
  <c r="AF12" i="26" a="1"/>
  <c r="AF12" i="26" s="1"/>
  <c r="L12" i="7" s="1"/>
  <c r="Y12" i="26" a="1"/>
  <c r="Y12" i="26" s="1"/>
  <c r="E12" i="7" s="1"/>
  <c r="AC28" i="26" a="1"/>
  <c r="AC28" i="26" s="1"/>
  <c r="I28" i="7" s="1"/>
  <c r="AF27" i="26" a="1"/>
  <c r="AF27" i="26" s="1"/>
  <c r="L27" i="7" s="1"/>
  <c r="Y27" i="26" a="1"/>
  <c r="Y27" i="26" s="1"/>
  <c r="E27" i="7" s="1"/>
  <c r="AJ23" i="26" a="1"/>
  <c r="AJ23" i="26" s="1"/>
  <c r="P23" i="7" s="1"/>
  <c r="AD23" i="26" a="1"/>
  <c r="AD23" i="26" s="1"/>
  <c r="J23" i="7" s="1"/>
  <c r="AC22" i="26" a="1"/>
  <c r="AC22" i="26" s="1"/>
  <c r="I22" i="7" s="1"/>
  <c r="AF24" i="26" a="1"/>
  <c r="AF24" i="26" s="1"/>
  <c r="L24" i="7" s="1"/>
  <c r="Y24" i="26" a="1"/>
  <c r="Y24" i="26" s="1"/>
  <c r="E24" i="7" s="1"/>
  <c r="AJ21" i="26" a="1"/>
  <c r="AJ21" i="26" s="1"/>
  <c r="P21" i="7" s="1"/>
  <c r="AD21" i="26" a="1"/>
  <c r="AD21" i="26" s="1"/>
  <c r="J21" i="7" s="1"/>
  <c r="AC34" i="26" a="1"/>
  <c r="AC34" i="26" s="1"/>
  <c r="I34" i="7" s="1"/>
  <c r="AC48" i="26" a="1"/>
  <c r="AC48" i="26" s="1"/>
  <c r="I48" i="7" s="1"/>
  <c r="AF20" i="26" a="1"/>
  <c r="AF20" i="26" s="1"/>
  <c r="L20" i="7" s="1"/>
  <c r="Y20" i="26" a="1"/>
  <c r="Y20" i="26" s="1"/>
  <c r="E20" i="7" s="1"/>
  <c r="AI19" i="26" a="1"/>
  <c r="AI19" i="26" s="1"/>
  <c r="O19" i="7" s="1"/>
  <c r="AA19" i="26" a="1"/>
  <c r="AA19" i="26" s="1"/>
  <c r="G19" i="7" s="1"/>
  <c r="AJ18" i="26" a="1"/>
  <c r="AJ18" i="26" s="1"/>
  <c r="P18" i="7" s="1"/>
  <c r="AD18" i="26" a="1"/>
  <c r="AD18" i="26" s="1"/>
  <c r="J18" i="7" s="1"/>
  <c r="AC16" i="26" a="1"/>
  <c r="AC16" i="26" s="1"/>
  <c r="I16" i="7" s="1"/>
  <c r="AF14" i="26" a="1"/>
  <c r="AF14" i="26" s="1"/>
  <c r="L14" i="7" s="1"/>
  <c r="Y14" i="26" a="1"/>
  <c r="Y14" i="26" s="1"/>
  <c r="E14" i="7" s="1"/>
  <c r="AI17" i="26" a="1"/>
  <c r="AI17" i="26" s="1"/>
  <c r="O17" i="7" s="1"/>
  <c r="AA17" i="26" a="1"/>
  <c r="AA17" i="26" s="1"/>
  <c r="G17" i="7" s="1"/>
  <c r="AJ15" i="26" a="1"/>
  <c r="AJ15" i="26" s="1"/>
  <c r="P15" i="7" s="1"/>
  <c r="AD15" i="26" a="1"/>
  <c r="AD15" i="26" s="1"/>
  <c r="J15" i="7" s="1"/>
  <c r="AC13" i="26" a="1"/>
  <c r="AC13" i="26" s="1"/>
  <c r="I13" i="7" s="1"/>
  <c r="AF9" i="26" a="1"/>
  <c r="AF9" i="26" s="1"/>
  <c r="L9" i="7" s="1"/>
  <c r="Y9" i="26" a="1"/>
  <c r="Y9" i="26" s="1"/>
  <c r="E9" i="7" s="1"/>
  <c r="BB53" i="26" a="1"/>
  <c r="BB53" i="26" s="1"/>
  <c r="AH53" i="7" s="1"/>
  <c r="AU53" i="26" a="1"/>
  <c r="AU53" i="26" s="1"/>
  <c r="AA53" i="7" s="1"/>
  <c r="AM53" i="26" a="1"/>
  <c r="AM53" i="26" s="1"/>
  <c r="S53" i="7" s="1"/>
  <c r="AX81" i="26" a="1"/>
  <c r="AX81" i="26" s="1"/>
  <c r="AD81" i="7" s="1"/>
  <c r="AX85" i="26" a="1"/>
  <c r="AX85" i="26" s="1"/>
  <c r="AD85" i="7" s="1"/>
  <c r="AP81" i="26" a="1"/>
  <c r="AP81" i="26" s="1"/>
  <c r="V81" i="7" s="1"/>
  <c r="AP85" i="26" a="1"/>
  <c r="AP85" i="26" s="1"/>
  <c r="V85" i="7" s="1"/>
  <c r="AW10" i="26" a="1"/>
  <c r="AW10" i="26" s="1"/>
  <c r="AC10" i="7" s="1"/>
  <c r="AQ10" i="26" a="1"/>
  <c r="AQ10" i="26" s="1"/>
  <c r="W10" i="7" s="1"/>
  <c r="AX33" i="26" a="1"/>
  <c r="AX33" i="26" s="1"/>
  <c r="AD33" i="7" s="1"/>
  <c r="AP33" i="26" a="1"/>
  <c r="AP33" i="26" s="1"/>
  <c r="V33" i="7" s="1"/>
  <c r="AZ30" i="26" a="1"/>
  <c r="AZ30" i="26" s="1"/>
  <c r="AF30" i="7" s="1"/>
  <c r="AS30" i="26" a="1"/>
  <c r="AS30" i="26" s="1"/>
  <c r="Y30" i="7" s="1"/>
  <c r="AV32" i="26" a="1"/>
  <c r="AV32" i="26" s="1"/>
  <c r="AB32" i="7" s="1"/>
  <c r="BA31" i="26" a="1"/>
  <c r="BA31" i="26" s="1"/>
  <c r="AG31" i="7" s="1"/>
  <c r="AT31" i="26" a="1"/>
  <c r="AT31" i="26" s="1"/>
  <c r="Z31" i="7" s="1"/>
  <c r="BD29" i="26" a="1"/>
  <c r="BD29" i="26" s="1"/>
  <c r="AJ29" i="7" s="1"/>
  <c r="AO29" i="26" a="1"/>
  <c r="AO29" i="26" s="1"/>
  <c r="U29" i="7" s="1"/>
  <c r="AY26" i="26" a="1"/>
  <c r="AY26" i="26" s="1"/>
  <c r="AE26" i="7" s="1"/>
  <c r="AR26" i="26" a="1"/>
  <c r="AR26" i="26" s="1"/>
  <c r="X26" i="7" s="1"/>
  <c r="BB25" i="26" a="1"/>
  <c r="BB25" i="26" s="1"/>
  <c r="AH25" i="7" s="1"/>
  <c r="AU25" i="26" a="1"/>
  <c r="AU25" i="26" s="1"/>
  <c r="AA25" i="7" s="1"/>
  <c r="AM25" i="26" a="1"/>
  <c r="AM25" i="26" s="1"/>
  <c r="S25" i="7" s="1"/>
  <c r="AZ12" i="26" a="1"/>
  <c r="AZ12" i="26" s="1"/>
  <c r="AF12" i="7" s="1"/>
  <c r="AS12" i="26" a="1"/>
  <c r="AS12" i="26" s="1"/>
  <c r="Y12" i="7" s="1"/>
  <c r="BA28" i="26" a="1"/>
  <c r="BA28" i="26" s="1"/>
  <c r="AG28" i="7" s="1"/>
  <c r="AT28" i="26" a="1"/>
  <c r="AT28" i="26" s="1"/>
  <c r="Z28" i="7" s="1"/>
  <c r="BD27" i="26" a="1"/>
  <c r="BD27" i="26" s="1"/>
  <c r="AJ27" i="7" s="1"/>
  <c r="AO27" i="26" a="1"/>
  <c r="AO27" i="26" s="1"/>
  <c r="U27" i="7" s="1"/>
  <c r="BB23" i="26" a="1"/>
  <c r="BB23" i="26" s="1"/>
  <c r="AH23" i="7" s="1"/>
  <c r="AU23" i="26" a="1"/>
  <c r="AU23" i="26" s="1"/>
  <c r="AA23" i="7" s="1"/>
  <c r="AM23" i="26" a="1"/>
  <c r="AM23" i="26" s="1"/>
  <c r="S23" i="7" s="1"/>
  <c r="AX22" i="26" a="1"/>
  <c r="AX22" i="26" s="1"/>
  <c r="AD22" i="7" s="1"/>
  <c r="AP22" i="26" a="1"/>
  <c r="AP22" i="26" s="1"/>
  <c r="V22" i="7" s="1"/>
  <c r="AZ24" i="26" a="1"/>
  <c r="AZ24" i="26" s="1"/>
  <c r="AF24" i="7" s="1"/>
  <c r="AS24" i="26" a="1"/>
  <c r="AS24" i="26" s="1"/>
  <c r="Y24" i="7" s="1"/>
  <c r="AW21" i="26" a="1"/>
  <c r="AW21" i="26" s="1"/>
  <c r="AC21" i="7" s="1"/>
  <c r="AQ21" i="26" a="1"/>
  <c r="AQ21" i="26" s="1"/>
  <c r="W21" i="7" s="1"/>
  <c r="BA34" i="26" a="1"/>
  <c r="BA34" i="26" s="1"/>
  <c r="AG34" i="7" s="1"/>
  <c r="BA48" i="26" a="1"/>
  <c r="BA48" i="26" s="1"/>
  <c r="AG48" i="7" s="1"/>
  <c r="AT34" i="26" a="1"/>
  <c r="AT34" i="26" s="1"/>
  <c r="Z34" i="7" s="1"/>
  <c r="AT48" i="26" a="1"/>
  <c r="AT48" i="26" s="1"/>
  <c r="Z48" i="7" s="1"/>
  <c r="BD20" i="26" a="1"/>
  <c r="BD20" i="26" s="1"/>
  <c r="AJ20" i="7" s="1"/>
  <c r="AO20" i="26" a="1"/>
  <c r="AO20" i="26" s="1"/>
  <c r="U20" i="7" s="1"/>
  <c r="AY19" i="26" a="1"/>
  <c r="AY19" i="26" s="1"/>
  <c r="AE19" i="7" s="1"/>
  <c r="AR19" i="26" a="1"/>
  <c r="AR19" i="26" s="1"/>
  <c r="X19" i="7" s="1"/>
  <c r="BB18" i="26" a="1"/>
  <c r="BB18" i="26" s="1"/>
  <c r="AH18" i="7" s="1"/>
  <c r="AU18" i="26" a="1"/>
  <c r="AU18" i="26" s="1"/>
  <c r="AA18" i="7" s="1"/>
  <c r="AM18" i="26" a="1"/>
  <c r="AM18" i="26" s="1"/>
  <c r="S18" i="7" s="1"/>
  <c r="AX16" i="26" a="1"/>
  <c r="AX16" i="26" s="1"/>
  <c r="AD16" i="7" s="1"/>
  <c r="AP16" i="26" a="1"/>
  <c r="AP16" i="26" s="1"/>
  <c r="V16" i="7" s="1"/>
  <c r="AZ14" i="26" a="1"/>
  <c r="AZ14" i="26" s="1"/>
  <c r="AF14" i="7" s="1"/>
  <c r="AS14" i="26" a="1"/>
  <c r="AS14" i="26" s="1"/>
  <c r="Y14" i="7" s="1"/>
  <c r="AV17" i="26" a="1"/>
  <c r="AV17" i="26" s="1"/>
  <c r="AB17" i="7" s="1"/>
  <c r="AW15" i="26" a="1"/>
  <c r="AW15" i="26" s="1"/>
  <c r="AC15" i="7" s="1"/>
  <c r="AQ15" i="26" a="1"/>
  <c r="AQ15" i="26" s="1"/>
  <c r="W15" i="7" s="1"/>
  <c r="BA13" i="26" a="1"/>
  <c r="BA13" i="26" s="1"/>
  <c r="AG13" i="7" s="1"/>
  <c r="AT13" i="26" a="1"/>
  <c r="AT13" i="26" s="1"/>
  <c r="Z13" i="7" s="1"/>
  <c r="BD9" i="26" a="1"/>
  <c r="BD9" i="26" s="1"/>
  <c r="AJ9" i="7" s="1"/>
  <c r="AO9" i="26" a="1"/>
  <c r="AO9" i="26" s="1"/>
  <c r="U9" i="7" s="1"/>
  <c r="BW85" i="26" a="1"/>
  <c r="BW85" i="26" s="1"/>
  <c r="BC85" i="7" s="1"/>
  <c r="BW81" i="26" a="1"/>
  <c r="BW81" i="26" s="1"/>
  <c r="BC81" i="7" s="1"/>
  <c r="CB85" i="26" a="1"/>
  <c r="CB85" i="26" s="1"/>
  <c r="BH85" i="7" s="1"/>
  <c r="CB81" i="26" a="1"/>
  <c r="CB81" i="26" s="1"/>
  <c r="BH81" i="7" s="1"/>
  <c r="BG81" i="26" a="1"/>
  <c r="BG81" i="26" s="1"/>
  <c r="AM81" i="7" s="1"/>
  <c r="BG85" i="26" a="1"/>
  <c r="BG85" i="26" s="1"/>
  <c r="AM85" i="7" s="1"/>
  <c r="BM10" i="26" a="1"/>
  <c r="BM10" i="26" s="1"/>
  <c r="AS10" i="7" s="1"/>
  <c r="CA10" i="26" a="1"/>
  <c r="CA10" i="26" s="1"/>
  <c r="BG10" i="7" s="1"/>
  <c r="BH10" i="26" a="1"/>
  <c r="BH10" i="26" s="1"/>
  <c r="AN10" i="7" s="1"/>
  <c r="BW33" i="26" a="1"/>
  <c r="BW33" i="26" s="1"/>
  <c r="BC33" i="7" s="1"/>
  <c r="CB33" i="26" a="1"/>
  <c r="CB33" i="26" s="1"/>
  <c r="BH33" i="7" s="1"/>
  <c r="BG33" i="26" a="1"/>
  <c r="BG33" i="26" s="1"/>
  <c r="AM33" i="7" s="1"/>
  <c r="CF30" i="26" a="1"/>
  <c r="CF30" i="26" s="1"/>
  <c r="BL30" i="7" s="1"/>
  <c r="BR30" i="26" a="1"/>
  <c r="BR30" i="26" s="1"/>
  <c r="AX30" i="7" s="1"/>
  <c r="BN30" i="26" a="1"/>
  <c r="BN30" i="26" s="1"/>
  <c r="AT30" i="7" s="1"/>
  <c r="BK32" i="26" a="1"/>
  <c r="BK32" i="26" s="1"/>
  <c r="AQ32" i="7" s="1"/>
  <c r="BY32" i="26" a="1"/>
  <c r="BY32" i="26" s="1"/>
  <c r="BE32" i="7" s="1"/>
  <c r="BE32" i="26" a="1"/>
  <c r="BE32" i="26" s="1"/>
  <c r="AK32" i="7" s="1"/>
  <c r="BW31" i="26" a="1"/>
  <c r="BW31" i="26" s="1"/>
  <c r="BC31" i="7" s="1"/>
  <c r="CB31" i="26" a="1"/>
  <c r="CB31" i="26" s="1"/>
  <c r="BH31" i="7" s="1"/>
  <c r="BG31" i="26" a="1"/>
  <c r="BG31" i="26" s="1"/>
  <c r="AM31" i="7" s="1"/>
  <c r="CF29" i="26" a="1"/>
  <c r="CF29" i="26" s="1"/>
  <c r="BL29" i="7" s="1"/>
  <c r="BR29" i="26" a="1"/>
  <c r="BR29" i="26" s="1"/>
  <c r="AX29" i="7" s="1"/>
  <c r="BN29" i="26" a="1"/>
  <c r="BN29" i="26" s="1"/>
  <c r="AT29" i="7" s="1"/>
  <c r="BK26" i="26" a="1"/>
  <c r="BK26" i="26" s="1"/>
  <c r="AQ26" i="7" s="1"/>
  <c r="BY26" i="26" a="1"/>
  <c r="BY26" i="26" s="1"/>
  <c r="BE26" i="7" s="1"/>
  <c r="BE26" i="26" a="1"/>
  <c r="BE26" i="26" s="1"/>
  <c r="AK26" i="7" s="1"/>
  <c r="BM25" i="26" a="1"/>
  <c r="BM25" i="26" s="1"/>
  <c r="AS25" i="7" s="1"/>
  <c r="CA25" i="26" a="1"/>
  <c r="CA25" i="26" s="1"/>
  <c r="BG25" i="7" s="1"/>
  <c r="BH25" i="26" a="1"/>
  <c r="BH25" i="26" s="1"/>
  <c r="AN25" i="7" s="1"/>
  <c r="CF12" i="26" a="1"/>
  <c r="CF12" i="26" s="1"/>
  <c r="BL12" i="7" s="1"/>
  <c r="BR12" i="26" a="1"/>
  <c r="BR12" i="26" s="1"/>
  <c r="AX12" i="7" s="1"/>
  <c r="BN12" i="26" a="1"/>
  <c r="BN12" i="26" s="1"/>
  <c r="AT12" i="7" s="1"/>
  <c r="BW28" i="26" a="1"/>
  <c r="BW28" i="26" s="1"/>
  <c r="BC28" i="7" s="1"/>
  <c r="CB28" i="26" a="1"/>
  <c r="CB28" i="26" s="1"/>
  <c r="BH28" i="7" s="1"/>
  <c r="BG28" i="26" a="1"/>
  <c r="BG28" i="26" s="1"/>
  <c r="AM28" i="7" s="1"/>
  <c r="CF27" i="26" a="1"/>
  <c r="CF27" i="26" s="1"/>
  <c r="BL27" i="7" s="1"/>
  <c r="BR27" i="26" a="1"/>
  <c r="BR27" i="26" s="1"/>
  <c r="AX27" i="7" s="1"/>
  <c r="BN27" i="26" a="1"/>
  <c r="BN27" i="26" s="1"/>
  <c r="AT27" i="7" s="1"/>
  <c r="BM23" i="26" a="1"/>
  <c r="BM23" i="26" s="1"/>
  <c r="AS23" i="7" s="1"/>
  <c r="CA23" i="26" a="1"/>
  <c r="CA23" i="26" s="1"/>
  <c r="BG23" i="7" s="1"/>
  <c r="BH23" i="26" a="1"/>
  <c r="BH23" i="26" s="1"/>
  <c r="AN23" i="7" s="1"/>
  <c r="BW22" i="26" a="1"/>
  <c r="BW22" i="26" s="1"/>
  <c r="BC22" i="7" s="1"/>
  <c r="CB22" i="26" a="1"/>
  <c r="CB22" i="26" s="1"/>
  <c r="BH22" i="7" s="1"/>
  <c r="BG22" i="26" a="1"/>
  <c r="BG22" i="26" s="1"/>
  <c r="AM22" i="7" s="1"/>
  <c r="CF24" i="26" a="1"/>
  <c r="CF24" i="26" s="1"/>
  <c r="BL24" i="7" s="1"/>
  <c r="BR24" i="26" a="1"/>
  <c r="BR24" i="26" s="1"/>
  <c r="AX24" i="7" s="1"/>
  <c r="BN24" i="26" a="1"/>
  <c r="BN24" i="26" s="1"/>
  <c r="AT24" i="7" s="1"/>
  <c r="BM21" i="26" a="1"/>
  <c r="BM21" i="26" s="1"/>
  <c r="AS21" i="7" s="1"/>
  <c r="CA21" i="26" a="1"/>
  <c r="CA21" i="26" s="1"/>
  <c r="BG21" i="7" s="1"/>
  <c r="BH21" i="26" a="1"/>
  <c r="BH21" i="26" s="1"/>
  <c r="AN21" i="7" s="1"/>
  <c r="BW34" i="26" a="1"/>
  <c r="BW34" i="26" s="1"/>
  <c r="BC34" i="7" s="1"/>
  <c r="BW48" i="26" a="1"/>
  <c r="BW48" i="26" s="1"/>
  <c r="BC48" i="7" s="1"/>
  <c r="CB48" i="26" a="1"/>
  <c r="CB48" i="26" s="1"/>
  <c r="BH48" i="7" s="1"/>
  <c r="CB34" i="26" a="1"/>
  <c r="CB34" i="26" s="1"/>
  <c r="BH34" i="7" s="1"/>
  <c r="BG34" i="26" a="1"/>
  <c r="BG34" i="26" s="1"/>
  <c r="AM34" i="7" s="1"/>
  <c r="BG48" i="26" a="1"/>
  <c r="BG48" i="26" s="1"/>
  <c r="AM48" i="7" s="1"/>
  <c r="CF20" i="26" a="1"/>
  <c r="CF20" i="26" s="1"/>
  <c r="BL20" i="7" s="1"/>
  <c r="BR20" i="26" a="1"/>
  <c r="BR20" i="26" s="1"/>
  <c r="AX20" i="7" s="1"/>
  <c r="BN20" i="26" a="1"/>
  <c r="BN20" i="26" s="1"/>
  <c r="AT20" i="7" s="1"/>
  <c r="BK19" i="26" a="1"/>
  <c r="BK19" i="26" s="1"/>
  <c r="AQ19" i="7" s="1"/>
  <c r="BY19" i="26" a="1"/>
  <c r="BY19" i="26" s="1"/>
  <c r="BE19" i="7" s="1"/>
  <c r="BE19" i="26" a="1"/>
  <c r="BE19" i="26" s="1"/>
  <c r="AK19" i="7" s="1"/>
  <c r="BM18" i="26" a="1"/>
  <c r="BM18" i="26" s="1"/>
  <c r="AS18" i="7" s="1"/>
  <c r="CA18" i="26" a="1"/>
  <c r="CA18" i="26" s="1"/>
  <c r="BG18" i="7" s="1"/>
  <c r="BH18" i="26" a="1"/>
  <c r="BH18" i="26" s="1"/>
  <c r="AN18" i="7" s="1"/>
  <c r="BW16" i="26" a="1"/>
  <c r="BW16" i="26" s="1"/>
  <c r="BC16" i="7" s="1"/>
  <c r="CB16" i="26" a="1"/>
  <c r="CB16" i="26" s="1"/>
  <c r="BH16" i="7" s="1"/>
  <c r="BG16" i="26" a="1"/>
  <c r="BG16" i="26" s="1"/>
  <c r="AM16" i="7" s="1"/>
  <c r="CF14" i="26" a="1"/>
  <c r="CF14" i="26" s="1"/>
  <c r="BL14" i="7" s="1"/>
  <c r="BR14" i="26" a="1"/>
  <c r="BR14" i="26" s="1"/>
  <c r="AX14" i="7" s="1"/>
  <c r="BN14" i="26" a="1"/>
  <c r="BN14" i="26" s="1"/>
  <c r="AT14" i="7" s="1"/>
  <c r="BK17" i="26" a="1"/>
  <c r="BK17" i="26" s="1"/>
  <c r="AQ17" i="7" s="1"/>
  <c r="BY17" i="26" a="1"/>
  <c r="BY17" i="26" s="1"/>
  <c r="BE17" i="7" s="1"/>
  <c r="BE17" i="26" a="1"/>
  <c r="BE17" i="26" s="1"/>
  <c r="AK17" i="7" s="1"/>
  <c r="BM15" i="26" a="1"/>
  <c r="BM15" i="26" s="1"/>
  <c r="AS15" i="7" s="1"/>
  <c r="CA15" i="26" a="1"/>
  <c r="CA15" i="26" s="1"/>
  <c r="BG15" i="7" s="1"/>
  <c r="BH15" i="26" a="1"/>
  <c r="BH15" i="26" s="1"/>
  <c r="AN15" i="7" s="1"/>
  <c r="BW13" i="26" a="1"/>
  <c r="BW13" i="26" s="1"/>
  <c r="BC13" i="7" s="1"/>
  <c r="CB13" i="26" a="1"/>
  <c r="CB13" i="26" s="1"/>
  <c r="BH13" i="7" s="1"/>
  <c r="BG13" i="26" a="1"/>
  <c r="BG13" i="26" s="1"/>
  <c r="AM13" i="7" s="1"/>
  <c r="CF9" i="26" a="1"/>
  <c r="CF9" i="26" s="1"/>
  <c r="BL9" i="7" s="1"/>
  <c r="BR9" i="26" a="1"/>
  <c r="BR9" i="26" s="1"/>
  <c r="AX9" i="7" s="1"/>
  <c r="BN9" i="26" a="1"/>
  <c r="BN9" i="26" s="1"/>
  <c r="AT9" i="7" s="1"/>
  <c r="BD81" i="26" a="1"/>
  <c r="BD81" i="26" s="1"/>
  <c r="AJ81" i="7" s="1"/>
  <c r="BD85" i="26" a="1"/>
  <c r="BD85" i="26" s="1"/>
  <c r="AJ85" i="7" s="1"/>
  <c r="AO85" i="26" a="1"/>
  <c r="AO85" i="26" s="1"/>
  <c r="U85" i="7" s="1"/>
  <c r="AO81" i="26" a="1"/>
  <c r="AO81" i="26" s="1"/>
  <c r="U81" i="7" s="1"/>
  <c r="AV29" i="26" a="1"/>
  <c r="AV29" i="26" s="1"/>
  <c r="AB29" i="7" s="1"/>
  <c r="AW26" i="26" a="1"/>
  <c r="AW26" i="26" s="1"/>
  <c r="AC26" i="7" s="1"/>
  <c r="AQ26" i="26" a="1"/>
  <c r="AQ26" i="26" s="1"/>
  <c r="W26" i="7" s="1"/>
  <c r="BA25" i="26" a="1"/>
  <c r="BA25" i="26" s="1"/>
  <c r="AG25" i="7" s="1"/>
  <c r="AT25" i="26" a="1"/>
  <c r="AT25" i="26" s="1"/>
  <c r="Z25" i="7" s="1"/>
  <c r="AY12" i="26" a="1"/>
  <c r="AY12" i="26" s="1"/>
  <c r="AE12" i="7" s="1"/>
  <c r="AR12" i="26" a="1"/>
  <c r="AR12" i="26" s="1"/>
  <c r="X12" i="7" s="1"/>
  <c r="AZ28" i="26" a="1"/>
  <c r="AZ28" i="26" s="1"/>
  <c r="AF28" i="7" s="1"/>
  <c r="AS28" i="26" a="1"/>
  <c r="AS28" i="26" s="1"/>
  <c r="Y28" i="7" s="1"/>
  <c r="AV27" i="26" a="1"/>
  <c r="AV27" i="26" s="1"/>
  <c r="AB27" i="7" s="1"/>
  <c r="BA23" i="26" a="1"/>
  <c r="BA23" i="26" s="1"/>
  <c r="AG23" i="7" s="1"/>
  <c r="AT23" i="26" a="1"/>
  <c r="AT23" i="26" s="1"/>
  <c r="Z23" i="7" s="1"/>
  <c r="BD22" i="26" a="1"/>
  <c r="BD22" i="26" s="1"/>
  <c r="AJ22" i="7" s="1"/>
  <c r="AO22" i="26" a="1"/>
  <c r="AO22" i="26" s="1"/>
  <c r="U22" i="7" s="1"/>
  <c r="AY24" i="26" a="1"/>
  <c r="AY24" i="26" s="1"/>
  <c r="AE24" i="7" s="1"/>
  <c r="AR24" i="26" a="1"/>
  <c r="AR24" i="26" s="1"/>
  <c r="X24" i="7" s="1"/>
  <c r="AZ34" i="26" a="1"/>
  <c r="AZ34" i="26" s="1"/>
  <c r="AF34" i="7" s="1"/>
  <c r="AZ48" i="26" a="1"/>
  <c r="AZ48" i="26" s="1"/>
  <c r="AF48" i="7" s="1"/>
  <c r="AS34" i="26" a="1"/>
  <c r="AS34" i="26" s="1"/>
  <c r="Y34" i="7" s="1"/>
  <c r="AS48" i="26" a="1"/>
  <c r="AS48" i="26" s="1"/>
  <c r="Y48" i="7" s="1"/>
  <c r="AV9" i="26" a="1"/>
  <c r="AV9" i="26" s="1"/>
  <c r="AB9" i="7" s="1"/>
  <c r="BQ81" i="26" a="1"/>
  <c r="BQ81" i="26" s="1"/>
  <c r="AW81" i="7" s="1"/>
  <c r="BQ85" i="26" a="1"/>
  <c r="BQ85" i="26" s="1"/>
  <c r="AW85" i="7" s="1"/>
  <c r="BZ81" i="26" a="1"/>
  <c r="BZ81" i="26" s="1"/>
  <c r="BF81" i="7" s="1"/>
  <c r="BZ85" i="26" a="1"/>
  <c r="BZ85" i="26" s="1"/>
  <c r="BF85" i="7" s="1"/>
  <c r="BI81" i="26" a="1"/>
  <c r="BI81" i="26" s="1"/>
  <c r="AO81" i="7" s="1"/>
  <c r="BI85" i="26" a="1"/>
  <c r="BI85" i="26" s="1"/>
  <c r="AO85" i="7" s="1"/>
  <c r="BQ33" i="26" a="1"/>
  <c r="BQ33" i="26" s="1"/>
  <c r="AW33" i="7" s="1"/>
  <c r="BZ33" i="26" a="1"/>
  <c r="BZ33" i="26" s="1"/>
  <c r="BF33" i="7" s="1"/>
  <c r="BI33" i="26" a="1"/>
  <c r="BI33" i="26" s="1"/>
  <c r="AO33" i="7" s="1"/>
  <c r="CE30" i="26" a="1"/>
  <c r="CE30" i="26" s="1"/>
  <c r="BK30" i="7" s="1"/>
  <c r="BJ30" i="26" a="1"/>
  <c r="BJ30" i="26" s="1"/>
  <c r="AP30" i="7" s="1"/>
  <c r="CH32" i="26" a="1"/>
  <c r="CH32" i="26" s="1"/>
  <c r="BN32" i="7" s="1"/>
  <c r="BO32" i="26" a="1"/>
  <c r="BO32" i="26" s="1"/>
  <c r="AU32" i="7" s="1"/>
  <c r="BT32" i="26" a="1"/>
  <c r="BT32" i="26" s="1"/>
  <c r="AZ32" i="7" s="1"/>
  <c r="BX32" i="26" a="1"/>
  <c r="BX32" i="26" s="1"/>
  <c r="BD32" i="7" s="1"/>
  <c r="BC32" i="26" a="1"/>
  <c r="BC32" i="26" s="1"/>
  <c r="AI32" i="7" s="1"/>
  <c r="BQ31" i="26" a="1"/>
  <c r="BQ31" i="26" s="1"/>
  <c r="AW31" i="7" s="1"/>
  <c r="BZ31" i="26" a="1"/>
  <c r="BZ31" i="26" s="1"/>
  <c r="BF31" i="7" s="1"/>
  <c r="BI31" i="26" a="1"/>
  <c r="BI31" i="26" s="1"/>
  <c r="AO31" i="7" s="1"/>
  <c r="CE29" i="26" a="1"/>
  <c r="CE29" i="26" s="1"/>
  <c r="BK29" i="7" s="1"/>
  <c r="BJ29" i="26" a="1"/>
  <c r="BJ29" i="26" s="1"/>
  <c r="AP29" i="7" s="1"/>
  <c r="CH26" i="26" a="1"/>
  <c r="CH26" i="26" s="1"/>
  <c r="BN26" i="7" s="1"/>
  <c r="BO26" i="26" a="1"/>
  <c r="BO26" i="26" s="1"/>
  <c r="AU26" i="7" s="1"/>
  <c r="BT26" i="26" a="1"/>
  <c r="BT26" i="26" s="1"/>
  <c r="AZ26" i="7" s="1"/>
  <c r="BX26" i="26" a="1"/>
  <c r="BX26" i="26" s="1"/>
  <c r="BD26" i="7" s="1"/>
  <c r="BC26" i="26" a="1"/>
  <c r="BC26" i="26" s="1"/>
  <c r="AI26" i="7" s="1"/>
  <c r="BL25" i="26" a="1"/>
  <c r="BL25" i="26" s="1"/>
  <c r="AR25" i="7" s="1"/>
  <c r="BP25" i="26" a="1"/>
  <c r="BP25" i="26" s="1"/>
  <c r="AV25" i="7" s="1"/>
  <c r="CC25" i="26" a="1"/>
  <c r="CC25" i="26" s="1"/>
  <c r="BI25" i="7" s="1"/>
  <c r="BF25" i="26" a="1"/>
  <c r="BF25" i="26" s="1"/>
  <c r="AL25" i="7" s="1"/>
  <c r="CE12" i="26" a="1"/>
  <c r="CE12" i="26" s="1"/>
  <c r="BK12" i="7" s="1"/>
  <c r="BJ12" i="26" a="1"/>
  <c r="BJ12" i="26" s="1"/>
  <c r="AP12" i="7" s="1"/>
  <c r="BQ28" i="26" a="1"/>
  <c r="BQ28" i="26" s="1"/>
  <c r="AW28" i="7" s="1"/>
  <c r="BZ28" i="26" a="1"/>
  <c r="BZ28" i="26" s="1"/>
  <c r="BF28" i="7" s="1"/>
  <c r="BI28" i="26" a="1"/>
  <c r="BI28" i="26" s="1"/>
  <c r="AO28" i="7" s="1"/>
  <c r="CE27" i="26" a="1"/>
  <c r="CE27" i="26" s="1"/>
  <c r="BK27" i="7" s="1"/>
  <c r="BJ27" i="26" a="1"/>
  <c r="BJ27" i="26" s="1"/>
  <c r="AP27" i="7" s="1"/>
  <c r="BL23" i="26" a="1"/>
  <c r="BL23" i="26" s="1"/>
  <c r="AR23" i="7" s="1"/>
  <c r="BP23" i="26" a="1"/>
  <c r="BP23" i="26" s="1"/>
  <c r="AV23" i="7" s="1"/>
  <c r="CC23" i="26" a="1"/>
  <c r="CC23" i="26" s="1"/>
  <c r="BI23" i="7" s="1"/>
  <c r="BF23" i="26" a="1"/>
  <c r="BF23" i="26" s="1"/>
  <c r="AL23" i="7" s="1"/>
  <c r="BQ22" i="26" a="1"/>
  <c r="BQ22" i="26" s="1"/>
  <c r="AW22" i="7" s="1"/>
  <c r="BZ22" i="26" a="1"/>
  <c r="BZ22" i="26" s="1"/>
  <c r="BF22" i="7" s="1"/>
  <c r="BI22" i="26" a="1"/>
  <c r="BI22" i="26" s="1"/>
  <c r="AO22" i="7" s="1"/>
  <c r="CE24" i="26" a="1"/>
  <c r="CE24" i="26" s="1"/>
  <c r="BK24" i="7" s="1"/>
  <c r="BJ24" i="26" a="1"/>
  <c r="BJ24" i="26" s="1"/>
  <c r="AP24" i="7" s="1"/>
  <c r="BL21" i="26" a="1"/>
  <c r="BL21" i="26" s="1"/>
  <c r="AR21" i="7" s="1"/>
  <c r="BP21" i="26" a="1"/>
  <c r="BP21" i="26" s="1"/>
  <c r="AV21" i="7" s="1"/>
  <c r="CC21" i="26" a="1"/>
  <c r="CC21" i="26" s="1"/>
  <c r="BI21" i="7" s="1"/>
  <c r="BF21" i="26" a="1"/>
  <c r="BF21" i="26" s="1"/>
  <c r="AL21" i="7" s="1"/>
  <c r="BQ34" i="26" a="1"/>
  <c r="BQ34" i="26" s="1"/>
  <c r="AW34" i="7" s="1"/>
  <c r="BQ48" i="26" a="1"/>
  <c r="BQ48" i="26" s="1"/>
  <c r="AW48" i="7" s="1"/>
  <c r="BZ34" i="26" a="1"/>
  <c r="BZ34" i="26" s="1"/>
  <c r="BF34" i="7" s="1"/>
  <c r="BZ48" i="26" a="1"/>
  <c r="BZ48" i="26" s="1"/>
  <c r="BF48" i="7" s="1"/>
  <c r="BI34" i="26" a="1"/>
  <c r="BI34" i="26" s="1"/>
  <c r="AO34" i="7" s="1"/>
  <c r="BI48" i="26" a="1"/>
  <c r="BI48" i="26" s="1"/>
  <c r="AO48" i="7" s="1"/>
  <c r="CE20" i="26" a="1"/>
  <c r="CE20" i="26" s="1"/>
  <c r="BK20" i="7" s="1"/>
  <c r="BJ20" i="26" a="1"/>
  <c r="BJ20" i="26" s="1"/>
  <c r="AP20" i="7" s="1"/>
  <c r="CH19" i="26" a="1"/>
  <c r="CH19" i="26" s="1"/>
  <c r="BN19" i="7" s="1"/>
  <c r="BO19" i="26" a="1"/>
  <c r="BO19" i="26" s="1"/>
  <c r="AU19" i="7" s="1"/>
  <c r="BT19" i="26" a="1"/>
  <c r="BT19" i="26" s="1"/>
  <c r="AZ19" i="7" s="1"/>
  <c r="BX19" i="26" a="1"/>
  <c r="BX19" i="26" s="1"/>
  <c r="BD19" i="7" s="1"/>
  <c r="BC19" i="26" a="1"/>
  <c r="BC19" i="26" s="1"/>
  <c r="AI19" i="7" s="1"/>
  <c r="BL18" i="26" a="1"/>
  <c r="BL18" i="26" s="1"/>
  <c r="AR18" i="7" s="1"/>
  <c r="BP18" i="26" a="1"/>
  <c r="BP18" i="26" s="1"/>
  <c r="AV18" i="7" s="1"/>
  <c r="CC18" i="26" a="1"/>
  <c r="CC18" i="26" s="1"/>
  <c r="BI18" i="7" s="1"/>
  <c r="BF18" i="26" a="1"/>
  <c r="BF18" i="26" s="1"/>
  <c r="AL18" i="7" s="1"/>
  <c r="BQ16" i="26" a="1"/>
  <c r="BQ16" i="26" s="1"/>
  <c r="AW16" i="7" s="1"/>
  <c r="BZ16" i="26" a="1"/>
  <c r="BZ16" i="26" s="1"/>
  <c r="BF16" i="7" s="1"/>
  <c r="BI16" i="26" a="1"/>
  <c r="BI16" i="26" s="1"/>
  <c r="AO16" i="7" s="1"/>
  <c r="CE14" i="26" a="1"/>
  <c r="CE14" i="26" s="1"/>
  <c r="BK14" i="7" s="1"/>
  <c r="BJ14" i="26" a="1"/>
  <c r="BJ14" i="26" s="1"/>
  <c r="AP14" i="7" s="1"/>
  <c r="CH17" i="26" a="1"/>
  <c r="CH17" i="26" s="1"/>
  <c r="BN17" i="7" s="1"/>
  <c r="BO17" i="26" a="1"/>
  <c r="BO17" i="26" s="1"/>
  <c r="AU17" i="7" s="1"/>
  <c r="BT17" i="26" a="1"/>
  <c r="BT17" i="26" s="1"/>
  <c r="AZ17" i="7" s="1"/>
  <c r="BX17" i="26" a="1"/>
  <c r="BX17" i="26" s="1"/>
  <c r="BD17" i="7" s="1"/>
  <c r="BC17" i="26" a="1"/>
  <c r="BC17" i="26" s="1"/>
  <c r="AI17" i="7" s="1"/>
  <c r="BL15" i="26" a="1"/>
  <c r="BL15" i="26" s="1"/>
  <c r="AR15" i="7" s="1"/>
  <c r="BP15" i="26" a="1"/>
  <c r="BP15" i="26" s="1"/>
  <c r="AV15" i="7" s="1"/>
  <c r="CC15" i="26" a="1"/>
  <c r="CC15" i="26" s="1"/>
  <c r="BI15" i="7" s="1"/>
  <c r="BF15" i="26" a="1"/>
  <c r="BF15" i="26" s="1"/>
  <c r="AL15" i="7" s="1"/>
  <c r="BZ13" i="26" a="1"/>
  <c r="BZ13" i="26" s="1"/>
  <c r="BF13" i="7" s="1"/>
  <c r="BI13" i="26" a="1"/>
  <c r="BI13" i="26" s="1"/>
  <c r="AO13" i="7" s="1"/>
  <c r="CE9" i="26" a="1"/>
  <c r="CE9" i="26" s="1"/>
  <c r="BK9" i="7" s="1"/>
  <c r="BJ9" i="26" a="1"/>
  <c r="BJ9" i="26" s="1"/>
  <c r="AP9" i="7" s="1"/>
  <c r="D6" i="25"/>
  <c r="X3" i="26" s="1" a="1"/>
  <c r="X3" i="26" s="1"/>
  <c r="D3" i="7" s="1"/>
  <c r="BP20" i="26" a="1"/>
  <c r="BP20" i="26" s="1"/>
  <c r="AV20" i="7" s="1"/>
  <c r="BQ19" i="26" a="1"/>
  <c r="BQ19" i="26" s="1"/>
  <c r="AW19" i="7" s="1"/>
  <c r="BP14" i="26" a="1"/>
  <c r="BP14" i="26" s="1"/>
  <c r="AV14" i="7" s="1"/>
  <c r="BQ17" i="26" a="1"/>
  <c r="BQ17" i="26" s="1"/>
  <c r="AW17" i="7" s="1"/>
  <c r="BQ7" i="26" a="1"/>
  <c r="BQ7" i="26" s="1"/>
  <c r="AW7" i="7" s="1"/>
  <c r="BQ3" i="26" a="1"/>
  <c r="BQ3" i="26" s="1"/>
  <c r="AW3" i="7" s="1"/>
  <c r="BP46" i="26" a="1"/>
  <c r="BP46" i="26" s="1"/>
  <c r="AV46" i="7" s="1"/>
  <c r="BQ39" i="26" a="1"/>
  <c r="BQ39" i="26" s="1"/>
  <c r="AW39" i="7" s="1"/>
  <c r="BP49" i="26" a="1"/>
  <c r="BP49" i="26" s="1"/>
  <c r="AV49" i="7" s="1"/>
  <c r="BQ43" i="26" a="1"/>
  <c r="BQ43" i="26" s="1"/>
  <c r="AW43" i="7" s="1"/>
  <c r="BQ13" i="26" a="1"/>
  <c r="BQ13" i="26" s="1"/>
  <c r="AW13" i="7" s="1"/>
  <c r="BQ6" i="26" a="1"/>
  <c r="BQ6" i="26" s="1"/>
  <c r="AW6" i="7" s="1"/>
  <c r="BP5" i="26" a="1"/>
  <c r="BP5" i="26" s="1"/>
  <c r="AV5" i="7" s="1"/>
  <c r="BQ4" i="26" a="1"/>
  <c r="BQ4" i="26" s="1"/>
  <c r="AW4" i="7" s="1"/>
  <c r="BP10" i="26" l="1" a="1"/>
  <c r="BP10" i="26" s="1"/>
  <c r="AV10" i="7" s="1"/>
  <c r="C4" i="4"/>
  <c r="C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<sst xmlns="http://schemas.openxmlformats.org/spreadsheetml/2006/main" count="17307" uniqueCount="592">
  <si>
    <t>Netherlands</t>
  </si>
  <si>
    <t>Total</t>
  </si>
  <si>
    <t>Solid fossil fuels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</si>
  <si>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</si>
  <si>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</si>
  <si>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</si>
  <si>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</si>
  <si>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</si>
  <si>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</si>
  <si>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</si>
  <si>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</si>
  <si>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</si>
  <si>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Brown coal briquettes</t>
  </si>
  <si>
    <t>Manufactured gases</t>
  </si>
  <si>
    <t>Gas works gas</t>
  </si>
  <si>
    <t>Coke oven gas</t>
  </si>
  <si>
    <t>Blast furnace gas</t>
  </si>
  <si>
    <t>Other recovered gases</t>
  </si>
  <si>
    <t>Peat and peat products</t>
  </si>
  <si>
    <t>Peat</t>
  </si>
  <si>
    <t>Peat products</t>
  </si>
  <si>
    <t>Oil shale and oil sands</t>
  </si>
  <si>
    <t>Oil and petroleum products</t>
  </si>
  <si>
    <t>Crude oil</t>
  </si>
  <si>
    <t>Natural gas liquids</t>
  </si>
  <si>
    <t>Refinery feedstocks</t>
  </si>
  <si>
    <t>Additives and oxygenates (excluding biofuel portion)</t>
  </si>
  <si>
    <t>Other hydrocarbons</t>
  </si>
  <si>
    <t>Refinery gas</t>
  </si>
  <si>
    <t>Ethane</t>
  </si>
  <si>
    <t>Liquefied petroleum gases</t>
  </si>
  <si>
    <t>Motor gasoline (excluding biofuel portion)</t>
  </si>
  <si>
    <t>Aviation gasoline</t>
  </si>
  <si>
    <t>Gasoline-type jet fuel</t>
  </si>
  <si>
    <t>Kerosene-type jet fuel (excluding biofuel portion)</t>
  </si>
  <si>
    <t>Other kerosene</t>
  </si>
  <si>
    <t>Naphtha</t>
  </si>
  <si>
    <t>Gas oil and diesel oil (excluding biofuel portion)</t>
  </si>
  <si>
    <t>Fuel oil</t>
  </si>
  <si>
    <t>White spirit and special boiling point industrial spirits</t>
  </si>
  <si>
    <t>Lubricants</t>
  </si>
  <si>
    <t>Bitumen</t>
  </si>
  <si>
    <t>Petroleum coke</t>
  </si>
  <si>
    <t>Paraffin waxes</t>
  </si>
  <si>
    <t>Other oil products</t>
  </si>
  <si>
    <t>Natural gas</t>
  </si>
  <si>
    <t>Renewables and biofuels</t>
  </si>
  <si>
    <t>Hydro</t>
  </si>
  <si>
    <t>Tide, wave, ocean</t>
  </si>
  <si>
    <t>Wind</t>
  </si>
  <si>
    <t>Solar photovoltaic</t>
  </si>
  <si>
    <t>Solar thermal</t>
  </si>
  <si>
    <t>Geothermal</t>
  </si>
  <si>
    <t>Primary solid biofuels</t>
  </si>
  <si>
    <t>Charcoal</t>
  </si>
  <si>
    <t>Biogases</t>
  </si>
  <si>
    <t>Renewable municipal waste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</si>
  <si>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</si>
  <si>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</si>
  <si>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</si>
  <si>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</si>
  <si>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</si>
  <si>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</si>
  <si>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</si>
  <si>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Ambient heat (heat pumps)</t>
  </si>
  <si>
    <t>Non-renewable waste</t>
  </si>
  <si>
    <t>Industrial waste (non-renewable)</t>
  </si>
  <si>
    <t>Non-renewable municipal waste</t>
  </si>
  <si>
    <t>Nuclear heat</t>
  </si>
  <si>
    <t>Heat</t>
  </si>
  <si>
    <t>Electricity</t>
  </si>
  <si>
    <t>Fossil energy</t>
  </si>
  <si>
    <t>Bioenergy</t>
  </si>
  <si>
    <t>Primary production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</si>
  <si>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</si>
  <si>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</si>
  <si>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</si>
  <si>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</si>
  <si>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</si>
  <si>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</si>
  <si>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</si>
  <si>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</si>
  <si>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</si>
  <si>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</si>
  <si>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</si>
  <si>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Electric boilers</t>
  </si>
  <si>
    <t>Coke ovens</t>
  </si>
  <si>
    <t>Blast furnaces</t>
  </si>
  <si>
    <t>Gas works</t>
  </si>
  <si>
    <t>Patent fuel plants</t>
  </si>
  <si>
    <t>Coal liquefaction plants</t>
  </si>
  <si>
    <t>For blended natural gas</t>
  </si>
  <si>
    <t>Charcoal production plants</t>
  </si>
  <si>
    <t>Transformation output</t>
  </si>
  <si>
    <t>Other sources</t>
  </si>
  <si>
    <t>Coal mines</t>
  </si>
  <si>
    <t>Nuclear industry</t>
  </si>
  <si>
    <t>Gas-to-liquids (GTL) plants</t>
  </si>
  <si>
    <t>Distribution losses</t>
  </si>
  <si>
    <t>Available for final consumption</t>
  </si>
  <si>
    <t>Non-energy use industry/transformation/energy</t>
  </si>
  <si>
    <t>Non-ferrous metals</t>
  </si>
  <si>
    <t>Non-metallic minerals</t>
  </si>
  <si>
    <t>Transport equipment</t>
  </si>
  <si>
    <t>Machinery</t>
  </si>
  <si>
    <t>Construction</t>
  </si>
  <si>
    <t>Rail</t>
  </si>
  <si>
    <t>Road</t>
  </si>
  <si>
    <t>Domestic aviation</t>
  </si>
  <si>
    <t>Domestic navigation</t>
  </si>
  <si>
    <t>Pipeline transport</t>
  </si>
  <si>
    <t>Fishing</t>
  </si>
  <si>
    <t>Statistical differences</t>
  </si>
  <si>
    <t>Gross electricity production</t>
  </si>
  <si>
    <t>Gross heat production</t>
  </si>
  <si>
    <t>GJ per toe</t>
  </si>
  <si>
    <t>TJ per ktoe</t>
  </si>
  <si>
    <t>Unit conversion</t>
  </si>
  <si>
    <t>PRODUCT</t>
  </si>
  <si>
    <t>Hard coal (if no detail)</t>
  </si>
  <si>
    <t>Brown coal (if no detail)</t>
  </si>
  <si>
    <t>BKB</t>
  </si>
  <si>
    <t>Crude/NGL/feedstocks (if no detail)</t>
  </si>
  <si>
    <t>Additives/blending components</t>
  </si>
  <si>
    <t>Liquefied petroleum gases (LPG)</t>
  </si>
  <si>
    <t>Motor gasoline excl. biofuels</t>
  </si>
  <si>
    <t>Gasoline type jet fuel</t>
  </si>
  <si>
    <t>Kerosene type jet fuel excl. biofuels</t>
  </si>
  <si>
    <t>Gas/diesel oil excl. biofuels</t>
  </si>
  <si>
    <t>White spirit &amp; SBP</t>
  </si>
  <si>
    <t>Industrial waste</t>
  </si>
  <si>
    <t>Municipal waste (renewable)</t>
  </si>
  <si>
    <t>Municipal waste (non-renewable)</t>
  </si>
  <si>
    <t>Biogasoline</t>
  </si>
  <si>
    <t>Biodiesels</t>
  </si>
  <si>
    <t>Non-specified primary biofuels and waste</t>
  </si>
  <si>
    <t>Elec/heat output from non-specified manufactured gases</t>
  </si>
  <si>
    <t>Heat output from non-specified combustible fuels</t>
  </si>
  <si>
    <t>Nuclear</t>
  </si>
  <si>
    <t>Solar photovoltaics</t>
  </si>
  <si>
    <t>Tide, wave and ocean</t>
  </si>
  <si>
    <t>Memo: Renewables</t>
  </si>
  <si>
    <t>FLOW</t>
  </si>
  <si>
    <t>Production</t>
  </si>
  <si>
    <t>International marine bunkers</t>
  </si>
  <si>
    <t>International aviation bunkers</t>
  </si>
  <si>
    <t>Stock changes</t>
  </si>
  <si>
    <t>Total primary energy supply</t>
  </si>
  <si>
    <t>Transfers</t>
  </si>
  <si>
    <t>Transformation processes</t>
  </si>
  <si>
    <t>Main activity producer electricity plants</t>
  </si>
  <si>
    <t>Autoproducer electricity plants</t>
  </si>
  <si>
    <t>Main activity producer CHP plants</t>
  </si>
  <si>
    <t>Autoproducer CHP plants</t>
  </si>
  <si>
    <t>Main activity producer heat plants</t>
  </si>
  <si>
    <t>Autoproducer heat plants</t>
  </si>
  <si>
    <t>Heat pumps</t>
  </si>
  <si>
    <t>Chemical heat for electricity production</t>
  </si>
  <si>
    <t>BKB/peat briquette plants</t>
  </si>
  <si>
    <t>Oil refineries</t>
  </si>
  <si>
    <t>Petrochemical plants</t>
  </si>
  <si>
    <t>Non-specified (transformation)</t>
  </si>
  <si>
    <t>Energy industry own use</t>
  </si>
  <si>
    <t>Oil and gas extraction</t>
  </si>
  <si>
    <t>Gasification plants for biogases</t>
  </si>
  <si>
    <t>Liquefaction (LNG) / regasification plants</t>
  </si>
  <si>
    <t>Own use in electricity, CHP and heat plants</t>
  </si>
  <si>
    <t>Pumped storage plants</t>
  </si>
  <si>
    <t>Non-specified (energy)</t>
  </si>
  <si>
    <t>Losses</t>
  </si>
  <si>
    <t>Total final consumption</t>
  </si>
  <si>
    <t>Industry</t>
  </si>
  <si>
    <t>Iron and steel</t>
  </si>
  <si>
    <t>Chemical and petrochemical</t>
  </si>
  <si>
    <t>Mining and quarrying</t>
  </si>
  <si>
    <t>Food and tobacco</t>
  </si>
  <si>
    <t>Paper, pulp and print</t>
  </si>
  <si>
    <t>Wood and wood products</t>
  </si>
  <si>
    <t>Textile and leather</t>
  </si>
  <si>
    <t>Non-specified (industry)</t>
  </si>
  <si>
    <t>Transport</t>
  </si>
  <si>
    <t>Non-specified (transport)</t>
  </si>
  <si>
    <t>Other</t>
  </si>
  <si>
    <t>Residential</t>
  </si>
  <si>
    <t>Commercial and public services</t>
  </si>
  <si>
    <t>Agriculture/forestry</t>
  </si>
  <si>
    <t>Non-specified (other)</t>
  </si>
  <si>
    <t>Non-energy use</t>
  </si>
  <si>
    <t xml:space="preserve">   Memo: Non-energy use chemical/petrochemical</t>
  </si>
  <si>
    <t>Non-energy use in transport</t>
  </si>
  <si>
    <t>Non-energy use in other</t>
  </si>
  <si>
    <t>Electricity output (GWh)</t>
  </si>
  <si>
    <t>Electricity output (GWh)-main activity producer electricity plants</t>
  </si>
  <si>
    <t>Electricity output (GWh)-autoproducer electricity plants</t>
  </si>
  <si>
    <t>Electricity output (GWh)-main activity producer CHP plants</t>
  </si>
  <si>
    <t>Electricity output (GWh)-autoproducer CHP plants</t>
  </si>
  <si>
    <t>Heat output</t>
  </si>
  <si>
    <t>Heat output-main activity producer CHP plants</t>
  </si>
  <si>
    <t>Heat output-autoproducer CHP plants</t>
  </si>
  <si>
    <t>Heat output-main activity producer heat plants</t>
  </si>
  <si>
    <t>Heat output-autoproducer heat plants</t>
  </si>
  <si>
    <t>TJ per GWh</t>
  </si>
  <si>
    <t>:</t>
  </si>
  <si>
    <t>Recovered and recycled products</t>
  </si>
  <si>
    <t>Transformation input - energy use</t>
  </si>
  <si>
    <t>Transformation input - electricity and heat generation - energy use</t>
  </si>
  <si>
    <t>Transformation input - electricity and heat generation - main activity producer electricity only - energy use</t>
  </si>
  <si>
    <t>Transformation input - electricity and heat generation - main activity producer combined heat and power - energy use</t>
  </si>
  <si>
    <t>Transformation input - electricity and heat generation - main activity producer heat only - energy use</t>
  </si>
  <si>
    <t>Transformation input - electricity and heat generation - autoproducer electricity only - energy use</t>
  </si>
  <si>
    <t>Transformation input - electricity and heat generation - autoproducer combined heat and power - energy use</t>
  </si>
  <si>
    <t>Transformation input - electricity and heat generation - autoproducer heat only - energy use</t>
  </si>
  <si>
    <t>Transformation input - electricity and heat generation - electrically driven heat pumps</t>
  </si>
  <si>
    <t>Transformation input - electricity and heat generation - electric boilers</t>
  </si>
  <si>
    <t>Transformation input - electricity and heat generation - electricity for pumped storage</t>
  </si>
  <si>
    <t>Transformation input - electricity and heat generation - derived heat for electricity production</t>
  </si>
  <si>
    <t>Transformation input - coke ovens - energy use</t>
  </si>
  <si>
    <t>Transformation input - blast furnaces - energy use</t>
  </si>
  <si>
    <t>Transformation input - gas works - energy use</t>
  </si>
  <si>
    <t>Transformation input - refineries and petrochemical industry - energy use</t>
  </si>
  <si>
    <t>Transformation input - refineries and petrochemical industry - refinery intake - energy use</t>
  </si>
  <si>
    <t>Transformation input - refineries and petrochemical industry - backflows from petrochemical industry - energy use</t>
  </si>
  <si>
    <t>Transformation input - refineries and petrochemical industry - products transferred - energy use</t>
  </si>
  <si>
    <t>Transformation input - refineries and petrochemical industry - interproduct transfers - energy use</t>
  </si>
  <si>
    <t>Transformation input - refineries and petrochemical industry - direct use - energy use</t>
  </si>
  <si>
    <t>Transformation input - refineries and petrochemical industry - petrochemical industry intake - energy use</t>
  </si>
  <si>
    <t>Transformation input - patent fuel plants - energy use</t>
  </si>
  <si>
    <t>Transformation input - brown coal briquettes and peat briquettes plants - energy use</t>
  </si>
  <si>
    <t>Transformation input - coal liquefaction plants - energy use</t>
  </si>
  <si>
    <t>Transformation input - liquid biofuels blended - energy use</t>
  </si>
  <si>
    <t>Transformation input - charcoal production plants - energy use</t>
  </si>
  <si>
    <t>Transformation input - gas-to-liquids plants - energy use</t>
  </si>
  <si>
    <t>Transformation input - not elsewhere specified - energy use</t>
  </si>
  <si>
    <t>Transformation output - electricity and heat generation</t>
  </si>
  <si>
    <t>Transformation output - electricity and heat generation - main activity producer electricity only</t>
  </si>
  <si>
    <t>Transformation output - electricity and heat generation - main activity producer combined heat and power</t>
  </si>
  <si>
    <t>Transformation output - electricity and heat generation - main activity producer heat only</t>
  </si>
  <si>
    <t>Transformation output - electricity and heat generation - autoproducer electricity only</t>
  </si>
  <si>
    <t>Transformation output - electricity and heat generation - autoproducer combined heat and power</t>
  </si>
  <si>
    <t>Transformation output - electricity and heat generation - autoproducer heat only</t>
  </si>
  <si>
    <t>Transformation output - electricity and heat generation - electrically driven heat pumps</t>
  </si>
  <si>
    <t>Transformation output - electricity and heat generation - electric boilers</t>
  </si>
  <si>
    <t>Transformation output - electricity and heat generation - pumped hydro</t>
  </si>
  <si>
    <t>Transformation output - electricity and heat generation - other sources</t>
  </si>
  <si>
    <t>Transformation output - coke ovens</t>
  </si>
  <si>
    <t>Transformation output - blast furnaces</t>
  </si>
  <si>
    <t>Transformation output - gas works</t>
  </si>
  <si>
    <t>Transformation output - refineries and petrochemical industry</t>
  </si>
  <si>
    <t>Transformation output - refineries and petrochemical industry - refinery output</t>
  </si>
  <si>
    <t>Transformation output - refineries and petrochemical industry - backflows</t>
  </si>
  <si>
    <t>Transformation output - refineries and petrochemical industry - products transferred</t>
  </si>
  <si>
    <t>Transformation output - refineries and petrochemical industry - interproduct transfers</t>
  </si>
  <si>
    <t>Transformation output - refineries and petrochemical industry - primary product receipts</t>
  </si>
  <si>
    <t>Transformation output - refineries and petrochemical industry - petrochemical industry returns</t>
  </si>
  <si>
    <t>Transformation output - patent fuel plants</t>
  </si>
  <si>
    <t>Transformation output - brown coal briquettes and peat briquettes plants</t>
  </si>
  <si>
    <t>Transformation output - coal liquefaction plants</t>
  </si>
  <si>
    <t>Transformation output - blended in natural gas</t>
  </si>
  <si>
    <t>Transformation output - liquid biofuels blended</t>
  </si>
  <si>
    <t>Transformation output - charcoal production plants</t>
  </si>
  <si>
    <t>Transformation output - gas-to-liquids plants</t>
  </si>
  <si>
    <t>Transformation output - not elsewhere specified</t>
  </si>
  <si>
    <t>Energy sector - energy use</t>
  </si>
  <si>
    <t>Energy sector - electricity and heat generation - energy use</t>
  </si>
  <si>
    <t>Energy sector - coal mines - energy use</t>
  </si>
  <si>
    <t>Energy sector - oil and natural gas extraction plants - energy use</t>
  </si>
  <si>
    <t>Energy sector - patent fuel plants - energy use</t>
  </si>
  <si>
    <t>Energy sector - coke ovens - energy use</t>
  </si>
  <si>
    <t>Energy sector - brown coal briquettes and peat briquettes plants - energy use</t>
  </si>
  <si>
    <t>Energy sector - gas works - energy use</t>
  </si>
  <si>
    <t>Energy sector - blast furnaces - energy use</t>
  </si>
  <si>
    <t>Energy sector - petroleum refineries (oil refineries) - energy use</t>
  </si>
  <si>
    <t>Energy sector - nuclear industry - energy use</t>
  </si>
  <si>
    <t>Energy sector - coal liquefaction plants - energy use</t>
  </si>
  <si>
    <t>Energy sector - liquefaction and regasification plants (LNG) - energy use</t>
  </si>
  <si>
    <t>Energy sector - gasification plants for biogas - energy use</t>
  </si>
  <si>
    <t>Energy sector - gas-to-liquids plants - energy use</t>
  </si>
  <si>
    <t>Energy sector - charcoal production plants - energy use</t>
  </si>
  <si>
    <t>Energy sector - not elsewhere specified - energy use</t>
  </si>
  <si>
    <t>Final consumption - non-energy use</t>
  </si>
  <si>
    <t>Transformation input, energy sector and final consumption in industry sector - non-energy use</t>
  </si>
  <si>
    <t>Transformation input - non-energy use</t>
  </si>
  <si>
    <t>Energy sector - non-energy use</t>
  </si>
  <si>
    <t>Final consumption - industry sector - non-energy use</t>
  </si>
  <si>
    <t>Final consumption - transport sector - non-energy use</t>
  </si>
  <si>
    <t>Final consumption - other sectors - non-energy use</t>
  </si>
  <si>
    <t>Final consumption - energy use</t>
  </si>
  <si>
    <t>Final consumption - industry sector - energy use</t>
  </si>
  <si>
    <t>Final consumption - industry sector - iron and steel - energy use</t>
  </si>
  <si>
    <t>Final consumption - industry sector - chemical and petrochemical - energy use</t>
  </si>
  <si>
    <t>Final consumption - industry sector - non-ferrous metals - energy use</t>
  </si>
  <si>
    <t>Final consumption - industry sector - non-metallic minerals - energy use</t>
  </si>
  <si>
    <t>Final consumption - industry sector - transport equipment - energy use</t>
  </si>
  <si>
    <t>Final consumption - industry sector - machinery - energy use</t>
  </si>
  <si>
    <t>Final consumption - industry sector - mining and quarrying - energy use</t>
  </si>
  <si>
    <t>Final consumption - industry sector - food, beverages and tobacco - energy use</t>
  </si>
  <si>
    <t>Final consumption - industry sector - paper, pulp and printing - energy use</t>
  </si>
  <si>
    <t>Final consumption - industry sector - wood and wood products - energy use</t>
  </si>
  <si>
    <t>Final consumption - industry sector - construction - energy use</t>
  </si>
  <si>
    <t>Final consumption - industry sector - textile and leather - energy use</t>
  </si>
  <si>
    <t>Final consumption - industry sector - not elsewhere specified - energy use</t>
  </si>
  <si>
    <t>Final consumption - transport sector - energy use</t>
  </si>
  <si>
    <t>Final consumption - transport sector - rail - energy use</t>
  </si>
  <si>
    <t>Final consumption - transport sector - road - energy use</t>
  </si>
  <si>
    <t>Final consumption - transport sector - domestic aviation - energy use</t>
  </si>
  <si>
    <t>Final consumption - transport sector - domestic navigation - energy use</t>
  </si>
  <si>
    <t>Final consumption - transport sector - pipeline transport - energy use</t>
  </si>
  <si>
    <t>Final consumption - transport sector - not elsewhere specified - energy use</t>
  </si>
  <si>
    <t>Final consumption - other sectors - energy use</t>
  </si>
  <si>
    <t>Final consumption - other sectors - commercial and public services - energy use</t>
  </si>
  <si>
    <t>Final consumption - other sectors - households - energy use</t>
  </si>
  <si>
    <t>Final consumption - other sectors - agriculture and forestry - energy use</t>
  </si>
  <si>
    <t>Final consumption - other sectors - fishing - energy use</t>
  </si>
  <si>
    <t>Final consumption - other sectors - not elsewhere specified - energy use</t>
  </si>
  <si>
    <t>Gross electricity production - main activity producer electricity only</t>
  </si>
  <si>
    <t>Gross electricity production - main activity producer combined heat and power</t>
  </si>
  <si>
    <t>Gross electricity production - autoproducer electricity only</t>
  </si>
  <si>
    <t>Gross electricity production - autoproducer combined heat and power</t>
  </si>
  <si>
    <t>Gross heat production - main activity producer combined heat and power</t>
  </si>
  <si>
    <t>Gross heat production - main activity producer heat only</t>
  </si>
  <si>
    <t>Gross heat production - autoproducer combined heat and power</t>
  </si>
  <si>
    <t>Gross heat production - autoproducer heat only</t>
  </si>
  <si>
    <t>NRG_BAL (Labels)</t>
  </si>
  <si>
    <t>x</t>
  </si>
  <si>
    <t>Value</t>
  </si>
  <si>
    <t>Explanation</t>
  </si>
  <si>
    <t xml:space="preserve">Dataset: </t>
  </si>
  <si>
    <t xml:space="preserve">Last updated: </t>
  </si>
  <si>
    <t>Time frequency</t>
  </si>
  <si>
    <t>Annual</t>
  </si>
  <si>
    <t>Unit of measure</t>
  </si>
  <si>
    <t>Geopolitical entity (reporting)</t>
  </si>
  <si>
    <t>Time</t>
  </si>
  <si>
    <t/>
  </si>
  <si>
    <t>SIEC (Labels)</t>
  </si>
  <si>
    <t>Special value</t>
  </si>
  <si>
    <t>not available</t>
  </si>
  <si>
    <t>Terajoule</t>
  </si>
  <si>
    <t>Energy balance sheets</t>
  </si>
  <si>
    <t>Thousand tonnes</t>
  </si>
  <si>
    <t>Oil and petroleum products (excluding biofuel portion)</t>
  </si>
  <si>
    <t>Crude oil, NGL, refinery feedstocks, additives and oxygenates and other hydrocarbons</t>
  </si>
  <si>
    <t>Crude oil, NGL, refinery feedstocks, additives and oxygenates and other hydrocarbons (excluding biofuel portion)</t>
  </si>
  <si>
    <t>Oil products</t>
  </si>
  <si>
    <t>Oil products (excluding biofuel portion)</t>
  </si>
  <si>
    <t>Motor gasoline</t>
  </si>
  <si>
    <t>Kerosene-type jet fuel</t>
  </si>
  <si>
    <t>Gas oil and diesel oil</t>
  </si>
  <si>
    <t>Road diesel</t>
  </si>
  <si>
    <t>Heating and other gasoil</t>
  </si>
  <si>
    <t>Fuel oil (low sulphur &lt;1%)</t>
  </si>
  <si>
    <t>Fuel oil (high sulphur &gt;=1%)</t>
  </si>
  <si>
    <t>Other oil products n.e.c.</t>
  </si>
  <si>
    <t>Biofuels for blending</t>
  </si>
  <si>
    <t>Additives and oxygenates</t>
  </si>
  <si>
    <t>Final consumption - industry sector - chemical and petrochemical - non-energy use</t>
  </si>
  <si>
    <t>Terajoule (gross calorific value - GCV)</t>
  </si>
  <si>
    <t>EUROSTAT CB OIL</t>
  </si>
  <si>
    <t>EUROSTAT CB GAS</t>
  </si>
  <si>
    <t>Eurostat energy balance in IEA format that can be used as input for ETM analyses</t>
  </si>
  <si>
    <t>Cover Sheet</t>
  </si>
  <si>
    <t>Document</t>
  </si>
  <si>
    <t>Version #</t>
  </si>
  <si>
    <t>Country</t>
  </si>
  <si>
    <t>Year data</t>
  </si>
  <si>
    <t>Date</t>
  </si>
  <si>
    <t>Author</t>
  </si>
  <si>
    <t>Organization</t>
  </si>
  <si>
    <t>Legend</t>
  </si>
  <si>
    <t>Cells</t>
  </si>
  <si>
    <t>Intermediate (calculation)</t>
  </si>
  <si>
    <t>Result</t>
  </si>
  <si>
    <t>Manual input</t>
  </si>
  <si>
    <t>Reference to manual input or data input</t>
  </si>
  <si>
    <t>Sheets</t>
  </si>
  <si>
    <t>Introductory</t>
  </si>
  <si>
    <t>Dashboard</t>
  </si>
  <si>
    <t>Research data</t>
  </si>
  <si>
    <t>Results</t>
  </si>
  <si>
    <t>Main calculations</t>
  </si>
  <si>
    <t>Additional calculations</t>
  </si>
  <si>
    <t>Output to csv</t>
  </si>
  <si>
    <t>Comments</t>
  </si>
  <si>
    <t>Mathijs Bijkerk</t>
  </si>
  <si>
    <t>nl</t>
  </si>
  <si>
    <t>Data extracted on 20/05/2025 09:24:04 from [ESTAT]</t>
  </si>
  <si>
    <t>Complete energy balances [nrg_bal_c__custom_15262984]</t>
  </si>
  <si>
    <t>Gross inland consumption - Energy Efficiency Directive</t>
  </si>
  <si>
    <t>Primary energy consumption - Energy Efficiency Directive</t>
  </si>
  <si>
    <t>Final energy consumption - Energy Efficiency Directive</t>
  </si>
  <si>
    <t>Transformation input - electricity and heat generation - charging batteries</t>
  </si>
  <si>
    <t>Transformation input - for blending with natural gas - energy use</t>
  </si>
  <si>
    <t>E</t>
  </si>
  <si>
    <t>NOT USED: SUM</t>
  </si>
  <si>
    <t>NOT USED: DEBT</t>
  </si>
  <si>
    <t>IEA PRODUCTS</t>
  </si>
  <si>
    <t>EUROSTAT PRODUCTS</t>
  </si>
  <si>
    <t>SUM</t>
  </si>
  <si>
    <t>EXCLUDE</t>
  </si>
  <si>
    <t>SET TO 0</t>
  </si>
  <si>
    <t>IEA FLOWS</t>
  </si>
  <si>
    <t>CONVERTED TO GWH</t>
  </si>
  <si>
    <t>Sign 1</t>
  </si>
  <si>
    <t>Flow 1</t>
  </si>
  <si>
    <t>Flow 2</t>
  </si>
  <si>
    <t>Flow 3</t>
  </si>
  <si>
    <t>Flow 4</t>
  </si>
  <si>
    <t>Flow 5</t>
  </si>
  <si>
    <t>Flow 6</t>
  </si>
  <si>
    <t>Flow 7</t>
  </si>
  <si>
    <t>Flow 8</t>
  </si>
  <si>
    <t>Flow 9</t>
  </si>
  <si>
    <t>Flow 10</t>
  </si>
  <si>
    <t>Sign 2</t>
  </si>
  <si>
    <t>Sign 3</t>
  </si>
  <si>
    <t>Sign 4</t>
  </si>
  <si>
    <t>Sign 5</t>
  </si>
  <si>
    <t>Sign 6</t>
  </si>
  <si>
    <t>Sign 7</t>
  </si>
  <si>
    <t>Sign 8</t>
  </si>
  <si>
    <t>Sign 9</t>
  </si>
  <si>
    <t>Sign 10</t>
  </si>
  <si>
    <t>EB Eurostat to IEA format mapping</t>
  </si>
  <si>
    <t>May 21, 2025</t>
  </si>
  <si>
    <t>Quintel</t>
  </si>
  <si>
    <t>EUROSTAT EB TJ</t>
  </si>
  <si>
    <t>EUROSTAT EB TJ GWH</t>
  </si>
  <si>
    <t>EUROSTAT EB products IEA</t>
  </si>
  <si>
    <t>EUROSTAT EB flows IEA</t>
  </si>
  <si>
    <t>Data extracted on 20/05/2025 17:13:51 from [ESTAT]</t>
  </si>
  <si>
    <t>Supply, transformation and consumption of gas [nrg_cb_gas__custom_16789734]</t>
  </si>
  <si>
    <t>22/04/2025 23:00</t>
  </si>
  <si>
    <t>2023</t>
  </si>
  <si>
    <t>Indigenous production</t>
  </si>
  <si>
    <t>Indigenous production - associated gas</t>
  </si>
  <si>
    <t>Indigenous production - non-associated gas</t>
  </si>
  <si>
    <t>Indigenous production - colliery gas</t>
  </si>
  <si>
    <t>Transfer from other sources</t>
  </si>
  <si>
    <t>Transfer from other sources - oil</t>
  </si>
  <si>
    <t>Transfer from other sources - coal</t>
  </si>
  <si>
    <t>Transfer from other sources - renewables</t>
  </si>
  <si>
    <t>Transfer from other sources - natural gas</t>
  </si>
  <si>
    <t>Change in stock - cushion gas</t>
  </si>
  <si>
    <t>Inland consumption - calculated</t>
  </si>
  <si>
    <t>Inland consumption - observed</t>
  </si>
  <si>
    <t>Inland demand</t>
  </si>
  <si>
    <t>Transformation input - gas-to-liquids plants - GTL technology - energy use</t>
  </si>
  <si>
    <t>Energy sector - gas-to-liquids plants - GTL technology - energy use</t>
  </si>
  <si>
    <t>Transmission and distribution losses</t>
  </si>
  <si>
    <t>Distribution losses - non-technical</t>
  </si>
  <si>
    <t>Transmission losses</t>
  </si>
  <si>
    <t>Vented</t>
  </si>
  <si>
    <t>Flared</t>
  </si>
  <si>
    <t>Final consumption</t>
  </si>
  <si>
    <t>Final consumption - industry sector - iron and steel - non-energy use</t>
  </si>
  <si>
    <t>Final consumption - industry sector - non-ferrous metals - non-energy use</t>
  </si>
  <si>
    <t>Final consumption - industry sector - non-metallic minerals - non-energy use</t>
  </si>
  <si>
    <t>Final consumption - industry sector - transport equipment - non-energy use</t>
  </si>
  <si>
    <t>Final consumption - industry sector - machinery - non-energy use</t>
  </si>
  <si>
    <t>Final consumption - industry sector - mining and quarrying - non-energy use</t>
  </si>
  <si>
    <t>Final consumption - industry sector - food, beverages and tobacco - non-energy use</t>
  </si>
  <si>
    <t>Final consumption - industry sector - paper, pulp and printing - non-energy use</t>
  </si>
  <si>
    <t>Final consumption - industry sector - wood and wood products - non-energy use</t>
  </si>
  <si>
    <t>Final consumption - industry sector - construction - non-energy use</t>
  </si>
  <si>
    <t>Final consumption - industry sector - textile and leather - non-energy use</t>
  </si>
  <si>
    <t>Final consumption - industry sector - not elsewhere specified - non-energy use</t>
  </si>
  <si>
    <t>Final consumption - transport sector - road - non-energy use</t>
  </si>
  <si>
    <t>Final consumption - transport sector - pipeline transport - non-energy use</t>
  </si>
  <si>
    <t>Final consumption - transport sector - not elsewhere specified - non-energy use</t>
  </si>
  <si>
    <t>Final consumption - other sectors - commercial and public services - non-energy use</t>
  </si>
  <si>
    <t>Final consumption - other sectors - households - non-energy use</t>
  </si>
  <si>
    <t>Final consumption - other sectors - agriculture and forestry - non-energy use</t>
  </si>
  <si>
    <t>Final consumption - other sectors - agriculture - energy use</t>
  </si>
  <si>
    <t>Final consumption - other sectors - agriculture - non-energy use</t>
  </si>
  <si>
    <t>Final consumption - other sectors - forestry - energy use</t>
  </si>
  <si>
    <t>Final consumption - other sectors - forestry - non-energy use</t>
  </si>
  <si>
    <t>Final consumption - other sectors - fishing - non-energy use</t>
  </si>
  <si>
    <t>Final consumption - other sectors - not elsewhere specified - non-energy use</t>
  </si>
  <si>
    <t>Data extracted on 20/05/2025 17:17:10 from [ESTAT]</t>
  </si>
  <si>
    <t>Supply, transformation and consumption of oil and petroleum products [nrg_cb_oil__custom_16789812]</t>
  </si>
  <si>
    <t>10/04/2025 23:00</t>
  </si>
  <si>
    <t>Stock changes at main activity utilities</t>
  </si>
  <si>
    <t>Gross inland deliveries</t>
  </si>
  <si>
    <t>Gross inland deliveries - calculated</t>
  </si>
  <si>
    <t>Gross inland deliveries - observed</t>
  </si>
  <si>
    <t>Gross inland deliveries - energy use</t>
  </si>
  <si>
    <t>Gross inland deliveries - non-energy use</t>
  </si>
  <si>
    <t>International aviation - energy use</t>
  </si>
  <si>
    <t>International aviation - non-energy use</t>
  </si>
  <si>
    <t>Transformation input</t>
  </si>
  <si>
    <t>Transformation input - electricity and heat generation - main activity producer electricity only</t>
  </si>
  <si>
    <t>Transformation input - electricity and heat generation - main activity producer electricity only - non-energy use</t>
  </si>
  <si>
    <t>Transformation input - electricity and heat generation - main activity producer combined heat and power</t>
  </si>
  <si>
    <t>Transformation input - electricity and heat generation - main activity producer combined heat and power - non-energy use</t>
  </si>
  <si>
    <t>Transformation input - electricity and heat generation - main activity producer heat only</t>
  </si>
  <si>
    <t>Transformation input - electricity and heat generation - main activity producer heat only - non-energy use</t>
  </si>
  <si>
    <t>Transformation input - electricity and heat generation - autoproducer electricity only</t>
  </si>
  <si>
    <t>Transformation input - electricity and heat generation - autoproducer electricity only - non-energy use</t>
  </si>
  <si>
    <t>Transformation input - electricity and heat generation - autoproducer combined heat and power</t>
  </si>
  <si>
    <t>Transformation input - electricity and heat generation - autoproducer combined heat and power - non-energy use</t>
  </si>
  <si>
    <t>Transformation input - electricity and heat generation - autoproducer heat only</t>
  </si>
  <si>
    <t>Transformation input - electricity and heat generation - autoproducer heat only - non-energy use</t>
  </si>
  <si>
    <t>Transformation input - coke ovens</t>
  </si>
  <si>
    <t>Transformation input - coke ovens - non-energy use</t>
  </si>
  <si>
    <t>Transformation input - blast furnaces</t>
  </si>
  <si>
    <t>Transformation input - blast furnaces - non-energy use</t>
  </si>
  <si>
    <t>Transformation input - gas works</t>
  </si>
  <si>
    <t>Transformation input - gas works - non-energy use</t>
  </si>
  <si>
    <t>Transformation input - refineries and petrochemical industry - petrochemical industry intake - non-energy use</t>
  </si>
  <si>
    <t>Transformation input - patent fuel plants</t>
  </si>
  <si>
    <t>Transformation input - patent fuel plants - non-energy use</t>
  </si>
  <si>
    <t>Transformation input - for blending with natural gas</t>
  </si>
  <si>
    <t>Transformation input - for blending with natural gas - non-energy use</t>
  </si>
  <si>
    <t>Transformation input - not elsewhere specified</t>
  </si>
  <si>
    <t>Transformation input - not elsewhere specified - non-energy use</t>
  </si>
  <si>
    <t>Energy sector</t>
  </si>
  <si>
    <t>Energy sector - electricity and heat generation</t>
  </si>
  <si>
    <t>Energy sector - electricity and heat generation - non-energy use</t>
  </si>
  <si>
    <t>Energy sector - coal mines</t>
  </si>
  <si>
    <t>Energy sector - coal mines - non-energy use</t>
  </si>
  <si>
    <t>Energy sector - oil and natural gas extraction plants</t>
  </si>
  <si>
    <t>Energy sector - oil and natural gas extraction plants - non-energy use</t>
  </si>
  <si>
    <t>Energy sector - coke ovens</t>
  </si>
  <si>
    <t>Energy sector - coke ovens - non-energy use</t>
  </si>
  <si>
    <t>Energy sector - gas works</t>
  </si>
  <si>
    <t>Energy sector - gas works - non-energy use</t>
  </si>
  <si>
    <t>Energy sector - blast furnaces</t>
  </si>
  <si>
    <t>Energy sector - blast furnaces - non-energy use</t>
  </si>
  <si>
    <t>Energy sector - not elsewhere specified</t>
  </si>
  <si>
    <t>Energy sector - not elsewhere specified - non-energy use</t>
  </si>
  <si>
    <t>Distribution losses - energy use</t>
  </si>
  <si>
    <t>Distribution losses - non-energy use</t>
  </si>
  <si>
    <t>Refinery losses</t>
  </si>
  <si>
    <t>Refinery intake - calculated</t>
  </si>
  <si>
    <t>Refinery intake - observed</t>
  </si>
  <si>
    <t>Refinery fuel</t>
  </si>
  <si>
    <t>Refinery fuel - electricity generation</t>
  </si>
  <si>
    <t>Refinery fuel - combined heat and power production</t>
  </si>
  <si>
    <t>Refinery fuel - heat production</t>
  </si>
  <si>
    <t>Final consumption - industry sector</t>
  </si>
  <si>
    <t>Final consumption - industry sector - iron and steel</t>
  </si>
  <si>
    <t>Final consumption - industry sector - chemical and petrochemical</t>
  </si>
  <si>
    <t>Final consumption - industry sector - non-ferrous metals</t>
  </si>
  <si>
    <t>Final consumption - industry sector - non-metallic minerals</t>
  </si>
  <si>
    <t>Final consumption - industry sector - transport equipment</t>
  </si>
  <si>
    <t>Final consumption - industry sector - machinery</t>
  </si>
  <si>
    <t>Final consumption - industry sector - mining and quarrying</t>
  </si>
  <si>
    <t>Final consumption - industry sector - food, beverages and tobacco</t>
  </si>
  <si>
    <t>Final consumption - industry sector - paper, pulp and printing</t>
  </si>
  <si>
    <t>Final consumption - industry sector - wood and wood products</t>
  </si>
  <si>
    <t>Final consumption - industry sector - construction</t>
  </si>
  <si>
    <t>Final consumption - industry sector - textile and leather</t>
  </si>
  <si>
    <t>Final consumption - industry sector - not elsewhere specified</t>
  </si>
  <si>
    <t>Final consumption - transport sector</t>
  </si>
  <si>
    <t>Final consumption - transport sector - rail</t>
  </si>
  <si>
    <t>Final consumption - transport sector - rail - non-energy use</t>
  </si>
  <si>
    <t>Final consumption - transport sector - road</t>
  </si>
  <si>
    <t>Final consumption - transport sector - domestic aviation</t>
  </si>
  <si>
    <t>Final consumption - transport sector - domestic aviation - non-energy use</t>
  </si>
  <si>
    <t>Final consumption - transport sector - domestic navigation</t>
  </si>
  <si>
    <t>Final consumption - transport sector - domestic navigation - non-energy use</t>
  </si>
  <si>
    <t>Final consumption - transport sector - pipeline transport</t>
  </si>
  <si>
    <t>Final consumption - transport sector - not elsewhere specified</t>
  </si>
  <si>
    <t>Final consumption - other sectors</t>
  </si>
  <si>
    <t>Final consumption - other sectors - commercial and public services</t>
  </si>
  <si>
    <t>Final consumption - other sectors - households</t>
  </si>
  <si>
    <t>Final consumption - other sectors - agriculture and forestry</t>
  </si>
  <si>
    <t>Final consumption - other sectors - fishing</t>
  </si>
  <si>
    <t>Final consumption - other sectors - not elsewhere specified</t>
  </si>
  <si>
    <t>Backflows</t>
  </si>
  <si>
    <t>Backflows - direct export or sale</t>
  </si>
  <si>
    <t>Primary product receipts</t>
  </si>
  <si>
    <t>Interproduct transfers</t>
  </si>
  <si>
    <t>Products transferred</t>
  </si>
  <si>
    <t>Direct use</t>
  </si>
  <si>
    <t>Gross deliveries to petrochemical industry</t>
  </si>
  <si>
    <t>Energy use in petrochemical industry</t>
  </si>
  <si>
    <t>Non-energy use in petrochemical industry</t>
  </si>
  <si>
    <t>Net deliveries of total products</t>
  </si>
  <si>
    <t>Net deliveries to the petrochemical industry</t>
  </si>
  <si>
    <t>ADDED USING CB</t>
  </si>
  <si>
    <t>Share of chemical and petrochemical in total industry</t>
  </si>
  <si>
    <t>The commodity balance for oil loaded directly from Eurostat with values in thousand tonnes</t>
  </si>
  <si>
    <t>The commodity balance for gas loaded directly from Eurostat with values in TJ</t>
  </si>
  <si>
    <t>EUROSTAT CB summary</t>
  </si>
  <si>
    <t>The EUROSTAT EB TJ with missing values set to 0, electricity production converted to GWh and non-energetic demand for chemical and petrochemical calculated based on the share calculated in EUROSTAT CB summary</t>
  </si>
  <si>
    <t>The EUROSTAT CB GAS and EUROSTAT CB OIL combined. Missing values are set to 0 and the share of chemical and petrochemical industry in industry total for non-energetic demand is calculated</t>
  </si>
  <si>
    <t>The EUROSTAT EB TJ GWH with redundant flows removed and products mapped from Eurostat to IEA format</t>
  </si>
  <si>
    <t>The EUROSTAT EB products IEA with mapping of Eurostat flows to IEA format</t>
  </si>
  <si>
    <t>This file converts the energy balance from Eurostat to the IEA energy balance, which can then be imported to use for the ETM country dataset analyses.</t>
  </si>
  <si>
    <t>The energy balance loaded directly from Eurostat with values in TJ</t>
  </si>
  <si>
    <t>energy_balance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</si>
</sst>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##0.00\ _€_-;\-* ###0.00\ _€_-;_-* &quot;-&quot;??\ _€_-;_-@_-"/>
    <numFmt numFmtId="165" formatCode="??????.00"/>
    <numFmt numFmtId="166" formatCode="???,???.00"/>
    <numFmt numFmtId="167" formatCode="#,##0.##########"/>
    <numFmt numFmtId="168" formatCode="#,##0.000"/>
    <numFmt numFmtId="169" formatCode="[$-409]mmmm\ d\,\ yyyy;@"/>
  </numFmts>
  <fonts count="19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6"/>
      <color theme="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9"/>
      <color rgb="FFFFFFFF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ptos Narrow"/>
      <family val="2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92CDD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4669AF"/>
        <bgColor rgb="FF000000"/>
      </patternFill>
    </fill>
    <fill>
      <patternFill patternType="solid">
        <fgColor rgb="FF0096DC"/>
        <bgColor rgb="FF000000"/>
      </patternFill>
    </fill>
    <fill>
      <patternFill patternType="mediumGray">
        <fgColor rgb="FF000000"/>
        <bgColor rgb="FFC0C0C0"/>
      </patternFill>
    </fill>
    <fill>
      <patternFill patternType="solid">
        <fgColor rgb="FFDCE6F1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6F6F6"/>
      </patternFill>
    </fill>
    <fill>
      <patternFill patternType="solid">
        <fgColor rgb="FFDAEEF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indexed="64"/>
      </right>
      <top style="hair">
        <color rgb="FFC0C0C0"/>
      </top>
      <bottom style="hair">
        <color rgb="FFC0C0C0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 style="hair">
        <color rgb="FFC0C0C0"/>
      </bottom>
      <diagonal/>
    </border>
  </borders>
  <cellStyleXfs count="7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4" fillId="0" borderId="0" applyNumberFormat="0" applyProtection="0">
      <alignment horizontal="center" vertical="center"/>
    </xf>
    <xf numFmtId="166" fontId="4" fillId="0" borderId="0" applyNumberFormat="0" applyProtection="0">
      <alignment horizontal="center" vertical="center"/>
    </xf>
    <xf numFmtId="0" fontId="6" fillId="0" borderId="0"/>
  </cellStyleXfs>
  <cellXfs count="94">
    <xf numFmtId="0" fontId="0" fillId="0" borderId="0" xfId="0"/>
    <xf numFmtId="0" fontId="0" fillId="0" borderId="3" xfId="0" applyBorder="1" applyAlignment="1">
      <alignment wrapText="1"/>
    </xf>
    <xf numFmtId="0" fontId="0" fillId="0" borderId="3" xfId="0" applyBorder="1"/>
    <xf numFmtId="0" fontId="5" fillId="0" borderId="3" xfId="0" applyFont="1" applyBorder="1"/>
    <xf numFmtId="0" fontId="0" fillId="2" borderId="0" xfId="0" applyFill="1"/>
    <xf numFmtId="0" fontId="4" fillId="0" borderId="0" xfId="6" applyFont="1" applyAlignment="1">
      <alignment horizontal="left" vertical="center"/>
    </xf>
    <xf numFmtId="0" fontId="6" fillId="0" borderId="0" xfId="6"/>
    <xf numFmtId="0" fontId="7" fillId="0" borderId="0" xfId="6" applyFont="1" applyAlignment="1">
      <alignment horizontal="left" vertical="center"/>
    </xf>
    <xf numFmtId="0" fontId="7" fillId="6" borderId="4" xfId="6" applyFont="1" applyFill="1" applyBorder="1" applyAlignment="1">
      <alignment horizontal="left" vertical="center"/>
    </xf>
    <xf numFmtId="0" fontId="6" fillId="7" borderId="0" xfId="6" applyFill="1"/>
    <xf numFmtId="0" fontId="7" fillId="8" borderId="4" xfId="6" applyFont="1" applyFill="1" applyBorder="1" applyAlignment="1">
      <alignment horizontal="left" vertical="center"/>
    </xf>
    <xf numFmtId="167" fontId="4" fillId="0" borderId="0" xfId="6" applyNumberFormat="1" applyFont="1" applyAlignment="1">
      <alignment horizontal="right" vertical="center" shrinkToFit="1"/>
    </xf>
    <xf numFmtId="3" fontId="4" fillId="0" borderId="0" xfId="6" applyNumberFormat="1" applyFont="1" applyAlignment="1">
      <alignment horizontal="right" vertical="center" shrinkToFit="1"/>
    </xf>
    <xf numFmtId="0" fontId="8" fillId="5" borderId="4" xfId="6" applyFont="1" applyFill="1" applyBorder="1" applyAlignment="1">
      <alignment horizontal="right" vertical="center"/>
    </xf>
    <xf numFmtId="0" fontId="0" fillId="9" borderId="3" xfId="0" applyFill="1" applyBorder="1"/>
    <xf numFmtId="167" fontId="4" fillId="0" borderId="0" xfId="0" applyNumberFormat="1" applyFont="1" applyAlignment="1">
      <alignment horizontal="right" vertical="center" shrinkToFit="1"/>
    </xf>
    <xf numFmtId="3" fontId="4" fillId="0" borderId="0" xfId="0" applyNumberFormat="1" applyFont="1" applyAlignment="1">
      <alignment horizontal="right" vertical="center" shrinkToFit="1"/>
    </xf>
    <xf numFmtId="168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8" fontId="4" fillId="0" borderId="0" xfId="6" applyNumberFormat="1" applyFont="1" applyAlignment="1">
      <alignment horizontal="right" vertical="center" shrinkToFit="1"/>
    </xf>
    <xf numFmtId="0" fontId="5" fillId="0" borderId="0" xfId="0" applyFont="1"/>
    <xf numFmtId="0" fontId="0" fillId="2" borderId="3" xfId="0" applyFill="1" applyBorder="1" applyAlignment="1">
      <alignment horizontal="left"/>
    </xf>
    <xf numFmtId="0" fontId="9" fillId="2" borderId="0" xfId="0" applyFont="1" applyFill="1"/>
    <xf numFmtId="0" fontId="5" fillId="2" borderId="10" xfId="0" applyFont="1" applyFill="1" applyBorder="1"/>
    <xf numFmtId="0" fontId="0" fillId="2" borderId="2" xfId="0" applyFill="1" applyBorder="1"/>
    <xf numFmtId="0" fontId="0" fillId="2" borderId="8" xfId="0" applyFill="1" applyBorder="1"/>
    <xf numFmtId="0" fontId="10" fillId="10" borderId="5" xfId="0" applyFont="1" applyFill="1" applyBorder="1" applyAlignment="1">
      <alignment vertical="center"/>
    </xf>
    <xf numFmtId="2" fontId="0" fillId="2" borderId="0" xfId="0" applyNumberFormat="1" applyFill="1" applyAlignment="1">
      <alignment horizontal="left"/>
    </xf>
    <xf numFmtId="0" fontId="0" fillId="2" borderId="6" xfId="0" applyFill="1" applyBorder="1"/>
    <xf numFmtId="1" fontId="0" fillId="2" borderId="0" xfId="0" applyNumberFormat="1" applyFill="1" applyAlignment="1">
      <alignment horizontal="left"/>
    </xf>
    <xf numFmtId="169" fontId="0" fillId="2" borderId="0" xfId="0" applyNumberFormat="1" applyFill="1" applyAlignment="1">
      <alignment horizontal="left"/>
    </xf>
    <xf numFmtId="0" fontId="10" fillId="10" borderId="11" xfId="0" applyFont="1" applyFill="1" applyBorder="1" applyAlignment="1">
      <alignment vertical="center"/>
    </xf>
    <xf numFmtId="0" fontId="0" fillId="2" borderId="1" xfId="0" applyFill="1" applyBorder="1"/>
    <xf numFmtId="0" fontId="0" fillId="2" borderId="7" xfId="0" applyFill="1" applyBorder="1"/>
    <xf numFmtId="0" fontId="5" fillId="2" borderId="5" xfId="0" applyFont="1" applyFill="1" applyBorder="1"/>
    <xf numFmtId="0" fontId="11" fillId="2" borderId="0" xfId="0" applyFont="1" applyFill="1"/>
    <xf numFmtId="0" fontId="5" fillId="2" borderId="0" xfId="0" applyFont="1" applyFill="1"/>
    <xf numFmtId="0" fontId="0" fillId="2" borderId="12" xfId="0" applyFill="1" applyBorder="1"/>
    <xf numFmtId="0" fontId="0" fillId="2" borderId="5" xfId="0" applyFill="1" applyBorder="1"/>
    <xf numFmtId="0" fontId="0" fillId="2" borderId="11" xfId="0" applyFill="1" applyBorder="1"/>
    <xf numFmtId="0" fontId="12" fillId="11" borderId="0" xfId="0" applyFont="1" applyFill="1"/>
    <xf numFmtId="0" fontId="12" fillId="12" borderId="0" xfId="0" applyFont="1" applyFill="1"/>
    <xf numFmtId="0" fontId="12" fillId="13" borderId="0" xfId="0" applyFont="1" applyFill="1"/>
    <xf numFmtId="0" fontId="12" fillId="14" borderId="0" xfId="0" applyFont="1" applyFill="1"/>
    <xf numFmtId="0" fontId="12" fillId="15" borderId="0" xfId="0" applyFont="1" applyFill="1"/>
    <xf numFmtId="0" fontId="12" fillId="16" borderId="0" xfId="0" applyFont="1" applyFill="1"/>
    <xf numFmtId="0" fontId="12" fillId="17" borderId="0" xfId="0" applyFont="1" applyFill="1"/>
    <xf numFmtId="0" fontId="0" fillId="18" borderId="3" xfId="0" applyFill="1" applyBorder="1"/>
    <xf numFmtId="0" fontId="0" fillId="19" borderId="3" xfId="0" applyFill="1" applyBorder="1"/>
    <xf numFmtId="0" fontId="13" fillId="2" borderId="0" xfId="0" applyFont="1" applyFill="1"/>
    <xf numFmtId="0" fontId="14" fillId="0" borderId="0" xfId="0" applyFont="1"/>
    <xf numFmtId="0" fontId="15" fillId="20" borderId="4" xfId="0" applyFont="1" applyFill="1" applyBorder="1" applyAlignment="1">
      <alignment horizontal="right" vertical="center"/>
    </xf>
    <xf numFmtId="0" fontId="15" fillId="20" borderId="9" xfId="0" applyFont="1" applyFill="1" applyBorder="1" applyAlignment="1">
      <alignment horizontal="left" vertical="center"/>
    </xf>
    <xf numFmtId="0" fontId="7" fillId="21" borderId="13" xfId="0" applyFont="1" applyFill="1" applyBorder="1" applyAlignment="1">
      <alignment horizontal="left" vertical="center"/>
    </xf>
    <xf numFmtId="0" fontId="14" fillId="22" borderId="0" xfId="0" applyFont="1" applyFill="1"/>
    <xf numFmtId="0" fontId="7" fillId="23" borderId="13" xfId="0" applyFont="1" applyFill="1" applyBorder="1" applyAlignment="1">
      <alignment horizontal="left" vertical="center"/>
    </xf>
    <xf numFmtId="168" fontId="4" fillId="24" borderId="0" xfId="0" applyNumberFormat="1" applyFont="1" applyFill="1" applyAlignment="1">
      <alignment horizontal="right" vertical="center" shrinkToFit="1"/>
    </xf>
    <xf numFmtId="3" fontId="4" fillId="24" borderId="0" xfId="0" applyNumberFormat="1" applyFont="1" applyFill="1" applyAlignment="1">
      <alignment horizontal="right" vertical="center" shrinkToFit="1"/>
    </xf>
    <xf numFmtId="167" fontId="4" fillId="24" borderId="0" xfId="0" applyNumberFormat="1" applyFont="1" applyFill="1" applyAlignment="1">
      <alignment horizontal="right" vertical="center" shrinkToFit="1"/>
    </xf>
    <xf numFmtId="0" fontId="15" fillId="25" borderId="9" xfId="0" applyFont="1" applyFill="1" applyBorder="1" applyAlignment="1">
      <alignment horizontal="left" vertical="center"/>
    </xf>
    <xf numFmtId="0" fontId="15" fillId="26" borderId="9" xfId="0" applyFont="1" applyFill="1" applyBorder="1" applyAlignment="1">
      <alignment horizontal="left" vertical="center"/>
    </xf>
    <xf numFmtId="0" fontId="7" fillId="26" borderId="13" xfId="0" applyFont="1" applyFill="1" applyBorder="1" applyAlignment="1">
      <alignment horizontal="left" vertical="center"/>
    </xf>
    <xf numFmtId="0" fontId="7" fillId="27" borderId="13" xfId="0" applyFont="1" applyFill="1" applyBorder="1" applyAlignment="1">
      <alignment horizontal="left" vertical="center"/>
    </xf>
    <xf numFmtId="0" fontId="7" fillId="25" borderId="13" xfId="0" applyFont="1" applyFill="1" applyBorder="1" applyAlignment="1">
      <alignment horizontal="left" vertical="center"/>
    </xf>
    <xf numFmtId="168" fontId="4" fillId="27" borderId="0" xfId="0" applyNumberFormat="1" applyFont="1" applyFill="1" applyAlignment="1">
      <alignment horizontal="right" vertical="center" shrinkToFit="1"/>
    </xf>
    <xf numFmtId="0" fontId="16" fillId="0" borderId="0" xfId="0" applyFont="1"/>
    <xf numFmtId="0" fontId="16" fillId="0" borderId="1" xfId="0" applyFont="1" applyBorder="1" applyAlignment="1">
      <alignment horizontal="right"/>
    </xf>
    <xf numFmtId="0" fontId="16" fillId="0" borderId="1" xfId="0" applyFont="1" applyBorder="1"/>
    <xf numFmtId="0" fontId="16" fillId="0" borderId="7" xfId="0" applyFont="1" applyBorder="1"/>
    <xf numFmtId="0" fontId="17" fillId="22" borderId="0" xfId="0" applyFont="1" applyFill="1"/>
    <xf numFmtId="0" fontId="15" fillId="20" borderId="9" xfId="0" applyFont="1" applyFill="1" applyBorder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 shrinkToFit="1"/>
    </xf>
    <xf numFmtId="0" fontId="0" fillId="0" borderId="0" xfId="0" applyAlignment="1">
      <alignment horizontal="right"/>
    </xf>
    <xf numFmtId="0" fontId="2" fillId="3" borderId="14" xfId="1" applyFont="1" applyFill="1" applyBorder="1" applyAlignment="1">
      <alignment horizontal="left" vertical="center"/>
    </xf>
    <xf numFmtId="0" fontId="2" fillId="3" borderId="15" xfId="1" applyFont="1" applyFill="1" applyBorder="1" applyAlignment="1">
      <alignment horizontal="left" vertical="center"/>
    </xf>
    <xf numFmtId="0" fontId="2" fillId="3" borderId="14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8" fillId="5" borderId="4" xfId="6" applyFont="1" applyFill="1" applyBorder="1" applyAlignment="1">
      <alignment horizontal="left" vertical="center"/>
    </xf>
    <xf numFmtId="167" fontId="4" fillId="28" borderId="0" xfId="6" applyNumberFormat="1" applyFont="1" applyFill="1" applyAlignment="1">
      <alignment horizontal="right" vertical="center" shrinkToFit="1"/>
    </xf>
    <xf numFmtId="3" fontId="4" fillId="28" borderId="0" xfId="6" applyNumberFormat="1" applyFont="1" applyFill="1" applyAlignment="1">
      <alignment horizontal="right" vertical="center" shrinkToFit="1"/>
    </xf>
    <xf numFmtId="168" fontId="4" fillId="28" borderId="0" xfId="6" applyNumberFormat="1" applyFont="1" applyFill="1" applyAlignment="1">
      <alignment horizontal="right" vertical="center" shrinkToFit="1"/>
    </xf>
    <xf numFmtId="2" fontId="4" fillId="0" borderId="0" xfId="6" applyNumberFormat="1" applyFont="1" applyAlignment="1">
      <alignment horizontal="right" vertical="center" shrinkToFit="1"/>
    </xf>
    <xf numFmtId="2" fontId="4" fillId="28" borderId="0" xfId="6" applyNumberFormat="1" applyFont="1" applyFill="1" applyAlignment="1">
      <alignment horizontal="right" vertical="center" shrinkToFit="1"/>
    </xf>
    <xf numFmtId="0" fontId="0" fillId="29" borderId="3" xfId="0" applyFill="1" applyBorder="1"/>
    <xf numFmtId="0" fontId="0" fillId="2" borderId="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8" fillId="5" borderId="4" xfId="6" applyFont="1" applyFill="1" applyBorder="1" applyAlignment="1">
      <alignment horizontal="left" vertical="center"/>
    </xf>
  </cellXfs>
  <cellStyles count="7">
    <cellStyle name="Comma 2" xfId="2" xr:uid="{1C11CA58-592F-DA41-B375-C63DAC4CC280}"/>
    <cellStyle name="Normal" xfId="0" builtinId="0"/>
    <cellStyle name="Normal 2" xfId="5" xr:uid="{8862F9F5-D0AE-0148-82CF-F7B4B87493B3}"/>
    <cellStyle name="Normal 2 2" xfId="1" xr:uid="{937A005C-CB51-DB47-815F-D71C8A407F9C}"/>
    <cellStyle name="Normal 2 3" xfId="4" xr:uid="{9B3F4915-4A19-E741-9850-C48579CF3AE7}"/>
    <cellStyle name="Normal 2 4" xfId="6" xr:uid="{9FDF4AF2-1522-5141-9BC5-4125DD985002}"/>
    <cellStyle name="Per cent 2" xfId="3" xr:uid="{DF769379-C139-AB43-8468-2508AC8C689D}"/>
  </cellStyles>
  <dxfs count="0"/>
  <tableStyles count="0" defaultTableStyle="TableStyleMedium2" defaultPivotStyle="PivotStyleLight16"/>
  <colors>
    <mruColors>
      <color rgb="FFDAEEF3"/>
      <color rgb="FF92CDDC"/>
      <color rgb="FFB1A0C7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jsbijkerk/Projects/etdataset/analyses/5_industry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liekeverweij/Projects/etdataset/analyses/1_chp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jsbijkerk/Dropbox%20(Quintel)/Quintel/Projects/Active/518%20Stroomlijnen%20van%20dataset-update%20proces/Energiebalansen/IEA%20Balance%20Builder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Import from Metal analysis"/>
      <sheetName val="Import from Chemical analysis"/>
      <sheetName val="technical_specs"/>
      <sheetName val="Shares energetic FD sectors"/>
      <sheetName val="Shares non-energ FD sectors"/>
      <sheetName val="Energetic final demand sectors"/>
      <sheetName val="Non-energetic FD sectors"/>
      <sheetName val="Transformation analysis"/>
      <sheetName val="Own use analysis"/>
      <sheetName val="Energetic cons analysis"/>
      <sheetName val="Non-energetic cons analysis"/>
      <sheetName val="Coal loss analysis"/>
      <sheetName val="Fuel aggregation"/>
      <sheetName val="Fuel aggregation subsectors"/>
      <sheetName val="Energetic FD subsectors"/>
      <sheetName val="Non-energetic FD subsectors"/>
      <sheetName val="Shares energetic FD subsectors"/>
      <sheetName val="Shares non-e FD subsectors"/>
      <sheetName val="Shares electric heaters"/>
      <sheetName val="csv_industry_coal_ps"/>
      <sheetName val="csv_industry_network_gas_ps"/>
      <sheetName val="csv_industry_crude_oil_ps"/>
      <sheetName val="csv_industry_wood_pellets_ps"/>
      <sheetName val="csv_industry_steam_hot_water_ps"/>
      <sheetName val="csv_industry_electricity_ps"/>
      <sheetName val="csv_industry_coal_non_e_ps"/>
      <sheetName val="csv_industry_netw_gas_non_e_ps"/>
      <sheetName val="csv_industry_crude_oil_non_e_ps"/>
      <sheetName val="csv_industry_wood_pel_non_e_ps"/>
      <sheetName val="csv_industry_trans_coal_ps"/>
      <sheetName val="csv_industry_trans_coal_eff"/>
      <sheetName val="csv_industry_other_coal_e "/>
      <sheetName val="csv_industry_other_gas_e"/>
      <sheetName val="csv_industry_other_crude_oil_e"/>
      <sheetName val="csv_industry_other_wood_e"/>
      <sheetName val="csv_industry_other_heat_e"/>
      <sheetName val="csv_industry_other_electri_e"/>
      <sheetName val="csv_industry_other_coal_non_e"/>
      <sheetName val="csv_industry_other_gas_non_e"/>
      <sheetName val="csv_industry_other_crude_oil_ne"/>
      <sheetName val="csv_industry_other_wood_non_e"/>
      <sheetName val="csv_industry_other_food_elec_ps"/>
      <sheetName val="csv_industry_other_paper_el_ps"/>
      <sheetName val="csv_chemicals_other_residual_he"/>
      <sheetName val="csv_refineries_residual_heat"/>
      <sheetName val="csv_fertilizers_residual_heat"/>
      <sheetName val="csv_ict_residual_heat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E13" t="str">
            <v>nl</v>
          </cell>
        </row>
        <row r="14">
          <cell r="E14">
            <v>2015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IEA energy balance"/>
      <sheetName val="IEA autoproducer prod."/>
      <sheetName val="technical_specs"/>
      <sheetName val="Results by fuel"/>
      <sheetName val="Results by machine"/>
      <sheetName val="Delta energy balance"/>
      <sheetName val="Corrected energy balance step 1"/>
      <sheetName val="AP net-gross conversion"/>
      <sheetName val="CEB allocation factors step 1"/>
      <sheetName val="CEB allocation factors step 2"/>
      <sheetName val="Co-fueling shares"/>
      <sheetName val="Fuel allocation"/>
      <sheetName val="Agriculture"/>
      <sheetName val="Households"/>
      <sheetName val="Services"/>
      <sheetName val="Energy industry"/>
      <sheetName val="Industry"/>
      <sheetName val="Main activity"/>
      <sheetName val="Waste incineration"/>
      <sheetName val="Fuel mixes"/>
      <sheetName val="Fuel aggregation"/>
      <sheetName val="match carriers IEA to ETM"/>
      <sheetName val="csv_sold_heat_deficit"/>
      <sheetName val="csv_corrected energy balance 1"/>
      <sheetName val="csv_ce_production_tabl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73">
          <cell r="C173">
            <v>3.6</v>
          </cell>
        </row>
      </sheetData>
      <sheetData sheetId="6">
        <row r="12">
          <cell r="E12" t="str">
            <v>nl</v>
          </cell>
        </row>
        <row r="13">
          <cell r="E13">
            <v>2015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2">
          <cell r="D12">
            <v>1.0623148656061439</v>
          </cell>
        </row>
      </sheetData>
      <sheetData sheetId="15"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0.41366037728531807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</v>
          </cell>
          <cell r="T15">
            <v>1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0.57991321358268522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</v>
          </cell>
          <cell r="AE18">
            <v>0</v>
          </cell>
          <cell r="AF18">
            <v>1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1</v>
          </cell>
          <cell r="AT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0.78205353126405763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</v>
          </cell>
          <cell r="T30">
            <v>1</v>
          </cell>
          <cell r="U30">
            <v>0</v>
          </cell>
          <cell r="V30">
            <v>0</v>
          </cell>
          <cell r="W30">
            <v>5.5431868104897593E-2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9.6618850541865062E-3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0.35759049278634741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0.9142913931142429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2.4143372394792337E-3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1.3562464463506322E-2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0.65853271871417773</v>
          </cell>
          <cell r="M33">
            <v>0</v>
          </cell>
          <cell r="N33">
            <v>0.20513045434098065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8.9176760053504139E-2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1.207622229366574E-2</v>
          </cell>
          <cell r="AM33">
            <v>1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9.9002626121316977E-3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2.6569616886979196E-2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5.1378713691418471E-2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5.7130789632233746E-2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4.8309425270932531E-3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0.34146728128582227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1.0098295475462945E-2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1.9324337120406709E-2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</row>
        <row r="37">
          <cell r="F37">
            <v>0</v>
          </cell>
          <cell r="G37">
            <v>0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0.28453850621965338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1.207622229366574E-2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0.70698324952545866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6.2452345306319462E-2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0.20532374260437133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2.429162218213501E-3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0.17737420048783475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1.2816014394961764E-2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2.0573533442141474E-2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0.90580115681795126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2.0806357828485018E-2</v>
          </cell>
          <cell r="AY40">
            <v>0</v>
          </cell>
          <cell r="AZ40">
            <v>0</v>
          </cell>
          <cell r="BA40">
            <v>1</v>
          </cell>
          <cell r="BB40">
            <v>0</v>
          </cell>
          <cell r="BC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1.1965878830271569E-2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3.0901716796131993E-2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2.8577817253523312E-2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7.2452797665724872E-3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0.80181944168368013</v>
          </cell>
          <cell r="AY42">
            <v>8.7693007870169939E-2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</row>
        <row r="48">
          <cell r="D48">
            <v>0</v>
          </cell>
        </row>
        <row r="49">
          <cell r="D49">
            <v>1.6087182148417228E-2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0.9839128178515828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3">
          <cell r="D63">
            <v>0</v>
          </cell>
        </row>
        <row r="64">
          <cell r="D64">
            <v>0</v>
          </cell>
        </row>
        <row r="68">
          <cell r="D68">
            <v>5.2795031055900624E-2</v>
          </cell>
        </row>
        <row r="69">
          <cell r="D69">
            <v>0.38291925465838511</v>
          </cell>
        </row>
        <row r="70">
          <cell r="D70">
            <v>0</v>
          </cell>
        </row>
        <row r="71">
          <cell r="D71">
            <v>8.6956521739130436E-3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0.36149068322981365</v>
          </cell>
        </row>
        <row r="76">
          <cell r="D76">
            <v>0.18416149068322982</v>
          </cell>
        </row>
        <row r="77">
          <cell r="D77">
            <v>5.2795031055900624E-3</v>
          </cell>
        </row>
        <row r="78">
          <cell r="D78">
            <v>4.658385093167702E-3</v>
          </cell>
        </row>
        <row r="79">
          <cell r="D79">
            <v>0</v>
          </cell>
        </row>
        <row r="80">
          <cell r="D80">
            <v>0</v>
          </cell>
        </row>
      </sheetData>
      <sheetData sheetId="16"/>
      <sheetData sheetId="17" refreshError="1"/>
      <sheetData sheetId="18">
        <row r="48">
          <cell r="C48">
            <v>0</v>
          </cell>
        </row>
        <row r="89">
          <cell r="C89">
            <v>1</v>
          </cell>
        </row>
        <row r="130">
          <cell r="C130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ReportCover"/>
      <sheetName val="TableOfContents"/>
      <sheetName val="Definitions"/>
      <sheetName val="Definitions_ProdLang"/>
      <sheetName val="Definitions_FlowLang"/>
      <sheetName val="Exceptions"/>
      <sheetName val="Data in physical units"/>
      <sheetName val="Conversion factors"/>
      <sheetName val="Disaggregated Balance"/>
      <sheetName val="Aggregated Balance"/>
      <sheetName val="CF formulas"/>
      <sheetName val="DPU formulas"/>
      <sheetName val="Published Balance"/>
      <sheetName val="BAL_Reading_Exercise"/>
      <sheetName val="BAL_Checking_Exercise"/>
      <sheetName val="BAL_Comparison"/>
      <sheetName val="Balance Summary"/>
      <sheetName val="Coal_Table_1"/>
      <sheetName val="Coal_Table_4"/>
      <sheetName val="Gas_Table_1"/>
      <sheetName val="Gas_Table_2a"/>
      <sheetName val="Gas_Table_2b"/>
      <sheetName val="Oil_Table_1"/>
      <sheetName val="Oil_Table_2a"/>
      <sheetName val="Oil_Table_3a"/>
      <sheetName val="Oil_Table_3b"/>
      <sheetName val="Ren_Table_1"/>
      <sheetName val="Ren_Table_2a"/>
      <sheetName val="Ren_Table_3a"/>
      <sheetName val="Ele_Table_1"/>
      <sheetName val="Ele_Table_3"/>
      <sheetName val="Ele_Table_4"/>
      <sheetName val="Ele_Table_6a"/>
      <sheetName val="Ele_Table_6b"/>
      <sheetName val="Ele_Table_6c"/>
      <sheetName val="Ele_Table_6d"/>
      <sheetName val="Ele_Table_7a"/>
      <sheetName val="IronSteel_CokeOven"/>
      <sheetName val="IronSteel_BlastFurnace"/>
      <sheetName val="Refinery"/>
      <sheetName val="Electricity_Heat_I"/>
      <sheetName val="Electricity_Heat_II"/>
      <sheetName val="CapacityFactor"/>
      <sheetName val="VersionHistory"/>
    </sheetNames>
    <sheetDataSet>
      <sheetData sheetId="0">
        <row r="3">
          <cell r="L3" t="str">
            <v>English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09AC-27F5-9C41-8C5A-8F54ADE14D0B}">
  <sheetPr>
    <tabColor theme="2"/>
  </sheetPr>
  <dimension ref="B2:P38"/>
  <sheetViews>
    <sheetView workbookViewId="0">
      <selection activeCell="B29" sqref="B29:D38"/>
    </sheetView>
  </sheetViews>
  <sheetFormatPr baseColWidth="10" defaultRowHeight="16" x14ac:dyDescent="0.2"/>
  <cols>
    <col min="1" max="1" width="10.83203125" style="4"/>
    <col min="2" max="2" width="14" style="4" customWidth="1"/>
    <col min="3" max="3" width="53.6640625" style="4" customWidth="1"/>
    <col min="4" max="4" width="9.33203125" style="4" customWidth="1"/>
    <col min="5" max="16384" width="10.83203125" style="4"/>
  </cols>
  <sheetData>
    <row r="2" spans="2:4" ht="21" x14ac:dyDescent="0.25">
      <c r="B2" s="23" t="s">
        <v>360</v>
      </c>
    </row>
    <row r="4" spans="2:4" x14ac:dyDescent="0.2">
      <c r="B4" s="24" t="s">
        <v>361</v>
      </c>
      <c r="C4" s="25" t="s">
        <v>422</v>
      </c>
      <c r="D4" s="26"/>
    </row>
    <row r="5" spans="2:4" x14ac:dyDescent="0.2">
      <c r="B5" s="27" t="s">
        <v>362</v>
      </c>
      <c r="C5" s="28">
        <v>2</v>
      </c>
      <c r="D5" s="29"/>
    </row>
    <row r="6" spans="2:4" x14ac:dyDescent="0.2">
      <c r="B6" s="27" t="s">
        <v>363</v>
      </c>
      <c r="C6" s="28" t="s">
        <v>384</v>
      </c>
      <c r="D6" s="29"/>
    </row>
    <row r="7" spans="2:4" x14ac:dyDescent="0.2">
      <c r="B7" s="27" t="s">
        <v>364</v>
      </c>
      <c r="C7" s="30">
        <v>2023</v>
      </c>
      <c r="D7" s="29"/>
    </row>
    <row r="8" spans="2:4" x14ac:dyDescent="0.2">
      <c r="B8" s="27" t="s">
        <v>365</v>
      </c>
      <c r="C8" s="31" t="s">
        <v>423</v>
      </c>
      <c r="D8" s="29"/>
    </row>
    <row r="9" spans="2:4" x14ac:dyDescent="0.2">
      <c r="B9" s="27" t="s">
        <v>366</v>
      </c>
      <c r="C9" s="4" t="s">
        <v>383</v>
      </c>
      <c r="D9" s="29"/>
    </row>
    <row r="10" spans="2:4" x14ac:dyDescent="0.2">
      <c r="B10" s="32" t="s">
        <v>367</v>
      </c>
      <c r="C10" s="33" t="s">
        <v>424</v>
      </c>
      <c r="D10" s="34"/>
    </row>
    <row r="12" spans="2:4" x14ac:dyDescent="0.2">
      <c r="B12" s="24" t="s">
        <v>368</v>
      </c>
      <c r="C12" s="25"/>
      <c r="D12" s="26"/>
    </row>
    <row r="13" spans="2:4" x14ac:dyDescent="0.2">
      <c r="B13" s="35"/>
      <c r="D13" s="29"/>
    </row>
    <row r="14" spans="2:4" x14ac:dyDescent="0.2">
      <c r="B14" s="35" t="s">
        <v>369</v>
      </c>
      <c r="C14" s="36" t="s">
        <v>370</v>
      </c>
      <c r="D14" s="29"/>
    </row>
    <row r="15" spans="2:4" ht="17" thickBot="1" x14ac:dyDescent="0.25">
      <c r="B15" s="35"/>
      <c r="C15" s="37" t="s">
        <v>371</v>
      </c>
      <c r="D15" s="29"/>
    </row>
    <row r="16" spans="2:4" ht="17" thickBot="1" x14ac:dyDescent="0.25">
      <c r="B16" s="35"/>
      <c r="C16" s="38" t="s">
        <v>372</v>
      </c>
      <c r="D16" s="29"/>
    </row>
    <row r="17" spans="2:4" x14ac:dyDescent="0.2">
      <c r="B17" s="35"/>
      <c r="C17" s="4" t="s">
        <v>373</v>
      </c>
      <c r="D17" s="29"/>
    </row>
    <row r="18" spans="2:4" x14ac:dyDescent="0.2">
      <c r="B18" s="35"/>
      <c r="D18" s="29"/>
    </row>
    <row r="19" spans="2:4" x14ac:dyDescent="0.2">
      <c r="B19" s="35" t="s">
        <v>374</v>
      </c>
      <c r="C19" s="41" t="s">
        <v>375</v>
      </c>
      <c r="D19" s="29"/>
    </row>
    <row r="20" spans="2:4" x14ac:dyDescent="0.2">
      <c r="B20" s="35"/>
      <c r="C20" s="42" t="s">
        <v>376</v>
      </c>
      <c r="D20" s="29"/>
    </row>
    <row r="21" spans="2:4" x14ac:dyDescent="0.2">
      <c r="B21" s="35"/>
      <c r="C21" s="47" t="s">
        <v>377</v>
      </c>
      <c r="D21" s="29"/>
    </row>
    <row r="22" spans="2:4" x14ac:dyDescent="0.2">
      <c r="B22" s="39"/>
      <c r="C22" s="43" t="s">
        <v>378</v>
      </c>
      <c r="D22" s="29"/>
    </row>
    <row r="23" spans="2:4" x14ac:dyDescent="0.2">
      <c r="B23" s="39"/>
      <c r="C23" s="44" t="s">
        <v>379</v>
      </c>
      <c r="D23" s="29"/>
    </row>
    <row r="24" spans="2:4" x14ac:dyDescent="0.2">
      <c r="B24" s="39"/>
      <c r="C24" s="45" t="s">
        <v>380</v>
      </c>
      <c r="D24" s="29"/>
    </row>
    <row r="25" spans="2:4" x14ac:dyDescent="0.2">
      <c r="B25" s="39"/>
      <c r="C25" s="46" t="s">
        <v>381</v>
      </c>
      <c r="D25" s="29"/>
    </row>
    <row r="26" spans="2:4" x14ac:dyDescent="0.2">
      <c r="B26" s="40"/>
      <c r="C26" s="33"/>
      <c r="D26" s="34"/>
    </row>
    <row r="28" spans="2:4" x14ac:dyDescent="0.2">
      <c r="B28" s="24" t="s">
        <v>382</v>
      </c>
      <c r="C28" s="25"/>
      <c r="D28" s="26"/>
    </row>
    <row r="29" spans="2:4" x14ac:dyDescent="0.2">
      <c r="B29" s="87" t="s">
        <v>589</v>
      </c>
      <c r="C29" s="88"/>
      <c r="D29" s="89"/>
    </row>
    <row r="30" spans="2:4" x14ac:dyDescent="0.2">
      <c r="B30" s="87"/>
      <c r="C30" s="88"/>
      <c r="D30" s="89"/>
    </row>
    <row r="31" spans="2:4" x14ac:dyDescent="0.2">
      <c r="B31" s="87"/>
      <c r="C31" s="88"/>
      <c r="D31" s="89"/>
    </row>
    <row r="32" spans="2:4" x14ac:dyDescent="0.2">
      <c r="B32" s="87"/>
      <c r="C32" s="88"/>
      <c r="D32" s="89"/>
    </row>
    <row r="33" spans="2:16" x14ac:dyDescent="0.2">
      <c r="B33" s="87"/>
      <c r="C33" s="88"/>
      <c r="D33" s="89"/>
    </row>
    <row r="34" spans="2:16" x14ac:dyDescent="0.2">
      <c r="B34" s="87"/>
      <c r="C34" s="88"/>
      <c r="D34" s="89"/>
    </row>
    <row r="35" spans="2:16" x14ac:dyDescent="0.2">
      <c r="B35" s="87"/>
      <c r="C35" s="88"/>
      <c r="D35" s="89"/>
    </row>
    <row r="36" spans="2:16" x14ac:dyDescent="0.2">
      <c r="B36" s="87"/>
      <c r="C36" s="88"/>
      <c r="D36" s="89"/>
    </row>
    <row r="37" spans="2:16" x14ac:dyDescent="0.2">
      <c r="B37" s="87"/>
      <c r="C37" s="88"/>
      <c r="D37" s="89"/>
      <c r="P37" s="50"/>
    </row>
    <row r="38" spans="2:16" x14ac:dyDescent="0.2">
      <c r="B38" s="90"/>
      <c r="C38" s="91"/>
      <c r="D38" s="92"/>
    </row>
  </sheetData>
  <mergeCells count="1">
    <mergeCell ref="B29:D38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D629-21E6-4540-838E-5AC75BDB3E14}">
  <sheetPr codeName="Sheet1">
    <tabColor theme="2"/>
  </sheetPr>
  <dimension ref="B3:C16"/>
  <sheetViews>
    <sheetView workbookViewId="0">
      <selection activeCell="B17" sqref="B17"/>
    </sheetView>
  </sheetViews>
  <sheetFormatPr baseColWidth="10" defaultRowHeight="16" x14ac:dyDescent="0.2"/>
  <cols>
    <col min="1" max="1" width="10.83203125" style="4"/>
    <col min="2" max="2" width="34" style="4" customWidth="1"/>
    <col min="3" max="3" width="82.6640625" style="4" customWidth="1"/>
    <col min="4" max="16384" width="10.83203125" style="4"/>
  </cols>
  <sheetData>
    <row r="3" spans="2:3" x14ac:dyDescent="0.2">
      <c r="B3" s="3" t="s">
        <v>117</v>
      </c>
      <c r="C3" s="3" t="s">
        <v>324</v>
      </c>
    </row>
    <row r="4" spans="2:3" x14ac:dyDescent="0.2">
      <c r="B4" s="2" t="s">
        <v>115</v>
      </c>
      <c r="C4" s="22">
        <f>41.868</f>
        <v>41.868000000000002</v>
      </c>
    </row>
    <row r="5" spans="2:3" x14ac:dyDescent="0.2">
      <c r="B5" s="2" t="s">
        <v>116</v>
      </c>
      <c r="C5" s="22">
        <f>C4</f>
        <v>41.868000000000002</v>
      </c>
    </row>
    <row r="6" spans="2:3" x14ac:dyDescent="0.2">
      <c r="B6" s="2" t="s">
        <v>201</v>
      </c>
      <c r="C6" s="22">
        <v>3.6</v>
      </c>
    </row>
    <row r="7" spans="2:3" x14ac:dyDescent="0.2">
      <c r="B7"/>
    </row>
    <row r="8" spans="2:3" x14ac:dyDescent="0.2">
      <c r="B8" s="3" t="s">
        <v>338</v>
      </c>
      <c r="C8" s="3" t="s">
        <v>325</v>
      </c>
    </row>
    <row r="9" spans="2:3" ht="17" x14ac:dyDescent="0.2">
      <c r="B9" s="14" t="s">
        <v>425</v>
      </c>
      <c r="C9" s="1" t="s">
        <v>590</v>
      </c>
    </row>
    <row r="10" spans="2:3" ht="17" x14ac:dyDescent="0.2">
      <c r="B10" s="14" t="s">
        <v>358</v>
      </c>
      <c r="C10" s="1" t="s">
        <v>583</v>
      </c>
    </row>
    <row r="11" spans="2:3" ht="17" x14ac:dyDescent="0.2">
      <c r="B11" s="14" t="s">
        <v>357</v>
      </c>
      <c r="C11" s="1" t="s">
        <v>582</v>
      </c>
    </row>
    <row r="12" spans="2:3" ht="51" x14ac:dyDescent="0.2">
      <c r="B12" s="86" t="s">
        <v>584</v>
      </c>
      <c r="C12" s="1" t="s">
        <v>586</v>
      </c>
    </row>
    <row r="13" spans="2:3" ht="51" x14ac:dyDescent="0.2">
      <c r="B13" s="48" t="s">
        <v>426</v>
      </c>
      <c r="C13" s="1" t="s">
        <v>585</v>
      </c>
    </row>
    <row r="14" spans="2:3" ht="34" x14ac:dyDescent="0.2">
      <c r="B14" s="48" t="s">
        <v>427</v>
      </c>
      <c r="C14" s="1" t="s">
        <v>587</v>
      </c>
    </row>
    <row r="15" spans="2:3" ht="17" x14ac:dyDescent="0.2">
      <c r="B15" s="48" t="s">
        <v>428</v>
      </c>
      <c r="C15" s="1" t="s">
        <v>588</v>
      </c>
    </row>
    <row r="16" spans="2:3" ht="34" x14ac:dyDescent="0.2">
      <c r="B16" s="49" t="s">
        <v>591</v>
      </c>
      <c r="C16" s="1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48D8-788D-5E49-B8BA-95F94CF6C96D}">
  <sheetPr>
    <tabColor theme="9" tint="0.59999389629810485"/>
  </sheetPr>
  <dimension ref="A1:BU156"/>
  <sheetViews>
    <sheetView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G55" sqref="G55"/>
    </sheetView>
  </sheetViews>
  <sheetFormatPr baseColWidth="10" defaultRowHeight="16" x14ac:dyDescent="0.2"/>
  <cols>
    <col min="1" max="1" width="87.33203125" bestFit="1" customWidth="1"/>
    <col min="3" max="3" width="13.33203125" bestFit="1" customWidth="1"/>
    <col min="4" max="4" width="8.5" bestFit="1" customWidth="1"/>
    <col min="5" max="5" width="9.6640625" bestFit="1" customWidth="1"/>
    <col min="6" max="6" width="17.1640625" bestFit="1" customWidth="1"/>
    <col min="7" max="7" width="15.6640625" bestFit="1" customWidth="1"/>
    <col min="8" max="8" width="6.6640625" bestFit="1" customWidth="1"/>
    <col min="9" max="9" width="12.33203125" bestFit="1" customWidth="1"/>
    <col min="10" max="10" width="7.83203125" bestFit="1" customWidth="1"/>
    <col min="11" max="11" width="8.83203125" bestFit="1" customWidth="1"/>
    <col min="12" max="12" width="17" bestFit="1" customWidth="1"/>
    <col min="13" max="13" width="8.5" bestFit="1" customWidth="1"/>
    <col min="14" max="14" width="15.33203125" bestFit="1" customWidth="1"/>
    <col min="15" max="15" width="11.5" bestFit="1" customWidth="1"/>
    <col min="16" max="16" width="11.83203125" bestFit="1" customWidth="1"/>
    <col min="17" max="17" width="13.6640625" bestFit="1" customWidth="1"/>
    <col min="18" max="19" width="17.6640625" bestFit="1" customWidth="1"/>
    <col min="20" max="20" width="5" bestFit="1" customWidth="1"/>
    <col min="21" max="21" width="11" bestFit="1" customWidth="1"/>
    <col min="22" max="22" width="17.83203125" bestFit="1" customWidth="1"/>
    <col min="23" max="23" width="11" bestFit="1" customWidth="1"/>
    <col min="24" max="24" width="40.6640625" bestFit="1" customWidth="1"/>
    <col min="25" max="25" width="11" bestFit="1" customWidth="1"/>
    <col min="26" max="26" width="14.6640625" bestFit="1" customWidth="1"/>
    <col min="27" max="27" width="15.33203125" bestFit="1" customWidth="1"/>
    <col min="28" max="28" width="39.33203125" bestFit="1" customWidth="1"/>
    <col min="29" max="29" width="15.33203125" bestFit="1" customWidth="1"/>
    <col min="30" max="30" width="10.1640625" bestFit="1" customWidth="1"/>
    <col min="31" max="31" width="6" bestFit="1" customWidth="1"/>
    <col min="32" max="32" width="20.1640625" bestFit="1" customWidth="1"/>
    <col min="33" max="33" width="9.6640625" bestFit="1" customWidth="1"/>
    <col min="34" max="34" width="13.5" bestFit="1" customWidth="1"/>
    <col min="35" max="35" width="31.33203125" bestFit="1" customWidth="1"/>
    <col min="36" max="36" width="16.6640625" bestFit="1" customWidth="1"/>
    <col min="37" max="37" width="36.6640625" bestFit="1" customWidth="1"/>
    <col min="38" max="38" width="12.1640625" bestFit="1" customWidth="1"/>
    <col min="39" max="39" width="36.33203125" bestFit="1" customWidth="1"/>
    <col min="40" max="40" width="10.1640625" bestFit="1" customWidth="1"/>
    <col min="41" max="41" width="40.83203125" bestFit="1" customWidth="1"/>
    <col min="42" max="42" width="9.6640625" bestFit="1" customWidth="1"/>
    <col min="43" max="43" width="11.83203125" bestFit="1" customWidth="1"/>
    <col min="44" max="44" width="12.33203125" bestFit="1" customWidth="1"/>
    <col min="45" max="45" width="9.33203125" bestFit="1" customWidth="1"/>
    <col min="46" max="46" width="18.83203125" bestFit="1" customWidth="1"/>
    <col min="47" max="47" width="19" bestFit="1" customWidth="1"/>
    <col min="48" max="48" width="6.6640625" bestFit="1" customWidth="1"/>
    <col min="49" max="49" width="9.5" bestFit="1" customWidth="1"/>
    <col min="50" max="50" width="9.6640625" bestFit="1" customWidth="1"/>
    <col min="51" max="51" width="11" bestFit="1" customWidth="1"/>
    <col min="52" max="52" width="14.1640625" bestFit="1" customWidth="1"/>
    <col min="53" max="53" width="14" bestFit="1" customWidth="1"/>
    <col min="54" max="54" width="20.33203125" bestFit="1" customWidth="1"/>
    <col min="55" max="55" width="17.33203125" bestFit="1" customWidth="1"/>
    <col min="56" max="56" width="7.5" bestFit="1" customWidth="1"/>
    <col min="57" max="57" width="13.1640625" bestFit="1" customWidth="1"/>
    <col min="58" max="58" width="15.5" bestFit="1" customWidth="1"/>
    <col min="59" max="59" width="12.33203125" bestFit="1" customWidth="1"/>
    <col min="60" max="60" width="14.6640625" bestFit="1" customWidth="1"/>
    <col min="61" max="61" width="16.6640625" bestFit="1" customWidth="1"/>
    <col min="62" max="62" width="19" bestFit="1" customWidth="1"/>
    <col min="63" max="63" width="15.83203125" bestFit="1" customWidth="1"/>
    <col min="64" max="64" width="8.83203125" bestFit="1" customWidth="1"/>
    <col min="65" max="65" width="24.83203125" bestFit="1" customWidth="1"/>
    <col min="66" max="66" width="21.1640625" bestFit="1" customWidth="1"/>
    <col min="67" max="67" width="24.1640625" bestFit="1" customWidth="1"/>
    <col min="68" max="68" width="16.5" bestFit="1" customWidth="1"/>
    <col min="69" max="69" width="10.1640625" bestFit="1" customWidth="1"/>
    <col min="70" max="70" width="9.6640625" bestFit="1" customWidth="1"/>
    <col min="71" max="71" width="8.83203125" bestFit="1" customWidth="1"/>
    <col min="72" max="72" width="9.6640625" bestFit="1" customWidth="1"/>
    <col min="73" max="73" width="11" bestFit="1" customWidth="1"/>
  </cols>
  <sheetData>
    <row r="1" spans="1:73" x14ac:dyDescent="0.2">
      <c r="A1" s="18" t="s">
        <v>385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</row>
    <row r="2" spans="1:73" x14ac:dyDescent="0.2">
      <c r="A2" s="18" t="s">
        <v>326</v>
      </c>
      <c r="B2" s="19" t="s">
        <v>386</v>
      </c>
      <c r="C2" s="19"/>
      <c r="D2" s="19"/>
      <c r="E2" s="19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</row>
    <row r="3" spans="1:73" x14ac:dyDescent="0.2">
      <c r="A3" s="18" t="s">
        <v>327</v>
      </c>
      <c r="B3" s="18">
        <v>45779.958333333336</v>
      </c>
      <c r="C3" s="18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</row>
    <row r="4" spans="1:73" x14ac:dyDescent="0.2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</row>
    <row r="5" spans="1:73" x14ac:dyDescent="0.2">
      <c r="A5" s="19" t="s">
        <v>328</v>
      </c>
      <c r="B5" s="51"/>
      <c r="C5" s="18" t="s">
        <v>329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</row>
    <row r="6" spans="1:73" x14ac:dyDescent="0.2">
      <c r="A6" s="19" t="s">
        <v>330</v>
      </c>
      <c r="B6" s="51"/>
      <c r="C6" s="18" t="s">
        <v>337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</row>
    <row r="7" spans="1:73" x14ac:dyDescent="0.2">
      <c r="A7" s="19" t="s">
        <v>331</v>
      </c>
      <c r="B7" s="51"/>
      <c r="C7" s="18" t="s">
        <v>0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</row>
    <row r="8" spans="1:73" x14ac:dyDescent="0.2">
      <c r="A8" s="19" t="s">
        <v>332</v>
      </c>
      <c r="B8" s="51"/>
      <c r="C8" s="18">
        <v>2023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</row>
    <row r="9" spans="1:73" x14ac:dyDescent="0.2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</row>
    <row r="10" spans="1:73" x14ac:dyDescent="0.2">
      <c r="A10" s="52" t="s">
        <v>334</v>
      </c>
      <c r="B10" s="53" t="s">
        <v>1</v>
      </c>
      <c r="C10" s="53" t="s">
        <v>2</v>
      </c>
      <c r="D10" s="53" t="s">
        <v>3</v>
      </c>
      <c r="E10" s="53" t="s">
        <v>4</v>
      </c>
      <c r="F10" s="53" t="s">
        <v>5</v>
      </c>
      <c r="G10" s="53" t="s">
        <v>6</v>
      </c>
      <c r="H10" s="53" t="s">
        <v>7</v>
      </c>
      <c r="I10" s="53" t="s">
        <v>9</v>
      </c>
      <c r="J10" s="53" t="s">
        <v>10</v>
      </c>
      <c r="K10" s="53" t="s">
        <v>8</v>
      </c>
      <c r="L10" s="53" t="s">
        <v>12</v>
      </c>
      <c r="M10" s="53" t="s">
        <v>11</v>
      </c>
      <c r="N10" s="53" t="s">
        <v>13</v>
      </c>
      <c r="O10" s="53" t="s">
        <v>15</v>
      </c>
      <c r="P10" s="53" t="s">
        <v>14</v>
      </c>
      <c r="Q10" s="53" t="s">
        <v>16</v>
      </c>
      <c r="R10" s="53" t="s">
        <v>17</v>
      </c>
      <c r="S10" s="53" t="s">
        <v>18</v>
      </c>
      <c r="T10" s="53" t="s">
        <v>19</v>
      </c>
      <c r="U10" s="53" t="s">
        <v>20</v>
      </c>
      <c r="V10" s="53" t="s">
        <v>21</v>
      </c>
      <c r="W10" s="53" t="s">
        <v>45</v>
      </c>
      <c r="X10" s="53" t="s">
        <v>340</v>
      </c>
      <c r="Y10" s="53" t="s">
        <v>23</v>
      </c>
      <c r="Z10" s="53" t="s">
        <v>24</v>
      </c>
      <c r="AA10" s="53" t="s">
        <v>25</v>
      </c>
      <c r="AB10" s="53" t="s">
        <v>26</v>
      </c>
      <c r="AC10" s="53" t="s">
        <v>27</v>
      </c>
      <c r="AD10" s="53" t="s">
        <v>28</v>
      </c>
      <c r="AE10" s="53" t="s">
        <v>29</v>
      </c>
      <c r="AF10" s="53" t="s">
        <v>30</v>
      </c>
      <c r="AG10" s="53" t="s">
        <v>36</v>
      </c>
      <c r="AH10" s="53" t="s">
        <v>32</v>
      </c>
      <c r="AI10" s="53" t="s">
        <v>31</v>
      </c>
      <c r="AJ10" s="53" t="s">
        <v>33</v>
      </c>
      <c r="AK10" s="53" t="s">
        <v>34</v>
      </c>
      <c r="AL10" s="53" t="s">
        <v>35</v>
      </c>
      <c r="AM10" s="53" t="s">
        <v>37</v>
      </c>
      <c r="AN10" s="53" t="s">
        <v>38</v>
      </c>
      <c r="AO10" s="53" t="s">
        <v>39</v>
      </c>
      <c r="AP10" s="53" t="s">
        <v>40</v>
      </c>
      <c r="AQ10" s="53" t="s">
        <v>43</v>
      </c>
      <c r="AR10" s="53" t="s">
        <v>42</v>
      </c>
      <c r="AS10" s="53" t="s">
        <v>41</v>
      </c>
      <c r="AT10" s="53" t="s">
        <v>352</v>
      </c>
      <c r="AU10" s="53" t="s">
        <v>46</v>
      </c>
      <c r="AV10" s="53" t="s">
        <v>47</v>
      </c>
      <c r="AW10" s="53" t="s">
        <v>52</v>
      </c>
      <c r="AX10" s="53" t="s">
        <v>49</v>
      </c>
      <c r="AY10" s="53" t="s">
        <v>51</v>
      </c>
      <c r="AZ10" s="53" t="s">
        <v>50</v>
      </c>
      <c r="BA10" s="53" t="s">
        <v>48</v>
      </c>
      <c r="BB10" s="53" t="s">
        <v>64</v>
      </c>
      <c r="BC10" s="53" t="s">
        <v>53</v>
      </c>
      <c r="BD10" s="53" t="s">
        <v>54</v>
      </c>
      <c r="BE10" s="53" t="s">
        <v>57</v>
      </c>
      <c r="BF10" s="53" t="s">
        <v>58</v>
      </c>
      <c r="BG10" s="53" t="s">
        <v>59</v>
      </c>
      <c r="BH10" s="53" t="s">
        <v>60</v>
      </c>
      <c r="BI10" s="53" t="s">
        <v>61</v>
      </c>
      <c r="BJ10" s="53" t="s">
        <v>62</v>
      </c>
      <c r="BK10" s="53" t="s">
        <v>63</v>
      </c>
      <c r="BL10" s="53" t="s">
        <v>55</v>
      </c>
      <c r="BM10" s="53" t="s">
        <v>66</v>
      </c>
      <c r="BN10" s="53" t="s">
        <v>56</v>
      </c>
      <c r="BO10" s="53" t="s">
        <v>67</v>
      </c>
      <c r="BP10" s="53" t="s">
        <v>65</v>
      </c>
      <c r="BQ10" s="53" t="s">
        <v>68</v>
      </c>
      <c r="BR10" s="53" t="s">
        <v>70</v>
      </c>
      <c r="BS10" s="53" t="s">
        <v>69</v>
      </c>
      <c r="BT10" s="53" t="s">
        <v>72</v>
      </c>
      <c r="BU10" s="53" t="s">
        <v>71</v>
      </c>
    </row>
    <row r="11" spans="1:73" x14ac:dyDescent="0.2">
      <c r="A11" s="54" t="s">
        <v>322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</row>
    <row r="12" spans="1:73" x14ac:dyDescent="0.2">
      <c r="A12" s="56" t="s">
        <v>73</v>
      </c>
      <c r="B12" s="57">
        <v>867610.75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8" t="s">
        <v>202</v>
      </c>
      <c r="J12" s="58" t="s">
        <v>202</v>
      </c>
      <c r="K12" s="58" t="s">
        <v>202</v>
      </c>
      <c r="L12" s="58" t="s">
        <v>202</v>
      </c>
      <c r="M12" s="58" t="s">
        <v>202</v>
      </c>
      <c r="N12" s="58" t="s">
        <v>202</v>
      </c>
      <c r="O12" s="58" t="s">
        <v>202</v>
      </c>
      <c r="P12" s="58" t="s">
        <v>202</v>
      </c>
      <c r="Q12" s="58" t="s">
        <v>202</v>
      </c>
      <c r="R12" s="58" t="s">
        <v>202</v>
      </c>
      <c r="S12" s="57">
        <v>0</v>
      </c>
      <c r="T12" s="57">
        <v>0</v>
      </c>
      <c r="U12" s="58" t="s">
        <v>202</v>
      </c>
      <c r="V12" s="57">
        <v>0</v>
      </c>
      <c r="W12" s="59">
        <v>354715.59399999998</v>
      </c>
      <c r="X12" s="59">
        <v>28144.413</v>
      </c>
      <c r="Y12" s="59">
        <v>13646.322</v>
      </c>
      <c r="Z12" s="59">
        <v>3753.5520000000001</v>
      </c>
      <c r="AA12" s="58" t="s">
        <v>202</v>
      </c>
      <c r="AB12" s="59">
        <v>10744.539000000001</v>
      </c>
      <c r="AC12" s="57">
        <v>0</v>
      </c>
      <c r="AD12" s="58" t="s">
        <v>202</v>
      </c>
      <c r="AE12" s="58" t="s">
        <v>202</v>
      </c>
      <c r="AF12" s="58" t="s">
        <v>202</v>
      </c>
      <c r="AG12" s="58" t="s">
        <v>202</v>
      </c>
      <c r="AH12" s="58" t="s">
        <v>202</v>
      </c>
      <c r="AI12" s="58" t="s">
        <v>202</v>
      </c>
      <c r="AJ12" s="58" t="s">
        <v>202</v>
      </c>
      <c r="AK12" s="58" t="s">
        <v>202</v>
      </c>
      <c r="AL12" s="58" t="s">
        <v>202</v>
      </c>
      <c r="AM12" s="58" t="s">
        <v>202</v>
      </c>
      <c r="AN12" s="58" t="s">
        <v>202</v>
      </c>
      <c r="AO12" s="58" t="s">
        <v>202</v>
      </c>
      <c r="AP12" s="58" t="s">
        <v>202</v>
      </c>
      <c r="AQ12" s="58" t="s">
        <v>202</v>
      </c>
      <c r="AR12" s="58" t="s">
        <v>202</v>
      </c>
      <c r="AS12" s="58" t="s">
        <v>202</v>
      </c>
      <c r="AT12" s="58" t="s">
        <v>202</v>
      </c>
      <c r="AU12" s="59">
        <v>407113.09700000001</v>
      </c>
      <c r="AV12" s="59">
        <v>249.72800000000001</v>
      </c>
      <c r="AW12" s="57">
        <v>6797.51</v>
      </c>
      <c r="AX12" s="59">
        <v>106290.292</v>
      </c>
      <c r="AY12" s="57">
        <v>1176</v>
      </c>
      <c r="AZ12" s="59">
        <v>70481.476999999999</v>
      </c>
      <c r="BA12" s="57">
        <v>0</v>
      </c>
      <c r="BB12" s="59">
        <v>25524.613000000001</v>
      </c>
      <c r="BC12" s="59">
        <v>65069.523000000001</v>
      </c>
      <c r="BD12" s="58" t="s">
        <v>202</v>
      </c>
      <c r="BE12" s="57">
        <v>0</v>
      </c>
      <c r="BF12" s="58" t="s">
        <v>202</v>
      </c>
      <c r="BG12" s="59">
        <v>79792.506999999998</v>
      </c>
      <c r="BH12" s="58" t="s">
        <v>202</v>
      </c>
      <c r="BI12" s="57">
        <v>0</v>
      </c>
      <c r="BJ12" s="58" t="s">
        <v>202</v>
      </c>
      <c r="BK12" s="59">
        <v>529.77599999999995</v>
      </c>
      <c r="BL12" s="59">
        <v>18758.186000000002</v>
      </c>
      <c r="BM12" s="59">
        <v>1876.845</v>
      </c>
      <c r="BN12" s="59">
        <v>32443.485000000001</v>
      </c>
      <c r="BO12" s="59">
        <v>28770.636999999999</v>
      </c>
      <c r="BP12" s="59">
        <v>30647.482</v>
      </c>
      <c r="BQ12" s="59">
        <v>38959.053</v>
      </c>
      <c r="BR12" s="58" t="s">
        <v>202</v>
      </c>
      <c r="BS12" s="59">
        <v>8031.1109999999999</v>
      </c>
      <c r="BT12" s="59">
        <v>196593.47700000001</v>
      </c>
      <c r="BU12" s="59">
        <v>413507.489</v>
      </c>
    </row>
    <row r="13" spans="1:73" x14ac:dyDescent="0.2">
      <c r="A13" s="56" t="s">
        <v>203</v>
      </c>
      <c r="B13" s="15">
        <v>13238.144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6" t="s">
        <v>202</v>
      </c>
      <c r="J13" s="16" t="s">
        <v>202</v>
      </c>
      <c r="K13" s="16" t="s">
        <v>202</v>
      </c>
      <c r="L13" s="16" t="s">
        <v>202</v>
      </c>
      <c r="M13" s="16" t="s">
        <v>202</v>
      </c>
      <c r="N13" s="16" t="s">
        <v>202</v>
      </c>
      <c r="O13" s="16" t="s">
        <v>202</v>
      </c>
      <c r="P13" s="16" t="s">
        <v>202</v>
      </c>
      <c r="Q13" s="16" t="s">
        <v>202</v>
      </c>
      <c r="R13" s="16" t="s">
        <v>202</v>
      </c>
      <c r="S13" s="17">
        <v>0</v>
      </c>
      <c r="T13" s="17">
        <v>0</v>
      </c>
      <c r="U13" s="16" t="s">
        <v>202</v>
      </c>
      <c r="V13" s="17">
        <v>0</v>
      </c>
      <c r="W13" s="16" t="s">
        <v>202</v>
      </c>
      <c r="X13" s="15">
        <v>13238.144</v>
      </c>
      <c r="Y13" s="16" t="s">
        <v>202</v>
      </c>
      <c r="Z13" s="16" t="s">
        <v>202</v>
      </c>
      <c r="AA13" s="16" t="s">
        <v>202</v>
      </c>
      <c r="AB13" s="16" t="s">
        <v>202</v>
      </c>
      <c r="AC13" s="16" t="s">
        <v>202</v>
      </c>
      <c r="AD13" s="15">
        <v>10953.163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2284.98</v>
      </c>
      <c r="AU13" s="17">
        <v>0</v>
      </c>
      <c r="AV13" s="16" t="s">
        <v>202</v>
      </c>
      <c r="AW13" s="16" t="s">
        <v>202</v>
      </c>
      <c r="AX13" s="16" t="s">
        <v>202</v>
      </c>
      <c r="AY13" s="16" t="s">
        <v>202</v>
      </c>
      <c r="AZ13" s="16" t="s">
        <v>202</v>
      </c>
      <c r="BA13" s="16" t="s">
        <v>202</v>
      </c>
      <c r="BB13" s="16" t="s">
        <v>202</v>
      </c>
      <c r="BC13" s="16" t="s">
        <v>202</v>
      </c>
      <c r="BD13" s="16" t="s">
        <v>202</v>
      </c>
      <c r="BE13" s="16" t="s">
        <v>202</v>
      </c>
      <c r="BF13" s="17">
        <v>0</v>
      </c>
      <c r="BG13" s="16" t="s">
        <v>202</v>
      </c>
      <c r="BH13" s="17">
        <v>0</v>
      </c>
      <c r="BI13" s="16" t="s">
        <v>202</v>
      </c>
      <c r="BJ13" s="17">
        <v>0</v>
      </c>
      <c r="BK13" s="16" t="s">
        <v>202</v>
      </c>
      <c r="BL13" s="16" t="s">
        <v>202</v>
      </c>
      <c r="BM13" s="16" t="s">
        <v>202</v>
      </c>
      <c r="BN13" s="16" t="s">
        <v>202</v>
      </c>
      <c r="BO13" s="16" t="s">
        <v>202</v>
      </c>
      <c r="BP13" s="16" t="s">
        <v>202</v>
      </c>
      <c r="BQ13" s="16" t="s">
        <v>202</v>
      </c>
      <c r="BR13" s="16" t="s">
        <v>202</v>
      </c>
      <c r="BS13" s="16" t="s">
        <v>202</v>
      </c>
      <c r="BT13" s="17">
        <v>0</v>
      </c>
      <c r="BU13" s="15">
        <v>13238.144</v>
      </c>
    </row>
    <row r="14" spans="1:73" x14ac:dyDescent="0.2">
      <c r="A14" s="56" t="s">
        <v>74</v>
      </c>
      <c r="B14" s="59">
        <v>7491212.8370000003</v>
      </c>
      <c r="C14" s="59">
        <v>175944.88099999999</v>
      </c>
      <c r="D14" s="59">
        <v>76.706999999999994</v>
      </c>
      <c r="E14" s="57">
        <v>104273.93</v>
      </c>
      <c r="F14" s="57">
        <v>70267.929999999993</v>
      </c>
      <c r="G14" s="57">
        <v>0</v>
      </c>
      <c r="H14" s="57">
        <v>312.82</v>
      </c>
      <c r="I14" s="59">
        <v>1013.494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9">
        <v>1210080.142</v>
      </c>
      <c r="X14" s="59">
        <v>5974057.5860000001</v>
      </c>
      <c r="Y14" s="59">
        <v>2294919.9559999998</v>
      </c>
      <c r="Z14" s="57">
        <v>342371.57</v>
      </c>
      <c r="AA14" s="57">
        <v>0</v>
      </c>
      <c r="AB14" s="59">
        <v>49566.112999999998</v>
      </c>
      <c r="AC14" s="57">
        <v>0</v>
      </c>
      <c r="AD14" s="58" t="s">
        <v>202</v>
      </c>
      <c r="AE14" s="57">
        <v>0</v>
      </c>
      <c r="AF14" s="59">
        <v>154555.46400000001</v>
      </c>
      <c r="AG14" s="59">
        <v>809282.60400000005</v>
      </c>
      <c r="AH14" s="59">
        <v>15.135999999999999</v>
      </c>
      <c r="AI14" s="59">
        <v>283288.16499999998</v>
      </c>
      <c r="AJ14" s="57">
        <v>0</v>
      </c>
      <c r="AK14" s="59">
        <v>116138.49400000001</v>
      </c>
      <c r="AL14" s="59">
        <v>26215.852999999999</v>
      </c>
      <c r="AM14" s="59">
        <v>586131.10199999996</v>
      </c>
      <c r="AN14" s="59">
        <v>987993.85800000001</v>
      </c>
      <c r="AO14" s="59">
        <v>91210.987999999998</v>
      </c>
      <c r="AP14" s="59">
        <v>98845.239000000001</v>
      </c>
      <c r="AQ14" s="59">
        <v>8165.1869999999999</v>
      </c>
      <c r="AR14" s="59">
        <v>71527.952000000005</v>
      </c>
      <c r="AS14" s="59">
        <v>19370.705000000002</v>
      </c>
      <c r="AT14" s="57">
        <v>34459.199999999997</v>
      </c>
      <c r="AU14" s="59">
        <v>56021.826999999997</v>
      </c>
      <c r="AV14" s="58" t="s">
        <v>202</v>
      </c>
      <c r="AW14" s="57">
        <v>0</v>
      </c>
      <c r="AX14" s="58" t="s">
        <v>202</v>
      </c>
      <c r="AY14" s="57">
        <v>0</v>
      </c>
      <c r="AZ14" s="58" t="s">
        <v>202</v>
      </c>
      <c r="BA14" s="58" t="s">
        <v>202</v>
      </c>
      <c r="BB14" s="58" t="s">
        <v>202</v>
      </c>
      <c r="BC14" s="57">
        <v>33247.449999999997</v>
      </c>
      <c r="BD14" s="57">
        <v>270</v>
      </c>
      <c r="BE14" s="59">
        <v>14512.148999999999</v>
      </c>
      <c r="BF14" s="57">
        <v>0</v>
      </c>
      <c r="BG14" s="57">
        <v>0</v>
      </c>
      <c r="BH14" s="57">
        <v>0</v>
      </c>
      <c r="BI14" s="57">
        <v>0</v>
      </c>
      <c r="BJ14" s="59">
        <v>2646.424</v>
      </c>
      <c r="BK14" s="57">
        <v>0</v>
      </c>
      <c r="BL14" s="57">
        <v>0</v>
      </c>
      <c r="BM14" s="57">
        <v>0</v>
      </c>
      <c r="BN14" s="59">
        <v>5345.8040000000001</v>
      </c>
      <c r="BO14" s="59">
        <v>4740.6189999999997</v>
      </c>
      <c r="BP14" s="59">
        <v>4740.6189999999997</v>
      </c>
      <c r="BQ14" s="58" t="s">
        <v>202</v>
      </c>
      <c r="BR14" s="59">
        <v>70367.782000000007</v>
      </c>
      <c r="BS14" s="57">
        <v>0</v>
      </c>
      <c r="BT14" s="59">
        <v>73101.232000000004</v>
      </c>
      <c r="BU14" s="59">
        <v>7386950.7920000004</v>
      </c>
    </row>
    <row r="15" spans="1:73" x14ac:dyDescent="0.2">
      <c r="A15" s="56" t="s">
        <v>75</v>
      </c>
      <c r="B15" s="15">
        <v>5249055.4579999996</v>
      </c>
      <c r="C15" s="15">
        <v>13808.058999999999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5">
        <v>11551.995999999999</v>
      </c>
      <c r="J15" s="17">
        <v>0</v>
      </c>
      <c r="K15" s="17">
        <v>0</v>
      </c>
      <c r="L15" s="17">
        <v>0</v>
      </c>
      <c r="M15" s="15">
        <v>2256.0639999999999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598477.35</v>
      </c>
      <c r="X15" s="15">
        <v>4461947.2180000003</v>
      </c>
      <c r="Y15" s="15">
        <v>788.79700000000003</v>
      </c>
      <c r="Z15" s="15">
        <v>4516.0720000000001</v>
      </c>
      <c r="AA15" s="17">
        <v>0</v>
      </c>
      <c r="AB15" s="15">
        <v>41038.536</v>
      </c>
      <c r="AC15" s="17">
        <v>0</v>
      </c>
      <c r="AD15" s="16" t="s">
        <v>202</v>
      </c>
      <c r="AE15" s="17">
        <v>0</v>
      </c>
      <c r="AF15" s="15">
        <v>95006.081000000006</v>
      </c>
      <c r="AG15" s="15">
        <v>586802.53200000001</v>
      </c>
      <c r="AH15" s="17">
        <v>2898.34</v>
      </c>
      <c r="AI15" s="15">
        <v>900051.24399999995</v>
      </c>
      <c r="AJ15" s="17">
        <v>0</v>
      </c>
      <c r="AK15" s="15">
        <v>358648.68400000001</v>
      </c>
      <c r="AL15" s="15">
        <v>36859.535000000003</v>
      </c>
      <c r="AM15" s="15">
        <v>1113094.773</v>
      </c>
      <c r="AN15" s="15">
        <v>930513.51100000006</v>
      </c>
      <c r="AO15" s="15">
        <v>97476.262000000002</v>
      </c>
      <c r="AP15" s="15">
        <v>116913.849</v>
      </c>
      <c r="AQ15" s="15">
        <v>8041.7430000000004</v>
      </c>
      <c r="AR15" s="15">
        <v>59454.565000000002</v>
      </c>
      <c r="AS15" s="15">
        <v>52617.432999999997</v>
      </c>
      <c r="AT15" s="15">
        <v>57225.262000000002</v>
      </c>
      <c r="AU15" s="15">
        <v>83245.667000000001</v>
      </c>
      <c r="AV15" s="16" t="s">
        <v>202</v>
      </c>
      <c r="AW15" s="17">
        <v>0</v>
      </c>
      <c r="AX15" s="16" t="s">
        <v>202</v>
      </c>
      <c r="AY15" s="17">
        <v>0</v>
      </c>
      <c r="AZ15" s="16" t="s">
        <v>202</v>
      </c>
      <c r="BA15" s="16" t="s">
        <v>202</v>
      </c>
      <c r="BB15" s="16" t="s">
        <v>202</v>
      </c>
      <c r="BC15" s="15">
        <v>14253.745000000001</v>
      </c>
      <c r="BD15" s="17">
        <v>0</v>
      </c>
      <c r="BE15" s="17">
        <v>0</v>
      </c>
      <c r="BF15" s="15">
        <v>3586.5450000000001</v>
      </c>
      <c r="BG15" s="15">
        <v>60817.298000000003</v>
      </c>
      <c r="BH15" s="15">
        <v>3646.4119999999998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5">
        <v>941.66700000000003</v>
      </c>
      <c r="BO15" s="15">
        <v>835.06299999999999</v>
      </c>
      <c r="BP15" s="15">
        <v>835.06299999999999</v>
      </c>
      <c r="BQ15" s="16" t="s">
        <v>202</v>
      </c>
      <c r="BR15" s="17">
        <v>90742.1</v>
      </c>
      <c r="BS15" s="17">
        <v>0</v>
      </c>
      <c r="BT15" s="15">
        <v>95416.884000000005</v>
      </c>
      <c r="BU15" s="15">
        <v>5113455.4450000003</v>
      </c>
    </row>
    <row r="16" spans="1:73" x14ac:dyDescent="0.2">
      <c r="A16" s="56" t="s">
        <v>76</v>
      </c>
      <c r="B16" s="59">
        <v>59764.099000000002</v>
      </c>
      <c r="C16" s="59">
        <v>-3771.364</v>
      </c>
      <c r="D16" s="57">
        <v>0</v>
      </c>
      <c r="E16" s="59">
        <v>-5064.5659999999998</v>
      </c>
      <c r="F16" s="59">
        <v>1532.6510000000001</v>
      </c>
      <c r="G16" s="57">
        <v>0</v>
      </c>
      <c r="H16" s="57">
        <v>0</v>
      </c>
      <c r="I16" s="59">
        <v>-200.441</v>
      </c>
      <c r="J16" s="57">
        <v>0</v>
      </c>
      <c r="K16" s="57">
        <v>0</v>
      </c>
      <c r="L16" s="57">
        <v>0</v>
      </c>
      <c r="M16" s="59">
        <v>-39.009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9">
        <v>-28875.692999999999</v>
      </c>
      <c r="X16" s="59">
        <v>79018.392999999996</v>
      </c>
      <c r="Y16" s="59">
        <v>41615.451999999997</v>
      </c>
      <c r="Z16" s="59">
        <v>1898.6310000000001</v>
      </c>
      <c r="AA16" s="57">
        <v>0</v>
      </c>
      <c r="AB16" s="57">
        <v>5334</v>
      </c>
      <c r="AC16" s="57">
        <v>0</v>
      </c>
      <c r="AD16" s="57">
        <v>0</v>
      </c>
      <c r="AE16" s="57">
        <v>0</v>
      </c>
      <c r="AF16" s="59">
        <v>-726.803</v>
      </c>
      <c r="AG16" s="59">
        <v>1729.0039999999999</v>
      </c>
      <c r="AH16" s="59">
        <v>117.523</v>
      </c>
      <c r="AI16" s="59">
        <v>20247.456999999999</v>
      </c>
      <c r="AJ16" s="57">
        <v>0</v>
      </c>
      <c r="AK16" s="59">
        <v>-6270.9470000000001</v>
      </c>
      <c r="AL16" s="59">
        <v>-536.971</v>
      </c>
      <c r="AM16" s="59">
        <v>10788.423000000001</v>
      </c>
      <c r="AN16" s="59">
        <v>6224.6940000000004</v>
      </c>
      <c r="AO16" s="59">
        <v>-320.47199999999998</v>
      </c>
      <c r="AP16" s="59">
        <v>-1860.069</v>
      </c>
      <c r="AQ16" s="59">
        <v>278.69900000000001</v>
      </c>
      <c r="AR16" s="59">
        <v>-3297.8620000000001</v>
      </c>
      <c r="AS16" s="59">
        <v>85.727000000000004</v>
      </c>
      <c r="AT16" s="59">
        <v>3711.9079999999999</v>
      </c>
      <c r="AU16" s="59">
        <v>13392.763000000001</v>
      </c>
      <c r="AV16" s="58" t="s">
        <v>202</v>
      </c>
      <c r="AW16" s="58" t="s">
        <v>202</v>
      </c>
      <c r="AX16" s="58" t="s">
        <v>202</v>
      </c>
      <c r="AY16" s="58" t="s">
        <v>202</v>
      </c>
      <c r="AZ16" s="58" t="s">
        <v>202</v>
      </c>
      <c r="BA16" s="58" t="s">
        <v>202</v>
      </c>
      <c r="BB16" s="58" t="s">
        <v>202</v>
      </c>
      <c r="BC16" s="57">
        <v>0</v>
      </c>
      <c r="BD16" s="57">
        <v>0</v>
      </c>
      <c r="BE16" s="59">
        <v>222.04499999999999</v>
      </c>
      <c r="BF16" s="57">
        <v>0</v>
      </c>
      <c r="BG16" s="59">
        <v>13170.717000000001</v>
      </c>
      <c r="BH16" s="57">
        <v>0</v>
      </c>
      <c r="BI16" s="57">
        <v>0</v>
      </c>
      <c r="BJ16" s="57">
        <v>0</v>
      </c>
      <c r="BK16" s="57">
        <v>0</v>
      </c>
      <c r="BL16" s="57">
        <v>0</v>
      </c>
      <c r="BM16" s="57">
        <v>0</v>
      </c>
      <c r="BN16" s="57">
        <v>0</v>
      </c>
      <c r="BO16" s="57">
        <v>0</v>
      </c>
      <c r="BP16" s="57">
        <v>0</v>
      </c>
      <c r="BQ16" s="58" t="s">
        <v>202</v>
      </c>
      <c r="BR16" s="58" t="s">
        <v>202</v>
      </c>
      <c r="BS16" s="58" t="s">
        <v>202</v>
      </c>
      <c r="BT16" s="59">
        <v>13096.992</v>
      </c>
      <c r="BU16" s="59">
        <v>46667.107000000004</v>
      </c>
    </row>
    <row r="17" spans="1:73" x14ac:dyDescent="0.2">
      <c r="A17" s="56" t="s">
        <v>77</v>
      </c>
      <c r="B17" s="15">
        <v>3182770.372</v>
      </c>
      <c r="C17" s="15">
        <v>158365.45699999999</v>
      </c>
      <c r="D17" s="15">
        <v>76.706999999999994</v>
      </c>
      <c r="E17" s="15">
        <v>99209.364000000001</v>
      </c>
      <c r="F17" s="15">
        <v>71800.581000000006</v>
      </c>
      <c r="G17" s="17">
        <v>0</v>
      </c>
      <c r="H17" s="17">
        <v>312.82</v>
      </c>
      <c r="I17" s="15">
        <v>-10738.941999999999</v>
      </c>
      <c r="J17" s="17">
        <v>0</v>
      </c>
      <c r="K17" s="17">
        <v>0</v>
      </c>
      <c r="L17" s="17">
        <v>0</v>
      </c>
      <c r="M17" s="15">
        <v>-2295.0729999999999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5">
        <v>937442.69299999997</v>
      </c>
      <c r="X17" s="15">
        <v>1632511.3189999999</v>
      </c>
      <c r="Y17" s="15">
        <v>2349392.9330000002</v>
      </c>
      <c r="Z17" s="17">
        <v>343507.68</v>
      </c>
      <c r="AA17" s="17">
        <v>0</v>
      </c>
      <c r="AB17" s="15">
        <v>24606.116000000002</v>
      </c>
      <c r="AC17" s="17">
        <v>0</v>
      </c>
      <c r="AD17" s="15">
        <v>10953.163</v>
      </c>
      <c r="AE17" s="17">
        <v>0</v>
      </c>
      <c r="AF17" s="15">
        <v>58822.580999999998</v>
      </c>
      <c r="AG17" s="15">
        <v>224209.076</v>
      </c>
      <c r="AH17" s="15">
        <v>-2765.681</v>
      </c>
      <c r="AI17" s="15">
        <v>-596515.62199999997</v>
      </c>
      <c r="AJ17" s="17">
        <v>0</v>
      </c>
      <c r="AK17" s="15">
        <v>-248781.13699999999</v>
      </c>
      <c r="AL17" s="15">
        <v>-11180.653</v>
      </c>
      <c r="AM17" s="15">
        <v>-516175.24699999997</v>
      </c>
      <c r="AN17" s="15">
        <v>63705.040999999997</v>
      </c>
      <c r="AO17" s="15">
        <v>-6585.7460000000001</v>
      </c>
      <c r="AP17" s="15">
        <v>-19928.679</v>
      </c>
      <c r="AQ17" s="15">
        <v>402.14299999999997</v>
      </c>
      <c r="AR17" s="15">
        <v>8775.5249999999996</v>
      </c>
      <c r="AS17" s="15">
        <v>-33161.000999999997</v>
      </c>
      <c r="AT17" s="15">
        <v>-16769.172999999999</v>
      </c>
      <c r="AU17" s="15">
        <v>393282.01899999997</v>
      </c>
      <c r="AV17" s="15">
        <v>249.72800000000001</v>
      </c>
      <c r="AW17" s="17">
        <v>6797.51</v>
      </c>
      <c r="AX17" s="15">
        <v>106290.292</v>
      </c>
      <c r="AY17" s="17">
        <v>1176</v>
      </c>
      <c r="AZ17" s="15">
        <v>70481.476999999999</v>
      </c>
      <c r="BA17" s="17">
        <v>0</v>
      </c>
      <c r="BB17" s="15">
        <v>25524.613000000001</v>
      </c>
      <c r="BC17" s="15">
        <v>84063.228000000003</v>
      </c>
      <c r="BD17" s="17">
        <v>270</v>
      </c>
      <c r="BE17" s="15">
        <v>14734.195</v>
      </c>
      <c r="BF17" s="15">
        <v>-3586.5450000000001</v>
      </c>
      <c r="BG17" s="15">
        <v>32145.925999999999</v>
      </c>
      <c r="BH17" s="15">
        <v>-3646.4119999999998</v>
      </c>
      <c r="BI17" s="17">
        <v>0</v>
      </c>
      <c r="BJ17" s="15">
        <v>2646.424</v>
      </c>
      <c r="BK17" s="15">
        <v>529.77599999999995</v>
      </c>
      <c r="BL17" s="15">
        <v>18758.186000000002</v>
      </c>
      <c r="BM17" s="15">
        <v>1876.845</v>
      </c>
      <c r="BN17" s="15">
        <v>36847.622000000003</v>
      </c>
      <c r="BO17" s="15">
        <v>32676.192999999999</v>
      </c>
      <c r="BP17" s="15">
        <v>34553.038</v>
      </c>
      <c r="BQ17" s="15">
        <v>38959.053</v>
      </c>
      <c r="BR17" s="15">
        <v>-20374.319</v>
      </c>
      <c r="BS17" s="15">
        <v>8031.1109999999999</v>
      </c>
      <c r="BT17" s="15">
        <v>187374.81700000001</v>
      </c>
      <c r="BU17" s="15">
        <v>2746908.0869999998</v>
      </c>
    </row>
    <row r="18" spans="1:73" x14ac:dyDescent="0.2">
      <c r="A18" s="56" t="s">
        <v>78</v>
      </c>
      <c r="B18" s="59">
        <v>448139.59600000002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9">
        <v>8644.0669999999991</v>
      </c>
      <c r="X18" s="59">
        <v>425726.07500000001</v>
      </c>
      <c r="Y18" s="58" t="s">
        <v>202</v>
      </c>
      <c r="Z18" s="58" t="s">
        <v>202</v>
      </c>
      <c r="AA18" s="58" t="s">
        <v>202</v>
      </c>
      <c r="AB18" s="58" t="s">
        <v>202</v>
      </c>
      <c r="AC18" s="58" t="s">
        <v>202</v>
      </c>
      <c r="AD18" s="57">
        <v>0</v>
      </c>
      <c r="AE18" s="57">
        <v>0</v>
      </c>
      <c r="AF18" s="57">
        <v>0</v>
      </c>
      <c r="AG18" s="57">
        <v>0</v>
      </c>
      <c r="AH18" s="57">
        <v>0</v>
      </c>
      <c r="AI18" s="57">
        <v>0</v>
      </c>
      <c r="AJ18" s="57">
        <v>0</v>
      </c>
      <c r="AK18" s="57">
        <v>0</v>
      </c>
      <c r="AL18" s="57">
        <v>0</v>
      </c>
      <c r="AM18" s="57">
        <v>63394.95</v>
      </c>
      <c r="AN18" s="59">
        <v>357586.375</v>
      </c>
      <c r="AO18" s="57">
        <v>0</v>
      </c>
      <c r="AP18" s="57">
        <v>4744.75</v>
      </c>
      <c r="AQ18" s="57">
        <v>0</v>
      </c>
      <c r="AR18" s="57">
        <v>0</v>
      </c>
      <c r="AS18" s="57">
        <v>0</v>
      </c>
      <c r="AT18" s="57">
        <v>0</v>
      </c>
      <c r="AU18" s="59">
        <v>13769.454</v>
      </c>
      <c r="AV18" s="58" t="s">
        <v>202</v>
      </c>
      <c r="AW18" s="58" t="s">
        <v>202</v>
      </c>
      <c r="AX18" s="58" t="s">
        <v>202</v>
      </c>
      <c r="AY18" s="58" t="s">
        <v>202</v>
      </c>
      <c r="AZ18" s="58" t="s">
        <v>202</v>
      </c>
      <c r="BA18" s="58" t="s">
        <v>202</v>
      </c>
      <c r="BB18" s="58" t="s">
        <v>202</v>
      </c>
      <c r="BC18" s="58" t="s">
        <v>202</v>
      </c>
      <c r="BD18" s="58" t="s">
        <v>202</v>
      </c>
      <c r="BE18" s="58" t="s">
        <v>202</v>
      </c>
      <c r="BF18" s="57">
        <v>0</v>
      </c>
      <c r="BG18" s="58" t="s">
        <v>202</v>
      </c>
      <c r="BH18" s="59">
        <v>13769.454</v>
      </c>
      <c r="BI18" s="58" t="s">
        <v>202</v>
      </c>
      <c r="BJ18" s="57">
        <v>0</v>
      </c>
      <c r="BK18" s="58" t="s">
        <v>202</v>
      </c>
      <c r="BL18" s="58" t="s">
        <v>202</v>
      </c>
      <c r="BM18" s="58" t="s">
        <v>202</v>
      </c>
      <c r="BN18" s="58" t="s">
        <v>202</v>
      </c>
      <c r="BO18" s="58" t="s">
        <v>202</v>
      </c>
      <c r="BP18" s="58" t="s">
        <v>202</v>
      </c>
      <c r="BQ18" s="58" t="s">
        <v>202</v>
      </c>
      <c r="BR18" s="58" t="s">
        <v>202</v>
      </c>
      <c r="BS18" s="58" t="s">
        <v>202</v>
      </c>
      <c r="BT18" s="59">
        <v>13857.994000000001</v>
      </c>
      <c r="BU18" s="59">
        <v>434281.60100000002</v>
      </c>
    </row>
    <row r="19" spans="1:73" x14ac:dyDescent="0.2">
      <c r="A19" s="56" t="s">
        <v>79</v>
      </c>
      <c r="B19" s="15">
        <v>2734630.7760000001</v>
      </c>
      <c r="C19" s="15">
        <v>158365.45699999999</v>
      </c>
      <c r="D19" s="15">
        <v>76.706999999999994</v>
      </c>
      <c r="E19" s="15">
        <v>99209.364000000001</v>
      </c>
      <c r="F19" s="15">
        <v>71800.581000000006</v>
      </c>
      <c r="G19" s="17">
        <v>0</v>
      </c>
      <c r="H19" s="17">
        <v>312.82</v>
      </c>
      <c r="I19" s="15">
        <v>-10738.941999999999</v>
      </c>
      <c r="J19" s="17">
        <v>0</v>
      </c>
      <c r="K19" s="17">
        <v>0</v>
      </c>
      <c r="L19" s="17">
        <v>0</v>
      </c>
      <c r="M19" s="15">
        <v>-2295.0729999999999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5">
        <v>928798.62600000005</v>
      </c>
      <c r="X19" s="15">
        <v>1206785.2439999999</v>
      </c>
      <c r="Y19" s="15">
        <v>2349392.9330000002</v>
      </c>
      <c r="Z19" s="17">
        <v>343507.68</v>
      </c>
      <c r="AA19" s="17">
        <v>0</v>
      </c>
      <c r="AB19" s="15">
        <v>24606.116000000002</v>
      </c>
      <c r="AC19" s="17">
        <v>0</v>
      </c>
      <c r="AD19" s="15">
        <v>10953.163</v>
      </c>
      <c r="AE19" s="17">
        <v>0</v>
      </c>
      <c r="AF19" s="15">
        <v>58822.580999999998</v>
      </c>
      <c r="AG19" s="15">
        <v>224209.076</v>
      </c>
      <c r="AH19" s="15">
        <v>-2765.681</v>
      </c>
      <c r="AI19" s="15">
        <v>-596515.62199999997</v>
      </c>
      <c r="AJ19" s="17">
        <v>0</v>
      </c>
      <c r="AK19" s="15">
        <v>-248781.13699999999</v>
      </c>
      <c r="AL19" s="15">
        <v>-11180.653</v>
      </c>
      <c r="AM19" s="15">
        <v>-579570.19700000004</v>
      </c>
      <c r="AN19" s="15">
        <v>-293881.33399999997</v>
      </c>
      <c r="AO19" s="15">
        <v>-6585.7460000000001</v>
      </c>
      <c r="AP19" s="15">
        <v>-24673.428</v>
      </c>
      <c r="AQ19" s="15">
        <v>402.14299999999997</v>
      </c>
      <c r="AR19" s="15">
        <v>8775.5249999999996</v>
      </c>
      <c r="AS19" s="15">
        <v>-33161.000999999997</v>
      </c>
      <c r="AT19" s="15">
        <v>-16769.172999999999</v>
      </c>
      <c r="AU19" s="15">
        <v>379512.565</v>
      </c>
      <c r="AV19" s="15">
        <v>249.72800000000001</v>
      </c>
      <c r="AW19" s="17">
        <v>6797.51</v>
      </c>
      <c r="AX19" s="15">
        <v>106290.292</v>
      </c>
      <c r="AY19" s="17">
        <v>1176</v>
      </c>
      <c r="AZ19" s="15">
        <v>70481.476999999999</v>
      </c>
      <c r="BA19" s="17">
        <v>0</v>
      </c>
      <c r="BB19" s="15">
        <v>25524.613000000001</v>
      </c>
      <c r="BC19" s="15">
        <v>84063.228000000003</v>
      </c>
      <c r="BD19" s="17">
        <v>270</v>
      </c>
      <c r="BE19" s="15">
        <v>14734.195</v>
      </c>
      <c r="BF19" s="15">
        <v>-3586.5450000000001</v>
      </c>
      <c r="BG19" s="15">
        <v>32145.925999999999</v>
      </c>
      <c r="BH19" s="15">
        <v>-17415.866000000002</v>
      </c>
      <c r="BI19" s="17">
        <v>0</v>
      </c>
      <c r="BJ19" s="15">
        <v>2646.424</v>
      </c>
      <c r="BK19" s="15">
        <v>529.77599999999995</v>
      </c>
      <c r="BL19" s="15">
        <v>18758.186000000002</v>
      </c>
      <c r="BM19" s="15">
        <v>1876.845</v>
      </c>
      <c r="BN19" s="15">
        <v>36847.622000000003</v>
      </c>
      <c r="BO19" s="15">
        <v>32676.192999999999</v>
      </c>
      <c r="BP19" s="15">
        <v>34553.038</v>
      </c>
      <c r="BQ19" s="15">
        <v>38959.053</v>
      </c>
      <c r="BR19" s="15">
        <v>-20374.319</v>
      </c>
      <c r="BS19" s="15">
        <v>8031.1109999999999</v>
      </c>
      <c r="BT19" s="15">
        <v>173516.82199999999</v>
      </c>
      <c r="BU19" s="15">
        <v>2312626.486</v>
      </c>
    </row>
    <row r="20" spans="1:73" x14ac:dyDescent="0.2">
      <c r="A20" s="56" t="s">
        <v>80</v>
      </c>
      <c r="B20" s="59">
        <v>142333.24600000001</v>
      </c>
      <c r="C20" s="58" t="s">
        <v>202</v>
      </c>
      <c r="D20" s="58" t="s">
        <v>202</v>
      </c>
      <c r="E20" s="58" t="s">
        <v>202</v>
      </c>
      <c r="F20" s="58" t="s">
        <v>202</v>
      </c>
      <c r="G20" s="58" t="s">
        <v>202</v>
      </c>
      <c r="H20" s="58" t="s">
        <v>202</v>
      </c>
      <c r="I20" s="58" t="s">
        <v>202</v>
      </c>
      <c r="J20" s="58" t="s">
        <v>202</v>
      </c>
      <c r="K20" s="58" t="s">
        <v>202</v>
      </c>
      <c r="L20" s="58" t="s">
        <v>202</v>
      </c>
      <c r="M20" s="58" t="s">
        <v>202</v>
      </c>
      <c r="N20" s="58" t="s">
        <v>202</v>
      </c>
      <c r="O20" s="58" t="s">
        <v>202</v>
      </c>
      <c r="P20" s="58" t="s">
        <v>202</v>
      </c>
      <c r="Q20" s="58" t="s">
        <v>202</v>
      </c>
      <c r="R20" s="58" t="s">
        <v>202</v>
      </c>
      <c r="S20" s="58" t="s">
        <v>202</v>
      </c>
      <c r="T20" s="58" t="s">
        <v>202</v>
      </c>
      <c r="U20" s="58" t="s">
        <v>202</v>
      </c>
      <c r="V20" s="58" t="s">
        <v>202</v>
      </c>
      <c r="W20" s="58" t="s">
        <v>202</v>
      </c>
      <c r="X20" s="59">
        <v>139686.82199999999</v>
      </c>
      <c r="Y20" s="57">
        <v>0</v>
      </c>
      <c r="Z20" s="57">
        <v>0</v>
      </c>
      <c r="AA20" s="58" t="s">
        <v>202</v>
      </c>
      <c r="AB20" s="58" t="s">
        <v>202</v>
      </c>
      <c r="AC20" s="58" t="s">
        <v>202</v>
      </c>
      <c r="AD20" s="57">
        <v>0</v>
      </c>
      <c r="AE20" s="57">
        <v>0</v>
      </c>
      <c r="AF20" s="57">
        <v>0</v>
      </c>
      <c r="AG20" s="57">
        <v>0</v>
      </c>
      <c r="AH20" s="57">
        <v>0</v>
      </c>
      <c r="AI20" s="57">
        <v>0</v>
      </c>
      <c r="AJ20" s="57">
        <v>0</v>
      </c>
      <c r="AK20" s="59">
        <v>139686.82199999999</v>
      </c>
      <c r="AL20" s="57">
        <v>0</v>
      </c>
      <c r="AM20" s="57">
        <v>0</v>
      </c>
      <c r="AN20" s="57">
        <v>0</v>
      </c>
      <c r="AO20" s="57">
        <v>0</v>
      </c>
      <c r="AP20" s="57">
        <v>0</v>
      </c>
      <c r="AQ20" s="57">
        <v>0</v>
      </c>
      <c r="AR20" s="57">
        <v>0</v>
      </c>
      <c r="AS20" s="57">
        <v>0</v>
      </c>
      <c r="AT20" s="57">
        <v>0</v>
      </c>
      <c r="AU20" s="59">
        <v>2646.424</v>
      </c>
      <c r="AV20" s="58" t="s">
        <v>202</v>
      </c>
      <c r="AW20" s="58" t="s">
        <v>202</v>
      </c>
      <c r="AX20" s="58" t="s">
        <v>202</v>
      </c>
      <c r="AY20" s="58" t="s">
        <v>202</v>
      </c>
      <c r="AZ20" s="58" t="s">
        <v>202</v>
      </c>
      <c r="BA20" s="58" t="s">
        <v>202</v>
      </c>
      <c r="BB20" s="58" t="s">
        <v>202</v>
      </c>
      <c r="BC20" s="58" t="s">
        <v>202</v>
      </c>
      <c r="BD20" s="58" t="s">
        <v>202</v>
      </c>
      <c r="BE20" s="58" t="s">
        <v>202</v>
      </c>
      <c r="BF20" s="57">
        <v>0</v>
      </c>
      <c r="BG20" s="58" t="s">
        <v>202</v>
      </c>
      <c r="BH20" s="57">
        <v>0</v>
      </c>
      <c r="BI20" s="58" t="s">
        <v>202</v>
      </c>
      <c r="BJ20" s="59">
        <v>2646.424</v>
      </c>
      <c r="BK20" s="58" t="s">
        <v>202</v>
      </c>
      <c r="BL20" s="58" t="s">
        <v>202</v>
      </c>
      <c r="BM20" s="58" t="s">
        <v>202</v>
      </c>
      <c r="BN20" s="58" t="s">
        <v>202</v>
      </c>
      <c r="BO20" s="58" t="s">
        <v>202</v>
      </c>
      <c r="BP20" s="58" t="s">
        <v>202</v>
      </c>
      <c r="BQ20" s="58" t="s">
        <v>202</v>
      </c>
      <c r="BR20" s="58" t="s">
        <v>202</v>
      </c>
      <c r="BS20" s="58" t="s">
        <v>202</v>
      </c>
      <c r="BT20" s="59">
        <v>2646.424</v>
      </c>
      <c r="BU20" s="59">
        <v>139686.82199999999</v>
      </c>
    </row>
    <row r="21" spans="1:73" x14ac:dyDescent="0.2">
      <c r="A21" s="56" t="s">
        <v>81</v>
      </c>
      <c r="B21" s="17">
        <v>2592297.5299999998</v>
      </c>
      <c r="C21" s="15">
        <v>158365.45699999999</v>
      </c>
      <c r="D21" s="15">
        <v>76.706999999999994</v>
      </c>
      <c r="E21" s="15">
        <v>99209.364000000001</v>
      </c>
      <c r="F21" s="15">
        <v>71800.581000000006</v>
      </c>
      <c r="G21" s="17">
        <v>0</v>
      </c>
      <c r="H21" s="17">
        <v>312.82</v>
      </c>
      <c r="I21" s="15">
        <v>-10738.941999999999</v>
      </c>
      <c r="J21" s="17">
        <v>0</v>
      </c>
      <c r="K21" s="17">
        <v>0</v>
      </c>
      <c r="L21" s="17">
        <v>0</v>
      </c>
      <c r="M21" s="15">
        <v>-2295.0729999999999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5">
        <v>928798.62600000005</v>
      </c>
      <c r="X21" s="15">
        <v>1067098.422</v>
      </c>
      <c r="Y21" s="15">
        <v>2349392.9330000002</v>
      </c>
      <c r="Z21" s="17">
        <v>343507.68</v>
      </c>
      <c r="AA21" s="17">
        <v>0</v>
      </c>
      <c r="AB21" s="15">
        <v>24606.116000000002</v>
      </c>
      <c r="AC21" s="17">
        <v>0</v>
      </c>
      <c r="AD21" s="15">
        <v>10953.163</v>
      </c>
      <c r="AE21" s="17">
        <v>0</v>
      </c>
      <c r="AF21" s="15">
        <v>58822.580999999998</v>
      </c>
      <c r="AG21" s="15">
        <v>224209.076</v>
      </c>
      <c r="AH21" s="15">
        <v>-2765.681</v>
      </c>
      <c r="AI21" s="15">
        <v>-596515.62199999997</v>
      </c>
      <c r="AJ21" s="17">
        <v>0</v>
      </c>
      <c r="AK21" s="15">
        <v>-388467.95899999997</v>
      </c>
      <c r="AL21" s="15">
        <v>-11180.653</v>
      </c>
      <c r="AM21" s="15">
        <v>-579570.19700000004</v>
      </c>
      <c r="AN21" s="15">
        <v>-293881.33399999997</v>
      </c>
      <c r="AO21" s="15">
        <v>-6585.7460000000001</v>
      </c>
      <c r="AP21" s="15">
        <v>-24673.428</v>
      </c>
      <c r="AQ21" s="15">
        <v>402.14299999999997</v>
      </c>
      <c r="AR21" s="15">
        <v>8775.5249999999996</v>
      </c>
      <c r="AS21" s="15">
        <v>-33161.000999999997</v>
      </c>
      <c r="AT21" s="15">
        <v>-16769.172999999999</v>
      </c>
      <c r="AU21" s="15">
        <v>376866.141</v>
      </c>
      <c r="AV21" s="15">
        <v>249.72800000000001</v>
      </c>
      <c r="AW21" s="17">
        <v>6797.51</v>
      </c>
      <c r="AX21" s="15">
        <v>106290.292</v>
      </c>
      <c r="AY21" s="17">
        <v>1176</v>
      </c>
      <c r="AZ21" s="15">
        <v>70481.476999999999</v>
      </c>
      <c r="BA21" s="17">
        <v>0</v>
      </c>
      <c r="BB21" s="15">
        <v>25524.613000000001</v>
      </c>
      <c r="BC21" s="15">
        <v>84063.228000000003</v>
      </c>
      <c r="BD21" s="17">
        <v>270</v>
      </c>
      <c r="BE21" s="15">
        <v>14734.195</v>
      </c>
      <c r="BF21" s="15">
        <v>-3586.5450000000001</v>
      </c>
      <c r="BG21" s="15">
        <v>32145.925999999999</v>
      </c>
      <c r="BH21" s="15">
        <v>-17415.866000000002</v>
      </c>
      <c r="BI21" s="17">
        <v>0</v>
      </c>
      <c r="BJ21" s="17">
        <v>0</v>
      </c>
      <c r="BK21" s="15">
        <v>529.77599999999995</v>
      </c>
      <c r="BL21" s="15">
        <v>18758.186000000002</v>
      </c>
      <c r="BM21" s="15">
        <v>1876.845</v>
      </c>
      <c r="BN21" s="15">
        <v>36847.622000000003</v>
      </c>
      <c r="BO21" s="15">
        <v>32676.192999999999</v>
      </c>
      <c r="BP21" s="15">
        <v>34553.038</v>
      </c>
      <c r="BQ21" s="15">
        <v>38959.053</v>
      </c>
      <c r="BR21" s="15">
        <v>-20374.319</v>
      </c>
      <c r="BS21" s="15">
        <v>8031.1109999999999</v>
      </c>
      <c r="BT21" s="15">
        <v>170870.39799999999</v>
      </c>
      <c r="BU21" s="15">
        <v>2172939.6639999999</v>
      </c>
    </row>
    <row r="22" spans="1:73" x14ac:dyDescent="0.2">
      <c r="A22" s="56" t="s">
        <v>387</v>
      </c>
      <c r="B22" s="59">
        <v>2701075.0520000001</v>
      </c>
      <c r="C22" s="58" t="s">
        <v>202</v>
      </c>
      <c r="D22" s="58" t="s">
        <v>202</v>
      </c>
      <c r="E22" s="58" t="s">
        <v>202</v>
      </c>
      <c r="F22" s="58" t="s">
        <v>202</v>
      </c>
      <c r="G22" s="58" t="s">
        <v>202</v>
      </c>
      <c r="H22" s="58" t="s">
        <v>202</v>
      </c>
      <c r="I22" s="58" t="s">
        <v>202</v>
      </c>
      <c r="J22" s="58" t="s">
        <v>202</v>
      </c>
      <c r="K22" s="58" t="s">
        <v>202</v>
      </c>
      <c r="L22" s="58" t="s">
        <v>202</v>
      </c>
      <c r="M22" s="58" t="s">
        <v>202</v>
      </c>
      <c r="N22" s="58" t="s">
        <v>202</v>
      </c>
      <c r="O22" s="58" t="s">
        <v>202</v>
      </c>
      <c r="P22" s="58" t="s">
        <v>202</v>
      </c>
      <c r="Q22" s="58" t="s">
        <v>202</v>
      </c>
      <c r="R22" s="58" t="s">
        <v>202</v>
      </c>
      <c r="S22" s="58" t="s">
        <v>202</v>
      </c>
      <c r="T22" s="58" t="s">
        <v>202</v>
      </c>
      <c r="U22" s="58" t="s">
        <v>202</v>
      </c>
      <c r="V22" s="58" t="s">
        <v>202</v>
      </c>
      <c r="W22" s="58" t="s">
        <v>202</v>
      </c>
      <c r="X22" s="58" t="s">
        <v>202</v>
      </c>
      <c r="Y22" s="58" t="s">
        <v>202</v>
      </c>
      <c r="Z22" s="58" t="s">
        <v>202</v>
      </c>
      <c r="AA22" s="58" t="s">
        <v>202</v>
      </c>
      <c r="AB22" s="58" t="s">
        <v>202</v>
      </c>
      <c r="AC22" s="58" t="s">
        <v>202</v>
      </c>
      <c r="AD22" s="58" t="s">
        <v>202</v>
      </c>
      <c r="AE22" s="58" t="s">
        <v>202</v>
      </c>
      <c r="AF22" s="58" t="s">
        <v>202</v>
      </c>
      <c r="AG22" s="58" t="s">
        <v>202</v>
      </c>
      <c r="AH22" s="58" t="s">
        <v>202</v>
      </c>
      <c r="AI22" s="58" t="s">
        <v>202</v>
      </c>
      <c r="AJ22" s="58" t="s">
        <v>202</v>
      </c>
      <c r="AK22" s="58" t="s">
        <v>202</v>
      </c>
      <c r="AL22" s="58" t="s">
        <v>202</v>
      </c>
      <c r="AM22" s="58" t="s">
        <v>202</v>
      </c>
      <c r="AN22" s="58" t="s">
        <v>202</v>
      </c>
      <c r="AO22" s="58" t="s">
        <v>202</v>
      </c>
      <c r="AP22" s="58" t="s">
        <v>202</v>
      </c>
      <c r="AQ22" s="58" t="s">
        <v>202</v>
      </c>
      <c r="AR22" s="58" t="s">
        <v>202</v>
      </c>
      <c r="AS22" s="58" t="s">
        <v>202</v>
      </c>
      <c r="AT22" s="58" t="s">
        <v>202</v>
      </c>
      <c r="AU22" s="58" t="s">
        <v>202</v>
      </c>
      <c r="AV22" s="58" t="s">
        <v>202</v>
      </c>
      <c r="AW22" s="58" t="s">
        <v>202</v>
      </c>
      <c r="AX22" s="58" t="s">
        <v>202</v>
      </c>
      <c r="AY22" s="58" t="s">
        <v>202</v>
      </c>
      <c r="AZ22" s="58" t="s">
        <v>202</v>
      </c>
      <c r="BA22" s="58" t="s">
        <v>202</v>
      </c>
      <c r="BB22" s="58" t="s">
        <v>202</v>
      </c>
      <c r="BC22" s="58" t="s">
        <v>202</v>
      </c>
      <c r="BD22" s="58" t="s">
        <v>202</v>
      </c>
      <c r="BE22" s="58" t="s">
        <v>202</v>
      </c>
      <c r="BF22" s="58" t="s">
        <v>202</v>
      </c>
      <c r="BG22" s="58" t="s">
        <v>202</v>
      </c>
      <c r="BH22" s="58" t="s">
        <v>202</v>
      </c>
      <c r="BI22" s="58" t="s">
        <v>202</v>
      </c>
      <c r="BJ22" s="58" t="s">
        <v>202</v>
      </c>
      <c r="BK22" s="58" t="s">
        <v>202</v>
      </c>
      <c r="BL22" s="58" t="s">
        <v>202</v>
      </c>
      <c r="BM22" s="58" t="s">
        <v>202</v>
      </c>
      <c r="BN22" s="58" t="s">
        <v>202</v>
      </c>
      <c r="BO22" s="58" t="s">
        <v>202</v>
      </c>
      <c r="BP22" s="58" t="s">
        <v>202</v>
      </c>
      <c r="BQ22" s="58" t="s">
        <v>202</v>
      </c>
      <c r="BR22" s="58" t="s">
        <v>202</v>
      </c>
      <c r="BS22" s="58" t="s">
        <v>202</v>
      </c>
      <c r="BT22" s="58" t="s">
        <v>202</v>
      </c>
      <c r="BU22" s="58" t="s">
        <v>202</v>
      </c>
    </row>
    <row r="23" spans="1:73" x14ac:dyDescent="0.2">
      <c r="A23" s="56" t="s">
        <v>388</v>
      </c>
      <c r="B23" s="15">
        <v>2252963.9169999999</v>
      </c>
      <c r="C23" s="16" t="s">
        <v>202</v>
      </c>
      <c r="D23" s="16" t="s">
        <v>202</v>
      </c>
      <c r="E23" s="16" t="s">
        <v>202</v>
      </c>
      <c r="F23" s="16" t="s">
        <v>202</v>
      </c>
      <c r="G23" s="16" t="s">
        <v>202</v>
      </c>
      <c r="H23" s="16" t="s">
        <v>202</v>
      </c>
      <c r="I23" s="16" t="s">
        <v>202</v>
      </c>
      <c r="J23" s="16" t="s">
        <v>202</v>
      </c>
      <c r="K23" s="16" t="s">
        <v>202</v>
      </c>
      <c r="L23" s="16" t="s">
        <v>202</v>
      </c>
      <c r="M23" s="16" t="s">
        <v>202</v>
      </c>
      <c r="N23" s="16" t="s">
        <v>202</v>
      </c>
      <c r="O23" s="16" t="s">
        <v>202</v>
      </c>
      <c r="P23" s="16" t="s">
        <v>202</v>
      </c>
      <c r="Q23" s="16" t="s">
        <v>202</v>
      </c>
      <c r="R23" s="16" t="s">
        <v>202</v>
      </c>
      <c r="S23" s="16" t="s">
        <v>202</v>
      </c>
      <c r="T23" s="16" t="s">
        <v>202</v>
      </c>
      <c r="U23" s="16" t="s">
        <v>202</v>
      </c>
      <c r="V23" s="16" t="s">
        <v>202</v>
      </c>
      <c r="W23" s="16" t="s">
        <v>202</v>
      </c>
      <c r="X23" s="16" t="s">
        <v>202</v>
      </c>
      <c r="Y23" s="16" t="s">
        <v>202</v>
      </c>
      <c r="Z23" s="16" t="s">
        <v>202</v>
      </c>
      <c r="AA23" s="16" t="s">
        <v>202</v>
      </c>
      <c r="AB23" s="16" t="s">
        <v>202</v>
      </c>
      <c r="AC23" s="16" t="s">
        <v>202</v>
      </c>
      <c r="AD23" s="16" t="s">
        <v>202</v>
      </c>
      <c r="AE23" s="16" t="s">
        <v>202</v>
      </c>
      <c r="AF23" s="16" t="s">
        <v>202</v>
      </c>
      <c r="AG23" s="16" t="s">
        <v>202</v>
      </c>
      <c r="AH23" s="16" t="s">
        <v>202</v>
      </c>
      <c r="AI23" s="16" t="s">
        <v>202</v>
      </c>
      <c r="AJ23" s="16" t="s">
        <v>202</v>
      </c>
      <c r="AK23" s="16" t="s">
        <v>202</v>
      </c>
      <c r="AL23" s="16" t="s">
        <v>202</v>
      </c>
      <c r="AM23" s="16" t="s">
        <v>202</v>
      </c>
      <c r="AN23" s="16" t="s">
        <v>202</v>
      </c>
      <c r="AO23" s="16" t="s">
        <v>202</v>
      </c>
      <c r="AP23" s="16" t="s">
        <v>202</v>
      </c>
      <c r="AQ23" s="16" t="s">
        <v>202</v>
      </c>
      <c r="AR23" s="16" t="s">
        <v>202</v>
      </c>
      <c r="AS23" s="16" t="s">
        <v>202</v>
      </c>
      <c r="AT23" s="16" t="s">
        <v>202</v>
      </c>
      <c r="AU23" s="16" t="s">
        <v>202</v>
      </c>
      <c r="AV23" s="16" t="s">
        <v>202</v>
      </c>
      <c r="AW23" s="16" t="s">
        <v>202</v>
      </c>
      <c r="AX23" s="16" t="s">
        <v>202</v>
      </c>
      <c r="AY23" s="16" t="s">
        <v>202</v>
      </c>
      <c r="AZ23" s="16" t="s">
        <v>202</v>
      </c>
      <c r="BA23" s="16" t="s">
        <v>202</v>
      </c>
      <c r="BB23" s="16" t="s">
        <v>202</v>
      </c>
      <c r="BC23" s="16" t="s">
        <v>202</v>
      </c>
      <c r="BD23" s="16" t="s">
        <v>202</v>
      </c>
      <c r="BE23" s="16" t="s">
        <v>202</v>
      </c>
      <c r="BF23" s="16" t="s">
        <v>202</v>
      </c>
      <c r="BG23" s="16" t="s">
        <v>202</v>
      </c>
      <c r="BH23" s="16" t="s">
        <v>202</v>
      </c>
      <c r="BI23" s="16" t="s">
        <v>202</v>
      </c>
      <c r="BJ23" s="16" t="s">
        <v>202</v>
      </c>
      <c r="BK23" s="16" t="s">
        <v>202</v>
      </c>
      <c r="BL23" s="16" t="s">
        <v>202</v>
      </c>
      <c r="BM23" s="16" t="s">
        <v>202</v>
      </c>
      <c r="BN23" s="16" t="s">
        <v>202</v>
      </c>
      <c r="BO23" s="16" t="s">
        <v>202</v>
      </c>
      <c r="BP23" s="16" t="s">
        <v>202</v>
      </c>
      <c r="BQ23" s="16" t="s">
        <v>202</v>
      </c>
      <c r="BR23" s="16" t="s">
        <v>202</v>
      </c>
      <c r="BS23" s="16" t="s">
        <v>202</v>
      </c>
      <c r="BT23" s="16" t="s">
        <v>202</v>
      </c>
      <c r="BU23" s="16" t="s">
        <v>202</v>
      </c>
    </row>
    <row r="24" spans="1:73" x14ac:dyDescent="0.2">
      <c r="A24" s="56" t="s">
        <v>389</v>
      </c>
      <c r="B24" s="57">
        <v>1715629.72</v>
      </c>
      <c r="C24" s="58" t="s">
        <v>202</v>
      </c>
      <c r="D24" s="58" t="s">
        <v>202</v>
      </c>
      <c r="E24" s="58" t="s">
        <v>202</v>
      </c>
      <c r="F24" s="58" t="s">
        <v>202</v>
      </c>
      <c r="G24" s="58" t="s">
        <v>202</v>
      </c>
      <c r="H24" s="58" t="s">
        <v>202</v>
      </c>
      <c r="I24" s="58" t="s">
        <v>202</v>
      </c>
      <c r="J24" s="58" t="s">
        <v>202</v>
      </c>
      <c r="K24" s="58" t="s">
        <v>202</v>
      </c>
      <c r="L24" s="58" t="s">
        <v>202</v>
      </c>
      <c r="M24" s="58" t="s">
        <v>202</v>
      </c>
      <c r="N24" s="58" t="s">
        <v>202</v>
      </c>
      <c r="O24" s="58" t="s">
        <v>202</v>
      </c>
      <c r="P24" s="58" t="s">
        <v>202</v>
      </c>
      <c r="Q24" s="58" t="s">
        <v>202</v>
      </c>
      <c r="R24" s="58" t="s">
        <v>202</v>
      </c>
      <c r="S24" s="58" t="s">
        <v>202</v>
      </c>
      <c r="T24" s="58" t="s">
        <v>202</v>
      </c>
      <c r="U24" s="58" t="s">
        <v>202</v>
      </c>
      <c r="V24" s="58" t="s">
        <v>202</v>
      </c>
      <c r="W24" s="58" t="s">
        <v>202</v>
      </c>
      <c r="X24" s="58" t="s">
        <v>202</v>
      </c>
      <c r="Y24" s="58" t="s">
        <v>202</v>
      </c>
      <c r="Z24" s="58" t="s">
        <v>202</v>
      </c>
      <c r="AA24" s="58" t="s">
        <v>202</v>
      </c>
      <c r="AB24" s="58" t="s">
        <v>202</v>
      </c>
      <c r="AC24" s="58" t="s">
        <v>202</v>
      </c>
      <c r="AD24" s="58" t="s">
        <v>202</v>
      </c>
      <c r="AE24" s="58" t="s">
        <v>202</v>
      </c>
      <c r="AF24" s="58" t="s">
        <v>202</v>
      </c>
      <c r="AG24" s="58" t="s">
        <v>202</v>
      </c>
      <c r="AH24" s="58" t="s">
        <v>202</v>
      </c>
      <c r="AI24" s="58" t="s">
        <v>202</v>
      </c>
      <c r="AJ24" s="58" t="s">
        <v>202</v>
      </c>
      <c r="AK24" s="58" t="s">
        <v>202</v>
      </c>
      <c r="AL24" s="58" t="s">
        <v>202</v>
      </c>
      <c r="AM24" s="58" t="s">
        <v>202</v>
      </c>
      <c r="AN24" s="58" t="s">
        <v>202</v>
      </c>
      <c r="AO24" s="58" t="s">
        <v>202</v>
      </c>
      <c r="AP24" s="58" t="s">
        <v>202</v>
      </c>
      <c r="AQ24" s="58" t="s">
        <v>202</v>
      </c>
      <c r="AR24" s="58" t="s">
        <v>202</v>
      </c>
      <c r="AS24" s="58" t="s">
        <v>202</v>
      </c>
      <c r="AT24" s="58" t="s">
        <v>202</v>
      </c>
      <c r="AU24" s="58" t="s">
        <v>202</v>
      </c>
      <c r="AV24" s="58" t="s">
        <v>202</v>
      </c>
      <c r="AW24" s="58" t="s">
        <v>202</v>
      </c>
      <c r="AX24" s="58" t="s">
        <v>202</v>
      </c>
      <c r="AY24" s="58" t="s">
        <v>202</v>
      </c>
      <c r="AZ24" s="58" t="s">
        <v>202</v>
      </c>
      <c r="BA24" s="58" t="s">
        <v>202</v>
      </c>
      <c r="BB24" s="58" t="s">
        <v>202</v>
      </c>
      <c r="BC24" s="58" t="s">
        <v>202</v>
      </c>
      <c r="BD24" s="58" t="s">
        <v>202</v>
      </c>
      <c r="BE24" s="58" t="s">
        <v>202</v>
      </c>
      <c r="BF24" s="58" t="s">
        <v>202</v>
      </c>
      <c r="BG24" s="58" t="s">
        <v>202</v>
      </c>
      <c r="BH24" s="58" t="s">
        <v>202</v>
      </c>
      <c r="BI24" s="58" t="s">
        <v>202</v>
      </c>
      <c r="BJ24" s="58" t="s">
        <v>202</v>
      </c>
      <c r="BK24" s="58" t="s">
        <v>202</v>
      </c>
      <c r="BL24" s="58" t="s">
        <v>202</v>
      </c>
      <c r="BM24" s="58" t="s">
        <v>202</v>
      </c>
      <c r="BN24" s="58" t="s">
        <v>202</v>
      </c>
      <c r="BO24" s="58" t="s">
        <v>202</v>
      </c>
      <c r="BP24" s="58" t="s">
        <v>202</v>
      </c>
      <c r="BQ24" s="58" t="s">
        <v>202</v>
      </c>
      <c r="BR24" s="58" t="s">
        <v>202</v>
      </c>
      <c r="BS24" s="58" t="s">
        <v>202</v>
      </c>
      <c r="BT24" s="58" t="s">
        <v>202</v>
      </c>
      <c r="BU24" s="58" t="s">
        <v>202</v>
      </c>
    </row>
    <row r="25" spans="1:73" x14ac:dyDescent="0.2">
      <c r="A25" s="56" t="s">
        <v>82</v>
      </c>
      <c r="B25" s="16" t="s">
        <v>202</v>
      </c>
      <c r="C25" s="16" t="s">
        <v>202</v>
      </c>
      <c r="D25" s="16" t="s">
        <v>202</v>
      </c>
      <c r="E25" s="16" t="s">
        <v>202</v>
      </c>
      <c r="F25" s="16" t="s">
        <v>202</v>
      </c>
      <c r="G25" s="16" t="s">
        <v>202</v>
      </c>
      <c r="H25" s="16" t="s">
        <v>202</v>
      </c>
      <c r="I25" s="16" t="s">
        <v>202</v>
      </c>
      <c r="J25" s="16" t="s">
        <v>202</v>
      </c>
      <c r="K25" s="16" t="s">
        <v>202</v>
      </c>
      <c r="L25" s="16" t="s">
        <v>202</v>
      </c>
      <c r="M25" s="16" t="s">
        <v>202</v>
      </c>
      <c r="N25" s="16" t="s">
        <v>202</v>
      </c>
      <c r="O25" s="16" t="s">
        <v>202</v>
      </c>
      <c r="P25" s="16" t="s">
        <v>202</v>
      </c>
      <c r="Q25" s="16" t="s">
        <v>202</v>
      </c>
      <c r="R25" s="16" t="s">
        <v>202</v>
      </c>
      <c r="S25" s="16" t="s">
        <v>202</v>
      </c>
      <c r="T25" s="16" t="s">
        <v>202</v>
      </c>
      <c r="U25" s="16" t="s">
        <v>202</v>
      </c>
      <c r="V25" s="16" t="s">
        <v>202</v>
      </c>
      <c r="W25" s="16" t="s">
        <v>202</v>
      </c>
      <c r="X25" s="16" t="s">
        <v>202</v>
      </c>
      <c r="Y25" s="16" t="s">
        <v>202</v>
      </c>
      <c r="Z25" s="16" t="s">
        <v>202</v>
      </c>
      <c r="AA25" s="16" t="s">
        <v>202</v>
      </c>
      <c r="AB25" s="16" t="s">
        <v>202</v>
      </c>
      <c r="AC25" s="16" t="s">
        <v>202</v>
      </c>
      <c r="AD25" s="16" t="s">
        <v>202</v>
      </c>
      <c r="AE25" s="16" t="s">
        <v>202</v>
      </c>
      <c r="AF25" s="16" t="s">
        <v>202</v>
      </c>
      <c r="AG25" s="16" t="s">
        <v>202</v>
      </c>
      <c r="AH25" s="16" t="s">
        <v>202</v>
      </c>
      <c r="AI25" s="16" t="s">
        <v>202</v>
      </c>
      <c r="AJ25" s="16" t="s">
        <v>202</v>
      </c>
      <c r="AK25" s="16" t="s">
        <v>202</v>
      </c>
      <c r="AL25" s="16" t="s">
        <v>202</v>
      </c>
      <c r="AM25" s="16" t="s">
        <v>202</v>
      </c>
      <c r="AN25" s="16" t="s">
        <v>202</v>
      </c>
      <c r="AO25" s="16" t="s">
        <v>202</v>
      </c>
      <c r="AP25" s="16" t="s">
        <v>202</v>
      </c>
      <c r="AQ25" s="16" t="s">
        <v>202</v>
      </c>
      <c r="AR25" s="16" t="s">
        <v>202</v>
      </c>
      <c r="AS25" s="16" t="s">
        <v>202</v>
      </c>
      <c r="AT25" s="16" t="s">
        <v>202</v>
      </c>
      <c r="AU25" s="16" t="s">
        <v>202</v>
      </c>
      <c r="AV25" s="16" t="s">
        <v>202</v>
      </c>
      <c r="AW25" s="16" t="s">
        <v>202</v>
      </c>
      <c r="AX25" s="16" t="s">
        <v>202</v>
      </c>
      <c r="AY25" s="16" t="s">
        <v>202</v>
      </c>
      <c r="AZ25" s="16" t="s">
        <v>202</v>
      </c>
      <c r="BA25" s="16" t="s">
        <v>202</v>
      </c>
      <c r="BB25" s="16" t="s">
        <v>202</v>
      </c>
      <c r="BC25" s="16" t="s">
        <v>202</v>
      </c>
      <c r="BD25" s="16" t="s">
        <v>202</v>
      </c>
      <c r="BE25" s="16" t="s">
        <v>202</v>
      </c>
      <c r="BF25" s="16" t="s">
        <v>202</v>
      </c>
      <c r="BG25" s="16" t="s">
        <v>202</v>
      </c>
      <c r="BH25" s="16" t="s">
        <v>202</v>
      </c>
      <c r="BI25" s="16" t="s">
        <v>202</v>
      </c>
      <c r="BJ25" s="16" t="s">
        <v>202</v>
      </c>
      <c r="BK25" s="16" t="s">
        <v>202</v>
      </c>
      <c r="BL25" s="16" t="s">
        <v>202</v>
      </c>
      <c r="BM25" s="16" t="s">
        <v>202</v>
      </c>
      <c r="BN25" s="16" t="s">
        <v>202</v>
      </c>
      <c r="BO25" s="16" t="s">
        <v>202</v>
      </c>
      <c r="BP25" s="16" t="s">
        <v>202</v>
      </c>
      <c r="BQ25" s="16" t="s">
        <v>202</v>
      </c>
      <c r="BR25" s="16" t="s">
        <v>202</v>
      </c>
      <c r="BS25" s="16" t="s">
        <v>202</v>
      </c>
      <c r="BT25" s="16" t="s">
        <v>202</v>
      </c>
      <c r="BU25" s="16" t="s">
        <v>202</v>
      </c>
    </row>
    <row r="26" spans="1:73" x14ac:dyDescent="0.2">
      <c r="A26" s="56" t="s">
        <v>83</v>
      </c>
      <c r="B26" s="58" t="s">
        <v>202</v>
      </c>
      <c r="C26" s="58" t="s">
        <v>202</v>
      </c>
      <c r="D26" s="58" t="s">
        <v>202</v>
      </c>
      <c r="E26" s="58" t="s">
        <v>202</v>
      </c>
      <c r="F26" s="58" t="s">
        <v>202</v>
      </c>
      <c r="G26" s="58" t="s">
        <v>202</v>
      </c>
      <c r="H26" s="58" t="s">
        <v>202</v>
      </c>
      <c r="I26" s="58" t="s">
        <v>202</v>
      </c>
      <c r="J26" s="58" t="s">
        <v>202</v>
      </c>
      <c r="K26" s="58" t="s">
        <v>202</v>
      </c>
      <c r="L26" s="58" t="s">
        <v>202</v>
      </c>
      <c r="M26" s="58" t="s">
        <v>202</v>
      </c>
      <c r="N26" s="58" t="s">
        <v>202</v>
      </c>
      <c r="O26" s="58" t="s">
        <v>202</v>
      </c>
      <c r="P26" s="58" t="s">
        <v>202</v>
      </c>
      <c r="Q26" s="58" t="s">
        <v>202</v>
      </c>
      <c r="R26" s="58" t="s">
        <v>202</v>
      </c>
      <c r="S26" s="58" t="s">
        <v>202</v>
      </c>
      <c r="T26" s="58" t="s">
        <v>202</v>
      </c>
      <c r="U26" s="58" t="s">
        <v>202</v>
      </c>
      <c r="V26" s="58" t="s">
        <v>202</v>
      </c>
      <c r="W26" s="58" t="s">
        <v>202</v>
      </c>
      <c r="X26" s="58" t="s">
        <v>202</v>
      </c>
      <c r="Y26" s="58" t="s">
        <v>202</v>
      </c>
      <c r="Z26" s="58" t="s">
        <v>202</v>
      </c>
      <c r="AA26" s="58" t="s">
        <v>202</v>
      </c>
      <c r="AB26" s="58" t="s">
        <v>202</v>
      </c>
      <c r="AC26" s="58" t="s">
        <v>202</v>
      </c>
      <c r="AD26" s="58" t="s">
        <v>202</v>
      </c>
      <c r="AE26" s="58" t="s">
        <v>202</v>
      </c>
      <c r="AF26" s="58" t="s">
        <v>202</v>
      </c>
      <c r="AG26" s="58" t="s">
        <v>202</v>
      </c>
      <c r="AH26" s="58" t="s">
        <v>202</v>
      </c>
      <c r="AI26" s="58" t="s">
        <v>202</v>
      </c>
      <c r="AJ26" s="58" t="s">
        <v>202</v>
      </c>
      <c r="AK26" s="58" t="s">
        <v>202</v>
      </c>
      <c r="AL26" s="58" t="s">
        <v>202</v>
      </c>
      <c r="AM26" s="58" t="s">
        <v>202</v>
      </c>
      <c r="AN26" s="58" t="s">
        <v>202</v>
      </c>
      <c r="AO26" s="58" t="s">
        <v>202</v>
      </c>
      <c r="AP26" s="58" t="s">
        <v>202</v>
      </c>
      <c r="AQ26" s="58" t="s">
        <v>202</v>
      </c>
      <c r="AR26" s="58" t="s">
        <v>202</v>
      </c>
      <c r="AS26" s="58" t="s">
        <v>202</v>
      </c>
      <c r="AT26" s="58" t="s">
        <v>202</v>
      </c>
      <c r="AU26" s="58" t="s">
        <v>202</v>
      </c>
      <c r="AV26" s="58" t="s">
        <v>202</v>
      </c>
      <c r="AW26" s="58" t="s">
        <v>202</v>
      </c>
      <c r="AX26" s="58" t="s">
        <v>202</v>
      </c>
      <c r="AY26" s="58" t="s">
        <v>202</v>
      </c>
      <c r="AZ26" s="58" t="s">
        <v>202</v>
      </c>
      <c r="BA26" s="58" t="s">
        <v>202</v>
      </c>
      <c r="BB26" s="58" t="s">
        <v>202</v>
      </c>
      <c r="BC26" s="58" t="s">
        <v>202</v>
      </c>
      <c r="BD26" s="58" t="s">
        <v>202</v>
      </c>
      <c r="BE26" s="58" t="s">
        <v>202</v>
      </c>
      <c r="BF26" s="58" t="s">
        <v>202</v>
      </c>
      <c r="BG26" s="58" t="s">
        <v>202</v>
      </c>
      <c r="BH26" s="58" t="s">
        <v>202</v>
      </c>
      <c r="BI26" s="58" t="s">
        <v>202</v>
      </c>
      <c r="BJ26" s="58" t="s">
        <v>202</v>
      </c>
      <c r="BK26" s="58" t="s">
        <v>202</v>
      </c>
      <c r="BL26" s="58" t="s">
        <v>202</v>
      </c>
      <c r="BM26" s="58" t="s">
        <v>202</v>
      </c>
      <c r="BN26" s="58" t="s">
        <v>202</v>
      </c>
      <c r="BO26" s="58" t="s">
        <v>202</v>
      </c>
      <c r="BP26" s="58" t="s">
        <v>202</v>
      </c>
      <c r="BQ26" s="58" t="s">
        <v>202</v>
      </c>
      <c r="BR26" s="58" t="s">
        <v>202</v>
      </c>
      <c r="BS26" s="58" t="s">
        <v>202</v>
      </c>
      <c r="BT26" s="58" t="s">
        <v>202</v>
      </c>
      <c r="BU26" s="58" t="s">
        <v>202</v>
      </c>
    </row>
    <row r="27" spans="1:73" x14ac:dyDescent="0.2">
      <c r="A27" s="56" t="s">
        <v>84</v>
      </c>
      <c r="B27" s="16" t="s">
        <v>202</v>
      </c>
      <c r="C27" s="16" t="s">
        <v>202</v>
      </c>
      <c r="D27" s="16" t="s">
        <v>202</v>
      </c>
      <c r="E27" s="16" t="s">
        <v>202</v>
      </c>
      <c r="F27" s="16" t="s">
        <v>202</v>
      </c>
      <c r="G27" s="16" t="s">
        <v>202</v>
      </c>
      <c r="H27" s="16" t="s">
        <v>202</v>
      </c>
      <c r="I27" s="16" t="s">
        <v>202</v>
      </c>
      <c r="J27" s="16" t="s">
        <v>202</v>
      </c>
      <c r="K27" s="16" t="s">
        <v>202</v>
      </c>
      <c r="L27" s="16" t="s">
        <v>202</v>
      </c>
      <c r="M27" s="16" t="s">
        <v>202</v>
      </c>
      <c r="N27" s="16" t="s">
        <v>202</v>
      </c>
      <c r="O27" s="16" t="s">
        <v>202</v>
      </c>
      <c r="P27" s="16" t="s">
        <v>202</v>
      </c>
      <c r="Q27" s="16" t="s">
        <v>202</v>
      </c>
      <c r="R27" s="16" t="s">
        <v>202</v>
      </c>
      <c r="S27" s="16" t="s">
        <v>202</v>
      </c>
      <c r="T27" s="16" t="s">
        <v>202</v>
      </c>
      <c r="U27" s="16" t="s">
        <v>202</v>
      </c>
      <c r="V27" s="16" t="s">
        <v>202</v>
      </c>
      <c r="W27" s="16" t="s">
        <v>202</v>
      </c>
      <c r="X27" s="16" t="s">
        <v>202</v>
      </c>
      <c r="Y27" s="16" t="s">
        <v>202</v>
      </c>
      <c r="Z27" s="16" t="s">
        <v>202</v>
      </c>
      <c r="AA27" s="16" t="s">
        <v>202</v>
      </c>
      <c r="AB27" s="16" t="s">
        <v>202</v>
      </c>
      <c r="AC27" s="16" t="s">
        <v>202</v>
      </c>
      <c r="AD27" s="16" t="s">
        <v>202</v>
      </c>
      <c r="AE27" s="16" t="s">
        <v>202</v>
      </c>
      <c r="AF27" s="16" t="s">
        <v>202</v>
      </c>
      <c r="AG27" s="16" t="s">
        <v>202</v>
      </c>
      <c r="AH27" s="16" t="s">
        <v>202</v>
      </c>
      <c r="AI27" s="16" t="s">
        <v>202</v>
      </c>
      <c r="AJ27" s="16" t="s">
        <v>202</v>
      </c>
      <c r="AK27" s="16" t="s">
        <v>202</v>
      </c>
      <c r="AL27" s="16" t="s">
        <v>202</v>
      </c>
      <c r="AM27" s="16" t="s">
        <v>202</v>
      </c>
      <c r="AN27" s="16" t="s">
        <v>202</v>
      </c>
      <c r="AO27" s="16" t="s">
        <v>202</v>
      </c>
      <c r="AP27" s="16" t="s">
        <v>202</v>
      </c>
      <c r="AQ27" s="16" t="s">
        <v>202</v>
      </c>
      <c r="AR27" s="16" t="s">
        <v>202</v>
      </c>
      <c r="AS27" s="16" t="s">
        <v>202</v>
      </c>
      <c r="AT27" s="16" t="s">
        <v>202</v>
      </c>
      <c r="AU27" s="16" t="s">
        <v>202</v>
      </c>
      <c r="AV27" s="16" t="s">
        <v>202</v>
      </c>
      <c r="AW27" s="16" t="s">
        <v>202</v>
      </c>
      <c r="AX27" s="16" t="s">
        <v>202</v>
      </c>
      <c r="AY27" s="16" t="s">
        <v>202</v>
      </c>
      <c r="AZ27" s="16" t="s">
        <v>202</v>
      </c>
      <c r="BA27" s="16" t="s">
        <v>202</v>
      </c>
      <c r="BB27" s="16" t="s">
        <v>202</v>
      </c>
      <c r="BC27" s="16" t="s">
        <v>202</v>
      </c>
      <c r="BD27" s="16" t="s">
        <v>202</v>
      </c>
      <c r="BE27" s="16" t="s">
        <v>202</v>
      </c>
      <c r="BF27" s="16" t="s">
        <v>202</v>
      </c>
      <c r="BG27" s="16" t="s">
        <v>202</v>
      </c>
      <c r="BH27" s="16" t="s">
        <v>202</v>
      </c>
      <c r="BI27" s="16" t="s">
        <v>202</v>
      </c>
      <c r="BJ27" s="16" t="s">
        <v>202</v>
      </c>
      <c r="BK27" s="16" t="s">
        <v>202</v>
      </c>
      <c r="BL27" s="16" t="s">
        <v>202</v>
      </c>
      <c r="BM27" s="16" t="s">
        <v>202</v>
      </c>
      <c r="BN27" s="16" t="s">
        <v>202</v>
      </c>
      <c r="BO27" s="16" t="s">
        <v>202</v>
      </c>
      <c r="BP27" s="16" t="s">
        <v>202</v>
      </c>
      <c r="BQ27" s="16" t="s">
        <v>202</v>
      </c>
      <c r="BR27" s="16" t="s">
        <v>202</v>
      </c>
      <c r="BS27" s="16" t="s">
        <v>202</v>
      </c>
      <c r="BT27" s="16" t="s">
        <v>202</v>
      </c>
      <c r="BU27" s="16" t="s">
        <v>202</v>
      </c>
    </row>
    <row r="28" spans="1:73" x14ac:dyDescent="0.2">
      <c r="A28" s="56" t="s">
        <v>204</v>
      </c>
      <c r="B28" s="59">
        <v>5235618.9589999998</v>
      </c>
      <c r="C28" s="59">
        <v>206016.897</v>
      </c>
      <c r="D28" s="57">
        <v>0</v>
      </c>
      <c r="E28" s="59">
        <v>99143.111999999994</v>
      </c>
      <c r="F28" s="59">
        <v>71329.782000000007</v>
      </c>
      <c r="G28" s="57">
        <v>0</v>
      </c>
      <c r="H28" s="57">
        <v>0</v>
      </c>
      <c r="I28" s="59">
        <v>35544.002999999997</v>
      </c>
      <c r="J28" s="57">
        <v>0</v>
      </c>
      <c r="K28" s="57">
        <v>0</v>
      </c>
      <c r="L28" s="57">
        <v>0</v>
      </c>
      <c r="M28" s="57">
        <v>0</v>
      </c>
      <c r="N28" s="59">
        <v>18170.044999999998</v>
      </c>
      <c r="O28" s="59">
        <v>1428.5409999999999</v>
      </c>
      <c r="P28" s="57">
        <v>0</v>
      </c>
      <c r="Q28" s="59">
        <v>16741.504000000001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9">
        <v>311308.08399999997</v>
      </c>
      <c r="X28" s="59">
        <v>4282623.8660000004</v>
      </c>
      <c r="Y28" s="59">
        <v>2427012.0720000002</v>
      </c>
      <c r="Z28" s="59">
        <v>423903.73800000001</v>
      </c>
      <c r="AA28" s="57">
        <v>366286</v>
      </c>
      <c r="AB28" s="59">
        <v>21733.940999999999</v>
      </c>
      <c r="AC28" s="57">
        <v>0</v>
      </c>
      <c r="AD28" s="59">
        <v>114591.711</v>
      </c>
      <c r="AE28" s="57">
        <v>0</v>
      </c>
      <c r="AF28" s="59">
        <v>48544.434999999998</v>
      </c>
      <c r="AG28" s="59">
        <v>582932.38300000003</v>
      </c>
      <c r="AH28" s="59">
        <v>8.7999999999999995E-2</v>
      </c>
      <c r="AI28" s="59">
        <v>234.137</v>
      </c>
      <c r="AJ28" s="57">
        <v>0</v>
      </c>
      <c r="AK28" s="59">
        <v>60.075000000000003</v>
      </c>
      <c r="AL28" s="59">
        <v>4483.384</v>
      </c>
      <c r="AM28" s="59">
        <v>42952.313000000002</v>
      </c>
      <c r="AN28" s="59">
        <v>136153.08600000001</v>
      </c>
      <c r="AO28" s="59">
        <v>88997.346999999994</v>
      </c>
      <c r="AP28" s="59">
        <v>13218.579</v>
      </c>
      <c r="AQ28" s="59">
        <v>3.4159999999999999</v>
      </c>
      <c r="AR28" s="57">
        <v>0</v>
      </c>
      <c r="AS28" s="59">
        <v>52.207000000000001</v>
      </c>
      <c r="AT28" s="57">
        <v>11464.95</v>
      </c>
      <c r="AU28" s="59">
        <v>331913.16399999999</v>
      </c>
      <c r="AV28" s="59">
        <v>249.72800000000001</v>
      </c>
      <c r="AW28" s="57">
        <v>0</v>
      </c>
      <c r="AX28" s="59">
        <v>106290.292</v>
      </c>
      <c r="AY28" s="57">
        <v>0</v>
      </c>
      <c r="AZ28" s="59">
        <v>70481.476999999999</v>
      </c>
      <c r="BA28" s="57">
        <v>0</v>
      </c>
      <c r="BB28" s="57">
        <v>0</v>
      </c>
      <c r="BC28" s="59">
        <v>58457.756999999998</v>
      </c>
      <c r="BD28" s="57">
        <v>0</v>
      </c>
      <c r="BE28" s="59">
        <v>14734.195</v>
      </c>
      <c r="BF28" s="59">
        <v>8.0190000000000001</v>
      </c>
      <c r="BG28" s="59">
        <v>32145.925999999999</v>
      </c>
      <c r="BH28" s="57">
        <v>0</v>
      </c>
      <c r="BI28" s="57">
        <v>0</v>
      </c>
      <c r="BJ28" s="57">
        <v>0</v>
      </c>
      <c r="BK28" s="57">
        <v>0</v>
      </c>
      <c r="BL28" s="57">
        <v>14208.23</v>
      </c>
      <c r="BM28" s="59">
        <v>1245.8309999999999</v>
      </c>
      <c r="BN28" s="57">
        <v>35337.54</v>
      </c>
      <c r="BO28" s="59">
        <v>31337.062999999998</v>
      </c>
      <c r="BP28" s="59">
        <v>32582.894</v>
      </c>
      <c r="BQ28" s="59">
        <v>38959.053</v>
      </c>
      <c r="BR28" s="57">
        <v>362.92</v>
      </c>
      <c r="BS28" s="59">
        <v>13682.036</v>
      </c>
      <c r="BT28" s="59">
        <v>161107.99799999999</v>
      </c>
      <c r="BU28" s="59">
        <v>4857191.9620000003</v>
      </c>
    </row>
    <row r="29" spans="1:73" x14ac:dyDescent="0.2">
      <c r="A29" s="56" t="s">
        <v>205</v>
      </c>
      <c r="B29" s="15">
        <v>780448.81700000004</v>
      </c>
      <c r="C29" s="15">
        <v>71329.782000000007</v>
      </c>
      <c r="D29" s="17">
        <v>0</v>
      </c>
      <c r="E29" s="17">
        <v>0</v>
      </c>
      <c r="F29" s="15">
        <v>71329.782000000007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5">
        <v>18170.044999999998</v>
      </c>
      <c r="O29" s="15">
        <v>1428.5409999999999</v>
      </c>
      <c r="P29" s="17">
        <v>0</v>
      </c>
      <c r="Q29" s="15">
        <v>16741.504000000001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5">
        <v>311308.08399999997</v>
      </c>
      <c r="X29" s="15">
        <v>18747.203000000001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5">
        <v>18291.896000000001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5">
        <v>356.34100000000001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5">
        <v>98.965999999999994</v>
      </c>
      <c r="AU29" s="17">
        <v>275306.8</v>
      </c>
      <c r="AV29" s="15">
        <v>249.72800000000001</v>
      </c>
      <c r="AW29" s="17">
        <v>0</v>
      </c>
      <c r="AX29" s="15">
        <v>106290.292</v>
      </c>
      <c r="AY29" s="17">
        <v>0</v>
      </c>
      <c r="AZ29" s="15">
        <v>70481.476999999999</v>
      </c>
      <c r="BA29" s="17">
        <v>0</v>
      </c>
      <c r="BB29" s="17">
        <v>0</v>
      </c>
      <c r="BC29" s="15">
        <v>58457.756999999998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5">
        <v>4490.0060000000003</v>
      </c>
      <c r="BM29" s="15">
        <v>1245.8309999999999</v>
      </c>
      <c r="BN29" s="17">
        <v>35337.54</v>
      </c>
      <c r="BO29" s="15">
        <v>31337.062999999998</v>
      </c>
      <c r="BP29" s="15">
        <v>32582.894</v>
      </c>
      <c r="BQ29" s="15">
        <v>38959.053</v>
      </c>
      <c r="BR29" s="17">
        <v>362.92</v>
      </c>
      <c r="BS29" s="15">
        <v>13682.036</v>
      </c>
      <c r="BT29" s="15">
        <v>104501.63400000001</v>
      </c>
      <c r="BU29" s="15">
        <v>458628.185</v>
      </c>
    </row>
    <row r="30" spans="1:73" x14ac:dyDescent="0.2">
      <c r="A30" s="56" t="s">
        <v>206</v>
      </c>
      <c r="B30" s="59">
        <v>358410.35600000003</v>
      </c>
      <c r="C30" s="59">
        <v>41287.546999999999</v>
      </c>
      <c r="D30" s="57">
        <v>0</v>
      </c>
      <c r="E30" s="57">
        <v>0</v>
      </c>
      <c r="F30" s="59">
        <v>41287.546999999999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57">
        <v>0</v>
      </c>
      <c r="M30" s="57">
        <v>0</v>
      </c>
      <c r="N30" s="59">
        <v>15697.981</v>
      </c>
      <c r="O30" s="57">
        <v>1331.16</v>
      </c>
      <c r="P30" s="57">
        <v>0</v>
      </c>
      <c r="Q30" s="59">
        <v>14366.821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9">
        <v>137861.11600000001</v>
      </c>
      <c r="X30" s="59">
        <v>98.941999999999993</v>
      </c>
      <c r="Y30" s="57">
        <v>0</v>
      </c>
      <c r="Z30" s="57">
        <v>0</v>
      </c>
      <c r="AA30" s="58" t="s">
        <v>202</v>
      </c>
      <c r="AB30" s="58" t="s">
        <v>202</v>
      </c>
      <c r="AC30" s="58" t="s">
        <v>202</v>
      </c>
      <c r="AD30" s="57">
        <v>0</v>
      </c>
      <c r="AE30" s="57">
        <v>0</v>
      </c>
      <c r="AF30" s="57">
        <v>0</v>
      </c>
      <c r="AG30" s="57">
        <v>0</v>
      </c>
      <c r="AH30" s="57">
        <v>0</v>
      </c>
      <c r="AI30" s="57">
        <v>0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57">
        <v>0</v>
      </c>
      <c r="AP30" s="57">
        <v>0</v>
      </c>
      <c r="AQ30" s="57">
        <v>0</v>
      </c>
      <c r="AR30" s="57">
        <v>0</v>
      </c>
      <c r="AS30" s="57">
        <v>0</v>
      </c>
      <c r="AT30" s="59">
        <v>98.941999999999993</v>
      </c>
      <c r="AU30" s="59">
        <v>124505.717</v>
      </c>
      <c r="AV30" s="59">
        <v>249.72800000000001</v>
      </c>
      <c r="AW30" s="57">
        <v>0</v>
      </c>
      <c r="AX30" s="59">
        <v>97847.002999999997</v>
      </c>
      <c r="AY30" s="57">
        <v>0</v>
      </c>
      <c r="AZ30" s="59">
        <v>14464.666999999999</v>
      </c>
      <c r="BA30" s="57">
        <v>0</v>
      </c>
      <c r="BB30" s="58" t="s">
        <v>202</v>
      </c>
      <c r="BC30" s="59">
        <v>11921.505999999999</v>
      </c>
      <c r="BD30" s="58" t="s">
        <v>202</v>
      </c>
      <c r="BE30" s="57">
        <v>0</v>
      </c>
      <c r="BF30" s="57">
        <v>0</v>
      </c>
      <c r="BG30" s="57">
        <v>0</v>
      </c>
      <c r="BH30" s="57">
        <v>0</v>
      </c>
      <c r="BI30" s="57">
        <v>0</v>
      </c>
      <c r="BJ30" s="57">
        <v>0</v>
      </c>
      <c r="BK30" s="57">
        <v>0</v>
      </c>
      <c r="BL30" s="59">
        <v>22.812999999999999</v>
      </c>
      <c r="BM30" s="57">
        <v>0</v>
      </c>
      <c r="BN30" s="57">
        <v>0</v>
      </c>
      <c r="BO30" s="57">
        <v>0</v>
      </c>
      <c r="BP30" s="57">
        <v>0</v>
      </c>
      <c r="BQ30" s="59">
        <v>38959.053</v>
      </c>
      <c r="BR30" s="58" t="s">
        <v>202</v>
      </c>
      <c r="BS30" s="57">
        <v>0</v>
      </c>
      <c r="BT30" s="59">
        <v>13356.416999999999</v>
      </c>
      <c r="BU30" s="59">
        <v>193533.48699999999</v>
      </c>
    </row>
    <row r="31" spans="1:73" x14ac:dyDescent="0.2">
      <c r="A31" s="56" t="s">
        <v>207</v>
      </c>
      <c r="B31" s="15">
        <v>142106.315</v>
      </c>
      <c r="C31" s="15">
        <v>30042.236000000001</v>
      </c>
      <c r="D31" s="17">
        <v>0</v>
      </c>
      <c r="E31" s="17">
        <v>0</v>
      </c>
      <c r="F31" s="15">
        <v>30042.236000000001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5">
        <v>1672.5129999999999</v>
      </c>
      <c r="O31" s="15">
        <v>6.4000000000000001E-2</v>
      </c>
      <c r="P31" s="17">
        <v>0</v>
      </c>
      <c r="Q31" s="15">
        <v>1672.4490000000001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5">
        <v>78425.108999999997</v>
      </c>
      <c r="X31" s="15">
        <v>202.37200000000001</v>
      </c>
      <c r="Y31" s="17">
        <v>0</v>
      </c>
      <c r="Z31" s="17">
        <v>0</v>
      </c>
      <c r="AA31" s="16" t="s">
        <v>202</v>
      </c>
      <c r="AB31" s="16" t="s">
        <v>202</v>
      </c>
      <c r="AC31" s="16" t="s">
        <v>202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5">
        <v>202.37200000000001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5">
        <v>31509.636999999999</v>
      </c>
      <c r="AV31" s="16" t="s">
        <v>202</v>
      </c>
      <c r="AW31" s="17">
        <v>0</v>
      </c>
      <c r="AX31" s="16" t="s">
        <v>202</v>
      </c>
      <c r="AY31" s="17">
        <v>0</v>
      </c>
      <c r="AZ31" s="16" t="s">
        <v>202</v>
      </c>
      <c r="BA31" s="16" t="s">
        <v>202</v>
      </c>
      <c r="BB31" s="16" t="s">
        <v>202</v>
      </c>
      <c r="BC31" s="15">
        <v>31227.246999999999</v>
      </c>
      <c r="BD31" s="16" t="s">
        <v>202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282.39</v>
      </c>
      <c r="BM31" s="15">
        <v>254.44800000000001</v>
      </c>
      <c r="BN31" s="17">
        <v>0</v>
      </c>
      <c r="BO31" s="17">
        <v>0</v>
      </c>
      <c r="BP31" s="15">
        <v>254.44800000000001</v>
      </c>
      <c r="BQ31" s="17">
        <v>0</v>
      </c>
      <c r="BR31" s="16" t="s">
        <v>202</v>
      </c>
      <c r="BS31" s="17">
        <v>0</v>
      </c>
      <c r="BT31" s="15">
        <v>32312.937999999998</v>
      </c>
      <c r="BU31" s="15">
        <v>109793.37699999999</v>
      </c>
    </row>
    <row r="32" spans="1:73" x14ac:dyDescent="0.2">
      <c r="A32" s="56" t="s">
        <v>208</v>
      </c>
      <c r="B32" s="57">
        <v>18399.78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9">
        <v>10592.293</v>
      </c>
      <c r="X32" s="59">
        <v>3652.7809999999999</v>
      </c>
      <c r="Y32" s="57">
        <v>0</v>
      </c>
      <c r="Z32" s="57">
        <v>0</v>
      </c>
      <c r="AA32" s="58" t="s">
        <v>202</v>
      </c>
      <c r="AB32" s="58" t="s">
        <v>202</v>
      </c>
      <c r="AC32" s="58" t="s">
        <v>202</v>
      </c>
      <c r="AD32" s="59">
        <v>3652.7570000000001</v>
      </c>
      <c r="AE32" s="57">
        <v>0</v>
      </c>
      <c r="AF32" s="57">
        <v>0</v>
      </c>
      <c r="AG32" s="57">
        <v>0</v>
      </c>
      <c r="AH32" s="57">
        <v>0</v>
      </c>
      <c r="AI32" s="57">
        <v>0</v>
      </c>
      <c r="AJ32" s="57">
        <v>0</v>
      </c>
      <c r="AK32" s="57">
        <v>0</v>
      </c>
      <c r="AL32" s="57">
        <v>0</v>
      </c>
      <c r="AM32" s="57">
        <v>0</v>
      </c>
      <c r="AN32" s="57">
        <v>0</v>
      </c>
      <c r="AO32" s="57">
        <v>0</v>
      </c>
      <c r="AP32" s="57">
        <v>0</v>
      </c>
      <c r="AQ32" s="57">
        <v>0</v>
      </c>
      <c r="AR32" s="57">
        <v>0</v>
      </c>
      <c r="AS32" s="57">
        <v>0</v>
      </c>
      <c r="AT32" s="59">
        <v>2.4E-2</v>
      </c>
      <c r="AU32" s="59">
        <v>4138.8140000000003</v>
      </c>
      <c r="AV32" s="58" t="s">
        <v>202</v>
      </c>
      <c r="AW32" s="57">
        <v>0</v>
      </c>
      <c r="AX32" s="58" t="s">
        <v>202</v>
      </c>
      <c r="AY32" s="57">
        <v>0</v>
      </c>
      <c r="AZ32" s="58" t="s">
        <v>202</v>
      </c>
      <c r="BA32" s="58" t="s">
        <v>202</v>
      </c>
      <c r="BB32" s="57">
        <v>0</v>
      </c>
      <c r="BC32" s="59">
        <v>4138.8140000000003</v>
      </c>
      <c r="BD32" s="58" t="s">
        <v>202</v>
      </c>
      <c r="BE32" s="57">
        <v>0</v>
      </c>
      <c r="BF32" s="57">
        <v>0</v>
      </c>
      <c r="BG32" s="57">
        <v>0</v>
      </c>
      <c r="BH32" s="57">
        <v>0</v>
      </c>
      <c r="BI32" s="57">
        <v>0</v>
      </c>
      <c r="BJ32" s="57">
        <v>0</v>
      </c>
      <c r="BK32" s="57">
        <v>0</v>
      </c>
      <c r="BL32" s="57">
        <v>0</v>
      </c>
      <c r="BM32" s="59">
        <v>15.891999999999999</v>
      </c>
      <c r="BN32" s="57">
        <v>0</v>
      </c>
      <c r="BO32" s="57">
        <v>0</v>
      </c>
      <c r="BP32" s="59">
        <v>15.891999999999999</v>
      </c>
      <c r="BQ32" s="57">
        <v>0</v>
      </c>
      <c r="BR32" s="58" t="s">
        <v>202</v>
      </c>
      <c r="BS32" s="57">
        <v>0</v>
      </c>
      <c r="BT32" s="57">
        <v>4247.3100000000004</v>
      </c>
      <c r="BU32" s="57">
        <v>14152.47</v>
      </c>
    </row>
    <row r="33" spans="1:73" x14ac:dyDescent="0.2">
      <c r="A33" s="56" t="s">
        <v>209</v>
      </c>
      <c r="B33" s="17">
        <v>67696.36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5">
        <v>2416.8009999999999</v>
      </c>
      <c r="X33" s="15">
        <v>625.53200000000004</v>
      </c>
      <c r="Y33" s="17">
        <v>0</v>
      </c>
      <c r="Z33" s="17">
        <v>0</v>
      </c>
      <c r="AA33" s="16" t="s">
        <v>202</v>
      </c>
      <c r="AB33" s="16" t="s">
        <v>202</v>
      </c>
      <c r="AC33" s="16" t="s">
        <v>202</v>
      </c>
      <c r="AD33" s="15">
        <v>621.13099999999997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4.4000000000000004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5">
        <v>64654.027000000002</v>
      </c>
      <c r="AV33" s="17">
        <v>0</v>
      </c>
      <c r="AW33" s="17">
        <v>0</v>
      </c>
      <c r="AX33" s="15">
        <v>8443.2890000000007</v>
      </c>
      <c r="AY33" s="17">
        <v>0</v>
      </c>
      <c r="AZ33" s="17">
        <v>56016.81</v>
      </c>
      <c r="BA33" s="17">
        <v>0</v>
      </c>
      <c r="BB33" s="16" t="s">
        <v>202</v>
      </c>
      <c r="BC33" s="17">
        <v>0</v>
      </c>
      <c r="BD33" s="16" t="s">
        <v>202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5">
        <v>193.928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6" t="s">
        <v>202</v>
      </c>
      <c r="BS33" s="17">
        <v>0</v>
      </c>
      <c r="BT33" s="15">
        <v>218.68299999999999</v>
      </c>
      <c r="BU33" s="15">
        <v>3017.578</v>
      </c>
    </row>
    <row r="34" spans="1:73" x14ac:dyDescent="0.2">
      <c r="A34" s="56" t="s">
        <v>210</v>
      </c>
      <c r="B34" s="59">
        <v>175821.42199999999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9">
        <v>799.55100000000004</v>
      </c>
      <c r="O34" s="59">
        <v>97.316999999999993</v>
      </c>
      <c r="P34" s="57">
        <v>0</v>
      </c>
      <c r="Q34" s="59">
        <v>702.23400000000004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9">
        <v>79593.831999999995</v>
      </c>
      <c r="X34" s="59">
        <v>13406.879000000001</v>
      </c>
      <c r="Y34" s="57">
        <v>0</v>
      </c>
      <c r="Z34" s="57">
        <v>0</v>
      </c>
      <c r="AA34" s="58" t="s">
        <v>202</v>
      </c>
      <c r="AB34" s="58" t="s">
        <v>202</v>
      </c>
      <c r="AC34" s="58" t="s">
        <v>202</v>
      </c>
      <c r="AD34" s="59">
        <v>13257.311</v>
      </c>
      <c r="AE34" s="57">
        <v>0</v>
      </c>
      <c r="AF34" s="57">
        <v>0</v>
      </c>
      <c r="AG34" s="57">
        <v>0</v>
      </c>
      <c r="AH34" s="57">
        <v>0</v>
      </c>
      <c r="AI34" s="57">
        <v>0</v>
      </c>
      <c r="AJ34" s="57">
        <v>0</v>
      </c>
      <c r="AK34" s="57">
        <v>0</v>
      </c>
      <c r="AL34" s="57">
        <v>0</v>
      </c>
      <c r="AM34" s="59">
        <v>149.56800000000001</v>
      </c>
      <c r="AN34" s="57">
        <v>0</v>
      </c>
      <c r="AO34" s="57">
        <v>0</v>
      </c>
      <c r="AP34" s="57">
        <v>0</v>
      </c>
      <c r="AQ34" s="57">
        <v>0</v>
      </c>
      <c r="AR34" s="57">
        <v>0</v>
      </c>
      <c r="AS34" s="57">
        <v>0</v>
      </c>
      <c r="AT34" s="57">
        <v>0</v>
      </c>
      <c r="AU34" s="59">
        <v>50493.582000000002</v>
      </c>
      <c r="AV34" s="58" t="s">
        <v>202</v>
      </c>
      <c r="AW34" s="57">
        <v>0</v>
      </c>
      <c r="AX34" s="58" t="s">
        <v>202</v>
      </c>
      <c r="AY34" s="57">
        <v>0</v>
      </c>
      <c r="AZ34" s="58" t="s">
        <v>202</v>
      </c>
      <c r="BA34" s="58" t="s">
        <v>202</v>
      </c>
      <c r="BB34" s="58" t="s">
        <v>202</v>
      </c>
      <c r="BC34" s="59">
        <v>11165.546</v>
      </c>
      <c r="BD34" s="58" t="s">
        <v>202</v>
      </c>
      <c r="BE34" s="57">
        <v>0</v>
      </c>
      <c r="BF34" s="57">
        <v>0</v>
      </c>
      <c r="BG34" s="57">
        <v>0</v>
      </c>
      <c r="BH34" s="57">
        <v>0</v>
      </c>
      <c r="BI34" s="57">
        <v>0</v>
      </c>
      <c r="BJ34" s="57">
        <v>0</v>
      </c>
      <c r="BK34" s="57">
        <v>0</v>
      </c>
      <c r="BL34" s="59">
        <v>3990.4960000000001</v>
      </c>
      <c r="BM34" s="59">
        <v>190.51499999999999</v>
      </c>
      <c r="BN34" s="57">
        <v>35337.54</v>
      </c>
      <c r="BO34" s="59">
        <v>31337.062999999998</v>
      </c>
      <c r="BP34" s="59">
        <v>31527.578000000001</v>
      </c>
      <c r="BQ34" s="57">
        <v>0</v>
      </c>
      <c r="BR34" s="58" t="s">
        <v>202</v>
      </c>
      <c r="BS34" s="57">
        <v>0</v>
      </c>
      <c r="BT34" s="59">
        <v>51308.853999999999</v>
      </c>
      <c r="BU34" s="59">
        <v>124512.568</v>
      </c>
    </row>
    <row r="35" spans="1:73" x14ac:dyDescent="0.2">
      <c r="A35" s="56" t="s">
        <v>211</v>
      </c>
      <c r="B35" s="17">
        <v>12000.74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5">
        <v>2418.933</v>
      </c>
      <c r="X35" s="15">
        <v>760.697</v>
      </c>
      <c r="Y35" s="17">
        <v>0</v>
      </c>
      <c r="Z35" s="17">
        <v>0</v>
      </c>
      <c r="AA35" s="16" t="s">
        <v>202</v>
      </c>
      <c r="AB35" s="16" t="s">
        <v>202</v>
      </c>
      <c r="AC35" s="16" t="s">
        <v>202</v>
      </c>
      <c r="AD35" s="15">
        <v>760.697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5">
        <v>5.0229999999999997</v>
      </c>
      <c r="AV35" s="16" t="s">
        <v>202</v>
      </c>
      <c r="AW35" s="17">
        <v>0</v>
      </c>
      <c r="AX35" s="16" t="s">
        <v>202</v>
      </c>
      <c r="AY35" s="17">
        <v>0</v>
      </c>
      <c r="AZ35" s="16" t="s">
        <v>202</v>
      </c>
      <c r="BA35" s="16" t="s">
        <v>202</v>
      </c>
      <c r="BB35" s="17">
        <v>0</v>
      </c>
      <c r="BC35" s="15">
        <v>4.6440000000000001</v>
      </c>
      <c r="BD35" s="16" t="s">
        <v>202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5">
        <v>0.379</v>
      </c>
      <c r="BM35" s="15">
        <v>784.976</v>
      </c>
      <c r="BN35" s="17">
        <v>0</v>
      </c>
      <c r="BO35" s="17">
        <v>0</v>
      </c>
      <c r="BP35" s="15">
        <v>784.976</v>
      </c>
      <c r="BQ35" s="17">
        <v>0</v>
      </c>
      <c r="BR35" s="16" t="s">
        <v>202</v>
      </c>
      <c r="BS35" s="15">
        <v>8031.1109999999999</v>
      </c>
      <c r="BT35" s="15">
        <v>1792.7840000000001</v>
      </c>
      <c r="BU35" s="15">
        <v>9516.6450000000004</v>
      </c>
    </row>
    <row r="36" spans="1:73" x14ac:dyDescent="0.2">
      <c r="A36" s="56" t="s">
        <v>212</v>
      </c>
      <c r="B36" s="57">
        <v>0</v>
      </c>
      <c r="C36" s="58" t="s">
        <v>202</v>
      </c>
      <c r="D36" s="58" t="s">
        <v>202</v>
      </c>
      <c r="E36" s="58" t="s">
        <v>202</v>
      </c>
      <c r="F36" s="58" t="s">
        <v>202</v>
      </c>
      <c r="G36" s="58" t="s">
        <v>202</v>
      </c>
      <c r="H36" s="58" t="s">
        <v>202</v>
      </c>
      <c r="I36" s="58" t="s">
        <v>202</v>
      </c>
      <c r="J36" s="58" t="s">
        <v>202</v>
      </c>
      <c r="K36" s="58" t="s">
        <v>202</v>
      </c>
      <c r="L36" s="58" t="s">
        <v>202</v>
      </c>
      <c r="M36" s="58" t="s">
        <v>202</v>
      </c>
      <c r="N36" s="58" t="s">
        <v>202</v>
      </c>
      <c r="O36" s="58" t="s">
        <v>202</v>
      </c>
      <c r="P36" s="58" t="s">
        <v>202</v>
      </c>
      <c r="Q36" s="58" t="s">
        <v>202</v>
      </c>
      <c r="R36" s="58" t="s">
        <v>202</v>
      </c>
      <c r="S36" s="58" t="s">
        <v>202</v>
      </c>
      <c r="T36" s="58" t="s">
        <v>202</v>
      </c>
      <c r="U36" s="58" t="s">
        <v>202</v>
      </c>
      <c r="V36" s="58" t="s">
        <v>202</v>
      </c>
      <c r="W36" s="58" t="s">
        <v>202</v>
      </c>
      <c r="X36" s="58" t="s">
        <v>202</v>
      </c>
      <c r="Y36" s="58" t="s">
        <v>202</v>
      </c>
      <c r="Z36" s="58" t="s">
        <v>202</v>
      </c>
      <c r="AA36" s="58" t="s">
        <v>202</v>
      </c>
      <c r="AB36" s="58" t="s">
        <v>202</v>
      </c>
      <c r="AC36" s="58" t="s">
        <v>202</v>
      </c>
      <c r="AD36" s="58" t="s">
        <v>202</v>
      </c>
      <c r="AE36" s="58" t="s">
        <v>202</v>
      </c>
      <c r="AF36" s="58" t="s">
        <v>202</v>
      </c>
      <c r="AG36" s="58" t="s">
        <v>202</v>
      </c>
      <c r="AH36" s="58" t="s">
        <v>202</v>
      </c>
      <c r="AI36" s="58" t="s">
        <v>202</v>
      </c>
      <c r="AJ36" s="58" t="s">
        <v>202</v>
      </c>
      <c r="AK36" s="58" t="s">
        <v>202</v>
      </c>
      <c r="AL36" s="58" t="s">
        <v>202</v>
      </c>
      <c r="AM36" s="58" t="s">
        <v>202</v>
      </c>
      <c r="AN36" s="58" t="s">
        <v>202</v>
      </c>
      <c r="AO36" s="58" t="s">
        <v>202</v>
      </c>
      <c r="AP36" s="58" t="s">
        <v>202</v>
      </c>
      <c r="AQ36" s="58" t="s">
        <v>202</v>
      </c>
      <c r="AR36" s="58" t="s">
        <v>202</v>
      </c>
      <c r="AS36" s="58" t="s">
        <v>202</v>
      </c>
      <c r="AT36" s="58" t="s">
        <v>202</v>
      </c>
      <c r="AU36" s="58" t="s">
        <v>202</v>
      </c>
      <c r="AV36" s="58" t="s">
        <v>202</v>
      </c>
      <c r="AW36" s="58" t="s">
        <v>202</v>
      </c>
      <c r="AX36" s="58" t="s">
        <v>202</v>
      </c>
      <c r="AY36" s="58" t="s">
        <v>202</v>
      </c>
      <c r="AZ36" s="58" t="s">
        <v>202</v>
      </c>
      <c r="BA36" s="58" t="s">
        <v>202</v>
      </c>
      <c r="BB36" s="58" t="s">
        <v>202</v>
      </c>
      <c r="BC36" s="58" t="s">
        <v>202</v>
      </c>
      <c r="BD36" s="58" t="s">
        <v>202</v>
      </c>
      <c r="BE36" s="58" t="s">
        <v>202</v>
      </c>
      <c r="BF36" s="58" t="s">
        <v>202</v>
      </c>
      <c r="BG36" s="58" t="s">
        <v>202</v>
      </c>
      <c r="BH36" s="58" t="s">
        <v>202</v>
      </c>
      <c r="BI36" s="58" t="s">
        <v>202</v>
      </c>
      <c r="BJ36" s="58" t="s">
        <v>202</v>
      </c>
      <c r="BK36" s="58" t="s">
        <v>202</v>
      </c>
      <c r="BL36" s="58" t="s">
        <v>202</v>
      </c>
      <c r="BM36" s="58" t="s">
        <v>202</v>
      </c>
      <c r="BN36" s="58" t="s">
        <v>202</v>
      </c>
      <c r="BO36" s="58" t="s">
        <v>202</v>
      </c>
      <c r="BP36" s="58" t="s">
        <v>202</v>
      </c>
      <c r="BQ36" s="58" t="s">
        <v>202</v>
      </c>
      <c r="BR36" s="57">
        <v>0</v>
      </c>
      <c r="BS36" s="58" t="s">
        <v>202</v>
      </c>
      <c r="BT36" s="57">
        <v>0</v>
      </c>
      <c r="BU36" s="57">
        <v>0</v>
      </c>
    </row>
    <row r="37" spans="1:73" x14ac:dyDescent="0.2">
      <c r="A37" s="56" t="s">
        <v>213</v>
      </c>
      <c r="B37" s="17">
        <v>0</v>
      </c>
      <c r="C37" s="16" t="s">
        <v>202</v>
      </c>
      <c r="D37" s="16" t="s">
        <v>202</v>
      </c>
      <c r="E37" s="16" t="s">
        <v>202</v>
      </c>
      <c r="F37" s="16" t="s">
        <v>202</v>
      </c>
      <c r="G37" s="16" t="s">
        <v>202</v>
      </c>
      <c r="H37" s="16" t="s">
        <v>202</v>
      </c>
      <c r="I37" s="16" t="s">
        <v>202</v>
      </c>
      <c r="J37" s="16" t="s">
        <v>202</v>
      </c>
      <c r="K37" s="16" t="s">
        <v>202</v>
      </c>
      <c r="L37" s="16" t="s">
        <v>202</v>
      </c>
      <c r="M37" s="16" t="s">
        <v>202</v>
      </c>
      <c r="N37" s="16" t="s">
        <v>202</v>
      </c>
      <c r="O37" s="16" t="s">
        <v>202</v>
      </c>
      <c r="P37" s="16" t="s">
        <v>202</v>
      </c>
      <c r="Q37" s="16" t="s">
        <v>202</v>
      </c>
      <c r="R37" s="16" t="s">
        <v>202</v>
      </c>
      <c r="S37" s="16" t="s">
        <v>202</v>
      </c>
      <c r="T37" s="16" t="s">
        <v>202</v>
      </c>
      <c r="U37" s="16" t="s">
        <v>202</v>
      </c>
      <c r="V37" s="16" t="s">
        <v>202</v>
      </c>
      <c r="W37" s="16" t="s">
        <v>202</v>
      </c>
      <c r="X37" s="16" t="s">
        <v>202</v>
      </c>
      <c r="Y37" s="16" t="s">
        <v>202</v>
      </c>
      <c r="Z37" s="16" t="s">
        <v>202</v>
      </c>
      <c r="AA37" s="16" t="s">
        <v>202</v>
      </c>
      <c r="AB37" s="16" t="s">
        <v>202</v>
      </c>
      <c r="AC37" s="16" t="s">
        <v>202</v>
      </c>
      <c r="AD37" s="16" t="s">
        <v>202</v>
      </c>
      <c r="AE37" s="16" t="s">
        <v>202</v>
      </c>
      <c r="AF37" s="16" t="s">
        <v>202</v>
      </c>
      <c r="AG37" s="16" t="s">
        <v>202</v>
      </c>
      <c r="AH37" s="16" t="s">
        <v>202</v>
      </c>
      <c r="AI37" s="16" t="s">
        <v>202</v>
      </c>
      <c r="AJ37" s="16" t="s">
        <v>202</v>
      </c>
      <c r="AK37" s="16" t="s">
        <v>202</v>
      </c>
      <c r="AL37" s="16" t="s">
        <v>202</v>
      </c>
      <c r="AM37" s="16" t="s">
        <v>202</v>
      </c>
      <c r="AN37" s="16" t="s">
        <v>202</v>
      </c>
      <c r="AO37" s="16" t="s">
        <v>202</v>
      </c>
      <c r="AP37" s="16" t="s">
        <v>202</v>
      </c>
      <c r="AQ37" s="16" t="s">
        <v>202</v>
      </c>
      <c r="AR37" s="16" t="s">
        <v>202</v>
      </c>
      <c r="AS37" s="16" t="s">
        <v>202</v>
      </c>
      <c r="AT37" s="16" t="s">
        <v>202</v>
      </c>
      <c r="AU37" s="16" t="s">
        <v>202</v>
      </c>
      <c r="AV37" s="16" t="s">
        <v>202</v>
      </c>
      <c r="AW37" s="16" t="s">
        <v>202</v>
      </c>
      <c r="AX37" s="16" t="s">
        <v>202</v>
      </c>
      <c r="AY37" s="16" t="s">
        <v>202</v>
      </c>
      <c r="AZ37" s="16" t="s">
        <v>202</v>
      </c>
      <c r="BA37" s="16" t="s">
        <v>202</v>
      </c>
      <c r="BB37" s="16" t="s">
        <v>202</v>
      </c>
      <c r="BC37" s="16" t="s">
        <v>202</v>
      </c>
      <c r="BD37" s="16" t="s">
        <v>202</v>
      </c>
      <c r="BE37" s="16" t="s">
        <v>202</v>
      </c>
      <c r="BF37" s="16" t="s">
        <v>202</v>
      </c>
      <c r="BG37" s="16" t="s">
        <v>202</v>
      </c>
      <c r="BH37" s="16" t="s">
        <v>202</v>
      </c>
      <c r="BI37" s="16" t="s">
        <v>202</v>
      </c>
      <c r="BJ37" s="16" t="s">
        <v>202</v>
      </c>
      <c r="BK37" s="16" t="s">
        <v>202</v>
      </c>
      <c r="BL37" s="16" t="s">
        <v>202</v>
      </c>
      <c r="BM37" s="16" t="s">
        <v>202</v>
      </c>
      <c r="BN37" s="16" t="s">
        <v>202</v>
      </c>
      <c r="BO37" s="16" t="s">
        <v>202</v>
      </c>
      <c r="BP37" s="16" t="s">
        <v>202</v>
      </c>
      <c r="BQ37" s="16" t="s">
        <v>202</v>
      </c>
      <c r="BR37" s="17">
        <v>0</v>
      </c>
      <c r="BS37" s="16" t="s">
        <v>202</v>
      </c>
      <c r="BT37" s="17">
        <v>0</v>
      </c>
      <c r="BU37" s="17">
        <v>0</v>
      </c>
    </row>
    <row r="38" spans="1:73" x14ac:dyDescent="0.2">
      <c r="A38" s="56" t="s">
        <v>214</v>
      </c>
      <c r="B38" s="57">
        <v>0</v>
      </c>
      <c r="C38" s="58" t="s">
        <v>202</v>
      </c>
      <c r="D38" s="58" t="s">
        <v>202</v>
      </c>
      <c r="E38" s="58" t="s">
        <v>202</v>
      </c>
      <c r="F38" s="58" t="s">
        <v>202</v>
      </c>
      <c r="G38" s="58" t="s">
        <v>202</v>
      </c>
      <c r="H38" s="58" t="s">
        <v>202</v>
      </c>
      <c r="I38" s="58" t="s">
        <v>202</v>
      </c>
      <c r="J38" s="58" t="s">
        <v>202</v>
      </c>
      <c r="K38" s="58" t="s">
        <v>202</v>
      </c>
      <c r="L38" s="58" t="s">
        <v>202</v>
      </c>
      <c r="M38" s="58" t="s">
        <v>202</v>
      </c>
      <c r="N38" s="58" t="s">
        <v>202</v>
      </c>
      <c r="O38" s="58" t="s">
        <v>202</v>
      </c>
      <c r="P38" s="58" t="s">
        <v>202</v>
      </c>
      <c r="Q38" s="58" t="s">
        <v>202</v>
      </c>
      <c r="R38" s="58" t="s">
        <v>202</v>
      </c>
      <c r="S38" s="58" t="s">
        <v>202</v>
      </c>
      <c r="T38" s="58" t="s">
        <v>202</v>
      </c>
      <c r="U38" s="58" t="s">
        <v>202</v>
      </c>
      <c r="V38" s="58" t="s">
        <v>202</v>
      </c>
      <c r="W38" s="58" t="s">
        <v>202</v>
      </c>
      <c r="X38" s="58" t="s">
        <v>202</v>
      </c>
      <c r="Y38" s="58" t="s">
        <v>202</v>
      </c>
      <c r="Z38" s="58" t="s">
        <v>202</v>
      </c>
      <c r="AA38" s="58" t="s">
        <v>202</v>
      </c>
      <c r="AB38" s="58" t="s">
        <v>202</v>
      </c>
      <c r="AC38" s="58" t="s">
        <v>202</v>
      </c>
      <c r="AD38" s="58" t="s">
        <v>202</v>
      </c>
      <c r="AE38" s="58" t="s">
        <v>202</v>
      </c>
      <c r="AF38" s="58" t="s">
        <v>202</v>
      </c>
      <c r="AG38" s="58" t="s">
        <v>202</v>
      </c>
      <c r="AH38" s="58" t="s">
        <v>202</v>
      </c>
      <c r="AI38" s="58" t="s">
        <v>202</v>
      </c>
      <c r="AJ38" s="58" t="s">
        <v>202</v>
      </c>
      <c r="AK38" s="58" t="s">
        <v>202</v>
      </c>
      <c r="AL38" s="58" t="s">
        <v>202</v>
      </c>
      <c r="AM38" s="58" t="s">
        <v>202</v>
      </c>
      <c r="AN38" s="58" t="s">
        <v>202</v>
      </c>
      <c r="AO38" s="58" t="s">
        <v>202</v>
      </c>
      <c r="AP38" s="58" t="s">
        <v>202</v>
      </c>
      <c r="AQ38" s="58" t="s">
        <v>202</v>
      </c>
      <c r="AR38" s="58" t="s">
        <v>202</v>
      </c>
      <c r="AS38" s="58" t="s">
        <v>202</v>
      </c>
      <c r="AT38" s="58" t="s">
        <v>202</v>
      </c>
      <c r="AU38" s="58" t="s">
        <v>202</v>
      </c>
      <c r="AV38" s="58" t="s">
        <v>202</v>
      </c>
      <c r="AW38" s="58" t="s">
        <v>202</v>
      </c>
      <c r="AX38" s="58" t="s">
        <v>202</v>
      </c>
      <c r="AY38" s="58" t="s">
        <v>202</v>
      </c>
      <c r="AZ38" s="58" t="s">
        <v>202</v>
      </c>
      <c r="BA38" s="58" t="s">
        <v>202</v>
      </c>
      <c r="BB38" s="58" t="s">
        <v>202</v>
      </c>
      <c r="BC38" s="58" t="s">
        <v>202</v>
      </c>
      <c r="BD38" s="58" t="s">
        <v>202</v>
      </c>
      <c r="BE38" s="58" t="s">
        <v>202</v>
      </c>
      <c r="BF38" s="58" t="s">
        <v>202</v>
      </c>
      <c r="BG38" s="58" t="s">
        <v>202</v>
      </c>
      <c r="BH38" s="58" t="s">
        <v>202</v>
      </c>
      <c r="BI38" s="58" t="s">
        <v>202</v>
      </c>
      <c r="BJ38" s="58" t="s">
        <v>202</v>
      </c>
      <c r="BK38" s="58" t="s">
        <v>202</v>
      </c>
      <c r="BL38" s="58" t="s">
        <v>202</v>
      </c>
      <c r="BM38" s="58" t="s">
        <v>202</v>
      </c>
      <c r="BN38" s="58" t="s">
        <v>202</v>
      </c>
      <c r="BO38" s="58" t="s">
        <v>202</v>
      </c>
      <c r="BP38" s="58" t="s">
        <v>202</v>
      </c>
      <c r="BQ38" s="58" t="s">
        <v>202</v>
      </c>
      <c r="BR38" s="57">
        <v>0</v>
      </c>
      <c r="BS38" s="58" t="s">
        <v>202</v>
      </c>
      <c r="BT38" s="57">
        <v>0</v>
      </c>
      <c r="BU38" s="57">
        <v>0</v>
      </c>
    </row>
    <row r="39" spans="1:73" x14ac:dyDescent="0.2">
      <c r="A39" s="56" t="s">
        <v>215</v>
      </c>
      <c r="B39" s="15">
        <v>5650.9250000000002</v>
      </c>
      <c r="C39" s="16" t="s">
        <v>202</v>
      </c>
      <c r="D39" s="16" t="s">
        <v>202</v>
      </c>
      <c r="E39" s="16" t="s">
        <v>202</v>
      </c>
      <c r="F39" s="16" t="s">
        <v>202</v>
      </c>
      <c r="G39" s="16" t="s">
        <v>202</v>
      </c>
      <c r="H39" s="16" t="s">
        <v>202</v>
      </c>
      <c r="I39" s="16" t="s">
        <v>202</v>
      </c>
      <c r="J39" s="16" t="s">
        <v>202</v>
      </c>
      <c r="K39" s="16" t="s">
        <v>202</v>
      </c>
      <c r="L39" s="16" t="s">
        <v>202</v>
      </c>
      <c r="M39" s="16" t="s">
        <v>202</v>
      </c>
      <c r="N39" s="16" t="s">
        <v>202</v>
      </c>
      <c r="O39" s="16" t="s">
        <v>202</v>
      </c>
      <c r="P39" s="16" t="s">
        <v>202</v>
      </c>
      <c r="Q39" s="16" t="s">
        <v>202</v>
      </c>
      <c r="R39" s="16" t="s">
        <v>202</v>
      </c>
      <c r="S39" s="16" t="s">
        <v>202</v>
      </c>
      <c r="T39" s="16" t="s">
        <v>202</v>
      </c>
      <c r="U39" s="16" t="s">
        <v>202</v>
      </c>
      <c r="V39" s="16" t="s">
        <v>202</v>
      </c>
      <c r="W39" s="16" t="s">
        <v>202</v>
      </c>
      <c r="X39" s="16" t="s">
        <v>202</v>
      </c>
      <c r="Y39" s="16" t="s">
        <v>202</v>
      </c>
      <c r="Z39" s="16" t="s">
        <v>202</v>
      </c>
      <c r="AA39" s="16" t="s">
        <v>202</v>
      </c>
      <c r="AB39" s="16" t="s">
        <v>202</v>
      </c>
      <c r="AC39" s="16" t="s">
        <v>202</v>
      </c>
      <c r="AD39" s="16" t="s">
        <v>202</v>
      </c>
      <c r="AE39" s="16" t="s">
        <v>202</v>
      </c>
      <c r="AF39" s="16" t="s">
        <v>202</v>
      </c>
      <c r="AG39" s="16" t="s">
        <v>202</v>
      </c>
      <c r="AH39" s="16" t="s">
        <v>202</v>
      </c>
      <c r="AI39" s="16" t="s">
        <v>202</v>
      </c>
      <c r="AJ39" s="16" t="s">
        <v>202</v>
      </c>
      <c r="AK39" s="16" t="s">
        <v>202</v>
      </c>
      <c r="AL39" s="16" t="s">
        <v>202</v>
      </c>
      <c r="AM39" s="16" t="s">
        <v>202</v>
      </c>
      <c r="AN39" s="16" t="s">
        <v>202</v>
      </c>
      <c r="AO39" s="16" t="s">
        <v>202</v>
      </c>
      <c r="AP39" s="16" t="s">
        <v>202</v>
      </c>
      <c r="AQ39" s="16" t="s">
        <v>202</v>
      </c>
      <c r="AR39" s="16" t="s">
        <v>202</v>
      </c>
      <c r="AS39" s="16" t="s">
        <v>202</v>
      </c>
      <c r="AT39" s="16" t="s">
        <v>202</v>
      </c>
      <c r="AU39" s="16" t="s">
        <v>202</v>
      </c>
      <c r="AV39" s="16" t="s">
        <v>202</v>
      </c>
      <c r="AW39" s="16" t="s">
        <v>202</v>
      </c>
      <c r="AX39" s="16" t="s">
        <v>202</v>
      </c>
      <c r="AY39" s="16" t="s">
        <v>202</v>
      </c>
      <c r="AZ39" s="16" t="s">
        <v>202</v>
      </c>
      <c r="BA39" s="16" t="s">
        <v>202</v>
      </c>
      <c r="BB39" s="16" t="s">
        <v>202</v>
      </c>
      <c r="BC39" s="16" t="s">
        <v>202</v>
      </c>
      <c r="BD39" s="16" t="s">
        <v>202</v>
      </c>
      <c r="BE39" s="16" t="s">
        <v>202</v>
      </c>
      <c r="BF39" s="16" t="s">
        <v>202</v>
      </c>
      <c r="BG39" s="16" t="s">
        <v>202</v>
      </c>
      <c r="BH39" s="16" t="s">
        <v>202</v>
      </c>
      <c r="BI39" s="16" t="s">
        <v>202</v>
      </c>
      <c r="BJ39" s="16" t="s">
        <v>202</v>
      </c>
      <c r="BK39" s="16" t="s">
        <v>202</v>
      </c>
      <c r="BL39" s="16" t="s">
        <v>202</v>
      </c>
      <c r="BM39" s="16" t="s">
        <v>202</v>
      </c>
      <c r="BN39" s="16" t="s">
        <v>202</v>
      </c>
      <c r="BO39" s="16" t="s">
        <v>202</v>
      </c>
      <c r="BP39" s="16" t="s">
        <v>202</v>
      </c>
      <c r="BQ39" s="16" t="s">
        <v>202</v>
      </c>
      <c r="BR39" s="16" t="s">
        <v>202</v>
      </c>
      <c r="BS39" s="15">
        <v>5650.9250000000002</v>
      </c>
      <c r="BT39" s="15">
        <v>1240.4870000000001</v>
      </c>
      <c r="BU39" s="15">
        <v>3924.011</v>
      </c>
    </row>
    <row r="40" spans="1:73" x14ac:dyDescent="0.2">
      <c r="A40" s="56" t="s">
        <v>390</v>
      </c>
      <c r="B40" s="57">
        <v>362.92</v>
      </c>
      <c r="C40" s="58" t="s">
        <v>202</v>
      </c>
      <c r="D40" s="58" t="s">
        <v>202</v>
      </c>
      <c r="E40" s="58" t="s">
        <v>202</v>
      </c>
      <c r="F40" s="58" t="s">
        <v>202</v>
      </c>
      <c r="G40" s="58" t="s">
        <v>202</v>
      </c>
      <c r="H40" s="58" t="s">
        <v>202</v>
      </c>
      <c r="I40" s="58" t="s">
        <v>202</v>
      </c>
      <c r="J40" s="58" t="s">
        <v>202</v>
      </c>
      <c r="K40" s="58" t="s">
        <v>202</v>
      </c>
      <c r="L40" s="58" t="s">
        <v>202</v>
      </c>
      <c r="M40" s="58" t="s">
        <v>202</v>
      </c>
      <c r="N40" s="58" t="s">
        <v>202</v>
      </c>
      <c r="O40" s="58" t="s">
        <v>202</v>
      </c>
      <c r="P40" s="58" t="s">
        <v>202</v>
      </c>
      <c r="Q40" s="58" t="s">
        <v>202</v>
      </c>
      <c r="R40" s="58" t="s">
        <v>202</v>
      </c>
      <c r="S40" s="58" t="s">
        <v>202</v>
      </c>
      <c r="T40" s="58" t="s">
        <v>202</v>
      </c>
      <c r="U40" s="58" t="s">
        <v>202</v>
      </c>
      <c r="V40" s="58" t="s">
        <v>202</v>
      </c>
      <c r="W40" s="58" t="s">
        <v>202</v>
      </c>
      <c r="X40" s="58" t="s">
        <v>202</v>
      </c>
      <c r="Y40" s="58" t="s">
        <v>202</v>
      </c>
      <c r="Z40" s="58" t="s">
        <v>202</v>
      </c>
      <c r="AA40" s="58" t="s">
        <v>202</v>
      </c>
      <c r="AB40" s="58" t="s">
        <v>202</v>
      </c>
      <c r="AC40" s="58" t="s">
        <v>202</v>
      </c>
      <c r="AD40" s="58" t="s">
        <v>202</v>
      </c>
      <c r="AE40" s="58" t="s">
        <v>202</v>
      </c>
      <c r="AF40" s="58" t="s">
        <v>202</v>
      </c>
      <c r="AG40" s="58" t="s">
        <v>202</v>
      </c>
      <c r="AH40" s="58" t="s">
        <v>202</v>
      </c>
      <c r="AI40" s="58" t="s">
        <v>202</v>
      </c>
      <c r="AJ40" s="58" t="s">
        <v>202</v>
      </c>
      <c r="AK40" s="58" t="s">
        <v>202</v>
      </c>
      <c r="AL40" s="58" t="s">
        <v>202</v>
      </c>
      <c r="AM40" s="58" t="s">
        <v>202</v>
      </c>
      <c r="AN40" s="58" t="s">
        <v>202</v>
      </c>
      <c r="AO40" s="58" t="s">
        <v>202</v>
      </c>
      <c r="AP40" s="58" t="s">
        <v>202</v>
      </c>
      <c r="AQ40" s="58" t="s">
        <v>202</v>
      </c>
      <c r="AR40" s="58" t="s">
        <v>202</v>
      </c>
      <c r="AS40" s="58" t="s">
        <v>202</v>
      </c>
      <c r="AT40" s="58" t="s">
        <v>202</v>
      </c>
      <c r="AU40" s="58" t="s">
        <v>202</v>
      </c>
      <c r="AV40" s="58" t="s">
        <v>202</v>
      </c>
      <c r="AW40" s="58" t="s">
        <v>202</v>
      </c>
      <c r="AX40" s="58" t="s">
        <v>202</v>
      </c>
      <c r="AY40" s="58" t="s">
        <v>202</v>
      </c>
      <c r="AZ40" s="58" t="s">
        <v>202</v>
      </c>
      <c r="BA40" s="58" t="s">
        <v>202</v>
      </c>
      <c r="BB40" s="58" t="s">
        <v>202</v>
      </c>
      <c r="BC40" s="58" t="s">
        <v>202</v>
      </c>
      <c r="BD40" s="58" t="s">
        <v>202</v>
      </c>
      <c r="BE40" s="58" t="s">
        <v>202</v>
      </c>
      <c r="BF40" s="58" t="s">
        <v>202</v>
      </c>
      <c r="BG40" s="58" t="s">
        <v>202</v>
      </c>
      <c r="BH40" s="58" t="s">
        <v>202</v>
      </c>
      <c r="BI40" s="58" t="s">
        <v>202</v>
      </c>
      <c r="BJ40" s="58" t="s">
        <v>202</v>
      </c>
      <c r="BK40" s="58" t="s">
        <v>202</v>
      </c>
      <c r="BL40" s="58" t="s">
        <v>202</v>
      </c>
      <c r="BM40" s="58" t="s">
        <v>202</v>
      </c>
      <c r="BN40" s="58" t="s">
        <v>202</v>
      </c>
      <c r="BO40" s="58" t="s">
        <v>202</v>
      </c>
      <c r="BP40" s="58" t="s">
        <v>202</v>
      </c>
      <c r="BQ40" s="58" t="s">
        <v>202</v>
      </c>
      <c r="BR40" s="57">
        <v>362.92</v>
      </c>
      <c r="BS40" s="58" t="s">
        <v>202</v>
      </c>
      <c r="BT40" s="59">
        <v>24.161000000000001</v>
      </c>
      <c r="BU40" s="59">
        <v>178.048</v>
      </c>
    </row>
    <row r="41" spans="1:73" x14ac:dyDescent="0.2">
      <c r="A41" s="56" t="s">
        <v>216</v>
      </c>
      <c r="B41" s="15">
        <v>70878.616999999998</v>
      </c>
      <c r="C41" s="15">
        <v>70878.616999999998</v>
      </c>
      <c r="D41" s="17">
        <v>0</v>
      </c>
      <c r="E41" s="15">
        <v>70878.616999999998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6" t="s">
        <v>202</v>
      </c>
      <c r="AB41" s="16" t="s">
        <v>202</v>
      </c>
      <c r="AC41" s="16" t="s">
        <v>202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6" t="s">
        <v>202</v>
      </c>
      <c r="AW41" s="16" t="s">
        <v>202</v>
      </c>
      <c r="AX41" s="16" t="s">
        <v>202</v>
      </c>
      <c r="AY41" s="16" t="s">
        <v>202</v>
      </c>
      <c r="AZ41" s="16" t="s">
        <v>202</v>
      </c>
      <c r="BA41" s="16" t="s">
        <v>202</v>
      </c>
      <c r="BB41" s="16" t="s">
        <v>202</v>
      </c>
      <c r="BC41" s="16" t="s">
        <v>202</v>
      </c>
      <c r="BD41" s="16" t="s">
        <v>202</v>
      </c>
      <c r="BE41" s="16" t="s">
        <v>202</v>
      </c>
      <c r="BF41" s="17">
        <v>0</v>
      </c>
      <c r="BG41" s="16" t="s">
        <v>202</v>
      </c>
      <c r="BH41" s="17">
        <v>0</v>
      </c>
      <c r="BI41" s="16" t="s">
        <v>202</v>
      </c>
      <c r="BJ41" s="17">
        <v>0</v>
      </c>
      <c r="BK41" s="16" t="s">
        <v>202</v>
      </c>
      <c r="BL41" s="16" t="s">
        <v>202</v>
      </c>
      <c r="BM41" s="16" t="s">
        <v>202</v>
      </c>
      <c r="BN41" s="16" t="s">
        <v>202</v>
      </c>
      <c r="BO41" s="16" t="s">
        <v>202</v>
      </c>
      <c r="BP41" s="16" t="s">
        <v>202</v>
      </c>
      <c r="BQ41" s="16" t="s">
        <v>202</v>
      </c>
      <c r="BR41" s="16" t="s">
        <v>202</v>
      </c>
      <c r="BS41" s="16" t="s">
        <v>202</v>
      </c>
      <c r="BT41" s="17">
        <v>0</v>
      </c>
      <c r="BU41" s="15">
        <v>70878.616999999998</v>
      </c>
    </row>
    <row r="42" spans="1:73" x14ac:dyDescent="0.2">
      <c r="A42" s="56" t="s">
        <v>217</v>
      </c>
      <c r="B42" s="59">
        <v>63808.498</v>
      </c>
      <c r="C42" s="59">
        <v>63808.498</v>
      </c>
      <c r="D42" s="57">
        <v>0</v>
      </c>
      <c r="E42" s="59">
        <v>28264.494999999999</v>
      </c>
      <c r="F42" s="57">
        <v>0</v>
      </c>
      <c r="G42" s="57">
        <v>0</v>
      </c>
      <c r="H42" s="57">
        <v>0</v>
      </c>
      <c r="I42" s="59">
        <v>35544.002999999997</v>
      </c>
      <c r="J42" s="57">
        <v>0</v>
      </c>
      <c r="K42" s="57">
        <v>0</v>
      </c>
      <c r="L42" s="57">
        <v>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7">
        <v>0</v>
      </c>
      <c r="Z42" s="57">
        <v>0</v>
      </c>
      <c r="AA42" s="58" t="s">
        <v>202</v>
      </c>
      <c r="AB42" s="58" t="s">
        <v>202</v>
      </c>
      <c r="AC42" s="58" t="s">
        <v>202</v>
      </c>
      <c r="AD42" s="57">
        <v>0</v>
      </c>
      <c r="AE42" s="57">
        <v>0</v>
      </c>
      <c r="AF42" s="57">
        <v>0</v>
      </c>
      <c r="AG42" s="57">
        <v>0</v>
      </c>
      <c r="AH42" s="57">
        <v>0</v>
      </c>
      <c r="AI42" s="57">
        <v>0</v>
      </c>
      <c r="AJ42" s="57">
        <v>0</v>
      </c>
      <c r="AK42" s="57">
        <v>0</v>
      </c>
      <c r="AL42" s="57">
        <v>0</v>
      </c>
      <c r="AM42" s="57">
        <v>0</v>
      </c>
      <c r="AN42" s="57">
        <v>0</v>
      </c>
      <c r="AO42" s="57">
        <v>0</v>
      </c>
      <c r="AP42" s="57">
        <v>0</v>
      </c>
      <c r="AQ42" s="57">
        <v>0</v>
      </c>
      <c r="AR42" s="57">
        <v>0</v>
      </c>
      <c r="AS42" s="57">
        <v>0</v>
      </c>
      <c r="AT42" s="57">
        <v>0</v>
      </c>
      <c r="AU42" s="57">
        <v>0</v>
      </c>
      <c r="AV42" s="58" t="s">
        <v>202</v>
      </c>
      <c r="AW42" s="58" t="s">
        <v>202</v>
      </c>
      <c r="AX42" s="58" t="s">
        <v>202</v>
      </c>
      <c r="AY42" s="58" t="s">
        <v>202</v>
      </c>
      <c r="AZ42" s="58" t="s">
        <v>202</v>
      </c>
      <c r="BA42" s="58" t="s">
        <v>202</v>
      </c>
      <c r="BB42" s="58" t="s">
        <v>202</v>
      </c>
      <c r="BC42" s="58" t="s">
        <v>202</v>
      </c>
      <c r="BD42" s="57">
        <v>0</v>
      </c>
      <c r="BE42" s="57">
        <v>0</v>
      </c>
      <c r="BF42" s="57">
        <v>0</v>
      </c>
      <c r="BG42" s="57">
        <v>0</v>
      </c>
      <c r="BH42" s="57">
        <v>0</v>
      </c>
      <c r="BI42" s="57">
        <v>0</v>
      </c>
      <c r="BJ42" s="57">
        <v>0</v>
      </c>
      <c r="BK42" s="57">
        <v>0</v>
      </c>
      <c r="BL42" s="57">
        <v>0</v>
      </c>
      <c r="BM42" s="58" t="s">
        <v>202</v>
      </c>
      <c r="BN42" s="58" t="s">
        <v>202</v>
      </c>
      <c r="BO42" s="58" t="s">
        <v>202</v>
      </c>
      <c r="BP42" s="58" t="s">
        <v>202</v>
      </c>
      <c r="BQ42" s="58" t="s">
        <v>202</v>
      </c>
      <c r="BR42" s="58" t="s">
        <v>202</v>
      </c>
      <c r="BS42" s="58" t="s">
        <v>202</v>
      </c>
      <c r="BT42" s="57">
        <v>0</v>
      </c>
      <c r="BU42" s="59">
        <v>63808.498</v>
      </c>
    </row>
    <row r="43" spans="1:73" x14ac:dyDescent="0.2">
      <c r="A43" s="56" t="s">
        <v>218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6" t="s">
        <v>202</v>
      </c>
      <c r="AB43" s="16" t="s">
        <v>202</v>
      </c>
      <c r="AC43" s="16" t="s">
        <v>202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6" t="s">
        <v>202</v>
      </c>
      <c r="AW43" s="16" t="s">
        <v>202</v>
      </c>
      <c r="AX43" s="16" t="s">
        <v>202</v>
      </c>
      <c r="AY43" s="16" t="s">
        <v>202</v>
      </c>
      <c r="AZ43" s="16" t="s">
        <v>202</v>
      </c>
      <c r="BA43" s="16" t="s">
        <v>202</v>
      </c>
      <c r="BB43" s="16" t="s">
        <v>202</v>
      </c>
      <c r="BC43" s="16" t="s">
        <v>202</v>
      </c>
      <c r="BD43" s="16" t="s">
        <v>202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6" t="s">
        <v>202</v>
      </c>
      <c r="BN43" s="16" t="s">
        <v>202</v>
      </c>
      <c r="BO43" s="16" t="s">
        <v>202</v>
      </c>
      <c r="BP43" s="16" t="s">
        <v>202</v>
      </c>
      <c r="BQ43" s="16" t="s">
        <v>202</v>
      </c>
      <c r="BR43" s="16" t="s">
        <v>202</v>
      </c>
      <c r="BS43" s="16" t="s">
        <v>202</v>
      </c>
      <c r="BT43" s="17">
        <v>0</v>
      </c>
      <c r="BU43" s="17">
        <v>0</v>
      </c>
    </row>
    <row r="44" spans="1:73" x14ac:dyDescent="0.2">
      <c r="A44" s="56" t="s">
        <v>219</v>
      </c>
      <c r="B44" s="59">
        <v>4262270.4989999998</v>
      </c>
      <c r="C44" s="58" t="s">
        <v>202</v>
      </c>
      <c r="D44" s="58" t="s">
        <v>202</v>
      </c>
      <c r="E44" s="58" t="s">
        <v>202</v>
      </c>
      <c r="F44" s="58" t="s">
        <v>202</v>
      </c>
      <c r="G44" s="58" t="s">
        <v>202</v>
      </c>
      <c r="H44" s="58" t="s">
        <v>202</v>
      </c>
      <c r="I44" s="58" t="s">
        <v>202</v>
      </c>
      <c r="J44" s="58" t="s">
        <v>202</v>
      </c>
      <c r="K44" s="58" t="s">
        <v>202</v>
      </c>
      <c r="L44" s="58" t="s">
        <v>202</v>
      </c>
      <c r="M44" s="58" t="s">
        <v>202</v>
      </c>
      <c r="N44" s="58" t="s">
        <v>202</v>
      </c>
      <c r="O44" s="58" t="s">
        <v>202</v>
      </c>
      <c r="P44" s="58" t="s">
        <v>202</v>
      </c>
      <c r="Q44" s="58" t="s">
        <v>202</v>
      </c>
      <c r="R44" s="58" t="s">
        <v>202</v>
      </c>
      <c r="S44" s="58" t="s">
        <v>202</v>
      </c>
      <c r="T44" s="58" t="s">
        <v>202</v>
      </c>
      <c r="U44" s="58" t="s">
        <v>202</v>
      </c>
      <c r="V44" s="58" t="s">
        <v>202</v>
      </c>
      <c r="W44" s="58" t="s">
        <v>202</v>
      </c>
      <c r="X44" s="57">
        <v>4262262.4800000004</v>
      </c>
      <c r="Y44" s="59">
        <v>2427012.0720000002</v>
      </c>
      <c r="Z44" s="59">
        <v>423903.73800000001</v>
      </c>
      <c r="AA44" s="57">
        <v>366286</v>
      </c>
      <c r="AB44" s="59">
        <v>21733.940999999999</v>
      </c>
      <c r="AC44" s="57">
        <v>0</v>
      </c>
      <c r="AD44" s="59">
        <v>94685.631999999998</v>
      </c>
      <c r="AE44" s="57">
        <v>0</v>
      </c>
      <c r="AF44" s="59">
        <v>48544.434999999998</v>
      </c>
      <c r="AG44" s="59">
        <v>582932.38300000003</v>
      </c>
      <c r="AH44" s="59">
        <v>8.7999999999999995E-2</v>
      </c>
      <c r="AI44" s="59">
        <v>234.137</v>
      </c>
      <c r="AJ44" s="57">
        <v>0</v>
      </c>
      <c r="AK44" s="59">
        <v>60.075000000000003</v>
      </c>
      <c r="AL44" s="59">
        <v>4483.384</v>
      </c>
      <c r="AM44" s="59">
        <v>42595.970999999998</v>
      </c>
      <c r="AN44" s="59">
        <v>136153.08600000001</v>
      </c>
      <c r="AO44" s="59">
        <v>88997.346999999994</v>
      </c>
      <c r="AP44" s="59">
        <v>13218.579</v>
      </c>
      <c r="AQ44" s="59">
        <v>3.4159999999999999</v>
      </c>
      <c r="AR44" s="57">
        <v>0</v>
      </c>
      <c r="AS44" s="59">
        <v>52.207000000000001</v>
      </c>
      <c r="AT44" s="59">
        <v>11365.985000000001</v>
      </c>
      <c r="AU44" s="59">
        <v>8.0190000000000001</v>
      </c>
      <c r="AV44" s="58" t="s">
        <v>202</v>
      </c>
      <c r="AW44" s="58" t="s">
        <v>202</v>
      </c>
      <c r="AX44" s="58" t="s">
        <v>202</v>
      </c>
      <c r="AY44" s="58" t="s">
        <v>202</v>
      </c>
      <c r="AZ44" s="58" t="s">
        <v>202</v>
      </c>
      <c r="BA44" s="58" t="s">
        <v>202</v>
      </c>
      <c r="BB44" s="58" t="s">
        <v>202</v>
      </c>
      <c r="BC44" s="58" t="s">
        <v>202</v>
      </c>
      <c r="BD44" s="58" t="s">
        <v>202</v>
      </c>
      <c r="BE44" s="58" t="s">
        <v>202</v>
      </c>
      <c r="BF44" s="59">
        <v>8.0190000000000001</v>
      </c>
      <c r="BG44" s="58" t="s">
        <v>202</v>
      </c>
      <c r="BH44" s="57">
        <v>0</v>
      </c>
      <c r="BI44" s="58" t="s">
        <v>202</v>
      </c>
      <c r="BJ44" s="57">
        <v>0</v>
      </c>
      <c r="BK44" s="58" t="s">
        <v>202</v>
      </c>
      <c r="BL44" s="58" t="s">
        <v>202</v>
      </c>
      <c r="BM44" s="58" t="s">
        <v>202</v>
      </c>
      <c r="BN44" s="58" t="s">
        <v>202</v>
      </c>
      <c r="BO44" s="58" t="s">
        <v>202</v>
      </c>
      <c r="BP44" s="58" t="s">
        <v>202</v>
      </c>
      <c r="BQ44" s="58" t="s">
        <v>202</v>
      </c>
      <c r="BR44" s="58" t="s">
        <v>202</v>
      </c>
      <c r="BS44" s="58" t="s">
        <v>202</v>
      </c>
      <c r="BT44" s="59">
        <v>8.0190000000000001</v>
      </c>
      <c r="BU44" s="57">
        <v>4262262.4800000004</v>
      </c>
    </row>
    <row r="45" spans="1:73" x14ac:dyDescent="0.2">
      <c r="A45" s="56" t="s">
        <v>220</v>
      </c>
      <c r="B45" s="15">
        <v>2642416.0520000001</v>
      </c>
      <c r="C45" s="16" t="s">
        <v>202</v>
      </c>
      <c r="D45" s="16" t="s">
        <v>202</v>
      </c>
      <c r="E45" s="16" t="s">
        <v>202</v>
      </c>
      <c r="F45" s="16" t="s">
        <v>202</v>
      </c>
      <c r="G45" s="16" t="s">
        <v>202</v>
      </c>
      <c r="H45" s="16" t="s">
        <v>202</v>
      </c>
      <c r="I45" s="16" t="s">
        <v>202</v>
      </c>
      <c r="J45" s="16" t="s">
        <v>202</v>
      </c>
      <c r="K45" s="16" t="s">
        <v>202</v>
      </c>
      <c r="L45" s="16" t="s">
        <v>202</v>
      </c>
      <c r="M45" s="16" t="s">
        <v>202</v>
      </c>
      <c r="N45" s="16" t="s">
        <v>202</v>
      </c>
      <c r="O45" s="16" t="s">
        <v>202</v>
      </c>
      <c r="P45" s="16" t="s">
        <v>202</v>
      </c>
      <c r="Q45" s="16" t="s">
        <v>202</v>
      </c>
      <c r="R45" s="16" t="s">
        <v>202</v>
      </c>
      <c r="S45" s="16" t="s">
        <v>202</v>
      </c>
      <c r="T45" s="16" t="s">
        <v>202</v>
      </c>
      <c r="U45" s="16" t="s">
        <v>202</v>
      </c>
      <c r="V45" s="16" t="s">
        <v>202</v>
      </c>
      <c r="W45" s="16" t="s">
        <v>202</v>
      </c>
      <c r="X45" s="15">
        <v>2642416.0520000001</v>
      </c>
      <c r="Y45" s="15">
        <v>2271942.2579999999</v>
      </c>
      <c r="Z45" s="15">
        <v>149793.533</v>
      </c>
      <c r="AA45" s="15">
        <v>218821.62400000001</v>
      </c>
      <c r="AB45" s="15">
        <v>1858.636</v>
      </c>
      <c r="AC45" s="17">
        <v>0</v>
      </c>
      <c r="AD45" s="16" t="s">
        <v>202</v>
      </c>
      <c r="AE45" s="16" t="s">
        <v>202</v>
      </c>
      <c r="AF45" s="16" t="s">
        <v>202</v>
      </c>
      <c r="AG45" s="16" t="s">
        <v>202</v>
      </c>
      <c r="AH45" s="16" t="s">
        <v>202</v>
      </c>
      <c r="AI45" s="16" t="s">
        <v>202</v>
      </c>
      <c r="AJ45" s="16" t="s">
        <v>202</v>
      </c>
      <c r="AK45" s="16" t="s">
        <v>202</v>
      </c>
      <c r="AL45" s="16" t="s">
        <v>202</v>
      </c>
      <c r="AM45" s="16" t="s">
        <v>202</v>
      </c>
      <c r="AN45" s="16" t="s">
        <v>202</v>
      </c>
      <c r="AO45" s="16" t="s">
        <v>202</v>
      </c>
      <c r="AP45" s="16" t="s">
        <v>202</v>
      </c>
      <c r="AQ45" s="16" t="s">
        <v>202</v>
      </c>
      <c r="AR45" s="16" t="s">
        <v>202</v>
      </c>
      <c r="AS45" s="16" t="s">
        <v>202</v>
      </c>
      <c r="AT45" s="16" t="s">
        <v>202</v>
      </c>
      <c r="AU45" s="16" t="s">
        <v>202</v>
      </c>
      <c r="AV45" s="16" t="s">
        <v>202</v>
      </c>
      <c r="AW45" s="16" t="s">
        <v>202</v>
      </c>
      <c r="AX45" s="16" t="s">
        <v>202</v>
      </c>
      <c r="AY45" s="16" t="s">
        <v>202</v>
      </c>
      <c r="AZ45" s="16" t="s">
        <v>202</v>
      </c>
      <c r="BA45" s="16" t="s">
        <v>202</v>
      </c>
      <c r="BB45" s="16" t="s">
        <v>202</v>
      </c>
      <c r="BC45" s="16" t="s">
        <v>202</v>
      </c>
      <c r="BD45" s="16" t="s">
        <v>202</v>
      </c>
      <c r="BE45" s="16" t="s">
        <v>202</v>
      </c>
      <c r="BF45" s="16" t="s">
        <v>202</v>
      </c>
      <c r="BG45" s="16" t="s">
        <v>202</v>
      </c>
      <c r="BH45" s="16" t="s">
        <v>202</v>
      </c>
      <c r="BI45" s="16" t="s">
        <v>202</v>
      </c>
      <c r="BJ45" s="16" t="s">
        <v>202</v>
      </c>
      <c r="BK45" s="16" t="s">
        <v>202</v>
      </c>
      <c r="BL45" s="16" t="s">
        <v>202</v>
      </c>
      <c r="BM45" s="16" t="s">
        <v>202</v>
      </c>
      <c r="BN45" s="16" t="s">
        <v>202</v>
      </c>
      <c r="BO45" s="16" t="s">
        <v>202</v>
      </c>
      <c r="BP45" s="16" t="s">
        <v>202</v>
      </c>
      <c r="BQ45" s="16" t="s">
        <v>202</v>
      </c>
      <c r="BR45" s="16" t="s">
        <v>202</v>
      </c>
      <c r="BS45" s="16" t="s">
        <v>202</v>
      </c>
      <c r="BT45" s="17">
        <v>0</v>
      </c>
      <c r="BU45" s="15">
        <v>2642416.0520000001</v>
      </c>
    </row>
    <row r="46" spans="1:73" x14ac:dyDescent="0.2">
      <c r="A46" s="56" t="s">
        <v>221</v>
      </c>
      <c r="B46" s="59">
        <v>154261.76300000001</v>
      </c>
      <c r="C46" s="58" t="s">
        <v>202</v>
      </c>
      <c r="D46" s="58" t="s">
        <v>202</v>
      </c>
      <c r="E46" s="58" t="s">
        <v>202</v>
      </c>
      <c r="F46" s="58" t="s">
        <v>202</v>
      </c>
      <c r="G46" s="58" t="s">
        <v>202</v>
      </c>
      <c r="H46" s="58" t="s">
        <v>202</v>
      </c>
      <c r="I46" s="58" t="s">
        <v>202</v>
      </c>
      <c r="J46" s="58" t="s">
        <v>202</v>
      </c>
      <c r="K46" s="58" t="s">
        <v>202</v>
      </c>
      <c r="L46" s="58" t="s">
        <v>202</v>
      </c>
      <c r="M46" s="58" t="s">
        <v>202</v>
      </c>
      <c r="N46" s="58" t="s">
        <v>202</v>
      </c>
      <c r="O46" s="58" t="s">
        <v>202</v>
      </c>
      <c r="P46" s="58" t="s">
        <v>202</v>
      </c>
      <c r="Q46" s="58" t="s">
        <v>202</v>
      </c>
      <c r="R46" s="58" t="s">
        <v>202</v>
      </c>
      <c r="S46" s="58" t="s">
        <v>202</v>
      </c>
      <c r="T46" s="58" t="s">
        <v>202</v>
      </c>
      <c r="U46" s="58" t="s">
        <v>202</v>
      </c>
      <c r="V46" s="58" t="s">
        <v>202</v>
      </c>
      <c r="W46" s="58" t="s">
        <v>202</v>
      </c>
      <c r="X46" s="59">
        <v>154253.74400000001</v>
      </c>
      <c r="Y46" s="58" t="s">
        <v>202</v>
      </c>
      <c r="Z46" s="58" t="s">
        <v>202</v>
      </c>
      <c r="AA46" s="58" t="s">
        <v>202</v>
      </c>
      <c r="AB46" s="58" t="s">
        <v>202</v>
      </c>
      <c r="AC46" s="58" t="s">
        <v>202</v>
      </c>
      <c r="AD46" s="59">
        <v>94685.631999999998</v>
      </c>
      <c r="AE46" s="57">
        <v>0</v>
      </c>
      <c r="AF46" s="59">
        <v>7161.4620000000004</v>
      </c>
      <c r="AG46" s="59">
        <v>19239.823</v>
      </c>
      <c r="AH46" s="57">
        <v>0</v>
      </c>
      <c r="AI46" s="59">
        <v>-12.863</v>
      </c>
      <c r="AJ46" s="57">
        <v>0</v>
      </c>
      <c r="AK46" s="57">
        <v>0</v>
      </c>
      <c r="AL46" s="59">
        <v>24.097999999999999</v>
      </c>
      <c r="AM46" s="59">
        <v>817.55700000000002</v>
      </c>
      <c r="AN46" s="57">
        <v>0</v>
      </c>
      <c r="AO46" s="59">
        <v>28222.131000000001</v>
      </c>
      <c r="AP46" s="57">
        <v>0</v>
      </c>
      <c r="AQ46" s="59">
        <v>3.4159999999999999</v>
      </c>
      <c r="AR46" s="57">
        <v>0</v>
      </c>
      <c r="AS46" s="57">
        <v>0</v>
      </c>
      <c r="AT46" s="59">
        <v>4112.4880000000003</v>
      </c>
      <c r="AU46" s="59">
        <v>8.0190000000000001</v>
      </c>
      <c r="AV46" s="58" t="s">
        <v>202</v>
      </c>
      <c r="AW46" s="58" t="s">
        <v>202</v>
      </c>
      <c r="AX46" s="58" t="s">
        <v>202</v>
      </c>
      <c r="AY46" s="58" t="s">
        <v>202</v>
      </c>
      <c r="AZ46" s="58" t="s">
        <v>202</v>
      </c>
      <c r="BA46" s="58" t="s">
        <v>202</v>
      </c>
      <c r="BB46" s="58" t="s">
        <v>202</v>
      </c>
      <c r="BC46" s="58" t="s">
        <v>202</v>
      </c>
      <c r="BD46" s="58" t="s">
        <v>202</v>
      </c>
      <c r="BE46" s="58" t="s">
        <v>202</v>
      </c>
      <c r="BF46" s="59">
        <v>8.0190000000000001</v>
      </c>
      <c r="BG46" s="58" t="s">
        <v>202</v>
      </c>
      <c r="BH46" s="57">
        <v>0</v>
      </c>
      <c r="BI46" s="58" t="s">
        <v>202</v>
      </c>
      <c r="BJ46" s="57">
        <v>0</v>
      </c>
      <c r="BK46" s="58" t="s">
        <v>202</v>
      </c>
      <c r="BL46" s="58" t="s">
        <v>202</v>
      </c>
      <c r="BM46" s="58" t="s">
        <v>202</v>
      </c>
      <c r="BN46" s="58" t="s">
        <v>202</v>
      </c>
      <c r="BO46" s="58" t="s">
        <v>202</v>
      </c>
      <c r="BP46" s="58" t="s">
        <v>202</v>
      </c>
      <c r="BQ46" s="58" t="s">
        <v>202</v>
      </c>
      <c r="BR46" s="58" t="s">
        <v>202</v>
      </c>
      <c r="BS46" s="58" t="s">
        <v>202</v>
      </c>
      <c r="BT46" s="59">
        <v>8.0190000000000001</v>
      </c>
      <c r="BU46" s="59">
        <v>154253.74400000001</v>
      </c>
    </row>
    <row r="47" spans="1:73" x14ac:dyDescent="0.2">
      <c r="A47" s="56" t="s">
        <v>222</v>
      </c>
      <c r="B47" s="15">
        <v>213047.01800000001</v>
      </c>
      <c r="C47" s="16" t="s">
        <v>202</v>
      </c>
      <c r="D47" s="16" t="s">
        <v>202</v>
      </c>
      <c r="E47" s="16" t="s">
        <v>202</v>
      </c>
      <c r="F47" s="16" t="s">
        <v>202</v>
      </c>
      <c r="G47" s="16" t="s">
        <v>202</v>
      </c>
      <c r="H47" s="16" t="s">
        <v>202</v>
      </c>
      <c r="I47" s="16" t="s">
        <v>202</v>
      </c>
      <c r="J47" s="16" t="s">
        <v>202</v>
      </c>
      <c r="K47" s="16" t="s">
        <v>202</v>
      </c>
      <c r="L47" s="16" t="s">
        <v>202</v>
      </c>
      <c r="M47" s="16" t="s">
        <v>202</v>
      </c>
      <c r="N47" s="16" t="s">
        <v>202</v>
      </c>
      <c r="O47" s="16" t="s">
        <v>202</v>
      </c>
      <c r="P47" s="16" t="s">
        <v>202</v>
      </c>
      <c r="Q47" s="16" t="s">
        <v>202</v>
      </c>
      <c r="R47" s="16" t="s">
        <v>202</v>
      </c>
      <c r="S47" s="16" t="s">
        <v>202</v>
      </c>
      <c r="T47" s="16" t="s">
        <v>202</v>
      </c>
      <c r="U47" s="16" t="s">
        <v>202</v>
      </c>
      <c r="V47" s="16" t="s">
        <v>202</v>
      </c>
      <c r="W47" s="16" t="s">
        <v>202</v>
      </c>
      <c r="X47" s="15">
        <v>213047.01800000001</v>
      </c>
      <c r="Y47" s="16" t="s">
        <v>202</v>
      </c>
      <c r="Z47" s="16" t="s">
        <v>202</v>
      </c>
      <c r="AA47" s="16" t="s">
        <v>202</v>
      </c>
      <c r="AB47" s="16" t="s">
        <v>202</v>
      </c>
      <c r="AC47" s="16" t="s">
        <v>202</v>
      </c>
      <c r="AD47" s="17">
        <v>0</v>
      </c>
      <c r="AE47" s="17">
        <v>0</v>
      </c>
      <c r="AF47" s="17">
        <v>0</v>
      </c>
      <c r="AG47" s="15">
        <v>14768.814</v>
      </c>
      <c r="AH47" s="15">
        <v>8.7999999999999995E-2</v>
      </c>
      <c r="AI47" s="17">
        <v>247</v>
      </c>
      <c r="AJ47" s="17">
        <v>0</v>
      </c>
      <c r="AK47" s="15">
        <v>60.075000000000003</v>
      </c>
      <c r="AL47" s="15">
        <v>3249.5909999999999</v>
      </c>
      <c r="AM47" s="15">
        <v>41346.705999999998</v>
      </c>
      <c r="AN47" s="15">
        <v>136153.08600000001</v>
      </c>
      <c r="AO47" s="15">
        <v>4640.2439999999997</v>
      </c>
      <c r="AP47" s="15">
        <v>5359.915</v>
      </c>
      <c r="AQ47" s="17">
        <v>0</v>
      </c>
      <c r="AR47" s="17">
        <v>0</v>
      </c>
      <c r="AS47" s="15">
        <v>13.911</v>
      </c>
      <c r="AT47" s="15">
        <v>7207.5870000000004</v>
      </c>
      <c r="AU47" s="17">
        <v>0</v>
      </c>
      <c r="AV47" s="16" t="s">
        <v>202</v>
      </c>
      <c r="AW47" s="16" t="s">
        <v>202</v>
      </c>
      <c r="AX47" s="16" t="s">
        <v>202</v>
      </c>
      <c r="AY47" s="16" t="s">
        <v>202</v>
      </c>
      <c r="AZ47" s="16" t="s">
        <v>202</v>
      </c>
      <c r="BA47" s="16" t="s">
        <v>202</v>
      </c>
      <c r="BB47" s="16" t="s">
        <v>202</v>
      </c>
      <c r="BC47" s="16" t="s">
        <v>202</v>
      </c>
      <c r="BD47" s="16" t="s">
        <v>202</v>
      </c>
      <c r="BE47" s="16" t="s">
        <v>202</v>
      </c>
      <c r="BF47" s="17">
        <v>0</v>
      </c>
      <c r="BG47" s="16" t="s">
        <v>202</v>
      </c>
      <c r="BH47" s="17">
        <v>0</v>
      </c>
      <c r="BI47" s="16" t="s">
        <v>202</v>
      </c>
      <c r="BJ47" s="17">
        <v>0</v>
      </c>
      <c r="BK47" s="16" t="s">
        <v>202</v>
      </c>
      <c r="BL47" s="16" t="s">
        <v>202</v>
      </c>
      <c r="BM47" s="16" t="s">
        <v>202</v>
      </c>
      <c r="BN47" s="16" t="s">
        <v>202</v>
      </c>
      <c r="BO47" s="16" t="s">
        <v>202</v>
      </c>
      <c r="BP47" s="16" t="s">
        <v>202</v>
      </c>
      <c r="BQ47" s="16" t="s">
        <v>202</v>
      </c>
      <c r="BR47" s="16" t="s">
        <v>202</v>
      </c>
      <c r="BS47" s="16" t="s">
        <v>202</v>
      </c>
      <c r="BT47" s="17">
        <v>0</v>
      </c>
      <c r="BU47" s="15">
        <v>213047.01800000001</v>
      </c>
    </row>
    <row r="48" spans="1:73" x14ac:dyDescent="0.2">
      <c r="A48" s="56" t="s">
        <v>223</v>
      </c>
      <c r="B48" s="59">
        <v>658013.42500000005</v>
      </c>
      <c r="C48" s="58" t="s">
        <v>202</v>
      </c>
      <c r="D48" s="58" t="s">
        <v>202</v>
      </c>
      <c r="E48" s="58" t="s">
        <v>202</v>
      </c>
      <c r="F48" s="58" t="s">
        <v>202</v>
      </c>
      <c r="G48" s="58" t="s">
        <v>202</v>
      </c>
      <c r="H48" s="58" t="s">
        <v>202</v>
      </c>
      <c r="I48" s="58" t="s">
        <v>202</v>
      </c>
      <c r="J48" s="58" t="s">
        <v>202</v>
      </c>
      <c r="K48" s="58" t="s">
        <v>202</v>
      </c>
      <c r="L48" s="58" t="s">
        <v>202</v>
      </c>
      <c r="M48" s="58" t="s">
        <v>202</v>
      </c>
      <c r="N48" s="58" t="s">
        <v>202</v>
      </c>
      <c r="O48" s="58" t="s">
        <v>202</v>
      </c>
      <c r="P48" s="58" t="s">
        <v>202</v>
      </c>
      <c r="Q48" s="58" t="s">
        <v>202</v>
      </c>
      <c r="R48" s="58" t="s">
        <v>202</v>
      </c>
      <c r="S48" s="58" t="s">
        <v>202</v>
      </c>
      <c r="T48" s="58" t="s">
        <v>202</v>
      </c>
      <c r="U48" s="58" t="s">
        <v>202</v>
      </c>
      <c r="V48" s="58" t="s">
        <v>202</v>
      </c>
      <c r="W48" s="58" t="s">
        <v>202</v>
      </c>
      <c r="X48" s="59">
        <v>658013.42500000005</v>
      </c>
      <c r="Y48" s="59">
        <v>77534.907000000007</v>
      </c>
      <c r="Z48" s="59">
        <v>31624.531999999999</v>
      </c>
      <c r="AA48" s="58" t="s">
        <v>202</v>
      </c>
      <c r="AB48" s="58" t="s">
        <v>202</v>
      </c>
      <c r="AC48" s="58" t="s">
        <v>202</v>
      </c>
      <c r="AD48" s="57">
        <v>0</v>
      </c>
      <c r="AE48" s="57">
        <v>0</v>
      </c>
      <c r="AF48" s="59">
        <v>11285.284</v>
      </c>
      <c r="AG48" s="59">
        <v>472393.57199999999</v>
      </c>
      <c r="AH48" s="57">
        <v>0</v>
      </c>
      <c r="AI48" s="57">
        <v>0</v>
      </c>
      <c r="AJ48" s="57">
        <v>0</v>
      </c>
      <c r="AK48" s="57">
        <v>0</v>
      </c>
      <c r="AL48" s="59">
        <v>761.31299999999999</v>
      </c>
      <c r="AM48" s="59">
        <v>420.96600000000001</v>
      </c>
      <c r="AN48" s="57">
        <v>0</v>
      </c>
      <c r="AO48" s="59">
        <v>56134.972999999998</v>
      </c>
      <c r="AP48" s="59">
        <v>7819.5820000000003</v>
      </c>
      <c r="AQ48" s="57">
        <v>0</v>
      </c>
      <c r="AR48" s="57">
        <v>0</v>
      </c>
      <c r="AS48" s="59">
        <v>38.296999999999997</v>
      </c>
      <c r="AT48" s="57">
        <v>0</v>
      </c>
      <c r="AU48" s="57">
        <v>0</v>
      </c>
      <c r="AV48" s="58" t="s">
        <v>202</v>
      </c>
      <c r="AW48" s="58" t="s">
        <v>202</v>
      </c>
      <c r="AX48" s="58" t="s">
        <v>202</v>
      </c>
      <c r="AY48" s="58" t="s">
        <v>202</v>
      </c>
      <c r="AZ48" s="58" t="s">
        <v>202</v>
      </c>
      <c r="BA48" s="58" t="s">
        <v>202</v>
      </c>
      <c r="BB48" s="58" t="s">
        <v>202</v>
      </c>
      <c r="BC48" s="58" t="s">
        <v>202</v>
      </c>
      <c r="BD48" s="58" t="s">
        <v>202</v>
      </c>
      <c r="BE48" s="58" t="s">
        <v>202</v>
      </c>
      <c r="BF48" s="57">
        <v>0</v>
      </c>
      <c r="BG48" s="58" t="s">
        <v>202</v>
      </c>
      <c r="BH48" s="57">
        <v>0</v>
      </c>
      <c r="BI48" s="58" t="s">
        <v>202</v>
      </c>
      <c r="BJ48" s="57">
        <v>0</v>
      </c>
      <c r="BK48" s="58" t="s">
        <v>202</v>
      </c>
      <c r="BL48" s="58" t="s">
        <v>202</v>
      </c>
      <c r="BM48" s="58" t="s">
        <v>202</v>
      </c>
      <c r="BN48" s="58" t="s">
        <v>202</v>
      </c>
      <c r="BO48" s="58" t="s">
        <v>202</v>
      </c>
      <c r="BP48" s="58" t="s">
        <v>202</v>
      </c>
      <c r="BQ48" s="58" t="s">
        <v>202</v>
      </c>
      <c r="BR48" s="58" t="s">
        <v>202</v>
      </c>
      <c r="BS48" s="58" t="s">
        <v>202</v>
      </c>
      <c r="BT48" s="57">
        <v>0</v>
      </c>
      <c r="BU48" s="59">
        <v>658013.42500000005</v>
      </c>
    </row>
    <row r="49" spans="1:73" x14ac:dyDescent="0.2">
      <c r="A49" s="56" t="s">
        <v>224</v>
      </c>
      <c r="B49" s="15">
        <v>438573.56300000002</v>
      </c>
      <c r="C49" s="16" t="s">
        <v>202</v>
      </c>
      <c r="D49" s="16" t="s">
        <v>202</v>
      </c>
      <c r="E49" s="16" t="s">
        <v>202</v>
      </c>
      <c r="F49" s="16" t="s">
        <v>202</v>
      </c>
      <c r="G49" s="16" t="s">
        <v>202</v>
      </c>
      <c r="H49" s="16" t="s">
        <v>202</v>
      </c>
      <c r="I49" s="16" t="s">
        <v>202</v>
      </c>
      <c r="J49" s="16" t="s">
        <v>202</v>
      </c>
      <c r="K49" s="16" t="s">
        <v>202</v>
      </c>
      <c r="L49" s="16" t="s">
        <v>202</v>
      </c>
      <c r="M49" s="16" t="s">
        <v>202</v>
      </c>
      <c r="N49" s="16" t="s">
        <v>202</v>
      </c>
      <c r="O49" s="16" t="s">
        <v>202</v>
      </c>
      <c r="P49" s="16" t="s">
        <v>202</v>
      </c>
      <c r="Q49" s="16" t="s">
        <v>202</v>
      </c>
      <c r="R49" s="16" t="s">
        <v>202</v>
      </c>
      <c r="S49" s="16" t="s">
        <v>202</v>
      </c>
      <c r="T49" s="16" t="s">
        <v>202</v>
      </c>
      <c r="U49" s="16" t="s">
        <v>202</v>
      </c>
      <c r="V49" s="16" t="s">
        <v>202</v>
      </c>
      <c r="W49" s="16" t="s">
        <v>202</v>
      </c>
      <c r="X49" s="15">
        <v>438573.56300000002</v>
      </c>
      <c r="Y49" s="15">
        <v>77534.907000000007</v>
      </c>
      <c r="Z49" s="15">
        <v>193698.97500000001</v>
      </c>
      <c r="AA49" s="15">
        <v>147464.37599999999</v>
      </c>
      <c r="AB49" s="15">
        <v>19875.305</v>
      </c>
      <c r="AC49" s="17">
        <v>0</v>
      </c>
      <c r="AD49" s="16" t="s">
        <v>202</v>
      </c>
      <c r="AE49" s="16" t="s">
        <v>202</v>
      </c>
      <c r="AF49" s="16" t="s">
        <v>202</v>
      </c>
      <c r="AG49" s="16" t="s">
        <v>202</v>
      </c>
      <c r="AH49" s="16" t="s">
        <v>202</v>
      </c>
      <c r="AI49" s="16" t="s">
        <v>202</v>
      </c>
      <c r="AJ49" s="16" t="s">
        <v>202</v>
      </c>
      <c r="AK49" s="16" t="s">
        <v>202</v>
      </c>
      <c r="AL49" s="16" t="s">
        <v>202</v>
      </c>
      <c r="AM49" s="16" t="s">
        <v>202</v>
      </c>
      <c r="AN49" s="16" t="s">
        <v>202</v>
      </c>
      <c r="AO49" s="16" t="s">
        <v>202</v>
      </c>
      <c r="AP49" s="16" t="s">
        <v>202</v>
      </c>
      <c r="AQ49" s="16" t="s">
        <v>202</v>
      </c>
      <c r="AR49" s="16" t="s">
        <v>202</v>
      </c>
      <c r="AS49" s="16" t="s">
        <v>202</v>
      </c>
      <c r="AT49" s="16" t="s">
        <v>202</v>
      </c>
      <c r="AU49" s="16" t="s">
        <v>202</v>
      </c>
      <c r="AV49" s="16" t="s">
        <v>202</v>
      </c>
      <c r="AW49" s="16" t="s">
        <v>202</v>
      </c>
      <c r="AX49" s="16" t="s">
        <v>202</v>
      </c>
      <c r="AY49" s="16" t="s">
        <v>202</v>
      </c>
      <c r="AZ49" s="16" t="s">
        <v>202</v>
      </c>
      <c r="BA49" s="16" t="s">
        <v>202</v>
      </c>
      <c r="BB49" s="16" t="s">
        <v>202</v>
      </c>
      <c r="BC49" s="16" t="s">
        <v>202</v>
      </c>
      <c r="BD49" s="16" t="s">
        <v>202</v>
      </c>
      <c r="BE49" s="16" t="s">
        <v>202</v>
      </c>
      <c r="BF49" s="16" t="s">
        <v>202</v>
      </c>
      <c r="BG49" s="16" t="s">
        <v>202</v>
      </c>
      <c r="BH49" s="16" t="s">
        <v>202</v>
      </c>
      <c r="BI49" s="16" t="s">
        <v>202</v>
      </c>
      <c r="BJ49" s="16" t="s">
        <v>202</v>
      </c>
      <c r="BK49" s="16" t="s">
        <v>202</v>
      </c>
      <c r="BL49" s="16" t="s">
        <v>202</v>
      </c>
      <c r="BM49" s="16" t="s">
        <v>202</v>
      </c>
      <c r="BN49" s="16" t="s">
        <v>202</v>
      </c>
      <c r="BO49" s="16" t="s">
        <v>202</v>
      </c>
      <c r="BP49" s="16" t="s">
        <v>202</v>
      </c>
      <c r="BQ49" s="16" t="s">
        <v>202</v>
      </c>
      <c r="BR49" s="16" t="s">
        <v>202</v>
      </c>
      <c r="BS49" s="16" t="s">
        <v>202</v>
      </c>
      <c r="BT49" s="17">
        <v>0</v>
      </c>
      <c r="BU49" s="15">
        <v>438573.56300000002</v>
      </c>
    </row>
    <row r="50" spans="1:73" x14ac:dyDescent="0.2">
      <c r="A50" s="56" t="s">
        <v>225</v>
      </c>
      <c r="B50" s="59">
        <v>155958.67800000001</v>
      </c>
      <c r="C50" s="58" t="s">
        <v>202</v>
      </c>
      <c r="D50" s="58" t="s">
        <v>202</v>
      </c>
      <c r="E50" s="58" t="s">
        <v>202</v>
      </c>
      <c r="F50" s="58" t="s">
        <v>202</v>
      </c>
      <c r="G50" s="58" t="s">
        <v>202</v>
      </c>
      <c r="H50" s="58" t="s">
        <v>202</v>
      </c>
      <c r="I50" s="58" t="s">
        <v>202</v>
      </c>
      <c r="J50" s="58" t="s">
        <v>202</v>
      </c>
      <c r="K50" s="58" t="s">
        <v>202</v>
      </c>
      <c r="L50" s="58" t="s">
        <v>202</v>
      </c>
      <c r="M50" s="58" t="s">
        <v>202</v>
      </c>
      <c r="N50" s="58" t="s">
        <v>202</v>
      </c>
      <c r="O50" s="58" t="s">
        <v>202</v>
      </c>
      <c r="P50" s="58" t="s">
        <v>202</v>
      </c>
      <c r="Q50" s="58" t="s">
        <v>202</v>
      </c>
      <c r="R50" s="58" t="s">
        <v>202</v>
      </c>
      <c r="S50" s="58" t="s">
        <v>202</v>
      </c>
      <c r="T50" s="58" t="s">
        <v>202</v>
      </c>
      <c r="U50" s="58" t="s">
        <v>202</v>
      </c>
      <c r="V50" s="58" t="s">
        <v>202</v>
      </c>
      <c r="W50" s="58" t="s">
        <v>202</v>
      </c>
      <c r="X50" s="59">
        <v>155958.67800000001</v>
      </c>
      <c r="Y50" s="57">
        <v>0</v>
      </c>
      <c r="Z50" s="59">
        <v>48786.699000000001</v>
      </c>
      <c r="AA50" s="58" t="s">
        <v>202</v>
      </c>
      <c r="AB50" s="58" t="s">
        <v>202</v>
      </c>
      <c r="AC50" s="58" t="s">
        <v>202</v>
      </c>
      <c r="AD50" s="57">
        <v>0</v>
      </c>
      <c r="AE50" s="57">
        <v>0</v>
      </c>
      <c r="AF50" s="57">
        <v>30097.69</v>
      </c>
      <c r="AG50" s="59">
        <v>76530.175000000003</v>
      </c>
      <c r="AH50" s="57">
        <v>0</v>
      </c>
      <c r="AI50" s="57">
        <v>0</v>
      </c>
      <c r="AJ50" s="57">
        <v>0</v>
      </c>
      <c r="AK50" s="57">
        <v>0</v>
      </c>
      <c r="AL50" s="59">
        <v>448.38099999999997</v>
      </c>
      <c r="AM50" s="59">
        <v>10.742000000000001</v>
      </c>
      <c r="AN50" s="57">
        <v>0</v>
      </c>
      <c r="AO50" s="57">
        <v>0</v>
      </c>
      <c r="AP50" s="59">
        <v>39.082000000000001</v>
      </c>
      <c r="AQ50" s="57">
        <v>0</v>
      </c>
      <c r="AR50" s="57">
        <v>0</v>
      </c>
      <c r="AS50" s="57">
        <v>0</v>
      </c>
      <c r="AT50" s="59">
        <v>45.908999999999999</v>
      </c>
      <c r="AU50" s="57">
        <v>0</v>
      </c>
      <c r="AV50" s="58" t="s">
        <v>202</v>
      </c>
      <c r="AW50" s="58" t="s">
        <v>202</v>
      </c>
      <c r="AX50" s="58" t="s">
        <v>202</v>
      </c>
      <c r="AY50" s="58" t="s">
        <v>202</v>
      </c>
      <c r="AZ50" s="58" t="s">
        <v>202</v>
      </c>
      <c r="BA50" s="58" t="s">
        <v>202</v>
      </c>
      <c r="BB50" s="58" t="s">
        <v>202</v>
      </c>
      <c r="BC50" s="58" t="s">
        <v>202</v>
      </c>
      <c r="BD50" s="58" t="s">
        <v>202</v>
      </c>
      <c r="BE50" s="58" t="s">
        <v>202</v>
      </c>
      <c r="BF50" s="57">
        <v>0</v>
      </c>
      <c r="BG50" s="58" t="s">
        <v>202</v>
      </c>
      <c r="BH50" s="57">
        <v>0</v>
      </c>
      <c r="BI50" s="58" t="s">
        <v>202</v>
      </c>
      <c r="BJ50" s="57">
        <v>0</v>
      </c>
      <c r="BK50" s="58" t="s">
        <v>202</v>
      </c>
      <c r="BL50" s="58" t="s">
        <v>202</v>
      </c>
      <c r="BM50" s="58" t="s">
        <v>202</v>
      </c>
      <c r="BN50" s="58" t="s">
        <v>202</v>
      </c>
      <c r="BO50" s="58" t="s">
        <v>202</v>
      </c>
      <c r="BP50" s="58" t="s">
        <v>202</v>
      </c>
      <c r="BQ50" s="58" t="s">
        <v>202</v>
      </c>
      <c r="BR50" s="58" t="s">
        <v>202</v>
      </c>
      <c r="BS50" s="58" t="s">
        <v>202</v>
      </c>
      <c r="BT50" s="57">
        <v>0</v>
      </c>
      <c r="BU50" s="59">
        <v>155958.67800000001</v>
      </c>
    </row>
    <row r="51" spans="1:73" x14ac:dyDescent="0.2">
      <c r="A51" s="56" t="s">
        <v>226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6" t="s">
        <v>202</v>
      </c>
      <c r="X51" s="17">
        <v>0</v>
      </c>
      <c r="Y51" s="17">
        <v>0</v>
      </c>
      <c r="Z51" s="17">
        <v>0</v>
      </c>
      <c r="AA51" s="16" t="s">
        <v>202</v>
      </c>
      <c r="AB51" s="16" t="s">
        <v>202</v>
      </c>
      <c r="AC51" s="16" t="s">
        <v>202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6" t="s">
        <v>202</v>
      </c>
      <c r="AW51" s="16" t="s">
        <v>202</v>
      </c>
      <c r="AX51" s="16" t="s">
        <v>202</v>
      </c>
      <c r="AY51" s="16" t="s">
        <v>202</v>
      </c>
      <c r="AZ51" s="16" t="s">
        <v>202</v>
      </c>
      <c r="BA51" s="16" t="s">
        <v>202</v>
      </c>
      <c r="BB51" s="16" t="s">
        <v>202</v>
      </c>
      <c r="BC51" s="16" t="s">
        <v>202</v>
      </c>
      <c r="BD51" s="16" t="s">
        <v>202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6" t="s">
        <v>202</v>
      </c>
      <c r="BM51" s="17">
        <v>0</v>
      </c>
      <c r="BN51" s="16" t="s">
        <v>202</v>
      </c>
      <c r="BO51" s="16" t="s">
        <v>202</v>
      </c>
      <c r="BP51" s="17">
        <v>0</v>
      </c>
      <c r="BQ51" s="16" t="s">
        <v>202</v>
      </c>
      <c r="BR51" s="16" t="s">
        <v>202</v>
      </c>
      <c r="BS51" s="16" t="s">
        <v>202</v>
      </c>
      <c r="BT51" s="17">
        <v>0</v>
      </c>
      <c r="BU51" s="17">
        <v>0</v>
      </c>
    </row>
    <row r="52" spans="1:73" x14ac:dyDescent="0.2">
      <c r="A52" s="56" t="s">
        <v>227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7">
        <v>0</v>
      </c>
      <c r="P52" s="57">
        <v>0</v>
      </c>
      <c r="Q52" s="57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8" t="s">
        <v>202</v>
      </c>
      <c r="X52" s="58" t="s">
        <v>202</v>
      </c>
      <c r="Y52" s="58" t="s">
        <v>202</v>
      </c>
      <c r="Z52" s="58" t="s">
        <v>202</v>
      </c>
      <c r="AA52" s="58" t="s">
        <v>202</v>
      </c>
      <c r="AB52" s="58" t="s">
        <v>202</v>
      </c>
      <c r="AC52" s="58" t="s">
        <v>202</v>
      </c>
      <c r="AD52" s="58" t="s">
        <v>202</v>
      </c>
      <c r="AE52" s="58" t="s">
        <v>202</v>
      </c>
      <c r="AF52" s="58" t="s">
        <v>202</v>
      </c>
      <c r="AG52" s="58" t="s">
        <v>202</v>
      </c>
      <c r="AH52" s="58" t="s">
        <v>202</v>
      </c>
      <c r="AI52" s="58" t="s">
        <v>202</v>
      </c>
      <c r="AJ52" s="58" t="s">
        <v>202</v>
      </c>
      <c r="AK52" s="58" t="s">
        <v>202</v>
      </c>
      <c r="AL52" s="58" t="s">
        <v>202</v>
      </c>
      <c r="AM52" s="58" t="s">
        <v>202</v>
      </c>
      <c r="AN52" s="58" t="s">
        <v>202</v>
      </c>
      <c r="AO52" s="58" t="s">
        <v>202</v>
      </c>
      <c r="AP52" s="58" t="s">
        <v>202</v>
      </c>
      <c r="AQ52" s="58" t="s">
        <v>202</v>
      </c>
      <c r="AR52" s="58" t="s">
        <v>202</v>
      </c>
      <c r="AS52" s="58" t="s">
        <v>202</v>
      </c>
      <c r="AT52" s="58" t="s">
        <v>202</v>
      </c>
      <c r="AU52" s="57">
        <v>0</v>
      </c>
      <c r="AV52" s="58" t="s">
        <v>202</v>
      </c>
      <c r="AW52" s="58" t="s">
        <v>202</v>
      </c>
      <c r="AX52" s="58" t="s">
        <v>202</v>
      </c>
      <c r="AY52" s="58" t="s">
        <v>202</v>
      </c>
      <c r="AZ52" s="58" t="s">
        <v>202</v>
      </c>
      <c r="BA52" s="58" t="s">
        <v>202</v>
      </c>
      <c r="BB52" s="58" t="s">
        <v>202</v>
      </c>
      <c r="BC52" s="57">
        <v>0</v>
      </c>
      <c r="BD52" s="57">
        <v>0</v>
      </c>
      <c r="BE52" s="57">
        <v>0</v>
      </c>
      <c r="BF52" s="58" t="s">
        <v>202</v>
      </c>
      <c r="BG52" s="57">
        <v>0</v>
      </c>
      <c r="BH52" s="58" t="s">
        <v>202</v>
      </c>
      <c r="BI52" s="57">
        <v>0</v>
      </c>
      <c r="BJ52" s="58" t="s">
        <v>202</v>
      </c>
      <c r="BK52" s="57">
        <v>0</v>
      </c>
      <c r="BL52" s="58" t="s">
        <v>202</v>
      </c>
      <c r="BM52" s="57">
        <v>0</v>
      </c>
      <c r="BN52" s="57">
        <v>0</v>
      </c>
      <c r="BO52" s="57">
        <v>0</v>
      </c>
      <c r="BP52" s="57">
        <v>0</v>
      </c>
      <c r="BQ52" s="58" t="s">
        <v>202</v>
      </c>
      <c r="BR52" s="58" t="s">
        <v>202</v>
      </c>
      <c r="BS52" s="58" t="s">
        <v>202</v>
      </c>
      <c r="BT52" s="57">
        <v>0</v>
      </c>
      <c r="BU52" s="57">
        <v>0</v>
      </c>
    </row>
    <row r="53" spans="1:73" x14ac:dyDescent="0.2">
      <c r="A53" s="56" t="s">
        <v>228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6" t="s">
        <v>202</v>
      </c>
      <c r="X53" s="16" t="s">
        <v>202</v>
      </c>
      <c r="Y53" s="16" t="s">
        <v>202</v>
      </c>
      <c r="Z53" s="16" t="s">
        <v>202</v>
      </c>
      <c r="AA53" s="16" t="s">
        <v>202</v>
      </c>
      <c r="AB53" s="16" t="s">
        <v>202</v>
      </c>
      <c r="AC53" s="16" t="s">
        <v>202</v>
      </c>
      <c r="AD53" s="16" t="s">
        <v>202</v>
      </c>
      <c r="AE53" s="16" t="s">
        <v>202</v>
      </c>
      <c r="AF53" s="16" t="s">
        <v>202</v>
      </c>
      <c r="AG53" s="16" t="s">
        <v>202</v>
      </c>
      <c r="AH53" s="16" t="s">
        <v>202</v>
      </c>
      <c r="AI53" s="16" t="s">
        <v>202</v>
      </c>
      <c r="AJ53" s="16" t="s">
        <v>202</v>
      </c>
      <c r="AK53" s="16" t="s">
        <v>202</v>
      </c>
      <c r="AL53" s="16" t="s">
        <v>202</v>
      </c>
      <c r="AM53" s="16" t="s">
        <v>202</v>
      </c>
      <c r="AN53" s="16" t="s">
        <v>202</v>
      </c>
      <c r="AO53" s="16" t="s">
        <v>202</v>
      </c>
      <c r="AP53" s="16" t="s">
        <v>202</v>
      </c>
      <c r="AQ53" s="16" t="s">
        <v>202</v>
      </c>
      <c r="AR53" s="16" t="s">
        <v>202</v>
      </c>
      <c r="AS53" s="16" t="s">
        <v>202</v>
      </c>
      <c r="AT53" s="16" t="s">
        <v>202</v>
      </c>
      <c r="AU53" s="16" t="s">
        <v>202</v>
      </c>
      <c r="AV53" s="16" t="s">
        <v>202</v>
      </c>
      <c r="AW53" s="16" t="s">
        <v>202</v>
      </c>
      <c r="AX53" s="16" t="s">
        <v>202</v>
      </c>
      <c r="AY53" s="16" t="s">
        <v>202</v>
      </c>
      <c r="AZ53" s="16" t="s">
        <v>202</v>
      </c>
      <c r="BA53" s="16" t="s">
        <v>202</v>
      </c>
      <c r="BB53" s="16" t="s">
        <v>202</v>
      </c>
      <c r="BC53" s="16" t="s">
        <v>202</v>
      </c>
      <c r="BD53" s="16" t="s">
        <v>202</v>
      </c>
      <c r="BE53" s="16" t="s">
        <v>202</v>
      </c>
      <c r="BF53" s="16" t="s">
        <v>202</v>
      </c>
      <c r="BG53" s="16" t="s">
        <v>202</v>
      </c>
      <c r="BH53" s="16" t="s">
        <v>202</v>
      </c>
      <c r="BI53" s="16" t="s">
        <v>202</v>
      </c>
      <c r="BJ53" s="16" t="s">
        <v>202</v>
      </c>
      <c r="BK53" s="16" t="s">
        <v>202</v>
      </c>
      <c r="BL53" s="16" t="s">
        <v>202</v>
      </c>
      <c r="BM53" s="16" t="s">
        <v>202</v>
      </c>
      <c r="BN53" s="16" t="s">
        <v>202</v>
      </c>
      <c r="BO53" s="16" t="s">
        <v>202</v>
      </c>
      <c r="BP53" s="16" t="s">
        <v>202</v>
      </c>
      <c r="BQ53" s="16" t="s">
        <v>202</v>
      </c>
      <c r="BR53" s="16" t="s">
        <v>202</v>
      </c>
      <c r="BS53" s="16" t="s">
        <v>202</v>
      </c>
      <c r="BT53" s="17">
        <v>0</v>
      </c>
      <c r="BU53" s="17">
        <v>0</v>
      </c>
    </row>
    <row r="54" spans="1:73" x14ac:dyDescent="0.2">
      <c r="A54" s="56" t="s">
        <v>391</v>
      </c>
      <c r="B54" s="59">
        <v>11332.406000000001</v>
      </c>
      <c r="C54" s="58" t="s">
        <v>202</v>
      </c>
      <c r="D54" s="58" t="s">
        <v>202</v>
      </c>
      <c r="E54" s="58" t="s">
        <v>202</v>
      </c>
      <c r="F54" s="58" t="s">
        <v>202</v>
      </c>
      <c r="G54" s="58" t="s">
        <v>202</v>
      </c>
      <c r="H54" s="58" t="s">
        <v>202</v>
      </c>
      <c r="I54" s="58" t="s">
        <v>202</v>
      </c>
      <c r="J54" s="58" t="s">
        <v>202</v>
      </c>
      <c r="K54" s="58" t="s">
        <v>202</v>
      </c>
      <c r="L54" s="58" t="s">
        <v>202</v>
      </c>
      <c r="M54" s="58" t="s">
        <v>202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8" t="s">
        <v>202</v>
      </c>
      <c r="T54" s="58" t="s">
        <v>202</v>
      </c>
      <c r="U54" s="58" t="s">
        <v>202</v>
      </c>
      <c r="V54" s="58" t="s">
        <v>202</v>
      </c>
      <c r="W54" s="58" t="s">
        <v>202</v>
      </c>
      <c r="X54" s="59">
        <v>1614.182</v>
      </c>
      <c r="Y54" s="57">
        <v>0</v>
      </c>
      <c r="Z54" s="57">
        <v>0</v>
      </c>
      <c r="AA54" s="58" t="s">
        <v>202</v>
      </c>
      <c r="AB54" s="58" t="s">
        <v>202</v>
      </c>
      <c r="AC54" s="58" t="s">
        <v>202</v>
      </c>
      <c r="AD54" s="59">
        <v>1614.182</v>
      </c>
      <c r="AE54" s="57">
        <v>0</v>
      </c>
      <c r="AF54" s="57">
        <v>0</v>
      </c>
      <c r="AG54" s="57">
        <v>0</v>
      </c>
      <c r="AH54" s="57">
        <v>0</v>
      </c>
      <c r="AI54" s="57">
        <v>0</v>
      </c>
      <c r="AJ54" s="57">
        <v>0</v>
      </c>
      <c r="AK54" s="57">
        <v>0</v>
      </c>
      <c r="AL54" s="57">
        <v>0</v>
      </c>
      <c r="AM54" s="57">
        <v>0</v>
      </c>
      <c r="AN54" s="57">
        <v>0</v>
      </c>
      <c r="AO54" s="57">
        <v>0</v>
      </c>
      <c r="AP54" s="57">
        <v>0</v>
      </c>
      <c r="AQ54" s="57">
        <v>0</v>
      </c>
      <c r="AR54" s="57">
        <v>0</v>
      </c>
      <c r="AS54" s="57">
        <v>0</v>
      </c>
      <c r="AT54" s="57">
        <v>0</v>
      </c>
      <c r="AU54" s="59">
        <v>9718.2240000000002</v>
      </c>
      <c r="AV54" s="58" t="s">
        <v>202</v>
      </c>
      <c r="AW54" s="58" t="s">
        <v>202</v>
      </c>
      <c r="AX54" s="58" t="s">
        <v>202</v>
      </c>
      <c r="AY54" s="58" t="s">
        <v>202</v>
      </c>
      <c r="AZ54" s="58" t="s">
        <v>202</v>
      </c>
      <c r="BA54" s="58" t="s">
        <v>202</v>
      </c>
      <c r="BB54" s="58" t="s">
        <v>202</v>
      </c>
      <c r="BC54" s="58" t="s">
        <v>202</v>
      </c>
      <c r="BD54" s="58" t="s">
        <v>202</v>
      </c>
      <c r="BE54" s="57">
        <v>0</v>
      </c>
      <c r="BF54" s="57">
        <v>0</v>
      </c>
      <c r="BG54" s="57">
        <v>0</v>
      </c>
      <c r="BH54" s="57">
        <v>0</v>
      </c>
      <c r="BI54" s="57">
        <v>0</v>
      </c>
      <c r="BJ54" s="57">
        <v>0</v>
      </c>
      <c r="BK54" s="57">
        <v>0</v>
      </c>
      <c r="BL54" s="59">
        <v>9718.2240000000002</v>
      </c>
      <c r="BM54" s="58" t="s">
        <v>202</v>
      </c>
      <c r="BN54" s="58" t="s">
        <v>202</v>
      </c>
      <c r="BO54" s="58" t="s">
        <v>202</v>
      </c>
      <c r="BP54" s="58" t="s">
        <v>202</v>
      </c>
      <c r="BQ54" s="58" t="s">
        <v>202</v>
      </c>
      <c r="BR54" s="58" t="s">
        <v>202</v>
      </c>
      <c r="BS54" s="58" t="s">
        <v>202</v>
      </c>
      <c r="BT54" s="59">
        <v>9718.2240000000002</v>
      </c>
      <c r="BU54" s="59">
        <v>1614.182</v>
      </c>
    </row>
    <row r="55" spans="1:73" x14ac:dyDescent="0.2">
      <c r="A55" s="56" t="s">
        <v>229</v>
      </c>
      <c r="B55" s="15">
        <v>46880.120999999999</v>
      </c>
      <c r="C55" s="16" t="s">
        <v>202</v>
      </c>
      <c r="D55" s="16" t="s">
        <v>202</v>
      </c>
      <c r="E55" s="16" t="s">
        <v>202</v>
      </c>
      <c r="F55" s="16" t="s">
        <v>202</v>
      </c>
      <c r="G55" s="16" t="s">
        <v>202</v>
      </c>
      <c r="H55" s="16" t="s">
        <v>202</v>
      </c>
      <c r="I55" s="16" t="s">
        <v>202</v>
      </c>
      <c r="J55" s="16" t="s">
        <v>202</v>
      </c>
      <c r="K55" s="16" t="s">
        <v>202</v>
      </c>
      <c r="L55" s="16" t="s">
        <v>202</v>
      </c>
      <c r="M55" s="16" t="s">
        <v>202</v>
      </c>
      <c r="N55" s="16" t="s">
        <v>202</v>
      </c>
      <c r="O55" s="16" t="s">
        <v>202</v>
      </c>
      <c r="P55" s="16" t="s">
        <v>202</v>
      </c>
      <c r="Q55" s="16" t="s">
        <v>202</v>
      </c>
      <c r="R55" s="16" t="s">
        <v>202</v>
      </c>
      <c r="S55" s="16" t="s">
        <v>202</v>
      </c>
      <c r="T55" s="16" t="s">
        <v>202</v>
      </c>
      <c r="U55" s="16" t="s">
        <v>202</v>
      </c>
      <c r="V55" s="16" t="s">
        <v>202</v>
      </c>
      <c r="W55" s="16" t="s">
        <v>202</v>
      </c>
      <c r="X55" s="16" t="s">
        <v>202</v>
      </c>
      <c r="Y55" s="16" t="s">
        <v>202</v>
      </c>
      <c r="Z55" s="16" t="s">
        <v>202</v>
      </c>
      <c r="AA55" s="16" t="s">
        <v>202</v>
      </c>
      <c r="AB55" s="16" t="s">
        <v>202</v>
      </c>
      <c r="AC55" s="16" t="s">
        <v>202</v>
      </c>
      <c r="AD55" s="16" t="s">
        <v>202</v>
      </c>
      <c r="AE55" s="16" t="s">
        <v>202</v>
      </c>
      <c r="AF55" s="16" t="s">
        <v>202</v>
      </c>
      <c r="AG55" s="16" t="s">
        <v>202</v>
      </c>
      <c r="AH55" s="16" t="s">
        <v>202</v>
      </c>
      <c r="AI55" s="16" t="s">
        <v>202</v>
      </c>
      <c r="AJ55" s="16" t="s">
        <v>202</v>
      </c>
      <c r="AK55" s="16" t="s">
        <v>202</v>
      </c>
      <c r="AL55" s="16" t="s">
        <v>202</v>
      </c>
      <c r="AM55" s="16" t="s">
        <v>202</v>
      </c>
      <c r="AN55" s="16" t="s">
        <v>202</v>
      </c>
      <c r="AO55" s="16" t="s">
        <v>202</v>
      </c>
      <c r="AP55" s="16" t="s">
        <v>202</v>
      </c>
      <c r="AQ55" s="16" t="s">
        <v>202</v>
      </c>
      <c r="AR55" s="16" t="s">
        <v>202</v>
      </c>
      <c r="AS55" s="16" t="s">
        <v>202</v>
      </c>
      <c r="AT55" s="16" t="s">
        <v>202</v>
      </c>
      <c r="AU55" s="15">
        <v>46880.120999999999</v>
      </c>
      <c r="AV55" s="16" t="s">
        <v>202</v>
      </c>
      <c r="AW55" s="16" t="s">
        <v>202</v>
      </c>
      <c r="AX55" s="16" t="s">
        <v>202</v>
      </c>
      <c r="AY55" s="16" t="s">
        <v>202</v>
      </c>
      <c r="AZ55" s="16" t="s">
        <v>202</v>
      </c>
      <c r="BA55" s="16" t="s">
        <v>202</v>
      </c>
      <c r="BB55" s="16" t="s">
        <v>202</v>
      </c>
      <c r="BC55" s="16" t="s">
        <v>202</v>
      </c>
      <c r="BD55" s="16" t="s">
        <v>202</v>
      </c>
      <c r="BE55" s="15">
        <v>14734.195</v>
      </c>
      <c r="BF55" s="16" t="s">
        <v>202</v>
      </c>
      <c r="BG55" s="15">
        <v>32145.925999999999</v>
      </c>
      <c r="BH55" s="16" t="s">
        <v>202</v>
      </c>
      <c r="BI55" s="17">
        <v>0</v>
      </c>
      <c r="BJ55" s="16" t="s">
        <v>202</v>
      </c>
      <c r="BK55" s="17">
        <v>0</v>
      </c>
      <c r="BL55" s="16" t="s">
        <v>202</v>
      </c>
      <c r="BM55" s="16" t="s">
        <v>202</v>
      </c>
      <c r="BN55" s="16" t="s">
        <v>202</v>
      </c>
      <c r="BO55" s="16" t="s">
        <v>202</v>
      </c>
      <c r="BP55" s="16" t="s">
        <v>202</v>
      </c>
      <c r="BQ55" s="16" t="s">
        <v>202</v>
      </c>
      <c r="BR55" s="16" t="s">
        <v>202</v>
      </c>
      <c r="BS55" s="16" t="s">
        <v>202</v>
      </c>
      <c r="BT55" s="15">
        <v>46880.120999999999</v>
      </c>
      <c r="BU55" s="17">
        <v>0</v>
      </c>
    </row>
    <row r="56" spans="1:73" x14ac:dyDescent="0.2">
      <c r="A56" s="56" t="s">
        <v>230</v>
      </c>
      <c r="B56" s="57">
        <v>0</v>
      </c>
      <c r="C56" s="58" t="s">
        <v>202</v>
      </c>
      <c r="D56" s="58" t="s">
        <v>202</v>
      </c>
      <c r="E56" s="58" t="s">
        <v>202</v>
      </c>
      <c r="F56" s="58" t="s">
        <v>202</v>
      </c>
      <c r="G56" s="58" t="s">
        <v>202</v>
      </c>
      <c r="H56" s="58" t="s">
        <v>202</v>
      </c>
      <c r="I56" s="58" t="s">
        <v>202</v>
      </c>
      <c r="J56" s="58" t="s">
        <v>202</v>
      </c>
      <c r="K56" s="58" t="s">
        <v>202</v>
      </c>
      <c r="L56" s="58" t="s">
        <v>202</v>
      </c>
      <c r="M56" s="58" t="s">
        <v>202</v>
      </c>
      <c r="N56" s="58" t="s">
        <v>202</v>
      </c>
      <c r="O56" s="58" t="s">
        <v>202</v>
      </c>
      <c r="P56" s="58" t="s">
        <v>202</v>
      </c>
      <c r="Q56" s="58" t="s">
        <v>202</v>
      </c>
      <c r="R56" s="58" t="s">
        <v>202</v>
      </c>
      <c r="S56" s="58" t="s">
        <v>202</v>
      </c>
      <c r="T56" s="58" t="s">
        <v>202</v>
      </c>
      <c r="U56" s="58" t="s">
        <v>202</v>
      </c>
      <c r="V56" s="58" t="s">
        <v>202</v>
      </c>
      <c r="W56" s="58" t="s">
        <v>202</v>
      </c>
      <c r="X56" s="58" t="s">
        <v>202</v>
      </c>
      <c r="Y56" s="58" t="s">
        <v>202</v>
      </c>
      <c r="Z56" s="58" t="s">
        <v>202</v>
      </c>
      <c r="AA56" s="58" t="s">
        <v>202</v>
      </c>
      <c r="AB56" s="58" t="s">
        <v>202</v>
      </c>
      <c r="AC56" s="58" t="s">
        <v>202</v>
      </c>
      <c r="AD56" s="58" t="s">
        <v>202</v>
      </c>
      <c r="AE56" s="58" t="s">
        <v>202</v>
      </c>
      <c r="AF56" s="58" t="s">
        <v>202</v>
      </c>
      <c r="AG56" s="58" t="s">
        <v>202</v>
      </c>
      <c r="AH56" s="58" t="s">
        <v>202</v>
      </c>
      <c r="AI56" s="58" t="s">
        <v>202</v>
      </c>
      <c r="AJ56" s="58" t="s">
        <v>202</v>
      </c>
      <c r="AK56" s="58" t="s">
        <v>202</v>
      </c>
      <c r="AL56" s="58" t="s">
        <v>202</v>
      </c>
      <c r="AM56" s="58" t="s">
        <v>202</v>
      </c>
      <c r="AN56" s="58" t="s">
        <v>202</v>
      </c>
      <c r="AO56" s="58" t="s">
        <v>202</v>
      </c>
      <c r="AP56" s="58" t="s">
        <v>202</v>
      </c>
      <c r="AQ56" s="58" t="s">
        <v>202</v>
      </c>
      <c r="AR56" s="58" t="s">
        <v>202</v>
      </c>
      <c r="AS56" s="58" t="s">
        <v>202</v>
      </c>
      <c r="AT56" s="58" t="s">
        <v>202</v>
      </c>
      <c r="AU56" s="57">
        <v>0</v>
      </c>
      <c r="AV56" s="58" t="s">
        <v>202</v>
      </c>
      <c r="AW56" s="58" t="s">
        <v>202</v>
      </c>
      <c r="AX56" s="58" t="s">
        <v>202</v>
      </c>
      <c r="AY56" s="58" t="s">
        <v>202</v>
      </c>
      <c r="AZ56" s="58" t="s">
        <v>202</v>
      </c>
      <c r="BA56" s="58" t="s">
        <v>202</v>
      </c>
      <c r="BB56" s="58" t="s">
        <v>202</v>
      </c>
      <c r="BC56" s="57">
        <v>0</v>
      </c>
      <c r="BD56" s="58" t="s">
        <v>202</v>
      </c>
      <c r="BE56" s="57">
        <v>0</v>
      </c>
      <c r="BF56" s="58" t="s">
        <v>202</v>
      </c>
      <c r="BG56" s="57">
        <v>0</v>
      </c>
      <c r="BH56" s="58" t="s">
        <v>202</v>
      </c>
      <c r="BI56" s="57">
        <v>0</v>
      </c>
      <c r="BJ56" s="58" t="s">
        <v>202</v>
      </c>
      <c r="BK56" s="57">
        <v>0</v>
      </c>
      <c r="BL56" s="58" t="s">
        <v>202</v>
      </c>
      <c r="BM56" s="58" t="s">
        <v>202</v>
      </c>
      <c r="BN56" s="58" t="s">
        <v>202</v>
      </c>
      <c r="BO56" s="58" t="s">
        <v>202</v>
      </c>
      <c r="BP56" s="58" t="s">
        <v>202</v>
      </c>
      <c r="BQ56" s="58" t="s">
        <v>202</v>
      </c>
      <c r="BR56" s="58" t="s">
        <v>202</v>
      </c>
      <c r="BS56" s="58" t="s">
        <v>202</v>
      </c>
      <c r="BT56" s="57">
        <v>0</v>
      </c>
      <c r="BU56" s="57">
        <v>0</v>
      </c>
    </row>
    <row r="57" spans="1:73" x14ac:dyDescent="0.2">
      <c r="A57" s="56" t="s">
        <v>231</v>
      </c>
      <c r="B57" s="17">
        <v>0</v>
      </c>
      <c r="C57" s="16" t="s">
        <v>202</v>
      </c>
      <c r="D57" s="16" t="s">
        <v>202</v>
      </c>
      <c r="E57" s="16" t="s">
        <v>202</v>
      </c>
      <c r="F57" s="16" t="s">
        <v>202</v>
      </c>
      <c r="G57" s="16" t="s">
        <v>202</v>
      </c>
      <c r="H57" s="16" t="s">
        <v>202</v>
      </c>
      <c r="I57" s="16" t="s">
        <v>202</v>
      </c>
      <c r="J57" s="16" t="s">
        <v>202</v>
      </c>
      <c r="K57" s="16" t="s">
        <v>202</v>
      </c>
      <c r="L57" s="16" t="s">
        <v>202</v>
      </c>
      <c r="M57" s="16" t="s">
        <v>202</v>
      </c>
      <c r="N57" s="16" t="s">
        <v>202</v>
      </c>
      <c r="O57" s="16" t="s">
        <v>202</v>
      </c>
      <c r="P57" s="16" t="s">
        <v>202</v>
      </c>
      <c r="Q57" s="16" t="s">
        <v>202</v>
      </c>
      <c r="R57" s="16" t="s">
        <v>202</v>
      </c>
      <c r="S57" s="16" t="s">
        <v>202</v>
      </c>
      <c r="T57" s="16" t="s">
        <v>202</v>
      </c>
      <c r="U57" s="16" t="s">
        <v>202</v>
      </c>
      <c r="V57" s="16" t="s">
        <v>202</v>
      </c>
      <c r="W57" s="17">
        <v>0</v>
      </c>
      <c r="X57" s="16" t="s">
        <v>202</v>
      </c>
      <c r="Y57" s="16" t="s">
        <v>202</v>
      </c>
      <c r="Z57" s="16" t="s">
        <v>202</v>
      </c>
      <c r="AA57" s="16" t="s">
        <v>202</v>
      </c>
      <c r="AB57" s="16" t="s">
        <v>202</v>
      </c>
      <c r="AC57" s="16" t="s">
        <v>202</v>
      </c>
      <c r="AD57" s="16" t="s">
        <v>202</v>
      </c>
      <c r="AE57" s="16" t="s">
        <v>202</v>
      </c>
      <c r="AF57" s="16" t="s">
        <v>202</v>
      </c>
      <c r="AG57" s="16" t="s">
        <v>202</v>
      </c>
      <c r="AH57" s="16" t="s">
        <v>202</v>
      </c>
      <c r="AI57" s="16" t="s">
        <v>202</v>
      </c>
      <c r="AJ57" s="16" t="s">
        <v>202</v>
      </c>
      <c r="AK57" s="16" t="s">
        <v>202</v>
      </c>
      <c r="AL57" s="16" t="s">
        <v>202</v>
      </c>
      <c r="AM57" s="16" t="s">
        <v>202</v>
      </c>
      <c r="AN57" s="16" t="s">
        <v>202</v>
      </c>
      <c r="AO57" s="16" t="s">
        <v>202</v>
      </c>
      <c r="AP57" s="16" t="s">
        <v>202</v>
      </c>
      <c r="AQ57" s="16" t="s">
        <v>202</v>
      </c>
      <c r="AR57" s="16" t="s">
        <v>202</v>
      </c>
      <c r="AS57" s="16" t="s">
        <v>202</v>
      </c>
      <c r="AT57" s="16" t="s">
        <v>202</v>
      </c>
      <c r="AU57" s="16" t="s">
        <v>202</v>
      </c>
      <c r="AV57" s="16" t="s">
        <v>202</v>
      </c>
      <c r="AW57" s="16" t="s">
        <v>202</v>
      </c>
      <c r="AX57" s="16" t="s">
        <v>202</v>
      </c>
      <c r="AY57" s="16" t="s">
        <v>202</v>
      </c>
      <c r="AZ57" s="16" t="s">
        <v>202</v>
      </c>
      <c r="BA57" s="16" t="s">
        <v>202</v>
      </c>
      <c r="BB57" s="16" t="s">
        <v>202</v>
      </c>
      <c r="BC57" s="16" t="s">
        <v>202</v>
      </c>
      <c r="BD57" s="16" t="s">
        <v>202</v>
      </c>
      <c r="BE57" s="16" t="s">
        <v>202</v>
      </c>
      <c r="BF57" s="16" t="s">
        <v>202</v>
      </c>
      <c r="BG57" s="16" t="s">
        <v>202</v>
      </c>
      <c r="BH57" s="16" t="s">
        <v>202</v>
      </c>
      <c r="BI57" s="16" t="s">
        <v>202</v>
      </c>
      <c r="BJ57" s="16" t="s">
        <v>202</v>
      </c>
      <c r="BK57" s="16" t="s">
        <v>202</v>
      </c>
      <c r="BL57" s="16" t="s">
        <v>202</v>
      </c>
      <c r="BM57" s="16" t="s">
        <v>202</v>
      </c>
      <c r="BN57" s="16" t="s">
        <v>202</v>
      </c>
      <c r="BO57" s="16" t="s">
        <v>202</v>
      </c>
      <c r="BP57" s="16" t="s">
        <v>202</v>
      </c>
      <c r="BQ57" s="16" t="s">
        <v>202</v>
      </c>
      <c r="BR57" s="16" t="s">
        <v>202</v>
      </c>
      <c r="BS57" s="16" t="s">
        <v>202</v>
      </c>
      <c r="BT57" s="17">
        <v>0</v>
      </c>
      <c r="BU57" s="17">
        <v>0</v>
      </c>
    </row>
    <row r="58" spans="1:73" x14ac:dyDescent="0.2">
      <c r="A58" s="56" t="s">
        <v>232</v>
      </c>
      <c r="B58" s="57">
        <v>0</v>
      </c>
      <c r="C58" s="57">
        <v>0</v>
      </c>
      <c r="D58" s="57">
        <v>0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7">
        <v>0</v>
      </c>
      <c r="K58" s="57">
        <v>0</v>
      </c>
      <c r="L58" s="57">
        <v>0</v>
      </c>
      <c r="M58" s="57">
        <v>0</v>
      </c>
      <c r="N58" s="57">
        <v>0</v>
      </c>
      <c r="O58" s="57">
        <v>0</v>
      </c>
      <c r="P58" s="57">
        <v>0</v>
      </c>
      <c r="Q58" s="57">
        <v>0</v>
      </c>
      <c r="R58" s="57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7">
        <v>0</v>
      </c>
      <c r="Y58" s="57">
        <v>0</v>
      </c>
      <c r="Z58" s="57">
        <v>0</v>
      </c>
      <c r="AA58" s="58" t="s">
        <v>202</v>
      </c>
      <c r="AB58" s="58" t="s">
        <v>202</v>
      </c>
      <c r="AC58" s="58" t="s">
        <v>202</v>
      </c>
      <c r="AD58" s="57">
        <v>0</v>
      </c>
      <c r="AE58" s="57">
        <v>0</v>
      </c>
      <c r="AF58" s="57">
        <v>0</v>
      </c>
      <c r="AG58" s="57">
        <v>0</v>
      </c>
      <c r="AH58" s="57">
        <v>0</v>
      </c>
      <c r="AI58" s="57">
        <v>0</v>
      </c>
      <c r="AJ58" s="57">
        <v>0</v>
      </c>
      <c r="AK58" s="57">
        <v>0</v>
      </c>
      <c r="AL58" s="57">
        <v>0</v>
      </c>
      <c r="AM58" s="57">
        <v>0</v>
      </c>
      <c r="AN58" s="57">
        <v>0</v>
      </c>
      <c r="AO58" s="57">
        <v>0</v>
      </c>
      <c r="AP58" s="57">
        <v>0</v>
      </c>
      <c r="AQ58" s="57">
        <v>0</v>
      </c>
      <c r="AR58" s="57">
        <v>0</v>
      </c>
      <c r="AS58" s="57">
        <v>0</v>
      </c>
      <c r="AT58" s="57">
        <v>0</v>
      </c>
      <c r="AU58" s="57">
        <v>0</v>
      </c>
      <c r="AV58" s="58" t="s">
        <v>202</v>
      </c>
      <c r="AW58" s="57">
        <v>0</v>
      </c>
      <c r="AX58" s="58" t="s">
        <v>202</v>
      </c>
      <c r="AY58" s="57">
        <v>0</v>
      </c>
      <c r="AZ58" s="58" t="s">
        <v>202</v>
      </c>
      <c r="BA58" s="58" t="s">
        <v>202</v>
      </c>
      <c r="BB58" s="57">
        <v>0</v>
      </c>
      <c r="BC58" s="57">
        <v>0</v>
      </c>
      <c r="BD58" s="57">
        <v>0</v>
      </c>
      <c r="BE58" s="57">
        <v>0</v>
      </c>
      <c r="BF58" s="57">
        <v>0</v>
      </c>
      <c r="BG58" s="57">
        <v>0</v>
      </c>
      <c r="BH58" s="57">
        <v>0</v>
      </c>
      <c r="BI58" s="57">
        <v>0</v>
      </c>
      <c r="BJ58" s="57">
        <v>0</v>
      </c>
      <c r="BK58" s="57">
        <v>0</v>
      </c>
      <c r="BL58" s="57">
        <v>0</v>
      </c>
      <c r="BM58" s="57">
        <v>0</v>
      </c>
      <c r="BN58" s="57">
        <v>0</v>
      </c>
      <c r="BO58" s="57">
        <v>0</v>
      </c>
      <c r="BP58" s="57">
        <v>0</v>
      </c>
      <c r="BQ58" s="58" t="s">
        <v>202</v>
      </c>
      <c r="BR58" s="58" t="s">
        <v>202</v>
      </c>
      <c r="BS58" s="58" t="s">
        <v>202</v>
      </c>
      <c r="BT58" s="57">
        <v>0</v>
      </c>
      <c r="BU58" s="57">
        <v>0</v>
      </c>
    </row>
    <row r="59" spans="1:73" x14ac:dyDescent="0.2">
      <c r="A59" s="56" t="s">
        <v>93</v>
      </c>
      <c r="B59" s="15">
        <v>4907356.5190000003</v>
      </c>
      <c r="C59" s="15">
        <v>53399.764000000003</v>
      </c>
      <c r="D59" s="16" t="s">
        <v>202</v>
      </c>
      <c r="E59" s="16" t="s">
        <v>202</v>
      </c>
      <c r="F59" s="16" t="s">
        <v>202</v>
      </c>
      <c r="G59" s="16" t="s">
        <v>202</v>
      </c>
      <c r="H59" s="16" t="s">
        <v>202</v>
      </c>
      <c r="I59" s="15">
        <v>50186.705000000002</v>
      </c>
      <c r="J59" s="17">
        <v>0</v>
      </c>
      <c r="K59" s="17">
        <v>0</v>
      </c>
      <c r="L59" s="17">
        <v>0</v>
      </c>
      <c r="M59" s="17">
        <v>3213.06</v>
      </c>
      <c r="N59" s="17">
        <v>42147.79</v>
      </c>
      <c r="O59" s="15">
        <v>15016.271000000001</v>
      </c>
      <c r="P59" s="17">
        <v>0</v>
      </c>
      <c r="Q59" s="15">
        <v>27131.519</v>
      </c>
      <c r="R59" s="17">
        <v>0</v>
      </c>
      <c r="S59" s="17">
        <v>0</v>
      </c>
      <c r="T59" s="16" t="s">
        <v>202</v>
      </c>
      <c r="U59" s="17">
        <v>0</v>
      </c>
      <c r="V59" s="16" t="s">
        <v>202</v>
      </c>
      <c r="W59" s="15">
        <v>11333.489</v>
      </c>
      <c r="X59" s="15">
        <v>4223865.1890000002</v>
      </c>
      <c r="Y59" s="15">
        <v>77534.907000000007</v>
      </c>
      <c r="Z59" s="15">
        <v>193698.97500000001</v>
      </c>
      <c r="AA59" s="17">
        <v>366286</v>
      </c>
      <c r="AB59" s="17">
        <v>0</v>
      </c>
      <c r="AC59" s="17">
        <v>0</v>
      </c>
      <c r="AD59" s="15">
        <v>296327.21299999999</v>
      </c>
      <c r="AE59" s="17">
        <v>0</v>
      </c>
      <c r="AF59" s="15">
        <v>72539.956000000006</v>
      </c>
      <c r="AG59" s="15">
        <v>522616.924</v>
      </c>
      <c r="AH59" s="15">
        <v>2822.6170000000002</v>
      </c>
      <c r="AI59" s="15">
        <v>768692.41700000002</v>
      </c>
      <c r="AJ59" s="17">
        <v>0</v>
      </c>
      <c r="AK59" s="15">
        <v>390466.48700000002</v>
      </c>
      <c r="AL59" s="15">
        <v>17238.868999999999</v>
      </c>
      <c r="AM59" s="15">
        <v>856335.598</v>
      </c>
      <c r="AN59" s="17">
        <v>430034.38</v>
      </c>
      <c r="AO59" s="17">
        <v>96344.52</v>
      </c>
      <c r="AP59" s="15">
        <v>44182.722999999998</v>
      </c>
      <c r="AQ59" s="15">
        <v>410.98099999999999</v>
      </c>
      <c r="AR59" s="15">
        <v>16671.462</v>
      </c>
      <c r="AS59" s="15">
        <v>37052.463000000003</v>
      </c>
      <c r="AT59" s="15">
        <v>34608.697</v>
      </c>
      <c r="AU59" s="15">
        <v>46521.023000000001</v>
      </c>
      <c r="AV59" s="16" t="s">
        <v>202</v>
      </c>
      <c r="AW59" s="16" t="s">
        <v>202</v>
      </c>
      <c r="AX59" s="16" t="s">
        <v>202</v>
      </c>
      <c r="AY59" s="16" t="s">
        <v>202</v>
      </c>
      <c r="AZ59" s="16" t="s">
        <v>202</v>
      </c>
      <c r="BA59" s="16" t="s">
        <v>202</v>
      </c>
      <c r="BB59" s="16" t="s">
        <v>202</v>
      </c>
      <c r="BC59" s="16" t="s">
        <v>202</v>
      </c>
      <c r="BD59" s="17">
        <v>0</v>
      </c>
      <c r="BE59" s="16" t="s">
        <v>202</v>
      </c>
      <c r="BF59" s="15">
        <v>14375.097</v>
      </c>
      <c r="BG59" s="16" t="s">
        <v>202</v>
      </c>
      <c r="BH59" s="15">
        <v>32145.925999999999</v>
      </c>
      <c r="BI59" s="16" t="s">
        <v>202</v>
      </c>
      <c r="BJ59" s="17">
        <v>0</v>
      </c>
      <c r="BK59" s="16" t="s">
        <v>202</v>
      </c>
      <c r="BL59" s="17">
        <v>0</v>
      </c>
      <c r="BM59" s="16" t="s">
        <v>202</v>
      </c>
      <c r="BN59" s="16" t="s">
        <v>202</v>
      </c>
      <c r="BO59" s="16" t="s">
        <v>202</v>
      </c>
      <c r="BP59" s="16" t="s">
        <v>202</v>
      </c>
      <c r="BQ59" s="16" t="s">
        <v>202</v>
      </c>
      <c r="BR59" s="17">
        <v>436790.11</v>
      </c>
      <c r="BS59" s="15">
        <v>93299.153999999995</v>
      </c>
      <c r="BT59" s="15">
        <v>96196.967000000004</v>
      </c>
      <c r="BU59" s="15">
        <v>4609705.6169999996</v>
      </c>
    </row>
    <row r="60" spans="1:73" x14ac:dyDescent="0.2">
      <c r="A60" s="56" t="s">
        <v>233</v>
      </c>
      <c r="B60" s="59">
        <v>530089.26399999997</v>
      </c>
      <c r="C60" s="58" t="s">
        <v>202</v>
      </c>
      <c r="D60" s="58" t="s">
        <v>202</v>
      </c>
      <c r="E60" s="58" t="s">
        <v>202</v>
      </c>
      <c r="F60" s="58" t="s">
        <v>202</v>
      </c>
      <c r="G60" s="58" t="s">
        <v>202</v>
      </c>
      <c r="H60" s="58" t="s">
        <v>202</v>
      </c>
      <c r="I60" s="58" t="s">
        <v>202</v>
      </c>
      <c r="J60" s="58" t="s">
        <v>202</v>
      </c>
      <c r="K60" s="58" t="s">
        <v>202</v>
      </c>
      <c r="L60" s="58" t="s">
        <v>202</v>
      </c>
      <c r="M60" s="58" t="s">
        <v>202</v>
      </c>
      <c r="N60" s="58" t="s">
        <v>202</v>
      </c>
      <c r="O60" s="58" t="s">
        <v>202</v>
      </c>
      <c r="P60" s="58" t="s">
        <v>202</v>
      </c>
      <c r="Q60" s="58" t="s">
        <v>202</v>
      </c>
      <c r="R60" s="58" t="s">
        <v>202</v>
      </c>
      <c r="S60" s="58" t="s">
        <v>202</v>
      </c>
      <c r="T60" s="58" t="s">
        <v>202</v>
      </c>
      <c r="U60" s="58" t="s">
        <v>202</v>
      </c>
      <c r="V60" s="58" t="s">
        <v>202</v>
      </c>
      <c r="W60" s="58" t="s">
        <v>202</v>
      </c>
      <c r="X60" s="58" t="s">
        <v>202</v>
      </c>
      <c r="Y60" s="58" t="s">
        <v>202</v>
      </c>
      <c r="Z60" s="58" t="s">
        <v>202</v>
      </c>
      <c r="AA60" s="58" t="s">
        <v>202</v>
      </c>
      <c r="AB60" s="58" t="s">
        <v>202</v>
      </c>
      <c r="AC60" s="58" t="s">
        <v>202</v>
      </c>
      <c r="AD60" s="58" t="s">
        <v>202</v>
      </c>
      <c r="AE60" s="58" t="s">
        <v>202</v>
      </c>
      <c r="AF60" s="58" t="s">
        <v>202</v>
      </c>
      <c r="AG60" s="58" t="s">
        <v>202</v>
      </c>
      <c r="AH60" s="58" t="s">
        <v>202</v>
      </c>
      <c r="AI60" s="58" t="s">
        <v>202</v>
      </c>
      <c r="AJ60" s="58" t="s">
        <v>202</v>
      </c>
      <c r="AK60" s="58" t="s">
        <v>202</v>
      </c>
      <c r="AL60" s="58" t="s">
        <v>202</v>
      </c>
      <c r="AM60" s="58" t="s">
        <v>202</v>
      </c>
      <c r="AN60" s="58" t="s">
        <v>202</v>
      </c>
      <c r="AO60" s="58" t="s">
        <v>202</v>
      </c>
      <c r="AP60" s="58" t="s">
        <v>202</v>
      </c>
      <c r="AQ60" s="58" t="s">
        <v>202</v>
      </c>
      <c r="AR60" s="58" t="s">
        <v>202</v>
      </c>
      <c r="AS60" s="58" t="s">
        <v>202</v>
      </c>
      <c r="AT60" s="58" t="s">
        <v>202</v>
      </c>
      <c r="AU60" s="58" t="s">
        <v>202</v>
      </c>
      <c r="AV60" s="58" t="s">
        <v>202</v>
      </c>
      <c r="AW60" s="58" t="s">
        <v>202</v>
      </c>
      <c r="AX60" s="58" t="s">
        <v>202</v>
      </c>
      <c r="AY60" s="58" t="s">
        <v>202</v>
      </c>
      <c r="AZ60" s="58" t="s">
        <v>202</v>
      </c>
      <c r="BA60" s="58" t="s">
        <v>202</v>
      </c>
      <c r="BB60" s="58" t="s">
        <v>202</v>
      </c>
      <c r="BC60" s="58" t="s">
        <v>202</v>
      </c>
      <c r="BD60" s="58" t="s">
        <v>202</v>
      </c>
      <c r="BE60" s="58" t="s">
        <v>202</v>
      </c>
      <c r="BF60" s="58" t="s">
        <v>202</v>
      </c>
      <c r="BG60" s="58" t="s">
        <v>202</v>
      </c>
      <c r="BH60" s="58" t="s">
        <v>202</v>
      </c>
      <c r="BI60" s="58" t="s">
        <v>202</v>
      </c>
      <c r="BJ60" s="58" t="s">
        <v>202</v>
      </c>
      <c r="BK60" s="58" t="s">
        <v>202</v>
      </c>
      <c r="BL60" s="58" t="s">
        <v>202</v>
      </c>
      <c r="BM60" s="58" t="s">
        <v>202</v>
      </c>
      <c r="BN60" s="58" t="s">
        <v>202</v>
      </c>
      <c r="BO60" s="58" t="s">
        <v>202</v>
      </c>
      <c r="BP60" s="58" t="s">
        <v>202</v>
      </c>
      <c r="BQ60" s="58" t="s">
        <v>202</v>
      </c>
      <c r="BR60" s="57">
        <v>436790.11</v>
      </c>
      <c r="BS60" s="59">
        <v>93299.153999999995</v>
      </c>
      <c r="BT60" s="59">
        <v>49559.856</v>
      </c>
      <c r="BU60" s="59">
        <v>279075.473</v>
      </c>
    </row>
    <row r="61" spans="1:73" x14ac:dyDescent="0.2">
      <c r="A61" s="56" t="s">
        <v>234</v>
      </c>
      <c r="B61" s="15">
        <v>232097.47899999999</v>
      </c>
      <c r="C61" s="16" t="s">
        <v>202</v>
      </c>
      <c r="D61" s="16" t="s">
        <v>202</v>
      </c>
      <c r="E61" s="16" t="s">
        <v>202</v>
      </c>
      <c r="F61" s="16" t="s">
        <v>202</v>
      </c>
      <c r="G61" s="16" t="s">
        <v>202</v>
      </c>
      <c r="H61" s="16" t="s">
        <v>202</v>
      </c>
      <c r="I61" s="16" t="s">
        <v>202</v>
      </c>
      <c r="J61" s="16" t="s">
        <v>202</v>
      </c>
      <c r="K61" s="16" t="s">
        <v>202</v>
      </c>
      <c r="L61" s="16" t="s">
        <v>202</v>
      </c>
      <c r="M61" s="16" t="s">
        <v>202</v>
      </c>
      <c r="N61" s="16" t="s">
        <v>202</v>
      </c>
      <c r="O61" s="16" t="s">
        <v>202</v>
      </c>
      <c r="P61" s="16" t="s">
        <v>202</v>
      </c>
      <c r="Q61" s="16" t="s">
        <v>202</v>
      </c>
      <c r="R61" s="16" t="s">
        <v>202</v>
      </c>
      <c r="S61" s="16" t="s">
        <v>202</v>
      </c>
      <c r="T61" s="16" t="s">
        <v>202</v>
      </c>
      <c r="U61" s="16" t="s">
        <v>202</v>
      </c>
      <c r="V61" s="16" t="s">
        <v>202</v>
      </c>
      <c r="W61" s="16" t="s">
        <v>202</v>
      </c>
      <c r="X61" s="16" t="s">
        <v>202</v>
      </c>
      <c r="Y61" s="16" t="s">
        <v>202</v>
      </c>
      <c r="Z61" s="16" t="s">
        <v>202</v>
      </c>
      <c r="AA61" s="16" t="s">
        <v>202</v>
      </c>
      <c r="AB61" s="16" t="s">
        <v>202</v>
      </c>
      <c r="AC61" s="16" t="s">
        <v>202</v>
      </c>
      <c r="AD61" s="16" t="s">
        <v>202</v>
      </c>
      <c r="AE61" s="16" t="s">
        <v>202</v>
      </c>
      <c r="AF61" s="16" t="s">
        <v>202</v>
      </c>
      <c r="AG61" s="16" t="s">
        <v>202</v>
      </c>
      <c r="AH61" s="16" t="s">
        <v>202</v>
      </c>
      <c r="AI61" s="16" t="s">
        <v>202</v>
      </c>
      <c r="AJ61" s="16" t="s">
        <v>202</v>
      </c>
      <c r="AK61" s="16" t="s">
        <v>202</v>
      </c>
      <c r="AL61" s="16" t="s">
        <v>202</v>
      </c>
      <c r="AM61" s="16" t="s">
        <v>202</v>
      </c>
      <c r="AN61" s="16" t="s">
        <v>202</v>
      </c>
      <c r="AO61" s="16" t="s">
        <v>202</v>
      </c>
      <c r="AP61" s="16" t="s">
        <v>202</v>
      </c>
      <c r="AQ61" s="16" t="s">
        <v>202</v>
      </c>
      <c r="AR61" s="16" t="s">
        <v>202</v>
      </c>
      <c r="AS61" s="16" t="s">
        <v>202</v>
      </c>
      <c r="AT61" s="16" t="s">
        <v>202</v>
      </c>
      <c r="AU61" s="16" t="s">
        <v>202</v>
      </c>
      <c r="AV61" s="16" t="s">
        <v>202</v>
      </c>
      <c r="AW61" s="16" t="s">
        <v>202</v>
      </c>
      <c r="AX61" s="16" t="s">
        <v>202</v>
      </c>
      <c r="AY61" s="16" t="s">
        <v>202</v>
      </c>
      <c r="AZ61" s="16" t="s">
        <v>202</v>
      </c>
      <c r="BA61" s="16" t="s">
        <v>202</v>
      </c>
      <c r="BB61" s="16" t="s">
        <v>202</v>
      </c>
      <c r="BC61" s="16" t="s">
        <v>202</v>
      </c>
      <c r="BD61" s="16" t="s">
        <v>202</v>
      </c>
      <c r="BE61" s="16" t="s">
        <v>202</v>
      </c>
      <c r="BF61" s="16" t="s">
        <v>202</v>
      </c>
      <c r="BG61" s="16" t="s">
        <v>202</v>
      </c>
      <c r="BH61" s="16" t="s">
        <v>202</v>
      </c>
      <c r="BI61" s="16" t="s">
        <v>202</v>
      </c>
      <c r="BJ61" s="16" t="s">
        <v>202</v>
      </c>
      <c r="BK61" s="16" t="s">
        <v>202</v>
      </c>
      <c r="BL61" s="16" t="s">
        <v>202</v>
      </c>
      <c r="BM61" s="16" t="s">
        <v>202</v>
      </c>
      <c r="BN61" s="16" t="s">
        <v>202</v>
      </c>
      <c r="BO61" s="16" t="s">
        <v>202</v>
      </c>
      <c r="BP61" s="16" t="s">
        <v>202</v>
      </c>
      <c r="BQ61" s="16" t="s">
        <v>202</v>
      </c>
      <c r="BR61" s="15">
        <v>232097.47899999999</v>
      </c>
      <c r="BS61" s="16" t="s">
        <v>202</v>
      </c>
      <c r="BT61" s="15">
        <v>15451.673000000001</v>
      </c>
      <c r="BU61" s="15">
        <v>113866.579</v>
      </c>
    </row>
    <row r="62" spans="1:73" x14ac:dyDescent="0.2">
      <c r="A62" s="56" t="s">
        <v>235</v>
      </c>
      <c r="B62" s="59">
        <v>90064.077999999994</v>
      </c>
      <c r="C62" s="58" t="s">
        <v>202</v>
      </c>
      <c r="D62" s="58" t="s">
        <v>202</v>
      </c>
      <c r="E62" s="58" t="s">
        <v>202</v>
      </c>
      <c r="F62" s="58" t="s">
        <v>202</v>
      </c>
      <c r="G62" s="58" t="s">
        <v>202</v>
      </c>
      <c r="H62" s="58" t="s">
        <v>202</v>
      </c>
      <c r="I62" s="58" t="s">
        <v>202</v>
      </c>
      <c r="J62" s="58" t="s">
        <v>202</v>
      </c>
      <c r="K62" s="58" t="s">
        <v>202</v>
      </c>
      <c r="L62" s="58" t="s">
        <v>202</v>
      </c>
      <c r="M62" s="58" t="s">
        <v>202</v>
      </c>
      <c r="N62" s="58" t="s">
        <v>202</v>
      </c>
      <c r="O62" s="58" t="s">
        <v>202</v>
      </c>
      <c r="P62" s="58" t="s">
        <v>202</v>
      </c>
      <c r="Q62" s="58" t="s">
        <v>202</v>
      </c>
      <c r="R62" s="58" t="s">
        <v>202</v>
      </c>
      <c r="S62" s="58" t="s">
        <v>202</v>
      </c>
      <c r="T62" s="58" t="s">
        <v>202</v>
      </c>
      <c r="U62" s="58" t="s">
        <v>202</v>
      </c>
      <c r="V62" s="58" t="s">
        <v>202</v>
      </c>
      <c r="W62" s="58" t="s">
        <v>202</v>
      </c>
      <c r="X62" s="58" t="s">
        <v>202</v>
      </c>
      <c r="Y62" s="58" t="s">
        <v>202</v>
      </c>
      <c r="Z62" s="58" t="s">
        <v>202</v>
      </c>
      <c r="AA62" s="58" t="s">
        <v>202</v>
      </c>
      <c r="AB62" s="58" t="s">
        <v>202</v>
      </c>
      <c r="AC62" s="58" t="s">
        <v>202</v>
      </c>
      <c r="AD62" s="58" t="s">
        <v>202</v>
      </c>
      <c r="AE62" s="58" t="s">
        <v>202</v>
      </c>
      <c r="AF62" s="58" t="s">
        <v>202</v>
      </c>
      <c r="AG62" s="58" t="s">
        <v>202</v>
      </c>
      <c r="AH62" s="58" t="s">
        <v>202</v>
      </c>
      <c r="AI62" s="58" t="s">
        <v>202</v>
      </c>
      <c r="AJ62" s="58" t="s">
        <v>202</v>
      </c>
      <c r="AK62" s="58" t="s">
        <v>202</v>
      </c>
      <c r="AL62" s="58" t="s">
        <v>202</v>
      </c>
      <c r="AM62" s="58" t="s">
        <v>202</v>
      </c>
      <c r="AN62" s="58" t="s">
        <v>202</v>
      </c>
      <c r="AO62" s="58" t="s">
        <v>202</v>
      </c>
      <c r="AP62" s="58" t="s">
        <v>202</v>
      </c>
      <c r="AQ62" s="58" t="s">
        <v>202</v>
      </c>
      <c r="AR62" s="58" t="s">
        <v>202</v>
      </c>
      <c r="AS62" s="58" t="s">
        <v>202</v>
      </c>
      <c r="AT62" s="58" t="s">
        <v>202</v>
      </c>
      <c r="AU62" s="58" t="s">
        <v>202</v>
      </c>
      <c r="AV62" s="58" t="s">
        <v>202</v>
      </c>
      <c r="AW62" s="58" t="s">
        <v>202</v>
      </c>
      <c r="AX62" s="58" t="s">
        <v>202</v>
      </c>
      <c r="AY62" s="58" t="s">
        <v>202</v>
      </c>
      <c r="AZ62" s="58" t="s">
        <v>202</v>
      </c>
      <c r="BA62" s="58" t="s">
        <v>202</v>
      </c>
      <c r="BB62" s="58" t="s">
        <v>202</v>
      </c>
      <c r="BC62" s="58" t="s">
        <v>202</v>
      </c>
      <c r="BD62" s="58" t="s">
        <v>202</v>
      </c>
      <c r="BE62" s="58" t="s">
        <v>202</v>
      </c>
      <c r="BF62" s="58" t="s">
        <v>202</v>
      </c>
      <c r="BG62" s="58" t="s">
        <v>202</v>
      </c>
      <c r="BH62" s="58" t="s">
        <v>202</v>
      </c>
      <c r="BI62" s="58" t="s">
        <v>202</v>
      </c>
      <c r="BJ62" s="58" t="s">
        <v>202</v>
      </c>
      <c r="BK62" s="58" t="s">
        <v>202</v>
      </c>
      <c r="BL62" s="58" t="s">
        <v>202</v>
      </c>
      <c r="BM62" s="58" t="s">
        <v>202</v>
      </c>
      <c r="BN62" s="58" t="s">
        <v>202</v>
      </c>
      <c r="BO62" s="58" t="s">
        <v>202</v>
      </c>
      <c r="BP62" s="58" t="s">
        <v>202</v>
      </c>
      <c r="BQ62" s="58" t="s">
        <v>202</v>
      </c>
      <c r="BR62" s="59">
        <v>58257.402999999998</v>
      </c>
      <c r="BS62" s="59">
        <v>31806.674999999999</v>
      </c>
      <c r="BT62" s="57">
        <v>10860.61</v>
      </c>
      <c r="BU62" s="59">
        <v>50667.576000000001</v>
      </c>
    </row>
    <row r="63" spans="1:73" x14ac:dyDescent="0.2">
      <c r="A63" s="56" t="s">
        <v>236</v>
      </c>
      <c r="B63" s="15">
        <v>17195.844000000001</v>
      </c>
      <c r="C63" s="16" t="s">
        <v>202</v>
      </c>
      <c r="D63" s="16" t="s">
        <v>202</v>
      </c>
      <c r="E63" s="16" t="s">
        <v>202</v>
      </c>
      <c r="F63" s="16" t="s">
        <v>202</v>
      </c>
      <c r="G63" s="16" t="s">
        <v>202</v>
      </c>
      <c r="H63" s="16" t="s">
        <v>202</v>
      </c>
      <c r="I63" s="16" t="s">
        <v>202</v>
      </c>
      <c r="J63" s="16" t="s">
        <v>202</v>
      </c>
      <c r="K63" s="16" t="s">
        <v>202</v>
      </c>
      <c r="L63" s="16" t="s">
        <v>202</v>
      </c>
      <c r="M63" s="16" t="s">
        <v>202</v>
      </c>
      <c r="N63" s="16" t="s">
        <v>202</v>
      </c>
      <c r="O63" s="16" t="s">
        <v>202</v>
      </c>
      <c r="P63" s="16" t="s">
        <v>202</v>
      </c>
      <c r="Q63" s="16" t="s">
        <v>202</v>
      </c>
      <c r="R63" s="16" t="s">
        <v>202</v>
      </c>
      <c r="S63" s="16" t="s">
        <v>202</v>
      </c>
      <c r="T63" s="16" t="s">
        <v>202</v>
      </c>
      <c r="U63" s="16" t="s">
        <v>202</v>
      </c>
      <c r="V63" s="16" t="s">
        <v>202</v>
      </c>
      <c r="W63" s="16" t="s">
        <v>202</v>
      </c>
      <c r="X63" s="16" t="s">
        <v>202</v>
      </c>
      <c r="Y63" s="16" t="s">
        <v>202</v>
      </c>
      <c r="Z63" s="16" t="s">
        <v>202</v>
      </c>
      <c r="AA63" s="16" t="s">
        <v>202</v>
      </c>
      <c r="AB63" s="16" t="s">
        <v>202</v>
      </c>
      <c r="AC63" s="16" t="s">
        <v>202</v>
      </c>
      <c r="AD63" s="16" t="s">
        <v>202</v>
      </c>
      <c r="AE63" s="16" t="s">
        <v>202</v>
      </c>
      <c r="AF63" s="16" t="s">
        <v>202</v>
      </c>
      <c r="AG63" s="16" t="s">
        <v>202</v>
      </c>
      <c r="AH63" s="16" t="s">
        <v>202</v>
      </c>
      <c r="AI63" s="16" t="s">
        <v>202</v>
      </c>
      <c r="AJ63" s="16" t="s">
        <v>202</v>
      </c>
      <c r="AK63" s="16" t="s">
        <v>202</v>
      </c>
      <c r="AL63" s="16" t="s">
        <v>202</v>
      </c>
      <c r="AM63" s="16" t="s">
        <v>202</v>
      </c>
      <c r="AN63" s="16" t="s">
        <v>202</v>
      </c>
      <c r="AO63" s="16" t="s">
        <v>202</v>
      </c>
      <c r="AP63" s="16" t="s">
        <v>202</v>
      </c>
      <c r="AQ63" s="16" t="s">
        <v>202</v>
      </c>
      <c r="AR63" s="16" t="s">
        <v>202</v>
      </c>
      <c r="AS63" s="16" t="s">
        <v>202</v>
      </c>
      <c r="AT63" s="16" t="s">
        <v>202</v>
      </c>
      <c r="AU63" s="16" t="s">
        <v>202</v>
      </c>
      <c r="AV63" s="16" t="s">
        <v>202</v>
      </c>
      <c r="AW63" s="16" t="s">
        <v>202</v>
      </c>
      <c r="AX63" s="16" t="s">
        <v>202</v>
      </c>
      <c r="AY63" s="16" t="s">
        <v>202</v>
      </c>
      <c r="AZ63" s="16" t="s">
        <v>202</v>
      </c>
      <c r="BA63" s="16" t="s">
        <v>202</v>
      </c>
      <c r="BB63" s="16" t="s">
        <v>202</v>
      </c>
      <c r="BC63" s="16" t="s">
        <v>202</v>
      </c>
      <c r="BD63" s="16" t="s">
        <v>202</v>
      </c>
      <c r="BE63" s="16" t="s">
        <v>202</v>
      </c>
      <c r="BF63" s="16" t="s">
        <v>202</v>
      </c>
      <c r="BG63" s="16" t="s">
        <v>202</v>
      </c>
      <c r="BH63" s="16" t="s">
        <v>202</v>
      </c>
      <c r="BI63" s="16" t="s">
        <v>202</v>
      </c>
      <c r="BJ63" s="16" t="s">
        <v>202</v>
      </c>
      <c r="BK63" s="16" t="s">
        <v>202</v>
      </c>
      <c r="BL63" s="16" t="s">
        <v>202</v>
      </c>
      <c r="BM63" s="16" t="s">
        <v>202</v>
      </c>
      <c r="BN63" s="16" t="s">
        <v>202</v>
      </c>
      <c r="BO63" s="16" t="s">
        <v>202</v>
      </c>
      <c r="BP63" s="16" t="s">
        <v>202</v>
      </c>
      <c r="BQ63" s="16" t="s">
        <v>202</v>
      </c>
      <c r="BR63" s="16" t="s">
        <v>202</v>
      </c>
      <c r="BS63" s="15">
        <v>17195.844000000001</v>
      </c>
      <c r="BT63" s="15">
        <v>3774.819</v>
      </c>
      <c r="BU63" s="15">
        <v>11940.821</v>
      </c>
    </row>
    <row r="64" spans="1:73" x14ac:dyDescent="0.2">
      <c r="A64" s="56" t="s">
        <v>237</v>
      </c>
      <c r="B64" s="59">
        <v>65848.452999999994</v>
      </c>
      <c r="C64" s="58" t="s">
        <v>202</v>
      </c>
      <c r="D64" s="58" t="s">
        <v>202</v>
      </c>
      <c r="E64" s="58" t="s">
        <v>202</v>
      </c>
      <c r="F64" s="58" t="s">
        <v>202</v>
      </c>
      <c r="G64" s="58" t="s">
        <v>202</v>
      </c>
      <c r="H64" s="58" t="s">
        <v>202</v>
      </c>
      <c r="I64" s="58" t="s">
        <v>202</v>
      </c>
      <c r="J64" s="58" t="s">
        <v>202</v>
      </c>
      <c r="K64" s="58" t="s">
        <v>202</v>
      </c>
      <c r="L64" s="58" t="s">
        <v>202</v>
      </c>
      <c r="M64" s="58" t="s">
        <v>202</v>
      </c>
      <c r="N64" s="58" t="s">
        <v>202</v>
      </c>
      <c r="O64" s="58" t="s">
        <v>202</v>
      </c>
      <c r="P64" s="58" t="s">
        <v>202</v>
      </c>
      <c r="Q64" s="58" t="s">
        <v>202</v>
      </c>
      <c r="R64" s="58" t="s">
        <v>202</v>
      </c>
      <c r="S64" s="58" t="s">
        <v>202</v>
      </c>
      <c r="T64" s="58" t="s">
        <v>202</v>
      </c>
      <c r="U64" s="58" t="s">
        <v>202</v>
      </c>
      <c r="V64" s="58" t="s">
        <v>202</v>
      </c>
      <c r="W64" s="58" t="s">
        <v>202</v>
      </c>
      <c r="X64" s="58" t="s">
        <v>202</v>
      </c>
      <c r="Y64" s="58" t="s">
        <v>202</v>
      </c>
      <c r="Z64" s="58" t="s">
        <v>202</v>
      </c>
      <c r="AA64" s="58" t="s">
        <v>202</v>
      </c>
      <c r="AB64" s="58" t="s">
        <v>202</v>
      </c>
      <c r="AC64" s="58" t="s">
        <v>202</v>
      </c>
      <c r="AD64" s="58" t="s">
        <v>202</v>
      </c>
      <c r="AE64" s="58" t="s">
        <v>202</v>
      </c>
      <c r="AF64" s="58" t="s">
        <v>202</v>
      </c>
      <c r="AG64" s="58" t="s">
        <v>202</v>
      </c>
      <c r="AH64" s="58" t="s">
        <v>202</v>
      </c>
      <c r="AI64" s="58" t="s">
        <v>202</v>
      </c>
      <c r="AJ64" s="58" t="s">
        <v>202</v>
      </c>
      <c r="AK64" s="58" t="s">
        <v>202</v>
      </c>
      <c r="AL64" s="58" t="s">
        <v>202</v>
      </c>
      <c r="AM64" s="58" t="s">
        <v>202</v>
      </c>
      <c r="AN64" s="58" t="s">
        <v>202</v>
      </c>
      <c r="AO64" s="58" t="s">
        <v>202</v>
      </c>
      <c r="AP64" s="58" t="s">
        <v>202</v>
      </c>
      <c r="AQ64" s="58" t="s">
        <v>202</v>
      </c>
      <c r="AR64" s="58" t="s">
        <v>202</v>
      </c>
      <c r="AS64" s="58" t="s">
        <v>202</v>
      </c>
      <c r="AT64" s="58" t="s">
        <v>202</v>
      </c>
      <c r="AU64" s="58" t="s">
        <v>202</v>
      </c>
      <c r="AV64" s="58" t="s">
        <v>202</v>
      </c>
      <c r="AW64" s="58" t="s">
        <v>202</v>
      </c>
      <c r="AX64" s="58" t="s">
        <v>202</v>
      </c>
      <c r="AY64" s="58" t="s">
        <v>202</v>
      </c>
      <c r="AZ64" s="58" t="s">
        <v>202</v>
      </c>
      <c r="BA64" s="58" t="s">
        <v>202</v>
      </c>
      <c r="BB64" s="58" t="s">
        <v>202</v>
      </c>
      <c r="BC64" s="58" t="s">
        <v>202</v>
      </c>
      <c r="BD64" s="58" t="s">
        <v>202</v>
      </c>
      <c r="BE64" s="58" t="s">
        <v>202</v>
      </c>
      <c r="BF64" s="58" t="s">
        <v>202</v>
      </c>
      <c r="BG64" s="58" t="s">
        <v>202</v>
      </c>
      <c r="BH64" s="58" t="s">
        <v>202</v>
      </c>
      <c r="BI64" s="58" t="s">
        <v>202</v>
      </c>
      <c r="BJ64" s="58" t="s">
        <v>202</v>
      </c>
      <c r="BK64" s="58" t="s">
        <v>202</v>
      </c>
      <c r="BL64" s="58" t="s">
        <v>202</v>
      </c>
      <c r="BM64" s="58" t="s">
        <v>202</v>
      </c>
      <c r="BN64" s="58" t="s">
        <v>202</v>
      </c>
      <c r="BO64" s="58" t="s">
        <v>202</v>
      </c>
      <c r="BP64" s="58" t="s">
        <v>202</v>
      </c>
      <c r="BQ64" s="58" t="s">
        <v>202</v>
      </c>
      <c r="BR64" s="59">
        <v>65848.452999999994</v>
      </c>
      <c r="BS64" s="58" t="s">
        <v>202</v>
      </c>
      <c r="BT64" s="59">
        <v>4383.799</v>
      </c>
      <c r="BU64" s="59">
        <v>32305.125</v>
      </c>
    </row>
    <row r="65" spans="1:73" x14ac:dyDescent="0.2">
      <c r="A65" s="56" t="s">
        <v>238</v>
      </c>
      <c r="B65" s="15">
        <v>111897.534</v>
      </c>
      <c r="C65" s="16" t="s">
        <v>202</v>
      </c>
      <c r="D65" s="16" t="s">
        <v>202</v>
      </c>
      <c r="E65" s="16" t="s">
        <v>202</v>
      </c>
      <c r="F65" s="16" t="s">
        <v>202</v>
      </c>
      <c r="G65" s="16" t="s">
        <v>202</v>
      </c>
      <c r="H65" s="16" t="s">
        <v>202</v>
      </c>
      <c r="I65" s="16" t="s">
        <v>202</v>
      </c>
      <c r="J65" s="16" t="s">
        <v>202</v>
      </c>
      <c r="K65" s="16" t="s">
        <v>202</v>
      </c>
      <c r="L65" s="16" t="s">
        <v>202</v>
      </c>
      <c r="M65" s="16" t="s">
        <v>202</v>
      </c>
      <c r="N65" s="16" t="s">
        <v>202</v>
      </c>
      <c r="O65" s="16" t="s">
        <v>202</v>
      </c>
      <c r="P65" s="16" t="s">
        <v>202</v>
      </c>
      <c r="Q65" s="16" t="s">
        <v>202</v>
      </c>
      <c r="R65" s="16" t="s">
        <v>202</v>
      </c>
      <c r="S65" s="16" t="s">
        <v>202</v>
      </c>
      <c r="T65" s="16" t="s">
        <v>202</v>
      </c>
      <c r="U65" s="16" t="s">
        <v>202</v>
      </c>
      <c r="V65" s="16" t="s">
        <v>202</v>
      </c>
      <c r="W65" s="16" t="s">
        <v>202</v>
      </c>
      <c r="X65" s="16" t="s">
        <v>202</v>
      </c>
      <c r="Y65" s="16" t="s">
        <v>202</v>
      </c>
      <c r="Z65" s="16" t="s">
        <v>202</v>
      </c>
      <c r="AA65" s="16" t="s">
        <v>202</v>
      </c>
      <c r="AB65" s="16" t="s">
        <v>202</v>
      </c>
      <c r="AC65" s="16" t="s">
        <v>202</v>
      </c>
      <c r="AD65" s="16" t="s">
        <v>202</v>
      </c>
      <c r="AE65" s="16" t="s">
        <v>202</v>
      </c>
      <c r="AF65" s="16" t="s">
        <v>202</v>
      </c>
      <c r="AG65" s="16" t="s">
        <v>202</v>
      </c>
      <c r="AH65" s="16" t="s">
        <v>202</v>
      </c>
      <c r="AI65" s="16" t="s">
        <v>202</v>
      </c>
      <c r="AJ65" s="16" t="s">
        <v>202</v>
      </c>
      <c r="AK65" s="16" t="s">
        <v>202</v>
      </c>
      <c r="AL65" s="16" t="s">
        <v>202</v>
      </c>
      <c r="AM65" s="16" t="s">
        <v>202</v>
      </c>
      <c r="AN65" s="16" t="s">
        <v>202</v>
      </c>
      <c r="AO65" s="16" t="s">
        <v>202</v>
      </c>
      <c r="AP65" s="16" t="s">
        <v>202</v>
      </c>
      <c r="AQ65" s="16" t="s">
        <v>202</v>
      </c>
      <c r="AR65" s="16" t="s">
        <v>202</v>
      </c>
      <c r="AS65" s="16" t="s">
        <v>202</v>
      </c>
      <c r="AT65" s="16" t="s">
        <v>202</v>
      </c>
      <c r="AU65" s="16" t="s">
        <v>202</v>
      </c>
      <c r="AV65" s="16" t="s">
        <v>202</v>
      </c>
      <c r="AW65" s="16" t="s">
        <v>202</v>
      </c>
      <c r="AX65" s="16" t="s">
        <v>202</v>
      </c>
      <c r="AY65" s="16" t="s">
        <v>202</v>
      </c>
      <c r="AZ65" s="16" t="s">
        <v>202</v>
      </c>
      <c r="BA65" s="16" t="s">
        <v>202</v>
      </c>
      <c r="BB65" s="16" t="s">
        <v>202</v>
      </c>
      <c r="BC65" s="16" t="s">
        <v>202</v>
      </c>
      <c r="BD65" s="16" t="s">
        <v>202</v>
      </c>
      <c r="BE65" s="16" t="s">
        <v>202</v>
      </c>
      <c r="BF65" s="16" t="s">
        <v>202</v>
      </c>
      <c r="BG65" s="16" t="s">
        <v>202</v>
      </c>
      <c r="BH65" s="16" t="s">
        <v>202</v>
      </c>
      <c r="BI65" s="16" t="s">
        <v>202</v>
      </c>
      <c r="BJ65" s="16" t="s">
        <v>202</v>
      </c>
      <c r="BK65" s="16" t="s">
        <v>202</v>
      </c>
      <c r="BL65" s="16" t="s">
        <v>202</v>
      </c>
      <c r="BM65" s="16" t="s">
        <v>202</v>
      </c>
      <c r="BN65" s="16" t="s">
        <v>202</v>
      </c>
      <c r="BO65" s="16" t="s">
        <v>202</v>
      </c>
      <c r="BP65" s="16" t="s">
        <v>202</v>
      </c>
      <c r="BQ65" s="16" t="s">
        <v>202</v>
      </c>
      <c r="BR65" s="15">
        <v>78532.501999999993</v>
      </c>
      <c r="BS65" s="15">
        <v>33365.031999999999</v>
      </c>
      <c r="BT65" s="15">
        <v>12552.495999999999</v>
      </c>
      <c r="BU65" s="15">
        <v>61696.627</v>
      </c>
    </row>
    <row r="66" spans="1:73" x14ac:dyDescent="0.2">
      <c r="A66" s="56" t="s">
        <v>239</v>
      </c>
      <c r="B66" s="59">
        <v>2900.4920000000002</v>
      </c>
      <c r="C66" s="58" t="s">
        <v>202</v>
      </c>
      <c r="D66" s="58" t="s">
        <v>202</v>
      </c>
      <c r="E66" s="58" t="s">
        <v>202</v>
      </c>
      <c r="F66" s="58" t="s">
        <v>202</v>
      </c>
      <c r="G66" s="58" t="s">
        <v>202</v>
      </c>
      <c r="H66" s="58" t="s">
        <v>202</v>
      </c>
      <c r="I66" s="58" t="s">
        <v>202</v>
      </c>
      <c r="J66" s="58" t="s">
        <v>202</v>
      </c>
      <c r="K66" s="58" t="s">
        <v>202</v>
      </c>
      <c r="L66" s="58" t="s">
        <v>202</v>
      </c>
      <c r="M66" s="58" t="s">
        <v>202</v>
      </c>
      <c r="N66" s="58" t="s">
        <v>202</v>
      </c>
      <c r="O66" s="58" t="s">
        <v>202</v>
      </c>
      <c r="P66" s="58" t="s">
        <v>202</v>
      </c>
      <c r="Q66" s="58" t="s">
        <v>202</v>
      </c>
      <c r="R66" s="58" t="s">
        <v>202</v>
      </c>
      <c r="S66" s="58" t="s">
        <v>202</v>
      </c>
      <c r="T66" s="58" t="s">
        <v>202</v>
      </c>
      <c r="U66" s="58" t="s">
        <v>202</v>
      </c>
      <c r="V66" s="58" t="s">
        <v>202</v>
      </c>
      <c r="W66" s="58" t="s">
        <v>202</v>
      </c>
      <c r="X66" s="58" t="s">
        <v>202</v>
      </c>
      <c r="Y66" s="58" t="s">
        <v>202</v>
      </c>
      <c r="Z66" s="58" t="s">
        <v>202</v>
      </c>
      <c r="AA66" s="58" t="s">
        <v>202</v>
      </c>
      <c r="AB66" s="58" t="s">
        <v>202</v>
      </c>
      <c r="AC66" s="58" t="s">
        <v>202</v>
      </c>
      <c r="AD66" s="58" t="s">
        <v>202</v>
      </c>
      <c r="AE66" s="58" t="s">
        <v>202</v>
      </c>
      <c r="AF66" s="58" t="s">
        <v>202</v>
      </c>
      <c r="AG66" s="58" t="s">
        <v>202</v>
      </c>
      <c r="AH66" s="58" t="s">
        <v>202</v>
      </c>
      <c r="AI66" s="58" t="s">
        <v>202</v>
      </c>
      <c r="AJ66" s="58" t="s">
        <v>202</v>
      </c>
      <c r="AK66" s="58" t="s">
        <v>202</v>
      </c>
      <c r="AL66" s="58" t="s">
        <v>202</v>
      </c>
      <c r="AM66" s="58" t="s">
        <v>202</v>
      </c>
      <c r="AN66" s="58" t="s">
        <v>202</v>
      </c>
      <c r="AO66" s="58" t="s">
        <v>202</v>
      </c>
      <c r="AP66" s="58" t="s">
        <v>202</v>
      </c>
      <c r="AQ66" s="58" t="s">
        <v>202</v>
      </c>
      <c r="AR66" s="58" t="s">
        <v>202</v>
      </c>
      <c r="AS66" s="58" t="s">
        <v>202</v>
      </c>
      <c r="AT66" s="58" t="s">
        <v>202</v>
      </c>
      <c r="AU66" s="58" t="s">
        <v>202</v>
      </c>
      <c r="AV66" s="58" t="s">
        <v>202</v>
      </c>
      <c r="AW66" s="58" t="s">
        <v>202</v>
      </c>
      <c r="AX66" s="58" t="s">
        <v>202</v>
      </c>
      <c r="AY66" s="58" t="s">
        <v>202</v>
      </c>
      <c r="AZ66" s="58" t="s">
        <v>202</v>
      </c>
      <c r="BA66" s="58" t="s">
        <v>202</v>
      </c>
      <c r="BB66" s="58" t="s">
        <v>202</v>
      </c>
      <c r="BC66" s="58" t="s">
        <v>202</v>
      </c>
      <c r="BD66" s="58" t="s">
        <v>202</v>
      </c>
      <c r="BE66" s="58" t="s">
        <v>202</v>
      </c>
      <c r="BF66" s="58" t="s">
        <v>202</v>
      </c>
      <c r="BG66" s="58" t="s">
        <v>202</v>
      </c>
      <c r="BH66" s="58" t="s">
        <v>202</v>
      </c>
      <c r="BI66" s="58" t="s">
        <v>202</v>
      </c>
      <c r="BJ66" s="58" t="s">
        <v>202</v>
      </c>
      <c r="BK66" s="58" t="s">
        <v>202</v>
      </c>
      <c r="BL66" s="58" t="s">
        <v>202</v>
      </c>
      <c r="BM66" s="58" t="s">
        <v>202</v>
      </c>
      <c r="BN66" s="58" t="s">
        <v>202</v>
      </c>
      <c r="BO66" s="58" t="s">
        <v>202</v>
      </c>
      <c r="BP66" s="58" t="s">
        <v>202</v>
      </c>
      <c r="BQ66" s="58" t="s">
        <v>202</v>
      </c>
      <c r="BR66" s="58" t="s">
        <v>202</v>
      </c>
      <c r="BS66" s="59">
        <v>2900.4920000000002</v>
      </c>
      <c r="BT66" s="59">
        <v>636.71400000000006</v>
      </c>
      <c r="BU66" s="59">
        <v>2014.106</v>
      </c>
    </row>
    <row r="67" spans="1:73" x14ac:dyDescent="0.2">
      <c r="A67" s="56" t="s">
        <v>240</v>
      </c>
      <c r="B67" s="17">
        <v>0</v>
      </c>
      <c r="C67" s="16" t="s">
        <v>202</v>
      </c>
      <c r="D67" s="16" t="s">
        <v>202</v>
      </c>
      <c r="E67" s="16" t="s">
        <v>202</v>
      </c>
      <c r="F67" s="16" t="s">
        <v>202</v>
      </c>
      <c r="G67" s="16" t="s">
        <v>202</v>
      </c>
      <c r="H67" s="16" t="s">
        <v>202</v>
      </c>
      <c r="I67" s="16" t="s">
        <v>202</v>
      </c>
      <c r="J67" s="16" t="s">
        <v>202</v>
      </c>
      <c r="K67" s="16" t="s">
        <v>202</v>
      </c>
      <c r="L67" s="16" t="s">
        <v>202</v>
      </c>
      <c r="M67" s="16" t="s">
        <v>202</v>
      </c>
      <c r="N67" s="16" t="s">
        <v>202</v>
      </c>
      <c r="O67" s="16" t="s">
        <v>202</v>
      </c>
      <c r="P67" s="16" t="s">
        <v>202</v>
      </c>
      <c r="Q67" s="16" t="s">
        <v>202</v>
      </c>
      <c r="R67" s="16" t="s">
        <v>202</v>
      </c>
      <c r="S67" s="16" t="s">
        <v>202</v>
      </c>
      <c r="T67" s="16" t="s">
        <v>202</v>
      </c>
      <c r="U67" s="16" t="s">
        <v>202</v>
      </c>
      <c r="V67" s="16" t="s">
        <v>202</v>
      </c>
      <c r="W67" s="16" t="s">
        <v>202</v>
      </c>
      <c r="X67" s="16" t="s">
        <v>202</v>
      </c>
      <c r="Y67" s="16" t="s">
        <v>202</v>
      </c>
      <c r="Z67" s="16" t="s">
        <v>202</v>
      </c>
      <c r="AA67" s="16" t="s">
        <v>202</v>
      </c>
      <c r="AB67" s="16" t="s">
        <v>202</v>
      </c>
      <c r="AC67" s="16" t="s">
        <v>202</v>
      </c>
      <c r="AD67" s="16" t="s">
        <v>202</v>
      </c>
      <c r="AE67" s="16" t="s">
        <v>202</v>
      </c>
      <c r="AF67" s="16" t="s">
        <v>202</v>
      </c>
      <c r="AG67" s="16" t="s">
        <v>202</v>
      </c>
      <c r="AH67" s="16" t="s">
        <v>202</v>
      </c>
      <c r="AI67" s="16" t="s">
        <v>202</v>
      </c>
      <c r="AJ67" s="16" t="s">
        <v>202</v>
      </c>
      <c r="AK67" s="16" t="s">
        <v>202</v>
      </c>
      <c r="AL67" s="16" t="s">
        <v>202</v>
      </c>
      <c r="AM67" s="16" t="s">
        <v>202</v>
      </c>
      <c r="AN67" s="16" t="s">
        <v>202</v>
      </c>
      <c r="AO67" s="16" t="s">
        <v>202</v>
      </c>
      <c r="AP67" s="16" t="s">
        <v>202</v>
      </c>
      <c r="AQ67" s="16" t="s">
        <v>202</v>
      </c>
      <c r="AR67" s="16" t="s">
        <v>202</v>
      </c>
      <c r="AS67" s="16" t="s">
        <v>202</v>
      </c>
      <c r="AT67" s="16" t="s">
        <v>202</v>
      </c>
      <c r="AU67" s="16" t="s">
        <v>202</v>
      </c>
      <c r="AV67" s="16" t="s">
        <v>202</v>
      </c>
      <c r="AW67" s="16" t="s">
        <v>202</v>
      </c>
      <c r="AX67" s="16" t="s">
        <v>202</v>
      </c>
      <c r="AY67" s="16" t="s">
        <v>202</v>
      </c>
      <c r="AZ67" s="16" t="s">
        <v>202</v>
      </c>
      <c r="BA67" s="16" t="s">
        <v>202</v>
      </c>
      <c r="BB67" s="16" t="s">
        <v>202</v>
      </c>
      <c r="BC67" s="16" t="s">
        <v>202</v>
      </c>
      <c r="BD67" s="16" t="s">
        <v>202</v>
      </c>
      <c r="BE67" s="16" t="s">
        <v>202</v>
      </c>
      <c r="BF67" s="16" t="s">
        <v>202</v>
      </c>
      <c r="BG67" s="16" t="s">
        <v>202</v>
      </c>
      <c r="BH67" s="16" t="s">
        <v>202</v>
      </c>
      <c r="BI67" s="16" t="s">
        <v>202</v>
      </c>
      <c r="BJ67" s="16" t="s">
        <v>202</v>
      </c>
      <c r="BK67" s="16" t="s">
        <v>202</v>
      </c>
      <c r="BL67" s="16" t="s">
        <v>202</v>
      </c>
      <c r="BM67" s="16" t="s">
        <v>202</v>
      </c>
      <c r="BN67" s="16" t="s">
        <v>202</v>
      </c>
      <c r="BO67" s="16" t="s">
        <v>202</v>
      </c>
      <c r="BP67" s="16" t="s">
        <v>202</v>
      </c>
      <c r="BQ67" s="16" t="s">
        <v>202</v>
      </c>
      <c r="BR67" s="16" t="s">
        <v>202</v>
      </c>
      <c r="BS67" s="17">
        <v>0</v>
      </c>
      <c r="BT67" s="17">
        <v>0</v>
      </c>
      <c r="BU67" s="17">
        <v>0</v>
      </c>
    </row>
    <row r="68" spans="1:73" x14ac:dyDescent="0.2">
      <c r="A68" s="56" t="s">
        <v>241</v>
      </c>
      <c r="B68" s="57">
        <v>0</v>
      </c>
      <c r="C68" s="58" t="s">
        <v>202</v>
      </c>
      <c r="D68" s="58" t="s">
        <v>202</v>
      </c>
      <c r="E68" s="58" t="s">
        <v>202</v>
      </c>
      <c r="F68" s="58" t="s">
        <v>202</v>
      </c>
      <c r="G68" s="58" t="s">
        <v>202</v>
      </c>
      <c r="H68" s="58" t="s">
        <v>202</v>
      </c>
      <c r="I68" s="58" t="s">
        <v>202</v>
      </c>
      <c r="J68" s="58" t="s">
        <v>202</v>
      </c>
      <c r="K68" s="58" t="s">
        <v>202</v>
      </c>
      <c r="L68" s="58" t="s">
        <v>202</v>
      </c>
      <c r="M68" s="58" t="s">
        <v>202</v>
      </c>
      <c r="N68" s="58" t="s">
        <v>202</v>
      </c>
      <c r="O68" s="58" t="s">
        <v>202</v>
      </c>
      <c r="P68" s="58" t="s">
        <v>202</v>
      </c>
      <c r="Q68" s="58" t="s">
        <v>202</v>
      </c>
      <c r="R68" s="58" t="s">
        <v>202</v>
      </c>
      <c r="S68" s="58" t="s">
        <v>202</v>
      </c>
      <c r="T68" s="58" t="s">
        <v>202</v>
      </c>
      <c r="U68" s="58" t="s">
        <v>202</v>
      </c>
      <c r="V68" s="58" t="s">
        <v>202</v>
      </c>
      <c r="W68" s="58" t="s">
        <v>202</v>
      </c>
      <c r="X68" s="58" t="s">
        <v>202</v>
      </c>
      <c r="Y68" s="58" t="s">
        <v>202</v>
      </c>
      <c r="Z68" s="58" t="s">
        <v>202</v>
      </c>
      <c r="AA68" s="58" t="s">
        <v>202</v>
      </c>
      <c r="AB68" s="58" t="s">
        <v>202</v>
      </c>
      <c r="AC68" s="58" t="s">
        <v>202</v>
      </c>
      <c r="AD68" s="58" t="s">
        <v>202</v>
      </c>
      <c r="AE68" s="58" t="s">
        <v>202</v>
      </c>
      <c r="AF68" s="58" t="s">
        <v>202</v>
      </c>
      <c r="AG68" s="58" t="s">
        <v>202</v>
      </c>
      <c r="AH68" s="58" t="s">
        <v>202</v>
      </c>
      <c r="AI68" s="58" t="s">
        <v>202</v>
      </c>
      <c r="AJ68" s="58" t="s">
        <v>202</v>
      </c>
      <c r="AK68" s="58" t="s">
        <v>202</v>
      </c>
      <c r="AL68" s="58" t="s">
        <v>202</v>
      </c>
      <c r="AM68" s="58" t="s">
        <v>202</v>
      </c>
      <c r="AN68" s="58" t="s">
        <v>202</v>
      </c>
      <c r="AO68" s="58" t="s">
        <v>202</v>
      </c>
      <c r="AP68" s="58" t="s">
        <v>202</v>
      </c>
      <c r="AQ68" s="58" t="s">
        <v>202</v>
      </c>
      <c r="AR68" s="58" t="s">
        <v>202</v>
      </c>
      <c r="AS68" s="58" t="s">
        <v>202</v>
      </c>
      <c r="AT68" s="58" t="s">
        <v>202</v>
      </c>
      <c r="AU68" s="58" t="s">
        <v>202</v>
      </c>
      <c r="AV68" s="58" t="s">
        <v>202</v>
      </c>
      <c r="AW68" s="58" t="s">
        <v>202</v>
      </c>
      <c r="AX68" s="58" t="s">
        <v>202</v>
      </c>
      <c r="AY68" s="58" t="s">
        <v>202</v>
      </c>
      <c r="AZ68" s="58" t="s">
        <v>202</v>
      </c>
      <c r="BA68" s="58" t="s">
        <v>202</v>
      </c>
      <c r="BB68" s="58" t="s">
        <v>202</v>
      </c>
      <c r="BC68" s="58" t="s">
        <v>202</v>
      </c>
      <c r="BD68" s="58" t="s">
        <v>202</v>
      </c>
      <c r="BE68" s="58" t="s">
        <v>202</v>
      </c>
      <c r="BF68" s="58" t="s">
        <v>202</v>
      </c>
      <c r="BG68" s="58" t="s">
        <v>202</v>
      </c>
      <c r="BH68" s="58" t="s">
        <v>202</v>
      </c>
      <c r="BI68" s="58" t="s">
        <v>202</v>
      </c>
      <c r="BJ68" s="58" t="s">
        <v>202</v>
      </c>
      <c r="BK68" s="58" t="s">
        <v>202</v>
      </c>
      <c r="BL68" s="58" t="s">
        <v>202</v>
      </c>
      <c r="BM68" s="58" t="s">
        <v>202</v>
      </c>
      <c r="BN68" s="58" t="s">
        <v>202</v>
      </c>
      <c r="BO68" s="58" t="s">
        <v>202</v>
      </c>
      <c r="BP68" s="58" t="s">
        <v>202</v>
      </c>
      <c r="BQ68" s="58" t="s">
        <v>202</v>
      </c>
      <c r="BR68" s="58" t="s">
        <v>202</v>
      </c>
      <c r="BS68" s="57">
        <v>0</v>
      </c>
      <c r="BT68" s="57">
        <v>0</v>
      </c>
      <c r="BU68" s="57">
        <v>0</v>
      </c>
    </row>
    <row r="69" spans="1:73" x14ac:dyDescent="0.2">
      <c r="A69" s="56" t="s">
        <v>242</v>
      </c>
      <c r="B69" s="17">
        <v>0</v>
      </c>
      <c r="C69" s="16" t="s">
        <v>202</v>
      </c>
      <c r="D69" s="16" t="s">
        <v>202</v>
      </c>
      <c r="E69" s="16" t="s">
        <v>202</v>
      </c>
      <c r="F69" s="16" t="s">
        <v>202</v>
      </c>
      <c r="G69" s="16" t="s">
        <v>202</v>
      </c>
      <c r="H69" s="16" t="s">
        <v>202</v>
      </c>
      <c r="I69" s="16" t="s">
        <v>202</v>
      </c>
      <c r="J69" s="16" t="s">
        <v>202</v>
      </c>
      <c r="K69" s="16" t="s">
        <v>202</v>
      </c>
      <c r="L69" s="16" t="s">
        <v>202</v>
      </c>
      <c r="M69" s="16" t="s">
        <v>202</v>
      </c>
      <c r="N69" s="16" t="s">
        <v>202</v>
      </c>
      <c r="O69" s="16" t="s">
        <v>202</v>
      </c>
      <c r="P69" s="16" t="s">
        <v>202</v>
      </c>
      <c r="Q69" s="16" t="s">
        <v>202</v>
      </c>
      <c r="R69" s="16" t="s">
        <v>202</v>
      </c>
      <c r="S69" s="16" t="s">
        <v>202</v>
      </c>
      <c r="T69" s="16" t="s">
        <v>202</v>
      </c>
      <c r="U69" s="16" t="s">
        <v>202</v>
      </c>
      <c r="V69" s="16" t="s">
        <v>202</v>
      </c>
      <c r="W69" s="16" t="s">
        <v>202</v>
      </c>
      <c r="X69" s="16" t="s">
        <v>202</v>
      </c>
      <c r="Y69" s="16" t="s">
        <v>202</v>
      </c>
      <c r="Z69" s="16" t="s">
        <v>202</v>
      </c>
      <c r="AA69" s="16" t="s">
        <v>202</v>
      </c>
      <c r="AB69" s="16" t="s">
        <v>202</v>
      </c>
      <c r="AC69" s="16" t="s">
        <v>202</v>
      </c>
      <c r="AD69" s="16" t="s">
        <v>202</v>
      </c>
      <c r="AE69" s="16" t="s">
        <v>202</v>
      </c>
      <c r="AF69" s="16" t="s">
        <v>202</v>
      </c>
      <c r="AG69" s="16" t="s">
        <v>202</v>
      </c>
      <c r="AH69" s="16" t="s">
        <v>202</v>
      </c>
      <c r="AI69" s="16" t="s">
        <v>202</v>
      </c>
      <c r="AJ69" s="16" t="s">
        <v>202</v>
      </c>
      <c r="AK69" s="16" t="s">
        <v>202</v>
      </c>
      <c r="AL69" s="16" t="s">
        <v>202</v>
      </c>
      <c r="AM69" s="16" t="s">
        <v>202</v>
      </c>
      <c r="AN69" s="16" t="s">
        <v>202</v>
      </c>
      <c r="AO69" s="16" t="s">
        <v>202</v>
      </c>
      <c r="AP69" s="16" t="s">
        <v>202</v>
      </c>
      <c r="AQ69" s="16" t="s">
        <v>202</v>
      </c>
      <c r="AR69" s="16" t="s">
        <v>202</v>
      </c>
      <c r="AS69" s="16" t="s">
        <v>202</v>
      </c>
      <c r="AT69" s="16" t="s">
        <v>202</v>
      </c>
      <c r="AU69" s="16" t="s">
        <v>202</v>
      </c>
      <c r="AV69" s="16" t="s">
        <v>202</v>
      </c>
      <c r="AW69" s="16" t="s">
        <v>202</v>
      </c>
      <c r="AX69" s="16" t="s">
        <v>202</v>
      </c>
      <c r="AY69" s="16" t="s">
        <v>202</v>
      </c>
      <c r="AZ69" s="16" t="s">
        <v>202</v>
      </c>
      <c r="BA69" s="16" t="s">
        <v>202</v>
      </c>
      <c r="BB69" s="16" t="s">
        <v>202</v>
      </c>
      <c r="BC69" s="16" t="s">
        <v>202</v>
      </c>
      <c r="BD69" s="16" t="s">
        <v>202</v>
      </c>
      <c r="BE69" s="16" t="s">
        <v>202</v>
      </c>
      <c r="BF69" s="16" t="s">
        <v>202</v>
      </c>
      <c r="BG69" s="16" t="s">
        <v>202</v>
      </c>
      <c r="BH69" s="16" t="s">
        <v>202</v>
      </c>
      <c r="BI69" s="16" t="s">
        <v>202</v>
      </c>
      <c r="BJ69" s="16" t="s">
        <v>202</v>
      </c>
      <c r="BK69" s="16" t="s">
        <v>202</v>
      </c>
      <c r="BL69" s="16" t="s">
        <v>202</v>
      </c>
      <c r="BM69" s="16" t="s">
        <v>202</v>
      </c>
      <c r="BN69" s="16" t="s">
        <v>202</v>
      </c>
      <c r="BO69" s="16" t="s">
        <v>202</v>
      </c>
      <c r="BP69" s="16" t="s">
        <v>202</v>
      </c>
      <c r="BQ69" s="16" t="s">
        <v>202</v>
      </c>
      <c r="BR69" s="17">
        <v>0</v>
      </c>
      <c r="BS69" s="16" t="s">
        <v>202</v>
      </c>
      <c r="BT69" s="17">
        <v>0</v>
      </c>
      <c r="BU69" s="17">
        <v>0</v>
      </c>
    </row>
    <row r="70" spans="1:73" x14ac:dyDescent="0.2">
      <c r="A70" s="56" t="s">
        <v>243</v>
      </c>
      <c r="B70" s="59">
        <v>10085.383</v>
      </c>
      <c r="C70" s="58" t="s">
        <v>202</v>
      </c>
      <c r="D70" s="58" t="s">
        <v>202</v>
      </c>
      <c r="E70" s="58" t="s">
        <v>202</v>
      </c>
      <c r="F70" s="58" t="s">
        <v>202</v>
      </c>
      <c r="G70" s="58" t="s">
        <v>202</v>
      </c>
      <c r="H70" s="58" t="s">
        <v>202</v>
      </c>
      <c r="I70" s="58" t="s">
        <v>202</v>
      </c>
      <c r="J70" s="58" t="s">
        <v>202</v>
      </c>
      <c r="K70" s="58" t="s">
        <v>202</v>
      </c>
      <c r="L70" s="58" t="s">
        <v>202</v>
      </c>
      <c r="M70" s="58" t="s">
        <v>202</v>
      </c>
      <c r="N70" s="58" t="s">
        <v>202</v>
      </c>
      <c r="O70" s="58" t="s">
        <v>202</v>
      </c>
      <c r="P70" s="58" t="s">
        <v>202</v>
      </c>
      <c r="Q70" s="58" t="s">
        <v>202</v>
      </c>
      <c r="R70" s="58" t="s">
        <v>202</v>
      </c>
      <c r="S70" s="58" t="s">
        <v>202</v>
      </c>
      <c r="T70" s="58" t="s">
        <v>202</v>
      </c>
      <c r="U70" s="58" t="s">
        <v>202</v>
      </c>
      <c r="V70" s="58" t="s">
        <v>202</v>
      </c>
      <c r="W70" s="58" t="s">
        <v>202</v>
      </c>
      <c r="X70" s="58" t="s">
        <v>202</v>
      </c>
      <c r="Y70" s="58" t="s">
        <v>202</v>
      </c>
      <c r="Z70" s="58" t="s">
        <v>202</v>
      </c>
      <c r="AA70" s="58" t="s">
        <v>202</v>
      </c>
      <c r="AB70" s="58" t="s">
        <v>202</v>
      </c>
      <c r="AC70" s="58" t="s">
        <v>202</v>
      </c>
      <c r="AD70" s="58" t="s">
        <v>202</v>
      </c>
      <c r="AE70" s="58" t="s">
        <v>202</v>
      </c>
      <c r="AF70" s="58" t="s">
        <v>202</v>
      </c>
      <c r="AG70" s="58" t="s">
        <v>202</v>
      </c>
      <c r="AH70" s="58" t="s">
        <v>202</v>
      </c>
      <c r="AI70" s="58" t="s">
        <v>202</v>
      </c>
      <c r="AJ70" s="58" t="s">
        <v>202</v>
      </c>
      <c r="AK70" s="58" t="s">
        <v>202</v>
      </c>
      <c r="AL70" s="58" t="s">
        <v>202</v>
      </c>
      <c r="AM70" s="58" t="s">
        <v>202</v>
      </c>
      <c r="AN70" s="58" t="s">
        <v>202</v>
      </c>
      <c r="AO70" s="58" t="s">
        <v>202</v>
      </c>
      <c r="AP70" s="58" t="s">
        <v>202</v>
      </c>
      <c r="AQ70" s="58" t="s">
        <v>202</v>
      </c>
      <c r="AR70" s="58" t="s">
        <v>202</v>
      </c>
      <c r="AS70" s="58" t="s">
        <v>202</v>
      </c>
      <c r="AT70" s="58" t="s">
        <v>202</v>
      </c>
      <c r="AU70" s="58" t="s">
        <v>202</v>
      </c>
      <c r="AV70" s="58" t="s">
        <v>202</v>
      </c>
      <c r="AW70" s="58" t="s">
        <v>202</v>
      </c>
      <c r="AX70" s="58" t="s">
        <v>202</v>
      </c>
      <c r="AY70" s="58" t="s">
        <v>202</v>
      </c>
      <c r="AZ70" s="58" t="s">
        <v>202</v>
      </c>
      <c r="BA70" s="58" t="s">
        <v>202</v>
      </c>
      <c r="BB70" s="58" t="s">
        <v>202</v>
      </c>
      <c r="BC70" s="58" t="s">
        <v>202</v>
      </c>
      <c r="BD70" s="58" t="s">
        <v>202</v>
      </c>
      <c r="BE70" s="58" t="s">
        <v>202</v>
      </c>
      <c r="BF70" s="58" t="s">
        <v>202</v>
      </c>
      <c r="BG70" s="58" t="s">
        <v>202</v>
      </c>
      <c r="BH70" s="58" t="s">
        <v>202</v>
      </c>
      <c r="BI70" s="58" t="s">
        <v>202</v>
      </c>
      <c r="BJ70" s="58" t="s">
        <v>202</v>
      </c>
      <c r="BK70" s="58" t="s">
        <v>202</v>
      </c>
      <c r="BL70" s="58" t="s">
        <v>202</v>
      </c>
      <c r="BM70" s="58" t="s">
        <v>202</v>
      </c>
      <c r="BN70" s="58" t="s">
        <v>202</v>
      </c>
      <c r="BO70" s="58" t="s">
        <v>202</v>
      </c>
      <c r="BP70" s="58" t="s">
        <v>202</v>
      </c>
      <c r="BQ70" s="58" t="s">
        <v>202</v>
      </c>
      <c r="BR70" s="59">
        <v>2054.2719999999999</v>
      </c>
      <c r="BS70" s="59">
        <v>8031.1109999999999</v>
      </c>
      <c r="BT70" s="59">
        <v>1899.7449999999999</v>
      </c>
      <c r="BU70" s="59">
        <v>6584.6379999999999</v>
      </c>
    </row>
    <row r="71" spans="1:73" x14ac:dyDescent="0.2">
      <c r="A71" s="56" t="s">
        <v>244</v>
      </c>
      <c r="B71" s="15">
        <v>68416.035000000003</v>
      </c>
      <c r="C71" s="15">
        <v>53399.764000000003</v>
      </c>
      <c r="D71" s="16" t="s">
        <v>202</v>
      </c>
      <c r="E71" s="16" t="s">
        <v>202</v>
      </c>
      <c r="F71" s="16" t="s">
        <v>202</v>
      </c>
      <c r="G71" s="16" t="s">
        <v>202</v>
      </c>
      <c r="H71" s="16" t="s">
        <v>202</v>
      </c>
      <c r="I71" s="15">
        <v>50186.705000000002</v>
      </c>
      <c r="J71" s="16" t="s">
        <v>202</v>
      </c>
      <c r="K71" s="16" t="s">
        <v>202</v>
      </c>
      <c r="L71" s="16" t="s">
        <v>202</v>
      </c>
      <c r="M71" s="17">
        <v>3213.06</v>
      </c>
      <c r="N71" s="15">
        <v>15016.271000000001</v>
      </c>
      <c r="O71" s="15">
        <v>15016.271000000001</v>
      </c>
      <c r="P71" s="16" t="s">
        <v>202</v>
      </c>
      <c r="Q71" s="16" t="s">
        <v>202</v>
      </c>
      <c r="R71" s="16" t="s">
        <v>202</v>
      </c>
      <c r="S71" s="16" t="s">
        <v>202</v>
      </c>
      <c r="T71" s="16" t="s">
        <v>202</v>
      </c>
      <c r="U71" s="16" t="s">
        <v>202</v>
      </c>
      <c r="V71" s="16" t="s">
        <v>202</v>
      </c>
      <c r="W71" s="16" t="s">
        <v>202</v>
      </c>
      <c r="X71" s="16" t="s">
        <v>202</v>
      </c>
      <c r="Y71" s="16" t="s">
        <v>202</v>
      </c>
      <c r="Z71" s="16" t="s">
        <v>202</v>
      </c>
      <c r="AA71" s="16" t="s">
        <v>202</v>
      </c>
      <c r="AB71" s="16" t="s">
        <v>202</v>
      </c>
      <c r="AC71" s="16" t="s">
        <v>202</v>
      </c>
      <c r="AD71" s="16" t="s">
        <v>202</v>
      </c>
      <c r="AE71" s="16" t="s">
        <v>202</v>
      </c>
      <c r="AF71" s="16" t="s">
        <v>202</v>
      </c>
      <c r="AG71" s="16" t="s">
        <v>202</v>
      </c>
      <c r="AH71" s="16" t="s">
        <v>202</v>
      </c>
      <c r="AI71" s="16" t="s">
        <v>202</v>
      </c>
      <c r="AJ71" s="16" t="s">
        <v>202</v>
      </c>
      <c r="AK71" s="16" t="s">
        <v>202</v>
      </c>
      <c r="AL71" s="16" t="s">
        <v>202</v>
      </c>
      <c r="AM71" s="16" t="s">
        <v>202</v>
      </c>
      <c r="AN71" s="16" t="s">
        <v>202</v>
      </c>
      <c r="AO71" s="16" t="s">
        <v>202</v>
      </c>
      <c r="AP71" s="16" t="s">
        <v>202</v>
      </c>
      <c r="AQ71" s="16" t="s">
        <v>202</v>
      </c>
      <c r="AR71" s="16" t="s">
        <v>202</v>
      </c>
      <c r="AS71" s="16" t="s">
        <v>202</v>
      </c>
      <c r="AT71" s="16" t="s">
        <v>202</v>
      </c>
      <c r="AU71" s="16" t="s">
        <v>202</v>
      </c>
      <c r="AV71" s="16" t="s">
        <v>202</v>
      </c>
      <c r="AW71" s="16" t="s">
        <v>202</v>
      </c>
      <c r="AX71" s="16" t="s">
        <v>202</v>
      </c>
      <c r="AY71" s="16" t="s">
        <v>202</v>
      </c>
      <c r="AZ71" s="16" t="s">
        <v>202</v>
      </c>
      <c r="BA71" s="16" t="s">
        <v>202</v>
      </c>
      <c r="BB71" s="16" t="s">
        <v>202</v>
      </c>
      <c r="BC71" s="16" t="s">
        <v>202</v>
      </c>
      <c r="BD71" s="16" t="s">
        <v>202</v>
      </c>
      <c r="BE71" s="16" t="s">
        <v>202</v>
      </c>
      <c r="BF71" s="16" t="s">
        <v>202</v>
      </c>
      <c r="BG71" s="16" t="s">
        <v>202</v>
      </c>
      <c r="BH71" s="16" t="s">
        <v>202</v>
      </c>
      <c r="BI71" s="16" t="s">
        <v>202</v>
      </c>
      <c r="BJ71" s="16" t="s">
        <v>202</v>
      </c>
      <c r="BK71" s="16" t="s">
        <v>202</v>
      </c>
      <c r="BL71" s="16" t="s">
        <v>202</v>
      </c>
      <c r="BM71" s="16" t="s">
        <v>202</v>
      </c>
      <c r="BN71" s="16" t="s">
        <v>202</v>
      </c>
      <c r="BO71" s="16" t="s">
        <v>202</v>
      </c>
      <c r="BP71" s="16" t="s">
        <v>202</v>
      </c>
      <c r="BQ71" s="16" t="s">
        <v>202</v>
      </c>
      <c r="BR71" s="16" t="s">
        <v>202</v>
      </c>
      <c r="BS71" s="16" t="s">
        <v>202</v>
      </c>
      <c r="BT71" s="17">
        <v>0</v>
      </c>
      <c r="BU71" s="15">
        <v>68416.035000000003</v>
      </c>
    </row>
    <row r="72" spans="1:73" x14ac:dyDescent="0.2">
      <c r="A72" s="56" t="s">
        <v>245</v>
      </c>
      <c r="B72" s="59">
        <v>27131.519</v>
      </c>
      <c r="C72" s="57">
        <v>0</v>
      </c>
      <c r="D72" s="58" t="s">
        <v>202</v>
      </c>
      <c r="E72" s="58" t="s">
        <v>202</v>
      </c>
      <c r="F72" s="58" t="s">
        <v>202</v>
      </c>
      <c r="G72" s="58" t="s">
        <v>202</v>
      </c>
      <c r="H72" s="58" t="s">
        <v>202</v>
      </c>
      <c r="I72" s="58" t="s">
        <v>202</v>
      </c>
      <c r="J72" s="58" t="s">
        <v>202</v>
      </c>
      <c r="K72" s="58" t="s">
        <v>202</v>
      </c>
      <c r="L72" s="58" t="s">
        <v>202</v>
      </c>
      <c r="M72" s="58" t="s">
        <v>202</v>
      </c>
      <c r="N72" s="59">
        <v>27131.519</v>
      </c>
      <c r="O72" s="58" t="s">
        <v>202</v>
      </c>
      <c r="P72" s="58" t="s">
        <v>202</v>
      </c>
      <c r="Q72" s="59">
        <v>27131.519</v>
      </c>
      <c r="R72" s="57">
        <v>0</v>
      </c>
      <c r="S72" s="58" t="s">
        <v>202</v>
      </c>
      <c r="T72" s="58" t="s">
        <v>202</v>
      </c>
      <c r="U72" s="58" t="s">
        <v>202</v>
      </c>
      <c r="V72" s="58" t="s">
        <v>202</v>
      </c>
      <c r="W72" s="58" t="s">
        <v>202</v>
      </c>
      <c r="X72" s="58" t="s">
        <v>202</v>
      </c>
      <c r="Y72" s="58" t="s">
        <v>202</v>
      </c>
      <c r="Z72" s="58" t="s">
        <v>202</v>
      </c>
      <c r="AA72" s="58" t="s">
        <v>202</v>
      </c>
      <c r="AB72" s="58" t="s">
        <v>202</v>
      </c>
      <c r="AC72" s="58" t="s">
        <v>202</v>
      </c>
      <c r="AD72" s="58" t="s">
        <v>202</v>
      </c>
      <c r="AE72" s="58" t="s">
        <v>202</v>
      </c>
      <c r="AF72" s="58" t="s">
        <v>202</v>
      </c>
      <c r="AG72" s="58" t="s">
        <v>202</v>
      </c>
      <c r="AH72" s="58" t="s">
        <v>202</v>
      </c>
      <c r="AI72" s="58" t="s">
        <v>202</v>
      </c>
      <c r="AJ72" s="58" t="s">
        <v>202</v>
      </c>
      <c r="AK72" s="58" t="s">
        <v>202</v>
      </c>
      <c r="AL72" s="58" t="s">
        <v>202</v>
      </c>
      <c r="AM72" s="58" t="s">
        <v>202</v>
      </c>
      <c r="AN72" s="58" t="s">
        <v>202</v>
      </c>
      <c r="AO72" s="58" t="s">
        <v>202</v>
      </c>
      <c r="AP72" s="58" t="s">
        <v>202</v>
      </c>
      <c r="AQ72" s="58" t="s">
        <v>202</v>
      </c>
      <c r="AR72" s="58" t="s">
        <v>202</v>
      </c>
      <c r="AS72" s="58" t="s">
        <v>202</v>
      </c>
      <c r="AT72" s="58" t="s">
        <v>202</v>
      </c>
      <c r="AU72" s="58" t="s">
        <v>202</v>
      </c>
      <c r="AV72" s="58" t="s">
        <v>202</v>
      </c>
      <c r="AW72" s="58" t="s">
        <v>202</v>
      </c>
      <c r="AX72" s="58" t="s">
        <v>202</v>
      </c>
      <c r="AY72" s="58" t="s">
        <v>202</v>
      </c>
      <c r="AZ72" s="58" t="s">
        <v>202</v>
      </c>
      <c r="BA72" s="58" t="s">
        <v>202</v>
      </c>
      <c r="BB72" s="58" t="s">
        <v>202</v>
      </c>
      <c r="BC72" s="58" t="s">
        <v>202</v>
      </c>
      <c r="BD72" s="58" t="s">
        <v>202</v>
      </c>
      <c r="BE72" s="58" t="s">
        <v>202</v>
      </c>
      <c r="BF72" s="58" t="s">
        <v>202</v>
      </c>
      <c r="BG72" s="58" t="s">
        <v>202</v>
      </c>
      <c r="BH72" s="58" t="s">
        <v>202</v>
      </c>
      <c r="BI72" s="58" t="s">
        <v>202</v>
      </c>
      <c r="BJ72" s="58" t="s">
        <v>202</v>
      </c>
      <c r="BK72" s="58" t="s">
        <v>202</v>
      </c>
      <c r="BL72" s="58" t="s">
        <v>202</v>
      </c>
      <c r="BM72" s="58" t="s">
        <v>202</v>
      </c>
      <c r="BN72" s="58" t="s">
        <v>202</v>
      </c>
      <c r="BO72" s="58" t="s">
        <v>202</v>
      </c>
      <c r="BP72" s="58" t="s">
        <v>202</v>
      </c>
      <c r="BQ72" s="58" t="s">
        <v>202</v>
      </c>
      <c r="BR72" s="58" t="s">
        <v>202</v>
      </c>
      <c r="BS72" s="58" t="s">
        <v>202</v>
      </c>
      <c r="BT72" s="57">
        <v>0</v>
      </c>
      <c r="BU72" s="59">
        <v>27131.519</v>
      </c>
    </row>
    <row r="73" spans="1:73" x14ac:dyDescent="0.2">
      <c r="A73" s="56" t="s">
        <v>246</v>
      </c>
      <c r="B73" s="17">
        <v>0</v>
      </c>
      <c r="C73" s="17">
        <v>0</v>
      </c>
      <c r="D73" s="16" t="s">
        <v>202</v>
      </c>
      <c r="E73" s="16" t="s">
        <v>202</v>
      </c>
      <c r="F73" s="16" t="s">
        <v>202</v>
      </c>
      <c r="G73" s="16" t="s">
        <v>202</v>
      </c>
      <c r="H73" s="16" t="s">
        <v>202</v>
      </c>
      <c r="I73" s="16" t="s">
        <v>202</v>
      </c>
      <c r="J73" s="17">
        <v>0</v>
      </c>
      <c r="K73" s="16" t="s">
        <v>202</v>
      </c>
      <c r="L73" s="16" t="s">
        <v>202</v>
      </c>
      <c r="M73" s="16" t="s">
        <v>202</v>
      </c>
      <c r="N73" s="17">
        <v>0</v>
      </c>
      <c r="O73" s="16" t="s">
        <v>202</v>
      </c>
      <c r="P73" s="17">
        <v>0</v>
      </c>
      <c r="Q73" s="16" t="s">
        <v>202</v>
      </c>
      <c r="R73" s="16" t="s">
        <v>202</v>
      </c>
      <c r="S73" s="16" t="s">
        <v>202</v>
      </c>
      <c r="T73" s="16" t="s">
        <v>202</v>
      </c>
      <c r="U73" s="16" t="s">
        <v>202</v>
      </c>
      <c r="V73" s="16" t="s">
        <v>202</v>
      </c>
      <c r="W73" s="16" t="s">
        <v>202</v>
      </c>
      <c r="X73" s="16" t="s">
        <v>202</v>
      </c>
      <c r="Y73" s="16" t="s">
        <v>202</v>
      </c>
      <c r="Z73" s="16" t="s">
        <v>202</v>
      </c>
      <c r="AA73" s="16" t="s">
        <v>202</v>
      </c>
      <c r="AB73" s="16" t="s">
        <v>202</v>
      </c>
      <c r="AC73" s="16" t="s">
        <v>202</v>
      </c>
      <c r="AD73" s="16" t="s">
        <v>202</v>
      </c>
      <c r="AE73" s="16" t="s">
        <v>202</v>
      </c>
      <c r="AF73" s="16" t="s">
        <v>202</v>
      </c>
      <c r="AG73" s="16" t="s">
        <v>202</v>
      </c>
      <c r="AH73" s="16" t="s">
        <v>202</v>
      </c>
      <c r="AI73" s="16" t="s">
        <v>202</v>
      </c>
      <c r="AJ73" s="16" t="s">
        <v>202</v>
      </c>
      <c r="AK73" s="16" t="s">
        <v>202</v>
      </c>
      <c r="AL73" s="16" t="s">
        <v>202</v>
      </c>
      <c r="AM73" s="16" t="s">
        <v>202</v>
      </c>
      <c r="AN73" s="16" t="s">
        <v>202</v>
      </c>
      <c r="AO73" s="16" t="s">
        <v>202</v>
      </c>
      <c r="AP73" s="16" t="s">
        <v>202</v>
      </c>
      <c r="AQ73" s="16" t="s">
        <v>202</v>
      </c>
      <c r="AR73" s="16" t="s">
        <v>202</v>
      </c>
      <c r="AS73" s="16" t="s">
        <v>202</v>
      </c>
      <c r="AT73" s="16" t="s">
        <v>202</v>
      </c>
      <c r="AU73" s="16" t="s">
        <v>202</v>
      </c>
      <c r="AV73" s="16" t="s">
        <v>202</v>
      </c>
      <c r="AW73" s="16" t="s">
        <v>202</v>
      </c>
      <c r="AX73" s="16" t="s">
        <v>202</v>
      </c>
      <c r="AY73" s="16" t="s">
        <v>202</v>
      </c>
      <c r="AZ73" s="16" t="s">
        <v>202</v>
      </c>
      <c r="BA73" s="16" t="s">
        <v>202</v>
      </c>
      <c r="BB73" s="16" t="s">
        <v>202</v>
      </c>
      <c r="BC73" s="16" t="s">
        <v>202</v>
      </c>
      <c r="BD73" s="16" t="s">
        <v>202</v>
      </c>
      <c r="BE73" s="16" t="s">
        <v>202</v>
      </c>
      <c r="BF73" s="16" t="s">
        <v>202</v>
      </c>
      <c r="BG73" s="16" t="s">
        <v>202</v>
      </c>
      <c r="BH73" s="16" t="s">
        <v>202</v>
      </c>
      <c r="BI73" s="16" t="s">
        <v>202</v>
      </c>
      <c r="BJ73" s="16" t="s">
        <v>202</v>
      </c>
      <c r="BK73" s="16" t="s">
        <v>202</v>
      </c>
      <c r="BL73" s="16" t="s">
        <v>202</v>
      </c>
      <c r="BM73" s="16" t="s">
        <v>202</v>
      </c>
      <c r="BN73" s="16" t="s">
        <v>202</v>
      </c>
      <c r="BO73" s="16" t="s">
        <v>202</v>
      </c>
      <c r="BP73" s="16" t="s">
        <v>202</v>
      </c>
      <c r="BQ73" s="16" t="s">
        <v>202</v>
      </c>
      <c r="BR73" s="16" t="s">
        <v>202</v>
      </c>
      <c r="BS73" s="16" t="s">
        <v>202</v>
      </c>
      <c r="BT73" s="17">
        <v>0</v>
      </c>
      <c r="BU73" s="17">
        <v>0</v>
      </c>
    </row>
    <row r="74" spans="1:73" x14ac:dyDescent="0.2">
      <c r="A74" s="56" t="s">
        <v>247</v>
      </c>
      <c r="B74" s="59">
        <v>4223873.2079999996</v>
      </c>
      <c r="C74" s="58" t="s">
        <v>202</v>
      </c>
      <c r="D74" s="58" t="s">
        <v>202</v>
      </c>
      <c r="E74" s="58" t="s">
        <v>202</v>
      </c>
      <c r="F74" s="58" t="s">
        <v>202</v>
      </c>
      <c r="G74" s="58" t="s">
        <v>202</v>
      </c>
      <c r="H74" s="58" t="s">
        <v>202</v>
      </c>
      <c r="I74" s="58" t="s">
        <v>202</v>
      </c>
      <c r="J74" s="58" t="s">
        <v>202</v>
      </c>
      <c r="K74" s="58" t="s">
        <v>202</v>
      </c>
      <c r="L74" s="58" t="s">
        <v>202</v>
      </c>
      <c r="M74" s="58" t="s">
        <v>202</v>
      </c>
      <c r="N74" s="58" t="s">
        <v>202</v>
      </c>
      <c r="O74" s="58" t="s">
        <v>202</v>
      </c>
      <c r="P74" s="58" t="s">
        <v>202</v>
      </c>
      <c r="Q74" s="58" t="s">
        <v>202</v>
      </c>
      <c r="R74" s="58" t="s">
        <v>202</v>
      </c>
      <c r="S74" s="58" t="s">
        <v>202</v>
      </c>
      <c r="T74" s="58" t="s">
        <v>202</v>
      </c>
      <c r="U74" s="58" t="s">
        <v>202</v>
      </c>
      <c r="V74" s="58" t="s">
        <v>202</v>
      </c>
      <c r="W74" s="58" t="s">
        <v>202</v>
      </c>
      <c r="X74" s="59">
        <v>4223865.1890000002</v>
      </c>
      <c r="Y74" s="59">
        <v>77534.907000000007</v>
      </c>
      <c r="Z74" s="59">
        <v>193698.97500000001</v>
      </c>
      <c r="AA74" s="57">
        <v>366286</v>
      </c>
      <c r="AB74" s="57">
        <v>0</v>
      </c>
      <c r="AC74" s="57">
        <v>0</v>
      </c>
      <c r="AD74" s="59">
        <v>296327.21299999999</v>
      </c>
      <c r="AE74" s="57">
        <v>0</v>
      </c>
      <c r="AF74" s="59">
        <v>72539.956000000006</v>
      </c>
      <c r="AG74" s="59">
        <v>522616.924</v>
      </c>
      <c r="AH74" s="59">
        <v>2822.6170000000002</v>
      </c>
      <c r="AI74" s="59">
        <v>768692.41700000002</v>
      </c>
      <c r="AJ74" s="57">
        <v>0</v>
      </c>
      <c r="AK74" s="59">
        <v>390466.48700000002</v>
      </c>
      <c r="AL74" s="59">
        <v>17238.868999999999</v>
      </c>
      <c r="AM74" s="59">
        <v>856335.598</v>
      </c>
      <c r="AN74" s="57">
        <v>430034.38</v>
      </c>
      <c r="AO74" s="57">
        <v>96344.52</v>
      </c>
      <c r="AP74" s="59">
        <v>44182.722999999998</v>
      </c>
      <c r="AQ74" s="59">
        <v>410.98099999999999</v>
      </c>
      <c r="AR74" s="59">
        <v>16671.462</v>
      </c>
      <c r="AS74" s="59">
        <v>37052.463000000003</v>
      </c>
      <c r="AT74" s="59">
        <v>34608.697</v>
      </c>
      <c r="AU74" s="59">
        <v>8.0190000000000001</v>
      </c>
      <c r="AV74" s="58" t="s">
        <v>202</v>
      </c>
      <c r="AW74" s="58" t="s">
        <v>202</v>
      </c>
      <c r="AX74" s="58" t="s">
        <v>202</v>
      </c>
      <c r="AY74" s="58" t="s">
        <v>202</v>
      </c>
      <c r="AZ74" s="58" t="s">
        <v>202</v>
      </c>
      <c r="BA74" s="58" t="s">
        <v>202</v>
      </c>
      <c r="BB74" s="58" t="s">
        <v>202</v>
      </c>
      <c r="BC74" s="58" t="s">
        <v>202</v>
      </c>
      <c r="BD74" s="58" t="s">
        <v>202</v>
      </c>
      <c r="BE74" s="58" t="s">
        <v>202</v>
      </c>
      <c r="BF74" s="59">
        <v>8.0190000000000001</v>
      </c>
      <c r="BG74" s="58" t="s">
        <v>202</v>
      </c>
      <c r="BH74" s="57">
        <v>0</v>
      </c>
      <c r="BI74" s="58" t="s">
        <v>202</v>
      </c>
      <c r="BJ74" s="57">
        <v>0</v>
      </c>
      <c r="BK74" s="58" t="s">
        <v>202</v>
      </c>
      <c r="BL74" s="58" t="s">
        <v>202</v>
      </c>
      <c r="BM74" s="58" t="s">
        <v>202</v>
      </c>
      <c r="BN74" s="58" t="s">
        <v>202</v>
      </c>
      <c r="BO74" s="58" t="s">
        <v>202</v>
      </c>
      <c r="BP74" s="58" t="s">
        <v>202</v>
      </c>
      <c r="BQ74" s="58" t="s">
        <v>202</v>
      </c>
      <c r="BR74" s="58" t="s">
        <v>202</v>
      </c>
      <c r="BS74" s="58" t="s">
        <v>202</v>
      </c>
      <c r="BT74" s="59">
        <v>8.0190000000000001</v>
      </c>
      <c r="BU74" s="59">
        <v>4223865.1890000002</v>
      </c>
    </row>
    <row r="75" spans="1:73" x14ac:dyDescent="0.2">
      <c r="A75" s="56" t="s">
        <v>248</v>
      </c>
      <c r="B75" s="17">
        <v>2612491.08</v>
      </c>
      <c r="C75" s="16" t="s">
        <v>202</v>
      </c>
      <c r="D75" s="16" t="s">
        <v>202</v>
      </c>
      <c r="E75" s="16" t="s">
        <v>202</v>
      </c>
      <c r="F75" s="16" t="s">
        <v>202</v>
      </c>
      <c r="G75" s="16" t="s">
        <v>202</v>
      </c>
      <c r="H75" s="16" t="s">
        <v>202</v>
      </c>
      <c r="I75" s="16" t="s">
        <v>202</v>
      </c>
      <c r="J75" s="16" t="s">
        <v>202</v>
      </c>
      <c r="K75" s="16" t="s">
        <v>202</v>
      </c>
      <c r="L75" s="16" t="s">
        <v>202</v>
      </c>
      <c r="M75" s="16" t="s">
        <v>202</v>
      </c>
      <c r="N75" s="16" t="s">
        <v>202</v>
      </c>
      <c r="O75" s="16" t="s">
        <v>202</v>
      </c>
      <c r="P75" s="16" t="s">
        <v>202</v>
      </c>
      <c r="Q75" s="16" t="s">
        <v>202</v>
      </c>
      <c r="R75" s="16" t="s">
        <v>202</v>
      </c>
      <c r="S75" s="16" t="s">
        <v>202</v>
      </c>
      <c r="T75" s="16" t="s">
        <v>202</v>
      </c>
      <c r="U75" s="16" t="s">
        <v>202</v>
      </c>
      <c r="V75" s="16" t="s">
        <v>202</v>
      </c>
      <c r="W75" s="16" t="s">
        <v>202</v>
      </c>
      <c r="X75" s="17">
        <v>2612491.08</v>
      </c>
      <c r="Y75" s="16" t="s">
        <v>202</v>
      </c>
      <c r="Z75" s="16" t="s">
        <v>202</v>
      </c>
      <c r="AA75" s="16" t="s">
        <v>202</v>
      </c>
      <c r="AB75" s="16" t="s">
        <v>202</v>
      </c>
      <c r="AC75" s="16" t="s">
        <v>202</v>
      </c>
      <c r="AD75" s="15">
        <v>106955.94899999999</v>
      </c>
      <c r="AE75" s="17">
        <v>0</v>
      </c>
      <c r="AF75" s="15">
        <v>58217.031999999999</v>
      </c>
      <c r="AG75" s="15">
        <v>484137.277</v>
      </c>
      <c r="AH75" s="15">
        <v>2822.6170000000002</v>
      </c>
      <c r="AI75" s="15">
        <v>194758.60800000001</v>
      </c>
      <c r="AJ75" s="17">
        <v>0</v>
      </c>
      <c r="AK75" s="15">
        <v>345850.30800000002</v>
      </c>
      <c r="AL75" s="15">
        <v>17190.671999999999</v>
      </c>
      <c r="AM75" s="15">
        <v>854700.48400000005</v>
      </c>
      <c r="AN75" s="17">
        <v>393140.03</v>
      </c>
      <c r="AO75" s="15">
        <v>39900.258000000002</v>
      </c>
      <c r="AP75" s="17">
        <v>42858.58</v>
      </c>
      <c r="AQ75" s="17">
        <v>0</v>
      </c>
      <c r="AR75" s="15">
        <v>16671.462</v>
      </c>
      <c r="AS75" s="15">
        <v>37052.463000000003</v>
      </c>
      <c r="AT75" s="15">
        <v>18235.339</v>
      </c>
      <c r="AU75" s="16" t="s">
        <v>202</v>
      </c>
      <c r="AV75" s="16" t="s">
        <v>202</v>
      </c>
      <c r="AW75" s="16" t="s">
        <v>202</v>
      </c>
      <c r="AX75" s="16" t="s">
        <v>202</v>
      </c>
      <c r="AY75" s="16" t="s">
        <v>202</v>
      </c>
      <c r="AZ75" s="16" t="s">
        <v>202</v>
      </c>
      <c r="BA75" s="16" t="s">
        <v>202</v>
      </c>
      <c r="BB75" s="16" t="s">
        <v>202</v>
      </c>
      <c r="BC75" s="16" t="s">
        <v>202</v>
      </c>
      <c r="BD75" s="16" t="s">
        <v>202</v>
      </c>
      <c r="BE75" s="16" t="s">
        <v>202</v>
      </c>
      <c r="BF75" s="16" t="s">
        <v>202</v>
      </c>
      <c r="BG75" s="16" t="s">
        <v>202</v>
      </c>
      <c r="BH75" s="16" t="s">
        <v>202</v>
      </c>
      <c r="BI75" s="16" t="s">
        <v>202</v>
      </c>
      <c r="BJ75" s="16" t="s">
        <v>202</v>
      </c>
      <c r="BK75" s="16" t="s">
        <v>202</v>
      </c>
      <c r="BL75" s="16" t="s">
        <v>202</v>
      </c>
      <c r="BM75" s="16" t="s">
        <v>202</v>
      </c>
      <c r="BN75" s="16" t="s">
        <v>202</v>
      </c>
      <c r="BO75" s="16" t="s">
        <v>202</v>
      </c>
      <c r="BP75" s="16" t="s">
        <v>202</v>
      </c>
      <c r="BQ75" s="16" t="s">
        <v>202</v>
      </c>
      <c r="BR75" s="16" t="s">
        <v>202</v>
      </c>
      <c r="BS75" s="16" t="s">
        <v>202</v>
      </c>
      <c r="BT75" s="17">
        <v>0</v>
      </c>
      <c r="BU75" s="17">
        <v>2612491.08</v>
      </c>
    </row>
    <row r="76" spans="1:73" x14ac:dyDescent="0.2">
      <c r="A76" s="56" t="s">
        <v>249</v>
      </c>
      <c r="B76" s="59">
        <v>147464.37599999999</v>
      </c>
      <c r="C76" s="58" t="s">
        <v>202</v>
      </c>
      <c r="D76" s="58" t="s">
        <v>202</v>
      </c>
      <c r="E76" s="58" t="s">
        <v>202</v>
      </c>
      <c r="F76" s="58" t="s">
        <v>202</v>
      </c>
      <c r="G76" s="58" t="s">
        <v>202</v>
      </c>
      <c r="H76" s="58" t="s">
        <v>202</v>
      </c>
      <c r="I76" s="58" t="s">
        <v>202</v>
      </c>
      <c r="J76" s="58" t="s">
        <v>202</v>
      </c>
      <c r="K76" s="58" t="s">
        <v>202</v>
      </c>
      <c r="L76" s="58" t="s">
        <v>202</v>
      </c>
      <c r="M76" s="58" t="s">
        <v>202</v>
      </c>
      <c r="N76" s="58" t="s">
        <v>202</v>
      </c>
      <c r="O76" s="58" t="s">
        <v>202</v>
      </c>
      <c r="P76" s="58" t="s">
        <v>202</v>
      </c>
      <c r="Q76" s="58" t="s">
        <v>202</v>
      </c>
      <c r="R76" s="58" t="s">
        <v>202</v>
      </c>
      <c r="S76" s="58" t="s">
        <v>202</v>
      </c>
      <c r="T76" s="58" t="s">
        <v>202</v>
      </c>
      <c r="U76" s="58" t="s">
        <v>202</v>
      </c>
      <c r="V76" s="58" t="s">
        <v>202</v>
      </c>
      <c r="W76" s="58" t="s">
        <v>202</v>
      </c>
      <c r="X76" s="59">
        <v>147464.37599999999</v>
      </c>
      <c r="Y76" s="58" t="s">
        <v>202</v>
      </c>
      <c r="Z76" s="58" t="s">
        <v>202</v>
      </c>
      <c r="AA76" s="59">
        <v>147464.37599999999</v>
      </c>
      <c r="AB76" s="58" t="s">
        <v>202</v>
      </c>
      <c r="AC76" s="58" t="s">
        <v>202</v>
      </c>
      <c r="AD76" s="58" t="s">
        <v>202</v>
      </c>
      <c r="AE76" s="58" t="s">
        <v>202</v>
      </c>
      <c r="AF76" s="58" t="s">
        <v>202</v>
      </c>
      <c r="AG76" s="58" t="s">
        <v>202</v>
      </c>
      <c r="AH76" s="58" t="s">
        <v>202</v>
      </c>
      <c r="AI76" s="58" t="s">
        <v>202</v>
      </c>
      <c r="AJ76" s="58" t="s">
        <v>202</v>
      </c>
      <c r="AK76" s="58" t="s">
        <v>202</v>
      </c>
      <c r="AL76" s="58" t="s">
        <v>202</v>
      </c>
      <c r="AM76" s="58" t="s">
        <v>202</v>
      </c>
      <c r="AN76" s="58" t="s">
        <v>202</v>
      </c>
      <c r="AO76" s="58" t="s">
        <v>202</v>
      </c>
      <c r="AP76" s="58" t="s">
        <v>202</v>
      </c>
      <c r="AQ76" s="58" t="s">
        <v>202</v>
      </c>
      <c r="AR76" s="58" t="s">
        <v>202</v>
      </c>
      <c r="AS76" s="58" t="s">
        <v>202</v>
      </c>
      <c r="AT76" s="58" t="s">
        <v>202</v>
      </c>
      <c r="AU76" s="58" t="s">
        <v>202</v>
      </c>
      <c r="AV76" s="58" t="s">
        <v>202</v>
      </c>
      <c r="AW76" s="58" t="s">
        <v>202</v>
      </c>
      <c r="AX76" s="58" t="s">
        <v>202</v>
      </c>
      <c r="AY76" s="58" t="s">
        <v>202</v>
      </c>
      <c r="AZ76" s="58" t="s">
        <v>202</v>
      </c>
      <c r="BA76" s="58" t="s">
        <v>202</v>
      </c>
      <c r="BB76" s="58" t="s">
        <v>202</v>
      </c>
      <c r="BC76" s="58" t="s">
        <v>202</v>
      </c>
      <c r="BD76" s="58" t="s">
        <v>202</v>
      </c>
      <c r="BE76" s="58" t="s">
        <v>202</v>
      </c>
      <c r="BF76" s="58" t="s">
        <v>202</v>
      </c>
      <c r="BG76" s="58" t="s">
        <v>202</v>
      </c>
      <c r="BH76" s="58" t="s">
        <v>202</v>
      </c>
      <c r="BI76" s="58" t="s">
        <v>202</v>
      </c>
      <c r="BJ76" s="58" t="s">
        <v>202</v>
      </c>
      <c r="BK76" s="58" t="s">
        <v>202</v>
      </c>
      <c r="BL76" s="58" t="s">
        <v>202</v>
      </c>
      <c r="BM76" s="58" t="s">
        <v>202</v>
      </c>
      <c r="BN76" s="58" t="s">
        <v>202</v>
      </c>
      <c r="BO76" s="58" t="s">
        <v>202</v>
      </c>
      <c r="BP76" s="58" t="s">
        <v>202</v>
      </c>
      <c r="BQ76" s="58" t="s">
        <v>202</v>
      </c>
      <c r="BR76" s="58" t="s">
        <v>202</v>
      </c>
      <c r="BS76" s="58" t="s">
        <v>202</v>
      </c>
      <c r="BT76" s="57">
        <v>0</v>
      </c>
      <c r="BU76" s="59">
        <v>147464.37599999999</v>
      </c>
    </row>
    <row r="77" spans="1:73" x14ac:dyDescent="0.2">
      <c r="A77" s="56" t="s">
        <v>250</v>
      </c>
      <c r="B77" s="15">
        <v>218821.62400000001</v>
      </c>
      <c r="C77" s="16" t="s">
        <v>202</v>
      </c>
      <c r="D77" s="16" t="s">
        <v>202</v>
      </c>
      <c r="E77" s="16" t="s">
        <v>202</v>
      </c>
      <c r="F77" s="16" t="s">
        <v>202</v>
      </c>
      <c r="G77" s="16" t="s">
        <v>202</v>
      </c>
      <c r="H77" s="16" t="s">
        <v>202</v>
      </c>
      <c r="I77" s="16" t="s">
        <v>202</v>
      </c>
      <c r="J77" s="16" t="s">
        <v>202</v>
      </c>
      <c r="K77" s="16" t="s">
        <v>202</v>
      </c>
      <c r="L77" s="16" t="s">
        <v>202</v>
      </c>
      <c r="M77" s="16" t="s">
        <v>202</v>
      </c>
      <c r="N77" s="16" t="s">
        <v>202</v>
      </c>
      <c r="O77" s="16" t="s">
        <v>202</v>
      </c>
      <c r="P77" s="16" t="s">
        <v>202</v>
      </c>
      <c r="Q77" s="16" t="s">
        <v>202</v>
      </c>
      <c r="R77" s="16" t="s">
        <v>202</v>
      </c>
      <c r="S77" s="16" t="s">
        <v>202</v>
      </c>
      <c r="T77" s="16" t="s">
        <v>202</v>
      </c>
      <c r="U77" s="16" t="s">
        <v>202</v>
      </c>
      <c r="V77" s="16" t="s">
        <v>202</v>
      </c>
      <c r="W77" s="16" t="s">
        <v>202</v>
      </c>
      <c r="X77" s="15">
        <v>218821.62400000001</v>
      </c>
      <c r="Y77" s="16" t="s">
        <v>202</v>
      </c>
      <c r="Z77" s="16" t="s">
        <v>202</v>
      </c>
      <c r="AA77" s="15">
        <v>218821.62400000001</v>
      </c>
      <c r="AB77" s="16" t="s">
        <v>202</v>
      </c>
      <c r="AC77" s="16" t="s">
        <v>202</v>
      </c>
      <c r="AD77" s="16" t="s">
        <v>202</v>
      </c>
      <c r="AE77" s="16" t="s">
        <v>202</v>
      </c>
      <c r="AF77" s="16" t="s">
        <v>202</v>
      </c>
      <c r="AG77" s="16" t="s">
        <v>202</v>
      </c>
      <c r="AH77" s="16" t="s">
        <v>202</v>
      </c>
      <c r="AI77" s="16" t="s">
        <v>202</v>
      </c>
      <c r="AJ77" s="16" t="s">
        <v>202</v>
      </c>
      <c r="AK77" s="16" t="s">
        <v>202</v>
      </c>
      <c r="AL77" s="16" t="s">
        <v>202</v>
      </c>
      <c r="AM77" s="16" t="s">
        <v>202</v>
      </c>
      <c r="AN77" s="16" t="s">
        <v>202</v>
      </c>
      <c r="AO77" s="16" t="s">
        <v>202</v>
      </c>
      <c r="AP77" s="16" t="s">
        <v>202</v>
      </c>
      <c r="AQ77" s="16" t="s">
        <v>202</v>
      </c>
      <c r="AR77" s="16" t="s">
        <v>202</v>
      </c>
      <c r="AS77" s="16" t="s">
        <v>202</v>
      </c>
      <c r="AT77" s="16" t="s">
        <v>202</v>
      </c>
      <c r="AU77" s="16" t="s">
        <v>202</v>
      </c>
      <c r="AV77" s="16" t="s">
        <v>202</v>
      </c>
      <c r="AW77" s="16" t="s">
        <v>202</v>
      </c>
      <c r="AX77" s="16" t="s">
        <v>202</v>
      </c>
      <c r="AY77" s="16" t="s">
        <v>202</v>
      </c>
      <c r="AZ77" s="16" t="s">
        <v>202</v>
      </c>
      <c r="BA77" s="16" t="s">
        <v>202</v>
      </c>
      <c r="BB77" s="16" t="s">
        <v>202</v>
      </c>
      <c r="BC77" s="16" t="s">
        <v>202</v>
      </c>
      <c r="BD77" s="16" t="s">
        <v>202</v>
      </c>
      <c r="BE77" s="16" t="s">
        <v>202</v>
      </c>
      <c r="BF77" s="16" t="s">
        <v>202</v>
      </c>
      <c r="BG77" s="16" t="s">
        <v>202</v>
      </c>
      <c r="BH77" s="16" t="s">
        <v>202</v>
      </c>
      <c r="BI77" s="16" t="s">
        <v>202</v>
      </c>
      <c r="BJ77" s="16" t="s">
        <v>202</v>
      </c>
      <c r="BK77" s="16" t="s">
        <v>202</v>
      </c>
      <c r="BL77" s="16" t="s">
        <v>202</v>
      </c>
      <c r="BM77" s="16" t="s">
        <v>202</v>
      </c>
      <c r="BN77" s="16" t="s">
        <v>202</v>
      </c>
      <c r="BO77" s="16" t="s">
        <v>202</v>
      </c>
      <c r="BP77" s="16" t="s">
        <v>202</v>
      </c>
      <c r="BQ77" s="16" t="s">
        <v>202</v>
      </c>
      <c r="BR77" s="16" t="s">
        <v>202</v>
      </c>
      <c r="BS77" s="16" t="s">
        <v>202</v>
      </c>
      <c r="BT77" s="17">
        <v>0</v>
      </c>
      <c r="BU77" s="15">
        <v>218821.62400000001</v>
      </c>
    </row>
    <row r="78" spans="1:73" x14ac:dyDescent="0.2">
      <c r="A78" s="56" t="s">
        <v>251</v>
      </c>
      <c r="B78" s="59">
        <v>642290.23400000005</v>
      </c>
      <c r="C78" s="58" t="s">
        <v>202</v>
      </c>
      <c r="D78" s="58" t="s">
        <v>202</v>
      </c>
      <c r="E78" s="58" t="s">
        <v>202</v>
      </c>
      <c r="F78" s="58" t="s">
        <v>202</v>
      </c>
      <c r="G78" s="58" t="s">
        <v>202</v>
      </c>
      <c r="H78" s="58" t="s">
        <v>202</v>
      </c>
      <c r="I78" s="58" t="s">
        <v>202</v>
      </c>
      <c r="J78" s="58" t="s">
        <v>202</v>
      </c>
      <c r="K78" s="58" t="s">
        <v>202</v>
      </c>
      <c r="L78" s="58" t="s">
        <v>202</v>
      </c>
      <c r="M78" s="58" t="s">
        <v>202</v>
      </c>
      <c r="N78" s="58" t="s">
        <v>202</v>
      </c>
      <c r="O78" s="58" t="s">
        <v>202</v>
      </c>
      <c r="P78" s="58" t="s">
        <v>202</v>
      </c>
      <c r="Q78" s="58" t="s">
        <v>202</v>
      </c>
      <c r="R78" s="58" t="s">
        <v>202</v>
      </c>
      <c r="S78" s="58" t="s">
        <v>202</v>
      </c>
      <c r="T78" s="58" t="s">
        <v>202</v>
      </c>
      <c r="U78" s="58" t="s">
        <v>202</v>
      </c>
      <c r="V78" s="58" t="s">
        <v>202</v>
      </c>
      <c r="W78" s="58" t="s">
        <v>202</v>
      </c>
      <c r="X78" s="59">
        <v>642290.23400000005</v>
      </c>
      <c r="Y78" s="57">
        <v>0</v>
      </c>
      <c r="Z78" s="57">
        <v>0</v>
      </c>
      <c r="AA78" s="58" t="s">
        <v>202</v>
      </c>
      <c r="AB78" s="58" t="s">
        <v>202</v>
      </c>
      <c r="AC78" s="58" t="s">
        <v>202</v>
      </c>
      <c r="AD78" s="57">
        <v>0</v>
      </c>
      <c r="AE78" s="57">
        <v>0</v>
      </c>
      <c r="AF78" s="57">
        <v>0</v>
      </c>
      <c r="AG78" s="57">
        <v>0</v>
      </c>
      <c r="AH78" s="57">
        <v>0</v>
      </c>
      <c r="AI78" s="59">
        <v>552227.174</v>
      </c>
      <c r="AJ78" s="57">
        <v>0</v>
      </c>
      <c r="AK78" s="59">
        <v>44616.178999999996</v>
      </c>
      <c r="AL78" s="57">
        <v>0</v>
      </c>
      <c r="AM78" s="57">
        <v>0</v>
      </c>
      <c r="AN78" s="57">
        <v>36894.35</v>
      </c>
      <c r="AO78" s="57">
        <v>0</v>
      </c>
      <c r="AP78" s="57">
        <v>0</v>
      </c>
      <c r="AQ78" s="57">
        <v>404.15</v>
      </c>
      <c r="AR78" s="57">
        <v>0</v>
      </c>
      <c r="AS78" s="57">
        <v>0</v>
      </c>
      <c r="AT78" s="59">
        <v>8148.3810000000003</v>
      </c>
      <c r="AU78" s="57">
        <v>0</v>
      </c>
      <c r="AV78" s="58" t="s">
        <v>202</v>
      </c>
      <c r="AW78" s="58" t="s">
        <v>202</v>
      </c>
      <c r="AX78" s="58" t="s">
        <v>202</v>
      </c>
      <c r="AY78" s="58" t="s">
        <v>202</v>
      </c>
      <c r="AZ78" s="58" t="s">
        <v>202</v>
      </c>
      <c r="BA78" s="58" t="s">
        <v>202</v>
      </c>
      <c r="BB78" s="58" t="s">
        <v>202</v>
      </c>
      <c r="BC78" s="58" t="s">
        <v>202</v>
      </c>
      <c r="BD78" s="58" t="s">
        <v>202</v>
      </c>
      <c r="BE78" s="58" t="s">
        <v>202</v>
      </c>
      <c r="BF78" s="57">
        <v>0</v>
      </c>
      <c r="BG78" s="58" t="s">
        <v>202</v>
      </c>
      <c r="BH78" s="57">
        <v>0</v>
      </c>
      <c r="BI78" s="58" t="s">
        <v>202</v>
      </c>
      <c r="BJ78" s="57">
        <v>0</v>
      </c>
      <c r="BK78" s="58" t="s">
        <v>202</v>
      </c>
      <c r="BL78" s="58" t="s">
        <v>202</v>
      </c>
      <c r="BM78" s="58" t="s">
        <v>202</v>
      </c>
      <c r="BN78" s="58" t="s">
        <v>202</v>
      </c>
      <c r="BO78" s="58" t="s">
        <v>202</v>
      </c>
      <c r="BP78" s="58" t="s">
        <v>202</v>
      </c>
      <c r="BQ78" s="58" t="s">
        <v>202</v>
      </c>
      <c r="BR78" s="58" t="s">
        <v>202</v>
      </c>
      <c r="BS78" s="58" t="s">
        <v>202</v>
      </c>
      <c r="BT78" s="57">
        <v>0</v>
      </c>
      <c r="BU78" s="59">
        <v>642290.23400000005</v>
      </c>
    </row>
    <row r="79" spans="1:73" x14ac:dyDescent="0.2">
      <c r="A79" s="56" t="s">
        <v>252</v>
      </c>
      <c r="B79" s="15">
        <v>448544.13099999999</v>
      </c>
      <c r="C79" s="16" t="s">
        <v>202</v>
      </c>
      <c r="D79" s="16" t="s">
        <v>202</v>
      </c>
      <c r="E79" s="16" t="s">
        <v>202</v>
      </c>
      <c r="F79" s="16" t="s">
        <v>202</v>
      </c>
      <c r="G79" s="16" t="s">
        <v>202</v>
      </c>
      <c r="H79" s="16" t="s">
        <v>202</v>
      </c>
      <c r="I79" s="16" t="s">
        <v>202</v>
      </c>
      <c r="J79" s="16" t="s">
        <v>202</v>
      </c>
      <c r="K79" s="16" t="s">
        <v>202</v>
      </c>
      <c r="L79" s="16" t="s">
        <v>202</v>
      </c>
      <c r="M79" s="16" t="s">
        <v>202</v>
      </c>
      <c r="N79" s="16" t="s">
        <v>202</v>
      </c>
      <c r="O79" s="16" t="s">
        <v>202</v>
      </c>
      <c r="P79" s="16" t="s">
        <v>202</v>
      </c>
      <c r="Q79" s="16" t="s">
        <v>202</v>
      </c>
      <c r="R79" s="16" t="s">
        <v>202</v>
      </c>
      <c r="S79" s="16" t="s">
        <v>202</v>
      </c>
      <c r="T79" s="16" t="s">
        <v>202</v>
      </c>
      <c r="U79" s="16" t="s">
        <v>202</v>
      </c>
      <c r="V79" s="16" t="s">
        <v>202</v>
      </c>
      <c r="W79" s="16" t="s">
        <v>202</v>
      </c>
      <c r="X79" s="15">
        <v>448544.13099999999</v>
      </c>
      <c r="Y79" s="15">
        <v>77534.907000000007</v>
      </c>
      <c r="Z79" s="15">
        <v>193698.97500000001</v>
      </c>
      <c r="AA79" s="16" t="s">
        <v>202</v>
      </c>
      <c r="AB79" s="16" t="s">
        <v>202</v>
      </c>
      <c r="AC79" s="16" t="s">
        <v>202</v>
      </c>
      <c r="AD79" s="15">
        <v>94685.631999999998</v>
      </c>
      <c r="AE79" s="17">
        <v>0</v>
      </c>
      <c r="AF79" s="15">
        <v>7161.4620000000004</v>
      </c>
      <c r="AG79" s="15">
        <v>19239.823</v>
      </c>
      <c r="AH79" s="17">
        <v>0</v>
      </c>
      <c r="AI79" s="15">
        <v>21719.498</v>
      </c>
      <c r="AJ79" s="17">
        <v>0</v>
      </c>
      <c r="AK79" s="17">
        <v>0</v>
      </c>
      <c r="AL79" s="15">
        <v>24.097999999999999</v>
      </c>
      <c r="AM79" s="15">
        <v>817.55700000000002</v>
      </c>
      <c r="AN79" s="17">
        <v>0</v>
      </c>
      <c r="AO79" s="15">
        <v>28222.131000000001</v>
      </c>
      <c r="AP79" s="15">
        <v>1324.143</v>
      </c>
      <c r="AQ79" s="15">
        <v>3.4159999999999999</v>
      </c>
      <c r="AR79" s="17">
        <v>0</v>
      </c>
      <c r="AS79" s="17">
        <v>0</v>
      </c>
      <c r="AT79" s="15">
        <v>4112.4880000000003</v>
      </c>
      <c r="AU79" s="16" t="s">
        <v>202</v>
      </c>
      <c r="AV79" s="16" t="s">
        <v>202</v>
      </c>
      <c r="AW79" s="16" t="s">
        <v>202</v>
      </c>
      <c r="AX79" s="16" t="s">
        <v>202</v>
      </c>
      <c r="AY79" s="16" t="s">
        <v>202</v>
      </c>
      <c r="AZ79" s="16" t="s">
        <v>202</v>
      </c>
      <c r="BA79" s="16" t="s">
        <v>202</v>
      </c>
      <c r="BB79" s="16" t="s">
        <v>202</v>
      </c>
      <c r="BC79" s="16" t="s">
        <v>202</v>
      </c>
      <c r="BD79" s="16" t="s">
        <v>202</v>
      </c>
      <c r="BE79" s="16" t="s">
        <v>202</v>
      </c>
      <c r="BF79" s="16" t="s">
        <v>202</v>
      </c>
      <c r="BG79" s="16" t="s">
        <v>202</v>
      </c>
      <c r="BH79" s="16" t="s">
        <v>202</v>
      </c>
      <c r="BI79" s="16" t="s">
        <v>202</v>
      </c>
      <c r="BJ79" s="16" t="s">
        <v>202</v>
      </c>
      <c r="BK79" s="16" t="s">
        <v>202</v>
      </c>
      <c r="BL79" s="16" t="s">
        <v>202</v>
      </c>
      <c r="BM79" s="16" t="s">
        <v>202</v>
      </c>
      <c r="BN79" s="16" t="s">
        <v>202</v>
      </c>
      <c r="BO79" s="16" t="s">
        <v>202</v>
      </c>
      <c r="BP79" s="16" t="s">
        <v>202</v>
      </c>
      <c r="BQ79" s="16" t="s">
        <v>202</v>
      </c>
      <c r="BR79" s="16" t="s">
        <v>202</v>
      </c>
      <c r="BS79" s="16" t="s">
        <v>202</v>
      </c>
      <c r="BT79" s="17">
        <v>0</v>
      </c>
      <c r="BU79" s="15">
        <v>448544.13099999999</v>
      </c>
    </row>
    <row r="80" spans="1:73" x14ac:dyDescent="0.2">
      <c r="A80" s="56" t="s">
        <v>253</v>
      </c>
      <c r="B80" s="59">
        <v>154261.76300000001</v>
      </c>
      <c r="C80" s="58" t="s">
        <v>202</v>
      </c>
      <c r="D80" s="58" t="s">
        <v>202</v>
      </c>
      <c r="E80" s="58" t="s">
        <v>202</v>
      </c>
      <c r="F80" s="58" t="s">
        <v>202</v>
      </c>
      <c r="G80" s="58" t="s">
        <v>202</v>
      </c>
      <c r="H80" s="58" t="s">
        <v>202</v>
      </c>
      <c r="I80" s="58" t="s">
        <v>202</v>
      </c>
      <c r="J80" s="58" t="s">
        <v>202</v>
      </c>
      <c r="K80" s="58" t="s">
        <v>202</v>
      </c>
      <c r="L80" s="58" t="s">
        <v>202</v>
      </c>
      <c r="M80" s="58" t="s">
        <v>202</v>
      </c>
      <c r="N80" s="58" t="s">
        <v>202</v>
      </c>
      <c r="O80" s="58" t="s">
        <v>202</v>
      </c>
      <c r="P80" s="58" t="s">
        <v>202</v>
      </c>
      <c r="Q80" s="58" t="s">
        <v>202</v>
      </c>
      <c r="R80" s="58" t="s">
        <v>202</v>
      </c>
      <c r="S80" s="58" t="s">
        <v>202</v>
      </c>
      <c r="T80" s="58" t="s">
        <v>202</v>
      </c>
      <c r="U80" s="58" t="s">
        <v>202</v>
      </c>
      <c r="V80" s="58" t="s">
        <v>202</v>
      </c>
      <c r="W80" s="58" t="s">
        <v>202</v>
      </c>
      <c r="X80" s="59">
        <v>154253.74400000001</v>
      </c>
      <c r="Y80" s="58" t="s">
        <v>202</v>
      </c>
      <c r="Z80" s="58" t="s">
        <v>202</v>
      </c>
      <c r="AA80" s="58" t="s">
        <v>202</v>
      </c>
      <c r="AB80" s="58" t="s">
        <v>202</v>
      </c>
      <c r="AC80" s="58" t="s">
        <v>202</v>
      </c>
      <c r="AD80" s="59">
        <v>94685.631999999998</v>
      </c>
      <c r="AE80" s="57">
        <v>0</v>
      </c>
      <c r="AF80" s="59">
        <v>7161.4620000000004</v>
      </c>
      <c r="AG80" s="59">
        <v>19239.823</v>
      </c>
      <c r="AH80" s="57">
        <v>0</v>
      </c>
      <c r="AI80" s="59">
        <v>-12.863</v>
      </c>
      <c r="AJ80" s="57">
        <v>0</v>
      </c>
      <c r="AK80" s="57">
        <v>0</v>
      </c>
      <c r="AL80" s="59">
        <v>24.097999999999999</v>
      </c>
      <c r="AM80" s="59">
        <v>817.55700000000002</v>
      </c>
      <c r="AN80" s="57">
        <v>0</v>
      </c>
      <c r="AO80" s="59">
        <v>28222.131000000001</v>
      </c>
      <c r="AP80" s="57">
        <v>0</v>
      </c>
      <c r="AQ80" s="59">
        <v>3.4159999999999999</v>
      </c>
      <c r="AR80" s="57">
        <v>0</v>
      </c>
      <c r="AS80" s="57">
        <v>0</v>
      </c>
      <c r="AT80" s="59">
        <v>4112.4880000000003</v>
      </c>
      <c r="AU80" s="59">
        <v>8.0190000000000001</v>
      </c>
      <c r="AV80" s="58" t="s">
        <v>202</v>
      </c>
      <c r="AW80" s="58" t="s">
        <v>202</v>
      </c>
      <c r="AX80" s="58" t="s">
        <v>202</v>
      </c>
      <c r="AY80" s="58" t="s">
        <v>202</v>
      </c>
      <c r="AZ80" s="58" t="s">
        <v>202</v>
      </c>
      <c r="BA80" s="58" t="s">
        <v>202</v>
      </c>
      <c r="BB80" s="58" t="s">
        <v>202</v>
      </c>
      <c r="BC80" s="58" t="s">
        <v>202</v>
      </c>
      <c r="BD80" s="58" t="s">
        <v>202</v>
      </c>
      <c r="BE80" s="58" t="s">
        <v>202</v>
      </c>
      <c r="BF80" s="59">
        <v>8.0190000000000001</v>
      </c>
      <c r="BG80" s="58" t="s">
        <v>202</v>
      </c>
      <c r="BH80" s="57">
        <v>0</v>
      </c>
      <c r="BI80" s="58" t="s">
        <v>202</v>
      </c>
      <c r="BJ80" s="57">
        <v>0</v>
      </c>
      <c r="BK80" s="58" t="s">
        <v>202</v>
      </c>
      <c r="BL80" s="58" t="s">
        <v>202</v>
      </c>
      <c r="BM80" s="58" t="s">
        <v>202</v>
      </c>
      <c r="BN80" s="58" t="s">
        <v>202</v>
      </c>
      <c r="BO80" s="58" t="s">
        <v>202</v>
      </c>
      <c r="BP80" s="58" t="s">
        <v>202</v>
      </c>
      <c r="BQ80" s="58" t="s">
        <v>202</v>
      </c>
      <c r="BR80" s="58" t="s">
        <v>202</v>
      </c>
      <c r="BS80" s="58" t="s">
        <v>202</v>
      </c>
      <c r="BT80" s="59">
        <v>8.0190000000000001</v>
      </c>
      <c r="BU80" s="59">
        <v>154253.74400000001</v>
      </c>
    </row>
    <row r="81" spans="1:73" x14ac:dyDescent="0.2">
      <c r="A81" s="56" t="s">
        <v>254</v>
      </c>
      <c r="B81" s="17">
        <v>0</v>
      </c>
      <c r="C81" s="17">
        <v>0</v>
      </c>
      <c r="D81" s="16" t="s">
        <v>202</v>
      </c>
      <c r="E81" s="16" t="s">
        <v>202</v>
      </c>
      <c r="F81" s="16" t="s">
        <v>202</v>
      </c>
      <c r="G81" s="16" t="s">
        <v>202</v>
      </c>
      <c r="H81" s="16" t="s">
        <v>202</v>
      </c>
      <c r="I81" s="16" t="s">
        <v>202</v>
      </c>
      <c r="J81" s="16" t="s">
        <v>202</v>
      </c>
      <c r="K81" s="17">
        <v>0</v>
      </c>
      <c r="L81" s="16" t="s">
        <v>202</v>
      </c>
      <c r="M81" s="16" t="s">
        <v>202</v>
      </c>
      <c r="N81" s="16" t="s">
        <v>202</v>
      </c>
      <c r="O81" s="16" t="s">
        <v>202</v>
      </c>
      <c r="P81" s="16" t="s">
        <v>202</v>
      </c>
      <c r="Q81" s="16" t="s">
        <v>202</v>
      </c>
      <c r="R81" s="16" t="s">
        <v>202</v>
      </c>
      <c r="S81" s="16" t="s">
        <v>202</v>
      </c>
      <c r="T81" s="16" t="s">
        <v>202</v>
      </c>
      <c r="U81" s="16" t="s">
        <v>202</v>
      </c>
      <c r="V81" s="16" t="s">
        <v>202</v>
      </c>
      <c r="W81" s="16" t="s">
        <v>202</v>
      </c>
      <c r="X81" s="16" t="s">
        <v>202</v>
      </c>
      <c r="Y81" s="16" t="s">
        <v>202</v>
      </c>
      <c r="Z81" s="16" t="s">
        <v>202</v>
      </c>
      <c r="AA81" s="16" t="s">
        <v>202</v>
      </c>
      <c r="AB81" s="16" t="s">
        <v>202</v>
      </c>
      <c r="AC81" s="16" t="s">
        <v>202</v>
      </c>
      <c r="AD81" s="16" t="s">
        <v>202</v>
      </c>
      <c r="AE81" s="16" t="s">
        <v>202</v>
      </c>
      <c r="AF81" s="16" t="s">
        <v>202</v>
      </c>
      <c r="AG81" s="16" t="s">
        <v>202</v>
      </c>
      <c r="AH81" s="16" t="s">
        <v>202</v>
      </c>
      <c r="AI81" s="16" t="s">
        <v>202</v>
      </c>
      <c r="AJ81" s="16" t="s">
        <v>202</v>
      </c>
      <c r="AK81" s="16" t="s">
        <v>202</v>
      </c>
      <c r="AL81" s="16" t="s">
        <v>202</v>
      </c>
      <c r="AM81" s="16" t="s">
        <v>202</v>
      </c>
      <c r="AN81" s="16" t="s">
        <v>202</v>
      </c>
      <c r="AO81" s="16" t="s">
        <v>202</v>
      </c>
      <c r="AP81" s="16" t="s">
        <v>202</v>
      </c>
      <c r="AQ81" s="16" t="s">
        <v>202</v>
      </c>
      <c r="AR81" s="16" t="s">
        <v>202</v>
      </c>
      <c r="AS81" s="16" t="s">
        <v>202</v>
      </c>
      <c r="AT81" s="16" t="s">
        <v>202</v>
      </c>
      <c r="AU81" s="16" t="s">
        <v>202</v>
      </c>
      <c r="AV81" s="16" t="s">
        <v>202</v>
      </c>
      <c r="AW81" s="16" t="s">
        <v>202</v>
      </c>
      <c r="AX81" s="16" t="s">
        <v>202</v>
      </c>
      <c r="AY81" s="16" t="s">
        <v>202</v>
      </c>
      <c r="AZ81" s="16" t="s">
        <v>202</v>
      </c>
      <c r="BA81" s="16" t="s">
        <v>202</v>
      </c>
      <c r="BB81" s="16" t="s">
        <v>202</v>
      </c>
      <c r="BC81" s="16" t="s">
        <v>202</v>
      </c>
      <c r="BD81" s="16" t="s">
        <v>202</v>
      </c>
      <c r="BE81" s="16" t="s">
        <v>202</v>
      </c>
      <c r="BF81" s="16" t="s">
        <v>202</v>
      </c>
      <c r="BG81" s="16" t="s">
        <v>202</v>
      </c>
      <c r="BH81" s="16" t="s">
        <v>202</v>
      </c>
      <c r="BI81" s="16" t="s">
        <v>202</v>
      </c>
      <c r="BJ81" s="16" t="s">
        <v>202</v>
      </c>
      <c r="BK81" s="16" t="s">
        <v>202</v>
      </c>
      <c r="BL81" s="16" t="s">
        <v>202</v>
      </c>
      <c r="BM81" s="16" t="s">
        <v>202</v>
      </c>
      <c r="BN81" s="16" t="s">
        <v>202</v>
      </c>
      <c r="BO81" s="16" t="s">
        <v>202</v>
      </c>
      <c r="BP81" s="16" t="s">
        <v>202</v>
      </c>
      <c r="BQ81" s="16" t="s">
        <v>202</v>
      </c>
      <c r="BR81" s="16" t="s">
        <v>202</v>
      </c>
      <c r="BS81" s="16" t="s">
        <v>202</v>
      </c>
      <c r="BT81" s="17">
        <v>0</v>
      </c>
      <c r="BU81" s="17">
        <v>0</v>
      </c>
    </row>
    <row r="82" spans="1:73" x14ac:dyDescent="0.2">
      <c r="A82" s="56" t="s">
        <v>255</v>
      </c>
      <c r="B82" s="57">
        <v>0</v>
      </c>
      <c r="C82" s="57">
        <v>0</v>
      </c>
      <c r="D82" s="58" t="s">
        <v>202</v>
      </c>
      <c r="E82" s="58" t="s">
        <v>202</v>
      </c>
      <c r="F82" s="58" t="s">
        <v>202</v>
      </c>
      <c r="G82" s="58" t="s">
        <v>202</v>
      </c>
      <c r="H82" s="58" t="s">
        <v>202</v>
      </c>
      <c r="I82" s="58" t="s">
        <v>202</v>
      </c>
      <c r="J82" s="58" t="s">
        <v>202</v>
      </c>
      <c r="K82" s="58" t="s">
        <v>202</v>
      </c>
      <c r="L82" s="57">
        <v>0</v>
      </c>
      <c r="M82" s="58" t="s">
        <v>202</v>
      </c>
      <c r="N82" s="58" t="s">
        <v>202</v>
      </c>
      <c r="O82" s="58" t="s">
        <v>202</v>
      </c>
      <c r="P82" s="58" t="s">
        <v>202</v>
      </c>
      <c r="Q82" s="58" t="s">
        <v>202</v>
      </c>
      <c r="R82" s="58" t="s">
        <v>202</v>
      </c>
      <c r="S82" s="57">
        <v>0</v>
      </c>
      <c r="T82" s="58" t="s">
        <v>202</v>
      </c>
      <c r="U82" s="57">
        <v>0</v>
      </c>
      <c r="V82" s="58" t="s">
        <v>202</v>
      </c>
      <c r="W82" s="58" t="s">
        <v>202</v>
      </c>
      <c r="X82" s="58" t="s">
        <v>202</v>
      </c>
      <c r="Y82" s="58" t="s">
        <v>202</v>
      </c>
      <c r="Z82" s="58" t="s">
        <v>202</v>
      </c>
      <c r="AA82" s="58" t="s">
        <v>202</v>
      </c>
      <c r="AB82" s="58" t="s">
        <v>202</v>
      </c>
      <c r="AC82" s="58" t="s">
        <v>202</v>
      </c>
      <c r="AD82" s="58" t="s">
        <v>202</v>
      </c>
      <c r="AE82" s="58" t="s">
        <v>202</v>
      </c>
      <c r="AF82" s="58" t="s">
        <v>202</v>
      </c>
      <c r="AG82" s="58" t="s">
        <v>202</v>
      </c>
      <c r="AH82" s="58" t="s">
        <v>202</v>
      </c>
      <c r="AI82" s="58" t="s">
        <v>202</v>
      </c>
      <c r="AJ82" s="58" t="s">
        <v>202</v>
      </c>
      <c r="AK82" s="58" t="s">
        <v>202</v>
      </c>
      <c r="AL82" s="58" t="s">
        <v>202</v>
      </c>
      <c r="AM82" s="58" t="s">
        <v>202</v>
      </c>
      <c r="AN82" s="58" t="s">
        <v>202</v>
      </c>
      <c r="AO82" s="58" t="s">
        <v>202</v>
      </c>
      <c r="AP82" s="58" t="s">
        <v>202</v>
      </c>
      <c r="AQ82" s="58" t="s">
        <v>202</v>
      </c>
      <c r="AR82" s="58" t="s">
        <v>202</v>
      </c>
      <c r="AS82" s="58" t="s">
        <v>202</v>
      </c>
      <c r="AT82" s="58" t="s">
        <v>202</v>
      </c>
      <c r="AU82" s="58" t="s">
        <v>202</v>
      </c>
      <c r="AV82" s="58" t="s">
        <v>202</v>
      </c>
      <c r="AW82" s="58" t="s">
        <v>202</v>
      </c>
      <c r="AX82" s="58" t="s">
        <v>202</v>
      </c>
      <c r="AY82" s="58" t="s">
        <v>202</v>
      </c>
      <c r="AZ82" s="58" t="s">
        <v>202</v>
      </c>
      <c r="BA82" s="58" t="s">
        <v>202</v>
      </c>
      <c r="BB82" s="58" t="s">
        <v>202</v>
      </c>
      <c r="BC82" s="58" t="s">
        <v>202</v>
      </c>
      <c r="BD82" s="58" t="s">
        <v>202</v>
      </c>
      <c r="BE82" s="58" t="s">
        <v>202</v>
      </c>
      <c r="BF82" s="58" t="s">
        <v>202</v>
      </c>
      <c r="BG82" s="58" t="s">
        <v>202</v>
      </c>
      <c r="BH82" s="58" t="s">
        <v>202</v>
      </c>
      <c r="BI82" s="58" t="s">
        <v>202</v>
      </c>
      <c r="BJ82" s="58" t="s">
        <v>202</v>
      </c>
      <c r="BK82" s="58" t="s">
        <v>202</v>
      </c>
      <c r="BL82" s="58" t="s">
        <v>202</v>
      </c>
      <c r="BM82" s="58" t="s">
        <v>202</v>
      </c>
      <c r="BN82" s="58" t="s">
        <v>202</v>
      </c>
      <c r="BO82" s="58" t="s">
        <v>202</v>
      </c>
      <c r="BP82" s="58" t="s">
        <v>202</v>
      </c>
      <c r="BQ82" s="58" t="s">
        <v>202</v>
      </c>
      <c r="BR82" s="58" t="s">
        <v>202</v>
      </c>
      <c r="BS82" s="58" t="s">
        <v>202</v>
      </c>
      <c r="BT82" s="57">
        <v>0</v>
      </c>
      <c r="BU82" s="57">
        <v>0</v>
      </c>
    </row>
    <row r="83" spans="1:73" x14ac:dyDescent="0.2">
      <c r="A83" s="56" t="s">
        <v>256</v>
      </c>
      <c r="B83" s="17">
        <v>0</v>
      </c>
      <c r="C83" s="16" t="s">
        <v>202</v>
      </c>
      <c r="D83" s="16" t="s">
        <v>202</v>
      </c>
      <c r="E83" s="16" t="s">
        <v>202</v>
      </c>
      <c r="F83" s="16" t="s">
        <v>202</v>
      </c>
      <c r="G83" s="16" t="s">
        <v>202</v>
      </c>
      <c r="H83" s="16" t="s">
        <v>202</v>
      </c>
      <c r="I83" s="16" t="s">
        <v>202</v>
      </c>
      <c r="J83" s="16" t="s">
        <v>202</v>
      </c>
      <c r="K83" s="16" t="s">
        <v>202</v>
      </c>
      <c r="L83" s="16" t="s">
        <v>202</v>
      </c>
      <c r="M83" s="16" t="s">
        <v>202</v>
      </c>
      <c r="N83" s="16" t="s">
        <v>202</v>
      </c>
      <c r="O83" s="16" t="s">
        <v>202</v>
      </c>
      <c r="P83" s="16" t="s">
        <v>202</v>
      </c>
      <c r="Q83" s="16" t="s">
        <v>202</v>
      </c>
      <c r="R83" s="16" t="s">
        <v>202</v>
      </c>
      <c r="S83" s="16" t="s">
        <v>202</v>
      </c>
      <c r="T83" s="16" t="s">
        <v>202</v>
      </c>
      <c r="U83" s="16" t="s">
        <v>202</v>
      </c>
      <c r="V83" s="16" t="s">
        <v>202</v>
      </c>
      <c r="W83" s="16" t="s">
        <v>202</v>
      </c>
      <c r="X83" s="17">
        <v>0</v>
      </c>
      <c r="Y83" s="16" t="s">
        <v>202</v>
      </c>
      <c r="Z83" s="16" t="s">
        <v>202</v>
      </c>
      <c r="AA83" s="16" t="s">
        <v>202</v>
      </c>
      <c r="AB83" s="17">
        <v>0</v>
      </c>
      <c r="AC83" s="17">
        <v>0</v>
      </c>
      <c r="AD83" s="16" t="s">
        <v>202</v>
      </c>
      <c r="AE83" s="16" t="s">
        <v>202</v>
      </c>
      <c r="AF83" s="16" t="s">
        <v>202</v>
      </c>
      <c r="AG83" s="16" t="s">
        <v>202</v>
      </c>
      <c r="AH83" s="16" t="s">
        <v>202</v>
      </c>
      <c r="AI83" s="16" t="s">
        <v>202</v>
      </c>
      <c r="AJ83" s="16" t="s">
        <v>202</v>
      </c>
      <c r="AK83" s="16" t="s">
        <v>202</v>
      </c>
      <c r="AL83" s="16" t="s">
        <v>202</v>
      </c>
      <c r="AM83" s="16" t="s">
        <v>202</v>
      </c>
      <c r="AN83" s="16" t="s">
        <v>202</v>
      </c>
      <c r="AO83" s="16" t="s">
        <v>202</v>
      </c>
      <c r="AP83" s="16" t="s">
        <v>202</v>
      </c>
      <c r="AQ83" s="16" t="s">
        <v>202</v>
      </c>
      <c r="AR83" s="16" t="s">
        <v>202</v>
      </c>
      <c r="AS83" s="16" t="s">
        <v>202</v>
      </c>
      <c r="AT83" s="16" t="s">
        <v>202</v>
      </c>
      <c r="AU83" s="16" t="s">
        <v>202</v>
      </c>
      <c r="AV83" s="16" t="s">
        <v>202</v>
      </c>
      <c r="AW83" s="16" t="s">
        <v>202</v>
      </c>
      <c r="AX83" s="16" t="s">
        <v>202</v>
      </c>
      <c r="AY83" s="16" t="s">
        <v>202</v>
      </c>
      <c r="AZ83" s="16" t="s">
        <v>202</v>
      </c>
      <c r="BA83" s="16" t="s">
        <v>202</v>
      </c>
      <c r="BB83" s="16" t="s">
        <v>202</v>
      </c>
      <c r="BC83" s="16" t="s">
        <v>202</v>
      </c>
      <c r="BD83" s="16" t="s">
        <v>202</v>
      </c>
      <c r="BE83" s="16" t="s">
        <v>202</v>
      </c>
      <c r="BF83" s="16" t="s">
        <v>202</v>
      </c>
      <c r="BG83" s="16" t="s">
        <v>202</v>
      </c>
      <c r="BH83" s="16" t="s">
        <v>202</v>
      </c>
      <c r="BI83" s="16" t="s">
        <v>202</v>
      </c>
      <c r="BJ83" s="16" t="s">
        <v>202</v>
      </c>
      <c r="BK83" s="16" t="s">
        <v>202</v>
      </c>
      <c r="BL83" s="16" t="s">
        <v>202</v>
      </c>
      <c r="BM83" s="16" t="s">
        <v>202</v>
      </c>
      <c r="BN83" s="16" t="s">
        <v>202</v>
      </c>
      <c r="BO83" s="16" t="s">
        <v>202</v>
      </c>
      <c r="BP83" s="16" t="s">
        <v>202</v>
      </c>
      <c r="BQ83" s="16" t="s">
        <v>202</v>
      </c>
      <c r="BR83" s="16" t="s">
        <v>202</v>
      </c>
      <c r="BS83" s="16" t="s">
        <v>202</v>
      </c>
      <c r="BT83" s="17">
        <v>0</v>
      </c>
      <c r="BU83" s="17">
        <v>0</v>
      </c>
    </row>
    <row r="84" spans="1:73" x14ac:dyDescent="0.2">
      <c r="A84" s="56" t="s">
        <v>257</v>
      </c>
      <c r="B84" s="59">
        <v>11333.489</v>
      </c>
      <c r="C84" s="58" t="s">
        <v>202</v>
      </c>
      <c r="D84" s="58" t="s">
        <v>202</v>
      </c>
      <c r="E84" s="58" t="s">
        <v>202</v>
      </c>
      <c r="F84" s="58" t="s">
        <v>202</v>
      </c>
      <c r="G84" s="58" t="s">
        <v>202</v>
      </c>
      <c r="H84" s="58" t="s">
        <v>202</v>
      </c>
      <c r="I84" s="58" t="s">
        <v>202</v>
      </c>
      <c r="J84" s="58" t="s">
        <v>202</v>
      </c>
      <c r="K84" s="58" t="s">
        <v>202</v>
      </c>
      <c r="L84" s="58" t="s">
        <v>202</v>
      </c>
      <c r="M84" s="58" t="s">
        <v>202</v>
      </c>
      <c r="N84" s="58" t="s">
        <v>202</v>
      </c>
      <c r="O84" s="58" t="s">
        <v>202</v>
      </c>
      <c r="P84" s="58" t="s">
        <v>202</v>
      </c>
      <c r="Q84" s="58" t="s">
        <v>202</v>
      </c>
      <c r="R84" s="58" t="s">
        <v>202</v>
      </c>
      <c r="S84" s="58" t="s">
        <v>202</v>
      </c>
      <c r="T84" s="58" t="s">
        <v>202</v>
      </c>
      <c r="U84" s="58" t="s">
        <v>202</v>
      </c>
      <c r="V84" s="58" t="s">
        <v>202</v>
      </c>
      <c r="W84" s="59">
        <v>11333.489</v>
      </c>
      <c r="X84" s="58" t="s">
        <v>202</v>
      </c>
      <c r="Y84" s="58" t="s">
        <v>202</v>
      </c>
      <c r="Z84" s="58" t="s">
        <v>202</v>
      </c>
      <c r="AA84" s="58" t="s">
        <v>202</v>
      </c>
      <c r="AB84" s="58" t="s">
        <v>202</v>
      </c>
      <c r="AC84" s="58" t="s">
        <v>202</v>
      </c>
      <c r="AD84" s="58" t="s">
        <v>202</v>
      </c>
      <c r="AE84" s="58" t="s">
        <v>202</v>
      </c>
      <c r="AF84" s="58" t="s">
        <v>202</v>
      </c>
      <c r="AG84" s="58" t="s">
        <v>202</v>
      </c>
      <c r="AH84" s="58" t="s">
        <v>202</v>
      </c>
      <c r="AI84" s="58" t="s">
        <v>202</v>
      </c>
      <c r="AJ84" s="58" t="s">
        <v>202</v>
      </c>
      <c r="AK84" s="58" t="s">
        <v>202</v>
      </c>
      <c r="AL84" s="58" t="s">
        <v>202</v>
      </c>
      <c r="AM84" s="58" t="s">
        <v>202</v>
      </c>
      <c r="AN84" s="58" t="s">
        <v>202</v>
      </c>
      <c r="AO84" s="58" t="s">
        <v>202</v>
      </c>
      <c r="AP84" s="58" t="s">
        <v>202</v>
      </c>
      <c r="AQ84" s="58" t="s">
        <v>202</v>
      </c>
      <c r="AR84" s="58" t="s">
        <v>202</v>
      </c>
      <c r="AS84" s="58" t="s">
        <v>202</v>
      </c>
      <c r="AT84" s="58" t="s">
        <v>202</v>
      </c>
      <c r="AU84" s="58" t="s">
        <v>202</v>
      </c>
      <c r="AV84" s="58" t="s">
        <v>202</v>
      </c>
      <c r="AW84" s="58" t="s">
        <v>202</v>
      </c>
      <c r="AX84" s="58" t="s">
        <v>202</v>
      </c>
      <c r="AY84" s="58" t="s">
        <v>202</v>
      </c>
      <c r="AZ84" s="58" t="s">
        <v>202</v>
      </c>
      <c r="BA84" s="58" t="s">
        <v>202</v>
      </c>
      <c r="BB84" s="58" t="s">
        <v>202</v>
      </c>
      <c r="BC84" s="58" t="s">
        <v>202</v>
      </c>
      <c r="BD84" s="58" t="s">
        <v>202</v>
      </c>
      <c r="BE84" s="58" t="s">
        <v>202</v>
      </c>
      <c r="BF84" s="58" t="s">
        <v>202</v>
      </c>
      <c r="BG84" s="58" t="s">
        <v>202</v>
      </c>
      <c r="BH84" s="58" t="s">
        <v>202</v>
      </c>
      <c r="BI84" s="58" t="s">
        <v>202</v>
      </c>
      <c r="BJ84" s="58" t="s">
        <v>202</v>
      </c>
      <c r="BK84" s="58" t="s">
        <v>202</v>
      </c>
      <c r="BL84" s="58" t="s">
        <v>202</v>
      </c>
      <c r="BM84" s="58" t="s">
        <v>202</v>
      </c>
      <c r="BN84" s="58" t="s">
        <v>202</v>
      </c>
      <c r="BO84" s="58" t="s">
        <v>202</v>
      </c>
      <c r="BP84" s="58" t="s">
        <v>202</v>
      </c>
      <c r="BQ84" s="58" t="s">
        <v>202</v>
      </c>
      <c r="BR84" s="58" t="s">
        <v>202</v>
      </c>
      <c r="BS84" s="58" t="s">
        <v>202</v>
      </c>
      <c r="BT84" s="59">
        <v>116.08799999999999</v>
      </c>
      <c r="BU84" s="59">
        <v>11217.402</v>
      </c>
    </row>
    <row r="85" spans="1:73" x14ac:dyDescent="0.2">
      <c r="A85" s="56" t="s">
        <v>258</v>
      </c>
      <c r="B85" s="15">
        <v>46513.004000000001</v>
      </c>
      <c r="C85" s="16" t="s">
        <v>202</v>
      </c>
      <c r="D85" s="16" t="s">
        <v>202</v>
      </c>
      <c r="E85" s="16" t="s">
        <v>202</v>
      </c>
      <c r="F85" s="16" t="s">
        <v>202</v>
      </c>
      <c r="G85" s="16" t="s">
        <v>202</v>
      </c>
      <c r="H85" s="16" t="s">
        <v>202</v>
      </c>
      <c r="I85" s="16" t="s">
        <v>202</v>
      </c>
      <c r="J85" s="16" t="s">
        <v>202</v>
      </c>
      <c r="K85" s="16" t="s">
        <v>202</v>
      </c>
      <c r="L85" s="16" t="s">
        <v>202</v>
      </c>
      <c r="M85" s="16" t="s">
        <v>202</v>
      </c>
      <c r="N85" s="16" t="s">
        <v>202</v>
      </c>
      <c r="O85" s="16" t="s">
        <v>202</v>
      </c>
      <c r="P85" s="16" t="s">
        <v>202</v>
      </c>
      <c r="Q85" s="16" t="s">
        <v>202</v>
      </c>
      <c r="R85" s="16" t="s">
        <v>202</v>
      </c>
      <c r="S85" s="16" t="s">
        <v>202</v>
      </c>
      <c r="T85" s="16" t="s">
        <v>202</v>
      </c>
      <c r="U85" s="16" t="s">
        <v>202</v>
      </c>
      <c r="V85" s="16" t="s">
        <v>202</v>
      </c>
      <c r="W85" s="16" t="s">
        <v>202</v>
      </c>
      <c r="X85" s="16" t="s">
        <v>202</v>
      </c>
      <c r="Y85" s="16" t="s">
        <v>202</v>
      </c>
      <c r="Z85" s="16" t="s">
        <v>202</v>
      </c>
      <c r="AA85" s="16" t="s">
        <v>202</v>
      </c>
      <c r="AB85" s="16" t="s">
        <v>202</v>
      </c>
      <c r="AC85" s="16" t="s">
        <v>202</v>
      </c>
      <c r="AD85" s="16" t="s">
        <v>202</v>
      </c>
      <c r="AE85" s="16" t="s">
        <v>202</v>
      </c>
      <c r="AF85" s="16" t="s">
        <v>202</v>
      </c>
      <c r="AG85" s="16" t="s">
        <v>202</v>
      </c>
      <c r="AH85" s="16" t="s">
        <v>202</v>
      </c>
      <c r="AI85" s="16" t="s">
        <v>202</v>
      </c>
      <c r="AJ85" s="16" t="s">
        <v>202</v>
      </c>
      <c r="AK85" s="16" t="s">
        <v>202</v>
      </c>
      <c r="AL85" s="16" t="s">
        <v>202</v>
      </c>
      <c r="AM85" s="16" t="s">
        <v>202</v>
      </c>
      <c r="AN85" s="16" t="s">
        <v>202</v>
      </c>
      <c r="AO85" s="16" t="s">
        <v>202</v>
      </c>
      <c r="AP85" s="16" t="s">
        <v>202</v>
      </c>
      <c r="AQ85" s="16" t="s">
        <v>202</v>
      </c>
      <c r="AR85" s="16" t="s">
        <v>202</v>
      </c>
      <c r="AS85" s="16" t="s">
        <v>202</v>
      </c>
      <c r="AT85" s="16" t="s">
        <v>202</v>
      </c>
      <c r="AU85" s="15">
        <v>46513.004000000001</v>
      </c>
      <c r="AV85" s="16" t="s">
        <v>202</v>
      </c>
      <c r="AW85" s="16" t="s">
        <v>202</v>
      </c>
      <c r="AX85" s="16" t="s">
        <v>202</v>
      </c>
      <c r="AY85" s="16" t="s">
        <v>202</v>
      </c>
      <c r="AZ85" s="16" t="s">
        <v>202</v>
      </c>
      <c r="BA85" s="16" t="s">
        <v>202</v>
      </c>
      <c r="BB85" s="16" t="s">
        <v>202</v>
      </c>
      <c r="BC85" s="16" t="s">
        <v>202</v>
      </c>
      <c r="BD85" s="16" t="s">
        <v>202</v>
      </c>
      <c r="BE85" s="16" t="s">
        <v>202</v>
      </c>
      <c r="BF85" s="15">
        <v>14367.078</v>
      </c>
      <c r="BG85" s="16" t="s">
        <v>202</v>
      </c>
      <c r="BH85" s="15">
        <v>32145.925999999999</v>
      </c>
      <c r="BI85" s="16" t="s">
        <v>202</v>
      </c>
      <c r="BJ85" s="17">
        <v>0</v>
      </c>
      <c r="BK85" s="16" t="s">
        <v>202</v>
      </c>
      <c r="BL85" s="16" t="s">
        <v>202</v>
      </c>
      <c r="BM85" s="16" t="s">
        <v>202</v>
      </c>
      <c r="BN85" s="16" t="s">
        <v>202</v>
      </c>
      <c r="BO85" s="16" t="s">
        <v>202</v>
      </c>
      <c r="BP85" s="16" t="s">
        <v>202</v>
      </c>
      <c r="BQ85" s="16" t="s">
        <v>202</v>
      </c>
      <c r="BR85" s="16" t="s">
        <v>202</v>
      </c>
      <c r="BS85" s="16" t="s">
        <v>202</v>
      </c>
      <c r="BT85" s="15">
        <v>46513.004000000001</v>
      </c>
      <c r="BU85" s="17">
        <v>0</v>
      </c>
    </row>
    <row r="86" spans="1:73" x14ac:dyDescent="0.2">
      <c r="A86" s="56" t="s">
        <v>259</v>
      </c>
      <c r="B86" s="57">
        <v>0</v>
      </c>
      <c r="C86" s="58" t="s">
        <v>202</v>
      </c>
      <c r="D86" s="58" t="s">
        <v>202</v>
      </c>
      <c r="E86" s="58" t="s">
        <v>202</v>
      </c>
      <c r="F86" s="58" t="s">
        <v>202</v>
      </c>
      <c r="G86" s="58" t="s">
        <v>202</v>
      </c>
      <c r="H86" s="58" t="s">
        <v>202</v>
      </c>
      <c r="I86" s="58" t="s">
        <v>202</v>
      </c>
      <c r="J86" s="58" t="s">
        <v>202</v>
      </c>
      <c r="K86" s="58" t="s">
        <v>202</v>
      </c>
      <c r="L86" s="58" t="s">
        <v>202</v>
      </c>
      <c r="M86" s="58" t="s">
        <v>202</v>
      </c>
      <c r="N86" s="58" t="s">
        <v>202</v>
      </c>
      <c r="O86" s="58" t="s">
        <v>202</v>
      </c>
      <c r="P86" s="58" t="s">
        <v>202</v>
      </c>
      <c r="Q86" s="58" t="s">
        <v>202</v>
      </c>
      <c r="R86" s="58" t="s">
        <v>202</v>
      </c>
      <c r="S86" s="58" t="s">
        <v>202</v>
      </c>
      <c r="T86" s="58" t="s">
        <v>202</v>
      </c>
      <c r="U86" s="58" t="s">
        <v>202</v>
      </c>
      <c r="V86" s="58" t="s">
        <v>202</v>
      </c>
      <c r="W86" s="58" t="s">
        <v>202</v>
      </c>
      <c r="X86" s="58" t="s">
        <v>202</v>
      </c>
      <c r="Y86" s="58" t="s">
        <v>202</v>
      </c>
      <c r="Z86" s="58" t="s">
        <v>202</v>
      </c>
      <c r="AA86" s="58" t="s">
        <v>202</v>
      </c>
      <c r="AB86" s="58" t="s">
        <v>202</v>
      </c>
      <c r="AC86" s="58" t="s">
        <v>202</v>
      </c>
      <c r="AD86" s="58" t="s">
        <v>202</v>
      </c>
      <c r="AE86" s="58" t="s">
        <v>202</v>
      </c>
      <c r="AF86" s="58" t="s">
        <v>202</v>
      </c>
      <c r="AG86" s="58" t="s">
        <v>202</v>
      </c>
      <c r="AH86" s="58" t="s">
        <v>202</v>
      </c>
      <c r="AI86" s="58" t="s">
        <v>202</v>
      </c>
      <c r="AJ86" s="58" t="s">
        <v>202</v>
      </c>
      <c r="AK86" s="58" t="s">
        <v>202</v>
      </c>
      <c r="AL86" s="58" t="s">
        <v>202</v>
      </c>
      <c r="AM86" s="58" t="s">
        <v>202</v>
      </c>
      <c r="AN86" s="58" t="s">
        <v>202</v>
      </c>
      <c r="AO86" s="58" t="s">
        <v>202</v>
      </c>
      <c r="AP86" s="58" t="s">
        <v>202</v>
      </c>
      <c r="AQ86" s="58" t="s">
        <v>202</v>
      </c>
      <c r="AR86" s="58" t="s">
        <v>202</v>
      </c>
      <c r="AS86" s="58" t="s">
        <v>202</v>
      </c>
      <c r="AT86" s="58" t="s">
        <v>202</v>
      </c>
      <c r="AU86" s="57">
        <v>0</v>
      </c>
      <c r="AV86" s="58" t="s">
        <v>202</v>
      </c>
      <c r="AW86" s="58" t="s">
        <v>202</v>
      </c>
      <c r="AX86" s="58" t="s">
        <v>202</v>
      </c>
      <c r="AY86" s="58" t="s">
        <v>202</v>
      </c>
      <c r="AZ86" s="58" t="s">
        <v>202</v>
      </c>
      <c r="BA86" s="58" t="s">
        <v>202</v>
      </c>
      <c r="BB86" s="58" t="s">
        <v>202</v>
      </c>
      <c r="BC86" s="58" t="s">
        <v>202</v>
      </c>
      <c r="BD86" s="57">
        <v>0</v>
      </c>
      <c r="BE86" s="58" t="s">
        <v>202</v>
      </c>
      <c r="BF86" s="58" t="s">
        <v>202</v>
      </c>
      <c r="BG86" s="58" t="s">
        <v>202</v>
      </c>
      <c r="BH86" s="58" t="s">
        <v>202</v>
      </c>
      <c r="BI86" s="58" t="s">
        <v>202</v>
      </c>
      <c r="BJ86" s="58" t="s">
        <v>202</v>
      </c>
      <c r="BK86" s="58" t="s">
        <v>202</v>
      </c>
      <c r="BL86" s="58" t="s">
        <v>202</v>
      </c>
      <c r="BM86" s="58" t="s">
        <v>202</v>
      </c>
      <c r="BN86" s="58" t="s">
        <v>202</v>
      </c>
      <c r="BO86" s="58" t="s">
        <v>202</v>
      </c>
      <c r="BP86" s="58" t="s">
        <v>202</v>
      </c>
      <c r="BQ86" s="58" t="s">
        <v>202</v>
      </c>
      <c r="BR86" s="58" t="s">
        <v>202</v>
      </c>
      <c r="BS86" s="58" t="s">
        <v>202</v>
      </c>
      <c r="BT86" s="57">
        <v>0</v>
      </c>
      <c r="BU86" s="57">
        <v>0</v>
      </c>
    </row>
    <row r="87" spans="1:73" x14ac:dyDescent="0.2">
      <c r="A87" s="56" t="s">
        <v>260</v>
      </c>
      <c r="B87" s="17">
        <v>0</v>
      </c>
      <c r="C87" s="16" t="s">
        <v>202</v>
      </c>
      <c r="D87" s="16" t="s">
        <v>202</v>
      </c>
      <c r="E87" s="16" t="s">
        <v>202</v>
      </c>
      <c r="F87" s="16" t="s">
        <v>202</v>
      </c>
      <c r="G87" s="16" t="s">
        <v>202</v>
      </c>
      <c r="H87" s="16" t="s">
        <v>202</v>
      </c>
      <c r="I87" s="16" t="s">
        <v>202</v>
      </c>
      <c r="J87" s="16" t="s">
        <v>202</v>
      </c>
      <c r="K87" s="16" t="s">
        <v>202</v>
      </c>
      <c r="L87" s="16" t="s">
        <v>202</v>
      </c>
      <c r="M87" s="16" t="s">
        <v>202</v>
      </c>
      <c r="N87" s="16" t="s">
        <v>202</v>
      </c>
      <c r="O87" s="16" t="s">
        <v>202</v>
      </c>
      <c r="P87" s="16" t="s">
        <v>202</v>
      </c>
      <c r="Q87" s="16" t="s">
        <v>202</v>
      </c>
      <c r="R87" s="16" t="s">
        <v>202</v>
      </c>
      <c r="S87" s="16" t="s">
        <v>202</v>
      </c>
      <c r="T87" s="16" t="s">
        <v>202</v>
      </c>
      <c r="U87" s="16" t="s">
        <v>202</v>
      </c>
      <c r="V87" s="16" t="s">
        <v>202</v>
      </c>
      <c r="W87" s="16" t="s">
        <v>202</v>
      </c>
      <c r="X87" s="17">
        <v>0</v>
      </c>
      <c r="Y87" s="16" t="s">
        <v>202</v>
      </c>
      <c r="Z87" s="16" t="s">
        <v>202</v>
      </c>
      <c r="AA87" s="16" t="s">
        <v>202</v>
      </c>
      <c r="AB87" s="17">
        <v>0</v>
      </c>
      <c r="AC87" s="17">
        <v>0</v>
      </c>
      <c r="AD87" s="16" t="s">
        <v>202</v>
      </c>
      <c r="AE87" s="16" t="s">
        <v>202</v>
      </c>
      <c r="AF87" s="16" t="s">
        <v>202</v>
      </c>
      <c r="AG87" s="16" t="s">
        <v>202</v>
      </c>
      <c r="AH87" s="16" t="s">
        <v>202</v>
      </c>
      <c r="AI87" s="16" t="s">
        <v>202</v>
      </c>
      <c r="AJ87" s="16" t="s">
        <v>202</v>
      </c>
      <c r="AK87" s="16" t="s">
        <v>202</v>
      </c>
      <c r="AL87" s="16" t="s">
        <v>202</v>
      </c>
      <c r="AM87" s="16" t="s">
        <v>202</v>
      </c>
      <c r="AN87" s="16" t="s">
        <v>202</v>
      </c>
      <c r="AO87" s="16" t="s">
        <v>202</v>
      </c>
      <c r="AP87" s="16" t="s">
        <v>202</v>
      </c>
      <c r="AQ87" s="16" t="s">
        <v>202</v>
      </c>
      <c r="AR87" s="16" t="s">
        <v>202</v>
      </c>
      <c r="AS87" s="16" t="s">
        <v>202</v>
      </c>
      <c r="AT87" s="16" t="s">
        <v>202</v>
      </c>
      <c r="AU87" s="16" t="s">
        <v>202</v>
      </c>
      <c r="AV87" s="16" t="s">
        <v>202</v>
      </c>
      <c r="AW87" s="16" t="s">
        <v>202</v>
      </c>
      <c r="AX87" s="16" t="s">
        <v>202</v>
      </c>
      <c r="AY87" s="16" t="s">
        <v>202</v>
      </c>
      <c r="AZ87" s="16" t="s">
        <v>202</v>
      </c>
      <c r="BA87" s="16" t="s">
        <v>202</v>
      </c>
      <c r="BB87" s="16" t="s">
        <v>202</v>
      </c>
      <c r="BC87" s="16" t="s">
        <v>202</v>
      </c>
      <c r="BD87" s="16" t="s">
        <v>202</v>
      </c>
      <c r="BE87" s="16" t="s">
        <v>202</v>
      </c>
      <c r="BF87" s="16" t="s">
        <v>202</v>
      </c>
      <c r="BG87" s="16" t="s">
        <v>202</v>
      </c>
      <c r="BH87" s="16" t="s">
        <v>202</v>
      </c>
      <c r="BI87" s="16" t="s">
        <v>202</v>
      </c>
      <c r="BJ87" s="16" t="s">
        <v>202</v>
      </c>
      <c r="BK87" s="16" t="s">
        <v>202</v>
      </c>
      <c r="BL87" s="16" t="s">
        <v>202</v>
      </c>
      <c r="BM87" s="16" t="s">
        <v>202</v>
      </c>
      <c r="BN87" s="16" t="s">
        <v>202</v>
      </c>
      <c r="BO87" s="16" t="s">
        <v>202</v>
      </c>
      <c r="BP87" s="16" t="s">
        <v>202</v>
      </c>
      <c r="BQ87" s="16" t="s">
        <v>202</v>
      </c>
      <c r="BR87" s="16" t="s">
        <v>202</v>
      </c>
      <c r="BS87" s="16" t="s">
        <v>202</v>
      </c>
      <c r="BT87" s="17">
        <v>0</v>
      </c>
      <c r="BU87" s="17">
        <v>0</v>
      </c>
    </row>
    <row r="88" spans="1:73" x14ac:dyDescent="0.2">
      <c r="A88" s="56" t="s">
        <v>261</v>
      </c>
      <c r="B88" s="57">
        <v>0</v>
      </c>
      <c r="C88" s="57">
        <v>0</v>
      </c>
      <c r="D88" s="58" t="s">
        <v>202</v>
      </c>
      <c r="E88" s="58" t="s">
        <v>202</v>
      </c>
      <c r="F88" s="58" t="s">
        <v>202</v>
      </c>
      <c r="G88" s="58" t="s">
        <v>202</v>
      </c>
      <c r="H88" s="58" t="s">
        <v>202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7">
        <v>0</v>
      </c>
      <c r="Q88" s="57">
        <v>0</v>
      </c>
      <c r="R88" s="57">
        <v>0</v>
      </c>
      <c r="S88" s="57">
        <v>0</v>
      </c>
      <c r="T88" s="58" t="s">
        <v>202</v>
      </c>
      <c r="U88" s="57">
        <v>0</v>
      </c>
      <c r="V88" s="58" t="s">
        <v>202</v>
      </c>
      <c r="W88" s="58" t="s">
        <v>202</v>
      </c>
      <c r="X88" s="57">
        <v>0</v>
      </c>
      <c r="Y88" s="58" t="s">
        <v>202</v>
      </c>
      <c r="Z88" s="58" t="s">
        <v>202</v>
      </c>
      <c r="AA88" s="58" t="s">
        <v>202</v>
      </c>
      <c r="AB88" s="57">
        <v>0</v>
      </c>
      <c r="AC88" s="57">
        <v>0</v>
      </c>
      <c r="AD88" s="58" t="s">
        <v>202</v>
      </c>
      <c r="AE88" s="58" t="s">
        <v>202</v>
      </c>
      <c r="AF88" s="58" t="s">
        <v>202</v>
      </c>
      <c r="AG88" s="58" t="s">
        <v>202</v>
      </c>
      <c r="AH88" s="58" t="s">
        <v>202</v>
      </c>
      <c r="AI88" s="58" t="s">
        <v>202</v>
      </c>
      <c r="AJ88" s="58" t="s">
        <v>202</v>
      </c>
      <c r="AK88" s="58" t="s">
        <v>202</v>
      </c>
      <c r="AL88" s="58" t="s">
        <v>202</v>
      </c>
      <c r="AM88" s="58" t="s">
        <v>202</v>
      </c>
      <c r="AN88" s="58" t="s">
        <v>202</v>
      </c>
      <c r="AO88" s="58" t="s">
        <v>202</v>
      </c>
      <c r="AP88" s="58" t="s">
        <v>202</v>
      </c>
      <c r="AQ88" s="58" t="s">
        <v>202</v>
      </c>
      <c r="AR88" s="58" t="s">
        <v>202</v>
      </c>
      <c r="AS88" s="58" t="s">
        <v>202</v>
      </c>
      <c r="AT88" s="58" t="s">
        <v>202</v>
      </c>
      <c r="AU88" s="58" t="s">
        <v>202</v>
      </c>
      <c r="AV88" s="58" t="s">
        <v>202</v>
      </c>
      <c r="AW88" s="58" t="s">
        <v>202</v>
      </c>
      <c r="AX88" s="58" t="s">
        <v>202</v>
      </c>
      <c r="AY88" s="58" t="s">
        <v>202</v>
      </c>
      <c r="AZ88" s="58" t="s">
        <v>202</v>
      </c>
      <c r="BA88" s="58" t="s">
        <v>202</v>
      </c>
      <c r="BB88" s="58" t="s">
        <v>202</v>
      </c>
      <c r="BC88" s="58" t="s">
        <v>202</v>
      </c>
      <c r="BD88" s="58" t="s">
        <v>202</v>
      </c>
      <c r="BE88" s="58" t="s">
        <v>202</v>
      </c>
      <c r="BF88" s="58" t="s">
        <v>202</v>
      </c>
      <c r="BG88" s="58" t="s">
        <v>202</v>
      </c>
      <c r="BH88" s="58" t="s">
        <v>202</v>
      </c>
      <c r="BI88" s="58" t="s">
        <v>202</v>
      </c>
      <c r="BJ88" s="58" t="s">
        <v>202</v>
      </c>
      <c r="BK88" s="58" t="s">
        <v>202</v>
      </c>
      <c r="BL88" s="58" t="s">
        <v>202</v>
      </c>
      <c r="BM88" s="58" t="s">
        <v>202</v>
      </c>
      <c r="BN88" s="58" t="s">
        <v>202</v>
      </c>
      <c r="BO88" s="58" t="s">
        <v>202</v>
      </c>
      <c r="BP88" s="58" t="s">
        <v>202</v>
      </c>
      <c r="BQ88" s="58" t="s">
        <v>202</v>
      </c>
      <c r="BR88" s="58" t="s">
        <v>202</v>
      </c>
      <c r="BS88" s="58" t="s">
        <v>202</v>
      </c>
      <c r="BT88" s="57">
        <v>0</v>
      </c>
      <c r="BU88" s="57">
        <v>0</v>
      </c>
    </row>
    <row r="89" spans="1:73" x14ac:dyDescent="0.2">
      <c r="A89" s="56" t="s">
        <v>262</v>
      </c>
      <c r="B89" s="15">
        <v>191527.25599999999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5">
        <v>12791.338</v>
      </c>
      <c r="O89" s="15">
        <v>7194.2259999999997</v>
      </c>
      <c r="P89" s="17">
        <v>0</v>
      </c>
      <c r="Q89" s="15">
        <v>5597.1120000000001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5">
        <v>32451.208999999999</v>
      </c>
      <c r="X89" s="15">
        <v>104032.261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5">
        <v>89172.464000000007</v>
      </c>
      <c r="AE89" s="17">
        <v>0</v>
      </c>
      <c r="AF89" s="15">
        <v>4181.308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5">
        <v>8.1969999999999992</v>
      </c>
      <c r="AN89" s="17">
        <v>0</v>
      </c>
      <c r="AO89" s="17">
        <v>0</v>
      </c>
      <c r="AP89" s="17">
        <v>0</v>
      </c>
      <c r="AQ89" s="17">
        <v>0</v>
      </c>
      <c r="AR89" s="15">
        <v>10670.291999999999</v>
      </c>
      <c r="AS89" s="17">
        <v>0</v>
      </c>
      <c r="AT89" s="17">
        <v>0</v>
      </c>
      <c r="AU89" s="17">
        <v>0</v>
      </c>
      <c r="AV89" s="16" t="s">
        <v>202</v>
      </c>
      <c r="AW89" s="17">
        <v>0</v>
      </c>
      <c r="AX89" s="16" t="s">
        <v>202</v>
      </c>
      <c r="AY89" s="17">
        <v>0</v>
      </c>
      <c r="AZ89" s="16" t="s">
        <v>202</v>
      </c>
      <c r="BA89" s="16" t="s">
        <v>202</v>
      </c>
      <c r="BB89" s="16" t="s">
        <v>202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6" t="s">
        <v>202</v>
      </c>
      <c r="BR89" s="15">
        <v>30941.248</v>
      </c>
      <c r="BS89" s="17">
        <v>11311.2</v>
      </c>
      <c r="BT89" s="15">
        <v>4875.3059999999996</v>
      </c>
      <c r="BU89" s="15">
        <v>171976.64600000001</v>
      </c>
    </row>
    <row r="90" spans="1:73" x14ac:dyDescent="0.2">
      <c r="A90" s="56" t="s">
        <v>263</v>
      </c>
      <c r="B90" s="59">
        <v>13691.806</v>
      </c>
      <c r="C90" s="57">
        <v>0</v>
      </c>
      <c r="D90" s="57">
        <v>0</v>
      </c>
      <c r="E90" s="57">
        <v>0</v>
      </c>
      <c r="F90" s="57">
        <v>0</v>
      </c>
      <c r="G90" s="57">
        <v>0</v>
      </c>
      <c r="H90" s="57">
        <v>0</v>
      </c>
      <c r="I90" s="57">
        <v>0</v>
      </c>
      <c r="J90" s="57">
        <v>0</v>
      </c>
      <c r="K90" s="57">
        <v>0</v>
      </c>
      <c r="L90" s="57">
        <v>0</v>
      </c>
      <c r="M90" s="57">
        <v>0</v>
      </c>
      <c r="N90" s="57">
        <v>0</v>
      </c>
      <c r="O90" s="57">
        <v>0</v>
      </c>
      <c r="P90" s="57">
        <v>0</v>
      </c>
      <c r="Q90" s="57">
        <v>0</v>
      </c>
      <c r="R90" s="57">
        <v>0</v>
      </c>
      <c r="S90" s="57">
        <v>0</v>
      </c>
      <c r="T90" s="57">
        <v>0</v>
      </c>
      <c r="U90" s="57">
        <v>0</v>
      </c>
      <c r="V90" s="57">
        <v>0</v>
      </c>
      <c r="W90" s="59">
        <v>20.163</v>
      </c>
      <c r="X90" s="59">
        <v>3.6240000000000001</v>
      </c>
      <c r="Y90" s="57">
        <v>0</v>
      </c>
      <c r="Z90" s="57">
        <v>0</v>
      </c>
      <c r="AA90" s="58" t="s">
        <v>202</v>
      </c>
      <c r="AB90" s="58" t="s">
        <v>202</v>
      </c>
      <c r="AC90" s="58" t="s">
        <v>202</v>
      </c>
      <c r="AD90" s="57">
        <v>0</v>
      </c>
      <c r="AE90" s="57">
        <v>0</v>
      </c>
      <c r="AF90" s="57">
        <v>0</v>
      </c>
      <c r="AG90" s="57">
        <v>0</v>
      </c>
      <c r="AH90" s="57">
        <v>0</v>
      </c>
      <c r="AI90" s="57">
        <v>0</v>
      </c>
      <c r="AJ90" s="57">
        <v>0</v>
      </c>
      <c r="AK90" s="57">
        <v>0</v>
      </c>
      <c r="AL90" s="57">
        <v>0</v>
      </c>
      <c r="AM90" s="59">
        <v>3.6240000000000001</v>
      </c>
      <c r="AN90" s="57">
        <v>0</v>
      </c>
      <c r="AO90" s="57">
        <v>0</v>
      </c>
      <c r="AP90" s="57">
        <v>0</v>
      </c>
      <c r="AQ90" s="57">
        <v>0</v>
      </c>
      <c r="AR90" s="57">
        <v>0</v>
      </c>
      <c r="AS90" s="57">
        <v>0</v>
      </c>
      <c r="AT90" s="57">
        <v>0</v>
      </c>
      <c r="AU90" s="57">
        <v>0</v>
      </c>
      <c r="AV90" s="58" t="s">
        <v>202</v>
      </c>
      <c r="AW90" s="57">
        <v>0</v>
      </c>
      <c r="AX90" s="58" t="s">
        <v>202</v>
      </c>
      <c r="AY90" s="57">
        <v>0</v>
      </c>
      <c r="AZ90" s="58" t="s">
        <v>202</v>
      </c>
      <c r="BA90" s="58" t="s">
        <v>202</v>
      </c>
      <c r="BB90" s="58" t="s">
        <v>202</v>
      </c>
      <c r="BC90" s="57">
        <v>0</v>
      </c>
      <c r="BD90" s="57">
        <v>0</v>
      </c>
      <c r="BE90" s="57">
        <v>0</v>
      </c>
      <c r="BF90" s="57">
        <v>0</v>
      </c>
      <c r="BG90" s="57">
        <v>0</v>
      </c>
      <c r="BH90" s="57">
        <v>0</v>
      </c>
      <c r="BI90" s="57">
        <v>0</v>
      </c>
      <c r="BJ90" s="57">
        <v>0</v>
      </c>
      <c r="BK90" s="57">
        <v>0</v>
      </c>
      <c r="BL90" s="57">
        <v>0</v>
      </c>
      <c r="BM90" s="57">
        <v>0</v>
      </c>
      <c r="BN90" s="57">
        <v>0</v>
      </c>
      <c r="BO90" s="57">
        <v>0</v>
      </c>
      <c r="BP90" s="57">
        <v>0</v>
      </c>
      <c r="BQ90" s="58" t="s">
        <v>202</v>
      </c>
      <c r="BR90" s="59">
        <v>13668.019</v>
      </c>
      <c r="BS90" s="57">
        <v>0</v>
      </c>
      <c r="BT90" s="59">
        <v>910.14200000000005</v>
      </c>
      <c r="BU90" s="59">
        <v>6729.0839999999998</v>
      </c>
    </row>
    <row r="91" spans="1:73" x14ac:dyDescent="0.2">
      <c r="A91" s="56" t="s">
        <v>264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6" t="s">
        <v>202</v>
      </c>
      <c r="AB91" s="16" t="s">
        <v>202</v>
      </c>
      <c r="AC91" s="16" t="s">
        <v>202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6" t="s">
        <v>202</v>
      </c>
      <c r="AW91" s="17">
        <v>0</v>
      </c>
      <c r="AX91" s="16" t="s">
        <v>202</v>
      </c>
      <c r="AY91" s="17">
        <v>0</v>
      </c>
      <c r="AZ91" s="16" t="s">
        <v>202</v>
      </c>
      <c r="BA91" s="16" t="s">
        <v>202</v>
      </c>
      <c r="BB91" s="16" t="s">
        <v>202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6" t="s">
        <v>202</v>
      </c>
      <c r="BR91" s="17">
        <v>0</v>
      </c>
      <c r="BS91" s="17">
        <v>0</v>
      </c>
      <c r="BT91" s="17">
        <v>0</v>
      </c>
      <c r="BU91" s="17">
        <v>0</v>
      </c>
    </row>
    <row r="92" spans="1:73" x14ac:dyDescent="0.2">
      <c r="A92" s="56" t="s">
        <v>265</v>
      </c>
      <c r="B92" s="59">
        <v>19520.600999999999</v>
      </c>
      <c r="C92" s="58" t="s">
        <v>202</v>
      </c>
      <c r="D92" s="58" t="s">
        <v>202</v>
      </c>
      <c r="E92" s="58" t="s">
        <v>202</v>
      </c>
      <c r="F92" s="58" t="s">
        <v>202</v>
      </c>
      <c r="G92" s="58" t="s">
        <v>202</v>
      </c>
      <c r="H92" s="58" t="s">
        <v>202</v>
      </c>
      <c r="I92" s="58" t="s">
        <v>202</v>
      </c>
      <c r="J92" s="58" t="s">
        <v>202</v>
      </c>
      <c r="K92" s="58" t="s">
        <v>202</v>
      </c>
      <c r="L92" s="58" t="s">
        <v>202</v>
      </c>
      <c r="M92" s="58" t="s">
        <v>202</v>
      </c>
      <c r="N92" s="58" t="s">
        <v>202</v>
      </c>
      <c r="O92" s="58" t="s">
        <v>202</v>
      </c>
      <c r="P92" s="58" t="s">
        <v>202</v>
      </c>
      <c r="Q92" s="58" t="s">
        <v>202</v>
      </c>
      <c r="R92" s="58" t="s">
        <v>202</v>
      </c>
      <c r="S92" s="58" t="s">
        <v>202</v>
      </c>
      <c r="T92" s="58" t="s">
        <v>202</v>
      </c>
      <c r="U92" s="58" t="s">
        <v>202</v>
      </c>
      <c r="V92" s="58" t="s">
        <v>202</v>
      </c>
      <c r="W92" s="59">
        <v>14138.665999999999</v>
      </c>
      <c r="X92" s="57">
        <v>0</v>
      </c>
      <c r="Y92" s="57">
        <v>0</v>
      </c>
      <c r="Z92" s="57">
        <v>0</v>
      </c>
      <c r="AA92" s="58" t="s">
        <v>202</v>
      </c>
      <c r="AB92" s="58" t="s">
        <v>202</v>
      </c>
      <c r="AC92" s="58" t="s">
        <v>202</v>
      </c>
      <c r="AD92" s="57">
        <v>0</v>
      </c>
      <c r="AE92" s="57">
        <v>0</v>
      </c>
      <c r="AF92" s="57">
        <v>0</v>
      </c>
      <c r="AG92" s="57">
        <v>0</v>
      </c>
      <c r="AH92" s="57">
        <v>0</v>
      </c>
      <c r="AI92" s="57">
        <v>0</v>
      </c>
      <c r="AJ92" s="57">
        <v>0</v>
      </c>
      <c r="AK92" s="57">
        <v>0</v>
      </c>
      <c r="AL92" s="57">
        <v>0</v>
      </c>
      <c r="AM92" s="57">
        <v>0</v>
      </c>
      <c r="AN92" s="57">
        <v>0</v>
      </c>
      <c r="AO92" s="57">
        <v>0</v>
      </c>
      <c r="AP92" s="57">
        <v>0</v>
      </c>
      <c r="AQ92" s="57">
        <v>0</v>
      </c>
      <c r="AR92" s="57">
        <v>0</v>
      </c>
      <c r="AS92" s="57">
        <v>0</v>
      </c>
      <c r="AT92" s="57">
        <v>0</v>
      </c>
      <c r="AU92" s="57">
        <v>0</v>
      </c>
      <c r="AV92" s="58" t="s">
        <v>202</v>
      </c>
      <c r="AW92" s="58" t="s">
        <v>202</v>
      </c>
      <c r="AX92" s="58" t="s">
        <v>202</v>
      </c>
      <c r="AY92" s="58" t="s">
        <v>202</v>
      </c>
      <c r="AZ92" s="58" t="s">
        <v>202</v>
      </c>
      <c r="BA92" s="58" t="s">
        <v>202</v>
      </c>
      <c r="BB92" s="58" t="s">
        <v>202</v>
      </c>
      <c r="BC92" s="58" t="s">
        <v>202</v>
      </c>
      <c r="BD92" s="58" t="s">
        <v>202</v>
      </c>
      <c r="BE92" s="58" t="s">
        <v>202</v>
      </c>
      <c r="BF92" s="57">
        <v>0</v>
      </c>
      <c r="BG92" s="58" t="s">
        <v>202</v>
      </c>
      <c r="BH92" s="57">
        <v>0</v>
      </c>
      <c r="BI92" s="58" t="s">
        <v>202</v>
      </c>
      <c r="BJ92" s="57">
        <v>0</v>
      </c>
      <c r="BK92" s="58" t="s">
        <v>202</v>
      </c>
      <c r="BL92" s="58" t="s">
        <v>202</v>
      </c>
      <c r="BM92" s="58" t="s">
        <v>202</v>
      </c>
      <c r="BN92" s="58" t="s">
        <v>202</v>
      </c>
      <c r="BO92" s="58" t="s">
        <v>202</v>
      </c>
      <c r="BP92" s="58" t="s">
        <v>202</v>
      </c>
      <c r="BQ92" s="58" t="s">
        <v>202</v>
      </c>
      <c r="BR92" s="59">
        <v>5381.9350000000004</v>
      </c>
      <c r="BS92" s="57">
        <v>0</v>
      </c>
      <c r="BT92" s="59">
        <v>503.11799999999999</v>
      </c>
      <c r="BU92" s="59">
        <v>16634.212</v>
      </c>
    </row>
    <row r="93" spans="1:73" x14ac:dyDescent="0.2">
      <c r="A93" s="56" t="s">
        <v>266</v>
      </c>
      <c r="B93" s="17">
        <v>0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6" t="s">
        <v>202</v>
      </c>
      <c r="X93" s="16" t="s">
        <v>202</v>
      </c>
      <c r="Y93" s="16" t="s">
        <v>202</v>
      </c>
      <c r="Z93" s="16" t="s">
        <v>202</v>
      </c>
      <c r="AA93" s="16" t="s">
        <v>202</v>
      </c>
      <c r="AB93" s="16" t="s">
        <v>202</v>
      </c>
      <c r="AC93" s="16" t="s">
        <v>202</v>
      </c>
      <c r="AD93" s="16" t="s">
        <v>202</v>
      </c>
      <c r="AE93" s="16" t="s">
        <v>202</v>
      </c>
      <c r="AF93" s="16" t="s">
        <v>202</v>
      </c>
      <c r="AG93" s="16" t="s">
        <v>202</v>
      </c>
      <c r="AH93" s="16" t="s">
        <v>202</v>
      </c>
      <c r="AI93" s="16" t="s">
        <v>202</v>
      </c>
      <c r="AJ93" s="16" t="s">
        <v>202</v>
      </c>
      <c r="AK93" s="16" t="s">
        <v>202</v>
      </c>
      <c r="AL93" s="16" t="s">
        <v>202</v>
      </c>
      <c r="AM93" s="16" t="s">
        <v>202</v>
      </c>
      <c r="AN93" s="16" t="s">
        <v>202</v>
      </c>
      <c r="AO93" s="16" t="s">
        <v>202</v>
      </c>
      <c r="AP93" s="16" t="s">
        <v>202</v>
      </c>
      <c r="AQ93" s="16" t="s">
        <v>202</v>
      </c>
      <c r="AR93" s="16" t="s">
        <v>202</v>
      </c>
      <c r="AS93" s="16" t="s">
        <v>202</v>
      </c>
      <c r="AT93" s="16" t="s">
        <v>202</v>
      </c>
      <c r="AU93" s="17">
        <v>0</v>
      </c>
      <c r="AV93" s="16" t="s">
        <v>202</v>
      </c>
      <c r="AW93" s="17">
        <v>0</v>
      </c>
      <c r="AX93" s="16" t="s">
        <v>202</v>
      </c>
      <c r="AY93" s="17">
        <v>0</v>
      </c>
      <c r="AZ93" s="16" t="s">
        <v>202</v>
      </c>
      <c r="BA93" s="16" t="s">
        <v>202</v>
      </c>
      <c r="BB93" s="16" t="s">
        <v>202</v>
      </c>
      <c r="BC93" s="17">
        <v>0</v>
      </c>
      <c r="BD93" s="17">
        <v>0</v>
      </c>
      <c r="BE93" s="17">
        <v>0</v>
      </c>
      <c r="BF93" s="16" t="s">
        <v>202</v>
      </c>
      <c r="BG93" s="17">
        <v>0</v>
      </c>
      <c r="BH93" s="16" t="s">
        <v>202</v>
      </c>
      <c r="BI93" s="17">
        <v>0</v>
      </c>
      <c r="BJ93" s="16" t="s">
        <v>202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6" t="s">
        <v>202</v>
      </c>
      <c r="BR93" s="17">
        <v>0</v>
      </c>
      <c r="BS93" s="17">
        <v>0</v>
      </c>
      <c r="BT93" s="17">
        <v>0</v>
      </c>
      <c r="BU93" s="17">
        <v>0</v>
      </c>
    </row>
    <row r="94" spans="1:73" x14ac:dyDescent="0.2">
      <c r="A94" s="56" t="s">
        <v>267</v>
      </c>
      <c r="B94" s="59">
        <v>8193.7189999999991</v>
      </c>
      <c r="C94" s="57">
        <v>0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9">
        <v>6927.3320000000003</v>
      </c>
      <c r="O94" s="59">
        <v>6767.5630000000001</v>
      </c>
      <c r="P94" s="57">
        <v>0</v>
      </c>
      <c r="Q94" s="59">
        <v>159.76900000000001</v>
      </c>
      <c r="R94" s="57">
        <v>0</v>
      </c>
      <c r="S94" s="57">
        <v>0</v>
      </c>
      <c r="T94" s="57">
        <v>0</v>
      </c>
      <c r="U94" s="57">
        <v>0</v>
      </c>
      <c r="V94" s="57">
        <v>0</v>
      </c>
      <c r="W94" s="57">
        <v>0</v>
      </c>
      <c r="X94" s="57">
        <v>0</v>
      </c>
      <c r="Y94" s="57">
        <v>0</v>
      </c>
      <c r="Z94" s="57">
        <v>0</v>
      </c>
      <c r="AA94" s="58" t="s">
        <v>202</v>
      </c>
      <c r="AB94" s="58" t="s">
        <v>202</v>
      </c>
      <c r="AC94" s="58" t="s">
        <v>202</v>
      </c>
      <c r="AD94" s="57">
        <v>0</v>
      </c>
      <c r="AE94" s="57">
        <v>0</v>
      </c>
      <c r="AF94" s="57">
        <v>0</v>
      </c>
      <c r="AG94" s="57">
        <v>0</v>
      </c>
      <c r="AH94" s="57">
        <v>0</v>
      </c>
      <c r="AI94" s="57">
        <v>0</v>
      </c>
      <c r="AJ94" s="57">
        <v>0</v>
      </c>
      <c r="AK94" s="57">
        <v>0</v>
      </c>
      <c r="AL94" s="57">
        <v>0</v>
      </c>
      <c r="AM94" s="57">
        <v>0</v>
      </c>
      <c r="AN94" s="57">
        <v>0</v>
      </c>
      <c r="AO94" s="57">
        <v>0</v>
      </c>
      <c r="AP94" s="57">
        <v>0</v>
      </c>
      <c r="AQ94" s="57">
        <v>0</v>
      </c>
      <c r="AR94" s="57">
        <v>0</v>
      </c>
      <c r="AS94" s="57">
        <v>0</v>
      </c>
      <c r="AT94" s="57">
        <v>0</v>
      </c>
      <c r="AU94" s="57">
        <v>0</v>
      </c>
      <c r="AV94" s="58" t="s">
        <v>202</v>
      </c>
      <c r="AW94" s="57">
        <v>0</v>
      </c>
      <c r="AX94" s="58" t="s">
        <v>202</v>
      </c>
      <c r="AY94" s="57">
        <v>0</v>
      </c>
      <c r="AZ94" s="58" t="s">
        <v>202</v>
      </c>
      <c r="BA94" s="58" t="s">
        <v>202</v>
      </c>
      <c r="BB94" s="58" t="s">
        <v>202</v>
      </c>
      <c r="BC94" s="57">
        <v>0</v>
      </c>
      <c r="BD94" s="57">
        <v>0</v>
      </c>
      <c r="BE94" s="57">
        <v>0</v>
      </c>
      <c r="BF94" s="57">
        <v>0</v>
      </c>
      <c r="BG94" s="57">
        <v>0</v>
      </c>
      <c r="BH94" s="57">
        <v>0</v>
      </c>
      <c r="BI94" s="57">
        <v>0</v>
      </c>
      <c r="BJ94" s="57">
        <v>0</v>
      </c>
      <c r="BK94" s="57">
        <v>0</v>
      </c>
      <c r="BL94" s="57">
        <v>0</v>
      </c>
      <c r="BM94" s="57">
        <v>0</v>
      </c>
      <c r="BN94" s="57">
        <v>0</v>
      </c>
      <c r="BO94" s="57">
        <v>0</v>
      </c>
      <c r="BP94" s="57">
        <v>0</v>
      </c>
      <c r="BQ94" s="58" t="s">
        <v>202</v>
      </c>
      <c r="BR94" s="59">
        <v>317.60300000000001</v>
      </c>
      <c r="BS94" s="59">
        <v>948.78499999999997</v>
      </c>
      <c r="BT94" s="59">
        <v>229.42099999999999</v>
      </c>
      <c r="BU94" s="59">
        <v>7741.9849999999997</v>
      </c>
    </row>
    <row r="95" spans="1:73" x14ac:dyDescent="0.2">
      <c r="A95" s="56" t="s">
        <v>268</v>
      </c>
      <c r="B95" s="17">
        <v>0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6" t="s">
        <v>202</v>
      </c>
      <c r="X95" s="16" t="s">
        <v>202</v>
      </c>
      <c r="Y95" s="16" t="s">
        <v>202</v>
      </c>
      <c r="Z95" s="16" t="s">
        <v>202</v>
      </c>
      <c r="AA95" s="16" t="s">
        <v>202</v>
      </c>
      <c r="AB95" s="16" t="s">
        <v>202</v>
      </c>
      <c r="AC95" s="16" t="s">
        <v>202</v>
      </c>
      <c r="AD95" s="16" t="s">
        <v>202</v>
      </c>
      <c r="AE95" s="16" t="s">
        <v>202</v>
      </c>
      <c r="AF95" s="16" t="s">
        <v>202</v>
      </c>
      <c r="AG95" s="16" t="s">
        <v>202</v>
      </c>
      <c r="AH95" s="16" t="s">
        <v>202</v>
      </c>
      <c r="AI95" s="16" t="s">
        <v>202</v>
      </c>
      <c r="AJ95" s="16" t="s">
        <v>202</v>
      </c>
      <c r="AK95" s="16" t="s">
        <v>202</v>
      </c>
      <c r="AL95" s="16" t="s">
        <v>202</v>
      </c>
      <c r="AM95" s="16" t="s">
        <v>202</v>
      </c>
      <c r="AN95" s="16" t="s">
        <v>202</v>
      </c>
      <c r="AO95" s="16" t="s">
        <v>202</v>
      </c>
      <c r="AP95" s="16" t="s">
        <v>202</v>
      </c>
      <c r="AQ95" s="16" t="s">
        <v>202</v>
      </c>
      <c r="AR95" s="16" t="s">
        <v>202</v>
      </c>
      <c r="AS95" s="16" t="s">
        <v>202</v>
      </c>
      <c r="AT95" s="16" t="s">
        <v>202</v>
      </c>
      <c r="AU95" s="17">
        <v>0</v>
      </c>
      <c r="AV95" s="16" t="s">
        <v>202</v>
      </c>
      <c r="AW95" s="17">
        <v>0</v>
      </c>
      <c r="AX95" s="16" t="s">
        <v>202</v>
      </c>
      <c r="AY95" s="17">
        <v>0</v>
      </c>
      <c r="AZ95" s="16" t="s">
        <v>202</v>
      </c>
      <c r="BA95" s="16" t="s">
        <v>202</v>
      </c>
      <c r="BB95" s="16" t="s">
        <v>202</v>
      </c>
      <c r="BC95" s="17">
        <v>0</v>
      </c>
      <c r="BD95" s="17">
        <v>0</v>
      </c>
      <c r="BE95" s="17">
        <v>0</v>
      </c>
      <c r="BF95" s="16" t="s">
        <v>202</v>
      </c>
      <c r="BG95" s="17">
        <v>0</v>
      </c>
      <c r="BH95" s="16" t="s">
        <v>202</v>
      </c>
      <c r="BI95" s="17">
        <v>0</v>
      </c>
      <c r="BJ95" s="16" t="s">
        <v>202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6" t="s">
        <v>202</v>
      </c>
      <c r="BR95" s="17">
        <v>0</v>
      </c>
      <c r="BS95" s="17">
        <v>0</v>
      </c>
      <c r="BT95" s="17">
        <v>0</v>
      </c>
      <c r="BU95" s="17">
        <v>0</v>
      </c>
    </row>
    <row r="96" spans="1:73" x14ac:dyDescent="0.2">
      <c r="A96" s="56" t="s">
        <v>269</v>
      </c>
      <c r="B96" s="57">
        <v>0</v>
      </c>
      <c r="C96" s="57">
        <v>0</v>
      </c>
      <c r="D96" s="57">
        <v>0</v>
      </c>
      <c r="E96" s="57">
        <v>0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7">
        <v>0</v>
      </c>
      <c r="P96" s="57">
        <v>0</v>
      </c>
      <c r="Q96" s="57">
        <v>0</v>
      </c>
      <c r="R96" s="57">
        <v>0</v>
      </c>
      <c r="S96" s="57">
        <v>0</v>
      </c>
      <c r="T96" s="57">
        <v>0</v>
      </c>
      <c r="U96" s="57">
        <v>0</v>
      </c>
      <c r="V96" s="57">
        <v>0</v>
      </c>
      <c r="W96" s="57">
        <v>0</v>
      </c>
      <c r="X96" s="57">
        <v>0</v>
      </c>
      <c r="Y96" s="57">
        <v>0</v>
      </c>
      <c r="Z96" s="57">
        <v>0</v>
      </c>
      <c r="AA96" s="58" t="s">
        <v>202</v>
      </c>
      <c r="AB96" s="58" t="s">
        <v>202</v>
      </c>
      <c r="AC96" s="58" t="s">
        <v>202</v>
      </c>
      <c r="AD96" s="57">
        <v>0</v>
      </c>
      <c r="AE96" s="57">
        <v>0</v>
      </c>
      <c r="AF96" s="57">
        <v>0</v>
      </c>
      <c r="AG96" s="57">
        <v>0</v>
      </c>
      <c r="AH96" s="57">
        <v>0</v>
      </c>
      <c r="AI96" s="57">
        <v>0</v>
      </c>
      <c r="AJ96" s="57">
        <v>0</v>
      </c>
      <c r="AK96" s="57">
        <v>0</v>
      </c>
      <c r="AL96" s="57">
        <v>0</v>
      </c>
      <c r="AM96" s="57">
        <v>0</v>
      </c>
      <c r="AN96" s="57">
        <v>0</v>
      </c>
      <c r="AO96" s="57">
        <v>0</v>
      </c>
      <c r="AP96" s="57">
        <v>0</v>
      </c>
      <c r="AQ96" s="57">
        <v>0</v>
      </c>
      <c r="AR96" s="57">
        <v>0</v>
      </c>
      <c r="AS96" s="57">
        <v>0</v>
      </c>
      <c r="AT96" s="57">
        <v>0</v>
      </c>
      <c r="AU96" s="57">
        <v>0</v>
      </c>
      <c r="AV96" s="58" t="s">
        <v>202</v>
      </c>
      <c r="AW96" s="57">
        <v>0</v>
      </c>
      <c r="AX96" s="58" t="s">
        <v>202</v>
      </c>
      <c r="AY96" s="57">
        <v>0</v>
      </c>
      <c r="AZ96" s="58" t="s">
        <v>202</v>
      </c>
      <c r="BA96" s="58" t="s">
        <v>202</v>
      </c>
      <c r="BB96" s="58" t="s">
        <v>202</v>
      </c>
      <c r="BC96" s="57">
        <v>0</v>
      </c>
      <c r="BD96" s="57">
        <v>0</v>
      </c>
      <c r="BE96" s="57">
        <v>0</v>
      </c>
      <c r="BF96" s="57">
        <v>0</v>
      </c>
      <c r="BG96" s="57">
        <v>0</v>
      </c>
      <c r="BH96" s="57">
        <v>0</v>
      </c>
      <c r="BI96" s="57">
        <v>0</v>
      </c>
      <c r="BJ96" s="57">
        <v>0</v>
      </c>
      <c r="BK96" s="57">
        <v>0</v>
      </c>
      <c r="BL96" s="57">
        <v>0</v>
      </c>
      <c r="BM96" s="57">
        <v>0</v>
      </c>
      <c r="BN96" s="57">
        <v>0</v>
      </c>
      <c r="BO96" s="57">
        <v>0</v>
      </c>
      <c r="BP96" s="57">
        <v>0</v>
      </c>
      <c r="BQ96" s="58" t="s">
        <v>202</v>
      </c>
      <c r="BR96" s="57">
        <v>0</v>
      </c>
      <c r="BS96" s="57">
        <v>0</v>
      </c>
      <c r="BT96" s="57">
        <v>0</v>
      </c>
      <c r="BU96" s="57">
        <v>0</v>
      </c>
    </row>
    <row r="97" spans="1:73" x14ac:dyDescent="0.2">
      <c r="A97" s="56" t="s">
        <v>270</v>
      </c>
      <c r="B97" s="17">
        <v>6773.41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5">
        <v>5864.0060000000003</v>
      </c>
      <c r="O97" s="15">
        <v>426.66300000000001</v>
      </c>
      <c r="P97" s="17">
        <v>0</v>
      </c>
      <c r="Q97" s="15">
        <v>5437.3429999999998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5">
        <v>524.42700000000002</v>
      </c>
      <c r="X97" s="17">
        <v>0</v>
      </c>
      <c r="Y97" s="17">
        <v>0</v>
      </c>
      <c r="Z97" s="17">
        <v>0</v>
      </c>
      <c r="AA97" s="16" t="s">
        <v>202</v>
      </c>
      <c r="AB97" s="16" t="s">
        <v>202</v>
      </c>
      <c r="AC97" s="16" t="s">
        <v>202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6" t="s">
        <v>202</v>
      </c>
      <c r="AW97" s="17">
        <v>0</v>
      </c>
      <c r="AX97" s="16" t="s">
        <v>202</v>
      </c>
      <c r="AY97" s="17">
        <v>0</v>
      </c>
      <c r="AZ97" s="16" t="s">
        <v>202</v>
      </c>
      <c r="BA97" s="16" t="s">
        <v>202</v>
      </c>
      <c r="BB97" s="16" t="s">
        <v>202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6" t="s">
        <v>202</v>
      </c>
      <c r="BR97" s="15">
        <v>384.97699999999998</v>
      </c>
      <c r="BS97" s="17">
        <v>0</v>
      </c>
      <c r="BT97" s="15">
        <v>31.001000000000001</v>
      </c>
      <c r="BU97" s="15">
        <v>6571.9309999999996</v>
      </c>
    </row>
    <row r="98" spans="1:73" x14ac:dyDescent="0.2">
      <c r="A98" s="56" t="s">
        <v>271</v>
      </c>
      <c r="B98" s="59">
        <v>139399.74600000001</v>
      </c>
      <c r="C98" s="57">
        <v>0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57">
        <v>0</v>
      </c>
      <c r="P98" s="57">
        <v>0</v>
      </c>
      <c r="Q98" s="57">
        <v>0</v>
      </c>
      <c r="R98" s="57">
        <v>0</v>
      </c>
      <c r="S98" s="57">
        <v>0</v>
      </c>
      <c r="T98" s="57">
        <v>0</v>
      </c>
      <c r="U98" s="57">
        <v>0</v>
      </c>
      <c r="V98" s="57">
        <v>0</v>
      </c>
      <c r="W98" s="59">
        <v>17101.123</v>
      </c>
      <c r="X98" s="59">
        <v>104028.63800000001</v>
      </c>
      <c r="Y98" s="58" t="s">
        <v>202</v>
      </c>
      <c r="Z98" s="58" t="s">
        <v>202</v>
      </c>
      <c r="AA98" s="58" t="s">
        <v>202</v>
      </c>
      <c r="AB98" s="58" t="s">
        <v>202</v>
      </c>
      <c r="AC98" s="58" t="s">
        <v>202</v>
      </c>
      <c r="AD98" s="59">
        <v>89172.464000000007</v>
      </c>
      <c r="AE98" s="57">
        <v>0</v>
      </c>
      <c r="AF98" s="59">
        <v>4181.308</v>
      </c>
      <c r="AG98" s="57">
        <v>0</v>
      </c>
      <c r="AH98" s="57">
        <v>0</v>
      </c>
      <c r="AI98" s="57">
        <v>0</v>
      </c>
      <c r="AJ98" s="57">
        <v>0</v>
      </c>
      <c r="AK98" s="57">
        <v>0</v>
      </c>
      <c r="AL98" s="57">
        <v>0</v>
      </c>
      <c r="AM98" s="59">
        <v>4.5730000000000004</v>
      </c>
      <c r="AN98" s="57">
        <v>0</v>
      </c>
      <c r="AO98" s="57">
        <v>0</v>
      </c>
      <c r="AP98" s="57">
        <v>0</v>
      </c>
      <c r="AQ98" s="57">
        <v>0</v>
      </c>
      <c r="AR98" s="59">
        <v>10670.291999999999</v>
      </c>
      <c r="AS98" s="57">
        <v>0</v>
      </c>
      <c r="AT98" s="57">
        <v>0</v>
      </c>
      <c r="AU98" s="57">
        <v>0</v>
      </c>
      <c r="AV98" s="58" t="s">
        <v>202</v>
      </c>
      <c r="AW98" s="57">
        <v>0</v>
      </c>
      <c r="AX98" s="58" t="s">
        <v>202</v>
      </c>
      <c r="AY98" s="57">
        <v>0</v>
      </c>
      <c r="AZ98" s="58" t="s">
        <v>202</v>
      </c>
      <c r="BA98" s="58" t="s">
        <v>202</v>
      </c>
      <c r="BB98" s="58" t="s">
        <v>202</v>
      </c>
      <c r="BC98" s="57">
        <v>0</v>
      </c>
      <c r="BD98" s="57">
        <v>0</v>
      </c>
      <c r="BE98" s="57">
        <v>0</v>
      </c>
      <c r="BF98" s="57">
        <v>0</v>
      </c>
      <c r="BG98" s="57">
        <v>0</v>
      </c>
      <c r="BH98" s="57">
        <v>0</v>
      </c>
      <c r="BI98" s="57">
        <v>0</v>
      </c>
      <c r="BJ98" s="57">
        <v>0</v>
      </c>
      <c r="BK98" s="57">
        <v>0</v>
      </c>
      <c r="BL98" s="57">
        <v>0</v>
      </c>
      <c r="BM98" s="57">
        <v>0</v>
      </c>
      <c r="BN98" s="57">
        <v>0</v>
      </c>
      <c r="BO98" s="57">
        <v>0</v>
      </c>
      <c r="BP98" s="57">
        <v>0</v>
      </c>
      <c r="BQ98" s="58" t="s">
        <v>202</v>
      </c>
      <c r="BR98" s="59">
        <v>9573.6059999999998</v>
      </c>
      <c r="BS98" s="59">
        <v>8696.3790000000008</v>
      </c>
      <c r="BT98" s="59">
        <v>2721.5419999999999</v>
      </c>
      <c r="BU98" s="59">
        <v>131690.16800000001</v>
      </c>
    </row>
    <row r="99" spans="1:73" x14ac:dyDescent="0.2">
      <c r="A99" s="56" t="s">
        <v>272</v>
      </c>
      <c r="B99" s="17">
        <v>566.87</v>
      </c>
      <c r="C99" s="16" t="s">
        <v>202</v>
      </c>
      <c r="D99" s="16" t="s">
        <v>202</v>
      </c>
      <c r="E99" s="16" t="s">
        <v>202</v>
      </c>
      <c r="F99" s="16" t="s">
        <v>202</v>
      </c>
      <c r="G99" s="16" t="s">
        <v>202</v>
      </c>
      <c r="H99" s="16" t="s">
        <v>202</v>
      </c>
      <c r="I99" s="16" t="s">
        <v>202</v>
      </c>
      <c r="J99" s="16" t="s">
        <v>202</v>
      </c>
      <c r="K99" s="16" t="s">
        <v>202</v>
      </c>
      <c r="L99" s="16" t="s">
        <v>202</v>
      </c>
      <c r="M99" s="16" t="s">
        <v>202</v>
      </c>
      <c r="N99" s="16" t="s">
        <v>202</v>
      </c>
      <c r="O99" s="16" t="s">
        <v>202</v>
      </c>
      <c r="P99" s="16" t="s">
        <v>202</v>
      </c>
      <c r="Q99" s="16" t="s">
        <v>202</v>
      </c>
      <c r="R99" s="16" t="s">
        <v>202</v>
      </c>
      <c r="S99" s="16" t="s">
        <v>202</v>
      </c>
      <c r="T99" s="16" t="s">
        <v>202</v>
      </c>
      <c r="U99" s="16" t="s">
        <v>202</v>
      </c>
      <c r="V99" s="16" t="s">
        <v>202</v>
      </c>
      <c r="W99" s="16" t="s">
        <v>202</v>
      </c>
      <c r="X99" s="16" t="s">
        <v>202</v>
      </c>
      <c r="Y99" s="16" t="s">
        <v>202</v>
      </c>
      <c r="Z99" s="16" t="s">
        <v>202</v>
      </c>
      <c r="AA99" s="16" t="s">
        <v>202</v>
      </c>
      <c r="AB99" s="16" t="s">
        <v>202</v>
      </c>
      <c r="AC99" s="16" t="s">
        <v>202</v>
      </c>
      <c r="AD99" s="16" t="s">
        <v>202</v>
      </c>
      <c r="AE99" s="16" t="s">
        <v>202</v>
      </c>
      <c r="AF99" s="16" t="s">
        <v>202</v>
      </c>
      <c r="AG99" s="16" t="s">
        <v>202</v>
      </c>
      <c r="AH99" s="16" t="s">
        <v>202</v>
      </c>
      <c r="AI99" s="16" t="s">
        <v>202</v>
      </c>
      <c r="AJ99" s="16" t="s">
        <v>202</v>
      </c>
      <c r="AK99" s="16" t="s">
        <v>202</v>
      </c>
      <c r="AL99" s="16" t="s">
        <v>202</v>
      </c>
      <c r="AM99" s="16" t="s">
        <v>202</v>
      </c>
      <c r="AN99" s="16" t="s">
        <v>202</v>
      </c>
      <c r="AO99" s="16" t="s">
        <v>202</v>
      </c>
      <c r="AP99" s="16" t="s">
        <v>202</v>
      </c>
      <c r="AQ99" s="16" t="s">
        <v>202</v>
      </c>
      <c r="AR99" s="16" t="s">
        <v>202</v>
      </c>
      <c r="AS99" s="16" t="s">
        <v>202</v>
      </c>
      <c r="AT99" s="16" t="s">
        <v>202</v>
      </c>
      <c r="AU99" s="16" t="s">
        <v>202</v>
      </c>
      <c r="AV99" s="16" t="s">
        <v>202</v>
      </c>
      <c r="AW99" s="16" t="s">
        <v>202</v>
      </c>
      <c r="AX99" s="16" t="s">
        <v>202</v>
      </c>
      <c r="AY99" s="16" t="s">
        <v>202</v>
      </c>
      <c r="AZ99" s="16" t="s">
        <v>202</v>
      </c>
      <c r="BA99" s="16" t="s">
        <v>202</v>
      </c>
      <c r="BB99" s="16" t="s">
        <v>202</v>
      </c>
      <c r="BC99" s="16" t="s">
        <v>202</v>
      </c>
      <c r="BD99" s="16" t="s">
        <v>202</v>
      </c>
      <c r="BE99" s="16" t="s">
        <v>202</v>
      </c>
      <c r="BF99" s="16" t="s">
        <v>202</v>
      </c>
      <c r="BG99" s="16" t="s">
        <v>202</v>
      </c>
      <c r="BH99" s="16" t="s">
        <v>202</v>
      </c>
      <c r="BI99" s="16" t="s">
        <v>202</v>
      </c>
      <c r="BJ99" s="16" t="s">
        <v>202</v>
      </c>
      <c r="BK99" s="16" t="s">
        <v>202</v>
      </c>
      <c r="BL99" s="16" t="s">
        <v>202</v>
      </c>
      <c r="BM99" s="16" t="s">
        <v>202</v>
      </c>
      <c r="BN99" s="16" t="s">
        <v>202</v>
      </c>
      <c r="BO99" s="16" t="s">
        <v>202</v>
      </c>
      <c r="BP99" s="16" t="s">
        <v>202</v>
      </c>
      <c r="BQ99" s="16" t="s">
        <v>202</v>
      </c>
      <c r="BR99" s="17">
        <v>566.87</v>
      </c>
      <c r="BS99" s="17">
        <v>0</v>
      </c>
      <c r="BT99" s="15">
        <v>37.738999999999997</v>
      </c>
      <c r="BU99" s="15">
        <v>278.10599999999999</v>
      </c>
    </row>
    <row r="100" spans="1:73" x14ac:dyDescent="0.2">
      <c r="A100" s="56" t="s">
        <v>273</v>
      </c>
      <c r="B100" s="57">
        <v>0</v>
      </c>
      <c r="C100" s="57">
        <v>0</v>
      </c>
      <c r="D100" s="57">
        <v>0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57">
        <v>0</v>
      </c>
      <c r="P100" s="57">
        <v>0</v>
      </c>
      <c r="Q100" s="57">
        <v>0</v>
      </c>
      <c r="R100" s="57">
        <v>0</v>
      </c>
      <c r="S100" s="57">
        <v>0</v>
      </c>
      <c r="T100" s="57">
        <v>0</v>
      </c>
      <c r="U100" s="57">
        <v>0</v>
      </c>
      <c r="V100" s="57">
        <v>0</v>
      </c>
      <c r="W100" s="58" t="s">
        <v>202</v>
      </c>
      <c r="X100" s="58" t="s">
        <v>202</v>
      </c>
      <c r="Y100" s="58" t="s">
        <v>202</v>
      </c>
      <c r="Z100" s="58" t="s">
        <v>202</v>
      </c>
      <c r="AA100" s="58" t="s">
        <v>202</v>
      </c>
      <c r="AB100" s="58" t="s">
        <v>202</v>
      </c>
      <c r="AC100" s="58" t="s">
        <v>202</v>
      </c>
      <c r="AD100" s="58" t="s">
        <v>202</v>
      </c>
      <c r="AE100" s="58" t="s">
        <v>202</v>
      </c>
      <c r="AF100" s="58" t="s">
        <v>202</v>
      </c>
      <c r="AG100" s="58" t="s">
        <v>202</v>
      </c>
      <c r="AH100" s="58" t="s">
        <v>202</v>
      </c>
      <c r="AI100" s="58" t="s">
        <v>202</v>
      </c>
      <c r="AJ100" s="58" t="s">
        <v>202</v>
      </c>
      <c r="AK100" s="58" t="s">
        <v>202</v>
      </c>
      <c r="AL100" s="58" t="s">
        <v>202</v>
      </c>
      <c r="AM100" s="58" t="s">
        <v>202</v>
      </c>
      <c r="AN100" s="58" t="s">
        <v>202</v>
      </c>
      <c r="AO100" s="58" t="s">
        <v>202</v>
      </c>
      <c r="AP100" s="58" t="s">
        <v>202</v>
      </c>
      <c r="AQ100" s="58" t="s">
        <v>202</v>
      </c>
      <c r="AR100" s="58" t="s">
        <v>202</v>
      </c>
      <c r="AS100" s="58" t="s">
        <v>202</v>
      </c>
      <c r="AT100" s="58" t="s">
        <v>202</v>
      </c>
      <c r="AU100" s="58" t="s">
        <v>202</v>
      </c>
      <c r="AV100" s="58" t="s">
        <v>202</v>
      </c>
      <c r="AW100" s="58" t="s">
        <v>202</v>
      </c>
      <c r="AX100" s="58" t="s">
        <v>202</v>
      </c>
      <c r="AY100" s="58" t="s">
        <v>202</v>
      </c>
      <c r="AZ100" s="58" t="s">
        <v>202</v>
      </c>
      <c r="BA100" s="58" t="s">
        <v>202</v>
      </c>
      <c r="BB100" s="58" t="s">
        <v>202</v>
      </c>
      <c r="BC100" s="58" t="s">
        <v>202</v>
      </c>
      <c r="BD100" s="58" t="s">
        <v>202</v>
      </c>
      <c r="BE100" s="58" t="s">
        <v>202</v>
      </c>
      <c r="BF100" s="58" t="s">
        <v>202</v>
      </c>
      <c r="BG100" s="58" t="s">
        <v>202</v>
      </c>
      <c r="BH100" s="58" t="s">
        <v>202</v>
      </c>
      <c r="BI100" s="58" t="s">
        <v>202</v>
      </c>
      <c r="BJ100" s="58" t="s">
        <v>202</v>
      </c>
      <c r="BK100" s="58" t="s">
        <v>202</v>
      </c>
      <c r="BL100" s="58" t="s">
        <v>202</v>
      </c>
      <c r="BM100" s="58" t="s">
        <v>202</v>
      </c>
      <c r="BN100" s="58" t="s">
        <v>202</v>
      </c>
      <c r="BO100" s="58" t="s">
        <v>202</v>
      </c>
      <c r="BP100" s="58" t="s">
        <v>202</v>
      </c>
      <c r="BQ100" s="58" t="s">
        <v>202</v>
      </c>
      <c r="BR100" s="57">
        <v>0</v>
      </c>
      <c r="BS100" s="57">
        <v>0</v>
      </c>
      <c r="BT100" s="57">
        <v>0</v>
      </c>
      <c r="BU100" s="57">
        <v>0</v>
      </c>
    </row>
    <row r="101" spans="1:73" x14ac:dyDescent="0.2">
      <c r="A101" s="56" t="s">
        <v>274</v>
      </c>
      <c r="B101" s="17">
        <v>0</v>
      </c>
      <c r="C101" s="16" t="s">
        <v>202</v>
      </c>
      <c r="D101" s="16" t="s">
        <v>202</v>
      </c>
      <c r="E101" s="16" t="s">
        <v>202</v>
      </c>
      <c r="F101" s="16" t="s">
        <v>202</v>
      </c>
      <c r="G101" s="16" t="s">
        <v>202</v>
      </c>
      <c r="H101" s="16" t="s">
        <v>202</v>
      </c>
      <c r="I101" s="16" t="s">
        <v>202</v>
      </c>
      <c r="J101" s="16" t="s">
        <v>202</v>
      </c>
      <c r="K101" s="16" t="s">
        <v>202</v>
      </c>
      <c r="L101" s="16" t="s">
        <v>202</v>
      </c>
      <c r="M101" s="16" t="s">
        <v>202</v>
      </c>
      <c r="N101" s="16" t="s">
        <v>202</v>
      </c>
      <c r="O101" s="16" t="s">
        <v>202</v>
      </c>
      <c r="P101" s="16" t="s">
        <v>202</v>
      </c>
      <c r="Q101" s="16" t="s">
        <v>202</v>
      </c>
      <c r="R101" s="16" t="s">
        <v>202</v>
      </c>
      <c r="S101" s="16" t="s">
        <v>202</v>
      </c>
      <c r="T101" s="16" t="s">
        <v>202</v>
      </c>
      <c r="U101" s="16" t="s">
        <v>202</v>
      </c>
      <c r="V101" s="16" t="s">
        <v>202</v>
      </c>
      <c r="W101" s="17">
        <v>0</v>
      </c>
      <c r="X101" s="16" t="s">
        <v>202</v>
      </c>
      <c r="Y101" s="16" t="s">
        <v>202</v>
      </c>
      <c r="Z101" s="16" t="s">
        <v>202</v>
      </c>
      <c r="AA101" s="16" t="s">
        <v>202</v>
      </c>
      <c r="AB101" s="16" t="s">
        <v>202</v>
      </c>
      <c r="AC101" s="16" t="s">
        <v>202</v>
      </c>
      <c r="AD101" s="16" t="s">
        <v>202</v>
      </c>
      <c r="AE101" s="16" t="s">
        <v>202</v>
      </c>
      <c r="AF101" s="16" t="s">
        <v>202</v>
      </c>
      <c r="AG101" s="16" t="s">
        <v>202</v>
      </c>
      <c r="AH101" s="16" t="s">
        <v>202</v>
      </c>
      <c r="AI101" s="16" t="s">
        <v>202</v>
      </c>
      <c r="AJ101" s="16" t="s">
        <v>202</v>
      </c>
      <c r="AK101" s="16" t="s">
        <v>202</v>
      </c>
      <c r="AL101" s="16" t="s">
        <v>202</v>
      </c>
      <c r="AM101" s="16" t="s">
        <v>202</v>
      </c>
      <c r="AN101" s="16" t="s">
        <v>202</v>
      </c>
      <c r="AO101" s="16" t="s">
        <v>202</v>
      </c>
      <c r="AP101" s="16" t="s">
        <v>202</v>
      </c>
      <c r="AQ101" s="16" t="s">
        <v>202</v>
      </c>
      <c r="AR101" s="16" t="s">
        <v>202</v>
      </c>
      <c r="AS101" s="16" t="s">
        <v>202</v>
      </c>
      <c r="AT101" s="16" t="s">
        <v>202</v>
      </c>
      <c r="AU101" s="16" t="s">
        <v>202</v>
      </c>
      <c r="AV101" s="16" t="s">
        <v>202</v>
      </c>
      <c r="AW101" s="16" t="s">
        <v>202</v>
      </c>
      <c r="AX101" s="16" t="s">
        <v>202</v>
      </c>
      <c r="AY101" s="16" t="s">
        <v>202</v>
      </c>
      <c r="AZ101" s="16" t="s">
        <v>202</v>
      </c>
      <c r="BA101" s="16" t="s">
        <v>202</v>
      </c>
      <c r="BB101" s="16" t="s">
        <v>202</v>
      </c>
      <c r="BC101" s="16" t="s">
        <v>202</v>
      </c>
      <c r="BD101" s="16" t="s">
        <v>202</v>
      </c>
      <c r="BE101" s="16" t="s">
        <v>202</v>
      </c>
      <c r="BF101" s="16" t="s">
        <v>202</v>
      </c>
      <c r="BG101" s="16" t="s">
        <v>202</v>
      </c>
      <c r="BH101" s="16" t="s">
        <v>202</v>
      </c>
      <c r="BI101" s="16" t="s">
        <v>202</v>
      </c>
      <c r="BJ101" s="16" t="s">
        <v>202</v>
      </c>
      <c r="BK101" s="16" t="s">
        <v>202</v>
      </c>
      <c r="BL101" s="16" t="s">
        <v>202</v>
      </c>
      <c r="BM101" s="16" t="s">
        <v>202</v>
      </c>
      <c r="BN101" s="16" t="s">
        <v>202</v>
      </c>
      <c r="BO101" s="16" t="s">
        <v>202</v>
      </c>
      <c r="BP101" s="16" t="s">
        <v>202</v>
      </c>
      <c r="BQ101" s="16" t="s">
        <v>202</v>
      </c>
      <c r="BR101" s="17">
        <v>0</v>
      </c>
      <c r="BS101" s="17">
        <v>0</v>
      </c>
      <c r="BT101" s="17">
        <v>0</v>
      </c>
      <c r="BU101" s="17">
        <v>0</v>
      </c>
    </row>
    <row r="102" spans="1:73" x14ac:dyDescent="0.2">
      <c r="A102" s="56" t="s">
        <v>275</v>
      </c>
      <c r="B102" s="57">
        <v>0</v>
      </c>
      <c r="C102" s="58" t="s">
        <v>202</v>
      </c>
      <c r="D102" s="58" t="s">
        <v>202</v>
      </c>
      <c r="E102" s="58" t="s">
        <v>202</v>
      </c>
      <c r="F102" s="58" t="s">
        <v>202</v>
      </c>
      <c r="G102" s="58" t="s">
        <v>202</v>
      </c>
      <c r="H102" s="58" t="s">
        <v>202</v>
      </c>
      <c r="I102" s="58" t="s">
        <v>202</v>
      </c>
      <c r="J102" s="58" t="s">
        <v>202</v>
      </c>
      <c r="K102" s="58" t="s">
        <v>202</v>
      </c>
      <c r="L102" s="58" t="s">
        <v>202</v>
      </c>
      <c r="M102" s="58" t="s">
        <v>202</v>
      </c>
      <c r="N102" s="58" t="s">
        <v>202</v>
      </c>
      <c r="O102" s="58" t="s">
        <v>202</v>
      </c>
      <c r="P102" s="58" t="s">
        <v>202</v>
      </c>
      <c r="Q102" s="58" t="s">
        <v>202</v>
      </c>
      <c r="R102" s="58" t="s">
        <v>202</v>
      </c>
      <c r="S102" s="58" t="s">
        <v>202</v>
      </c>
      <c r="T102" s="58" t="s">
        <v>202</v>
      </c>
      <c r="U102" s="58" t="s">
        <v>202</v>
      </c>
      <c r="V102" s="58" t="s">
        <v>202</v>
      </c>
      <c r="W102" s="58" t="s">
        <v>202</v>
      </c>
      <c r="X102" s="58" t="s">
        <v>202</v>
      </c>
      <c r="Y102" s="58" t="s">
        <v>202</v>
      </c>
      <c r="Z102" s="58" t="s">
        <v>202</v>
      </c>
      <c r="AA102" s="58" t="s">
        <v>202</v>
      </c>
      <c r="AB102" s="58" t="s">
        <v>202</v>
      </c>
      <c r="AC102" s="58" t="s">
        <v>202</v>
      </c>
      <c r="AD102" s="58" t="s">
        <v>202</v>
      </c>
      <c r="AE102" s="58" t="s">
        <v>202</v>
      </c>
      <c r="AF102" s="58" t="s">
        <v>202</v>
      </c>
      <c r="AG102" s="58" t="s">
        <v>202</v>
      </c>
      <c r="AH102" s="58" t="s">
        <v>202</v>
      </c>
      <c r="AI102" s="58" t="s">
        <v>202</v>
      </c>
      <c r="AJ102" s="58" t="s">
        <v>202</v>
      </c>
      <c r="AK102" s="58" t="s">
        <v>202</v>
      </c>
      <c r="AL102" s="58" t="s">
        <v>202</v>
      </c>
      <c r="AM102" s="58" t="s">
        <v>202</v>
      </c>
      <c r="AN102" s="58" t="s">
        <v>202</v>
      </c>
      <c r="AO102" s="58" t="s">
        <v>202</v>
      </c>
      <c r="AP102" s="58" t="s">
        <v>202</v>
      </c>
      <c r="AQ102" s="58" t="s">
        <v>202</v>
      </c>
      <c r="AR102" s="58" t="s">
        <v>202</v>
      </c>
      <c r="AS102" s="58" t="s">
        <v>202</v>
      </c>
      <c r="AT102" s="58" t="s">
        <v>202</v>
      </c>
      <c r="AU102" s="57">
        <v>0</v>
      </c>
      <c r="AV102" s="58" t="s">
        <v>202</v>
      </c>
      <c r="AW102" s="57">
        <v>0</v>
      </c>
      <c r="AX102" s="58" t="s">
        <v>202</v>
      </c>
      <c r="AY102" s="57">
        <v>0</v>
      </c>
      <c r="AZ102" s="58" t="s">
        <v>202</v>
      </c>
      <c r="BA102" s="58" t="s">
        <v>202</v>
      </c>
      <c r="BB102" s="58" t="s">
        <v>202</v>
      </c>
      <c r="BC102" s="57">
        <v>0</v>
      </c>
      <c r="BD102" s="57">
        <v>0</v>
      </c>
      <c r="BE102" s="57">
        <v>0</v>
      </c>
      <c r="BF102" s="58" t="s">
        <v>202</v>
      </c>
      <c r="BG102" s="57">
        <v>0</v>
      </c>
      <c r="BH102" s="58" t="s">
        <v>202</v>
      </c>
      <c r="BI102" s="57">
        <v>0</v>
      </c>
      <c r="BJ102" s="58" t="s">
        <v>202</v>
      </c>
      <c r="BK102" s="57">
        <v>0</v>
      </c>
      <c r="BL102" s="57">
        <v>0</v>
      </c>
      <c r="BM102" s="57">
        <v>0</v>
      </c>
      <c r="BN102" s="57">
        <v>0</v>
      </c>
      <c r="BO102" s="57">
        <v>0</v>
      </c>
      <c r="BP102" s="57">
        <v>0</v>
      </c>
      <c r="BQ102" s="58" t="s">
        <v>202</v>
      </c>
      <c r="BR102" s="57">
        <v>0</v>
      </c>
      <c r="BS102" s="57">
        <v>0</v>
      </c>
      <c r="BT102" s="57">
        <v>0</v>
      </c>
      <c r="BU102" s="57">
        <v>0</v>
      </c>
    </row>
    <row r="103" spans="1:73" x14ac:dyDescent="0.2">
      <c r="A103" s="56" t="s">
        <v>276</v>
      </c>
      <c r="B103" s="17">
        <v>0</v>
      </c>
      <c r="C103" s="16" t="s">
        <v>202</v>
      </c>
      <c r="D103" s="16" t="s">
        <v>202</v>
      </c>
      <c r="E103" s="16" t="s">
        <v>202</v>
      </c>
      <c r="F103" s="16" t="s">
        <v>202</v>
      </c>
      <c r="G103" s="16" t="s">
        <v>202</v>
      </c>
      <c r="H103" s="16" t="s">
        <v>202</v>
      </c>
      <c r="I103" s="16" t="s">
        <v>202</v>
      </c>
      <c r="J103" s="16" t="s">
        <v>202</v>
      </c>
      <c r="K103" s="16" t="s">
        <v>202</v>
      </c>
      <c r="L103" s="16" t="s">
        <v>202</v>
      </c>
      <c r="M103" s="16" t="s">
        <v>202</v>
      </c>
      <c r="N103" s="16" t="s">
        <v>202</v>
      </c>
      <c r="O103" s="16" t="s">
        <v>202</v>
      </c>
      <c r="P103" s="16" t="s">
        <v>202</v>
      </c>
      <c r="Q103" s="16" t="s">
        <v>202</v>
      </c>
      <c r="R103" s="16" t="s">
        <v>202</v>
      </c>
      <c r="S103" s="16" t="s">
        <v>202</v>
      </c>
      <c r="T103" s="16" t="s">
        <v>202</v>
      </c>
      <c r="U103" s="16" t="s">
        <v>202</v>
      </c>
      <c r="V103" s="16" t="s">
        <v>202</v>
      </c>
      <c r="W103" s="17">
        <v>0</v>
      </c>
      <c r="X103" s="16" t="s">
        <v>202</v>
      </c>
      <c r="Y103" s="16" t="s">
        <v>202</v>
      </c>
      <c r="Z103" s="16" t="s">
        <v>202</v>
      </c>
      <c r="AA103" s="16" t="s">
        <v>202</v>
      </c>
      <c r="AB103" s="16" t="s">
        <v>202</v>
      </c>
      <c r="AC103" s="16" t="s">
        <v>202</v>
      </c>
      <c r="AD103" s="16" t="s">
        <v>202</v>
      </c>
      <c r="AE103" s="16" t="s">
        <v>202</v>
      </c>
      <c r="AF103" s="16" t="s">
        <v>202</v>
      </c>
      <c r="AG103" s="16" t="s">
        <v>202</v>
      </c>
      <c r="AH103" s="16" t="s">
        <v>202</v>
      </c>
      <c r="AI103" s="16" t="s">
        <v>202</v>
      </c>
      <c r="AJ103" s="16" t="s">
        <v>202</v>
      </c>
      <c r="AK103" s="16" t="s">
        <v>202</v>
      </c>
      <c r="AL103" s="16" t="s">
        <v>202</v>
      </c>
      <c r="AM103" s="16" t="s">
        <v>202</v>
      </c>
      <c r="AN103" s="16" t="s">
        <v>202</v>
      </c>
      <c r="AO103" s="16" t="s">
        <v>202</v>
      </c>
      <c r="AP103" s="16" t="s">
        <v>202</v>
      </c>
      <c r="AQ103" s="16" t="s">
        <v>202</v>
      </c>
      <c r="AR103" s="16" t="s">
        <v>202</v>
      </c>
      <c r="AS103" s="16" t="s">
        <v>202</v>
      </c>
      <c r="AT103" s="16" t="s">
        <v>202</v>
      </c>
      <c r="AU103" s="16" t="s">
        <v>202</v>
      </c>
      <c r="AV103" s="16" t="s">
        <v>202</v>
      </c>
      <c r="AW103" s="16" t="s">
        <v>202</v>
      </c>
      <c r="AX103" s="16" t="s">
        <v>202</v>
      </c>
      <c r="AY103" s="16" t="s">
        <v>202</v>
      </c>
      <c r="AZ103" s="16" t="s">
        <v>202</v>
      </c>
      <c r="BA103" s="16" t="s">
        <v>202</v>
      </c>
      <c r="BB103" s="16" t="s">
        <v>202</v>
      </c>
      <c r="BC103" s="16" t="s">
        <v>202</v>
      </c>
      <c r="BD103" s="16" t="s">
        <v>202</v>
      </c>
      <c r="BE103" s="16" t="s">
        <v>202</v>
      </c>
      <c r="BF103" s="16" t="s">
        <v>202</v>
      </c>
      <c r="BG103" s="16" t="s">
        <v>202</v>
      </c>
      <c r="BH103" s="16" t="s">
        <v>202</v>
      </c>
      <c r="BI103" s="16" t="s">
        <v>202</v>
      </c>
      <c r="BJ103" s="16" t="s">
        <v>202</v>
      </c>
      <c r="BK103" s="16" t="s">
        <v>202</v>
      </c>
      <c r="BL103" s="16" t="s">
        <v>202</v>
      </c>
      <c r="BM103" s="16" t="s">
        <v>202</v>
      </c>
      <c r="BN103" s="16" t="s">
        <v>202</v>
      </c>
      <c r="BO103" s="16" t="s">
        <v>202</v>
      </c>
      <c r="BP103" s="16" t="s">
        <v>202</v>
      </c>
      <c r="BQ103" s="16" t="s">
        <v>202</v>
      </c>
      <c r="BR103" s="17">
        <v>0</v>
      </c>
      <c r="BS103" s="17">
        <v>0</v>
      </c>
      <c r="BT103" s="17">
        <v>0</v>
      </c>
      <c r="BU103" s="17">
        <v>0</v>
      </c>
    </row>
    <row r="104" spans="1:73" x14ac:dyDescent="0.2">
      <c r="A104" s="56" t="s">
        <v>277</v>
      </c>
      <c r="B104" s="57">
        <v>0</v>
      </c>
      <c r="C104" s="58" t="s">
        <v>202</v>
      </c>
      <c r="D104" s="58" t="s">
        <v>202</v>
      </c>
      <c r="E104" s="58" t="s">
        <v>202</v>
      </c>
      <c r="F104" s="58" t="s">
        <v>202</v>
      </c>
      <c r="G104" s="58" t="s">
        <v>202</v>
      </c>
      <c r="H104" s="58" t="s">
        <v>202</v>
      </c>
      <c r="I104" s="58" t="s">
        <v>202</v>
      </c>
      <c r="J104" s="58" t="s">
        <v>202</v>
      </c>
      <c r="K104" s="58" t="s">
        <v>202</v>
      </c>
      <c r="L104" s="58" t="s">
        <v>202</v>
      </c>
      <c r="M104" s="58" t="s">
        <v>202</v>
      </c>
      <c r="N104" s="58" t="s">
        <v>202</v>
      </c>
      <c r="O104" s="58" t="s">
        <v>202</v>
      </c>
      <c r="P104" s="58" t="s">
        <v>202</v>
      </c>
      <c r="Q104" s="58" t="s">
        <v>202</v>
      </c>
      <c r="R104" s="58" t="s">
        <v>202</v>
      </c>
      <c r="S104" s="58" t="s">
        <v>202</v>
      </c>
      <c r="T104" s="58" t="s">
        <v>202</v>
      </c>
      <c r="U104" s="58" t="s">
        <v>202</v>
      </c>
      <c r="V104" s="58" t="s">
        <v>202</v>
      </c>
      <c r="W104" s="58" t="s">
        <v>202</v>
      </c>
      <c r="X104" s="58" t="s">
        <v>202</v>
      </c>
      <c r="Y104" s="58" t="s">
        <v>202</v>
      </c>
      <c r="Z104" s="58" t="s">
        <v>202</v>
      </c>
      <c r="AA104" s="58" t="s">
        <v>202</v>
      </c>
      <c r="AB104" s="58" t="s">
        <v>202</v>
      </c>
      <c r="AC104" s="58" t="s">
        <v>202</v>
      </c>
      <c r="AD104" s="58" t="s">
        <v>202</v>
      </c>
      <c r="AE104" s="58" t="s">
        <v>202</v>
      </c>
      <c r="AF104" s="58" t="s">
        <v>202</v>
      </c>
      <c r="AG104" s="58" t="s">
        <v>202</v>
      </c>
      <c r="AH104" s="58" t="s">
        <v>202</v>
      </c>
      <c r="AI104" s="58" t="s">
        <v>202</v>
      </c>
      <c r="AJ104" s="58" t="s">
        <v>202</v>
      </c>
      <c r="AK104" s="58" t="s">
        <v>202</v>
      </c>
      <c r="AL104" s="58" t="s">
        <v>202</v>
      </c>
      <c r="AM104" s="58" t="s">
        <v>202</v>
      </c>
      <c r="AN104" s="58" t="s">
        <v>202</v>
      </c>
      <c r="AO104" s="58" t="s">
        <v>202</v>
      </c>
      <c r="AP104" s="58" t="s">
        <v>202</v>
      </c>
      <c r="AQ104" s="58" t="s">
        <v>202</v>
      </c>
      <c r="AR104" s="58" t="s">
        <v>202</v>
      </c>
      <c r="AS104" s="58" t="s">
        <v>202</v>
      </c>
      <c r="AT104" s="58" t="s">
        <v>202</v>
      </c>
      <c r="AU104" s="57">
        <v>0</v>
      </c>
      <c r="AV104" s="58" t="s">
        <v>202</v>
      </c>
      <c r="AW104" s="57">
        <v>0</v>
      </c>
      <c r="AX104" s="58" t="s">
        <v>202</v>
      </c>
      <c r="AY104" s="57">
        <v>0</v>
      </c>
      <c r="AZ104" s="58" t="s">
        <v>202</v>
      </c>
      <c r="BA104" s="58" t="s">
        <v>202</v>
      </c>
      <c r="BB104" s="58" t="s">
        <v>202</v>
      </c>
      <c r="BC104" s="57">
        <v>0</v>
      </c>
      <c r="BD104" s="57">
        <v>0</v>
      </c>
      <c r="BE104" s="57">
        <v>0</v>
      </c>
      <c r="BF104" s="58" t="s">
        <v>202</v>
      </c>
      <c r="BG104" s="57">
        <v>0</v>
      </c>
      <c r="BH104" s="58" t="s">
        <v>202</v>
      </c>
      <c r="BI104" s="57">
        <v>0</v>
      </c>
      <c r="BJ104" s="58" t="s">
        <v>202</v>
      </c>
      <c r="BK104" s="57">
        <v>0</v>
      </c>
      <c r="BL104" s="57">
        <v>0</v>
      </c>
      <c r="BM104" s="57">
        <v>0</v>
      </c>
      <c r="BN104" s="57">
        <v>0</v>
      </c>
      <c r="BO104" s="57">
        <v>0</v>
      </c>
      <c r="BP104" s="57">
        <v>0</v>
      </c>
      <c r="BQ104" s="58" t="s">
        <v>202</v>
      </c>
      <c r="BR104" s="57">
        <v>0</v>
      </c>
      <c r="BS104" s="57">
        <v>0</v>
      </c>
      <c r="BT104" s="57">
        <v>0</v>
      </c>
      <c r="BU104" s="57">
        <v>0</v>
      </c>
    </row>
    <row r="105" spans="1:73" x14ac:dyDescent="0.2">
      <c r="A105" s="56" t="s">
        <v>278</v>
      </c>
      <c r="B105" s="15">
        <v>3381.1030000000001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666.83</v>
      </c>
      <c r="X105" s="17">
        <v>0</v>
      </c>
      <c r="Y105" s="17">
        <v>0</v>
      </c>
      <c r="Z105" s="17">
        <v>0</v>
      </c>
      <c r="AA105" s="16" t="s">
        <v>202</v>
      </c>
      <c r="AB105" s="16" t="s">
        <v>202</v>
      </c>
      <c r="AC105" s="16" t="s">
        <v>202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6" t="s">
        <v>202</v>
      </c>
      <c r="AW105" s="17">
        <v>0</v>
      </c>
      <c r="AX105" s="16" t="s">
        <v>202</v>
      </c>
      <c r="AY105" s="17">
        <v>0</v>
      </c>
      <c r="AZ105" s="16" t="s">
        <v>202</v>
      </c>
      <c r="BA105" s="16" t="s">
        <v>202</v>
      </c>
      <c r="BB105" s="16" t="s">
        <v>202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6" t="s">
        <v>202</v>
      </c>
      <c r="BR105" s="15">
        <v>1048.2370000000001</v>
      </c>
      <c r="BS105" s="15">
        <v>1666.0360000000001</v>
      </c>
      <c r="BT105" s="15">
        <v>442.34300000000002</v>
      </c>
      <c r="BU105" s="15">
        <v>2331.1610000000001</v>
      </c>
    </row>
    <row r="106" spans="1:73" x14ac:dyDescent="0.2">
      <c r="A106" s="56" t="s">
        <v>98</v>
      </c>
      <c r="B106" s="57">
        <v>25768.62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7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57">
        <v>0</v>
      </c>
      <c r="V106" s="57">
        <v>0</v>
      </c>
      <c r="W106" s="59">
        <v>47.442999999999998</v>
      </c>
      <c r="X106" s="57">
        <v>0</v>
      </c>
      <c r="Y106" s="57">
        <v>0</v>
      </c>
      <c r="Z106" s="57">
        <v>0</v>
      </c>
      <c r="AA106" s="58" t="s">
        <v>202</v>
      </c>
      <c r="AB106" s="58" t="s">
        <v>202</v>
      </c>
      <c r="AC106" s="58" t="s">
        <v>202</v>
      </c>
      <c r="AD106" s="57">
        <v>0</v>
      </c>
      <c r="AE106" s="57">
        <v>0</v>
      </c>
      <c r="AF106" s="57">
        <v>0</v>
      </c>
      <c r="AG106" s="57">
        <v>0</v>
      </c>
      <c r="AH106" s="57">
        <v>0</v>
      </c>
      <c r="AI106" s="57">
        <v>0</v>
      </c>
      <c r="AJ106" s="57">
        <v>0</v>
      </c>
      <c r="AK106" s="57">
        <v>0</v>
      </c>
      <c r="AL106" s="57">
        <v>0</v>
      </c>
      <c r="AM106" s="57">
        <v>0</v>
      </c>
      <c r="AN106" s="57">
        <v>0</v>
      </c>
      <c r="AO106" s="57">
        <v>0</v>
      </c>
      <c r="AP106" s="57">
        <v>0</v>
      </c>
      <c r="AQ106" s="57">
        <v>0</v>
      </c>
      <c r="AR106" s="57">
        <v>0</v>
      </c>
      <c r="AS106" s="57">
        <v>0</v>
      </c>
      <c r="AT106" s="57">
        <v>0</v>
      </c>
      <c r="AU106" s="57">
        <v>0</v>
      </c>
      <c r="AV106" s="58" t="s">
        <v>202</v>
      </c>
      <c r="AW106" s="57">
        <v>0</v>
      </c>
      <c r="AX106" s="58" t="s">
        <v>202</v>
      </c>
      <c r="AY106" s="57">
        <v>0</v>
      </c>
      <c r="AZ106" s="58" t="s">
        <v>202</v>
      </c>
      <c r="BA106" s="58" t="s">
        <v>202</v>
      </c>
      <c r="BB106" s="58" t="s">
        <v>202</v>
      </c>
      <c r="BC106" s="57">
        <v>0</v>
      </c>
      <c r="BD106" s="57">
        <v>0</v>
      </c>
      <c r="BE106" s="57">
        <v>0</v>
      </c>
      <c r="BF106" s="57">
        <v>0</v>
      </c>
      <c r="BG106" s="57">
        <v>0</v>
      </c>
      <c r="BH106" s="57">
        <v>0</v>
      </c>
      <c r="BI106" s="57">
        <v>0</v>
      </c>
      <c r="BJ106" s="57">
        <v>0</v>
      </c>
      <c r="BK106" s="57">
        <v>0</v>
      </c>
      <c r="BL106" s="57">
        <v>0</v>
      </c>
      <c r="BM106" s="57">
        <v>0</v>
      </c>
      <c r="BN106" s="57">
        <v>0</v>
      </c>
      <c r="BO106" s="57">
        <v>0</v>
      </c>
      <c r="BP106" s="57">
        <v>0</v>
      </c>
      <c r="BQ106" s="58" t="s">
        <v>202</v>
      </c>
      <c r="BR106" s="59">
        <v>18101.606</v>
      </c>
      <c r="BS106" s="59">
        <v>7619.5709999999999</v>
      </c>
      <c r="BT106" s="59">
        <v>2878.2260000000001</v>
      </c>
      <c r="BU106" s="59">
        <v>14218.611999999999</v>
      </c>
    </row>
    <row r="107" spans="1:73" x14ac:dyDescent="0.2">
      <c r="A107" s="56" t="s">
        <v>99</v>
      </c>
      <c r="B107" s="15">
        <v>2046739.2150000001</v>
      </c>
      <c r="C107" s="15">
        <v>5748.3239999999996</v>
      </c>
      <c r="D107" s="15">
        <v>76.706999999999994</v>
      </c>
      <c r="E107" s="15">
        <v>66.251999999999995</v>
      </c>
      <c r="F107" s="15">
        <v>470.79899999999998</v>
      </c>
      <c r="G107" s="17">
        <v>0</v>
      </c>
      <c r="H107" s="17">
        <v>312.82</v>
      </c>
      <c r="I107" s="15">
        <v>3903.759</v>
      </c>
      <c r="J107" s="17">
        <v>0</v>
      </c>
      <c r="K107" s="17">
        <v>0</v>
      </c>
      <c r="L107" s="17">
        <v>0</v>
      </c>
      <c r="M107" s="15">
        <v>917.98699999999997</v>
      </c>
      <c r="N107" s="15">
        <v>11186.406999999999</v>
      </c>
      <c r="O107" s="15">
        <v>6393.5039999999999</v>
      </c>
      <c r="P107" s="17">
        <v>0</v>
      </c>
      <c r="Q107" s="15">
        <v>4792.9030000000002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596325.38</v>
      </c>
      <c r="X107" s="15">
        <v>904307.48400000005</v>
      </c>
      <c r="Y107" s="15">
        <v>-84.231999999999999</v>
      </c>
      <c r="Z107" s="15">
        <v>113302.917</v>
      </c>
      <c r="AA107" s="17">
        <v>0</v>
      </c>
      <c r="AB107" s="15">
        <v>2872.1750000000002</v>
      </c>
      <c r="AC107" s="17">
        <v>0</v>
      </c>
      <c r="AD107" s="15">
        <v>103516.201</v>
      </c>
      <c r="AE107" s="17">
        <v>0</v>
      </c>
      <c r="AF107" s="15">
        <v>78636.793000000005</v>
      </c>
      <c r="AG107" s="15">
        <v>163893.617</v>
      </c>
      <c r="AH107" s="15">
        <v>56.847000000000001</v>
      </c>
      <c r="AI107" s="15">
        <v>171942.658</v>
      </c>
      <c r="AJ107" s="17">
        <v>0</v>
      </c>
      <c r="AK107" s="15">
        <v>1938.453</v>
      </c>
      <c r="AL107" s="15">
        <v>1574.8320000000001</v>
      </c>
      <c r="AM107" s="15">
        <v>233804.89199999999</v>
      </c>
      <c r="AN107" s="15">
        <v>-4.1000000000000002E-2</v>
      </c>
      <c r="AO107" s="15">
        <v>761.42600000000004</v>
      </c>
      <c r="AP107" s="15">
        <v>6290.7150000000001</v>
      </c>
      <c r="AQ107" s="15">
        <v>809.70799999999997</v>
      </c>
      <c r="AR107" s="15">
        <v>14776.694</v>
      </c>
      <c r="AS107" s="15">
        <v>3839.2550000000001</v>
      </c>
      <c r="AT107" s="15">
        <v>6374.5730000000003</v>
      </c>
      <c r="AU107" s="15">
        <v>91474.001000000004</v>
      </c>
      <c r="AV107" s="17">
        <v>0</v>
      </c>
      <c r="AW107" s="17">
        <v>6797.51</v>
      </c>
      <c r="AX107" s="17">
        <v>0</v>
      </c>
      <c r="AY107" s="17">
        <v>1176</v>
      </c>
      <c r="AZ107" s="17">
        <v>0</v>
      </c>
      <c r="BA107" s="17">
        <v>0</v>
      </c>
      <c r="BB107" s="15">
        <v>25524.613000000001</v>
      </c>
      <c r="BC107" s="15">
        <v>25605.471000000001</v>
      </c>
      <c r="BD107" s="17">
        <v>270</v>
      </c>
      <c r="BE107" s="17">
        <v>0</v>
      </c>
      <c r="BF107" s="15">
        <v>10780.532999999999</v>
      </c>
      <c r="BG107" s="17">
        <v>0</v>
      </c>
      <c r="BH107" s="17">
        <v>14730.06</v>
      </c>
      <c r="BI107" s="17">
        <v>0</v>
      </c>
      <c r="BJ107" s="17">
        <v>0</v>
      </c>
      <c r="BK107" s="15">
        <v>529.77599999999995</v>
      </c>
      <c r="BL107" s="15">
        <v>4549.9560000000001</v>
      </c>
      <c r="BM107" s="15">
        <v>631.01400000000001</v>
      </c>
      <c r="BN107" s="15">
        <v>1510.0820000000001</v>
      </c>
      <c r="BO107" s="17">
        <v>1339.13</v>
      </c>
      <c r="BP107" s="15">
        <v>1970.144</v>
      </c>
      <c r="BQ107" s="17">
        <v>0</v>
      </c>
      <c r="BR107" s="15">
        <v>367010.01699999999</v>
      </c>
      <c r="BS107" s="15">
        <v>68717.457999999999</v>
      </c>
      <c r="BT107" s="15">
        <v>98205.835999999996</v>
      </c>
      <c r="BU107" s="15">
        <v>1739258.061</v>
      </c>
    </row>
    <row r="108" spans="1:73" x14ac:dyDescent="0.2">
      <c r="A108" s="56" t="s">
        <v>279</v>
      </c>
      <c r="B108" s="59">
        <v>448111.13500000001</v>
      </c>
      <c r="C108" s="59">
        <v>1262.528</v>
      </c>
      <c r="D108" s="59">
        <v>74.216999999999999</v>
      </c>
      <c r="E108" s="59">
        <v>18.925000000000001</v>
      </c>
      <c r="F108" s="57">
        <v>0</v>
      </c>
      <c r="G108" s="57">
        <v>0</v>
      </c>
      <c r="H108" s="57">
        <v>0</v>
      </c>
      <c r="I108" s="59">
        <v>251.399</v>
      </c>
      <c r="J108" s="57">
        <v>0</v>
      </c>
      <c r="K108" s="57">
        <v>0</v>
      </c>
      <c r="L108" s="57">
        <v>0</v>
      </c>
      <c r="M108" s="59">
        <v>917.98699999999997</v>
      </c>
      <c r="N108" s="57">
        <v>0</v>
      </c>
      <c r="O108" s="57">
        <v>0</v>
      </c>
      <c r="P108" s="57">
        <v>0</v>
      </c>
      <c r="Q108" s="57">
        <v>0</v>
      </c>
      <c r="R108" s="57">
        <v>0</v>
      </c>
      <c r="S108" s="57">
        <v>0</v>
      </c>
      <c r="T108" s="57">
        <v>0</v>
      </c>
      <c r="U108" s="57">
        <v>0</v>
      </c>
      <c r="V108" s="57">
        <v>0</v>
      </c>
      <c r="W108" s="59">
        <v>67016.747000000003</v>
      </c>
      <c r="X108" s="57">
        <v>379831.86</v>
      </c>
      <c r="Y108" s="57">
        <v>0</v>
      </c>
      <c r="Z108" s="59">
        <v>113287.74400000001</v>
      </c>
      <c r="AA108" s="58" t="s">
        <v>202</v>
      </c>
      <c r="AB108" s="58" t="s">
        <v>202</v>
      </c>
      <c r="AC108" s="58" t="s">
        <v>202</v>
      </c>
      <c r="AD108" s="57">
        <v>0</v>
      </c>
      <c r="AE108" s="57">
        <v>0</v>
      </c>
      <c r="AF108" s="59">
        <v>69129.243000000002</v>
      </c>
      <c r="AG108" s="59">
        <v>163893.617</v>
      </c>
      <c r="AH108" s="57">
        <v>0</v>
      </c>
      <c r="AI108" s="57">
        <v>0</v>
      </c>
      <c r="AJ108" s="57">
        <v>0</v>
      </c>
      <c r="AK108" s="57">
        <v>0</v>
      </c>
      <c r="AL108" s="59">
        <v>1356.9559999999999</v>
      </c>
      <c r="AM108" s="57">
        <v>24.72</v>
      </c>
      <c r="AN108" s="57">
        <v>0</v>
      </c>
      <c r="AO108" s="59">
        <v>761.42600000000004</v>
      </c>
      <c r="AP108" s="59">
        <v>6290.674</v>
      </c>
      <c r="AQ108" s="59">
        <v>809.70799999999997</v>
      </c>
      <c r="AR108" s="59">
        <v>14712.534</v>
      </c>
      <c r="AS108" s="59">
        <v>3839.2550000000001</v>
      </c>
      <c r="AT108" s="59">
        <v>5725.9830000000002</v>
      </c>
      <c r="AU108" s="57">
        <v>0</v>
      </c>
      <c r="AV108" s="58" t="s">
        <v>202</v>
      </c>
      <c r="AW108" s="58" t="s">
        <v>202</v>
      </c>
      <c r="AX108" s="58" t="s">
        <v>202</v>
      </c>
      <c r="AY108" s="58" t="s">
        <v>202</v>
      </c>
      <c r="AZ108" s="58" t="s">
        <v>202</v>
      </c>
      <c r="BA108" s="58" t="s">
        <v>202</v>
      </c>
      <c r="BB108" s="58" t="s">
        <v>202</v>
      </c>
      <c r="BC108" s="58" t="s">
        <v>202</v>
      </c>
      <c r="BD108" s="58" t="s">
        <v>202</v>
      </c>
      <c r="BE108" s="58" t="s">
        <v>202</v>
      </c>
      <c r="BF108" s="57">
        <v>0</v>
      </c>
      <c r="BG108" s="58" t="s">
        <v>202</v>
      </c>
      <c r="BH108" s="57">
        <v>0</v>
      </c>
      <c r="BI108" s="58" t="s">
        <v>202</v>
      </c>
      <c r="BJ108" s="57">
        <v>0</v>
      </c>
      <c r="BK108" s="58" t="s">
        <v>202</v>
      </c>
      <c r="BL108" s="58" t="s">
        <v>202</v>
      </c>
      <c r="BM108" s="58" t="s">
        <v>202</v>
      </c>
      <c r="BN108" s="58" t="s">
        <v>202</v>
      </c>
      <c r="BO108" s="58" t="s">
        <v>202</v>
      </c>
      <c r="BP108" s="58" t="s">
        <v>202</v>
      </c>
      <c r="BQ108" s="58" t="s">
        <v>202</v>
      </c>
      <c r="BR108" s="58" t="s">
        <v>202</v>
      </c>
      <c r="BS108" s="58" t="s">
        <v>202</v>
      </c>
      <c r="BT108" s="59">
        <v>686.44600000000003</v>
      </c>
      <c r="BU108" s="59">
        <v>447424.68900000001</v>
      </c>
    </row>
    <row r="109" spans="1:73" x14ac:dyDescent="0.2">
      <c r="A109" s="56" t="s">
        <v>280</v>
      </c>
      <c r="B109" s="15">
        <v>443859.42300000001</v>
      </c>
      <c r="C109" s="15">
        <v>1262.528</v>
      </c>
      <c r="D109" s="15">
        <v>74.216999999999999</v>
      </c>
      <c r="E109" s="15">
        <v>18.925000000000001</v>
      </c>
      <c r="F109" s="17">
        <v>0</v>
      </c>
      <c r="G109" s="17">
        <v>0</v>
      </c>
      <c r="H109" s="17">
        <v>0</v>
      </c>
      <c r="I109" s="15">
        <v>251.399</v>
      </c>
      <c r="J109" s="17">
        <v>0</v>
      </c>
      <c r="K109" s="17">
        <v>0</v>
      </c>
      <c r="L109" s="17">
        <v>0</v>
      </c>
      <c r="M109" s="15">
        <v>917.98699999999997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5">
        <v>66978.793000000005</v>
      </c>
      <c r="X109" s="15">
        <v>375618.10200000001</v>
      </c>
      <c r="Y109" s="17">
        <v>0</v>
      </c>
      <c r="Z109" s="15">
        <v>113287.74400000001</v>
      </c>
      <c r="AA109" s="16" t="s">
        <v>202</v>
      </c>
      <c r="AB109" s="16" t="s">
        <v>202</v>
      </c>
      <c r="AC109" s="16" t="s">
        <v>202</v>
      </c>
      <c r="AD109" s="17">
        <v>0</v>
      </c>
      <c r="AE109" s="17">
        <v>0</v>
      </c>
      <c r="AF109" s="15">
        <v>69129.243000000002</v>
      </c>
      <c r="AG109" s="15">
        <v>163893.617</v>
      </c>
      <c r="AH109" s="17">
        <v>0</v>
      </c>
      <c r="AI109" s="17">
        <v>0</v>
      </c>
      <c r="AJ109" s="17">
        <v>0</v>
      </c>
      <c r="AK109" s="17">
        <v>0</v>
      </c>
      <c r="AL109" s="15">
        <v>1332.7719999999999</v>
      </c>
      <c r="AM109" s="17">
        <v>24.72</v>
      </c>
      <c r="AN109" s="17">
        <v>0</v>
      </c>
      <c r="AO109" s="15">
        <v>761.42600000000004</v>
      </c>
      <c r="AP109" s="17">
        <v>2101.1</v>
      </c>
      <c r="AQ109" s="15">
        <v>809.70799999999997</v>
      </c>
      <c r="AR109" s="15">
        <v>14712.534</v>
      </c>
      <c r="AS109" s="15">
        <v>3839.2550000000001</v>
      </c>
      <c r="AT109" s="15">
        <v>5725.9830000000002</v>
      </c>
      <c r="AU109" s="17">
        <v>0</v>
      </c>
      <c r="AV109" s="16" t="s">
        <v>202</v>
      </c>
      <c r="AW109" s="16" t="s">
        <v>202</v>
      </c>
      <c r="AX109" s="16" t="s">
        <v>202</v>
      </c>
      <c r="AY109" s="16" t="s">
        <v>202</v>
      </c>
      <c r="AZ109" s="16" t="s">
        <v>202</v>
      </c>
      <c r="BA109" s="16" t="s">
        <v>202</v>
      </c>
      <c r="BB109" s="16" t="s">
        <v>202</v>
      </c>
      <c r="BC109" s="16" t="s">
        <v>202</v>
      </c>
      <c r="BD109" s="16" t="s">
        <v>202</v>
      </c>
      <c r="BE109" s="16" t="s">
        <v>202</v>
      </c>
      <c r="BF109" s="17">
        <v>0</v>
      </c>
      <c r="BG109" s="16" t="s">
        <v>202</v>
      </c>
      <c r="BH109" s="17">
        <v>0</v>
      </c>
      <c r="BI109" s="16" t="s">
        <v>202</v>
      </c>
      <c r="BJ109" s="17">
        <v>0</v>
      </c>
      <c r="BK109" s="16" t="s">
        <v>202</v>
      </c>
      <c r="BL109" s="16" t="s">
        <v>202</v>
      </c>
      <c r="BM109" s="16" t="s">
        <v>202</v>
      </c>
      <c r="BN109" s="16" t="s">
        <v>202</v>
      </c>
      <c r="BO109" s="16" t="s">
        <v>202</v>
      </c>
      <c r="BP109" s="16" t="s">
        <v>202</v>
      </c>
      <c r="BQ109" s="16" t="s">
        <v>202</v>
      </c>
      <c r="BR109" s="16" t="s">
        <v>202</v>
      </c>
      <c r="BS109" s="16" t="s">
        <v>202</v>
      </c>
      <c r="BT109" s="15">
        <v>686.05700000000002</v>
      </c>
      <c r="BU109" s="15">
        <v>443173.36499999999</v>
      </c>
    </row>
    <row r="110" spans="1:73" x14ac:dyDescent="0.2">
      <c r="A110" s="56" t="s">
        <v>281</v>
      </c>
      <c r="B110" s="57">
        <v>0</v>
      </c>
      <c r="C110" s="58" t="s">
        <v>202</v>
      </c>
      <c r="D110" s="58" t="s">
        <v>202</v>
      </c>
      <c r="E110" s="58" t="s">
        <v>202</v>
      </c>
      <c r="F110" s="58" t="s">
        <v>202</v>
      </c>
      <c r="G110" s="58" t="s">
        <v>202</v>
      </c>
      <c r="H110" s="58" t="s">
        <v>202</v>
      </c>
      <c r="I110" s="58" t="s">
        <v>202</v>
      </c>
      <c r="J110" s="58" t="s">
        <v>202</v>
      </c>
      <c r="K110" s="58" t="s">
        <v>202</v>
      </c>
      <c r="L110" s="58" t="s">
        <v>202</v>
      </c>
      <c r="M110" s="58" t="s">
        <v>202</v>
      </c>
      <c r="N110" s="58" t="s">
        <v>202</v>
      </c>
      <c r="O110" s="58" t="s">
        <v>202</v>
      </c>
      <c r="P110" s="58" t="s">
        <v>202</v>
      </c>
      <c r="Q110" s="58" t="s">
        <v>202</v>
      </c>
      <c r="R110" s="58" t="s">
        <v>202</v>
      </c>
      <c r="S110" s="58" t="s">
        <v>202</v>
      </c>
      <c r="T110" s="58" t="s">
        <v>202</v>
      </c>
      <c r="U110" s="58" t="s">
        <v>202</v>
      </c>
      <c r="V110" s="58" t="s">
        <v>202</v>
      </c>
      <c r="W110" s="58" t="s">
        <v>202</v>
      </c>
      <c r="X110" s="57">
        <v>0</v>
      </c>
      <c r="Y110" s="57">
        <v>0</v>
      </c>
      <c r="Z110" s="57">
        <v>0</v>
      </c>
      <c r="AA110" s="58" t="s">
        <v>202</v>
      </c>
      <c r="AB110" s="58" t="s">
        <v>202</v>
      </c>
      <c r="AC110" s="58" t="s">
        <v>202</v>
      </c>
      <c r="AD110" s="57">
        <v>0</v>
      </c>
      <c r="AE110" s="57">
        <v>0</v>
      </c>
      <c r="AF110" s="57">
        <v>0</v>
      </c>
      <c r="AG110" s="57">
        <v>0</v>
      </c>
      <c r="AH110" s="57">
        <v>0</v>
      </c>
      <c r="AI110" s="57">
        <v>0</v>
      </c>
      <c r="AJ110" s="57">
        <v>0</v>
      </c>
      <c r="AK110" s="57">
        <v>0</v>
      </c>
      <c r="AL110" s="57">
        <v>0</v>
      </c>
      <c r="AM110" s="57">
        <v>0</v>
      </c>
      <c r="AN110" s="57">
        <v>0</v>
      </c>
      <c r="AO110" s="57">
        <v>0</v>
      </c>
      <c r="AP110" s="57">
        <v>0</v>
      </c>
      <c r="AQ110" s="57">
        <v>0</v>
      </c>
      <c r="AR110" s="57">
        <v>0</v>
      </c>
      <c r="AS110" s="57">
        <v>0</v>
      </c>
      <c r="AT110" s="57">
        <v>0</v>
      </c>
      <c r="AU110" s="57">
        <v>0</v>
      </c>
      <c r="AV110" s="58" t="s">
        <v>202</v>
      </c>
      <c r="AW110" s="58" t="s">
        <v>202</v>
      </c>
      <c r="AX110" s="58" t="s">
        <v>202</v>
      </c>
      <c r="AY110" s="58" t="s">
        <v>202</v>
      </c>
      <c r="AZ110" s="58" t="s">
        <v>202</v>
      </c>
      <c r="BA110" s="58" t="s">
        <v>202</v>
      </c>
      <c r="BB110" s="58" t="s">
        <v>202</v>
      </c>
      <c r="BC110" s="58" t="s">
        <v>202</v>
      </c>
      <c r="BD110" s="58" t="s">
        <v>202</v>
      </c>
      <c r="BE110" s="58" t="s">
        <v>202</v>
      </c>
      <c r="BF110" s="57">
        <v>0</v>
      </c>
      <c r="BG110" s="58" t="s">
        <v>202</v>
      </c>
      <c r="BH110" s="57">
        <v>0</v>
      </c>
      <c r="BI110" s="58" t="s">
        <v>202</v>
      </c>
      <c r="BJ110" s="57">
        <v>0</v>
      </c>
      <c r="BK110" s="58" t="s">
        <v>202</v>
      </c>
      <c r="BL110" s="58" t="s">
        <v>202</v>
      </c>
      <c r="BM110" s="58" t="s">
        <v>202</v>
      </c>
      <c r="BN110" s="58" t="s">
        <v>202</v>
      </c>
      <c r="BO110" s="58" t="s">
        <v>202</v>
      </c>
      <c r="BP110" s="58" t="s">
        <v>202</v>
      </c>
      <c r="BQ110" s="58" t="s">
        <v>202</v>
      </c>
      <c r="BR110" s="58" t="s">
        <v>202</v>
      </c>
      <c r="BS110" s="58" t="s">
        <v>202</v>
      </c>
      <c r="BT110" s="57">
        <v>0</v>
      </c>
      <c r="BU110" s="57">
        <v>0</v>
      </c>
    </row>
    <row r="111" spans="1:73" x14ac:dyDescent="0.2">
      <c r="A111" s="56" t="s">
        <v>282</v>
      </c>
      <c r="B111" s="17">
        <v>0</v>
      </c>
      <c r="C111" s="16" t="s">
        <v>202</v>
      </c>
      <c r="D111" s="16" t="s">
        <v>202</v>
      </c>
      <c r="E111" s="16" t="s">
        <v>202</v>
      </c>
      <c r="F111" s="16" t="s">
        <v>202</v>
      </c>
      <c r="G111" s="16" t="s">
        <v>202</v>
      </c>
      <c r="H111" s="16" t="s">
        <v>202</v>
      </c>
      <c r="I111" s="16" t="s">
        <v>202</v>
      </c>
      <c r="J111" s="16" t="s">
        <v>202</v>
      </c>
      <c r="K111" s="16" t="s">
        <v>202</v>
      </c>
      <c r="L111" s="16" t="s">
        <v>202</v>
      </c>
      <c r="M111" s="16" t="s">
        <v>202</v>
      </c>
      <c r="N111" s="16" t="s">
        <v>202</v>
      </c>
      <c r="O111" s="16" t="s">
        <v>202</v>
      </c>
      <c r="P111" s="16" t="s">
        <v>202</v>
      </c>
      <c r="Q111" s="16" t="s">
        <v>202</v>
      </c>
      <c r="R111" s="16" t="s">
        <v>202</v>
      </c>
      <c r="S111" s="16" t="s">
        <v>202</v>
      </c>
      <c r="T111" s="16" t="s">
        <v>202</v>
      </c>
      <c r="U111" s="16" t="s">
        <v>202</v>
      </c>
      <c r="V111" s="16" t="s">
        <v>202</v>
      </c>
      <c r="W111" s="16" t="s">
        <v>202</v>
      </c>
      <c r="X111" s="17">
        <v>0</v>
      </c>
      <c r="Y111" s="17">
        <v>0</v>
      </c>
      <c r="Z111" s="17">
        <v>0</v>
      </c>
      <c r="AA111" s="16" t="s">
        <v>202</v>
      </c>
      <c r="AB111" s="16" t="s">
        <v>202</v>
      </c>
      <c r="AC111" s="16" t="s">
        <v>202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6" t="s">
        <v>202</v>
      </c>
      <c r="AW111" s="16" t="s">
        <v>202</v>
      </c>
      <c r="AX111" s="16" t="s">
        <v>202</v>
      </c>
      <c r="AY111" s="16" t="s">
        <v>202</v>
      </c>
      <c r="AZ111" s="16" t="s">
        <v>202</v>
      </c>
      <c r="BA111" s="16" t="s">
        <v>202</v>
      </c>
      <c r="BB111" s="16" t="s">
        <v>202</v>
      </c>
      <c r="BC111" s="16" t="s">
        <v>202</v>
      </c>
      <c r="BD111" s="16" t="s">
        <v>202</v>
      </c>
      <c r="BE111" s="16" t="s">
        <v>202</v>
      </c>
      <c r="BF111" s="17">
        <v>0</v>
      </c>
      <c r="BG111" s="16" t="s">
        <v>202</v>
      </c>
      <c r="BH111" s="17">
        <v>0</v>
      </c>
      <c r="BI111" s="16" t="s">
        <v>202</v>
      </c>
      <c r="BJ111" s="17">
        <v>0</v>
      </c>
      <c r="BK111" s="16" t="s">
        <v>202</v>
      </c>
      <c r="BL111" s="16" t="s">
        <v>202</v>
      </c>
      <c r="BM111" s="16" t="s">
        <v>202</v>
      </c>
      <c r="BN111" s="16" t="s">
        <v>202</v>
      </c>
      <c r="BO111" s="16" t="s">
        <v>202</v>
      </c>
      <c r="BP111" s="16" t="s">
        <v>202</v>
      </c>
      <c r="BQ111" s="16" t="s">
        <v>202</v>
      </c>
      <c r="BR111" s="16" t="s">
        <v>202</v>
      </c>
      <c r="BS111" s="16" t="s">
        <v>202</v>
      </c>
      <c r="BT111" s="17">
        <v>0</v>
      </c>
      <c r="BU111" s="17">
        <v>0</v>
      </c>
    </row>
    <row r="112" spans="1:73" x14ac:dyDescent="0.2">
      <c r="A112" s="56" t="s">
        <v>283</v>
      </c>
      <c r="B112" s="59">
        <v>442596.89500000002</v>
      </c>
      <c r="C112" s="58" t="s">
        <v>202</v>
      </c>
      <c r="D112" s="58" t="s">
        <v>202</v>
      </c>
      <c r="E112" s="58" t="s">
        <v>202</v>
      </c>
      <c r="F112" s="58" t="s">
        <v>202</v>
      </c>
      <c r="G112" s="58" t="s">
        <v>202</v>
      </c>
      <c r="H112" s="58" t="s">
        <v>202</v>
      </c>
      <c r="I112" s="58" t="s">
        <v>202</v>
      </c>
      <c r="J112" s="58" t="s">
        <v>202</v>
      </c>
      <c r="K112" s="58" t="s">
        <v>202</v>
      </c>
      <c r="L112" s="58" t="s">
        <v>202</v>
      </c>
      <c r="M112" s="58" t="s">
        <v>202</v>
      </c>
      <c r="N112" s="58" t="s">
        <v>202</v>
      </c>
      <c r="O112" s="58" t="s">
        <v>202</v>
      </c>
      <c r="P112" s="58" t="s">
        <v>202</v>
      </c>
      <c r="Q112" s="58" t="s">
        <v>202</v>
      </c>
      <c r="R112" s="58" t="s">
        <v>202</v>
      </c>
      <c r="S112" s="58" t="s">
        <v>202</v>
      </c>
      <c r="T112" s="58" t="s">
        <v>202</v>
      </c>
      <c r="U112" s="58" t="s">
        <v>202</v>
      </c>
      <c r="V112" s="58" t="s">
        <v>202</v>
      </c>
      <c r="W112" s="59">
        <v>66978.793000000005</v>
      </c>
      <c r="X112" s="59">
        <v>375618.10200000001</v>
      </c>
      <c r="Y112" s="57">
        <v>0</v>
      </c>
      <c r="Z112" s="59">
        <v>113287.74400000001</v>
      </c>
      <c r="AA112" s="58" t="s">
        <v>202</v>
      </c>
      <c r="AB112" s="58" t="s">
        <v>202</v>
      </c>
      <c r="AC112" s="58" t="s">
        <v>202</v>
      </c>
      <c r="AD112" s="57">
        <v>0</v>
      </c>
      <c r="AE112" s="57">
        <v>0</v>
      </c>
      <c r="AF112" s="59">
        <v>69129.243000000002</v>
      </c>
      <c r="AG112" s="59">
        <v>163893.617</v>
      </c>
      <c r="AH112" s="57">
        <v>0</v>
      </c>
      <c r="AI112" s="57">
        <v>0</v>
      </c>
      <c r="AJ112" s="57">
        <v>0</v>
      </c>
      <c r="AK112" s="57">
        <v>0</v>
      </c>
      <c r="AL112" s="59">
        <v>1332.7719999999999</v>
      </c>
      <c r="AM112" s="57">
        <v>24.72</v>
      </c>
      <c r="AN112" s="57">
        <v>0</v>
      </c>
      <c r="AO112" s="59">
        <v>761.42600000000004</v>
      </c>
      <c r="AP112" s="57">
        <v>2101.1</v>
      </c>
      <c r="AQ112" s="59">
        <v>809.70799999999997</v>
      </c>
      <c r="AR112" s="59">
        <v>14712.534</v>
      </c>
      <c r="AS112" s="59">
        <v>3839.2550000000001</v>
      </c>
      <c r="AT112" s="59">
        <v>5725.9830000000002</v>
      </c>
      <c r="AU112" s="57">
        <v>0</v>
      </c>
      <c r="AV112" s="58" t="s">
        <v>202</v>
      </c>
      <c r="AW112" s="58" t="s">
        <v>202</v>
      </c>
      <c r="AX112" s="58" t="s">
        <v>202</v>
      </c>
      <c r="AY112" s="58" t="s">
        <v>202</v>
      </c>
      <c r="AZ112" s="58" t="s">
        <v>202</v>
      </c>
      <c r="BA112" s="58" t="s">
        <v>202</v>
      </c>
      <c r="BB112" s="58" t="s">
        <v>202</v>
      </c>
      <c r="BC112" s="58" t="s">
        <v>202</v>
      </c>
      <c r="BD112" s="58" t="s">
        <v>202</v>
      </c>
      <c r="BE112" s="58" t="s">
        <v>202</v>
      </c>
      <c r="BF112" s="57">
        <v>0</v>
      </c>
      <c r="BG112" s="58" t="s">
        <v>202</v>
      </c>
      <c r="BH112" s="57">
        <v>0</v>
      </c>
      <c r="BI112" s="58" t="s">
        <v>202</v>
      </c>
      <c r="BJ112" s="57">
        <v>0</v>
      </c>
      <c r="BK112" s="58" t="s">
        <v>202</v>
      </c>
      <c r="BL112" s="58" t="s">
        <v>202</v>
      </c>
      <c r="BM112" s="58" t="s">
        <v>202</v>
      </c>
      <c r="BN112" s="58" t="s">
        <v>202</v>
      </c>
      <c r="BO112" s="58" t="s">
        <v>202</v>
      </c>
      <c r="BP112" s="58" t="s">
        <v>202</v>
      </c>
      <c r="BQ112" s="58" t="s">
        <v>202</v>
      </c>
      <c r="BR112" s="58" t="s">
        <v>202</v>
      </c>
      <c r="BS112" s="58" t="s">
        <v>202</v>
      </c>
      <c r="BT112" s="59">
        <v>686.05700000000002</v>
      </c>
      <c r="BU112" s="59">
        <v>441910.83799999999</v>
      </c>
    </row>
    <row r="113" spans="1:73" x14ac:dyDescent="0.2">
      <c r="A113" s="56" t="s">
        <v>284</v>
      </c>
      <c r="B113" s="15">
        <v>2704.9630000000002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5">
        <v>2704.9630000000002</v>
      </c>
      <c r="Y113" s="17">
        <v>0</v>
      </c>
      <c r="Z113" s="17">
        <v>0</v>
      </c>
      <c r="AA113" s="16" t="s">
        <v>202</v>
      </c>
      <c r="AB113" s="16" t="s">
        <v>202</v>
      </c>
      <c r="AC113" s="16" t="s">
        <v>202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5">
        <v>2704.9630000000002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6" t="s">
        <v>202</v>
      </c>
      <c r="AW113" s="16" t="s">
        <v>202</v>
      </c>
      <c r="AX113" s="16" t="s">
        <v>202</v>
      </c>
      <c r="AY113" s="16" t="s">
        <v>202</v>
      </c>
      <c r="AZ113" s="16" t="s">
        <v>202</v>
      </c>
      <c r="BA113" s="16" t="s">
        <v>202</v>
      </c>
      <c r="BB113" s="16" t="s">
        <v>202</v>
      </c>
      <c r="BC113" s="16" t="s">
        <v>202</v>
      </c>
      <c r="BD113" s="16" t="s">
        <v>202</v>
      </c>
      <c r="BE113" s="16" t="s">
        <v>202</v>
      </c>
      <c r="BF113" s="17">
        <v>0</v>
      </c>
      <c r="BG113" s="16" t="s">
        <v>202</v>
      </c>
      <c r="BH113" s="17">
        <v>0</v>
      </c>
      <c r="BI113" s="16" t="s">
        <v>202</v>
      </c>
      <c r="BJ113" s="17">
        <v>0</v>
      </c>
      <c r="BK113" s="16" t="s">
        <v>202</v>
      </c>
      <c r="BL113" s="16" t="s">
        <v>202</v>
      </c>
      <c r="BM113" s="16" t="s">
        <v>202</v>
      </c>
      <c r="BN113" s="16" t="s">
        <v>202</v>
      </c>
      <c r="BO113" s="16" t="s">
        <v>202</v>
      </c>
      <c r="BP113" s="16" t="s">
        <v>202</v>
      </c>
      <c r="BQ113" s="16" t="s">
        <v>202</v>
      </c>
      <c r="BR113" s="16" t="s">
        <v>202</v>
      </c>
      <c r="BS113" s="16" t="s">
        <v>202</v>
      </c>
      <c r="BT113" s="17">
        <v>0</v>
      </c>
      <c r="BU113" s="15">
        <v>2704.9630000000002</v>
      </c>
    </row>
    <row r="114" spans="1:73" x14ac:dyDescent="0.2">
      <c r="A114" s="56" t="s">
        <v>285</v>
      </c>
      <c r="B114" s="57">
        <v>1546.75</v>
      </c>
      <c r="C114" s="57">
        <v>0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7">
        <v>0</v>
      </c>
      <c r="K114" s="57">
        <v>0</v>
      </c>
      <c r="L114" s="57">
        <v>0</v>
      </c>
      <c r="M114" s="57">
        <v>0</v>
      </c>
      <c r="N114" s="57">
        <v>0</v>
      </c>
      <c r="O114" s="57">
        <v>0</v>
      </c>
      <c r="P114" s="57">
        <v>0</v>
      </c>
      <c r="Q114" s="57">
        <v>0</v>
      </c>
      <c r="R114" s="57">
        <v>0</v>
      </c>
      <c r="S114" s="57">
        <v>0</v>
      </c>
      <c r="T114" s="57">
        <v>0</v>
      </c>
      <c r="U114" s="57">
        <v>0</v>
      </c>
      <c r="V114" s="57">
        <v>0</v>
      </c>
      <c r="W114" s="59">
        <v>37.954999999999998</v>
      </c>
      <c r="X114" s="59">
        <v>1508.7950000000001</v>
      </c>
      <c r="Y114" s="57">
        <v>0</v>
      </c>
      <c r="Z114" s="57">
        <v>0</v>
      </c>
      <c r="AA114" s="58" t="s">
        <v>202</v>
      </c>
      <c r="AB114" s="58" t="s">
        <v>202</v>
      </c>
      <c r="AC114" s="58" t="s">
        <v>202</v>
      </c>
      <c r="AD114" s="57">
        <v>0</v>
      </c>
      <c r="AE114" s="57">
        <v>0</v>
      </c>
      <c r="AF114" s="57">
        <v>0</v>
      </c>
      <c r="AG114" s="57">
        <v>0</v>
      </c>
      <c r="AH114" s="57">
        <v>0</v>
      </c>
      <c r="AI114" s="57">
        <v>0</v>
      </c>
      <c r="AJ114" s="57">
        <v>0</v>
      </c>
      <c r="AK114" s="57">
        <v>0</v>
      </c>
      <c r="AL114" s="59">
        <v>24.184000000000001</v>
      </c>
      <c r="AM114" s="57">
        <v>0</v>
      </c>
      <c r="AN114" s="57">
        <v>0</v>
      </c>
      <c r="AO114" s="57">
        <v>0</v>
      </c>
      <c r="AP114" s="57">
        <v>1484.61</v>
      </c>
      <c r="AQ114" s="57">
        <v>0</v>
      </c>
      <c r="AR114" s="57">
        <v>0</v>
      </c>
      <c r="AS114" s="57">
        <v>0</v>
      </c>
      <c r="AT114" s="57">
        <v>0</v>
      </c>
      <c r="AU114" s="57">
        <v>0</v>
      </c>
      <c r="AV114" s="58" t="s">
        <v>202</v>
      </c>
      <c r="AW114" s="58" t="s">
        <v>202</v>
      </c>
      <c r="AX114" s="58" t="s">
        <v>202</v>
      </c>
      <c r="AY114" s="58" t="s">
        <v>202</v>
      </c>
      <c r="AZ114" s="58" t="s">
        <v>202</v>
      </c>
      <c r="BA114" s="58" t="s">
        <v>202</v>
      </c>
      <c r="BB114" s="58" t="s">
        <v>202</v>
      </c>
      <c r="BC114" s="58" t="s">
        <v>202</v>
      </c>
      <c r="BD114" s="58" t="s">
        <v>202</v>
      </c>
      <c r="BE114" s="58" t="s">
        <v>202</v>
      </c>
      <c r="BF114" s="57">
        <v>0</v>
      </c>
      <c r="BG114" s="58" t="s">
        <v>202</v>
      </c>
      <c r="BH114" s="57">
        <v>0</v>
      </c>
      <c r="BI114" s="58" t="s">
        <v>202</v>
      </c>
      <c r="BJ114" s="57">
        <v>0</v>
      </c>
      <c r="BK114" s="58" t="s">
        <v>202</v>
      </c>
      <c r="BL114" s="58" t="s">
        <v>202</v>
      </c>
      <c r="BM114" s="58" t="s">
        <v>202</v>
      </c>
      <c r="BN114" s="58" t="s">
        <v>202</v>
      </c>
      <c r="BO114" s="58" t="s">
        <v>202</v>
      </c>
      <c r="BP114" s="58" t="s">
        <v>202</v>
      </c>
      <c r="BQ114" s="58" t="s">
        <v>202</v>
      </c>
      <c r="BR114" s="58" t="s">
        <v>202</v>
      </c>
      <c r="BS114" s="58" t="s">
        <v>202</v>
      </c>
      <c r="BT114" s="59">
        <v>0.38900000000000001</v>
      </c>
      <c r="BU114" s="59">
        <v>1546.3610000000001</v>
      </c>
    </row>
    <row r="115" spans="1:73" x14ac:dyDescent="0.2">
      <c r="A115" s="56" t="s">
        <v>286</v>
      </c>
      <c r="B115" s="15">
        <v>1598821.0870000001</v>
      </c>
      <c r="C115" s="15">
        <v>4309.5230000000001</v>
      </c>
      <c r="D115" s="15">
        <v>2.4910000000000001</v>
      </c>
      <c r="E115" s="15">
        <v>47.326999999999998</v>
      </c>
      <c r="F115" s="15">
        <v>294.52499999999998</v>
      </c>
      <c r="G115" s="17">
        <v>0</v>
      </c>
      <c r="H115" s="17">
        <v>312.82</v>
      </c>
      <c r="I115" s="15">
        <v>3652.3609999999999</v>
      </c>
      <c r="J115" s="17">
        <v>0</v>
      </c>
      <c r="K115" s="17">
        <v>0</v>
      </c>
      <c r="L115" s="17">
        <v>0</v>
      </c>
      <c r="M115" s="17">
        <v>0</v>
      </c>
      <c r="N115" s="15">
        <v>11186.406000000001</v>
      </c>
      <c r="O115" s="15">
        <v>6393.5039999999999</v>
      </c>
      <c r="P115" s="17">
        <v>0</v>
      </c>
      <c r="Q115" s="15">
        <v>4792.902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5">
        <v>533282.353</v>
      </c>
      <c r="X115" s="15">
        <v>521659.57199999999</v>
      </c>
      <c r="Y115" s="17">
        <v>0</v>
      </c>
      <c r="Z115" s="17">
        <v>0</v>
      </c>
      <c r="AA115" s="16" t="s">
        <v>202</v>
      </c>
      <c r="AB115" s="16" t="s">
        <v>202</v>
      </c>
      <c r="AC115" s="16" t="s">
        <v>202</v>
      </c>
      <c r="AD115" s="15">
        <v>103516.201</v>
      </c>
      <c r="AE115" s="17">
        <v>0</v>
      </c>
      <c r="AF115" s="15">
        <v>9507.5949999999993</v>
      </c>
      <c r="AG115" s="17">
        <v>0</v>
      </c>
      <c r="AH115" s="15">
        <v>56.847000000000001</v>
      </c>
      <c r="AI115" s="15">
        <v>171929.75099999999</v>
      </c>
      <c r="AJ115" s="17">
        <v>0</v>
      </c>
      <c r="AK115" s="15">
        <v>1938.453</v>
      </c>
      <c r="AL115" s="15">
        <v>217.91800000000001</v>
      </c>
      <c r="AM115" s="15">
        <v>233780.04300000001</v>
      </c>
      <c r="AN115" s="17">
        <v>0</v>
      </c>
      <c r="AO115" s="17">
        <v>0</v>
      </c>
      <c r="AP115" s="17">
        <v>0</v>
      </c>
      <c r="AQ115" s="17">
        <v>0</v>
      </c>
      <c r="AR115" s="15">
        <v>64.194999999999993</v>
      </c>
      <c r="AS115" s="17">
        <v>0</v>
      </c>
      <c r="AT115" s="15">
        <v>648.56700000000001</v>
      </c>
      <c r="AU115" s="15">
        <v>91450.414999999994</v>
      </c>
      <c r="AV115" s="16" t="s">
        <v>202</v>
      </c>
      <c r="AW115" s="17">
        <v>6797.51</v>
      </c>
      <c r="AX115" s="16" t="s">
        <v>202</v>
      </c>
      <c r="AY115" s="17">
        <v>1176</v>
      </c>
      <c r="AZ115" s="16" t="s">
        <v>202</v>
      </c>
      <c r="BA115" s="16" t="s">
        <v>202</v>
      </c>
      <c r="BB115" s="15">
        <v>25524.613000000001</v>
      </c>
      <c r="BC115" s="15">
        <v>25605.462</v>
      </c>
      <c r="BD115" s="17">
        <v>270</v>
      </c>
      <c r="BE115" s="17">
        <v>0</v>
      </c>
      <c r="BF115" s="15">
        <v>10780.532999999999</v>
      </c>
      <c r="BG115" s="17">
        <v>0</v>
      </c>
      <c r="BH115" s="17">
        <v>14730.06</v>
      </c>
      <c r="BI115" s="17">
        <v>0</v>
      </c>
      <c r="BJ115" s="17">
        <v>0</v>
      </c>
      <c r="BK115" s="15">
        <v>529.77599999999995</v>
      </c>
      <c r="BL115" s="15">
        <v>4526.3789999999999</v>
      </c>
      <c r="BM115" s="15">
        <v>631.01400000000001</v>
      </c>
      <c r="BN115" s="15">
        <v>1510.0820000000001</v>
      </c>
      <c r="BO115" s="17">
        <v>1339.13</v>
      </c>
      <c r="BP115" s="15">
        <v>1970.144</v>
      </c>
      <c r="BQ115" s="16" t="s">
        <v>202</v>
      </c>
      <c r="BR115" s="15">
        <v>366245.21899999998</v>
      </c>
      <c r="BS115" s="15">
        <v>68717.456000000006</v>
      </c>
      <c r="BT115" s="15">
        <v>102881.89200000001</v>
      </c>
      <c r="BU115" s="15">
        <v>1294342.352</v>
      </c>
    </row>
    <row r="116" spans="1:73" x14ac:dyDescent="0.2">
      <c r="A116" s="56" t="s">
        <v>287</v>
      </c>
      <c r="B116" s="57">
        <v>487196.93</v>
      </c>
      <c r="C116" s="59">
        <v>3994.2130000000002</v>
      </c>
      <c r="D116" s="57">
        <v>0</v>
      </c>
      <c r="E116" s="59">
        <v>47.326999999999998</v>
      </c>
      <c r="F116" s="59">
        <v>294.52499999999998</v>
      </c>
      <c r="G116" s="57">
        <v>0</v>
      </c>
      <c r="H116" s="57">
        <v>0</v>
      </c>
      <c r="I116" s="59">
        <v>3652.3609999999999</v>
      </c>
      <c r="J116" s="57">
        <v>0</v>
      </c>
      <c r="K116" s="57">
        <v>0</v>
      </c>
      <c r="L116" s="57">
        <v>0</v>
      </c>
      <c r="M116" s="57">
        <v>0</v>
      </c>
      <c r="N116" s="59">
        <v>11186.406000000001</v>
      </c>
      <c r="O116" s="59">
        <v>6393.5039999999999</v>
      </c>
      <c r="P116" s="57">
        <v>0</v>
      </c>
      <c r="Q116" s="59">
        <v>4792.902</v>
      </c>
      <c r="R116" s="57">
        <v>0</v>
      </c>
      <c r="S116" s="57">
        <v>0</v>
      </c>
      <c r="T116" s="57">
        <v>0</v>
      </c>
      <c r="U116" s="57">
        <v>0</v>
      </c>
      <c r="V116" s="57">
        <v>0</v>
      </c>
      <c r="W116" s="59">
        <v>176097.43599999999</v>
      </c>
      <c r="X116" s="59">
        <v>125825.645</v>
      </c>
      <c r="Y116" s="57">
        <v>0</v>
      </c>
      <c r="Z116" s="57">
        <v>0</v>
      </c>
      <c r="AA116" s="58" t="s">
        <v>202</v>
      </c>
      <c r="AB116" s="58" t="s">
        <v>202</v>
      </c>
      <c r="AC116" s="58" t="s">
        <v>202</v>
      </c>
      <c r="AD116" s="59">
        <v>103516.201</v>
      </c>
      <c r="AE116" s="57">
        <v>0</v>
      </c>
      <c r="AF116" s="59">
        <v>730.46299999999997</v>
      </c>
      <c r="AG116" s="57">
        <v>0</v>
      </c>
      <c r="AH116" s="57">
        <v>0</v>
      </c>
      <c r="AI116" s="59">
        <v>259.90699999999998</v>
      </c>
      <c r="AJ116" s="57">
        <v>0</v>
      </c>
      <c r="AK116" s="57">
        <v>0</v>
      </c>
      <c r="AL116" s="59">
        <v>1.897</v>
      </c>
      <c r="AM116" s="59">
        <v>20604.415000000001</v>
      </c>
      <c r="AN116" s="57">
        <v>0</v>
      </c>
      <c r="AO116" s="57">
        <v>0</v>
      </c>
      <c r="AP116" s="57">
        <v>0</v>
      </c>
      <c r="AQ116" s="57">
        <v>0</v>
      </c>
      <c r="AR116" s="59">
        <v>64.194999999999993</v>
      </c>
      <c r="AS116" s="57">
        <v>0</v>
      </c>
      <c r="AT116" s="59">
        <v>648.56700000000001</v>
      </c>
      <c r="AU116" s="59">
        <v>6459.3069999999998</v>
      </c>
      <c r="AV116" s="58" t="s">
        <v>202</v>
      </c>
      <c r="AW116" s="57">
        <v>0</v>
      </c>
      <c r="AX116" s="58" t="s">
        <v>202</v>
      </c>
      <c r="AY116" s="57">
        <v>0</v>
      </c>
      <c r="AZ116" s="58" t="s">
        <v>202</v>
      </c>
      <c r="BA116" s="58" t="s">
        <v>202</v>
      </c>
      <c r="BB116" s="57">
        <v>0</v>
      </c>
      <c r="BC116" s="59">
        <v>3043.9540000000002</v>
      </c>
      <c r="BD116" s="57">
        <v>0</v>
      </c>
      <c r="BE116" s="57">
        <v>0</v>
      </c>
      <c r="BF116" s="57">
        <v>0</v>
      </c>
      <c r="BG116" s="57">
        <v>0</v>
      </c>
      <c r="BH116" s="59">
        <v>1414.422</v>
      </c>
      <c r="BI116" s="57">
        <v>0</v>
      </c>
      <c r="BJ116" s="57">
        <v>0</v>
      </c>
      <c r="BK116" s="57">
        <v>272.16000000000003</v>
      </c>
      <c r="BL116" s="59">
        <v>1728.771</v>
      </c>
      <c r="BM116" s="59">
        <v>592.08699999999999</v>
      </c>
      <c r="BN116" s="57">
        <v>0</v>
      </c>
      <c r="BO116" s="57">
        <v>0</v>
      </c>
      <c r="BP116" s="59">
        <v>592.08699999999999</v>
      </c>
      <c r="BQ116" s="58" t="s">
        <v>202</v>
      </c>
      <c r="BR116" s="59">
        <v>115158.823</v>
      </c>
      <c r="BS116" s="59">
        <v>47883.012999999999</v>
      </c>
      <c r="BT116" s="59">
        <v>26440.892</v>
      </c>
      <c r="BU116" s="59">
        <v>405638.77600000001</v>
      </c>
    </row>
    <row r="117" spans="1:73" x14ac:dyDescent="0.2">
      <c r="A117" s="56" t="s">
        <v>288</v>
      </c>
      <c r="B117" s="15">
        <v>28445.046999999999</v>
      </c>
      <c r="C117" s="15">
        <v>2965.098</v>
      </c>
      <c r="D117" s="17">
        <v>0</v>
      </c>
      <c r="E117" s="15">
        <v>34.386000000000003</v>
      </c>
      <c r="F117" s="17">
        <v>0</v>
      </c>
      <c r="G117" s="17">
        <v>0</v>
      </c>
      <c r="H117" s="17">
        <v>0</v>
      </c>
      <c r="I117" s="15">
        <v>2930.712</v>
      </c>
      <c r="J117" s="17">
        <v>0</v>
      </c>
      <c r="K117" s="17">
        <v>0</v>
      </c>
      <c r="L117" s="17">
        <v>0</v>
      </c>
      <c r="M117" s="17">
        <v>0</v>
      </c>
      <c r="N117" s="15">
        <v>11186.406000000001</v>
      </c>
      <c r="O117" s="15">
        <v>6393.5039999999999</v>
      </c>
      <c r="P117" s="17">
        <v>0</v>
      </c>
      <c r="Q117" s="15">
        <v>4792.902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7183.5</v>
      </c>
      <c r="X117" s="15">
        <v>204.57400000000001</v>
      </c>
      <c r="Y117" s="17">
        <v>0</v>
      </c>
      <c r="Z117" s="17">
        <v>0</v>
      </c>
      <c r="AA117" s="16" t="s">
        <v>202</v>
      </c>
      <c r="AB117" s="16" t="s">
        <v>202</v>
      </c>
      <c r="AC117" s="16" t="s">
        <v>202</v>
      </c>
      <c r="AD117" s="17">
        <v>0</v>
      </c>
      <c r="AE117" s="17">
        <v>0</v>
      </c>
      <c r="AF117" s="15">
        <v>33.308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5">
        <v>104.83199999999999</v>
      </c>
      <c r="AN117" s="17">
        <v>0</v>
      </c>
      <c r="AO117" s="17">
        <v>0</v>
      </c>
      <c r="AP117" s="17">
        <v>0</v>
      </c>
      <c r="AQ117" s="17">
        <v>0</v>
      </c>
      <c r="AR117" s="15">
        <v>64.194999999999993</v>
      </c>
      <c r="AS117" s="17">
        <v>0</v>
      </c>
      <c r="AT117" s="15">
        <v>2.2389999999999999</v>
      </c>
      <c r="AU117" s="17">
        <v>0</v>
      </c>
      <c r="AV117" s="16" t="s">
        <v>202</v>
      </c>
      <c r="AW117" s="17">
        <v>0</v>
      </c>
      <c r="AX117" s="16" t="s">
        <v>202</v>
      </c>
      <c r="AY117" s="17">
        <v>0</v>
      </c>
      <c r="AZ117" s="16" t="s">
        <v>202</v>
      </c>
      <c r="BA117" s="16" t="s">
        <v>202</v>
      </c>
      <c r="BB117" s="16" t="s">
        <v>202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6" t="s">
        <v>202</v>
      </c>
      <c r="BR117" s="15">
        <v>6857.442</v>
      </c>
      <c r="BS117" s="15">
        <v>48.027000000000001</v>
      </c>
      <c r="BT117" s="15">
        <v>540.65099999999995</v>
      </c>
      <c r="BU117" s="15">
        <v>24863.596000000001</v>
      </c>
    </row>
    <row r="118" spans="1:73" x14ac:dyDescent="0.2">
      <c r="A118" s="56" t="s">
        <v>289</v>
      </c>
      <c r="B118" s="59">
        <v>262145.81599999999</v>
      </c>
      <c r="C118" s="57">
        <v>0</v>
      </c>
      <c r="D118" s="57">
        <v>0</v>
      </c>
      <c r="E118" s="57">
        <v>0</v>
      </c>
      <c r="F118" s="57">
        <v>0</v>
      </c>
      <c r="G118" s="57">
        <v>0</v>
      </c>
      <c r="H118" s="57">
        <v>0</v>
      </c>
      <c r="I118" s="57">
        <v>0</v>
      </c>
      <c r="J118" s="57">
        <v>0</v>
      </c>
      <c r="K118" s="57">
        <v>0</v>
      </c>
      <c r="L118" s="57">
        <v>0</v>
      </c>
      <c r="M118" s="57">
        <v>0</v>
      </c>
      <c r="N118" s="57">
        <v>0</v>
      </c>
      <c r="O118" s="57">
        <v>0</v>
      </c>
      <c r="P118" s="57">
        <v>0</v>
      </c>
      <c r="Q118" s="57">
        <v>0</v>
      </c>
      <c r="R118" s="57">
        <v>0</v>
      </c>
      <c r="S118" s="57">
        <v>0</v>
      </c>
      <c r="T118" s="57">
        <v>0</v>
      </c>
      <c r="U118" s="57">
        <v>0</v>
      </c>
      <c r="V118" s="57">
        <v>0</v>
      </c>
      <c r="W118" s="59">
        <v>70345.629000000001</v>
      </c>
      <c r="X118" s="59">
        <v>104277.641</v>
      </c>
      <c r="Y118" s="57">
        <v>0</v>
      </c>
      <c r="Z118" s="57">
        <v>0</v>
      </c>
      <c r="AA118" s="58" t="s">
        <v>202</v>
      </c>
      <c r="AB118" s="58" t="s">
        <v>202</v>
      </c>
      <c r="AC118" s="58" t="s">
        <v>202</v>
      </c>
      <c r="AD118" s="59">
        <v>103516.201</v>
      </c>
      <c r="AE118" s="57">
        <v>0</v>
      </c>
      <c r="AF118" s="59">
        <v>40.945</v>
      </c>
      <c r="AG118" s="57">
        <v>0</v>
      </c>
      <c r="AH118" s="57">
        <v>0</v>
      </c>
      <c r="AI118" s="57">
        <v>0</v>
      </c>
      <c r="AJ118" s="57">
        <v>0</v>
      </c>
      <c r="AK118" s="57">
        <v>0</v>
      </c>
      <c r="AL118" s="57">
        <v>0</v>
      </c>
      <c r="AM118" s="59">
        <v>75.668999999999997</v>
      </c>
      <c r="AN118" s="57">
        <v>0</v>
      </c>
      <c r="AO118" s="57">
        <v>0</v>
      </c>
      <c r="AP118" s="57">
        <v>0</v>
      </c>
      <c r="AQ118" s="57">
        <v>0</v>
      </c>
      <c r="AR118" s="57">
        <v>0</v>
      </c>
      <c r="AS118" s="57">
        <v>0</v>
      </c>
      <c r="AT118" s="59">
        <v>644.82600000000002</v>
      </c>
      <c r="AU118" s="57">
        <v>220.68</v>
      </c>
      <c r="AV118" s="58" t="s">
        <v>202</v>
      </c>
      <c r="AW118" s="57">
        <v>0</v>
      </c>
      <c r="AX118" s="58" t="s">
        <v>202</v>
      </c>
      <c r="AY118" s="57">
        <v>0</v>
      </c>
      <c r="AZ118" s="58" t="s">
        <v>202</v>
      </c>
      <c r="BA118" s="58" t="s">
        <v>202</v>
      </c>
      <c r="BB118" s="58" t="s">
        <v>202</v>
      </c>
      <c r="BC118" s="57">
        <v>0</v>
      </c>
      <c r="BD118" s="57">
        <v>0</v>
      </c>
      <c r="BE118" s="57">
        <v>0</v>
      </c>
      <c r="BF118" s="57">
        <v>0</v>
      </c>
      <c r="BG118" s="57">
        <v>0</v>
      </c>
      <c r="BH118" s="57">
        <v>0</v>
      </c>
      <c r="BI118" s="57">
        <v>0</v>
      </c>
      <c r="BJ118" s="57">
        <v>0</v>
      </c>
      <c r="BK118" s="57">
        <v>220.68</v>
      </c>
      <c r="BL118" s="57">
        <v>0</v>
      </c>
      <c r="BM118" s="59">
        <v>405.91800000000001</v>
      </c>
      <c r="BN118" s="57">
        <v>0</v>
      </c>
      <c r="BO118" s="57">
        <v>0</v>
      </c>
      <c r="BP118" s="59">
        <v>405.91800000000001</v>
      </c>
      <c r="BQ118" s="58" t="s">
        <v>202</v>
      </c>
      <c r="BR118" s="59">
        <v>43191.173000000003</v>
      </c>
      <c r="BS118" s="59">
        <v>43704.775000000001</v>
      </c>
      <c r="BT118" s="59">
        <v>13410.675999999999</v>
      </c>
      <c r="BU118" s="59">
        <v>225846.81700000001</v>
      </c>
    </row>
    <row r="119" spans="1:73" x14ac:dyDescent="0.2">
      <c r="A119" s="56" t="s">
        <v>290</v>
      </c>
      <c r="B119" s="15">
        <v>5653.9009999999998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5">
        <v>1821.0119999999999</v>
      </c>
      <c r="X119" s="15">
        <v>46.515999999999998</v>
      </c>
      <c r="Y119" s="17">
        <v>0</v>
      </c>
      <c r="Z119" s="17">
        <v>0</v>
      </c>
      <c r="AA119" s="16" t="s">
        <v>202</v>
      </c>
      <c r="AB119" s="16" t="s">
        <v>202</v>
      </c>
      <c r="AC119" s="16" t="s">
        <v>202</v>
      </c>
      <c r="AD119" s="17">
        <v>0</v>
      </c>
      <c r="AE119" s="17">
        <v>0</v>
      </c>
      <c r="AF119" s="15">
        <v>9.7170000000000005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5">
        <v>36.798999999999999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6" t="s">
        <v>202</v>
      </c>
      <c r="AW119" s="17">
        <v>0</v>
      </c>
      <c r="AX119" s="16" t="s">
        <v>202</v>
      </c>
      <c r="AY119" s="17">
        <v>0</v>
      </c>
      <c r="AZ119" s="16" t="s">
        <v>202</v>
      </c>
      <c r="BA119" s="16" t="s">
        <v>202</v>
      </c>
      <c r="BB119" s="16" t="s">
        <v>202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6" t="s">
        <v>202</v>
      </c>
      <c r="BR119" s="15">
        <v>3786.3719999999998</v>
      </c>
      <c r="BS119" s="15">
        <v>1E-3</v>
      </c>
      <c r="BT119" s="15">
        <v>270.72699999999998</v>
      </c>
      <c r="BU119" s="15">
        <v>3706.4630000000002</v>
      </c>
    </row>
    <row r="120" spans="1:73" x14ac:dyDescent="0.2">
      <c r="A120" s="56" t="s">
        <v>291</v>
      </c>
      <c r="B120" s="59">
        <v>21286.021000000001</v>
      </c>
      <c r="C120" s="57">
        <v>734.59</v>
      </c>
      <c r="D120" s="57">
        <v>0</v>
      </c>
      <c r="E120" s="59">
        <v>12.941000000000001</v>
      </c>
      <c r="F120" s="57">
        <v>0</v>
      </c>
      <c r="G120" s="57">
        <v>0</v>
      </c>
      <c r="H120" s="57">
        <v>0</v>
      </c>
      <c r="I120" s="59">
        <v>721.649</v>
      </c>
      <c r="J120" s="57">
        <v>0</v>
      </c>
      <c r="K120" s="57">
        <v>0</v>
      </c>
      <c r="L120" s="57">
        <v>0</v>
      </c>
      <c r="M120" s="57">
        <v>0</v>
      </c>
      <c r="N120" s="57">
        <v>0</v>
      </c>
      <c r="O120" s="57">
        <v>0</v>
      </c>
      <c r="P120" s="57">
        <v>0</v>
      </c>
      <c r="Q120" s="57">
        <v>0</v>
      </c>
      <c r="R120" s="57">
        <v>0</v>
      </c>
      <c r="S120" s="57">
        <v>0</v>
      </c>
      <c r="T120" s="57">
        <v>0</v>
      </c>
      <c r="U120" s="57">
        <v>0</v>
      </c>
      <c r="V120" s="57">
        <v>0</v>
      </c>
      <c r="W120" s="59">
        <v>16545.536</v>
      </c>
      <c r="X120" s="59">
        <v>108.33199999999999</v>
      </c>
      <c r="Y120" s="57">
        <v>0</v>
      </c>
      <c r="Z120" s="57">
        <v>0</v>
      </c>
      <c r="AA120" s="58" t="s">
        <v>202</v>
      </c>
      <c r="AB120" s="58" t="s">
        <v>202</v>
      </c>
      <c r="AC120" s="58" t="s">
        <v>202</v>
      </c>
      <c r="AD120" s="57">
        <v>0</v>
      </c>
      <c r="AE120" s="57">
        <v>0</v>
      </c>
      <c r="AF120" s="59">
        <v>31.274000000000001</v>
      </c>
      <c r="AG120" s="57">
        <v>0</v>
      </c>
      <c r="AH120" s="57">
        <v>0</v>
      </c>
      <c r="AI120" s="57">
        <v>0</v>
      </c>
      <c r="AJ120" s="57">
        <v>0</v>
      </c>
      <c r="AK120" s="57">
        <v>0</v>
      </c>
      <c r="AL120" s="59">
        <v>0.129</v>
      </c>
      <c r="AM120" s="59">
        <v>76.832999999999998</v>
      </c>
      <c r="AN120" s="57">
        <v>0</v>
      </c>
      <c r="AO120" s="57">
        <v>0</v>
      </c>
      <c r="AP120" s="57">
        <v>0</v>
      </c>
      <c r="AQ120" s="57">
        <v>0</v>
      </c>
      <c r="AR120" s="57">
        <v>0</v>
      </c>
      <c r="AS120" s="57">
        <v>0</v>
      </c>
      <c r="AT120" s="59">
        <v>9.5000000000000001E-2</v>
      </c>
      <c r="AU120" s="57">
        <v>0</v>
      </c>
      <c r="AV120" s="58" t="s">
        <v>202</v>
      </c>
      <c r="AW120" s="57">
        <v>0</v>
      </c>
      <c r="AX120" s="58" t="s">
        <v>202</v>
      </c>
      <c r="AY120" s="57">
        <v>0</v>
      </c>
      <c r="AZ120" s="58" t="s">
        <v>202</v>
      </c>
      <c r="BA120" s="58" t="s">
        <v>202</v>
      </c>
      <c r="BB120" s="58" t="s">
        <v>202</v>
      </c>
      <c r="BC120" s="57">
        <v>0</v>
      </c>
      <c r="BD120" s="57">
        <v>0</v>
      </c>
      <c r="BE120" s="57">
        <v>0</v>
      </c>
      <c r="BF120" s="57">
        <v>0</v>
      </c>
      <c r="BG120" s="57">
        <v>0</v>
      </c>
      <c r="BH120" s="57">
        <v>0</v>
      </c>
      <c r="BI120" s="57">
        <v>0</v>
      </c>
      <c r="BJ120" s="57">
        <v>0</v>
      </c>
      <c r="BK120" s="57">
        <v>0</v>
      </c>
      <c r="BL120" s="57">
        <v>0</v>
      </c>
      <c r="BM120" s="57">
        <v>0</v>
      </c>
      <c r="BN120" s="57">
        <v>0</v>
      </c>
      <c r="BO120" s="57">
        <v>0</v>
      </c>
      <c r="BP120" s="57">
        <v>0</v>
      </c>
      <c r="BQ120" s="58" t="s">
        <v>202</v>
      </c>
      <c r="BR120" s="59">
        <v>3897.1660000000002</v>
      </c>
      <c r="BS120" s="59">
        <v>0.39800000000000002</v>
      </c>
      <c r="BT120" s="59">
        <v>429.012</v>
      </c>
      <c r="BU120" s="59">
        <v>19131.202000000001</v>
      </c>
    </row>
    <row r="121" spans="1:73" x14ac:dyDescent="0.2">
      <c r="A121" s="56" t="s">
        <v>292</v>
      </c>
      <c r="B121" s="15">
        <v>3403.297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1493.05</v>
      </c>
      <c r="X121" s="15">
        <v>18.882999999999999</v>
      </c>
      <c r="Y121" s="17">
        <v>0</v>
      </c>
      <c r="Z121" s="17">
        <v>0</v>
      </c>
      <c r="AA121" s="16" t="s">
        <v>202</v>
      </c>
      <c r="AB121" s="16" t="s">
        <v>202</v>
      </c>
      <c r="AC121" s="16" t="s">
        <v>202</v>
      </c>
      <c r="AD121" s="17">
        <v>0</v>
      </c>
      <c r="AE121" s="17">
        <v>0</v>
      </c>
      <c r="AF121" s="17">
        <v>18.71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5">
        <v>0.17299999999999999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6" t="s">
        <v>202</v>
      </c>
      <c r="AW121" s="17">
        <v>0</v>
      </c>
      <c r="AX121" s="16" t="s">
        <v>202</v>
      </c>
      <c r="AY121" s="17">
        <v>0</v>
      </c>
      <c r="AZ121" s="16" t="s">
        <v>202</v>
      </c>
      <c r="BA121" s="16" t="s">
        <v>202</v>
      </c>
      <c r="BB121" s="16" t="s">
        <v>202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6" t="s">
        <v>202</v>
      </c>
      <c r="BR121" s="17">
        <v>1873.31</v>
      </c>
      <c r="BS121" s="15">
        <v>18.053999999999998</v>
      </c>
      <c r="BT121" s="17">
        <v>143.97</v>
      </c>
      <c r="BU121" s="15">
        <v>2428.2179999999998</v>
      </c>
    </row>
    <row r="122" spans="1:73" x14ac:dyDescent="0.2">
      <c r="A122" s="56" t="s">
        <v>293</v>
      </c>
      <c r="B122" s="59">
        <v>19007.415000000001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7">
        <v>0</v>
      </c>
      <c r="P122" s="57">
        <v>0</v>
      </c>
      <c r="Q122" s="57">
        <v>0</v>
      </c>
      <c r="R122" s="57">
        <v>0</v>
      </c>
      <c r="S122" s="57">
        <v>0</v>
      </c>
      <c r="T122" s="57">
        <v>0</v>
      </c>
      <c r="U122" s="57">
        <v>0</v>
      </c>
      <c r="V122" s="57">
        <v>0</v>
      </c>
      <c r="W122" s="59">
        <v>7683.8440000000001</v>
      </c>
      <c r="X122" s="59">
        <v>172.458</v>
      </c>
      <c r="Y122" s="57">
        <v>0</v>
      </c>
      <c r="Z122" s="57">
        <v>0</v>
      </c>
      <c r="AA122" s="58" t="s">
        <v>202</v>
      </c>
      <c r="AB122" s="58" t="s">
        <v>202</v>
      </c>
      <c r="AC122" s="58" t="s">
        <v>202</v>
      </c>
      <c r="AD122" s="57">
        <v>0</v>
      </c>
      <c r="AE122" s="57">
        <v>0</v>
      </c>
      <c r="AF122" s="59">
        <v>93.641000000000005</v>
      </c>
      <c r="AG122" s="57">
        <v>0</v>
      </c>
      <c r="AH122" s="57">
        <v>0</v>
      </c>
      <c r="AI122" s="57">
        <v>0</v>
      </c>
      <c r="AJ122" s="57">
        <v>0</v>
      </c>
      <c r="AK122" s="57">
        <v>0</v>
      </c>
      <c r="AL122" s="59">
        <v>1.7669999999999999</v>
      </c>
      <c r="AM122" s="59">
        <v>77.049000000000007</v>
      </c>
      <c r="AN122" s="57">
        <v>0</v>
      </c>
      <c r="AO122" s="57">
        <v>0</v>
      </c>
      <c r="AP122" s="57">
        <v>0</v>
      </c>
      <c r="AQ122" s="57">
        <v>0</v>
      </c>
      <c r="AR122" s="57">
        <v>0</v>
      </c>
      <c r="AS122" s="57">
        <v>0</v>
      </c>
      <c r="AT122" s="57">
        <v>0</v>
      </c>
      <c r="AU122" s="57">
        <v>0</v>
      </c>
      <c r="AV122" s="58" t="s">
        <v>202</v>
      </c>
      <c r="AW122" s="57">
        <v>0</v>
      </c>
      <c r="AX122" s="58" t="s">
        <v>202</v>
      </c>
      <c r="AY122" s="57">
        <v>0</v>
      </c>
      <c r="AZ122" s="58" t="s">
        <v>202</v>
      </c>
      <c r="BA122" s="58" t="s">
        <v>202</v>
      </c>
      <c r="BB122" s="58" t="s">
        <v>202</v>
      </c>
      <c r="BC122" s="57">
        <v>0</v>
      </c>
      <c r="BD122" s="57">
        <v>0</v>
      </c>
      <c r="BE122" s="57">
        <v>0</v>
      </c>
      <c r="BF122" s="57">
        <v>0</v>
      </c>
      <c r="BG122" s="57">
        <v>0</v>
      </c>
      <c r="BH122" s="57">
        <v>0</v>
      </c>
      <c r="BI122" s="57">
        <v>0</v>
      </c>
      <c r="BJ122" s="57">
        <v>0</v>
      </c>
      <c r="BK122" s="57">
        <v>0</v>
      </c>
      <c r="BL122" s="57">
        <v>0</v>
      </c>
      <c r="BM122" s="57">
        <v>0</v>
      </c>
      <c r="BN122" s="57">
        <v>0</v>
      </c>
      <c r="BO122" s="57">
        <v>0</v>
      </c>
      <c r="BP122" s="57">
        <v>0</v>
      </c>
      <c r="BQ122" s="58" t="s">
        <v>202</v>
      </c>
      <c r="BR122" s="59">
        <v>11080.249</v>
      </c>
      <c r="BS122" s="59">
        <v>70.864999999999995</v>
      </c>
      <c r="BT122" s="59">
        <v>831.91800000000001</v>
      </c>
      <c r="BU122" s="59">
        <v>13262.754000000001</v>
      </c>
    </row>
    <row r="123" spans="1:73" x14ac:dyDescent="0.2">
      <c r="A123" s="56" t="s">
        <v>294</v>
      </c>
      <c r="B123" s="15">
        <v>4442.1030000000001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5">
        <v>1581.3979999999999</v>
      </c>
      <c r="X123" s="17">
        <v>98.8</v>
      </c>
      <c r="Y123" s="17">
        <v>0</v>
      </c>
      <c r="Z123" s="17">
        <v>0</v>
      </c>
      <c r="AA123" s="16" t="s">
        <v>202</v>
      </c>
      <c r="AB123" s="16" t="s">
        <v>202</v>
      </c>
      <c r="AC123" s="16" t="s">
        <v>202</v>
      </c>
      <c r="AD123" s="17">
        <v>0</v>
      </c>
      <c r="AE123" s="17">
        <v>0</v>
      </c>
      <c r="AF123" s="15">
        <v>3.073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5">
        <v>94.606999999999999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1.1200000000000001</v>
      </c>
      <c r="AU123" s="17">
        <v>0</v>
      </c>
      <c r="AV123" s="16" t="s">
        <v>202</v>
      </c>
      <c r="AW123" s="17">
        <v>0</v>
      </c>
      <c r="AX123" s="16" t="s">
        <v>202</v>
      </c>
      <c r="AY123" s="17">
        <v>0</v>
      </c>
      <c r="AZ123" s="16" t="s">
        <v>202</v>
      </c>
      <c r="BA123" s="16" t="s">
        <v>202</v>
      </c>
      <c r="BB123" s="16" t="s">
        <v>202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6" t="s">
        <v>202</v>
      </c>
      <c r="BR123" s="15">
        <v>894.95600000000002</v>
      </c>
      <c r="BS123" s="15">
        <v>1866.9480000000001</v>
      </c>
      <c r="BT123" s="17">
        <v>485.61</v>
      </c>
      <c r="BU123" s="15">
        <v>3399.4760000000001</v>
      </c>
    </row>
    <row r="124" spans="1:73" x14ac:dyDescent="0.2">
      <c r="A124" s="56" t="s">
        <v>295</v>
      </c>
      <c r="B124" s="57">
        <v>77915.429999999993</v>
      </c>
      <c r="C124" s="59">
        <v>294.52499999999998</v>
      </c>
      <c r="D124" s="57">
        <v>0</v>
      </c>
      <c r="E124" s="57">
        <v>0</v>
      </c>
      <c r="F124" s="59">
        <v>294.52499999999998</v>
      </c>
      <c r="G124" s="57">
        <v>0</v>
      </c>
      <c r="H124" s="57">
        <v>0</v>
      </c>
      <c r="I124" s="57">
        <v>0</v>
      </c>
      <c r="J124" s="57">
        <v>0</v>
      </c>
      <c r="K124" s="57">
        <v>0</v>
      </c>
      <c r="L124" s="57">
        <v>0</v>
      </c>
      <c r="M124" s="57">
        <v>0</v>
      </c>
      <c r="N124" s="57">
        <v>0</v>
      </c>
      <c r="O124" s="57">
        <v>0</v>
      </c>
      <c r="P124" s="57">
        <v>0</v>
      </c>
      <c r="Q124" s="57">
        <v>0</v>
      </c>
      <c r="R124" s="57">
        <v>0</v>
      </c>
      <c r="S124" s="57">
        <v>0</v>
      </c>
      <c r="T124" s="57">
        <v>0</v>
      </c>
      <c r="U124" s="57">
        <v>0</v>
      </c>
      <c r="V124" s="57">
        <v>0</v>
      </c>
      <c r="W124" s="59">
        <v>50801.394999999997</v>
      </c>
      <c r="X124" s="59">
        <v>70.350999999999999</v>
      </c>
      <c r="Y124" s="57">
        <v>0</v>
      </c>
      <c r="Z124" s="57">
        <v>0</v>
      </c>
      <c r="AA124" s="58" t="s">
        <v>202</v>
      </c>
      <c r="AB124" s="58" t="s">
        <v>202</v>
      </c>
      <c r="AC124" s="58" t="s">
        <v>202</v>
      </c>
      <c r="AD124" s="57">
        <v>0</v>
      </c>
      <c r="AE124" s="57">
        <v>0</v>
      </c>
      <c r="AF124" s="59">
        <v>31.228999999999999</v>
      </c>
      <c r="AG124" s="57">
        <v>0</v>
      </c>
      <c r="AH124" s="57">
        <v>0</v>
      </c>
      <c r="AI124" s="57">
        <v>0</v>
      </c>
      <c r="AJ124" s="57">
        <v>0</v>
      </c>
      <c r="AK124" s="57">
        <v>0</v>
      </c>
      <c r="AL124" s="57">
        <v>0</v>
      </c>
      <c r="AM124" s="59">
        <v>38.956000000000003</v>
      </c>
      <c r="AN124" s="57">
        <v>0</v>
      </c>
      <c r="AO124" s="57">
        <v>0</v>
      </c>
      <c r="AP124" s="57">
        <v>0</v>
      </c>
      <c r="AQ124" s="57">
        <v>0</v>
      </c>
      <c r="AR124" s="57">
        <v>0</v>
      </c>
      <c r="AS124" s="57">
        <v>0</v>
      </c>
      <c r="AT124" s="59">
        <v>0.16700000000000001</v>
      </c>
      <c r="AU124" s="59">
        <v>1291.2470000000001</v>
      </c>
      <c r="AV124" s="58" t="s">
        <v>202</v>
      </c>
      <c r="AW124" s="57">
        <v>0</v>
      </c>
      <c r="AX124" s="58" t="s">
        <v>202</v>
      </c>
      <c r="AY124" s="57">
        <v>0</v>
      </c>
      <c r="AZ124" s="58" t="s">
        <v>202</v>
      </c>
      <c r="BA124" s="58" t="s">
        <v>202</v>
      </c>
      <c r="BB124" s="58" t="s">
        <v>202</v>
      </c>
      <c r="BC124" s="57">
        <v>0</v>
      </c>
      <c r="BD124" s="57">
        <v>0</v>
      </c>
      <c r="BE124" s="57">
        <v>0</v>
      </c>
      <c r="BF124" s="57">
        <v>0</v>
      </c>
      <c r="BG124" s="57">
        <v>0</v>
      </c>
      <c r="BH124" s="57">
        <v>0</v>
      </c>
      <c r="BI124" s="57">
        <v>0</v>
      </c>
      <c r="BJ124" s="57">
        <v>0</v>
      </c>
      <c r="BK124" s="57">
        <v>51.48</v>
      </c>
      <c r="BL124" s="59">
        <v>1239.7670000000001</v>
      </c>
      <c r="BM124" s="57">
        <v>0</v>
      </c>
      <c r="BN124" s="57">
        <v>0</v>
      </c>
      <c r="BO124" s="57">
        <v>0</v>
      </c>
      <c r="BP124" s="57">
        <v>0</v>
      </c>
      <c r="BQ124" s="58" t="s">
        <v>202</v>
      </c>
      <c r="BR124" s="59">
        <v>24213.146000000001</v>
      </c>
      <c r="BS124" s="59">
        <v>1244.7650000000001</v>
      </c>
      <c r="BT124" s="59">
        <v>3696.8180000000002</v>
      </c>
      <c r="BU124" s="59">
        <v>63389.207999999999</v>
      </c>
    </row>
    <row r="125" spans="1:73" x14ac:dyDescent="0.2">
      <c r="A125" s="56" t="s">
        <v>296</v>
      </c>
      <c r="B125" s="15">
        <v>16575.885999999999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5">
        <v>9934.5470000000005</v>
      </c>
      <c r="X125" s="15">
        <v>50.548999999999999</v>
      </c>
      <c r="Y125" s="17">
        <v>0</v>
      </c>
      <c r="Z125" s="17">
        <v>0</v>
      </c>
      <c r="AA125" s="16" t="s">
        <v>202</v>
      </c>
      <c r="AB125" s="16" t="s">
        <v>202</v>
      </c>
      <c r="AC125" s="16" t="s">
        <v>202</v>
      </c>
      <c r="AD125" s="17">
        <v>0</v>
      </c>
      <c r="AE125" s="17">
        <v>0</v>
      </c>
      <c r="AF125" s="15">
        <v>43.656999999999996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5">
        <v>6.7729999999999997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5">
        <v>0.11899999999999999</v>
      </c>
      <c r="AU125" s="15">
        <v>392.61700000000002</v>
      </c>
      <c r="AV125" s="16" t="s">
        <v>202</v>
      </c>
      <c r="AW125" s="17">
        <v>0</v>
      </c>
      <c r="AX125" s="16" t="s">
        <v>202</v>
      </c>
      <c r="AY125" s="17">
        <v>0</v>
      </c>
      <c r="AZ125" s="16" t="s">
        <v>202</v>
      </c>
      <c r="BA125" s="16" t="s">
        <v>202</v>
      </c>
      <c r="BB125" s="16" t="s">
        <v>202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5">
        <v>392.61700000000002</v>
      </c>
      <c r="BM125" s="15">
        <v>186.16900000000001</v>
      </c>
      <c r="BN125" s="17">
        <v>0</v>
      </c>
      <c r="BO125" s="17">
        <v>0</v>
      </c>
      <c r="BP125" s="15">
        <v>186.16900000000001</v>
      </c>
      <c r="BQ125" s="16" t="s">
        <v>202</v>
      </c>
      <c r="BR125" s="15">
        <v>5855.3059999999996</v>
      </c>
      <c r="BS125" s="15">
        <v>156.697</v>
      </c>
      <c r="BT125" s="15">
        <v>918.58500000000004</v>
      </c>
      <c r="BU125" s="17">
        <v>13050.92</v>
      </c>
    </row>
    <row r="126" spans="1:73" x14ac:dyDescent="0.2">
      <c r="A126" s="56" t="s">
        <v>297</v>
      </c>
      <c r="B126" s="57">
        <v>2709.49</v>
      </c>
      <c r="C126" s="57">
        <v>0</v>
      </c>
      <c r="D126" s="57">
        <v>0</v>
      </c>
      <c r="E126" s="57">
        <v>0</v>
      </c>
      <c r="F126" s="57">
        <v>0</v>
      </c>
      <c r="G126" s="57">
        <v>0</v>
      </c>
      <c r="H126" s="57">
        <v>0</v>
      </c>
      <c r="I126" s="57">
        <v>0</v>
      </c>
      <c r="J126" s="57">
        <v>0</v>
      </c>
      <c r="K126" s="57">
        <v>0</v>
      </c>
      <c r="L126" s="57">
        <v>0</v>
      </c>
      <c r="M126" s="57">
        <v>0</v>
      </c>
      <c r="N126" s="57">
        <v>0</v>
      </c>
      <c r="O126" s="57">
        <v>0</v>
      </c>
      <c r="P126" s="57">
        <v>0</v>
      </c>
      <c r="Q126" s="57">
        <v>0</v>
      </c>
      <c r="R126" s="57">
        <v>0</v>
      </c>
      <c r="S126" s="57">
        <v>0</v>
      </c>
      <c r="T126" s="57">
        <v>0</v>
      </c>
      <c r="U126" s="57">
        <v>0</v>
      </c>
      <c r="V126" s="57">
        <v>0</v>
      </c>
      <c r="W126" s="59">
        <v>687.13499999999999</v>
      </c>
      <c r="X126" s="59">
        <v>26.370999999999999</v>
      </c>
      <c r="Y126" s="57">
        <v>0</v>
      </c>
      <c r="Z126" s="57">
        <v>0</v>
      </c>
      <c r="AA126" s="58" t="s">
        <v>202</v>
      </c>
      <c r="AB126" s="58" t="s">
        <v>202</v>
      </c>
      <c r="AC126" s="58" t="s">
        <v>202</v>
      </c>
      <c r="AD126" s="57">
        <v>0</v>
      </c>
      <c r="AE126" s="57">
        <v>0</v>
      </c>
      <c r="AF126" s="59">
        <v>2.169</v>
      </c>
      <c r="AG126" s="57">
        <v>0</v>
      </c>
      <c r="AH126" s="57">
        <v>0</v>
      </c>
      <c r="AI126" s="57">
        <v>0</v>
      </c>
      <c r="AJ126" s="57">
        <v>0</v>
      </c>
      <c r="AK126" s="57">
        <v>0</v>
      </c>
      <c r="AL126" s="57">
        <v>0</v>
      </c>
      <c r="AM126" s="59">
        <v>24.202000000000002</v>
      </c>
      <c r="AN126" s="57">
        <v>0</v>
      </c>
      <c r="AO126" s="57">
        <v>0</v>
      </c>
      <c r="AP126" s="57">
        <v>0</v>
      </c>
      <c r="AQ126" s="57">
        <v>0</v>
      </c>
      <c r="AR126" s="57">
        <v>0</v>
      </c>
      <c r="AS126" s="57">
        <v>0</v>
      </c>
      <c r="AT126" s="57">
        <v>0</v>
      </c>
      <c r="AU126" s="59">
        <v>881.14800000000002</v>
      </c>
      <c r="AV126" s="58" t="s">
        <v>202</v>
      </c>
      <c r="AW126" s="57">
        <v>0</v>
      </c>
      <c r="AX126" s="58" t="s">
        <v>202</v>
      </c>
      <c r="AY126" s="57">
        <v>0</v>
      </c>
      <c r="AZ126" s="58" t="s">
        <v>202</v>
      </c>
      <c r="BA126" s="58" t="s">
        <v>202</v>
      </c>
      <c r="BB126" s="58" t="s">
        <v>202</v>
      </c>
      <c r="BC126" s="59">
        <v>881.14800000000002</v>
      </c>
      <c r="BD126" s="57">
        <v>0</v>
      </c>
      <c r="BE126" s="57">
        <v>0</v>
      </c>
      <c r="BF126" s="57">
        <v>0</v>
      </c>
      <c r="BG126" s="57">
        <v>0</v>
      </c>
      <c r="BH126" s="57">
        <v>0</v>
      </c>
      <c r="BI126" s="57">
        <v>0</v>
      </c>
      <c r="BJ126" s="57">
        <v>0</v>
      </c>
      <c r="BK126" s="57">
        <v>0</v>
      </c>
      <c r="BL126" s="57">
        <v>0</v>
      </c>
      <c r="BM126" s="57">
        <v>0</v>
      </c>
      <c r="BN126" s="57">
        <v>0</v>
      </c>
      <c r="BO126" s="57">
        <v>0</v>
      </c>
      <c r="BP126" s="57">
        <v>0</v>
      </c>
      <c r="BQ126" s="58" t="s">
        <v>202</v>
      </c>
      <c r="BR126" s="59">
        <v>1108.0039999999999</v>
      </c>
      <c r="BS126" s="59">
        <v>6.8319999999999999</v>
      </c>
      <c r="BT126" s="57">
        <v>963.45</v>
      </c>
      <c r="BU126" s="59">
        <v>1254.797</v>
      </c>
    </row>
    <row r="127" spans="1:73" x14ac:dyDescent="0.2">
      <c r="A127" s="56" t="s">
        <v>298</v>
      </c>
      <c r="B127" s="15">
        <v>28750.002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5">
        <v>2405.913</v>
      </c>
      <c r="X127" s="15">
        <v>20459.717000000001</v>
      </c>
      <c r="Y127" s="17">
        <v>0</v>
      </c>
      <c r="Z127" s="17">
        <v>0</v>
      </c>
      <c r="AA127" s="16" t="s">
        <v>202</v>
      </c>
      <c r="AB127" s="16" t="s">
        <v>202</v>
      </c>
      <c r="AC127" s="16" t="s">
        <v>202</v>
      </c>
      <c r="AD127" s="17">
        <v>0</v>
      </c>
      <c r="AE127" s="17">
        <v>0</v>
      </c>
      <c r="AF127" s="15">
        <v>134.13399999999999</v>
      </c>
      <c r="AG127" s="17">
        <v>0</v>
      </c>
      <c r="AH127" s="17">
        <v>0</v>
      </c>
      <c r="AI127" s="15">
        <v>259.90699999999998</v>
      </c>
      <c r="AJ127" s="17">
        <v>0</v>
      </c>
      <c r="AK127" s="17">
        <v>0</v>
      </c>
      <c r="AL127" s="17">
        <v>0</v>
      </c>
      <c r="AM127" s="15">
        <v>20065.674999999999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5">
        <v>1826.787</v>
      </c>
      <c r="AV127" s="16" t="s">
        <v>202</v>
      </c>
      <c r="AW127" s="17">
        <v>0</v>
      </c>
      <c r="AX127" s="16" t="s">
        <v>202</v>
      </c>
      <c r="AY127" s="17">
        <v>0</v>
      </c>
      <c r="AZ127" s="16" t="s">
        <v>202</v>
      </c>
      <c r="BA127" s="16" t="s">
        <v>202</v>
      </c>
      <c r="BB127" s="16" t="s">
        <v>202</v>
      </c>
      <c r="BC127" s="15">
        <v>412.36500000000001</v>
      </c>
      <c r="BD127" s="17">
        <v>0</v>
      </c>
      <c r="BE127" s="17">
        <v>0</v>
      </c>
      <c r="BF127" s="17">
        <v>0</v>
      </c>
      <c r="BG127" s="17">
        <v>0</v>
      </c>
      <c r="BH127" s="15">
        <v>1414.422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6" t="s">
        <v>202</v>
      </c>
      <c r="BR127" s="15">
        <v>4057.585</v>
      </c>
      <c r="BS127" s="17">
        <v>0</v>
      </c>
      <c r="BT127" s="15">
        <v>2121.5610000000001</v>
      </c>
      <c r="BU127" s="17">
        <v>24831.63</v>
      </c>
    </row>
    <row r="128" spans="1:73" x14ac:dyDescent="0.2">
      <c r="A128" s="56" t="s">
        <v>299</v>
      </c>
      <c r="B128" s="57">
        <v>3956.89</v>
      </c>
      <c r="C128" s="57">
        <v>0</v>
      </c>
      <c r="D128" s="57">
        <v>0</v>
      </c>
      <c r="E128" s="57">
        <v>0</v>
      </c>
      <c r="F128" s="57">
        <v>0</v>
      </c>
      <c r="G128" s="57">
        <v>0</v>
      </c>
      <c r="H128" s="57">
        <v>0</v>
      </c>
      <c r="I128" s="57">
        <v>0</v>
      </c>
      <c r="J128" s="57">
        <v>0</v>
      </c>
      <c r="K128" s="57">
        <v>0</v>
      </c>
      <c r="L128" s="57">
        <v>0</v>
      </c>
      <c r="M128" s="57">
        <v>0</v>
      </c>
      <c r="N128" s="57">
        <v>0</v>
      </c>
      <c r="O128" s="57">
        <v>0</v>
      </c>
      <c r="P128" s="57">
        <v>0</v>
      </c>
      <c r="Q128" s="57">
        <v>0</v>
      </c>
      <c r="R128" s="57">
        <v>0</v>
      </c>
      <c r="S128" s="57">
        <v>0</v>
      </c>
      <c r="T128" s="57">
        <v>0</v>
      </c>
      <c r="U128" s="57">
        <v>0</v>
      </c>
      <c r="V128" s="57">
        <v>0</v>
      </c>
      <c r="W128" s="59">
        <v>2135.3560000000002</v>
      </c>
      <c r="X128" s="59">
        <v>24.765999999999998</v>
      </c>
      <c r="Y128" s="57">
        <v>0</v>
      </c>
      <c r="Z128" s="57">
        <v>0</v>
      </c>
      <c r="AA128" s="58" t="s">
        <v>202</v>
      </c>
      <c r="AB128" s="58" t="s">
        <v>202</v>
      </c>
      <c r="AC128" s="58" t="s">
        <v>202</v>
      </c>
      <c r="AD128" s="57">
        <v>0</v>
      </c>
      <c r="AE128" s="57">
        <v>0</v>
      </c>
      <c r="AF128" s="59">
        <v>24.765999999999998</v>
      </c>
      <c r="AG128" s="57">
        <v>0</v>
      </c>
      <c r="AH128" s="57">
        <v>0</v>
      </c>
      <c r="AI128" s="57">
        <v>0</v>
      </c>
      <c r="AJ128" s="57">
        <v>0</v>
      </c>
      <c r="AK128" s="57">
        <v>0</v>
      </c>
      <c r="AL128" s="57">
        <v>0</v>
      </c>
      <c r="AM128" s="57">
        <v>0</v>
      </c>
      <c r="AN128" s="57">
        <v>0</v>
      </c>
      <c r="AO128" s="57">
        <v>0</v>
      </c>
      <c r="AP128" s="57">
        <v>0</v>
      </c>
      <c r="AQ128" s="57">
        <v>0</v>
      </c>
      <c r="AR128" s="57">
        <v>0</v>
      </c>
      <c r="AS128" s="57">
        <v>0</v>
      </c>
      <c r="AT128" s="57">
        <v>0</v>
      </c>
      <c r="AU128" s="57">
        <v>0</v>
      </c>
      <c r="AV128" s="58" t="s">
        <v>202</v>
      </c>
      <c r="AW128" s="57">
        <v>0</v>
      </c>
      <c r="AX128" s="58" t="s">
        <v>202</v>
      </c>
      <c r="AY128" s="57">
        <v>0</v>
      </c>
      <c r="AZ128" s="58" t="s">
        <v>202</v>
      </c>
      <c r="BA128" s="58" t="s">
        <v>202</v>
      </c>
      <c r="BB128" s="58" t="s">
        <v>202</v>
      </c>
      <c r="BC128" s="57">
        <v>0</v>
      </c>
      <c r="BD128" s="57">
        <v>0</v>
      </c>
      <c r="BE128" s="57">
        <v>0</v>
      </c>
      <c r="BF128" s="57">
        <v>0</v>
      </c>
      <c r="BG128" s="57">
        <v>0</v>
      </c>
      <c r="BH128" s="57">
        <v>0</v>
      </c>
      <c r="BI128" s="57">
        <v>0</v>
      </c>
      <c r="BJ128" s="57">
        <v>0</v>
      </c>
      <c r="BK128" s="57">
        <v>0</v>
      </c>
      <c r="BL128" s="57">
        <v>0</v>
      </c>
      <c r="BM128" s="57">
        <v>0</v>
      </c>
      <c r="BN128" s="57">
        <v>0</v>
      </c>
      <c r="BO128" s="57">
        <v>0</v>
      </c>
      <c r="BP128" s="57">
        <v>0</v>
      </c>
      <c r="BQ128" s="58" t="s">
        <v>202</v>
      </c>
      <c r="BR128" s="59">
        <v>1427.008</v>
      </c>
      <c r="BS128" s="57">
        <v>369.76</v>
      </c>
      <c r="BT128" s="59">
        <v>198.04300000000001</v>
      </c>
      <c r="BU128" s="59">
        <v>3095.0990000000002</v>
      </c>
    </row>
    <row r="129" spans="1:73" x14ac:dyDescent="0.2">
      <c r="A129" s="56" t="s">
        <v>300</v>
      </c>
      <c r="B129" s="15">
        <v>12905.630999999999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3479.12</v>
      </c>
      <c r="X129" s="15">
        <v>266.68700000000001</v>
      </c>
      <c r="Y129" s="17">
        <v>0</v>
      </c>
      <c r="Z129" s="17">
        <v>0</v>
      </c>
      <c r="AA129" s="16" t="s">
        <v>202</v>
      </c>
      <c r="AB129" s="16" t="s">
        <v>202</v>
      </c>
      <c r="AC129" s="16" t="s">
        <v>202</v>
      </c>
      <c r="AD129" s="17">
        <v>0</v>
      </c>
      <c r="AE129" s="17">
        <v>0</v>
      </c>
      <c r="AF129" s="17">
        <v>263.83999999999997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5">
        <v>2.847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5">
        <v>1846.828</v>
      </c>
      <c r="AV129" s="16" t="s">
        <v>202</v>
      </c>
      <c r="AW129" s="17">
        <v>0</v>
      </c>
      <c r="AX129" s="16" t="s">
        <v>202</v>
      </c>
      <c r="AY129" s="17">
        <v>0</v>
      </c>
      <c r="AZ129" s="16" t="s">
        <v>202</v>
      </c>
      <c r="BA129" s="16" t="s">
        <v>202</v>
      </c>
      <c r="BB129" s="16" t="s">
        <v>202</v>
      </c>
      <c r="BC129" s="15">
        <v>1750.441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5">
        <v>96.387</v>
      </c>
      <c r="BM129" s="17">
        <v>0</v>
      </c>
      <c r="BN129" s="17">
        <v>0</v>
      </c>
      <c r="BO129" s="17">
        <v>0</v>
      </c>
      <c r="BP129" s="17">
        <v>0</v>
      </c>
      <c r="BQ129" s="16" t="s">
        <v>202</v>
      </c>
      <c r="BR129" s="15">
        <v>6917.1049999999996</v>
      </c>
      <c r="BS129" s="15">
        <v>395.89100000000002</v>
      </c>
      <c r="BT129" s="17">
        <v>2429.87</v>
      </c>
      <c r="BU129" s="15">
        <v>7378.5969999999998</v>
      </c>
    </row>
    <row r="130" spans="1:73" x14ac:dyDescent="0.2">
      <c r="A130" s="56" t="s">
        <v>301</v>
      </c>
      <c r="B130" s="59">
        <v>397604.27299999999</v>
      </c>
      <c r="C130" s="57">
        <v>0</v>
      </c>
      <c r="D130" s="57">
        <v>0</v>
      </c>
      <c r="E130" s="57">
        <v>0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0</v>
      </c>
      <c r="L130" s="57">
        <v>0</v>
      </c>
      <c r="M130" s="57">
        <v>0</v>
      </c>
      <c r="N130" s="57">
        <v>0</v>
      </c>
      <c r="O130" s="57">
        <v>0</v>
      </c>
      <c r="P130" s="57">
        <v>0</v>
      </c>
      <c r="Q130" s="57">
        <v>0</v>
      </c>
      <c r="R130" s="57">
        <v>0</v>
      </c>
      <c r="S130" s="57">
        <v>0</v>
      </c>
      <c r="T130" s="57">
        <v>0</v>
      </c>
      <c r="U130" s="57">
        <v>0</v>
      </c>
      <c r="V130" s="57">
        <v>0</v>
      </c>
      <c r="W130" s="59">
        <v>2672.3560000000002</v>
      </c>
      <c r="X130" s="59">
        <v>358073.82199999999</v>
      </c>
      <c r="Y130" s="57">
        <v>0</v>
      </c>
      <c r="Z130" s="57">
        <v>0</v>
      </c>
      <c r="AA130" s="58" t="s">
        <v>202</v>
      </c>
      <c r="AB130" s="58" t="s">
        <v>202</v>
      </c>
      <c r="AC130" s="58" t="s">
        <v>202</v>
      </c>
      <c r="AD130" s="57">
        <v>0</v>
      </c>
      <c r="AE130" s="57">
        <v>0</v>
      </c>
      <c r="AF130" s="59">
        <v>4965.326</v>
      </c>
      <c r="AG130" s="57">
        <v>0</v>
      </c>
      <c r="AH130" s="59">
        <v>56.847000000000001</v>
      </c>
      <c r="AI130" s="59">
        <v>169944.13200000001</v>
      </c>
      <c r="AJ130" s="57">
        <v>0</v>
      </c>
      <c r="AK130" s="59">
        <v>349.70499999999998</v>
      </c>
      <c r="AL130" s="57">
        <v>0</v>
      </c>
      <c r="AM130" s="59">
        <v>182757.81099999999</v>
      </c>
      <c r="AN130" s="57">
        <v>0</v>
      </c>
      <c r="AO130" s="57">
        <v>0</v>
      </c>
      <c r="AP130" s="57">
        <v>0</v>
      </c>
      <c r="AQ130" s="57">
        <v>0</v>
      </c>
      <c r="AR130" s="57">
        <v>0</v>
      </c>
      <c r="AS130" s="57">
        <v>0</v>
      </c>
      <c r="AT130" s="57">
        <v>0</v>
      </c>
      <c r="AU130" s="59">
        <v>22877.916000000001</v>
      </c>
      <c r="AV130" s="58" t="s">
        <v>202</v>
      </c>
      <c r="AW130" s="57">
        <v>0</v>
      </c>
      <c r="AX130" s="58" t="s">
        <v>202</v>
      </c>
      <c r="AY130" s="57">
        <v>0</v>
      </c>
      <c r="AZ130" s="58" t="s">
        <v>202</v>
      </c>
      <c r="BA130" s="58" t="s">
        <v>202</v>
      </c>
      <c r="BB130" s="58" t="s">
        <v>202</v>
      </c>
      <c r="BC130" s="57">
        <v>0</v>
      </c>
      <c r="BD130" s="57">
        <v>0</v>
      </c>
      <c r="BE130" s="57">
        <v>0</v>
      </c>
      <c r="BF130" s="59">
        <v>10780.532999999999</v>
      </c>
      <c r="BG130" s="57">
        <v>0</v>
      </c>
      <c r="BH130" s="59">
        <v>12097.383</v>
      </c>
      <c r="BI130" s="57">
        <v>0</v>
      </c>
      <c r="BJ130" s="57">
        <v>0</v>
      </c>
      <c r="BK130" s="57">
        <v>0</v>
      </c>
      <c r="BL130" s="57">
        <v>0</v>
      </c>
      <c r="BM130" s="57">
        <v>0</v>
      </c>
      <c r="BN130" s="57">
        <v>0</v>
      </c>
      <c r="BO130" s="57">
        <v>0</v>
      </c>
      <c r="BP130" s="57">
        <v>0</v>
      </c>
      <c r="BQ130" s="58" t="s">
        <v>202</v>
      </c>
      <c r="BR130" s="59">
        <v>13980.179</v>
      </c>
      <c r="BS130" s="58" t="s">
        <v>202</v>
      </c>
      <c r="BT130" s="59">
        <v>23836.006000000001</v>
      </c>
      <c r="BU130" s="59">
        <v>367577.45500000002</v>
      </c>
    </row>
    <row r="131" spans="1:73" x14ac:dyDescent="0.2">
      <c r="A131" s="56" t="s">
        <v>302</v>
      </c>
      <c r="B131" s="15">
        <v>7026.6210000000001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6" t="s">
        <v>202</v>
      </c>
      <c r="X131" s="15">
        <v>928.64400000000001</v>
      </c>
      <c r="Y131" s="17">
        <v>0</v>
      </c>
      <c r="Z131" s="17">
        <v>0</v>
      </c>
      <c r="AA131" s="16" t="s">
        <v>202</v>
      </c>
      <c r="AB131" s="16" t="s">
        <v>202</v>
      </c>
      <c r="AC131" s="16" t="s">
        <v>202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5">
        <v>928.64400000000001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5">
        <v>65.677000000000007</v>
      </c>
      <c r="AV131" s="16" t="s">
        <v>202</v>
      </c>
      <c r="AW131" s="17">
        <v>0</v>
      </c>
      <c r="AX131" s="16" t="s">
        <v>202</v>
      </c>
      <c r="AY131" s="17">
        <v>0</v>
      </c>
      <c r="AZ131" s="16" t="s">
        <v>202</v>
      </c>
      <c r="BA131" s="16" t="s">
        <v>202</v>
      </c>
      <c r="BB131" s="16" t="s">
        <v>202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5">
        <v>65.677000000000007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6" t="s">
        <v>202</v>
      </c>
      <c r="BR131" s="17">
        <v>6032.3</v>
      </c>
      <c r="BS131" s="16" t="s">
        <v>202</v>
      </c>
      <c r="BT131" s="15">
        <v>467.27199999999999</v>
      </c>
      <c r="BU131" s="15">
        <v>3888.0790000000002</v>
      </c>
    </row>
    <row r="132" spans="1:73" x14ac:dyDescent="0.2">
      <c r="A132" s="56" t="s">
        <v>303</v>
      </c>
      <c r="B132" s="59">
        <v>377119.04200000002</v>
      </c>
      <c r="C132" s="58" t="s">
        <v>202</v>
      </c>
      <c r="D132" s="58" t="s">
        <v>202</v>
      </c>
      <c r="E132" s="58" t="s">
        <v>202</v>
      </c>
      <c r="F132" s="58" t="s">
        <v>202</v>
      </c>
      <c r="G132" s="58" t="s">
        <v>202</v>
      </c>
      <c r="H132" s="58" t="s">
        <v>202</v>
      </c>
      <c r="I132" s="58" t="s">
        <v>202</v>
      </c>
      <c r="J132" s="58" t="s">
        <v>202</v>
      </c>
      <c r="K132" s="58" t="s">
        <v>202</v>
      </c>
      <c r="L132" s="58" t="s">
        <v>202</v>
      </c>
      <c r="M132" s="58" t="s">
        <v>202</v>
      </c>
      <c r="N132" s="58" t="s">
        <v>202</v>
      </c>
      <c r="O132" s="58" t="s">
        <v>202</v>
      </c>
      <c r="P132" s="58" t="s">
        <v>202</v>
      </c>
      <c r="Q132" s="58" t="s">
        <v>202</v>
      </c>
      <c r="R132" s="58" t="s">
        <v>202</v>
      </c>
      <c r="S132" s="58" t="s">
        <v>202</v>
      </c>
      <c r="T132" s="58" t="s">
        <v>202</v>
      </c>
      <c r="U132" s="58" t="s">
        <v>202</v>
      </c>
      <c r="V132" s="58" t="s">
        <v>202</v>
      </c>
      <c r="W132" s="59">
        <v>2448.2550000000001</v>
      </c>
      <c r="X132" s="59">
        <v>343953.21299999999</v>
      </c>
      <c r="Y132" s="57">
        <v>0</v>
      </c>
      <c r="Z132" s="57">
        <v>0</v>
      </c>
      <c r="AA132" s="58" t="s">
        <v>202</v>
      </c>
      <c r="AB132" s="58" t="s">
        <v>202</v>
      </c>
      <c r="AC132" s="58" t="s">
        <v>202</v>
      </c>
      <c r="AD132" s="57">
        <v>0</v>
      </c>
      <c r="AE132" s="57">
        <v>0</v>
      </c>
      <c r="AF132" s="59">
        <v>4965.326</v>
      </c>
      <c r="AG132" s="57">
        <v>0</v>
      </c>
      <c r="AH132" s="57">
        <v>0</v>
      </c>
      <c r="AI132" s="59">
        <v>168369.96400000001</v>
      </c>
      <c r="AJ132" s="57">
        <v>0</v>
      </c>
      <c r="AK132" s="57">
        <v>0</v>
      </c>
      <c r="AL132" s="57">
        <v>0</v>
      </c>
      <c r="AM132" s="59">
        <v>170617.92300000001</v>
      </c>
      <c r="AN132" s="57">
        <v>0</v>
      </c>
      <c r="AO132" s="57">
        <v>0</v>
      </c>
      <c r="AP132" s="57">
        <v>0</v>
      </c>
      <c r="AQ132" s="57">
        <v>0</v>
      </c>
      <c r="AR132" s="57">
        <v>0</v>
      </c>
      <c r="AS132" s="57">
        <v>0</v>
      </c>
      <c r="AT132" s="57">
        <v>0</v>
      </c>
      <c r="AU132" s="59">
        <v>22769.696</v>
      </c>
      <c r="AV132" s="58" t="s">
        <v>202</v>
      </c>
      <c r="AW132" s="57">
        <v>0</v>
      </c>
      <c r="AX132" s="58" t="s">
        <v>202</v>
      </c>
      <c r="AY132" s="57">
        <v>0</v>
      </c>
      <c r="AZ132" s="58" t="s">
        <v>202</v>
      </c>
      <c r="BA132" s="58" t="s">
        <v>202</v>
      </c>
      <c r="BB132" s="58" t="s">
        <v>202</v>
      </c>
      <c r="BC132" s="57">
        <v>0</v>
      </c>
      <c r="BD132" s="57">
        <v>0</v>
      </c>
      <c r="BE132" s="57">
        <v>0</v>
      </c>
      <c r="BF132" s="59">
        <v>10780.532999999999</v>
      </c>
      <c r="BG132" s="57">
        <v>0</v>
      </c>
      <c r="BH132" s="59">
        <v>11989.163</v>
      </c>
      <c r="BI132" s="57">
        <v>0</v>
      </c>
      <c r="BJ132" s="57">
        <v>0</v>
      </c>
      <c r="BK132" s="57">
        <v>0</v>
      </c>
      <c r="BL132" s="57">
        <v>0</v>
      </c>
      <c r="BM132" s="57">
        <v>0</v>
      </c>
      <c r="BN132" s="57">
        <v>0</v>
      </c>
      <c r="BO132" s="57">
        <v>0</v>
      </c>
      <c r="BP132" s="57">
        <v>0</v>
      </c>
      <c r="BQ132" s="58" t="s">
        <v>202</v>
      </c>
      <c r="BR132" s="59">
        <v>7947.8779999999997</v>
      </c>
      <c r="BS132" s="58" t="s">
        <v>202</v>
      </c>
      <c r="BT132" s="59">
        <v>23323.896000000001</v>
      </c>
      <c r="BU132" s="59">
        <v>350275.60499999998</v>
      </c>
    </row>
    <row r="133" spans="1:73" x14ac:dyDescent="0.2">
      <c r="A133" s="56" t="s">
        <v>304</v>
      </c>
      <c r="B133" s="15">
        <v>406.553</v>
      </c>
      <c r="C133" s="16" t="s">
        <v>202</v>
      </c>
      <c r="D133" s="16" t="s">
        <v>202</v>
      </c>
      <c r="E133" s="16" t="s">
        <v>202</v>
      </c>
      <c r="F133" s="16" t="s">
        <v>202</v>
      </c>
      <c r="G133" s="16" t="s">
        <v>202</v>
      </c>
      <c r="H133" s="16" t="s">
        <v>202</v>
      </c>
      <c r="I133" s="16" t="s">
        <v>202</v>
      </c>
      <c r="J133" s="16" t="s">
        <v>202</v>
      </c>
      <c r="K133" s="16" t="s">
        <v>202</v>
      </c>
      <c r="L133" s="16" t="s">
        <v>202</v>
      </c>
      <c r="M133" s="16" t="s">
        <v>202</v>
      </c>
      <c r="N133" s="16" t="s">
        <v>202</v>
      </c>
      <c r="O133" s="16" t="s">
        <v>202</v>
      </c>
      <c r="P133" s="16" t="s">
        <v>202</v>
      </c>
      <c r="Q133" s="16" t="s">
        <v>202</v>
      </c>
      <c r="R133" s="16" t="s">
        <v>202</v>
      </c>
      <c r="S133" s="16" t="s">
        <v>202</v>
      </c>
      <c r="T133" s="16" t="s">
        <v>202</v>
      </c>
      <c r="U133" s="16" t="s">
        <v>202</v>
      </c>
      <c r="V133" s="16" t="s">
        <v>202</v>
      </c>
      <c r="W133" s="16" t="s">
        <v>202</v>
      </c>
      <c r="X133" s="15">
        <v>406.553</v>
      </c>
      <c r="Y133" s="17">
        <v>0</v>
      </c>
      <c r="Z133" s="17">
        <v>0</v>
      </c>
      <c r="AA133" s="16" t="s">
        <v>202</v>
      </c>
      <c r="AB133" s="16" t="s">
        <v>202</v>
      </c>
      <c r="AC133" s="16" t="s">
        <v>202</v>
      </c>
      <c r="AD133" s="17">
        <v>0</v>
      </c>
      <c r="AE133" s="17">
        <v>0</v>
      </c>
      <c r="AF133" s="17">
        <v>0</v>
      </c>
      <c r="AG133" s="17">
        <v>0</v>
      </c>
      <c r="AH133" s="15">
        <v>56.847000000000001</v>
      </c>
      <c r="AI133" s="17">
        <v>0</v>
      </c>
      <c r="AJ133" s="17">
        <v>0</v>
      </c>
      <c r="AK133" s="15">
        <v>349.70499999999998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6" t="s">
        <v>202</v>
      </c>
      <c r="AW133" s="16" t="s">
        <v>202</v>
      </c>
      <c r="AX133" s="16" t="s">
        <v>202</v>
      </c>
      <c r="AY133" s="16" t="s">
        <v>202</v>
      </c>
      <c r="AZ133" s="16" t="s">
        <v>202</v>
      </c>
      <c r="BA133" s="16" t="s">
        <v>202</v>
      </c>
      <c r="BB133" s="16" t="s">
        <v>202</v>
      </c>
      <c r="BC133" s="16" t="s">
        <v>202</v>
      </c>
      <c r="BD133" s="16" t="s">
        <v>202</v>
      </c>
      <c r="BE133" s="16" t="s">
        <v>202</v>
      </c>
      <c r="BF133" s="17">
        <v>0</v>
      </c>
      <c r="BG133" s="16" t="s">
        <v>202</v>
      </c>
      <c r="BH133" s="17">
        <v>0</v>
      </c>
      <c r="BI133" s="16" t="s">
        <v>202</v>
      </c>
      <c r="BJ133" s="17">
        <v>0</v>
      </c>
      <c r="BK133" s="16" t="s">
        <v>202</v>
      </c>
      <c r="BL133" s="16" t="s">
        <v>202</v>
      </c>
      <c r="BM133" s="16" t="s">
        <v>202</v>
      </c>
      <c r="BN133" s="16" t="s">
        <v>202</v>
      </c>
      <c r="BO133" s="16" t="s">
        <v>202</v>
      </c>
      <c r="BP133" s="16" t="s">
        <v>202</v>
      </c>
      <c r="BQ133" s="16" t="s">
        <v>202</v>
      </c>
      <c r="BR133" s="16" t="s">
        <v>202</v>
      </c>
      <c r="BS133" s="16" t="s">
        <v>202</v>
      </c>
      <c r="BT133" s="17">
        <v>0</v>
      </c>
      <c r="BU133" s="15">
        <v>406.553</v>
      </c>
    </row>
    <row r="134" spans="1:73" x14ac:dyDescent="0.2">
      <c r="A134" s="56" t="s">
        <v>305</v>
      </c>
      <c r="B134" s="59">
        <v>12827.955</v>
      </c>
      <c r="C134" s="57">
        <v>0</v>
      </c>
      <c r="D134" s="57">
        <v>0</v>
      </c>
      <c r="E134" s="57">
        <v>0</v>
      </c>
      <c r="F134" s="57">
        <v>0</v>
      </c>
      <c r="G134" s="57">
        <v>0</v>
      </c>
      <c r="H134" s="57">
        <v>0</v>
      </c>
      <c r="I134" s="57">
        <v>0</v>
      </c>
      <c r="J134" s="57">
        <v>0</v>
      </c>
      <c r="K134" s="57">
        <v>0</v>
      </c>
      <c r="L134" s="57">
        <v>0</v>
      </c>
      <c r="M134" s="57">
        <v>0</v>
      </c>
      <c r="N134" s="57">
        <v>0</v>
      </c>
      <c r="O134" s="57">
        <v>0</v>
      </c>
      <c r="P134" s="57">
        <v>0</v>
      </c>
      <c r="Q134" s="57">
        <v>0</v>
      </c>
      <c r="R134" s="57">
        <v>0</v>
      </c>
      <c r="S134" s="57">
        <v>0</v>
      </c>
      <c r="T134" s="57">
        <v>0</v>
      </c>
      <c r="U134" s="57">
        <v>0</v>
      </c>
      <c r="V134" s="57">
        <v>0</v>
      </c>
      <c r="W134" s="58" t="s">
        <v>202</v>
      </c>
      <c r="X134" s="59">
        <v>12785.412</v>
      </c>
      <c r="Y134" s="57">
        <v>0</v>
      </c>
      <c r="Z134" s="57">
        <v>0</v>
      </c>
      <c r="AA134" s="58" t="s">
        <v>202</v>
      </c>
      <c r="AB134" s="58" t="s">
        <v>202</v>
      </c>
      <c r="AC134" s="58" t="s">
        <v>202</v>
      </c>
      <c r="AD134" s="57">
        <v>0</v>
      </c>
      <c r="AE134" s="57">
        <v>0</v>
      </c>
      <c r="AF134" s="57">
        <v>0</v>
      </c>
      <c r="AG134" s="57">
        <v>0</v>
      </c>
      <c r="AH134" s="57">
        <v>0</v>
      </c>
      <c r="AI134" s="59">
        <v>1574.1679999999999</v>
      </c>
      <c r="AJ134" s="57">
        <v>0</v>
      </c>
      <c r="AK134" s="57">
        <v>0</v>
      </c>
      <c r="AL134" s="57">
        <v>0</v>
      </c>
      <c r="AM134" s="59">
        <v>11211.244000000001</v>
      </c>
      <c r="AN134" s="57">
        <v>0</v>
      </c>
      <c r="AO134" s="57">
        <v>0</v>
      </c>
      <c r="AP134" s="57">
        <v>0</v>
      </c>
      <c r="AQ134" s="57">
        <v>0</v>
      </c>
      <c r="AR134" s="57">
        <v>0</v>
      </c>
      <c r="AS134" s="57">
        <v>0</v>
      </c>
      <c r="AT134" s="57">
        <v>0</v>
      </c>
      <c r="AU134" s="59">
        <v>42.542999999999999</v>
      </c>
      <c r="AV134" s="58" t="s">
        <v>202</v>
      </c>
      <c r="AW134" s="57">
        <v>0</v>
      </c>
      <c r="AX134" s="58" t="s">
        <v>202</v>
      </c>
      <c r="AY134" s="57">
        <v>0</v>
      </c>
      <c r="AZ134" s="58" t="s">
        <v>202</v>
      </c>
      <c r="BA134" s="58" t="s">
        <v>202</v>
      </c>
      <c r="BB134" s="58" t="s">
        <v>202</v>
      </c>
      <c r="BC134" s="57">
        <v>0</v>
      </c>
      <c r="BD134" s="57">
        <v>0</v>
      </c>
      <c r="BE134" s="57">
        <v>0</v>
      </c>
      <c r="BF134" s="57">
        <v>0</v>
      </c>
      <c r="BG134" s="57">
        <v>0</v>
      </c>
      <c r="BH134" s="59">
        <v>42.542999999999999</v>
      </c>
      <c r="BI134" s="57">
        <v>0</v>
      </c>
      <c r="BJ134" s="57">
        <v>0</v>
      </c>
      <c r="BK134" s="57">
        <v>0</v>
      </c>
      <c r="BL134" s="57">
        <v>0</v>
      </c>
      <c r="BM134" s="57">
        <v>0</v>
      </c>
      <c r="BN134" s="57">
        <v>0</v>
      </c>
      <c r="BO134" s="57">
        <v>0</v>
      </c>
      <c r="BP134" s="57">
        <v>0</v>
      </c>
      <c r="BQ134" s="58" t="s">
        <v>202</v>
      </c>
      <c r="BR134" s="58" t="s">
        <v>202</v>
      </c>
      <c r="BS134" s="58" t="s">
        <v>202</v>
      </c>
      <c r="BT134" s="59">
        <v>42.542999999999999</v>
      </c>
      <c r="BU134" s="59">
        <v>12785.412</v>
      </c>
    </row>
    <row r="135" spans="1:73" x14ac:dyDescent="0.2">
      <c r="A135" s="56" t="s">
        <v>306</v>
      </c>
      <c r="B135" s="17">
        <v>0</v>
      </c>
      <c r="C135" s="16" t="s">
        <v>202</v>
      </c>
      <c r="D135" s="16" t="s">
        <v>202</v>
      </c>
      <c r="E135" s="16" t="s">
        <v>202</v>
      </c>
      <c r="F135" s="16" t="s">
        <v>202</v>
      </c>
      <c r="G135" s="16" t="s">
        <v>202</v>
      </c>
      <c r="H135" s="16" t="s">
        <v>202</v>
      </c>
      <c r="I135" s="16" t="s">
        <v>202</v>
      </c>
      <c r="J135" s="16" t="s">
        <v>202</v>
      </c>
      <c r="K135" s="16" t="s">
        <v>202</v>
      </c>
      <c r="L135" s="16" t="s">
        <v>202</v>
      </c>
      <c r="M135" s="16" t="s">
        <v>202</v>
      </c>
      <c r="N135" s="16" t="s">
        <v>202</v>
      </c>
      <c r="O135" s="16" t="s">
        <v>202</v>
      </c>
      <c r="P135" s="16" t="s">
        <v>202</v>
      </c>
      <c r="Q135" s="16" t="s">
        <v>202</v>
      </c>
      <c r="R135" s="16" t="s">
        <v>202</v>
      </c>
      <c r="S135" s="16" t="s">
        <v>202</v>
      </c>
      <c r="T135" s="16" t="s">
        <v>202</v>
      </c>
      <c r="U135" s="16" t="s">
        <v>202</v>
      </c>
      <c r="V135" s="16" t="s">
        <v>202</v>
      </c>
      <c r="W135" s="17">
        <v>0</v>
      </c>
      <c r="X135" s="17">
        <v>0</v>
      </c>
      <c r="Y135" s="17">
        <v>0</v>
      </c>
      <c r="Z135" s="17">
        <v>0</v>
      </c>
      <c r="AA135" s="16" t="s">
        <v>202</v>
      </c>
      <c r="AB135" s="16" t="s">
        <v>202</v>
      </c>
      <c r="AC135" s="16" t="s">
        <v>202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6" t="s">
        <v>202</v>
      </c>
      <c r="AW135" s="16" t="s">
        <v>202</v>
      </c>
      <c r="AX135" s="16" t="s">
        <v>202</v>
      </c>
      <c r="AY135" s="16" t="s">
        <v>202</v>
      </c>
      <c r="AZ135" s="16" t="s">
        <v>202</v>
      </c>
      <c r="BA135" s="16" t="s">
        <v>202</v>
      </c>
      <c r="BB135" s="16" t="s">
        <v>202</v>
      </c>
      <c r="BC135" s="16" t="s">
        <v>202</v>
      </c>
      <c r="BD135" s="16" t="s">
        <v>202</v>
      </c>
      <c r="BE135" s="16" t="s">
        <v>202</v>
      </c>
      <c r="BF135" s="17">
        <v>0</v>
      </c>
      <c r="BG135" s="16" t="s">
        <v>202</v>
      </c>
      <c r="BH135" s="17">
        <v>0</v>
      </c>
      <c r="BI135" s="16" t="s">
        <v>202</v>
      </c>
      <c r="BJ135" s="17">
        <v>0</v>
      </c>
      <c r="BK135" s="16" t="s">
        <v>202</v>
      </c>
      <c r="BL135" s="16" t="s">
        <v>202</v>
      </c>
      <c r="BM135" s="16" t="s">
        <v>202</v>
      </c>
      <c r="BN135" s="16" t="s">
        <v>202</v>
      </c>
      <c r="BO135" s="16" t="s">
        <v>202</v>
      </c>
      <c r="BP135" s="16" t="s">
        <v>202</v>
      </c>
      <c r="BQ135" s="16" t="s">
        <v>202</v>
      </c>
      <c r="BR135" s="17">
        <v>0</v>
      </c>
      <c r="BS135" s="16" t="s">
        <v>202</v>
      </c>
      <c r="BT135" s="17">
        <v>0</v>
      </c>
      <c r="BU135" s="17">
        <v>0</v>
      </c>
    </row>
    <row r="136" spans="1:73" x14ac:dyDescent="0.2">
      <c r="A136" s="56" t="s">
        <v>307</v>
      </c>
      <c r="B136" s="59">
        <v>224.102</v>
      </c>
      <c r="C136" s="57">
        <v>0</v>
      </c>
      <c r="D136" s="57">
        <v>0</v>
      </c>
      <c r="E136" s="57">
        <v>0</v>
      </c>
      <c r="F136" s="57">
        <v>0</v>
      </c>
      <c r="G136" s="57">
        <v>0</v>
      </c>
      <c r="H136" s="57">
        <v>0</v>
      </c>
      <c r="I136" s="57">
        <v>0</v>
      </c>
      <c r="J136" s="57">
        <v>0</v>
      </c>
      <c r="K136" s="57">
        <v>0</v>
      </c>
      <c r="L136" s="57">
        <v>0</v>
      </c>
      <c r="M136" s="57">
        <v>0</v>
      </c>
      <c r="N136" s="57">
        <v>0</v>
      </c>
      <c r="O136" s="57">
        <v>0</v>
      </c>
      <c r="P136" s="57">
        <v>0</v>
      </c>
      <c r="Q136" s="57">
        <v>0</v>
      </c>
      <c r="R136" s="57">
        <v>0</v>
      </c>
      <c r="S136" s="57">
        <v>0</v>
      </c>
      <c r="T136" s="57">
        <v>0</v>
      </c>
      <c r="U136" s="57">
        <v>0</v>
      </c>
      <c r="V136" s="57">
        <v>0</v>
      </c>
      <c r="W136" s="59">
        <v>224.102</v>
      </c>
      <c r="X136" s="57">
        <v>0</v>
      </c>
      <c r="Y136" s="57">
        <v>0</v>
      </c>
      <c r="Z136" s="57">
        <v>0</v>
      </c>
      <c r="AA136" s="58" t="s">
        <v>202</v>
      </c>
      <c r="AB136" s="58" t="s">
        <v>202</v>
      </c>
      <c r="AC136" s="58" t="s">
        <v>202</v>
      </c>
      <c r="AD136" s="57">
        <v>0</v>
      </c>
      <c r="AE136" s="57">
        <v>0</v>
      </c>
      <c r="AF136" s="57">
        <v>0</v>
      </c>
      <c r="AG136" s="57">
        <v>0</v>
      </c>
      <c r="AH136" s="57">
        <v>0</v>
      </c>
      <c r="AI136" s="57">
        <v>0</v>
      </c>
      <c r="AJ136" s="57">
        <v>0</v>
      </c>
      <c r="AK136" s="57">
        <v>0</v>
      </c>
      <c r="AL136" s="57">
        <v>0</v>
      </c>
      <c r="AM136" s="57">
        <v>0</v>
      </c>
      <c r="AN136" s="57">
        <v>0</v>
      </c>
      <c r="AO136" s="57">
        <v>0</v>
      </c>
      <c r="AP136" s="57">
        <v>0</v>
      </c>
      <c r="AQ136" s="57">
        <v>0</v>
      </c>
      <c r="AR136" s="57">
        <v>0</v>
      </c>
      <c r="AS136" s="57">
        <v>0</v>
      </c>
      <c r="AT136" s="57">
        <v>0</v>
      </c>
      <c r="AU136" s="57">
        <v>0</v>
      </c>
      <c r="AV136" s="58" t="s">
        <v>202</v>
      </c>
      <c r="AW136" s="57">
        <v>0</v>
      </c>
      <c r="AX136" s="58" t="s">
        <v>202</v>
      </c>
      <c r="AY136" s="57">
        <v>0</v>
      </c>
      <c r="AZ136" s="58" t="s">
        <v>202</v>
      </c>
      <c r="BA136" s="58" t="s">
        <v>202</v>
      </c>
      <c r="BB136" s="58" t="s">
        <v>202</v>
      </c>
      <c r="BC136" s="57">
        <v>0</v>
      </c>
      <c r="BD136" s="57">
        <v>0</v>
      </c>
      <c r="BE136" s="57">
        <v>0</v>
      </c>
      <c r="BF136" s="57">
        <v>0</v>
      </c>
      <c r="BG136" s="57">
        <v>0</v>
      </c>
      <c r="BH136" s="57">
        <v>0</v>
      </c>
      <c r="BI136" s="57">
        <v>0</v>
      </c>
      <c r="BJ136" s="57">
        <v>0</v>
      </c>
      <c r="BK136" s="57">
        <v>0</v>
      </c>
      <c r="BL136" s="57">
        <v>0</v>
      </c>
      <c r="BM136" s="57">
        <v>0</v>
      </c>
      <c r="BN136" s="57">
        <v>0</v>
      </c>
      <c r="BO136" s="57">
        <v>0</v>
      </c>
      <c r="BP136" s="57">
        <v>0</v>
      </c>
      <c r="BQ136" s="58" t="s">
        <v>202</v>
      </c>
      <c r="BR136" s="57">
        <v>0</v>
      </c>
      <c r="BS136" s="58" t="s">
        <v>202</v>
      </c>
      <c r="BT136" s="59">
        <v>2.2949999999999999</v>
      </c>
      <c r="BU136" s="59">
        <v>221.80600000000001</v>
      </c>
    </row>
    <row r="137" spans="1:73" x14ac:dyDescent="0.2">
      <c r="A137" s="56" t="s">
        <v>308</v>
      </c>
      <c r="B137" s="15">
        <v>714019.88399999996</v>
      </c>
      <c r="C137" s="15">
        <v>315.31099999999998</v>
      </c>
      <c r="D137" s="15">
        <v>2.4910000000000001</v>
      </c>
      <c r="E137" s="17">
        <v>0</v>
      </c>
      <c r="F137" s="17">
        <v>0</v>
      </c>
      <c r="G137" s="17">
        <v>0</v>
      </c>
      <c r="H137" s="17">
        <v>312.82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5">
        <v>354512.56099999999</v>
      </c>
      <c r="X137" s="15">
        <v>37760.103999999999</v>
      </c>
      <c r="Y137" s="17">
        <v>0</v>
      </c>
      <c r="Z137" s="17">
        <v>0</v>
      </c>
      <c r="AA137" s="16" t="s">
        <v>202</v>
      </c>
      <c r="AB137" s="16" t="s">
        <v>202</v>
      </c>
      <c r="AC137" s="16" t="s">
        <v>202</v>
      </c>
      <c r="AD137" s="17">
        <v>0</v>
      </c>
      <c r="AE137" s="17">
        <v>0</v>
      </c>
      <c r="AF137" s="15">
        <v>3811.806</v>
      </c>
      <c r="AG137" s="17">
        <v>0</v>
      </c>
      <c r="AH137" s="17">
        <v>0</v>
      </c>
      <c r="AI137" s="15">
        <v>1725.712</v>
      </c>
      <c r="AJ137" s="17">
        <v>0</v>
      </c>
      <c r="AK137" s="15">
        <v>1588.748</v>
      </c>
      <c r="AL137" s="15">
        <v>216.02099999999999</v>
      </c>
      <c r="AM137" s="15">
        <v>30417.817999999999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5">
        <v>62113.192000000003</v>
      </c>
      <c r="AV137" s="16" t="s">
        <v>202</v>
      </c>
      <c r="AW137" s="17">
        <v>6797.51</v>
      </c>
      <c r="AX137" s="16" t="s">
        <v>202</v>
      </c>
      <c r="AY137" s="17">
        <v>1176</v>
      </c>
      <c r="AZ137" s="16" t="s">
        <v>202</v>
      </c>
      <c r="BA137" s="16" t="s">
        <v>202</v>
      </c>
      <c r="BB137" s="15">
        <v>25524.613000000001</v>
      </c>
      <c r="BC137" s="15">
        <v>22561.508000000002</v>
      </c>
      <c r="BD137" s="17">
        <v>270</v>
      </c>
      <c r="BE137" s="17">
        <v>0</v>
      </c>
      <c r="BF137" s="17">
        <v>0</v>
      </c>
      <c r="BG137" s="17">
        <v>0</v>
      </c>
      <c r="BH137" s="15">
        <v>1218.2550000000001</v>
      </c>
      <c r="BI137" s="17">
        <v>0</v>
      </c>
      <c r="BJ137" s="17">
        <v>0</v>
      </c>
      <c r="BK137" s="15">
        <v>257.61599999999999</v>
      </c>
      <c r="BL137" s="15">
        <v>2797.6080000000002</v>
      </c>
      <c r="BM137" s="15">
        <v>38.927</v>
      </c>
      <c r="BN137" s="15">
        <v>1510.0820000000001</v>
      </c>
      <c r="BO137" s="17">
        <v>1339.13</v>
      </c>
      <c r="BP137" s="15">
        <v>1378.057</v>
      </c>
      <c r="BQ137" s="16" t="s">
        <v>202</v>
      </c>
      <c r="BR137" s="15">
        <v>237106.217</v>
      </c>
      <c r="BS137" s="15">
        <v>20834.442999999999</v>
      </c>
      <c r="BT137" s="15">
        <v>52604.993999999999</v>
      </c>
      <c r="BU137" s="15">
        <v>521126.12099999998</v>
      </c>
    </row>
    <row r="138" spans="1:73" x14ac:dyDescent="0.2">
      <c r="A138" s="56" t="s">
        <v>309</v>
      </c>
      <c r="B138" s="59">
        <v>257597.804</v>
      </c>
      <c r="C138" s="57">
        <v>312.82</v>
      </c>
      <c r="D138" s="57">
        <v>0</v>
      </c>
      <c r="E138" s="57">
        <v>0</v>
      </c>
      <c r="F138" s="57">
        <v>0</v>
      </c>
      <c r="G138" s="57">
        <v>0</v>
      </c>
      <c r="H138" s="57">
        <v>312.82</v>
      </c>
      <c r="I138" s="57">
        <v>0</v>
      </c>
      <c r="J138" s="57">
        <v>0</v>
      </c>
      <c r="K138" s="57">
        <v>0</v>
      </c>
      <c r="L138" s="57">
        <v>0</v>
      </c>
      <c r="M138" s="57">
        <v>0</v>
      </c>
      <c r="N138" s="57">
        <v>0</v>
      </c>
      <c r="O138" s="57">
        <v>0</v>
      </c>
      <c r="P138" s="57">
        <v>0</v>
      </c>
      <c r="Q138" s="57">
        <v>0</v>
      </c>
      <c r="R138" s="57">
        <v>0</v>
      </c>
      <c r="S138" s="57">
        <v>0</v>
      </c>
      <c r="T138" s="57">
        <v>0</v>
      </c>
      <c r="U138" s="57">
        <v>0</v>
      </c>
      <c r="V138" s="57">
        <v>0</v>
      </c>
      <c r="W138" s="59">
        <v>88881.618000000002</v>
      </c>
      <c r="X138" s="59">
        <v>8128.4449999999997</v>
      </c>
      <c r="Y138" s="57">
        <v>0</v>
      </c>
      <c r="Z138" s="57">
        <v>0</v>
      </c>
      <c r="AA138" s="58" t="s">
        <v>202</v>
      </c>
      <c r="AB138" s="58" t="s">
        <v>202</v>
      </c>
      <c r="AC138" s="58" t="s">
        <v>202</v>
      </c>
      <c r="AD138" s="57">
        <v>0</v>
      </c>
      <c r="AE138" s="57">
        <v>0</v>
      </c>
      <c r="AF138" s="59">
        <v>1640.029</v>
      </c>
      <c r="AG138" s="57">
        <v>0</v>
      </c>
      <c r="AH138" s="57">
        <v>0</v>
      </c>
      <c r="AI138" s="59">
        <v>414.26600000000002</v>
      </c>
      <c r="AJ138" s="57">
        <v>0</v>
      </c>
      <c r="AK138" s="57">
        <v>0</v>
      </c>
      <c r="AL138" s="57">
        <v>0</v>
      </c>
      <c r="AM138" s="57">
        <v>6074.15</v>
      </c>
      <c r="AN138" s="57">
        <v>0</v>
      </c>
      <c r="AO138" s="57">
        <v>0</v>
      </c>
      <c r="AP138" s="57">
        <v>0</v>
      </c>
      <c r="AQ138" s="57">
        <v>0</v>
      </c>
      <c r="AR138" s="57">
        <v>0</v>
      </c>
      <c r="AS138" s="57">
        <v>0</v>
      </c>
      <c r="AT138" s="57">
        <v>0</v>
      </c>
      <c r="AU138" s="57">
        <v>16500.64</v>
      </c>
      <c r="AV138" s="58" t="s">
        <v>202</v>
      </c>
      <c r="AW138" s="57">
        <v>0</v>
      </c>
      <c r="AX138" s="58" t="s">
        <v>202</v>
      </c>
      <c r="AY138" s="57">
        <v>235</v>
      </c>
      <c r="AZ138" s="58" t="s">
        <v>202</v>
      </c>
      <c r="BA138" s="58" t="s">
        <v>202</v>
      </c>
      <c r="BB138" s="59">
        <v>9808.6679999999997</v>
      </c>
      <c r="BC138" s="57">
        <v>3384.3</v>
      </c>
      <c r="BD138" s="57">
        <v>0</v>
      </c>
      <c r="BE138" s="57">
        <v>0</v>
      </c>
      <c r="BF138" s="57">
        <v>0</v>
      </c>
      <c r="BG138" s="57">
        <v>0</v>
      </c>
      <c r="BH138" s="57">
        <v>0</v>
      </c>
      <c r="BI138" s="57">
        <v>0</v>
      </c>
      <c r="BJ138" s="57">
        <v>0</v>
      </c>
      <c r="BK138" s="59">
        <v>257.61599999999999</v>
      </c>
      <c r="BL138" s="59">
        <v>1304.9739999999999</v>
      </c>
      <c r="BM138" s="59">
        <v>38.927</v>
      </c>
      <c r="BN138" s="59">
        <v>1510.0820000000001</v>
      </c>
      <c r="BO138" s="57">
        <v>1339.13</v>
      </c>
      <c r="BP138" s="59">
        <v>1378.057</v>
      </c>
      <c r="BQ138" s="58" t="s">
        <v>202</v>
      </c>
      <c r="BR138" s="59">
        <v>133931.92300000001</v>
      </c>
      <c r="BS138" s="57">
        <v>8464.2999999999993</v>
      </c>
      <c r="BT138" s="59">
        <v>18141.848000000002</v>
      </c>
      <c r="BU138" s="59">
        <v>169374.90400000001</v>
      </c>
    </row>
    <row r="139" spans="1:73" x14ac:dyDescent="0.2">
      <c r="A139" s="56" t="s">
        <v>310</v>
      </c>
      <c r="B139" s="15">
        <v>322798.72899999999</v>
      </c>
      <c r="C139" s="15">
        <v>2.4910000000000001</v>
      </c>
      <c r="D139" s="15">
        <v>2.4910000000000001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5">
        <v>201182.98499999999</v>
      </c>
      <c r="X139" s="15">
        <v>2452.288</v>
      </c>
      <c r="Y139" s="17">
        <v>0</v>
      </c>
      <c r="Z139" s="17">
        <v>0</v>
      </c>
      <c r="AA139" s="16" t="s">
        <v>202</v>
      </c>
      <c r="AB139" s="16" t="s">
        <v>202</v>
      </c>
      <c r="AC139" s="16" t="s">
        <v>202</v>
      </c>
      <c r="AD139" s="17">
        <v>0</v>
      </c>
      <c r="AE139" s="17">
        <v>0</v>
      </c>
      <c r="AF139" s="15">
        <v>971.84199999999998</v>
      </c>
      <c r="AG139" s="17">
        <v>0</v>
      </c>
      <c r="AH139" s="17">
        <v>0</v>
      </c>
      <c r="AI139" s="15">
        <v>960.197</v>
      </c>
      <c r="AJ139" s="17">
        <v>0</v>
      </c>
      <c r="AK139" s="17">
        <v>0</v>
      </c>
      <c r="AL139" s="15">
        <v>216.02099999999999</v>
      </c>
      <c r="AM139" s="15">
        <v>304.22699999999998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5">
        <v>32489.968000000001</v>
      </c>
      <c r="AV139" s="16" t="s">
        <v>202</v>
      </c>
      <c r="AW139" s="17">
        <v>0</v>
      </c>
      <c r="AX139" s="16" t="s">
        <v>202</v>
      </c>
      <c r="AY139" s="17">
        <v>941</v>
      </c>
      <c r="AZ139" s="16" t="s">
        <v>202</v>
      </c>
      <c r="BA139" s="16" t="s">
        <v>202</v>
      </c>
      <c r="BB139" s="17">
        <v>15369.34</v>
      </c>
      <c r="BC139" s="15">
        <v>15909.628000000001</v>
      </c>
      <c r="BD139" s="17">
        <v>270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6" t="s">
        <v>202</v>
      </c>
      <c r="BR139" s="17">
        <v>76764.740000000005</v>
      </c>
      <c r="BS139" s="15">
        <v>9906.2569999999996</v>
      </c>
      <c r="BT139" s="15">
        <v>25525.481</v>
      </c>
      <c r="BU139" s="15">
        <v>246116.62100000001</v>
      </c>
    </row>
    <row r="140" spans="1:73" x14ac:dyDescent="0.2">
      <c r="A140" s="56" t="s">
        <v>311</v>
      </c>
      <c r="B140" s="57">
        <v>124845.48</v>
      </c>
      <c r="C140" s="57">
        <v>0</v>
      </c>
      <c r="D140" s="57">
        <v>0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7">
        <v>0</v>
      </c>
      <c r="K140" s="57">
        <v>0</v>
      </c>
      <c r="L140" s="57">
        <v>0</v>
      </c>
      <c r="M140" s="57">
        <v>0</v>
      </c>
      <c r="N140" s="57">
        <v>0</v>
      </c>
      <c r="O140" s="57">
        <v>0</v>
      </c>
      <c r="P140" s="57">
        <v>0</v>
      </c>
      <c r="Q140" s="57">
        <v>0</v>
      </c>
      <c r="R140" s="57">
        <v>0</v>
      </c>
      <c r="S140" s="57">
        <v>0</v>
      </c>
      <c r="T140" s="57">
        <v>0</v>
      </c>
      <c r="U140" s="57">
        <v>0</v>
      </c>
      <c r="V140" s="57">
        <v>0</v>
      </c>
      <c r="W140" s="57">
        <v>64362.03</v>
      </c>
      <c r="X140" s="59">
        <v>18834.031999999999</v>
      </c>
      <c r="Y140" s="57">
        <v>0</v>
      </c>
      <c r="Z140" s="57">
        <v>0</v>
      </c>
      <c r="AA140" s="58" t="s">
        <v>202</v>
      </c>
      <c r="AB140" s="58" t="s">
        <v>202</v>
      </c>
      <c r="AC140" s="58" t="s">
        <v>202</v>
      </c>
      <c r="AD140" s="57">
        <v>0</v>
      </c>
      <c r="AE140" s="57">
        <v>0</v>
      </c>
      <c r="AF140" s="59">
        <v>1199.934</v>
      </c>
      <c r="AG140" s="57">
        <v>0</v>
      </c>
      <c r="AH140" s="57">
        <v>0</v>
      </c>
      <c r="AI140" s="59">
        <v>351.24900000000002</v>
      </c>
      <c r="AJ140" s="57">
        <v>0</v>
      </c>
      <c r="AK140" s="57">
        <v>0</v>
      </c>
      <c r="AL140" s="57">
        <v>0</v>
      </c>
      <c r="AM140" s="59">
        <v>17282.848999999998</v>
      </c>
      <c r="AN140" s="57">
        <v>0</v>
      </c>
      <c r="AO140" s="57">
        <v>0</v>
      </c>
      <c r="AP140" s="57">
        <v>0</v>
      </c>
      <c r="AQ140" s="57">
        <v>0</v>
      </c>
      <c r="AR140" s="57">
        <v>0</v>
      </c>
      <c r="AS140" s="57">
        <v>0</v>
      </c>
      <c r="AT140" s="57">
        <v>0</v>
      </c>
      <c r="AU140" s="59">
        <v>12775.978999999999</v>
      </c>
      <c r="AV140" s="58" t="s">
        <v>202</v>
      </c>
      <c r="AW140" s="57">
        <v>6797.51</v>
      </c>
      <c r="AX140" s="58" t="s">
        <v>202</v>
      </c>
      <c r="AY140" s="57">
        <v>0</v>
      </c>
      <c r="AZ140" s="58" t="s">
        <v>202</v>
      </c>
      <c r="BA140" s="58" t="s">
        <v>202</v>
      </c>
      <c r="BB140" s="58" t="s">
        <v>202</v>
      </c>
      <c r="BC140" s="57">
        <v>3267.58</v>
      </c>
      <c r="BD140" s="57">
        <v>0</v>
      </c>
      <c r="BE140" s="57">
        <v>0</v>
      </c>
      <c r="BF140" s="57">
        <v>0</v>
      </c>
      <c r="BG140" s="57">
        <v>0</v>
      </c>
      <c r="BH140" s="59">
        <v>1218.2550000000001</v>
      </c>
      <c r="BI140" s="57">
        <v>0</v>
      </c>
      <c r="BJ140" s="57">
        <v>0</v>
      </c>
      <c r="BK140" s="57">
        <v>0</v>
      </c>
      <c r="BL140" s="59">
        <v>1492.634</v>
      </c>
      <c r="BM140" s="57">
        <v>0</v>
      </c>
      <c r="BN140" s="57">
        <v>0</v>
      </c>
      <c r="BO140" s="57">
        <v>0</v>
      </c>
      <c r="BP140" s="57">
        <v>0</v>
      </c>
      <c r="BQ140" s="58" t="s">
        <v>202</v>
      </c>
      <c r="BR140" s="59">
        <v>26409.553</v>
      </c>
      <c r="BS140" s="59">
        <v>2463.886</v>
      </c>
      <c r="BT140" s="59">
        <v>8936.7849999999999</v>
      </c>
      <c r="BU140" s="59">
        <v>97204.210999999996</v>
      </c>
    </row>
    <row r="141" spans="1:73" x14ac:dyDescent="0.2">
      <c r="A141" s="56" t="s">
        <v>312</v>
      </c>
      <c r="B141" s="15">
        <v>4725.7479999999996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5">
        <v>4725.7479999999996</v>
      </c>
      <c r="Y141" s="17">
        <v>0</v>
      </c>
      <c r="Z141" s="17">
        <v>0</v>
      </c>
      <c r="AA141" s="16" t="s">
        <v>202</v>
      </c>
      <c r="AB141" s="16" t="s">
        <v>202</v>
      </c>
      <c r="AC141" s="16" t="s">
        <v>202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5">
        <v>4725.7479999999996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6" t="s">
        <v>202</v>
      </c>
      <c r="AW141" s="17">
        <v>0</v>
      </c>
      <c r="AX141" s="16" t="s">
        <v>202</v>
      </c>
      <c r="AY141" s="17">
        <v>0</v>
      </c>
      <c r="AZ141" s="16" t="s">
        <v>202</v>
      </c>
      <c r="BA141" s="16" t="s">
        <v>202</v>
      </c>
      <c r="BB141" s="16" t="s">
        <v>202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6" t="s">
        <v>202</v>
      </c>
      <c r="BR141" s="17">
        <v>0</v>
      </c>
      <c r="BS141" s="17">
        <v>0</v>
      </c>
      <c r="BT141" s="17">
        <v>0</v>
      </c>
      <c r="BU141" s="15">
        <v>4725.7479999999996</v>
      </c>
    </row>
    <row r="142" spans="1:73" x14ac:dyDescent="0.2">
      <c r="A142" s="56" t="s">
        <v>313</v>
      </c>
      <c r="B142" s="59">
        <v>4052.123</v>
      </c>
      <c r="C142" s="57">
        <v>0</v>
      </c>
      <c r="D142" s="57">
        <v>0</v>
      </c>
      <c r="E142" s="57">
        <v>0</v>
      </c>
      <c r="F142" s="57">
        <v>0</v>
      </c>
      <c r="G142" s="57">
        <v>0</v>
      </c>
      <c r="H142" s="57">
        <v>0</v>
      </c>
      <c r="I142" s="57">
        <v>0</v>
      </c>
      <c r="J142" s="57">
        <v>0</v>
      </c>
      <c r="K142" s="57">
        <v>0</v>
      </c>
      <c r="L142" s="57">
        <v>0</v>
      </c>
      <c r="M142" s="57">
        <v>0</v>
      </c>
      <c r="N142" s="57">
        <v>0</v>
      </c>
      <c r="O142" s="57">
        <v>0</v>
      </c>
      <c r="P142" s="57">
        <v>0</v>
      </c>
      <c r="Q142" s="57">
        <v>0</v>
      </c>
      <c r="R142" s="57">
        <v>0</v>
      </c>
      <c r="S142" s="57">
        <v>0</v>
      </c>
      <c r="T142" s="57">
        <v>0</v>
      </c>
      <c r="U142" s="57">
        <v>0</v>
      </c>
      <c r="V142" s="57">
        <v>0</v>
      </c>
      <c r="W142" s="59">
        <v>85.927000000000007</v>
      </c>
      <c r="X142" s="57">
        <v>3619.59</v>
      </c>
      <c r="Y142" s="57">
        <v>0</v>
      </c>
      <c r="Z142" s="57">
        <v>0</v>
      </c>
      <c r="AA142" s="58" t="s">
        <v>202</v>
      </c>
      <c r="AB142" s="58" t="s">
        <v>202</v>
      </c>
      <c r="AC142" s="58" t="s">
        <v>202</v>
      </c>
      <c r="AD142" s="57">
        <v>0</v>
      </c>
      <c r="AE142" s="57">
        <v>0</v>
      </c>
      <c r="AF142" s="57">
        <v>0</v>
      </c>
      <c r="AG142" s="57">
        <v>0</v>
      </c>
      <c r="AH142" s="57">
        <v>0</v>
      </c>
      <c r="AI142" s="57">
        <v>0</v>
      </c>
      <c r="AJ142" s="57">
        <v>0</v>
      </c>
      <c r="AK142" s="59">
        <v>1588.748</v>
      </c>
      <c r="AL142" s="57">
        <v>0</v>
      </c>
      <c r="AM142" s="59">
        <v>2030.8430000000001</v>
      </c>
      <c r="AN142" s="57">
        <v>0</v>
      </c>
      <c r="AO142" s="57">
        <v>0</v>
      </c>
      <c r="AP142" s="57">
        <v>0</v>
      </c>
      <c r="AQ142" s="57">
        <v>0</v>
      </c>
      <c r="AR142" s="57">
        <v>0</v>
      </c>
      <c r="AS142" s="57">
        <v>0</v>
      </c>
      <c r="AT142" s="57">
        <v>0</v>
      </c>
      <c r="AU142" s="59">
        <v>346.60500000000002</v>
      </c>
      <c r="AV142" s="58" t="s">
        <v>202</v>
      </c>
      <c r="AW142" s="57">
        <v>0</v>
      </c>
      <c r="AX142" s="58" t="s">
        <v>202</v>
      </c>
      <c r="AY142" s="57">
        <v>0</v>
      </c>
      <c r="AZ142" s="58" t="s">
        <v>202</v>
      </c>
      <c r="BA142" s="58" t="s">
        <v>202</v>
      </c>
      <c r="BB142" s="59">
        <v>346.60500000000002</v>
      </c>
      <c r="BC142" s="57">
        <v>0</v>
      </c>
      <c r="BD142" s="57">
        <v>0</v>
      </c>
      <c r="BE142" s="57">
        <v>0</v>
      </c>
      <c r="BF142" s="57">
        <v>0</v>
      </c>
      <c r="BG142" s="57">
        <v>0</v>
      </c>
      <c r="BH142" s="57">
        <v>0</v>
      </c>
      <c r="BI142" s="57">
        <v>0</v>
      </c>
      <c r="BJ142" s="57">
        <v>0</v>
      </c>
      <c r="BK142" s="57">
        <v>0</v>
      </c>
      <c r="BL142" s="57">
        <v>0</v>
      </c>
      <c r="BM142" s="57">
        <v>0</v>
      </c>
      <c r="BN142" s="57">
        <v>0</v>
      </c>
      <c r="BO142" s="57">
        <v>0</v>
      </c>
      <c r="BP142" s="57">
        <v>0</v>
      </c>
      <c r="BQ142" s="58" t="s">
        <v>202</v>
      </c>
      <c r="BR142" s="57">
        <v>0</v>
      </c>
      <c r="BS142" s="57">
        <v>0</v>
      </c>
      <c r="BT142" s="57">
        <v>0.88</v>
      </c>
      <c r="BU142" s="59">
        <v>3704.6379999999999</v>
      </c>
    </row>
    <row r="143" spans="1:73" x14ac:dyDescent="0.2">
      <c r="A143" s="56" t="s">
        <v>112</v>
      </c>
      <c r="B143" s="15">
        <v>-193.00800000000001</v>
      </c>
      <c r="C143" s="15">
        <v>176.273</v>
      </c>
      <c r="D143" s="17">
        <v>0</v>
      </c>
      <c r="E143" s="17">
        <v>0</v>
      </c>
      <c r="F143" s="15">
        <v>176.274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5">
        <v>1E-3</v>
      </c>
      <c r="O143" s="17">
        <v>0</v>
      </c>
      <c r="P143" s="17">
        <v>0</v>
      </c>
      <c r="Q143" s="15">
        <v>1E-3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-3973.72</v>
      </c>
      <c r="X143" s="15">
        <v>2816.0520000000001</v>
      </c>
      <c r="Y143" s="15">
        <v>-84.231999999999999</v>
      </c>
      <c r="Z143" s="15">
        <v>15.173</v>
      </c>
      <c r="AA143" s="17">
        <v>0</v>
      </c>
      <c r="AB143" s="15">
        <v>2872.1750000000002</v>
      </c>
      <c r="AC143" s="17">
        <v>0</v>
      </c>
      <c r="AD143" s="17">
        <v>0</v>
      </c>
      <c r="AE143" s="17">
        <v>0</v>
      </c>
      <c r="AF143" s="15">
        <v>-4.4999999999999998E-2</v>
      </c>
      <c r="AG143" s="17">
        <v>0</v>
      </c>
      <c r="AH143" s="17">
        <v>0</v>
      </c>
      <c r="AI143" s="15">
        <v>12.907</v>
      </c>
      <c r="AJ143" s="17">
        <v>0</v>
      </c>
      <c r="AK143" s="17">
        <v>0</v>
      </c>
      <c r="AL143" s="15">
        <v>-4.2999999999999997E-2</v>
      </c>
      <c r="AM143" s="15">
        <v>0.129</v>
      </c>
      <c r="AN143" s="15">
        <v>-4.1000000000000002E-2</v>
      </c>
      <c r="AO143" s="17">
        <v>0</v>
      </c>
      <c r="AP143" s="15">
        <v>4.1000000000000002E-2</v>
      </c>
      <c r="AQ143" s="17">
        <v>0</v>
      </c>
      <c r="AR143" s="15">
        <v>-3.5000000000000003E-2</v>
      </c>
      <c r="AS143" s="17">
        <v>0</v>
      </c>
      <c r="AT143" s="15">
        <v>2.4E-2</v>
      </c>
      <c r="AU143" s="15">
        <v>23.585999999999999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5">
        <v>8.9999999999999993E-3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5">
        <v>23.577000000000002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5">
        <v>764.798</v>
      </c>
      <c r="BS143" s="15">
        <v>2E-3</v>
      </c>
      <c r="BT143" s="16" t="s">
        <v>202</v>
      </c>
      <c r="BU143" s="16" t="s">
        <v>202</v>
      </c>
    </row>
    <row r="144" spans="1:73" x14ac:dyDescent="0.2">
      <c r="A144" s="56" t="s">
        <v>113</v>
      </c>
      <c r="B144" s="57">
        <v>436790.11</v>
      </c>
      <c r="C144" s="59">
        <v>31362.322</v>
      </c>
      <c r="D144" s="57">
        <v>0</v>
      </c>
      <c r="E144" s="57">
        <v>0</v>
      </c>
      <c r="F144" s="59">
        <v>31362.322</v>
      </c>
      <c r="G144" s="57">
        <v>0</v>
      </c>
      <c r="H144" s="57">
        <v>0</v>
      </c>
      <c r="I144" s="57">
        <v>0</v>
      </c>
      <c r="J144" s="57">
        <v>0</v>
      </c>
      <c r="K144" s="57">
        <v>0</v>
      </c>
      <c r="L144" s="57">
        <v>0</v>
      </c>
      <c r="M144" s="57">
        <v>0</v>
      </c>
      <c r="N144" s="59">
        <v>7181.4560000000001</v>
      </c>
      <c r="O144" s="59">
        <v>547.80499999999995</v>
      </c>
      <c r="P144" s="57">
        <v>0</v>
      </c>
      <c r="Q144" s="59">
        <v>6633.652</v>
      </c>
      <c r="R144" s="57">
        <v>0</v>
      </c>
      <c r="S144" s="57">
        <v>0</v>
      </c>
      <c r="T144" s="57">
        <v>0</v>
      </c>
      <c r="U144" s="57">
        <v>0</v>
      </c>
      <c r="V144" s="57">
        <v>0</v>
      </c>
      <c r="W144" s="59">
        <v>165428.802</v>
      </c>
      <c r="X144" s="59">
        <v>5508.9319999999998</v>
      </c>
      <c r="Y144" s="57">
        <v>0</v>
      </c>
      <c r="Z144" s="57">
        <v>0</v>
      </c>
      <c r="AA144" s="58" t="s">
        <v>202</v>
      </c>
      <c r="AB144" s="58" t="s">
        <v>202</v>
      </c>
      <c r="AC144" s="58" t="s">
        <v>202</v>
      </c>
      <c r="AD144" s="59">
        <v>5328.3670000000002</v>
      </c>
      <c r="AE144" s="58" t="s">
        <v>202</v>
      </c>
      <c r="AF144" s="57">
        <v>0</v>
      </c>
      <c r="AG144" s="57">
        <v>0</v>
      </c>
      <c r="AH144" s="58" t="s">
        <v>202</v>
      </c>
      <c r="AI144" s="58" t="s">
        <v>202</v>
      </c>
      <c r="AJ144" s="58" t="s">
        <v>202</v>
      </c>
      <c r="AK144" s="57">
        <v>0</v>
      </c>
      <c r="AL144" s="57">
        <v>0</v>
      </c>
      <c r="AM144" s="57">
        <v>109.3</v>
      </c>
      <c r="AN144" s="57">
        <v>0</v>
      </c>
      <c r="AO144" s="58" t="s">
        <v>202</v>
      </c>
      <c r="AP144" s="58" t="s">
        <v>202</v>
      </c>
      <c r="AQ144" s="58" t="s">
        <v>202</v>
      </c>
      <c r="AR144" s="57">
        <v>0</v>
      </c>
      <c r="AS144" s="57">
        <v>0</v>
      </c>
      <c r="AT144" s="59">
        <v>71.266000000000005</v>
      </c>
      <c r="AU144" s="59">
        <v>204405.91899999999</v>
      </c>
      <c r="AV144" s="59">
        <v>249.72800000000001</v>
      </c>
      <c r="AW144" s="57">
        <v>0</v>
      </c>
      <c r="AX144" s="59">
        <v>106290.292</v>
      </c>
      <c r="AY144" s="57">
        <v>0</v>
      </c>
      <c r="AZ144" s="59">
        <v>70481.476999999999</v>
      </c>
      <c r="BA144" s="57">
        <v>0</v>
      </c>
      <c r="BB144" s="58" t="s">
        <v>202</v>
      </c>
      <c r="BC144" s="59">
        <v>17732.894</v>
      </c>
      <c r="BD144" s="58" t="s">
        <v>202</v>
      </c>
      <c r="BE144" s="57">
        <v>0</v>
      </c>
      <c r="BF144" s="58" t="s">
        <v>202</v>
      </c>
      <c r="BG144" s="57">
        <v>0</v>
      </c>
      <c r="BH144" s="58" t="s">
        <v>202</v>
      </c>
      <c r="BI144" s="58" t="s">
        <v>202</v>
      </c>
      <c r="BJ144" s="58" t="s">
        <v>202</v>
      </c>
      <c r="BK144" s="57">
        <v>0</v>
      </c>
      <c r="BL144" s="59">
        <v>2518.1280000000002</v>
      </c>
      <c r="BM144" s="59">
        <v>175.50399999999999</v>
      </c>
      <c r="BN144" s="57">
        <v>7133.4</v>
      </c>
      <c r="BO144" s="59">
        <v>6325.848</v>
      </c>
      <c r="BP144" s="59">
        <v>6501.3519999999999</v>
      </c>
      <c r="BQ144" s="59">
        <v>14347.055</v>
      </c>
      <c r="BR144" s="58" t="s">
        <v>202</v>
      </c>
      <c r="BS144" s="57">
        <v>0</v>
      </c>
      <c r="BT144" s="59">
        <v>29078.894</v>
      </c>
      <c r="BU144" s="59">
        <v>214288.39300000001</v>
      </c>
    </row>
    <row r="145" spans="1:73" x14ac:dyDescent="0.2">
      <c r="A145" s="56" t="s">
        <v>314</v>
      </c>
      <c r="B145" s="15">
        <v>233769.758</v>
      </c>
      <c r="C145" s="15">
        <v>18475.782999999999</v>
      </c>
      <c r="D145" s="17">
        <v>0</v>
      </c>
      <c r="E145" s="17">
        <v>0</v>
      </c>
      <c r="F145" s="15">
        <v>18475.782999999999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5">
        <v>6210.2879999999996</v>
      </c>
      <c r="O145" s="15">
        <v>503.327</v>
      </c>
      <c r="P145" s="17">
        <v>0</v>
      </c>
      <c r="Q145" s="15">
        <v>5706.9610000000002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75439.839999999997</v>
      </c>
      <c r="X145" s="15">
        <v>71.266000000000005</v>
      </c>
      <c r="Y145" s="17">
        <v>0</v>
      </c>
      <c r="Z145" s="17">
        <v>0</v>
      </c>
      <c r="AA145" s="16" t="s">
        <v>202</v>
      </c>
      <c r="AB145" s="16" t="s">
        <v>202</v>
      </c>
      <c r="AC145" s="16" t="s">
        <v>202</v>
      </c>
      <c r="AD145" s="17">
        <v>0</v>
      </c>
      <c r="AE145" s="16" t="s">
        <v>202</v>
      </c>
      <c r="AF145" s="17">
        <v>0</v>
      </c>
      <c r="AG145" s="17">
        <v>0</v>
      </c>
      <c r="AH145" s="16" t="s">
        <v>202</v>
      </c>
      <c r="AI145" s="16" t="s">
        <v>202</v>
      </c>
      <c r="AJ145" s="16" t="s">
        <v>202</v>
      </c>
      <c r="AK145" s="17">
        <v>0</v>
      </c>
      <c r="AL145" s="17">
        <v>0</v>
      </c>
      <c r="AM145" s="17">
        <v>0</v>
      </c>
      <c r="AN145" s="17">
        <v>0</v>
      </c>
      <c r="AO145" s="16" t="s">
        <v>202</v>
      </c>
      <c r="AP145" s="16" t="s">
        <v>202</v>
      </c>
      <c r="AQ145" s="16" t="s">
        <v>202</v>
      </c>
      <c r="AR145" s="17">
        <v>0</v>
      </c>
      <c r="AS145" s="17">
        <v>0</v>
      </c>
      <c r="AT145" s="15">
        <v>71.266000000000005</v>
      </c>
      <c r="AU145" s="15">
        <v>117553.24800000001</v>
      </c>
      <c r="AV145" s="15">
        <v>249.72800000000001</v>
      </c>
      <c r="AW145" s="17">
        <v>0</v>
      </c>
      <c r="AX145" s="15">
        <v>97847.002999999997</v>
      </c>
      <c r="AY145" s="17">
        <v>0</v>
      </c>
      <c r="AZ145" s="15">
        <v>14464.666999999999</v>
      </c>
      <c r="BA145" s="17">
        <v>0</v>
      </c>
      <c r="BB145" s="16" t="s">
        <v>202</v>
      </c>
      <c r="BC145" s="15">
        <v>4984.6819999999998</v>
      </c>
      <c r="BD145" s="16" t="s">
        <v>202</v>
      </c>
      <c r="BE145" s="17">
        <v>0</v>
      </c>
      <c r="BF145" s="16" t="s">
        <v>202</v>
      </c>
      <c r="BG145" s="17">
        <v>0</v>
      </c>
      <c r="BH145" s="16" t="s">
        <v>202</v>
      </c>
      <c r="BI145" s="16" t="s">
        <v>202</v>
      </c>
      <c r="BJ145" s="16" t="s">
        <v>202</v>
      </c>
      <c r="BK145" s="17">
        <v>0</v>
      </c>
      <c r="BL145" s="15">
        <v>7.1680000000000001</v>
      </c>
      <c r="BM145" s="17">
        <v>0</v>
      </c>
      <c r="BN145" s="17">
        <v>0</v>
      </c>
      <c r="BO145" s="17">
        <v>0</v>
      </c>
      <c r="BP145" s="17">
        <v>0</v>
      </c>
      <c r="BQ145" s="15">
        <v>14347.055</v>
      </c>
      <c r="BR145" s="16" t="s">
        <v>202</v>
      </c>
      <c r="BS145" s="17">
        <v>0</v>
      </c>
      <c r="BT145" s="15">
        <v>5764.5730000000003</v>
      </c>
      <c r="BU145" s="15">
        <v>99424.452999999994</v>
      </c>
    </row>
    <row r="146" spans="1:73" x14ac:dyDescent="0.2">
      <c r="A146" s="56" t="s">
        <v>315</v>
      </c>
      <c r="B146" s="59">
        <v>58257.402999999998</v>
      </c>
      <c r="C146" s="59">
        <v>12886.538</v>
      </c>
      <c r="D146" s="57">
        <v>0</v>
      </c>
      <c r="E146" s="57">
        <v>0</v>
      </c>
      <c r="F146" s="59">
        <v>12886.538</v>
      </c>
      <c r="G146" s="57">
        <v>0</v>
      </c>
      <c r="H146" s="57">
        <v>0</v>
      </c>
      <c r="I146" s="57">
        <v>0</v>
      </c>
      <c r="J146" s="57">
        <v>0</v>
      </c>
      <c r="K146" s="57">
        <v>0</v>
      </c>
      <c r="L146" s="57">
        <v>0</v>
      </c>
      <c r="M146" s="57">
        <v>0</v>
      </c>
      <c r="N146" s="59">
        <v>685.00800000000004</v>
      </c>
      <c r="O146" s="59">
        <v>2.5000000000000001E-2</v>
      </c>
      <c r="P146" s="57">
        <v>0</v>
      </c>
      <c r="Q146" s="59">
        <v>684.98299999999995</v>
      </c>
      <c r="R146" s="57">
        <v>0</v>
      </c>
      <c r="S146" s="57">
        <v>0</v>
      </c>
      <c r="T146" s="57">
        <v>0</v>
      </c>
      <c r="U146" s="57">
        <v>0</v>
      </c>
      <c r="V146" s="57">
        <v>0</v>
      </c>
      <c r="W146" s="59">
        <v>33487.663999999997</v>
      </c>
      <c r="X146" s="59">
        <v>84.146000000000001</v>
      </c>
      <c r="Y146" s="57">
        <v>0</v>
      </c>
      <c r="Z146" s="57">
        <v>0</v>
      </c>
      <c r="AA146" s="58" t="s">
        <v>202</v>
      </c>
      <c r="AB146" s="58" t="s">
        <v>202</v>
      </c>
      <c r="AC146" s="58" t="s">
        <v>202</v>
      </c>
      <c r="AD146" s="57">
        <v>0</v>
      </c>
      <c r="AE146" s="58" t="s">
        <v>202</v>
      </c>
      <c r="AF146" s="57">
        <v>0</v>
      </c>
      <c r="AG146" s="57">
        <v>0</v>
      </c>
      <c r="AH146" s="58" t="s">
        <v>202</v>
      </c>
      <c r="AI146" s="58" t="s">
        <v>202</v>
      </c>
      <c r="AJ146" s="58" t="s">
        <v>202</v>
      </c>
      <c r="AK146" s="57">
        <v>0</v>
      </c>
      <c r="AL146" s="57">
        <v>0</v>
      </c>
      <c r="AM146" s="59">
        <v>84.146000000000001</v>
      </c>
      <c r="AN146" s="57">
        <v>0</v>
      </c>
      <c r="AO146" s="58" t="s">
        <v>202</v>
      </c>
      <c r="AP146" s="58" t="s">
        <v>202</v>
      </c>
      <c r="AQ146" s="58" t="s">
        <v>202</v>
      </c>
      <c r="AR146" s="57">
        <v>0</v>
      </c>
      <c r="AS146" s="57">
        <v>0</v>
      </c>
      <c r="AT146" s="57">
        <v>0</v>
      </c>
      <c r="AU146" s="59">
        <v>11002.637000000001</v>
      </c>
      <c r="AV146" s="58" t="s">
        <v>202</v>
      </c>
      <c r="AW146" s="57">
        <v>0</v>
      </c>
      <c r="AX146" s="58" t="s">
        <v>202</v>
      </c>
      <c r="AY146" s="57">
        <v>0</v>
      </c>
      <c r="AZ146" s="58" t="s">
        <v>202</v>
      </c>
      <c r="BA146" s="58" t="s">
        <v>202</v>
      </c>
      <c r="BB146" s="58" t="s">
        <v>202</v>
      </c>
      <c r="BC146" s="59">
        <v>10905.199000000001</v>
      </c>
      <c r="BD146" s="58" t="s">
        <v>202</v>
      </c>
      <c r="BE146" s="57">
        <v>0</v>
      </c>
      <c r="BF146" s="58" t="s">
        <v>202</v>
      </c>
      <c r="BG146" s="57">
        <v>0</v>
      </c>
      <c r="BH146" s="58" t="s">
        <v>202</v>
      </c>
      <c r="BI146" s="58" t="s">
        <v>202</v>
      </c>
      <c r="BJ146" s="58" t="s">
        <v>202</v>
      </c>
      <c r="BK146" s="57">
        <v>0</v>
      </c>
      <c r="BL146" s="59">
        <v>97.438000000000002</v>
      </c>
      <c r="BM146" s="59">
        <v>111.40900000000001</v>
      </c>
      <c r="BN146" s="57">
        <v>0</v>
      </c>
      <c r="BO146" s="57">
        <v>0</v>
      </c>
      <c r="BP146" s="59">
        <v>111.40900000000001</v>
      </c>
      <c r="BQ146" s="57">
        <v>0</v>
      </c>
      <c r="BR146" s="58" t="s">
        <v>202</v>
      </c>
      <c r="BS146" s="57">
        <v>0</v>
      </c>
      <c r="BT146" s="59">
        <v>11345.647999999999</v>
      </c>
      <c r="BU146" s="59">
        <v>46911.754999999997</v>
      </c>
    </row>
    <row r="147" spans="1:73" x14ac:dyDescent="0.2">
      <c r="A147" s="56" t="s">
        <v>316</v>
      </c>
      <c r="B147" s="15">
        <v>66230.445999999996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5">
        <v>1296.2560000000001</v>
      </c>
      <c r="X147" s="15">
        <v>40.927999999999997</v>
      </c>
      <c r="Y147" s="17">
        <v>0</v>
      </c>
      <c r="Z147" s="17">
        <v>0</v>
      </c>
      <c r="AA147" s="16" t="s">
        <v>202</v>
      </c>
      <c r="AB147" s="16" t="s">
        <v>202</v>
      </c>
      <c r="AC147" s="16" t="s">
        <v>202</v>
      </c>
      <c r="AD147" s="17">
        <v>39.78</v>
      </c>
      <c r="AE147" s="16" t="s">
        <v>202</v>
      </c>
      <c r="AF147" s="17">
        <v>0</v>
      </c>
      <c r="AG147" s="17">
        <v>0</v>
      </c>
      <c r="AH147" s="16" t="s">
        <v>202</v>
      </c>
      <c r="AI147" s="16" t="s">
        <v>202</v>
      </c>
      <c r="AJ147" s="16" t="s">
        <v>202</v>
      </c>
      <c r="AK147" s="17">
        <v>0</v>
      </c>
      <c r="AL147" s="17">
        <v>0</v>
      </c>
      <c r="AM147" s="15">
        <v>1.1479999999999999</v>
      </c>
      <c r="AN147" s="17">
        <v>0</v>
      </c>
      <c r="AO147" s="16" t="s">
        <v>202</v>
      </c>
      <c r="AP147" s="16" t="s">
        <v>202</v>
      </c>
      <c r="AQ147" s="16" t="s">
        <v>202</v>
      </c>
      <c r="AR147" s="17">
        <v>0</v>
      </c>
      <c r="AS147" s="17">
        <v>0</v>
      </c>
      <c r="AT147" s="17">
        <v>0</v>
      </c>
      <c r="AU147" s="15">
        <v>64511.269</v>
      </c>
      <c r="AV147" s="17">
        <v>0</v>
      </c>
      <c r="AW147" s="17">
        <v>0</v>
      </c>
      <c r="AX147" s="15">
        <v>8443.2890000000007</v>
      </c>
      <c r="AY147" s="17">
        <v>0</v>
      </c>
      <c r="AZ147" s="17">
        <v>56016.81</v>
      </c>
      <c r="BA147" s="17">
        <v>0</v>
      </c>
      <c r="BB147" s="16" t="s">
        <v>202</v>
      </c>
      <c r="BC147" s="17">
        <v>0</v>
      </c>
      <c r="BD147" s="16" t="s">
        <v>202</v>
      </c>
      <c r="BE147" s="17">
        <v>0</v>
      </c>
      <c r="BF147" s="16" t="s">
        <v>202</v>
      </c>
      <c r="BG147" s="17">
        <v>0</v>
      </c>
      <c r="BH147" s="16" t="s">
        <v>202</v>
      </c>
      <c r="BI147" s="16" t="s">
        <v>202</v>
      </c>
      <c r="BJ147" s="16" t="s">
        <v>202</v>
      </c>
      <c r="BK147" s="17">
        <v>0</v>
      </c>
      <c r="BL147" s="17">
        <v>51.17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6" t="s">
        <v>202</v>
      </c>
      <c r="BS147" s="17">
        <v>0</v>
      </c>
      <c r="BT147" s="15">
        <v>64.447999999999993</v>
      </c>
      <c r="BU147" s="15">
        <v>1323.9069999999999</v>
      </c>
    </row>
    <row r="148" spans="1:73" x14ac:dyDescent="0.2">
      <c r="A148" s="56" t="s">
        <v>317</v>
      </c>
      <c r="B148" s="59">
        <v>78532.501999999993</v>
      </c>
      <c r="C148" s="57">
        <v>0</v>
      </c>
      <c r="D148" s="57">
        <v>0</v>
      </c>
      <c r="E148" s="57">
        <v>0</v>
      </c>
      <c r="F148" s="57">
        <v>0</v>
      </c>
      <c r="G148" s="57">
        <v>0</v>
      </c>
      <c r="H148" s="57">
        <v>0</v>
      </c>
      <c r="I148" s="57">
        <v>0</v>
      </c>
      <c r="J148" s="57">
        <v>0</v>
      </c>
      <c r="K148" s="57">
        <v>0</v>
      </c>
      <c r="L148" s="57">
        <v>0</v>
      </c>
      <c r="M148" s="57">
        <v>0</v>
      </c>
      <c r="N148" s="57">
        <v>286.16000000000003</v>
      </c>
      <c r="O148" s="59">
        <v>44.453000000000003</v>
      </c>
      <c r="P148" s="57">
        <v>0</v>
      </c>
      <c r="Q148" s="59">
        <v>241.708</v>
      </c>
      <c r="R148" s="57">
        <v>0</v>
      </c>
      <c r="S148" s="57">
        <v>0</v>
      </c>
      <c r="T148" s="57">
        <v>0</v>
      </c>
      <c r="U148" s="57">
        <v>0</v>
      </c>
      <c r="V148" s="57">
        <v>0</v>
      </c>
      <c r="W148" s="59">
        <v>55205.042000000001</v>
      </c>
      <c r="X148" s="59">
        <v>5312.5919999999996</v>
      </c>
      <c r="Y148" s="57">
        <v>0</v>
      </c>
      <c r="Z148" s="57">
        <v>0</v>
      </c>
      <c r="AA148" s="58" t="s">
        <v>202</v>
      </c>
      <c r="AB148" s="58" t="s">
        <v>202</v>
      </c>
      <c r="AC148" s="58" t="s">
        <v>202</v>
      </c>
      <c r="AD148" s="59">
        <v>5288.5870000000004</v>
      </c>
      <c r="AE148" s="58" t="s">
        <v>202</v>
      </c>
      <c r="AF148" s="57">
        <v>0</v>
      </c>
      <c r="AG148" s="57">
        <v>0</v>
      </c>
      <c r="AH148" s="58" t="s">
        <v>202</v>
      </c>
      <c r="AI148" s="58" t="s">
        <v>202</v>
      </c>
      <c r="AJ148" s="58" t="s">
        <v>202</v>
      </c>
      <c r="AK148" s="57">
        <v>0</v>
      </c>
      <c r="AL148" s="57">
        <v>0</v>
      </c>
      <c r="AM148" s="59">
        <v>24.004999999999999</v>
      </c>
      <c r="AN148" s="57">
        <v>0</v>
      </c>
      <c r="AO148" s="58" t="s">
        <v>202</v>
      </c>
      <c r="AP148" s="58" t="s">
        <v>202</v>
      </c>
      <c r="AQ148" s="58" t="s">
        <v>202</v>
      </c>
      <c r="AR148" s="57">
        <v>0</v>
      </c>
      <c r="AS148" s="57">
        <v>0</v>
      </c>
      <c r="AT148" s="57">
        <v>0</v>
      </c>
      <c r="AU148" s="59">
        <v>11338.764999999999</v>
      </c>
      <c r="AV148" s="58" t="s">
        <v>202</v>
      </c>
      <c r="AW148" s="57">
        <v>0</v>
      </c>
      <c r="AX148" s="58" t="s">
        <v>202</v>
      </c>
      <c r="AY148" s="57">
        <v>0</v>
      </c>
      <c r="AZ148" s="58" t="s">
        <v>202</v>
      </c>
      <c r="BA148" s="58" t="s">
        <v>202</v>
      </c>
      <c r="BB148" s="58" t="s">
        <v>202</v>
      </c>
      <c r="BC148" s="59">
        <v>1843.0129999999999</v>
      </c>
      <c r="BD148" s="58" t="s">
        <v>202</v>
      </c>
      <c r="BE148" s="57">
        <v>0</v>
      </c>
      <c r="BF148" s="58" t="s">
        <v>202</v>
      </c>
      <c r="BG148" s="57">
        <v>0</v>
      </c>
      <c r="BH148" s="58" t="s">
        <v>202</v>
      </c>
      <c r="BI148" s="58" t="s">
        <v>202</v>
      </c>
      <c r="BJ148" s="58" t="s">
        <v>202</v>
      </c>
      <c r="BK148" s="57">
        <v>0</v>
      </c>
      <c r="BL148" s="59">
        <v>2362.3519999999999</v>
      </c>
      <c r="BM148" s="59">
        <v>64.093999999999994</v>
      </c>
      <c r="BN148" s="57">
        <v>7133.4</v>
      </c>
      <c r="BO148" s="59">
        <v>6325.848</v>
      </c>
      <c r="BP148" s="59">
        <v>6389.942</v>
      </c>
      <c r="BQ148" s="57">
        <v>0</v>
      </c>
      <c r="BR148" s="58" t="s">
        <v>202</v>
      </c>
      <c r="BS148" s="57">
        <v>0</v>
      </c>
      <c r="BT148" s="59">
        <v>11904.225</v>
      </c>
      <c r="BU148" s="59">
        <v>66628.277000000002</v>
      </c>
    </row>
    <row r="149" spans="1:73" x14ac:dyDescent="0.2">
      <c r="A149" s="56" t="s">
        <v>114</v>
      </c>
      <c r="B149" s="15">
        <v>93299.153999999995</v>
      </c>
      <c r="C149" s="17">
        <v>749.7</v>
      </c>
      <c r="D149" s="17">
        <v>0</v>
      </c>
      <c r="E149" s="17">
        <v>0</v>
      </c>
      <c r="F149" s="17">
        <v>749.7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342.01</v>
      </c>
      <c r="O149" s="15">
        <v>24.748000000000001</v>
      </c>
      <c r="P149" s="17">
        <v>0</v>
      </c>
      <c r="Q149" s="15">
        <v>317.262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5">
        <v>47255.860999999997</v>
      </c>
      <c r="X149" s="15">
        <v>9303.3739999999998</v>
      </c>
      <c r="Y149" s="17">
        <v>0</v>
      </c>
      <c r="Z149" s="17">
        <v>0</v>
      </c>
      <c r="AA149" s="16" t="s">
        <v>202</v>
      </c>
      <c r="AB149" s="16" t="s">
        <v>202</v>
      </c>
      <c r="AC149" s="16" t="s">
        <v>202</v>
      </c>
      <c r="AD149" s="15">
        <v>9253.759</v>
      </c>
      <c r="AE149" s="16" t="s">
        <v>202</v>
      </c>
      <c r="AF149" s="17">
        <v>0</v>
      </c>
      <c r="AG149" s="17">
        <v>0</v>
      </c>
      <c r="AH149" s="16" t="s">
        <v>202</v>
      </c>
      <c r="AI149" s="16" t="s">
        <v>202</v>
      </c>
      <c r="AJ149" s="16" t="s">
        <v>202</v>
      </c>
      <c r="AK149" s="17">
        <v>0</v>
      </c>
      <c r="AL149" s="17">
        <v>0</v>
      </c>
      <c r="AM149" s="15">
        <v>49.578000000000003</v>
      </c>
      <c r="AN149" s="17">
        <v>0</v>
      </c>
      <c r="AO149" s="16" t="s">
        <v>202</v>
      </c>
      <c r="AP149" s="16" t="s">
        <v>202</v>
      </c>
      <c r="AQ149" s="16" t="s">
        <v>202</v>
      </c>
      <c r="AR149" s="17">
        <v>0</v>
      </c>
      <c r="AS149" s="17">
        <v>0</v>
      </c>
      <c r="AT149" s="15">
        <v>3.6999999999999998E-2</v>
      </c>
      <c r="AU149" s="15">
        <v>19996.924999999999</v>
      </c>
      <c r="AV149" s="16" t="s">
        <v>202</v>
      </c>
      <c r="AW149" s="17">
        <v>0</v>
      </c>
      <c r="AX149" s="16" t="s">
        <v>202</v>
      </c>
      <c r="AY149" s="17">
        <v>0</v>
      </c>
      <c r="AZ149" s="16" t="s">
        <v>202</v>
      </c>
      <c r="BA149" s="16" t="s">
        <v>202</v>
      </c>
      <c r="BB149" s="17">
        <v>0</v>
      </c>
      <c r="BC149" s="15">
        <v>11795.485000000001</v>
      </c>
      <c r="BD149" s="16" t="s">
        <v>202</v>
      </c>
      <c r="BE149" s="17">
        <v>0</v>
      </c>
      <c r="BF149" s="16" t="s">
        <v>202</v>
      </c>
      <c r="BG149" s="17">
        <v>0</v>
      </c>
      <c r="BH149" s="16" t="s">
        <v>202</v>
      </c>
      <c r="BI149" s="16" t="s">
        <v>202</v>
      </c>
      <c r="BJ149" s="16" t="s">
        <v>202</v>
      </c>
      <c r="BK149" s="17">
        <v>0</v>
      </c>
      <c r="BL149" s="15">
        <v>265.62299999999999</v>
      </c>
      <c r="BM149" s="15">
        <v>582.75099999999998</v>
      </c>
      <c r="BN149" s="15">
        <v>7935.817</v>
      </c>
      <c r="BO149" s="15">
        <v>7037.4219999999996</v>
      </c>
      <c r="BP149" s="15">
        <v>7620.1729999999998</v>
      </c>
      <c r="BQ149" s="17">
        <v>0</v>
      </c>
      <c r="BR149" s="17">
        <v>0</v>
      </c>
      <c r="BS149" s="16" t="s">
        <v>202</v>
      </c>
      <c r="BT149" s="15">
        <v>20480.962</v>
      </c>
      <c r="BU149" s="15">
        <v>64787.080999999998</v>
      </c>
    </row>
    <row r="150" spans="1:73" x14ac:dyDescent="0.2">
      <c r="A150" s="56" t="s">
        <v>318</v>
      </c>
      <c r="B150" s="59">
        <v>31806.674999999999</v>
      </c>
      <c r="C150" s="57">
        <v>749.7</v>
      </c>
      <c r="D150" s="57">
        <v>0</v>
      </c>
      <c r="E150" s="57">
        <v>0</v>
      </c>
      <c r="F150" s="57">
        <v>749.7</v>
      </c>
      <c r="G150" s="57">
        <v>0</v>
      </c>
      <c r="H150" s="57">
        <v>0</v>
      </c>
      <c r="I150" s="57">
        <v>0</v>
      </c>
      <c r="J150" s="57">
        <v>0</v>
      </c>
      <c r="K150" s="57">
        <v>0</v>
      </c>
      <c r="L150" s="57">
        <v>0</v>
      </c>
      <c r="M150" s="57">
        <v>0</v>
      </c>
      <c r="N150" s="59">
        <v>37.170999999999999</v>
      </c>
      <c r="O150" s="59">
        <v>1E-3</v>
      </c>
      <c r="P150" s="57">
        <v>0</v>
      </c>
      <c r="Q150" s="57">
        <v>37.17</v>
      </c>
      <c r="R150" s="57">
        <v>0</v>
      </c>
      <c r="S150" s="57">
        <v>0</v>
      </c>
      <c r="T150" s="57">
        <v>0</v>
      </c>
      <c r="U150" s="57">
        <v>0</v>
      </c>
      <c r="V150" s="57">
        <v>0</v>
      </c>
      <c r="W150" s="59">
        <v>25666.042000000001</v>
      </c>
      <c r="X150" s="59">
        <v>3.597</v>
      </c>
      <c r="Y150" s="57">
        <v>0</v>
      </c>
      <c r="Z150" s="57">
        <v>0</v>
      </c>
      <c r="AA150" s="58" t="s">
        <v>202</v>
      </c>
      <c r="AB150" s="58" t="s">
        <v>202</v>
      </c>
      <c r="AC150" s="58" t="s">
        <v>202</v>
      </c>
      <c r="AD150" s="57">
        <v>0</v>
      </c>
      <c r="AE150" s="58" t="s">
        <v>202</v>
      </c>
      <c r="AF150" s="57">
        <v>0</v>
      </c>
      <c r="AG150" s="57">
        <v>0</v>
      </c>
      <c r="AH150" s="58" t="s">
        <v>202</v>
      </c>
      <c r="AI150" s="58" t="s">
        <v>202</v>
      </c>
      <c r="AJ150" s="58" t="s">
        <v>202</v>
      </c>
      <c r="AK150" s="57">
        <v>0</v>
      </c>
      <c r="AL150" s="57">
        <v>0</v>
      </c>
      <c r="AM150" s="59">
        <v>3.597</v>
      </c>
      <c r="AN150" s="57">
        <v>0</v>
      </c>
      <c r="AO150" s="58" t="s">
        <v>202</v>
      </c>
      <c r="AP150" s="58" t="s">
        <v>202</v>
      </c>
      <c r="AQ150" s="58" t="s">
        <v>202</v>
      </c>
      <c r="AR150" s="57">
        <v>0</v>
      </c>
      <c r="AS150" s="57">
        <v>0</v>
      </c>
      <c r="AT150" s="57">
        <v>0</v>
      </c>
      <c r="AU150" s="59">
        <v>5346.6549999999997</v>
      </c>
      <c r="AV150" s="58" t="s">
        <v>202</v>
      </c>
      <c r="AW150" s="57">
        <v>0</v>
      </c>
      <c r="AX150" s="58" t="s">
        <v>202</v>
      </c>
      <c r="AY150" s="57">
        <v>0</v>
      </c>
      <c r="AZ150" s="58" t="s">
        <v>202</v>
      </c>
      <c r="BA150" s="58" t="s">
        <v>202</v>
      </c>
      <c r="BB150" s="57">
        <v>0</v>
      </c>
      <c r="BC150" s="59">
        <v>5269.0519999999997</v>
      </c>
      <c r="BD150" s="58" t="s">
        <v>202</v>
      </c>
      <c r="BE150" s="57">
        <v>0</v>
      </c>
      <c r="BF150" s="58" t="s">
        <v>202</v>
      </c>
      <c r="BG150" s="57">
        <v>0</v>
      </c>
      <c r="BH150" s="58" t="s">
        <v>202</v>
      </c>
      <c r="BI150" s="58" t="s">
        <v>202</v>
      </c>
      <c r="BJ150" s="58" t="s">
        <v>202</v>
      </c>
      <c r="BK150" s="57">
        <v>0</v>
      </c>
      <c r="BL150" s="59">
        <v>77.602999999999994</v>
      </c>
      <c r="BM150" s="57">
        <v>3.51</v>
      </c>
      <c r="BN150" s="57">
        <v>0</v>
      </c>
      <c r="BO150" s="57">
        <v>0</v>
      </c>
      <c r="BP150" s="57">
        <v>3.51</v>
      </c>
      <c r="BQ150" s="57">
        <v>0</v>
      </c>
      <c r="BR150" s="57">
        <v>0</v>
      </c>
      <c r="BS150" s="58" t="s">
        <v>202</v>
      </c>
      <c r="BT150" s="57">
        <v>5609.55</v>
      </c>
      <c r="BU150" s="59">
        <v>26197.125</v>
      </c>
    </row>
    <row r="151" spans="1:73" x14ac:dyDescent="0.2">
      <c r="A151" s="56" t="s">
        <v>319</v>
      </c>
      <c r="B151" s="15">
        <v>17195.844000000001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5">
        <v>9958.8259999999991</v>
      </c>
      <c r="X151" s="15">
        <v>3468.6970000000001</v>
      </c>
      <c r="Y151" s="17">
        <v>0</v>
      </c>
      <c r="Z151" s="17">
        <v>0</v>
      </c>
      <c r="AA151" s="16" t="s">
        <v>202</v>
      </c>
      <c r="AB151" s="16" t="s">
        <v>202</v>
      </c>
      <c r="AC151" s="16" t="s">
        <v>202</v>
      </c>
      <c r="AD151" s="17">
        <v>3468.66</v>
      </c>
      <c r="AE151" s="16" t="s">
        <v>202</v>
      </c>
      <c r="AF151" s="17">
        <v>0</v>
      </c>
      <c r="AG151" s="17">
        <v>0</v>
      </c>
      <c r="AH151" s="16" t="s">
        <v>202</v>
      </c>
      <c r="AI151" s="16" t="s">
        <v>202</v>
      </c>
      <c r="AJ151" s="16" t="s">
        <v>202</v>
      </c>
      <c r="AK151" s="17">
        <v>0</v>
      </c>
      <c r="AL151" s="17">
        <v>0</v>
      </c>
      <c r="AM151" s="17">
        <v>0</v>
      </c>
      <c r="AN151" s="17">
        <v>0</v>
      </c>
      <c r="AO151" s="16" t="s">
        <v>202</v>
      </c>
      <c r="AP151" s="16" t="s">
        <v>202</v>
      </c>
      <c r="AQ151" s="16" t="s">
        <v>202</v>
      </c>
      <c r="AR151" s="17">
        <v>0</v>
      </c>
      <c r="AS151" s="17">
        <v>0</v>
      </c>
      <c r="AT151" s="15">
        <v>3.6999999999999998E-2</v>
      </c>
      <c r="AU151" s="15">
        <v>3753.6170000000002</v>
      </c>
      <c r="AV151" s="16" t="s">
        <v>202</v>
      </c>
      <c r="AW151" s="17">
        <v>0</v>
      </c>
      <c r="AX151" s="16" t="s">
        <v>202</v>
      </c>
      <c r="AY151" s="17">
        <v>0</v>
      </c>
      <c r="AZ151" s="16" t="s">
        <v>202</v>
      </c>
      <c r="BA151" s="16" t="s">
        <v>202</v>
      </c>
      <c r="BB151" s="17">
        <v>0</v>
      </c>
      <c r="BC151" s="15">
        <v>3753.6170000000002</v>
      </c>
      <c r="BD151" s="16" t="s">
        <v>202</v>
      </c>
      <c r="BE151" s="17">
        <v>0</v>
      </c>
      <c r="BF151" s="16" t="s">
        <v>202</v>
      </c>
      <c r="BG151" s="17">
        <v>0</v>
      </c>
      <c r="BH151" s="16" t="s">
        <v>202</v>
      </c>
      <c r="BI151" s="16" t="s">
        <v>202</v>
      </c>
      <c r="BJ151" s="16" t="s">
        <v>202</v>
      </c>
      <c r="BK151" s="17">
        <v>0</v>
      </c>
      <c r="BL151" s="17">
        <v>0</v>
      </c>
      <c r="BM151" s="15">
        <v>14.704000000000001</v>
      </c>
      <c r="BN151" s="17">
        <v>0</v>
      </c>
      <c r="BO151" s="17">
        <v>0</v>
      </c>
      <c r="BP151" s="15">
        <v>14.704000000000001</v>
      </c>
      <c r="BQ151" s="17">
        <v>0</v>
      </c>
      <c r="BR151" s="17">
        <v>0</v>
      </c>
      <c r="BS151" s="16" t="s">
        <v>202</v>
      </c>
      <c r="BT151" s="15">
        <v>3855.6239999999998</v>
      </c>
      <c r="BU151" s="17">
        <v>13340.22</v>
      </c>
    </row>
    <row r="152" spans="1:73" x14ac:dyDescent="0.2">
      <c r="A152" s="56" t="s">
        <v>320</v>
      </c>
      <c r="B152" s="59">
        <v>33365.031999999999</v>
      </c>
      <c r="C152" s="57">
        <v>0</v>
      </c>
      <c r="D152" s="57">
        <v>0</v>
      </c>
      <c r="E152" s="57">
        <v>0</v>
      </c>
      <c r="F152" s="57">
        <v>0</v>
      </c>
      <c r="G152" s="57">
        <v>0</v>
      </c>
      <c r="H152" s="57">
        <v>0</v>
      </c>
      <c r="I152" s="57">
        <v>0</v>
      </c>
      <c r="J152" s="57">
        <v>0</v>
      </c>
      <c r="K152" s="57">
        <v>0</v>
      </c>
      <c r="L152" s="57">
        <v>0</v>
      </c>
      <c r="M152" s="57">
        <v>0</v>
      </c>
      <c r="N152" s="59">
        <v>304.839</v>
      </c>
      <c r="O152" s="59">
        <v>24.747</v>
      </c>
      <c r="P152" s="57">
        <v>0</v>
      </c>
      <c r="Q152" s="59">
        <v>280.09199999999998</v>
      </c>
      <c r="R152" s="57">
        <v>0</v>
      </c>
      <c r="S152" s="57">
        <v>0</v>
      </c>
      <c r="T152" s="57">
        <v>0</v>
      </c>
      <c r="U152" s="57">
        <v>0</v>
      </c>
      <c r="V152" s="57">
        <v>0</v>
      </c>
      <c r="W152" s="59">
        <v>9896.8770000000004</v>
      </c>
      <c r="X152" s="59">
        <v>5147.9989999999998</v>
      </c>
      <c r="Y152" s="57">
        <v>0</v>
      </c>
      <c r="Z152" s="57">
        <v>0</v>
      </c>
      <c r="AA152" s="58" t="s">
        <v>202</v>
      </c>
      <c r="AB152" s="58" t="s">
        <v>202</v>
      </c>
      <c r="AC152" s="58" t="s">
        <v>202</v>
      </c>
      <c r="AD152" s="59">
        <v>5102.018</v>
      </c>
      <c r="AE152" s="58" t="s">
        <v>202</v>
      </c>
      <c r="AF152" s="57">
        <v>0</v>
      </c>
      <c r="AG152" s="57">
        <v>0</v>
      </c>
      <c r="AH152" s="58" t="s">
        <v>202</v>
      </c>
      <c r="AI152" s="58" t="s">
        <v>202</v>
      </c>
      <c r="AJ152" s="58" t="s">
        <v>202</v>
      </c>
      <c r="AK152" s="57">
        <v>0</v>
      </c>
      <c r="AL152" s="57">
        <v>0</v>
      </c>
      <c r="AM152" s="59">
        <v>45.981000000000002</v>
      </c>
      <c r="AN152" s="57">
        <v>0</v>
      </c>
      <c r="AO152" s="58" t="s">
        <v>202</v>
      </c>
      <c r="AP152" s="58" t="s">
        <v>202</v>
      </c>
      <c r="AQ152" s="58" t="s">
        <v>202</v>
      </c>
      <c r="AR152" s="57">
        <v>0</v>
      </c>
      <c r="AS152" s="57">
        <v>0</v>
      </c>
      <c r="AT152" s="57">
        <v>0</v>
      </c>
      <c r="AU152" s="57">
        <v>10892.9</v>
      </c>
      <c r="AV152" s="58" t="s">
        <v>202</v>
      </c>
      <c r="AW152" s="57">
        <v>0</v>
      </c>
      <c r="AX152" s="58" t="s">
        <v>202</v>
      </c>
      <c r="AY152" s="57">
        <v>0</v>
      </c>
      <c r="AZ152" s="58" t="s">
        <v>202</v>
      </c>
      <c r="BA152" s="58" t="s">
        <v>202</v>
      </c>
      <c r="BB152" s="57">
        <v>0</v>
      </c>
      <c r="BC152" s="59">
        <v>2769.346</v>
      </c>
      <c r="BD152" s="58" t="s">
        <v>202</v>
      </c>
      <c r="BE152" s="57">
        <v>0</v>
      </c>
      <c r="BF152" s="58" t="s">
        <v>202</v>
      </c>
      <c r="BG152" s="57">
        <v>0</v>
      </c>
      <c r="BH152" s="58" t="s">
        <v>202</v>
      </c>
      <c r="BI152" s="58" t="s">
        <v>202</v>
      </c>
      <c r="BJ152" s="58" t="s">
        <v>202</v>
      </c>
      <c r="BK152" s="57">
        <v>0</v>
      </c>
      <c r="BL152" s="59">
        <v>187.73699999999999</v>
      </c>
      <c r="BM152" s="59">
        <v>84.995000000000005</v>
      </c>
      <c r="BN152" s="59">
        <v>7935.817</v>
      </c>
      <c r="BO152" s="59">
        <v>7037.4219999999996</v>
      </c>
      <c r="BP152" s="59">
        <v>7122.4170000000004</v>
      </c>
      <c r="BQ152" s="57">
        <v>0</v>
      </c>
      <c r="BR152" s="57">
        <v>0</v>
      </c>
      <c r="BS152" s="58" t="s">
        <v>202</v>
      </c>
      <c r="BT152" s="59">
        <v>10994.272999999999</v>
      </c>
      <c r="BU152" s="59">
        <v>22370.758999999998</v>
      </c>
    </row>
    <row r="153" spans="1:73" x14ac:dyDescent="0.2">
      <c r="A153" s="56" t="s">
        <v>321</v>
      </c>
      <c r="B153" s="15">
        <v>10931.602999999999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5">
        <v>1734.116</v>
      </c>
      <c r="X153" s="15">
        <v>683.08100000000002</v>
      </c>
      <c r="Y153" s="17">
        <v>0</v>
      </c>
      <c r="Z153" s="17">
        <v>0</v>
      </c>
      <c r="AA153" s="16" t="s">
        <v>202</v>
      </c>
      <c r="AB153" s="16" t="s">
        <v>202</v>
      </c>
      <c r="AC153" s="16" t="s">
        <v>202</v>
      </c>
      <c r="AD153" s="15">
        <v>683.08100000000002</v>
      </c>
      <c r="AE153" s="16" t="s">
        <v>202</v>
      </c>
      <c r="AF153" s="17">
        <v>0</v>
      </c>
      <c r="AG153" s="17">
        <v>0</v>
      </c>
      <c r="AH153" s="16" t="s">
        <v>202</v>
      </c>
      <c r="AI153" s="16" t="s">
        <v>202</v>
      </c>
      <c r="AJ153" s="16" t="s">
        <v>202</v>
      </c>
      <c r="AK153" s="17">
        <v>0</v>
      </c>
      <c r="AL153" s="17">
        <v>0</v>
      </c>
      <c r="AM153" s="17">
        <v>0</v>
      </c>
      <c r="AN153" s="17">
        <v>0</v>
      </c>
      <c r="AO153" s="16" t="s">
        <v>202</v>
      </c>
      <c r="AP153" s="16" t="s">
        <v>202</v>
      </c>
      <c r="AQ153" s="16" t="s">
        <v>202</v>
      </c>
      <c r="AR153" s="17">
        <v>0</v>
      </c>
      <c r="AS153" s="17">
        <v>0</v>
      </c>
      <c r="AT153" s="17">
        <v>0</v>
      </c>
      <c r="AU153" s="15">
        <v>3.7530000000000001</v>
      </c>
      <c r="AV153" s="16" t="s">
        <v>202</v>
      </c>
      <c r="AW153" s="17">
        <v>0</v>
      </c>
      <c r="AX153" s="16" t="s">
        <v>202</v>
      </c>
      <c r="AY153" s="17">
        <v>0</v>
      </c>
      <c r="AZ153" s="16" t="s">
        <v>202</v>
      </c>
      <c r="BA153" s="16" t="s">
        <v>202</v>
      </c>
      <c r="BB153" s="17">
        <v>0</v>
      </c>
      <c r="BC153" s="17">
        <v>3.47</v>
      </c>
      <c r="BD153" s="16" t="s">
        <v>202</v>
      </c>
      <c r="BE153" s="17">
        <v>0</v>
      </c>
      <c r="BF153" s="16" t="s">
        <v>202</v>
      </c>
      <c r="BG153" s="17">
        <v>0</v>
      </c>
      <c r="BH153" s="16" t="s">
        <v>202</v>
      </c>
      <c r="BI153" s="16" t="s">
        <v>202</v>
      </c>
      <c r="BJ153" s="16" t="s">
        <v>202</v>
      </c>
      <c r="BK153" s="17">
        <v>0</v>
      </c>
      <c r="BL153" s="15">
        <v>0.28299999999999997</v>
      </c>
      <c r="BM153" s="15">
        <v>479.54199999999997</v>
      </c>
      <c r="BN153" s="17">
        <v>0</v>
      </c>
      <c r="BO153" s="17">
        <v>0</v>
      </c>
      <c r="BP153" s="15">
        <v>479.54199999999997</v>
      </c>
      <c r="BQ153" s="17">
        <v>0</v>
      </c>
      <c r="BR153" s="17">
        <v>0</v>
      </c>
      <c r="BS153" s="16" t="s">
        <v>202</v>
      </c>
      <c r="BT153" s="15">
        <v>21.515000000000001</v>
      </c>
      <c r="BU153" s="15">
        <v>2878.9769999999999</v>
      </c>
    </row>
    <row r="154" spans="1:73" x14ac:dyDescent="0.2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</row>
    <row r="155" spans="1:73" x14ac:dyDescent="0.2">
      <c r="A155" s="19" t="s">
        <v>335</v>
      </c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</row>
    <row r="156" spans="1:73" x14ac:dyDescent="0.2">
      <c r="A156" s="19" t="s">
        <v>202</v>
      </c>
      <c r="B156" s="18" t="s">
        <v>336</v>
      </c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AE1A-D015-4B4D-92CE-882687CC9203}">
  <sheetPr>
    <tabColor theme="9" tint="0.59999389629810485"/>
  </sheetPr>
  <dimension ref="A1:M128"/>
  <sheetViews>
    <sheetView workbookViewId="0">
      <pane xSplit="1" ySplit="11" topLeftCell="B12" activePane="bottomRight" state="frozen"/>
      <selection pane="topRight"/>
      <selection pane="bottomLeft"/>
      <selection pane="bottomRight" activeCell="K70" sqref="K70"/>
    </sheetView>
  </sheetViews>
  <sheetFormatPr baseColWidth="10" defaultColWidth="8.83203125" defaultRowHeight="11.25" customHeight="1" x14ac:dyDescent="0.2"/>
  <cols>
    <col min="1" max="1" width="87.33203125" style="6" bestFit="1" customWidth="1"/>
    <col min="2" max="2" width="18" style="6" customWidth="1"/>
    <col min="3" max="3" width="5" style="6" customWidth="1"/>
    <col min="4" max="4" width="13" style="6" customWidth="1"/>
    <col min="5" max="5" width="5" style="6" customWidth="1"/>
    <col min="6" max="6" width="13" style="6" customWidth="1"/>
    <col min="7" max="7" width="5" style="6" customWidth="1"/>
    <col min="8" max="8" width="17" style="6" customWidth="1"/>
    <col min="9" max="9" width="5" style="6" customWidth="1"/>
    <col min="10" max="10" width="20" style="6" customWidth="1"/>
    <col min="11" max="11" width="5" style="6" customWidth="1"/>
    <col min="12" max="12" width="11" style="6" customWidth="1"/>
    <col min="13" max="13" width="5" style="6" customWidth="1"/>
    <col min="14" max="16384" width="8.83203125" style="6"/>
  </cols>
  <sheetData>
    <row r="1" spans="1:13" x14ac:dyDescent="0.2">
      <c r="A1" s="5" t="s">
        <v>429</v>
      </c>
    </row>
    <row r="2" spans="1:13" x14ac:dyDescent="0.2">
      <c r="A2" s="5" t="s">
        <v>326</v>
      </c>
      <c r="B2" s="7" t="s">
        <v>430</v>
      </c>
    </row>
    <row r="3" spans="1:13" x14ac:dyDescent="0.2">
      <c r="A3" s="5" t="s">
        <v>327</v>
      </c>
      <c r="B3" s="5" t="s">
        <v>431</v>
      </c>
    </row>
    <row r="4" spans="1:13" x14ac:dyDescent="0.2"/>
    <row r="5" spans="1:13" x14ac:dyDescent="0.2">
      <c r="A5" s="7" t="s">
        <v>328</v>
      </c>
      <c r="C5" s="5" t="s">
        <v>329</v>
      </c>
    </row>
    <row r="6" spans="1:13" x14ac:dyDescent="0.2">
      <c r="A6" s="7" t="s">
        <v>330</v>
      </c>
      <c r="C6" s="5" t="s">
        <v>356</v>
      </c>
    </row>
    <row r="7" spans="1:13" x14ac:dyDescent="0.2">
      <c r="A7" s="7" t="s">
        <v>331</v>
      </c>
      <c r="C7" s="5" t="s">
        <v>0</v>
      </c>
    </row>
    <row r="8" spans="1:13" x14ac:dyDescent="0.2">
      <c r="A8" s="7" t="s">
        <v>332</v>
      </c>
      <c r="C8" s="5" t="s">
        <v>432</v>
      </c>
    </row>
    <row r="9" spans="1:13" x14ac:dyDescent="0.2"/>
    <row r="10" spans="1:13" x14ac:dyDescent="0.2">
      <c r="A10" s="13" t="s">
        <v>334</v>
      </c>
      <c r="B10" s="93" t="s">
        <v>13</v>
      </c>
      <c r="C10" s="93" t="s">
        <v>333</v>
      </c>
      <c r="D10" s="93" t="s">
        <v>15</v>
      </c>
      <c r="E10" s="93" t="s">
        <v>333</v>
      </c>
      <c r="F10" s="93" t="s">
        <v>14</v>
      </c>
      <c r="G10" s="93" t="s">
        <v>333</v>
      </c>
      <c r="H10" s="93" t="s">
        <v>16</v>
      </c>
      <c r="I10" s="93" t="s">
        <v>333</v>
      </c>
      <c r="J10" s="93" t="s">
        <v>17</v>
      </c>
      <c r="K10" s="93" t="s">
        <v>333</v>
      </c>
      <c r="L10" s="93" t="s">
        <v>45</v>
      </c>
      <c r="M10" s="93" t="s">
        <v>333</v>
      </c>
    </row>
    <row r="11" spans="1:13" x14ac:dyDescent="0.2">
      <c r="A11" s="8" t="s">
        <v>322</v>
      </c>
      <c r="B11" s="9" t="s">
        <v>333</v>
      </c>
      <c r="C11" s="9" t="s">
        <v>333</v>
      </c>
      <c r="D11" s="9" t="s">
        <v>333</v>
      </c>
      <c r="E11" s="9" t="s">
        <v>333</v>
      </c>
      <c r="F11" s="9" t="s">
        <v>333</v>
      </c>
      <c r="G11" s="9" t="s">
        <v>333</v>
      </c>
      <c r="H11" s="9" t="s">
        <v>333</v>
      </c>
      <c r="I11" s="9" t="s">
        <v>333</v>
      </c>
      <c r="J11" s="9" t="s">
        <v>333</v>
      </c>
      <c r="K11" s="9" t="s">
        <v>333</v>
      </c>
      <c r="L11" s="9" t="s">
        <v>333</v>
      </c>
      <c r="M11" s="9" t="s">
        <v>333</v>
      </c>
    </row>
    <row r="12" spans="1:13" x14ac:dyDescent="0.2">
      <c r="A12" s="10" t="s">
        <v>433</v>
      </c>
      <c r="B12" s="81">
        <v>43816.264000000003</v>
      </c>
      <c r="C12" s="82" t="s">
        <v>333</v>
      </c>
      <c r="D12" s="81">
        <v>16684.744999999999</v>
      </c>
      <c r="E12" s="82" t="s">
        <v>333</v>
      </c>
      <c r="F12" s="83">
        <v>0</v>
      </c>
      <c r="G12" s="82" t="s">
        <v>333</v>
      </c>
      <c r="H12" s="81">
        <v>27131.519</v>
      </c>
      <c r="I12" s="82" t="s">
        <v>333</v>
      </c>
      <c r="J12" s="83">
        <v>0</v>
      </c>
      <c r="K12" s="82" t="s">
        <v>333</v>
      </c>
      <c r="L12" s="81">
        <v>394128.43900000001</v>
      </c>
      <c r="M12" s="82" t="s">
        <v>333</v>
      </c>
    </row>
    <row r="13" spans="1:13" x14ac:dyDescent="0.2">
      <c r="A13" s="10" t="s">
        <v>434</v>
      </c>
      <c r="B13" s="12" t="s">
        <v>202</v>
      </c>
      <c r="C13" s="12" t="s">
        <v>333</v>
      </c>
      <c r="D13" s="12" t="s">
        <v>202</v>
      </c>
      <c r="E13" s="12" t="s">
        <v>333</v>
      </c>
      <c r="F13" s="12" t="s">
        <v>202</v>
      </c>
      <c r="G13" s="12" t="s">
        <v>333</v>
      </c>
      <c r="H13" s="12" t="s">
        <v>202</v>
      </c>
      <c r="I13" s="12" t="s">
        <v>333</v>
      </c>
      <c r="J13" s="12" t="s">
        <v>202</v>
      </c>
      <c r="K13" s="12" t="s">
        <v>333</v>
      </c>
      <c r="L13" s="20">
        <v>0</v>
      </c>
      <c r="M13" s="12" t="s">
        <v>333</v>
      </c>
    </row>
    <row r="14" spans="1:13" x14ac:dyDescent="0.2">
      <c r="A14" s="10" t="s">
        <v>435</v>
      </c>
      <c r="B14" s="82" t="s">
        <v>202</v>
      </c>
      <c r="C14" s="82" t="s">
        <v>333</v>
      </c>
      <c r="D14" s="82" t="s">
        <v>202</v>
      </c>
      <c r="E14" s="82" t="s">
        <v>333</v>
      </c>
      <c r="F14" s="82" t="s">
        <v>202</v>
      </c>
      <c r="G14" s="82" t="s">
        <v>333</v>
      </c>
      <c r="H14" s="82" t="s">
        <v>202</v>
      </c>
      <c r="I14" s="82" t="s">
        <v>333</v>
      </c>
      <c r="J14" s="82" t="s">
        <v>202</v>
      </c>
      <c r="K14" s="82" t="s">
        <v>333</v>
      </c>
      <c r="L14" s="81">
        <v>394128.43900000001</v>
      </c>
      <c r="M14" s="82" t="s">
        <v>333</v>
      </c>
    </row>
    <row r="15" spans="1:13" x14ac:dyDescent="0.2">
      <c r="A15" s="10" t="s">
        <v>436</v>
      </c>
      <c r="B15" s="12" t="s">
        <v>202</v>
      </c>
      <c r="C15" s="12" t="s">
        <v>333</v>
      </c>
      <c r="D15" s="12" t="s">
        <v>202</v>
      </c>
      <c r="E15" s="12" t="s">
        <v>333</v>
      </c>
      <c r="F15" s="12" t="s">
        <v>202</v>
      </c>
      <c r="G15" s="12" t="s">
        <v>333</v>
      </c>
      <c r="H15" s="12" t="s">
        <v>202</v>
      </c>
      <c r="I15" s="12" t="s">
        <v>333</v>
      </c>
      <c r="J15" s="12" t="s">
        <v>202</v>
      </c>
      <c r="K15" s="12" t="s">
        <v>333</v>
      </c>
      <c r="L15" s="20">
        <v>0</v>
      </c>
      <c r="M15" s="12" t="s">
        <v>333</v>
      </c>
    </row>
    <row r="16" spans="1:13" x14ac:dyDescent="0.2">
      <c r="A16" s="10" t="s">
        <v>437</v>
      </c>
      <c r="B16" s="83">
        <v>0</v>
      </c>
      <c r="C16" s="82" t="s">
        <v>333</v>
      </c>
      <c r="D16" s="83">
        <v>0</v>
      </c>
      <c r="E16" s="82" t="s">
        <v>333</v>
      </c>
      <c r="F16" s="83">
        <v>0</v>
      </c>
      <c r="G16" s="82" t="s">
        <v>333</v>
      </c>
      <c r="H16" s="83">
        <v>0</v>
      </c>
      <c r="I16" s="82" t="s">
        <v>333</v>
      </c>
      <c r="J16" s="83">
        <v>0</v>
      </c>
      <c r="K16" s="82" t="s">
        <v>333</v>
      </c>
      <c r="L16" s="81">
        <v>12592.766</v>
      </c>
      <c r="M16" s="82" t="s">
        <v>333</v>
      </c>
    </row>
    <row r="17" spans="1:13" x14ac:dyDescent="0.2">
      <c r="A17" s="10" t="s">
        <v>438</v>
      </c>
      <c r="B17" s="20">
        <v>0</v>
      </c>
      <c r="C17" s="12" t="s">
        <v>333</v>
      </c>
      <c r="D17" s="20">
        <v>0</v>
      </c>
      <c r="E17" s="12" t="s">
        <v>333</v>
      </c>
      <c r="F17" s="20">
        <v>0</v>
      </c>
      <c r="G17" s="12" t="s">
        <v>333</v>
      </c>
      <c r="H17" s="20">
        <v>0</v>
      </c>
      <c r="I17" s="12" t="s">
        <v>333</v>
      </c>
      <c r="J17" s="20">
        <v>0</v>
      </c>
      <c r="K17" s="12" t="s">
        <v>333</v>
      </c>
      <c r="L17" s="11">
        <v>1793.7159999999999</v>
      </c>
      <c r="M17" s="12" t="s">
        <v>333</v>
      </c>
    </row>
    <row r="18" spans="1:13" x14ac:dyDescent="0.2">
      <c r="A18" s="10" t="s">
        <v>439</v>
      </c>
      <c r="B18" s="82" t="s">
        <v>202</v>
      </c>
      <c r="C18" s="82" t="s">
        <v>333</v>
      </c>
      <c r="D18" s="82" t="s">
        <v>202</v>
      </c>
      <c r="E18" s="82" t="s">
        <v>333</v>
      </c>
      <c r="F18" s="82" t="s">
        <v>202</v>
      </c>
      <c r="G18" s="82" t="s">
        <v>333</v>
      </c>
      <c r="H18" s="82" t="s">
        <v>202</v>
      </c>
      <c r="I18" s="82" t="s">
        <v>333</v>
      </c>
      <c r="J18" s="82" t="s">
        <v>202</v>
      </c>
      <c r="K18" s="82" t="s">
        <v>333</v>
      </c>
      <c r="L18" s="83">
        <v>0</v>
      </c>
      <c r="M18" s="82" t="s">
        <v>333</v>
      </c>
    </row>
    <row r="19" spans="1:13" x14ac:dyDescent="0.2">
      <c r="A19" s="10" t="s">
        <v>440</v>
      </c>
      <c r="B19" s="20">
        <v>0</v>
      </c>
      <c r="C19" s="12" t="s">
        <v>333</v>
      </c>
      <c r="D19" s="20">
        <v>0</v>
      </c>
      <c r="E19" s="12" t="s">
        <v>333</v>
      </c>
      <c r="F19" s="20">
        <v>0</v>
      </c>
      <c r="G19" s="12" t="s">
        <v>333</v>
      </c>
      <c r="H19" s="20">
        <v>0</v>
      </c>
      <c r="I19" s="12" t="s">
        <v>333</v>
      </c>
      <c r="J19" s="20">
        <v>0</v>
      </c>
      <c r="K19" s="12" t="s">
        <v>333</v>
      </c>
      <c r="L19" s="20">
        <v>10799.05</v>
      </c>
      <c r="M19" s="12" t="s">
        <v>333</v>
      </c>
    </row>
    <row r="20" spans="1:13" x14ac:dyDescent="0.2">
      <c r="A20" s="10" t="s">
        <v>441</v>
      </c>
      <c r="B20" s="83">
        <v>0</v>
      </c>
      <c r="C20" s="82" t="s">
        <v>333</v>
      </c>
      <c r="D20" s="83">
        <v>0</v>
      </c>
      <c r="E20" s="82" t="s">
        <v>333</v>
      </c>
      <c r="F20" s="83">
        <v>0</v>
      </c>
      <c r="G20" s="82" t="s">
        <v>333</v>
      </c>
      <c r="H20" s="83">
        <v>0</v>
      </c>
      <c r="I20" s="82" t="s">
        <v>333</v>
      </c>
      <c r="J20" s="83">
        <v>0</v>
      </c>
      <c r="K20" s="82" t="s">
        <v>333</v>
      </c>
      <c r="L20" s="82" t="s">
        <v>202</v>
      </c>
      <c r="M20" s="82" t="s">
        <v>333</v>
      </c>
    </row>
    <row r="21" spans="1:13" x14ac:dyDescent="0.2">
      <c r="A21" s="10" t="s">
        <v>74</v>
      </c>
      <c r="B21" s="20">
        <v>0</v>
      </c>
      <c r="C21" s="12" t="s">
        <v>333</v>
      </c>
      <c r="D21" s="20">
        <v>0</v>
      </c>
      <c r="E21" s="12" t="s">
        <v>333</v>
      </c>
      <c r="F21" s="20">
        <v>0</v>
      </c>
      <c r="G21" s="12" t="s">
        <v>333</v>
      </c>
      <c r="H21" s="20">
        <v>0</v>
      </c>
      <c r="I21" s="12" t="s">
        <v>333</v>
      </c>
      <c r="J21" s="20">
        <v>0</v>
      </c>
      <c r="K21" s="12" t="s">
        <v>333</v>
      </c>
      <c r="L21" s="11">
        <v>1344533.496</v>
      </c>
      <c r="M21" s="12" t="s">
        <v>333</v>
      </c>
    </row>
    <row r="22" spans="1:13" x14ac:dyDescent="0.2">
      <c r="A22" s="10" t="s">
        <v>75</v>
      </c>
      <c r="B22" s="83">
        <v>0</v>
      </c>
      <c r="C22" s="82" t="s">
        <v>333</v>
      </c>
      <c r="D22" s="83">
        <v>0</v>
      </c>
      <c r="E22" s="82" t="s">
        <v>333</v>
      </c>
      <c r="F22" s="83">
        <v>0</v>
      </c>
      <c r="G22" s="82" t="s">
        <v>333</v>
      </c>
      <c r="H22" s="83">
        <v>0</v>
      </c>
      <c r="I22" s="82" t="s">
        <v>333</v>
      </c>
      <c r="J22" s="83">
        <v>0</v>
      </c>
      <c r="K22" s="82" t="s">
        <v>333</v>
      </c>
      <c r="L22" s="81">
        <v>664974.83600000001</v>
      </c>
      <c r="M22" s="82" t="s">
        <v>333</v>
      </c>
    </row>
    <row r="23" spans="1:13" x14ac:dyDescent="0.2">
      <c r="A23" s="10" t="s">
        <v>76</v>
      </c>
      <c r="B23" s="20">
        <v>0</v>
      </c>
      <c r="C23" s="12" t="s">
        <v>333</v>
      </c>
      <c r="D23" s="20">
        <v>0</v>
      </c>
      <c r="E23" s="12" t="s">
        <v>333</v>
      </c>
      <c r="F23" s="20">
        <v>0</v>
      </c>
      <c r="G23" s="12" t="s">
        <v>333</v>
      </c>
      <c r="H23" s="20">
        <v>0</v>
      </c>
      <c r="I23" s="12" t="s">
        <v>333</v>
      </c>
      <c r="J23" s="20">
        <v>0</v>
      </c>
      <c r="K23" s="12" t="s">
        <v>333</v>
      </c>
      <c r="L23" s="11">
        <v>-32084.102999999999</v>
      </c>
      <c r="M23" s="12" t="s">
        <v>333</v>
      </c>
    </row>
    <row r="24" spans="1:13" x14ac:dyDescent="0.2">
      <c r="A24" s="10" t="s">
        <v>442</v>
      </c>
      <c r="B24" s="82" t="s">
        <v>202</v>
      </c>
      <c r="C24" s="82" t="s">
        <v>333</v>
      </c>
      <c r="D24" s="82" t="s">
        <v>202</v>
      </c>
      <c r="E24" s="82" t="s">
        <v>333</v>
      </c>
      <c r="F24" s="82" t="s">
        <v>202</v>
      </c>
      <c r="G24" s="82" t="s">
        <v>333</v>
      </c>
      <c r="H24" s="82" t="s">
        <v>202</v>
      </c>
      <c r="I24" s="82" t="s">
        <v>333</v>
      </c>
      <c r="J24" s="82" t="s">
        <v>202</v>
      </c>
      <c r="K24" s="82" t="s">
        <v>333</v>
      </c>
      <c r="L24" s="83">
        <v>0</v>
      </c>
      <c r="M24" s="82" t="s">
        <v>333</v>
      </c>
    </row>
    <row r="25" spans="1:13" x14ac:dyDescent="0.2">
      <c r="A25" s="10" t="s">
        <v>78</v>
      </c>
      <c r="B25" s="20">
        <v>0</v>
      </c>
      <c r="C25" s="12" t="s">
        <v>333</v>
      </c>
      <c r="D25" s="20">
        <v>0</v>
      </c>
      <c r="E25" s="12" t="s">
        <v>333</v>
      </c>
      <c r="F25" s="20">
        <v>0</v>
      </c>
      <c r="G25" s="12" t="s">
        <v>333</v>
      </c>
      <c r="H25" s="20">
        <v>0</v>
      </c>
      <c r="I25" s="12" t="s">
        <v>333</v>
      </c>
      <c r="J25" s="20">
        <v>0</v>
      </c>
      <c r="K25" s="12" t="s">
        <v>333</v>
      </c>
      <c r="L25" s="11">
        <v>9604.5190000000002</v>
      </c>
      <c r="M25" s="12" t="s">
        <v>333</v>
      </c>
    </row>
    <row r="26" spans="1:13" x14ac:dyDescent="0.2">
      <c r="A26" s="10" t="s">
        <v>443</v>
      </c>
      <c r="B26" s="81">
        <v>43816.264000000003</v>
      </c>
      <c r="C26" s="82" t="s">
        <v>333</v>
      </c>
      <c r="D26" s="81">
        <v>16684.744999999999</v>
      </c>
      <c r="E26" s="82" t="s">
        <v>333</v>
      </c>
      <c r="F26" s="83">
        <v>0</v>
      </c>
      <c r="G26" s="82" t="s">
        <v>333</v>
      </c>
      <c r="H26" s="81">
        <v>27131.519</v>
      </c>
      <c r="I26" s="82" t="s">
        <v>333</v>
      </c>
      <c r="J26" s="83">
        <v>0</v>
      </c>
      <c r="K26" s="82" t="s">
        <v>333</v>
      </c>
      <c r="L26" s="81">
        <v>1044591.243</v>
      </c>
      <c r="M26" s="82" t="s">
        <v>333</v>
      </c>
    </row>
    <row r="27" spans="1:13" x14ac:dyDescent="0.2">
      <c r="A27" s="10" t="s">
        <v>444</v>
      </c>
      <c r="B27" s="12" t="s">
        <v>202</v>
      </c>
      <c r="C27" s="12" t="s">
        <v>333</v>
      </c>
      <c r="D27" s="12" t="s">
        <v>202</v>
      </c>
      <c r="E27" s="12" t="s">
        <v>333</v>
      </c>
      <c r="F27" s="12" t="s">
        <v>202</v>
      </c>
      <c r="G27" s="12" t="s">
        <v>333</v>
      </c>
      <c r="H27" s="12" t="s">
        <v>202</v>
      </c>
      <c r="I27" s="12" t="s">
        <v>333</v>
      </c>
      <c r="J27" s="12" t="s">
        <v>202</v>
      </c>
      <c r="K27" s="12" t="s">
        <v>333</v>
      </c>
      <c r="L27" s="11">
        <v>1049006.487</v>
      </c>
      <c r="M27" s="12" t="s">
        <v>333</v>
      </c>
    </row>
    <row r="28" spans="1:13" x14ac:dyDescent="0.2">
      <c r="A28" s="10" t="s">
        <v>445</v>
      </c>
      <c r="B28" s="82" t="s">
        <v>202</v>
      </c>
      <c r="C28" s="82" t="s">
        <v>333</v>
      </c>
      <c r="D28" s="82" t="s">
        <v>202</v>
      </c>
      <c r="E28" s="82" t="s">
        <v>333</v>
      </c>
      <c r="F28" s="82" t="s">
        <v>202</v>
      </c>
      <c r="G28" s="82" t="s">
        <v>333</v>
      </c>
      <c r="H28" s="82" t="s">
        <v>202</v>
      </c>
      <c r="I28" s="82" t="s">
        <v>333</v>
      </c>
      <c r="J28" s="82" t="s">
        <v>202</v>
      </c>
      <c r="K28" s="82" t="s">
        <v>333</v>
      </c>
      <c r="L28" s="81">
        <v>1049006.4879999999</v>
      </c>
      <c r="M28" s="82" t="s">
        <v>333</v>
      </c>
    </row>
    <row r="29" spans="1:13" x14ac:dyDescent="0.2">
      <c r="A29" s="10" t="s">
        <v>204</v>
      </c>
      <c r="B29" s="11">
        <v>18328.772000000001</v>
      </c>
      <c r="C29" s="12" t="s">
        <v>333</v>
      </c>
      <c r="D29" s="11">
        <v>1587.268</v>
      </c>
      <c r="E29" s="12" t="s">
        <v>333</v>
      </c>
      <c r="F29" s="20">
        <v>0</v>
      </c>
      <c r="G29" s="12" t="s">
        <v>333</v>
      </c>
      <c r="H29" s="11">
        <v>16741.504000000001</v>
      </c>
      <c r="I29" s="12" t="s">
        <v>333</v>
      </c>
      <c r="J29" s="20">
        <v>0</v>
      </c>
      <c r="K29" s="12" t="s">
        <v>333</v>
      </c>
      <c r="L29" s="11">
        <v>345897.87199999997</v>
      </c>
      <c r="M29" s="12" t="s">
        <v>333</v>
      </c>
    </row>
    <row r="30" spans="1:13" x14ac:dyDescent="0.2">
      <c r="A30" s="10" t="s">
        <v>206</v>
      </c>
      <c r="B30" s="81">
        <v>15845.888000000001</v>
      </c>
      <c r="C30" s="82" t="s">
        <v>333</v>
      </c>
      <c r="D30" s="81">
        <v>1479.067</v>
      </c>
      <c r="E30" s="82" t="s">
        <v>333</v>
      </c>
      <c r="F30" s="83">
        <v>0</v>
      </c>
      <c r="G30" s="82" t="s">
        <v>333</v>
      </c>
      <c r="H30" s="81">
        <v>14366.821</v>
      </c>
      <c r="I30" s="82" t="s">
        <v>333</v>
      </c>
      <c r="J30" s="83">
        <v>0</v>
      </c>
      <c r="K30" s="82" t="s">
        <v>333</v>
      </c>
      <c r="L30" s="81">
        <v>153179.01800000001</v>
      </c>
      <c r="M30" s="82" t="s">
        <v>333</v>
      </c>
    </row>
    <row r="31" spans="1:13" x14ac:dyDescent="0.2">
      <c r="A31" s="10" t="s">
        <v>207</v>
      </c>
      <c r="B31" s="20">
        <v>1672.52</v>
      </c>
      <c r="C31" s="12" t="s">
        <v>333</v>
      </c>
      <c r="D31" s="11">
        <v>7.0999999999999994E-2</v>
      </c>
      <c r="E31" s="12" t="s">
        <v>333</v>
      </c>
      <c r="F31" s="20">
        <v>0</v>
      </c>
      <c r="G31" s="12" t="s">
        <v>333</v>
      </c>
      <c r="H31" s="11">
        <v>1672.4490000000001</v>
      </c>
      <c r="I31" s="12" t="s">
        <v>333</v>
      </c>
      <c r="J31" s="20">
        <v>0</v>
      </c>
      <c r="K31" s="12" t="s">
        <v>333</v>
      </c>
      <c r="L31" s="20">
        <v>87139.01</v>
      </c>
      <c r="M31" s="12" t="s">
        <v>333</v>
      </c>
    </row>
    <row r="32" spans="1:13" x14ac:dyDescent="0.2">
      <c r="A32" s="10" t="s">
        <v>208</v>
      </c>
      <c r="B32" s="83">
        <v>0</v>
      </c>
      <c r="C32" s="82" t="s">
        <v>333</v>
      </c>
      <c r="D32" s="83">
        <v>0</v>
      </c>
      <c r="E32" s="82" t="s">
        <v>333</v>
      </c>
      <c r="F32" s="83">
        <v>0</v>
      </c>
      <c r="G32" s="82" t="s">
        <v>333</v>
      </c>
      <c r="H32" s="83">
        <v>0</v>
      </c>
      <c r="I32" s="82" t="s">
        <v>333</v>
      </c>
      <c r="J32" s="83">
        <v>0</v>
      </c>
      <c r="K32" s="82" t="s">
        <v>333</v>
      </c>
      <c r="L32" s="81">
        <v>11769.215</v>
      </c>
      <c r="M32" s="82" t="s">
        <v>333</v>
      </c>
    </row>
    <row r="33" spans="1:13" x14ac:dyDescent="0.2">
      <c r="A33" s="10" t="s">
        <v>209</v>
      </c>
      <c r="B33" s="20">
        <v>0</v>
      </c>
      <c r="C33" s="12" t="s">
        <v>333</v>
      </c>
      <c r="D33" s="20">
        <v>0</v>
      </c>
      <c r="E33" s="12" t="s">
        <v>333</v>
      </c>
      <c r="F33" s="20">
        <v>0</v>
      </c>
      <c r="G33" s="12" t="s">
        <v>333</v>
      </c>
      <c r="H33" s="20">
        <v>0</v>
      </c>
      <c r="I33" s="12" t="s">
        <v>333</v>
      </c>
      <c r="J33" s="20">
        <v>0</v>
      </c>
      <c r="K33" s="12" t="s">
        <v>333</v>
      </c>
      <c r="L33" s="11">
        <v>2685.335</v>
      </c>
      <c r="M33" s="12" t="s">
        <v>333</v>
      </c>
    </row>
    <row r="34" spans="1:13" x14ac:dyDescent="0.2">
      <c r="A34" s="10" t="s">
        <v>210</v>
      </c>
      <c r="B34" s="81">
        <v>810.36400000000003</v>
      </c>
      <c r="C34" s="82" t="s">
        <v>333</v>
      </c>
      <c r="D34" s="83">
        <v>108.13</v>
      </c>
      <c r="E34" s="82" t="s">
        <v>333</v>
      </c>
      <c r="F34" s="83">
        <v>0</v>
      </c>
      <c r="G34" s="82" t="s">
        <v>333</v>
      </c>
      <c r="H34" s="81">
        <v>702.23400000000004</v>
      </c>
      <c r="I34" s="82" t="s">
        <v>333</v>
      </c>
      <c r="J34" s="83">
        <v>0</v>
      </c>
      <c r="K34" s="82" t="s">
        <v>333</v>
      </c>
      <c r="L34" s="81">
        <v>88437.591</v>
      </c>
      <c r="M34" s="82" t="s">
        <v>333</v>
      </c>
    </row>
    <row r="35" spans="1:13" x14ac:dyDescent="0.2">
      <c r="A35" s="10" t="s">
        <v>211</v>
      </c>
      <c r="B35" s="20">
        <v>0</v>
      </c>
      <c r="C35" s="12" t="s">
        <v>333</v>
      </c>
      <c r="D35" s="20">
        <v>0</v>
      </c>
      <c r="E35" s="12" t="s">
        <v>333</v>
      </c>
      <c r="F35" s="20">
        <v>0</v>
      </c>
      <c r="G35" s="12" t="s">
        <v>333</v>
      </c>
      <c r="H35" s="20">
        <v>0</v>
      </c>
      <c r="I35" s="12" t="s">
        <v>333</v>
      </c>
      <c r="J35" s="20">
        <v>0</v>
      </c>
      <c r="K35" s="12" t="s">
        <v>333</v>
      </c>
      <c r="L35" s="11">
        <v>2687.703</v>
      </c>
      <c r="M35" s="12" t="s">
        <v>333</v>
      </c>
    </row>
    <row r="36" spans="1:13" x14ac:dyDescent="0.2">
      <c r="A36" s="10" t="s">
        <v>216</v>
      </c>
      <c r="B36" s="83">
        <v>0</v>
      </c>
      <c r="C36" s="82" t="s">
        <v>333</v>
      </c>
      <c r="D36" s="83">
        <v>0</v>
      </c>
      <c r="E36" s="82" t="s">
        <v>333</v>
      </c>
      <c r="F36" s="83">
        <v>0</v>
      </c>
      <c r="G36" s="82" t="s">
        <v>333</v>
      </c>
      <c r="H36" s="83">
        <v>0</v>
      </c>
      <c r="I36" s="82" t="s">
        <v>333</v>
      </c>
      <c r="J36" s="83">
        <v>0</v>
      </c>
      <c r="K36" s="82" t="s">
        <v>333</v>
      </c>
      <c r="L36" s="83">
        <v>0</v>
      </c>
      <c r="M36" s="82" t="s">
        <v>333</v>
      </c>
    </row>
    <row r="37" spans="1:13" x14ac:dyDescent="0.2">
      <c r="A37" s="10" t="s">
        <v>217</v>
      </c>
      <c r="B37" s="20">
        <v>0</v>
      </c>
      <c r="C37" s="12" t="s">
        <v>333</v>
      </c>
      <c r="D37" s="20">
        <v>0</v>
      </c>
      <c r="E37" s="12" t="s">
        <v>333</v>
      </c>
      <c r="F37" s="20">
        <v>0</v>
      </c>
      <c r="G37" s="12" t="s">
        <v>333</v>
      </c>
      <c r="H37" s="20">
        <v>0</v>
      </c>
      <c r="I37" s="12" t="s">
        <v>333</v>
      </c>
      <c r="J37" s="20">
        <v>0</v>
      </c>
      <c r="K37" s="12" t="s">
        <v>333</v>
      </c>
      <c r="L37" s="20">
        <v>0</v>
      </c>
      <c r="M37" s="12" t="s">
        <v>333</v>
      </c>
    </row>
    <row r="38" spans="1:13" x14ac:dyDescent="0.2">
      <c r="A38" s="10" t="s">
        <v>218</v>
      </c>
      <c r="B38" s="83">
        <v>0</v>
      </c>
      <c r="C38" s="82" t="s">
        <v>333</v>
      </c>
      <c r="D38" s="83">
        <v>0</v>
      </c>
      <c r="E38" s="82" t="s">
        <v>333</v>
      </c>
      <c r="F38" s="83">
        <v>0</v>
      </c>
      <c r="G38" s="82" t="s">
        <v>333</v>
      </c>
      <c r="H38" s="83">
        <v>0</v>
      </c>
      <c r="I38" s="82" t="s">
        <v>333</v>
      </c>
      <c r="J38" s="83">
        <v>0</v>
      </c>
      <c r="K38" s="82" t="s">
        <v>333</v>
      </c>
      <c r="L38" s="83">
        <v>0</v>
      </c>
      <c r="M38" s="82" t="s">
        <v>333</v>
      </c>
    </row>
    <row r="39" spans="1:13" x14ac:dyDescent="0.2">
      <c r="A39" s="10" t="s">
        <v>226</v>
      </c>
      <c r="B39" s="20">
        <v>0</v>
      </c>
      <c r="C39" s="12" t="s">
        <v>333</v>
      </c>
      <c r="D39" s="20">
        <v>0</v>
      </c>
      <c r="E39" s="12" t="s">
        <v>333</v>
      </c>
      <c r="F39" s="20">
        <v>0</v>
      </c>
      <c r="G39" s="12" t="s">
        <v>333</v>
      </c>
      <c r="H39" s="20">
        <v>0</v>
      </c>
      <c r="I39" s="12" t="s">
        <v>333</v>
      </c>
      <c r="J39" s="20">
        <v>0</v>
      </c>
      <c r="K39" s="12" t="s">
        <v>333</v>
      </c>
      <c r="L39" s="12" t="s">
        <v>202</v>
      </c>
      <c r="M39" s="12" t="s">
        <v>333</v>
      </c>
    </row>
    <row r="40" spans="1:13" x14ac:dyDescent="0.2">
      <c r="A40" s="10" t="s">
        <v>227</v>
      </c>
      <c r="B40" s="83">
        <v>0</v>
      </c>
      <c r="C40" s="82" t="s">
        <v>333</v>
      </c>
      <c r="D40" s="83">
        <v>0</v>
      </c>
      <c r="E40" s="82" t="s">
        <v>333</v>
      </c>
      <c r="F40" s="83">
        <v>0</v>
      </c>
      <c r="G40" s="82" t="s">
        <v>333</v>
      </c>
      <c r="H40" s="83">
        <v>0</v>
      </c>
      <c r="I40" s="82" t="s">
        <v>333</v>
      </c>
      <c r="J40" s="83">
        <v>0</v>
      </c>
      <c r="K40" s="82" t="s">
        <v>333</v>
      </c>
      <c r="L40" s="82" t="s">
        <v>202</v>
      </c>
      <c r="M40" s="82" t="s">
        <v>333</v>
      </c>
    </row>
    <row r="41" spans="1:13" x14ac:dyDescent="0.2">
      <c r="A41" s="10" t="s">
        <v>228</v>
      </c>
      <c r="B41" s="20">
        <v>0</v>
      </c>
      <c r="C41" s="12" t="s">
        <v>333</v>
      </c>
      <c r="D41" s="20">
        <v>0</v>
      </c>
      <c r="E41" s="12" t="s">
        <v>333</v>
      </c>
      <c r="F41" s="20">
        <v>0</v>
      </c>
      <c r="G41" s="12" t="s">
        <v>333</v>
      </c>
      <c r="H41" s="20">
        <v>0</v>
      </c>
      <c r="I41" s="12" t="s">
        <v>333</v>
      </c>
      <c r="J41" s="20">
        <v>0</v>
      </c>
      <c r="K41" s="12" t="s">
        <v>333</v>
      </c>
      <c r="L41" s="12" t="s">
        <v>202</v>
      </c>
      <c r="M41" s="12" t="s">
        <v>333</v>
      </c>
    </row>
    <row r="42" spans="1:13" x14ac:dyDescent="0.2">
      <c r="A42" s="10" t="s">
        <v>391</v>
      </c>
      <c r="B42" s="83">
        <v>0</v>
      </c>
      <c r="C42" s="82" t="s">
        <v>333</v>
      </c>
      <c r="D42" s="83">
        <v>0</v>
      </c>
      <c r="E42" s="82" t="s">
        <v>333</v>
      </c>
      <c r="F42" s="83">
        <v>0</v>
      </c>
      <c r="G42" s="82" t="s">
        <v>333</v>
      </c>
      <c r="H42" s="83">
        <v>0</v>
      </c>
      <c r="I42" s="82" t="s">
        <v>333</v>
      </c>
      <c r="J42" s="83">
        <v>0</v>
      </c>
      <c r="K42" s="82" t="s">
        <v>333</v>
      </c>
      <c r="L42" s="82" t="s">
        <v>202</v>
      </c>
      <c r="M42" s="82" t="s">
        <v>333</v>
      </c>
    </row>
    <row r="43" spans="1:13" x14ac:dyDescent="0.2">
      <c r="A43" s="10" t="s">
        <v>231</v>
      </c>
      <c r="B43" s="12" t="s">
        <v>202</v>
      </c>
      <c r="C43" s="12" t="s">
        <v>333</v>
      </c>
      <c r="D43" s="12" t="s">
        <v>202</v>
      </c>
      <c r="E43" s="12" t="s">
        <v>333</v>
      </c>
      <c r="F43" s="12" t="s">
        <v>202</v>
      </c>
      <c r="G43" s="12" t="s">
        <v>333</v>
      </c>
      <c r="H43" s="12" t="s">
        <v>202</v>
      </c>
      <c r="I43" s="12" t="s">
        <v>333</v>
      </c>
      <c r="J43" s="12" t="s">
        <v>202</v>
      </c>
      <c r="K43" s="12" t="s">
        <v>333</v>
      </c>
      <c r="L43" s="20">
        <v>0</v>
      </c>
      <c r="M43" s="12" t="s">
        <v>333</v>
      </c>
    </row>
    <row r="44" spans="1:13" x14ac:dyDescent="0.2">
      <c r="A44" s="10" t="s">
        <v>446</v>
      </c>
      <c r="B44" s="82" t="s">
        <v>202</v>
      </c>
      <c r="C44" s="82" t="s">
        <v>333</v>
      </c>
      <c r="D44" s="82" t="s">
        <v>202</v>
      </c>
      <c r="E44" s="82" t="s">
        <v>333</v>
      </c>
      <c r="F44" s="82" t="s">
        <v>202</v>
      </c>
      <c r="G44" s="82" t="s">
        <v>333</v>
      </c>
      <c r="H44" s="82" t="s">
        <v>202</v>
      </c>
      <c r="I44" s="82" t="s">
        <v>333</v>
      </c>
      <c r="J44" s="82" t="s">
        <v>202</v>
      </c>
      <c r="K44" s="82" t="s">
        <v>333</v>
      </c>
      <c r="L44" s="83">
        <v>0</v>
      </c>
      <c r="M44" s="82" t="s">
        <v>333</v>
      </c>
    </row>
    <row r="45" spans="1:13" x14ac:dyDescent="0.2">
      <c r="A45" s="10" t="s">
        <v>232</v>
      </c>
      <c r="B45" s="20">
        <v>0</v>
      </c>
      <c r="C45" s="12" t="s">
        <v>333</v>
      </c>
      <c r="D45" s="20">
        <v>0</v>
      </c>
      <c r="E45" s="12" t="s">
        <v>333</v>
      </c>
      <c r="F45" s="20">
        <v>0</v>
      </c>
      <c r="G45" s="12" t="s">
        <v>333</v>
      </c>
      <c r="H45" s="20">
        <v>0</v>
      </c>
      <c r="I45" s="12" t="s">
        <v>333</v>
      </c>
      <c r="J45" s="20">
        <v>0</v>
      </c>
      <c r="K45" s="12" t="s">
        <v>333</v>
      </c>
      <c r="L45" s="20">
        <v>0</v>
      </c>
      <c r="M45" s="12" t="s">
        <v>333</v>
      </c>
    </row>
    <row r="46" spans="1:13" x14ac:dyDescent="0.2">
      <c r="A46" s="10" t="s">
        <v>262</v>
      </c>
      <c r="B46" s="81">
        <v>13590.696</v>
      </c>
      <c r="C46" s="82" t="s">
        <v>333</v>
      </c>
      <c r="D46" s="81">
        <v>7993.5839999999998</v>
      </c>
      <c r="E46" s="82" t="s">
        <v>333</v>
      </c>
      <c r="F46" s="83">
        <v>0</v>
      </c>
      <c r="G46" s="82" t="s">
        <v>333</v>
      </c>
      <c r="H46" s="81">
        <v>5597.1120000000001</v>
      </c>
      <c r="I46" s="82" t="s">
        <v>333</v>
      </c>
      <c r="J46" s="83">
        <v>0</v>
      </c>
      <c r="K46" s="82" t="s">
        <v>333</v>
      </c>
      <c r="L46" s="81">
        <v>36056.898999999998</v>
      </c>
      <c r="M46" s="82" t="s">
        <v>333</v>
      </c>
    </row>
    <row r="47" spans="1:13" x14ac:dyDescent="0.2">
      <c r="A47" s="10" t="s">
        <v>263</v>
      </c>
      <c r="B47" s="20">
        <v>0</v>
      </c>
      <c r="C47" s="12" t="s">
        <v>333</v>
      </c>
      <c r="D47" s="20">
        <v>0</v>
      </c>
      <c r="E47" s="12" t="s">
        <v>333</v>
      </c>
      <c r="F47" s="20">
        <v>0</v>
      </c>
      <c r="G47" s="12" t="s">
        <v>333</v>
      </c>
      <c r="H47" s="20">
        <v>0</v>
      </c>
      <c r="I47" s="12" t="s">
        <v>333</v>
      </c>
      <c r="J47" s="20">
        <v>0</v>
      </c>
      <c r="K47" s="12" t="s">
        <v>333</v>
      </c>
      <c r="L47" s="11">
        <v>22.402999999999999</v>
      </c>
      <c r="M47" s="12" t="s">
        <v>333</v>
      </c>
    </row>
    <row r="48" spans="1:13" x14ac:dyDescent="0.2">
      <c r="A48" s="10" t="s">
        <v>264</v>
      </c>
      <c r="B48" s="83">
        <v>0</v>
      </c>
      <c r="C48" s="82" t="s">
        <v>333</v>
      </c>
      <c r="D48" s="83">
        <v>0</v>
      </c>
      <c r="E48" s="82" t="s">
        <v>333</v>
      </c>
      <c r="F48" s="83">
        <v>0</v>
      </c>
      <c r="G48" s="82" t="s">
        <v>333</v>
      </c>
      <c r="H48" s="83">
        <v>0</v>
      </c>
      <c r="I48" s="82" t="s">
        <v>333</v>
      </c>
      <c r="J48" s="83">
        <v>0</v>
      </c>
      <c r="K48" s="82" t="s">
        <v>333</v>
      </c>
      <c r="L48" s="83">
        <v>0</v>
      </c>
      <c r="M48" s="82" t="s">
        <v>333</v>
      </c>
    </row>
    <row r="49" spans="1:13" x14ac:dyDescent="0.2">
      <c r="A49" s="10" t="s">
        <v>265</v>
      </c>
      <c r="B49" s="12" t="s">
        <v>202</v>
      </c>
      <c r="C49" s="12" t="s">
        <v>333</v>
      </c>
      <c r="D49" s="12" t="s">
        <v>202</v>
      </c>
      <c r="E49" s="12" t="s">
        <v>333</v>
      </c>
      <c r="F49" s="12" t="s">
        <v>202</v>
      </c>
      <c r="G49" s="12" t="s">
        <v>333</v>
      </c>
      <c r="H49" s="12" t="s">
        <v>202</v>
      </c>
      <c r="I49" s="12" t="s">
        <v>333</v>
      </c>
      <c r="J49" s="12" t="s">
        <v>202</v>
      </c>
      <c r="K49" s="12" t="s">
        <v>333</v>
      </c>
      <c r="L49" s="11">
        <v>15709.629000000001</v>
      </c>
      <c r="M49" s="12" t="s">
        <v>333</v>
      </c>
    </row>
    <row r="50" spans="1:13" x14ac:dyDescent="0.2">
      <c r="A50" s="10" t="s">
        <v>266</v>
      </c>
      <c r="B50" s="83">
        <v>0</v>
      </c>
      <c r="C50" s="82" t="s">
        <v>333</v>
      </c>
      <c r="D50" s="83">
        <v>0</v>
      </c>
      <c r="E50" s="82" t="s">
        <v>333</v>
      </c>
      <c r="F50" s="83">
        <v>0</v>
      </c>
      <c r="G50" s="82" t="s">
        <v>333</v>
      </c>
      <c r="H50" s="83">
        <v>0</v>
      </c>
      <c r="I50" s="82" t="s">
        <v>333</v>
      </c>
      <c r="J50" s="83">
        <v>0</v>
      </c>
      <c r="K50" s="82" t="s">
        <v>333</v>
      </c>
      <c r="L50" s="82" t="s">
        <v>202</v>
      </c>
      <c r="M50" s="82" t="s">
        <v>333</v>
      </c>
    </row>
    <row r="51" spans="1:13" x14ac:dyDescent="0.2">
      <c r="A51" s="10" t="s">
        <v>267</v>
      </c>
      <c r="B51" s="11">
        <v>7679.2830000000004</v>
      </c>
      <c r="C51" s="12" t="s">
        <v>333</v>
      </c>
      <c r="D51" s="11">
        <v>7519.5140000000001</v>
      </c>
      <c r="E51" s="12" t="s">
        <v>333</v>
      </c>
      <c r="F51" s="20">
        <v>0</v>
      </c>
      <c r="G51" s="12" t="s">
        <v>333</v>
      </c>
      <c r="H51" s="11">
        <v>159.76900000000001</v>
      </c>
      <c r="I51" s="12" t="s">
        <v>333</v>
      </c>
      <c r="J51" s="20">
        <v>0</v>
      </c>
      <c r="K51" s="12" t="s">
        <v>333</v>
      </c>
      <c r="L51" s="20">
        <v>0</v>
      </c>
      <c r="M51" s="12" t="s">
        <v>333</v>
      </c>
    </row>
    <row r="52" spans="1:13" x14ac:dyDescent="0.2">
      <c r="A52" s="10" t="s">
        <v>268</v>
      </c>
      <c r="B52" s="83">
        <v>0</v>
      </c>
      <c r="C52" s="82" t="s">
        <v>333</v>
      </c>
      <c r="D52" s="83">
        <v>0</v>
      </c>
      <c r="E52" s="82" t="s">
        <v>333</v>
      </c>
      <c r="F52" s="83">
        <v>0</v>
      </c>
      <c r="G52" s="82" t="s">
        <v>333</v>
      </c>
      <c r="H52" s="83">
        <v>0</v>
      </c>
      <c r="I52" s="82" t="s">
        <v>333</v>
      </c>
      <c r="J52" s="83">
        <v>0</v>
      </c>
      <c r="K52" s="82" t="s">
        <v>333</v>
      </c>
      <c r="L52" s="82" t="s">
        <v>202</v>
      </c>
      <c r="M52" s="82" t="s">
        <v>333</v>
      </c>
    </row>
    <row r="53" spans="1:13" x14ac:dyDescent="0.2">
      <c r="A53" s="10" t="s">
        <v>269</v>
      </c>
      <c r="B53" s="20">
        <v>0</v>
      </c>
      <c r="C53" s="12" t="s">
        <v>333</v>
      </c>
      <c r="D53" s="20">
        <v>0</v>
      </c>
      <c r="E53" s="12" t="s">
        <v>333</v>
      </c>
      <c r="F53" s="20">
        <v>0</v>
      </c>
      <c r="G53" s="12" t="s">
        <v>333</v>
      </c>
      <c r="H53" s="20">
        <v>0</v>
      </c>
      <c r="I53" s="12" t="s">
        <v>333</v>
      </c>
      <c r="J53" s="20">
        <v>0</v>
      </c>
      <c r="K53" s="12" t="s">
        <v>333</v>
      </c>
      <c r="L53" s="20">
        <v>0</v>
      </c>
      <c r="M53" s="12" t="s">
        <v>333</v>
      </c>
    </row>
    <row r="54" spans="1:13" x14ac:dyDescent="0.2">
      <c r="A54" s="10" t="s">
        <v>270</v>
      </c>
      <c r="B54" s="81">
        <v>5911.4129999999996</v>
      </c>
      <c r="C54" s="82" t="s">
        <v>333</v>
      </c>
      <c r="D54" s="83">
        <v>474.07</v>
      </c>
      <c r="E54" s="82" t="s">
        <v>333</v>
      </c>
      <c r="F54" s="83">
        <v>0</v>
      </c>
      <c r="G54" s="82" t="s">
        <v>333</v>
      </c>
      <c r="H54" s="81">
        <v>5437.3429999999998</v>
      </c>
      <c r="I54" s="82" t="s">
        <v>333</v>
      </c>
      <c r="J54" s="83">
        <v>0</v>
      </c>
      <c r="K54" s="82" t="s">
        <v>333</v>
      </c>
      <c r="L54" s="81">
        <v>582.697</v>
      </c>
      <c r="M54" s="82" t="s">
        <v>333</v>
      </c>
    </row>
    <row r="55" spans="1:13" x14ac:dyDescent="0.2">
      <c r="A55" s="10" t="s">
        <v>271</v>
      </c>
      <c r="B55" s="20">
        <v>0</v>
      </c>
      <c r="C55" s="12" t="s">
        <v>333</v>
      </c>
      <c r="D55" s="20">
        <v>0</v>
      </c>
      <c r="E55" s="12" t="s">
        <v>333</v>
      </c>
      <c r="F55" s="20">
        <v>0</v>
      </c>
      <c r="G55" s="12" t="s">
        <v>333</v>
      </c>
      <c r="H55" s="20">
        <v>0</v>
      </c>
      <c r="I55" s="12" t="s">
        <v>333</v>
      </c>
      <c r="J55" s="20">
        <v>0</v>
      </c>
      <c r="K55" s="12" t="s">
        <v>333</v>
      </c>
      <c r="L55" s="11">
        <v>19001.248</v>
      </c>
      <c r="M55" s="12" t="s">
        <v>333</v>
      </c>
    </row>
    <row r="56" spans="1:13" x14ac:dyDescent="0.2">
      <c r="A56" s="10" t="s">
        <v>273</v>
      </c>
      <c r="B56" s="83">
        <v>0</v>
      </c>
      <c r="C56" s="82" t="s">
        <v>333</v>
      </c>
      <c r="D56" s="83">
        <v>0</v>
      </c>
      <c r="E56" s="82" t="s">
        <v>333</v>
      </c>
      <c r="F56" s="83">
        <v>0</v>
      </c>
      <c r="G56" s="82" t="s">
        <v>333</v>
      </c>
      <c r="H56" s="83">
        <v>0</v>
      </c>
      <c r="I56" s="82" t="s">
        <v>333</v>
      </c>
      <c r="J56" s="83">
        <v>0</v>
      </c>
      <c r="K56" s="82" t="s">
        <v>333</v>
      </c>
      <c r="L56" s="82" t="s">
        <v>202</v>
      </c>
      <c r="M56" s="82" t="s">
        <v>333</v>
      </c>
    </row>
    <row r="57" spans="1:13" x14ac:dyDescent="0.2">
      <c r="A57" s="10" t="s">
        <v>274</v>
      </c>
      <c r="B57" s="12" t="s">
        <v>202</v>
      </c>
      <c r="C57" s="12" t="s">
        <v>333</v>
      </c>
      <c r="D57" s="12" t="s">
        <v>202</v>
      </c>
      <c r="E57" s="12" t="s">
        <v>333</v>
      </c>
      <c r="F57" s="12" t="s">
        <v>202</v>
      </c>
      <c r="G57" s="12" t="s">
        <v>333</v>
      </c>
      <c r="H57" s="12" t="s">
        <v>202</v>
      </c>
      <c r="I57" s="12" t="s">
        <v>333</v>
      </c>
      <c r="J57" s="12" t="s">
        <v>202</v>
      </c>
      <c r="K57" s="12" t="s">
        <v>333</v>
      </c>
      <c r="L57" s="20">
        <v>0</v>
      </c>
      <c r="M57" s="12" t="s">
        <v>333</v>
      </c>
    </row>
    <row r="58" spans="1:13" x14ac:dyDescent="0.2">
      <c r="A58" s="10" t="s">
        <v>276</v>
      </c>
      <c r="B58" s="82" t="s">
        <v>202</v>
      </c>
      <c r="C58" s="82" t="s">
        <v>333</v>
      </c>
      <c r="D58" s="82" t="s">
        <v>202</v>
      </c>
      <c r="E58" s="82" t="s">
        <v>333</v>
      </c>
      <c r="F58" s="82" t="s">
        <v>202</v>
      </c>
      <c r="G58" s="82" t="s">
        <v>333</v>
      </c>
      <c r="H58" s="82" t="s">
        <v>202</v>
      </c>
      <c r="I58" s="82" t="s">
        <v>333</v>
      </c>
      <c r="J58" s="82" t="s">
        <v>202</v>
      </c>
      <c r="K58" s="82" t="s">
        <v>333</v>
      </c>
      <c r="L58" s="83">
        <v>0</v>
      </c>
      <c r="M58" s="82" t="s">
        <v>333</v>
      </c>
    </row>
    <row r="59" spans="1:13" x14ac:dyDescent="0.2">
      <c r="A59" s="10" t="s">
        <v>447</v>
      </c>
      <c r="B59" s="12" t="s">
        <v>202</v>
      </c>
      <c r="C59" s="12" t="s">
        <v>333</v>
      </c>
      <c r="D59" s="12" t="s">
        <v>202</v>
      </c>
      <c r="E59" s="12" t="s">
        <v>333</v>
      </c>
      <c r="F59" s="12" t="s">
        <v>202</v>
      </c>
      <c r="G59" s="12" t="s">
        <v>333</v>
      </c>
      <c r="H59" s="12" t="s">
        <v>202</v>
      </c>
      <c r="I59" s="12" t="s">
        <v>333</v>
      </c>
      <c r="J59" s="12" t="s">
        <v>202</v>
      </c>
      <c r="K59" s="12" t="s">
        <v>333</v>
      </c>
      <c r="L59" s="20">
        <v>0</v>
      </c>
      <c r="M59" s="12" t="s">
        <v>333</v>
      </c>
    </row>
    <row r="60" spans="1:13" x14ac:dyDescent="0.2">
      <c r="A60" s="10" t="s">
        <v>278</v>
      </c>
      <c r="B60" s="83">
        <v>0</v>
      </c>
      <c r="C60" s="82" t="s">
        <v>333</v>
      </c>
      <c r="D60" s="83">
        <v>0</v>
      </c>
      <c r="E60" s="82" t="s">
        <v>333</v>
      </c>
      <c r="F60" s="83">
        <v>0</v>
      </c>
      <c r="G60" s="82" t="s">
        <v>333</v>
      </c>
      <c r="H60" s="83">
        <v>0</v>
      </c>
      <c r="I60" s="82" t="s">
        <v>333</v>
      </c>
      <c r="J60" s="83">
        <v>0</v>
      </c>
      <c r="K60" s="82" t="s">
        <v>333</v>
      </c>
      <c r="L60" s="81">
        <v>740.92200000000003</v>
      </c>
      <c r="M60" s="82" t="s">
        <v>333</v>
      </c>
    </row>
    <row r="61" spans="1:13" x14ac:dyDescent="0.2">
      <c r="A61" s="10" t="s">
        <v>448</v>
      </c>
      <c r="B61" s="12" t="s">
        <v>202</v>
      </c>
      <c r="C61" s="12" t="s">
        <v>333</v>
      </c>
      <c r="D61" s="12" t="s">
        <v>202</v>
      </c>
      <c r="E61" s="12" t="s">
        <v>333</v>
      </c>
      <c r="F61" s="12" t="s">
        <v>202</v>
      </c>
      <c r="G61" s="12" t="s">
        <v>333</v>
      </c>
      <c r="H61" s="12" t="s">
        <v>202</v>
      </c>
      <c r="I61" s="12" t="s">
        <v>333</v>
      </c>
      <c r="J61" s="12" t="s">
        <v>202</v>
      </c>
      <c r="K61" s="12" t="s">
        <v>333</v>
      </c>
      <c r="L61" s="11">
        <v>52.713999999999999</v>
      </c>
      <c r="M61" s="12" t="s">
        <v>333</v>
      </c>
    </row>
    <row r="62" spans="1:13" x14ac:dyDescent="0.2">
      <c r="A62" s="10" t="s">
        <v>98</v>
      </c>
      <c r="B62" s="83">
        <v>0</v>
      </c>
      <c r="C62" s="82" t="s">
        <v>333</v>
      </c>
      <c r="D62" s="83">
        <v>0</v>
      </c>
      <c r="E62" s="82" t="s">
        <v>333</v>
      </c>
      <c r="F62" s="83">
        <v>0</v>
      </c>
      <c r="G62" s="82" t="s">
        <v>333</v>
      </c>
      <c r="H62" s="83">
        <v>0</v>
      </c>
      <c r="I62" s="82" t="s">
        <v>333</v>
      </c>
      <c r="J62" s="83">
        <v>0</v>
      </c>
      <c r="K62" s="82" t="s">
        <v>333</v>
      </c>
      <c r="L62" s="83">
        <v>0</v>
      </c>
      <c r="M62" s="82" t="s">
        <v>333</v>
      </c>
    </row>
    <row r="63" spans="1:13" x14ac:dyDescent="0.2">
      <c r="A63" s="10" t="s">
        <v>449</v>
      </c>
      <c r="B63" s="12" t="s">
        <v>202</v>
      </c>
      <c r="C63" s="12" t="s">
        <v>333</v>
      </c>
      <c r="D63" s="12" t="s">
        <v>202</v>
      </c>
      <c r="E63" s="12" t="s">
        <v>333</v>
      </c>
      <c r="F63" s="12" t="s">
        <v>202</v>
      </c>
      <c r="G63" s="12" t="s">
        <v>333</v>
      </c>
      <c r="H63" s="12" t="s">
        <v>202</v>
      </c>
      <c r="I63" s="12" t="s">
        <v>333</v>
      </c>
      <c r="J63" s="12" t="s">
        <v>202</v>
      </c>
      <c r="K63" s="12" t="s">
        <v>333</v>
      </c>
      <c r="L63" s="20">
        <v>0</v>
      </c>
      <c r="M63" s="12" t="s">
        <v>333</v>
      </c>
    </row>
    <row r="64" spans="1:13" x14ac:dyDescent="0.2">
      <c r="A64" s="10" t="s">
        <v>450</v>
      </c>
      <c r="B64" s="82" t="s">
        <v>202</v>
      </c>
      <c r="C64" s="82" t="s">
        <v>333</v>
      </c>
      <c r="D64" s="82" t="s">
        <v>202</v>
      </c>
      <c r="E64" s="82" t="s">
        <v>333</v>
      </c>
      <c r="F64" s="82" t="s">
        <v>202</v>
      </c>
      <c r="G64" s="82" t="s">
        <v>333</v>
      </c>
      <c r="H64" s="82" t="s">
        <v>202</v>
      </c>
      <c r="I64" s="82" t="s">
        <v>333</v>
      </c>
      <c r="J64" s="82" t="s">
        <v>202</v>
      </c>
      <c r="K64" s="82" t="s">
        <v>333</v>
      </c>
      <c r="L64" s="83">
        <v>0</v>
      </c>
      <c r="M64" s="82" t="s">
        <v>333</v>
      </c>
    </row>
    <row r="65" spans="1:13" x14ac:dyDescent="0.2">
      <c r="A65" s="10" t="s">
        <v>451</v>
      </c>
      <c r="B65" s="12" t="s">
        <v>202</v>
      </c>
      <c r="C65" s="12" t="s">
        <v>333</v>
      </c>
      <c r="D65" s="12" t="s">
        <v>202</v>
      </c>
      <c r="E65" s="12" t="s">
        <v>333</v>
      </c>
      <c r="F65" s="12" t="s">
        <v>202</v>
      </c>
      <c r="G65" s="12" t="s">
        <v>333</v>
      </c>
      <c r="H65" s="12" t="s">
        <v>202</v>
      </c>
      <c r="I65" s="12" t="s">
        <v>333</v>
      </c>
      <c r="J65" s="12" t="s">
        <v>202</v>
      </c>
      <c r="K65" s="12" t="s">
        <v>333</v>
      </c>
      <c r="L65" s="20">
        <v>0</v>
      </c>
      <c r="M65" s="12" t="s">
        <v>333</v>
      </c>
    </row>
    <row r="66" spans="1:13" x14ac:dyDescent="0.2">
      <c r="A66" s="10" t="s">
        <v>452</v>
      </c>
      <c r="B66" s="82" t="s">
        <v>202</v>
      </c>
      <c r="C66" s="82" t="s">
        <v>333</v>
      </c>
      <c r="D66" s="82" t="s">
        <v>202</v>
      </c>
      <c r="E66" s="82" t="s">
        <v>333</v>
      </c>
      <c r="F66" s="82" t="s">
        <v>202</v>
      </c>
      <c r="G66" s="82" t="s">
        <v>333</v>
      </c>
      <c r="H66" s="82" t="s">
        <v>202</v>
      </c>
      <c r="I66" s="82" t="s">
        <v>333</v>
      </c>
      <c r="J66" s="82" t="s">
        <v>202</v>
      </c>
      <c r="K66" s="82" t="s">
        <v>333</v>
      </c>
      <c r="L66" s="81">
        <v>702.43200000000002</v>
      </c>
      <c r="M66" s="82" t="s">
        <v>333</v>
      </c>
    </row>
    <row r="67" spans="1:13" x14ac:dyDescent="0.2">
      <c r="A67" s="10" t="s">
        <v>453</v>
      </c>
      <c r="B67" s="11">
        <v>11896.795</v>
      </c>
      <c r="C67" s="12" t="s">
        <v>333</v>
      </c>
      <c r="D67" s="11">
        <v>7103.893</v>
      </c>
      <c r="E67" s="12" t="s">
        <v>333</v>
      </c>
      <c r="F67" s="20">
        <v>0</v>
      </c>
      <c r="G67" s="12" t="s">
        <v>333</v>
      </c>
      <c r="H67" s="11">
        <v>4792.902</v>
      </c>
      <c r="I67" s="12" t="s">
        <v>333</v>
      </c>
      <c r="J67" s="20">
        <v>0</v>
      </c>
      <c r="K67" s="12" t="s">
        <v>333</v>
      </c>
      <c r="L67" s="11">
        <v>666999.00300000003</v>
      </c>
      <c r="M67" s="12" t="s">
        <v>333</v>
      </c>
    </row>
    <row r="68" spans="1:13" x14ac:dyDescent="0.2">
      <c r="A68" s="10" t="s">
        <v>279</v>
      </c>
      <c r="B68" s="83">
        <v>0</v>
      </c>
      <c r="C68" s="82" t="s">
        <v>333</v>
      </c>
      <c r="D68" s="83">
        <v>0</v>
      </c>
      <c r="E68" s="82" t="s">
        <v>333</v>
      </c>
      <c r="F68" s="83">
        <v>0</v>
      </c>
      <c r="G68" s="82" t="s">
        <v>333</v>
      </c>
      <c r="H68" s="83">
        <v>0</v>
      </c>
      <c r="I68" s="82" t="s">
        <v>333</v>
      </c>
      <c r="J68" s="83">
        <v>0</v>
      </c>
      <c r="K68" s="82" t="s">
        <v>333</v>
      </c>
      <c r="L68" s="81">
        <v>74463.053</v>
      </c>
      <c r="M68" s="82" t="s">
        <v>333</v>
      </c>
    </row>
    <row r="69" spans="1:13" x14ac:dyDescent="0.2">
      <c r="A69" s="10" t="s">
        <v>280</v>
      </c>
      <c r="B69" s="20">
        <v>0</v>
      </c>
      <c r="C69" s="12" t="s">
        <v>333</v>
      </c>
      <c r="D69" s="20">
        <v>0</v>
      </c>
      <c r="E69" s="12" t="s">
        <v>333</v>
      </c>
      <c r="F69" s="20">
        <v>0</v>
      </c>
      <c r="G69" s="12" t="s">
        <v>333</v>
      </c>
      <c r="H69" s="20">
        <v>0</v>
      </c>
      <c r="I69" s="12" t="s">
        <v>333</v>
      </c>
      <c r="J69" s="20">
        <v>0</v>
      </c>
      <c r="K69" s="12" t="s">
        <v>333</v>
      </c>
      <c r="L69" s="12" t="s">
        <v>202</v>
      </c>
      <c r="M69" s="12" t="s">
        <v>333</v>
      </c>
    </row>
    <row r="70" spans="1:13" x14ac:dyDescent="0.2">
      <c r="A70" s="10" t="s">
        <v>283</v>
      </c>
      <c r="B70" s="82" t="s">
        <v>202</v>
      </c>
      <c r="C70" s="82" t="s">
        <v>333</v>
      </c>
      <c r="D70" s="82" t="s">
        <v>202</v>
      </c>
      <c r="E70" s="82" t="s">
        <v>333</v>
      </c>
      <c r="F70" s="82" t="s">
        <v>202</v>
      </c>
      <c r="G70" s="82" t="s">
        <v>333</v>
      </c>
      <c r="H70" s="82" t="s">
        <v>202</v>
      </c>
      <c r="I70" s="82" t="s">
        <v>333</v>
      </c>
      <c r="J70" s="82" t="s">
        <v>202</v>
      </c>
      <c r="K70" s="82" t="s">
        <v>333</v>
      </c>
      <c r="L70" s="81">
        <v>74420.880999999994</v>
      </c>
      <c r="M70" s="82" t="s">
        <v>333</v>
      </c>
    </row>
    <row r="71" spans="1:13" x14ac:dyDescent="0.2">
      <c r="A71" s="10" t="s">
        <v>284</v>
      </c>
      <c r="B71" s="20">
        <v>0</v>
      </c>
      <c r="C71" s="12" t="s">
        <v>333</v>
      </c>
      <c r="D71" s="20">
        <v>0</v>
      </c>
      <c r="E71" s="12" t="s">
        <v>333</v>
      </c>
      <c r="F71" s="20">
        <v>0</v>
      </c>
      <c r="G71" s="12" t="s">
        <v>333</v>
      </c>
      <c r="H71" s="20">
        <v>0</v>
      </c>
      <c r="I71" s="12" t="s">
        <v>333</v>
      </c>
      <c r="J71" s="20">
        <v>0</v>
      </c>
      <c r="K71" s="12" t="s">
        <v>333</v>
      </c>
      <c r="L71" s="20">
        <v>0</v>
      </c>
      <c r="M71" s="12" t="s">
        <v>333</v>
      </c>
    </row>
    <row r="72" spans="1:13" x14ac:dyDescent="0.2">
      <c r="A72" s="10" t="s">
        <v>285</v>
      </c>
      <c r="B72" s="83">
        <v>0</v>
      </c>
      <c r="C72" s="82" t="s">
        <v>333</v>
      </c>
      <c r="D72" s="83">
        <v>0</v>
      </c>
      <c r="E72" s="82" t="s">
        <v>333</v>
      </c>
      <c r="F72" s="83">
        <v>0</v>
      </c>
      <c r="G72" s="82" t="s">
        <v>333</v>
      </c>
      <c r="H72" s="83">
        <v>0</v>
      </c>
      <c r="I72" s="82" t="s">
        <v>333</v>
      </c>
      <c r="J72" s="83">
        <v>0</v>
      </c>
      <c r="K72" s="82" t="s">
        <v>333</v>
      </c>
      <c r="L72" s="81">
        <v>42.171999999999997</v>
      </c>
      <c r="M72" s="82" t="s">
        <v>333</v>
      </c>
    </row>
    <row r="73" spans="1:13" x14ac:dyDescent="0.2">
      <c r="A73" s="10" t="s">
        <v>286</v>
      </c>
      <c r="B73" s="11">
        <v>11896.795</v>
      </c>
      <c r="C73" s="12" t="s">
        <v>333</v>
      </c>
      <c r="D73" s="11">
        <v>7103.893</v>
      </c>
      <c r="E73" s="12" t="s">
        <v>333</v>
      </c>
      <c r="F73" s="20">
        <v>0</v>
      </c>
      <c r="G73" s="12" t="s">
        <v>333</v>
      </c>
      <c r="H73" s="11">
        <v>4792.902</v>
      </c>
      <c r="I73" s="12" t="s">
        <v>333</v>
      </c>
      <c r="J73" s="20">
        <v>0</v>
      </c>
      <c r="K73" s="12" t="s">
        <v>333</v>
      </c>
      <c r="L73" s="20">
        <v>592535.94999999995</v>
      </c>
      <c r="M73" s="12" t="s">
        <v>333</v>
      </c>
    </row>
    <row r="74" spans="1:13" x14ac:dyDescent="0.2">
      <c r="A74" s="10" t="s">
        <v>287</v>
      </c>
      <c r="B74" s="81">
        <v>11896.795</v>
      </c>
      <c r="C74" s="82" t="s">
        <v>333</v>
      </c>
      <c r="D74" s="81">
        <v>7103.893</v>
      </c>
      <c r="E74" s="82" t="s">
        <v>333</v>
      </c>
      <c r="F74" s="83">
        <v>0</v>
      </c>
      <c r="G74" s="82" t="s">
        <v>333</v>
      </c>
      <c r="H74" s="81">
        <v>4792.902</v>
      </c>
      <c r="I74" s="82" t="s">
        <v>333</v>
      </c>
      <c r="J74" s="83">
        <v>0</v>
      </c>
      <c r="K74" s="82" t="s">
        <v>333</v>
      </c>
      <c r="L74" s="81">
        <v>195663.818</v>
      </c>
      <c r="M74" s="82" t="s">
        <v>333</v>
      </c>
    </row>
    <row r="75" spans="1:13" x14ac:dyDescent="0.2">
      <c r="A75" s="10" t="s">
        <v>288</v>
      </c>
      <c r="B75" s="11">
        <v>11896.795</v>
      </c>
      <c r="C75" s="12" t="s">
        <v>333</v>
      </c>
      <c r="D75" s="11">
        <v>7103.893</v>
      </c>
      <c r="E75" s="12" t="s">
        <v>333</v>
      </c>
      <c r="F75" s="20">
        <v>0</v>
      </c>
      <c r="G75" s="12" t="s">
        <v>333</v>
      </c>
      <c r="H75" s="11">
        <v>4792.902</v>
      </c>
      <c r="I75" s="12" t="s">
        <v>333</v>
      </c>
      <c r="J75" s="20">
        <v>0</v>
      </c>
      <c r="K75" s="12" t="s">
        <v>333</v>
      </c>
      <c r="L75" s="11">
        <v>7981.6670000000004</v>
      </c>
      <c r="M75" s="12" t="s">
        <v>333</v>
      </c>
    </row>
    <row r="76" spans="1:13" x14ac:dyDescent="0.2">
      <c r="A76" s="10" t="s">
        <v>454</v>
      </c>
      <c r="B76" s="82" t="s">
        <v>202</v>
      </c>
      <c r="C76" s="82" t="s">
        <v>333</v>
      </c>
      <c r="D76" s="82" t="s">
        <v>202</v>
      </c>
      <c r="E76" s="82" t="s">
        <v>333</v>
      </c>
      <c r="F76" s="82" t="s">
        <v>202</v>
      </c>
      <c r="G76" s="82" t="s">
        <v>333</v>
      </c>
      <c r="H76" s="82" t="s">
        <v>202</v>
      </c>
      <c r="I76" s="82" t="s">
        <v>333</v>
      </c>
      <c r="J76" s="82" t="s">
        <v>202</v>
      </c>
      <c r="K76" s="82" t="s">
        <v>333</v>
      </c>
      <c r="L76" s="83">
        <v>0</v>
      </c>
      <c r="M76" s="82" t="s">
        <v>333</v>
      </c>
    </row>
    <row r="77" spans="1:13" x14ac:dyDescent="0.2">
      <c r="A77" s="10" t="s">
        <v>289</v>
      </c>
      <c r="B77" s="20">
        <v>0</v>
      </c>
      <c r="C77" s="12" t="s">
        <v>333</v>
      </c>
      <c r="D77" s="20">
        <v>0</v>
      </c>
      <c r="E77" s="12" t="s">
        <v>333</v>
      </c>
      <c r="F77" s="20">
        <v>0</v>
      </c>
      <c r="G77" s="12" t="s">
        <v>333</v>
      </c>
      <c r="H77" s="20">
        <v>0</v>
      </c>
      <c r="I77" s="12" t="s">
        <v>333</v>
      </c>
      <c r="J77" s="20">
        <v>0</v>
      </c>
      <c r="K77" s="12" t="s">
        <v>333</v>
      </c>
      <c r="L77" s="20">
        <v>78161.81</v>
      </c>
      <c r="M77" s="12" t="s">
        <v>333</v>
      </c>
    </row>
    <row r="78" spans="1:13" x14ac:dyDescent="0.2">
      <c r="A78" s="10" t="s">
        <v>355</v>
      </c>
      <c r="B78" s="83">
        <v>0</v>
      </c>
      <c r="C78" s="82" t="s">
        <v>333</v>
      </c>
      <c r="D78" s="83">
        <v>0</v>
      </c>
      <c r="E78" s="82" t="s">
        <v>333</v>
      </c>
      <c r="F78" s="83">
        <v>0</v>
      </c>
      <c r="G78" s="82" t="s">
        <v>333</v>
      </c>
      <c r="H78" s="83">
        <v>0</v>
      </c>
      <c r="I78" s="82" t="s">
        <v>333</v>
      </c>
      <c r="J78" s="83">
        <v>0</v>
      </c>
      <c r="K78" s="82" t="s">
        <v>333</v>
      </c>
      <c r="L78" s="81">
        <v>74420.880999999994</v>
      </c>
      <c r="M78" s="82" t="s">
        <v>333</v>
      </c>
    </row>
    <row r="79" spans="1:13" x14ac:dyDescent="0.2">
      <c r="A79" s="10" t="s">
        <v>290</v>
      </c>
      <c r="B79" s="20">
        <v>0</v>
      </c>
      <c r="C79" s="12" t="s">
        <v>333</v>
      </c>
      <c r="D79" s="20">
        <v>0</v>
      </c>
      <c r="E79" s="12" t="s">
        <v>333</v>
      </c>
      <c r="F79" s="20">
        <v>0</v>
      </c>
      <c r="G79" s="12" t="s">
        <v>333</v>
      </c>
      <c r="H79" s="20">
        <v>0</v>
      </c>
      <c r="I79" s="12" t="s">
        <v>333</v>
      </c>
      <c r="J79" s="20">
        <v>0</v>
      </c>
      <c r="K79" s="12" t="s">
        <v>333</v>
      </c>
      <c r="L79" s="11">
        <v>2023.347</v>
      </c>
      <c r="M79" s="12" t="s">
        <v>333</v>
      </c>
    </row>
    <row r="80" spans="1:13" x14ac:dyDescent="0.2">
      <c r="A80" s="10" t="s">
        <v>455</v>
      </c>
      <c r="B80" s="82" t="s">
        <v>202</v>
      </c>
      <c r="C80" s="82" t="s">
        <v>333</v>
      </c>
      <c r="D80" s="82" t="s">
        <v>202</v>
      </c>
      <c r="E80" s="82" t="s">
        <v>333</v>
      </c>
      <c r="F80" s="82" t="s">
        <v>202</v>
      </c>
      <c r="G80" s="82" t="s">
        <v>333</v>
      </c>
      <c r="H80" s="82" t="s">
        <v>202</v>
      </c>
      <c r="I80" s="82" t="s">
        <v>333</v>
      </c>
      <c r="J80" s="82" t="s">
        <v>202</v>
      </c>
      <c r="K80" s="82" t="s">
        <v>333</v>
      </c>
      <c r="L80" s="83">
        <v>0</v>
      </c>
      <c r="M80" s="82" t="s">
        <v>333</v>
      </c>
    </row>
    <row r="81" spans="1:13" x14ac:dyDescent="0.2">
      <c r="A81" s="10" t="s">
        <v>291</v>
      </c>
      <c r="B81" s="20">
        <v>0</v>
      </c>
      <c r="C81" s="12" t="s">
        <v>333</v>
      </c>
      <c r="D81" s="20">
        <v>0</v>
      </c>
      <c r="E81" s="12" t="s">
        <v>333</v>
      </c>
      <c r="F81" s="20">
        <v>0</v>
      </c>
      <c r="G81" s="12" t="s">
        <v>333</v>
      </c>
      <c r="H81" s="20">
        <v>0</v>
      </c>
      <c r="I81" s="12" t="s">
        <v>333</v>
      </c>
      <c r="J81" s="20">
        <v>0</v>
      </c>
      <c r="K81" s="12" t="s">
        <v>333</v>
      </c>
      <c r="L81" s="11">
        <v>18383.929</v>
      </c>
      <c r="M81" s="12" t="s">
        <v>333</v>
      </c>
    </row>
    <row r="82" spans="1:13" x14ac:dyDescent="0.2">
      <c r="A82" s="10" t="s">
        <v>456</v>
      </c>
      <c r="B82" s="82" t="s">
        <v>202</v>
      </c>
      <c r="C82" s="82" t="s">
        <v>333</v>
      </c>
      <c r="D82" s="82" t="s">
        <v>202</v>
      </c>
      <c r="E82" s="82" t="s">
        <v>333</v>
      </c>
      <c r="F82" s="82" t="s">
        <v>202</v>
      </c>
      <c r="G82" s="82" t="s">
        <v>333</v>
      </c>
      <c r="H82" s="82" t="s">
        <v>202</v>
      </c>
      <c r="I82" s="82" t="s">
        <v>333</v>
      </c>
      <c r="J82" s="82" t="s">
        <v>202</v>
      </c>
      <c r="K82" s="82" t="s">
        <v>333</v>
      </c>
      <c r="L82" s="83">
        <v>0</v>
      </c>
      <c r="M82" s="82" t="s">
        <v>333</v>
      </c>
    </row>
    <row r="83" spans="1:13" x14ac:dyDescent="0.2">
      <c r="A83" s="10" t="s">
        <v>292</v>
      </c>
      <c r="B83" s="20">
        <v>0</v>
      </c>
      <c r="C83" s="12" t="s">
        <v>333</v>
      </c>
      <c r="D83" s="20">
        <v>0</v>
      </c>
      <c r="E83" s="12" t="s">
        <v>333</v>
      </c>
      <c r="F83" s="20">
        <v>0</v>
      </c>
      <c r="G83" s="12" t="s">
        <v>333</v>
      </c>
      <c r="H83" s="20">
        <v>0</v>
      </c>
      <c r="I83" s="12" t="s">
        <v>333</v>
      </c>
      <c r="J83" s="20">
        <v>0</v>
      </c>
      <c r="K83" s="12" t="s">
        <v>333</v>
      </c>
      <c r="L83" s="11">
        <v>1658.944</v>
      </c>
      <c r="M83" s="12" t="s">
        <v>333</v>
      </c>
    </row>
    <row r="84" spans="1:13" x14ac:dyDescent="0.2">
      <c r="A84" s="10" t="s">
        <v>457</v>
      </c>
      <c r="B84" s="82" t="s">
        <v>202</v>
      </c>
      <c r="C84" s="82" t="s">
        <v>333</v>
      </c>
      <c r="D84" s="82" t="s">
        <v>202</v>
      </c>
      <c r="E84" s="82" t="s">
        <v>333</v>
      </c>
      <c r="F84" s="82" t="s">
        <v>202</v>
      </c>
      <c r="G84" s="82" t="s">
        <v>333</v>
      </c>
      <c r="H84" s="82" t="s">
        <v>202</v>
      </c>
      <c r="I84" s="82" t="s">
        <v>333</v>
      </c>
      <c r="J84" s="82" t="s">
        <v>202</v>
      </c>
      <c r="K84" s="82" t="s">
        <v>333</v>
      </c>
      <c r="L84" s="83">
        <v>0</v>
      </c>
      <c r="M84" s="82" t="s">
        <v>333</v>
      </c>
    </row>
    <row r="85" spans="1:13" x14ac:dyDescent="0.2">
      <c r="A85" s="10" t="s">
        <v>293</v>
      </c>
      <c r="B85" s="20">
        <v>0</v>
      </c>
      <c r="C85" s="12" t="s">
        <v>333</v>
      </c>
      <c r="D85" s="20">
        <v>0</v>
      </c>
      <c r="E85" s="12" t="s">
        <v>333</v>
      </c>
      <c r="F85" s="20">
        <v>0</v>
      </c>
      <c r="G85" s="12" t="s">
        <v>333</v>
      </c>
      <c r="H85" s="20">
        <v>0</v>
      </c>
      <c r="I85" s="12" t="s">
        <v>333</v>
      </c>
      <c r="J85" s="20">
        <v>0</v>
      </c>
      <c r="K85" s="12" t="s">
        <v>333</v>
      </c>
      <c r="L85" s="11">
        <v>8537.6039999999994</v>
      </c>
      <c r="M85" s="12" t="s">
        <v>333</v>
      </c>
    </row>
    <row r="86" spans="1:13" x14ac:dyDescent="0.2">
      <c r="A86" s="10" t="s">
        <v>458</v>
      </c>
      <c r="B86" s="82" t="s">
        <v>202</v>
      </c>
      <c r="C86" s="82" t="s">
        <v>333</v>
      </c>
      <c r="D86" s="82" t="s">
        <v>202</v>
      </c>
      <c r="E86" s="82" t="s">
        <v>333</v>
      </c>
      <c r="F86" s="82" t="s">
        <v>202</v>
      </c>
      <c r="G86" s="82" t="s">
        <v>333</v>
      </c>
      <c r="H86" s="82" t="s">
        <v>202</v>
      </c>
      <c r="I86" s="82" t="s">
        <v>333</v>
      </c>
      <c r="J86" s="82" t="s">
        <v>202</v>
      </c>
      <c r="K86" s="82" t="s">
        <v>333</v>
      </c>
      <c r="L86" s="83">
        <v>0</v>
      </c>
      <c r="M86" s="82" t="s">
        <v>333</v>
      </c>
    </row>
    <row r="87" spans="1:13" x14ac:dyDescent="0.2">
      <c r="A87" s="10" t="s">
        <v>294</v>
      </c>
      <c r="B87" s="20">
        <v>0</v>
      </c>
      <c r="C87" s="12" t="s">
        <v>333</v>
      </c>
      <c r="D87" s="20">
        <v>0</v>
      </c>
      <c r="E87" s="12" t="s">
        <v>333</v>
      </c>
      <c r="F87" s="20">
        <v>0</v>
      </c>
      <c r="G87" s="12" t="s">
        <v>333</v>
      </c>
      <c r="H87" s="20">
        <v>0</v>
      </c>
      <c r="I87" s="12" t="s">
        <v>333</v>
      </c>
      <c r="J87" s="20">
        <v>0</v>
      </c>
      <c r="K87" s="12" t="s">
        <v>333</v>
      </c>
      <c r="L87" s="11">
        <v>1757.1089999999999</v>
      </c>
      <c r="M87" s="12" t="s">
        <v>333</v>
      </c>
    </row>
    <row r="88" spans="1:13" x14ac:dyDescent="0.2">
      <c r="A88" s="10" t="s">
        <v>459</v>
      </c>
      <c r="B88" s="82" t="s">
        <v>202</v>
      </c>
      <c r="C88" s="82" t="s">
        <v>333</v>
      </c>
      <c r="D88" s="82" t="s">
        <v>202</v>
      </c>
      <c r="E88" s="82" t="s">
        <v>333</v>
      </c>
      <c r="F88" s="82" t="s">
        <v>202</v>
      </c>
      <c r="G88" s="82" t="s">
        <v>333</v>
      </c>
      <c r="H88" s="82" t="s">
        <v>202</v>
      </c>
      <c r="I88" s="82" t="s">
        <v>333</v>
      </c>
      <c r="J88" s="82" t="s">
        <v>202</v>
      </c>
      <c r="K88" s="82" t="s">
        <v>333</v>
      </c>
      <c r="L88" s="83">
        <v>0</v>
      </c>
      <c r="M88" s="82" t="s">
        <v>333</v>
      </c>
    </row>
    <row r="89" spans="1:13" x14ac:dyDescent="0.2">
      <c r="A89" s="10" t="s">
        <v>295</v>
      </c>
      <c r="B89" s="20">
        <v>0</v>
      </c>
      <c r="C89" s="12" t="s">
        <v>333</v>
      </c>
      <c r="D89" s="20">
        <v>0</v>
      </c>
      <c r="E89" s="12" t="s">
        <v>333</v>
      </c>
      <c r="F89" s="20">
        <v>0</v>
      </c>
      <c r="G89" s="12" t="s">
        <v>333</v>
      </c>
      <c r="H89" s="20">
        <v>0</v>
      </c>
      <c r="I89" s="12" t="s">
        <v>333</v>
      </c>
      <c r="J89" s="20">
        <v>0</v>
      </c>
      <c r="K89" s="12" t="s">
        <v>333</v>
      </c>
      <c r="L89" s="11">
        <v>56445.995000000003</v>
      </c>
      <c r="M89" s="12" t="s">
        <v>333</v>
      </c>
    </row>
    <row r="90" spans="1:13" x14ac:dyDescent="0.2">
      <c r="A90" s="10" t="s">
        <v>460</v>
      </c>
      <c r="B90" s="82" t="s">
        <v>202</v>
      </c>
      <c r="C90" s="82" t="s">
        <v>333</v>
      </c>
      <c r="D90" s="82" t="s">
        <v>202</v>
      </c>
      <c r="E90" s="82" t="s">
        <v>333</v>
      </c>
      <c r="F90" s="82" t="s">
        <v>202</v>
      </c>
      <c r="G90" s="82" t="s">
        <v>333</v>
      </c>
      <c r="H90" s="82" t="s">
        <v>202</v>
      </c>
      <c r="I90" s="82" t="s">
        <v>333</v>
      </c>
      <c r="J90" s="82" t="s">
        <v>202</v>
      </c>
      <c r="K90" s="82" t="s">
        <v>333</v>
      </c>
      <c r="L90" s="83">
        <v>0</v>
      </c>
      <c r="M90" s="82" t="s">
        <v>333</v>
      </c>
    </row>
    <row r="91" spans="1:13" x14ac:dyDescent="0.2">
      <c r="A91" s="10" t="s">
        <v>296</v>
      </c>
      <c r="B91" s="20">
        <v>0</v>
      </c>
      <c r="C91" s="12" t="s">
        <v>333</v>
      </c>
      <c r="D91" s="20">
        <v>0</v>
      </c>
      <c r="E91" s="12" t="s">
        <v>333</v>
      </c>
      <c r="F91" s="20">
        <v>0</v>
      </c>
      <c r="G91" s="12" t="s">
        <v>333</v>
      </c>
      <c r="H91" s="20">
        <v>0</v>
      </c>
      <c r="I91" s="12" t="s">
        <v>333</v>
      </c>
      <c r="J91" s="20">
        <v>0</v>
      </c>
      <c r="K91" s="12" t="s">
        <v>333</v>
      </c>
      <c r="L91" s="11">
        <v>11038.386</v>
      </c>
      <c r="M91" s="12" t="s">
        <v>333</v>
      </c>
    </row>
    <row r="92" spans="1:13" x14ac:dyDescent="0.2">
      <c r="A92" s="10" t="s">
        <v>461</v>
      </c>
      <c r="B92" s="82" t="s">
        <v>202</v>
      </c>
      <c r="C92" s="82" t="s">
        <v>333</v>
      </c>
      <c r="D92" s="82" t="s">
        <v>202</v>
      </c>
      <c r="E92" s="82" t="s">
        <v>333</v>
      </c>
      <c r="F92" s="82" t="s">
        <v>202</v>
      </c>
      <c r="G92" s="82" t="s">
        <v>333</v>
      </c>
      <c r="H92" s="82" t="s">
        <v>202</v>
      </c>
      <c r="I92" s="82" t="s">
        <v>333</v>
      </c>
      <c r="J92" s="82" t="s">
        <v>202</v>
      </c>
      <c r="K92" s="82" t="s">
        <v>333</v>
      </c>
      <c r="L92" s="83">
        <v>0</v>
      </c>
      <c r="M92" s="82" t="s">
        <v>333</v>
      </c>
    </row>
    <row r="93" spans="1:13" x14ac:dyDescent="0.2">
      <c r="A93" s="10" t="s">
        <v>297</v>
      </c>
      <c r="B93" s="20">
        <v>0</v>
      </c>
      <c r="C93" s="12" t="s">
        <v>333</v>
      </c>
      <c r="D93" s="20">
        <v>0</v>
      </c>
      <c r="E93" s="12" t="s">
        <v>333</v>
      </c>
      <c r="F93" s="20">
        <v>0</v>
      </c>
      <c r="G93" s="12" t="s">
        <v>333</v>
      </c>
      <c r="H93" s="20">
        <v>0</v>
      </c>
      <c r="I93" s="12" t="s">
        <v>333</v>
      </c>
      <c r="J93" s="20">
        <v>0</v>
      </c>
      <c r="K93" s="12" t="s">
        <v>333</v>
      </c>
      <c r="L93" s="11">
        <v>763.48299999999995</v>
      </c>
      <c r="M93" s="12" t="s">
        <v>333</v>
      </c>
    </row>
    <row r="94" spans="1:13" x14ac:dyDescent="0.2">
      <c r="A94" s="10" t="s">
        <v>462</v>
      </c>
      <c r="B94" s="82" t="s">
        <v>202</v>
      </c>
      <c r="C94" s="82" t="s">
        <v>333</v>
      </c>
      <c r="D94" s="82" t="s">
        <v>202</v>
      </c>
      <c r="E94" s="82" t="s">
        <v>333</v>
      </c>
      <c r="F94" s="82" t="s">
        <v>202</v>
      </c>
      <c r="G94" s="82" t="s">
        <v>333</v>
      </c>
      <c r="H94" s="82" t="s">
        <v>202</v>
      </c>
      <c r="I94" s="82" t="s">
        <v>333</v>
      </c>
      <c r="J94" s="82" t="s">
        <v>202</v>
      </c>
      <c r="K94" s="82" t="s">
        <v>333</v>
      </c>
      <c r="L94" s="83">
        <v>0</v>
      </c>
      <c r="M94" s="82" t="s">
        <v>333</v>
      </c>
    </row>
    <row r="95" spans="1:13" x14ac:dyDescent="0.2">
      <c r="A95" s="10" t="s">
        <v>298</v>
      </c>
      <c r="B95" s="20">
        <v>0</v>
      </c>
      <c r="C95" s="12" t="s">
        <v>333</v>
      </c>
      <c r="D95" s="20">
        <v>0</v>
      </c>
      <c r="E95" s="12" t="s">
        <v>333</v>
      </c>
      <c r="F95" s="20">
        <v>0</v>
      </c>
      <c r="G95" s="12" t="s">
        <v>333</v>
      </c>
      <c r="H95" s="20">
        <v>0</v>
      </c>
      <c r="I95" s="12" t="s">
        <v>333</v>
      </c>
      <c r="J95" s="20">
        <v>0</v>
      </c>
      <c r="K95" s="12" t="s">
        <v>333</v>
      </c>
      <c r="L95" s="11">
        <v>2673.2370000000001</v>
      </c>
      <c r="M95" s="12" t="s">
        <v>333</v>
      </c>
    </row>
    <row r="96" spans="1:13" x14ac:dyDescent="0.2">
      <c r="A96" s="10" t="s">
        <v>463</v>
      </c>
      <c r="B96" s="82" t="s">
        <v>202</v>
      </c>
      <c r="C96" s="82" t="s">
        <v>333</v>
      </c>
      <c r="D96" s="82" t="s">
        <v>202</v>
      </c>
      <c r="E96" s="82" t="s">
        <v>333</v>
      </c>
      <c r="F96" s="82" t="s">
        <v>202</v>
      </c>
      <c r="G96" s="82" t="s">
        <v>333</v>
      </c>
      <c r="H96" s="82" t="s">
        <v>202</v>
      </c>
      <c r="I96" s="82" t="s">
        <v>333</v>
      </c>
      <c r="J96" s="82" t="s">
        <v>202</v>
      </c>
      <c r="K96" s="82" t="s">
        <v>333</v>
      </c>
      <c r="L96" s="83">
        <v>0</v>
      </c>
      <c r="M96" s="82" t="s">
        <v>333</v>
      </c>
    </row>
    <row r="97" spans="1:13" x14ac:dyDescent="0.2">
      <c r="A97" s="10" t="s">
        <v>299</v>
      </c>
      <c r="B97" s="20">
        <v>0</v>
      </c>
      <c r="C97" s="12" t="s">
        <v>333</v>
      </c>
      <c r="D97" s="20">
        <v>0</v>
      </c>
      <c r="E97" s="12" t="s">
        <v>333</v>
      </c>
      <c r="F97" s="20">
        <v>0</v>
      </c>
      <c r="G97" s="12" t="s">
        <v>333</v>
      </c>
      <c r="H97" s="20">
        <v>0</v>
      </c>
      <c r="I97" s="12" t="s">
        <v>333</v>
      </c>
      <c r="J97" s="20">
        <v>0</v>
      </c>
      <c r="K97" s="12" t="s">
        <v>333</v>
      </c>
      <c r="L97" s="11">
        <v>2372.6179999999999</v>
      </c>
      <c r="M97" s="12" t="s">
        <v>333</v>
      </c>
    </row>
    <row r="98" spans="1:13" x14ac:dyDescent="0.2">
      <c r="A98" s="10" t="s">
        <v>464</v>
      </c>
      <c r="B98" s="82" t="s">
        <v>202</v>
      </c>
      <c r="C98" s="82" t="s">
        <v>333</v>
      </c>
      <c r="D98" s="82" t="s">
        <v>202</v>
      </c>
      <c r="E98" s="82" t="s">
        <v>333</v>
      </c>
      <c r="F98" s="82" t="s">
        <v>202</v>
      </c>
      <c r="G98" s="82" t="s">
        <v>333</v>
      </c>
      <c r="H98" s="82" t="s">
        <v>202</v>
      </c>
      <c r="I98" s="82" t="s">
        <v>333</v>
      </c>
      <c r="J98" s="82" t="s">
        <v>202</v>
      </c>
      <c r="K98" s="82" t="s">
        <v>333</v>
      </c>
      <c r="L98" s="83">
        <v>0</v>
      </c>
      <c r="M98" s="82" t="s">
        <v>333</v>
      </c>
    </row>
    <row r="99" spans="1:13" x14ac:dyDescent="0.2">
      <c r="A99" s="10" t="s">
        <v>300</v>
      </c>
      <c r="B99" s="20">
        <v>0</v>
      </c>
      <c r="C99" s="12" t="s">
        <v>333</v>
      </c>
      <c r="D99" s="20">
        <v>0</v>
      </c>
      <c r="E99" s="12" t="s">
        <v>333</v>
      </c>
      <c r="F99" s="20">
        <v>0</v>
      </c>
      <c r="G99" s="12" t="s">
        <v>333</v>
      </c>
      <c r="H99" s="20">
        <v>0</v>
      </c>
      <c r="I99" s="12" t="s">
        <v>333</v>
      </c>
      <c r="J99" s="20">
        <v>0</v>
      </c>
      <c r="K99" s="12" t="s">
        <v>333</v>
      </c>
      <c r="L99" s="11">
        <v>3865.6889999999999</v>
      </c>
      <c r="M99" s="12" t="s">
        <v>333</v>
      </c>
    </row>
    <row r="100" spans="1:13" x14ac:dyDescent="0.2">
      <c r="A100" s="10" t="s">
        <v>465</v>
      </c>
      <c r="B100" s="82" t="s">
        <v>202</v>
      </c>
      <c r="C100" s="82" t="s">
        <v>333</v>
      </c>
      <c r="D100" s="82" t="s">
        <v>202</v>
      </c>
      <c r="E100" s="82" t="s">
        <v>333</v>
      </c>
      <c r="F100" s="82" t="s">
        <v>202</v>
      </c>
      <c r="G100" s="82" t="s">
        <v>333</v>
      </c>
      <c r="H100" s="82" t="s">
        <v>202</v>
      </c>
      <c r="I100" s="82" t="s">
        <v>333</v>
      </c>
      <c r="J100" s="82" t="s">
        <v>202</v>
      </c>
      <c r="K100" s="82" t="s">
        <v>333</v>
      </c>
      <c r="L100" s="83">
        <v>0</v>
      </c>
      <c r="M100" s="82" t="s">
        <v>333</v>
      </c>
    </row>
    <row r="101" spans="1:13" x14ac:dyDescent="0.2">
      <c r="A101" s="10" t="s">
        <v>301</v>
      </c>
      <c r="B101" s="20">
        <v>0</v>
      </c>
      <c r="C101" s="12" t="s">
        <v>333</v>
      </c>
      <c r="D101" s="20">
        <v>0</v>
      </c>
      <c r="E101" s="12" t="s">
        <v>333</v>
      </c>
      <c r="F101" s="20">
        <v>0</v>
      </c>
      <c r="G101" s="12" t="s">
        <v>333</v>
      </c>
      <c r="H101" s="20">
        <v>0</v>
      </c>
      <c r="I101" s="12" t="s">
        <v>333</v>
      </c>
      <c r="J101" s="20">
        <v>0</v>
      </c>
      <c r="K101" s="12" t="s">
        <v>333</v>
      </c>
      <c r="L101" s="11">
        <v>2969.2849999999999</v>
      </c>
      <c r="M101" s="12" t="s">
        <v>333</v>
      </c>
    </row>
    <row r="102" spans="1:13" x14ac:dyDescent="0.2">
      <c r="A102" s="10" t="s">
        <v>302</v>
      </c>
      <c r="B102" s="83">
        <v>0</v>
      </c>
      <c r="C102" s="82" t="s">
        <v>333</v>
      </c>
      <c r="D102" s="83">
        <v>0</v>
      </c>
      <c r="E102" s="82" t="s">
        <v>333</v>
      </c>
      <c r="F102" s="83">
        <v>0</v>
      </c>
      <c r="G102" s="82" t="s">
        <v>333</v>
      </c>
      <c r="H102" s="83">
        <v>0</v>
      </c>
      <c r="I102" s="82" t="s">
        <v>333</v>
      </c>
      <c r="J102" s="83">
        <v>0</v>
      </c>
      <c r="K102" s="82" t="s">
        <v>333</v>
      </c>
      <c r="L102" s="82" t="s">
        <v>202</v>
      </c>
      <c r="M102" s="82" t="s">
        <v>333</v>
      </c>
    </row>
    <row r="103" spans="1:13" x14ac:dyDescent="0.2">
      <c r="A103" s="10" t="s">
        <v>303</v>
      </c>
      <c r="B103" s="12" t="s">
        <v>202</v>
      </c>
      <c r="C103" s="12" t="s">
        <v>333</v>
      </c>
      <c r="D103" s="12" t="s">
        <v>202</v>
      </c>
      <c r="E103" s="12" t="s">
        <v>333</v>
      </c>
      <c r="F103" s="12" t="s">
        <v>202</v>
      </c>
      <c r="G103" s="12" t="s">
        <v>333</v>
      </c>
      <c r="H103" s="12" t="s">
        <v>202</v>
      </c>
      <c r="I103" s="12" t="s">
        <v>333</v>
      </c>
      <c r="J103" s="12" t="s">
        <v>202</v>
      </c>
      <c r="K103" s="12" t="s">
        <v>333</v>
      </c>
      <c r="L103" s="11">
        <v>2720.2829999999999</v>
      </c>
      <c r="M103" s="12" t="s">
        <v>333</v>
      </c>
    </row>
    <row r="104" spans="1:13" x14ac:dyDescent="0.2">
      <c r="A104" s="10" t="s">
        <v>466</v>
      </c>
      <c r="B104" s="82" t="s">
        <v>202</v>
      </c>
      <c r="C104" s="82" t="s">
        <v>333</v>
      </c>
      <c r="D104" s="82" t="s">
        <v>202</v>
      </c>
      <c r="E104" s="82" t="s">
        <v>333</v>
      </c>
      <c r="F104" s="82" t="s">
        <v>202</v>
      </c>
      <c r="G104" s="82" t="s">
        <v>333</v>
      </c>
      <c r="H104" s="82" t="s">
        <v>202</v>
      </c>
      <c r="I104" s="82" t="s">
        <v>333</v>
      </c>
      <c r="J104" s="82" t="s">
        <v>202</v>
      </c>
      <c r="K104" s="82" t="s">
        <v>333</v>
      </c>
      <c r="L104" s="83">
        <v>0</v>
      </c>
      <c r="M104" s="82" t="s">
        <v>333</v>
      </c>
    </row>
    <row r="105" spans="1:13" x14ac:dyDescent="0.2">
      <c r="A105" s="10" t="s">
        <v>305</v>
      </c>
      <c r="B105" s="20">
        <v>0</v>
      </c>
      <c r="C105" s="12" t="s">
        <v>333</v>
      </c>
      <c r="D105" s="20">
        <v>0</v>
      </c>
      <c r="E105" s="12" t="s">
        <v>333</v>
      </c>
      <c r="F105" s="20">
        <v>0</v>
      </c>
      <c r="G105" s="12" t="s">
        <v>333</v>
      </c>
      <c r="H105" s="20">
        <v>0</v>
      </c>
      <c r="I105" s="12" t="s">
        <v>333</v>
      </c>
      <c r="J105" s="20">
        <v>0</v>
      </c>
      <c r="K105" s="12" t="s">
        <v>333</v>
      </c>
      <c r="L105" s="12" t="s">
        <v>202</v>
      </c>
      <c r="M105" s="12" t="s">
        <v>333</v>
      </c>
    </row>
    <row r="106" spans="1:13" x14ac:dyDescent="0.2">
      <c r="A106" s="10" t="s">
        <v>306</v>
      </c>
      <c r="B106" s="82" t="s">
        <v>202</v>
      </c>
      <c r="C106" s="82" t="s">
        <v>333</v>
      </c>
      <c r="D106" s="82" t="s">
        <v>202</v>
      </c>
      <c r="E106" s="82" t="s">
        <v>333</v>
      </c>
      <c r="F106" s="82" t="s">
        <v>202</v>
      </c>
      <c r="G106" s="82" t="s">
        <v>333</v>
      </c>
      <c r="H106" s="82" t="s">
        <v>202</v>
      </c>
      <c r="I106" s="82" t="s">
        <v>333</v>
      </c>
      <c r="J106" s="82" t="s">
        <v>202</v>
      </c>
      <c r="K106" s="82" t="s">
        <v>333</v>
      </c>
      <c r="L106" s="83">
        <v>0</v>
      </c>
      <c r="M106" s="82" t="s">
        <v>333</v>
      </c>
    </row>
    <row r="107" spans="1:13" x14ac:dyDescent="0.2">
      <c r="A107" s="10" t="s">
        <v>467</v>
      </c>
      <c r="B107" s="12" t="s">
        <v>202</v>
      </c>
      <c r="C107" s="12" t="s">
        <v>333</v>
      </c>
      <c r="D107" s="12" t="s">
        <v>202</v>
      </c>
      <c r="E107" s="12" t="s">
        <v>333</v>
      </c>
      <c r="F107" s="12" t="s">
        <v>202</v>
      </c>
      <c r="G107" s="12" t="s">
        <v>333</v>
      </c>
      <c r="H107" s="12" t="s">
        <v>202</v>
      </c>
      <c r="I107" s="12" t="s">
        <v>333</v>
      </c>
      <c r="J107" s="12" t="s">
        <v>202</v>
      </c>
      <c r="K107" s="12" t="s">
        <v>333</v>
      </c>
      <c r="L107" s="20">
        <v>0</v>
      </c>
      <c r="M107" s="12" t="s">
        <v>333</v>
      </c>
    </row>
    <row r="108" spans="1:13" x14ac:dyDescent="0.2">
      <c r="A108" s="10" t="s">
        <v>307</v>
      </c>
      <c r="B108" s="83">
        <v>0</v>
      </c>
      <c r="C108" s="82" t="s">
        <v>333</v>
      </c>
      <c r="D108" s="83">
        <v>0</v>
      </c>
      <c r="E108" s="82" t="s">
        <v>333</v>
      </c>
      <c r="F108" s="83">
        <v>0</v>
      </c>
      <c r="G108" s="82" t="s">
        <v>333</v>
      </c>
      <c r="H108" s="83">
        <v>0</v>
      </c>
      <c r="I108" s="82" t="s">
        <v>333</v>
      </c>
      <c r="J108" s="83">
        <v>0</v>
      </c>
      <c r="K108" s="82" t="s">
        <v>333</v>
      </c>
      <c r="L108" s="81">
        <v>249.00200000000001</v>
      </c>
      <c r="M108" s="82" t="s">
        <v>333</v>
      </c>
    </row>
    <row r="109" spans="1:13" x14ac:dyDescent="0.2">
      <c r="A109" s="10" t="s">
        <v>468</v>
      </c>
      <c r="B109" s="12" t="s">
        <v>202</v>
      </c>
      <c r="C109" s="12" t="s">
        <v>333</v>
      </c>
      <c r="D109" s="12" t="s">
        <v>202</v>
      </c>
      <c r="E109" s="12" t="s">
        <v>333</v>
      </c>
      <c r="F109" s="12" t="s">
        <v>202</v>
      </c>
      <c r="G109" s="12" t="s">
        <v>333</v>
      </c>
      <c r="H109" s="12" t="s">
        <v>202</v>
      </c>
      <c r="I109" s="12" t="s">
        <v>333</v>
      </c>
      <c r="J109" s="12" t="s">
        <v>202</v>
      </c>
      <c r="K109" s="12" t="s">
        <v>333</v>
      </c>
      <c r="L109" s="20">
        <v>0</v>
      </c>
      <c r="M109" s="12" t="s">
        <v>333</v>
      </c>
    </row>
    <row r="110" spans="1:13" x14ac:dyDescent="0.2">
      <c r="A110" s="10" t="s">
        <v>308</v>
      </c>
      <c r="B110" s="83">
        <v>0</v>
      </c>
      <c r="C110" s="82" t="s">
        <v>333</v>
      </c>
      <c r="D110" s="83">
        <v>0</v>
      </c>
      <c r="E110" s="82" t="s">
        <v>333</v>
      </c>
      <c r="F110" s="83">
        <v>0</v>
      </c>
      <c r="G110" s="82" t="s">
        <v>333</v>
      </c>
      <c r="H110" s="83">
        <v>0</v>
      </c>
      <c r="I110" s="82" t="s">
        <v>333</v>
      </c>
      <c r="J110" s="83">
        <v>0</v>
      </c>
      <c r="K110" s="82" t="s">
        <v>333</v>
      </c>
      <c r="L110" s="81">
        <v>393902.84700000001</v>
      </c>
      <c r="M110" s="82" t="s">
        <v>333</v>
      </c>
    </row>
    <row r="111" spans="1:13" x14ac:dyDescent="0.2">
      <c r="A111" s="10" t="s">
        <v>309</v>
      </c>
      <c r="B111" s="20">
        <v>0</v>
      </c>
      <c r="C111" s="12" t="s">
        <v>333</v>
      </c>
      <c r="D111" s="20">
        <v>0</v>
      </c>
      <c r="E111" s="12" t="s">
        <v>333</v>
      </c>
      <c r="F111" s="20">
        <v>0</v>
      </c>
      <c r="G111" s="12" t="s">
        <v>333</v>
      </c>
      <c r="H111" s="20">
        <v>0</v>
      </c>
      <c r="I111" s="12" t="s">
        <v>333</v>
      </c>
      <c r="J111" s="20">
        <v>0</v>
      </c>
      <c r="K111" s="12" t="s">
        <v>333</v>
      </c>
      <c r="L111" s="11">
        <v>98757.354000000007</v>
      </c>
      <c r="M111" s="12" t="s">
        <v>333</v>
      </c>
    </row>
    <row r="112" spans="1:13" x14ac:dyDescent="0.2">
      <c r="A112" s="10" t="s">
        <v>469</v>
      </c>
      <c r="B112" s="82" t="s">
        <v>202</v>
      </c>
      <c r="C112" s="82" t="s">
        <v>333</v>
      </c>
      <c r="D112" s="82" t="s">
        <v>202</v>
      </c>
      <c r="E112" s="82" t="s">
        <v>333</v>
      </c>
      <c r="F112" s="82" t="s">
        <v>202</v>
      </c>
      <c r="G112" s="82" t="s">
        <v>333</v>
      </c>
      <c r="H112" s="82" t="s">
        <v>202</v>
      </c>
      <c r="I112" s="82" t="s">
        <v>333</v>
      </c>
      <c r="J112" s="82" t="s">
        <v>202</v>
      </c>
      <c r="K112" s="82" t="s">
        <v>333</v>
      </c>
      <c r="L112" s="83">
        <v>0</v>
      </c>
      <c r="M112" s="82" t="s">
        <v>333</v>
      </c>
    </row>
    <row r="113" spans="1:13" x14ac:dyDescent="0.2">
      <c r="A113" s="10" t="s">
        <v>310</v>
      </c>
      <c r="B113" s="20">
        <v>0</v>
      </c>
      <c r="C113" s="12" t="s">
        <v>333</v>
      </c>
      <c r="D113" s="20">
        <v>0</v>
      </c>
      <c r="E113" s="12" t="s">
        <v>333</v>
      </c>
      <c r="F113" s="20">
        <v>0</v>
      </c>
      <c r="G113" s="12" t="s">
        <v>333</v>
      </c>
      <c r="H113" s="20">
        <v>0</v>
      </c>
      <c r="I113" s="12" t="s">
        <v>333</v>
      </c>
      <c r="J113" s="20">
        <v>0</v>
      </c>
      <c r="K113" s="12" t="s">
        <v>333</v>
      </c>
      <c r="L113" s="11">
        <v>223536.65100000001</v>
      </c>
      <c r="M113" s="12" t="s">
        <v>333</v>
      </c>
    </row>
    <row r="114" spans="1:13" x14ac:dyDescent="0.2">
      <c r="A114" s="10" t="s">
        <v>470</v>
      </c>
      <c r="B114" s="82" t="s">
        <v>202</v>
      </c>
      <c r="C114" s="82" t="s">
        <v>333</v>
      </c>
      <c r="D114" s="82" t="s">
        <v>202</v>
      </c>
      <c r="E114" s="82" t="s">
        <v>333</v>
      </c>
      <c r="F114" s="82" t="s">
        <v>202</v>
      </c>
      <c r="G114" s="82" t="s">
        <v>333</v>
      </c>
      <c r="H114" s="82" t="s">
        <v>202</v>
      </c>
      <c r="I114" s="82" t="s">
        <v>333</v>
      </c>
      <c r="J114" s="82" t="s">
        <v>202</v>
      </c>
      <c r="K114" s="82" t="s">
        <v>333</v>
      </c>
      <c r="L114" s="83">
        <v>0</v>
      </c>
      <c r="M114" s="82" t="s">
        <v>333</v>
      </c>
    </row>
    <row r="115" spans="1:13" x14ac:dyDescent="0.2">
      <c r="A115" s="10" t="s">
        <v>311</v>
      </c>
      <c r="B115" s="20">
        <v>0</v>
      </c>
      <c r="C115" s="12" t="s">
        <v>333</v>
      </c>
      <c r="D115" s="20">
        <v>0</v>
      </c>
      <c r="E115" s="12" t="s">
        <v>333</v>
      </c>
      <c r="F115" s="20">
        <v>0</v>
      </c>
      <c r="G115" s="12" t="s">
        <v>333</v>
      </c>
      <c r="H115" s="20">
        <v>0</v>
      </c>
      <c r="I115" s="12" t="s">
        <v>333</v>
      </c>
      <c r="J115" s="20">
        <v>0</v>
      </c>
      <c r="K115" s="12" t="s">
        <v>333</v>
      </c>
      <c r="L115" s="11">
        <v>71513.366999999998</v>
      </c>
      <c r="M115" s="12" t="s">
        <v>333</v>
      </c>
    </row>
    <row r="116" spans="1:13" x14ac:dyDescent="0.2">
      <c r="A116" s="10" t="s">
        <v>471</v>
      </c>
      <c r="B116" s="82" t="s">
        <v>202</v>
      </c>
      <c r="C116" s="82" t="s">
        <v>333</v>
      </c>
      <c r="D116" s="82" t="s">
        <v>202</v>
      </c>
      <c r="E116" s="82" t="s">
        <v>333</v>
      </c>
      <c r="F116" s="82" t="s">
        <v>202</v>
      </c>
      <c r="G116" s="82" t="s">
        <v>333</v>
      </c>
      <c r="H116" s="82" t="s">
        <v>202</v>
      </c>
      <c r="I116" s="82" t="s">
        <v>333</v>
      </c>
      <c r="J116" s="82" t="s">
        <v>202</v>
      </c>
      <c r="K116" s="82" t="s">
        <v>333</v>
      </c>
      <c r="L116" s="83">
        <v>0</v>
      </c>
      <c r="M116" s="82" t="s">
        <v>333</v>
      </c>
    </row>
    <row r="117" spans="1:13" x14ac:dyDescent="0.2">
      <c r="A117" s="10" t="s">
        <v>472</v>
      </c>
      <c r="B117" s="20">
        <v>0</v>
      </c>
      <c r="C117" s="12" t="s">
        <v>333</v>
      </c>
      <c r="D117" s="20">
        <v>0</v>
      </c>
      <c r="E117" s="12" t="s">
        <v>333</v>
      </c>
      <c r="F117" s="20">
        <v>0</v>
      </c>
      <c r="G117" s="12" t="s">
        <v>333</v>
      </c>
      <c r="H117" s="20">
        <v>0</v>
      </c>
      <c r="I117" s="12" t="s">
        <v>333</v>
      </c>
      <c r="J117" s="20">
        <v>0</v>
      </c>
      <c r="K117" s="12" t="s">
        <v>333</v>
      </c>
      <c r="L117" s="11">
        <v>71513.366999999998</v>
      </c>
      <c r="M117" s="12" t="s">
        <v>333</v>
      </c>
    </row>
    <row r="118" spans="1:13" x14ac:dyDescent="0.2">
      <c r="A118" s="10" t="s">
        <v>473</v>
      </c>
      <c r="B118" s="82" t="s">
        <v>202</v>
      </c>
      <c r="C118" s="82" t="s">
        <v>333</v>
      </c>
      <c r="D118" s="82" t="s">
        <v>202</v>
      </c>
      <c r="E118" s="82" t="s">
        <v>333</v>
      </c>
      <c r="F118" s="82" t="s">
        <v>202</v>
      </c>
      <c r="G118" s="82" t="s">
        <v>333</v>
      </c>
      <c r="H118" s="82" t="s">
        <v>202</v>
      </c>
      <c r="I118" s="82" t="s">
        <v>333</v>
      </c>
      <c r="J118" s="82" t="s">
        <v>202</v>
      </c>
      <c r="K118" s="82" t="s">
        <v>333</v>
      </c>
      <c r="L118" s="83">
        <v>0</v>
      </c>
      <c r="M118" s="82" t="s">
        <v>333</v>
      </c>
    </row>
    <row r="119" spans="1:13" x14ac:dyDescent="0.2">
      <c r="A119" s="10" t="s">
        <v>474</v>
      </c>
      <c r="B119" s="20">
        <v>0</v>
      </c>
      <c r="C119" s="12" t="s">
        <v>333</v>
      </c>
      <c r="D119" s="20">
        <v>0</v>
      </c>
      <c r="E119" s="12" t="s">
        <v>333</v>
      </c>
      <c r="F119" s="20">
        <v>0</v>
      </c>
      <c r="G119" s="12" t="s">
        <v>333</v>
      </c>
      <c r="H119" s="20">
        <v>0</v>
      </c>
      <c r="I119" s="12" t="s">
        <v>333</v>
      </c>
      <c r="J119" s="20">
        <v>0</v>
      </c>
      <c r="K119" s="12" t="s">
        <v>333</v>
      </c>
      <c r="L119" s="20">
        <v>0</v>
      </c>
      <c r="M119" s="12" t="s">
        <v>333</v>
      </c>
    </row>
    <row r="120" spans="1:13" x14ac:dyDescent="0.2">
      <c r="A120" s="10" t="s">
        <v>475</v>
      </c>
      <c r="B120" s="82" t="s">
        <v>202</v>
      </c>
      <c r="C120" s="82" t="s">
        <v>333</v>
      </c>
      <c r="D120" s="82" t="s">
        <v>202</v>
      </c>
      <c r="E120" s="82" t="s">
        <v>333</v>
      </c>
      <c r="F120" s="82" t="s">
        <v>202</v>
      </c>
      <c r="G120" s="82" t="s">
        <v>333</v>
      </c>
      <c r="H120" s="82" t="s">
        <v>202</v>
      </c>
      <c r="I120" s="82" t="s">
        <v>333</v>
      </c>
      <c r="J120" s="82" t="s">
        <v>202</v>
      </c>
      <c r="K120" s="82" t="s">
        <v>333</v>
      </c>
      <c r="L120" s="83">
        <v>0</v>
      </c>
      <c r="M120" s="82" t="s">
        <v>333</v>
      </c>
    </row>
    <row r="121" spans="1:13" x14ac:dyDescent="0.2">
      <c r="A121" s="10" t="s">
        <v>312</v>
      </c>
      <c r="B121" s="20">
        <v>0</v>
      </c>
      <c r="C121" s="12" t="s">
        <v>333</v>
      </c>
      <c r="D121" s="20">
        <v>0</v>
      </c>
      <c r="E121" s="12" t="s">
        <v>333</v>
      </c>
      <c r="F121" s="20">
        <v>0</v>
      </c>
      <c r="G121" s="12" t="s">
        <v>333</v>
      </c>
      <c r="H121" s="20">
        <v>0</v>
      </c>
      <c r="I121" s="12" t="s">
        <v>333</v>
      </c>
      <c r="J121" s="20">
        <v>0</v>
      </c>
      <c r="K121" s="12" t="s">
        <v>333</v>
      </c>
      <c r="L121" s="20">
        <v>0</v>
      </c>
      <c r="M121" s="12" t="s">
        <v>333</v>
      </c>
    </row>
    <row r="122" spans="1:13" x14ac:dyDescent="0.2">
      <c r="A122" s="10" t="s">
        <v>476</v>
      </c>
      <c r="B122" s="82" t="s">
        <v>202</v>
      </c>
      <c r="C122" s="82" t="s">
        <v>333</v>
      </c>
      <c r="D122" s="82" t="s">
        <v>202</v>
      </c>
      <c r="E122" s="82" t="s">
        <v>333</v>
      </c>
      <c r="F122" s="82" t="s">
        <v>202</v>
      </c>
      <c r="G122" s="82" t="s">
        <v>333</v>
      </c>
      <c r="H122" s="82" t="s">
        <v>202</v>
      </c>
      <c r="I122" s="82" t="s">
        <v>333</v>
      </c>
      <c r="J122" s="82" t="s">
        <v>202</v>
      </c>
      <c r="K122" s="82" t="s">
        <v>333</v>
      </c>
      <c r="L122" s="83">
        <v>0</v>
      </c>
      <c r="M122" s="82" t="s">
        <v>333</v>
      </c>
    </row>
    <row r="123" spans="1:13" x14ac:dyDescent="0.2">
      <c r="A123" s="10" t="s">
        <v>313</v>
      </c>
      <c r="B123" s="20">
        <v>0</v>
      </c>
      <c r="C123" s="12" t="s">
        <v>333</v>
      </c>
      <c r="D123" s="20">
        <v>0</v>
      </c>
      <c r="E123" s="12" t="s">
        <v>333</v>
      </c>
      <c r="F123" s="20">
        <v>0</v>
      </c>
      <c r="G123" s="12" t="s">
        <v>333</v>
      </c>
      <c r="H123" s="20">
        <v>0</v>
      </c>
      <c r="I123" s="12" t="s">
        <v>333</v>
      </c>
      <c r="J123" s="20">
        <v>0</v>
      </c>
      <c r="K123" s="12" t="s">
        <v>333</v>
      </c>
      <c r="L123" s="11">
        <v>95.474999999999994</v>
      </c>
      <c r="M123" s="12" t="s">
        <v>333</v>
      </c>
    </row>
    <row r="124" spans="1:13" x14ac:dyDescent="0.2">
      <c r="A124" s="10" t="s">
        <v>477</v>
      </c>
      <c r="B124" s="82" t="s">
        <v>202</v>
      </c>
      <c r="C124" s="82" t="s">
        <v>333</v>
      </c>
      <c r="D124" s="82" t="s">
        <v>202</v>
      </c>
      <c r="E124" s="82" t="s">
        <v>333</v>
      </c>
      <c r="F124" s="82" t="s">
        <v>202</v>
      </c>
      <c r="G124" s="82" t="s">
        <v>333</v>
      </c>
      <c r="H124" s="82" t="s">
        <v>202</v>
      </c>
      <c r="I124" s="82" t="s">
        <v>333</v>
      </c>
      <c r="J124" s="82" t="s">
        <v>202</v>
      </c>
      <c r="K124" s="82" t="s">
        <v>333</v>
      </c>
      <c r="L124" s="81">
        <v>42.171999999999997</v>
      </c>
      <c r="M124" s="82" t="s">
        <v>333</v>
      </c>
    </row>
    <row r="125" spans="1:13" x14ac:dyDescent="0.2">
      <c r="A125" s="10" t="s">
        <v>112</v>
      </c>
      <c r="B125" s="11">
        <v>1E-3</v>
      </c>
      <c r="C125" s="12" t="s">
        <v>333</v>
      </c>
      <c r="D125" s="20">
        <v>0</v>
      </c>
      <c r="E125" s="12" t="s">
        <v>333</v>
      </c>
      <c r="F125" s="20">
        <v>0</v>
      </c>
      <c r="G125" s="12" t="s">
        <v>333</v>
      </c>
      <c r="H125" s="11">
        <v>1E-3</v>
      </c>
      <c r="I125" s="12" t="s">
        <v>333</v>
      </c>
      <c r="J125" s="20">
        <v>0</v>
      </c>
      <c r="K125" s="12" t="s">
        <v>333</v>
      </c>
      <c r="L125" s="11">
        <v>-4415.2439999999997</v>
      </c>
      <c r="M125" s="12" t="s">
        <v>333</v>
      </c>
    </row>
    <row r="127" spans="1:13" x14ac:dyDescent="0.2">
      <c r="A127" s="7" t="s">
        <v>335</v>
      </c>
    </row>
    <row r="128" spans="1:13" x14ac:dyDescent="0.2">
      <c r="A128" s="7" t="s">
        <v>202</v>
      </c>
      <c r="B128" s="5" t="s">
        <v>336</v>
      </c>
    </row>
  </sheetData>
  <mergeCells count="6">
    <mergeCell ref="L10:M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1F86-7696-3741-A1A2-A7E092D1583F}">
  <sheetPr>
    <tabColor theme="9" tint="0.59999389629810485"/>
  </sheetPr>
  <dimension ref="A1:CC206"/>
  <sheetViews>
    <sheetView workbookViewId="0">
      <pane xSplit="1" ySplit="11" topLeftCell="B12" activePane="bottomRight" state="frozen"/>
      <selection pane="topRight"/>
      <selection pane="bottomLeft"/>
      <selection pane="bottomRight" activeCell="AM95" sqref="AM95"/>
    </sheetView>
  </sheetViews>
  <sheetFormatPr baseColWidth="10" defaultColWidth="8.83203125" defaultRowHeight="11.25" customHeight="1" x14ac:dyDescent="0.2"/>
  <cols>
    <col min="1" max="1" width="90.5" style="6" bestFit="1" customWidth="1"/>
    <col min="2" max="2" width="20" style="6" customWidth="1"/>
    <col min="3" max="3" width="5" style="6" customWidth="1"/>
    <col min="4" max="4" width="20" style="6" customWidth="1"/>
    <col min="5" max="5" width="5" style="6" customWidth="1"/>
    <col min="6" max="6" width="20" style="6" customWidth="1"/>
    <col min="7" max="7" width="5" style="6" customWidth="1"/>
    <col min="8" max="8" width="20" style="6" customWidth="1"/>
    <col min="9" max="9" width="5" style="6" customWidth="1"/>
    <col min="10" max="10" width="10" style="6" customWidth="1"/>
    <col min="11" max="11" width="5" style="6" customWidth="1"/>
    <col min="12" max="12" width="19" style="6" customWidth="1"/>
    <col min="13" max="13" width="5" style="6" customWidth="1"/>
    <col min="14" max="14" width="19" style="6" customWidth="1"/>
    <col min="15" max="15" width="5" style="6" customWidth="1"/>
    <col min="16" max="16" width="20" style="6" customWidth="1"/>
    <col min="17" max="17" width="5" style="6" customWidth="1"/>
    <col min="18" max="18" width="20" style="6" customWidth="1"/>
    <col min="19" max="19" width="5" style="6" customWidth="1"/>
    <col min="20" max="20" width="20" style="6" customWidth="1"/>
    <col min="21" max="21" width="5" style="6" customWidth="1"/>
    <col min="22" max="22" width="18" style="6" customWidth="1"/>
    <col min="23" max="23" width="5" style="6" customWidth="1"/>
    <col min="24" max="24" width="12" style="6" customWidth="1"/>
    <col min="25" max="25" width="5" style="6" customWidth="1"/>
    <col min="26" max="26" width="20" style="6" customWidth="1"/>
    <col min="27" max="27" width="5" style="6" customWidth="1"/>
    <col min="28" max="28" width="12" style="6" customWidth="1"/>
    <col min="29" max="29" width="5" style="6" customWidth="1"/>
    <col min="30" max="30" width="10" style="6" customWidth="1"/>
    <col min="31" max="31" width="5" style="6" customWidth="1"/>
    <col min="32" max="32" width="20" style="6" customWidth="1"/>
    <col min="33" max="33" width="5" style="6" customWidth="1"/>
    <col min="34" max="34" width="10" style="6" customWidth="1"/>
    <col min="35" max="35" width="5" style="6" customWidth="1"/>
    <col min="36" max="36" width="17" style="6" customWidth="1"/>
    <col min="37" max="37" width="5" style="6" customWidth="1"/>
    <col min="38" max="38" width="14" style="6" customWidth="1"/>
    <col min="39" max="39" width="5" style="6" customWidth="1"/>
    <col min="40" max="40" width="20" style="6" customWidth="1"/>
    <col min="41" max="41" width="5" style="6" customWidth="1"/>
    <col min="42" max="42" width="20" style="6" customWidth="1"/>
    <col min="43" max="43" width="5" style="6" customWidth="1"/>
    <col min="44" max="44" width="20" style="6" customWidth="1"/>
    <col min="45" max="45" width="5" style="6" customWidth="1"/>
    <col min="46" max="46" width="20" style="6" customWidth="1"/>
    <col min="47" max="47" width="5" style="6" customWidth="1"/>
    <col min="48" max="48" width="14" style="6" customWidth="1"/>
    <col min="49" max="49" width="5" style="6" customWidth="1"/>
    <col min="50" max="50" width="20" style="6" customWidth="1"/>
    <col min="51" max="51" width="5" style="6" customWidth="1"/>
    <col min="52" max="52" width="20" style="6" customWidth="1"/>
    <col min="53" max="53" width="5" style="6" customWidth="1"/>
    <col min="54" max="54" width="11" style="6" customWidth="1"/>
    <col min="55" max="55" width="5" style="6" customWidth="1"/>
    <col min="56" max="56" width="20" style="6" customWidth="1"/>
    <col min="57" max="57" width="5" style="6" customWidth="1"/>
    <col min="58" max="58" width="10" style="6" customWidth="1"/>
    <col min="59" max="59" width="5" style="6" customWidth="1"/>
    <col min="60" max="60" width="20" style="6" customWidth="1"/>
    <col min="61" max="61" width="5" style="6" customWidth="1"/>
    <col min="62" max="62" width="20" style="6" customWidth="1"/>
    <col min="63" max="63" width="5" style="6" customWidth="1"/>
    <col min="64" max="64" width="20" style="6" customWidth="1"/>
    <col min="65" max="65" width="5" style="6" customWidth="1"/>
    <col min="66" max="66" width="10" style="6" customWidth="1"/>
    <col min="67" max="67" width="5" style="6" customWidth="1"/>
    <col min="68" max="68" width="14" style="6" customWidth="1"/>
    <col min="69" max="69" width="5" style="6" customWidth="1"/>
    <col min="70" max="70" width="14" style="6" customWidth="1"/>
    <col min="71" max="71" width="5" style="6" customWidth="1"/>
    <col min="72" max="72" width="10" style="6" customWidth="1"/>
    <col min="73" max="73" width="5" style="6" customWidth="1"/>
    <col min="74" max="74" width="20" style="6" customWidth="1"/>
    <col min="75" max="75" width="5" style="6" customWidth="1"/>
    <col min="76" max="76" width="19" style="6" customWidth="1"/>
    <col min="77" max="77" width="5" style="6" customWidth="1"/>
    <col min="78" max="78" width="18" style="6" customWidth="1"/>
    <col min="79" max="79" width="5" style="6" customWidth="1"/>
    <col min="80" max="80" width="20" style="6" customWidth="1"/>
    <col min="81" max="81" width="5" style="6" customWidth="1"/>
    <col min="82" max="16384" width="8.83203125" style="6"/>
  </cols>
  <sheetData>
    <row r="1" spans="1:81" x14ac:dyDescent="0.2">
      <c r="A1" s="5" t="s">
        <v>478</v>
      </c>
    </row>
    <row r="2" spans="1:81" x14ac:dyDescent="0.2">
      <c r="A2" s="5" t="s">
        <v>326</v>
      </c>
      <c r="B2" s="7" t="s">
        <v>479</v>
      </c>
    </row>
    <row r="3" spans="1:81" x14ac:dyDescent="0.2">
      <c r="A3" s="5" t="s">
        <v>327</v>
      </c>
      <c r="B3" s="5" t="s">
        <v>480</v>
      </c>
    </row>
    <row r="4" spans="1:81" x14ac:dyDescent="0.2"/>
    <row r="5" spans="1:81" x14ac:dyDescent="0.2">
      <c r="A5" s="7" t="s">
        <v>328</v>
      </c>
      <c r="C5" s="5" t="s">
        <v>329</v>
      </c>
    </row>
    <row r="6" spans="1:81" x14ac:dyDescent="0.2">
      <c r="A6" s="7" t="s">
        <v>330</v>
      </c>
      <c r="C6" s="5" t="s">
        <v>339</v>
      </c>
    </row>
    <row r="7" spans="1:81" x14ac:dyDescent="0.2">
      <c r="A7" s="7" t="s">
        <v>331</v>
      </c>
      <c r="C7" s="5" t="s">
        <v>0</v>
      </c>
    </row>
    <row r="8" spans="1:81" x14ac:dyDescent="0.2">
      <c r="A8" s="7" t="s">
        <v>332</v>
      </c>
      <c r="C8" s="5" t="s">
        <v>432</v>
      </c>
    </row>
    <row r="9" spans="1:81" x14ac:dyDescent="0.2"/>
    <row r="10" spans="1:81" x14ac:dyDescent="0.2">
      <c r="A10" s="13" t="s">
        <v>334</v>
      </c>
      <c r="B10" s="93" t="s">
        <v>22</v>
      </c>
      <c r="C10" s="93" t="s">
        <v>333</v>
      </c>
      <c r="D10" s="93" t="s">
        <v>340</v>
      </c>
      <c r="E10" s="93" t="s">
        <v>333</v>
      </c>
      <c r="F10" s="93" t="s">
        <v>341</v>
      </c>
      <c r="G10" s="93" t="s">
        <v>333</v>
      </c>
      <c r="H10" s="93" t="s">
        <v>342</v>
      </c>
      <c r="I10" s="93" t="s">
        <v>333</v>
      </c>
      <c r="J10" s="93" t="s">
        <v>23</v>
      </c>
      <c r="K10" s="93" t="s">
        <v>333</v>
      </c>
      <c r="L10" s="93" t="s">
        <v>24</v>
      </c>
      <c r="M10" s="93" t="s">
        <v>333</v>
      </c>
      <c r="N10" s="93" t="s">
        <v>25</v>
      </c>
      <c r="O10" s="93" t="s">
        <v>333</v>
      </c>
      <c r="P10" s="93" t="s">
        <v>26</v>
      </c>
      <c r="Q10" s="93" t="s">
        <v>333</v>
      </c>
      <c r="R10" s="93" t="s">
        <v>354</v>
      </c>
      <c r="S10" s="93" t="s">
        <v>333</v>
      </c>
      <c r="T10" s="93" t="s">
        <v>353</v>
      </c>
      <c r="U10" s="93" t="s">
        <v>333</v>
      </c>
      <c r="V10" s="93" t="s">
        <v>27</v>
      </c>
      <c r="W10" s="93" t="s">
        <v>333</v>
      </c>
      <c r="X10" s="93" t="s">
        <v>343</v>
      </c>
      <c r="Y10" s="93" t="s">
        <v>333</v>
      </c>
      <c r="Z10" s="93" t="s">
        <v>344</v>
      </c>
      <c r="AA10" s="93" t="s">
        <v>333</v>
      </c>
      <c r="AB10" s="93" t="s">
        <v>28</v>
      </c>
      <c r="AC10" s="93" t="s">
        <v>333</v>
      </c>
      <c r="AD10" s="93" t="s">
        <v>29</v>
      </c>
      <c r="AE10" s="93" t="s">
        <v>333</v>
      </c>
      <c r="AF10" s="93" t="s">
        <v>30</v>
      </c>
      <c r="AG10" s="93" t="s">
        <v>333</v>
      </c>
      <c r="AH10" s="93" t="s">
        <v>36</v>
      </c>
      <c r="AI10" s="93" t="s">
        <v>333</v>
      </c>
      <c r="AJ10" s="93" t="s">
        <v>32</v>
      </c>
      <c r="AK10" s="93" t="s">
        <v>333</v>
      </c>
      <c r="AL10" s="93" t="s">
        <v>345</v>
      </c>
      <c r="AM10" s="93" t="s">
        <v>333</v>
      </c>
      <c r="AN10" s="93" t="s">
        <v>31</v>
      </c>
      <c r="AO10" s="93" t="s">
        <v>333</v>
      </c>
      <c r="AP10" s="93" t="s">
        <v>33</v>
      </c>
      <c r="AQ10" s="93" t="s">
        <v>333</v>
      </c>
      <c r="AR10" s="93" t="s">
        <v>346</v>
      </c>
      <c r="AS10" s="93" t="s">
        <v>333</v>
      </c>
      <c r="AT10" s="93" t="s">
        <v>34</v>
      </c>
      <c r="AU10" s="93" t="s">
        <v>333</v>
      </c>
      <c r="AV10" s="93" t="s">
        <v>35</v>
      </c>
      <c r="AW10" s="93" t="s">
        <v>333</v>
      </c>
      <c r="AX10" s="93" t="s">
        <v>347</v>
      </c>
      <c r="AY10" s="93" t="s">
        <v>333</v>
      </c>
      <c r="AZ10" s="93" t="s">
        <v>37</v>
      </c>
      <c r="BA10" s="93" t="s">
        <v>333</v>
      </c>
      <c r="BB10" s="93" t="s">
        <v>348</v>
      </c>
      <c r="BC10" s="93" t="s">
        <v>333</v>
      </c>
      <c r="BD10" s="93" t="s">
        <v>349</v>
      </c>
      <c r="BE10" s="93" t="s">
        <v>333</v>
      </c>
      <c r="BF10" s="93" t="s">
        <v>38</v>
      </c>
      <c r="BG10" s="93" t="s">
        <v>333</v>
      </c>
      <c r="BH10" s="93" t="s">
        <v>350</v>
      </c>
      <c r="BI10" s="93" t="s">
        <v>333</v>
      </c>
      <c r="BJ10" s="93" t="s">
        <v>351</v>
      </c>
      <c r="BK10" s="93" t="s">
        <v>333</v>
      </c>
      <c r="BL10" s="93" t="s">
        <v>39</v>
      </c>
      <c r="BM10" s="93" t="s">
        <v>333</v>
      </c>
      <c r="BN10" s="93" t="s">
        <v>40</v>
      </c>
      <c r="BO10" s="93" t="s">
        <v>333</v>
      </c>
      <c r="BP10" s="93" t="s">
        <v>43</v>
      </c>
      <c r="BQ10" s="93" t="s">
        <v>333</v>
      </c>
      <c r="BR10" s="93" t="s">
        <v>42</v>
      </c>
      <c r="BS10" s="93" t="s">
        <v>333</v>
      </c>
      <c r="BT10" s="93" t="s">
        <v>41</v>
      </c>
      <c r="BU10" s="93" t="s">
        <v>333</v>
      </c>
      <c r="BV10" s="93" t="s">
        <v>352</v>
      </c>
      <c r="BW10" s="93" t="s">
        <v>333</v>
      </c>
      <c r="BX10" s="93" t="s">
        <v>58</v>
      </c>
      <c r="BY10" s="93" t="s">
        <v>333</v>
      </c>
      <c r="BZ10" s="93" t="s">
        <v>60</v>
      </c>
      <c r="CA10" s="93" t="s">
        <v>333</v>
      </c>
      <c r="CB10" s="93" t="s">
        <v>62</v>
      </c>
      <c r="CC10" s="93" t="s">
        <v>333</v>
      </c>
    </row>
    <row r="11" spans="1:81" x14ac:dyDescent="0.2">
      <c r="A11" s="8" t="s">
        <v>322</v>
      </c>
      <c r="B11" s="9" t="s">
        <v>333</v>
      </c>
      <c r="C11" s="9" t="s">
        <v>333</v>
      </c>
      <c r="D11" s="9" t="s">
        <v>333</v>
      </c>
      <c r="E11" s="9" t="s">
        <v>333</v>
      </c>
      <c r="F11" s="9" t="s">
        <v>333</v>
      </c>
      <c r="G11" s="9" t="s">
        <v>333</v>
      </c>
      <c r="H11" s="9" t="s">
        <v>333</v>
      </c>
      <c r="I11" s="9" t="s">
        <v>333</v>
      </c>
      <c r="J11" s="9" t="s">
        <v>333</v>
      </c>
      <c r="K11" s="9" t="s">
        <v>333</v>
      </c>
      <c r="L11" s="9" t="s">
        <v>333</v>
      </c>
      <c r="M11" s="9" t="s">
        <v>333</v>
      </c>
      <c r="N11" s="9" t="s">
        <v>333</v>
      </c>
      <c r="O11" s="9" t="s">
        <v>333</v>
      </c>
      <c r="P11" s="9" t="s">
        <v>333</v>
      </c>
      <c r="Q11" s="9" t="s">
        <v>333</v>
      </c>
      <c r="R11" s="9" t="s">
        <v>333</v>
      </c>
      <c r="S11" s="9" t="s">
        <v>333</v>
      </c>
      <c r="T11" s="9" t="s">
        <v>333</v>
      </c>
      <c r="U11" s="9" t="s">
        <v>333</v>
      </c>
      <c r="V11" s="9" t="s">
        <v>333</v>
      </c>
      <c r="W11" s="9" t="s">
        <v>333</v>
      </c>
      <c r="X11" s="9" t="s">
        <v>333</v>
      </c>
      <c r="Y11" s="9" t="s">
        <v>333</v>
      </c>
      <c r="Z11" s="9" t="s">
        <v>333</v>
      </c>
      <c r="AA11" s="9" t="s">
        <v>333</v>
      </c>
      <c r="AB11" s="9" t="s">
        <v>333</v>
      </c>
      <c r="AC11" s="9" t="s">
        <v>333</v>
      </c>
      <c r="AD11" s="9" t="s">
        <v>333</v>
      </c>
      <c r="AE11" s="9" t="s">
        <v>333</v>
      </c>
      <c r="AF11" s="9" t="s">
        <v>333</v>
      </c>
      <c r="AG11" s="9" t="s">
        <v>333</v>
      </c>
      <c r="AH11" s="9" t="s">
        <v>333</v>
      </c>
      <c r="AI11" s="9" t="s">
        <v>333</v>
      </c>
      <c r="AJ11" s="9" t="s">
        <v>333</v>
      </c>
      <c r="AK11" s="9" t="s">
        <v>333</v>
      </c>
      <c r="AL11" s="9" t="s">
        <v>333</v>
      </c>
      <c r="AM11" s="9" t="s">
        <v>333</v>
      </c>
      <c r="AN11" s="9" t="s">
        <v>333</v>
      </c>
      <c r="AO11" s="9" t="s">
        <v>333</v>
      </c>
      <c r="AP11" s="9" t="s">
        <v>333</v>
      </c>
      <c r="AQ11" s="9" t="s">
        <v>333</v>
      </c>
      <c r="AR11" s="9" t="s">
        <v>333</v>
      </c>
      <c r="AS11" s="9" t="s">
        <v>333</v>
      </c>
      <c r="AT11" s="9" t="s">
        <v>333</v>
      </c>
      <c r="AU11" s="9" t="s">
        <v>333</v>
      </c>
      <c r="AV11" s="9" t="s">
        <v>333</v>
      </c>
      <c r="AW11" s="9" t="s">
        <v>333</v>
      </c>
      <c r="AX11" s="9" t="s">
        <v>333</v>
      </c>
      <c r="AY11" s="9" t="s">
        <v>333</v>
      </c>
      <c r="AZ11" s="9" t="s">
        <v>333</v>
      </c>
      <c r="BA11" s="9" t="s">
        <v>333</v>
      </c>
      <c r="BB11" s="9" t="s">
        <v>333</v>
      </c>
      <c r="BC11" s="9" t="s">
        <v>333</v>
      </c>
      <c r="BD11" s="9" t="s">
        <v>333</v>
      </c>
      <c r="BE11" s="9" t="s">
        <v>333</v>
      </c>
      <c r="BF11" s="9" t="s">
        <v>333</v>
      </c>
      <c r="BG11" s="9" t="s">
        <v>333</v>
      </c>
      <c r="BH11" s="9" t="s">
        <v>333</v>
      </c>
      <c r="BI11" s="9" t="s">
        <v>333</v>
      </c>
      <c r="BJ11" s="9" t="s">
        <v>333</v>
      </c>
      <c r="BK11" s="9" t="s">
        <v>333</v>
      </c>
      <c r="BL11" s="9" t="s">
        <v>333</v>
      </c>
      <c r="BM11" s="9" t="s">
        <v>333</v>
      </c>
      <c r="BN11" s="9" t="s">
        <v>333</v>
      </c>
      <c r="BO11" s="9" t="s">
        <v>333</v>
      </c>
      <c r="BP11" s="9" t="s">
        <v>333</v>
      </c>
      <c r="BQ11" s="9" t="s">
        <v>333</v>
      </c>
      <c r="BR11" s="9" t="s">
        <v>333</v>
      </c>
      <c r="BS11" s="9" t="s">
        <v>333</v>
      </c>
      <c r="BT11" s="9" t="s">
        <v>333</v>
      </c>
      <c r="BU11" s="9" t="s">
        <v>333</v>
      </c>
      <c r="BV11" s="9" t="s">
        <v>333</v>
      </c>
      <c r="BW11" s="9" t="s">
        <v>333</v>
      </c>
      <c r="BX11" s="9" t="s">
        <v>333</v>
      </c>
      <c r="BY11" s="9" t="s">
        <v>333</v>
      </c>
      <c r="BZ11" s="9" t="s">
        <v>333</v>
      </c>
      <c r="CA11" s="9" t="s">
        <v>333</v>
      </c>
      <c r="CB11" s="9" t="s">
        <v>333</v>
      </c>
      <c r="CC11" s="9" t="s">
        <v>333</v>
      </c>
    </row>
    <row r="12" spans="1:81" x14ac:dyDescent="0.2">
      <c r="A12" s="10" t="s">
        <v>433</v>
      </c>
      <c r="B12" s="81">
        <v>649.08799999999997</v>
      </c>
      <c r="C12" s="82" t="s">
        <v>333</v>
      </c>
      <c r="D12" s="81">
        <v>649.08799999999997</v>
      </c>
      <c r="E12" s="82" t="s">
        <v>333</v>
      </c>
      <c r="F12" s="81">
        <v>649.08799999999997</v>
      </c>
      <c r="G12" s="82" t="s">
        <v>333</v>
      </c>
      <c r="H12" s="81">
        <v>649.08799999999997</v>
      </c>
      <c r="I12" s="82" t="s">
        <v>333</v>
      </c>
      <c r="J12" s="81">
        <v>319.58600000000001</v>
      </c>
      <c r="K12" s="82" t="s">
        <v>333</v>
      </c>
      <c r="L12" s="81">
        <v>85.308000000000007</v>
      </c>
      <c r="M12" s="82" t="s">
        <v>333</v>
      </c>
      <c r="N12" s="82" t="s">
        <v>202</v>
      </c>
      <c r="O12" s="82" t="s">
        <v>333</v>
      </c>
      <c r="P12" s="81">
        <v>244.19399999999999</v>
      </c>
      <c r="Q12" s="82" t="s">
        <v>333</v>
      </c>
      <c r="R12" s="81">
        <v>244.19399999999999</v>
      </c>
      <c r="S12" s="82" t="s">
        <v>333</v>
      </c>
      <c r="T12" s="82" t="s">
        <v>202</v>
      </c>
      <c r="U12" s="82" t="s">
        <v>333</v>
      </c>
      <c r="V12" s="83">
        <v>0</v>
      </c>
      <c r="W12" s="82" t="s">
        <v>333</v>
      </c>
      <c r="X12" s="82" t="s">
        <v>202</v>
      </c>
      <c r="Y12" s="82" t="s">
        <v>333</v>
      </c>
      <c r="Z12" s="82" t="s">
        <v>202</v>
      </c>
      <c r="AA12" s="82" t="s">
        <v>333</v>
      </c>
      <c r="AB12" s="82" t="s">
        <v>202</v>
      </c>
      <c r="AC12" s="82" t="s">
        <v>333</v>
      </c>
      <c r="AD12" s="82" t="s">
        <v>202</v>
      </c>
      <c r="AE12" s="82" t="s">
        <v>333</v>
      </c>
      <c r="AF12" s="82" t="s">
        <v>202</v>
      </c>
      <c r="AG12" s="82" t="s">
        <v>333</v>
      </c>
      <c r="AH12" s="82" t="s">
        <v>202</v>
      </c>
      <c r="AI12" s="82" t="s">
        <v>333</v>
      </c>
      <c r="AJ12" s="82" t="s">
        <v>202</v>
      </c>
      <c r="AK12" s="82" t="s">
        <v>333</v>
      </c>
      <c r="AL12" s="82" t="s">
        <v>202</v>
      </c>
      <c r="AM12" s="82" t="s">
        <v>333</v>
      </c>
      <c r="AN12" s="82" t="s">
        <v>202</v>
      </c>
      <c r="AO12" s="82" t="s">
        <v>333</v>
      </c>
      <c r="AP12" s="82" t="s">
        <v>202</v>
      </c>
      <c r="AQ12" s="82" t="s">
        <v>333</v>
      </c>
      <c r="AR12" s="82" t="s">
        <v>202</v>
      </c>
      <c r="AS12" s="82" t="s">
        <v>333</v>
      </c>
      <c r="AT12" s="82" t="s">
        <v>202</v>
      </c>
      <c r="AU12" s="82" t="s">
        <v>333</v>
      </c>
      <c r="AV12" s="82" t="s">
        <v>202</v>
      </c>
      <c r="AW12" s="82" t="s">
        <v>333</v>
      </c>
      <c r="AX12" s="82" t="s">
        <v>202</v>
      </c>
      <c r="AY12" s="82" t="s">
        <v>333</v>
      </c>
      <c r="AZ12" s="82" t="s">
        <v>202</v>
      </c>
      <c r="BA12" s="82" t="s">
        <v>333</v>
      </c>
      <c r="BB12" s="82" t="s">
        <v>202</v>
      </c>
      <c r="BC12" s="82" t="s">
        <v>333</v>
      </c>
      <c r="BD12" s="82" t="s">
        <v>202</v>
      </c>
      <c r="BE12" s="82" t="s">
        <v>333</v>
      </c>
      <c r="BF12" s="82" t="s">
        <v>202</v>
      </c>
      <c r="BG12" s="82" t="s">
        <v>333</v>
      </c>
      <c r="BH12" s="82" t="s">
        <v>202</v>
      </c>
      <c r="BI12" s="82" t="s">
        <v>333</v>
      </c>
      <c r="BJ12" s="82" t="s">
        <v>202</v>
      </c>
      <c r="BK12" s="82" t="s">
        <v>333</v>
      </c>
      <c r="BL12" s="82" t="s">
        <v>202</v>
      </c>
      <c r="BM12" s="82" t="s">
        <v>333</v>
      </c>
      <c r="BN12" s="82" t="s">
        <v>202</v>
      </c>
      <c r="BO12" s="82" t="s">
        <v>333</v>
      </c>
      <c r="BP12" s="82" t="s">
        <v>202</v>
      </c>
      <c r="BQ12" s="82" t="s">
        <v>333</v>
      </c>
      <c r="BR12" s="82" t="s">
        <v>202</v>
      </c>
      <c r="BS12" s="82" t="s">
        <v>333</v>
      </c>
      <c r="BT12" s="82" t="s">
        <v>202</v>
      </c>
      <c r="BU12" s="82" t="s">
        <v>333</v>
      </c>
      <c r="BV12" s="82" t="s">
        <v>202</v>
      </c>
      <c r="BW12" s="82" t="s">
        <v>333</v>
      </c>
      <c r="BX12" s="82" t="s">
        <v>202</v>
      </c>
      <c r="BY12" s="82" t="s">
        <v>333</v>
      </c>
      <c r="BZ12" s="82" t="s">
        <v>202</v>
      </c>
      <c r="CA12" s="82" t="s">
        <v>333</v>
      </c>
      <c r="CB12" s="82" t="s">
        <v>202</v>
      </c>
      <c r="CC12" s="82" t="s">
        <v>333</v>
      </c>
    </row>
    <row r="13" spans="1:81" x14ac:dyDescent="0.2">
      <c r="A13" s="10" t="s">
        <v>437</v>
      </c>
      <c r="B13" s="11">
        <v>1011.033</v>
      </c>
      <c r="C13" s="12" t="s">
        <v>333</v>
      </c>
      <c r="D13" s="20">
        <v>0</v>
      </c>
      <c r="E13" s="12" t="s">
        <v>333</v>
      </c>
      <c r="F13" s="11">
        <v>1011.033</v>
      </c>
      <c r="G13" s="12" t="s">
        <v>333</v>
      </c>
      <c r="H13" s="20">
        <v>0</v>
      </c>
      <c r="I13" s="12" t="s">
        <v>333</v>
      </c>
      <c r="J13" s="12" t="s">
        <v>202</v>
      </c>
      <c r="K13" s="12" t="s">
        <v>333</v>
      </c>
      <c r="L13" s="12" t="s">
        <v>202</v>
      </c>
      <c r="M13" s="12" t="s">
        <v>333</v>
      </c>
      <c r="N13" s="12" t="s">
        <v>202</v>
      </c>
      <c r="O13" s="12" t="s">
        <v>333</v>
      </c>
      <c r="P13" s="20">
        <v>0</v>
      </c>
      <c r="Q13" s="12" t="s">
        <v>333</v>
      </c>
      <c r="R13" s="11">
        <v>1011.033</v>
      </c>
      <c r="S13" s="12" t="s">
        <v>333</v>
      </c>
      <c r="T13" s="11">
        <v>1011.033</v>
      </c>
      <c r="U13" s="12" t="s">
        <v>333</v>
      </c>
      <c r="V13" s="20">
        <v>0</v>
      </c>
      <c r="W13" s="12" t="s">
        <v>333</v>
      </c>
      <c r="X13" s="12" t="s">
        <v>202</v>
      </c>
      <c r="Y13" s="12" t="s">
        <v>333</v>
      </c>
      <c r="Z13" s="12" t="s">
        <v>202</v>
      </c>
      <c r="AA13" s="12" t="s">
        <v>333</v>
      </c>
      <c r="AB13" s="12" t="s">
        <v>202</v>
      </c>
      <c r="AC13" s="12" t="s">
        <v>333</v>
      </c>
      <c r="AD13" s="12" t="s">
        <v>202</v>
      </c>
      <c r="AE13" s="12" t="s">
        <v>333</v>
      </c>
      <c r="AF13" s="12" t="s">
        <v>202</v>
      </c>
      <c r="AG13" s="12" t="s">
        <v>333</v>
      </c>
      <c r="AH13" s="12" t="s">
        <v>202</v>
      </c>
      <c r="AI13" s="12" t="s">
        <v>333</v>
      </c>
      <c r="AJ13" s="12" t="s">
        <v>202</v>
      </c>
      <c r="AK13" s="12" t="s">
        <v>333</v>
      </c>
      <c r="AL13" s="12" t="s">
        <v>202</v>
      </c>
      <c r="AM13" s="12" t="s">
        <v>333</v>
      </c>
      <c r="AN13" s="12" t="s">
        <v>202</v>
      </c>
      <c r="AO13" s="12" t="s">
        <v>333</v>
      </c>
      <c r="AP13" s="12" t="s">
        <v>202</v>
      </c>
      <c r="AQ13" s="12" t="s">
        <v>333</v>
      </c>
      <c r="AR13" s="12" t="s">
        <v>202</v>
      </c>
      <c r="AS13" s="12" t="s">
        <v>333</v>
      </c>
      <c r="AT13" s="12" t="s">
        <v>202</v>
      </c>
      <c r="AU13" s="12" t="s">
        <v>333</v>
      </c>
      <c r="AV13" s="12" t="s">
        <v>202</v>
      </c>
      <c r="AW13" s="12" t="s">
        <v>333</v>
      </c>
      <c r="AX13" s="12" t="s">
        <v>202</v>
      </c>
      <c r="AY13" s="12" t="s">
        <v>333</v>
      </c>
      <c r="AZ13" s="12" t="s">
        <v>202</v>
      </c>
      <c r="BA13" s="12" t="s">
        <v>333</v>
      </c>
      <c r="BB13" s="12" t="s">
        <v>202</v>
      </c>
      <c r="BC13" s="12" t="s">
        <v>333</v>
      </c>
      <c r="BD13" s="12" t="s">
        <v>202</v>
      </c>
      <c r="BE13" s="12" t="s">
        <v>333</v>
      </c>
      <c r="BF13" s="12" t="s">
        <v>202</v>
      </c>
      <c r="BG13" s="12" t="s">
        <v>333</v>
      </c>
      <c r="BH13" s="12" t="s">
        <v>202</v>
      </c>
      <c r="BI13" s="12" t="s">
        <v>333</v>
      </c>
      <c r="BJ13" s="12" t="s">
        <v>202</v>
      </c>
      <c r="BK13" s="12" t="s">
        <v>333</v>
      </c>
      <c r="BL13" s="12" t="s">
        <v>202</v>
      </c>
      <c r="BM13" s="12" t="s">
        <v>333</v>
      </c>
      <c r="BN13" s="12" t="s">
        <v>202</v>
      </c>
      <c r="BO13" s="12" t="s">
        <v>333</v>
      </c>
      <c r="BP13" s="12" t="s">
        <v>202</v>
      </c>
      <c r="BQ13" s="12" t="s">
        <v>333</v>
      </c>
      <c r="BR13" s="12" t="s">
        <v>202</v>
      </c>
      <c r="BS13" s="12" t="s">
        <v>333</v>
      </c>
      <c r="BT13" s="12" t="s">
        <v>202</v>
      </c>
      <c r="BU13" s="12" t="s">
        <v>333</v>
      </c>
      <c r="BV13" s="12" t="s">
        <v>202</v>
      </c>
      <c r="BW13" s="12" t="s">
        <v>333</v>
      </c>
      <c r="BX13" s="12" t="s">
        <v>202</v>
      </c>
      <c r="BY13" s="12" t="s">
        <v>333</v>
      </c>
      <c r="BZ13" s="12" t="s">
        <v>202</v>
      </c>
      <c r="CA13" s="12" t="s">
        <v>333</v>
      </c>
      <c r="CB13" s="12" t="s">
        <v>202</v>
      </c>
      <c r="CC13" s="12" t="s">
        <v>333</v>
      </c>
    </row>
    <row r="14" spans="1:81" x14ac:dyDescent="0.2">
      <c r="A14" s="10" t="s">
        <v>440</v>
      </c>
      <c r="B14" s="81">
        <v>1011.033</v>
      </c>
      <c r="C14" s="82" t="s">
        <v>333</v>
      </c>
      <c r="D14" s="83">
        <v>0</v>
      </c>
      <c r="E14" s="82" t="s">
        <v>333</v>
      </c>
      <c r="F14" s="81">
        <v>1011.033</v>
      </c>
      <c r="G14" s="82" t="s">
        <v>333</v>
      </c>
      <c r="H14" s="83">
        <v>0</v>
      </c>
      <c r="I14" s="82" t="s">
        <v>333</v>
      </c>
      <c r="J14" s="82" t="s">
        <v>202</v>
      </c>
      <c r="K14" s="82" t="s">
        <v>333</v>
      </c>
      <c r="L14" s="82" t="s">
        <v>202</v>
      </c>
      <c r="M14" s="82" t="s">
        <v>333</v>
      </c>
      <c r="N14" s="82" t="s">
        <v>202</v>
      </c>
      <c r="O14" s="82" t="s">
        <v>333</v>
      </c>
      <c r="P14" s="83">
        <v>0</v>
      </c>
      <c r="Q14" s="82" t="s">
        <v>333</v>
      </c>
      <c r="R14" s="81">
        <v>1011.033</v>
      </c>
      <c r="S14" s="82" t="s">
        <v>333</v>
      </c>
      <c r="T14" s="81">
        <v>1011.033</v>
      </c>
      <c r="U14" s="82" t="s">
        <v>333</v>
      </c>
      <c r="V14" s="83">
        <v>0</v>
      </c>
      <c r="W14" s="82" t="s">
        <v>333</v>
      </c>
      <c r="X14" s="82" t="s">
        <v>202</v>
      </c>
      <c r="Y14" s="82" t="s">
        <v>333</v>
      </c>
      <c r="Z14" s="82" t="s">
        <v>202</v>
      </c>
      <c r="AA14" s="82" t="s">
        <v>333</v>
      </c>
      <c r="AB14" s="82" t="s">
        <v>202</v>
      </c>
      <c r="AC14" s="82" t="s">
        <v>333</v>
      </c>
      <c r="AD14" s="82" t="s">
        <v>202</v>
      </c>
      <c r="AE14" s="82" t="s">
        <v>333</v>
      </c>
      <c r="AF14" s="82" t="s">
        <v>202</v>
      </c>
      <c r="AG14" s="82" t="s">
        <v>333</v>
      </c>
      <c r="AH14" s="82" t="s">
        <v>202</v>
      </c>
      <c r="AI14" s="82" t="s">
        <v>333</v>
      </c>
      <c r="AJ14" s="82" t="s">
        <v>202</v>
      </c>
      <c r="AK14" s="82" t="s">
        <v>333</v>
      </c>
      <c r="AL14" s="82" t="s">
        <v>202</v>
      </c>
      <c r="AM14" s="82" t="s">
        <v>333</v>
      </c>
      <c r="AN14" s="82" t="s">
        <v>202</v>
      </c>
      <c r="AO14" s="82" t="s">
        <v>333</v>
      </c>
      <c r="AP14" s="82" t="s">
        <v>202</v>
      </c>
      <c r="AQ14" s="82" t="s">
        <v>333</v>
      </c>
      <c r="AR14" s="82" t="s">
        <v>202</v>
      </c>
      <c r="AS14" s="82" t="s">
        <v>333</v>
      </c>
      <c r="AT14" s="82" t="s">
        <v>202</v>
      </c>
      <c r="AU14" s="82" t="s">
        <v>333</v>
      </c>
      <c r="AV14" s="82" t="s">
        <v>202</v>
      </c>
      <c r="AW14" s="82" t="s">
        <v>333</v>
      </c>
      <c r="AX14" s="82" t="s">
        <v>202</v>
      </c>
      <c r="AY14" s="82" t="s">
        <v>333</v>
      </c>
      <c r="AZ14" s="82" t="s">
        <v>202</v>
      </c>
      <c r="BA14" s="82" t="s">
        <v>333</v>
      </c>
      <c r="BB14" s="82" t="s">
        <v>202</v>
      </c>
      <c r="BC14" s="82" t="s">
        <v>333</v>
      </c>
      <c r="BD14" s="82" t="s">
        <v>202</v>
      </c>
      <c r="BE14" s="82" t="s">
        <v>333</v>
      </c>
      <c r="BF14" s="82" t="s">
        <v>202</v>
      </c>
      <c r="BG14" s="82" t="s">
        <v>333</v>
      </c>
      <c r="BH14" s="82" t="s">
        <v>202</v>
      </c>
      <c r="BI14" s="82" t="s">
        <v>333</v>
      </c>
      <c r="BJ14" s="82" t="s">
        <v>202</v>
      </c>
      <c r="BK14" s="82" t="s">
        <v>333</v>
      </c>
      <c r="BL14" s="82" t="s">
        <v>202</v>
      </c>
      <c r="BM14" s="82" t="s">
        <v>333</v>
      </c>
      <c r="BN14" s="82" t="s">
        <v>202</v>
      </c>
      <c r="BO14" s="82" t="s">
        <v>333</v>
      </c>
      <c r="BP14" s="82" t="s">
        <v>202</v>
      </c>
      <c r="BQ14" s="82" t="s">
        <v>333</v>
      </c>
      <c r="BR14" s="82" t="s">
        <v>202</v>
      </c>
      <c r="BS14" s="82" t="s">
        <v>333</v>
      </c>
      <c r="BT14" s="82" t="s">
        <v>202</v>
      </c>
      <c r="BU14" s="82" t="s">
        <v>333</v>
      </c>
      <c r="BV14" s="82" t="s">
        <v>202</v>
      </c>
      <c r="BW14" s="82" t="s">
        <v>333</v>
      </c>
      <c r="BX14" s="82" t="s">
        <v>202</v>
      </c>
      <c r="BY14" s="82" t="s">
        <v>333</v>
      </c>
      <c r="BZ14" s="82" t="s">
        <v>202</v>
      </c>
      <c r="CA14" s="82" t="s">
        <v>333</v>
      </c>
      <c r="CB14" s="82" t="s">
        <v>202</v>
      </c>
      <c r="CC14" s="82" t="s">
        <v>333</v>
      </c>
    </row>
    <row r="15" spans="1:81" x14ac:dyDescent="0.2">
      <c r="A15" s="10" t="s">
        <v>441</v>
      </c>
      <c r="B15" s="20">
        <v>0</v>
      </c>
      <c r="C15" s="12" t="s">
        <v>333</v>
      </c>
      <c r="D15" s="20">
        <v>0</v>
      </c>
      <c r="E15" s="12" t="s">
        <v>333</v>
      </c>
      <c r="F15" s="20">
        <v>0</v>
      </c>
      <c r="G15" s="12" t="s">
        <v>333</v>
      </c>
      <c r="H15" s="20">
        <v>0</v>
      </c>
      <c r="I15" s="12" t="s">
        <v>333</v>
      </c>
      <c r="J15" s="12" t="s">
        <v>202</v>
      </c>
      <c r="K15" s="12" t="s">
        <v>333</v>
      </c>
      <c r="L15" s="12" t="s">
        <v>202</v>
      </c>
      <c r="M15" s="12" t="s">
        <v>333</v>
      </c>
      <c r="N15" s="12" t="s">
        <v>202</v>
      </c>
      <c r="O15" s="12" t="s">
        <v>333</v>
      </c>
      <c r="P15" s="20">
        <v>0</v>
      </c>
      <c r="Q15" s="12" t="s">
        <v>333</v>
      </c>
      <c r="R15" s="20">
        <v>0</v>
      </c>
      <c r="S15" s="12" t="s">
        <v>333</v>
      </c>
      <c r="T15" s="20">
        <v>0</v>
      </c>
      <c r="U15" s="12" t="s">
        <v>333</v>
      </c>
      <c r="V15" s="20">
        <v>0</v>
      </c>
      <c r="W15" s="12" t="s">
        <v>333</v>
      </c>
      <c r="X15" s="12" t="s">
        <v>202</v>
      </c>
      <c r="Y15" s="12" t="s">
        <v>333</v>
      </c>
      <c r="Z15" s="12" t="s">
        <v>202</v>
      </c>
      <c r="AA15" s="12" t="s">
        <v>333</v>
      </c>
      <c r="AB15" s="12" t="s">
        <v>202</v>
      </c>
      <c r="AC15" s="12" t="s">
        <v>333</v>
      </c>
      <c r="AD15" s="12" t="s">
        <v>202</v>
      </c>
      <c r="AE15" s="12" t="s">
        <v>333</v>
      </c>
      <c r="AF15" s="12" t="s">
        <v>202</v>
      </c>
      <c r="AG15" s="12" t="s">
        <v>333</v>
      </c>
      <c r="AH15" s="12" t="s">
        <v>202</v>
      </c>
      <c r="AI15" s="12" t="s">
        <v>333</v>
      </c>
      <c r="AJ15" s="12" t="s">
        <v>202</v>
      </c>
      <c r="AK15" s="12" t="s">
        <v>333</v>
      </c>
      <c r="AL15" s="12" t="s">
        <v>202</v>
      </c>
      <c r="AM15" s="12" t="s">
        <v>333</v>
      </c>
      <c r="AN15" s="12" t="s">
        <v>202</v>
      </c>
      <c r="AO15" s="12" t="s">
        <v>333</v>
      </c>
      <c r="AP15" s="12" t="s">
        <v>202</v>
      </c>
      <c r="AQ15" s="12" t="s">
        <v>333</v>
      </c>
      <c r="AR15" s="12" t="s">
        <v>202</v>
      </c>
      <c r="AS15" s="12" t="s">
        <v>333</v>
      </c>
      <c r="AT15" s="12" t="s">
        <v>202</v>
      </c>
      <c r="AU15" s="12" t="s">
        <v>333</v>
      </c>
      <c r="AV15" s="12" t="s">
        <v>202</v>
      </c>
      <c r="AW15" s="12" t="s">
        <v>333</v>
      </c>
      <c r="AX15" s="12" t="s">
        <v>202</v>
      </c>
      <c r="AY15" s="12" t="s">
        <v>333</v>
      </c>
      <c r="AZ15" s="12" t="s">
        <v>202</v>
      </c>
      <c r="BA15" s="12" t="s">
        <v>333</v>
      </c>
      <c r="BB15" s="12" t="s">
        <v>202</v>
      </c>
      <c r="BC15" s="12" t="s">
        <v>333</v>
      </c>
      <c r="BD15" s="12" t="s">
        <v>202</v>
      </c>
      <c r="BE15" s="12" t="s">
        <v>333</v>
      </c>
      <c r="BF15" s="12" t="s">
        <v>202</v>
      </c>
      <c r="BG15" s="12" t="s">
        <v>333</v>
      </c>
      <c r="BH15" s="12" t="s">
        <v>202</v>
      </c>
      <c r="BI15" s="12" t="s">
        <v>333</v>
      </c>
      <c r="BJ15" s="12" t="s">
        <v>202</v>
      </c>
      <c r="BK15" s="12" t="s">
        <v>333</v>
      </c>
      <c r="BL15" s="12" t="s">
        <v>202</v>
      </c>
      <c r="BM15" s="12" t="s">
        <v>333</v>
      </c>
      <c r="BN15" s="12" t="s">
        <v>202</v>
      </c>
      <c r="BO15" s="12" t="s">
        <v>333</v>
      </c>
      <c r="BP15" s="12" t="s">
        <v>202</v>
      </c>
      <c r="BQ15" s="12" t="s">
        <v>333</v>
      </c>
      <c r="BR15" s="12" t="s">
        <v>202</v>
      </c>
      <c r="BS15" s="12" t="s">
        <v>333</v>
      </c>
      <c r="BT15" s="12" t="s">
        <v>202</v>
      </c>
      <c r="BU15" s="12" t="s">
        <v>333</v>
      </c>
      <c r="BV15" s="12" t="s">
        <v>202</v>
      </c>
      <c r="BW15" s="12" t="s">
        <v>333</v>
      </c>
      <c r="BX15" s="12" t="s">
        <v>202</v>
      </c>
      <c r="BY15" s="12" t="s">
        <v>333</v>
      </c>
      <c r="BZ15" s="12" t="s">
        <v>202</v>
      </c>
      <c r="CA15" s="12" t="s">
        <v>333</v>
      </c>
      <c r="CB15" s="12" t="s">
        <v>202</v>
      </c>
      <c r="CC15" s="12" t="s">
        <v>333</v>
      </c>
    </row>
    <row r="16" spans="1:81" x14ac:dyDescent="0.2">
      <c r="A16" s="10" t="s">
        <v>203</v>
      </c>
      <c r="B16" s="81">
        <v>338.25700000000001</v>
      </c>
      <c r="C16" s="82" t="s">
        <v>333</v>
      </c>
      <c r="D16" s="81">
        <v>338.25700000000001</v>
      </c>
      <c r="E16" s="82" t="s">
        <v>333</v>
      </c>
      <c r="F16" s="82" t="s">
        <v>202</v>
      </c>
      <c r="G16" s="82" t="s">
        <v>333</v>
      </c>
      <c r="H16" s="82" t="s">
        <v>202</v>
      </c>
      <c r="I16" s="82" t="s">
        <v>333</v>
      </c>
      <c r="J16" s="82" t="s">
        <v>202</v>
      </c>
      <c r="K16" s="82" t="s">
        <v>333</v>
      </c>
      <c r="L16" s="82" t="s">
        <v>202</v>
      </c>
      <c r="M16" s="82" t="s">
        <v>333</v>
      </c>
      <c r="N16" s="82" t="s">
        <v>202</v>
      </c>
      <c r="O16" s="82" t="s">
        <v>333</v>
      </c>
      <c r="P16" s="82" t="s">
        <v>202</v>
      </c>
      <c r="Q16" s="82" t="s">
        <v>333</v>
      </c>
      <c r="R16" s="82" t="s">
        <v>202</v>
      </c>
      <c r="S16" s="82" t="s">
        <v>333</v>
      </c>
      <c r="T16" s="82" t="s">
        <v>202</v>
      </c>
      <c r="U16" s="82" t="s">
        <v>333</v>
      </c>
      <c r="V16" s="82" t="s">
        <v>202</v>
      </c>
      <c r="W16" s="82" t="s">
        <v>333</v>
      </c>
      <c r="X16" s="81">
        <v>338.25700000000001</v>
      </c>
      <c r="Y16" s="82" t="s">
        <v>333</v>
      </c>
      <c r="Z16" s="81">
        <v>338.25700000000001</v>
      </c>
      <c r="AA16" s="82" t="s">
        <v>333</v>
      </c>
      <c r="AB16" s="81">
        <v>242.34700000000001</v>
      </c>
      <c r="AC16" s="82" t="s">
        <v>333</v>
      </c>
      <c r="AD16" s="83">
        <v>0</v>
      </c>
      <c r="AE16" s="82" t="s">
        <v>333</v>
      </c>
      <c r="AF16" s="83">
        <v>0</v>
      </c>
      <c r="AG16" s="82" t="s">
        <v>333</v>
      </c>
      <c r="AH16" s="83">
        <v>0</v>
      </c>
      <c r="AI16" s="82" t="s">
        <v>333</v>
      </c>
      <c r="AJ16" s="83">
        <v>0</v>
      </c>
      <c r="AK16" s="82" t="s">
        <v>333</v>
      </c>
      <c r="AL16" s="83">
        <v>0</v>
      </c>
      <c r="AM16" s="82" t="s">
        <v>333</v>
      </c>
      <c r="AN16" s="83">
        <v>0</v>
      </c>
      <c r="AO16" s="82" t="s">
        <v>333</v>
      </c>
      <c r="AP16" s="83">
        <v>0</v>
      </c>
      <c r="AQ16" s="82" t="s">
        <v>333</v>
      </c>
      <c r="AR16" s="83">
        <v>0</v>
      </c>
      <c r="AS16" s="82" t="s">
        <v>333</v>
      </c>
      <c r="AT16" s="83">
        <v>0</v>
      </c>
      <c r="AU16" s="82" t="s">
        <v>333</v>
      </c>
      <c r="AV16" s="83">
        <v>0</v>
      </c>
      <c r="AW16" s="82" t="s">
        <v>333</v>
      </c>
      <c r="AX16" s="83">
        <v>0</v>
      </c>
      <c r="AY16" s="82" t="s">
        <v>333</v>
      </c>
      <c r="AZ16" s="83">
        <v>0</v>
      </c>
      <c r="BA16" s="82" t="s">
        <v>333</v>
      </c>
      <c r="BB16" s="83">
        <v>0</v>
      </c>
      <c r="BC16" s="82" t="s">
        <v>333</v>
      </c>
      <c r="BD16" s="83">
        <v>0</v>
      </c>
      <c r="BE16" s="82" t="s">
        <v>333</v>
      </c>
      <c r="BF16" s="83">
        <v>0</v>
      </c>
      <c r="BG16" s="82" t="s">
        <v>333</v>
      </c>
      <c r="BH16" s="83">
        <v>0</v>
      </c>
      <c r="BI16" s="82" t="s">
        <v>333</v>
      </c>
      <c r="BJ16" s="83">
        <v>0</v>
      </c>
      <c r="BK16" s="82" t="s">
        <v>333</v>
      </c>
      <c r="BL16" s="83">
        <v>0</v>
      </c>
      <c r="BM16" s="82" t="s">
        <v>333</v>
      </c>
      <c r="BN16" s="83">
        <v>0</v>
      </c>
      <c r="BO16" s="82" t="s">
        <v>333</v>
      </c>
      <c r="BP16" s="83">
        <v>0</v>
      </c>
      <c r="BQ16" s="82" t="s">
        <v>333</v>
      </c>
      <c r="BR16" s="83">
        <v>0</v>
      </c>
      <c r="BS16" s="82" t="s">
        <v>333</v>
      </c>
      <c r="BT16" s="83">
        <v>0</v>
      </c>
      <c r="BU16" s="82" t="s">
        <v>333</v>
      </c>
      <c r="BV16" s="83">
        <v>95.91</v>
      </c>
      <c r="BW16" s="82" t="s">
        <v>333</v>
      </c>
      <c r="BX16" s="83">
        <v>0</v>
      </c>
      <c r="BY16" s="82" t="s">
        <v>333</v>
      </c>
      <c r="BZ16" s="83">
        <v>0</v>
      </c>
      <c r="CA16" s="82" t="s">
        <v>333</v>
      </c>
      <c r="CB16" s="83">
        <v>0</v>
      </c>
      <c r="CC16" s="82" t="s">
        <v>333</v>
      </c>
    </row>
    <row r="17" spans="1:81" x14ac:dyDescent="0.2">
      <c r="A17" s="10" t="s">
        <v>74</v>
      </c>
      <c r="B17" s="20">
        <v>140657.88</v>
      </c>
      <c r="C17" s="12" t="s">
        <v>333</v>
      </c>
      <c r="D17" s="11">
        <v>140597.734</v>
      </c>
      <c r="E17" s="12" t="s">
        <v>333</v>
      </c>
      <c r="F17" s="11">
        <v>62659.726999999999</v>
      </c>
      <c r="G17" s="12" t="s">
        <v>333</v>
      </c>
      <c r="H17" s="11">
        <v>62659.726999999999</v>
      </c>
      <c r="I17" s="12" t="s">
        <v>333</v>
      </c>
      <c r="J17" s="11">
        <v>53745.266000000003</v>
      </c>
      <c r="K17" s="12" t="s">
        <v>333</v>
      </c>
      <c r="L17" s="11">
        <v>7781.3450000000003</v>
      </c>
      <c r="M17" s="12" t="s">
        <v>333</v>
      </c>
      <c r="N17" s="20">
        <v>0</v>
      </c>
      <c r="O17" s="12" t="s">
        <v>333</v>
      </c>
      <c r="P17" s="11">
        <v>1133.116</v>
      </c>
      <c r="Q17" s="12" t="s">
        <v>333</v>
      </c>
      <c r="R17" s="11">
        <v>1133.116</v>
      </c>
      <c r="S17" s="12" t="s">
        <v>333</v>
      </c>
      <c r="T17" s="12" t="s">
        <v>202</v>
      </c>
      <c r="U17" s="12" t="s">
        <v>333</v>
      </c>
      <c r="V17" s="20">
        <v>0</v>
      </c>
      <c r="W17" s="12" t="s">
        <v>333</v>
      </c>
      <c r="X17" s="11">
        <v>77998.153000000006</v>
      </c>
      <c r="Y17" s="12" t="s">
        <v>333</v>
      </c>
      <c r="Z17" s="11">
        <v>77938.006999999998</v>
      </c>
      <c r="AA17" s="12" t="s">
        <v>333</v>
      </c>
      <c r="AB17" s="12" t="s">
        <v>202</v>
      </c>
      <c r="AC17" s="12" t="s">
        <v>333</v>
      </c>
      <c r="AD17" s="20">
        <v>0</v>
      </c>
      <c r="AE17" s="12" t="s">
        <v>333</v>
      </c>
      <c r="AF17" s="11">
        <v>3419.8560000000002</v>
      </c>
      <c r="AG17" s="12" t="s">
        <v>333</v>
      </c>
      <c r="AH17" s="11">
        <v>18400.958999999999</v>
      </c>
      <c r="AI17" s="12" t="s">
        <v>333</v>
      </c>
      <c r="AJ17" s="11">
        <v>0.34399999999999997</v>
      </c>
      <c r="AK17" s="12" t="s">
        <v>333</v>
      </c>
      <c r="AL17" s="11">
        <v>6540.8469999999998</v>
      </c>
      <c r="AM17" s="12" t="s">
        <v>333</v>
      </c>
      <c r="AN17" s="11">
        <v>6540.8469999999998</v>
      </c>
      <c r="AO17" s="12" t="s">
        <v>333</v>
      </c>
      <c r="AP17" s="20">
        <v>0</v>
      </c>
      <c r="AQ17" s="12" t="s">
        <v>333</v>
      </c>
      <c r="AR17" s="11">
        <v>2729.9279999999999</v>
      </c>
      <c r="AS17" s="12" t="s">
        <v>333</v>
      </c>
      <c r="AT17" s="11">
        <v>2669.7820000000002</v>
      </c>
      <c r="AU17" s="12" t="s">
        <v>333</v>
      </c>
      <c r="AV17" s="11">
        <v>608.12300000000005</v>
      </c>
      <c r="AW17" s="12" t="s">
        <v>333</v>
      </c>
      <c r="AX17" s="11">
        <v>13586.538</v>
      </c>
      <c r="AY17" s="12" t="s">
        <v>333</v>
      </c>
      <c r="AZ17" s="11">
        <v>13586.538</v>
      </c>
      <c r="BA17" s="12" t="s">
        <v>333</v>
      </c>
      <c r="BB17" s="11">
        <v>9544.2070000000003</v>
      </c>
      <c r="BC17" s="12" t="s">
        <v>333</v>
      </c>
      <c r="BD17" s="11">
        <v>4042.3310000000001</v>
      </c>
      <c r="BE17" s="12" t="s">
        <v>333</v>
      </c>
      <c r="BF17" s="11">
        <v>24100.458999999999</v>
      </c>
      <c r="BG17" s="12" t="s">
        <v>333</v>
      </c>
      <c r="BH17" s="11">
        <v>14956.398999999999</v>
      </c>
      <c r="BI17" s="12" t="s">
        <v>333</v>
      </c>
      <c r="BJ17" s="20">
        <v>9144.06</v>
      </c>
      <c r="BK17" s="12" t="s">
        <v>333</v>
      </c>
      <c r="BL17" s="11">
        <v>2087.9340000000002</v>
      </c>
      <c r="BM17" s="12" t="s">
        <v>333</v>
      </c>
      <c r="BN17" s="11">
        <v>2387.556</v>
      </c>
      <c r="BO17" s="12" t="s">
        <v>333</v>
      </c>
      <c r="BP17" s="11">
        <v>191.22499999999999</v>
      </c>
      <c r="BQ17" s="12" t="s">
        <v>333</v>
      </c>
      <c r="BR17" s="11">
        <v>2035.682</v>
      </c>
      <c r="BS17" s="12" t="s">
        <v>333</v>
      </c>
      <c r="BT17" s="11">
        <v>462.30799999999999</v>
      </c>
      <c r="BU17" s="12" t="s">
        <v>333</v>
      </c>
      <c r="BV17" s="11">
        <v>1446.394</v>
      </c>
      <c r="BW17" s="12" t="s">
        <v>333</v>
      </c>
      <c r="BX17" s="20">
        <v>0</v>
      </c>
      <c r="BY17" s="12" t="s">
        <v>333</v>
      </c>
      <c r="BZ17" s="20">
        <v>0</v>
      </c>
      <c r="CA17" s="12" t="s">
        <v>333</v>
      </c>
      <c r="CB17" s="11">
        <v>60.146000000000001</v>
      </c>
      <c r="CC17" s="12" t="s">
        <v>333</v>
      </c>
    </row>
    <row r="18" spans="1:81" x14ac:dyDescent="0.2">
      <c r="A18" s="10" t="s">
        <v>75</v>
      </c>
      <c r="B18" s="81">
        <v>105764.38800000001</v>
      </c>
      <c r="C18" s="82" t="s">
        <v>333</v>
      </c>
      <c r="D18" s="81">
        <v>105538.556</v>
      </c>
      <c r="E18" s="82" t="s">
        <v>333</v>
      </c>
      <c r="F18" s="81">
        <v>1053.8050000000001</v>
      </c>
      <c r="G18" s="82" t="s">
        <v>333</v>
      </c>
      <c r="H18" s="81">
        <v>1053.8050000000001</v>
      </c>
      <c r="I18" s="82" t="s">
        <v>333</v>
      </c>
      <c r="J18" s="81">
        <v>18.472999999999999</v>
      </c>
      <c r="K18" s="82" t="s">
        <v>333</v>
      </c>
      <c r="L18" s="81">
        <v>102.63800000000001</v>
      </c>
      <c r="M18" s="82" t="s">
        <v>333</v>
      </c>
      <c r="N18" s="83">
        <v>0</v>
      </c>
      <c r="O18" s="82" t="s">
        <v>333</v>
      </c>
      <c r="P18" s="81">
        <v>932.69399999999996</v>
      </c>
      <c r="Q18" s="82" t="s">
        <v>333</v>
      </c>
      <c r="R18" s="81">
        <v>932.69399999999996</v>
      </c>
      <c r="S18" s="82" t="s">
        <v>333</v>
      </c>
      <c r="T18" s="82" t="s">
        <v>202</v>
      </c>
      <c r="U18" s="82" t="s">
        <v>333</v>
      </c>
      <c r="V18" s="83">
        <v>0</v>
      </c>
      <c r="W18" s="82" t="s">
        <v>333</v>
      </c>
      <c r="X18" s="81">
        <v>104710.583</v>
      </c>
      <c r="Y18" s="82" t="s">
        <v>333</v>
      </c>
      <c r="Z18" s="81">
        <v>104484.751</v>
      </c>
      <c r="AA18" s="82" t="s">
        <v>333</v>
      </c>
      <c r="AB18" s="82" t="s">
        <v>202</v>
      </c>
      <c r="AC18" s="82" t="s">
        <v>333</v>
      </c>
      <c r="AD18" s="83">
        <v>0</v>
      </c>
      <c r="AE18" s="82" t="s">
        <v>333</v>
      </c>
      <c r="AF18" s="81">
        <v>2102.2040000000002</v>
      </c>
      <c r="AG18" s="82" t="s">
        <v>333</v>
      </c>
      <c r="AH18" s="81">
        <v>13342.347</v>
      </c>
      <c r="AI18" s="82" t="s">
        <v>333</v>
      </c>
      <c r="AJ18" s="81">
        <v>65.872</v>
      </c>
      <c r="AK18" s="82" t="s">
        <v>333</v>
      </c>
      <c r="AL18" s="81">
        <v>20914.138999999999</v>
      </c>
      <c r="AM18" s="82" t="s">
        <v>333</v>
      </c>
      <c r="AN18" s="81">
        <v>20781.304</v>
      </c>
      <c r="AO18" s="82" t="s">
        <v>333</v>
      </c>
      <c r="AP18" s="83">
        <v>0</v>
      </c>
      <c r="AQ18" s="82" t="s">
        <v>333</v>
      </c>
      <c r="AR18" s="81">
        <v>8244.5859999999993</v>
      </c>
      <c r="AS18" s="82" t="s">
        <v>333</v>
      </c>
      <c r="AT18" s="81">
        <v>8244.5859999999993</v>
      </c>
      <c r="AU18" s="82" t="s">
        <v>333</v>
      </c>
      <c r="AV18" s="81">
        <v>855.02200000000005</v>
      </c>
      <c r="AW18" s="82" t="s">
        <v>333</v>
      </c>
      <c r="AX18" s="83">
        <v>25894.57</v>
      </c>
      <c r="AY18" s="82" t="s">
        <v>333</v>
      </c>
      <c r="AZ18" s="81">
        <v>25801.573</v>
      </c>
      <c r="BA18" s="82" t="s">
        <v>333</v>
      </c>
      <c r="BB18" s="81">
        <v>19038.223999999998</v>
      </c>
      <c r="BC18" s="82" t="s">
        <v>333</v>
      </c>
      <c r="BD18" s="81">
        <v>6856.3459999999995</v>
      </c>
      <c r="BE18" s="82" t="s">
        <v>333</v>
      </c>
      <c r="BF18" s="81">
        <v>22698.322</v>
      </c>
      <c r="BG18" s="82" t="s">
        <v>333</v>
      </c>
      <c r="BH18" s="83">
        <v>17572.580000000002</v>
      </c>
      <c r="BI18" s="82" t="s">
        <v>333</v>
      </c>
      <c r="BJ18" s="81">
        <v>5125.7420000000002</v>
      </c>
      <c r="BK18" s="82" t="s">
        <v>333</v>
      </c>
      <c r="BL18" s="81">
        <v>2231.3539999999998</v>
      </c>
      <c r="BM18" s="82" t="s">
        <v>333</v>
      </c>
      <c r="BN18" s="81">
        <v>2823.9940000000001</v>
      </c>
      <c r="BO18" s="82" t="s">
        <v>333</v>
      </c>
      <c r="BP18" s="81">
        <v>188.334</v>
      </c>
      <c r="BQ18" s="82" t="s">
        <v>333</v>
      </c>
      <c r="BR18" s="81">
        <v>1692.0740000000001</v>
      </c>
      <c r="BS18" s="82" t="s">
        <v>333</v>
      </c>
      <c r="BT18" s="81">
        <v>1255.7860000000001</v>
      </c>
      <c r="BU18" s="82" t="s">
        <v>333</v>
      </c>
      <c r="BV18" s="81">
        <v>2401.9789999999998</v>
      </c>
      <c r="BW18" s="82" t="s">
        <v>333</v>
      </c>
      <c r="BX18" s="81">
        <v>132.83500000000001</v>
      </c>
      <c r="BY18" s="82" t="s">
        <v>333</v>
      </c>
      <c r="BZ18" s="81">
        <v>92.997</v>
      </c>
      <c r="CA18" s="82" t="s">
        <v>333</v>
      </c>
      <c r="CB18" s="83">
        <v>0</v>
      </c>
      <c r="CC18" s="82" t="s">
        <v>333</v>
      </c>
    </row>
    <row r="19" spans="1:81" x14ac:dyDescent="0.2">
      <c r="A19" s="10" t="s">
        <v>76</v>
      </c>
      <c r="B19" s="20">
        <v>2258.8000000000002</v>
      </c>
      <c r="C19" s="12" t="s">
        <v>333</v>
      </c>
      <c r="D19" s="11">
        <v>1917.8789999999999</v>
      </c>
      <c r="E19" s="12" t="s">
        <v>333</v>
      </c>
      <c r="F19" s="11">
        <v>1501.8440000000001</v>
      </c>
      <c r="G19" s="12" t="s">
        <v>333</v>
      </c>
      <c r="H19" s="11">
        <v>1160.923</v>
      </c>
      <c r="I19" s="12" t="s">
        <v>333</v>
      </c>
      <c r="J19" s="11">
        <v>974.60299999999995</v>
      </c>
      <c r="K19" s="12" t="s">
        <v>333</v>
      </c>
      <c r="L19" s="11">
        <v>43.152000000000001</v>
      </c>
      <c r="M19" s="12" t="s">
        <v>333</v>
      </c>
      <c r="N19" s="20">
        <v>0</v>
      </c>
      <c r="O19" s="12" t="s">
        <v>333</v>
      </c>
      <c r="P19" s="11">
        <v>143.16800000000001</v>
      </c>
      <c r="Q19" s="12" t="s">
        <v>333</v>
      </c>
      <c r="R19" s="11">
        <v>484.089</v>
      </c>
      <c r="S19" s="12" t="s">
        <v>333</v>
      </c>
      <c r="T19" s="11">
        <v>340.92099999999999</v>
      </c>
      <c r="U19" s="12" t="s">
        <v>333</v>
      </c>
      <c r="V19" s="20">
        <v>0</v>
      </c>
      <c r="W19" s="12" t="s">
        <v>333</v>
      </c>
      <c r="X19" s="11">
        <v>756.95600000000002</v>
      </c>
      <c r="Y19" s="12" t="s">
        <v>333</v>
      </c>
      <c r="Z19" s="11">
        <v>756.95600000000002</v>
      </c>
      <c r="AA19" s="12" t="s">
        <v>333</v>
      </c>
      <c r="AB19" s="20">
        <v>0</v>
      </c>
      <c r="AC19" s="12" t="s">
        <v>333</v>
      </c>
      <c r="AD19" s="20">
        <v>0</v>
      </c>
      <c r="AE19" s="12" t="s">
        <v>333</v>
      </c>
      <c r="AF19" s="11">
        <v>-16.082000000000001</v>
      </c>
      <c r="AG19" s="12" t="s">
        <v>333</v>
      </c>
      <c r="AH19" s="11">
        <v>39.313000000000002</v>
      </c>
      <c r="AI19" s="12" t="s">
        <v>333</v>
      </c>
      <c r="AJ19" s="11">
        <v>2.6709999999999998</v>
      </c>
      <c r="AK19" s="12" t="s">
        <v>333</v>
      </c>
      <c r="AL19" s="11">
        <v>467.49400000000003</v>
      </c>
      <c r="AM19" s="12" t="s">
        <v>333</v>
      </c>
      <c r="AN19" s="11">
        <v>467.49400000000003</v>
      </c>
      <c r="AO19" s="12" t="s">
        <v>333</v>
      </c>
      <c r="AP19" s="20">
        <v>0</v>
      </c>
      <c r="AQ19" s="12" t="s">
        <v>333</v>
      </c>
      <c r="AR19" s="11">
        <v>-144.15600000000001</v>
      </c>
      <c r="AS19" s="12" t="s">
        <v>333</v>
      </c>
      <c r="AT19" s="11">
        <v>-144.15600000000001</v>
      </c>
      <c r="AU19" s="12" t="s">
        <v>333</v>
      </c>
      <c r="AV19" s="11">
        <v>-12.456</v>
      </c>
      <c r="AW19" s="12" t="s">
        <v>333</v>
      </c>
      <c r="AX19" s="11">
        <v>250.07599999999999</v>
      </c>
      <c r="AY19" s="12" t="s">
        <v>333</v>
      </c>
      <c r="AZ19" s="11">
        <v>250.07599999999999</v>
      </c>
      <c r="BA19" s="12" t="s">
        <v>333</v>
      </c>
      <c r="BB19" s="11">
        <v>155.94499999999999</v>
      </c>
      <c r="BC19" s="12" t="s">
        <v>333</v>
      </c>
      <c r="BD19" s="11">
        <v>94.131</v>
      </c>
      <c r="BE19" s="12" t="s">
        <v>333</v>
      </c>
      <c r="BF19" s="11">
        <v>151.84100000000001</v>
      </c>
      <c r="BG19" s="12" t="s">
        <v>333</v>
      </c>
      <c r="BH19" s="11">
        <v>53.640999999999998</v>
      </c>
      <c r="BI19" s="12" t="s">
        <v>333</v>
      </c>
      <c r="BJ19" s="20">
        <v>98.2</v>
      </c>
      <c r="BK19" s="12" t="s">
        <v>333</v>
      </c>
      <c r="BL19" s="11">
        <v>-7.3360000000000003</v>
      </c>
      <c r="BM19" s="12" t="s">
        <v>333</v>
      </c>
      <c r="BN19" s="11">
        <v>-44.929000000000002</v>
      </c>
      <c r="BO19" s="12" t="s">
        <v>333</v>
      </c>
      <c r="BP19" s="11">
        <v>6.5270000000000001</v>
      </c>
      <c r="BQ19" s="12" t="s">
        <v>333</v>
      </c>
      <c r="BR19" s="11">
        <v>-93.856999999999999</v>
      </c>
      <c r="BS19" s="12" t="s">
        <v>333</v>
      </c>
      <c r="BT19" s="11">
        <v>2.0459999999999998</v>
      </c>
      <c r="BU19" s="12" t="s">
        <v>333</v>
      </c>
      <c r="BV19" s="11">
        <v>155.804</v>
      </c>
      <c r="BW19" s="12" t="s">
        <v>333</v>
      </c>
      <c r="BX19" s="20">
        <v>0</v>
      </c>
      <c r="BY19" s="12" t="s">
        <v>333</v>
      </c>
      <c r="BZ19" s="20">
        <v>0</v>
      </c>
      <c r="CA19" s="12" t="s">
        <v>333</v>
      </c>
      <c r="CB19" s="20">
        <v>0</v>
      </c>
      <c r="CC19" s="12" t="s">
        <v>333</v>
      </c>
    </row>
    <row r="20" spans="1:81" x14ac:dyDescent="0.2">
      <c r="A20" s="10" t="s">
        <v>481</v>
      </c>
      <c r="B20" s="83">
        <v>0</v>
      </c>
      <c r="C20" s="82" t="s">
        <v>333</v>
      </c>
      <c r="D20" s="83">
        <v>0</v>
      </c>
      <c r="E20" s="82" t="s">
        <v>333</v>
      </c>
      <c r="F20" s="83">
        <v>0</v>
      </c>
      <c r="G20" s="82" t="s">
        <v>333</v>
      </c>
      <c r="H20" s="83">
        <v>0</v>
      </c>
      <c r="I20" s="82" t="s">
        <v>333</v>
      </c>
      <c r="J20" s="83">
        <v>0</v>
      </c>
      <c r="K20" s="82" t="s">
        <v>333</v>
      </c>
      <c r="L20" s="83">
        <v>0</v>
      </c>
      <c r="M20" s="82" t="s">
        <v>333</v>
      </c>
      <c r="N20" s="82" t="s">
        <v>202</v>
      </c>
      <c r="O20" s="82" t="s">
        <v>333</v>
      </c>
      <c r="P20" s="82" t="s">
        <v>202</v>
      </c>
      <c r="Q20" s="82" t="s">
        <v>333</v>
      </c>
      <c r="R20" s="82" t="s">
        <v>202</v>
      </c>
      <c r="S20" s="82" t="s">
        <v>333</v>
      </c>
      <c r="T20" s="82" t="s">
        <v>202</v>
      </c>
      <c r="U20" s="82" t="s">
        <v>333</v>
      </c>
      <c r="V20" s="82" t="s">
        <v>202</v>
      </c>
      <c r="W20" s="82" t="s">
        <v>333</v>
      </c>
      <c r="X20" s="83">
        <v>0</v>
      </c>
      <c r="Y20" s="82" t="s">
        <v>333</v>
      </c>
      <c r="Z20" s="83">
        <v>0</v>
      </c>
      <c r="AA20" s="82" t="s">
        <v>333</v>
      </c>
      <c r="AB20" s="83">
        <v>0</v>
      </c>
      <c r="AC20" s="82" t="s">
        <v>333</v>
      </c>
      <c r="AD20" s="83">
        <v>0</v>
      </c>
      <c r="AE20" s="82" t="s">
        <v>333</v>
      </c>
      <c r="AF20" s="83">
        <v>0</v>
      </c>
      <c r="AG20" s="82" t="s">
        <v>333</v>
      </c>
      <c r="AH20" s="83">
        <v>0</v>
      </c>
      <c r="AI20" s="82" t="s">
        <v>333</v>
      </c>
      <c r="AJ20" s="83">
        <v>0</v>
      </c>
      <c r="AK20" s="82" t="s">
        <v>333</v>
      </c>
      <c r="AL20" s="83">
        <v>0</v>
      </c>
      <c r="AM20" s="82" t="s">
        <v>333</v>
      </c>
      <c r="AN20" s="83">
        <v>0</v>
      </c>
      <c r="AO20" s="82" t="s">
        <v>333</v>
      </c>
      <c r="AP20" s="83">
        <v>0</v>
      </c>
      <c r="AQ20" s="82" t="s">
        <v>333</v>
      </c>
      <c r="AR20" s="83">
        <v>0</v>
      </c>
      <c r="AS20" s="82" t="s">
        <v>333</v>
      </c>
      <c r="AT20" s="83">
        <v>0</v>
      </c>
      <c r="AU20" s="82" t="s">
        <v>333</v>
      </c>
      <c r="AV20" s="83">
        <v>0</v>
      </c>
      <c r="AW20" s="82" t="s">
        <v>333</v>
      </c>
      <c r="AX20" s="83">
        <v>0</v>
      </c>
      <c r="AY20" s="82" t="s">
        <v>333</v>
      </c>
      <c r="AZ20" s="83">
        <v>0</v>
      </c>
      <c r="BA20" s="82" t="s">
        <v>333</v>
      </c>
      <c r="BB20" s="83">
        <v>0</v>
      </c>
      <c r="BC20" s="82" t="s">
        <v>333</v>
      </c>
      <c r="BD20" s="83">
        <v>0</v>
      </c>
      <c r="BE20" s="82" t="s">
        <v>333</v>
      </c>
      <c r="BF20" s="83">
        <v>0</v>
      </c>
      <c r="BG20" s="82" t="s">
        <v>333</v>
      </c>
      <c r="BH20" s="83">
        <v>0</v>
      </c>
      <c r="BI20" s="82" t="s">
        <v>333</v>
      </c>
      <c r="BJ20" s="83">
        <v>0</v>
      </c>
      <c r="BK20" s="82" t="s">
        <v>333</v>
      </c>
      <c r="BL20" s="83">
        <v>0</v>
      </c>
      <c r="BM20" s="82" t="s">
        <v>333</v>
      </c>
      <c r="BN20" s="83">
        <v>0</v>
      </c>
      <c r="BO20" s="82" t="s">
        <v>333</v>
      </c>
      <c r="BP20" s="83">
        <v>0</v>
      </c>
      <c r="BQ20" s="82" t="s">
        <v>333</v>
      </c>
      <c r="BR20" s="83">
        <v>0</v>
      </c>
      <c r="BS20" s="82" t="s">
        <v>333</v>
      </c>
      <c r="BT20" s="83">
        <v>0</v>
      </c>
      <c r="BU20" s="82" t="s">
        <v>333</v>
      </c>
      <c r="BV20" s="83">
        <v>0</v>
      </c>
      <c r="BW20" s="82" t="s">
        <v>333</v>
      </c>
      <c r="BX20" s="83">
        <v>0</v>
      </c>
      <c r="BY20" s="82" t="s">
        <v>333</v>
      </c>
      <c r="BZ20" s="83">
        <v>0</v>
      </c>
      <c r="CA20" s="82" t="s">
        <v>333</v>
      </c>
      <c r="CB20" s="83">
        <v>0</v>
      </c>
      <c r="CC20" s="82" t="s">
        <v>333</v>
      </c>
    </row>
    <row r="21" spans="1:81" x14ac:dyDescent="0.2">
      <c r="A21" s="10" t="s">
        <v>78</v>
      </c>
      <c r="B21" s="11">
        <v>10657.998</v>
      </c>
      <c r="C21" s="12" t="s">
        <v>333</v>
      </c>
      <c r="D21" s="11">
        <v>10306.825999999999</v>
      </c>
      <c r="E21" s="12" t="s">
        <v>333</v>
      </c>
      <c r="F21" s="12" t="s">
        <v>202</v>
      </c>
      <c r="G21" s="12" t="s">
        <v>333</v>
      </c>
      <c r="H21" s="12" t="s">
        <v>202</v>
      </c>
      <c r="I21" s="12" t="s">
        <v>333</v>
      </c>
      <c r="J21" s="12" t="s">
        <v>202</v>
      </c>
      <c r="K21" s="12" t="s">
        <v>333</v>
      </c>
      <c r="L21" s="12" t="s">
        <v>202</v>
      </c>
      <c r="M21" s="12" t="s">
        <v>333</v>
      </c>
      <c r="N21" s="12" t="s">
        <v>202</v>
      </c>
      <c r="O21" s="12" t="s">
        <v>333</v>
      </c>
      <c r="P21" s="12" t="s">
        <v>202</v>
      </c>
      <c r="Q21" s="12" t="s">
        <v>333</v>
      </c>
      <c r="R21" s="12" t="s">
        <v>202</v>
      </c>
      <c r="S21" s="12" t="s">
        <v>333</v>
      </c>
      <c r="T21" s="12" t="s">
        <v>202</v>
      </c>
      <c r="U21" s="12" t="s">
        <v>333</v>
      </c>
      <c r="V21" s="12" t="s">
        <v>202</v>
      </c>
      <c r="W21" s="12" t="s">
        <v>333</v>
      </c>
      <c r="X21" s="11">
        <v>10657.998</v>
      </c>
      <c r="Y21" s="12" t="s">
        <v>333</v>
      </c>
      <c r="Z21" s="11">
        <v>10306.825999999999</v>
      </c>
      <c r="AA21" s="12" t="s">
        <v>333</v>
      </c>
      <c r="AB21" s="20">
        <v>0</v>
      </c>
      <c r="AC21" s="12" t="s">
        <v>333</v>
      </c>
      <c r="AD21" s="20">
        <v>0</v>
      </c>
      <c r="AE21" s="12" t="s">
        <v>333</v>
      </c>
      <c r="AF21" s="20">
        <v>0</v>
      </c>
      <c r="AG21" s="12" t="s">
        <v>333</v>
      </c>
      <c r="AH21" s="20">
        <v>0</v>
      </c>
      <c r="AI21" s="12" t="s">
        <v>333</v>
      </c>
      <c r="AJ21" s="20">
        <v>0</v>
      </c>
      <c r="AK21" s="12" t="s">
        <v>333</v>
      </c>
      <c r="AL21" s="20">
        <v>0</v>
      </c>
      <c r="AM21" s="12" t="s">
        <v>333</v>
      </c>
      <c r="AN21" s="20">
        <v>0</v>
      </c>
      <c r="AO21" s="12" t="s">
        <v>333</v>
      </c>
      <c r="AP21" s="20">
        <v>0</v>
      </c>
      <c r="AQ21" s="12" t="s">
        <v>333</v>
      </c>
      <c r="AR21" s="20">
        <v>0</v>
      </c>
      <c r="AS21" s="12" t="s">
        <v>333</v>
      </c>
      <c r="AT21" s="20">
        <v>0</v>
      </c>
      <c r="AU21" s="12" t="s">
        <v>333</v>
      </c>
      <c r="AV21" s="20">
        <v>0</v>
      </c>
      <c r="AW21" s="12" t="s">
        <v>333</v>
      </c>
      <c r="AX21" s="11">
        <v>1820.6690000000001</v>
      </c>
      <c r="AY21" s="12" t="s">
        <v>333</v>
      </c>
      <c r="AZ21" s="11">
        <v>1469.4970000000001</v>
      </c>
      <c r="BA21" s="12" t="s">
        <v>333</v>
      </c>
      <c r="BB21" s="20">
        <v>0</v>
      </c>
      <c r="BC21" s="12" t="s">
        <v>333</v>
      </c>
      <c r="BD21" s="11">
        <v>1820.6690000000001</v>
      </c>
      <c r="BE21" s="12" t="s">
        <v>333</v>
      </c>
      <c r="BF21" s="11">
        <v>8722.7219999999998</v>
      </c>
      <c r="BG21" s="12" t="s">
        <v>333</v>
      </c>
      <c r="BH21" s="11">
        <v>7691.8329999999996</v>
      </c>
      <c r="BI21" s="12" t="s">
        <v>333</v>
      </c>
      <c r="BJ21" s="11">
        <v>1030.8889999999999</v>
      </c>
      <c r="BK21" s="12" t="s">
        <v>333</v>
      </c>
      <c r="BL21" s="20">
        <v>0</v>
      </c>
      <c r="BM21" s="12" t="s">
        <v>333</v>
      </c>
      <c r="BN21" s="11">
        <v>114.607</v>
      </c>
      <c r="BO21" s="12" t="s">
        <v>333</v>
      </c>
      <c r="BP21" s="20">
        <v>0</v>
      </c>
      <c r="BQ21" s="12" t="s">
        <v>333</v>
      </c>
      <c r="BR21" s="20">
        <v>0</v>
      </c>
      <c r="BS21" s="12" t="s">
        <v>333</v>
      </c>
      <c r="BT21" s="20">
        <v>0</v>
      </c>
      <c r="BU21" s="12" t="s">
        <v>333</v>
      </c>
      <c r="BV21" s="20">
        <v>0</v>
      </c>
      <c r="BW21" s="12" t="s">
        <v>333</v>
      </c>
      <c r="BX21" s="20">
        <v>0</v>
      </c>
      <c r="BY21" s="12" t="s">
        <v>333</v>
      </c>
      <c r="BZ21" s="11">
        <v>351.17200000000003</v>
      </c>
      <c r="CA21" s="12" t="s">
        <v>333</v>
      </c>
      <c r="CB21" s="20">
        <v>0</v>
      </c>
      <c r="CC21" s="12" t="s">
        <v>333</v>
      </c>
    </row>
    <row r="22" spans="1:81" x14ac:dyDescent="0.2">
      <c r="A22" s="10" t="s">
        <v>482</v>
      </c>
      <c r="B22" s="81">
        <v>28798.992999999999</v>
      </c>
      <c r="C22" s="82" t="s">
        <v>333</v>
      </c>
      <c r="D22" s="81">
        <v>27963.897000000001</v>
      </c>
      <c r="E22" s="82" t="s">
        <v>333</v>
      </c>
      <c r="F22" s="81">
        <v>3683.6210000000001</v>
      </c>
      <c r="G22" s="82" t="s">
        <v>333</v>
      </c>
      <c r="H22" s="81">
        <v>3683.6210000000001</v>
      </c>
      <c r="I22" s="82" t="s">
        <v>333</v>
      </c>
      <c r="J22" s="83">
        <v>0</v>
      </c>
      <c r="K22" s="82" t="s">
        <v>333</v>
      </c>
      <c r="L22" s="81">
        <v>3683.6210000000001</v>
      </c>
      <c r="M22" s="82" t="s">
        <v>333</v>
      </c>
      <c r="N22" s="82" t="s">
        <v>202</v>
      </c>
      <c r="O22" s="82" t="s">
        <v>333</v>
      </c>
      <c r="P22" s="82" t="s">
        <v>202</v>
      </c>
      <c r="Q22" s="82" t="s">
        <v>333</v>
      </c>
      <c r="R22" s="82" t="s">
        <v>202</v>
      </c>
      <c r="S22" s="82" t="s">
        <v>333</v>
      </c>
      <c r="T22" s="82" t="s">
        <v>202</v>
      </c>
      <c r="U22" s="82" t="s">
        <v>333</v>
      </c>
      <c r="V22" s="82" t="s">
        <v>202</v>
      </c>
      <c r="W22" s="82" t="s">
        <v>333</v>
      </c>
      <c r="X22" s="81">
        <v>25115.371999999999</v>
      </c>
      <c r="Y22" s="82" t="s">
        <v>333</v>
      </c>
      <c r="Z22" s="81">
        <v>24280.276000000002</v>
      </c>
      <c r="AA22" s="82" t="s">
        <v>333</v>
      </c>
      <c r="AB22" s="81">
        <v>2730.8110000000001</v>
      </c>
      <c r="AC22" s="82" t="s">
        <v>333</v>
      </c>
      <c r="AD22" s="83">
        <v>0</v>
      </c>
      <c r="AE22" s="82" t="s">
        <v>333</v>
      </c>
      <c r="AF22" s="81">
        <v>2405.9740000000002</v>
      </c>
      <c r="AG22" s="82" t="s">
        <v>333</v>
      </c>
      <c r="AH22" s="81">
        <v>5466.6049999999996</v>
      </c>
      <c r="AI22" s="82" t="s">
        <v>333</v>
      </c>
      <c r="AJ22" s="81">
        <v>1.292</v>
      </c>
      <c r="AK22" s="82" t="s">
        <v>333</v>
      </c>
      <c r="AL22" s="81">
        <v>4368.9690000000001</v>
      </c>
      <c r="AM22" s="82" t="s">
        <v>333</v>
      </c>
      <c r="AN22" s="83">
        <v>3969.69</v>
      </c>
      <c r="AO22" s="82" t="s">
        <v>333</v>
      </c>
      <c r="AP22" s="83">
        <v>0</v>
      </c>
      <c r="AQ22" s="82" t="s">
        <v>333</v>
      </c>
      <c r="AR22" s="81">
        <v>3315.8159999999998</v>
      </c>
      <c r="AS22" s="82" t="s">
        <v>333</v>
      </c>
      <c r="AT22" s="83">
        <v>3255.67</v>
      </c>
      <c r="AU22" s="82" t="s">
        <v>333</v>
      </c>
      <c r="AV22" s="81">
        <v>46.933</v>
      </c>
      <c r="AW22" s="82" t="s">
        <v>333</v>
      </c>
      <c r="AX22" s="81">
        <v>5803.866</v>
      </c>
      <c r="AY22" s="82" t="s">
        <v>333</v>
      </c>
      <c r="AZ22" s="81">
        <v>5428.1949999999997</v>
      </c>
      <c r="BA22" s="82" t="s">
        <v>333</v>
      </c>
      <c r="BB22" s="81">
        <v>5398.5550000000003</v>
      </c>
      <c r="BC22" s="82" t="s">
        <v>333</v>
      </c>
      <c r="BD22" s="81">
        <v>405.31299999999999</v>
      </c>
      <c r="BE22" s="82" t="s">
        <v>333</v>
      </c>
      <c r="BF22" s="83">
        <v>0</v>
      </c>
      <c r="BG22" s="82" t="s">
        <v>333</v>
      </c>
      <c r="BH22" s="83">
        <v>0</v>
      </c>
      <c r="BI22" s="82" t="s">
        <v>333</v>
      </c>
      <c r="BJ22" s="83">
        <v>0</v>
      </c>
      <c r="BK22" s="82" t="s">
        <v>333</v>
      </c>
      <c r="BL22" s="83">
        <v>17.43</v>
      </c>
      <c r="BM22" s="82" t="s">
        <v>333</v>
      </c>
      <c r="BN22" s="81">
        <v>152.892</v>
      </c>
      <c r="BO22" s="82" t="s">
        <v>333</v>
      </c>
      <c r="BP22" s="81">
        <v>18.963000000000001</v>
      </c>
      <c r="BQ22" s="82" t="s">
        <v>333</v>
      </c>
      <c r="BR22" s="81">
        <v>420.54500000000002</v>
      </c>
      <c r="BS22" s="82" t="s">
        <v>333</v>
      </c>
      <c r="BT22" s="81">
        <v>91.629000000000005</v>
      </c>
      <c r="BU22" s="82" t="s">
        <v>333</v>
      </c>
      <c r="BV22" s="81">
        <v>273.64699999999999</v>
      </c>
      <c r="BW22" s="82" t="s">
        <v>333</v>
      </c>
      <c r="BX22" s="81">
        <v>399.279</v>
      </c>
      <c r="BY22" s="82" t="s">
        <v>333</v>
      </c>
      <c r="BZ22" s="81">
        <v>375.67099999999999</v>
      </c>
      <c r="CA22" s="82" t="s">
        <v>333</v>
      </c>
      <c r="CB22" s="81">
        <v>60.146000000000001</v>
      </c>
      <c r="CC22" s="82" t="s">
        <v>333</v>
      </c>
    </row>
    <row r="23" spans="1:81" x14ac:dyDescent="0.2">
      <c r="A23" s="10" t="s">
        <v>483</v>
      </c>
      <c r="B23" s="11">
        <v>28799.292000000001</v>
      </c>
      <c r="C23" s="12" t="s">
        <v>333</v>
      </c>
      <c r="D23" s="11">
        <v>27964.196</v>
      </c>
      <c r="E23" s="12" t="s">
        <v>333</v>
      </c>
      <c r="F23" s="11">
        <v>3683.6210000000001</v>
      </c>
      <c r="G23" s="12" t="s">
        <v>333</v>
      </c>
      <c r="H23" s="11">
        <v>3683.6210000000001</v>
      </c>
      <c r="I23" s="12" t="s">
        <v>333</v>
      </c>
      <c r="J23" s="20">
        <v>0</v>
      </c>
      <c r="K23" s="12" t="s">
        <v>333</v>
      </c>
      <c r="L23" s="11">
        <v>3683.6210000000001</v>
      </c>
      <c r="M23" s="12" t="s">
        <v>333</v>
      </c>
      <c r="N23" s="12" t="s">
        <v>202</v>
      </c>
      <c r="O23" s="12" t="s">
        <v>333</v>
      </c>
      <c r="P23" s="12" t="s">
        <v>202</v>
      </c>
      <c r="Q23" s="12" t="s">
        <v>333</v>
      </c>
      <c r="R23" s="12" t="s">
        <v>202</v>
      </c>
      <c r="S23" s="12" t="s">
        <v>333</v>
      </c>
      <c r="T23" s="12" t="s">
        <v>202</v>
      </c>
      <c r="U23" s="12" t="s">
        <v>333</v>
      </c>
      <c r="V23" s="12" t="s">
        <v>202</v>
      </c>
      <c r="W23" s="12" t="s">
        <v>333</v>
      </c>
      <c r="X23" s="11">
        <v>25115.670999999998</v>
      </c>
      <c r="Y23" s="12" t="s">
        <v>333</v>
      </c>
      <c r="Z23" s="11">
        <v>24280.575000000001</v>
      </c>
      <c r="AA23" s="12" t="s">
        <v>333</v>
      </c>
      <c r="AB23" s="11">
        <v>2730.8110000000001</v>
      </c>
      <c r="AC23" s="12" t="s">
        <v>333</v>
      </c>
      <c r="AD23" s="20">
        <v>0</v>
      </c>
      <c r="AE23" s="12" t="s">
        <v>333</v>
      </c>
      <c r="AF23" s="11">
        <v>2405.973</v>
      </c>
      <c r="AG23" s="12" t="s">
        <v>333</v>
      </c>
      <c r="AH23" s="11">
        <v>5466.6049999999996</v>
      </c>
      <c r="AI23" s="12" t="s">
        <v>333</v>
      </c>
      <c r="AJ23" s="11">
        <v>1.292</v>
      </c>
      <c r="AK23" s="12" t="s">
        <v>333</v>
      </c>
      <c r="AL23" s="11">
        <v>4369.2669999999998</v>
      </c>
      <c r="AM23" s="12" t="s">
        <v>333</v>
      </c>
      <c r="AN23" s="11">
        <v>3969.9879999999998</v>
      </c>
      <c r="AO23" s="12" t="s">
        <v>333</v>
      </c>
      <c r="AP23" s="20">
        <v>0</v>
      </c>
      <c r="AQ23" s="12" t="s">
        <v>333</v>
      </c>
      <c r="AR23" s="11">
        <v>3315.8159999999998</v>
      </c>
      <c r="AS23" s="12" t="s">
        <v>333</v>
      </c>
      <c r="AT23" s="20">
        <v>3255.67</v>
      </c>
      <c r="AU23" s="12" t="s">
        <v>333</v>
      </c>
      <c r="AV23" s="11">
        <v>46.932000000000002</v>
      </c>
      <c r="AW23" s="12" t="s">
        <v>333</v>
      </c>
      <c r="AX23" s="11">
        <v>5803.8689999999997</v>
      </c>
      <c r="AY23" s="12" t="s">
        <v>333</v>
      </c>
      <c r="AZ23" s="11">
        <v>5428.1980000000003</v>
      </c>
      <c r="BA23" s="12" t="s">
        <v>333</v>
      </c>
      <c r="BB23" s="11">
        <v>5398.5559999999996</v>
      </c>
      <c r="BC23" s="12" t="s">
        <v>333</v>
      </c>
      <c r="BD23" s="11">
        <v>405.31400000000002</v>
      </c>
      <c r="BE23" s="12" t="s">
        <v>333</v>
      </c>
      <c r="BF23" s="11">
        <v>-1E-3</v>
      </c>
      <c r="BG23" s="12" t="s">
        <v>333</v>
      </c>
      <c r="BH23" s="11">
        <v>-1E-3</v>
      </c>
      <c r="BI23" s="12" t="s">
        <v>333</v>
      </c>
      <c r="BJ23" s="20">
        <v>0</v>
      </c>
      <c r="BK23" s="12" t="s">
        <v>333</v>
      </c>
      <c r="BL23" s="20">
        <v>17.43</v>
      </c>
      <c r="BM23" s="12" t="s">
        <v>333</v>
      </c>
      <c r="BN23" s="11">
        <v>152.893</v>
      </c>
      <c r="BO23" s="12" t="s">
        <v>333</v>
      </c>
      <c r="BP23" s="11">
        <v>18.963000000000001</v>
      </c>
      <c r="BQ23" s="12" t="s">
        <v>333</v>
      </c>
      <c r="BR23" s="11">
        <v>420.54399999999998</v>
      </c>
      <c r="BS23" s="12" t="s">
        <v>333</v>
      </c>
      <c r="BT23" s="11">
        <v>91.629000000000005</v>
      </c>
      <c r="BU23" s="12" t="s">
        <v>333</v>
      </c>
      <c r="BV23" s="11">
        <v>273.64800000000002</v>
      </c>
      <c r="BW23" s="12" t="s">
        <v>333</v>
      </c>
      <c r="BX23" s="11">
        <v>399.279</v>
      </c>
      <c r="BY23" s="12" t="s">
        <v>333</v>
      </c>
      <c r="BZ23" s="11">
        <v>375.67099999999999</v>
      </c>
      <c r="CA23" s="12" t="s">
        <v>333</v>
      </c>
      <c r="CB23" s="11">
        <v>60.146000000000001</v>
      </c>
      <c r="CC23" s="12" t="s">
        <v>333</v>
      </c>
    </row>
    <row r="24" spans="1:81" x14ac:dyDescent="0.2">
      <c r="A24" s="10" t="s">
        <v>484</v>
      </c>
      <c r="B24" s="81">
        <v>28798.992999999999</v>
      </c>
      <c r="C24" s="82" t="s">
        <v>333</v>
      </c>
      <c r="D24" s="81">
        <v>27963.897000000001</v>
      </c>
      <c r="E24" s="82" t="s">
        <v>333</v>
      </c>
      <c r="F24" s="81">
        <v>3683.6210000000001</v>
      </c>
      <c r="G24" s="82" t="s">
        <v>333</v>
      </c>
      <c r="H24" s="81">
        <v>3683.6210000000001</v>
      </c>
      <c r="I24" s="82" t="s">
        <v>333</v>
      </c>
      <c r="J24" s="83">
        <v>0</v>
      </c>
      <c r="K24" s="82" t="s">
        <v>333</v>
      </c>
      <c r="L24" s="81">
        <v>3683.6210000000001</v>
      </c>
      <c r="M24" s="82" t="s">
        <v>333</v>
      </c>
      <c r="N24" s="82" t="s">
        <v>202</v>
      </c>
      <c r="O24" s="82" t="s">
        <v>333</v>
      </c>
      <c r="P24" s="82" t="s">
        <v>202</v>
      </c>
      <c r="Q24" s="82" t="s">
        <v>333</v>
      </c>
      <c r="R24" s="82" t="s">
        <v>202</v>
      </c>
      <c r="S24" s="82" t="s">
        <v>333</v>
      </c>
      <c r="T24" s="82" t="s">
        <v>202</v>
      </c>
      <c r="U24" s="82" t="s">
        <v>333</v>
      </c>
      <c r="V24" s="82" t="s">
        <v>202</v>
      </c>
      <c r="W24" s="82" t="s">
        <v>333</v>
      </c>
      <c r="X24" s="81">
        <v>25115.371999999999</v>
      </c>
      <c r="Y24" s="82" t="s">
        <v>333</v>
      </c>
      <c r="Z24" s="81">
        <v>24280.276000000002</v>
      </c>
      <c r="AA24" s="82" t="s">
        <v>333</v>
      </c>
      <c r="AB24" s="81">
        <v>2730.8110000000001</v>
      </c>
      <c r="AC24" s="82" t="s">
        <v>333</v>
      </c>
      <c r="AD24" s="83">
        <v>0</v>
      </c>
      <c r="AE24" s="82" t="s">
        <v>333</v>
      </c>
      <c r="AF24" s="81">
        <v>2405.9740000000002</v>
      </c>
      <c r="AG24" s="82" t="s">
        <v>333</v>
      </c>
      <c r="AH24" s="81">
        <v>5466.6049999999996</v>
      </c>
      <c r="AI24" s="82" t="s">
        <v>333</v>
      </c>
      <c r="AJ24" s="81">
        <v>1.292</v>
      </c>
      <c r="AK24" s="82" t="s">
        <v>333</v>
      </c>
      <c r="AL24" s="81">
        <v>4368.9690000000001</v>
      </c>
      <c r="AM24" s="82" t="s">
        <v>333</v>
      </c>
      <c r="AN24" s="83">
        <v>3969.69</v>
      </c>
      <c r="AO24" s="82" t="s">
        <v>333</v>
      </c>
      <c r="AP24" s="83">
        <v>0</v>
      </c>
      <c r="AQ24" s="82" t="s">
        <v>333</v>
      </c>
      <c r="AR24" s="81">
        <v>3315.8159999999998</v>
      </c>
      <c r="AS24" s="82" t="s">
        <v>333</v>
      </c>
      <c r="AT24" s="83">
        <v>3255.67</v>
      </c>
      <c r="AU24" s="82" t="s">
        <v>333</v>
      </c>
      <c r="AV24" s="81">
        <v>46.933</v>
      </c>
      <c r="AW24" s="82" t="s">
        <v>333</v>
      </c>
      <c r="AX24" s="81">
        <v>5803.866</v>
      </c>
      <c r="AY24" s="82" t="s">
        <v>333</v>
      </c>
      <c r="AZ24" s="81">
        <v>5428.1949999999997</v>
      </c>
      <c r="BA24" s="82" t="s">
        <v>333</v>
      </c>
      <c r="BB24" s="81">
        <v>5398.5550000000003</v>
      </c>
      <c r="BC24" s="82" t="s">
        <v>333</v>
      </c>
      <c r="BD24" s="81">
        <v>405.31299999999999</v>
      </c>
      <c r="BE24" s="82" t="s">
        <v>333</v>
      </c>
      <c r="BF24" s="83">
        <v>0</v>
      </c>
      <c r="BG24" s="82" t="s">
        <v>333</v>
      </c>
      <c r="BH24" s="83">
        <v>0</v>
      </c>
      <c r="BI24" s="82" t="s">
        <v>333</v>
      </c>
      <c r="BJ24" s="83">
        <v>0</v>
      </c>
      <c r="BK24" s="82" t="s">
        <v>333</v>
      </c>
      <c r="BL24" s="83">
        <v>17.43</v>
      </c>
      <c r="BM24" s="82" t="s">
        <v>333</v>
      </c>
      <c r="BN24" s="81">
        <v>152.892</v>
      </c>
      <c r="BO24" s="82" t="s">
        <v>333</v>
      </c>
      <c r="BP24" s="81">
        <v>18.963000000000001</v>
      </c>
      <c r="BQ24" s="82" t="s">
        <v>333</v>
      </c>
      <c r="BR24" s="81">
        <v>420.54500000000002</v>
      </c>
      <c r="BS24" s="82" t="s">
        <v>333</v>
      </c>
      <c r="BT24" s="81">
        <v>91.629000000000005</v>
      </c>
      <c r="BU24" s="82" t="s">
        <v>333</v>
      </c>
      <c r="BV24" s="81">
        <v>273.64699999999999</v>
      </c>
      <c r="BW24" s="82" t="s">
        <v>333</v>
      </c>
      <c r="BX24" s="81">
        <v>399.279</v>
      </c>
      <c r="BY24" s="82" t="s">
        <v>333</v>
      </c>
      <c r="BZ24" s="81">
        <v>375.67099999999999</v>
      </c>
      <c r="CA24" s="82" t="s">
        <v>333</v>
      </c>
      <c r="CB24" s="81">
        <v>60.146000000000001</v>
      </c>
      <c r="CC24" s="82" t="s">
        <v>333</v>
      </c>
    </row>
    <row r="25" spans="1:81" x14ac:dyDescent="0.2">
      <c r="A25" s="10" t="s">
        <v>485</v>
      </c>
      <c r="B25" s="11">
        <v>19996.976999999999</v>
      </c>
      <c r="C25" s="12" t="s">
        <v>333</v>
      </c>
      <c r="D25" s="11">
        <v>19161.881000000001</v>
      </c>
      <c r="E25" s="12" t="s">
        <v>333</v>
      </c>
      <c r="F25" s="11">
        <v>1108.8219999999999</v>
      </c>
      <c r="G25" s="12" t="s">
        <v>333</v>
      </c>
      <c r="H25" s="11">
        <v>1108.8219999999999</v>
      </c>
      <c r="I25" s="12" t="s">
        <v>333</v>
      </c>
      <c r="J25" s="20">
        <v>0</v>
      </c>
      <c r="K25" s="12" t="s">
        <v>333</v>
      </c>
      <c r="L25" s="11">
        <v>1108.8219999999999</v>
      </c>
      <c r="M25" s="12" t="s">
        <v>333</v>
      </c>
      <c r="N25" s="12" t="s">
        <v>202</v>
      </c>
      <c r="O25" s="12" t="s">
        <v>333</v>
      </c>
      <c r="P25" s="12" t="s">
        <v>202</v>
      </c>
      <c r="Q25" s="12" t="s">
        <v>333</v>
      </c>
      <c r="R25" s="12" t="s">
        <v>202</v>
      </c>
      <c r="S25" s="12" t="s">
        <v>333</v>
      </c>
      <c r="T25" s="12" t="s">
        <v>202</v>
      </c>
      <c r="U25" s="12" t="s">
        <v>333</v>
      </c>
      <c r="V25" s="12" t="s">
        <v>202</v>
      </c>
      <c r="W25" s="12" t="s">
        <v>333</v>
      </c>
      <c r="X25" s="11">
        <v>18888.154999999999</v>
      </c>
      <c r="Y25" s="12" t="s">
        <v>333</v>
      </c>
      <c r="Z25" s="11">
        <v>18053.059000000001</v>
      </c>
      <c r="AA25" s="12" t="s">
        <v>333</v>
      </c>
      <c r="AB25" s="11">
        <v>2730.8110000000001</v>
      </c>
      <c r="AC25" s="12" t="s">
        <v>333</v>
      </c>
      <c r="AD25" s="20">
        <v>0</v>
      </c>
      <c r="AE25" s="12" t="s">
        <v>333</v>
      </c>
      <c r="AF25" s="11">
        <v>876.34799999999996</v>
      </c>
      <c r="AG25" s="12" t="s">
        <v>333</v>
      </c>
      <c r="AH25" s="11">
        <v>1740.095</v>
      </c>
      <c r="AI25" s="12" t="s">
        <v>333</v>
      </c>
      <c r="AJ25" s="11">
        <v>1.292</v>
      </c>
      <c r="AK25" s="12" t="s">
        <v>333</v>
      </c>
      <c r="AL25" s="11">
        <v>4368.9690000000001</v>
      </c>
      <c r="AM25" s="12" t="s">
        <v>333</v>
      </c>
      <c r="AN25" s="20">
        <v>3969.69</v>
      </c>
      <c r="AO25" s="12" t="s">
        <v>333</v>
      </c>
      <c r="AP25" s="20">
        <v>0</v>
      </c>
      <c r="AQ25" s="12" t="s">
        <v>333</v>
      </c>
      <c r="AR25" s="11">
        <v>3315.8159999999998</v>
      </c>
      <c r="AS25" s="12" t="s">
        <v>333</v>
      </c>
      <c r="AT25" s="20">
        <v>3255.67</v>
      </c>
      <c r="AU25" s="12" t="s">
        <v>333</v>
      </c>
      <c r="AV25" s="11">
        <v>15.456</v>
      </c>
      <c r="AW25" s="12" t="s">
        <v>333</v>
      </c>
      <c r="AX25" s="11">
        <v>5803.2929999999997</v>
      </c>
      <c r="AY25" s="12" t="s">
        <v>333</v>
      </c>
      <c r="AZ25" s="11">
        <v>5427.6220000000003</v>
      </c>
      <c r="BA25" s="12" t="s">
        <v>333</v>
      </c>
      <c r="BB25" s="11">
        <v>5398.5550000000003</v>
      </c>
      <c r="BC25" s="12" t="s">
        <v>333</v>
      </c>
      <c r="BD25" s="20">
        <v>404.74</v>
      </c>
      <c r="BE25" s="12" t="s">
        <v>333</v>
      </c>
      <c r="BF25" s="20">
        <v>0</v>
      </c>
      <c r="BG25" s="12" t="s">
        <v>333</v>
      </c>
      <c r="BH25" s="20">
        <v>0</v>
      </c>
      <c r="BI25" s="12" t="s">
        <v>333</v>
      </c>
      <c r="BJ25" s="20">
        <v>0</v>
      </c>
      <c r="BK25" s="12" t="s">
        <v>333</v>
      </c>
      <c r="BL25" s="20">
        <v>0</v>
      </c>
      <c r="BM25" s="12" t="s">
        <v>333</v>
      </c>
      <c r="BN25" s="11">
        <v>0.94399999999999995</v>
      </c>
      <c r="BO25" s="12" t="s">
        <v>333</v>
      </c>
      <c r="BP25" s="20">
        <v>0</v>
      </c>
      <c r="BQ25" s="12" t="s">
        <v>333</v>
      </c>
      <c r="BR25" s="11">
        <v>1.827</v>
      </c>
      <c r="BS25" s="12" t="s">
        <v>333</v>
      </c>
      <c r="BT25" s="20">
        <v>0</v>
      </c>
      <c r="BU25" s="12" t="s">
        <v>333</v>
      </c>
      <c r="BV25" s="11">
        <v>33.304000000000002</v>
      </c>
      <c r="BW25" s="12" t="s">
        <v>333</v>
      </c>
      <c r="BX25" s="11">
        <v>399.279</v>
      </c>
      <c r="BY25" s="12" t="s">
        <v>333</v>
      </c>
      <c r="BZ25" s="11">
        <v>375.67099999999999</v>
      </c>
      <c r="CA25" s="12" t="s">
        <v>333</v>
      </c>
      <c r="CB25" s="11">
        <v>60.146000000000001</v>
      </c>
      <c r="CC25" s="12" t="s">
        <v>333</v>
      </c>
    </row>
    <row r="26" spans="1:81" x14ac:dyDescent="0.2">
      <c r="A26" s="10" t="s">
        <v>486</v>
      </c>
      <c r="B26" s="81">
        <v>8802.0159999999996</v>
      </c>
      <c r="C26" s="82" t="s">
        <v>333</v>
      </c>
      <c r="D26" s="81">
        <v>8802.0159999999996</v>
      </c>
      <c r="E26" s="82" t="s">
        <v>333</v>
      </c>
      <c r="F26" s="81">
        <v>2574.799</v>
      </c>
      <c r="G26" s="82" t="s">
        <v>333</v>
      </c>
      <c r="H26" s="81">
        <v>2574.799</v>
      </c>
      <c r="I26" s="82" t="s">
        <v>333</v>
      </c>
      <c r="J26" s="83">
        <v>0</v>
      </c>
      <c r="K26" s="82" t="s">
        <v>333</v>
      </c>
      <c r="L26" s="81">
        <v>2574.799</v>
      </c>
      <c r="M26" s="82" t="s">
        <v>333</v>
      </c>
      <c r="N26" s="82" t="s">
        <v>202</v>
      </c>
      <c r="O26" s="82" t="s">
        <v>333</v>
      </c>
      <c r="P26" s="82" t="s">
        <v>202</v>
      </c>
      <c r="Q26" s="82" t="s">
        <v>333</v>
      </c>
      <c r="R26" s="82" t="s">
        <v>202</v>
      </c>
      <c r="S26" s="82" t="s">
        <v>333</v>
      </c>
      <c r="T26" s="82" t="s">
        <v>202</v>
      </c>
      <c r="U26" s="82" t="s">
        <v>333</v>
      </c>
      <c r="V26" s="82" t="s">
        <v>202</v>
      </c>
      <c r="W26" s="82" t="s">
        <v>333</v>
      </c>
      <c r="X26" s="81">
        <v>6227.2169999999996</v>
      </c>
      <c r="Y26" s="82" t="s">
        <v>333</v>
      </c>
      <c r="Z26" s="81">
        <v>6227.2169999999996</v>
      </c>
      <c r="AA26" s="82" t="s">
        <v>333</v>
      </c>
      <c r="AB26" s="83">
        <v>0</v>
      </c>
      <c r="AC26" s="82" t="s">
        <v>333</v>
      </c>
      <c r="AD26" s="83">
        <v>0</v>
      </c>
      <c r="AE26" s="82" t="s">
        <v>333</v>
      </c>
      <c r="AF26" s="81">
        <v>1529.626</v>
      </c>
      <c r="AG26" s="82" t="s">
        <v>333</v>
      </c>
      <c r="AH26" s="83">
        <v>3726.51</v>
      </c>
      <c r="AI26" s="82" t="s">
        <v>333</v>
      </c>
      <c r="AJ26" s="83">
        <v>0</v>
      </c>
      <c r="AK26" s="82" t="s">
        <v>333</v>
      </c>
      <c r="AL26" s="83">
        <v>0</v>
      </c>
      <c r="AM26" s="82" t="s">
        <v>333</v>
      </c>
      <c r="AN26" s="83">
        <v>0</v>
      </c>
      <c r="AO26" s="82" t="s">
        <v>333</v>
      </c>
      <c r="AP26" s="83">
        <v>0</v>
      </c>
      <c r="AQ26" s="82" t="s">
        <v>333</v>
      </c>
      <c r="AR26" s="83">
        <v>0</v>
      </c>
      <c r="AS26" s="82" t="s">
        <v>333</v>
      </c>
      <c r="AT26" s="83">
        <v>0</v>
      </c>
      <c r="AU26" s="82" t="s">
        <v>333</v>
      </c>
      <c r="AV26" s="81">
        <v>31.477</v>
      </c>
      <c r="AW26" s="82" t="s">
        <v>333</v>
      </c>
      <c r="AX26" s="81">
        <v>0.57299999999999995</v>
      </c>
      <c r="AY26" s="82" t="s">
        <v>333</v>
      </c>
      <c r="AZ26" s="81">
        <v>0.57299999999999995</v>
      </c>
      <c r="BA26" s="82" t="s">
        <v>333</v>
      </c>
      <c r="BB26" s="83">
        <v>0</v>
      </c>
      <c r="BC26" s="82" t="s">
        <v>333</v>
      </c>
      <c r="BD26" s="81">
        <v>0.57299999999999995</v>
      </c>
      <c r="BE26" s="82" t="s">
        <v>333</v>
      </c>
      <c r="BF26" s="83">
        <v>0</v>
      </c>
      <c r="BG26" s="82" t="s">
        <v>333</v>
      </c>
      <c r="BH26" s="83">
        <v>0</v>
      </c>
      <c r="BI26" s="82" t="s">
        <v>333</v>
      </c>
      <c r="BJ26" s="83">
        <v>0</v>
      </c>
      <c r="BK26" s="82" t="s">
        <v>333</v>
      </c>
      <c r="BL26" s="83">
        <v>17.43</v>
      </c>
      <c r="BM26" s="82" t="s">
        <v>333</v>
      </c>
      <c r="BN26" s="81">
        <v>151.94800000000001</v>
      </c>
      <c r="BO26" s="82" t="s">
        <v>333</v>
      </c>
      <c r="BP26" s="81">
        <v>18.963000000000001</v>
      </c>
      <c r="BQ26" s="82" t="s">
        <v>333</v>
      </c>
      <c r="BR26" s="81">
        <v>418.71800000000002</v>
      </c>
      <c r="BS26" s="82" t="s">
        <v>333</v>
      </c>
      <c r="BT26" s="81">
        <v>91.629000000000005</v>
      </c>
      <c r="BU26" s="82" t="s">
        <v>333</v>
      </c>
      <c r="BV26" s="81">
        <v>240.34299999999999</v>
      </c>
      <c r="BW26" s="82" t="s">
        <v>333</v>
      </c>
      <c r="BX26" s="83">
        <v>0</v>
      </c>
      <c r="BY26" s="82" t="s">
        <v>333</v>
      </c>
      <c r="BZ26" s="83">
        <v>0</v>
      </c>
      <c r="CA26" s="82" t="s">
        <v>333</v>
      </c>
      <c r="CB26" s="83">
        <v>0</v>
      </c>
      <c r="CC26" s="82" t="s">
        <v>333</v>
      </c>
    </row>
    <row r="27" spans="1:81" x14ac:dyDescent="0.2">
      <c r="A27" s="10" t="s">
        <v>80</v>
      </c>
      <c r="B27" s="11">
        <v>3271.2550000000001</v>
      </c>
      <c r="C27" s="12" t="s">
        <v>333</v>
      </c>
      <c r="D27" s="11">
        <v>3211.1089999999999</v>
      </c>
      <c r="E27" s="12" t="s">
        <v>333</v>
      </c>
      <c r="F27" s="20">
        <v>0</v>
      </c>
      <c r="G27" s="12" t="s">
        <v>333</v>
      </c>
      <c r="H27" s="20">
        <v>0</v>
      </c>
      <c r="I27" s="12" t="s">
        <v>333</v>
      </c>
      <c r="J27" s="20">
        <v>0</v>
      </c>
      <c r="K27" s="12" t="s">
        <v>333</v>
      </c>
      <c r="L27" s="20">
        <v>0</v>
      </c>
      <c r="M27" s="12" t="s">
        <v>333</v>
      </c>
      <c r="N27" s="12" t="s">
        <v>202</v>
      </c>
      <c r="O27" s="12" t="s">
        <v>333</v>
      </c>
      <c r="P27" s="12" t="s">
        <v>202</v>
      </c>
      <c r="Q27" s="12" t="s">
        <v>333</v>
      </c>
      <c r="R27" s="12" t="s">
        <v>202</v>
      </c>
      <c r="S27" s="12" t="s">
        <v>333</v>
      </c>
      <c r="T27" s="12" t="s">
        <v>202</v>
      </c>
      <c r="U27" s="12" t="s">
        <v>333</v>
      </c>
      <c r="V27" s="12" t="s">
        <v>202</v>
      </c>
      <c r="W27" s="12" t="s">
        <v>333</v>
      </c>
      <c r="X27" s="11">
        <v>3271.2550000000001</v>
      </c>
      <c r="Y27" s="12" t="s">
        <v>333</v>
      </c>
      <c r="Z27" s="11">
        <v>3211.1089999999999</v>
      </c>
      <c r="AA27" s="12" t="s">
        <v>333</v>
      </c>
      <c r="AB27" s="20">
        <v>0</v>
      </c>
      <c r="AC27" s="12" t="s">
        <v>333</v>
      </c>
      <c r="AD27" s="20">
        <v>0</v>
      </c>
      <c r="AE27" s="12" t="s">
        <v>333</v>
      </c>
      <c r="AF27" s="20">
        <v>0</v>
      </c>
      <c r="AG27" s="12" t="s">
        <v>333</v>
      </c>
      <c r="AH27" s="20">
        <v>0</v>
      </c>
      <c r="AI27" s="12" t="s">
        <v>333</v>
      </c>
      <c r="AJ27" s="20">
        <v>0</v>
      </c>
      <c r="AK27" s="12" t="s">
        <v>333</v>
      </c>
      <c r="AL27" s="20">
        <v>0</v>
      </c>
      <c r="AM27" s="12" t="s">
        <v>333</v>
      </c>
      <c r="AN27" s="20">
        <v>0</v>
      </c>
      <c r="AO27" s="12" t="s">
        <v>333</v>
      </c>
      <c r="AP27" s="20">
        <v>0</v>
      </c>
      <c r="AQ27" s="12" t="s">
        <v>333</v>
      </c>
      <c r="AR27" s="11">
        <v>3271.2550000000001</v>
      </c>
      <c r="AS27" s="12" t="s">
        <v>333</v>
      </c>
      <c r="AT27" s="11">
        <v>3211.1089999999999</v>
      </c>
      <c r="AU27" s="12" t="s">
        <v>333</v>
      </c>
      <c r="AV27" s="20">
        <v>0</v>
      </c>
      <c r="AW27" s="12" t="s">
        <v>333</v>
      </c>
      <c r="AX27" s="20">
        <v>0</v>
      </c>
      <c r="AY27" s="12" t="s">
        <v>333</v>
      </c>
      <c r="AZ27" s="20">
        <v>0</v>
      </c>
      <c r="BA27" s="12" t="s">
        <v>333</v>
      </c>
      <c r="BB27" s="20">
        <v>0</v>
      </c>
      <c r="BC27" s="12" t="s">
        <v>333</v>
      </c>
      <c r="BD27" s="20">
        <v>0</v>
      </c>
      <c r="BE27" s="12" t="s">
        <v>333</v>
      </c>
      <c r="BF27" s="20">
        <v>0</v>
      </c>
      <c r="BG27" s="12" t="s">
        <v>333</v>
      </c>
      <c r="BH27" s="20">
        <v>0</v>
      </c>
      <c r="BI27" s="12" t="s">
        <v>333</v>
      </c>
      <c r="BJ27" s="20">
        <v>0</v>
      </c>
      <c r="BK27" s="12" t="s">
        <v>333</v>
      </c>
      <c r="BL27" s="20">
        <v>0</v>
      </c>
      <c r="BM27" s="12" t="s">
        <v>333</v>
      </c>
      <c r="BN27" s="20">
        <v>0</v>
      </c>
      <c r="BO27" s="12" t="s">
        <v>333</v>
      </c>
      <c r="BP27" s="20">
        <v>0</v>
      </c>
      <c r="BQ27" s="12" t="s">
        <v>333</v>
      </c>
      <c r="BR27" s="20">
        <v>0</v>
      </c>
      <c r="BS27" s="12" t="s">
        <v>333</v>
      </c>
      <c r="BT27" s="20">
        <v>0</v>
      </c>
      <c r="BU27" s="12" t="s">
        <v>333</v>
      </c>
      <c r="BV27" s="20">
        <v>0</v>
      </c>
      <c r="BW27" s="12" t="s">
        <v>333</v>
      </c>
      <c r="BX27" s="20">
        <v>0</v>
      </c>
      <c r="BY27" s="12" t="s">
        <v>333</v>
      </c>
      <c r="BZ27" s="20">
        <v>0</v>
      </c>
      <c r="CA27" s="12" t="s">
        <v>333</v>
      </c>
      <c r="CB27" s="11">
        <v>60.146000000000001</v>
      </c>
      <c r="CC27" s="12" t="s">
        <v>333</v>
      </c>
    </row>
    <row r="28" spans="1:81" x14ac:dyDescent="0.2">
      <c r="A28" s="10" t="s">
        <v>487</v>
      </c>
      <c r="B28" s="81">
        <v>3271.2550000000001</v>
      </c>
      <c r="C28" s="82" t="s">
        <v>333</v>
      </c>
      <c r="D28" s="81">
        <v>3211.1089999999999</v>
      </c>
      <c r="E28" s="82" t="s">
        <v>333</v>
      </c>
      <c r="F28" s="83">
        <v>0</v>
      </c>
      <c r="G28" s="82" t="s">
        <v>333</v>
      </c>
      <c r="H28" s="83">
        <v>0</v>
      </c>
      <c r="I28" s="82" t="s">
        <v>333</v>
      </c>
      <c r="J28" s="83">
        <v>0</v>
      </c>
      <c r="K28" s="82" t="s">
        <v>333</v>
      </c>
      <c r="L28" s="83">
        <v>0</v>
      </c>
      <c r="M28" s="82" t="s">
        <v>333</v>
      </c>
      <c r="N28" s="82" t="s">
        <v>202</v>
      </c>
      <c r="O28" s="82" t="s">
        <v>333</v>
      </c>
      <c r="P28" s="82" t="s">
        <v>202</v>
      </c>
      <c r="Q28" s="82" t="s">
        <v>333</v>
      </c>
      <c r="R28" s="82" t="s">
        <v>202</v>
      </c>
      <c r="S28" s="82" t="s">
        <v>333</v>
      </c>
      <c r="T28" s="82" t="s">
        <v>202</v>
      </c>
      <c r="U28" s="82" t="s">
        <v>333</v>
      </c>
      <c r="V28" s="82" t="s">
        <v>202</v>
      </c>
      <c r="W28" s="82" t="s">
        <v>333</v>
      </c>
      <c r="X28" s="81">
        <v>3271.2550000000001</v>
      </c>
      <c r="Y28" s="82" t="s">
        <v>333</v>
      </c>
      <c r="Z28" s="81">
        <v>3211.1089999999999</v>
      </c>
      <c r="AA28" s="82" t="s">
        <v>333</v>
      </c>
      <c r="AB28" s="83">
        <v>0</v>
      </c>
      <c r="AC28" s="82" t="s">
        <v>333</v>
      </c>
      <c r="AD28" s="83">
        <v>0</v>
      </c>
      <c r="AE28" s="82" t="s">
        <v>333</v>
      </c>
      <c r="AF28" s="83">
        <v>0</v>
      </c>
      <c r="AG28" s="82" t="s">
        <v>333</v>
      </c>
      <c r="AH28" s="83">
        <v>0</v>
      </c>
      <c r="AI28" s="82" t="s">
        <v>333</v>
      </c>
      <c r="AJ28" s="83">
        <v>0</v>
      </c>
      <c r="AK28" s="82" t="s">
        <v>333</v>
      </c>
      <c r="AL28" s="83">
        <v>0</v>
      </c>
      <c r="AM28" s="82" t="s">
        <v>333</v>
      </c>
      <c r="AN28" s="83">
        <v>0</v>
      </c>
      <c r="AO28" s="82" t="s">
        <v>333</v>
      </c>
      <c r="AP28" s="83">
        <v>0</v>
      </c>
      <c r="AQ28" s="82" t="s">
        <v>333</v>
      </c>
      <c r="AR28" s="81">
        <v>3271.2550000000001</v>
      </c>
      <c r="AS28" s="82" t="s">
        <v>333</v>
      </c>
      <c r="AT28" s="81">
        <v>3211.1089999999999</v>
      </c>
      <c r="AU28" s="82" t="s">
        <v>333</v>
      </c>
      <c r="AV28" s="83">
        <v>0</v>
      </c>
      <c r="AW28" s="82" t="s">
        <v>333</v>
      </c>
      <c r="AX28" s="83">
        <v>0</v>
      </c>
      <c r="AY28" s="82" t="s">
        <v>333</v>
      </c>
      <c r="AZ28" s="83">
        <v>0</v>
      </c>
      <c r="BA28" s="82" t="s">
        <v>333</v>
      </c>
      <c r="BB28" s="83">
        <v>0</v>
      </c>
      <c r="BC28" s="82" t="s">
        <v>333</v>
      </c>
      <c r="BD28" s="83">
        <v>0</v>
      </c>
      <c r="BE28" s="82" t="s">
        <v>333</v>
      </c>
      <c r="BF28" s="83">
        <v>0</v>
      </c>
      <c r="BG28" s="82" t="s">
        <v>333</v>
      </c>
      <c r="BH28" s="83">
        <v>0</v>
      </c>
      <c r="BI28" s="82" t="s">
        <v>333</v>
      </c>
      <c r="BJ28" s="83">
        <v>0</v>
      </c>
      <c r="BK28" s="82" t="s">
        <v>333</v>
      </c>
      <c r="BL28" s="83">
        <v>0</v>
      </c>
      <c r="BM28" s="82" t="s">
        <v>333</v>
      </c>
      <c r="BN28" s="83">
        <v>0</v>
      </c>
      <c r="BO28" s="82" t="s">
        <v>333</v>
      </c>
      <c r="BP28" s="83">
        <v>0</v>
      </c>
      <c r="BQ28" s="82" t="s">
        <v>333</v>
      </c>
      <c r="BR28" s="83">
        <v>0</v>
      </c>
      <c r="BS28" s="82" t="s">
        <v>333</v>
      </c>
      <c r="BT28" s="83">
        <v>0</v>
      </c>
      <c r="BU28" s="82" t="s">
        <v>333</v>
      </c>
      <c r="BV28" s="83">
        <v>0</v>
      </c>
      <c r="BW28" s="82" t="s">
        <v>333</v>
      </c>
      <c r="BX28" s="83">
        <v>0</v>
      </c>
      <c r="BY28" s="82" t="s">
        <v>333</v>
      </c>
      <c r="BZ28" s="83">
        <v>0</v>
      </c>
      <c r="CA28" s="82" t="s">
        <v>333</v>
      </c>
      <c r="CB28" s="81">
        <v>60.146000000000001</v>
      </c>
      <c r="CC28" s="82" t="s">
        <v>333</v>
      </c>
    </row>
    <row r="29" spans="1:81" x14ac:dyDescent="0.2">
      <c r="A29" s="10" t="s">
        <v>488</v>
      </c>
      <c r="B29" s="20">
        <v>0</v>
      </c>
      <c r="C29" s="12" t="s">
        <v>333</v>
      </c>
      <c r="D29" s="20">
        <v>0</v>
      </c>
      <c r="E29" s="12" t="s">
        <v>333</v>
      </c>
      <c r="F29" s="20">
        <v>0</v>
      </c>
      <c r="G29" s="12" t="s">
        <v>333</v>
      </c>
      <c r="H29" s="20">
        <v>0</v>
      </c>
      <c r="I29" s="12" t="s">
        <v>333</v>
      </c>
      <c r="J29" s="20">
        <v>0</v>
      </c>
      <c r="K29" s="12" t="s">
        <v>333</v>
      </c>
      <c r="L29" s="20">
        <v>0</v>
      </c>
      <c r="M29" s="12" t="s">
        <v>333</v>
      </c>
      <c r="N29" s="12" t="s">
        <v>202</v>
      </c>
      <c r="O29" s="12" t="s">
        <v>333</v>
      </c>
      <c r="P29" s="12" t="s">
        <v>202</v>
      </c>
      <c r="Q29" s="12" t="s">
        <v>333</v>
      </c>
      <c r="R29" s="12" t="s">
        <v>202</v>
      </c>
      <c r="S29" s="12" t="s">
        <v>333</v>
      </c>
      <c r="T29" s="12" t="s">
        <v>202</v>
      </c>
      <c r="U29" s="12" t="s">
        <v>333</v>
      </c>
      <c r="V29" s="12" t="s">
        <v>202</v>
      </c>
      <c r="W29" s="12" t="s">
        <v>333</v>
      </c>
      <c r="X29" s="20">
        <v>0</v>
      </c>
      <c r="Y29" s="12" t="s">
        <v>333</v>
      </c>
      <c r="Z29" s="20">
        <v>0</v>
      </c>
      <c r="AA29" s="12" t="s">
        <v>333</v>
      </c>
      <c r="AB29" s="20">
        <v>0</v>
      </c>
      <c r="AC29" s="12" t="s">
        <v>333</v>
      </c>
      <c r="AD29" s="20">
        <v>0</v>
      </c>
      <c r="AE29" s="12" t="s">
        <v>333</v>
      </c>
      <c r="AF29" s="20">
        <v>0</v>
      </c>
      <c r="AG29" s="12" t="s">
        <v>333</v>
      </c>
      <c r="AH29" s="20">
        <v>0</v>
      </c>
      <c r="AI29" s="12" t="s">
        <v>333</v>
      </c>
      <c r="AJ29" s="20">
        <v>0</v>
      </c>
      <c r="AK29" s="12" t="s">
        <v>333</v>
      </c>
      <c r="AL29" s="20">
        <v>0</v>
      </c>
      <c r="AM29" s="12" t="s">
        <v>333</v>
      </c>
      <c r="AN29" s="20">
        <v>0</v>
      </c>
      <c r="AO29" s="12" t="s">
        <v>333</v>
      </c>
      <c r="AP29" s="20">
        <v>0</v>
      </c>
      <c r="AQ29" s="12" t="s">
        <v>333</v>
      </c>
      <c r="AR29" s="20">
        <v>0</v>
      </c>
      <c r="AS29" s="12" t="s">
        <v>333</v>
      </c>
      <c r="AT29" s="20">
        <v>0</v>
      </c>
      <c r="AU29" s="12" t="s">
        <v>333</v>
      </c>
      <c r="AV29" s="20">
        <v>0</v>
      </c>
      <c r="AW29" s="12" t="s">
        <v>333</v>
      </c>
      <c r="AX29" s="20">
        <v>0</v>
      </c>
      <c r="AY29" s="12" t="s">
        <v>333</v>
      </c>
      <c r="AZ29" s="20">
        <v>0</v>
      </c>
      <c r="BA29" s="12" t="s">
        <v>333</v>
      </c>
      <c r="BB29" s="20">
        <v>0</v>
      </c>
      <c r="BC29" s="12" t="s">
        <v>333</v>
      </c>
      <c r="BD29" s="20">
        <v>0</v>
      </c>
      <c r="BE29" s="12" t="s">
        <v>333</v>
      </c>
      <c r="BF29" s="20">
        <v>0</v>
      </c>
      <c r="BG29" s="12" t="s">
        <v>333</v>
      </c>
      <c r="BH29" s="20">
        <v>0</v>
      </c>
      <c r="BI29" s="12" t="s">
        <v>333</v>
      </c>
      <c r="BJ29" s="20">
        <v>0</v>
      </c>
      <c r="BK29" s="12" t="s">
        <v>333</v>
      </c>
      <c r="BL29" s="20">
        <v>0</v>
      </c>
      <c r="BM29" s="12" t="s">
        <v>333</v>
      </c>
      <c r="BN29" s="20">
        <v>0</v>
      </c>
      <c r="BO29" s="12" t="s">
        <v>333</v>
      </c>
      <c r="BP29" s="20">
        <v>0</v>
      </c>
      <c r="BQ29" s="12" t="s">
        <v>333</v>
      </c>
      <c r="BR29" s="20">
        <v>0</v>
      </c>
      <c r="BS29" s="12" t="s">
        <v>333</v>
      </c>
      <c r="BT29" s="20">
        <v>0</v>
      </c>
      <c r="BU29" s="12" t="s">
        <v>333</v>
      </c>
      <c r="BV29" s="20">
        <v>0</v>
      </c>
      <c r="BW29" s="12" t="s">
        <v>333</v>
      </c>
      <c r="BX29" s="20">
        <v>0</v>
      </c>
      <c r="BY29" s="12" t="s">
        <v>333</v>
      </c>
      <c r="BZ29" s="20">
        <v>0</v>
      </c>
      <c r="CA29" s="12" t="s">
        <v>333</v>
      </c>
      <c r="CB29" s="20">
        <v>0</v>
      </c>
      <c r="CC29" s="12" t="s">
        <v>333</v>
      </c>
    </row>
    <row r="30" spans="1:81" x14ac:dyDescent="0.2">
      <c r="A30" s="10" t="s">
        <v>489</v>
      </c>
      <c r="B30" s="81">
        <v>3981.2620000000002</v>
      </c>
      <c r="C30" s="82" t="s">
        <v>333</v>
      </c>
      <c r="D30" s="81">
        <v>3981.2620000000002</v>
      </c>
      <c r="E30" s="82" t="s">
        <v>333</v>
      </c>
      <c r="F30" s="81">
        <v>1108.8219999999999</v>
      </c>
      <c r="G30" s="82" t="s">
        <v>333</v>
      </c>
      <c r="H30" s="81">
        <v>1108.8219999999999</v>
      </c>
      <c r="I30" s="82" t="s">
        <v>333</v>
      </c>
      <c r="J30" s="83">
        <v>0</v>
      </c>
      <c r="K30" s="82" t="s">
        <v>333</v>
      </c>
      <c r="L30" s="81">
        <v>1108.8219999999999</v>
      </c>
      <c r="M30" s="82" t="s">
        <v>333</v>
      </c>
      <c r="N30" s="82" t="s">
        <v>202</v>
      </c>
      <c r="O30" s="82" t="s">
        <v>333</v>
      </c>
      <c r="P30" s="82" t="s">
        <v>202</v>
      </c>
      <c r="Q30" s="82" t="s">
        <v>333</v>
      </c>
      <c r="R30" s="82" t="s">
        <v>202</v>
      </c>
      <c r="S30" s="82" t="s">
        <v>333</v>
      </c>
      <c r="T30" s="82" t="s">
        <v>202</v>
      </c>
      <c r="U30" s="82" t="s">
        <v>333</v>
      </c>
      <c r="V30" s="82" t="s">
        <v>202</v>
      </c>
      <c r="W30" s="82" t="s">
        <v>333</v>
      </c>
      <c r="X30" s="83">
        <v>2872.44</v>
      </c>
      <c r="Y30" s="82" t="s">
        <v>333</v>
      </c>
      <c r="Z30" s="83">
        <v>2872.44</v>
      </c>
      <c r="AA30" s="82" t="s">
        <v>333</v>
      </c>
      <c r="AB30" s="81">
        <v>440.43700000000001</v>
      </c>
      <c r="AC30" s="82" t="s">
        <v>333</v>
      </c>
      <c r="AD30" s="83">
        <v>0</v>
      </c>
      <c r="AE30" s="82" t="s">
        <v>333</v>
      </c>
      <c r="AF30" s="81">
        <v>665.97299999999996</v>
      </c>
      <c r="AG30" s="82" t="s">
        <v>333</v>
      </c>
      <c r="AH30" s="81">
        <v>1740.095</v>
      </c>
      <c r="AI30" s="82" t="s">
        <v>333</v>
      </c>
      <c r="AJ30" s="83">
        <v>0</v>
      </c>
      <c r="AK30" s="82" t="s">
        <v>333</v>
      </c>
      <c r="AL30" s="83">
        <v>0</v>
      </c>
      <c r="AM30" s="82" t="s">
        <v>333</v>
      </c>
      <c r="AN30" s="83">
        <v>0</v>
      </c>
      <c r="AO30" s="82" t="s">
        <v>333</v>
      </c>
      <c r="AP30" s="83">
        <v>0</v>
      </c>
      <c r="AQ30" s="82" t="s">
        <v>333</v>
      </c>
      <c r="AR30" s="83">
        <v>0</v>
      </c>
      <c r="AS30" s="82" t="s">
        <v>333</v>
      </c>
      <c r="AT30" s="83">
        <v>0</v>
      </c>
      <c r="AU30" s="82" t="s">
        <v>333</v>
      </c>
      <c r="AV30" s="81">
        <v>10.401</v>
      </c>
      <c r="AW30" s="82" t="s">
        <v>333</v>
      </c>
      <c r="AX30" s="81">
        <v>8.5090000000000003</v>
      </c>
      <c r="AY30" s="82" t="s">
        <v>333</v>
      </c>
      <c r="AZ30" s="81">
        <v>8.5090000000000003</v>
      </c>
      <c r="BA30" s="82" t="s">
        <v>333</v>
      </c>
      <c r="BB30" s="83">
        <v>8.26</v>
      </c>
      <c r="BC30" s="82" t="s">
        <v>333</v>
      </c>
      <c r="BD30" s="81">
        <v>0.249</v>
      </c>
      <c r="BE30" s="82" t="s">
        <v>333</v>
      </c>
      <c r="BF30" s="83">
        <v>0</v>
      </c>
      <c r="BG30" s="82" t="s">
        <v>333</v>
      </c>
      <c r="BH30" s="83">
        <v>0</v>
      </c>
      <c r="BI30" s="82" t="s">
        <v>333</v>
      </c>
      <c r="BJ30" s="83">
        <v>0</v>
      </c>
      <c r="BK30" s="82" t="s">
        <v>333</v>
      </c>
      <c r="BL30" s="83">
        <v>0</v>
      </c>
      <c r="BM30" s="82" t="s">
        <v>333</v>
      </c>
      <c r="BN30" s="81">
        <v>0.94399999999999995</v>
      </c>
      <c r="BO30" s="82" t="s">
        <v>333</v>
      </c>
      <c r="BP30" s="83">
        <v>0</v>
      </c>
      <c r="BQ30" s="82" t="s">
        <v>333</v>
      </c>
      <c r="BR30" s="83">
        <v>0</v>
      </c>
      <c r="BS30" s="82" t="s">
        <v>333</v>
      </c>
      <c r="BT30" s="83">
        <v>0</v>
      </c>
      <c r="BU30" s="82" t="s">
        <v>333</v>
      </c>
      <c r="BV30" s="81">
        <v>6.0810000000000004</v>
      </c>
      <c r="BW30" s="82" t="s">
        <v>333</v>
      </c>
      <c r="BX30" s="83">
        <v>0</v>
      </c>
      <c r="BY30" s="82" t="s">
        <v>333</v>
      </c>
      <c r="BZ30" s="83">
        <v>0</v>
      </c>
      <c r="CA30" s="82" t="s">
        <v>333</v>
      </c>
      <c r="CB30" s="83">
        <v>0</v>
      </c>
      <c r="CC30" s="82" t="s">
        <v>333</v>
      </c>
    </row>
    <row r="31" spans="1:81" x14ac:dyDescent="0.2">
      <c r="A31" s="10" t="s">
        <v>204</v>
      </c>
      <c r="B31" s="11">
        <v>3981.2620000000002</v>
      </c>
      <c r="C31" s="12" t="s">
        <v>333</v>
      </c>
      <c r="D31" s="11">
        <v>3981.2620000000002</v>
      </c>
      <c r="E31" s="12" t="s">
        <v>333</v>
      </c>
      <c r="F31" s="11">
        <v>1108.8219999999999</v>
      </c>
      <c r="G31" s="12" t="s">
        <v>333</v>
      </c>
      <c r="H31" s="11">
        <v>1108.8219999999999</v>
      </c>
      <c r="I31" s="12" t="s">
        <v>333</v>
      </c>
      <c r="J31" s="20">
        <v>0</v>
      </c>
      <c r="K31" s="12" t="s">
        <v>333</v>
      </c>
      <c r="L31" s="11">
        <v>1108.8219999999999</v>
      </c>
      <c r="M31" s="12" t="s">
        <v>333</v>
      </c>
      <c r="N31" s="12" t="s">
        <v>202</v>
      </c>
      <c r="O31" s="12" t="s">
        <v>333</v>
      </c>
      <c r="P31" s="12" t="s">
        <v>202</v>
      </c>
      <c r="Q31" s="12" t="s">
        <v>333</v>
      </c>
      <c r="R31" s="12" t="s">
        <v>202</v>
      </c>
      <c r="S31" s="12" t="s">
        <v>333</v>
      </c>
      <c r="T31" s="12" t="s">
        <v>202</v>
      </c>
      <c r="U31" s="12" t="s">
        <v>333</v>
      </c>
      <c r="V31" s="12" t="s">
        <v>202</v>
      </c>
      <c r="W31" s="12" t="s">
        <v>333</v>
      </c>
      <c r="X31" s="20">
        <v>2872.44</v>
      </c>
      <c r="Y31" s="12" t="s">
        <v>333</v>
      </c>
      <c r="Z31" s="20">
        <v>2872.44</v>
      </c>
      <c r="AA31" s="12" t="s">
        <v>333</v>
      </c>
      <c r="AB31" s="11">
        <v>440.43700000000001</v>
      </c>
      <c r="AC31" s="12" t="s">
        <v>333</v>
      </c>
      <c r="AD31" s="20">
        <v>0</v>
      </c>
      <c r="AE31" s="12" t="s">
        <v>333</v>
      </c>
      <c r="AF31" s="11">
        <v>665.97299999999996</v>
      </c>
      <c r="AG31" s="12" t="s">
        <v>333</v>
      </c>
      <c r="AH31" s="11">
        <v>1740.095</v>
      </c>
      <c r="AI31" s="12" t="s">
        <v>333</v>
      </c>
      <c r="AJ31" s="20">
        <v>0</v>
      </c>
      <c r="AK31" s="12" t="s">
        <v>333</v>
      </c>
      <c r="AL31" s="20">
        <v>0</v>
      </c>
      <c r="AM31" s="12" t="s">
        <v>333</v>
      </c>
      <c r="AN31" s="20">
        <v>0</v>
      </c>
      <c r="AO31" s="12" t="s">
        <v>333</v>
      </c>
      <c r="AP31" s="20">
        <v>0</v>
      </c>
      <c r="AQ31" s="12" t="s">
        <v>333</v>
      </c>
      <c r="AR31" s="20">
        <v>0</v>
      </c>
      <c r="AS31" s="12" t="s">
        <v>333</v>
      </c>
      <c r="AT31" s="20">
        <v>0</v>
      </c>
      <c r="AU31" s="12" t="s">
        <v>333</v>
      </c>
      <c r="AV31" s="11">
        <v>10.401</v>
      </c>
      <c r="AW31" s="12" t="s">
        <v>333</v>
      </c>
      <c r="AX31" s="11">
        <v>8.5090000000000003</v>
      </c>
      <c r="AY31" s="12" t="s">
        <v>333</v>
      </c>
      <c r="AZ31" s="11">
        <v>8.5090000000000003</v>
      </c>
      <c r="BA31" s="12" t="s">
        <v>333</v>
      </c>
      <c r="BB31" s="20">
        <v>8.26</v>
      </c>
      <c r="BC31" s="12" t="s">
        <v>333</v>
      </c>
      <c r="BD31" s="11">
        <v>0.249</v>
      </c>
      <c r="BE31" s="12" t="s">
        <v>333</v>
      </c>
      <c r="BF31" s="20">
        <v>0</v>
      </c>
      <c r="BG31" s="12" t="s">
        <v>333</v>
      </c>
      <c r="BH31" s="20">
        <v>0</v>
      </c>
      <c r="BI31" s="12" t="s">
        <v>333</v>
      </c>
      <c r="BJ31" s="20">
        <v>0</v>
      </c>
      <c r="BK31" s="12" t="s">
        <v>333</v>
      </c>
      <c r="BL31" s="20">
        <v>0</v>
      </c>
      <c r="BM31" s="12" t="s">
        <v>333</v>
      </c>
      <c r="BN31" s="11">
        <v>0.94399999999999995</v>
      </c>
      <c r="BO31" s="12" t="s">
        <v>333</v>
      </c>
      <c r="BP31" s="20">
        <v>0</v>
      </c>
      <c r="BQ31" s="12" t="s">
        <v>333</v>
      </c>
      <c r="BR31" s="20">
        <v>0</v>
      </c>
      <c r="BS31" s="12" t="s">
        <v>333</v>
      </c>
      <c r="BT31" s="20">
        <v>0</v>
      </c>
      <c r="BU31" s="12" t="s">
        <v>333</v>
      </c>
      <c r="BV31" s="11">
        <v>6.0810000000000004</v>
      </c>
      <c r="BW31" s="12" t="s">
        <v>333</v>
      </c>
      <c r="BX31" s="20">
        <v>0</v>
      </c>
      <c r="BY31" s="12" t="s">
        <v>333</v>
      </c>
      <c r="BZ31" s="20">
        <v>0</v>
      </c>
      <c r="CA31" s="12" t="s">
        <v>333</v>
      </c>
      <c r="CB31" s="20">
        <v>0</v>
      </c>
      <c r="CC31" s="12" t="s">
        <v>333</v>
      </c>
    </row>
    <row r="32" spans="1:81" x14ac:dyDescent="0.2">
      <c r="A32" s="10" t="s">
        <v>490</v>
      </c>
      <c r="B32" s="81">
        <v>4.1529999999999996</v>
      </c>
      <c r="C32" s="82" t="s">
        <v>333</v>
      </c>
      <c r="D32" s="81">
        <v>4.1529999999999996</v>
      </c>
      <c r="E32" s="82" t="s">
        <v>333</v>
      </c>
      <c r="F32" s="83">
        <v>0</v>
      </c>
      <c r="G32" s="82" t="s">
        <v>333</v>
      </c>
      <c r="H32" s="83">
        <v>0</v>
      </c>
      <c r="I32" s="82" t="s">
        <v>333</v>
      </c>
      <c r="J32" s="83">
        <v>0</v>
      </c>
      <c r="K32" s="82" t="s">
        <v>333</v>
      </c>
      <c r="L32" s="83">
        <v>0</v>
      </c>
      <c r="M32" s="82" t="s">
        <v>333</v>
      </c>
      <c r="N32" s="82" t="s">
        <v>202</v>
      </c>
      <c r="O32" s="82" t="s">
        <v>333</v>
      </c>
      <c r="P32" s="82" t="s">
        <v>202</v>
      </c>
      <c r="Q32" s="82" t="s">
        <v>333</v>
      </c>
      <c r="R32" s="82" t="s">
        <v>202</v>
      </c>
      <c r="S32" s="82" t="s">
        <v>333</v>
      </c>
      <c r="T32" s="82" t="s">
        <v>202</v>
      </c>
      <c r="U32" s="82" t="s">
        <v>333</v>
      </c>
      <c r="V32" s="82" t="s">
        <v>202</v>
      </c>
      <c r="W32" s="82" t="s">
        <v>333</v>
      </c>
      <c r="X32" s="81">
        <v>4.1529999999999996</v>
      </c>
      <c r="Y32" s="82" t="s">
        <v>333</v>
      </c>
      <c r="Z32" s="81">
        <v>4.1529999999999996</v>
      </c>
      <c r="AA32" s="82" t="s">
        <v>333</v>
      </c>
      <c r="AB32" s="83">
        <v>0</v>
      </c>
      <c r="AC32" s="82" t="s">
        <v>333</v>
      </c>
      <c r="AD32" s="83">
        <v>0</v>
      </c>
      <c r="AE32" s="82" t="s">
        <v>333</v>
      </c>
      <c r="AF32" s="83">
        <v>0</v>
      </c>
      <c r="AG32" s="82" t="s">
        <v>333</v>
      </c>
      <c r="AH32" s="83">
        <v>0</v>
      </c>
      <c r="AI32" s="82" t="s">
        <v>333</v>
      </c>
      <c r="AJ32" s="83">
        <v>0</v>
      </c>
      <c r="AK32" s="82" t="s">
        <v>333</v>
      </c>
      <c r="AL32" s="83">
        <v>0</v>
      </c>
      <c r="AM32" s="82" t="s">
        <v>333</v>
      </c>
      <c r="AN32" s="83">
        <v>0</v>
      </c>
      <c r="AO32" s="82" t="s">
        <v>333</v>
      </c>
      <c r="AP32" s="83">
        <v>0</v>
      </c>
      <c r="AQ32" s="82" t="s">
        <v>333</v>
      </c>
      <c r="AR32" s="83">
        <v>0</v>
      </c>
      <c r="AS32" s="82" t="s">
        <v>333</v>
      </c>
      <c r="AT32" s="83">
        <v>0</v>
      </c>
      <c r="AU32" s="82" t="s">
        <v>333</v>
      </c>
      <c r="AV32" s="83">
        <v>0</v>
      </c>
      <c r="AW32" s="82" t="s">
        <v>333</v>
      </c>
      <c r="AX32" s="83">
        <v>0</v>
      </c>
      <c r="AY32" s="82" t="s">
        <v>333</v>
      </c>
      <c r="AZ32" s="83">
        <v>0</v>
      </c>
      <c r="BA32" s="82" t="s">
        <v>333</v>
      </c>
      <c r="BB32" s="83">
        <v>0</v>
      </c>
      <c r="BC32" s="82" t="s">
        <v>333</v>
      </c>
      <c r="BD32" s="83">
        <v>0</v>
      </c>
      <c r="BE32" s="82" t="s">
        <v>333</v>
      </c>
      <c r="BF32" s="83">
        <v>0</v>
      </c>
      <c r="BG32" s="82" t="s">
        <v>333</v>
      </c>
      <c r="BH32" s="83">
        <v>0</v>
      </c>
      <c r="BI32" s="82" t="s">
        <v>333</v>
      </c>
      <c r="BJ32" s="83">
        <v>0</v>
      </c>
      <c r="BK32" s="82" t="s">
        <v>333</v>
      </c>
      <c r="BL32" s="83">
        <v>0</v>
      </c>
      <c r="BM32" s="82" t="s">
        <v>333</v>
      </c>
      <c r="BN32" s="83">
        <v>0</v>
      </c>
      <c r="BO32" s="82" t="s">
        <v>333</v>
      </c>
      <c r="BP32" s="83">
        <v>0</v>
      </c>
      <c r="BQ32" s="82" t="s">
        <v>333</v>
      </c>
      <c r="BR32" s="83">
        <v>0</v>
      </c>
      <c r="BS32" s="82" t="s">
        <v>333</v>
      </c>
      <c r="BT32" s="83">
        <v>0</v>
      </c>
      <c r="BU32" s="82" t="s">
        <v>333</v>
      </c>
      <c r="BV32" s="81">
        <v>4.1529999999999996</v>
      </c>
      <c r="BW32" s="82" t="s">
        <v>333</v>
      </c>
      <c r="BX32" s="83">
        <v>0</v>
      </c>
      <c r="BY32" s="82" t="s">
        <v>333</v>
      </c>
      <c r="BZ32" s="83">
        <v>0</v>
      </c>
      <c r="CA32" s="82" t="s">
        <v>333</v>
      </c>
      <c r="CB32" s="83">
        <v>0</v>
      </c>
      <c r="CC32" s="82" t="s">
        <v>333</v>
      </c>
    </row>
    <row r="33" spans="1:81" x14ac:dyDescent="0.2">
      <c r="A33" s="10" t="s">
        <v>206</v>
      </c>
      <c r="B33" s="11">
        <v>4.1529999999999996</v>
      </c>
      <c r="C33" s="12" t="s">
        <v>333</v>
      </c>
      <c r="D33" s="11">
        <v>4.1529999999999996</v>
      </c>
      <c r="E33" s="12" t="s">
        <v>333</v>
      </c>
      <c r="F33" s="20">
        <v>0</v>
      </c>
      <c r="G33" s="12" t="s">
        <v>333</v>
      </c>
      <c r="H33" s="20">
        <v>0</v>
      </c>
      <c r="I33" s="12" t="s">
        <v>333</v>
      </c>
      <c r="J33" s="20">
        <v>0</v>
      </c>
      <c r="K33" s="12" t="s">
        <v>333</v>
      </c>
      <c r="L33" s="20">
        <v>0</v>
      </c>
      <c r="M33" s="12" t="s">
        <v>333</v>
      </c>
      <c r="N33" s="12" t="s">
        <v>202</v>
      </c>
      <c r="O33" s="12" t="s">
        <v>333</v>
      </c>
      <c r="P33" s="12" t="s">
        <v>202</v>
      </c>
      <c r="Q33" s="12" t="s">
        <v>333</v>
      </c>
      <c r="R33" s="12" t="s">
        <v>202</v>
      </c>
      <c r="S33" s="12" t="s">
        <v>333</v>
      </c>
      <c r="T33" s="12" t="s">
        <v>202</v>
      </c>
      <c r="U33" s="12" t="s">
        <v>333</v>
      </c>
      <c r="V33" s="12" t="s">
        <v>202</v>
      </c>
      <c r="W33" s="12" t="s">
        <v>333</v>
      </c>
      <c r="X33" s="11">
        <v>4.1529999999999996</v>
      </c>
      <c r="Y33" s="12" t="s">
        <v>333</v>
      </c>
      <c r="Z33" s="11">
        <v>4.1529999999999996</v>
      </c>
      <c r="AA33" s="12" t="s">
        <v>333</v>
      </c>
      <c r="AB33" s="20">
        <v>0</v>
      </c>
      <c r="AC33" s="12" t="s">
        <v>333</v>
      </c>
      <c r="AD33" s="20">
        <v>0</v>
      </c>
      <c r="AE33" s="12" t="s">
        <v>333</v>
      </c>
      <c r="AF33" s="20">
        <v>0</v>
      </c>
      <c r="AG33" s="12" t="s">
        <v>333</v>
      </c>
      <c r="AH33" s="20">
        <v>0</v>
      </c>
      <c r="AI33" s="12" t="s">
        <v>333</v>
      </c>
      <c r="AJ33" s="20">
        <v>0</v>
      </c>
      <c r="AK33" s="12" t="s">
        <v>333</v>
      </c>
      <c r="AL33" s="20">
        <v>0</v>
      </c>
      <c r="AM33" s="12" t="s">
        <v>333</v>
      </c>
      <c r="AN33" s="20">
        <v>0</v>
      </c>
      <c r="AO33" s="12" t="s">
        <v>333</v>
      </c>
      <c r="AP33" s="20">
        <v>0</v>
      </c>
      <c r="AQ33" s="12" t="s">
        <v>333</v>
      </c>
      <c r="AR33" s="20">
        <v>0</v>
      </c>
      <c r="AS33" s="12" t="s">
        <v>333</v>
      </c>
      <c r="AT33" s="20">
        <v>0</v>
      </c>
      <c r="AU33" s="12" t="s">
        <v>333</v>
      </c>
      <c r="AV33" s="20">
        <v>0</v>
      </c>
      <c r="AW33" s="12" t="s">
        <v>333</v>
      </c>
      <c r="AX33" s="20">
        <v>0</v>
      </c>
      <c r="AY33" s="12" t="s">
        <v>333</v>
      </c>
      <c r="AZ33" s="20">
        <v>0</v>
      </c>
      <c r="BA33" s="12" t="s">
        <v>333</v>
      </c>
      <c r="BB33" s="20">
        <v>0</v>
      </c>
      <c r="BC33" s="12" t="s">
        <v>333</v>
      </c>
      <c r="BD33" s="20">
        <v>0</v>
      </c>
      <c r="BE33" s="12" t="s">
        <v>333</v>
      </c>
      <c r="BF33" s="20">
        <v>0</v>
      </c>
      <c r="BG33" s="12" t="s">
        <v>333</v>
      </c>
      <c r="BH33" s="20">
        <v>0</v>
      </c>
      <c r="BI33" s="12" t="s">
        <v>333</v>
      </c>
      <c r="BJ33" s="20">
        <v>0</v>
      </c>
      <c r="BK33" s="12" t="s">
        <v>333</v>
      </c>
      <c r="BL33" s="20">
        <v>0</v>
      </c>
      <c r="BM33" s="12" t="s">
        <v>333</v>
      </c>
      <c r="BN33" s="20">
        <v>0</v>
      </c>
      <c r="BO33" s="12" t="s">
        <v>333</v>
      </c>
      <c r="BP33" s="20">
        <v>0</v>
      </c>
      <c r="BQ33" s="12" t="s">
        <v>333</v>
      </c>
      <c r="BR33" s="20">
        <v>0</v>
      </c>
      <c r="BS33" s="12" t="s">
        <v>333</v>
      </c>
      <c r="BT33" s="20">
        <v>0</v>
      </c>
      <c r="BU33" s="12" t="s">
        <v>333</v>
      </c>
      <c r="BV33" s="11">
        <v>4.1529999999999996</v>
      </c>
      <c r="BW33" s="12" t="s">
        <v>333</v>
      </c>
      <c r="BX33" s="20">
        <v>0</v>
      </c>
      <c r="BY33" s="12" t="s">
        <v>333</v>
      </c>
      <c r="BZ33" s="20">
        <v>0</v>
      </c>
      <c r="CA33" s="12" t="s">
        <v>333</v>
      </c>
      <c r="CB33" s="20">
        <v>0</v>
      </c>
      <c r="CC33" s="12" t="s">
        <v>333</v>
      </c>
    </row>
    <row r="34" spans="1:81" x14ac:dyDescent="0.2">
      <c r="A34" s="10" t="s">
        <v>491</v>
      </c>
      <c r="B34" s="83">
        <v>0</v>
      </c>
      <c r="C34" s="82" t="s">
        <v>333</v>
      </c>
      <c r="D34" s="83">
        <v>0</v>
      </c>
      <c r="E34" s="82" t="s">
        <v>333</v>
      </c>
      <c r="F34" s="83">
        <v>0</v>
      </c>
      <c r="G34" s="82" t="s">
        <v>333</v>
      </c>
      <c r="H34" s="83">
        <v>0</v>
      </c>
      <c r="I34" s="82" t="s">
        <v>333</v>
      </c>
      <c r="J34" s="83">
        <v>0</v>
      </c>
      <c r="K34" s="82" t="s">
        <v>333</v>
      </c>
      <c r="L34" s="83">
        <v>0</v>
      </c>
      <c r="M34" s="82" t="s">
        <v>333</v>
      </c>
      <c r="N34" s="82" t="s">
        <v>202</v>
      </c>
      <c r="O34" s="82" t="s">
        <v>333</v>
      </c>
      <c r="P34" s="82" t="s">
        <v>202</v>
      </c>
      <c r="Q34" s="82" t="s">
        <v>333</v>
      </c>
      <c r="R34" s="82" t="s">
        <v>202</v>
      </c>
      <c r="S34" s="82" t="s">
        <v>333</v>
      </c>
      <c r="T34" s="82" t="s">
        <v>202</v>
      </c>
      <c r="U34" s="82" t="s">
        <v>333</v>
      </c>
      <c r="V34" s="82" t="s">
        <v>202</v>
      </c>
      <c r="W34" s="82" t="s">
        <v>333</v>
      </c>
      <c r="X34" s="83">
        <v>0</v>
      </c>
      <c r="Y34" s="82" t="s">
        <v>333</v>
      </c>
      <c r="Z34" s="83">
        <v>0</v>
      </c>
      <c r="AA34" s="82" t="s">
        <v>333</v>
      </c>
      <c r="AB34" s="83">
        <v>0</v>
      </c>
      <c r="AC34" s="82" t="s">
        <v>333</v>
      </c>
      <c r="AD34" s="83">
        <v>0</v>
      </c>
      <c r="AE34" s="82" t="s">
        <v>333</v>
      </c>
      <c r="AF34" s="83">
        <v>0</v>
      </c>
      <c r="AG34" s="82" t="s">
        <v>333</v>
      </c>
      <c r="AH34" s="83">
        <v>0</v>
      </c>
      <c r="AI34" s="82" t="s">
        <v>333</v>
      </c>
      <c r="AJ34" s="83">
        <v>0</v>
      </c>
      <c r="AK34" s="82" t="s">
        <v>333</v>
      </c>
      <c r="AL34" s="83">
        <v>0</v>
      </c>
      <c r="AM34" s="82" t="s">
        <v>333</v>
      </c>
      <c r="AN34" s="83">
        <v>0</v>
      </c>
      <c r="AO34" s="82" t="s">
        <v>333</v>
      </c>
      <c r="AP34" s="83">
        <v>0</v>
      </c>
      <c r="AQ34" s="82" t="s">
        <v>333</v>
      </c>
      <c r="AR34" s="83">
        <v>0</v>
      </c>
      <c r="AS34" s="82" t="s">
        <v>333</v>
      </c>
      <c r="AT34" s="83">
        <v>0</v>
      </c>
      <c r="AU34" s="82" t="s">
        <v>333</v>
      </c>
      <c r="AV34" s="83">
        <v>0</v>
      </c>
      <c r="AW34" s="82" t="s">
        <v>333</v>
      </c>
      <c r="AX34" s="83">
        <v>0</v>
      </c>
      <c r="AY34" s="82" t="s">
        <v>333</v>
      </c>
      <c r="AZ34" s="83">
        <v>0</v>
      </c>
      <c r="BA34" s="82" t="s">
        <v>333</v>
      </c>
      <c r="BB34" s="83">
        <v>0</v>
      </c>
      <c r="BC34" s="82" t="s">
        <v>333</v>
      </c>
      <c r="BD34" s="83">
        <v>0</v>
      </c>
      <c r="BE34" s="82" t="s">
        <v>333</v>
      </c>
      <c r="BF34" s="83">
        <v>0</v>
      </c>
      <c r="BG34" s="82" t="s">
        <v>333</v>
      </c>
      <c r="BH34" s="83">
        <v>0</v>
      </c>
      <c r="BI34" s="82" t="s">
        <v>333</v>
      </c>
      <c r="BJ34" s="83">
        <v>0</v>
      </c>
      <c r="BK34" s="82" t="s">
        <v>333</v>
      </c>
      <c r="BL34" s="83">
        <v>0</v>
      </c>
      <c r="BM34" s="82" t="s">
        <v>333</v>
      </c>
      <c r="BN34" s="83">
        <v>0</v>
      </c>
      <c r="BO34" s="82" t="s">
        <v>333</v>
      </c>
      <c r="BP34" s="83">
        <v>0</v>
      </c>
      <c r="BQ34" s="82" t="s">
        <v>333</v>
      </c>
      <c r="BR34" s="83">
        <v>0</v>
      </c>
      <c r="BS34" s="82" t="s">
        <v>333</v>
      </c>
      <c r="BT34" s="83">
        <v>0</v>
      </c>
      <c r="BU34" s="82" t="s">
        <v>333</v>
      </c>
      <c r="BV34" s="83">
        <v>0</v>
      </c>
      <c r="BW34" s="82" t="s">
        <v>333</v>
      </c>
      <c r="BX34" s="83">
        <v>0</v>
      </c>
      <c r="BY34" s="82" t="s">
        <v>333</v>
      </c>
      <c r="BZ34" s="83">
        <v>0</v>
      </c>
      <c r="CA34" s="82" t="s">
        <v>333</v>
      </c>
      <c r="CB34" s="83">
        <v>0</v>
      </c>
      <c r="CC34" s="82" t="s">
        <v>333</v>
      </c>
    </row>
    <row r="35" spans="1:81" x14ac:dyDescent="0.2">
      <c r="A35" s="10" t="s">
        <v>492</v>
      </c>
      <c r="B35" s="11">
        <v>4.6909999999999998</v>
      </c>
      <c r="C35" s="12" t="s">
        <v>333</v>
      </c>
      <c r="D35" s="11">
        <v>4.6909999999999998</v>
      </c>
      <c r="E35" s="12" t="s">
        <v>333</v>
      </c>
      <c r="F35" s="20">
        <v>0</v>
      </c>
      <c r="G35" s="12" t="s">
        <v>333</v>
      </c>
      <c r="H35" s="20">
        <v>0</v>
      </c>
      <c r="I35" s="12" t="s">
        <v>333</v>
      </c>
      <c r="J35" s="20">
        <v>0</v>
      </c>
      <c r="K35" s="12" t="s">
        <v>333</v>
      </c>
      <c r="L35" s="20">
        <v>0</v>
      </c>
      <c r="M35" s="12" t="s">
        <v>333</v>
      </c>
      <c r="N35" s="12" t="s">
        <v>202</v>
      </c>
      <c r="O35" s="12" t="s">
        <v>333</v>
      </c>
      <c r="P35" s="12" t="s">
        <v>202</v>
      </c>
      <c r="Q35" s="12" t="s">
        <v>333</v>
      </c>
      <c r="R35" s="12" t="s">
        <v>202</v>
      </c>
      <c r="S35" s="12" t="s">
        <v>333</v>
      </c>
      <c r="T35" s="12" t="s">
        <v>202</v>
      </c>
      <c r="U35" s="12" t="s">
        <v>333</v>
      </c>
      <c r="V35" s="12" t="s">
        <v>202</v>
      </c>
      <c r="W35" s="12" t="s">
        <v>333</v>
      </c>
      <c r="X35" s="11">
        <v>4.6909999999999998</v>
      </c>
      <c r="Y35" s="12" t="s">
        <v>333</v>
      </c>
      <c r="Z35" s="11">
        <v>4.6909999999999998</v>
      </c>
      <c r="AA35" s="12" t="s">
        <v>333</v>
      </c>
      <c r="AB35" s="20">
        <v>0</v>
      </c>
      <c r="AC35" s="12" t="s">
        <v>333</v>
      </c>
      <c r="AD35" s="20">
        <v>0</v>
      </c>
      <c r="AE35" s="12" t="s">
        <v>333</v>
      </c>
      <c r="AF35" s="20">
        <v>0</v>
      </c>
      <c r="AG35" s="12" t="s">
        <v>333</v>
      </c>
      <c r="AH35" s="20">
        <v>0</v>
      </c>
      <c r="AI35" s="12" t="s">
        <v>333</v>
      </c>
      <c r="AJ35" s="20">
        <v>0</v>
      </c>
      <c r="AK35" s="12" t="s">
        <v>333</v>
      </c>
      <c r="AL35" s="20">
        <v>0</v>
      </c>
      <c r="AM35" s="12" t="s">
        <v>333</v>
      </c>
      <c r="AN35" s="20">
        <v>0</v>
      </c>
      <c r="AO35" s="12" t="s">
        <v>333</v>
      </c>
      <c r="AP35" s="20">
        <v>0</v>
      </c>
      <c r="AQ35" s="12" t="s">
        <v>333</v>
      </c>
      <c r="AR35" s="20">
        <v>0</v>
      </c>
      <c r="AS35" s="12" t="s">
        <v>333</v>
      </c>
      <c r="AT35" s="20">
        <v>0</v>
      </c>
      <c r="AU35" s="12" t="s">
        <v>333</v>
      </c>
      <c r="AV35" s="20">
        <v>0</v>
      </c>
      <c r="AW35" s="12" t="s">
        <v>333</v>
      </c>
      <c r="AX35" s="11">
        <v>4.6909999999999998</v>
      </c>
      <c r="AY35" s="12" t="s">
        <v>333</v>
      </c>
      <c r="AZ35" s="11">
        <v>4.6909999999999998</v>
      </c>
      <c r="BA35" s="12" t="s">
        <v>333</v>
      </c>
      <c r="BB35" s="11">
        <v>4.6909999999999998</v>
      </c>
      <c r="BC35" s="12" t="s">
        <v>333</v>
      </c>
      <c r="BD35" s="20">
        <v>0</v>
      </c>
      <c r="BE35" s="12" t="s">
        <v>333</v>
      </c>
      <c r="BF35" s="20">
        <v>0</v>
      </c>
      <c r="BG35" s="12" t="s">
        <v>333</v>
      </c>
      <c r="BH35" s="20">
        <v>0</v>
      </c>
      <c r="BI35" s="12" t="s">
        <v>333</v>
      </c>
      <c r="BJ35" s="20">
        <v>0</v>
      </c>
      <c r="BK35" s="12" t="s">
        <v>333</v>
      </c>
      <c r="BL35" s="20">
        <v>0</v>
      </c>
      <c r="BM35" s="12" t="s">
        <v>333</v>
      </c>
      <c r="BN35" s="20">
        <v>0</v>
      </c>
      <c r="BO35" s="12" t="s">
        <v>333</v>
      </c>
      <c r="BP35" s="20">
        <v>0</v>
      </c>
      <c r="BQ35" s="12" t="s">
        <v>333</v>
      </c>
      <c r="BR35" s="20">
        <v>0</v>
      </c>
      <c r="BS35" s="12" t="s">
        <v>333</v>
      </c>
      <c r="BT35" s="20">
        <v>0</v>
      </c>
      <c r="BU35" s="12" t="s">
        <v>333</v>
      </c>
      <c r="BV35" s="20">
        <v>0</v>
      </c>
      <c r="BW35" s="12" t="s">
        <v>333</v>
      </c>
      <c r="BX35" s="20">
        <v>0</v>
      </c>
      <c r="BY35" s="12" t="s">
        <v>333</v>
      </c>
      <c r="BZ35" s="20">
        <v>0</v>
      </c>
      <c r="CA35" s="12" t="s">
        <v>333</v>
      </c>
      <c r="CB35" s="20">
        <v>0</v>
      </c>
      <c r="CC35" s="12" t="s">
        <v>333</v>
      </c>
    </row>
    <row r="36" spans="1:81" x14ac:dyDescent="0.2">
      <c r="A36" s="10" t="s">
        <v>207</v>
      </c>
      <c r="B36" s="81">
        <v>4.6909999999999998</v>
      </c>
      <c r="C36" s="82" t="s">
        <v>333</v>
      </c>
      <c r="D36" s="81">
        <v>4.6909999999999998</v>
      </c>
      <c r="E36" s="82" t="s">
        <v>333</v>
      </c>
      <c r="F36" s="83">
        <v>0</v>
      </c>
      <c r="G36" s="82" t="s">
        <v>333</v>
      </c>
      <c r="H36" s="83">
        <v>0</v>
      </c>
      <c r="I36" s="82" t="s">
        <v>333</v>
      </c>
      <c r="J36" s="83">
        <v>0</v>
      </c>
      <c r="K36" s="82" t="s">
        <v>333</v>
      </c>
      <c r="L36" s="83">
        <v>0</v>
      </c>
      <c r="M36" s="82" t="s">
        <v>333</v>
      </c>
      <c r="N36" s="82" t="s">
        <v>202</v>
      </c>
      <c r="O36" s="82" t="s">
        <v>333</v>
      </c>
      <c r="P36" s="82" t="s">
        <v>202</v>
      </c>
      <c r="Q36" s="82" t="s">
        <v>333</v>
      </c>
      <c r="R36" s="82" t="s">
        <v>202</v>
      </c>
      <c r="S36" s="82" t="s">
        <v>333</v>
      </c>
      <c r="T36" s="82" t="s">
        <v>202</v>
      </c>
      <c r="U36" s="82" t="s">
        <v>333</v>
      </c>
      <c r="V36" s="82" t="s">
        <v>202</v>
      </c>
      <c r="W36" s="82" t="s">
        <v>333</v>
      </c>
      <c r="X36" s="81">
        <v>4.6909999999999998</v>
      </c>
      <c r="Y36" s="82" t="s">
        <v>333</v>
      </c>
      <c r="Z36" s="81">
        <v>4.6909999999999998</v>
      </c>
      <c r="AA36" s="82" t="s">
        <v>333</v>
      </c>
      <c r="AB36" s="83">
        <v>0</v>
      </c>
      <c r="AC36" s="82" t="s">
        <v>333</v>
      </c>
      <c r="AD36" s="83">
        <v>0</v>
      </c>
      <c r="AE36" s="82" t="s">
        <v>333</v>
      </c>
      <c r="AF36" s="83">
        <v>0</v>
      </c>
      <c r="AG36" s="82" t="s">
        <v>333</v>
      </c>
      <c r="AH36" s="83">
        <v>0</v>
      </c>
      <c r="AI36" s="82" t="s">
        <v>333</v>
      </c>
      <c r="AJ36" s="83">
        <v>0</v>
      </c>
      <c r="AK36" s="82" t="s">
        <v>333</v>
      </c>
      <c r="AL36" s="83">
        <v>0</v>
      </c>
      <c r="AM36" s="82" t="s">
        <v>333</v>
      </c>
      <c r="AN36" s="83">
        <v>0</v>
      </c>
      <c r="AO36" s="82" t="s">
        <v>333</v>
      </c>
      <c r="AP36" s="83">
        <v>0</v>
      </c>
      <c r="AQ36" s="82" t="s">
        <v>333</v>
      </c>
      <c r="AR36" s="83">
        <v>0</v>
      </c>
      <c r="AS36" s="82" t="s">
        <v>333</v>
      </c>
      <c r="AT36" s="83">
        <v>0</v>
      </c>
      <c r="AU36" s="82" t="s">
        <v>333</v>
      </c>
      <c r="AV36" s="83">
        <v>0</v>
      </c>
      <c r="AW36" s="82" t="s">
        <v>333</v>
      </c>
      <c r="AX36" s="81">
        <v>4.6909999999999998</v>
      </c>
      <c r="AY36" s="82" t="s">
        <v>333</v>
      </c>
      <c r="AZ36" s="81">
        <v>4.6909999999999998</v>
      </c>
      <c r="BA36" s="82" t="s">
        <v>333</v>
      </c>
      <c r="BB36" s="81">
        <v>4.6909999999999998</v>
      </c>
      <c r="BC36" s="82" t="s">
        <v>333</v>
      </c>
      <c r="BD36" s="83">
        <v>0</v>
      </c>
      <c r="BE36" s="82" t="s">
        <v>333</v>
      </c>
      <c r="BF36" s="83">
        <v>0</v>
      </c>
      <c r="BG36" s="82" t="s">
        <v>333</v>
      </c>
      <c r="BH36" s="83">
        <v>0</v>
      </c>
      <c r="BI36" s="82" t="s">
        <v>333</v>
      </c>
      <c r="BJ36" s="83">
        <v>0</v>
      </c>
      <c r="BK36" s="82" t="s">
        <v>333</v>
      </c>
      <c r="BL36" s="83">
        <v>0</v>
      </c>
      <c r="BM36" s="82" t="s">
        <v>333</v>
      </c>
      <c r="BN36" s="83">
        <v>0</v>
      </c>
      <c r="BO36" s="82" t="s">
        <v>333</v>
      </c>
      <c r="BP36" s="83">
        <v>0</v>
      </c>
      <c r="BQ36" s="82" t="s">
        <v>333</v>
      </c>
      <c r="BR36" s="83">
        <v>0</v>
      </c>
      <c r="BS36" s="82" t="s">
        <v>333</v>
      </c>
      <c r="BT36" s="83">
        <v>0</v>
      </c>
      <c r="BU36" s="82" t="s">
        <v>333</v>
      </c>
      <c r="BV36" s="83">
        <v>0</v>
      </c>
      <c r="BW36" s="82" t="s">
        <v>333</v>
      </c>
      <c r="BX36" s="83">
        <v>0</v>
      </c>
      <c r="BY36" s="82" t="s">
        <v>333</v>
      </c>
      <c r="BZ36" s="83">
        <v>0</v>
      </c>
      <c r="CA36" s="82" t="s">
        <v>333</v>
      </c>
      <c r="CB36" s="83">
        <v>0</v>
      </c>
      <c r="CC36" s="82" t="s">
        <v>333</v>
      </c>
    </row>
    <row r="37" spans="1:81" x14ac:dyDescent="0.2">
      <c r="A37" s="10" t="s">
        <v>493</v>
      </c>
      <c r="B37" s="20">
        <v>0</v>
      </c>
      <c r="C37" s="12" t="s">
        <v>333</v>
      </c>
      <c r="D37" s="20">
        <v>0</v>
      </c>
      <c r="E37" s="12" t="s">
        <v>333</v>
      </c>
      <c r="F37" s="20">
        <v>0</v>
      </c>
      <c r="G37" s="12" t="s">
        <v>333</v>
      </c>
      <c r="H37" s="20">
        <v>0</v>
      </c>
      <c r="I37" s="12" t="s">
        <v>333</v>
      </c>
      <c r="J37" s="20">
        <v>0</v>
      </c>
      <c r="K37" s="12" t="s">
        <v>333</v>
      </c>
      <c r="L37" s="20">
        <v>0</v>
      </c>
      <c r="M37" s="12" t="s">
        <v>333</v>
      </c>
      <c r="N37" s="12" t="s">
        <v>202</v>
      </c>
      <c r="O37" s="12" t="s">
        <v>333</v>
      </c>
      <c r="P37" s="12" t="s">
        <v>202</v>
      </c>
      <c r="Q37" s="12" t="s">
        <v>333</v>
      </c>
      <c r="R37" s="12" t="s">
        <v>202</v>
      </c>
      <c r="S37" s="12" t="s">
        <v>333</v>
      </c>
      <c r="T37" s="12" t="s">
        <v>202</v>
      </c>
      <c r="U37" s="12" t="s">
        <v>333</v>
      </c>
      <c r="V37" s="12" t="s">
        <v>202</v>
      </c>
      <c r="W37" s="12" t="s">
        <v>333</v>
      </c>
      <c r="X37" s="20">
        <v>0</v>
      </c>
      <c r="Y37" s="12" t="s">
        <v>333</v>
      </c>
      <c r="Z37" s="20">
        <v>0</v>
      </c>
      <c r="AA37" s="12" t="s">
        <v>333</v>
      </c>
      <c r="AB37" s="20">
        <v>0</v>
      </c>
      <c r="AC37" s="12" t="s">
        <v>333</v>
      </c>
      <c r="AD37" s="20">
        <v>0</v>
      </c>
      <c r="AE37" s="12" t="s">
        <v>333</v>
      </c>
      <c r="AF37" s="20">
        <v>0</v>
      </c>
      <c r="AG37" s="12" t="s">
        <v>333</v>
      </c>
      <c r="AH37" s="20">
        <v>0</v>
      </c>
      <c r="AI37" s="12" t="s">
        <v>333</v>
      </c>
      <c r="AJ37" s="20">
        <v>0</v>
      </c>
      <c r="AK37" s="12" t="s">
        <v>333</v>
      </c>
      <c r="AL37" s="20">
        <v>0</v>
      </c>
      <c r="AM37" s="12" t="s">
        <v>333</v>
      </c>
      <c r="AN37" s="20">
        <v>0</v>
      </c>
      <c r="AO37" s="12" t="s">
        <v>333</v>
      </c>
      <c r="AP37" s="20">
        <v>0</v>
      </c>
      <c r="AQ37" s="12" t="s">
        <v>333</v>
      </c>
      <c r="AR37" s="20">
        <v>0</v>
      </c>
      <c r="AS37" s="12" t="s">
        <v>333</v>
      </c>
      <c r="AT37" s="20">
        <v>0</v>
      </c>
      <c r="AU37" s="12" t="s">
        <v>333</v>
      </c>
      <c r="AV37" s="20">
        <v>0</v>
      </c>
      <c r="AW37" s="12" t="s">
        <v>333</v>
      </c>
      <c r="AX37" s="20">
        <v>0</v>
      </c>
      <c r="AY37" s="12" t="s">
        <v>333</v>
      </c>
      <c r="AZ37" s="20">
        <v>0</v>
      </c>
      <c r="BA37" s="12" t="s">
        <v>333</v>
      </c>
      <c r="BB37" s="20">
        <v>0</v>
      </c>
      <c r="BC37" s="12" t="s">
        <v>333</v>
      </c>
      <c r="BD37" s="20">
        <v>0</v>
      </c>
      <c r="BE37" s="12" t="s">
        <v>333</v>
      </c>
      <c r="BF37" s="20">
        <v>0</v>
      </c>
      <c r="BG37" s="12" t="s">
        <v>333</v>
      </c>
      <c r="BH37" s="20">
        <v>0</v>
      </c>
      <c r="BI37" s="12" t="s">
        <v>333</v>
      </c>
      <c r="BJ37" s="20">
        <v>0</v>
      </c>
      <c r="BK37" s="12" t="s">
        <v>333</v>
      </c>
      <c r="BL37" s="20">
        <v>0</v>
      </c>
      <c r="BM37" s="12" t="s">
        <v>333</v>
      </c>
      <c r="BN37" s="20">
        <v>0</v>
      </c>
      <c r="BO37" s="12" t="s">
        <v>333</v>
      </c>
      <c r="BP37" s="20">
        <v>0</v>
      </c>
      <c r="BQ37" s="12" t="s">
        <v>333</v>
      </c>
      <c r="BR37" s="20">
        <v>0</v>
      </c>
      <c r="BS37" s="12" t="s">
        <v>333</v>
      </c>
      <c r="BT37" s="20">
        <v>0</v>
      </c>
      <c r="BU37" s="12" t="s">
        <v>333</v>
      </c>
      <c r="BV37" s="20">
        <v>0</v>
      </c>
      <c r="BW37" s="12" t="s">
        <v>333</v>
      </c>
      <c r="BX37" s="20">
        <v>0</v>
      </c>
      <c r="BY37" s="12" t="s">
        <v>333</v>
      </c>
      <c r="BZ37" s="20">
        <v>0</v>
      </c>
      <c r="CA37" s="12" t="s">
        <v>333</v>
      </c>
      <c r="CB37" s="20">
        <v>0</v>
      </c>
      <c r="CC37" s="12" t="s">
        <v>333</v>
      </c>
    </row>
    <row r="38" spans="1:81" x14ac:dyDescent="0.2">
      <c r="A38" s="10" t="s">
        <v>494</v>
      </c>
      <c r="B38" s="81">
        <v>80.820999999999998</v>
      </c>
      <c r="C38" s="82" t="s">
        <v>333</v>
      </c>
      <c r="D38" s="81">
        <v>80.820999999999998</v>
      </c>
      <c r="E38" s="82" t="s">
        <v>333</v>
      </c>
      <c r="F38" s="83">
        <v>0</v>
      </c>
      <c r="G38" s="82" t="s">
        <v>333</v>
      </c>
      <c r="H38" s="83">
        <v>0</v>
      </c>
      <c r="I38" s="82" t="s">
        <v>333</v>
      </c>
      <c r="J38" s="83">
        <v>0</v>
      </c>
      <c r="K38" s="82" t="s">
        <v>333</v>
      </c>
      <c r="L38" s="83">
        <v>0</v>
      </c>
      <c r="M38" s="82" t="s">
        <v>333</v>
      </c>
      <c r="N38" s="82" t="s">
        <v>202</v>
      </c>
      <c r="O38" s="82" t="s">
        <v>333</v>
      </c>
      <c r="P38" s="82" t="s">
        <v>202</v>
      </c>
      <c r="Q38" s="82" t="s">
        <v>333</v>
      </c>
      <c r="R38" s="82" t="s">
        <v>202</v>
      </c>
      <c r="S38" s="82" t="s">
        <v>333</v>
      </c>
      <c r="T38" s="82" t="s">
        <v>202</v>
      </c>
      <c r="U38" s="82" t="s">
        <v>333</v>
      </c>
      <c r="V38" s="82" t="s">
        <v>202</v>
      </c>
      <c r="W38" s="82" t="s">
        <v>333</v>
      </c>
      <c r="X38" s="81">
        <v>80.820999999999998</v>
      </c>
      <c r="Y38" s="82" t="s">
        <v>333</v>
      </c>
      <c r="Z38" s="81">
        <v>80.820999999999998</v>
      </c>
      <c r="AA38" s="82" t="s">
        <v>333</v>
      </c>
      <c r="AB38" s="83">
        <v>80.819999999999993</v>
      </c>
      <c r="AC38" s="82" t="s">
        <v>333</v>
      </c>
      <c r="AD38" s="83">
        <v>0</v>
      </c>
      <c r="AE38" s="82" t="s">
        <v>333</v>
      </c>
      <c r="AF38" s="83">
        <v>0</v>
      </c>
      <c r="AG38" s="82" t="s">
        <v>333</v>
      </c>
      <c r="AH38" s="83">
        <v>0</v>
      </c>
      <c r="AI38" s="82" t="s">
        <v>333</v>
      </c>
      <c r="AJ38" s="83">
        <v>0</v>
      </c>
      <c r="AK38" s="82" t="s">
        <v>333</v>
      </c>
      <c r="AL38" s="83">
        <v>0</v>
      </c>
      <c r="AM38" s="82" t="s">
        <v>333</v>
      </c>
      <c r="AN38" s="83">
        <v>0</v>
      </c>
      <c r="AO38" s="82" t="s">
        <v>333</v>
      </c>
      <c r="AP38" s="83">
        <v>0</v>
      </c>
      <c r="AQ38" s="82" t="s">
        <v>333</v>
      </c>
      <c r="AR38" s="83">
        <v>0</v>
      </c>
      <c r="AS38" s="82" t="s">
        <v>333</v>
      </c>
      <c r="AT38" s="83">
        <v>0</v>
      </c>
      <c r="AU38" s="82" t="s">
        <v>333</v>
      </c>
      <c r="AV38" s="83">
        <v>0</v>
      </c>
      <c r="AW38" s="82" t="s">
        <v>333</v>
      </c>
      <c r="AX38" s="83">
        <v>0</v>
      </c>
      <c r="AY38" s="82" t="s">
        <v>333</v>
      </c>
      <c r="AZ38" s="83">
        <v>0</v>
      </c>
      <c r="BA38" s="82" t="s">
        <v>333</v>
      </c>
      <c r="BB38" s="83">
        <v>0</v>
      </c>
      <c r="BC38" s="82" t="s">
        <v>333</v>
      </c>
      <c r="BD38" s="83">
        <v>0</v>
      </c>
      <c r="BE38" s="82" t="s">
        <v>333</v>
      </c>
      <c r="BF38" s="83">
        <v>0</v>
      </c>
      <c r="BG38" s="82" t="s">
        <v>333</v>
      </c>
      <c r="BH38" s="83">
        <v>0</v>
      </c>
      <c r="BI38" s="82" t="s">
        <v>333</v>
      </c>
      <c r="BJ38" s="83">
        <v>0</v>
      </c>
      <c r="BK38" s="82" t="s">
        <v>333</v>
      </c>
      <c r="BL38" s="83">
        <v>0</v>
      </c>
      <c r="BM38" s="82" t="s">
        <v>333</v>
      </c>
      <c r="BN38" s="83">
        <v>0</v>
      </c>
      <c r="BO38" s="82" t="s">
        <v>333</v>
      </c>
      <c r="BP38" s="83">
        <v>0</v>
      </c>
      <c r="BQ38" s="82" t="s">
        <v>333</v>
      </c>
      <c r="BR38" s="83">
        <v>0</v>
      </c>
      <c r="BS38" s="82" t="s">
        <v>333</v>
      </c>
      <c r="BT38" s="83">
        <v>0</v>
      </c>
      <c r="BU38" s="82" t="s">
        <v>333</v>
      </c>
      <c r="BV38" s="81">
        <v>1E-3</v>
      </c>
      <c r="BW38" s="82" t="s">
        <v>333</v>
      </c>
      <c r="BX38" s="83">
        <v>0</v>
      </c>
      <c r="BY38" s="82" t="s">
        <v>333</v>
      </c>
      <c r="BZ38" s="83">
        <v>0</v>
      </c>
      <c r="CA38" s="82" t="s">
        <v>333</v>
      </c>
      <c r="CB38" s="83">
        <v>0</v>
      </c>
      <c r="CC38" s="82" t="s">
        <v>333</v>
      </c>
    </row>
    <row r="39" spans="1:81" x14ac:dyDescent="0.2">
      <c r="A39" s="10" t="s">
        <v>208</v>
      </c>
      <c r="B39" s="11">
        <v>80.820999999999998</v>
      </c>
      <c r="C39" s="12" t="s">
        <v>333</v>
      </c>
      <c r="D39" s="11">
        <v>80.820999999999998</v>
      </c>
      <c r="E39" s="12" t="s">
        <v>333</v>
      </c>
      <c r="F39" s="20">
        <v>0</v>
      </c>
      <c r="G39" s="12" t="s">
        <v>333</v>
      </c>
      <c r="H39" s="20">
        <v>0</v>
      </c>
      <c r="I39" s="12" t="s">
        <v>333</v>
      </c>
      <c r="J39" s="20">
        <v>0</v>
      </c>
      <c r="K39" s="12" t="s">
        <v>333</v>
      </c>
      <c r="L39" s="20">
        <v>0</v>
      </c>
      <c r="M39" s="12" t="s">
        <v>333</v>
      </c>
      <c r="N39" s="12" t="s">
        <v>202</v>
      </c>
      <c r="O39" s="12" t="s">
        <v>333</v>
      </c>
      <c r="P39" s="12" t="s">
        <v>202</v>
      </c>
      <c r="Q39" s="12" t="s">
        <v>333</v>
      </c>
      <c r="R39" s="12" t="s">
        <v>202</v>
      </c>
      <c r="S39" s="12" t="s">
        <v>333</v>
      </c>
      <c r="T39" s="12" t="s">
        <v>202</v>
      </c>
      <c r="U39" s="12" t="s">
        <v>333</v>
      </c>
      <c r="V39" s="12" t="s">
        <v>202</v>
      </c>
      <c r="W39" s="12" t="s">
        <v>333</v>
      </c>
      <c r="X39" s="11">
        <v>80.820999999999998</v>
      </c>
      <c r="Y39" s="12" t="s">
        <v>333</v>
      </c>
      <c r="Z39" s="11">
        <v>80.820999999999998</v>
      </c>
      <c r="AA39" s="12" t="s">
        <v>333</v>
      </c>
      <c r="AB39" s="20">
        <v>80.819999999999993</v>
      </c>
      <c r="AC39" s="12" t="s">
        <v>333</v>
      </c>
      <c r="AD39" s="20">
        <v>0</v>
      </c>
      <c r="AE39" s="12" t="s">
        <v>333</v>
      </c>
      <c r="AF39" s="20">
        <v>0</v>
      </c>
      <c r="AG39" s="12" t="s">
        <v>333</v>
      </c>
      <c r="AH39" s="20">
        <v>0</v>
      </c>
      <c r="AI39" s="12" t="s">
        <v>333</v>
      </c>
      <c r="AJ39" s="20">
        <v>0</v>
      </c>
      <c r="AK39" s="12" t="s">
        <v>333</v>
      </c>
      <c r="AL39" s="20">
        <v>0</v>
      </c>
      <c r="AM39" s="12" t="s">
        <v>333</v>
      </c>
      <c r="AN39" s="20">
        <v>0</v>
      </c>
      <c r="AO39" s="12" t="s">
        <v>333</v>
      </c>
      <c r="AP39" s="20">
        <v>0</v>
      </c>
      <c r="AQ39" s="12" t="s">
        <v>333</v>
      </c>
      <c r="AR39" s="20">
        <v>0</v>
      </c>
      <c r="AS39" s="12" t="s">
        <v>333</v>
      </c>
      <c r="AT39" s="20">
        <v>0</v>
      </c>
      <c r="AU39" s="12" t="s">
        <v>333</v>
      </c>
      <c r="AV39" s="20">
        <v>0</v>
      </c>
      <c r="AW39" s="12" t="s">
        <v>333</v>
      </c>
      <c r="AX39" s="20">
        <v>0</v>
      </c>
      <c r="AY39" s="12" t="s">
        <v>333</v>
      </c>
      <c r="AZ39" s="20">
        <v>0</v>
      </c>
      <c r="BA39" s="12" t="s">
        <v>333</v>
      </c>
      <c r="BB39" s="20">
        <v>0</v>
      </c>
      <c r="BC39" s="12" t="s">
        <v>333</v>
      </c>
      <c r="BD39" s="20">
        <v>0</v>
      </c>
      <c r="BE39" s="12" t="s">
        <v>333</v>
      </c>
      <c r="BF39" s="20">
        <v>0</v>
      </c>
      <c r="BG39" s="12" t="s">
        <v>333</v>
      </c>
      <c r="BH39" s="20">
        <v>0</v>
      </c>
      <c r="BI39" s="12" t="s">
        <v>333</v>
      </c>
      <c r="BJ39" s="20">
        <v>0</v>
      </c>
      <c r="BK39" s="12" t="s">
        <v>333</v>
      </c>
      <c r="BL39" s="20">
        <v>0</v>
      </c>
      <c r="BM39" s="12" t="s">
        <v>333</v>
      </c>
      <c r="BN39" s="20">
        <v>0</v>
      </c>
      <c r="BO39" s="12" t="s">
        <v>333</v>
      </c>
      <c r="BP39" s="20">
        <v>0</v>
      </c>
      <c r="BQ39" s="12" t="s">
        <v>333</v>
      </c>
      <c r="BR39" s="20">
        <v>0</v>
      </c>
      <c r="BS39" s="12" t="s">
        <v>333</v>
      </c>
      <c r="BT39" s="20">
        <v>0</v>
      </c>
      <c r="BU39" s="12" t="s">
        <v>333</v>
      </c>
      <c r="BV39" s="11">
        <v>1E-3</v>
      </c>
      <c r="BW39" s="12" t="s">
        <v>333</v>
      </c>
      <c r="BX39" s="20">
        <v>0</v>
      </c>
      <c r="BY39" s="12" t="s">
        <v>333</v>
      </c>
      <c r="BZ39" s="20">
        <v>0</v>
      </c>
      <c r="CA39" s="12" t="s">
        <v>333</v>
      </c>
      <c r="CB39" s="20">
        <v>0</v>
      </c>
      <c r="CC39" s="12" t="s">
        <v>333</v>
      </c>
    </row>
    <row r="40" spans="1:81" x14ac:dyDescent="0.2">
      <c r="A40" s="10" t="s">
        <v>495</v>
      </c>
      <c r="B40" s="83">
        <v>0</v>
      </c>
      <c r="C40" s="82" t="s">
        <v>333</v>
      </c>
      <c r="D40" s="83">
        <v>0</v>
      </c>
      <c r="E40" s="82" t="s">
        <v>333</v>
      </c>
      <c r="F40" s="83">
        <v>0</v>
      </c>
      <c r="G40" s="82" t="s">
        <v>333</v>
      </c>
      <c r="H40" s="83">
        <v>0</v>
      </c>
      <c r="I40" s="82" t="s">
        <v>333</v>
      </c>
      <c r="J40" s="83">
        <v>0</v>
      </c>
      <c r="K40" s="82" t="s">
        <v>333</v>
      </c>
      <c r="L40" s="83">
        <v>0</v>
      </c>
      <c r="M40" s="82" t="s">
        <v>333</v>
      </c>
      <c r="N40" s="82" t="s">
        <v>202</v>
      </c>
      <c r="O40" s="82" t="s">
        <v>333</v>
      </c>
      <c r="P40" s="82" t="s">
        <v>202</v>
      </c>
      <c r="Q40" s="82" t="s">
        <v>333</v>
      </c>
      <c r="R40" s="82" t="s">
        <v>202</v>
      </c>
      <c r="S40" s="82" t="s">
        <v>333</v>
      </c>
      <c r="T40" s="82" t="s">
        <v>202</v>
      </c>
      <c r="U40" s="82" t="s">
        <v>333</v>
      </c>
      <c r="V40" s="82" t="s">
        <v>202</v>
      </c>
      <c r="W40" s="82" t="s">
        <v>333</v>
      </c>
      <c r="X40" s="83">
        <v>0</v>
      </c>
      <c r="Y40" s="82" t="s">
        <v>333</v>
      </c>
      <c r="Z40" s="83">
        <v>0</v>
      </c>
      <c r="AA40" s="82" t="s">
        <v>333</v>
      </c>
      <c r="AB40" s="83">
        <v>0</v>
      </c>
      <c r="AC40" s="82" t="s">
        <v>333</v>
      </c>
      <c r="AD40" s="83">
        <v>0</v>
      </c>
      <c r="AE40" s="82" t="s">
        <v>333</v>
      </c>
      <c r="AF40" s="83">
        <v>0</v>
      </c>
      <c r="AG40" s="82" t="s">
        <v>333</v>
      </c>
      <c r="AH40" s="83">
        <v>0</v>
      </c>
      <c r="AI40" s="82" t="s">
        <v>333</v>
      </c>
      <c r="AJ40" s="83">
        <v>0</v>
      </c>
      <c r="AK40" s="82" t="s">
        <v>333</v>
      </c>
      <c r="AL40" s="83">
        <v>0</v>
      </c>
      <c r="AM40" s="82" t="s">
        <v>333</v>
      </c>
      <c r="AN40" s="83">
        <v>0</v>
      </c>
      <c r="AO40" s="82" t="s">
        <v>333</v>
      </c>
      <c r="AP40" s="83">
        <v>0</v>
      </c>
      <c r="AQ40" s="82" t="s">
        <v>333</v>
      </c>
      <c r="AR40" s="83">
        <v>0</v>
      </c>
      <c r="AS40" s="82" t="s">
        <v>333</v>
      </c>
      <c r="AT40" s="83">
        <v>0</v>
      </c>
      <c r="AU40" s="82" t="s">
        <v>333</v>
      </c>
      <c r="AV40" s="83">
        <v>0</v>
      </c>
      <c r="AW40" s="82" t="s">
        <v>333</v>
      </c>
      <c r="AX40" s="83">
        <v>0</v>
      </c>
      <c r="AY40" s="82" t="s">
        <v>333</v>
      </c>
      <c r="AZ40" s="83">
        <v>0</v>
      </c>
      <c r="BA40" s="82" t="s">
        <v>333</v>
      </c>
      <c r="BB40" s="83">
        <v>0</v>
      </c>
      <c r="BC40" s="82" t="s">
        <v>333</v>
      </c>
      <c r="BD40" s="83">
        <v>0</v>
      </c>
      <c r="BE40" s="82" t="s">
        <v>333</v>
      </c>
      <c r="BF40" s="83">
        <v>0</v>
      </c>
      <c r="BG40" s="82" t="s">
        <v>333</v>
      </c>
      <c r="BH40" s="83">
        <v>0</v>
      </c>
      <c r="BI40" s="82" t="s">
        <v>333</v>
      </c>
      <c r="BJ40" s="83">
        <v>0</v>
      </c>
      <c r="BK40" s="82" t="s">
        <v>333</v>
      </c>
      <c r="BL40" s="83">
        <v>0</v>
      </c>
      <c r="BM40" s="82" t="s">
        <v>333</v>
      </c>
      <c r="BN40" s="83">
        <v>0</v>
      </c>
      <c r="BO40" s="82" t="s">
        <v>333</v>
      </c>
      <c r="BP40" s="83">
        <v>0</v>
      </c>
      <c r="BQ40" s="82" t="s">
        <v>333</v>
      </c>
      <c r="BR40" s="83">
        <v>0</v>
      </c>
      <c r="BS40" s="82" t="s">
        <v>333</v>
      </c>
      <c r="BT40" s="83">
        <v>0</v>
      </c>
      <c r="BU40" s="82" t="s">
        <v>333</v>
      </c>
      <c r="BV40" s="83">
        <v>0</v>
      </c>
      <c r="BW40" s="82" t="s">
        <v>333</v>
      </c>
      <c r="BX40" s="83">
        <v>0</v>
      </c>
      <c r="BY40" s="82" t="s">
        <v>333</v>
      </c>
      <c r="BZ40" s="83">
        <v>0</v>
      </c>
      <c r="CA40" s="82" t="s">
        <v>333</v>
      </c>
      <c r="CB40" s="83">
        <v>0</v>
      </c>
      <c r="CC40" s="82" t="s">
        <v>333</v>
      </c>
    </row>
    <row r="41" spans="1:81" x14ac:dyDescent="0.2">
      <c r="A41" s="10" t="s">
        <v>496</v>
      </c>
      <c r="B41" s="11">
        <v>13.845000000000001</v>
      </c>
      <c r="C41" s="12" t="s">
        <v>333</v>
      </c>
      <c r="D41" s="11">
        <v>13.845000000000001</v>
      </c>
      <c r="E41" s="12" t="s">
        <v>333</v>
      </c>
      <c r="F41" s="20">
        <v>0</v>
      </c>
      <c r="G41" s="12" t="s">
        <v>333</v>
      </c>
      <c r="H41" s="20">
        <v>0</v>
      </c>
      <c r="I41" s="12" t="s">
        <v>333</v>
      </c>
      <c r="J41" s="20">
        <v>0</v>
      </c>
      <c r="K41" s="12" t="s">
        <v>333</v>
      </c>
      <c r="L41" s="20">
        <v>0</v>
      </c>
      <c r="M41" s="12" t="s">
        <v>333</v>
      </c>
      <c r="N41" s="12" t="s">
        <v>202</v>
      </c>
      <c r="O41" s="12" t="s">
        <v>333</v>
      </c>
      <c r="P41" s="12" t="s">
        <v>202</v>
      </c>
      <c r="Q41" s="12" t="s">
        <v>333</v>
      </c>
      <c r="R41" s="12" t="s">
        <v>202</v>
      </c>
      <c r="S41" s="12" t="s">
        <v>333</v>
      </c>
      <c r="T41" s="12" t="s">
        <v>202</v>
      </c>
      <c r="U41" s="12" t="s">
        <v>333</v>
      </c>
      <c r="V41" s="12" t="s">
        <v>202</v>
      </c>
      <c r="W41" s="12" t="s">
        <v>333</v>
      </c>
      <c r="X41" s="11">
        <v>13.845000000000001</v>
      </c>
      <c r="Y41" s="12" t="s">
        <v>333</v>
      </c>
      <c r="Z41" s="11">
        <v>13.845000000000001</v>
      </c>
      <c r="AA41" s="12" t="s">
        <v>333</v>
      </c>
      <c r="AB41" s="11">
        <v>13.743</v>
      </c>
      <c r="AC41" s="12" t="s">
        <v>333</v>
      </c>
      <c r="AD41" s="20">
        <v>0</v>
      </c>
      <c r="AE41" s="12" t="s">
        <v>333</v>
      </c>
      <c r="AF41" s="20">
        <v>0</v>
      </c>
      <c r="AG41" s="12" t="s">
        <v>333</v>
      </c>
      <c r="AH41" s="20">
        <v>0</v>
      </c>
      <c r="AI41" s="12" t="s">
        <v>333</v>
      </c>
      <c r="AJ41" s="20">
        <v>0</v>
      </c>
      <c r="AK41" s="12" t="s">
        <v>333</v>
      </c>
      <c r="AL41" s="20">
        <v>0</v>
      </c>
      <c r="AM41" s="12" t="s">
        <v>333</v>
      </c>
      <c r="AN41" s="20">
        <v>0</v>
      </c>
      <c r="AO41" s="12" t="s">
        <v>333</v>
      </c>
      <c r="AP41" s="20">
        <v>0</v>
      </c>
      <c r="AQ41" s="12" t="s">
        <v>333</v>
      </c>
      <c r="AR41" s="20">
        <v>0</v>
      </c>
      <c r="AS41" s="12" t="s">
        <v>333</v>
      </c>
      <c r="AT41" s="20">
        <v>0</v>
      </c>
      <c r="AU41" s="12" t="s">
        <v>333</v>
      </c>
      <c r="AV41" s="20">
        <v>0</v>
      </c>
      <c r="AW41" s="12" t="s">
        <v>333</v>
      </c>
      <c r="AX41" s="11">
        <v>0.10199999999999999</v>
      </c>
      <c r="AY41" s="12" t="s">
        <v>333</v>
      </c>
      <c r="AZ41" s="11">
        <v>0.10199999999999999</v>
      </c>
      <c r="BA41" s="12" t="s">
        <v>333</v>
      </c>
      <c r="BB41" s="11">
        <v>0.10199999999999999</v>
      </c>
      <c r="BC41" s="12" t="s">
        <v>333</v>
      </c>
      <c r="BD41" s="20">
        <v>0</v>
      </c>
      <c r="BE41" s="12" t="s">
        <v>333</v>
      </c>
      <c r="BF41" s="20">
        <v>0</v>
      </c>
      <c r="BG41" s="12" t="s">
        <v>333</v>
      </c>
      <c r="BH41" s="20">
        <v>0</v>
      </c>
      <c r="BI41" s="12" t="s">
        <v>333</v>
      </c>
      <c r="BJ41" s="20">
        <v>0</v>
      </c>
      <c r="BK41" s="12" t="s">
        <v>333</v>
      </c>
      <c r="BL41" s="20">
        <v>0</v>
      </c>
      <c r="BM41" s="12" t="s">
        <v>333</v>
      </c>
      <c r="BN41" s="20">
        <v>0</v>
      </c>
      <c r="BO41" s="12" t="s">
        <v>333</v>
      </c>
      <c r="BP41" s="20">
        <v>0</v>
      </c>
      <c r="BQ41" s="12" t="s">
        <v>333</v>
      </c>
      <c r="BR41" s="20">
        <v>0</v>
      </c>
      <c r="BS41" s="12" t="s">
        <v>333</v>
      </c>
      <c r="BT41" s="20">
        <v>0</v>
      </c>
      <c r="BU41" s="12" t="s">
        <v>333</v>
      </c>
      <c r="BV41" s="20">
        <v>0</v>
      </c>
      <c r="BW41" s="12" t="s">
        <v>333</v>
      </c>
      <c r="BX41" s="20">
        <v>0</v>
      </c>
      <c r="BY41" s="12" t="s">
        <v>333</v>
      </c>
      <c r="BZ41" s="20">
        <v>0</v>
      </c>
      <c r="CA41" s="12" t="s">
        <v>333</v>
      </c>
      <c r="CB41" s="20">
        <v>0</v>
      </c>
      <c r="CC41" s="12" t="s">
        <v>333</v>
      </c>
    </row>
    <row r="42" spans="1:81" x14ac:dyDescent="0.2">
      <c r="A42" s="10" t="s">
        <v>209</v>
      </c>
      <c r="B42" s="81">
        <v>13.845000000000001</v>
      </c>
      <c r="C42" s="82" t="s">
        <v>333</v>
      </c>
      <c r="D42" s="81">
        <v>13.845000000000001</v>
      </c>
      <c r="E42" s="82" t="s">
        <v>333</v>
      </c>
      <c r="F42" s="83">
        <v>0</v>
      </c>
      <c r="G42" s="82" t="s">
        <v>333</v>
      </c>
      <c r="H42" s="83">
        <v>0</v>
      </c>
      <c r="I42" s="82" t="s">
        <v>333</v>
      </c>
      <c r="J42" s="83">
        <v>0</v>
      </c>
      <c r="K42" s="82" t="s">
        <v>333</v>
      </c>
      <c r="L42" s="83">
        <v>0</v>
      </c>
      <c r="M42" s="82" t="s">
        <v>333</v>
      </c>
      <c r="N42" s="82" t="s">
        <v>202</v>
      </c>
      <c r="O42" s="82" t="s">
        <v>333</v>
      </c>
      <c r="P42" s="82" t="s">
        <v>202</v>
      </c>
      <c r="Q42" s="82" t="s">
        <v>333</v>
      </c>
      <c r="R42" s="82" t="s">
        <v>202</v>
      </c>
      <c r="S42" s="82" t="s">
        <v>333</v>
      </c>
      <c r="T42" s="82" t="s">
        <v>202</v>
      </c>
      <c r="U42" s="82" t="s">
        <v>333</v>
      </c>
      <c r="V42" s="82" t="s">
        <v>202</v>
      </c>
      <c r="W42" s="82" t="s">
        <v>333</v>
      </c>
      <c r="X42" s="81">
        <v>13.845000000000001</v>
      </c>
      <c r="Y42" s="82" t="s">
        <v>333</v>
      </c>
      <c r="Z42" s="81">
        <v>13.845000000000001</v>
      </c>
      <c r="AA42" s="82" t="s">
        <v>333</v>
      </c>
      <c r="AB42" s="81">
        <v>13.743</v>
      </c>
      <c r="AC42" s="82" t="s">
        <v>333</v>
      </c>
      <c r="AD42" s="83">
        <v>0</v>
      </c>
      <c r="AE42" s="82" t="s">
        <v>333</v>
      </c>
      <c r="AF42" s="83">
        <v>0</v>
      </c>
      <c r="AG42" s="82" t="s">
        <v>333</v>
      </c>
      <c r="AH42" s="83">
        <v>0</v>
      </c>
      <c r="AI42" s="82" t="s">
        <v>333</v>
      </c>
      <c r="AJ42" s="83">
        <v>0</v>
      </c>
      <c r="AK42" s="82" t="s">
        <v>333</v>
      </c>
      <c r="AL42" s="83">
        <v>0</v>
      </c>
      <c r="AM42" s="82" t="s">
        <v>333</v>
      </c>
      <c r="AN42" s="83">
        <v>0</v>
      </c>
      <c r="AO42" s="82" t="s">
        <v>333</v>
      </c>
      <c r="AP42" s="83">
        <v>0</v>
      </c>
      <c r="AQ42" s="82" t="s">
        <v>333</v>
      </c>
      <c r="AR42" s="83">
        <v>0</v>
      </c>
      <c r="AS42" s="82" t="s">
        <v>333</v>
      </c>
      <c r="AT42" s="83">
        <v>0</v>
      </c>
      <c r="AU42" s="82" t="s">
        <v>333</v>
      </c>
      <c r="AV42" s="83">
        <v>0</v>
      </c>
      <c r="AW42" s="82" t="s">
        <v>333</v>
      </c>
      <c r="AX42" s="81">
        <v>0.10199999999999999</v>
      </c>
      <c r="AY42" s="82" t="s">
        <v>333</v>
      </c>
      <c r="AZ42" s="81">
        <v>0.10199999999999999</v>
      </c>
      <c r="BA42" s="82" t="s">
        <v>333</v>
      </c>
      <c r="BB42" s="81">
        <v>0.10199999999999999</v>
      </c>
      <c r="BC42" s="82" t="s">
        <v>333</v>
      </c>
      <c r="BD42" s="83">
        <v>0</v>
      </c>
      <c r="BE42" s="82" t="s">
        <v>333</v>
      </c>
      <c r="BF42" s="83">
        <v>0</v>
      </c>
      <c r="BG42" s="82" t="s">
        <v>333</v>
      </c>
      <c r="BH42" s="83">
        <v>0</v>
      </c>
      <c r="BI42" s="82" t="s">
        <v>333</v>
      </c>
      <c r="BJ42" s="83">
        <v>0</v>
      </c>
      <c r="BK42" s="82" t="s">
        <v>333</v>
      </c>
      <c r="BL42" s="83">
        <v>0</v>
      </c>
      <c r="BM42" s="82" t="s">
        <v>333</v>
      </c>
      <c r="BN42" s="83">
        <v>0</v>
      </c>
      <c r="BO42" s="82" t="s">
        <v>333</v>
      </c>
      <c r="BP42" s="83">
        <v>0</v>
      </c>
      <c r="BQ42" s="82" t="s">
        <v>333</v>
      </c>
      <c r="BR42" s="83">
        <v>0</v>
      </c>
      <c r="BS42" s="82" t="s">
        <v>333</v>
      </c>
      <c r="BT42" s="83">
        <v>0</v>
      </c>
      <c r="BU42" s="82" t="s">
        <v>333</v>
      </c>
      <c r="BV42" s="83">
        <v>0</v>
      </c>
      <c r="BW42" s="82" t="s">
        <v>333</v>
      </c>
      <c r="BX42" s="83">
        <v>0</v>
      </c>
      <c r="BY42" s="82" t="s">
        <v>333</v>
      </c>
      <c r="BZ42" s="83">
        <v>0</v>
      </c>
      <c r="CA42" s="82" t="s">
        <v>333</v>
      </c>
      <c r="CB42" s="83">
        <v>0</v>
      </c>
      <c r="CC42" s="82" t="s">
        <v>333</v>
      </c>
    </row>
    <row r="43" spans="1:81" x14ac:dyDescent="0.2">
      <c r="A43" s="10" t="s">
        <v>497</v>
      </c>
      <c r="B43" s="20">
        <v>0</v>
      </c>
      <c r="C43" s="12" t="s">
        <v>333</v>
      </c>
      <c r="D43" s="20">
        <v>0</v>
      </c>
      <c r="E43" s="12" t="s">
        <v>333</v>
      </c>
      <c r="F43" s="20">
        <v>0</v>
      </c>
      <c r="G43" s="12" t="s">
        <v>333</v>
      </c>
      <c r="H43" s="20">
        <v>0</v>
      </c>
      <c r="I43" s="12" t="s">
        <v>333</v>
      </c>
      <c r="J43" s="20">
        <v>0</v>
      </c>
      <c r="K43" s="12" t="s">
        <v>333</v>
      </c>
      <c r="L43" s="20">
        <v>0</v>
      </c>
      <c r="M43" s="12" t="s">
        <v>333</v>
      </c>
      <c r="N43" s="12" t="s">
        <v>202</v>
      </c>
      <c r="O43" s="12" t="s">
        <v>333</v>
      </c>
      <c r="P43" s="12" t="s">
        <v>202</v>
      </c>
      <c r="Q43" s="12" t="s">
        <v>333</v>
      </c>
      <c r="R43" s="12" t="s">
        <v>202</v>
      </c>
      <c r="S43" s="12" t="s">
        <v>333</v>
      </c>
      <c r="T43" s="12" t="s">
        <v>202</v>
      </c>
      <c r="U43" s="12" t="s">
        <v>333</v>
      </c>
      <c r="V43" s="12" t="s">
        <v>202</v>
      </c>
      <c r="W43" s="12" t="s">
        <v>333</v>
      </c>
      <c r="X43" s="20">
        <v>0</v>
      </c>
      <c r="Y43" s="12" t="s">
        <v>333</v>
      </c>
      <c r="Z43" s="20">
        <v>0</v>
      </c>
      <c r="AA43" s="12" t="s">
        <v>333</v>
      </c>
      <c r="AB43" s="20">
        <v>0</v>
      </c>
      <c r="AC43" s="12" t="s">
        <v>333</v>
      </c>
      <c r="AD43" s="20">
        <v>0</v>
      </c>
      <c r="AE43" s="12" t="s">
        <v>333</v>
      </c>
      <c r="AF43" s="20">
        <v>0</v>
      </c>
      <c r="AG43" s="12" t="s">
        <v>333</v>
      </c>
      <c r="AH43" s="20">
        <v>0</v>
      </c>
      <c r="AI43" s="12" t="s">
        <v>333</v>
      </c>
      <c r="AJ43" s="20">
        <v>0</v>
      </c>
      <c r="AK43" s="12" t="s">
        <v>333</v>
      </c>
      <c r="AL43" s="20">
        <v>0</v>
      </c>
      <c r="AM43" s="12" t="s">
        <v>333</v>
      </c>
      <c r="AN43" s="20">
        <v>0</v>
      </c>
      <c r="AO43" s="12" t="s">
        <v>333</v>
      </c>
      <c r="AP43" s="20">
        <v>0</v>
      </c>
      <c r="AQ43" s="12" t="s">
        <v>333</v>
      </c>
      <c r="AR43" s="20">
        <v>0</v>
      </c>
      <c r="AS43" s="12" t="s">
        <v>333</v>
      </c>
      <c r="AT43" s="20">
        <v>0</v>
      </c>
      <c r="AU43" s="12" t="s">
        <v>333</v>
      </c>
      <c r="AV43" s="20">
        <v>0</v>
      </c>
      <c r="AW43" s="12" t="s">
        <v>333</v>
      </c>
      <c r="AX43" s="20">
        <v>0</v>
      </c>
      <c r="AY43" s="12" t="s">
        <v>333</v>
      </c>
      <c r="AZ43" s="20">
        <v>0</v>
      </c>
      <c r="BA43" s="12" t="s">
        <v>333</v>
      </c>
      <c r="BB43" s="20">
        <v>0</v>
      </c>
      <c r="BC43" s="12" t="s">
        <v>333</v>
      </c>
      <c r="BD43" s="20">
        <v>0</v>
      </c>
      <c r="BE43" s="12" t="s">
        <v>333</v>
      </c>
      <c r="BF43" s="20">
        <v>0</v>
      </c>
      <c r="BG43" s="12" t="s">
        <v>333</v>
      </c>
      <c r="BH43" s="20">
        <v>0</v>
      </c>
      <c r="BI43" s="12" t="s">
        <v>333</v>
      </c>
      <c r="BJ43" s="20">
        <v>0</v>
      </c>
      <c r="BK43" s="12" t="s">
        <v>333</v>
      </c>
      <c r="BL43" s="20">
        <v>0</v>
      </c>
      <c r="BM43" s="12" t="s">
        <v>333</v>
      </c>
      <c r="BN43" s="20">
        <v>0</v>
      </c>
      <c r="BO43" s="12" t="s">
        <v>333</v>
      </c>
      <c r="BP43" s="20">
        <v>0</v>
      </c>
      <c r="BQ43" s="12" t="s">
        <v>333</v>
      </c>
      <c r="BR43" s="20">
        <v>0</v>
      </c>
      <c r="BS43" s="12" t="s">
        <v>333</v>
      </c>
      <c r="BT43" s="20">
        <v>0</v>
      </c>
      <c r="BU43" s="12" t="s">
        <v>333</v>
      </c>
      <c r="BV43" s="20">
        <v>0</v>
      </c>
      <c r="BW43" s="12" t="s">
        <v>333</v>
      </c>
      <c r="BX43" s="20">
        <v>0</v>
      </c>
      <c r="BY43" s="12" t="s">
        <v>333</v>
      </c>
      <c r="BZ43" s="20">
        <v>0</v>
      </c>
      <c r="CA43" s="12" t="s">
        <v>333</v>
      </c>
      <c r="CB43" s="20">
        <v>0</v>
      </c>
      <c r="CC43" s="12" t="s">
        <v>333</v>
      </c>
    </row>
    <row r="44" spans="1:81" x14ac:dyDescent="0.2">
      <c r="A44" s="10" t="s">
        <v>498</v>
      </c>
      <c r="B44" s="81">
        <v>296.79500000000002</v>
      </c>
      <c r="C44" s="82" t="s">
        <v>333</v>
      </c>
      <c r="D44" s="81">
        <v>296.79500000000002</v>
      </c>
      <c r="E44" s="82" t="s">
        <v>333</v>
      </c>
      <c r="F44" s="83">
        <v>0</v>
      </c>
      <c r="G44" s="82" t="s">
        <v>333</v>
      </c>
      <c r="H44" s="83">
        <v>0</v>
      </c>
      <c r="I44" s="82" t="s">
        <v>333</v>
      </c>
      <c r="J44" s="83">
        <v>0</v>
      </c>
      <c r="K44" s="82" t="s">
        <v>333</v>
      </c>
      <c r="L44" s="83">
        <v>0</v>
      </c>
      <c r="M44" s="82" t="s">
        <v>333</v>
      </c>
      <c r="N44" s="82" t="s">
        <v>202</v>
      </c>
      <c r="O44" s="82" t="s">
        <v>333</v>
      </c>
      <c r="P44" s="82" t="s">
        <v>202</v>
      </c>
      <c r="Q44" s="82" t="s">
        <v>333</v>
      </c>
      <c r="R44" s="82" t="s">
        <v>202</v>
      </c>
      <c r="S44" s="82" t="s">
        <v>333</v>
      </c>
      <c r="T44" s="82" t="s">
        <v>202</v>
      </c>
      <c r="U44" s="82" t="s">
        <v>333</v>
      </c>
      <c r="V44" s="82" t="s">
        <v>202</v>
      </c>
      <c r="W44" s="82" t="s">
        <v>333</v>
      </c>
      <c r="X44" s="81">
        <v>296.79500000000002</v>
      </c>
      <c r="Y44" s="82" t="s">
        <v>333</v>
      </c>
      <c r="Z44" s="81">
        <v>296.79500000000002</v>
      </c>
      <c r="AA44" s="82" t="s">
        <v>333</v>
      </c>
      <c r="AB44" s="81">
        <v>293.32799999999997</v>
      </c>
      <c r="AC44" s="82" t="s">
        <v>333</v>
      </c>
      <c r="AD44" s="83">
        <v>0</v>
      </c>
      <c r="AE44" s="82" t="s">
        <v>333</v>
      </c>
      <c r="AF44" s="83">
        <v>0</v>
      </c>
      <c r="AG44" s="82" t="s">
        <v>333</v>
      </c>
      <c r="AH44" s="83">
        <v>0</v>
      </c>
      <c r="AI44" s="82" t="s">
        <v>333</v>
      </c>
      <c r="AJ44" s="83">
        <v>0</v>
      </c>
      <c r="AK44" s="82" t="s">
        <v>333</v>
      </c>
      <c r="AL44" s="83">
        <v>0</v>
      </c>
      <c r="AM44" s="82" t="s">
        <v>333</v>
      </c>
      <c r="AN44" s="83">
        <v>0</v>
      </c>
      <c r="AO44" s="82" t="s">
        <v>333</v>
      </c>
      <c r="AP44" s="83">
        <v>0</v>
      </c>
      <c r="AQ44" s="82" t="s">
        <v>333</v>
      </c>
      <c r="AR44" s="83">
        <v>0</v>
      </c>
      <c r="AS44" s="82" t="s">
        <v>333</v>
      </c>
      <c r="AT44" s="83">
        <v>0</v>
      </c>
      <c r="AU44" s="82" t="s">
        <v>333</v>
      </c>
      <c r="AV44" s="83">
        <v>0</v>
      </c>
      <c r="AW44" s="82" t="s">
        <v>333</v>
      </c>
      <c r="AX44" s="81">
        <v>3.4670000000000001</v>
      </c>
      <c r="AY44" s="82" t="s">
        <v>333</v>
      </c>
      <c r="AZ44" s="81">
        <v>3.4670000000000001</v>
      </c>
      <c r="BA44" s="82" t="s">
        <v>333</v>
      </c>
      <c r="BB44" s="81">
        <v>3.4670000000000001</v>
      </c>
      <c r="BC44" s="82" t="s">
        <v>333</v>
      </c>
      <c r="BD44" s="83">
        <v>0</v>
      </c>
      <c r="BE44" s="82" t="s">
        <v>333</v>
      </c>
      <c r="BF44" s="83">
        <v>0</v>
      </c>
      <c r="BG44" s="82" t="s">
        <v>333</v>
      </c>
      <c r="BH44" s="83">
        <v>0</v>
      </c>
      <c r="BI44" s="82" t="s">
        <v>333</v>
      </c>
      <c r="BJ44" s="83">
        <v>0</v>
      </c>
      <c r="BK44" s="82" t="s">
        <v>333</v>
      </c>
      <c r="BL44" s="83">
        <v>0</v>
      </c>
      <c r="BM44" s="82" t="s">
        <v>333</v>
      </c>
      <c r="BN44" s="83">
        <v>0</v>
      </c>
      <c r="BO44" s="82" t="s">
        <v>333</v>
      </c>
      <c r="BP44" s="83">
        <v>0</v>
      </c>
      <c r="BQ44" s="82" t="s">
        <v>333</v>
      </c>
      <c r="BR44" s="83">
        <v>0</v>
      </c>
      <c r="BS44" s="82" t="s">
        <v>333</v>
      </c>
      <c r="BT44" s="83">
        <v>0</v>
      </c>
      <c r="BU44" s="82" t="s">
        <v>333</v>
      </c>
      <c r="BV44" s="83">
        <v>0</v>
      </c>
      <c r="BW44" s="82" t="s">
        <v>333</v>
      </c>
      <c r="BX44" s="83">
        <v>0</v>
      </c>
      <c r="BY44" s="82" t="s">
        <v>333</v>
      </c>
      <c r="BZ44" s="83">
        <v>0</v>
      </c>
      <c r="CA44" s="82" t="s">
        <v>333</v>
      </c>
      <c r="CB44" s="83">
        <v>0</v>
      </c>
      <c r="CC44" s="82" t="s">
        <v>333</v>
      </c>
    </row>
    <row r="45" spans="1:81" x14ac:dyDescent="0.2">
      <c r="A45" s="10" t="s">
        <v>210</v>
      </c>
      <c r="B45" s="11">
        <v>296.79500000000002</v>
      </c>
      <c r="C45" s="12" t="s">
        <v>333</v>
      </c>
      <c r="D45" s="11">
        <v>296.79500000000002</v>
      </c>
      <c r="E45" s="12" t="s">
        <v>333</v>
      </c>
      <c r="F45" s="20">
        <v>0</v>
      </c>
      <c r="G45" s="12" t="s">
        <v>333</v>
      </c>
      <c r="H45" s="20">
        <v>0</v>
      </c>
      <c r="I45" s="12" t="s">
        <v>333</v>
      </c>
      <c r="J45" s="20">
        <v>0</v>
      </c>
      <c r="K45" s="12" t="s">
        <v>333</v>
      </c>
      <c r="L45" s="20">
        <v>0</v>
      </c>
      <c r="M45" s="12" t="s">
        <v>333</v>
      </c>
      <c r="N45" s="12" t="s">
        <v>202</v>
      </c>
      <c r="O45" s="12" t="s">
        <v>333</v>
      </c>
      <c r="P45" s="12" t="s">
        <v>202</v>
      </c>
      <c r="Q45" s="12" t="s">
        <v>333</v>
      </c>
      <c r="R45" s="12" t="s">
        <v>202</v>
      </c>
      <c r="S45" s="12" t="s">
        <v>333</v>
      </c>
      <c r="T45" s="12" t="s">
        <v>202</v>
      </c>
      <c r="U45" s="12" t="s">
        <v>333</v>
      </c>
      <c r="V45" s="12" t="s">
        <v>202</v>
      </c>
      <c r="W45" s="12" t="s">
        <v>333</v>
      </c>
      <c r="X45" s="11">
        <v>296.79500000000002</v>
      </c>
      <c r="Y45" s="12" t="s">
        <v>333</v>
      </c>
      <c r="Z45" s="11">
        <v>296.79500000000002</v>
      </c>
      <c r="AA45" s="12" t="s">
        <v>333</v>
      </c>
      <c r="AB45" s="11">
        <v>293.32799999999997</v>
      </c>
      <c r="AC45" s="12" t="s">
        <v>333</v>
      </c>
      <c r="AD45" s="20">
        <v>0</v>
      </c>
      <c r="AE45" s="12" t="s">
        <v>333</v>
      </c>
      <c r="AF45" s="20">
        <v>0</v>
      </c>
      <c r="AG45" s="12" t="s">
        <v>333</v>
      </c>
      <c r="AH45" s="20">
        <v>0</v>
      </c>
      <c r="AI45" s="12" t="s">
        <v>333</v>
      </c>
      <c r="AJ45" s="20">
        <v>0</v>
      </c>
      <c r="AK45" s="12" t="s">
        <v>333</v>
      </c>
      <c r="AL45" s="20">
        <v>0</v>
      </c>
      <c r="AM45" s="12" t="s">
        <v>333</v>
      </c>
      <c r="AN45" s="20">
        <v>0</v>
      </c>
      <c r="AO45" s="12" t="s">
        <v>333</v>
      </c>
      <c r="AP45" s="20">
        <v>0</v>
      </c>
      <c r="AQ45" s="12" t="s">
        <v>333</v>
      </c>
      <c r="AR45" s="20">
        <v>0</v>
      </c>
      <c r="AS45" s="12" t="s">
        <v>333</v>
      </c>
      <c r="AT45" s="20">
        <v>0</v>
      </c>
      <c r="AU45" s="12" t="s">
        <v>333</v>
      </c>
      <c r="AV45" s="20">
        <v>0</v>
      </c>
      <c r="AW45" s="12" t="s">
        <v>333</v>
      </c>
      <c r="AX45" s="11">
        <v>3.4670000000000001</v>
      </c>
      <c r="AY45" s="12" t="s">
        <v>333</v>
      </c>
      <c r="AZ45" s="11">
        <v>3.4670000000000001</v>
      </c>
      <c r="BA45" s="12" t="s">
        <v>333</v>
      </c>
      <c r="BB45" s="11">
        <v>3.4670000000000001</v>
      </c>
      <c r="BC45" s="12" t="s">
        <v>333</v>
      </c>
      <c r="BD45" s="20">
        <v>0</v>
      </c>
      <c r="BE45" s="12" t="s">
        <v>333</v>
      </c>
      <c r="BF45" s="20">
        <v>0</v>
      </c>
      <c r="BG45" s="12" t="s">
        <v>333</v>
      </c>
      <c r="BH45" s="20">
        <v>0</v>
      </c>
      <c r="BI45" s="12" t="s">
        <v>333</v>
      </c>
      <c r="BJ45" s="20">
        <v>0</v>
      </c>
      <c r="BK45" s="12" t="s">
        <v>333</v>
      </c>
      <c r="BL45" s="20">
        <v>0</v>
      </c>
      <c r="BM45" s="12" t="s">
        <v>333</v>
      </c>
      <c r="BN45" s="20">
        <v>0</v>
      </c>
      <c r="BO45" s="12" t="s">
        <v>333</v>
      </c>
      <c r="BP45" s="20">
        <v>0</v>
      </c>
      <c r="BQ45" s="12" t="s">
        <v>333</v>
      </c>
      <c r="BR45" s="20">
        <v>0</v>
      </c>
      <c r="BS45" s="12" t="s">
        <v>333</v>
      </c>
      <c r="BT45" s="20">
        <v>0</v>
      </c>
      <c r="BU45" s="12" t="s">
        <v>333</v>
      </c>
      <c r="BV45" s="20">
        <v>0</v>
      </c>
      <c r="BW45" s="12" t="s">
        <v>333</v>
      </c>
      <c r="BX45" s="20">
        <v>0</v>
      </c>
      <c r="BY45" s="12" t="s">
        <v>333</v>
      </c>
      <c r="BZ45" s="20">
        <v>0</v>
      </c>
      <c r="CA45" s="12" t="s">
        <v>333</v>
      </c>
      <c r="CB45" s="20">
        <v>0</v>
      </c>
      <c r="CC45" s="12" t="s">
        <v>333</v>
      </c>
    </row>
    <row r="46" spans="1:81" x14ac:dyDescent="0.2">
      <c r="A46" s="10" t="s">
        <v>499</v>
      </c>
      <c r="B46" s="83">
        <v>0</v>
      </c>
      <c r="C46" s="82" t="s">
        <v>333</v>
      </c>
      <c r="D46" s="83">
        <v>0</v>
      </c>
      <c r="E46" s="82" t="s">
        <v>333</v>
      </c>
      <c r="F46" s="83">
        <v>0</v>
      </c>
      <c r="G46" s="82" t="s">
        <v>333</v>
      </c>
      <c r="H46" s="83">
        <v>0</v>
      </c>
      <c r="I46" s="82" t="s">
        <v>333</v>
      </c>
      <c r="J46" s="83">
        <v>0</v>
      </c>
      <c r="K46" s="82" t="s">
        <v>333</v>
      </c>
      <c r="L46" s="83">
        <v>0</v>
      </c>
      <c r="M46" s="82" t="s">
        <v>333</v>
      </c>
      <c r="N46" s="82" t="s">
        <v>202</v>
      </c>
      <c r="O46" s="82" t="s">
        <v>333</v>
      </c>
      <c r="P46" s="82" t="s">
        <v>202</v>
      </c>
      <c r="Q46" s="82" t="s">
        <v>333</v>
      </c>
      <c r="R46" s="82" t="s">
        <v>202</v>
      </c>
      <c r="S46" s="82" t="s">
        <v>333</v>
      </c>
      <c r="T46" s="82" t="s">
        <v>202</v>
      </c>
      <c r="U46" s="82" t="s">
        <v>333</v>
      </c>
      <c r="V46" s="82" t="s">
        <v>202</v>
      </c>
      <c r="W46" s="82" t="s">
        <v>333</v>
      </c>
      <c r="X46" s="83">
        <v>0</v>
      </c>
      <c r="Y46" s="82" t="s">
        <v>333</v>
      </c>
      <c r="Z46" s="83">
        <v>0</v>
      </c>
      <c r="AA46" s="82" t="s">
        <v>333</v>
      </c>
      <c r="AB46" s="83">
        <v>0</v>
      </c>
      <c r="AC46" s="82" t="s">
        <v>333</v>
      </c>
      <c r="AD46" s="83">
        <v>0</v>
      </c>
      <c r="AE46" s="82" t="s">
        <v>333</v>
      </c>
      <c r="AF46" s="83">
        <v>0</v>
      </c>
      <c r="AG46" s="82" t="s">
        <v>333</v>
      </c>
      <c r="AH46" s="83">
        <v>0</v>
      </c>
      <c r="AI46" s="82" t="s">
        <v>333</v>
      </c>
      <c r="AJ46" s="83">
        <v>0</v>
      </c>
      <c r="AK46" s="82" t="s">
        <v>333</v>
      </c>
      <c r="AL46" s="83">
        <v>0</v>
      </c>
      <c r="AM46" s="82" t="s">
        <v>333</v>
      </c>
      <c r="AN46" s="83">
        <v>0</v>
      </c>
      <c r="AO46" s="82" t="s">
        <v>333</v>
      </c>
      <c r="AP46" s="83">
        <v>0</v>
      </c>
      <c r="AQ46" s="82" t="s">
        <v>333</v>
      </c>
      <c r="AR46" s="83">
        <v>0</v>
      </c>
      <c r="AS46" s="82" t="s">
        <v>333</v>
      </c>
      <c r="AT46" s="83">
        <v>0</v>
      </c>
      <c r="AU46" s="82" t="s">
        <v>333</v>
      </c>
      <c r="AV46" s="83">
        <v>0</v>
      </c>
      <c r="AW46" s="82" t="s">
        <v>333</v>
      </c>
      <c r="AX46" s="83">
        <v>0</v>
      </c>
      <c r="AY46" s="82" t="s">
        <v>333</v>
      </c>
      <c r="AZ46" s="83">
        <v>0</v>
      </c>
      <c r="BA46" s="82" t="s">
        <v>333</v>
      </c>
      <c r="BB46" s="83">
        <v>0</v>
      </c>
      <c r="BC46" s="82" t="s">
        <v>333</v>
      </c>
      <c r="BD46" s="83">
        <v>0</v>
      </c>
      <c r="BE46" s="82" t="s">
        <v>333</v>
      </c>
      <c r="BF46" s="83">
        <v>0</v>
      </c>
      <c r="BG46" s="82" t="s">
        <v>333</v>
      </c>
      <c r="BH46" s="83">
        <v>0</v>
      </c>
      <c r="BI46" s="82" t="s">
        <v>333</v>
      </c>
      <c r="BJ46" s="83">
        <v>0</v>
      </c>
      <c r="BK46" s="82" t="s">
        <v>333</v>
      </c>
      <c r="BL46" s="83">
        <v>0</v>
      </c>
      <c r="BM46" s="82" t="s">
        <v>333</v>
      </c>
      <c r="BN46" s="83">
        <v>0</v>
      </c>
      <c r="BO46" s="82" t="s">
        <v>333</v>
      </c>
      <c r="BP46" s="83">
        <v>0</v>
      </c>
      <c r="BQ46" s="82" t="s">
        <v>333</v>
      </c>
      <c r="BR46" s="83">
        <v>0</v>
      </c>
      <c r="BS46" s="82" t="s">
        <v>333</v>
      </c>
      <c r="BT46" s="83">
        <v>0</v>
      </c>
      <c r="BU46" s="82" t="s">
        <v>333</v>
      </c>
      <c r="BV46" s="83">
        <v>0</v>
      </c>
      <c r="BW46" s="82" t="s">
        <v>333</v>
      </c>
      <c r="BX46" s="83">
        <v>0</v>
      </c>
      <c r="BY46" s="82" t="s">
        <v>333</v>
      </c>
      <c r="BZ46" s="83">
        <v>0</v>
      </c>
      <c r="CA46" s="82" t="s">
        <v>333</v>
      </c>
      <c r="CB46" s="83">
        <v>0</v>
      </c>
      <c r="CC46" s="82" t="s">
        <v>333</v>
      </c>
    </row>
    <row r="47" spans="1:81" x14ac:dyDescent="0.2">
      <c r="A47" s="10" t="s">
        <v>500</v>
      </c>
      <c r="B47" s="11">
        <v>16.831</v>
      </c>
      <c r="C47" s="12" t="s">
        <v>333</v>
      </c>
      <c r="D47" s="11">
        <v>16.831</v>
      </c>
      <c r="E47" s="12" t="s">
        <v>333</v>
      </c>
      <c r="F47" s="20">
        <v>0</v>
      </c>
      <c r="G47" s="12" t="s">
        <v>333</v>
      </c>
      <c r="H47" s="20">
        <v>0</v>
      </c>
      <c r="I47" s="12" t="s">
        <v>333</v>
      </c>
      <c r="J47" s="20">
        <v>0</v>
      </c>
      <c r="K47" s="12" t="s">
        <v>333</v>
      </c>
      <c r="L47" s="20">
        <v>0</v>
      </c>
      <c r="M47" s="12" t="s">
        <v>333</v>
      </c>
      <c r="N47" s="12" t="s">
        <v>202</v>
      </c>
      <c r="O47" s="12" t="s">
        <v>333</v>
      </c>
      <c r="P47" s="12" t="s">
        <v>202</v>
      </c>
      <c r="Q47" s="12" t="s">
        <v>333</v>
      </c>
      <c r="R47" s="12" t="s">
        <v>202</v>
      </c>
      <c r="S47" s="12" t="s">
        <v>333</v>
      </c>
      <c r="T47" s="12" t="s">
        <v>202</v>
      </c>
      <c r="U47" s="12" t="s">
        <v>333</v>
      </c>
      <c r="V47" s="12" t="s">
        <v>202</v>
      </c>
      <c r="W47" s="12" t="s">
        <v>333</v>
      </c>
      <c r="X47" s="11">
        <v>16.831</v>
      </c>
      <c r="Y47" s="12" t="s">
        <v>333</v>
      </c>
      <c r="Z47" s="11">
        <v>16.831</v>
      </c>
      <c r="AA47" s="12" t="s">
        <v>333</v>
      </c>
      <c r="AB47" s="11">
        <v>16.831</v>
      </c>
      <c r="AC47" s="12" t="s">
        <v>333</v>
      </c>
      <c r="AD47" s="20">
        <v>0</v>
      </c>
      <c r="AE47" s="12" t="s">
        <v>333</v>
      </c>
      <c r="AF47" s="20">
        <v>0</v>
      </c>
      <c r="AG47" s="12" t="s">
        <v>333</v>
      </c>
      <c r="AH47" s="20">
        <v>0</v>
      </c>
      <c r="AI47" s="12" t="s">
        <v>333</v>
      </c>
      <c r="AJ47" s="20">
        <v>0</v>
      </c>
      <c r="AK47" s="12" t="s">
        <v>333</v>
      </c>
      <c r="AL47" s="20">
        <v>0</v>
      </c>
      <c r="AM47" s="12" t="s">
        <v>333</v>
      </c>
      <c r="AN47" s="20">
        <v>0</v>
      </c>
      <c r="AO47" s="12" t="s">
        <v>333</v>
      </c>
      <c r="AP47" s="20">
        <v>0</v>
      </c>
      <c r="AQ47" s="12" t="s">
        <v>333</v>
      </c>
      <c r="AR47" s="20">
        <v>0</v>
      </c>
      <c r="AS47" s="12" t="s">
        <v>333</v>
      </c>
      <c r="AT47" s="20">
        <v>0</v>
      </c>
      <c r="AU47" s="12" t="s">
        <v>333</v>
      </c>
      <c r="AV47" s="20">
        <v>0</v>
      </c>
      <c r="AW47" s="12" t="s">
        <v>333</v>
      </c>
      <c r="AX47" s="20">
        <v>0</v>
      </c>
      <c r="AY47" s="12" t="s">
        <v>333</v>
      </c>
      <c r="AZ47" s="20">
        <v>0</v>
      </c>
      <c r="BA47" s="12" t="s">
        <v>333</v>
      </c>
      <c r="BB47" s="20">
        <v>0</v>
      </c>
      <c r="BC47" s="12" t="s">
        <v>333</v>
      </c>
      <c r="BD47" s="20">
        <v>0</v>
      </c>
      <c r="BE47" s="12" t="s">
        <v>333</v>
      </c>
      <c r="BF47" s="20">
        <v>0</v>
      </c>
      <c r="BG47" s="12" t="s">
        <v>333</v>
      </c>
      <c r="BH47" s="20">
        <v>0</v>
      </c>
      <c r="BI47" s="12" t="s">
        <v>333</v>
      </c>
      <c r="BJ47" s="20">
        <v>0</v>
      </c>
      <c r="BK47" s="12" t="s">
        <v>333</v>
      </c>
      <c r="BL47" s="20">
        <v>0</v>
      </c>
      <c r="BM47" s="12" t="s">
        <v>333</v>
      </c>
      <c r="BN47" s="20">
        <v>0</v>
      </c>
      <c r="BO47" s="12" t="s">
        <v>333</v>
      </c>
      <c r="BP47" s="20">
        <v>0</v>
      </c>
      <c r="BQ47" s="12" t="s">
        <v>333</v>
      </c>
      <c r="BR47" s="20">
        <v>0</v>
      </c>
      <c r="BS47" s="12" t="s">
        <v>333</v>
      </c>
      <c r="BT47" s="20">
        <v>0</v>
      </c>
      <c r="BU47" s="12" t="s">
        <v>333</v>
      </c>
      <c r="BV47" s="20">
        <v>0</v>
      </c>
      <c r="BW47" s="12" t="s">
        <v>333</v>
      </c>
      <c r="BX47" s="20">
        <v>0</v>
      </c>
      <c r="BY47" s="12" t="s">
        <v>333</v>
      </c>
      <c r="BZ47" s="20">
        <v>0</v>
      </c>
      <c r="CA47" s="12" t="s">
        <v>333</v>
      </c>
      <c r="CB47" s="20">
        <v>0</v>
      </c>
      <c r="CC47" s="12" t="s">
        <v>333</v>
      </c>
    </row>
    <row r="48" spans="1:81" x14ac:dyDescent="0.2">
      <c r="A48" s="10" t="s">
        <v>211</v>
      </c>
      <c r="B48" s="81">
        <v>16.831</v>
      </c>
      <c r="C48" s="82" t="s">
        <v>333</v>
      </c>
      <c r="D48" s="81">
        <v>16.831</v>
      </c>
      <c r="E48" s="82" t="s">
        <v>333</v>
      </c>
      <c r="F48" s="83">
        <v>0</v>
      </c>
      <c r="G48" s="82" t="s">
        <v>333</v>
      </c>
      <c r="H48" s="83">
        <v>0</v>
      </c>
      <c r="I48" s="82" t="s">
        <v>333</v>
      </c>
      <c r="J48" s="83">
        <v>0</v>
      </c>
      <c r="K48" s="82" t="s">
        <v>333</v>
      </c>
      <c r="L48" s="83">
        <v>0</v>
      </c>
      <c r="M48" s="82" t="s">
        <v>333</v>
      </c>
      <c r="N48" s="82" t="s">
        <v>202</v>
      </c>
      <c r="O48" s="82" t="s">
        <v>333</v>
      </c>
      <c r="P48" s="82" t="s">
        <v>202</v>
      </c>
      <c r="Q48" s="82" t="s">
        <v>333</v>
      </c>
      <c r="R48" s="82" t="s">
        <v>202</v>
      </c>
      <c r="S48" s="82" t="s">
        <v>333</v>
      </c>
      <c r="T48" s="82" t="s">
        <v>202</v>
      </c>
      <c r="U48" s="82" t="s">
        <v>333</v>
      </c>
      <c r="V48" s="82" t="s">
        <v>202</v>
      </c>
      <c r="W48" s="82" t="s">
        <v>333</v>
      </c>
      <c r="X48" s="81">
        <v>16.831</v>
      </c>
      <c r="Y48" s="82" t="s">
        <v>333</v>
      </c>
      <c r="Z48" s="81">
        <v>16.831</v>
      </c>
      <c r="AA48" s="82" t="s">
        <v>333</v>
      </c>
      <c r="AB48" s="81">
        <v>16.831</v>
      </c>
      <c r="AC48" s="82" t="s">
        <v>333</v>
      </c>
      <c r="AD48" s="83">
        <v>0</v>
      </c>
      <c r="AE48" s="82" t="s">
        <v>333</v>
      </c>
      <c r="AF48" s="83">
        <v>0</v>
      </c>
      <c r="AG48" s="82" t="s">
        <v>333</v>
      </c>
      <c r="AH48" s="83">
        <v>0</v>
      </c>
      <c r="AI48" s="82" t="s">
        <v>333</v>
      </c>
      <c r="AJ48" s="83">
        <v>0</v>
      </c>
      <c r="AK48" s="82" t="s">
        <v>333</v>
      </c>
      <c r="AL48" s="83">
        <v>0</v>
      </c>
      <c r="AM48" s="82" t="s">
        <v>333</v>
      </c>
      <c r="AN48" s="83">
        <v>0</v>
      </c>
      <c r="AO48" s="82" t="s">
        <v>333</v>
      </c>
      <c r="AP48" s="83">
        <v>0</v>
      </c>
      <c r="AQ48" s="82" t="s">
        <v>333</v>
      </c>
      <c r="AR48" s="83">
        <v>0</v>
      </c>
      <c r="AS48" s="82" t="s">
        <v>333</v>
      </c>
      <c r="AT48" s="83">
        <v>0</v>
      </c>
      <c r="AU48" s="82" t="s">
        <v>333</v>
      </c>
      <c r="AV48" s="83">
        <v>0</v>
      </c>
      <c r="AW48" s="82" t="s">
        <v>333</v>
      </c>
      <c r="AX48" s="83">
        <v>0</v>
      </c>
      <c r="AY48" s="82" t="s">
        <v>333</v>
      </c>
      <c r="AZ48" s="83">
        <v>0</v>
      </c>
      <c r="BA48" s="82" t="s">
        <v>333</v>
      </c>
      <c r="BB48" s="83">
        <v>0</v>
      </c>
      <c r="BC48" s="82" t="s">
        <v>333</v>
      </c>
      <c r="BD48" s="83">
        <v>0</v>
      </c>
      <c r="BE48" s="82" t="s">
        <v>333</v>
      </c>
      <c r="BF48" s="83">
        <v>0</v>
      </c>
      <c r="BG48" s="82" t="s">
        <v>333</v>
      </c>
      <c r="BH48" s="83">
        <v>0</v>
      </c>
      <c r="BI48" s="82" t="s">
        <v>333</v>
      </c>
      <c r="BJ48" s="83">
        <v>0</v>
      </c>
      <c r="BK48" s="82" t="s">
        <v>333</v>
      </c>
      <c r="BL48" s="83">
        <v>0</v>
      </c>
      <c r="BM48" s="82" t="s">
        <v>333</v>
      </c>
      <c r="BN48" s="83">
        <v>0</v>
      </c>
      <c r="BO48" s="82" t="s">
        <v>333</v>
      </c>
      <c r="BP48" s="83">
        <v>0</v>
      </c>
      <c r="BQ48" s="82" t="s">
        <v>333</v>
      </c>
      <c r="BR48" s="83">
        <v>0</v>
      </c>
      <c r="BS48" s="82" t="s">
        <v>333</v>
      </c>
      <c r="BT48" s="83">
        <v>0</v>
      </c>
      <c r="BU48" s="82" t="s">
        <v>333</v>
      </c>
      <c r="BV48" s="83">
        <v>0</v>
      </c>
      <c r="BW48" s="82" t="s">
        <v>333</v>
      </c>
      <c r="BX48" s="83">
        <v>0</v>
      </c>
      <c r="BY48" s="82" t="s">
        <v>333</v>
      </c>
      <c r="BZ48" s="83">
        <v>0</v>
      </c>
      <c r="CA48" s="82" t="s">
        <v>333</v>
      </c>
      <c r="CB48" s="83">
        <v>0</v>
      </c>
      <c r="CC48" s="82" t="s">
        <v>333</v>
      </c>
    </row>
    <row r="49" spans="1:81" x14ac:dyDescent="0.2">
      <c r="A49" s="10" t="s">
        <v>501</v>
      </c>
      <c r="B49" s="20">
        <v>0</v>
      </c>
      <c r="C49" s="12" t="s">
        <v>333</v>
      </c>
      <c r="D49" s="20">
        <v>0</v>
      </c>
      <c r="E49" s="12" t="s">
        <v>333</v>
      </c>
      <c r="F49" s="20">
        <v>0</v>
      </c>
      <c r="G49" s="12" t="s">
        <v>333</v>
      </c>
      <c r="H49" s="20">
        <v>0</v>
      </c>
      <c r="I49" s="12" t="s">
        <v>333</v>
      </c>
      <c r="J49" s="20">
        <v>0</v>
      </c>
      <c r="K49" s="12" t="s">
        <v>333</v>
      </c>
      <c r="L49" s="20">
        <v>0</v>
      </c>
      <c r="M49" s="12" t="s">
        <v>333</v>
      </c>
      <c r="N49" s="12" t="s">
        <v>202</v>
      </c>
      <c r="O49" s="12" t="s">
        <v>333</v>
      </c>
      <c r="P49" s="12" t="s">
        <v>202</v>
      </c>
      <c r="Q49" s="12" t="s">
        <v>333</v>
      </c>
      <c r="R49" s="12" t="s">
        <v>202</v>
      </c>
      <c r="S49" s="12" t="s">
        <v>333</v>
      </c>
      <c r="T49" s="12" t="s">
        <v>202</v>
      </c>
      <c r="U49" s="12" t="s">
        <v>333</v>
      </c>
      <c r="V49" s="12" t="s">
        <v>202</v>
      </c>
      <c r="W49" s="12" t="s">
        <v>333</v>
      </c>
      <c r="X49" s="20">
        <v>0</v>
      </c>
      <c r="Y49" s="12" t="s">
        <v>333</v>
      </c>
      <c r="Z49" s="20">
        <v>0</v>
      </c>
      <c r="AA49" s="12" t="s">
        <v>333</v>
      </c>
      <c r="AB49" s="20">
        <v>0</v>
      </c>
      <c r="AC49" s="12" t="s">
        <v>333</v>
      </c>
      <c r="AD49" s="20">
        <v>0</v>
      </c>
      <c r="AE49" s="12" t="s">
        <v>333</v>
      </c>
      <c r="AF49" s="20">
        <v>0</v>
      </c>
      <c r="AG49" s="12" t="s">
        <v>333</v>
      </c>
      <c r="AH49" s="20">
        <v>0</v>
      </c>
      <c r="AI49" s="12" t="s">
        <v>333</v>
      </c>
      <c r="AJ49" s="20">
        <v>0</v>
      </c>
      <c r="AK49" s="12" t="s">
        <v>333</v>
      </c>
      <c r="AL49" s="20">
        <v>0</v>
      </c>
      <c r="AM49" s="12" t="s">
        <v>333</v>
      </c>
      <c r="AN49" s="20">
        <v>0</v>
      </c>
      <c r="AO49" s="12" t="s">
        <v>333</v>
      </c>
      <c r="AP49" s="20">
        <v>0</v>
      </c>
      <c r="AQ49" s="12" t="s">
        <v>333</v>
      </c>
      <c r="AR49" s="20">
        <v>0</v>
      </c>
      <c r="AS49" s="12" t="s">
        <v>333</v>
      </c>
      <c r="AT49" s="20">
        <v>0</v>
      </c>
      <c r="AU49" s="12" t="s">
        <v>333</v>
      </c>
      <c r="AV49" s="20">
        <v>0</v>
      </c>
      <c r="AW49" s="12" t="s">
        <v>333</v>
      </c>
      <c r="AX49" s="20">
        <v>0</v>
      </c>
      <c r="AY49" s="12" t="s">
        <v>333</v>
      </c>
      <c r="AZ49" s="20">
        <v>0</v>
      </c>
      <c r="BA49" s="12" t="s">
        <v>333</v>
      </c>
      <c r="BB49" s="20">
        <v>0</v>
      </c>
      <c r="BC49" s="12" t="s">
        <v>333</v>
      </c>
      <c r="BD49" s="20">
        <v>0</v>
      </c>
      <c r="BE49" s="12" t="s">
        <v>333</v>
      </c>
      <c r="BF49" s="20">
        <v>0</v>
      </c>
      <c r="BG49" s="12" t="s">
        <v>333</v>
      </c>
      <c r="BH49" s="20">
        <v>0</v>
      </c>
      <c r="BI49" s="12" t="s">
        <v>333</v>
      </c>
      <c r="BJ49" s="20">
        <v>0</v>
      </c>
      <c r="BK49" s="12" t="s">
        <v>333</v>
      </c>
      <c r="BL49" s="20">
        <v>0</v>
      </c>
      <c r="BM49" s="12" t="s">
        <v>333</v>
      </c>
      <c r="BN49" s="20">
        <v>0</v>
      </c>
      <c r="BO49" s="12" t="s">
        <v>333</v>
      </c>
      <c r="BP49" s="20">
        <v>0</v>
      </c>
      <c r="BQ49" s="12" t="s">
        <v>333</v>
      </c>
      <c r="BR49" s="20">
        <v>0</v>
      </c>
      <c r="BS49" s="12" t="s">
        <v>333</v>
      </c>
      <c r="BT49" s="20">
        <v>0</v>
      </c>
      <c r="BU49" s="12" t="s">
        <v>333</v>
      </c>
      <c r="BV49" s="20">
        <v>0</v>
      </c>
      <c r="BW49" s="12" t="s">
        <v>333</v>
      </c>
      <c r="BX49" s="20">
        <v>0</v>
      </c>
      <c r="BY49" s="12" t="s">
        <v>333</v>
      </c>
      <c r="BZ49" s="20">
        <v>0</v>
      </c>
      <c r="CA49" s="12" t="s">
        <v>333</v>
      </c>
      <c r="CB49" s="20">
        <v>0</v>
      </c>
      <c r="CC49" s="12" t="s">
        <v>333</v>
      </c>
    </row>
    <row r="50" spans="1:81" x14ac:dyDescent="0.2">
      <c r="A50" s="10" t="s">
        <v>502</v>
      </c>
      <c r="B50" s="83">
        <v>0</v>
      </c>
      <c r="C50" s="82" t="s">
        <v>333</v>
      </c>
      <c r="D50" s="83">
        <v>0</v>
      </c>
      <c r="E50" s="82" t="s">
        <v>333</v>
      </c>
      <c r="F50" s="83">
        <v>0</v>
      </c>
      <c r="G50" s="82" t="s">
        <v>333</v>
      </c>
      <c r="H50" s="83">
        <v>0</v>
      </c>
      <c r="I50" s="82" t="s">
        <v>333</v>
      </c>
      <c r="J50" s="83">
        <v>0</v>
      </c>
      <c r="K50" s="82" t="s">
        <v>333</v>
      </c>
      <c r="L50" s="83">
        <v>0</v>
      </c>
      <c r="M50" s="82" t="s">
        <v>333</v>
      </c>
      <c r="N50" s="82" t="s">
        <v>202</v>
      </c>
      <c r="O50" s="82" t="s">
        <v>333</v>
      </c>
      <c r="P50" s="82" t="s">
        <v>202</v>
      </c>
      <c r="Q50" s="82" t="s">
        <v>333</v>
      </c>
      <c r="R50" s="82" t="s">
        <v>202</v>
      </c>
      <c r="S50" s="82" t="s">
        <v>333</v>
      </c>
      <c r="T50" s="82" t="s">
        <v>202</v>
      </c>
      <c r="U50" s="82" t="s">
        <v>333</v>
      </c>
      <c r="V50" s="82" t="s">
        <v>202</v>
      </c>
      <c r="W50" s="82" t="s">
        <v>333</v>
      </c>
      <c r="X50" s="83">
        <v>0</v>
      </c>
      <c r="Y50" s="82" t="s">
        <v>333</v>
      </c>
      <c r="Z50" s="83">
        <v>0</v>
      </c>
      <c r="AA50" s="82" t="s">
        <v>333</v>
      </c>
      <c r="AB50" s="83">
        <v>0</v>
      </c>
      <c r="AC50" s="82" t="s">
        <v>333</v>
      </c>
      <c r="AD50" s="83">
        <v>0</v>
      </c>
      <c r="AE50" s="82" t="s">
        <v>333</v>
      </c>
      <c r="AF50" s="83">
        <v>0</v>
      </c>
      <c r="AG50" s="82" t="s">
        <v>333</v>
      </c>
      <c r="AH50" s="83">
        <v>0</v>
      </c>
      <c r="AI50" s="82" t="s">
        <v>333</v>
      </c>
      <c r="AJ50" s="83">
        <v>0</v>
      </c>
      <c r="AK50" s="82" t="s">
        <v>333</v>
      </c>
      <c r="AL50" s="83">
        <v>0</v>
      </c>
      <c r="AM50" s="82" t="s">
        <v>333</v>
      </c>
      <c r="AN50" s="83">
        <v>0</v>
      </c>
      <c r="AO50" s="82" t="s">
        <v>333</v>
      </c>
      <c r="AP50" s="83">
        <v>0</v>
      </c>
      <c r="AQ50" s="82" t="s">
        <v>333</v>
      </c>
      <c r="AR50" s="83">
        <v>0</v>
      </c>
      <c r="AS50" s="82" t="s">
        <v>333</v>
      </c>
      <c r="AT50" s="83">
        <v>0</v>
      </c>
      <c r="AU50" s="82" t="s">
        <v>333</v>
      </c>
      <c r="AV50" s="83">
        <v>0</v>
      </c>
      <c r="AW50" s="82" t="s">
        <v>333</v>
      </c>
      <c r="AX50" s="83">
        <v>0</v>
      </c>
      <c r="AY50" s="82" t="s">
        <v>333</v>
      </c>
      <c r="AZ50" s="83">
        <v>0</v>
      </c>
      <c r="BA50" s="82" t="s">
        <v>333</v>
      </c>
      <c r="BB50" s="83">
        <v>0</v>
      </c>
      <c r="BC50" s="82" t="s">
        <v>333</v>
      </c>
      <c r="BD50" s="83">
        <v>0</v>
      </c>
      <c r="BE50" s="82" t="s">
        <v>333</v>
      </c>
      <c r="BF50" s="83">
        <v>0</v>
      </c>
      <c r="BG50" s="82" t="s">
        <v>333</v>
      </c>
      <c r="BH50" s="83">
        <v>0</v>
      </c>
      <c r="BI50" s="82" t="s">
        <v>333</v>
      </c>
      <c r="BJ50" s="83">
        <v>0</v>
      </c>
      <c r="BK50" s="82" t="s">
        <v>333</v>
      </c>
      <c r="BL50" s="83">
        <v>0</v>
      </c>
      <c r="BM50" s="82" t="s">
        <v>333</v>
      </c>
      <c r="BN50" s="83">
        <v>0</v>
      </c>
      <c r="BO50" s="82" t="s">
        <v>333</v>
      </c>
      <c r="BP50" s="83">
        <v>0</v>
      </c>
      <c r="BQ50" s="82" t="s">
        <v>333</v>
      </c>
      <c r="BR50" s="83">
        <v>0</v>
      </c>
      <c r="BS50" s="82" t="s">
        <v>333</v>
      </c>
      <c r="BT50" s="83">
        <v>0</v>
      </c>
      <c r="BU50" s="82" t="s">
        <v>333</v>
      </c>
      <c r="BV50" s="83">
        <v>0</v>
      </c>
      <c r="BW50" s="82" t="s">
        <v>333</v>
      </c>
      <c r="BX50" s="83">
        <v>0</v>
      </c>
      <c r="BY50" s="82" t="s">
        <v>333</v>
      </c>
      <c r="BZ50" s="83">
        <v>0</v>
      </c>
      <c r="CA50" s="82" t="s">
        <v>333</v>
      </c>
      <c r="CB50" s="83">
        <v>0</v>
      </c>
      <c r="CC50" s="82" t="s">
        <v>333</v>
      </c>
    </row>
    <row r="51" spans="1:81" x14ac:dyDescent="0.2">
      <c r="A51" s="10" t="s">
        <v>216</v>
      </c>
      <c r="B51" s="20">
        <v>0</v>
      </c>
      <c r="C51" s="12" t="s">
        <v>333</v>
      </c>
      <c r="D51" s="20">
        <v>0</v>
      </c>
      <c r="E51" s="12" t="s">
        <v>333</v>
      </c>
      <c r="F51" s="20">
        <v>0</v>
      </c>
      <c r="G51" s="12" t="s">
        <v>333</v>
      </c>
      <c r="H51" s="20">
        <v>0</v>
      </c>
      <c r="I51" s="12" t="s">
        <v>333</v>
      </c>
      <c r="J51" s="20">
        <v>0</v>
      </c>
      <c r="K51" s="12" t="s">
        <v>333</v>
      </c>
      <c r="L51" s="20">
        <v>0</v>
      </c>
      <c r="M51" s="12" t="s">
        <v>333</v>
      </c>
      <c r="N51" s="12" t="s">
        <v>202</v>
      </c>
      <c r="O51" s="12" t="s">
        <v>333</v>
      </c>
      <c r="P51" s="12" t="s">
        <v>202</v>
      </c>
      <c r="Q51" s="12" t="s">
        <v>333</v>
      </c>
      <c r="R51" s="12" t="s">
        <v>202</v>
      </c>
      <c r="S51" s="12" t="s">
        <v>333</v>
      </c>
      <c r="T51" s="12" t="s">
        <v>202</v>
      </c>
      <c r="U51" s="12" t="s">
        <v>333</v>
      </c>
      <c r="V51" s="12" t="s">
        <v>202</v>
      </c>
      <c r="W51" s="12" t="s">
        <v>333</v>
      </c>
      <c r="X51" s="20">
        <v>0</v>
      </c>
      <c r="Y51" s="12" t="s">
        <v>333</v>
      </c>
      <c r="Z51" s="20">
        <v>0</v>
      </c>
      <c r="AA51" s="12" t="s">
        <v>333</v>
      </c>
      <c r="AB51" s="20">
        <v>0</v>
      </c>
      <c r="AC51" s="12" t="s">
        <v>333</v>
      </c>
      <c r="AD51" s="20">
        <v>0</v>
      </c>
      <c r="AE51" s="12" t="s">
        <v>333</v>
      </c>
      <c r="AF51" s="20">
        <v>0</v>
      </c>
      <c r="AG51" s="12" t="s">
        <v>333</v>
      </c>
      <c r="AH51" s="20">
        <v>0</v>
      </c>
      <c r="AI51" s="12" t="s">
        <v>333</v>
      </c>
      <c r="AJ51" s="20">
        <v>0</v>
      </c>
      <c r="AK51" s="12" t="s">
        <v>333</v>
      </c>
      <c r="AL51" s="20">
        <v>0</v>
      </c>
      <c r="AM51" s="12" t="s">
        <v>333</v>
      </c>
      <c r="AN51" s="20">
        <v>0</v>
      </c>
      <c r="AO51" s="12" t="s">
        <v>333</v>
      </c>
      <c r="AP51" s="20">
        <v>0</v>
      </c>
      <c r="AQ51" s="12" t="s">
        <v>333</v>
      </c>
      <c r="AR51" s="20">
        <v>0</v>
      </c>
      <c r="AS51" s="12" t="s">
        <v>333</v>
      </c>
      <c r="AT51" s="20">
        <v>0</v>
      </c>
      <c r="AU51" s="12" t="s">
        <v>333</v>
      </c>
      <c r="AV51" s="20">
        <v>0</v>
      </c>
      <c r="AW51" s="12" t="s">
        <v>333</v>
      </c>
      <c r="AX51" s="20">
        <v>0</v>
      </c>
      <c r="AY51" s="12" t="s">
        <v>333</v>
      </c>
      <c r="AZ51" s="20">
        <v>0</v>
      </c>
      <c r="BA51" s="12" t="s">
        <v>333</v>
      </c>
      <c r="BB51" s="20">
        <v>0</v>
      </c>
      <c r="BC51" s="12" t="s">
        <v>333</v>
      </c>
      <c r="BD51" s="20">
        <v>0</v>
      </c>
      <c r="BE51" s="12" t="s">
        <v>333</v>
      </c>
      <c r="BF51" s="20">
        <v>0</v>
      </c>
      <c r="BG51" s="12" t="s">
        <v>333</v>
      </c>
      <c r="BH51" s="20">
        <v>0</v>
      </c>
      <c r="BI51" s="12" t="s">
        <v>333</v>
      </c>
      <c r="BJ51" s="20">
        <v>0</v>
      </c>
      <c r="BK51" s="12" t="s">
        <v>333</v>
      </c>
      <c r="BL51" s="20">
        <v>0</v>
      </c>
      <c r="BM51" s="12" t="s">
        <v>333</v>
      </c>
      <c r="BN51" s="20">
        <v>0</v>
      </c>
      <c r="BO51" s="12" t="s">
        <v>333</v>
      </c>
      <c r="BP51" s="20">
        <v>0</v>
      </c>
      <c r="BQ51" s="12" t="s">
        <v>333</v>
      </c>
      <c r="BR51" s="20">
        <v>0</v>
      </c>
      <c r="BS51" s="12" t="s">
        <v>333</v>
      </c>
      <c r="BT51" s="20">
        <v>0</v>
      </c>
      <c r="BU51" s="12" t="s">
        <v>333</v>
      </c>
      <c r="BV51" s="20">
        <v>0</v>
      </c>
      <c r="BW51" s="12" t="s">
        <v>333</v>
      </c>
      <c r="BX51" s="20">
        <v>0</v>
      </c>
      <c r="BY51" s="12" t="s">
        <v>333</v>
      </c>
      <c r="BZ51" s="20">
        <v>0</v>
      </c>
      <c r="CA51" s="12" t="s">
        <v>333</v>
      </c>
      <c r="CB51" s="20">
        <v>0</v>
      </c>
      <c r="CC51" s="12" t="s">
        <v>333</v>
      </c>
    </row>
    <row r="52" spans="1:81" x14ac:dyDescent="0.2">
      <c r="A52" s="10" t="s">
        <v>503</v>
      </c>
      <c r="B52" s="83">
        <v>0</v>
      </c>
      <c r="C52" s="82" t="s">
        <v>333</v>
      </c>
      <c r="D52" s="83">
        <v>0</v>
      </c>
      <c r="E52" s="82" t="s">
        <v>333</v>
      </c>
      <c r="F52" s="83">
        <v>0</v>
      </c>
      <c r="G52" s="82" t="s">
        <v>333</v>
      </c>
      <c r="H52" s="83">
        <v>0</v>
      </c>
      <c r="I52" s="82" t="s">
        <v>333</v>
      </c>
      <c r="J52" s="83">
        <v>0</v>
      </c>
      <c r="K52" s="82" t="s">
        <v>333</v>
      </c>
      <c r="L52" s="83">
        <v>0</v>
      </c>
      <c r="M52" s="82" t="s">
        <v>333</v>
      </c>
      <c r="N52" s="82" t="s">
        <v>202</v>
      </c>
      <c r="O52" s="82" t="s">
        <v>333</v>
      </c>
      <c r="P52" s="82" t="s">
        <v>202</v>
      </c>
      <c r="Q52" s="82" t="s">
        <v>333</v>
      </c>
      <c r="R52" s="82" t="s">
        <v>202</v>
      </c>
      <c r="S52" s="82" t="s">
        <v>333</v>
      </c>
      <c r="T52" s="82" t="s">
        <v>202</v>
      </c>
      <c r="U52" s="82" t="s">
        <v>333</v>
      </c>
      <c r="V52" s="82" t="s">
        <v>202</v>
      </c>
      <c r="W52" s="82" t="s">
        <v>333</v>
      </c>
      <c r="X52" s="83">
        <v>0</v>
      </c>
      <c r="Y52" s="82" t="s">
        <v>333</v>
      </c>
      <c r="Z52" s="83">
        <v>0</v>
      </c>
      <c r="AA52" s="82" t="s">
        <v>333</v>
      </c>
      <c r="AB52" s="83">
        <v>0</v>
      </c>
      <c r="AC52" s="82" t="s">
        <v>333</v>
      </c>
      <c r="AD52" s="83">
        <v>0</v>
      </c>
      <c r="AE52" s="82" t="s">
        <v>333</v>
      </c>
      <c r="AF52" s="83">
        <v>0</v>
      </c>
      <c r="AG52" s="82" t="s">
        <v>333</v>
      </c>
      <c r="AH52" s="83">
        <v>0</v>
      </c>
      <c r="AI52" s="82" t="s">
        <v>333</v>
      </c>
      <c r="AJ52" s="83">
        <v>0</v>
      </c>
      <c r="AK52" s="82" t="s">
        <v>333</v>
      </c>
      <c r="AL52" s="83">
        <v>0</v>
      </c>
      <c r="AM52" s="82" t="s">
        <v>333</v>
      </c>
      <c r="AN52" s="83">
        <v>0</v>
      </c>
      <c r="AO52" s="82" t="s">
        <v>333</v>
      </c>
      <c r="AP52" s="83">
        <v>0</v>
      </c>
      <c r="AQ52" s="82" t="s">
        <v>333</v>
      </c>
      <c r="AR52" s="83">
        <v>0</v>
      </c>
      <c r="AS52" s="82" t="s">
        <v>333</v>
      </c>
      <c r="AT52" s="83">
        <v>0</v>
      </c>
      <c r="AU52" s="82" t="s">
        <v>333</v>
      </c>
      <c r="AV52" s="83">
        <v>0</v>
      </c>
      <c r="AW52" s="82" t="s">
        <v>333</v>
      </c>
      <c r="AX52" s="83">
        <v>0</v>
      </c>
      <c r="AY52" s="82" t="s">
        <v>333</v>
      </c>
      <c r="AZ52" s="83">
        <v>0</v>
      </c>
      <c r="BA52" s="82" t="s">
        <v>333</v>
      </c>
      <c r="BB52" s="83">
        <v>0</v>
      </c>
      <c r="BC52" s="82" t="s">
        <v>333</v>
      </c>
      <c r="BD52" s="83">
        <v>0</v>
      </c>
      <c r="BE52" s="82" t="s">
        <v>333</v>
      </c>
      <c r="BF52" s="83">
        <v>0</v>
      </c>
      <c r="BG52" s="82" t="s">
        <v>333</v>
      </c>
      <c r="BH52" s="83">
        <v>0</v>
      </c>
      <c r="BI52" s="82" t="s">
        <v>333</v>
      </c>
      <c r="BJ52" s="83">
        <v>0</v>
      </c>
      <c r="BK52" s="82" t="s">
        <v>333</v>
      </c>
      <c r="BL52" s="83">
        <v>0</v>
      </c>
      <c r="BM52" s="82" t="s">
        <v>333</v>
      </c>
      <c r="BN52" s="83">
        <v>0</v>
      </c>
      <c r="BO52" s="82" t="s">
        <v>333</v>
      </c>
      <c r="BP52" s="83">
        <v>0</v>
      </c>
      <c r="BQ52" s="82" t="s">
        <v>333</v>
      </c>
      <c r="BR52" s="83">
        <v>0</v>
      </c>
      <c r="BS52" s="82" t="s">
        <v>333</v>
      </c>
      <c r="BT52" s="83">
        <v>0</v>
      </c>
      <c r="BU52" s="82" t="s">
        <v>333</v>
      </c>
      <c r="BV52" s="83">
        <v>0</v>
      </c>
      <c r="BW52" s="82" t="s">
        <v>333</v>
      </c>
      <c r="BX52" s="83">
        <v>0</v>
      </c>
      <c r="BY52" s="82" t="s">
        <v>333</v>
      </c>
      <c r="BZ52" s="83">
        <v>0</v>
      </c>
      <c r="CA52" s="82" t="s">
        <v>333</v>
      </c>
      <c r="CB52" s="83">
        <v>0</v>
      </c>
      <c r="CC52" s="82" t="s">
        <v>333</v>
      </c>
    </row>
    <row r="53" spans="1:81" x14ac:dyDescent="0.2">
      <c r="A53" s="10" t="s">
        <v>504</v>
      </c>
      <c r="B53" s="20">
        <v>0</v>
      </c>
      <c r="C53" s="12" t="s">
        <v>333</v>
      </c>
      <c r="D53" s="20">
        <v>0</v>
      </c>
      <c r="E53" s="12" t="s">
        <v>333</v>
      </c>
      <c r="F53" s="20">
        <v>0</v>
      </c>
      <c r="G53" s="12" t="s">
        <v>333</v>
      </c>
      <c r="H53" s="20">
        <v>0</v>
      </c>
      <c r="I53" s="12" t="s">
        <v>333</v>
      </c>
      <c r="J53" s="20">
        <v>0</v>
      </c>
      <c r="K53" s="12" t="s">
        <v>333</v>
      </c>
      <c r="L53" s="20">
        <v>0</v>
      </c>
      <c r="M53" s="12" t="s">
        <v>333</v>
      </c>
      <c r="N53" s="12" t="s">
        <v>202</v>
      </c>
      <c r="O53" s="12" t="s">
        <v>333</v>
      </c>
      <c r="P53" s="12" t="s">
        <v>202</v>
      </c>
      <c r="Q53" s="12" t="s">
        <v>333</v>
      </c>
      <c r="R53" s="12" t="s">
        <v>202</v>
      </c>
      <c r="S53" s="12" t="s">
        <v>333</v>
      </c>
      <c r="T53" s="12" t="s">
        <v>202</v>
      </c>
      <c r="U53" s="12" t="s">
        <v>333</v>
      </c>
      <c r="V53" s="12" t="s">
        <v>202</v>
      </c>
      <c r="W53" s="12" t="s">
        <v>333</v>
      </c>
      <c r="X53" s="20">
        <v>0</v>
      </c>
      <c r="Y53" s="12" t="s">
        <v>333</v>
      </c>
      <c r="Z53" s="20">
        <v>0</v>
      </c>
      <c r="AA53" s="12" t="s">
        <v>333</v>
      </c>
      <c r="AB53" s="20">
        <v>0</v>
      </c>
      <c r="AC53" s="12" t="s">
        <v>333</v>
      </c>
      <c r="AD53" s="20">
        <v>0</v>
      </c>
      <c r="AE53" s="12" t="s">
        <v>333</v>
      </c>
      <c r="AF53" s="20">
        <v>0</v>
      </c>
      <c r="AG53" s="12" t="s">
        <v>333</v>
      </c>
      <c r="AH53" s="20">
        <v>0</v>
      </c>
      <c r="AI53" s="12" t="s">
        <v>333</v>
      </c>
      <c r="AJ53" s="20">
        <v>0</v>
      </c>
      <c r="AK53" s="12" t="s">
        <v>333</v>
      </c>
      <c r="AL53" s="20">
        <v>0</v>
      </c>
      <c r="AM53" s="12" t="s">
        <v>333</v>
      </c>
      <c r="AN53" s="20">
        <v>0</v>
      </c>
      <c r="AO53" s="12" t="s">
        <v>333</v>
      </c>
      <c r="AP53" s="20">
        <v>0</v>
      </c>
      <c r="AQ53" s="12" t="s">
        <v>333</v>
      </c>
      <c r="AR53" s="20">
        <v>0</v>
      </c>
      <c r="AS53" s="12" t="s">
        <v>333</v>
      </c>
      <c r="AT53" s="20">
        <v>0</v>
      </c>
      <c r="AU53" s="12" t="s">
        <v>333</v>
      </c>
      <c r="AV53" s="20">
        <v>0</v>
      </c>
      <c r="AW53" s="12" t="s">
        <v>333</v>
      </c>
      <c r="AX53" s="20">
        <v>0</v>
      </c>
      <c r="AY53" s="12" t="s">
        <v>333</v>
      </c>
      <c r="AZ53" s="20">
        <v>0</v>
      </c>
      <c r="BA53" s="12" t="s">
        <v>333</v>
      </c>
      <c r="BB53" s="20">
        <v>0</v>
      </c>
      <c r="BC53" s="12" t="s">
        <v>333</v>
      </c>
      <c r="BD53" s="20">
        <v>0</v>
      </c>
      <c r="BE53" s="12" t="s">
        <v>333</v>
      </c>
      <c r="BF53" s="20">
        <v>0</v>
      </c>
      <c r="BG53" s="12" t="s">
        <v>333</v>
      </c>
      <c r="BH53" s="20">
        <v>0</v>
      </c>
      <c r="BI53" s="12" t="s">
        <v>333</v>
      </c>
      <c r="BJ53" s="20">
        <v>0</v>
      </c>
      <c r="BK53" s="12" t="s">
        <v>333</v>
      </c>
      <c r="BL53" s="20">
        <v>0</v>
      </c>
      <c r="BM53" s="12" t="s">
        <v>333</v>
      </c>
      <c r="BN53" s="20">
        <v>0</v>
      </c>
      <c r="BO53" s="12" t="s">
        <v>333</v>
      </c>
      <c r="BP53" s="20">
        <v>0</v>
      </c>
      <c r="BQ53" s="12" t="s">
        <v>333</v>
      </c>
      <c r="BR53" s="20">
        <v>0</v>
      </c>
      <c r="BS53" s="12" t="s">
        <v>333</v>
      </c>
      <c r="BT53" s="20">
        <v>0</v>
      </c>
      <c r="BU53" s="12" t="s">
        <v>333</v>
      </c>
      <c r="BV53" s="20">
        <v>0</v>
      </c>
      <c r="BW53" s="12" t="s">
        <v>333</v>
      </c>
      <c r="BX53" s="20">
        <v>0</v>
      </c>
      <c r="BY53" s="12" t="s">
        <v>333</v>
      </c>
      <c r="BZ53" s="20">
        <v>0</v>
      </c>
      <c r="CA53" s="12" t="s">
        <v>333</v>
      </c>
      <c r="CB53" s="20">
        <v>0</v>
      </c>
      <c r="CC53" s="12" t="s">
        <v>333</v>
      </c>
    </row>
    <row r="54" spans="1:81" x14ac:dyDescent="0.2">
      <c r="A54" s="10" t="s">
        <v>217</v>
      </c>
      <c r="B54" s="83">
        <v>0</v>
      </c>
      <c r="C54" s="82" t="s">
        <v>333</v>
      </c>
      <c r="D54" s="83">
        <v>0</v>
      </c>
      <c r="E54" s="82" t="s">
        <v>333</v>
      </c>
      <c r="F54" s="83">
        <v>0</v>
      </c>
      <c r="G54" s="82" t="s">
        <v>333</v>
      </c>
      <c r="H54" s="83">
        <v>0</v>
      </c>
      <c r="I54" s="82" t="s">
        <v>333</v>
      </c>
      <c r="J54" s="83">
        <v>0</v>
      </c>
      <c r="K54" s="82" t="s">
        <v>333</v>
      </c>
      <c r="L54" s="83">
        <v>0</v>
      </c>
      <c r="M54" s="82" t="s">
        <v>333</v>
      </c>
      <c r="N54" s="82" t="s">
        <v>202</v>
      </c>
      <c r="O54" s="82" t="s">
        <v>333</v>
      </c>
      <c r="P54" s="82" t="s">
        <v>202</v>
      </c>
      <c r="Q54" s="82" t="s">
        <v>333</v>
      </c>
      <c r="R54" s="82" t="s">
        <v>202</v>
      </c>
      <c r="S54" s="82" t="s">
        <v>333</v>
      </c>
      <c r="T54" s="82" t="s">
        <v>202</v>
      </c>
      <c r="U54" s="82" t="s">
        <v>333</v>
      </c>
      <c r="V54" s="82" t="s">
        <v>202</v>
      </c>
      <c r="W54" s="82" t="s">
        <v>333</v>
      </c>
      <c r="X54" s="83">
        <v>0</v>
      </c>
      <c r="Y54" s="82" t="s">
        <v>333</v>
      </c>
      <c r="Z54" s="83">
        <v>0</v>
      </c>
      <c r="AA54" s="82" t="s">
        <v>333</v>
      </c>
      <c r="AB54" s="83">
        <v>0</v>
      </c>
      <c r="AC54" s="82" t="s">
        <v>333</v>
      </c>
      <c r="AD54" s="83">
        <v>0</v>
      </c>
      <c r="AE54" s="82" t="s">
        <v>333</v>
      </c>
      <c r="AF54" s="83">
        <v>0</v>
      </c>
      <c r="AG54" s="82" t="s">
        <v>333</v>
      </c>
      <c r="AH54" s="83">
        <v>0</v>
      </c>
      <c r="AI54" s="82" t="s">
        <v>333</v>
      </c>
      <c r="AJ54" s="83">
        <v>0</v>
      </c>
      <c r="AK54" s="82" t="s">
        <v>333</v>
      </c>
      <c r="AL54" s="83">
        <v>0</v>
      </c>
      <c r="AM54" s="82" t="s">
        <v>333</v>
      </c>
      <c r="AN54" s="83">
        <v>0</v>
      </c>
      <c r="AO54" s="82" t="s">
        <v>333</v>
      </c>
      <c r="AP54" s="83">
        <v>0</v>
      </c>
      <c r="AQ54" s="82" t="s">
        <v>333</v>
      </c>
      <c r="AR54" s="83">
        <v>0</v>
      </c>
      <c r="AS54" s="82" t="s">
        <v>333</v>
      </c>
      <c r="AT54" s="83">
        <v>0</v>
      </c>
      <c r="AU54" s="82" t="s">
        <v>333</v>
      </c>
      <c r="AV54" s="83">
        <v>0</v>
      </c>
      <c r="AW54" s="82" t="s">
        <v>333</v>
      </c>
      <c r="AX54" s="83">
        <v>0</v>
      </c>
      <c r="AY54" s="82" t="s">
        <v>333</v>
      </c>
      <c r="AZ54" s="83">
        <v>0</v>
      </c>
      <c r="BA54" s="82" t="s">
        <v>333</v>
      </c>
      <c r="BB54" s="83">
        <v>0</v>
      </c>
      <c r="BC54" s="82" t="s">
        <v>333</v>
      </c>
      <c r="BD54" s="83">
        <v>0</v>
      </c>
      <c r="BE54" s="82" t="s">
        <v>333</v>
      </c>
      <c r="BF54" s="83">
        <v>0</v>
      </c>
      <c r="BG54" s="82" t="s">
        <v>333</v>
      </c>
      <c r="BH54" s="83">
        <v>0</v>
      </c>
      <c r="BI54" s="82" t="s">
        <v>333</v>
      </c>
      <c r="BJ54" s="83">
        <v>0</v>
      </c>
      <c r="BK54" s="82" t="s">
        <v>333</v>
      </c>
      <c r="BL54" s="83">
        <v>0</v>
      </c>
      <c r="BM54" s="82" t="s">
        <v>333</v>
      </c>
      <c r="BN54" s="83">
        <v>0</v>
      </c>
      <c r="BO54" s="82" t="s">
        <v>333</v>
      </c>
      <c r="BP54" s="83">
        <v>0</v>
      </c>
      <c r="BQ54" s="82" t="s">
        <v>333</v>
      </c>
      <c r="BR54" s="83">
        <v>0</v>
      </c>
      <c r="BS54" s="82" t="s">
        <v>333</v>
      </c>
      <c r="BT54" s="83">
        <v>0</v>
      </c>
      <c r="BU54" s="82" t="s">
        <v>333</v>
      </c>
      <c r="BV54" s="83">
        <v>0</v>
      </c>
      <c r="BW54" s="82" t="s">
        <v>333</v>
      </c>
      <c r="BX54" s="83">
        <v>0</v>
      </c>
      <c r="BY54" s="82" t="s">
        <v>333</v>
      </c>
      <c r="BZ54" s="83">
        <v>0</v>
      </c>
      <c r="CA54" s="82" t="s">
        <v>333</v>
      </c>
      <c r="CB54" s="83">
        <v>0</v>
      </c>
      <c r="CC54" s="82" t="s">
        <v>333</v>
      </c>
    </row>
    <row r="55" spans="1:81" x14ac:dyDescent="0.2">
      <c r="A55" s="10" t="s">
        <v>505</v>
      </c>
      <c r="B55" s="20">
        <v>0</v>
      </c>
      <c r="C55" s="12" t="s">
        <v>333</v>
      </c>
      <c r="D55" s="20">
        <v>0</v>
      </c>
      <c r="E55" s="12" t="s">
        <v>333</v>
      </c>
      <c r="F55" s="20">
        <v>0</v>
      </c>
      <c r="G55" s="12" t="s">
        <v>333</v>
      </c>
      <c r="H55" s="20">
        <v>0</v>
      </c>
      <c r="I55" s="12" t="s">
        <v>333</v>
      </c>
      <c r="J55" s="20">
        <v>0</v>
      </c>
      <c r="K55" s="12" t="s">
        <v>333</v>
      </c>
      <c r="L55" s="20">
        <v>0</v>
      </c>
      <c r="M55" s="12" t="s">
        <v>333</v>
      </c>
      <c r="N55" s="12" t="s">
        <v>202</v>
      </c>
      <c r="O55" s="12" t="s">
        <v>333</v>
      </c>
      <c r="P55" s="12" t="s">
        <v>202</v>
      </c>
      <c r="Q55" s="12" t="s">
        <v>333</v>
      </c>
      <c r="R55" s="12" t="s">
        <v>202</v>
      </c>
      <c r="S55" s="12" t="s">
        <v>333</v>
      </c>
      <c r="T55" s="12" t="s">
        <v>202</v>
      </c>
      <c r="U55" s="12" t="s">
        <v>333</v>
      </c>
      <c r="V55" s="12" t="s">
        <v>202</v>
      </c>
      <c r="W55" s="12" t="s">
        <v>333</v>
      </c>
      <c r="X55" s="20">
        <v>0</v>
      </c>
      <c r="Y55" s="12" t="s">
        <v>333</v>
      </c>
      <c r="Z55" s="20">
        <v>0</v>
      </c>
      <c r="AA55" s="12" t="s">
        <v>333</v>
      </c>
      <c r="AB55" s="20">
        <v>0</v>
      </c>
      <c r="AC55" s="12" t="s">
        <v>333</v>
      </c>
      <c r="AD55" s="20">
        <v>0</v>
      </c>
      <c r="AE55" s="12" t="s">
        <v>333</v>
      </c>
      <c r="AF55" s="20">
        <v>0</v>
      </c>
      <c r="AG55" s="12" t="s">
        <v>333</v>
      </c>
      <c r="AH55" s="20">
        <v>0</v>
      </c>
      <c r="AI55" s="12" t="s">
        <v>333</v>
      </c>
      <c r="AJ55" s="20">
        <v>0</v>
      </c>
      <c r="AK55" s="12" t="s">
        <v>333</v>
      </c>
      <c r="AL55" s="20">
        <v>0</v>
      </c>
      <c r="AM55" s="12" t="s">
        <v>333</v>
      </c>
      <c r="AN55" s="20">
        <v>0</v>
      </c>
      <c r="AO55" s="12" t="s">
        <v>333</v>
      </c>
      <c r="AP55" s="20">
        <v>0</v>
      </c>
      <c r="AQ55" s="12" t="s">
        <v>333</v>
      </c>
      <c r="AR55" s="20">
        <v>0</v>
      </c>
      <c r="AS55" s="12" t="s">
        <v>333</v>
      </c>
      <c r="AT55" s="20">
        <v>0</v>
      </c>
      <c r="AU55" s="12" t="s">
        <v>333</v>
      </c>
      <c r="AV55" s="20">
        <v>0</v>
      </c>
      <c r="AW55" s="12" t="s">
        <v>333</v>
      </c>
      <c r="AX55" s="20">
        <v>0</v>
      </c>
      <c r="AY55" s="12" t="s">
        <v>333</v>
      </c>
      <c r="AZ55" s="20">
        <v>0</v>
      </c>
      <c r="BA55" s="12" t="s">
        <v>333</v>
      </c>
      <c r="BB55" s="20">
        <v>0</v>
      </c>
      <c r="BC55" s="12" t="s">
        <v>333</v>
      </c>
      <c r="BD55" s="20">
        <v>0</v>
      </c>
      <c r="BE55" s="12" t="s">
        <v>333</v>
      </c>
      <c r="BF55" s="20">
        <v>0</v>
      </c>
      <c r="BG55" s="12" t="s">
        <v>333</v>
      </c>
      <c r="BH55" s="20">
        <v>0</v>
      </c>
      <c r="BI55" s="12" t="s">
        <v>333</v>
      </c>
      <c r="BJ55" s="20">
        <v>0</v>
      </c>
      <c r="BK55" s="12" t="s">
        <v>333</v>
      </c>
      <c r="BL55" s="20">
        <v>0</v>
      </c>
      <c r="BM55" s="12" t="s">
        <v>333</v>
      </c>
      <c r="BN55" s="20">
        <v>0</v>
      </c>
      <c r="BO55" s="12" t="s">
        <v>333</v>
      </c>
      <c r="BP55" s="20">
        <v>0</v>
      </c>
      <c r="BQ55" s="12" t="s">
        <v>333</v>
      </c>
      <c r="BR55" s="20">
        <v>0</v>
      </c>
      <c r="BS55" s="12" t="s">
        <v>333</v>
      </c>
      <c r="BT55" s="20">
        <v>0</v>
      </c>
      <c r="BU55" s="12" t="s">
        <v>333</v>
      </c>
      <c r="BV55" s="20">
        <v>0</v>
      </c>
      <c r="BW55" s="12" t="s">
        <v>333</v>
      </c>
      <c r="BX55" s="20">
        <v>0</v>
      </c>
      <c r="BY55" s="12" t="s">
        <v>333</v>
      </c>
      <c r="BZ55" s="20">
        <v>0</v>
      </c>
      <c r="CA55" s="12" t="s">
        <v>333</v>
      </c>
      <c r="CB55" s="20">
        <v>0</v>
      </c>
      <c r="CC55" s="12" t="s">
        <v>333</v>
      </c>
    </row>
    <row r="56" spans="1:81" x14ac:dyDescent="0.2">
      <c r="A56" s="10" t="s">
        <v>506</v>
      </c>
      <c r="B56" s="83">
        <v>0</v>
      </c>
      <c r="C56" s="82" t="s">
        <v>333</v>
      </c>
      <c r="D56" s="83">
        <v>0</v>
      </c>
      <c r="E56" s="82" t="s">
        <v>333</v>
      </c>
      <c r="F56" s="83">
        <v>0</v>
      </c>
      <c r="G56" s="82" t="s">
        <v>333</v>
      </c>
      <c r="H56" s="83">
        <v>0</v>
      </c>
      <c r="I56" s="82" t="s">
        <v>333</v>
      </c>
      <c r="J56" s="83">
        <v>0</v>
      </c>
      <c r="K56" s="82" t="s">
        <v>333</v>
      </c>
      <c r="L56" s="83">
        <v>0</v>
      </c>
      <c r="M56" s="82" t="s">
        <v>333</v>
      </c>
      <c r="N56" s="82" t="s">
        <v>202</v>
      </c>
      <c r="O56" s="82" t="s">
        <v>333</v>
      </c>
      <c r="P56" s="82" t="s">
        <v>202</v>
      </c>
      <c r="Q56" s="82" t="s">
        <v>333</v>
      </c>
      <c r="R56" s="82" t="s">
        <v>202</v>
      </c>
      <c r="S56" s="82" t="s">
        <v>333</v>
      </c>
      <c r="T56" s="82" t="s">
        <v>202</v>
      </c>
      <c r="U56" s="82" t="s">
        <v>333</v>
      </c>
      <c r="V56" s="82" t="s">
        <v>202</v>
      </c>
      <c r="W56" s="82" t="s">
        <v>333</v>
      </c>
      <c r="X56" s="83">
        <v>0</v>
      </c>
      <c r="Y56" s="82" t="s">
        <v>333</v>
      </c>
      <c r="Z56" s="83">
        <v>0</v>
      </c>
      <c r="AA56" s="82" t="s">
        <v>333</v>
      </c>
      <c r="AB56" s="83">
        <v>0</v>
      </c>
      <c r="AC56" s="82" t="s">
        <v>333</v>
      </c>
      <c r="AD56" s="83">
        <v>0</v>
      </c>
      <c r="AE56" s="82" t="s">
        <v>333</v>
      </c>
      <c r="AF56" s="83">
        <v>0</v>
      </c>
      <c r="AG56" s="82" t="s">
        <v>333</v>
      </c>
      <c r="AH56" s="83">
        <v>0</v>
      </c>
      <c r="AI56" s="82" t="s">
        <v>333</v>
      </c>
      <c r="AJ56" s="83">
        <v>0</v>
      </c>
      <c r="AK56" s="82" t="s">
        <v>333</v>
      </c>
      <c r="AL56" s="83">
        <v>0</v>
      </c>
      <c r="AM56" s="82" t="s">
        <v>333</v>
      </c>
      <c r="AN56" s="83">
        <v>0</v>
      </c>
      <c r="AO56" s="82" t="s">
        <v>333</v>
      </c>
      <c r="AP56" s="83">
        <v>0</v>
      </c>
      <c r="AQ56" s="82" t="s">
        <v>333</v>
      </c>
      <c r="AR56" s="83">
        <v>0</v>
      </c>
      <c r="AS56" s="82" t="s">
        <v>333</v>
      </c>
      <c r="AT56" s="83">
        <v>0</v>
      </c>
      <c r="AU56" s="82" t="s">
        <v>333</v>
      </c>
      <c r="AV56" s="83">
        <v>0</v>
      </c>
      <c r="AW56" s="82" t="s">
        <v>333</v>
      </c>
      <c r="AX56" s="83">
        <v>0</v>
      </c>
      <c r="AY56" s="82" t="s">
        <v>333</v>
      </c>
      <c r="AZ56" s="83">
        <v>0</v>
      </c>
      <c r="BA56" s="82" t="s">
        <v>333</v>
      </c>
      <c r="BB56" s="83">
        <v>0</v>
      </c>
      <c r="BC56" s="82" t="s">
        <v>333</v>
      </c>
      <c r="BD56" s="83">
        <v>0</v>
      </c>
      <c r="BE56" s="82" t="s">
        <v>333</v>
      </c>
      <c r="BF56" s="83">
        <v>0</v>
      </c>
      <c r="BG56" s="82" t="s">
        <v>333</v>
      </c>
      <c r="BH56" s="83">
        <v>0</v>
      </c>
      <c r="BI56" s="82" t="s">
        <v>333</v>
      </c>
      <c r="BJ56" s="83">
        <v>0</v>
      </c>
      <c r="BK56" s="82" t="s">
        <v>333</v>
      </c>
      <c r="BL56" s="83">
        <v>0</v>
      </c>
      <c r="BM56" s="82" t="s">
        <v>333</v>
      </c>
      <c r="BN56" s="83">
        <v>0</v>
      </c>
      <c r="BO56" s="82" t="s">
        <v>333</v>
      </c>
      <c r="BP56" s="83">
        <v>0</v>
      </c>
      <c r="BQ56" s="82" t="s">
        <v>333</v>
      </c>
      <c r="BR56" s="83">
        <v>0</v>
      </c>
      <c r="BS56" s="82" t="s">
        <v>333</v>
      </c>
      <c r="BT56" s="83">
        <v>0</v>
      </c>
      <c r="BU56" s="82" t="s">
        <v>333</v>
      </c>
      <c r="BV56" s="83">
        <v>0</v>
      </c>
      <c r="BW56" s="82" t="s">
        <v>333</v>
      </c>
      <c r="BX56" s="83">
        <v>0</v>
      </c>
      <c r="BY56" s="82" t="s">
        <v>333</v>
      </c>
      <c r="BZ56" s="83">
        <v>0</v>
      </c>
      <c r="CA56" s="82" t="s">
        <v>333</v>
      </c>
      <c r="CB56" s="83">
        <v>0</v>
      </c>
      <c r="CC56" s="82" t="s">
        <v>333</v>
      </c>
    </row>
    <row r="57" spans="1:81" x14ac:dyDescent="0.2">
      <c r="A57" s="10" t="s">
        <v>218</v>
      </c>
      <c r="B57" s="20">
        <v>0</v>
      </c>
      <c r="C57" s="12" t="s">
        <v>333</v>
      </c>
      <c r="D57" s="20">
        <v>0</v>
      </c>
      <c r="E57" s="12" t="s">
        <v>333</v>
      </c>
      <c r="F57" s="20">
        <v>0</v>
      </c>
      <c r="G57" s="12" t="s">
        <v>333</v>
      </c>
      <c r="H57" s="20">
        <v>0</v>
      </c>
      <c r="I57" s="12" t="s">
        <v>333</v>
      </c>
      <c r="J57" s="20">
        <v>0</v>
      </c>
      <c r="K57" s="12" t="s">
        <v>333</v>
      </c>
      <c r="L57" s="20">
        <v>0</v>
      </c>
      <c r="M57" s="12" t="s">
        <v>333</v>
      </c>
      <c r="N57" s="12" t="s">
        <v>202</v>
      </c>
      <c r="O57" s="12" t="s">
        <v>333</v>
      </c>
      <c r="P57" s="12" t="s">
        <v>202</v>
      </c>
      <c r="Q57" s="12" t="s">
        <v>333</v>
      </c>
      <c r="R57" s="12" t="s">
        <v>202</v>
      </c>
      <c r="S57" s="12" t="s">
        <v>333</v>
      </c>
      <c r="T57" s="12" t="s">
        <v>202</v>
      </c>
      <c r="U57" s="12" t="s">
        <v>333</v>
      </c>
      <c r="V57" s="12" t="s">
        <v>202</v>
      </c>
      <c r="W57" s="12" t="s">
        <v>333</v>
      </c>
      <c r="X57" s="20">
        <v>0</v>
      </c>
      <c r="Y57" s="12" t="s">
        <v>333</v>
      </c>
      <c r="Z57" s="20">
        <v>0</v>
      </c>
      <c r="AA57" s="12" t="s">
        <v>333</v>
      </c>
      <c r="AB57" s="20">
        <v>0</v>
      </c>
      <c r="AC57" s="12" t="s">
        <v>333</v>
      </c>
      <c r="AD57" s="20">
        <v>0</v>
      </c>
      <c r="AE57" s="12" t="s">
        <v>333</v>
      </c>
      <c r="AF57" s="20">
        <v>0</v>
      </c>
      <c r="AG57" s="12" t="s">
        <v>333</v>
      </c>
      <c r="AH57" s="20">
        <v>0</v>
      </c>
      <c r="AI57" s="12" t="s">
        <v>333</v>
      </c>
      <c r="AJ57" s="20">
        <v>0</v>
      </c>
      <c r="AK57" s="12" t="s">
        <v>333</v>
      </c>
      <c r="AL57" s="20">
        <v>0</v>
      </c>
      <c r="AM57" s="12" t="s">
        <v>333</v>
      </c>
      <c r="AN57" s="20">
        <v>0</v>
      </c>
      <c r="AO57" s="12" t="s">
        <v>333</v>
      </c>
      <c r="AP57" s="20">
        <v>0</v>
      </c>
      <c r="AQ57" s="12" t="s">
        <v>333</v>
      </c>
      <c r="AR57" s="20">
        <v>0</v>
      </c>
      <c r="AS57" s="12" t="s">
        <v>333</v>
      </c>
      <c r="AT57" s="20">
        <v>0</v>
      </c>
      <c r="AU57" s="12" t="s">
        <v>333</v>
      </c>
      <c r="AV57" s="20">
        <v>0</v>
      </c>
      <c r="AW57" s="12" t="s">
        <v>333</v>
      </c>
      <c r="AX57" s="20">
        <v>0</v>
      </c>
      <c r="AY57" s="12" t="s">
        <v>333</v>
      </c>
      <c r="AZ57" s="20">
        <v>0</v>
      </c>
      <c r="BA57" s="12" t="s">
        <v>333</v>
      </c>
      <c r="BB57" s="20">
        <v>0</v>
      </c>
      <c r="BC57" s="12" t="s">
        <v>333</v>
      </c>
      <c r="BD57" s="20">
        <v>0</v>
      </c>
      <c r="BE57" s="12" t="s">
        <v>333</v>
      </c>
      <c r="BF57" s="20">
        <v>0</v>
      </c>
      <c r="BG57" s="12" t="s">
        <v>333</v>
      </c>
      <c r="BH57" s="20">
        <v>0</v>
      </c>
      <c r="BI57" s="12" t="s">
        <v>333</v>
      </c>
      <c r="BJ57" s="20">
        <v>0</v>
      </c>
      <c r="BK57" s="12" t="s">
        <v>333</v>
      </c>
      <c r="BL57" s="20">
        <v>0</v>
      </c>
      <c r="BM57" s="12" t="s">
        <v>333</v>
      </c>
      <c r="BN57" s="20">
        <v>0</v>
      </c>
      <c r="BO57" s="12" t="s">
        <v>333</v>
      </c>
      <c r="BP57" s="20">
        <v>0</v>
      </c>
      <c r="BQ57" s="12" t="s">
        <v>333</v>
      </c>
      <c r="BR57" s="20">
        <v>0</v>
      </c>
      <c r="BS57" s="12" t="s">
        <v>333</v>
      </c>
      <c r="BT57" s="20">
        <v>0</v>
      </c>
      <c r="BU57" s="12" t="s">
        <v>333</v>
      </c>
      <c r="BV57" s="20">
        <v>0</v>
      </c>
      <c r="BW57" s="12" t="s">
        <v>333</v>
      </c>
      <c r="BX57" s="20">
        <v>0</v>
      </c>
      <c r="BY57" s="12" t="s">
        <v>333</v>
      </c>
      <c r="BZ57" s="20">
        <v>0</v>
      </c>
      <c r="CA57" s="12" t="s">
        <v>333</v>
      </c>
      <c r="CB57" s="20">
        <v>0</v>
      </c>
      <c r="CC57" s="12" t="s">
        <v>333</v>
      </c>
    </row>
    <row r="58" spans="1:81" x14ac:dyDescent="0.2">
      <c r="A58" s="10" t="s">
        <v>507</v>
      </c>
      <c r="B58" s="83">
        <v>0</v>
      </c>
      <c r="C58" s="82" t="s">
        <v>333</v>
      </c>
      <c r="D58" s="83">
        <v>0</v>
      </c>
      <c r="E58" s="82" t="s">
        <v>333</v>
      </c>
      <c r="F58" s="83">
        <v>0</v>
      </c>
      <c r="G58" s="82" t="s">
        <v>333</v>
      </c>
      <c r="H58" s="83">
        <v>0</v>
      </c>
      <c r="I58" s="82" t="s">
        <v>333</v>
      </c>
      <c r="J58" s="83">
        <v>0</v>
      </c>
      <c r="K58" s="82" t="s">
        <v>333</v>
      </c>
      <c r="L58" s="83">
        <v>0</v>
      </c>
      <c r="M58" s="82" t="s">
        <v>333</v>
      </c>
      <c r="N58" s="82" t="s">
        <v>202</v>
      </c>
      <c r="O58" s="82" t="s">
        <v>333</v>
      </c>
      <c r="P58" s="82" t="s">
        <v>202</v>
      </c>
      <c r="Q58" s="82" t="s">
        <v>333</v>
      </c>
      <c r="R58" s="82" t="s">
        <v>202</v>
      </c>
      <c r="S58" s="82" t="s">
        <v>333</v>
      </c>
      <c r="T58" s="82" t="s">
        <v>202</v>
      </c>
      <c r="U58" s="82" t="s">
        <v>333</v>
      </c>
      <c r="V58" s="82" t="s">
        <v>202</v>
      </c>
      <c r="W58" s="82" t="s">
        <v>333</v>
      </c>
      <c r="X58" s="83">
        <v>0</v>
      </c>
      <c r="Y58" s="82" t="s">
        <v>333</v>
      </c>
      <c r="Z58" s="83">
        <v>0</v>
      </c>
      <c r="AA58" s="82" t="s">
        <v>333</v>
      </c>
      <c r="AB58" s="83">
        <v>0</v>
      </c>
      <c r="AC58" s="82" t="s">
        <v>333</v>
      </c>
      <c r="AD58" s="83">
        <v>0</v>
      </c>
      <c r="AE58" s="82" t="s">
        <v>333</v>
      </c>
      <c r="AF58" s="83">
        <v>0</v>
      </c>
      <c r="AG58" s="82" t="s">
        <v>333</v>
      </c>
      <c r="AH58" s="83">
        <v>0</v>
      </c>
      <c r="AI58" s="82" t="s">
        <v>333</v>
      </c>
      <c r="AJ58" s="83">
        <v>0</v>
      </c>
      <c r="AK58" s="82" t="s">
        <v>333</v>
      </c>
      <c r="AL58" s="83">
        <v>0</v>
      </c>
      <c r="AM58" s="82" t="s">
        <v>333</v>
      </c>
      <c r="AN58" s="83">
        <v>0</v>
      </c>
      <c r="AO58" s="82" t="s">
        <v>333</v>
      </c>
      <c r="AP58" s="83">
        <v>0</v>
      </c>
      <c r="AQ58" s="82" t="s">
        <v>333</v>
      </c>
      <c r="AR58" s="83">
        <v>0</v>
      </c>
      <c r="AS58" s="82" t="s">
        <v>333</v>
      </c>
      <c r="AT58" s="83">
        <v>0</v>
      </c>
      <c r="AU58" s="82" t="s">
        <v>333</v>
      </c>
      <c r="AV58" s="83">
        <v>0</v>
      </c>
      <c r="AW58" s="82" t="s">
        <v>333</v>
      </c>
      <c r="AX58" s="83">
        <v>0</v>
      </c>
      <c r="AY58" s="82" t="s">
        <v>333</v>
      </c>
      <c r="AZ58" s="83">
        <v>0</v>
      </c>
      <c r="BA58" s="82" t="s">
        <v>333</v>
      </c>
      <c r="BB58" s="83">
        <v>0</v>
      </c>
      <c r="BC58" s="82" t="s">
        <v>333</v>
      </c>
      <c r="BD58" s="83">
        <v>0</v>
      </c>
      <c r="BE58" s="82" t="s">
        <v>333</v>
      </c>
      <c r="BF58" s="83">
        <v>0</v>
      </c>
      <c r="BG58" s="82" t="s">
        <v>333</v>
      </c>
      <c r="BH58" s="83">
        <v>0</v>
      </c>
      <c r="BI58" s="82" t="s">
        <v>333</v>
      </c>
      <c r="BJ58" s="83">
        <v>0</v>
      </c>
      <c r="BK58" s="82" t="s">
        <v>333</v>
      </c>
      <c r="BL58" s="83">
        <v>0</v>
      </c>
      <c r="BM58" s="82" t="s">
        <v>333</v>
      </c>
      <c r="BN58" s="83">
        <v>0</v>
      </c>
      <c r="BO58" s="82" t="s">
        <v>333</v>
      </c>
      <c r="BP58" s="83">
        <v>0</v>
      </c>
      <c r="BQ58" s="82" t="s">
        <v>333</v>
      </c>
      <c r="BR58" s="83">
        <v>0</v>
      </c>
      <c r="BS58" s="82" t="s">
        <v>333</v>
      </c>
      <c r="BT58" s="83">
        <v>0</v>
      </c>
      <c r="BU58" s="82" t="s">
        <v>333</v>
      </c>
      <c r="BV58" s="83">
        <v>0</v>
      </c>
      <c r="BW58" s="82" t="s">
        <v>333</v>
      </c>
      <c r="BX58" s="83">
        <v>0</v>
      </c>
      <c r="BY58" s="82" t="s">
        <v>333</v>
      </c>
      <c r="BZ58" s="83">
        <v>0</v>
      </c>
      <c r="CA58" s="82" t="s">
        <v>333</v>
      </c>
      <c r="CB58" s="83">
        <v>0</v>
      </c>
      <c r="CC58" s="82" t="s">
        <v>333</v>
      </c>
    </row>
    <row r="59" spans="1:81" x14ac:dyDescent="0.2">
      <c r="A59" s="10" t="s">
        <v>225</v>
      </c>
      <c r="B59" s="11">
        <v>3528.4110000000001</v>
      </c>
      <c r="C59" s="12" t="s">
        <v>333</v>
      </c>
      <c r="D59" s="11">
        <v>3528.4110000000001</v>
      </c>
      <c r="E59" s="12" t="s">
        <v>333</v>
      </c>
      <c r="F59" s="11">
        <v>1108.8219999999999</v>
      </c>
      <c r="G59" s="12" t="s">
        <v>333</v>
      </c>
      <c r="H59" s="11">
        <v>1108.8219999999999</v>
      </c>
      <c r="I59" s="12" t="s">
        <v>333</v>
      </c>
      <c r="J59" s="20">
        <v>0</v>
      </c>
      <c r="K59" s="12" t="s">
        <v>333</v>
      </c>
      <c r="L59" s="11">
        <v>1108.8219999999999</v>
      </c>
      <c r="M59" s="12" t="s">
        <v>333</v>
      </c>
      <c r="N59" s="12" t="s">
        <v>202</v>
      </c>
      <c r="O59" s="12" t="s">
        <v>333</v>
      </c>
      <c r="P59" s="12" t="s">
        <v>202</v>
      </c>
      <c r="Q59" s="12" t="s">
        <v>333</v>
      </c>
      <c r="R59" s="12" t="s">
        <v>202</v>
      </c>
      <c r="S59" s="12" t="s">
        <v>333</v>
      </c>
      <c r="T59" s="12" t="s">
        <v>202</v>
      </c>
      <c r="U59" s="12" t="s">
        <v>333</v>
      </c>
      <c r="V59" s="12" t="s">
        <v>202</v>
      </c>
      <c r="W59" s="12" t="s">
        <v>333</v>
      </c>
      <c r="X59" s="11">
        <v>2419.5889999999999</v>
      </c>
      <c r="Y59" s="12" t="s">
        <v>333</v>
      </c>
      <c r="Z59" s="11">
        <v>2419.5889999999999</v>
      </c>
      <c r="AA59" s="12" t="s">
        <v>333</v>
      </c>
      <c r="AB59" s="20">
        <v>0</v>
      </c>
      <c r="AC59" s="12" t="s">
        <v>333</v>
      </c>
      <c r="AD59" s="20">
        <v>0</v>
      </c>
      <c r="AE59" s="12" t="s">
        <v>333</v>
      </c>
      <c r="AF59" s="11">
        <v>665.97299999999996</v>
      </c>
      <c r="AG59" s="12" t="s">
        <v>333</v>
      </c>
      <c r="AH59" s="11">
        <v>1740.095</v>
      </c>
      <c r="AI59" s="12" t="s">
        <v>333</v>
      </c>
      <c r="AJ59" s="20">
        <v>0</v>
      </c>
      <c r="AK59" s="12" t="s">
        <v>333</v>
      </c>
      <c r="AL59" s="20">
        <v>0</v>
      </c>
      <c r="AM59" s="12" t="s">
        <v>333</v>
      </c>
      <c r="AN59" s="20">
        <v>0</v>
      </c>
      <c r="AO59" s="12" t="s">
        <v>333</v>
      </c>
      <c r="AP59" s="20">
        <v>0</v>
      </c>
      <c r="AQ59" s="12" t="s">
        <v>333</v>
      </c>
      <c r="AR59" s="20">
        <v>0</v>
      </c>
      <c r="AS59" s="12" t="s">
        <v>333</v>
      </c>
      <c r="AT59" s="20">
        <v>0</v>
      </c>
      <c r="AU59" s="12" t="s">
        <v>333</v>
      </c>
      <c r="AV59" s="11">
        <v>10.401</v>
      </c>
      <c r="AW59" s="12" t="s">
        <v>333</v>
      </c>
      <c r="AX59" s="11">
        <v>0.249</v>
      </c>
      <c r="AY59" s="12" t="s">
        <v>333</v>
      </c>
      <c r="AZ59" s="11">
        <v>0.249</v>
      </c>
      <c r="BA59" s="12" t="s">
        <v>333</v>
      </c>
      <c r="BB59" s="20">
        <v>0</v>
      </c>
      <c r="BC59" s="12" t="s">
        <v>333</v>
      </c>
      <c r="BD59" s="11">
        <v>0.249</v>
      </c>
      <c r="BE59" s="12" t="s">
        <v>333</v>
      </c>
      <c r="BF59" s="20">
        <v>0</v>
      </c>
      <c r="BG59" s="12" t="s">
        <v>333</v>
      </c>
      <c r="BH59" s="20">
        <v>0</v>
      </c>
      <c r="BI59" s="12" t="s">
        <v>333</v>
      </c>
      <c r="BJ59" s="20">
        <v>0</v>
      </c>
      <c r="BK59" s="12" t="s">
        <v>333</v>
      </c>
      <c r="BL59" s="20">
        <v>0</v>
      </c>
      <c r="BM59" s="12" t="s">
        <v>333</v>
      </c>
      <c r="BN59" s="11">
        <v>0.94399999999999995</v>
      </c>
      <c r="BO59" s="12" t="s">
        <v>333</v>
      </c>
      <c r="BP59" s="20">
        <v>0</v>
      </c>
      <c r="BQ59" s="12" t="s">
        <v>333</v>
      </c>
      <c r="BR59" s="20">
        <v>0</v>
      </c>
      <c r="BS59" s="12" t="s">
        <v>333</v>
      </c>
      <c r="BT59" s="20">
        <v>0</v>
      </c>
      <c r="BU59" s="12" t="s">
        <v>333</v>
      </c>
      <c r="BV59" s="11">
        <v>1.927</v>
      </c>
      <c r="BW59" s="12" t="s">
        <v>333</v>
      </c>
      <c r="BX59" s="20">
        <v>0</v>
      </c>
      <c r="BY59" s="12" t="s">
        <v>333</v>
      </c>
      <c r="BZ59" s="20">
        <v>0</v>
      </c>
      <c r="CA59" s="12" t="s">
        <v>333</v>
      </c>
      <c r="CB59" s="20">
        <v>0</v>
      </c>
      <c r="CC59" s="12" t="s">
        <v>333</v>
      </c>
    </row>
    <row r="60" spans="1:81" x14ac:dyDescent="0.2">
      <c r="A60" s="10" t="s">
        <v>508</v>
      </c>
      <c r="B60" s="83">
        <v>0</v>
      </c>
      <c r="C60" s="82" t="s">
        <v>333</v>
      </c>
      <c r="D60" s="83">
        <v>0</v>
      </c>
      <c r="E60" s="82" t="s">
        <v>333</v>
      </c>
      <c r="F60" s="83">
        <v>0</v>
      </c>
      <c r="G60" s="82" t="s">
        <v>333</v>
      </c>
      <c r="H60" s="83">
        <v>0</v>
      </c>
      <c r="I60" s="82" t="s">
        <v>333</v>
      </c>
      <c r="J60" s="83">
        <v>0</v>
      </c>
      <c r="K60" s="82" t="s">
        <v>333</v>
      </c>
      <c r="L60" s="83">
        <v>0</v>
      </c>
      <c r="M60" s="82" t="s">
        <v>333</v>
      </c>
      <c r="N60" s="82" t="s">
        <v>202</v>
      </c>
      <c r="O60" s="82" t="s">
        <v>333</v>
      </c>
      <c r="P60" s="82" t="s">
        <v>202</v>
      </c>
      <c r="Q60" s="82" t="s">
        <v>333</v>
      </c>
      <c r="R60" s="82" t="s">
        <v>202</v>
      </c>
      <c r="S60" s="82" t="s">
        <v>333</v>
      </c>
      <c r="T60" s="82" t="s">
        <v>202</v>
      </c>
      <c r="U60" s="82" t="s">
        <v>333</v>
      </c>
      <c r="V60" s="82" t="s">
        <v>202</v>
      </c>
      <c r="W60" s="82" t="s">
        <v>333</v>
      </c>
      <c r="X60" s="83">
        <v>0</v>
      </c>
      <c r="Y60" s="82" t="s">
        <v>333</v>
      </c>
      <c r="Z60" s="83">
        <v>0</v>
      </c>
      <c r="AA60" s="82" t="s">
        <v>333</v>
      </c>
      <c r="AB60" s="83">
        <v>0</v>
      </c>
      <c r="AC60" s="82" t="s">
        <v>333</v>
      </c>
      <c r="AD60" s="83">
        <v>0</v>
      </c>
      <c r="AE60" s="82" t="s">
        <v>333</v>
      </c>
      <c r="AF60" s="83">
        <v>0</v>
      </c>
      <c r="AG60" s="82" t="s">
        <v>333</v>
      </c>
      <c r="AH60" s="83">
        <v>0</v>
      </c>
      <c r="AI60" s="82" t="s">
        <v>333</v>
      </c>
      <c r="AJ60" s="83">
        <v>0</v>
      </c>
      <c r="AK60" s="82" t="s">
        <v>333</v>
      </c>
      <c r="AL60" s="83">
        <v>0</v>
      </c>
      <c r="AM60" s="82" t="s">
        <v>333</v>
      </c>
      <c r="AN60" s="83">
        <v>0</v>
      </c>
      <c r="AO60" s="82" t="s">
        <v>333</v>
      </c>
      <c r="AP60" s="83">
        <v>0</v>
      </c>
      <c r="AQ60" s="82" t="s">
        <v>333</v>
      </c>
      <c r="AR60" s="83">
        <v>0</v>
      </c>
      <c r="AS60" s="82" t="s">
        <v>333</v>
      </c>
      <c r="AT60" s="83">
        <v>0</v>
      </c>
      <c r="AU60" s="82" t="s">
        <v>333</v>
      </c>
      <c r="AV60" s="83">
        <v>0</v>
      </c>
      <c r="AW60" s="82" t="s">
        <v>333</v>
      </c>
      <c r="AX60" s="83">
        <v>0</v>
      </c>
      <c r="AY60" s="82" t="s">
        <v>333</v>
      </c>
      <c r="AZ60" s="83">
        <v>0</v>
      </c>
      <c r="BA60" s="82" t="s">
        <v>333</v>
      </c>
      <c r="BB60" s="83">
        <v>0</v>
      </c>
      <c r="BC60" s="82" t="s">
        <v>333</v>
      </c>
      <c r="BD60" s="83">
        <v>0</v>
      </c>
      <c r="BE60" s="82" t="s">
        <v>333</v>
      </c>
      <c r="BF60" s="83">
        <v>0</v>
      </c>
      <c r="BG60" s="82" t="s">
        <v>333</v>
      </c>
      <c r="BH60" s="83">
        <v>0</v>
      </c>
      <c r="BI60" s="82" t="s">
        <v>333</v>
      </c>
      <c r="BJ60" s="83">
        <v>0</v>
      </c>
      <c r="BK60" s="82" t="s">
        <v>333</v>
      </c>
      <c r="BL60" s="83">
        <v>0</v>
      </c>
      <c r="BM60" s="82" t="s">
        <v>333</v>
      </c>
      <c r="BN60" s="83">
        <v>0</v>
      </c>
      <c r="BO60" s="82" t="s">
        <v>333</v>
      </c>
      <c r="BP60" s="83">
        <v>0</v>
      </c>
      <c r="BQ60" s="82" t="s">
        <v>333</v>
      </c>
      <c r="BR60" s="83">
        <v>0</v>
      </c>
      <c r="BS60" s="82" t="s">
        <v>333</v>
      </c>
      <c r="BT60" s="83">
        <v>0</v>
      </c>
      <c r="BU60" s="82" t="s">
        <v>333</v>
      </c>
      <c r="BV60" s="83">
        <v>0</v>
      </c>
      <c r="BW60" s="82" t="s">
        <v>333</v>
      </c>
      <c r="BX60" s="83">
        <v>0</v>
      </c>
      <c r="BY60" s="82" t="s">
        <v>333</v>
      </c>
      <c r="BZ60" s="83">
        <v>0</v>
      </c>
      <c r="CA60" s="82" t="s">
        <v>333</v>
      </c>
      <c r="CB60" s="83">
        <v>0</v>
      </c>
      <c r="CC60" s="82" t="s">
        <v>333</v>
      </c>
    </row>
    <row r="61" spans="1:81" x14ac:dyDescent="0.2">
      <c r="A61" s="10" t="s">
        <v>509</v>
      </c>
      <c r="B61" s="20">
        <v>0</v>
      </c>
      <c r="C61" s="12" t="s">
        <v>333</v>
      </c>
      <c r="D61" s="20">
        <v>0</v>
      </c>
      <c r="E61" s="12" t="s">
        <v>333</v>
      </c>
      <c r="F61" s="20">
        <v>0</v>
      </c>
      <c r="G61" s="12" t="s">
        <v>333</v>
      </c>
      <c r="H61" s="20">
        <v>0</v>
      </c>
      <c r="I61" s="12" t="s">
        <v>333</v>
      </c>
      <c r="J61" s="20">
        <v>0</v>
      </c>
      <c r="K61" s="12" t="s">
        <v>333</v>
      </c>
      <c r="L61" s="20">
        <v>0</v>
      </c>
      <c r="M61" s="12" t="s">
        <v>333</v>
      </c>
      <c r="N61" s="12" t="s">
        <v>202</v>
      </c>
      <c r="O61" s="12" t="s">
        <v>333</v>
      </c>
      <c r="P61" s="12" t="s">
        <v>202</v>
      </c>
      <c r="Q61" s="12" t="s">
        <v>333</v>
      </c>
      <c r="R61" s="12" t="s">
        <v>202</v>
      </c>
      <c r="S61" s="12" t="s">
        <v>333</v>
      </c>
      <c r="T61" s="12" t="s">
        <v>202</v>
      </c>
      <c r="U61" s="12" t="s">
        <v>333</v>
      </c>
      <c r="V61" s="12" t="s">
        <v>202</v>
      </c>
      <c r="W61" s="12" t="s">
        <v>333</v>
      </c>
      <c r="X61" s="20">
        <v>0</v>
      </c>
      <c r="Y61" s="12" t="s">
        <v>333</v>
      </c>
      <c r="Z61" s="20">
        <v>0</v>
      </c>
      <c r="AA61" s="12" t="s">
        <v>333</v>
      </c>
      <c r="AB61" s="20">
        <v>0</v>
      </c>
      <c r="AC61" s="12" t="s">
        <v>333</v>
      </c>
      <c r="AD61" s="20">
        <v>0</v>
      </c>
      <c r="AE61" s="12" t="s">
        <v>333</v>
      </c>
      <c r="AF61" s="20">
        <v>0</v>
      </c>
      <c r="AG61" s="12" t="s">
        <v>333</v>
      </c>
      <c r="AH61" s="20">
        <v>0</v>
      </c>
      <c r="AI61" s="12" t="s">
        <v>333</v>
      </c>
      <c r="AJ61" s="20">
        <v>0</v>
      </c>
      <c r="AK61" s="12" t="s">
        <v>333</v>
      </c>
      <c r="AL61" s="20">
        <v>0</v>
      </c>
      <c r="AM61" s="12" t="s">
        <v>333</v>
      </c>
      <c r="AN61" s="20">
        <v>0</v>
      </c>
      <c r="AO61" s="12" t="s">
        <v>333</v>
      </c>
      <c r="AP61" s="20">
        <v>0</v>
      </c>
      <c r="AQ61" s="12" t="s">
        <v>333</v>
      </c>
      <c r="AR61" s="20">
        <v>0</v>
      </c>
      <c r="AS61" s="12" t="s">
        <v>333</v>
      </c>
      <c r="AT61" s="20">
        <v>0</v>
      </c>
      <c r="AU61" s="12" t="s">
        <v>333</v>
      </c>
      <c r="AV61" s="20">
        <v>0</v>
      </c>
      <c r="AW61" s="12" t="s">
        <v>333</v>
      </c>
      <c r="AX61" s="20">
        <v>0</v>
      </c>
      <c r="AY61" s="12" t="s">
        <v>333</v>
      </c>
      <c r="AZ61" s="20">
        <v>0</v>
      </c>
      <c r="BA61" s="12" t="s">
        <v>333</v>
      </c>
      <c r="BB61" s="20">
        <v>0</v>
      </c>
      <c r="BC61" s="12" t="s">
        <v>333</v>
      </c>
      <c r="BD61" s="20">
        <v>0</v>
      </c>
      <c r="BE61" s="12" t="s">
        <v>333</v>
      </c>
      <c r="BF61" s="20">
        <v>0</v>
      </c>
      <c r="BG61" s="12" t="s">
        <v>333</v>
      </c>
      <c r="BH61" s="20">
        <v>0</v>
      </c>
      <c r="BI61" s="12" t="s">
        <v>333</v>
      </c>
      <c r="BJ61" s="20">
        <v>0</v>
      </c>
      <c r="BK61" s="12" t="s">
        <v>333</v>
      </c>
      <c r="BL61" s="20">
        <v>0</v>
      </c>
      <c r="BM61" s="12" t="s">
        <v>333</v>
      </c>
      <c r="BN61" s="20">
        <v>0</v>
      </c>
      <c r="BO61" s="12" t="s">
        <v>333</v>
      </c>
      <c r="BP61" s="20">
        <v>0</v>
      </c>
      <c r="BQ61" s="12" t="s">
        <v>333</v>
      </c>
      <c r="BR61" s="20">
        <v>0</v>
      </c>
      <c r="BS61" s="12" t="s">
        <v>333</v>
      </c>
      <c r="BT61" s="20">
        <v>0</v>
      </c>
      <c r="BU61" s="12" t="s">
        <v>333</v>
      </c>
      <c r="BV61" s="20">
        <v>0</v>
      </c>
      <c r="BW61" s="12" t="s">
        <v>333</v>
      </c>
      <c r="BX61" s="20">
        <v>0</v>
      </c>
      <c r="BY61" s="12" t="s">
        <v>333</v>
      </c>
      <c r="BZ61" s="20">
        <v>0</v>
      </c>
      <c r="CA61" s="12" t="s">
        <v>333</v>
      </c>
      <c r="CB61" s="20">
        <v>0</v>
      </c>
      <c r="CC61" s="12" t="s">
        <v>333</v>
      </c>
    </row>
    <row r="62" spans="1:81" x14ac:dyDescent="0.2">
      <c r="A62" s="10" t="s">
        <v>226</v>
      </c>
      <c r="B62" s="83">
        <v>0</v>
      </c>
      <c r="C62" s="82" t="s">
        <v>333</v>
      </c>
      <c r="D62" s="83">
        <v>0</v>
      </c>
      <c r="E62" s="82" t="s">
        <v>333</v>
      </c>
      <c r="F62" s="83">
        <v>0</v>
      </c>
      <c r="G62" s="82" t="s">
        <v>333</v>
      </c>
      <c r="H62" s="83">
        <v>0</v>
      </c>
      <c r="I62" s="82" t="s">
        <v>333</v>
      </c>
      <c r="J62" s="83">
        <v>0</v>
      </c>
      <c r="K62" s="82" t="s">
        <v>333</v>
      </c>
      <c r="L62" s="83">
        <v>0</v>
      </c>
      <c r="M62" s="82" t="s">
        <v>333</v>
      </c>
      <c r="N62" s="82" t="s">
        <v>202</v>
      </c>
      <c r="O62" s="82" t="s">
        <v>333</v>
      </c>
      <c r="P62" s="82" t="s">
        <v>202</v>
      </c>
      <c r="Q62" s="82" t="s">
        <v>333</v>
      </c>
      <c r="R62" s="82" t="s">
        <v>202</v>
      </c>
      <c r="S62" s="82" t="s">
        <v>333</v>
      </c>
      <c r="T62" s="82" t="s">
        <v>202</v>
      </c>
      <c r="U62" s="82" t="s">
        <v>333</v>
      </c>
      <c r="V62" s="82" t="s">
        <v>202</v>
      </c>
      <c r="W62" s="82" t="s">
        <v>333</v>
      </c>
      <c r="X62" s="83">
        <v>0</v>
      </c>
      <c r="Y62" s="82" t="s">
        <v>333</v>
      </c>
      <c r="Z62" s="83">
        <v>0</v>
      </c>
      <c r="AA62" s="82" t="s">
        <v>333</v>
      </c>
      <c r="AB62" s="83">
        <v>0</v>
      </c>
      <c r="AC62" s="82" t="s">
        <v>333</v>
      </c>
      <c r="AD62" s="83">
        <v>0</v>
      </c>
      <c r="AE62" s="82" t="s">
        <v>333</v>
      </c>
      <c r="AF62" s="83">
        <v>0</v>
      </c>
      <c r="AG62" s="82" t="s">
        <v>333</v>
      </c>
      <c r="AH62" s="83">
        <v>0</v>
      </c>
      <c r="AI62" s="82" t="s">
        <v>333</v>
      </c>
      <c r="AJ62" s="83">
        <v>0</v>
      </c>
      <c r="AK62" s="82" t="s">
        <v>333</v>
      </c>
      <c r="AL62" s="83">
        <v>0</v>
      </c>
      <c r="AM62" s="82" t="s">
        <v>333</v>
      </c>
      <c r="AN62" s="83">
        <v>0</v>
      </c>
      <c r="AO62" s="82" t="s">
        <v>333</v>
      </c>
      <c r="AP62" s="83">
        <v>0</v>
      </c>
      <c r="AQ62" s="82" t="s">
        <v>333</v>
      </c>
      <c r="AR62" s="83">
        <v>0</v>
      </c>
      <c r="AS62" s="82" t="s">
        <v>333</v>
      </c>
      <c r="AT62" s="83">
        <v>0</v>
      </c>
      <c r="AU62" s="82" t="s">
        <v>333</v>
      </c>
      <c r="AV62" s="83">
        <v>0</v>
      </c>
      <c r="AW62" s="82" t="s">
        <v>333</v>
      </c>
      <c r="AX62" s="83">
        <v>0</v>
      </c>
      <c r="AY62" s="82" t="s">
        <v>333</v>
      </c>
      <c r="AZ62" s="83">
        <v>0</v>
      </c>
      <c r="BA62" s="82" t="s">
        <v>333</v>
      </c>
      <c r="BB62" s="83">
        <v>0</v>
      </c>
      <c r="BC62" s="82" t="s">
        <v>333</v>
      </c>
      <c r="BD62" s="83">
        <v>0</v>
      </c>
      <c r="BE62" s="82" t="s">
        <v>333</v>
      </c>
      <c r="BF62" s="83">
        <v>0</v>
      </c>
      <c r="BG62" s="82" t="s">
        <v>333</v>
      </c>
      <c r="BH62" s="83">
        <v>0</v>
      </c>
      <c r="BI62" s="82" t="s">
        <v>333</v>
      </c>
      <c r="BJ62" s="83">
        <v>0</v>
      </c>
      <c r="BK62" s="82" t="s">
        <v>333</v>
      </c>
      <c r="BL62" s="83">
        <v>0</v>
      </c>
      <c r="BM62" s="82" t="s">
        <v>333</v>
      </c>
      <c r="BN62" s="83">
        <v>0</v>
      </c>
      <c r="BO62" s="82" t="s">
        <v>333</v>
      </c>
      <c r="BP62" s="83">
        <v>0</v>
      </c>
      <c r="BQ62" s="82" t="s">
        <v>333</v>
      </c>
      <c r="BR62" s="83">
        <v>0</v>
      </c>
      <c r="BS62" s="82" t="s">
        <v>333</v>
      </c>
      <c r="BT62" s="83">
        <v>0</v>
      </c>
      <c r="BU62" s="82" t="s">
        <v>333</v>
      </c>
      <c r="BV62" s="83">
        <v>0</v>
      </c>
      <c r="BW62" s="82" t="s">
        <v>333</v>
      </c>
      <c r="BX62" s="83">
        <v>0</v>
      </c>
      <c r="BY62" s="82" t="s">
        <v>333</v>
      </c>
      <c r="BZ62" s="83">
        <v>0</v>
      </c>
      <c r="CA62" s="82" t="s">
        <v>333</v>
      </c>
      <c r="CB62" s="83">
        <v>0</v>
      </c>
      <c r="CC62" s="82" t="s">
        <v>333</v>
      </c>
    </row>
    <row r="63" spans="1:81" x14ac:dyDescent="0.2">
      <c r="A63" s="10" t="s">
        <v>510</v>
      </c>
      <c r="B63" s="20">
        <v>0</v>
      </c>
      <c r="C63" s="12" t="s">
        <v>333</v>
      </c>
      <c r="D63" s="20">
        <v>0</v>
      </c>
      <c r="E63" s="12" t="s">
        <v>333</v>
      </c>
      <c r="F63" s="20">
        <v>0</v>
      </c>
      <c r="G63" s="12" t="s">
        <v>333</v>
      </c>
      <c r="H63" s="20">
        <v>0</v>
      </c>
      <c r="I63" s="12" t="s">
        <v>333</v>
      </c>
      <c r="J63" s="20">
        <v>0</v>
      </c>
      <c r="K63" s="12" t="s">
        <v>333</v>
      </c>
      <c r="L63" s="20">
        <v>0</v>
      </c>
      <c r="M63" s="12" t="s">
        <v>333</v>
      </c>
      <c r="N63" s="12" t="s">
        <v>202</v>
      </c>
      <c r="O63" s="12" t="s">
        <v>333</v>
      </c>
      <c r="P63" s="12" t="s">
        <v>202</v>
      </c>
      <c r="Q63" s="12" t="s">
        <v>333</v>
      </c>
      <c r="R63" s="12" t="s">
        <v>202</v>
      </c>
      <c r="S63" s="12" t="s">
        <v>333</v>
      </c>
      <c r="T63" s="12" t="s">
        <v>202</v>
      </c>
      <c r="U63" s="12" t="s">
        <v>333</v>
      </c>
      <c r="V63" s="12" t="s">
        <v>202</v>
      </c>
      <c r="W63" s="12" t="s">
        <v>333</v>
      </c>
      <c r="X63" s="20">
        <v>0</v>
      </c>
      <c r="Y63" s="12" t="s">
        <v>333</v>
      </c>
      <c r="Z63" s="20">
        <v>0</v>
      </c>
      <c r="AA63" s="12" t="s">
        <v>333</v>
      </c>
      <c r="AB63" s="20">
        <v>0</v>
      </c>
      <c r="AC63" s="12" t="s">
        <v>333</v>
      </c>
      <c r="AD63" s="20">
        <v>0</v>
      </c>
      <c r="AE63" s="12" t="s">
        <v>333</v>
      </c>
      <c r="AF63" s="20">
        <v>0</v>
      </c>
      <c r="AG63" s="12" t="s">
        <v>333</v>
      </c>
      <c r="AH63" s="20">
        <v>0</v>
      </c>
      <c r="AI63" s="12" t="s">
        <v>333</v>
      </c>
      <c r="AJ63" s="20">
        <v>0</v>
      </c>
      <c r="AK63" s="12" t="s">
        <v>333</v>
      </c>
      <c r="AL63" s="20">
        <v>0</v>
      </c>
      <c r="AM63" s="12" t="s">
        <v>333</v>
      </c>
      <c r="AN63" s="20">
        <v>0</v>
      </c>
      <c r="AO63" s="12" t="s">
        <v>333</v>
      </c>
      <c r="AP63" s="20">
        <v>0</v>
      </c>
      <c r="AQ63" s="12" t="s">
        <v>333</v>
      </c>
      <c r="AR63" s="20">
        <v>0</v>
      </c>
      <c r="AS63" s="12" t="s">
        <v>333</v>
      </c>
      <c r="AT63" s="20">
        <v>0</v>
      </c>
      <c r="AU63" s="12" t="s">
        <v>333</v>
      </c>
      <c r="AV63" s="20">
        <v>0</v>
      </c>
      <c r="AW63" s="12" t="s">
        <v>333</v>
      </c>
      <c r="AX63" s="20">
        <v>0</v>
      </c>
      <c r="AY63" s="12" t="s">
        <v>333</v>
      </c>
      <c r="AZ63" s="20">
        <v>0</v>
      </c>
      <c r="BA63" s="12" t="s">
        <v>333</v>
      </c>
      <c r="BB63" s="20">
        <v>0</v>
      </c>
      <c r="BC63" s="12" t="s">
        <v>333</v>
      </c>
      <c r="BD63" s="20">
        <v>0</v>
      </c>
      <c r="BE63" s="12" t="s">
        <v>333</v>
      </c>
      <c r="BF63" s="20">
        <v>0</v>
      </c>
      <c r="BG63" s="12" t="s">
        <v>333</v>
      </c>
      <c r="BH63" s="20">
        <v>0</v>
      </c>
      <c r="BI63" s="12" t="s">
        <v>333</v>
      </c>
      <c r="BJ63" s="20">
        <v>0</v>
      </c>
      <c r="BK63" s="12" t="s">
        <v>333</v>
      </c>
      <c r="BL63" s="20">
        <v>0</v>
      </c>
      <c r="BM63" s="12" t="s">
        <v>333</v>
      </c>
      <c r="BN63" s="20">
        <v>0</v>
      </c>
      <c r="BO63" s="12" t="s">
        <v>333</v>
      </c>
      <c r="BP63" s="20">
        <v>0</v>
      </c>
      <c r="BQ63" s="12" t="s">
        <v>333</v>
      </c>
      <c r="BR63" s="20">
        <v>0</v>
      </c>
      <c r="BS63" s="12" t="s">
        <v>333</v>
      </c>
      <c r="BT63" s="20">
        <v>0</v>
      </c>
      <c r="BU63" s="12" t="s">
        <v>333</v>
      </c>
      <c r="BV63" s="20">
        <v>0</v>
      </c>
      <c r="BW63" s="12" t="s">
        <v>333</v>
      </c>
      <c r="BX63" s="20">
        <v>0</v>
      </c>
      <c r="BY63" s="12" t="s">
        <v>333</v>
      </c>
      <c r="BZ63" s="20">
        <v>0</v>
      </c>
      <c r="CA63" s="12" t="s">
        <v>333</v>
      </c>
      <c r="CB63" s="20">
        <v>0</v>
      </c>
      <c r="CC63" s="12" t="s">
        <v>333</v>
      </c>
    </row>
    <row r="64" spans="1:81" x14ac:dyDescent="0.2">
      <c r="A64" s="10" t="s">
        <v>511</v>
      </c>
      <c r="B64" s="81">
        <v>35.715000000000003</v>
      </c>
      <c r="C64" s="82" t="s">
        <v>333</v>
      </c>
      <c r="D64" s="81">
        <v>35.715000000000003</v>
      </c>
      <c r="E64" s="82" t="s">
        <v>333</v>
      </c>
      <c r="F64" s="83">
        <v>0</v>
      </c>
      <c r="G64" s="82" t="s">
        <v>333</v>
      </c>
      <c r="H64" s="83">
        <v>0</v>
      </c>
      <c r="I64" s="82" t="s">
        <v>333</v>
      </c>
      <c r="J64" s="83">
        <v>0</v>
      </c>
      <c r="K64" s="82" t="s">
        <v>333</v>
      </c>
      <c r="L64" s="83">
        <v>0</v>
      </c>
      <c r="M64" s="82" t="s">
        <v>333</v>
      </c>
      <c r="N64" s="82" t="s">
        <v>202</v>
      </c>
      <c r="O64" s="82" t="s">
        <v>333</v>
      </c>
      <c r="P64" s="82" t="s">
        <v>202</v>
      </c>
      <c r="Q64" s="82" t="s">
        <v>333</v>
      </c>
      <c r="R64" s="82" t="s">
        <v>202</v>
      </c>
      <c r="S64" s="82" t="s">
        <v>333</v>
      </c>
      <c r="T64" s="82" t="s">
        <v>202</v>
      </c>
      <c r="U64" s="82" t="s">
        <v>333</v>
      </c>
      <c r="V64" s="82" t="s">
        <v>202</v>
      </c>
      <c r="W64" s="82" t="s">
        <v>333</v>
      </c>
      <c r="X64" s="81">
        <v>35.715000000000003</v>
      </c>
      <c r="Y64" s="82" t="s">
        <v>333</v>
      </c>
      <c r="Z64" s="81">
        <v>35.715000000000003</v>
      </c>
      <c r="AA64" s="82" t="s">
        <v>333</v>
      </c>
      <c r="AB64" s="81">
        <v>35.715000000000003</v>
      </c>
      <c r="AC64" s="82" t="s">
        <v>333</v>
      </c>
      <c r="AD64" s="83">
        <v>0</v>
      </c>
      <c r="AE64" s="82" t="s">
        <v>333</v>
      </c>
      <c r="AF64" s="83">
        <v>0</v>
      </c>
      <c r="AG64" s="82" t="s">
        <v>333</v>
      </c>
      <c r="AH64" s="83">
        <v>0</v>
      </c>
      <c r="AI64" s="82" t="s">
        <v>333</v>
      </c>
      <c r="AJ64" s="83">
        <v>0</v>
      </c>
      <c r="AK64" s="82" t="s">
        <v>333</v>
      </c>
      <c r="AL64" s="83">
        <v>0</v>
      </c>
      <c r="AM64" s="82" t="s">
        <v>333</v>
      </c>
      <c r="AN64" s="83">
        <v>0</v>
      </c>
      <c r="AO64" s="82" t="s">
        <v>333</v>
      </c>
      <c r="AP64" s="83">
        <v>0</v>
      </c>
      <c r="AQ64" s="82" t="s">
        <v>333</v>
      </c>
      <c r="AR64" s="83">
        <v>0</v>
      </c>
      <c r="AS64" s="82" t="s">
        <v>333</v>
      </c>
      <c r="AT64" s="83">
        <v>0</v>
      </c>
      <c r="AU64" s="82" t="s">
        <v>333</v>
      </c>
      <c r="AV64" s="83">
        <v>0</v>
      </c>
      <c r="AW64" s="82" t="s">
        <v>333</v>
      </c>
      <c r="AX64" s="83">
        <v>0</v>
      </c>
      <c r="AY64" s="82" t="s">
        <v>333</v>
      </c>
      <c r="AZ64" s="83">
        <v>0</v>
      </c>
      <c r="BA64" s="82" t="s">
        <v>333</v>
      </c>
      <c r="BB64" s="83">
        <v>0</v>
      </c>
      <c r="BC64" s="82" t="s">
        <v>333</v>
      </c>
      <c r="BD64" s="83">
        <v>0</v>
      </c>
      <c r="BE64" s="82" t="s">
        <v>333</v>
      </c>
      <c r="BF64" s="83">
        <v>0</v>
      </c>
      <c r="BG64" s="82" t="s">
        <v>333</v>
      </c>
      <c r="BH64" s="83">
        <v>0</v>
      </c>
      <c r="BI64" s="82" t="s">
        <v>333</v>
      </c>
      <c r="BJ64" s="83">
        <v>0</v>
      </c>
      <c r="BK64" s="82" t="s">
        <v>333</v>
      </c>
      <c r="BL64" s="83">
        <v>0</v>
      </c>
      <c r="BM64" s="82" t="s">
        <v>333</v>
      </c>
      <c r="BN64" s="83">
        <v>0</v>
      </c>
      <c r="BO64" s="82" t="s">
        <v>333</v>
      </c>
      <c r="BP64" s="83">
        <v>0</v>
      </c>
      <c r="BQ64" s="82" t="s">
        <v>333</v>
      </c>
      <c r="BR64" s="83">
        <v>0</v>
      </c>
      <c r="BS64" s="82" t="s">
        <v>333</v>
      </c>
      <c r="BT64" s="83">
        <v>0</v>
      </c>
      <c r="BU64" s="82" t="s">
        <v>333</v>
      </c>
      <c r="BV64" s="83">
        <v>0</v>
      </c>
      <c r="BW64" s="82" t="s">
        <v>333</v>
      </c>
      <c r="BX64" s="83">
        <v>0</v>
      </c>
      <c r="BY64" s="82" t="s">
        <v>333</v>
      </c>
      <c r="BZ64" s="83">
        <v>0</v>
      </c>
      <c r="CA64" s="82" t="s">
        <v>333</v>
      </c>
      <c r="CB64" s="83">
        <v>0</v>
      </c>
      <c r="CC64" s="82" t="s">
        <v>333</v>
      </c>
    </row>
    <row r="65" spans="1:81" x14ac:dyDescent="0.2">
      <c r="A65" s="10" t="s">
        <v>391</v>
      </c>
      <c r="B65" s="11">
        <v>35.715000000000003</v>
      </c>
      <c r="C65" s="12" t="s">
        <v>333</v>
      </c>
      <c r="D65" s="11">
        <v>35.715000000000003</v>
      </c>
      <c r="E65" s="12" t="s">
        <v>333</v>
      </c>
      <c r="F65" s="20">
        <v>0</v>
      </c>
      <c r="G65" s="12" t="s">
        <v>333</v>
      </c>
      <c r="H65" s="20">
        <v>0</v>
      </c>
      <c r="I65" s="12" t="s">
        <v>333</v>
      </c>
      <c r="J65" s="20">
        <v>0</v>
      </c>
      <c r="K65" s="12" t="s">
        <v>333</v>
      </c>
      <c r="L65" s="20">
        <v>0</v>
      </c>
      <c r="M65" s="12" t="s">
        <v>333</v>
      </c>
      <c r="N65" s="12" t="s">
        <v>202</v>
      </c>
      <c r="O65" s="12" t="s">
        <v>333</v>
      </c>
      <c r="P65" s="12" t="s">
        <v>202</v>
      </c>
      <c r="Q65" s="12" t="s">
        <v>333</v>
      </c>
      <c r="R65" s="12" t="s">
        <v>202</v>
      </c>
      <c r="S65" s="12" t="s">
        <v>333</v>
      </c>
      <c r="T65" s="12" t="s">
        <v>202</v>
      </c>
      <c r="U65" s="12" t="s">
        <v>333</v>
      </c>
      <c r="V65" s="12" t="s">
        <v>202</v>
      </c>
      <c r="W65" s="12" t="s">
        <v>333</v>
      </c>
      <c r="X65" s="11">
        <v>35.715000000000003</v>
      </c>
      <c r="Y65" s="12" t="s">
        <v>333</v>
      </c>
      <c r="Z65" s="11">
        <v>35.715000000000003</v>
      </c>
      <c r="AA65" s="12" t="s">
        <v>333</v>
      </c>
      <c r="AB65" s="11">
        <v>35.715000000000003</v>
      </c>
      <c r="AC65" s="12" t="s">
        <v>333</v>
      </c>
      <c r="AD65" s="20">
        <v>0</v>
      </c>
      <c r="AE65" s="12" t="s">
        <v>333</v>
      </c>
      <c r="AF65" s="20">
        <v>0</v>
      </c>
      <c r="AG65" s="12" t="s">
        <v>333</v>
      </c>
      <c r="AH65" s="20">
        <v>0</v>
      </c>
      <c r="AI65" s="12" t="s">
        <v>333</v>
      </c>
      <c r="AJ65" s="20">
        <v>0</v>
      </c>
      <c r="AK65" s="12" t="s">
        <v>333</v>
      </c>
      <c r="AL65" s="20">
        <v>0</v>
      </c>
      <c r="AM65" s="12" t="s">
        <v>333</v>
      </c>
      <c r="AN65" s="20">
        <v>0</v>
      </c>
      <c r="AO65" s="12" t="s">
        <v>333</v>
      </c>
      <c r="AP65" s="20">
        <v>0</v>
      </c>
      <c r="AQ65" s="12" t="s">
        <v>333</v>
      </c>
      <c r="AR65" s="20">
        <v>0</v>
      </c>
      <c r="AS65" s="12" t="s">
        <v>333</v>
      </c>
      <c r="AT65" s="20">
        <v>0</v>
      </c>
      <c r="AU65" s="12" t="s">
        <v>333</v>
      </c>
      <c r="AV65" s="20">
        <v>0</v>
      </c>
      <c r="AW65" s="12" t="s">
        <v>333</v>
      </c>
      <c r="AX65" s="20">
        <v>0</v>
      </c>
      <c r="AY65" s="12" t="s">
        <v>333</v>
      </c>
      <c r="AZ65" s="20">
        <v>0</v>
      </c>
      <c r="BA65" s="12" t="s">
        <v>333</v>
      </c>
      <c r="BB65" s="20">
        <v>0</v>
      </c>
      <c r="BC65" s="12" t="s">
        <v>333</v>
      </c>
      <c r="BD65" s="20">
        <v>0</v>
      </c>
      <c r="BE65" s="12" t="s">
        <v>333</v>
      </c>
      <c r="BF65" s="20">
        <v>0</v>
      </c>
      <c r="BG65" s="12" t="s">
        <v>333</v>
      </c>
      <c r="BH65" s="20">
        <v>0</v>
      </c>
      <c r="BI65" s="12" t="s">
        <v>333</v>
      </c>
      <c r="BJ65" s="20">
        <v>0</v>
      </c>
      <c r="BK65" s="12" t="s">
        <v>333</v>
      </c>
      <c r="BL65" s="20">
        <v>0</v>
      </c>
      <c r="BM65" s="12" t="s">
        <v>333</v>
      </c>
      <c r="BN65" s="20">
        <v>0</v>
      </c>
      <c r="BO65" s="12" t="s">
        <v>333</v>
      </c>
      <c r="BP65" s="20">
        <v>0</v>
      </c>
      <c r="BQ65" s="12" t="s">
        <v>333</v>
      </c>
      <c r="BR65" s="20">
        <v>0</v>
      </c>
      <c r="BS65" s="12" t="s">
        <v>333</v>
      </c>
      <c r="BT65" s="20">
        <v>0</v>
      </c>
      <c r="BU65" s="12" t="s">
        <v>333</v>
      </c>
      <c r="BV65" s="20">
        <v>0</v>
      </c>
      <c r="BW65" s="12" t="s">
        <v>333</v>
      </c>
      <c r="BX65" s="20">
        <v>0</v>
      </c>
      <c r="BY65" s="12" t="s">
        <v>333</v>
      </c>
      <c r="BZ65" s="20">
        <v>0</v>
      </c>
      <c r="CA65" s="12" t="s">
        <v>333</v>
      </c>
      <c r="CB65" s="20">
        <v>0</v>
      </c>
      <c r="CC65" s="12" t="s">
        <v>333</v>
      </c>
    </row>
    <row r="66" spans="1:81" x14ac:dyDescent="0.2">
      <c r="A66" s="10" t="s">
        <v>512</v>
      </c>
      <c r="B66" s="83">
        <v>0</v>
      </c>
      <c r="C66" s="82" t="s">
        <v>333</v>
      </c>
      <c r="D66" s="83">
        <v>0</v>
      </c>
      <c r="E66" s="82" t="s">
        <v>333</v>
      </c>
      <c r="F66" s="83">
        <v>0</v>
      </c>
      <c r="G66" s="82" t="s">
        <v>333</v>
      </c>
      <c r="H66" s="83">
        <v>0</v>
      </c>
      <c r="I66" s="82" t="s">
        <v>333</v>
      </c>
      <c r="J66" s="83">
        <v>0</v>
      </c>
      <c r="K66" s="82" t="s">
        <v>333</v>
      </c>
      <c r="L66" s="83">
        <v>0</v>
      </c>
      <c r="M66" s="82" t="s">
        <v>333</v>
      </c>
      <c r="N66" s="82" t="s">
        <v>202</v>
      </c>
      <c r="O66" s="82" t="s">
        <v>333</v>
      </c>
      <c r="P66" s="82" t="s">
        <v>202</v>
      </c>
      <c r="Q66" s="82" t="s">
        <v>333</v>
      </c>
      <c r="R66" s="82" t="s">
        <v>202</v>
      </c>
      <c r="S66" s="82" t="s">
        <v>333</v>
      </c>
      <c r="T66" s="82" t="s">
        <v>202</v>
      </c>
      <c r="U66" s="82" t="s">
        <v>333</v>
      </c>
      <c r="V66" s="82" t="s">
        <v>202</v>
      </c>
      <c r="W66" s="82" t="s">
        <v>333</v>
      </c>
      <c r="X66" s="83">
        <v>0</v>
      </c>
      <c r="Y66" s="82" t="s">
        <v>333</v>
      </c>
      <c r="Z66" s="83">
        <v>0</v>
      </c>
      <c r="AA66" s="82" t="s">
        <v>333</v>
      </c>
      <c r="AB66" s="83">
        <v>0</v>
      </c>
      <c r="AC66" s="82" t="s">
        <v>333</v>
      </c>
      <c r="AD66" s="83">
        <v>0</v>
      </c>
      <c r="AE66" s="82" t="s">
        <v>333</v>
      </c>
      <c r="AF66" s="83">
        <v>0</v>
      </c>
      <c r="AG66" s="82" t="s">
        <v>333</v>
      </c>
      <c r="AH66" s="83">
        <v>0</v>
      </c>
      <c r="AI66" s="82" t="s">
        <v>333</v>
      </c>
      <c r="AJ66" s="83">
        <v>0</v>
      </c>
      <c r="AK66" s="82" t="s">
        <v>333</v>
      </c>
      <c r="AL66" s="83">
        <v>0</v>
      </c>
      <c r="AM66" s="82" t="s">
        <v>333</v>
      </c>
      <c r="AN66" s="83">
        <v>0</v>
      </c>
      <c r="AO66" s="82" t="s">
        <v>333</v>
      </c>
      <c r="AP66" s="83">
        <v>0</v>
      </c>
      <c r="AQ66" s="82" t="s">
        <v>333</v>
      </c>
      <c r="AR66" s="83">
        <v>0</v>
      </c>
      <c r="AS66" s="82" t="s">
        <v>333</v>
      </c>
      <c r="AT66" s="83">
        <v>0</v>
      </c>
      <c r="AU66" s="82" t="s">
        <v>333</v>
      </c>
      <c r="AV66" s="83">
        <v>0</v>
      </c>
      <c r="AW66" s="82" t="s">
        <v>333</v>
      </c>
      <c r="AX66" s="83">
        <v>0</v>
      </c>
      <c r="AY66" s="82" t="s">
        <v>333</v>
      </c>
      <c r="AZ66" s="83">
        <v>0</v>
      </c>
      <c r="BA66" s="82" t="s">
        <v>333</v>
      </c>
      <c r="BB66" s="83">
        <v>0</v>
      </c>
      <c r="BC66" s="82" t="s">
        <v>333</v>
      </c>
      <c r="BD66" s="83">
        <v>0</v>
      </c>
      <c r="BE66" s="82" t="s">
        <v>333</v>
      </c>
      <c r="BF66" s="83">
        <v>0</v>
      </c>
      <c r="BG66" s="82" t="s">
        <v>333</v>
      </c>
      <c r="BH66" s="83">
        <v>0</v>
      </c>
      <c r="BI66" s="82" t="s">
        <v>333</v>
      </c>
      <c r="BJ66" s="83">
        <v>0</v>
      </c>
      <c r="BK66" s="82" t="s">
        <v>333</v>
      </c>
      <c r="BL66" s="83">
        <v>0</v>
      </c>
      <c r="BM66" s="82" t="s">
        <v>333</v>
      </c>
      <c r="BN66" s="83">
        <v>0</v>
      </c>
      <c r="BO66" s="82" t="s">
        <v>333</v>
      </c>
      <c r="BP66" s="83">
        <v>0</v>
      </c>
      <c r="BQ66" s="82" t="s">
        <v>333</v>
      </c>
      <c r="BR66" s="83">
        <v>0</v>
      </c>
      <c r="BS66" s="82" t="s">
        <v>333</v>
      </c>
      <c r="BT66" s="83">
        <v>0</v>
      </c>
      <c r="BU66" s="82" t="s">
        <v>333</v>
      </c>
      <c r="BV66" s="83">
        <v>0</v>
      </c>
      <c r="BW66" s="82" t="s">
        <v>333</v>
      </c>
      <c r="BX66" s="83">
        <v>0</v>
      </c>
      <c r="BY66" s="82" t="s">
        <v>333</v>
      </c>
      <c r="BZ66" s="83">
        <v>0</v>
      </c>
      <c r="CA66" s="82" t="s">
        <v>333</v>
      </c>
      <c r="CB66" s="83">
        <v>0</v>
      </c>
      <c r="CC66" s="82" t="s">
        <v>333</v>
      </c>
    </row>
    <row r="67" spans="1:81" x14ac:dyDescent="0.2">
      <c r="A67" s="10" t="s">
        <v>513</v>
      </c>
      <c r="B67" s="20">
        <v>0</v>
      </c>
      <c r="C67" s="12" t="s">
        <v>333</v>
      </c>
      <c r="D67" s="20">
        <v>0</v>
      </c>
      <c r="E67" s="12" t="s">
        <v>333</v>
      </c>
      <c r="F67" s="20">
        <v>0</v>
      </c>
      <c r="G67" s="12" t="s">
        <v>333</v>
      </c>
      <c r="H67" s="20">
        <v>0</v>
      </c>
      <c r="I67" s="12" t="s">
        <v>333</v>
      </c>
      <c r="J67" s="20">
        <v>0</v>
      </c>
      <c r="K67" s="12" t="s">
        <v>333</v>
      </c>
      <c r="L67" s="20">
        <v>0</v>
      </c>
      <c r="M67" s="12" t="s">
        <v>333</v>
      </c>
      <c r="N67" s="12" t="s">
        <v>202</v>
      </c>
      <c r="O67" s="12" t="s">
        <v>333</v>
      </c>
      <c r="P67" s="12" t="s">
        <v>202</v>
      </c>
      <c r="Q67" s="12" t="s">
        <v>333</v>
      </c>
      <c r="R67" s="12" t="s">
        <v>202</v>
      </c>
      <c r="S67" s="12" t="s">
        <v>333</v>
      </c>
      <c r="T67" s="12" t="s">
        <v>202</v>
      </c>
      <c r="U67" s="12" t="s">
        <v>333</v>
      </c>
      <c r="V67" s="12" t="s">
        <v>202</v>
      </c>
      <c r="W67" s="12" t="s">
        <v>333</v>
      </c>
      <c r="X67" s="20">
        <v>0</v>
      </c>
      <c r="Y67" s="12" t="s">
        <v>333</v>
      </c>
      <c r="Z67" s="20">
        <v>0</v>
      </c>
      <c r="AA67" s="12" t="s">
        <v>333</v>
      </c>
      <c r="AB67" s="20">
        <v>0</v>
      </c>
      <c r="AC67" s="12" t="s">
        <v>333</v>
      </c>
      <c r="AD67" s="20">
        <v>0</v>
      </c>
      <c r="AE67" s="12" t="s">
        <v>333</v>
      </c>
      <c r="AF67" s="20">
        <v>0</v>
      </c>
      <c r="AG67" s="12" t="s">
        <v>333</v>
      </c>
      <c r="AH67" s="20">
        <v>0</v>
      </c>
      <c r="AI67" s="12" t="s">
        <v>333</v>
      </c>
      <c r="AJ67" s="20">
        <v>0</v>
      </c>
      <c r="AK67" s="12" t="s">
        <v>333</v>
      </c>
      <c r="AL67" s="20">
        <v>0</v>
      </c>
      <c r="AM67" s="12" t="s">
        <v>333</v>
      </c>
      <c r="AN67" s="20">
        <v>0</v>
      </c>
      <c r="AO67" s="12" t="s">
        <v>333</v>
      </c>
      <c r="AP67" s="20">
        <v>0</v>
      </c>
      <c r="AQ67" s="12" t="s">
        <v>333</v>
      </c>
      <c r="AR67" s="20">
        <v>0</v>
      </c>
      <c r="AS67" s="12" t="s">
        <v>333</v>
      </c>
      <c r="AT67" s="20">
        <v>0</v>
      </c>
      <c r="AU67" s="12" t="s">
        <v>333</v>
      </c>
      <c r="AV67" s="20">
        <v>0</v>
      </c>
      <c r="AW67" s="12" t="s">
        <v>333</v>
      </c>
      <c r="AX67" s="20">
        <v>0</v>
      </c>
      <c r="AY67" s="12" t="s">
        <v>333</v>
      </c>
      <c r="AZ67" s="20">
        <v>0</v>
      </c>
      <c r="BA67" s="12" t="s">
        <v>333</v>
      </c>
      <c r="BB67" s="20">
        <v>0</v>
      </c>
      <c r="BC67" s="12" t="s">
        <v>333</v>
      </c>
      <c r="BD67" s="20">
        <v>0</v>
      </c>
      <c r="BE67" s="12" t="s">
        <v>333</v>
      </c>
      <c r="BF67" s="20">
        <v>0</v>
      </c>
      <c r="BG67" s="12" t="s">
        <v>333</v>
      </c>
      <c r="BH67" s="20">
        <v>0</v>
      </c>
      <c r="BI67" s="12" t="s">
        <v>333</v>
      </c>
      <c r="BJ67" s="20">
        <v>0</v>
      </c>
      <c r="BK67" s="12" t="s">
        <v>333</v>
      </c>
      <c r="BL67" s="20">
        <v>0</v>
      </c>
      <c r="BM67" s="12" t="s">
        <v>333</v>
      </c>
      <c r="BN67" s="20">
        <v>0</v>
      </c>
      <c r="BO67" s="12" t="s">
        <v>333</v>
      </c>
      <c r="BP67" s="20">
        <v>0</v>
      </c>
      <c r="BQ67" s="12" t="s">
        <v>333</v>
      </c>
      <c r="BR67" s="20">
        <v>0</v>
      </c>
      <c r="BS67" s="12" t="s">
        <v>333</v>
      </c>
      <c r="BT67" s="20">
        <v>0</v>
      </c>
      <c r="BU67" s="12" t="s">
        <v>333</v>
      </c>
      <c r="BV67" s="20">
        <v>0</v>
      </c>
      <c r="BW67" s="12" t="s">
        <v>333</v>
      </c>
      <c r="BX67" s="20">
        <v>0</v>
      </c>
      <c r="BY67" s="12" t="s">
        <v>333</v>
      </c>
      <c r="BZ67" s="20">
        <v>0</v>
      </c>
      <c r="CA67" s="12" t="s">
        <v>333</v>
      </c>
      <c r="CB67" s="20">
        <v>0</v>
      </c>
      <c r="CC67" s="12" t="s">
        <v>333</v>
      </c>
    </row>
    <row r="68" spans="1:81" x14ac:dyDescent="0.2">
      <c r="A68" s="10" t="s">
        <v>232</v>
      </c>
      <c r="B68" s="83">
        <v>0</v>
      </c>
      <c r="C68" s="82" t="s">
        <v>333</v>
      </c>
      <c r="D68" s="83">
        <v>0</v>
      </c>
      <c r="E68" s="82" t="s">
        <v>333</v>
      </c>
      <c r="F68" s="83">
        <v>0</v>
      </c>
      <c r="G68" s="82" t="s">
        <v>333</v>
      </c>
      <c r="H68" s="83">
        <v>0</v>
      </c>
      <c r="I68" s="82" t="s">
        <v>333</v>
      </c>
      <c r="J68" s="83">
        <v>0</v>
      </c>
      <c r="K68" s="82" t="s">
        <v>333</v>
      </c>
      <c r="L68" s="83">
        <v>0</v>
      </c>
      <c r="M68" s="82" t="s">
        <v>333</v>
      </c>
      <c r="N68" s="82" t="s">
        <v>202</v>
      </c>
      <c r="O68" s="82" t="s">
        <v>333</v>
      </c>
      <c r="P68" s="82" t="s">
        <v>202</v>
      </c>
      <c r="Q68" s="82" t="s">
        <v>333</v>
      </c>
      <c r="R68" s="82" t="s">
        <v>202</v>
      </c>
      <c r="S68" s="82" t="s">
        <v>333</v>
      </c>
      <c r="T68" s="82" t="s">
        <v>202</v>
      </c>
      <c r="U68" s="82" t="s">
        <v>333</v>
      </c>
      <c r="V68" s="82" t="s">
        <v>202</v>
      </c>
      <c r="W68" s="82" t="s">
        <v>333</v>
      </c>
      <c r="X68" s="83">
        <v>0</v>
      </c>
      <c r="Y68" s="82" t="s">
        <v>333</v>
      </c>
      <c r="Z68" s="83">
        <v>0</v>
      </c>
      <c r="AA68" s="82" t="s">
        <v>333</v>
      </c>
      <c r="AB68" s="83">
        <v>0</v>
      </c>
      <c r="AC68" s="82" t="s">
        <v>333</v>
      </c>
      <c r="AD68" s="83">
        <v>0</v>
      </c>
      <c r="AE68" s="82" t="s">
        <v>333</v>
      </c>
      <c r="AF68" s="83">
        <v>0</v>
      </c>
      <c r="AG68" s="82" t="s">
        <v>333</v>
      </c>
      <c r="AH68" s="83">
        <v>0</v>
      </c>
      <c r="AI68" s="82" t="s">
        <v>333</v>
      </c>
      <c r="AJ68" s="83">
        <v>0</v>
      </c>
      <c r="AK68" s="82" t="s">
        <v>333</v>
      </c>
      <c r="AL68" s="83">
        <v>0</v>
      </c>
      <c r="AM68" s="82" t="s">
        <v>333</v>
      </c>
      <c r="AN68" s="83">
        <v>0</v>
      </c>
      <c r="AO68" s="82" t="s">
        <v>333</v>
      </c>
      <c r="AP68" s="83">
        <v>0</v>
      </c>
      <c r="AQ68" s="82" t="s">
        <v>333</v>
      </c>
      <c r="AR68" s="83">
        <v>0</v>
      </c>
      <c r="AS68" s="82" t="s">
        <v>333</v>
      </c>
      <c r="AT68" s="83">
        <v>0</v>
      </c>
      <c r="AU68" s="82" t="s">
        <v>333</v>
      </c>
      <c r="AV68" s="83">
        <v>0</v>
      </c>
      <c r="AW68" s="82" t="s">
        <v>333</v>
      </c>
      <c r="AX68" s="83">
        <v>0</v>
      </c>
      <c r="AY68" s="82" t="s">
        <v>333</v>
      </c>
      <c r="AZ68" s="83">
        <v>0</v>
      </c>
      <c r="BA68" s="82" t="s">
        <v>333</v>
      </c>
      <c r="BB68" s="83">
        <v>0</v>
      </c>
      <c r="BC68" s="82" t="s">
        <v>333</v>
      </c>
      <c r="BD68" s="83">
        <v>0</v>
      </c>
      <c r="BE68" s="82" t="s">
        <v>333</v>
      </c>
      <c r="BF68" s="83">
        <v>0</v>
      </c>
      <c r="BG68" s="82" t="s">
        <v>333</v>
      </c>
      <c r="BH68" s="83">
        <v>0</v>
      </c>
      <c r="BI68" s="82" t="s">
        <v>333</v>
      </c>
      <c r="BJ68" s="83">
        <v>0</v>
      </c>
      <c r="BK68" s="82" t="s">
        <v>333</v>
      </c>
      <c r="BL68" s="83">
        <v>0</v>
      </c>
      <c r="BM68" s="82" t="s">
        <v>333</v>
      </c>
      <c r="BN68" s="83">
        <v>0</v>
      </c>
      <c r="BO68" s="82" t="s">
        <v>333</v>
      </c>
      <c r="BP68" s="83">
        <v>0</v>
      </c>
      <c r="BQ68" s="82" t="s">
        <v>333</v>
      </c>
      <c r="BR68" s="83">
        <v>0</v>
      </c>
      <c r="BS68" s="82" t="s">
        <v>333</v>
      </c>
      <c r="BT68" s="83">
        <v>0</v>
      </c>
      <c r="BU68" s="82" t="s">
        <v>333</v>
      </c>
      <c r="BV68" s="83">
        <v>0</v>
      </c>
      <c r="BW68" s="82" t="s">
        <v>333</v>
      </c>
      <c r="BX68" s="83">
        <v>0</v>
      </c>
      <c r="BY68" s="82" t="s">
        <v>333</v>
      </c>
      <c r="BZ68" s="83">
        <v>0</v>
      </c>
      <c r="CA68" s="82" t="s">
        <v>333</v>
      </c>
      <c r="CB68" s="83">
        <v>0</v>
      </c>
      <c r="CC68" s="82" t="s">
        <v>333</v>
      </c>
    </row>
    <row r="69" spans="1:81" x14ac:dyDescent="0.2">
      <c r="A69" s="10" t="s">
        <v>514</v>
      </c>
      <c r="B69" s="20">
        <v>0</v>
      </c>
      <c r="C69" s="12" t="s">
        <v>333</v>
      </c>
      <c r="D69" s="20">
        <v>0</v>
      </c>
      <c r="E69" s="12" t="s">
        <v>333</v>
      </c>
      <c r="F69" s="20">
        <v>0</v>
      </c>
      <c r="G69" s="12" t="s">
        <v>333</v>
      </c>
      <c r="H69" s="20">
        <v>0</v>
      </c>
      <c r="I69" s="12" t="s">
        <v>333</v>
      </c>
      <c r="J69" s="20">
        <v>0</v>
      </c>
      <c r="K69" s="12" t="s">
        <v>333</v>
      </c>
      <c r="L69" s="20">
        <v>0</v>
      </c>
      <c r="M69" s="12" t="s">
        <v>333</v>
      </c>
      <c r="N69" s="12" t="s">
        <v>202</v>
      </c>
      <c r="O69" s="12" t="s">
        <v>333</v>
      </c>
      <c r="P69" s="12" t="s">
        <v>202</v>
      </c>
      <c r="Q69" s="12" t="s">
        <v>333</v>
      </c>
      <c r="R69" s="12" t="s">
        <v>202</v>
      </c>
      <c r="S69" s="12" t="s">
        <v>333</v>
      </c>
      <c r="T69" s="12" t="s">
        <v>202</v>
      </c>
      <c r="U69" s="12" t="s">
        <v>333</v>
      </c>
      <c r="V69" s="12" t="s">
        <v>202</v>
      </c>
      <c r="W69" s="12" t="s">
        <v>333</v>
      </c>
      <c r="X69" s="20">
        <v>0</v>
      </c>
      <c r="Y69" s="12" t="s">
        <v>333</v>
      </c>
      <c r="Z69" s="20">
        <v>0</v>
      </c>
      <c r="AA69" s="12" t="s">
        <v>333</v>
      </c>
      <c r="AB69" s="20">
        <v>0</v>
      </c>
      <c r="AC69" s="12" t="s">
        <v>333</v>
      </c>
      <c r="AD69" s="20">
        <v>0</v>
      </c>
      <c r="AE69" s="12" t="s">
        <v>333</v>
      </c>
      <c r="AF69" s="20">
        <v>0</v>
      </c>
      <c r="AG69" s="12" t="s">
        <v>333</v>
      </c>
      <c r="AH69" s="20">
        <v>0</v>
      </c>
      <c r="AI69" s="12" t="s">
        <v>333</v>
      </c>
      <c r="AJ69" s="20">
        <v>0</v>
      </c>
      <c r="AK69" s="12" t="s">
        <v>333</v>
      </c>
      <c r="AL69" s="20">
        <v>0</v>
      </c>
      <c r="AM69" s="12" t="s">
        <v>333</v>
      </c>
      <c r="AN69" s="20">
        <v>0</v>
      </c>
      <c r="AO69" s="12" t="s">
        <v>333</v>
      </c>
      <c r="AP69" s="20">
        <v>0</v>
      </c>
      <c r="AQ69" s="12" t="s">
        <v>333</v>
      </c>
      <c r="AR69" s="20">
        <v>0</v>
      </c>
      <c r="AS69" s="12" t="s">
        <v>333</v>
      </c>
      <c r="AT69" s="20">
        <v>0</v>
      </c>
      <c r="AU69" s="12" t="s">
        <v>333</v>
      </c>
      <c r="AV69" s="20">
        <v>0</v>
      </c>
      <c r="AW69" s="12" t="s">
        <v>333</v>
      </c>
      <c r="AX69" s="20">
        <v>0</v>
      </c>
      <c r="AY69" s="12" t="s">
        <v>333</v>
      </c>
      <c r="AZ69" s="20">
        <v>0</v>
      </c>
      <c r="BA69" s="12" t="s">
        <v>333</v>
      </c>
      <c r="BB69" s="20">
        <v>0</v>
      </c>
      <c r="BC69" s="12" t="s">
        <v>333</v>
      </c>
      <c r="BD69" s="20">
        <v>0</v>
      </c>
      <c r="BE69" s="12" t="s">
        <v>333</v>
      </c>
      <c r="BF69" s="20">
        <v>0</v>
      </c>
      <c r="BG69" s="12" t="s">
        <v>333</v>
      </c>
      <c r="BH69" s="20">
        <v>0</v>
      </c>
      <c r="BI69" s="12" t="s">
        <v>333</v>
      </c>
      <c r="BJ69" s="20">
        <v>0</v>
      </c>
      <c r="BK69" s="12" t="s">
        <v>333</v>
      </c>
      <c r="BL69" s="20">
        <v>0</v>
      </c>
      <c r="BM69" s="12" t="s">
        <v>333</v>
      </c>
      <c r="BN69" s="20">
        <v>0</v>
      </c>
      <c r="BO69" s="12" t="s">
        <v>333</v>
      </c>
      <c r="BP69" s="20">
        <v>0</v>
      </c>
      <c r="BQ69" s="12" t="s">
        <v>333</v>
      </c>
      <c r="BR69" s="20">
        <v>0</v>
      </c>
      <c r="BS69" s="12" t="s">
        <v>333</v>
      </c>
      <c r="BT69" s="20">
        <v>0</v>
      </c>
      <c r="BU69" s="12" t="s">
        <v>333</v>
      </c>
      <c r="BV69" s="20">
        <v>0</v>
      </c>
      <c r="BW69" s="12" t="s">
        <v>333</v>
      </c>
      <c r="BX69" s="20">
        <v>0</v>
      </c>
      <c r="BY69" s="12" t="s">
        <v>333</v>
      </c>
      <c r="BZ69" s="20">
        <v>0</v>
      </c>
      <c r="CA69" s="12" t="s">
        <v>333</v>
      </c>
      <c r="CB69" s="20">
        <v>0</v>
      </c>
      <c r="CC69" s="12" t="s">
        <v>333</v>
      </c>
    </row>
    <row r="70" spans="1:81" x14ac:dyDescent="0.2">
      <c r="A70" s="10" t="s">
        <v>248</v>
      </c>
      <c r="B70" s="81">
        <v>61047.504999999997</v>
      </c>
      <c r="C70" s="82" t="s">
        <v>333</v>
      </c>
      <c r="D70" s="81">
        <v>61047.504999999997</v>
      </c>
      <c r="E70" s="82" t="s">
        <v>333</v>
      </c>
      <c r="F70" s="82" t="s">
        <v>202</v>
      </c>
      <c r="G70" s="82" t="s">
        <v>333</v>
      </c>
      <c r="H70" s="82" t="s">
        <v>202</v>
      </c>
      <c r="I70" s="82" t="s">
        <v>333</v>
      </c>
      <c r="J70" s="82" t="s">
        <v>202</v>
      </c>
      <c r="K70" s="82" t="s">
        <v>333</v>
      </c>
      <c r="L70" s="82" t="s">
        <v>202</v>
      </c>
      <c r="M70" s="82" t="s">
        <v>333</v>
      </c>
      <c r="N70" s="82" t="s">
        <v>202</v>
      </c>
      <c r="O70" s="82" t="s">
        <v>333</v>
      </c>
      <c r="P70" s="82" t="s">
        <v>202</v>
      </c>
      <c r="Q70" s="82" t="s">
        <v>333</v>
      </c>
      <c r="R70" s="82" t="s">
        <v>202</v>
      </c>
      <c r="S70" s="82" t="s">
        <v>333</v>
      </c>
      <c r="T70" s="82" t="s">
        <v>202</v>
      </c>
      <c r="U70" s="82" t="s">
        <v>333</v>
      </c>
      <c r="V70" s="82" t="s">
        <v>202</v>
      </c>
      <c r="W70" s="82" t="s">
        <v>333</v>
      </c>
      <c r="X70" s="81">
        <v>61047.504999999997</v>
      </c>
      <c r="Y70" s="82" t="s">
        <v>333</v>
      </c>
      <c r="Z70" s="81">
        <v>61047.504999999997</v>
      </c>
      <c r="AA70" s="82" t="s">
        <v>333</v>
      </c>
      <c r="AB70" s="81">
        <v>2366.4810000000002</v>
      </c>
      <c r="AC70" s="82" t="s">
        <v>333</v>
      </c>
      <c r="AD70" s="83">
        <v>0</v>
      </c>
      <c r="AE70" s="82" t="s">
        <v>333</v>
      </c>
      <c r="AF70" s="81">
        <v>1288.171</v>
      </c>
      <c r="AG70" s="82" t="s">
        <v>333</v>
      </c>
      <c r="AH70" s="81">
        <v>11008.009</v>
      </c>
      <c r="AI70" s="82" t="s">
        <v>333</v>
      </c>
      <c r="AJ70" s="81">
        <v>64.150999999999996</v>
      </c>
      <c r="AK70" s="82" t="s">
        <v>333</v>
      </c>
      <c r="AL70" s="81">
        <v>4496.7860000000001</v>
      </c>
      <c r="AM70" s="82" t="s">
        <v>333</v>
      </c>
      <c r="AN70" s="81">
        <v>4496.7860000000001</v>
      </c>
      <c r="AO70" s="82" t="s">
        <v>333</v>
      </c>
      <c r="AP70" s="83">
        <v>0</v>
      </c>
      <c r="AQ70" s="82" t="s">
        <v>333</v>
      </c>
      <c r="AR70" s="81">
        <v>7950.3779999999997</v>
      </c>
      <c r="AS70" s="82" t="s">
        <v>333</v>
      </c>
      <c r="AT70" s="81">
        <v>7950.3779999999997</v>
      </c>
      <c r="AU70" s="82" t="s">
        <v>333</v>
      </c>
      <c r="AV70" s="81">
        <v>398.76799999999997</v>
      </c>
      <c r="AW70" s="82" t="s">
        <v>333</v>
      </c>
      <c r="AX70" s="81">
        <v>19811.985000000001</v>
      </c>
      <c r="AY70" s="82" t="s">
        <v>333</v>
      </c>
      <c r="AZ70" s="81">
        <v>19811.985000000001</v>
      </c>
      <c r="BA70" s="82" t="s">
        <v>333</v>
      </c>
      <c r="BB70" s="81">
        <v>15350.032999999999</v>
      </c>
      <c r="BC70" s="82" t="s">
        <v>333</v>
      </c>
      <c r="BD70" s="81">
        <v>4461.9530000000004</v>
      </c>
      <c r="BE70" s="82" t="s">
        <v>333</v>
      </c>
      <c r="BF70" s="81">
        <v>9589.9940000000006</v>
      </c>
      <c r="BG70" s="82" t="s">
        <v>333</v>
      </c>
      <c r="BH70" s="81">
        <v>8793.3410000000003</v>
      </c>
      <c r="BI70" s="82" t="s">
        <v>333</v>
      </c>
      <c r="BJ70" s="81">
        <v>796.65300000000002</v>
      </c>
      <c r="BK70" s="82" t="s">
        <v>333</v>
      </c>
      <c r="BL70" s="81">
        <v>913.36699999999996</v>
      </c>
      <c r="BM70" s="82" t="s">
        <v>333</v>
      </c>
      <c r="BN70" s="81">
        <v>1035.2270000000001</v>
      </c>
      <c r="BO70" s="82" t="s">
        <v>333</v>
      </c>
      <c r="BP70" s="83">
        <v>0</v>
      </c>
      <c r="BQ70" s="82" t="s">
        <v>333</v>
      </c>
      <c r="BR70" s="81">
        <v>474.46899999999999</v>
      </c>
      <c r="BS70" s="82" t="s">
        <v>333</v>
      </c>
      <c r="BT70" s="81">
        <v>884.30700000000002</v>
      </c>
      <c r="BU70" s="82" t="s">
        <v>333</v>
      </c>
      <c r="BV70" s="81">
        <v>765.41200000000003</v>
      </c>
      <c r="BW70" s="82" t="s">
        <v>333</v>
      </c>
      <c r="BX70" s="83">
        <v>0</v>
      </c>
      <c r="BY70" s="82" t="s">
        <v>333</v>
      </c>
      <c r="BZ70" s="83">
        <v>0</v>
      </c>
      <c r="CA70" s="82" t="s">
        <v>333</v>
      </c>
      <c r="CB70" s="83">
        <v>0</v>
      </c>
      <c r="CC70" s="82" t="s">
        <v>333</v>
      </c>
    </row>
    <row r="71" spans="1:81" x14ac:dyDescent="0.2">
      <c r="A71" s="10" t="s">
        <v>515</v>
      </c>
      <c r="B71" s="11">
        <v>8.4000000000000005E-2</v>
      </c>
      <c r="C71" s="12" t="s">
        <v>333</v>
      </c>
      <c r="D71" s="11">
        <v>8.4000000000000005E-2</v>
      </c>
      <c r="E71" s="12" t="s">
        <v>333</v>
      </c>
      <c r="F71" s="20">
        <v>0</v>
      </c>
      <c r="G71" s="12" t="s">
        <v>333</v>
      </c>
      <c r="H71" s="20">
        <v>0</v>
      </c>
      <c r="I71" s="12" t="s">
        <v>333</v>
      </c>
      <c r="J71" s="20">
        <v>0</v>
      </c>
      <c r="K71" s="12" t="s">
        <v>333</v>
      </c>
      <c r="L71" s="20">
        <v>0</v>
      </c>
      <c r="M71" s="12" t="s">
        <v>333</v>
      </c>
      <c r="N71" s="12" t="s">
        <v>202</v>
      </c>
      <c r="O71" s="12" t="s">
        <v>333</v>
      </c>
      <c r="P71" s="12" t="s">
        <v>202</v>
      </c>
      <c r="Q71" s="12" t="s">
        <v>333</v>
      </c>
      <c r="R71" s="12" t="s">
        <v>202</v>
      </c>
      <c r="S71" s="12" t="s">
        <v>333</v>
      </c>
      <c r="T71" s="12" t="s">
        <v>202</v>
      </c>
      <c r="U71" s="12" t="s">
        <v>333</v>
      </c>
      <c r="V71" s="12" t="s">
        <v>202</v>
      </c>
      <c r="W71" s="12" t="s">
        <v>333</v>
      </c>
      <c r="X71" s="11">
        <v>8.4000000000000005E-2</v>
      </c>
      <c r="Y71" s="12" t="s">
        <v>333</v>
      </c>
      <c r="Z71" s="11">
        <v>8.4000000000000005E-2</v>
      </c>
      <c r="AA71" s="12" t="s">
        <v>333</v>
      </c>
      <c r="AB71" s="20">
        <v>0</v>
      </c>
      <c r="AC71" s="12" t="s">
        <v>333</v>
      </c>
      <c r="AD71" s="20">
        <v>0</v>
      </c>
      <c r="AE71" s="12" t="s">
        <v>333</v>
      </c>
      <c r="AF71" s="20">
        <v>0</v>
      </c>
      <c r="AG71" s="12" t="s">
        <v>333</v>
      </c>
      <c r="AH71" s="20">
        <v>0</v>
      </c>
      <c r="AI71" s="12" t="s">
        <v>333</v>
      </c>
      <c r="AJ71" s="20">
        <v>0</v>
      </c>
      <c r="AK71" s="12" t="s">
        <v>333</v>
      </c>
      <c r="AL71" s="20">
        <v>0</v>
      </c>
      <c r="AM71" s="12" t="s">
        <v>333</v>
      </c>
      <c r="AN71" s="20">
        <v>0</v>
      </c>
      <c r="AO71" s="12" t="s">
        <v>333</v>
      </c>
      <c r="AP71" s="20">
        <v>0</v>
      </c>
      <c r="AQ71" s="12" t="s">
        <v>333</v>
      </c>
      <c r="AR71" s="20">
        <v>0</v>
      </c>
      <c r="AS71" s="12" t="s">
        <v>333</v>
      </c>
      <c r="AT71" s="20">
        <v>0</v>
      </c>
      <c r="AU71" s="12" t="s">
        <v>333</v>
      </c>
      <c r="AV71" s="20">
        <v>0</v>
      </c>
      <c r="AW71" s="12" t="s">
        <v>333</v>
      </c>
      <c r="AX71" s="11">
        <v>8.4000000000000005E-2</v>
      </c>
      <c r="AY71" s="12" t="s">
        <v>333</v>
      </c>
      <c r="AZ71" s="11">
        <v>8.4000000000000005E-2</v>
      </c>
      <c r="BA71" s="12" t="s">
        <v>333</v>
      </c>
      <c r="BB71" s="11">
        <v>8.4000000000000005E-2</v>
      </c>
      <c r="BC71" s="12" t="s">
        <v>333</v>
      </c>
      <c r="BD71" s="20">
        <v>0</v>
      </c>
      <c r="BE71" s="12" t="s">
        <v>333</v>
      </c>
      <c r="BF71" s="20">
        <v>0</v>
      </c>
      <c r="BG71" s="12" t="s">
        <v>333</v>
      </c>
      <c r="BH71" s="20">
        <v>0</v>
      </c>
      <c r="BI71" s="12" t="s">
        <v>333</v>
      </c>
      <c r="BJ71" s="20">
        <v>0</v>
      </c>
      <c r="BK71" s="12" t="s">
        <v>333</v>
      </c>
      <c r="BL71" s="20">
        <v>0</v>
      </c>
      <c r="BM71" s="12" t="s">
        <v>333</v>
      </c>
      <c r="BN71" s="20">
        <v>0</v>
      </c>
      <c r="BO71" s="12" t="s">
        <v>333</v>
      </c>
      <c r="BP71" s="20">
        <v>0</v>
      </c>
      <c r="BQ71" s="12" t="s">
        <v>333</v>
      </c>
      <c r="BR71" s="20">
        <v>0</v>
      </c>
      <c r="BS71" s="12" t="s">
        <v>333</v>
      </c>
      <c r="BT71" s="20">
        <v>0</v>
      </c>
      <c r="BU71" s="12" t="s">
        <v>333</v>
      </c>
      <c r="BV71" s="20">
        <v>0</v>
      </c>
      <c r="BW71" s="12" t="s">
        <v>333</v>
      </c>
      <c r="BX71" s="20">
        <v>0</v>
      </c>
      <c r="BY71" s="12" t="s">
        <v>333</v>
      </c>
      <c r="BZ71" s="20">
        <v>0</v>
      </c>
      <c r="CA71" s="12" t="s">
        <v>333</v>
      </c>
      <c r="CB71" s="20">
        <v>0</v>
      </c>
      <c r="CC71" s="12" t="s">
        <v>333</v>
      </c>
    </row>
    <row r="72" spans="1:81" x14ac:dyDescent="0.2">
      <c r="A72" s="10" t="s">
        <v>262</v>
      </c>
      <c r="B72" s="81">
        <v>8.4000000000000005E-2</v>
      </c>
      <c r="C72" s="82" t="s">
        <v>333</v>
      </c>
      <c r="D72" s="81">
        <v>8.4000000000000005E-2</v>
      </c>
      <c r="E72" s="82" t="s">
        <v>333</v>
      </c>
      <c r="F72" s="83">
        <v>0</v>
      </c>
      <c r="G72" s="82" t="s">
        <v>333</v>
      </c>
      <c r="H72" s="83">
        <v>0</v>
      </c>
      <c r="I72" s="82" t="s">
        <v>333</v>
      </c>
      <c r="J72" s="83">
        <v>0</v>
      </c>
      <c r="K72" s="82" t="s">
        <v>333</v>
      </c>
      <c r="L72" s="83">
        <v>0</v>
      </c>
      <c r="M72" s="82" t="s">
        <v>333</v>
      </c>
      <c r="N72" s="82" t="s">
        <v>202</v>
      </c>
      <c r="O72" s="82" t="s">
        <v>333</v>
      </c>
      <c r="P72" s="82" t="s">
        <v>202</v>
      </c>
      <c r="Q72" s="82" t="s">
        <v>333</v>
      </c>
      <c r="R72" s="82" t="s">
        <v>202</v>
      </c>
      <c r="S72" s="82" t="s">
        <v>333</v>
      </c>
      <c r="T72" s="82" t="s">
        <v>202</v>
      </c>
      <c r="U72" s="82" t="s">
        <v>333</v>
      </c>
      <c r="V72" s="82" t="s">
        <v>202</v>
      </c>
      <c r="W72" s="82" t="s">
        <v>333</v>
      </c>
      <c r="X72" s="81">
        <v>8.4000000000000005E-2</v>
      </c>
      <c r="Y72" s="82" t="s">
        <v>333</v>
      </c>
      <c r="Z72" s="81">
        <v>8.4000000000000005E-2</v>
      </c>
      <c r="AA72" s="82" t="s">
        <v>333</v>
      </c>
      <c r="AB72" s="83">
        <v>0</v>
      </c>
      <c r="AC72" s="82" t="s">
        <v>333</v>
      </c>
      <c r="AD72" s="83">
        <v>0</v>
      </c>
      <c r="AE72" s="82" t="s">
        <v>333</v>
      </c>
      <c r="AF72" s="83">
        <v>0</v>
      </c>
      <c r="AG72" s="82" t="s">
        <v>333</v>
      </c>
      <c r="AH72" s="83">
        <v>0</v>
      </c>
      <c r="AI72" s="82" t="s">
        <v>333</v>
      </c>
      <c r="AJ72" s="83">
        <v>0</v>
      </c>
      <c r="AK72" s="82" t="s">
        <v>333</v>
      </c>
      <c r="AL72" s="83">
        <v>0</v>
      </c>
      <c r="AM72" s="82" t="s">
        <v>333</v>
      </c>
      <c r="AN72" s="83">
        <v>0</v>
      </c>
      <c r="AO72" s="82" t="s">
        <v>333</v>
      </c>
      <c r="AP72" s="83">
        <v>0</v>
      </c>
      <c r="AQ72" s="82" t="s">
        <v>333</v>
      </c>
      <c r="AR72" s="83">
        <v>0</v>
      </c>
      <c r="AS72" s="82" t="s">
        <v>333</v>
      </c>
      <c r="AT72" s="83">
        <v>0</v>
      </c>
      <c r="AU72" s="82" t="s">
        <v>333</v>
      </c>
      <c r="AV72" s="83">
        <v>0</v>
      </c>
      <c r="AW72" s="82" t="s">
        <v>333</v>
      </c>
      <c r="AX72" s="81">
        <v>8.4000000000000005E-2</v>
      </c>
      <c r="AY72" s="82" t="s">
        <v>333</v>
      </c>
      <c r="AZ72" s="81">
        <v>8.4000000000000005E-2</v>
      </c>
      <c r="BA72" s="82" t="s">
        <v>333</v>
      </c>
      <c r="BB72" s="81">
        <v>8.4000000000000005E-2</v>
      </c>
      <c r="BC72" s="82" t="s">
        <v>333</v>
      </c>
      <c r="BD72" s="83">
        <v>0</v>
      </c>
      <c r="BE72" s="82" t="s">
        <v>333</v>
      </c>
      <c r="BF72" s="83">
        <v>0</v>
      </c>
      <c r="BG72" s="82" t="s">
        <v>333</v>
      </c>
      <c r="BH72" s="83">
        <v>0</v>
      </c>
      <c r="BI72" s="82" t="s">
        <v>333</v>
      </c>
      <c r="BJ72" s="83">
        <v>0</v>
      </c>
      <c r="BK72" s="82" t="s">
        <v>333</v>
      </c>
      <c r="BL72" s="83">
        <v>0</v>
      </c>
      <c r="BM72" s="82" t="s">
        <v>333</v>
      </c>
      <c r="BN72" s="83">
        <v>0</v>
      </c>
      <c r="BO72" s="82" t="s">
        <v>333</v>
      </c>
      <c r="BP72" s="83">
        <v>0</v>
      </c>
      <c r="BQ72" s="82" t="s">
        <v>333</v>
      </c>
      <c r="BR72" s="83">
        <v>0</v>
      </c>
      <c r="BS72" s="82" t="s">
        <v>333</v>
      </c>
      <c r="BT72" s="83">
        <v>0</v>
      </c>
      <c r="BU72" s="82" t="s">
        <v>333</v>
      </c>
      <c r="BV72" s="83">
        <v>0</v>
      </c>
      <c r="BW72" s="82" t="s">
        <v>333</v>
      </c>
      <c r="BX72" s="83">
        <v>0</v>
      </c>
      <c r="BY72" s="82" t="s">
        <v>333</v>
      </c>
      <c r="BZ72" s="83">
        <v>0</v>
      </c>
      <c r="CA72" s="82" t="s">
        <v>333</v>
      </c>
      <c r="CB72" s="83">
        <v>0</v>
      </c>
      <c r="CC72" s="82" t="s">
        <v>333</v>
      </c>
    </row>
    <row r="73" spans="1:81" x14ac:dyDescent="0.2">
      <c r="A73" s="10" t="s">
        <v>516</v>
      </c>
      <c r="B73" s="11">
        <v>8.4000000000000005E-2</v>
      </c>
      <c r="C73" s="12" t="s">
        <v>333</v>
      </c>
      <c r="D73" s="11">
        <v>8.4000000000000005E-2</v>
      </c>
      <c r="E73" s="12" t="s">
        <v>333</v>
      </c>
      <c r="F73" s="20">
        <v>0</v>
      </c>
      <c r="G73" s="12" t="s">
        <v>333</v>
      </c>
      <c r="H73" s="20">
        <v>0</v>
      </c>
      <c r="I73" s="12" t="s">
        <v>333</v>
      </c>
      <c r="J73" s="20">
        <v>0</v>
      </c>
      <c r="K73" s="12" t="s">
        <v>333</v>
      </c>
      <c r="L73" s="20">
        <v>0</v>
      </c>
      <c r="M73" s="12" t="s">
        <v>333</v>
      </c>
      <c r="N73" s="12" t="s">
        <v>202</v>
      </c>
      <c r="O73" s="12" t="s">
        <v>333</v>
      </c>
      <c r="P73" s="12" t="s">
        <v>202</v>
      </c>
      <c r="Q73" s="12" t="s">
        <v>333</v>
      </c>
      <c r="R73" s="12" t="s">
        <v>202</v>
      </c>
      <c r="S73" s="12" t="s">
        <v>333</v>
      </c>
      <c r="T73" s="12" t="s">
        <v>202</v>
      </c>
      <c r="U73" s="12" t="s">
        <v>333</v>
      </c>
      <c r="V73" s="12" t="s">
        <v>202</v>
      </c>
      <c r="W73" s="12" t="s">
        <v>333</v>
      </c>
      <c r="X73" s="11">
        <v>8.4000000000000005E-2</v>
      </c>
      <c r="Y73" s="12" t="s">
        <v>333</v>
      </c>
      <c r="Z73" s="11">
        <v>8.4000000000000005E-2</v>
      </c>
      <c r="AA73" s="12" t="s">
        <v>333</v>
      </c>
      <c r="AB73" s="20">
        <v>0</v>
      </c>
      <c r="AC73" s="12" t="s">
        <v>333</v>
      </c>
      <c r="AD73" s="20">
        <v>0</v>
      </c>
      <c r="AE73" s="12" t="s">
        <v>333</v>
      </c>
      <c r="AF73" s="20">
        <v>0</v>
      </c>
      <c r="AG73" s="12" t="s">
        <v>333</v>
      </c>
      <c r="AH73" s="20">
        <v>0</v>
      </c>
      <c r="AI73" s="12" t="s">
        <v>333</v>
      </c>
      <c r="AJ73" s="20">
        <v>0</v>
      </c>
      <c r="AK73" s="12" t="s">
        <v>333</v>
      </c>
      <c r="AL73" s="20">
        <v>0</v>
      </c>
      <c r="AM73" s="12" t="s">
        <v>333</v>
      </c>
      <c r="AN73" s="20">
        <v>0</v>
      </c>
      <c r="AO73" s="12" t="s">
        <v>333</v>
      </c>
      <c r="AP73" s="20">
        <v>0</v>
      </c>
      <c r="AQ73" s="12" t="s">
        <v>333</v>
      </c>
      <c r="AR73" s="20">
        <v>0</v>
      </c>
      <c r="AS73" s="12" t="s">
        <v>333</v>
      </c>
      <c r="AT73" s="20">
        <v>0</v>
      </c>
      <c r="AU73" s="12" t="s">
        <v>333</v>
      </c>
      <c r="AV73" s="20">
        <v>0</v>
      </c>
      <c r="AW73" s="12" t="s">
        <v>333</v>
      </c>
      <c r="AX73" s="11">
        <v>8.4000000000000005E-2</v>
      </c>
      <c r="AY73" s="12" t="s">
        <v>333</v>
      </c>
      <c r="AZ73" s="11">
        <v>8.4000000000000005E-2</v>
      </c>
      <c r="BA73" s="12" t="s">
        <v>333</v>
      </c>
      <c r="BB73" s="11">
        <v>8.4000000000000005E-2</v>
      </c>
      <c r="BC73" s="12" t="s">
        <v>333</v>
      </c>
      <c r="BD73" s="20">
        <v>0</v>
      </c>
      <c r="BE73" s="12" t="s">
        <v>333</v>
      </c>
      <c r="BF73" s="20">
        <v>0</v>
      </c>
      <c r="BG73" s="12" t="s">
        <v>333</v>
      </c>
      <c r="BH73" s="20">
        <v>0</v>
      </c>
      <c r="BI73" s="12" t="s">
        <v>333</v>
      </c>
      <c r="BJ73" s="20">
        <v>0</v>
      </c>
      <c r="BK73" s="12" t="s">
        <v>333</v>
      </c>
      <c r="BL73" s="20">
        <v>0</v>
      </c>
      <c r="BM73" s="12" t="s">
        <v>333</v>
      </c>
      <c r="BN73" s="20">
        <v>0</v>
      </c>
      <c r="BO73" s="12" t="s">
        <v>333</v>
      </c>
      <c r="BP73" s="20">
        <v>0</v>
      </c>
      <c r="BQ73" s="12" t="s">
        <v>333</v>
      </c>
      <c r="BR73" s="20">
        <v>0</v>
      </c>
      <c r="BS73" s="12" t="s">
        <v>333</v>
      </c>
      <c r="BT73" s="20">
        <v>0</v>
      </c>
      <c r="BU73" s="12" t="s">
        <v>333</v>
      </c>
      <c r="BV73" s="20">
        <v>0</v>
      </c>
      <c r="BW73" s="12" t="s">
        <v>333</v>
      </c>
      <c r="BX73" s="20">
        <v>0</v>
      </c>
      <c r="BY73" s="12" t="s">
        <v>333</v>
      </c>
      <c r="BZ73" s="20">
        <v>0</v>
      </c>
      <c r="CA73" s="12" t="s">
        <v>333</v>
      </c>
      <c r="CB73" s="20">
        <v>0</v>
      </c>
      <c r="CC73" s="12" t="s">
        <v>333</v>
      </c>
    </row>
    <row r="74" spans="1:81" x14ac:dyDescent="0.2">
      <c r="A74" s="10" t="s">
        <v>263</v>
      </c>
      <c r="B74" s="81">
        <v>8.4000000000000005E-2</v>
      </c>
      <c r="C74" s="82" t="s">
        <v>333</v>
      </c>
      <c r="D74" s="81">
        <v>8.4000000000000005E-2</v>
      </c>
      <c r="E74" s="82" t="s">
        <v>333</v>
      </c>
      <c r="F74" s="83">
        <v>0</v>
      </c>
      <c r="G74" s="82" t="s">
        <v>333</v>
      </c>
      <c r="H74" s="83">
        <v>0</v>
      </c>
      <c r="I74" s="82" t="s">
        <v>333</v>
      </c>
      <c r="J74" s="83">
        <v>0</v>
      </c>
      <c r="K74" s="82" t="s">
        <v>333</v>
      </c>
      <c r="L74" s="83">
        <v>0</v>
      </c>
      <c r="M74" s="82" t="s">
        <v>333</v>
      </c>
      <c r="N74" s="82" t="s">
        <v>202</v>
      </c>
      <c r="O74" s="82" t="s">
        <v>333</v>
      </c>
      <c r="P74" s="82" t="s">
        <v>202</v>
      </c>
      <c r="Q74" s="82" t="s">
        <v>333</v>
      </c>
      <c r="R74" s="82" t="s">
        <v>202</v>
      </c>
      <c r="S74" s="82" t="s">
        <v>333</v>
      </c>
      <c r="T74" s="82" t="s">
        <v>202</v>
      </c>
      <c r="U74" s="82" t="s">
        <v>333</v>
      </c>
      <c r="V74" s="82" t="s">
        <v>202</v>
      </c>
      <c r="W74" s="82" t="s">
        <v>333</v>
      </c>
      <c r="X74" s="81">
        <v>8.4000000000000005E-2</v>
      </c>
      <c r="Y74" s="82" t="s">
        <v>333</v>
      </c>
      <c r="Z74" s="81">
        <v>8.4000000000000005E-2</v>
      </c>
      <c r="AA74" s="82" t="s">
        <v>333</v>
      </c>
      <c r="AB74" s="83">
        <v>0</v>
      </c>
      <c r="AC74" s="82" t="s">
        <v>333</v>
      </c>
      <c r="AD74" s="83">
        <v>0</v>
      </c>
      <c r="AE74" s="82" t="s">
        <v>333</v>
      </c>
      <c r="AF74" s="83">
        <v>0</v>
      </c>
      <c r="AG74" s="82" t="s">
        <v>333</v>
      </c>
      <c r="AH74" s="83">
        <v>0</v>
      </c>
      <c r="AI74" s="82" t="s">
        <v>333</v>
      </c>
      <c r="AJ74" s="83">
        <v>0</v>
      </c>
      <c r="AK74" s="82" t="s">
        <v>333</v>
      </c>
      <c r="AL74" s="83">
        <v>0</v>
      </c>
      <c r="AM74" s="82" t="s">
        <v>333</v>
      </c>
      <c r="AN74" s="83">
        <v>0</v>
      </c>
      <c r="AO74" s="82" t="s">
        <v>333</v>
      </c>
      <c r="AP74" s="83">
        <v>0</v>
      </c>
      <c r="AQ74" s="82" t="s">
        <v>333</v>
      </c>
      <c r="AR74" s="83">
        <v>0</v>
      </c>
      <c r="AS74" s="82" t="s">
        <v>333</v>
      </c>
      <c r="AT74" s="83">
        <v>0</v>
      </c>
      <c r="AU74" s="82" t="s">
        <v>333</v>
      </c>
      <c r="AV74" s="83">
        <v>0</v>
      </c>
      <c r="AW74" s="82" t="s">
        <v>333</v>
      </c>
      <c r="AX74" s="81">
        <v>8.4000000000000005E-2</v>
      </c>
      <c r="AY74" s="82" t="s">
        <v>333</v>
      </c>
      <c r="AZ74" s="81">
        <v>8.4000000000000005E-2</v>
      </c>
      <c r="BA74" s="82" t="s">
        <v>333</v>
      </c>
      <c r="BB74" s="81">
        <v>8.4000000000000005E-2</v>
      </c>
      <c r="BC74" s="82" t="s">
        <v>333</v>
      </c>
      <c r="BD74" s="83">
        <v>0</v>
      </c>
      <c r="BE74" s="82" t="s">
        <v>333</v>
      </c>
      <c r="BF74" s="83">
        <v>0</v>
      </c>
      <c r="BG74" s="82" t="s">
        <v>333</v>
      </c>
      <c r="BH74" s="83">
        <v>0</v>
      </c>
      <c r="BI74" s="82" t="s">
        <v>333</v>
      </c>
      <c r="BJ74" s="83">
        <v>0</v>
      </c>
      <c r="BK74" s="82" t="s">
        <v>333</v>
      </c>
      <c r="BL74" s="83">
        <v>0</v>
      </c>
      <c r="BM74" s="82" t="s">
        <v>333</v>
      </c>
      <c r="BN74" s="83">
        <v>0</v>
      </c>
      <c r="BO74" s="82" t="s">
        <v>333</v>
      </c>
      <c r="BP74" s="83">
        <v>0</v>
      </c>
      <c r="BQ74" s="82" t="s">
        <v>333</v>
      </c>
      <c r="BR74" s="83">
        <v>0</v>
      </c>
      <c r="BS74" s="82" t="s">
        <v>333</v>
      </c>
      <c r="BT74" s="83">
        <v>0</v>
      </c>
      <c r="BU74" s="82" t="s">
        <v>333</v>
      </c>
      <c r="BV74" s="83">
        <v>0</v>
      </c>
      <c r="BW74" s="82" t="s">
        <v>333</v>
      </c>
      <c r="BX74" s="83">
        <v>0</v>
      </c>
      <c r="BY74" s="82" t="s">
        <v>333</v>
      </c>
      <c r="BZ74" s="83">
        <v>0</v>
      </c>
      <c r="CA74" s="82" t="s">
        <v>333</v>
      </c>
      <c r="CB74" s="83">
        <v>0</v>
      </c>
      <c r="CC74" s="82" t="s">
        <v>333</v>
      </c>
    </row>
    <row r="75" spans="1:81" x14ac:dyDescent="0.2">
      <c r="A75" s="10" t="s">
        <v>517</v>
      </c>
      <c r="B75" s="20">
        <v>0</v>
      </c>
      <c r="C75" s="12" t="s">
        <v>333</v>
      </c>
      <c r="D75" s="20">
        <v>0</v>
      </c>
      <c r="E75" s="12" t="s">
        <v>333</v>
      </c>
      <c r="F75" s="20">
        <v>0</v>
      </c>
      <c r="G75" s="12" t="s">
        <v>333</v>
      </c>
      <c r="H75" s="20">
        <v>0</v>
      </c>
      <c r="I75" s="12" t="s">
        <v>333</v>
      </c>
      <c r="J75" s="20">
        <v>0</v>
      </c>
      <c r="K75" s="12" t="s">
        <v>333</v>
      </c>
      <c r="L75" s="20">
        <v>0</v>
      </c>
      <c r="M75" s="12" t="s">
        <v>333</v>
      </c>
      <c r="N75" s="12" t="s">
        <v>202</v>
      </c>
      <c r="O75" s="12" t="s">
        <v>333</v>
      </c>
      <c r="P75" s="12" t="s">
        <v>202</v>
      </c>
      <c r="Q75" s="12" t="s">
        <v>333</v>
      </c>
      <c r="R75" s="12" t="s">
        <v>202</v>
      </c>
      <c r="S75" s="12" t="s">
        <v>333</v>
      </c>
      <c r="T75" s="12" t="s">
        <v>202</v>
      </c>
      <c r="U75" s="12" t="s">
        <v>333</v>
      </c>
      <c r="V75" s="12" t="s">
        <v>202</v>
      </c>
      <c r="W75" s="12" t="s">
        <v>333</v>
      </c>
      <c r="X75" s="20">
        <v>0</v>
      </c>
      <c r="Y75" s="12" t="s">
        <v>333</v>
      </c>
      <c r="Z75" s="20">
        <v>0</v>
      </c>
      <c r="AA75" s="12" t="s">
        <v>333</v>
      </c>
      <c r="AB75" s="20">
        <v>0</v>
      </c>
      <c r="AC75" s="12" t="s">
        <v>333</v>
      </c>
      <c r="AD75" s="20">
        <v>0</v>
      </c>
      <c r="AE75" s="12" t="s">
        <v>333</v>
      </c>
      <c r="AF75" s="20">
        <v>0</v>
      </c>
      <c r="AG75" s="12" t="s">
        <v>333</v>
      </c>
      <c r="AH75" s="20">
        <v>0</v>
      </c>
      <c r="AI75" s="12" t="s">
        <v>333</v>
      </c>
      <c r="AJ75" s="20">
        <v>0</v>
      </c>
      <c r="AK75" s="12" t="s">
        <v>333</v>
      </c>
      <c r="AL75" s="20">
        <v>0</v>
      </c>
      <c r="AM75" s="12" t="s">
        <v>333</v>
      </c>
      <c r="AN75" s="20">
        <v>0</v>
      </c>
      <c r="AO75" s="12" t="s">
        <v>333</v>
      </c>
      <c r="AP75" s="20">
        <v>0</v>
      </c>
      <c r="AQ75" s="12" t="s">
        <v>333</v>
      </c>
      <c r="AR75" s="20">
        <v>0</v>
      </c>
      <c r="AS75" s="12" t="s">
        <v>333</v>
      </c>
      <c r="AT75" s="20">
        <v>0</v>
      </c>
      <c r="AU75" s="12" t="s">
        <v>333</v>
      </c>
      <c r="AV75" s="20">
        <v>0</v>
      </c>
      <c r="AW75" s="12" t="s">
        <v>333</v>
      </c>
      <c r="AX75" s="20">
        <v>0</v>
      </c>
      <c r="AY75" s="12" t="s">
        <v>333</v>
      </c>
      <c r="AZ75" s="20">
        <v>0</v>
      </c>
      <c r="BA75" s="12" t="s">
        <v>333</v>
      </c>
      <c r="BB75" s="20">
        <v>0</v>
      </c>
      <c r="BC75" s="12" t="s">
        <v>333</v>
      </c>
      <c r="BD75" s="20">
        <v>0</v>
      </c>
      <c r="BE75" s="12" t="s">
        <v>333</v>
      </c>
      <c r="BF75" s="20">
        <v>0</v>
      </c>
      <c r="BG75" s="12" t="s">
        <v>333</v>
      </c>
      <c r="BH75" s="20">
        <v>0</v>
      </c>
      <c r="BI75" s="12" t="s">
        <v>333</v>
      </c>
      <c r="BJ75" s="20">
        <v>0</v>
      </c>
      <c r="BK75" s="12" t="s">
        <v>333</v>
      </c>
      <c r="BL75" s="20">
        <v>0</v>
      </c>
      <c r="BM75" s="12" t="s">
        <v>333</v>
      </c>
      <c r="BN75" s="20">
        <v>0</v>
      </c>
      <c r="BO75" s="12" t="s">
        <v>333</v>
      </c>
      <c r="BP75" s="20">
        <v>0</v>
      </c>
      <c r="BQ75" s="12" t="s">
        <v>333</v>
      </c>
      <c r="BR75" s="20">
        <v>0</v>
      </c>
      <c r="BS75" s="12" t="s">
        <v>333</v>
      </c>
      <c r="BT75" s="20">
        <v>0</v>
      </c>
      <c r="BU75" s="12" t="s">
        <v>333</v>
      </c>
      <c r="BV75" s="20">
        <v>0</v>
      </c>
      <c r="BW75" s="12" t="s">
        <v>333</v>
      </c>
      <c r="BX75" s="20">
        <v>0</v>
      </c>
      <c r="BY75" s="12" t="s">
        <v>333</v>
      </c>
      <c r="BZ75" s="20">
        <v>0</v>
      </c>
      <c r="CA75" s="12" t="s">
        <v>333</v>
      </c>
      <c r="CB75" s="20">
        <v>0</v>
      </c>
      <c r="CC75" s="12" t="s">
        <v>333</v>
      </c>
    </row>
    <row r="76" spans="1:81" x14ac:dyDescent="0.2">
      <c r="A76" s="10" t="s">
        <v>518</v>
      </c>
      <c r="B76" s="83">
        <v>0</v>
      </c>
      <c r="C76" s="82" t="s">
        <v>333</v>
      </c>
      <c r="D76" s="83">
        <v>0</v>
      </c>
      <c r="E76" s="82" t="s">
        <v>333</v>
      </c>
      <c r="F76" s="83">
        <v>0</v>
      </c>
      <c r="G76" s="82" t="s">
        <v>333</v>
      </c>
      <c r="H76" s="83">
        <v>0</v>
      </c>
      <c r="I76" s="82" t="s">
        <v>333</v>
      </c>
      <c r="J76" s="83">
        <v>0</v>
      </c>
      <c r="K76" s="82" t="s">
        <v>333</v>
      </c>
      <c r="L76" s="83">
        <v>0</v>
      </c>
      <c r="M76" s="82" t="s">
        <v>333</v>
      </c>
      <c r="N76" s="82" t="s">
        <v>202</v>
      </c>
      <c r="O76" s="82" t="s">
        <v>333</v>
      </c>
      <c r="P76" s="82" t="s">
        <v>202</v>
      </c>
      <c r="Q76" s="82" t="s">
        <v>333</v>
      </c>
      <c r="R76" s="82" t="s">
        <v>202</v>
      </c>
      <c r="S76" s="82" t="s">
        <v>333</v>
      </c>
      <c r="T76" s="82" t="s">
        <v>202</v>
      </c>
      <c r="U76" s="82" t="s">
        <v>333</v>
      </c>
      <c r="V76" s="82" t="s">
        <v>202</v>
      </c>
      <c r="W76" s="82" t="s">
        <v>333</v>
      </c>
      <c r="X76" s="83">
        <v>0</v>
      </c>
      <c r="Y76" s="82" t="s">
        <v>333</v>
      </c>
      <c r="Z76" s="83">
        <v>0</v>
      </c>
      <c r="AA76" s="82" t="s">
        <v>333</v>
      </c>
      <c r="AB76" s="83">
        <v>0</v>
      </c>
      <c r="AC76" s="82" t="s">
        <v>333</v>
      </c>
      <c r="AD76" s="83">
        <v>0</v>
      </c>
      <c r="AE76" s="82" t="s">
        <v>333</v>
      </c>
      <c r="AF76" s="83">
        <v>0</v>
      </c>
      <c r="AG76" s="82" t="s">
        <v>333</v>
      </c>
      <c r="AH76" s="83">
        <v>0</v>
      </c>
      <c r="AI76" s="82" t="s">
        <v>333</v>
      </c>
      <c r="AJ76" s="83">
        <v>0</v>
      </c>
      <c r="AK76" s="82" t="s">
        <v>333</v>
      </c>
      <c r="AL76" s="83">
        <v>0</v>
      </c>
      <c r="AM76" s="82" t="s">
        <v>333</v>
      </c>
      <c r="AN76" s="83">
        <v>0</v>
      </c>
      <c r="AO76" s="82" t="s">
        <v>333</v>
      </c>
      <c r="AP76" s="83">
        <v>0</v>
      </c>
      <c r="AQ76" s="82" t="s">
        <v>333</v>
      </c>
      <c r="AR76" s="83">
        <v>0</v>
      </c>
      <c r="AS76" s="82" t="s">
        <v>333</v>
      </c>
      <c r="AT76" s="83">
        <v>0</v>
      </c>
      <c r="AU76" s="82" t="s">
        <v>333</v>
      </c>
      <c r="AV76" s="83">
        <v>0</v>
      </c>
      <c r="AW76" s="82" t="s">
        <v>333</v>
      </c>
      <c r="AX76" s="83">
        <v>0</v>
      </c>
      <c r="AY76" s="82" t="s">
        <v>333</v>
      </c>
      <c r="AZ76" s="83">
        <v>0</v>
      </c>
      <c r="BA76" s="82" t="s">
        <v>333</v>
      </c>
      <c r="BB76" s="83">
        <v>0</v>
      </c>
      <c r="BC76" s="82" t="s">
        <v>333</v>
      </c>
      <c r="BD76" s="83">
        <v>0</v>
      </c>
      <c r="BE76" s="82" t="s">
        <v>333</v>
      </c>
      <c r="BF76" s="83">
        <v>0</v>
      </c>
      <c r="BG76" s="82" t="s">
        <v>333</v>
      </c>
      <c r="BH76" s="83">
        <v>0</v>
      </c>
      <c r="BI76" s="82" t="s">
        <v>333</v>
      </c>
      <c r="BJ76" s="83">
        <v>0</v>
      </c>
      <c r="BK76" s="82" t="s">
        <v>333</v>
      </c>
      <c r="BL76" s="83">
        <v>0</v>
      </c>
      <c r="BM76" s="82" t="s">
        <v>333</v>
      </c>
      <c r="BN76" s="83">
        <v>0</v>
      </c>
      <c r="BO76" s="82" t="s">
        <v>333</v>
      </c>
      <c r="BP76" s="83">
        <v>0</v>
      </c>
      <c r="BQ76" s="82" t="s">
        <v>333</v>
      </c>
      <c r="BR76" s="83">
        <v>0</v>
      </c>
      <c r="BS76" s="82" t="s">
        <v>333</v>
      </c>
      <c r="BT76" s="83">
        <v>0</v>
      </c>
      <c r="BU76" s="82" t="s">
        <v>333</v>
      </c>
      <c r="BV76" s="83">
        <v>0</v>
      </c>
      <c r="BW76" s="82" t="s">
        <v>333</v>
      </c>
      <c r="BX76" s="83">
        <v>0</v>
      </c>
      <c r="BY76" s="82" t="s">
        <v>333</v>
      </c>
      <c r="BZ76" s="83">
        <v>0</v>
      </c>
      <c r="CA76" s="82" t="s">
        <v>333</v>
      </c>
      <c r="CB76" s="83">
        <v>0</v>
      </c>
      <c r="CC76" s="82" t="s">
        <v>333</v>
      </c>
    </row>
    <row r="77" spans="1:81" x14ac:dyDescent="0.2">
      <c r="A77" s="10" t="s">
        <v>264</v>
      </c>
      <c r="B77" s="20">
        <v>0</v>
      </c>
      <c r="C77" s="12" t="s">
        <v>333</v>
      </c>
      <c r="D77" s="20">
        <v>0</v>
      </c>
      <c r="E77" s="12" t="s">
        <v>333</v>
      </c>
      <c r="F77" s="20">
        <v>0</v>
      </c>
      <c r="G77" s="12" t="s">
        <v>333</v>
      </c>
      <c r="H77" s="20">
        <v>0</v>
      </c>
      <c r="I77" s="12" t="s">
        <v>333</v>
      </c>
      <c r="J77" s="20">
        <v>0</v>
      </c>
      <c r="K77" s="12" t="s">
        <v>333</v>
      </c>
      <c r="L77" s="20">
        <v>0</v>
      </c>
      <c r="M77" s="12" t="s">
        <v>333</v>
      </c>
      <c r="N77" s="12" t="s">
        <v>202</v>
      </c>
      <c r="O77" s="12" t="s">
        <v>333</v>
      </c>
      <c r="P77" s="12" t="s">
        <v>202</v>
      </c>
      <c r="Q77" s="12" t="s">
        <v>333</v>
      </c>
      <c r="R77" s="12" t="s">
        <v>202</v>
      </c>
      <c r="S77" s="12" t="s">
        <v>333</v>
      </c>
      <c r="T77" s="12" t="s">
        <v>202</v>
      </c>
      <c r="U77" s="12" t="s">
        <v>333</v>
      </c>
      <c r="V77" s="12" t="s">
        <v>202</v>
      </c>
      <c r="W77" s="12" t="s">
        <v>333</v>
      </c>
      <c r="X77" s="20">
        <v>0</v>
      </c>
      <c r="Y77" s="12" t="s">
        <v>333</v>
      </c>
      <c r="Z77" s="20">
        <v>0</v>
      </c>
      <c r="AA77" s="12" t="s">
        <v>333</v>
      </c>
      <c r="AB77" s="20">
        <v>0</v>
      </c>
      <c r="AC77" s="12" t="s">
        <v>333</v>
      </c>
      <c r="AD77" s="20">
        <v>0</v>
      </c>
      <c r="AE77" s="12" t="s">
        <v>333</v>
      </c>
      <c r="AF77" s="20">
        <v>0</v>
      </c>
      <c r="AG77" s="12" t="s">
        <v>333</v>
      </c>
      <c r="AH77" s="20">
        <v>0</v>
      </c>
      <c r="AI77" s="12" t="s">
        <v>333</v>
      </c>
      <c r="AJ77" s="20">
        <v>0</v>
      </c>
      <c r="AK77" s="12" t="s">
        <v>333</v>
      </c>
      <c r="AL77" s="20">
        <v>0</v>
      </c>
      <c r="AM77" s="12" t="s">
        <v>333</v>
      </c>
      <c r="AN77" s="20">
        <v>0</v>
      </c>
      <c r="AO77" s="12" t="s">
        <v>333</v>
      </c>
      <c r="AP77" s="20">
        <v>0</v>
      </c>
      <c r="AQ77" s="12" t="s">
        <v>333</v>
      </c>
      <c r="AR77" s="20">
        <v>0</v>
      </c>
      <c r="AS77" s="12" t="s">
        <v>333</v>
      </c>
      <c r="AT77" s="20">
        <v>0</v>
      </c>
      <c r="AU77" s="12" t="s">
        <v>333</v>
      </c>
      <c r="AV77" s="20">
        <v>0</v>
      </c>
      <c r="AW77" s="12" t="s">
        <v>333</v>
      </c>
      <c r="AX77" s="20">
        <v>0</v>
      </c>
      <c r="AY77" s="12" t="s">
        <v>333</v>
      </c>
      <c r="AZ77" s="20">
        <v>0</v>
      </c>
      <c r="BA77" s="12" t="s">
        <v>333</v>
      </c>
      <c r="BB77" s="20">
        <v>0</v>
      </c>
      <c r="BC77" s="12" t="s">
        <v>333</v>
      </c>
      <c r="BD77" s="20">
        <v>0</v>
      </c>
      <c r="BE77" s="12" t="s">
        <v>333</v>
      </c>
      <c r="BF77" s="20">
        <v>0</v>
      </c>
      <c r="BG77" s="12" t="s">
        <v>333</v>
      </c>
      <c r="BH77" s="20">
        <v>0</v>
      </c>
      <c r="BI77" s="12" t="s">
        <v>333</v>
      </c>
      <c r="BJ77" s="20">
        <v>0</v>
      </c>
      <c r="BK77" s="12" t="s">
        <v>333</v>
      </c>
      <c r="BL77" s="20">
        <v>0</v>
      </c>
      <c r="BM77" s="12" t="s">
        <v>333</v>
      </c>
      <c r="BN77" s="20">
        <v>0</v>
      </c>
      <c r="BO77" s="12" t="s">
        <v>333</v>
      </c>
      <c r="BP77" s="20">
        <v>0</v>
      </c>
      <c r="BQ77" s="12" t="s">
        <v>333</v>
      </c>
      <c r="BR77" s="20">
        <v>0</v>
      </c>
      <c r="BS77" s="12" t="s">
        <v>333</v>
      </c>
      <c r="BT77" s="20">
        <v>0</v>
      </c>
      <c r="BU77" s="12" t="s">
        <v>333</v>
      </c>
      <c r="BV77" s="20">
        <v>0</v>
      </c>
      <c r="BW77" s="12" t="s">
        <v>333</v>
      </c>
      <c r="BX77" s="20">
        <v>0</v>
      </c>
      <c r="BY77" s="12" t="s">
        <v>333</v>
      </c>
      <c r="BZ77" s="20">
        <v>0</v>
      </c>
      <c r="CA77" s="12" t="s">
        <v>333</v>
      </c>
      <c r="CB77" s="20">
        <v>0</v>
      </c>
      <c r="CC77" s="12" t="s">
        <v>333</v>
      </c>
    </row>
    <row r="78" spans="1:81" x14ac:dyDescent="0.2">
      <c r="A78" s="10" t="s">
        <v>519</v>
      </c>
      <c r="B78" s="83">
        <v>0</v>
      </c>
      <c r="C78" s="82" t="s">
        <v>333</v>
      </c>
      <c r="D78" s="83">
        <v>0</v>
      </c>
      <c r="E78" s="82" t="s">
        <v>333</v>
      </c>
      <c r="F78" s="83">
        <v>0</v>
      </c>
      <c r="G78" s="82" t="s">
        <v>333</v>
      </c>
      <c r="H78" s="83">
        <v>0</v>
      </c>
      <c r="I78" s="82" t="s">
        <v>333</v>
      </c>
      <c r="J78" s="83">
        <v>0</v>
      </c>
      <c r="K78" s="82" t="s">
        <v>333</v>
      </c>
      <c r="L78" s="83">
        <v>0</v>
      </c>
      <c r="M78" s="82" t="s">
        <v>333</v>
      </c>
      <c r="N78" s="82" t="s">
        <v>202</v>
      </c>
      <c r="O78" s="82" t="s">
        <v>333</v>
      </c>
      <c r="P78" s="82" t="s">
        <v>202</v>
      </c>
      <c r="Q78" s="82" t="s">
        <v>333</v>
      </c>
      <c r="R78" s="82" t="s">
        <v>202</v>
      </c>
      <c r="S78" s="82" t="s">
        <v>333</v>
      </c>
      <c r="T78" s="82" t="s">
        <v>202</v>
      </c>
      <c r="U78" s="82" t="s">
        <v>333</v>
      </c>
      <c r="V78" s="82" t="s">
        <v>202</v>
      </c>
      <c r="W78" s="82" t="s">
        <v>333</v>
      </c>
      <c r="X78" s="83">
        <v>0</v>
      </c>
      <c r="Y78" s="82" t="s">
        <v>333</v>
      </c>
      <c r="Z78" s="83">
        <v>0</v>
      </c>
      <c r="AA78" s="82" t="s">
        <v>333</v>
      </c>
      <c r="AB78" s="83">
        <v>0</v>
      </c>
      <c r="AC78" s="82" t="s">
        <v>333</v>
      </c>
      <c r="AD78" s="83">
        <v>0</v>
      </c>
      <c r="AE78" s="82" t="s">
        <v>333</v>
      </c>
      <c r="AF78" s="83">
        <v>0</v>
      </c>
      <c r="AG78" s="82" t="s">
        <v>333</v>
      </c>
      <c r="AH78" s="83">
        <v>0</v>
      </c>
      <c r="AI78" s="82" t="s">
        <v>333</v>
      </c>
      <c r="AJ78" s="83">
        <v>0</v>
      </c>
      <c r="AK78" s="82" t="s">
        <v>333</v>
      </c>
      <c r="AL78" s="83">
        <v>0</v>
      </c>
      <c r="AM78" s="82" t="s">
        <v>333</v>
      </c>
      <c r="AN78" s="83">
        <v>0</v>
      </c>
      <c r="AO78" s="82" t="s">
        <v>333</v>
      </c>
      <c r="AP78" s="83">
        <v>0</v>
      </c>
      <c r="AQ78" s="82" t="s">
        <v>333</v>
      </c>
      <c r="AR78" s="83">
        <v>0</v>
      </c>
      <c r="AS78" s="82" t="s">
        <v>333</v>
      </c>
      <c r="AT78" s="83">
        <v>0</v>
      </c>
      <c r="AU78" s="82" t="s">
        <v>333</v>
      </c>
      <c r="AV78" s="83">
        <v>0</v>
      </c>
      <c r="AW78" s="82" t="s">
        <v>333</v>
      </c>
      <c r="AX78" s="83">
        <v>0</v>
      </c>
      <c r="AY78" s="82" t="s">
        <v>333</v>
      </c>
      <c r="AZ78" s="83">
        <v>0</v>
      </c>
      <c r="BA78" s="82" t="s">
        <v>333</v>
      </c>
      <c r="BB78" s="83">
        <v>0</v>
      </c>
      <c r="BC78" s="82" t="s">
        <v>333</v>
      </c>
      <c r="BD78" s="83">
        <v>0</v>
      </c>
      <c r="BE78" s="82" t="s">
        <v>333</v>
      </c>
      <c r="BF78" s="83">
        <v>0</v>
      </c>
      <c r="BG78" s="82" t="s">
        <v>333</v>
      </c>
      <c r="BH78" s="83">
        <v>0</v>
      </c>
      <c r="BI78" s="82" t="s">
        <v>333</v>
      </c>
      <c r="BJ78" s="83">
        <v>0</v>
      </c>
      <c r="BK78" s="82" t="s">
        <v>333</v>
      </c>
      <c r="BL78" s="83">
        <v>0</v>
      </c>
      <c r="BM78" s="82" t="s">
        <v>333</v>
      </c>
      <c r="BN78" s="83">
        <v>0</v>
      </c>
      <c r="BO78" s="82" t="s">
        <v>333</v>
      </c>
      <c r="BP78" s="83">
        <v>0</v>
      </c>
      <c r="BQ78" s="82" t="s">
        <v>333</v>
      </c>
      <c r="BR78" s="83">
        <v>0</v>
      </c>
      <c r="BS78" s="82" t="s">
        <v>333</v>
      </c>
      <c r="BT78" s="83">
        <v>0</v>
      </c>
      <c r="BU78" s="82" t="s">
        <v>333</v>
      </c>
      <c r="BV78" s="83">
        <v>0</v>
      </c>
      <c r="BW78" s="82" t="s">
        <v>333</v>
      </c>
      <c r="BX78" s="83">
        <v>0</v>
      </c>
      <c r="BY78" s="82" t="s">
        <v>333</v>
      </c>
      <c r="BZ78" s="83">
        <v>0</v>
      </c>
      <c r="CA78" s="82" t="s">
        <v>333</v>
      </c>
      <c r="CB78" s="83">
        <v>0</v>
      </c>
      <c r="CC78" s="82" t="s">
        <v>333</v>
      </c>
    </row>
    <row r="79" spans="1:81" x14ac:dyDescent="0.2">
      <c r="A79" s="10" t="s">
        <v>520</v>
      </c>
      <c r="B79" s="20">
        <v>0</v>
      </c>
      <c r="C79" s="12" t="s">
        <v>333</v>
      </c>
      <c r="D79" s="20">
        <v>0</v>
      </c>
      <c r="E79" s="12" t="s">
        <v>333</v>
      </c>
      <c r="F79" s="20">
        <v>0</v>
      </c>
      <c r="G79" s="12" t="s">
        <v>333</v>
      </c>
      <c r="H79" s="20">
        <v>0</v>
      </c>
      <c r="I79" s="12" t="s">
        <v>333</v>
      </c>
      <c r="J79" s="20">
        <v>0</v>
      </c>
      <c r="K79" s="12" t="s">
        <v>333</v>
      </c>
      <c r="L79" s="20">
        <v>0</v>
      </c>
      <c r="M79" s="12" t="s">
        <v>333</v>
      </c>
      <c r="N79" s="12" t="s">
        <v>202</v>
      </c>
      <c r="O79" s="12" t="s">
        <v>333</v>
      </c>
      <c r="P79" s="12" t="s">
        <v>202</v>
      </c>
      <c r="Q79" s="12" t="s">
        <v>333</v>
      </c>
      <c r="R79" s="12" t="s">
        <v>202</v>
      </c>
      <c r="S79" s="12" t="s">
        <v>333</v>
      </c>
      <c r="T79" s="12" t="s">
        <v>202</v>
      </c>
      <c r="U79" s="12" t="s">
        <v>333</v>
      </c>
      <c r="V79" s="12" t="s">
        <v>202</v>
      </c>
      <c r="W79" s="12" t="s">
        <v>333</v>
      </c>
      <c r="X79" s="20">
        <v>0</v>
      </c>
      <c r="Y79" s="12" t="s">
        <v>333</v>
      </c>
      <c r="Z79" s="20">
        <v>0</v>
      </c>
      <c r="AA79" s="12" t="s">
        <v>333</v>
      </c>
      <c r="AB79" s="20">
        <v>0</v>
      </c>
      <c r="AC79" s="12" t="s">
        <v>333</v>
      </c>
      <c r="AD79" s="20">
        <v>0</v>
      </c>
      <c r="AE79" s="12" t="s">
        <v>333</v>
      </c>
      <c r="AF79" s="20">
        <v>0</v>
      </c>
      <c r="AG79" s="12" t="s">
        <v>333</v>
      </c>
      <c r="AH79" s="20">
        <v>0</v>
      </c>
      <c r="AI79" s="12" t="s">
        <v>333</v>
      </c>
      <c r="AJ79" s="20">
        <v>0</v>
      </c>
      <c r="AK79" s="12" t="s">
        <v>333</v>
      </c>
      <c r="AL79" s="20">
        <v>0</v>
      </c>
      <c r="AM79" s="12" t="s">
        <v>333</v>
      </c>
      <c r="AN79" s="20">
        <v>0</v>
      </c>
      <c r="AO79" s="12" t="s">
        <v>333</v>
      </c>
      <c r="AP79" s="20">
        <v>0</v>
      </c>
      <c r="AQ79" s="12" t="s">
        <v>333</v>
      </c>
      <c r="AR79" s="20">
        <v>0</v>
      </c>
      <c r="AS79" s="12" t="s">
        <v>333</v>
      </c>
      <c r="AT79" s="20">
        <v>0</v>
      </c>
      <c r="AU79" s="12" t="s">
        <v>333</v>
      </c>
      <c r="AV79" s="20">
        <v>0</v>
      </c>
      <c r="AW79" s="12" t="s">
        <v>333</v>
      </c>
      <c r="AX79" s="20">
        <v>0</v>
      </c>
      <c r="AY79" s="12" t="s">
        <v>333</v>
      </c>
      <c r="AZ79" s="20">
        <v>0</v>
      </c>
      <c r="BA79" s="12" t="s">
        <v>333</v>
      </c>
      <c r="BB79" s="20">
        <v>0</v>
      </c>
      <c r="BC79" s="12" t="s">
        <v>333</v>
      </c>
      <c r="BD79" s="20">
        <v>0</v>
      </c>
      <c r="BE79" s="12" t="s">
        <v>333</v>
      </c>
      <c r="BF79" s="20">
        <v>0</v>
      </c>
      <c r="BG79" s="12" t="s">
        <v>333</v>
      </c>
      <c r="BH79" s="20">
        <v>0</v>
      </c>
      <c r="BI79" s="12" t="s">
        <v>333</v>
      </c>
      <c r="BJ79" s="20">
        <v>0</v>
      </c>
      <c r="BK79" s="12" t="s">
        <v>333</v>
      </c>
      <c r="BL79" s="20">
        <v>0</v>
      </c>
      <c r="BM79" s="12" t="s">
        <v>333</v>
      </c>
      <c r="BN79" s="20">
        <v>0</v>
      </c>
      <c r="BO79" s="12" t="s">
        <v>333</v>
      </c>
      <c r="BP79" s="20">
        <v>0</v>
      </c>
      <c r="BQ79" s="12" t="s">
        <v>333</v>
      </c>
      <c r="BR79" s="20">
        <v>0</v>
      </c>
      <c r="BS79" s="12" t="s">
        <v>333</v>
      </c>
      <c r="BT79" s="20">
        <v>0</v>
      </c>
      <c r="BU79" s="12" t="s">
        <v>333</v>
      </c>
      <c r="BV79" s="20">
        <v>0</v>
      </c>
      <c r="BW79" s="12" t="s">
        <v>333</v>
      </c>
      <c r="BX79" s="20">
        <v>0</v>
      </c>
      <c r="BY79" s="12" t="s">
        <v>333</v>
      </c>
      <c r="BZ79" s="20">
        <v>0</v>
      </c>
      <c r="CA79" s="12" t="s">
        <v>333</v>
      </c>
      <c r="CB79" s="20">
        <v>0</v>
      </c>
      <c r="CC79" s="12" t="s">
        <v>333</v>
      </c>
    </row>
    <row r="80" spans="1:81" x14ac:dyDescent="0.2">
      <c r="A80" s="10" t="s">
        <v>265</v>
      </c>
      <c r="B80" s="83">
        <v>0</v>
      </c>
      <c r="C80" s="82" t="s">
        <v>333</v>
      </c>
      <c r="D80" s="83">
        <v>0</v>
      </c>
      <c r="E80" s="82" t="s">
        <v>333</v>
      </c>
      <c r="F80" s="83">
        <v>0</v>
      </c>
      <c r="G80" s="82" t="s">
        <v>333</v>
      </c>
      <c r="H80" s="83">
        <v>0</v>
      </c>
      <c r="I80" s="82" t="s">
        <v>333</v>
      </c>
      <c r="J80" s="83">
        <v>0</v>
      </c>
      <c r="K80" s="82" t="s">
        <v>333</v>
      </c>
      <c r="L80" s="83">
        <v>0</v>
      </c>
      <c r="M80" s="82" t="s">
        <v>333</v>
      </c>
      <c r="N80" s="82" t="s">
        <v>202</v>
      </c>
      <c r="O80" s="82" t="s">
        <v>333</v>
      </c>
      <c r="P80" s="82" t="s">
        <v>202</v>
      </c>
      <c r="Q80" s="82" t="s">
        <v>333</v>
      </c>
      <c r="R80" s="82" t="s">
        <v>202</v>
      </c>
      <c r="S80" s="82" t="s">
        <v>333</v>
      </c>
      <c r="T80" s="82" t="s">
        <v>202</v>
      </c>
      <c r="U80" s="82" t="s">
        <v>333</v>
      </c>
      <c r="V80" s="82" t="s">
        <v>202</v>
      </c>
      <c r="W80" s="82" t="s">
        <v>333</v>
      </c>
      <c r="X80" s="83">
        <v>0</v>
      </c>
      <c r="Y80" s="82" t="s">
        <v>333</v>
      </c>
      <c r="Z80" s="83">
        <v>0</v>
      </c>
      <c r="AA80" s="82" t="s">
        <v>333</v>
      </c>
      <c r="AB80" s="83">
        <v>0</v>
      </c>
      <c r="AC80" s="82" t="s">
        <v>333</v>
      </c>
      <c r="AD80" s="83">
        <v>0</v>
      </c>
      <c r="AE80" s="82" t="s">
        <v>333</v>
      </c>
      <c r="AF80" s="83">
        <v>0</v>
      </c>
      <c r="AG80" s="82" t="s">
        <v>333</v>
      </c>
      <c r="AH80" s="83">
        <v>0</v>
      </c>
      <c r="AI80" s="82" t="s">
        <v>333</v>
      </c>
      <c r="AJ80" s="83">
        <v>0</v>
      </c>
      <c r="AK80" s="82" t="s">
        <v>333</v>
      </c>
      <c r="AL80" s="83">
        <v>0</v>
      </c>
      <c r="AM80" s="82" t="s">
        <v>333</v>
      </c>
      <c r="AN80" s="83">
        <v>0</v>
      </c>
      <c r="AO80" s="82" t="s">
        <v>333</v>
      </c>
      <c r="AP80" s="83">
        <v>0</v>
      </c>
      <c r="AQ80" s="82" t="s">
        <v>333</v>
      </c>
      <c r="AR80" s="83">
        <v>0</v>
      </c>
      <c r="AS80" s="82" t="s">
        <v>333</v>
      </c>
      <c r="AT80" s="83">
        <v>0</v>
      </c>
      <c r="AU80" s="82" t="s">
        <v>333</v>
      </c>
      <c r="AV80" s="83">
        <v>0</v>
      </c>
      <c r="AW80" s="82" t="s">
        <v>333</v>
      </c>
      <c r="AX80" s="83">
        <v>0</v>
      </c>
      <c r="AY80" s="82" t="s">
        <v>333</v>
      </c>
      <c r="AZ80" s="83">
        <v>0</v>
      </c>
      <c r="BA80" s="82" t="s">
        <v>333</v>
      </c>
      <c r="BB80" s="83">
        <v>0</v>
      </c>
      <c r="BC80" s="82" t="s">
        <v>333</v>
      </c>
      <c r="BD80" s="83">
        <v>0</v>
      </c>
      <c r="BE80" s="82" t="s">
        <v>333</v>
      </c>
      <c r="BF80" s="83">
        <v>0</v>
      </c>
      <c r="BG80" s="82" t="s">
        <v>333</v>
      </c>
      <c r="BH80" s="83">
        <v>0</v>
      </c>
      <c r="BI80" s="82" t="s">
        <v>333</v>
      </c>
      <c r="BJ80" s="83">
        <v>0</v>
      </c>
      <c r="BK80" s="82" t="s">
        <v>333</v>
      </c>
      <c r="BL80" s="83">
        <v>0</v>
      </c>
      <c r="BM80" s="82" t="s">
        <v>333</v>
      </c>
      <c r="BN80" s="83">
        <v>0</v>
      </c>
      <c r="BO80" s="82" t="s">
        <v>333</v>
      </c>
      <c r="BP80" s="83">
        <v>0</v>
      </c>
      <c r="BQ80" s="82" t="s">
        <v>333</v>
      </c>
      <c r="BR80" s="83">
        <v>0</v>
      </c>
      <c r="BS80" s="82" t="s">
        <v>333</v>
      </c>
      <c r="BT80" s="83">
        <v>0</v>
      </c>
      <c r="BU80" s="82" t="s">
        <v>333</v>
      </c>
      <c r="BV80" s="83">
        <v>0</v>
      </c>
      <c r="BW80" s="82" t="s">
        <v>333</v>
      </c>
      <c r="BX80" s="83">
        <v>0</v>
      </c>
      <c r="BY80" s="82" t="s">
        <v>333</v>
      </c>
      <c r="BZ80" s="83">
        <v>0</v>
      </c>
      <c r="CA80" s="82" t="s">
        <v>333</v>
      </c>
      <c r="CB80" s="83">
        <v>0</v>
      </c>
      <c r="CC80" s="82" t="s">
        <v>333</v>
      </c>
    </row>
    <row r="81" spans="1:81" x14ac:dyDescent="0.2">
      <c r="A81" s="10" t="s">
        <v>521</v>
      </c>
      <c r="B81" s="20">
        <v>0</v>
      </c>
      <c r="C81" s="12" t="s">
        <v>333</v>
      </c>
      <c r="D81" s="20">
        <v>0</v>
      </c>
      <c r="E81" s="12" t="s">
        <v>333</v>
      </c>
      <c r="F81" s="20">
        <v>0</v>
      </c>
      <c r="G81" s="12" t="s">
        <v>333</v>
      </c>
      <c r="H81" s="20">
        <v>0</v>
      </c>
      <c r="I81" s="12" t="s">
        <v>333</v>
      </c>
      <c r="J81" s="20">
        <v>0</v>
      </c>
      <c r="K81" s="12" t="s">
        <v>333</v>
      </c>
      <c r="L81" s="20">
        <v>0</v>
      </c>
      <c r="M81" s="12" t="s">
        <v>333</v>
      </c>
      <c r="N81" s="12" t="s">
        <v>202</v>
      </c>
      <c r="O81" s="12" t="s">
        <v>333</v>
      </c>
      <c r="P81" s="12" t="s">
        <v>202</v>
      </c>
      <c r="Q81" s="12" t="s">
        <v>333</v>
      </c>
      <c r="R81" s="12" t="s">
        <v>202</v>
      </c>
      <c r="S81" s="12" t="s">
        <v>333</v>
      </c>
      <c r="T81" s="12" t="s">
        <v>202</v>
      </c>
      <c r="U81" s="12" t="s">
        <v>333</v>
      </c>
      <c r="V81" s="12" t="s">
        <v>202</v>
      </c>
      <c r="W81" s="12" t="s">
        <v>333</v>
      </c>
      <c r="X81" s="20">
        <v>0</v>
      </c>
      <c r="Y81" s="12" t="s">
        <v>333</v>
      </c>
      <c r="Z81" s="20">
        <v>0</v>
      </c>
      <c r="AA81" s="12" t="s">
        <v>333</v>
      </c>
      <c r="AB81" s="20">
        <v>0</v>
      </c>
      <c r="AC81" s="12" t="s">
        <v>333</v>
      </c>
      <c r="AD81" s="20">
        <v>0</v>
      </c>
      <c r="AE81" s="12" t="s">
        <v>333</v>
      </c>
      <c r="AF81" s="20">
        <v>0</v>
      </c>
      <c r="AG81" s="12" t="s">
        <v>333</v>
      </c>
      <c r="AH81" s="20">
        <v>0</v>
      </c>
      <c r="AI81" s="12" t="s">
        <v>333</v>
      </c>
      <c r="AJ81" s="20">
        <v>0</v>
      </c>
      <c r="AK81" s="12" t="s">
        <v>333</v>
      </c>
      <c r="AL81" s="20">
        <v>0</v>
      </c>
      <c r="AM81" s="12" t="s">
        <v>333</v>
      </c>
      <c r="AN81" s="20">
        <v>0</v>
      </c>
      <c r="AO81" s="12" t="s">
        <v>333</v>
      </c>
      <c r="AP81" s="20">
        <v>0</v>
      </c>
      <c r="AQ81" s="12" t="s">
        <v>333</v>
      </c>
      <c r="AR81" s="20">
        <v>0</v>
      </c>
      <c r="AS81" s="12" t="s">
        <v>333</v>
      </c>
      <c r="AT81" s="20">
        <v>0</v>
      </c>
      <c r="AU81" s="12" t="s">
        <v>333</v>
      </c>
      <c r="AV81" s="20">
        <v>0</v>
      </c>
      <c r="AW81" s="12" t="s">
        <v>333</v>
      </c>
      <c r="AX81" s="20">
        <v>0</v>
      </c>
      <c r="AY81" s="12" t="s">
        <v>333</v>
      </c>
      <c r="AZ81" s="20">
        <v>0</v>
      </c>
      <c r="BA81" s="12" t="s">
        <v>333</v>
      </c>
      <c r="BB81" s="20">
        <v>0</v>
      </c>
      <c r="BC81" s="12" t="s">
        <v>333</v>
      </c>
      <c r="BD81" s="20">
        <v>0</v>
      </c>
      <c r="BE81" s="12" t="s">
        <v>333</v>
      </c>
      <c r="BF81" s="20">
        <v>0</v>
      </c>
      <c r="BG81" s="12" t="s">
        <v>333</v>
      </c>
      <c r="BH81" s="20">
        <v>0</v>
      </c>
      <c r="BI81" s="12" t="s">
        <v>333</v>
      </c>
      <c r="BJ81" s="20">
        <v>0</v>
      </c>
      <c r="BK81" s="12" t="s">
        <v>333</v>
      </c>
      <c r="BL81" s="20">
        <v>0</v>
      </c>
      <c r="BM81" s="12" t="s">
        <v>333</v>
      </c>
      <c r="BN81" s="20">
        <v>0</v>
      </c>
      <c r="BO81" s="12" t="s">
        <v>333</v>
      </c>
      <c r="BP81" s="20">
        <v>0</v>
      </c>
      <c r="BQ81" s="12" t="s">
        <v>333</v>
      </c>
      <c r="BR81" s="20">
        <v>0</v>
      </c>
      <c r="BS81" s="12" t="s">
        <v>333</v>
      </c>
      <c r="BT81" s="20">
        <v>0</v>
      </c>
      <c r="BU81" s="12" t="s">
        <v>333</v>
      </c>
      <c r="BV81" s="20">
        <v>0</v>
      </c>
      <c r="BW81" s="12" t="s">
        <v>333</v>
      </c>
      <c r="BX81" s="20">
        <v>0</v>
      </c>
      <c r="BY81" s="12" t="s">
        <v>333</v>
      </c>
      <c r="BZ81" s="20">
        <v>0</v>
      </c>
      <c r="CA81" s="12" t="s">
        <v>333</v>
      </c>
      <c r="CB81" s="20">
        <v>0</v>
      </c>
      <c r="CC81" s="12" t="s">
        <v>333</v>
      </c>
    </row>
    <row r="82" spans="1:81" x14ac:dyDescent="0.2">
      <c r="A82" s="10" t="s">
        <v>522</v>
      </c>
      <c r="B82" s="83">
        <v>0</v>
      </c>
      <c r="C82" s="82" t="s">
        <v>333</v>
      </c>
      <c r="D82" s="83">
        <v>0</v>
      </c>
      <c r="E82" s="82" t="s">
        <v>333</v>
      </c>
      <c r="F82" s="83">
        <v>0</v>
      </c>
      <c r="G82" s="82" t="s">
        <v>333</v>
      </c>
      <c r="H82" s="83">
        <v>0</v>
      </c>
      <c r="I82" s="82" t="s">
        <v>333</v>
      </c>
      <c r="J82" s="83">
        <v>0</v>
      </c>
      <c r="K82" s="82" t="s">
        <v>333</v>
      </c>
      <c r="L82" s="83">
        <v>0</v>
      </c>
      <c r="M82" s="82" t="s">
        <v>333</v>
      </c>
      <c r="N82" s="82" t="s">
        <v>202</v>
      </c>
      <c r="O82" s="82" t="s">
        <v>333</v>
      </c>
      <c r="P82" s="82" t="s">
        <v>202</v>
      </c>
      <c r="Q82" s="82" t="s">
        <v>333</v>
      </c>
      <c r="R82" s="82" t="s">
        <v>202</v>
      </c>
      <c r="S82" s="82" t="s">
        <v>333</v>
      </c>
      <c r="T82" s="82" t="s">
        <v>202</v>
      </c>
      <c r="U82" s="82" t="s">
        <v>333</v>
      </c>
      <c r="V82" s="82" t="s">
        <v>202</v>
      </c>
      <c r="W82" s="82" t="s">
        <v>333</v>
      </c>
      <c r="X82" s="83">
        <v>0</v>
      </c>
      <c r="Y82" s="82" t="s">
        <v>333</v>
      </c>
      <c r="Z82" s="83">
        <v>0</v>
      </c>
      <c r="AA82" s="82" t="s">
        <v>333</v>
      </c>
      <c r="AB82" s="83">
        <v>0</v>
      </c>
      <c r="AC82" s="82" t="s">
        <v>333</v>
      </c>
      <c r="AD82" s="83">
        <v>0</v>
      </c>
      <c r="AE82" s="82" t="s">
        <v>333</v>
      </c>
      <c r="AF82" s="83">
        <v>0</v>
      </c>
      <c r="AG82" s="82" t="s">
        <v>333</v>
      </c>
      <c r="AH82" s="83">
        <v>0</v>
      </c>
      <c r="AI82" s="82" t="s">
        <v>333</v>
      </c>
      <c r="AJ82" s="83">
        <v>0</v>
      </c>
      <c r="AK82" s="82" t="s">
        <v>333</v>
      </c>
      <c r="AL82" s="83">
        <v>0</v>
      </c>
      <c r="AM82" s="82" t="s">
        <v>333</v>
      </c>
      <c r="AN82" s="83">
        <v>0</v>
      </c>
      <c r="AO82" s="82" t="s">
        <v>333</v>
      </c>
      <c r="AP82" s="83">
        <v>0</v>
      </c>
      <c r="AQ82" s="82" t="s">
        <v>333</v>
      </c>
      <c r="AR82" s="83">
        <v>0</v>
      </c>
      <c r="AS82" s="82" t="s">
        <v>333</v>
      </c>
      <c r="AT82" s="83">
        <v>0</v>
      </c>
      <c r="AU82" s="82" t="s">
        <v>333</v>
      </c>
      <c r="AV82" s="83">
        <v>0</v>
      </c>
      <c r="AW82" s="82" t="s">
        <v>333</v>
      </c>
      <c r="AX82" s="83">
        <v>0</v>
      </c>
      <c r="AY82" s="82" t="s">
        <v>333</v>
      </c>
      <c r="AZ82" s="83">
        <v>0</v>
      </c>
      <c r="BA82" s="82" t="s">
        <v>333</v>
      </c>
      <c r="BB82" s="83">
        <v>0</v>
      </c>
      <c r="BC82" s="82" t="s">
        <v>333</v>
      </c>
      <c r="BD82" s="83">
        <v>0</v>
      </c>
      <c r="BE82" s="82" t="s">
        <v>333</v>
      </c>
      <c r="BF82" s="83">
        <v>0</v>
      </c>
      <c r="BG82" s="82" t="s">
        <v>333</v>
      </c>
      <c r="BH82" s="83">
        <v>0</v>
      </c>
      <c r="BI82" s="82" t="s">
        <v>333</v>
      </c>
      <c r="BJ82" s="83">
        <v>0</v>
      </c>
      <c r="BK82" s="82" t="s">
        <v>333</v>
      </c>
      <c r="BL82" s="83">
        <v>0</v>
      </c>
      <c r="BM82" s="82" t="s">
        <v>333</v>
      </c>
      <c r="BN82" s="83">
        <v>0</v>
      </c>
      <c r="BO82" s="82" t="s">
        <v>333</v>
      </c>
      <c r="BP82" s="83">
        <v>0</v>
      </c>
      <c r="BQ82" s="82" t="s">
        <v>333</v>
      </c>
      <c r="BR82" s="83">
        <v>0</v>
      </c>
      <c r="BS82" s="82" t="s">
        <v>333</v>
      </c>
      <c r="BT82" s="83">
        <v>0</v>
      </c>
      <c r="BU82" s="82" t="s">
        <v>333</v>
      </c>
      <c r="BV82" s="83">
        <v>0</v>
      </c>
      <c r="BW82" s="82" t="s">
        <v>333</v>
      </c>
      <c r="BX82" s="83">
        <v>0</v>
      </c>
      <c r="BY82" s="82" t="s">
        <v>333</v>
      </c>
      <c r="BZ82" s="83">
        <v>0</v>
      </c>
      <c r="CA82" s="82" t="s">
        <v>333</v>
      </c>
      <c r="CB82" s="83">
        <v>0</v>
      </c>
      <c r="CC82" s="82" t="s">
        <v>333</v>
      </c>
    </row>
    <row r="83" spans="1:81" x14ac:dyDescent="0.2">
      <c r="A83" s="10" t="s">
        <v>267</v>
      </c>
      <c r="B83" s="20">
        <v>0</v>
      </c>
      <c r="C83" s="12" t="s">
        <v>333</v>
      </c>
      <c r="D83" s="20">
        <v>0</v>
      </c>
      <c r="E83" s="12" t="s">
        <v>333</v>
      </c>
      <c r="F83" s="20">
        <v>0</v>
      </c>
      <c r="G83" s="12" t="s">
        <v>333</v>
      </c>
      <c r="H83" s="20">
        <v>0</v>
      </c>
      <c r="I83" s="12" t="s">
        <v>333</v>
      </c>
      <c r="J83" s="20">
        <v>0</v>
      </c>
      <c r="K83" s="12" t="s">
        <v>333</v>
      </c>
      <c r="L83" s="20">
        <v>0</v>
      </c>
      <c r="M83" s="12" t="s">
        <v>333</v>
      </c>
      <c r="N83" s="12" t="s">
        <v>202</v>
      </c>
      <c r="O83" s="12" t="s">
        <v>333</v>
      </c>
      <c r="P83" s="12" t="s">
        <v>202</v>
      </c>
      <c r="Q83" s="12" t="s">
        <v>333</v>
      </c>
      <c r="R83" s="12" t="s">
        <v>202</v>
      </c>
      <c r="S83" s="12" t="s">
        <v>333</v>
      </c>
      <c r="T83" s="12" t="s">
        <v>202</v>
      </c>
      <c r="U83" s="12" t="s">
        <v>333</v>
      </c>
      <c r="V83" s="12" t="s">
        <v>202</v>
      </c>
      <c r="W83" s="12" t="s">
        <v>333</v>
      </c>
      <c r="X83" s="20">
        <v>0</v>
      </c>
      <c r="Y83" s="12" t="s">
        <v>333</v>
      </c>
      <c r="Z83" s="20">
        <v>0</v>
      </c>
      <c r="AA83" s="12" t="s">
        <v>333</v>
      </c>
      <c r="AB83" s="20">
        <v>0</v>
      </c>
      <c r="AC83" s="12" t="s">
        <v>333</v>
      </c>
      <c r="AD83" s="20">
        <v>0</v>
      </c>
      <c r="AE83" s="12" t="s">
        <v>333</v>
      </c>
      <c r="AF83" s="20">
        <v>0</v>
      </c>
      <c r="AG83" s="12" t="s">
        <v>333</v>
      </c>
      <c r="AH83" s="20">
        <v>0</v>
      </c>
      <c r="AI83" s="12" t="s">
        <v>333</v>
      </c>
      <c r="AJ83" s="20">
        <v>0</v>
      </c>
      <c r="AK83" s="12" t="s">
        <v>333</v>
      </c>
      <c r="AL83" s="20">
        <v>0</v>
      </c>
      <c r="AM83" s="12" t="s">
        <v>333</v>
      </c>
      <c r="AN83" s="20">
        <v>0</v>
      </c>
      <c r="AO83" s="12" t="s">
        <v>333</v>
      </c>
      <c r="AP83" s="20">
        <v>0</v>
      </c>
      <c r="AQ83" s="12" t="s">
        <v>333</v>
      </c>
      <c r="AR83" s="20">
        <v>0</v>
      </c>
      <c r="AS83" s="12" t="s">
        <v>333</v>
      </c>
      <c r="AT83" s="20">
        <v>0</v>
      </c>
      <c r="AU83" s="12" t="s">
        <v>333</v>
      </c>
      <c r="AV83" s="20">
        <v>0</v>
      </c>
      <c r="AW83" s="12" t="s">
        <v>333</v>
      </c>
      <c r="AX83" s="20">
        <v>0</v>
      </c>
      <c r="AY83" s="12" t="s">
        <v>333</v>
      </c>
      <c r="AZ83" s="20">
        <v>0</v>
      </c>
      <c r="BA83" s="12" t="s">
        <v>333</v>
      </c>
      <c r="BB83" s="20">
        <v>0</v>
      </c>
      <c r="BC83" s="12" t="s">
        <v>333</v>
      </c>
      <c r="BD83" s="20">
        <v>0</v>
      </c>
      <c r="BE83" s="12" t="s">
        <v>333</v>
      </c>
      <c r="BF83" s="20">
        <v>0</v>
      </c>
      <c r="BG83" s="12" t="s">
        <v>333</v>
      </c>
      <c r="BH83" s="20">
        <v>0</v>
      </c>
      <c r="BI83" s="12" t="s">
        <v>333</v>
      </c>
      <c r="BJ83" s="20">
        <v>0</v>
      </c>
      <c r="BK83" s="12" t="s">
        <v>333</v>
      </c>
      <c r="BL83" s="20">
        <v>0</v>
      </c>
      <c r="BM83" s="12" t="s">
        <v>333</v>
      </c>
      <c r="BN83" s="20">
        <v>0</v>
      </c>
      <c r="BO83" s="12" t="s">
        <v>333</v>
      </c>
      <c r="BP83" s="20">
        <v>0</v>
      </c>
      <c r="BQ83" s="12" t="s">
        <v>333</v>
      </c>
      <c r="BR83" s="20">
        <v>0</v>
      </c>
      <c r="BS83" s="12" t="s">
        <v>333</v>
      </c>
      <c r="BT83" s="20">
        <v>0</v>
      </c>
      <c r="BU83" s="12" t="s">
        <v>333</v>
      </c>
      <c r="BV83" s="20">
        <v>0</v>
      </c>
      <c r="BW83" s="12" t="s">
        <v>333</v>
      </c>
      <c r="BX83" s="20">
        <v>0</v>
      </c>
      <c r="BY83" s="12" t="s">
        <v>333</v>
      </c>
      <c r="BZ83" s="20">
        <v>0</v>
      </c>
      <c r="CA83" s="12" t="s">
        <v>333</v>
      </c>
      <c r="CB83" s="20">
        <v>0</v>
      </c>
      <c r="CC83" s="12" t="s">
        <v>333</v>
      </c>
    </row>
    <row r="84" spans="1:81" x14ac:dyDescent="0.2">
      <c r="A84" s="10" t="s">
        <v>523</v>
      </c>
      <c r="B84" s="83">
        <v>0</v>
      </c>
      <c r="C84" s="82" t="s">
        <v>333</v>
      </c>
      <c r="D84" s="83">
        <v>0</v>
      </c>
      <c r="E84" s="82" t="s">
        <v>333</v>
      </c>
      <c r="F84" s="83">
        <v>0</v>
      </c>
      <c r="G84" s="82" t="s">
        <v>333</v>
      </c>
      <c r="H84" s="83">
        <v>0</v>
      </c>
      <c r="I84" s="82" t="s">
        <v>333</v>
      </c>
      <c r="J84" s="83">
        <v>0</v>
      </c>
      <c r="K84" s="82" t="s">
        <v>333</v>
      </c>
      <c r="L84" s="83">
        <v>0</v>
      </c>
      <c r="M84" s="82" t="s">
        <v>333</v>
      </c>
      <c r="N84" s="82" t="s">
        <v>202</v>
      </c>
      <c r="O84" s="82" t="s">
        <v>333</v>
      </c>
      <c r="P84" s="82" t="s">
        <v>202</v>
      </c>
      <c r="Q84" s="82" t="s">
        <v>333</v>
      </c>
      <c r="R84" s="82" t="s">
        <v>202</v>
      </c>
      <c r="S84" s="82" t="s">
        <v>333</v>
      </c>
      <c r="T84" s="82" t="s">
        <v>202</v>
      </c>
      <c r="U84" s="82" t="s">
        <v>333</v>
      </c>
      <c r="V84" s="82" t="s">
        <v>202</v>
      </c>
      <c r="W84" s="82" t="s">
        <v>333</v>
      </c>
      <c r="X84" s="83">
        <v>0</v>
      </c>
      <c r="Y84" s="82" t="s">
        <v>333</v>
      </c>
      <c r="Z84" s="83">
        <v>0</v>
      </c>
      <c r="AA84" s="82" t="s">
        <v>333</v>
      </c>
      <c r="AB84" s="83">
        <v>0</v>
      </c>
      <c r="AC84" s="82" t="s">
        <v>333</v>
      </c>
      <c r="AD84" s="83">
        <v>0</v>
      </c>
      <c r="AE84" s="82" t="s">
        <v>333</v>
      </c>
      <c r="AF84" s="83">
        <v>0</v>
      </c>
      <c r="AG84" s="82" t="s">
        <v>333</v>
      </c>
      <c r="AH84" s="83">
        <v>0</v>
      </c>
      <c r="AI84" s="82" t="s">
        <v>333</v>
      </c>
      <c r="AJ84" s="83">
        <v>0</v>
      </c>
      <c r="AK84" s="82" t="s">
        <v>333</v>
      </c>
      <c r="AL84" s="83">
        <v>0</v>
      </c>
      <c r="AM84" s="82" t="s">
        <v>333</v>
      </c>
      <c r="AN84" s="83">
        <v>0</v>
      </c>
      <c r="AO84" s="82" t="s">
        <v>333</v>
      </c>
      <c r="AP84" s="83">
        <v>0</v>
      </c>
      <c r="AQ84" s="82" t="s">
        <v>333</v>
      </c>
      <c r="AR84" s="83">
        <v>0</v>
      </c>
      <c r="AS84" s="82" t="s">
        <v>333</v>
      </c>
      <c r="AT84" s="83">
        <v>0</v>
      </c>
      <c r="AU84" s="82" t="s">
        <v>333</v>
      </c>
      <c r="AV84" s="83">
        <v>0</v>
      </c>
      <c r="AW84" s="82" t="s">
        <v>333</v>
      </c>
      <c r="AX84" s="83">
        <v>0</v>
      </c>
      <c r="AY84" s="82" t="s">
        <v>333</v>
      </c>
      <c r="AZ84" s="83">
        <v>0</v>
      </c>
      <c r="BA84" s="82" t="s">
        <v>333</v>
      </c>
      <c r="BB84" s="83">
        <v>0</v>
      </c>
      <c r="BC84" s="82" t="s">
        <v>333</v>
      </c>
      <c r="BD84" s="83">
        <v>0</v>
      </c>
      <c r="BE84" s="82" t="s">
        <v>333</v>
      </c>
      <c r="BF84" s="83">
        <v>0</v>
      </c>
      <c r="BG84" s="82" t="s">
        <v>333</v>
      </c>
      <c r="BH84" s="83">
        <v>0</v>
      </c>
      <c r="BI84" s="82" t="s">
        <v>333</v>
      </c>
      <c r="BJ84" s="83">
        <v>0</v>
      </c>
      <c r="BK84" s="82" t="s">
        <v>333</v>
      </c>
      <c r="BL84" s="83">
        <v>0</v>
      </c>
      <c r="BM84" s="82" t="s">
        <v>333</v>
      </c>
      <c r="BN84" s="83">
        <v>0</v>
      </c>
      <c r="BO84" s="82" t="s">
        <v>333</v>
      </c>
      <c r="BP84" s="83">
        <v>0</v>
      </c>
      <c r="BQ84" s="82" t="s">
        <v>333</v>
      </c>
      <c r="BR84" s="83">
        <v>0</v>
      </c>
      <c r="BS84" s="82" t="s">
        <v>333</v>
      </c>
      <c r="BT84" s="83">
        <v>0</v>
      </c>
      <c r="BU84" s="82" t="s">
        <v>333</v>
      </c>
      <c r="BV84" s="83">
        <v>0</v>
      </c>
      <c r="BW84" s="82" t="s">
        <v>333</v>
      </c>
      <c r="BX84" s="83">
        <v>0</v>
      </c>
      <c r="BY84" s="82" t="s">
        <v>333</v>
      </c>
      <c r="BZ84" s="83">
        <v>0</v>
      </c>
      <c r="CA84" s="82" t="s">
        <v>333</v>
      </c>
      <c r="CB84" s="83">
        <v>0</v>
      </c>
      <c r="CC84" s="82" t="s">
        <v>333</v>
      </c>
    </row>
    <row r="85" spans="1:81" x14ac:dyDescent="0.2">
      <c r="A85" s="10" t="s">
        <v>524</v>
      </c>
      <c r="B85" s="20">
        <v>0</v>
      </c>
      <c r="C85" s="12" t="s">
        <v>333</v>
      </c>
      <c r="D85" s="20">
        <v>0</v>
      </c>
      <c r="E85" s="12" t="s">
        <v>333</v>
      </c>
      <c r="F85" s="20">
        <v>0</v>
      </c>
      <c r="G85" s="12" t="s">
        <v>333</v>
      </c>
      <c r="H85" s="20">
        <v>0</v>
      </c>
      <c r="I85" s="12" t="s">
        <v>333</v>
      </c>
      <c r="J85" s="20">
        <v>0</v>
      </c>
      <c r="K85" s="12" t="s">
        <v>333</v>
      </c>
      <c r="L85" s="20">
        <v>0</v>
      </c>
      <c r="M85" s="12" t="s">
        <v>333</v>
      </c>
      <c r="N85" s="12" t="s">
        <v>202</v>
      </c>
      <c r="O85" s="12" t="s">
        <v>333</v>
      </c>
      <c r="P85" s="12" t="s">
        <v>202</v>
      </c>
      <c r="Q85" s="12" t="s">
        <v>333</v>
      </c>
      <c r="R85" s="12" t="s">
        <v>202</v>
      </c>
      <c r="S85" s="12" t="s">
        <v>333</v>
      </c>
      <c r="T85" s="12" t="s">
        <v>202</v>
      </c>
      <c r="U85" s="12" t="s">
        <v>333</v>
      </c>
      <c r="V85" s="12" t="s">
        <v>202</v>
      </c>
      <c r="W85" s="12" t="s">
        <v>333</v>
      </c>
      <c r="X85" s="20">
        <v>0</v>
      </c>
      <c r="Y85" s="12" t="s">
        <v>333</v>
      </c>
      <c r="Z85" s="20">
        <v>0</v>
      </c>
      <c r="AA85" s="12" t="s">
        <v>333</v>
      </c>
      <c r="AB85" s="20">
        <v>0</v>
      </c>
      <c r="AC85" s="12" t="s">
        <v>333</v>
      </c>
      <c r="AD85" s="20">
        <v>0</v>
      </c>
      <c r="AE85" s="12" t="s">
        <v>333</v>
      </c>
      <c r="AF85" s="20">
        <v>0</v>
      </c>
      <c r="AG85" s="12" t="s">
        <v>333</v>
      </c>
      <c r="AH85" s="20">
        <v>0</v>
      </c>
      <c r="AI85" s="12" t="s">
        <v>333</v>
      </c>
      <c r="AJ85" s="20">
        <v>0</v>
      </c>
      <c r="AK85" s="12" t="s">
        <v>333</v>
      </c>
      <c r="AL85" s="20">
        <v>0</v>
      </c>
      <c r="AM85" s="12" t="s">
        <v>333</v>
      </c>
      <c r="AN85" s="20">
        <v>0</v>
      </c>
      <c r="AO85" s="12" t="s">
        <v>333</v>
      </c>
      <c r="AP85" s="20">
        <v>0</v>
      </c>
      <c r="AQ85" s="12" t="s">
        <v>333</v>
      </c>
      <c r="AR85" s="20">
        <v>0</v>
      </c>
      <c r="AS85" s="12" t="s">
        <v>333</v>
      </c>
      <c r="AT85" s="20">
        <v>0</v>
      </c>
      <c r="AU85" s="12" t="s">
        <v>333</v>
      </c>
      <c r="AV85" s="20">
        <v>0</v>
      </c>
      <c r="AW85" s="12" t="s">
        <v>333</v>
      </c>
      <c r="AX85" s="20">
        <v>0</v>
      </c>
      <c r="AY85" s="12" t="s">
        <v>333</v>
      </c>
      <c r="AZ85" s="20">
        <v>0</v>
      </c>
      <c r="BA85" s="12" t="s">
        <v>333</v>
      </c>
      <c r="BB85" s="20">
        <v>0</v>
      </c>
      <c r="BC85" s="12" t="s">
        <v>333</v>
      </c>
      <c r="BD85" s="20">
        <v>0</v>
      </c>
      <c r="BE85" s="12" t="s">
        <v>333</v>
      </c>
      <c r="BF85" s="20">
        <v>0</v>
      </c>
      <c r="BG85" s="12" t="s">
        <v>333</v>
      </c>
      <c r="BH85" s="20">
        <v>0</v>
      </c>
      <c r="BI85" s="12" t="s">
        <v>333</v>
      </c>
      <c r="BJ85" s="20">
        <v>0</v>
      </c>
      <c r="BK85" s="12" t="s">
        <v>333</v>
      </c>
      <c r="BL85" s="20">
        <v>0</v>
      </c>
      <c r="BM85" s="12" t="s">
        <v>333</v>
      </c>
      <c r="BN85" s="20">
        <v>0</v>
      </c>
      <c r="BO85" s="12" t="s">
        <v>333</v>
      </c>
      <c r="BP85" s="20">
        <v>0</v>
      </c>
      <c r="BQ85" s="12" t="s">
        <v>333</v>
      </c>
      <c r="BR85" s="20">
        <v>0</v>
      </c>
      <c r="BS85" s="12" t="s">
        <v>333</v>
      </c>
      <c r="BT85" s="20">
        <v>0</v>
      </c>
      <c r="BU85" s="12" t="s">
        <v>333</v>
      </c>
      <c r="BV85" s="20">
        <v>0</v>
      </c>
      <c r="BW85" s="12" t="s">
        <v>333</v>
      </c>
      <c r="BX85" s="20">
        <v>0</v>
      </c>
      <c r="BY85" s="12" t="s">
        <v>333</v>
      </c>
      <c r="BZ85" s="20">
        <v>0</v>
      </c>
      <c r="CA85" s="12" t="s">
        <v>333</v>
      </c>
      <c r="CB85" s="20">
        <v>0</v>
      </c>
      <c r="CC85" s="12" t="s">
        <v>333</v>
      </c>
    </row>
    <row r="86" spans="1:81" x14ac:dyDescent="0.2">
      <c r="A86" s="10" t="s">
        <v>269</v>
      </c>
      <c r="B86" s="83">
        <v>0</v>
      </c>
      <c r="C86" s="82" t="s">
        <v>333</v>
      </c>
      <c r="D86" s="83">
        <v>0</v>
      </c>
      <c r="E86" s="82" t="s">
        <v>333</v>
      </c>
      <c r="F86" s="83">
        <v>0</v>
      </c>
      <c r="G86" s="82" t="s">
        <v>333</v>
      </c>
      <c r="H86" s="83">
        <v>0</v>
      </c>
      <c r="I86" s="82" t="s">
        <v>333</v>
      </c>
      <c r="J86" s="83">
        <v>0</v>
      </c>
      <c r="K86" s="82" t="s">
        <v>333</v>
      </c>
      <c r="L86" s="83">
        <v>0</v>
      </c>
      <c r="M86" s="82" t="s">
        <v>333</v>
      </c>
      <c r="N86" s="82" t="s">
        <v>202</v>
      </c>
      <c r="O86" s="82" t="s">
        <v>333</v>
      </c>
      <c r="P86" s="82" t="s">
        <v>202</v>
      </c>
      <c r="Q86" s="82" t="s">
        <v>333</v>
      </c>
      <c r="R86" s="82" t="s">
        <v>202</v>
      </c>
      <c r="S86" s="82" t="s">
        <v>333</v>
      </c>
      <c r="T86" s="82" t="s">
        <v>202</v>
      </c>
      <c r="U86" s="82" t="s">
        <v>333</v>
      </c>
      <c r="V86" s="82" t="s">
        <v>202</v>
      </c>
      <c r="W86" s="82" t="s">
        <v>333</v>
      </c>
      <c r="X86" s="83">
        <v>0</v>
      </c>
      <c r="Y86" s="82" t="s">
        <v>333</v>
      </c>
      <c r="Z86" s="83">
        <v>0</v>
      </c>
      <c r="AA86" s="82" t="s">
        <v>333</v>
      </c>
      <c r="AB86" s="83">
        <v>0</v>
      </c>
      <c r="AC86" s="82" t="s">
        <v>333</v>
      </c>
      <c r="AD86" s="83">
        <v>0</v>
      </c>
      <c r="AE86" s="82" t="s">
        <v>333</v>
      </c>
      <c r="AF86" s="83">
        <v>0</v>
      </c>
      <c r="AG86" s="82" t="s">
        <v>333</v>
      </c>
      <c r="AH86" s="83">
        <v>0</v>
      </c>
      <c r="AI86" s="82" t="s">
        <v>333</v>
      </c>
      <c r="AJ86" s="83">
        <v>0</v>
      </c>
      <c r="AK86" s="82" t="s">
        <v>333</v>
      </c>
      <c r="AL86" s="83">
        <v>0</v>
      </c>
      <c r="AM86" s="82" t="s">
        <v>333</v>
      </c>
      <c r="AN86" s="83">
        <v>0</v>
      </c>
      <c r="AO86" s="82" t="s">
        <v>333</v>
      </c>
      <c r="AP86" s="83">
        <v>0</v>
      </c>
      <c r="AQ86" s="82" t="s">
        <v>333</v>
      </c>
      <c r="AR86" s="83">
        <v>0</v>
      </c>
      <c r="AS86" s="82" t="s">
        <v>333</v>
      </c>
      <c r="AT86" s="83">
        <v>0</v>
      </c>
      <c r="AU86" s="82" t="s">
        <v>333</v>
      </c>
      <c r="AV86" s="83">
        <v>0</v>
      </c>
      <c r="AW86" s="82" t="s">
        <v>333</v>
      </c>
      <c r="AX86" s="83">
        <v>0</v>
      </c>
      <c r="AY86" s="82" t="s">
        <v>333</v>
      </c>
      <c r="AZ86" s="83">
        <v>0</v>
      </c>
      <c r="BA86" s="82" t="s">
        <v>333</v>
      </c>
      <c r="BB86" s="83">
        <v>0</v>
      </c>
      <c r="BC86" s="82" t="s">
        <v>333</v>
      </c>
      <c r="BD86" s="83">
        <v>0</v>
      </c>
      <c r="BE86" s="82" t="s">
        <v>333</v>
      </c>
      <c r="BF86" s="83">
        <v>0</v>
      </c>
      <c r="BG86" s="82" t="s">
        <v>333</v>
      </c>
      <c r="BH86" s="83">
        <v>0</v>
      </c>
      <c r="BI86" s="82" t="s">
        <v>333</v>
      </c>
      <c r="BJ86" s="83">
        <v>0</v>
      </c>
      <c r="BK86" s="82" t="s">
        <v>333</v>
      </c>
      <c r="BL86" s="83">
        <v>0</v>
      </c>
      <c r="BM86" s="82" t="s">
        <v>333</v>
      </c>
      <c r="BN86" s="83">
        <v>0</v>
      </c>
      <c r="BO86" s="82" t="s">
        <v>333</v>
      </c>
      <c r="BP86" s="83">
        <v>0</v>
      </c>
      <c r="BQ86" s="82" t="s">
        <v>333</v>
      </c>
      <c r="BR86" s="83">
        <v>0</v>
      </c>
      <c r="BS86" s="82" t="s">
        <v>333</v>
      </c>
      <c r="BT86" s="83">
        <v>0</v>
      </c>
      <c r="BU86" s="82" t="s">
        <v>333</v>
      </c>
      <c r="BV86" s="83">
        <v>0</v>
      </c>
      <c r="BW86" s="82" t="s">
        <v>333</v>
      </c>
      <c r="BX86" s="83">
        <v>0</v>
      </c>
      <c r="BY86" s="82" t="s">
        <v>333</v>
      </c>
      <c r="BZ86" s="83">
        <v>0</v>
      </c>
      <c r="CA86" s="82" t="s">
        <v>333</v>
      </c>
      <c r="CB86" s="83">
        <v>0</v>
      </c>
      <c r="CC86" s="82" t="s">
        <v>333</v>
      </c>
    </row>
    <row r="87" spans="1:81" x14ac:dyDescent="0.2">
      <c r="A87" s="10" t="s">
        <v>525</v>
      </c>
      <c r="B87" s="20">
        <v>0</v>
      </c>
      <c r="C87" s="12" t="s">
        <v>333</v>
      </c>
      <c r="D87" s="20">
        <v>0</v>
      </c>
      <c r="E87" s="12" t="s">
        <v>333</v>
      </c>
      <c r="F87" s="20">
        <v>0</v>
      </c>
      <c r="G87" s="12" t="s">
        <v>333</v>
      </c>
      <c r="H87" s="20">
        <v>0</v>
      </c>
      <c r="I87" s="12" t="s">
        <v>333</v>
      </c>
      <c r="J87" s="20">
        <v>0</v>
      </c>
      <c r="K87" s="12" t="s">
        <v>333</v>
      </c>
      <c r="L87" s="20">
        <v>0</v>
      </c>
      <c r="M87" s="12" t="s">
        <v>333</v>
      </c>
      <c r="N87" s="12" t="s">
        <v>202</v>
      </c>
      <c r="O87" s="12" t="s">
        <v>333</v>
      </c>
      <c r="P87" s="12" t="s">
        <v>202</v>
      </c>
      <c r="Q87" s="12" t="s">
        <v>333</v>
      </c>
      <c r="R87" s="12" t="s">
        <v>202</v>
      </c>
      <c r="S87" s="12" t="s">
        <v>333</v>
      </c>
      <c r="T87" s="12" t="s">
        <v>202</v>
      </c>
      <c r="U87" s="12" t="s">
        <v>333</v>
      </c>
      <c r="V87" s="12" t="s">
        <v>202</v>
      </c>
      <c r="W87" s="12" t="s">
        <v>333</v>
      </c>
      <c r="X87" s="20">
        <v>0</v>
      </c>
      <c r="Y87" s="12" t="s">
        <v>333</v>
      </c>
      <c r="Z87" s="20">
        <v>0</v>
      </c>
      <c r="AA87" s="12" t="s">
        <v>333</v>
      </c>
      <c r="AB87" s="20">
        <v>0</v>
      </c>
      <c r="AC87" s="12" t="s">
        <v>333</v>
      </c>
      <c r="AD87" s="20">
        <v>0</v>
      </c>
      <c r="AE87" s="12" t="s">
        <v>333</v>
      </c>
      <c r="AF87" s="20">
        <v>0</v>
      </c>
      <c r="AG87" s="12" t="s">
        <v>333</v>
      </c>
      <c r="AH87" s="20">
        <v>0</v>
      </c>
      <c r="AI87" s="12" t="s">
        <v>333</v>
      </c>
      <c r="AJ87" s="20">
        <v>0</v>
      </c>
      <c r="AK87" s="12" t="s">
        <v>333</v>
      </c>
      <c r="AL87" s="20">
        <v>0</v>
      </c>
      <c r="AM87" s="12" t="s">
        <v>333</v>
      </c>
      <c r="AN87" s="20">
        <v>0</v>
      </c>
      <c r="AO87" s="12" t="s">
        <v>333</v>
      </c>
      <c r="AP87" s="20">
        <v>0</v>
      </c>
      <c r="AQ87" s="12" t="s">
        <v>333</v>
      </c>
      <c r="AR87" s="20">
        <v>0</v>
      </c>
      <c r="AS87" s="12" t="s">
        <v>333</v>
      </c>
      <c r="AT87" s="20">
        <v>0</v>
      </c>
      <c r="AU87" s="12" t="s">
        <v>333</v>
      </c>
      <c r="AV87" s="20">
        <v>0</v>
      </c>
      <c r="AW87" s="12" t="s">
        <v>333</v>
      </c>
      <c r="AX87" s="20">
        <v>0</v>
      </c>
      <c r="AY87" s="12" t="s">
        <v>333</v>
      </c>
      <c r="AZ87" s="20">
        <v>0</v>
      </c>
      <c r="BA87" s="12" t="s">
        <v>333</v>
      </c>
      <c r="BB87" s="20">
        <v>0</v>
      </c>
      <c r="BC87" s="12" t="s">
        <v>333</v>
      </c>
      <c r="BD87" s="20">
        <v>0</v>
      </c>
      <c r="BE87" s="12" t="s">
        <v>333</v>
      </c>
      <c r="BF87" s="20">
        <v>0</v>
      </c>
      <c r="BG87" s="12" t="s">
        <v>333</v>
      </c>
      <c r="BH87" s="20">
        <v>0</v>
      </c>
      <c r="BI87" s="12" t="s">
        <v>333</v>
      </c>
      <c r="BJ87" s="20">
        <v>0</v>
      </c>
      <c r="BK87" s="12" t="s">
        <v>333</v>
      </c>
      <c r="BL87" s="20">
        <v>0</v>
      </c>
      <c r="BM87" s="12" t="s">
        <v>333</v>
      </c>
      <c r="BN87" s="20">
        <v>0</v>
      </c>
      <c r="BO87" s="12" t="s">
        <v>333</v>
      </c>
      <c r="BP87" s="20">
        <v>0</v>
      </c>
      <c r="BQ87" s="12" t="s">
        <v>333</v>
      </c>
      <c r="BR87" s="20">
        <v>0</v>
      </c>
      <c r="BS87" s="12" t="s">
        <v>333</v>
      </c>
      <c r="BT87" s="20">
        <v>0</v>
      </c>
      <c r="BU87" s="12" t="s">
        <v>333</v>
      </c>
      <c r="BV87" s="20">
        <v>0</v>
      </c>
      <c r="BW87" s="12" t="s">
        <v>333</v>
      </c>
      <c r="BX87" s="20">
        <v>0</v>
      </c>
      <c r="BY87" s="12" t="s">
        <v>333</v>
      </c>
      <c r="BZ87" s="20">
        <v>0</v>
      </c>
      <c r="CA87" s="12" t="s">
        <v>333</v>
      </c>
      <c r="CB87" s="20">
        <v>0</v>
      </c>
      <c r="CC87" s="12" t="s">
        <v>333</v>
      </c>
    </row>
    <row r="88" spans="1:81" x14ac:dyDescent="0.2">
      <c r="A88" s="10" t="s">
        <v>526</v>
      </c>
      <c r="B88" s="83">
        <v>0</v>
      </c>
      <c r="C88" s="82" t="s">
        <v>333</v>
      </c>
      <c r="D88" s="83">
        <v>0</v>
      </c>
      <c r="E88" s="82" t="s">
        <v>333</v>
      </c>
      <c r="F88" s="83">
        <v>0</v>
      </c>
      <c r="G88" s="82" t="s">
        <v>333</v>
      </c>
      <c r="H88" s="83">
        <v>0</v>
      </c>
      <c r="I88" s="82" t="s">
        <v>333</v>
      </c>
      <c r="J88" s="83">
        <v>0</v>
      </c>
      <c r="K88" s="82" t="s">
        <v>333</v>
      </c>
      <c r="L88" s="83">
        <v>0</v>
      </c>
      <c r="M88" s="82" t="s">
        <v>333</v>
      </c>
      <c r="N88" s="82" t="s">
        <v>202</v>
      </c>
      <c r="O88" s="82" t="s">
        <v>333</v>
      </c>
      <c r="P88" s="82" t="s">
        <v>202</v>
      </c>
      <c r="Q88" s="82" t="s">
        <v>333</v>
      </c>
      <c r="R88" s="82" t="s">
        <v>202</v>
      </c>
      <c r="S88" s="82" t="s">
        <v>333</v>
      </c>
      <c r="T88" s="82" t="s">
        <v>202</v>
      </c>
      <c r="U88" s="82" t="s">
        <v>333</v>
      </c>
      <c r="V88" s="82" t="s">
        <v>202</v>
      </c>
      <c r="W88" s="82" t="s">
        <v>333</v>
      </c>
      <c r="X88" s="83">
        <v>0</v>
      </c>
      <c r="Y88" s="82" t="s">
        <v>333</v>
      </c>
      <c r="Z88" s="83">
        <v>0</v>
      </c>
      <c r="AA88" s="82" t="s">
        <v>333</v>
      </c>
      <c r="AB88" s="83">
        <v>0</v>
      </c>
      <c r="AC88" s="82" t="s">
        <v>333</v>
      </c>
      <c r="AD88" s="83">
        <v>0</v>
      </c>
      <c r="AE88" s="82" t="s">
        <v>333</v>
      </c>
      <c r="AF88" s="83">
        <v>0</v>
      </c>
      <c r="AG88" s="82" t="s">
        <v>333</v>
      </c>
      <c r="AH88" s="83">
        <v>0</v>
      </c>
      <c r="AI88" s="82" t="s">
        <v>333</v>
      </c>
      <c r="AJ88" s="83">
        <v>0</v>
      </c>
      <c r="AK88" s="82" t="s">
        <v>333</v>
      </c>
      <c r="AL88" s="83">
        <v>0</v>
      </c>
      <c r="AM88" s="82" t="s">
        <v>333</v>
      </c>
      <c r="AN88" s="83">
        <v>0</v>
      </c>
      <c r="AO88" s="82" t="s">
        <v>333</v>
      </c>
      <c r="AP88" s="83">
        <v>0</v>
      </c>
      <c r="AQ88" s="82" t="s">
        <v>333</v>
      </c>
      <c r="AR88" s="83">
        <v>0</v>
      </c>
      <c r="AS88" s="82" t="s">
        <v>333</v>
      </c>
      <c r="AT88" s="83">
        <v>0</v>
      </c>
      <c r="AU88" s="82" t="s">
        <v>333</v>
      </c>
      <c r="AV88" s="83">
        <v>0</v>
      </c>
      <c r="AW88" s="82" t="s">
        <v>333</v>
      </c>
      <c r="AX88" s="83">
        <v>0</v>
      </c>
      <c r="AY88" s="82" t="s">
        <v>333</v>
      </c>
      <c r="AZ88" s="83">
        <v>0</v>
      </c>
      <c r="BA88" s="82" t="s">
        <v>333</v>
      </c>
      <c r="BB88" s="83">
        <v>0</v>
      </c>
      <c r="BC88" s="82" t="s">
        <v>333</v>
      </c>
      <c r="BD88" s="83">
        <v>0</v>
      </c>
      <c r="BE88" s="82" t="s">
        <v>333</v>
      </c>
      <c r="BF88" s="83">
        <v>0</v>
      </c>
      <c r="BG88" s="82" t="s">
        <v>333</v>
      </c>
      <c r="BH88" s="83">
        <v>0</v>
      </c>
      <c r="BI88" s="82" t="s">
        <v>333</v>
      </c>
      <c r="BJ88" s="83">
        <v>0</v>
      </c>
      <c r="BK88" s="82" t="s">
        <v>333</v>
      </c>
      <c r="BL88" s="83">
        <v>0</v>
      </c>
      <c r="BM88" s="82" t="s">
        <v>333</v>
      </c>
      <c r="BN88" s="83">
        <v>0</v>
      </c>
      <c r="BO88" s="82" t="s">
        <v>333</v>
      </c>
      <c r="BP88" s="83">
        <v>0</v>
      </c>
      <c r="BQ88" s="82" t="s">
        <v>333</v>
      </c>
      <c r="BR88" s="83">
        <v>0</v>
      </c>
      <c r="BS88" s="82" t="s">
        <v>333</v>
      </c>
      <c r="BT88" s="83">
        <v>0</v>
      </c>
      <c r="BU88" s="82" t="s">
        <v>333</v>
      </c>
      <c r="BV88" s="83">
        <v>0</v>
      </c>
      <c r="BW88" s="82" t="s">
        <v>333</v>
      </c>
      <c r="BX88" s="83">
        <v>0</v>
      </c>
      <c r="BY88" s="82" t="s">
        <v>333</v>
      </c>
      <c r="BZ88" s="83">
        <v>0</v>
      </c>
      <c r="CA88" s="82" t="s">
        <v>333</v>
      </c>
      <c r="CB88" s="83">
        <v>0</v>
      </c>
      <c r="CC88" s="82" t="s">
        <v>333</v>
      </c>
    </row>
    <row r="89" spans="1:81" x14ac:dyDescent="0.2">
      <c r="A89" s="10" t="s">
        <v>270</v>
      </c>
      <c r="B89" s="20">
        <v>0</v>
      </c>
      <c r="C89" s="12" t="s">
        <v>333</v>
      </c>
      <c r="D89" s="20">
        <v>0</v>
      </c>
      <c r="E89" s="12" t="s">
        <v>333</v>
      </c>
      <c r="F89" s="20">
        <v>0</v>
      </c>
      <c r="G89" s="12" t="s">
        <v>333</v>
      </c>
      <c r="H89" s="20">
        <v>0</v>
      </c>
      <c r="I89" s="12" t="s">
        <v>333</v>
      </c>
      <c r="J89" s="20">
        <v>0</v>
      </c>
      <c r="K89" s="12" t="s">
        <v>333</v>
      </c>
      <c r="L89" s="20">
        <v>0</v>
      </c>
      <c r="M89" s="12" t="s">
        <v>333</v>
      </c>
      <c r="N89" s="12" t="s">
        <v>202</v>
      </c>
      <c r="O89" s="12" t="s">
        <v>333</v>
      </c>
      <c r="P89" s="12" t="s">
        <v>202</v>
      </c>
      <c r="Q89" s="12" t="s">
        <v>333</v>
      </c>
      <c r="R89" s="12" t="s">
        <v>202</v>
      </c>
      <c r="S89" s="12" t="s">
        <v>333</v>
      </c>
      <c r="T89" s="12" t="s">
        <v>202</v>
      </c>
      <c r="U89" s="12" t="s">
        <v>333</v>
      </c>
      <c r="V89" s="12" t="s">
        <v>202</v>
      </c>
      <c r="W89" s="12" t="s">
        <v>333</v>
      </c>
      <c r="X89" s="20">
        <v>0</v>
      </c>
      <c r="Y89" s="12" t="s">
        <v>333</v>
      </c>
      <c r="Z89" s="20">
        <v>0</v>
      </c>
      <c r="AA89" s="12" t="s">
        <v>333</v>
      </c>
      <c r="AB89" s="20">
        <v>0</v>
      </c>
      <c r="AC89" s="12" t="s">
        <v>333</v>
      </c>
      <c r="AD89" s="20">
        <v>0</v>
      </c>
      <c r="AE89" s="12" t="s">
        <v>333</v>
      </c>
      <c r="AF89" s="20">
        <v>0</v>
      </c>
      <c r="AG89" s="12" t="s">
        <v>333</v>
      </c>
      <c r="AH89" s="20">
        <v>0</v>
      </c>
      <c r="AI89" s="12" t="s">
        <v>333</v>
      </c>
      <c r="AJ89" s="20">
        <v>0</v>
      </c>
      <c r="AK89" s="12" t="s">
        <v>333</v>
      </c>
      <c r="AL89" s="20">
        <v>0</v>
      </c>
      <c r="AM89" s="12" t="s">
        <v>333</v>
      </c>
      <c r="AN89" s="20">
        <v>0</v>
      </c>
      <c r="AO89" s="12" t="s">
        <v>333</v>
      </c>
      <c r="AP89" s="20">
        <v>0</v>
      </c>
      <c r="AQ89" s="12" t="s">
        <v>333</v>
      </c>
      <c r="AR89" s="20">
        <v>0</v>
      </c>
      <c r="AS89" s="12" t="s">
        <v>333</v>
      </c>
      <c r="AT89" s="20">
        <v>0</v>
      </c>
      <c r="AU89" s="12" t="s">
        <v>333</v>
      </c>
      <c r="AV89" s="20">
        <v>0</v>
      </c>
      <c r="AW89" s="12" t="s">
        <v>333</v>
      </c>
      <c r="AX89" s="20">
        <v>0</v>
      </c>
      <c r="AY89" s="12" t="s">
        <v>333</v>
      </c>
      <c r="AZ89" s="20">
        <v>0</v>
      </c>
      <c r="BA89" s="12" t="s">
        <v>333</v>
      </c>
      <c r="BB89" s="20">
        <v>0</v>
      </c>
      <c r="BC89" s="12" t="s">
        <v>333</v>
      </c>
      <c r="BD89" s="20">
        <v>0</v>
      </c>
      <c r="BE89" s="12" t="s">
        <v>333</v>
      </c>
      <c r="BF89" s="20">
        <v>0</v>
      </c>
      <c r="BG89" s="12" t="s">
        <v>333</v>
      </c>
      <c r="BH89" s="20">
        <v>0</v>
      </c>
      <c r="BI89" s="12" t="s">
        <v>333</v>
      </c>
      <c r="BJ89" s="20">
        <v>0</v>
      </c>
      <c r="BK89" s="12" t="s">
        <v>333</v>
      </c>
      <c r="BL89" s="20">
        <v>0</v>
      </c>
      <c r="BM89" s="12" t="s">
        <v>333</v>
      </c>
      <c r="BN89" s="20">
        <v>0</v>
      </c>
      <c r="BO89" s="12" t="s">
        <v>333</v>
      </c>
      <c r="BP89" s="20">
        <v>0</v>
      </c>
      <c r="BQ89" s="12" t="s">
        <v>333</v>
      </c>
      <c r="BR89" s="20">
        <v>0</v>
      </c>
      <c r="BS89" s="12" t="s">
        <v>333</v>
      </c>
      <c r="BT89" s="20">
        <v>0</v>
      </c>
      <c r="BU89" s="12" t="s">
        <v>333</v>
      </c>
      <c r="BV89" s="20">
        <v>0</v>
      </c>
      <c r="BW89" s="12" t="s">
        <v>333</v>
      </c>
      <c r="BX89" s="20">
        <v>0</v>
      </c>
      <c r="BY89" s="12" t="s">
        <v>333</v>
      </c>
      <c r="BZ89" s="20">
        <v>0</v>
      </c>
      <c r="CA89" s="12" t="s">
        <v>333</v>
      </c>
      <c r="CB89" s="20">
        <v>0</v>
      </c>
      <c r="CC89" s="12" t="s">
        <v>333</v>
      </c>
    </row>
    <row r="90" spans="1:81" x14ac:dyDescent="0.2">
      <c r="A90" s="10" t="s">
        <v>527</v>
      </c>
      <c r="B90" s="83">
        <v>0</v>
      </c>
      <c r="C90" s="82" t="s">
        <v>333</v>
      </c>
      <c r="D90" s="83">
        <v>0</v>
      </c>
      <c r="E90" s="82" t="s">
        <v>333</v>
      </c>
      <c r="F90" s="83">
        <v>0</v>
      </c>
      <c r="G90" s="82" t="s">
        <v>333</v>
      </c>
      <c r="H90" s="83">
        <v>0</v>
      </c>
      <c r="I90" s="82" t="s">
        <v>333</v>
      </c>
      <c r="J90" s="83">
        <v>0</v>
      </c>
      <c r="K90" s="82" t="s">
        <v>333</v>
      </c>
      <c r="L90" s="83">
        <v>0</v>
      </c>
      <c r="M90" s="82" t="s">
        <v>333</v>
      </c>
      <c r="N90" s="82" t="s">
        <v>202</v>
      </c>
      <c r="O90" s="82" t="s">
        <v>333</v>
      </c>
      <c r="P90" s="82" t="s">
        <v>202</v>
      </c>
      <c r="Q90" s="82" t="s">
        <v>333</v>
      </c>
      <c r="R90" s="82" t="s">
        <v>202</v>
      </c>
      <c r="S90" s="82" t="s">
        <v>333</v>
      </c>
      <c r="T90" s="82" t="s">
        <v>202</v>
      </c>
      <c r="U90" s="82" t="s">
        <v>333</v>
      </c>
      <c r="V90" s="82" t="s">
        <v>202</v>
      </c>
      <c r="W90" s="82" t="s">
        <v>333</v>
      </c>
      <c r="X90" s="83">
        <v>0</v>
      </c>
      <c r="Y90" s="82" t="s">
        <v>333</v>
      </c>
      <c r="Z90" s="83">
        <v>0</v>
      </c>
      <c r="AA90" s="82" t="s">
        <v>333</v>
      </c>
      <c r="AB90" s="83">
        <v>0</v>
      </c>
      <c r="AC90" s="82" t="s">
        <v>333</v>
      </c>
      <c r="AD90" s="83">
        <v>0</v>
      </c>
      <c r="AE90" s="82" t="s">
        <v>333</v>
      </c>
      <c r="AF90" s="83">
        <v>0</v>
      </c>
      <c r="AG90" s="82" t="s">
        <v>333</v>
      </c>
      <c r="AH90" s="83">
        <v>0</v>
      </c>
      <c r="AI90" s="82" t="s">
        <v>333</v>
      </c>
      <c r="AJ90" s="83">
        <v>0</v>
      </c>
      <c r="AK90" s="82" t="s">
        <v>333</v>
      </c>
      <c r="AL90" s="83">
        <v>0</v>
      </c>
      <c r="AM90" s="82" t="s">
        <v>333</v>
      </c>
      <c r="AN90" s="83">
        <v>0</v>
      </c>
      <c r="AO90" s="82" t="s">
        <v>333</v>
      </c>
      <c r="AP90" s="83">
        <v>0</v>
      </c>
      <c r="AQ90" s="82" t="s">
        <v>333</v>
      </c>
      <c r="AR90" s="83">
        <v>0</v>
      </c>
      <c r="AS90" s="82" t="s">
        <v>333</v>
      </c>
      <c r="AT90" s="83">
        <v>0</v>
      </c>
      <c r="AU90" s="82" t="s">
        <v>333</v>
      </c>
      <c r="AV90" s="83">
        <v>0</v>
      </c>
      <c r="AW90" s="82" t="s">
        <v>333</v>
      </c>
      <c r="AX90" s="83">
        <v>0</v>
      </c>
      <c r="AY90" s="82" t="s">
        <v>333</v>
      </c>
      <c r="AZ90" s="83">
        <v>0</v>
      </c>
      <c r="BA90" s="82" t="s">
        <v>333</v>
      </c>
      <c r="BB90" s="83">
        <v>0</v>
      </c>
      <c r="BC90" s="82" t="s">
        <v>333</v>
      </c>
      <c r="BD90" s="83">
        <v>0</v>
      </c>
      <c r="BE90" s="82" t="s">
        <v>333</v>
      </c>
      <c r="BF90" s="83">
        <v>0</v>
      </c>
      <c r="BG90" s="82" t="s">
        <v>333</v>
      </c>
      <c r="BH90" s="83">
        <v>0</v>
      </c>
      <c r="BI90" s="82" t="s">
        <v>333</v>
      </c>
      <c r="BJ90" s="83">
        <v>0</v>
      </c>
      <c r="BK90" s="82" t="s">
        <v>333</v>
      </c>
      <c r="BL90" s="83">
        <v>0</v>
      </c>
      <c r="BM90" s="82" t="s">
        <v>333</v>
      </c>
      <c r="BN90" s="83">
        <v>0</v>
      </c>
      <c r="BO90" s="82" t="s">
        <v>333</v>
      </c>
      <c r="BP90" s="83">
        <v>0</v>
      </c>
      <c r="BQ90" s="82" t="s">
        <v>333</v>
      </c>
      <c r="BR90" s="83">
        <v>0</v>
      </c>
      <c r="BS90" s="82" t="s">
        <v>333</v>
      </c>
      <c r="BT90" s="83">
        <v>0</v>
      </c>
      <c r="BU90" s="82" t="s">
        <v>333</v>
      </c>
      <c r="BV90" s="83">
        <v>0</v>
      </c>
      <c r="BW90" s="82" t="s">
        <v>333</v>
      </c>
      <c r="BX90" s="83">
        <v>0</v>
      </c>
      <c r="BY90" s="82" t="s">
        <v>333</v>
      </c>
      <c r="BZ90" s="83">
        <v>0</v>
      </c>
      <c r="CA90" s="82" t="s">
        <v>333</v>
      </c>
      <c r="CB90" s="83">
        <v>0</v>
      </c>
      <c r="CC90" s="82" t="s">
        <v>333</v>
      </c>
    </row>
    <row r="91" spans="1:81" x14ac:dyDescent="0.2">
      <c r="A91" s="10" t="s">
        <v>528</v>
      </c>
      <c r="B91" s="20">
        <v>0</v>
      </c>
      <c r="C91" s="12" t="s">
        <v>333</v>
      </c>
      <c r="D91" s="20">
        <v>0</v>
      </c>
      <c r="E91" s="12" t="s">
        <v>333</v>
      </c>
      <c r="F91" s="20">
        <v>0</v>
      </c>
      <c r="G91" s="12" t="s">
        <v>333</v>
      </c>
      <c r="H91" s="20">
        <v>0</v>
      </c>
      <c r="I91" s="12" t="s">
        <v>333</v>
      </c>
      <c r="J91" s="20">
        <v>0</v>
      </c>
      <c r="K91" s="12" t="s">
        <v>333</v>
      </c>
      <c r="L91" s="20">
        <v>0</v>
      </c>
      <c r="M91" s="12" t="s">
        <v>333</v>
      </c>
      <c r="N91" s="12" t="s">
        <v>202</v>
      </c>
      <c r="O91" s="12" t="s">
        <v>333</v>
      </c>
      <c r="P91" s="12" t="s">
        <v>202</v>
      </c>
      <c r="Q91" s="12" t="s">
        <v>333</v>
      </c>
      <c r="R91" s="12" t="s">
        <v>202</v>
      </c>
      <c r="S91" s="12" t="s">
        <v>333</v>
      </c>
      <c r="T91" s="12" t="s">
        <v>202</v>
      </c>
      <c r="U91" s="12" t="s">
        <v>333</v>
      </c>
      <c r="V91" s="12" t="s">
        <v>202</v>
      </c>
      <c r="W91" s="12" t="s">
        <v>333</v>
      </c>
      <c r="X91" s="20">
        <v>0</v>
      </c>
      <c r="Y91" s="12" t="s">
        <v>333</v>
      </c>
      <c r="Z91" s="20">
        <v>0</v>
      </c>
      <c r="AA91" s="12" t="s">
        <v>333</v>
      </c>
      <c r="AB91" s="20">
        <v>0</v>
      </c>
      <c r="AC91" s="12" t="s">
        <v>333</v>
      </c>
      <c r="AD91" s="20">
        <v>0</v>
      </c>
      <c r="AE91" s="12" t="s">
        <v>333</v>
      </c>
      <c r="AF91" s="20">
        <v>0</v>
      </c>
      <c r="AG91" s="12" t="s">
        <v>333</v>
      </c>
      <c r="AH91" s="20">
        <v>0</v>
      </c>
      <c r="AI91" s="12" t="s">
        <v>333</v>
      </c>
      <c r="AJ91" s="20">
        <v>0</v>
      </c>
      <c r="AK91" s="12" t="s">
        <v>333</v>
      </c>
      <c r="AL91" s="20">
        <v>0</v>
      </c>
      <c r="AM91" s="12" t="s">
        <v>333</v>
      </c>
      <c r="AN91" s="20">
        <v>0</v>
      </c>
      <c r="AO91" s="12" t="s">
        <v>333</v>
      </c>
      <c r="AP91" s="20">
        <v>0</v>
      </c>
      <c r="AQ91" s="12" t="s">
        <v>333</v>
      </c>
      <c r="AR91" s="20">
        <v>0</v>
      </c>
      <c r="AS91" s="12" t="s">
        <v>333</v>
      </c>
      <c r="AT91" s="20">
        <v>0</v>
      </c>
      <c r="AU91" s="12" t="s">
        <v>333</v>
      </c>
      <c r="AV91" s="20">
        <v>0</v>
      </c>
      <c r="AW91" s="12" t="s">
        <v>333</v>
      </c>
      <c r="AX91" s="20">
        <v>0</v>
      </c>
      <c r="AY91" s="12" t="s">
        <v>333</v>
      </c>
      <c r="AZ91" s="20">
        <v>0</v>
      </c>
      <c r="BA91" s="12" t="s">
        <v>333</v>
      </c>
      <c r="BB91" s="20">
        <v>0</v>
      </c>
      <c r="BC91" s="12" t="s">
        <v>333</v>
      </c>
      <c r="BD91" s="20">
        <v>0</v>
      </c>
      <c r="BE91" s="12" t="s">
        <v>333</v>
      </c>
      <c r="BF91" s="20">
        <v>0</v>
      </c>
      <c r="BG91" s="12" t="s">
        <v>333</v>
      </c>
      <c r="BH91" s="20">
        <v>0</v>
      </c>
      <c r="BI91" s="12" t="s">
        <v>333</v>
      </c>
      <c r="BJ91" s="20">
        <v>0</v>
      </c>
      <c r="BK91" s="12" t="s">
        <v>333</v>
      </c>
      <c r="BL91" s="20">
        <v>0</v>
      </c>
      <c r="BM91" s="12" t="s">
        <v>333</v>
      </c>
      <c r="BN91" s="20">
        <v>0</v>
      </c>
      <c r="BO91" s="12" t="s">
        <v>333</v>
      </c>
      <c r="BP91" s="20">
        <v>0</v>
      </c>
      <c r="BQ91" s="12" t="s">
        <v>333</v>
      </c>
      <c r="BR91" s="20">
        <v>0</v>
      </c>
      <c r="BS91" s="12" t="s">
        <v>333</v>
      </c>
      <c r="BT91" s="20">
        <v>0</v>
      </c>
      <c r="BU91" s="12" t="s">
        <v>333</v>
      </c>
      <c r="BV91" s="20">
        <v>0</v>
      </c>
      <c r="BW91" s="12" t="s">
        <v>333</v>
      </c>
      <c r="BX91" s="20">
        <v>0</v>
      </c>
      <c r="BY91" s="12" t="s">
        <v>333</v>
      </c>
      <c r="BZ91" s="20">
        <v>0</v>
      </c>
      <c r="CA91" s="12" t="s">
        <v>333</v>
      </c>
      <c r="CB91" s="20">
        <v>0</v>
      </c>
      <c r="CC91" s="12" t="s">
        <v>333</v>
      </c>
    </row>
    <row r="92" spans="1:81" x14ac:dyDescent="0.2">
      <c r="A92" s="10" t="s">
        <v>278</v>
      </c>
      <c r="B92" s="83">
        <v>0</v>
      </c>
      <c r="C92" s="82" t="s">
        <v>333</v>
      </c>
      <c r="D92" s="83">
        <v>0</v>
      </c>
      <c r="E92" s="82" t="s">
        <v>333</v>
      </c>
      <c r="F92" s="83">
        <v>0</v>
      </c>
      <c r="G92" s="82" t="s">
        <v>333</v>
      </c>
      <c r="H92" s="83">
        <v>0</v>
      </c>
      <c r="I92" s="82" t="s">
        <v>333</v>
      </c>
      <c r="J92" s="83">
        <v>0</v>
      </c>
      <c r="K92" s="82" t="s">
        <v>333</v>
      </c>
      <c r="L92" s="83">
        <v>0</v>
      </c>
      <c r="M92" s="82" t="s">
        <v>333</v>
      </c>
      <c r="N92" s="82" t="s">
        <v>202</v>
      </c>
      <c r="O92" s="82" t="s">
        <v>333</v>
      </c>
      <c r="P92" s="82" t="s">
        <v>202</v>
      </c>
      <c r="Q92" s="82" t="s">
        <v>333</v>
      </c>
      <c r="R92" s="82" t="s">
        <v>202</v>
      </c>
      <c r="S92" s="82" t="s">
        <v>333</v>
      </c>
      <c r="T92" s="82" t="s">
        <v>202</v>
      </c>
      <c r="U92" s="82" t="s">
        <v>333</v>
      </c>
      <c r="V92" s="82" t="s">
        <v>202</v>
      </c>
      <c r="W92" s="82" t="s">
        <v>333</v>
      </c>
      <c r="X92" s="83">
        <v>0</v>
      </c>
      <c r="Y92" s="82" t="s">
        <v>333</v>
      </c>
      <c r="Z92" s="83">
        <v>0</v>
      </c>
      <c r="AA92" s="82" t="s">
        <v>333</v>
      </c>
      <c r="AB92" s="83">
        <v>0</v>
      </c>
      <c r="AC92" s="82" t="s">
        <v>333</v>
      </c>
      <c r="AD92" s="83">
        <v>0</v>
      </c>
      <c r="AE92" s="82" t="s">
        <v>333</v>
      </c>
      <c r="AF92" s="83">
        <v>0</v>
      </c>
      <c r="AG92" s="82" t="s">
        <v>333</v>
      </c>
      <c r="AH92" s="83">
        <v>0</v>
      </c>
      <c r="AI92" s="82" t="s">
        <v>333</v>
      </c>
      <c r="AJ92" s="83">
        <v>0</v>
      </c>
      <c r="AK92" s="82" t="s">
        <v>333</v>
      </c>
      <c r="AL92" s="83">
        <v>0</v>
      </c>
      <c r="AM92" s="82" t="s">
        <v>333</v>
      </c>
      <c r="AN92" s="83">
        <v>0</v>
      </c>
      <c r="AO92" s="82" t="s">
        <v>333</v>
      </c>
      <c r="AP92" s="83">
        <v>0</v>
      </c>
      <c r="AQ92" s="82" t="s">
        <v>333</v>
      </c>
      <c r="AR92" s="83">
        <v>0</v>
      </c>
      <c r="AS92" s="82" t="s">
        <v>333</v>
      </c>
      <c r="AT92" s="83">
        <v>0</v>
      </c>
      <c r="AU92" s="82" t="s">
        <v>333</v>
      </c>
      <c r="AV92" s="83">
        <v>0</v>
      </c>
      <c r="AW92" s="82" t="s">
        <v>333</v>
      </c>
      <c r="AX92" s="83">
        <v>0</v>
      </c>
      <c r="AY92" s="82" t="s">
        <v>333</v>
      </c>
      <c r="AZ92" s="83">
        <v>0</v>
      </c>
      <c r="BA92" s="82" t="s">
        <v>333</v>
      </c>
      <c r="BB92" s="83">
        <v>0</v>
      </c>
      <c r="BC92" s="82" t="s">
        <v>333</v>
      </c>
      <c r="BD92" s="83">
        <v>0</v>
      </c>
      <c r="BE92" s="82" t="s">
        <v>333</v>
      </c>
      <c r="BF92" s="83">
        <v>0</v>
      </c>
      <c r="BG92" s="82" t="s">
        <v>333</v>
      </c>
      <c r="BH92" s="83">
        <v>0</v>
      </c>
      <c r="BI92" s="82" t="s">
        <v>333</v>
      </c>
      <c r="BJ92" s="83">
        <v>0</v>
      </c>
      <c r="BK92" s="82" t="s">
        <v>333</v>
      </c>
      <c r="BL92" s="83">
        <v>0</v>
      </c>
      <c r="BM92" s="82" t="s">
        <v>333</v>
      </c>
      <c r="BN92" s="83">
        <v>0</v>
      </c>
      <c r="BO92" s="82" t="s">
        <v>333</v>
      </c>
      <c r="BP92" s="83">
        <v>0</v>
      </c>
      <c r="BQ92" s="82" t="s">
        <v>333</v>
      </c>
      <c r="BR92" s="83">
        <v>0</v>
      </c>
      <c r="BS92" s="82" t="s">
        <v>333</v>
      </c>
      <c r="BT92" s="83">
        <v>0</v>
      </c>
      <c r="BU92" s="82" t="s">
        <v>333</v>
      </c>
      <c r="BV92" s="83">
        <v>0</v>
      </c>
      <c r="BW92" s="82" t="s">
        <v>333</v>
      </c>
      <c r="BX92" s="83">
        <v>0</v>
      </c>
      <c r="BY92" s="82" t="s">
        <v>333</v>
      </c>
      <c r="BZ92" s="83">
        <v>0</v>
      </c>
      <c r="CA92" s="82" t="s">
        <v>333</v>
      </c>
      <c r="CB92" s="83">
        <v>0</v>
      </c>
      <c r="CC92" s="82" t="s">
        <v>333</v>
      </c>
    </row>
    <row r="93" spans="1:81" x14ac:dyDescent="0.2">
      <c r="A93" s="10" t="s">
        <v>529</v>
      </c>
      <c r="B93" s="20">
        <v>0</v>
      </c>
      <c r="C93" s="12" t="s">
        <v>333</v>
      </c>
      <c r="D93" s="20">
        <v>0</v>
      </c>
      <c r="E93" s="12" t="s">
        <v>333</v>
      </c>
      <c r="F93" s="20">
        <v>0</v>
      </c>
      <c r="G93" s="12" t="s">
        <v>333</v>
      </c>
      <c r="H93" s="20">
        <v>0</v>
      </c>
      <c r="I93" s="12" t="s">
        <v>333</v>
      </c>
      <c r="J93" s="20">
        <v>0</v>
      </c>
      <c r="K93" s="12" t="s">
        <v>333</v>
      </c>
      <c r="L93" s="20">
        <v>0</v>
      </c>
      <c r="M93" s="12" t="s">
        <v>333</v>
      </c>
      <c r="N93" s="12" t="s">
        <v>202</v>
      </c>
      <c r="O93" s="12" t="s">
        <v>333</v>
      </c>
      <c r="P93" s="12" t="s">
        <v>202</v>
      </c>
      <c r="Q93" s="12" t="s">
        <v>333</v>
      </c>
      <c r="R93" s="12" t="s">
        <v>202</v>
      </c>
      <c r="S93" s="12" t="s">
        <v>333</v>
      </c>
      <c r="T93" s="12" t="s">
        <v>202</v>
      </c>
      <c r="U93" s="12" t="s">
        <v>333</v>
      </c>
      <c r="V93" s="12" t="s">
        <v>202</v>
      </c>
      <c r="W93" s="12" t="s">
        <v>333</v>
      </c>
      <c r="X93" s="20">
        <v>0</v>
      </c>
      <c r="Y93" s="12" t="s">
        <v>333</v>
      </c>
      <c r="Z93" s="20">
        <v>0</v>
      </c>
      <c r="AA93" s="12" t="s">
        <v>333</v>
      </c>
      <c r="AB93" s="20">
        <v>0</v>
      </c>
      <c r="AC93" s="12" t="s">
        <v>333</v>
      </c>
      <c r="AD93" s="20">
        <v>0</v>
      </c>
      <c r="AE93" s="12" t="s">
        <v>333</v>
      </c>
      <c r="AF93" s="20">
        <v>0</v>
      </c>
      <c r="AG93" s="12" t="s">
        <v>333</v>
      </c>
      <c r="AH93" s="20">
        <v>0</v>
      </c>
      <c r="AI93" s="12" t="s">
        <v>333</v>
      </c>
      <c r="AJ93" s="20">
        <v>0</v>
      </c>
      <c r="AK93" s="12" t="s">
        <v>333</v>
      </c>
      <c r="AL93" s="20">
        <v>0</v>
      </c>
      <c r="AM93" s="12" t="s">
        <v>333</v>
      </c>
      <c r="AN93" s="20">
        <v>0</v>
      </c>
      <c r="AO93" s="12" t="s">
        <v>333</v>
      </c>
      <c r="AP93" s="20">
        <v>0</v>
      </c>
      <c r="AQ93" s="12" t="s">
        <v>333</v>
      </c>
      <c r="AR93" s="20">
        <v>0</v>
      </c>
      <c r="AS93" s="12" t="s">
        <v>333</v>
      </c>
      <c r="AT93" s="20">
        <v>0</v>
      </c>
      <c r="AU93" s="12" t="s">
        <v>333</v>
      </c>
      <c r="AV93" s="20">
        <v>0</v>
      </c>
      <c r="AW93" s="12" t="s">
        <v>333</v>
      </c>
      <c r="AX93" s="20">
        <v>0</v>
      </c>
      <c r="AY93" s="12" t="s">
        <v>333</v>
      </c>
      <c r="AZ93" s="20">
        <v>0</v>
      </c>
      <c r="BA93" s="12" t="s">
        <v>333</v>
      </c>
      <c r="BB93" s="20">
        <v>0</v>
      </c>
      <c r="BC93" s="12" t="s">
        <v>333</v>
      </c>
      <c r="BD93" s="20">
        <v>0</v>
      </c>
      <c r="BE93" s="12" t="s">
        <v>333</v>
      </c>
      <c r="BF93" s="20">
        <v>0</v>
      </c>
      <c r="BG93" s="12" t="s">
        <v>333</v>
      </c>
      <c r="BH93" s="20">
        <v>0</v>
      </c>
      <c r="BI93" s="12" t="s">
        <v>333</v>
      </c>
      <c r="BJ93" s="20">
        <v>0</v>
      </c>
      <c r="BK93" s="12" t="s">
        <v>333</v>
      </c>
      <c r="BL93" s="20">
        <v>0</v>
      </c>
      <c r="BM93" s="12" t="s">
        <v>333</v>
      </c>
      <c r="BN93" s="20">
        <v>0</v>
      </c>
      <c r="BO93" s="12" t="s">
        <v>333</v>
      </c>
      <c r="BP93" s="20">
        <v>0</v>
      </c>
      <c r="BQ93" s="12" t="s">
        <v>333</v>
      </c>
      <c r="BR93" s="20">
        <v>0</v>
      </c>
      <c r="BS93" s="12" t="s">
        <v>333</v>
      </c>
      <c r="BT93" s="20">
        <v>0</v>
      </c>
      <c r="BU93" s="12" t="s">
        <v>333</v>
      </c>
      <c r="BV93" s="20">
        <v>0</v>
      </c>
      <c r="BW93" s="12" t="s">
        <v>333</v>
      </c>
      <c r="BX93" s="20">
        <v>0</v>
      </c>
      <c r="BY93" s="12" t="s">
        <v>333</v>
      </c>
      <c r="BZ93" s="20">
        <v>0</v>
      </c>
      <c r="CA93" s="12" t="s">
        <v>333</v>
      </c>
      <c r="CB93" s="20">
        <v>0</v>
      </c>
      <c r="CC93" s="12" t="s">
        <v>333</v>
      </c>
    </row>
    <row r="94" spans="1:81" x14ac:dyDescent="0.2">
      <c r="A94" s="10" t="s">
        <v>98</v>
      </c>
      <c r="B94" s="83">
        <v>0</v>
      </c>
      <c r="C94" s="82" t="s">
        <v>333</v>
      </c>
      <c r="D94" s="83">
        <v>0</v>
      </c>
      <c r="E94" s="82" t="s">
        <v>333</v>
      </c>
      <c r="F94" s="83">
        <v>0</v>
      </c>
      <c r="G94" s="82" t="s">
        <v>333</v>
      </c>
      <c r="H94" s="83">
        <v>0</v>
      </c>
      <c r="I94" s="82" t="s">
        <v>333</v>
      </c>
      <c r="J94" s="83">
        <v>0</v>
      </c>
      <c r="K94" s="82" t="s">
        <v>333</v>
      </c>
      <c r="L94" s="83">
        <v>0</v>
      </c>
      <c r="M94" s="82" t="s">
        <v>333</v>
      </c>
      <c r="N94" s="82" t="s">
        <v>202</v>
      </c>
      <c r="O94" s="82" t="s">
        <v>333</v>
      </c>
      <c r="P94" s="82" t="s">
        <v>202</v>
      </c>
      <c r="Q94" s="82" t="s">
        <v>333</v>
      </c>
      <c r="R94" s="82" t="s">
        <v>202</v>
      </c>
      <c r="S94" s="82" t="s">
        <v>333</v>
      </c>
      <c r="T94" s="82" t="s">
        <v>202</v>
      </c>
      <c r="U94" s="82" t="s">
        <v>333</v>
      </c>
      <c r="V94" s="82" t="s">
        <v>202</v>
      </c>
      <c r="W94" s="82" t="s">
        <v>333</v>
      </c>
      <c r="X94" s="83">
        <v>0</v>
      </c>
      <c r="Y94" s="82" t="s">
        <v>333</v>
      </c>
      <c r="Z94" s="83">
        <v>0</v>
      </c>
      <c r="AA94" s="82" t="s">
        <v>333</v>
      </c>
      <c r="AB94" s="83">
        <v>0</v>
      </c>
      <c r="AC94" s="82" t="s">
        <v>333</v>
      </c>
      <c r="AD94" s="83">
        <v>0</v>
      </c>
      <c r="AE94" s="82" t="s">
        <v>333</v>
      </c>
      <c r="AF94" s="83">
        <v>0</v>
      </c>
      <c r="AG94" s="82" t="s">
        <v>333</v>
      </c>
      <c r="AH94" s="83">
        <v>0</v>
      </c>
      <c r="AI94" s="82" t="s">
        <v>333</v>
      </c>
      <c r="AJ94" s="83">
        <v>0</v>
      </c>
      <c r="AK94" s="82" t="s">
        <v>333</v>
      </c>
      <c r="AL94" s="83">
        <v>0</v>
      </c>
      <c r="AM94" s="82" t="s">
        <v>333</v>
      </c>
      <c r="AN94" s="83">
        <v>0</v>
      </c>
      <c r="AO94" s="82" t="s">
        <v>333</v>
      </c>
      <c r="AP94" s="83">
        <v>0</v>
      </c>
      <c r="AQ94" s="82" t="s">
        <v>333</v>
      </c>
      <c r="AR94" s="83">
        <v>0</v>
      </c>
      <c r="AS94" s="82" t="s">
        <v>333</v>
      </c>
      <c r="AT94" s="83">
        <v>0</v>
      </c>
      <c r="AU94" s="82" t="s">
        <v>333</v>
      </c>
      <c r="AV94" s="83">
        <v>0</v>
      </c>
      <c r="AW94" s="82" t="s">
        <v>333</v>
      </c>
      <c r="AX94" s="83">
        <v>0</v>
      </c>
      <c r="AY94" s="82" t="s">
        <v>333</v>
      </c>
      <c r="AZ94" s="83">
        <v>0</v>
      </c>
      <c r="BA94" s="82" t="s">
        <v>333</v>
      </c>
      <c r="BB94" s="83">
        <v>0</v>
      </c>
      <c r="BC94" s="82" t="s">
        <v>333</v>
      </c>
      <c r="BD94" s="83">
        <v>0</v>
      </c>
      <c r="BE94" s="82" t="s">
        <v>333</v>
      </c>
      <c r="BF94" s="83">
        <v>0</v>
      </c>
      <c r="BG94" s="82" t="s">
        <v>333</v>
      </c>
      <c r="BH94" s="83">
        <v>0</v>
      </c>
      <c r="BI94" s="82" t="s">
        <v>333</v>
      </c>
      <c r="BJ94" s="83">
        <v>0</v>
      </c>
      <c r="BK94" s="82" t="s">
        <v>333</v>
      </c>
      <c r="BL94" s="83">
        <v>0</v>
      </c>
      <c r="BM94" s="82" t="s">
        <v>333</v>
      </c>
      <c r="BN94" s="83">
        <v>0</v>
      </c>
      <c r="BO94" s="82" t="s">
        <v>333</v>
      </c>
      <c r="BP94" s="83">
        <v>0</v>
      </c>
      <c r="BQ94" s="82" t="s">
        <v>333</v>
      </c>
      <c r="BR94" s="83">
        <v>0</v>
      </c>
      <c r="BS94" s="82" t="s">
        <v>333</v>
      </c>
      <c r="BT94" s="83">
        <v>0</v>
      </c>
      <c r="BU94" s="82" t="s">
        <v>333</v>
      </c>
      <c r="BV94" s="83">
        <v>0</v>
      </c>
      <c r="BW94" s="82" t="s">
        <v>333</v>
      </c>
      <c r="BX94" s="83">
        <v>0</v>
      </c>
      <c r="BY94" s="82" t="s">
        <v>333</v>
      </c>
      <c r="BZ94" s="83">
        <v>0</v>
      </c>
      <c r="CA94" s="82" t="s">
        <v>333</v>
      </c>
      <c r="CB94" s="83">
        <v>0</v>
      </c>
      <c r="CC94" s="82" t="s">
        <v>333</v>
      </c>
    </row>
    <row r="95" spans="1:81" x14ac:dyDescent="0.2">
      <c r="A95" s="10" t="s">
        <v>530</v>
      </c>
      <c r="B95" s="20">
        <v>0</v>
      </c>
      <c r="C95" s="12" t="s">
        <v>333</v>
      </c>
      <c r="D95" s="20">
        <v>0</v>
      </c>
      <c r="E95" s="12" t="s">
        <v>333</v>
      </c>
      <c r="F95" s="20">
        <v>0</v>
      </c>
      <c r="G95" s="12" t="s">
        <v>333</v>
      </c>
      <c r="H95" s="20">
        <v>0</v>
      </c>
      <c r="I95" s="12" t="s">
        <v>333</v>
      </c>
      <c r="J95" s="20">
        <v>0</v>
      </c>
      <c r="K95" s="12" t="s">
        <v>333</v>
      </c>
      <c r="L95" s="20">
        <v>0</v>
      </c>
      <c r="M95" s="12" t="s">
        <v>333</v>
      </c>
      <c r="N95" s="12" t="s">
        <v>202</v>
      </c>
      <c r="O95" s="12" t="s">
        <v>333</v>
      </c>
      <c r="P95" s="12" t="s">
        <v>202</v>
      </c>
      <c r="Q95" s="12" t="s">
        <v>333</v>
      </c>
      <c r="R95" s="12" t="s">
        <v>202</v>
      </c>
      <c r="S95" s="12" t="s">
        <v>333</v>
      </c>
      <c r="T95" s="12" t="s">
        <v>202</v>
      </c>
      <c r="U95" s="12" t="s">
        <v>333</v>
      </c>
      <c r="V95" s="12" t="s">
        <v>202</v>
      </c>
      <c r="W95" s="12" t="s">
        <v>333</v>
      </c>
      <c r="X95" s="20">
        <v>0</v>
      </c>
      <c r="Y95" s="12" t="s">
        <v>333</v>
      </c>
      <c r="Z95" s="20">
        <v>0</v>
      </c>
      <c r="AA95" s="12" t="s">
        <v>333</v>
      </c>
      <c r="AB95" s="20">
        <v>0</v>
      </c>
      <c r="AC95" s="12" t="s">
        <v>333</v>
      </c>
      <c r="AD95" s="20">
        <v>0</v>
      </c>
      <c r="AE95" s="12" t="s">
        <v>333</v>
      </c>
      <c r="AF95" s="20">
        <v>0</v>
      </c>
      <c r="AG95" s="12" t="s">
        <v>333</v>
      </c>
      <c r="AH95" s="20">
        <v>0</v>
      </c>
      <c r="AI95" s="12" t="s">
        <v>333</v>
      </c>
      <c r="AJ95" s="20">
        <v>0</v>
      </c>
      <c r="AK95" s="12" t="s">
        <v>333</v>
      </c>
      <c r="AL95" s="20">
        <v>0</v>
      </c>
      <c r="AM95" s="12" t="s">
        <v>333</v>
      </c>
      <c r="AN95" s="20">
        <v>0</v>
      </c>
      <c r="AO95" s="12" t="s">
        <v>333</v>
      </c>
      <c r="AP95" s="20">
        <v>0</v>
      </c>
      <c r="AQ95" s="12" t="s">
        <v>333</v>
      </c>
      <c r="AR95" s="20">
        <v>0</v>
      </c>
      <c r="AS95" s="12" t="s">
        <v>333</v>
      </c>
      <c r="AT95" s="20">
        <v>0</v>
      </c>
      <c r="AU95" s="12" t="s">
        <v>333</v>
      </c>
      <c r="AV95" s="20">
        <v>0</v>
      </c>
      <c r="AW95" s="12" t="s">
        <v>333</v>
      </c>
      <c r="AX95" s="20">
        <v>0</v>
      </c>
      <c r="AY95" s="12" t="s">
        <v>333</v>
      </c>
      <c r="AZ95" s="20">
        <v>0</v>
      </c>
      <c r="BA95" s="12" t="s">
        <v>333</v>
      </c>
      <c r="BB95" s="20">
        <v>0</v>
      </c>
      <c r="BC95" s="12" t="s">
        <v>333</v>
      </c>
      <c r="BD95" s="20">
        <v>0</v>
      </c>
      <c r="BE95" s="12" t="s">
        <v>333</v>
      </c>
      <c r="BF95" s="20">
        <v>0</v>
      </c>
      <c r="BG95" s="12" t="s">
        <v>333</v>
      </c>
      <c r="BH95" s="20">
        <v>0</v>
      </c>
      <c r="BI95" s="12" t="s">
        <v>333</v>
      </c>
      <c r="BJ95" s="20">
        <v>0</v>
      </c>
      <c r="BK95" s="12" t="s">
        <v>333</v>
      </c>
      <c r="BL95" s="20">
        <v>0</v>
      </c>
      <c r="BM95" s="12" t="s">
        <v>333</v>
      </c>
      <c r="BN95" s="20">
        <v>0</v>
      </c>
      <c r="BO95" s="12" t="s">
        <v>333</v>
      </c>
      <c r="BP95" s="20">
        <v>0</v>
      </c>
      <c r="BQ95" s="12" t="s">
        <v>333</v>
      </c>
      <c r="BR95" s="20">
        <v>0</v>
      </c>
      <c r="BS95" s="12" t="s">
        <v>333</v>
      </c>
      <c r="BT95" s="20">
        <v>0</v>
      </c>
      <c r="BU95" s="12" t="s">
        <v>333</v>
      </c>
      <c r="BV95" s="20">
        <v>0</v>
      </c>
      <c r="BW95" s="12" t="s">
        <v>333</v>
      </c>
      <c r="BX95" s="20">
        <v>0</v>
      </c>
      <c r="BY95" s="12" t="s">
        <v>333</v>
      </c>
      <c r="BZ95" s="20">
        <v>0</v>
      </c>
      <c r="CA95" s="12" t="s">
        <v>333</v>
      </c>
      <c r="CB95" s="20">
        <v>0</v>
      </c>
      <c r="CC95" s="12" t="s">
        <v>333</v>
      </c>
    </row>
    <row r="96" spans="1:81" x14ac:dyDescent="0.2">
      <c r="A96" s="10" t="s">
        <v>531</v>
      </c>
      <c r="B96" s="83">
        <v>0</v>
      </c>
      <c r="C96" s="82" t="s">
        <v>333</v>
      </c>
      <c r="D96" s="83">
        <v>0</v>
      </c>
      <c r="E96" s="82" t="s">
        <v>333</v>
      </c>
      <c r="F96" s="83">
        <v>0</v>
      </c>
      <c r="G96" s="82" t="s">
        <v>333</v>
      </c>
      <c r="H96" s="83">
        <v>0</v>
      </c>
      <c r="I96" s="82" t="s">
        <v>333</v>
      </c>
      <c r="J96" s="83">
        <v>0</v>
      </c>
      <c r="K96" s="82" t="s">
        <v>333</v>
      </c>
      <c r="L96" s="83">
        <v>0</v>
      </c>
      <c r="M96" s="82" t="s">
        <v>333</v>
      </c>
      <c r="N96" s="82" t="s">
        <v>202</v>
      </c>
      <c r="O96" s="82" t="s">
        <v>333</v>
      </c>
      <c r="P96" s="82" t="s">
        <v>202</v>
      </c>
      <c r="Q96" s="82" t="s">
        <v>333</v>
      </c>
      <c r="R96" s="82" t="s">
        <v>202</v>
      </c>
      <c r="S96" s="82" t="s">
        <v>333</v>
      </c>
      <c r="T96" s="82" t="s">
        <v>202</v>
      </c>
      <c r="U96" s="82" t="s">
        <v>333</v>
      </c>
      <c r="V96" s="82" t="s">
        <v>202</v>
      </c>
      <c r="W96" s="82" t="s">
        <v>333</v>
      </c>
      <c r="X96" s="83">
        <v>0</v>
      </c>
      <c r="Y96" s="82" t="s">
        <v>333</v>
      </c>
      <c r="Z96" s="83">
        <v>0</v>
      </c>
      <c r="AA96" s="82" t="s">
        <v>333</v>
      </c>
      <c r="AB96" s="83">
        <v>0</v>
      </c>
      <c r="AC96" s="82" t="s">
        <v>333</v>
      </c>
      <c r="AD96" s="83">
        <v>0</v>
      </c>
      <c r="AE96" s="82" t="s">
        <v>333</v>
      </c>
      <c r="AF96" s="83">
        <v>0</v>
      </c>
      <c r="AG96" s="82" t="s">
        <v>333</v>
      </c>
      <c r="AH96" s="83">
        <v>0</v>
      </c>
      <c r="AI96" s="82" t="s">
        <v>333</v>
      </c>
      <c r="AJ96" s="83">
        <v>0</v>
      </c>
      <c r="AK96" s="82" t="s">
        <v>333</v>
      </c>
      <c r="AL96" s="83">
        <v>0</v>
      </c>
      <c r="AM96" s="82" t="s">
        <v>333</v>
      </c>
      <c r="AN96" s="83">
        <v>0</v>
      </c>
      <c r="AO96" s="82" t="s">
        <v>333</v>
      </c>
      <c r="AP96" s="83">
        <v>0</v>
      </c>
      <c r="AQ96" s="82" t="s">
        <v>333</v>
      </c>
      <c r="AR96" s="83">
        <v>0</v>
      </c>
      <c r="AS96" s="82" t="s">
        <v>333</v>
      </c>
      <c r="AT96" s="83">
        <v>0</v>
      </c>
      <c r="AU96" s="82" t="s">
        <v>333</v>
      </c>
      <c r="AV96" s="83">
        <v>0</v>
      </c>
      <c r="AW96" s="82" t="s">
        <v>333</v>
      </c>
      <c r="AX96" s="83">
        <v>0</v>
      </c>
      <c r="AY96" s="82" t="s">
        <v>333</v>
      </c>
      <c r="AZ96" s="83">
        <v>0</v>
      </c>
      <c r="BA96" s="82" t="s">
        <v>333</v>
      </c>
      <c r="BB96" s="83">
        <v>0</v>
      </c>
      <c r="BC96" s="82" t="s">
        <v>333</v>
      </c>
      <c r="BD96" s="83">
        <v>0</v>
      </c>
      <c r="BE96" s="82" t="s">
        <v>333</v>
      </c>
      <c r="BF96" s="83">
        <v>0</v>
      </c>
      <c r="BG96" s="82" t="s">
        <v>333</v>
      </c>
      <c r="BH96" s="83">
        <v>0</v>
      </c>
      <c r="BI96" s="82" t="s">
        <v>333</v>
      </c>
      <c r="BJ96" s="83">
        <v>0</v>
      </c>
      <c r="BK96" s="82" t="s">
        <v>333</v>
      </c>
      <c r="BL96" s="83">
        <v>0</v>
      </c>
      <c r="BM96" s="82" t="s">
        <v>333</v>
      </c>
      <c r="BN96" s="83">
        <v>0</v>
      </c>
      <c r="BO96" s="82" t="s">
        <v>333</v>
      </c>
      <c r="BP96" s="83">
        <v>0</v>
      </c>
      <c r="BQ96" s="82" t="s">
        <v>333</v>
      </c>
      <c r="BR96" s="83">
        <v>0</v>
      </c>
      <c r="BS96" s="82" t="s">
        <v>333</v>
      </c>
      <c r="BT96" s="83">
        <v>0</v>
      </c>
      <c r="BU96" s="82" t="s">
        <v>333</v>
      </c>
      <c r="BV96" s="83">
        <v>0</v>
      </c>
      <c r="BW96" s="82" t="s">
        <v>333</v>
      </c>
      <c r="BX96" s="83">
        <v>0</v>
      </c>
      <c r="BY96" s="82" t="s">
        <v>333</v>
      </c>
      <c r="BZ96" s="83">
        <v>0</v>
      </c>
      <c r="CA96" s="82" t="s">
        <v>333</v>
      </c>
      <c r="CB96" s="83">
        <v>0</v>
      </c>
      <c r="CC96" s="82" t="s">
        <v>333</v>
      </c>
    </row>
    <row r="97" spans="1:81" x14ac:dyDescent="0.2">
      <c r="A97" s="10" t="s">
        <v>532</v>
      </c>
      <c r="B97" s="11">
        <v>850.54899999999998</v>
      </c>
      <c r="C97" s="12" t="s">
        <v>333</v>
      </c>
      <c r="D97" s="11">
        <v>850.54899999999998</v>
      </c>
      <c r="E97" s="12" t="s">
        <v>333</v>
      </c>
      <c r="F97" s="11">
        <v>850.54899999999998</v>
      </c>
      <c r="G97" s="12" t="s">
        <v>333</v>
      </c>
      <c r="H97" s="11">
        <v>850.54899999999998</v>
      </c>
      <c r="I97" s="12" t="s">
        <v>333</v>
      </c>
      <c r="J97" s="11">
        <v>850.54899999999998</v>
      </c>
      <c r="K97" s="12" t="s">
        <v>333</v>
      </c>
      <c r="L97" s="20">
        <v>0</v>
      </c>
      <c r="M97" s="12" t="s">
        <v>333</v>
      </c>
      <c r="N97" s="20">
        <v>0</v>
      </c>
      <c r="O97" s="12" t="s">
        <v>333</v>
      </c>
      <c r="P97" s="20">
        <v>0</v>
      </c>
      <c r="Q97" s="12" t="s">
        <v>333</v>
      </c>
      <c r="R97" s="20">
        <v>0</v>
      </c>
      <c r="S97" s="12" t="s">
        <v>333</v>
      </c>
      <c r="T97" s="20">
        <v>0</v>
      </c>
      <c r="U97" s="12" t="s">
        <v>333</v>
      </c>
      <c r="V97" s="20">
        <v>0</v>
      </c>
      <c r="W97" s="12" t="s">
        <v>333</v>
      </c>
      <c r="X97" s="12" t="s">
        <v>202</v>
      </c>
      <c r="Y97" s="12" t="s">
        <v>333</v>
      </c>
      <c r="Z97" s="12" t="s">
        <v>202</v>
      </c>
      <c r="AA97" s="12" t="s">
        <v>333</v>
      </c>
      <c r="AB97" s="12" t="s">
        <v>202</v>
      </c>
      <c r="AC97" s="12" t="s">
        <v>333</v>
      </c>
      <c r="AD97" s="12" t="s">
        <v>202</v>
      </c>
      <c r="AE97" s="12" t="s">
        <v>333</v>
      </c>
      <c r="AF97" s="12" t="s">
        <v>202</v>
      </c>
      <c r="AG97" s="12" t="s">
        <v>333</v>
      </c>
      <c r="AH97" s="12" t="s">
        <v>202</v>
      </c>
      <c r="AI97" s="12" t="s">
        <v>333</v>
      </c>
      <c r="AJ97" s="12" t="s">
        <v>202</v>
      </c>
      <c r="AK97" s="12" t="s">
        <v>333</v>
      </c>
      <c r="AL97" s="12" t="s">
        <v>202</v>
      </c>
      <c r="AM97" s="12" t="s">
        <v>333</v>
      </c>
      <c r="AN97" s="12" t="s">
        <v>202</v>
      </c>
      <c r="AO97" s="12" t="s">
        <v>333</v>
      </c>
      <c r="AP97" s="12" t="s">
        <v>202</v>
      </c>
      <c r="AQ97" s="12" t="s">
        <v>333</v>
      </c>
      <c r="AR97" s="12" t="s">
        <v>202</v>
      </c>
      <c r="AS97" s="12" t="s">
        <v>333</v>
      </c>
      <c r="AT97" s="12" t="s">
        <v>202</v>
      </c>
      <c r="AU97" s="12" t="s">
        <v>333</v>
      </c>
      <c r="AV97" s="12" t="s">
        <v>202</v>
      </c>
      <c r="AW97" s="12" t="s">
        <v>333</v>
      </c>
      <c r="AX97" s="12" t="s">
        <v>202</v>
      </c>
      <c r="AY97" s="12" t="s">
        <v>333</v>
      </c>
      <c r="AZ97" s="12" t="s">
        <v>202</v>
      </c>
      <c r="BA97" s="12" t="s">
        <v>333</v>
      </c>
      <c r="BB97" s="12" t="s">
        <v>202</v>
      </c>
      <c r="BC97" s="12" t="s">
        <v>333</v>
      </c>
      <c r="BD97" s="12" t="s">
        <v>202</v>
      </c>
      <c r="BE97" s="12" t="s">
        <v>333</v>
      </c>
      <c r="BF97" s="12" t="s">
        <v>202</v>
      </c>
      <c r="BG97" s="12" t="s">
        <v>333</v>
      </c>
      <c r="BH97" s="12" t="s">
        <v>202</v>
      </c>
      <c r="BI97" s="12" t="s">
        <v>333</v>
      </c>
      <c r="BJ97" s="12" t="s">
        <v>202</v>
      </c>
      <c r="BK97" s="12" t="s">
        <v>333</v>
      </c>
      <c r="BL97" s="12" t="s">
        <v>202</v>
      </c>
      <c r="BM97" s="12" t="s">
        <v>333</v>
      </c>
      <c r="BN97" s="12" t="s">
        <v>202</v>
      </c>
      <c r="BO97" s="12" t="s">
        <v>333</v>
      </c>
      <c r="BP97" s="12" t="s">
        <v>202</v>
      </c>
      <c r="BQ97" s="12" t="s">
        <v>333</v>
      </c>
      <c r="BR97" s="12" t="s">
        <v>202</v>
      </c>
      <c r="BS97" s="12" t="s">
        <v>333</v>
      </c>
      <c r="BT97" s="12" t="s">
        <v>202</v>
      </c>
      <c r="BU97" s="12" t="s">
        <v>333</v>
      </c>
      <c r="BV97" s="12" t="s">
        <v>202</v>
      </c>
      <c r="BW97" s="12" t="s">
        <v>333</v>
      </c>
      <c r="BX97" s="12" t="s">
        <v>202</v>
      </c>
      <c r="BY97" s="12" t="s">
        <v>333</v>
      </c>
      <c r="BZ97" s="12" t="s">
        <v>202</v>
      </c>
      <c r="CA97" s="12" t="s">
        <v>333</v>
      </c>
      <c r="CB97" s="12" t="s">
        <v>202</v>
      </c>
      <c r="CC97" s="12" t="s">
        <v>333</v>
      </c>
    </row>
    <row r="98" spans="1:81" x14ac:dyDescent="0.2">
      <c r="A98" s="10" t="s">
        <v>533</v>
      </c>
      <c r="B98" s="81">
        <v>61900.741000000002</v>
      </c>
      <c r="C98" s="82" t="s">
        <v>333</v>
      </c>
      <c r="D98" s="81">
        <v>61900.741000000002</v>
      </c>
      <c r="E98" s="82" t="s">
        <v>333</v>
      </c>
      <c r="F98" s="81">
        <v>61900.741000000002</v>
      </c>
      <c r="G98" s="82" t="s">
        <v>333</v>
      </c>
      <c r="H98" s="81">
        <v>61900.741000000002</v>
      </c>
      <c r="I98" s="82" t="s">
        <v>333</v>
      </c>
      <c r="J98" s="81">
        <v>53205.171999999999</v>
      </c>
      <c r="K98" s="82" t="s">
        <v>333</v>
      </c>
      <c r="L98" s="81">
        <v>3404.7849999999999</v>
      </c>
      <c r="M98" s="82" t="s">
        <v>333</v>
      </c>
      <c r="N98" s="81">
        <v>5236.4660000000003</v>
      </c>
      <c r="O98" s="82" t="s">
        <v>333</v>
      </c>
      <c r="P98" s="81">
        <v>54.317999999999998</v>
      </c>
      <c r="Q98" s="82" t="s">
        <v>333</v>
      </c>
      <c r="R98" s="81">
        <v>54.317999999999998</v>
      </c>
      <c r="S98" s="82" t="s">
        <v>333</v>
      </c>
      <c r="T98" s="83">
        <v>0</v>
      </c>
      <c r="U98" s="82" t="s">
        <v>333</v>
      </c>
      <c r="V98" s="83">
        <v>0</v>
      </c>
      <c r="W98" s="82" t="s">
        <v>333</v>
      </c>
      <c r="X98" s="82" t="s">
        <v>202</v>
      </c>
      <c r="Y98" s="82" t="s">
        <v>333</v>
      </c>
      <c r="Z98" s="82" t="s">
        <v>202</v>
      </c>
      <c r="AA98" s="82" t="s">
        <v>333</v>
      </c>
      <c r="AB98" s="82" t="s">
        <v>202</v>
      </c>
      <c r="AC98" s="82" t="s">
        <v>333</v>
      </c>
      <c r="AD98" s="82" t="s">
        <v>202</v>
      </c>
      <c r="AE98" s="82" t="s">
        <v>333</v>
      </c>
      <c r="AF98" s="82" t="s">
        <v>202</v>
      </c>
      <c r="AG98" s="82" t="s">
        <v>333</v>
      </c>
      <c r="AH98" s="82" t="s">
        <v>202</v>
      </c>
      <c r="AI98" s="82" t="s">
        <v>333</v>
      </c>
      <c r="AJ98" s="82" t="s">
        <v>202</v>
      </c>
      <c r="AK98" s="82" t="s">
        <v>333</v>
      </c>
      <c r="AL98" s="82" t="s">
        <v>202</v>
      </c>
      <c r="AM98" s="82" t="s">
        <v>333</v>
      </c>
      <c r="AN98" s="82" t="s">
        <v>202</v>
      </c>
      <c r="AO98" s="82" t="s">
        <v>333</v>
      </c>
      <c r="AP98" s="82" t="s">
        <v>202</v>
      </c>
      <c r="AQ98" s="82" t="s">
        <v>333</v>
      </c>
      <c r="AR98" s="82" t="s">
        <v>202</v>
      </c>
      <c r="AS98" s="82" t="s">
        <v>333</v>
      </c>
      <c r="AT98" s="82" t="s">
        <v>202</v>
      </c>
      <c r="AU98" s="82" t="s">
        <v>333</v>
      </c>
      <c r="AV98" s="82" t="s">
        <v>202</v>
      </c>
      <c r="AW98" s="82" t="s">
        <v>333</v>
      </c>
      <c r="AX98" s="82" t="s">
        <v>202</v>
      </c>
      <c r="AY98" s="82" t="s">
        <v>333</v>
      </c>
      <c r="AZ98" s="82" t="s">
        <v>202</v>
      </c>
      <c r="BA98" s="82" t="s">
        <v>333</v>
      </c>
      <c r="BB98" s="82" t="s">
        <v>202</v>
      </c>
      <c r="BC98" s="82" t="s">
        <v>333</v>
      </c>
      <c r="BD98" s="82" t="s">
        <v>202</v>
      </c>
      <c r="BE98" s="82" t="s">
        <v>333</v>
      </c>
      <c r="BF98" s="82" t="s">
        <v>202</v>
      </c>
      <c r="BG98" s="82" t="s">
        <v>333</v>
      </c>
      <c r="BH98" s="82" t="s">
        <v>202</v>
      </c>
      <c r="BI98" s="82" t="s">
        <v>333</v>
      </c>
      <c r="BJ98" s="82" t="s">
        <v>202</v>
      </c>
      <c r="BK98" s="82" t="s">
        <v>333</v>
      </c>
      <c r="BL98" s="82" t="s">
        <v>202</v>
      </c>
      <c r="BM98" s="82" t="s">
        <v>333</v>
      </c>
      <c r="BN98" s="82" t="s">
        <v>202</v>
      </c>
      <c r="BO98" s="82" t="s">
        <v>333</v>
      </c>
      <c r="BP98" s="82" t="s">
        <v>202</v>
      </c>
      <c r="BQ98" s="82" t="s">
        <v>333</v>
      </c>
      <c r="BR98" s="82" t="s">
        <v>202</v>
      </c>
      <c r="BS98" s="82" t="s">
        <v>333</v>
      </c>
      <c r="BT98" s="82" t="s">
        <v>202</v>
      </c>
      <c r="BU98" s="82" t="s">
        <v>333</v>
      </c>
      <c r="BV98" s="82" t="s">
        <v>202</v>
      </c>
      <c r="BW98" s="82" t="s">
        <v>333</v>
      </c>
      <c r="BX98" s="82" t="s">
        <v>202</v>
      </c>
      <c r="BY98" s="82" t="s">
        <v>333</v>
      </c>
      <c r="BZ98" s="82" t="s">
        <v>202</v>
      </c>
      <c r="CA98" s="82" t="s">
        <v>333</v>
      </c>
      <c r="CB98" s="82" t="s">
        <v>202</v>
      </c>
      <c r="CC98" s="82" t="s">
        <v>333</v>
      </c>
    </row>
    <row r="99" spans="1:81" x14ac:dyDescent="0.2">
      <c r="A99" s="10" t="s">
        <v>534</v>
      </c>
      <c r="B99" s="11">
        <v>61898.055999999997</v>
      </c>
      <c r="C99" s="12" t="s">
        <v>333</v>
      </c>
      <c r="D99" s="11">
        <v>61898.055999999997</v>
      </c>
      <c r="E99" s="12" t="s">
        <v>333</v>
      </c>
      <c r="F99" s="11">
        <v>61898.055999999997</v>
      </c>
      <c r="G99" s="12" t="s">
        <v>333</v>
      </c>
      <c r="H99" s="11">
        <v>61898.055999999997</v>
      </c>
      <c r="I99" s="12" t="s">
        <v>333</v>
      </c>
      <c r="J99" s="11">
        <v>53207.201999999997</v>
      </c>
      <c r="K99" s="12" t="s">
        <v>333</v>
      </c>
      <c r="L99" s="11">
        <v>3404.5010000000002</v>
      </c>
      <c r="M99" s="12" t="s">
        <v>333</v>
      </c>
      <c r="N99" s="11">
        <v>5236.4660000000003</v>
      </c>
      <c r="O99" s="12" t="s">
        <v>333</v>
      </c>
      <c r="P99" s="11">
        <v>49.887</v>
      </c>
      <c r="Q99" s="12" t="s">
        <v>333</v>
      </c>
      <c r="R99" s="11">
        <v>49.887</v>
      </c>
      <c r="S99" s="12" t="s">
        <v>333</v>
      </c>
      <c r="T99" s="20">
        <v>0</v>
      </c>
      <c r="U99" s="12" t="s">
        <v>333</v>
      </c>
      <c r="V99" s="20">
        <v>0</v>
      </c>
      <c r="W99" s="12" t="s">
        <v>333</v>
      </c>
      <c r="X99" s="12" t="s">
        <v>202</v>
      </c>
      <c r="Y99" s="12" t="s">
        <v>333</v>
      </c>
      <c r="Z99" s="12" t="s">
        <v>202</v>
      </c>
      <c r="AA99" s="12" t="s">
        <v>333</v>
      </c>
      <c r="AB99" s="12" t="s">
        <v>202</v>
      </c>
      <c r="AC99" s="12" t="s">
        <v>333</v>
      </c>
      <c r="AD99" s="12" t="s">
        <v>202</v>
      </c>
      <c r="AE99" s="12" t="s">
        <v>333</v>
      </c>
      <c r="AF99" s="12" t="s">
        <v>202</v>
      </c>
      <c r="AG99" s="12" t="s">
        <v>333</v>
      </c>
      <c r="AH99" s="12" t="s">
        <v>202</v>
      </c>
      <c r="AI99" s="12" t="s">
        <v>333</v>
      </c>
      <c r="AJ99" s="12" t="s">
        <v>202</v>
      </c>
      <c r="AK99" s="12" t="s">
        <v>333</v>
      </c>
      <c r="AL99" s="12" t="s">
        <v>202</v>
      </c>
      <c r="AM99" s="12" t="s">
        <v>333</v>
      </c>
      <c r="AN99" s="12" t="s">
        <v>202</v>
      </c>
      <c r="AO99" s="12" t="s">
        <v>333</v>
      </c>
      <c r="AP99" s="12" t="s">
        <v>202</v>
      </c>
      <c r="AQ99" s="12" t="s">
        <v>333</v>
      </c>
      <c r="AR99" s="12" t="s">
        <v>202</v>
      </c>
      <c r="AS99" s="12" t="s">
        <v>333</v>
      </c>
      <c r="AT99" s="12" t="s">
        <v>202</v>
      </c>
      <c r="AU99" s="12" t="s">
        <v>333</v>
      </c>
      <c r="AV99" s="12" t="s">
        <v>202</v>
      </c>
      <c r="AW99" s="12" t="s">
        <v>333</v>
      </c>
      <c r="AX99" s="12" t="s">
        <v>202</v>
      </c>
      <c r="AY99" s="12" t="s">
        <v>333</v>
      </c>
      <c r="AZ99" s="12" t="s">
        <v>202</v>
      </c>
      <c r="BA99" s="12" t="s">
        <v>333</v>
      </c>
      <c r="BB99" s="12" t="s">
        <v>202</v>
      </c>
      <c r="BC99" s="12" t="s">
        <v>333</v>
      </c>
      <c r="BD99" s="12" t="s">
        <v>202</v>
      </c>
      <c r="BE99" s="12" t="s">
        <v>333</v>
      </c>
      <c r="BF99" s="12" t="s">
        <v>202</v>
      </c>
      <c r="BG99" s="12" t="s">
        <v>333</v>
      </c>
      <c r="BH99" s="12" t="s">
        <v>202</v>
      </c>
      <c r="BI99" s="12" t="s">
        <v>333</v>
      </c>
      <c r="BJ99" s="12" t="s">
        <v>202</v>
      </c>
      <c r="BK99" s="12" t="s">
        <v>333</v>
      </c>
      <c r="BL99" s="12" t="s">
        <v>202</v>
      </c>
      <c r="BM99" s="12" t="s">
        <v>333</v>
      </c>
      <c r="BN99" s="12" t="s">
        <v>202</v>
      </c>
      <c r="BO99" s="12" t="s">
        <v>333</v>
      </c>
      <c r="BP99" s="12" t="s">
        <v>202</v>
      </c>
      <c r="BQ99" s="12" t="s">
        <v>333</v>
      </c>
      <c r="BR99" s="12" t="s">
        <v>202</v>
      </c>
      <c r="BS99" s="12" t="s">
        <v>333</v>
      </c>
      <c r="BT99" s="12" t="s">
        <v>202</v>
      </c>
      <c r="BU99" s="12" t="s">
        <v>333</v>
      </c>
      <c r="BV99" s="12" t="s">
        <v>202</v>
      </c>
      <c r="BW99" s="12" t="s">
        <v>333</v>
      </c>
      <c r="BX99" s="12" t="s">
        <v>202</v>
      </c>
      <c r="BY99" s="12" t="s">
        <v>333</v>
      </c>
      <c r="BZ99" s="12" t="s">
        <v>202</v>
      </c>
      <c r="CA99" s="12" t="s">
        <v>333</v>
      </c>
      <c r="CB99" s="12" t="s">
        <v>202</v>
      </c>
      <c r="CC99" s="12" t="s">
        <v>333</v>
      </c>
    </row>
    <row r="100" spans="1:81" x14ac:dyDescent="0.2">
      <c r="A100" s="10" t="s">
        <v>535</v>
      </c>
      <c r="B100" s="83">
        <v>2369.31</v>
      </c>
      <c r="C100" s="82" t="s">
        <v>333</v>
      </c>
      <c r="D100" s="83">
        <v>2369.31</v>
      </c>
      <c r="E100" s="82" t="s">
        <v>333</v>
      </c>
      <c r="F100" s="82" t="s">
        <v>202</v>
      </c>
      <c r="G100" s="82" t="s">
        <v>333</v>
      </c>
      <c r="H100" s="82" t="s">
        <v>202</v>
      </c>
      <c r="I100" s="82" t="s">
        <v>333</v>
      </c>
      <c r="J100" s="82" t="s">
        <v>202</v>
      </c>
      <c r="K100" s="82" t="s">
        <v>333</v>
      </c>
      <c r="L100" s="82" t="s">
        <v>202</v>
      </c>
      <c r="M100" s="82" t="s">
        <v>333</v>
      </c>
      <c r="N100" s="82" t="s">
        <v>202</v>
      </c>
      <c r="O100" s="82" t="s">
        <v>333</v>
      </c>
      <c r="P100" s="82" t="s">
        <v>202</v>
      </c>
      <c r="Q100" s="82" t="s">
        <v>333</v>
      </c>
      <c r="R100" s="82" t="s">
        <v>202</v>
      </c>
      <c r="S100" s="82" t="s">
        <v>333</v>
      </c>
      <c r="T100" s="82" t="s">
        <v>202</v>
      </c>
      <c r="U100" s="82" t="s">
        <v>333</v>
      </c>
      <c r="V100" s="82" t="s">
        <v>202</v>
      </c>
      <c r="W100" s="82" t="s">
        <v>333</v>
      </c>
      <c r="X100" s="83">
        <v>2369.31</v>
      </c>
      <c r="Y100" s="82" t="s">
        <v>333</v>
      </c>
      <c r="Z100" s="83">
        <v>2369.31</v>
      </c>
      <c r="AA100" s="82" t="s">
        <v>333</v>
      </c>
      <c r="AB100" s="81">
        <v>1973.008</v>
      </c>
      <c r="AC100" s="82" t="s">
        <v>333</v>
      </c>
      <c r="AD100" s="83">
        <v>0</v>
      </c>
      <c r="AE100" s="82" t="s">
        <v>333</v>
      </c>
      <c r="AF100" s="83">
        <v>92.52</v>
      </c>
      <c r="AG100" s="82" t="s">
        <v>333</v>
      </c>
      <c r="AH100" s="83">
        <v>0</v>
      </c>
      <c r="AI100" s="82" t="s">
        <v>333</v>
      </c>
      <c r="AJ100" s="83">
        <v>0</v>
      </c>
      <c r="AK100" s="82" t="s">
        <v>333</v>
      </c>
      <c r="AL100" s="83">
        <v>0</v>
      </c>
      <c r="AM100" s="82" t="s">
        <v>333</v>
      </c>
      <c r="AN100" s="83">
        <v>0</v>
      </c>
      <c r="AO100" s="82" t="s">
        <v>333</v>
      </c>
      <c r="AP100" s="83">
        <v>0</v>
      </c>
      <c r="AQ100" s="82" t="s">
        <v>333</v>
      </c>
      <c r="AR100" s="83">
        <v>0</v>
      </c>
      <c r="AS100" s="82" t="s">
        <v>333</v>
      </c>
      <c r="AT100" s="83">
        <v>0</v>
      </c>
      <c r="AU100" s="82" t="s">
        <v>333</v>
      </c>
      <c r="AV100" s="83">
        <v>0</v>
      </c>
      <c r="AW100" s="82" t="s">
        <v>333</v>
      </c>
      <c r="AX100" s="81">
        <v>0.106</v>
      </c>
      <c r="AY100" s="82" t="s">
        <v>333</v>
      </c>
      <c r="AZ100" s="81">
        <v>0.106</v>
      </c>
      <c r="BA100" s="82" t="s">
        <v>333</v>
      </c>
      <c r="BB100" s="81">
        <v>0.106</v>
      </c>
      <c r="BC100" s="82" t="s">
        <v>333</v>
      </c>
      <c r="BD100" s="83">
        <v>0</v>
      </c>
      <c r="BE100" s="82" t="s">
        <v>333</v>
      </c>
      <c r="BF100" s="83">
        <v>0</v>
      </c>
      <c r="BG100" s="82" t="s">
        <v>333</v>
      </c>
      <c r="BH100" s="83">
        <v>0</v>
      </c>
      <c r="BI100" s="82" t="s">
        <v>333</v>
      </c>
      <c r="BJ100" s="83">
        <v>0</v>
      </c>
      <c r="BK100" s="82" t="s">
        <v>333</v>
      </c>
      <c r="BL100" s="83">
        <v>0</v>
      </c>
      <c r="BM100" s="82" t="s">
        <v>333</v>
      </c>
      <c r="BN100" s="83">
        <v>0</v>
      </c>
      <c r="BO100" s="82" t="s">
        <v>333</v>
      </c>
      <c r="BP100" s="83">
        <v>0</v>
      </c>
      <c r="BQ100" s="82" t="s">
        <v>333</v>
      </c>
      <c r="BR100" s="81">
        <v>303.67599999999999</v>
      </c>
      <c r="BS100" s="82" t="s">
        <v>333</v>
      </c>
      <c r="BT100" s="83">
        <v>0</v>
      </c>
      <c r="BU100" s="82" t="s">
        <v>333</v>
      </c>
      <c r="BV100" s="83">
        <v>0</v>
      </c>
      <c r="BW100" s="82" t="s">
        <v>333</v>
      </c>
      <c r="BX100" s="83">
        <v>0</v>
      </c>
      <c r="BY100" s="82" t="s">
        <v>333</v>
      </c>
      <c r="BZ100" s="83">
        <v>0</v>
      </c>
      <c r="CA100" s="82" t="s">
        <v>333</v>
      </c>
      <c r="CB100" s="83">
        <v>0</v>
      </c>
      <c r="CC100" s="82" t="s">
        <v>333</v>
      </c>
    </row>
    <row r="101" spans="1:81" x14ac:dyDescent="0.2">
      <c r="A101" s="10" t="s">
        <v>536</v>
      </c>
      <c r="B101" s="20">
        <v>0</v>
      </c>
      <c r="C101" s="12" t="s">
        <v>333</v>
      </c>
      <c r="D101" s="20">
        <v>0</v>
      </c>
      <c r="E101" s="12" t="s">
        <v>333</v>
      </c>
      <c r="F101" s="12" t="s">
        <v>202</v>
      </c>
      <c r="G101" s="12" t="s">
        <v>333</v>
      </c>
      <c r="H101" s="12" t="s">
        <v>202</v>
      </c>
      <c r="I101" s="12" t="s">
        <v>333</v>
      </c>
      <c r="J101" s="12" t="s">
        <v>202</v>
      </c>
      <c r="K101" s="12" t="s">
        <v>333</v>
      </c>
      <c r="L101" s="12" t="s">
        <v>202</v>
      </c>
      <c r="M101" s="12" t="s">
        <v>333</v>
      </c>
      <c r="N101" s="12" t="s">
        <v>202</v>
      </c>
      <c r="O101" s="12" t="s">
        <v>333</v>
      </c>
      <c r="P101" s="12" t="s">
        <v>202</v>
      </c>
      <c r="Q101" s="12" t="s">
        <v>333</v>
      </c>
      <c r="R101" s="12" t="s">
        <v>202</v>
      </c>
      <c r="S101" s="12" t="s">
        <v>333</v>
      </c>
      <c r="T101" s="12" t="s">
        <v>202</v>
      </c>
      <c r="U101" s="12" t="s">
        <v>333</v>
      </c>
      <c r="V101" s="12" t="s">
        <v>202</v>
      </c>
      <c r="W101" s="12" t="s">
        <v>333</v>
      </c>
      <c r="X101" s="20">
        <v>0</v>
      </c>
      <c r="Y101" s="12" t="s">
        <v>333</v>
      </c>
      <c r="Z101" s="20">
        <v>0</v>
      </c>
      <c r="AA101" s="12" t="s">
        <v>333</v>
      </c>
      <c r="AB101" s="20">
        <v>0</v>
      </c>
      <c r="AC101" s="12" t="s">
        <v>333</v>
      </c>
      <c r="AD101" s="20">
        <v>0</v>
      </c>
      <c r="AE101" s="12" t="s">
        <v>333</v>
      </c>
      <c r="AF101" s="20">
        <v>0</v>
      </c>
      <c r="AG101" s="12" t="s">
        <v>333</v>
      </c>
      <c r="AH101" s="20">
        <v>0</v>
      </c>
      <c r="AI101" s="12" t="s">
        <v>333</v>
      </c>
      <c r="AJ101" s="20">
        <v>0</v>
      </c>
      <c r="AK101" s="12" t="s">
        <v>333</v>
      </c>
      <c r="AL101" s="20">
        <v>0</v>
      </c>
      <c r="AM101" s="12" t="s">
        <v>333</v>
      </c>
      <c r="AN101" s="20">
        <v>0</v>
      </c>
      <c r="AO101" s="12" t="s">
        <v>333</v>
      </c>
      <c r="AP101" s="20">
        <v>0</v>
      </c>
      <c r="AQ101" s="12" t="s">
        <v>333</v>
      </c>
      <c r="AR101" s="20">
        <v>0</v>
      </c>
      <c r="AS101" s="12" t="s">
        <v>333</v>
      </c>
      <c r="AT101" s="20">
        <v>0</v>
      </c>
      <c r="AU101" s="12" t="s">
        <v>333</v>
      </c>
      <c r="AV101" s="20">
        <v>0</v>
      </c>
      <c r="AW101" s="12" t="s">
        <v>333</v>
      </c>
      <c r="AX101" s="20">
        <v>0</v>
      </c>
      <c r="AY101" s="12" t="s">
        <v>333</v>
      </c>
      <c r="AZ101" s="20">
        <v>0</v>
      </c>
      <c r="BA101" s="12" t="s">
        <v>333</v>
      </c>
      <c r="BB101" s="20">
        <v>0</v>
      </c>
      <c r="BC101" s="12" t="s">
        <v>333</v>
      </c>
      <c r="BD101" s="20">
        <v>0</v>
      </c>
      <c r="BE101" s="12" t="s">
        <v>333</v>
      </c>
      <c r="BF101" s="20">
        <v>0</v>
      </c>
      <c r="BG101" s="12" t="s">
        <v>333</v>
      </c>
      <c r="BH101" s="20">
        <v>0</v>
      </c>
      <c r="BI101" s="12" t="s">
        <v>333</v>
      </c>
      <c r="BJ101" s="20">
        <v>0</v>
      </c>
      <c r="BK101" s="12" t="s">
        <v>333</v>
      </c>
      <c r="BL101" s="20">
        <v>0</v>
      </c>
      <c r="BM101" s="12" t="s">
        <v>333</v>
      </c>
      <c r="BN101" s="20">
        <v>0</v>
      </c>
      <c r="BO101" s="12" t="s">
        <v>333</v>
      </c>
      <c r="BP101" s="20">
        <v>0</v>
      </c>
      <c r="BQ101" s="12" t="s">
        <v>333</v>
      </c>
      <c r="BR101" s="20">
        <v>0</v>
      </c>
      <c r="BS101" s="12" t="s">
        <v>333</v>
      </c>
      <c r="BT101" s="20">
        <v>0</v>
      </c>
      <c r="BU101" s="12" t="s">
        <v>333</v>
      </c>
      <c r="BV101" s="20">
        <v>0</v>
      </c>
      <c r="BW101" s="12" t="s">
        <v>333</v>
      </c>
      <c r="BX101" s="20">
        <v>0</v>
      </c>
      <c r="BY101" s="12" t="s">
        <v>333</v>
      </c>
      <c r="BZ101" s="20">
        <v>0</v>
      </c>
      <c r="CA101" s="12" t="s">
        <v>333</v>
      </c>
      <c r="CB101" s="20">
        <v>0</v>
      </c>
      <c r="CC101" s="12" t="s">
        <v>333</v>
      </c>
    </row>
    <row r="102" spans="1:81" x14ac:dyDescent="0.2">
      <c r="A102" s="10" t="s">
        <v>537</v>
      </c>
      <c r="B102" s="83">
        <v>0</v>
      </c>
      <c r="C102" s="82" t="s">
        <v>333</v>
      </c>
      <c r="D102" s="83">
        <v>0</v>
      </c>
      <c r="E102" s="82" t="s">
        <v>333</v>
      </c>
      <c r="F102" s="82" t="s">
        <v>202</v>
      </c>
      <c r="G102" s="82" t="s">
        <v>333</v>
      </c>
      <c r="H102" s="82" t="s">
        <v>202</v>
      </c>
      <c r="I102" s="82" t="s">
        <v>333</v>
      </c>
      <c r="J102" s="82" t="s">
        <v>202</v>
      </c>
      <c r="K102" s="82" t="s">
        <v>333</v>
      </c>
      <c r="L102" s="82" t="s">
        <v>202</v>
      </c>
      <c r="M102" s="82" t="s">
        <v>333</v>
      </c>
      <c r="N102" s="82" t="s">
        <v>202</v>
      </c>
      <c r="O102" s="82" t="s">
        <v>333</v>
      </c>
      <c r="P102" s="82" t="s">
        <v>202</v>
      </c>
      <c r="Q102" s="82" t="s">
        <v>333</v>
      </c>
      <c r="R102" s="82" t="s">
        <v>202</v>
      </c>
      <c r="S102" s="82" t="s">
        <v>333</v>
      </c>
      <c r="T102" s="82" t="s">
        <v>202</v>
      </c>
      <c r="U102" s="82" t="s">
        <v>333</v>
      </c>
      <c r="V102" s="82" t="s">
        <v>202</v>
      </c>
      <c r="W102" s="82" t="s">
        <v>333</v>
      </c>
      <c r="X102" s="83">
        <v>0</v>
      </c>
      <c r="Y102" s="82" t="s">
        <v>333</v>
      </c>
      <c r="Z102" s="83">
        <v>0</v>
      </c>
      <c r="AA102" s="82" t="s">
        <v>333</v>
      </c>
      <c r="AB102" s="83">
        <v>0</v>
      </c>
      <c r="AC102" s="82" t="s">
        <v>333</v>
      </c>
      <c r="AD102" s="83">
        <v>0</v>
      </c>
      <c r="AE102" s="82" t="s">
        <v>333</v>
      </c>
      <c r="AF102" s="83">
        <v>0</v>
      </c>
      <c r="AG102" s="82" t="s">
        <v>333</v>
      </c>
      <c r="AH102" s="83">
        <v>0</v>
      </c>
      <c r="AI102" s="82" t="s">
        <v>333</v>
      </c>
      <c r="AJ102" s="83">
        <v>0</v>
      </c>
      <c r="AK102" s="82" t="s">
        <v>333</v>
      </c>
      <c r="AL102" s="83">
        <v>0</v>
      </c>
      <c r="AM102" s="82" t="s">
        <v>333</v>
      </c>
      <c r="AN102" s="83">
        <v>0</v>
      </c>
      <c r="AO102" s="82" t="s">
        <v>333</v>
      </c>
      <c r="AP102" s="83">
        <v>0</v>
      </c>
      <c r="AQ102" s="82" t="s">
        <v>333</v>
      </c>
      <c r="AR102" s="83">
        <v>0</v>
      </c>
      <c r="AS102" s="82" t="s">
        <v>333</v>
      </c>
      <c r="AT102" s="83">
        <v>0</v>
      </c>
      <c r="AU102" s="82" t="s">
        <v>333</v>
      </c>
      <c r="AV102" s="83">
        <v>0</v>
      </c>
      <c r="AW102" s="82" t="s">
        <v>333</v>
      </c>
      <c r="AX102" s="83">
        <v>0</v>
      </c>
      <c r="AY102" s="82" t="s">
        <v>333</v>
      </c>
      <c r="AZ102" s="83">
        <v>0</v>
      </c>
      <c r="BA102" s="82" t="s">
        <v>333</v>
      </c>
      <c r="BB102" s="83">
        <v>0</v>
      </c>
      <c r="BC102" s="82" t="s">
        <v>333</v>
      </c>
      <c r="BD102" s="83">
        <v>0</v>
      </c>
      <c r="BE102" s="82" t="s">
        <v>333</v>
      </c>
      <c r="BF102" s="83">
        <v>0</v>
      </c>
      <c r="BG102" s="82" t="s">
        <v>333</v>
      </c>
      <c r="BH102" s="83">
        <v>0</v>
      </c>
      <c r="BI102" s="82" t="s">
        <v>333</v>
      </c>
      <c r="BJ102" s="83">
        <v>0</v>
      </c>
      <c r="BK102" s="82" t="s">
        <v>333</v>
      </c>
      <c r="BL102" s="83">
        <v>0</v>
      </c>
      <c r="BM102" s="82" t="s">
        <v>333</v>
      </c>
      <c r="BN102" s="83">
        <v>0</v>
      </c>
      <c r="BO102" s="82" t="s">
        <v>333</v>
      </c>
      <c r="BP102" s="83">
        <v>0</v>
      </c>
      <c r="BQ102" s="82" t="s">
        <v>333</v>
      </c>
      <c r="BR102" s="83">
        <v>0</v>
      </c>
      <c r="BS102" s="82" t="s">
        <v>333</v>
      </c>
      <c r="BT102" s="83">
        <v>0</v>
      </c>
      <c r="BU102" s="82" t="s">
        <v>333</v>
      </c>
      <c r="BV102" s="83">
        <v>0</v>
      </c>
      <c r="BW102" s="82" t="s">
        <v>333</v>
      </c>
      <c r="BX102" s="83">
        <v>0</v>
      </c>
      <c r="BY102" s="82" t="s">
        <v>333</v>
      </c>
      <c r="BZ102" s="83">
        <v>0</v>
      </c>
      <c r="CA102" s="82" t="s">
        <v>333</v>
      </c>
      <c r="CB102" s="83">
        <v>0</v>
      </c>
      <c r="CC102" s="82" t="s">
        <v>333</v>
      </c>
    </row>
    <row r="103" spans="1:81" x14ac:dyDescent="0.2">
      <c r="A103" s="10" t="s">
        <v>538</v>
      </c>
      <c r="B103" s="20">
        <v>0</v>
      </c>
      <c r="C103" s="12" t="s">
        <v>333</v>
      </c>
      <c r="D103" s="20">
        <v>0</v>
      </c>
      <c r="E103" s="12" t="s">
        <v>333</v>
      </c>
      <c r="F103" s="12" t="s">
        <v>202</v>
      </c>
      <c r="G103" s="12" t="s">
        <v>333</v>
      </c>
      <c r="H103" s="12" t="s">
        <v>202</v>
      </c>
      <c r="I103" s="12" t="s">
        <v>333</v>
      </c>
      <c r="J103" s="12" t="s">
        <v>202</v>
      </c>
      <c r="K103" s="12" t="s">
        <v>333</v>
      </c>
      <c r="L103" s="12" t="s">
        <v>202</v>
      </c>
      <c r="M103" s="12" t="s">
        <v>333</v>
      </c>
      <c r="N103" s="12" t="s">
        <v>202</v>
      </c>
      <c r="O103" s="12" t="s">
        <v>333</v>
      </c>
      <c r="P103" s="12" t="s">
        <v>202</v>
      </c>
      <c r="Q103" s="12" t="s">
        <v>333</v>
      </c>
      <c r="R103" s="12" t="s">
        <v>202</v>
      </c>
      <c r="S103" s="12" t="s">
        <v>333</v>
      </c>
      <c r="T103" s="12" t="s">
        <v>202</v>
      </c>
      <c r="U103" s="12" t="s">
        <v>333</v>
      </c>
      <c r="V103" s="12" t="s">
        <v>202</v>
      </c>
      <c r="W103" s="12" t="s">
        <v>333</v>
      </c>
      <c r="X103" s="20">
        <v>0</v>
      </c>
      <c r="Y103" s="12" t="s">
        <v>333</v>
      </c>
      <c r="Z103" s="20">
        <v>0</v>
      </c>
      <c r="AA103" s="12" t="s">
        <v>333</v>
      </c>
      <c r="AB103" s="20">
        <v>0</v>
      </c>
      <c r="AC103" s="12" t="s">
        <v>333</v>
      </c>
      <c r="AD103" s="20">
        <v>0</v>
      </c>
      <c r="AE103" s="12" t="s">
        <v>333</v>
      </c>
      <c r="AF103" s="20">
        <v>0</v>
      </c>
      <c r="AG103" s="12" t="s">
        <v>333</v>
      </c>
      <c r="AH103" s="20">
        <v>0</v>
      </c>
      <c r="AI103" s="12" t="s">
        <v>333</v>
      </c>
      <c r="AJ103" s="20">
        <v>0</v>
      </c>
      <c r="AK103" s="12" t="s">
        <v>333</v>
      </c>
      <c r="AL103" s="20">
        <v>0</v>
      </c>
      <c r="AM103" s="12" t="s">
        <v>333</v>
      </c>
      <c r="AN103" s="20">
        <v>0</v>
      </c>
      <c r="AO103" s="12" t="s">
        <v>333</v>
      </c>
      <c r="AP103" s="20">
        <v>0</v>
      </c>
      <c r="AQ103" s="12" t="s">
        <v>333</v>
      </c>
      <c r="AR103" s="20">
        <v>0</v>
      </c>
      <c r="AS103" s="12" t="s">
        <v>333</v>
      </c>
      <c r="AT103" s="20">
        <v>0</v>
      </c>
      <c r="AU103" s="12" t="s">
        <v>333</v>
      </c>
      <c r="AV103" s="20">
        <v>0</v>
      </c>
      <c r="AW103" s="12" t="s">
        <v>333</v>
      </c>
      <c r="AX103" s="20">
        <v>0</v>
      </c>
      <c r="AY103" s="12" t="s">
        <v>333</v>
      </c>
      <c r="AZ103" s="20">
        <v>0</v>
      </c>
      <c r="BA103" s="12" t="s">
        <v>333</v>
      </c>
      <c r="BB103" s="20">
        <v>0</v>
      </c>
      <c r="BC103" s="12" t="s">
        <v>333</v>
      </c>
      <c r="BD103" s="20">
        <v>0</v>
      </c>
      <c r="BE103" s="12" t="s">
        <v>333</v>
      </c>
      <c r="BF103" s="20">
        <v>0</v>
      </c>
      <c r="BG103" s="12" t="s">
        <v>333</v>
      </c>
      <c r="BH103" s="20">
        <v>0</v>
      </c>
      <c r="BI103" s="12" t="s">
        <v>333</v>
      </c>
      <c r="BJ103" s="20">
        <v>0</v>
      </c>
      <c r="BK103" s="12" t="s">
        <v>333</v>
      </c>
      <c r="BL103" s="20">
        <v>0</v>
      </c>
      <c r="BM103" s="12" t="s">
        <v>333</v>
      </c>
      <c r="BN103" s="20">
        <v>0</v>
      </c>
      <c r="BO103" s="12" t="s">
        <v>333</v>
      </c>
      <c r="BP103" s="20">
        <v>0</v>
      </c>
      <c r="BQ103" s="12" t="s">
        <v>333</v>
      </c>
      <c r="BR103" s="20">
        <v>0</v>
      </c>
      <c r="BS103" s="12" t="s">
        <v>333</v>
      </c>
      <c r="BT103" s="20">
        <v>0</v>
      </c>
      <c r="BU103" s="12" t="s">
        <v>333</v>
      </c>
      <c r="BV103" s="20">
        <v>0</v>
      </c>
      <c r="BW103" s="12" t="s">
        <v>333</v>
      </c>
      <c r="BX103" s="20">
        <v>0</v>
      </c>
      <c r="BY103" s="12" t="s">
        <v>333</v>
      </c>
      <c r="BZ103" s="20">
        <v>0</v>
      </c>
      <c r="CA103" s="12" t="s">
        <v>333</v>
      </c>
      <c r="CB103" s="20">
        <v>0</v>
      </c>
      <c r="CC103" s="12" t="s">
        <v>333</v>
      </c>
    </row>
    <row r="104" spans="1:81" x14ac:dyDescent="0.2">
      <c r="A104" s="10" t="s">
        <v>453</v>
      </c>
      <c r="B104" s="81">
        <v>24817.647000000001</v>
      </c>
      <c r="C104" s="82" t="s">
        <v>333</v>
      </c>
      <c r="D104" s="81">
        <v>23982.550999999999</v>
      </c>
      <c r="E104" s="82" t="s">
        <v>333</v>
      </c>
      <c r="F104" s="81">
        <v>2574.799</v>
      </c>
      <c r="G104" s="82" t="s">
        <v>333</v>
      </c>
      <c r="H104" s="81">
        <v>2574.799</v>
      </c>
      <c r="I104" s="82" t="s">
        <v>333</v>
      </c>
      <c r="J104" s="83">
        <v>0</v>
      </c>
      <c r="K104" s="82" t="s">
        <v>333</v>
      </c>
      <c r="L104" s="81">
        <v>2574.799</v>
      </c>
      <c r="M104" s="82" t="s">
        <v>333</v>
      </c>
      <c r="N104" s="82" t="s">
        <v>202</v>
      </c>
      <c r="O104" s="82" t="s">
        <v>333</v>
      </c>
      <c r="P104" s="82" t="s">
        <v>202</v>
      </c>
      <c r="Q104" s="82" t="s">
        <v>333</v>
      </c>
      <c r="R104" s="82" t="s">
        <v>202</v>
      </c>
      <c r="S104" s="82" t="s">
        <v>333</v>
      </c>
      <c r="T104" s="82" t="s">
        <v>202</v>
      </c>
      <c r="U104" s="82" t="s">
        <v>333</v>
      </c>
      <c r="V104" s="82" t="s">
        <v>202</v>
      </c>
      <c r="W104" s="82" t="s">
        <v>333</v>
      </c>
      <c r="X104" s="81">
        <v>22242.848000000002</v>
      </c>
      <c r="Y104" s="82" t="s">
        <v>333</v>
      </c>
      <c r="Z104" s="81">
        <v>21407.752</v>
      </c>
      <c r="AA104" s="82" t="s">
        <v>333</v>
      </c>
      <c r="AB104" s="81">
        <v>2290.3739999999998</v>
      </c>
      <c r="AC104" s="82" t="s">
        <v>333</v>
      </c>
      <c r="AD104" s="83">
        <v>0</v>
      </c>
      <c r="AE104" s="82" t="s">
        <v>333</v>
      </c>
      <c r="AF104" s="81">
        <v>1740.001</v>
      </c>
      <c r="AG104" s="82" t="s">
        <v>333</v>
      </c>
      <c r="AH104" s="83">
        <v>3726.51</v>
      </c>
      <c r="AI104" s="82" t="s">
        <v>333</v>
      </c>
      <c r="AJ104" s="81">
        <v>1.292</v>
      </c>
      <c r="AK104" s="82" t="s">
        <v>333</v>
      </c>
      <c r="AL104" s="81">
        <v>4368.9690000000001</v>
      </c>
      <c r="AM104" s="82" t="s">
        <v>333</v>
      </c>
      <c r="AN104" s="83">
        <v>3969.69</v>
      </c>
      <c r="AO104" s="82" t="s">
        <v>333</v>
      </c>
      <c r="AP104" s="83">
        <v>0</v>
      </c>
      <c r="AQ104" s="82" t="s">
        <v>333</v>
      </c>
      <c r="AR104" s="81">
        <v>3315.8159999999998</v>
      </c>
      <c r="AS104" s="82" t="s">
        <v>333</v>
      </c>
      <c r="AT104" s="83">
        <v>3255.67</v>
      </c>
      <c r="AU104" s="82" t="s">
        <v>333</v>
      </c>
      <c r="AV104" s="81">
        <v>36.531999999999996</v>
      </c>
      <c r="AW104" s="82" t="s">
        <v>333</v>
      </c>
      <c r="AX104" s="81">
        <v>5795.2730000000001</v>
      </c>
      <c r="AY104" s="82" t="s">
        <v>333</v>
      </c>
      <c r="AZ104" s="81">
        <v>5419.6019999999999</v>
      </c>
      <c r="BA104" s="82" t="s">
        <v>333</v>
      </c>
      <c r="BB104" s="81">
        <v>5390.2110000000002</v>
      </c>
      <c r="BC104" s="82" t="s">
        <v>333</v>
      </c>
      <c r="BD104" s="81">
        <v>405.06400000000002</v>
      </c>
      <c r="BE104" s="82" t="s">
        <v>333</v>
      </c>
      <c r="BF104" s="83">
        <v>0</v>
      </c>
      <c r="BG104" s="82" t="s">
        <v>333</v>
      </c>
      <c r="BH104" s="83">
        <v>0</v>
      </c>
      <c r="BI104" s="82" t="s">
        <v>333</v>
      </c>
      <c r="BJ104" s="83">
        <v>0</v>
      </c>
      <c r="BK104" s="82" t="s">
        <v>333</v>
      </c>
      <c r="BL104" s="83">
        <v>17.43</v>
      </c>
      <c r="BM104" s="82" t="s">
        <v>333</v>
      </c>
      <c r="BN104" s="81">
        <v>151.94800000000001</v>
      </c>
      <c r="BO104" s="82" t="s">
        <v>333</v>
      </c>
      <c r="BP104" s="81">
        <v>18.963000000000001</v>
      </c>
      <c r="BQ104" s="82" t="s">
        <v>333</v>
      </c>
      <c r="BR104" s="81">
        <v>420.54500000000002</v>
      </c>
      <c r="BS104" s="82" t="s">
        <v>333</v>
      </c>
      <c r="BT104" s="81">
        <v>91.629000000000005</v>
      </c>
      <c r="BU104" s="82" t="s">
        <v>333</v>
      </c>
      <c r="BV104" s="81">
        <v>267.56599999999997</v>
      </c>
      <c r="BW104" s="82" t="s">
        <v>333</v>
      </c>
      <c r="BX104" s="81">
        <v>399.279</v>
      </c>
      <c r="BY104" s="82" t="s">
        <v>333</v>
      </c>
      <c r="BZ104" s="81">
        <v>375.67099999999999</v>
      </c>
      <c r="CA104" s="82" t="s">
        <v>333</v>
      </c>
      <c r="CB104" s="81">
        <v>60.146000000000001</v>
      </c>
      <c r="CC104" s="82" t="s">
        <v>333</v>
      </c>
    </row>
    <row r="105" spans="1:81" x14ac:dyDescent="0.2">
      <c r="A105" s="10" t="s">
        <v>279</v>
      </c>
      <c r="B105" s="11">
        <v>8802.0159999999996</v>
      </c>
      <c r="C105" s="12" t="s">
        <v>333</v>
      </c>
      <c r="D105" s="11">
        <v>8802.0159999999996</v>
      </c>
      <c r="E105" s="12" t="s">
        <v>333</v>
      </c>
      <c r="F105" s="11">
        <v>2574.799</v>
      </c>
      <c r="G105" s="12" t="s">
        <v>333</v>
      </c>
      <c r="H105" s="11">
        <v>2574.799</v>
      </c>
      <c r="I105" s="12" t="s">
        <v>333</v>
      </c>
      <c r="J105" s="20">
        <v>0</v>
      </c>
      <c r="K105" s="12" t="s">
        <v>333</v>
      </c>
      <c r="L105" s="11">
        <v>2574.799</v>
      </c>
      <c r="M105" s="12" t="s">
        <v>333</v>
      </c>
      <c r="N105" s="12" t="s">
        <v>202</v>
      </c>
      <c r="O105" s="12" t="s">
        <v>333</v>
      </c>
      <c r="P105" s="12" t="s">
        <v>202</v>
      </c>
      <c r="Q105" s="12" t="s">
        <v>333</v>
      </c>
      <c r="R105" s="12" t="s">
        <v>202</v>
      </c>
      <c r="S105" s="12" t="s">
        <v>333</v>
      </c>
      <c r="T105" s="12" t="s">
        <v>202</v>
      </c>
      <c r="U105" s="12" t="s">
        <v>333</v>
      </c>
      <c r="V105" s="12" t="s">
        <v>202</v>
      </c>
      <c r="W105" s="12" t="s">
        <v>333</v>
      </c>
      <c r="X105" s="11">
        <v>6227.2169999999996</v>
      </c>
      <c r="Y105" s="12" t="s">
        <v>333</v>
      </c>
      <c r="Z105" s="11">
        <v>6227.2169999999996</v>
      </c>
      <c r="AA105" s="12" t="s">
        <v>333</v>
      </c>
      <c r="AB105" s="20">
        <v>0</v>
      </c>
      <c r="AC105" s="12" t="s">
        <v>333</v>
      </c>
      <c r="AD105" s="20">
        <v>0</v>
      </c>
      <c r="AE105" s="12" t="s">
        <v>333</v>
      </c>
      <c r="AF105" s="11">
        <v>1529.626</v>
      </c>
      <c r="AG105" s="12" t="s">
        <v>333</v>
      </c>
      <c r="AH105" s="20">
        <v>3726.51</v>
      </c>
      <c r="AI105" s="12" t="s">
        <v>333</v>
      </c>
      <c r="AJ105" s="20">
        <v>0</v>
      </c>
      <c r="AK105" s="12" t="s">
        <v>333</v>
      </c>
      <c r="AL105" s="20">
        <v>0</v>
      </c>
      <c r="AM105" s="12" t="s">
        <v>333</v>
      </c>
      <c r="AN105" s="20">
        <v>0</v>
      </c>
      <c r="AO105" s="12" t="s">
        <v>333</v>
      </c>
      <c r="AP105" s="20">
        <v>0</v>
      </c>
      <c r="AQ105" s="12" t="s">
        <v>333</v>
      </c>
      <c r="AR105" s="20">
        <v>0</v>
      </c>
      <c r="AS105" s="12" t="s">
        <v>333</v>
      </c>
      <c r="AT105" s="20">
        <v>0</v>
      </c>
      <c r="AU105" s="12" t="s">
        <v>333</v>
      </c>
      <c r="AV105" s="11">
        <v>31.477</v>
      </c>
      <c r="AW105" s="12" t="s">
        <v>333</v>
      </c>
      <c r="AX105" s="11">
        <v>0.57299999999999995</v>
      </c>
      <c r="AY105" s="12" t="s">
        <v>333</v>
      </c>
      <c r="AZ105" s="11">
        <v>0.57299999999999995</v>
      </c>
      <c r="BA105" s="12" t="s">
        <v>333</v>
      </c>
      <c r="BB105" s="20">
        <v>0</v>
      </c>
      <c r="BC105" s="12" t="s">
        <v>333</v>
      </c>
      <c r="BD105" s="11">
        <v>0.57299999999999995</v>
      </c>
      <c r="BE105" s="12" t="s">
        <v>333</v>
      </c>
      <c r="BF105" s="20">
        <v>0</v>
      </c>
      <c r="BG105" s="12" t="s">
        <v>333</v>
      </c>
      <c r="BH105" s="20">
        <v>0</v>
      </c>
      <c r="BI105" s="12" t="s">
        <v>333</v>
      </c>
      <c r="BJ105" s="20">
        <v>0</v>
      </c>
      <c r="BK105" s="12" t="s">
        <v>333</v>
      </c>
      <c r="BL105" s="20">
        <v>17.43</v>
      </c>
      <c r="BM105" s="12" t="s">
        <v>333</v>
      </c>
      <c r="BN105" s="11">
        <v>151.94800000000001</v>
      </c>
      <c r="BO105" s="12" t="s">
        <v>333</v>
      </c>
      <c r="BP105" s="11">
        <v>18.963000000000001</v>
      </c>
      <c r="BQ105" s="12" t="s">
        <v>333</v>
      </c>
      <c r="BR105" s="11">
        <v>418.71800000000002</v>
      </c>
      <c r="BS105" s="12" t="s">
        <v>333</v>
      </c>
      <c r="BT105" s="11">
        <v>91.629000000000005</v>
      </c>
      <c r="BU105" s="12" t="s">
        <v>333</v>
      </c>
      <c r="BV105" s="11">
        <v>240.34299999999999</v>
      </c>
      <c r="BW105" s="12" t="s">
        <v>333</v>
      </c>
      <c r="BX105" s="20">
        <v>0</v>
      </c>
      <c r="BY105" s="12" t="s">
        <v>333</v>
      </c>
      <c r="BZ105" s="20">
        <v>0</v>
      </c>
      <c r="CA105" s="12" t="s">
        <v>333</v>
      </c>
      <c r="CB105" s="20">
        <v>0</v>
      </c>
      <c r="CC105" s="12" t="s">
        <v>333</v>
      </c>
    </row>
    <row r="106" spans="1:81" x14ac:dyDescent="0.2">
      <c r="A106" s="10" t="s">
        <v>281</v>
      </c>
      <c r="B106" s="83">
        <v>0</v>
      </c>
      <c r="C106" s="82" t="s">
        <v>333</v>
      </c>
      <c r="D106" s="83">
        <v>0</v>
      </c>
      <c r="E106" s="82" t="s">
        <v>333</v>
      </c>
      <c r="F106" s="83">
        <v>0</v>
      </c>
      <c r="G106" s="82" t="s">
        <v>333</v>
      </c>
      <c r="H106" s="83">
        <v>0</v>
      </c>
      <c r="I106" s="82" t="s">
        <v>333</v>
      </c>
      <c r="J106" s="83">
        <v>0</v>
      </c>
      <c r="K106" s="82" t="s">
        <v>333</v>
      </c>
      <c r="L106" s="83">
        <v>0</v>
      </c>
      <c r="M106" s="82" t="s">
        <v>333</v>
      </c>
      <c r="N106" s="82" t="s">
        <v>202</v>
      </c>
      <c r="O106" s="82" t="s">
        <v>333</v>
      </c>
      <c r="P106" s="82" t="s">
        <v>202</v>
      </c>
      <c r="Q106" s="82" t="s">
        <v>333</v>
      </c>
      <c r="R106" s="82" t="s">
        <v>202</v>
      </c>
      <c r="S106" s="82" t="s">
        <v>333</v>
      </c>
      <c r="T106" s="82" t="s">
        <v>202</v>
      </c>
      <c r="U106" s="82" t="s">
        <v>333</v>
      </c>
      <c r="V106" s="82" t="s">
        <v>202</v>
      </c>
      <c r="W106" s="82" t="s">
        <v>333</v>
      </c>
      <c r="X106" s="83">
        <v>0</v>
      </c>
      <c r="Y106" s="82" t="s">
        <v>333</v>
      </c>
      <c r="Z106" s="83">
        <v>0</v>
      </c>
      <c r="AA106" s="82" t="s">
        <v>333</v>
      </c>
      <c r="AB106" s="83">
        <v>0</v>
      </c>
      <c r="AC106" s="82" t="s">
        <v>333</v>
      </c>
      <c r="AD106" s="83">
        <v>0</v>
      </c>
      <c r="AE106" s="82" t="s">
        <v>333</v>
      </c>
      <c r="AF106" s="83">
        <v>0</v>
      </c>
      <c r="AG106" s="82" t="s">
        <v>333</v>
      </c>
      <c r="AH106" s="83">
        <v>0</v>
      </c>
      <c r="AI106" s="82" t="s">
        <v>333</v>
      </c>
      <c r="AJ106" s="83">
        <v>0</v>
      </c>
      <c r="AK106" s="82" t="s">
        <v>333</v>
      </c>
      <c r="AL106" s="83">
        <v>0</v>
      </c>
      <c r="AM106" s="82" t="s">
        <v>333</v>
      </c>
      <c r="AN106" s="83">
        <v>0</v>
      </c>
      <c r="AO106" s="82" t="s">
        <v>333</v>
      </c>
      <c r="AP106" s="83">
        <v>0</v>
      </c>
      <c r="AQ106" s="82" t="s">
        <v>333</v>
      </c>
      <c r="AR106" s="83">
        <v>0</v>
      </c>
      <c r="AS106" s="82" t="s">
        <v>333</v>
      </c>
      <c r="AT106" s="83">
        <v>0</v>
      </c>
      <c r="AU106" s="82" t="s">
        <v>333</v>
      </c>
      <c r="AV106" s="83">
        <v>0</v>
      </c>
      <c r="AW106" s="82" t="s">
        <v>333</v>
      </c>
      <c r="AX106" s="83">
        <v>0</v>
      </c>
      <c r="AY106" s="82" t="s">
        <v>333</v>
      </c>
      <c r="AZ106" s="83">
        <v>0</v>
      </c>
      <c r="BA106" s="82" t="s">
        <v>333</v>
      </c>
      <c r="BB106" s="83">
        <v>0</v>
      </c>
      <c r="BC106" s="82" t="s">
        <v>333</v>
      </c>
      <c r="BD106" s="83">
        <v>0</v>
      </c>
      <c r="BE106" s="82" t="s">
        <v>333</v>
      </c>
      <c r="BF106" s="83">
        <v>0</v>
      </c>
      <c r="BG106" s="82" t="s">
        <v>333</v>
      </c>
      <c r="BH106" s="83">
        <v>0</v>
      </c>
      <c r="BI106" s="82" t="s">
        <v>333</v>
      </c>
      <c r="BJ106" s="83">
        <v>0</v>
      </c>
      <c r="BK106" s="82" t="s">
        <v>333</v>
      </c>
      <c r="BL106" s="83">
        <v>0</v>
      </c>
      <c r="BM106" s="82" t="s">
        <v>333</v>
      </c>
      <c r="BN106" s="83">
        <v>0</v>
      </c>
      <c r="BO106" s="82" t="s">
        <v>333</v>
      </c>
      <c r="BP106" s="83">
        <v>0</v>
      </c>
      <c r="BQ106" s="82" t="s">
        <v>333</v>
      </c>
      <c r="BR106" s="83">
        <v>0</v>
      </c>
      <c r="BS106" s="82" t="s">
        <v>333</v>
      </c>
      <c r="BT106" s="83">
        <v>0</v>
      </c>
      <c r="BU106" s="82" t="s">
        <v>333</v>
      </c>
      <c r="BV106" s="83">
        <v>0</v>
      </c>
      <c r="BW106" s="82" t="s">
        <v>333</v>
      </c>
      <c r="BX106" s="83">
        <v>0</v>
      </c>
      <c r="BY106" s="82" t="s">
        <v>333</v>
      </c>
      <c r="BZ106" s="83">
        <v>0</v>
      </c>
      <c r="CA106" s="82" t="s">
        <v>333</v>
      </c>
      <c r="CB106" s="83">
        <v>0</v>
      </c>
      <c r="CC106" s="82" t="s">
        <v>333</v>
      </c>
    </row>
    <row r="107" spans="1:81" x14ac:dyDescent="0.2">
      <c r="A107" s="10" t="s">
        <v>282</v>
      </c>
      <c r="B107" s="20">
        <v>0</v>
      </c>
      <c r="C107" s="12" t="s">
        <v>333</v>
      </c>
      <c r="D107" s="20">
        <v>0</v>
      </c>
      <c r="E107" s="12" t="s">
        <v>333</v>
      </c>
      <c r="F107" s="20">
        <v>0</v>
      </c>
      <c r="G107" s="12" t="s">
        <v>333</v>
      </c>
      <c r="H107" s="20">
        <v>0</v>
      </c>
      <c r="I107" s="12" t="s">
        <v>333</v>
      </c>
      <c r="J107" s="20">
        <v>0</v>
      </c>
      <c r="K107" s="12" t="s">
        <v>333</v>
      </c>
      <c r="L107" s="20">
        <v>0</v>
      </c>
      <c r="M107" s="12" t="s">
        <v>333</v>
      </c>
      <c r="N107" s="12" t="s">
        <v>202</v>
      </c>
      <c r="O107" s="12" t="s">
        <v>333</v>
      </c>
      <c r="P107" s="12" t="s">
        <v>202</v>
      </c>
      <c r="Q107" s="12" t="s">
        <v>333</v>
      </c>
      <c r="R107" s="12" t="s">
        <v>202</v>
      </c>
      <c r="S107" s="12" t="s">
        <v>333</v>
      </c>
      <c r="T107" s="12" t="s">
        <v>202</v>
      </c>
      <c r="U107" s="12" t="s">
        <v>333</v>
      </c>
      <c r="V107" s="12" t="s">
        <v>202</v>
      </c>
      <c r="W107" s="12" t="s">
        <v>333</v>
      </c>
      <c r="X107" s="20">
        <v>0</v>
      </c>
      <c r="Y107" s="12" t="s">
        <v>333</v>
      </c>
      <c r="Z107" s="20">
        <v>0</v>
      </c>
      <c r="AA107" s="12" t="s">
        <v>333</v>
      </c>
      <c r="AB107" s="20">
        <v>0</v>
      </c>
      <c r="AC107" s="12" t="s">
        <v>333</v>
      </c>
      <c r="AD107" s="20">
        <v>0</v>
      </c>
      <c r="AE107" s="12" t="s">
        <v>333</v>
      </c>
      <c r="AF107" s="20">
        <v>0</v>
      </c>
      <c r="AG107" s="12" t="s">
        <v>333</v>
      </c>
      <c r="AH107" s="20">
        <v>0</v>
      </c>
      <c r="AI107" s="12" t="s">
        <v>333</v>
      </c>
      <c r="AJ107" s="20">
        <v>0</v>
      </c>
      <c r="AK107" s="12" t="s">
        <v>333</v>
      </c>
      <c r="AL107" s="20">
        <v>0</v>
      </c>
      <c r="AM107" s="12" t="s">
        <v>333</v>
      </c>
      <c r="AN107" s="20">
        <v>0</v>
      </c>
      <c r="AO107" s="12" t="s">
        <v>333</v>
      </c>
      <c r="AP107" s="20">
        <v>0</v>
      </c>
      <c r="AQ107" s="12" t="s">
        <v>333</v>
      </c>
      <c r="AR107" s="20">
        <v>0</v>
      </c>
      <c r="AS107" s="12" t="s">
        <v>333</v>
      </c>
      <c r="AT107" s="20">
        <v>0</v>
      </c>
      <c r="AU107" s="12" t="s">
        <v>333</v>
      </c>
      <c r="AV107" s="20">
        <v>0</v>
      </c>
      <c r="AW107" s="12" t="s">
        <v>333</v>
      </c>
      <c r="AX107" s="20">
        <v>0</v>
      </c>
      <c r="AY107" s="12" t="s">
        <v>333</v>
      </c>
      <c r="AZ107" s="20">
        <v>0</v>
      </c>
      <c r="BA107" s="12" t="s">
        <v>333</v>
      </c>
      <c r="BB107" s="20">
        <v>0</v>
      </c>
      <c r="BC107" s="12" t="s">
        <v>333</v>
      </c>
      <c r="BD107" s="20">
        <v>0</v>
      </c>
      <c r="BE107" s="12" t="s">
        <v>333</v>
      </c>
      <c r="BF107" s="20">
        <v>0</v>
      </c>
      <c r="BG107" s="12" t="s">
        <v>333</v>
      </c>
      <c r="BH107" s="20">
        <v>0</v>
      </c>
      <c r="BI107" s="12" t="s">
        <v>333</v>
      </c>
      <c r="BJ107" s="20">
        <v>0</v>
      </c>
      <c r="BK107" s="12" t="s">
        <v>333</v>
      </c>
      <c r="BL107" s="20">
        <v>0</v>
      </c>
      <c r="BM107" s="12" t="s">
        <v>333</v>
      </c>
      <c r="BN107" s="20">
        <v>0</v>
      </c>
      <c r="BO107" s="12" t="s">
        <v>333</v>
      </c>
      <c r="BP107" s="20">
        <v>0</v>
      </c>
      <c r="BQ107" s="12" t="s">
        <v>333</v>
      </c>
      <c r="BR107" s="20">
        <v>0</v>
      </c>
      <c r="BS107" s="12" t="s">
        <v>333</v>
      </c>
      <c r="BT107" s="20">
        <v>0</v>
      </c>
      <c r="BU107" s="12" t="s">
        <v>333</v>
      </c>
      <c r="BV107" s="20">
        <v>0</v>
      </c>
      <c r="BW107" s="12" t="s">
        <v>333</v>
      </c>
      <c r="BX107" s="20">
        <v>0</v>
      </c>
      <c r="BY107" s="12" t="s">
        <v>333</v>
      </c>
      <c r="BZ107" s="20">
        <v>0</v>
      </c>
      <c r="CA107" s="12" t="s">
        <v>333</v>
      </c>
      <c r="CB107" s="20">
        <v>0</v>
      </c>
      <c r="CC107" s="12" t="s">
        <v>333</v>
      </c>
    </row>
    <row r="108" spans="1:81" x14ac:dyDescent="0.2">
      <c r="A108" s="10" t="s">
        <v>283</v>
      </c>
      <c r="B108" s="81">
        <v>8700.2579999999998</v>
      </c>
      <c r="C108" s="82" t="s">
        <v>333</v>
      </c>
      <c r="D108" s="81">
        <v>8700.2579999999998</v>
      </c>
      <c r="E108" s="82" t="s">
        <v>333</v>
      </c>
      <c r="F108" s="81">
        <v>2574.799</v>
      </c>
      <c r="G108" s="82" t="s">
        <v>333</v>
      </c>
      <c r="H108" s="81">
        <v>2574.799</v>
      </c>
      <c r="I108" s="82" t="s">
        <v>333</v>
      </c>
      <c r="J108" s="83">
        <v>0</v>
      </c>
      <c r="K108" s="82" t="s">
        <v>333</v>
      </c>
      <c r="L108" s="81">
        <v>2574.799</v>
      </c>
      <c r="M108" s="82" t="s">
        <v>333</v>
      </c>
      <c r="N108" s="82" t="s">
        <v>202</v>
      </c>
      <c r="O108" s="82" t="s">
        <v>333</v>
      </c>
      <c r="P108" s="82" t="s">
        <v>202</v>
      </c>
      <c r="Q108" s="82" t="s">
        <v>333</v>
      </c>
      <c r="R108" s="82" t="s">
        <v>202</v>
      </c>
      <c r="S108" s="82" t="s">
        <v>333</v>
      </c>
      <c r="T108" s="82" t="s">
        <v>202</v>
      </c>
      <c r="U108" s="82" t="s">
        <v>333</v>
      </c>
      <c r="V108" s="82" t="s">
        <v>202</v>
      </c>
      <c r="W108" s="82" t="s">
        <v>333</v>
      </c>
      <c r="X108" s="81">
        <v>6125.4589999999998</v>
      </c>
      <c r="Y108" s="82" t="s">
        <v>333</v>
      </c>
      <c r="Z108" s="81">
        <v>6125.4589999999998</v>
      </c>
      <c r="AA108" s="82" t="s">
        <v>333</v>
      </c>
      <c r="AB108" s="83">
        <v>0</v>
      </c>
      <c r="AC108" s="82" t="s">
        <v>333</v>
      </c>
      <c r="AD108" s="83">
        <v>0</v>
      </c>
      <c r="AE108" s="82" t="s">
        <v>333</v>
      </c>
      <c r="AF108" s="81">
        <v>1529.626</v>
      </c>
      <c r="AG108" s="82" t="s">
        <v>333</v>
      </c>
      <c r="AH108" s="83">
        <v>3726.51</v>
      </c>
      <c r="AI108" s="82" t="s">
        <v>333</v>
      </c>
      <c r="AJ108" s="83">
        <v>0</v>
      </c>
      <c r="AK108" s="82" t="s">
        <v>333</v>
      </c>
      <c r="AL108" s="83">
        <v>0</v>
      </c>
      <c r="AM108" s="82" t="s">
        <v>333</v>
      </c>
      <c r="AN108" s="83">
        <v>0</v>
      </c>
      <c r="AO108" s="82" t="s">
        <v>333</v>
      </c>
      <c r="AP108" s="83">
        <v>0</v>
      </c>
      <c r="AQ108" s="82" t="s">
        <v>333</v>
      </c>
      <c r="AR108" s="83">
        <v>0</v>
      </c>
      <c r="AS108" s="82" t="s">
        <v>333</v>
      </c>
      <c r="AT108" s="83">
        <v>0</v>
      </c>
      <c r="AU108" s="82" t="s">
        <v>333</v>
      </c>
      <c r="AV108" s="81">
        <v>30.916</v>
      </c>
      <c r="AW108" s="82" t="s">
        <v>333</v>
      </c>
      <c r="AX108" s="81">
        <v>0.57299999999999995</v>
      </c>
      <c r="AY108" s="82" t="s">
        <v>333</v>
      </c>
      <c r="AZ108" s="81">
        <v>0.57299999999999995</v>
      </c>
      <c r="BA108" s="82" t="s">
        <v>333</v>
      </c>
      <c r="BB108" s="83">
        <v>0</v>
      </c>
      <c r="BC108" s="82" t="s">
        <v>333</v>
      </c>
      <c r="BD108" s="81">
        <v>0.57299999999999995</v>
      </c>
      <c r="BE108" s="82" t="s">
        <v>333</v>
      </c>
      <c r="BF108" s="83">
        <v>0</v>
      </c>
      <c r="BG108" s="82" t="s">
        <v>333</v>
      </c>
      <c r="BH108" s="83">
        <v>0</v>
      </c>
      <c r="BI108" s="82" t="s">
        <v>333</v>
      </c>
      <c r="BJ108" s="83">
        <v>0</v>
      </c>
      <c r="BK108" s="82" t="s">
        <v>333</v>
      </c>
      <c r="BL108" s="83">
        <v>17.43</v>
      </c>
      <c r="BM108" s="82" t="s">
        <v>333</v>
      </c>
      <c r="BN108" s="81">
        <v>50.750999999999998</v>
      </c>
      <c r="BO108" s="82" t="s">
        <v>333</v>
      </c>
      <c r="BP108" s="81">
        <v>18.963000000000001</v>
      </c>
      <c r="BQ108" s="82" t="s">
        <v>333</v>
      </c>
      <c r="BR108" s="81">
        <v>418.71800000000002</v>
      </c>
      <c r="BS108" s="82" t="s">
        <v>333</v>
      </c>
      <c r="BT108" s="81">
        <v>91.629000000000005</v>
      </c>
      <c r="BU108" s="82" t="s">
        <v>333</v>
      </c>
      <c r="BV108" s="81">
        <v>240.34299999999999</v>
      </c>
      <c r="BW108" s="82" t="s">
        <v>333</v>
      </c>
      <c r="BX108" s="83">
        <v>0</v>
      </c>
      <c r="BY108" s="82" t="s">
        <v>333</v>
      </c>
      <c r="BZ108" s="83">
        <v>0</v>
      </c>
      <c r="CA108" s="82" t="s">
        <v>333</v>
      </c>
      <c r="CB108" s="83">
        <v>0</v>
      </c>
      <c r="CC108" s="82" t="s">
        <v>333</v>
      </c>
    </row>
    <row r="109" spans="1:81" x14ac:dyDescent="0.2">
      <c r="A109" s="10" t="s">
        <v>284</v>
      </c>
      <c r="B109" s="11">
        <v>65.337000000000003</v>
      </c>
      <c r="C109" s="12" t="s">
        <v>333</v>
      </c>
      <c r="D109" s="11">
        <v>65.337000000000003</v>
      </c>
      <c r="E109" s="12" t="s">
        <v>333</v>
      </c>
      <c r="F109" s="20">
        <v>0</v>
      </c>
      <c r="G109" s="12" t="s">
        <v>333</v>
      </c>
      <c r="H109" s="20">
        <v>0</v>
      </c>
      <c r="I109" s="12" t="s">
        <v>333</v>
      </c>
      <c r="J109" s="20">
        <v>0</v>
      </c>
      <c r="K109" s="12" t="s">
        <v>333</v>
      </c>
      <c r="L109" s="20">
        <v>0</v>
      </c>
      <c r="M109" s="12" t="s">
        <v>333</v>
      </c>
      <c r="N109" s="12" t="s">
        <v>202</v>
      </c>
      <c r="O109" s="12" t="s">
        <v>333</v>
      </c>
      <c r="P109" s="12" t="s">
        <v>202</v>
      </c>
      <c r="Q109" s="12" t="s">
        <v>333</v>
      </c>
      <c r="R109" s="12" t="s">
        <v>202</v>
      </c>
      <c r="S109" s="12" t="s">
        <v>333</v>
      </c>
      <c r="T109" s="12" t="s">
        <v>202</v>
      </c>
      <c r="U109" s="12" t="s">
        <v>333</v>
      </c>
      <c r="V109" s="12" t="s">
        <v>202</v>
      </c>
      <c r="W109" s="12" t="s">
        <v>333</v>
      </c>
      <c r="X109" s="11">
        <v>65.337000000000003</v>
      </c>
      <c r="Y109" s="12" t="s">
        <v>333</v>
      </c>
      <c r="Z109" s="11">
        <v>65.337000000000003</v>
      </c>
      <c r="AA109" s="12" t="s">
        <v>333</v>
      </c>
      <c r="AB109" s="20">
        <v>0</v>
      </c>
      <c r="AC109" s="12" t="s">
        <v>333</v>
      </c>
      <c r="AD109" s="20">
        <v>0</v>
      </c>
      <c r="AE109" s="12" t="s">
        <v>333</v>
      </c>
      <c r="AF109" s="20">
        <v>0</v>
      </c>
      <c r="AG109" s="12" t="s">
        <v>333</v>
      </c>
      <c r="AH109" s="20">
        <v>0</v>
      </c>
      <c r="AI109" s="12" t="s">
        <v>333</v>
      </c>
      <c r="AJ109" s="20">
        <v>0</v>
      </c>
      <c r="AK109" s="12" t="s">
        <v>333</v>
      </c>
      <c r="AL109" s="20">
        <v>0</v>
      </c>
      <c r="AM109" s="12" t="s">
        <v>333</v>
      </c>
      <c r="AN109" s="20">
        <v>0</v>
      </c>
      <c r="AO109" s="12" t="s">
        <v>333</v>
      </c>
      <c r="AP109" s="20">
        <v>0</v>
      </c>
      <c r="AQ109" s="12" t="s">
        <v>333</v>
      </c>
      <c r="AR109" s="20">
        <v>0</v>
      </c>
      <c r="AS109" s="12" t="s">
        <v>333</v>
      </c>
      <c r="AT109" s="20">
        <v>0</v>
      </c>
      <c r="AU109" s="12" t="s">
        <v>333</v>
      </c>
      <c r="AV109" s="20">
        <v>0</v>
      </c>
      <c r="AW109" s="12" t="s">
        <v>333</v>
      </c>
      <c r="AX109" s="20">
        <v>0</v>
      </c>
      <c r="AY109" s="12" t="s">
        <v>333</v>
      </c>
      <c r="AZ109" s="20">
        <v>0</v>
      </c>
      <c r="BA109" s="12" t="s">
        <v>333</v>
      </c>
      <c r="BB109" s="20">
        <v>0</v>
      </c>
      <c r="BC109" s="12" t="s">
        <v>333</v>
      </c>
      <c r="BD109" s="20">
        <v>0</v>
      </c>
      <c r="BE109" s="12" t="s">
        <v>333</v>
      </c>
      <c r="BF109" s="20">
        <v>0</v>
      </c>
      <c r="BG109" s="12" t="s">
        <v>333</v>
      </c>
      <c r="BH109" s="20">
        <v>0</v>
      </c>
      <c r="BI109" s="12" t="s">
        <v>333</v>
      </c>
      <c r="BJ109" s="20">
        <v>0</v>
      </c>
      <c r="BK109" s="12" t="s">
        <v>333</v>
      </c>
      <c r="BL109" s="20">
        <v>0</v>
      </c>
      <c r="BM109" s="12" t="s">
        <v>333</v>
      </c>
      <c r="BN109" s="11">
        <v>65.337000000000003</v>
      </c>
      <c r="BO109" s="12" t="s">
        <v>333</v>
      </c>
      <c r="BP109" s="20">
        <v>0</v>
      </c>
      <c r="BQ109" s="12" t="s">
        <v>333</v>
      </c>
      <c r="BR109" s="20">
        <v>0</v>
      </c>
      <c r="BS109" s="12" t="s">
        <v>333</v>
      </c>
      <c r="BT109" s="20">
        <v>0</v>
      </c>
      <c r="BU109" s="12" t="s">
        <v>333</v>
      </c>
      <c r="BV109" s="20">
        <v>0</v>
      </c>
      <c r="BW109" s="12" t="s">
        <v>333</v>
      </c>
      <c r="BX109" s="20">
        <v>0</v>
      </c>
      <c r="BY109" s="12" t="s">
        <v>333</v>
      </c>
      <c r="BZ109" s="20">
        <v>0</v>
      </c>
      <c r="CA109" s="12" t="s">
        <v>333</v>
      </c>
      <c r="CB109" s="20">
        <v>0</v>
      </c>
      <c r="CC109" s="12" t="s">
        <v>333</v>
      </c>
    </row>
    <row r="110" spans="1:81" x14ac:dyDescent="0.2">
      <c r="A110" s="10" t="s">
        <v>285</v>
      </c>
      <c r="B110" s="81">
        <v>36.420999999999999</v>
      </c>
      <c r="C110" s="82" t="s">
        <v>333</v>
      </c>
      <c r="D110" s="81">
        <v>36.420999999999999</v>
      </c>
      <c r="E110" s="82" t="s">
        <v>333</v>
      </c>
      <c r="F110" s="83">
        <v>0</v>
      </c>
      <c r="G110" s="82" t="s">
        <v>333</v>
      </c>
      <c r="H110" s="83">
        <v>0</v>
      </c>
      <c r="I110" s="82" t="s">
        <v>333</v>
      </c>
      <c r="J110" s="83">
        <v>0</v>
      </c>
      <c r="K110" s="82" t="s">
        <v>333</v>
      </c>
      <c r="L110" s="83">
        <v>0</v>
      </c>
      <c r="M110" s="82" t="s">
        <v>333</v>
      </c>
      <c r="N110" s="82" t="s">
        <v>202</v>
      </c>
      <c r="O110" s="82" t="s">
        <v>333</v>
      </c>
      <c r="P110" s="82" t="s">
        <v>202</v>
      </c>
      <c r="Q110" s="82" t="s">
        <v>333</v>
      </c>
      <c r="R110" s="82" t="s">
        <v>202</v>
      </c>
      <c r="S110" s="82" t="s">
        <v>333</v>
      </c>
      <c r="T110" s="82" t="s">
        <v>202</v>
      </c>
      <c r="U110" s="82" t="s">
        <v>333</v>
      </c>
      <c r="V110" s="82" t="s">
        <v>202</v>
      </c>
      <c r="W110" s="82" t="s">
        <v>333</v>
      </c>
      <c r="X110" s="81">
        <v>36.420999999999999</v>
      </c>
      <c r="Y110" s="82" t="s">
        <v>333</v>
      </c>
      <c r="Z110" s="81">
        <v>36.420999999999999</v>
      </c>
      <c r="AA110" s="82" t="s">
        <v>333</v>
      </c>
      <c r="AB110" s="83">
        <v>0</v>
      </c>
      <c r="AC110" s="82" t="s">
        <v>333</v>
      </c>
      <c r="AD110" s="83">
        <v>0</v>
      </c>
      <c r="AE110" s="82" t="s">
        <v>333</v>
      </c>
      <c r="AF110" s="83">
        <v>0</v>
      </c>
      <c r="AG110" s="82" t="s">
        <v>333</v>
      </c>
      <c r="AH110" s="83">
        <v>0</v>
      </c>
      <c r="AI110" s="82" t="s">
        <v>333</v>
      </c>
      <c r="AJ110" s="83">
        <v>0</v>
      </c>
      <c r="AK110" s="82" t="s">
        <v>333</v>
      </c>
      <c r="AL110" s="83">
        <v>0</v>
      </c>
      <c r="AM110" s="82" t="s">
        <v>333</v>
      </c>
      <c r="AN110" s="83">
        <v>0</v>
      </c>
      <c r="AO110" s="82" t="s">
        <v>333</v>
      </c>
      <c r="AP110" s="83">
        <v>0</v>
      </c>
      <c r="AQ110" s="82" t="s">
        <v>333</v>
      </c>
      <c r="AR110" s="83">
        <v>0</v>
      </c>
      <c r="AS110" s="82" t="s">
        <v>333</v>
      </c>
      <c r="AT110" s="83">
        <v>0</v>
      </c>
      <c r="AU110" s="82" t="s">
        <v>333</v>
      </c>
      <c r="AV110" s="81">
        <v>0.56100000000000005</v>
      </c>
      <c r="AW110" s="82" t="s">
        <v>333</v>
      </c>
      <c r="AX110" s="83">
        <v>0</v>
      </c>
      <c r="AY110" s="82" t="s">
        <v>333</v>
      </c>
      <c r="AZ110" s="83">
        <v>0</v>
      </c>
      <c r="BA110" s="82" t="s">
        <v>333</v>
      </c>
      <c r="BB110" s="83">
        <v>0</v>
      </c>
      <c r="BC110" s="82" t="s">
        <v>333</v>
      </c>
      <c r="BD110" s="83">
        <v>0</v>
      </c>
      <c r="BE110" s="82" t="s">
        <v>333</v>
      </c>
      <c r="BF110" s="83">
        <v>0</v>
      </c>
      <c r="BG110" s="82" t="s">
        <v>333</v>
      </c>
      <c r="BH110" s="83">
        <v>0</v>
      </c>
      <c r="BI110" s="82" t="s">
        <v>333</v>
      </c>
      <c r="BJ110" s="83">
        <v>0</v>
      </c>
      <c r="BK110" s="82" t="s">
        <v>333</v>
      </c>
      <c r="BL110" s="83">
        <v>0</v>
      </c>
      <c r="BM110" s="82" t="s">
        <v>333</v>
      </c>
      <c r="BN110" s="83">
        <v>35.86</v>
      </c>
      <c r="BO110" s="82" t="s">
        <v>333</v>
      </c>
      <c r="BP110" s="83">
        <v>0</v>
      </c>
      <c r="BQ110" s="82" t="s">
        <v>333</v>
      </c>
      <c r="BR110" s="83">
        <v>0</v>
      </c>
      <c r="BS110" s="82" t="s">
        <v>333</v>
      </c>
      <c r="BT110" s="83">
        <v>0</v>
      </c>
      <c r="BU110" s="82" t="s">
        <v>333</v>
      </c>
      <c r="BV110" s="83">
        <v>0</v>
      </c>
      <c r="BW110" s="82" t="s">
        <v>333</v>
      </c>
      <c r="BX110" s="83">
        <v>0</v>
      </c>
      <c r="BY110" s="82" t="s">
        <v>333</v>
      </c>
      <c r="BZ110" s="83">
        <v>0</v>
      </c>
      <c r="CA110" s="82" t="s">
        <v>333</v>
      </c>
      <c r="CB110" s="83">
        <v>0</v>
      </c>
      <c r="CC110" s="82" t="s">
        <v>333</v>
      </c>
    </row>
    <row r="111" spans="1:81" x14ac:dyDescent="0.2">
      <c r="A111" s="10" t="s">
        <v>286</v>
      </c>
      <c r="B111" s="11">
        <v>16015.630999999999</v>
      </c>
      <c r="C111" s="12" t="s">
        <v>333</v>
      </c>
      <c r="D111" s="11">
        <v>15180.535</v>
      </c>
      <c r="E111" s="12" t="s">
        <v>333</v>
      </c>
      <c r="F111" s="20">
        <v>0</v>
      </c>
      <c r="G111" s="12" t="s">
        <v>333</v>
      </c>
      <c r="H111" s="20">
        <v>0</v>
      </c>
      <c r="I111" s="12" t="s">
        <v>333</v>
      </c>
      <c r="J111" s="20">
        <v>0</v>
      </c>
      <c r="K111" s="12" t="s">
        <v>333</v>
      </c>
      <c r="L111" s="20">
        <v>0</v>
      </c>
      <c r="M111" s="12" t="s">
        <v>333</v>
      </c>
      <c r="N111" s="12" t="s">
        <v>202</v>
      </c>
      <c r="O111" s="12" t="s">
        <v>333</v>
      </c>
      <c r="P111" s="12" t="s">
        <v>202</v>
      </c>
      <c r="Q111" s="12" t="s">
        <v>333</v>
      </c>
      <c r="R111" s="12" t="s">
        <v>202</v>
      </c>
      <c r="S111" s="12" t="s">
        <v>333</v>
      </c>
      <c r="T111" s="12" t="s">
        <v>202</v>
      </c>
      <c r="U111" s="12" t="s">
        <v>333</v>
      </c>
      <c r="V111" s="12" t="s">
        <v>202</v>
      </c>
      <c r="W111" s="12" t="s">
        <v>333</v>
      </c>
      <c r="X111" s="11">
        <v>16015.630999999999</v>
      </c>
      <c r="Y111" s="12" t="s">
        <v>333</v>
      </c>
      <c r="Z111" s="11">
        <v>15180.535</v>
      </c>
      <c r="AA111" s="12" t="s">
        <v>333</v>
      </c>
      <c r="AB111" s="11">
        <v>2290.3739999999998</v>
      </c>
      <c r="AC111" s="12" t="s">
        <v>333</v>
      </c>
      <c r="AD111" s="20">
        <v>0</v>
      </c>
      <c r="AE111" s="12" t="s">
        <v>333</v>
      </c>
      <c r="AF111" s="11">
        <v>210.375</v>
      </c>
      <c r="AG111" s="12" t="s">
        <v>333</v>
      </c>
      <c r="AH111" s="20">
        <v>0</v>
      </c>
      <c r="AI111" s="12" t="s">
        <v>333</v>
      </c>
      <c r="AJ111" s="11">
        <v>1.292</v>
      </c>
      <c r="AK111" s="12" t="s">
        <v>333</v>
      </c>
      <c r="AL111" s="11">
        <v>4368.9690000000001</v>
      </c>
      <c r="AM111" s="12" t="s">
        <v>333</v>
      </c>
      <c r="AN111" s="20">
        <v>3969.69</v>
      </c>
      <c r="AO111" s="12" t="s">
        <v>333</v>
      </c>
      <c r="AP111" s="20">
        <v>0</v>
      </c>
      <c r="AQ111" s="12" t="s">
        <v>333</v>
      </c>
      <c r="AR111" s="11">
        <v>3315.8159999999998</v>
      </c>
      <c r="AS111" s="12" t="s">
        <v>333</v>
      </c>
      <c r="AT111" s="20">
        <v>3255.67</v>
      </c>
      <c r="AU111" s="12" t="s">
        <v>333</v>
      </c>
      <c r="AV111" s="11">
        <v>5.0549999999999997</v>
      </c>
      <c r="AW111" s="12" t="s">
        <v>333</v>
      </c>
      <c r="AX111" s="20">
        <v>5794.7</v>
      </c>
      <c r="AY111" s="12" t="s">
        <v>333</v>
      </c>
      <c r="AZ111" s="11">
        <v>5419.0290000000005</v>
      </c>
      <c r="BA111" s="12" t="s">
        <v>333</v>
      </c>
      <c r="BB111" s="11">
        <v>5390.2110000000002</v>
      </c>
      <c r="BC111" s="12" t="s">
        <v>333</v>
      </c>
      <c r="BD111" s="11">
        <v>404.49099999999999</v>
      </c>
      <c r="BE111" s="12" t="s">
        <v>333</v>
      </c>
      <c r="BF111" s="20">
        <v>0</v>
      </c>
      <c r="BG111" s="12" t="s">
        <v>333</v>
      </c>
      <c r="BH111" s="20">
        <v>0</v>
      </c>
      <c r="BI111" s="12" t="s">
        <v>333</v>
      </c>
      <c r="BJ111" s="20">
        <v>0</v>
      </c>
      <c r="BK111" s="12" t="s">
        <v>333</v>
      </c>
      <c r="BL111" s="20">
        <v>0</v>
      </c>
      <c r="BM111" s="12" t="s">
        <v>333</v>
      </c>
      <c r="BN111" s="20">
        <v>0</v>
      </c>
      <c r="BO111" s="12" t="s">
        <v>333</v>
      </c>
      <c r="BP111" s="20">
        <v>0</v>
      </c>
      <c r="BQ111" s="12" t="s">
        <v>333</v>
      </c>
      <c r="BR111" s="11">
        <v>1.827</v>
      </c>
      <c r="BS111" s="12" t="s">
        <v>333</v>
      </c>
      <c r="BT111" s="20">
        <v>0</v>
      </c>
      <c r="BU111" s="12" t="s">
        <v>333</v>
      </c>
      <c r="BV111" s="11">
        <v>27.222999999999999</v>
      </c>
      <c r="BW111" s="12" t="s">
        <v>333</v>
      </c>
      <c r="BX111" s="11">
        <v>399.279</v>
      </c>
      <c r="BY111" s="12" t="s">
        <v>333</v>
      </c>
      <c r="BZ111" s="11">
        <v>375.67099999999999</v>
      </c>
      <c r="CA111" s="12" t="s">
        <v>333</v>
      </c>
      <c r="CB111" s="11">
        <v>60.146000000000001</v>
      </c>
      <c r="CC111" s="12" t="s">
        <v>333</v>
      </c>
    </row>
    <row r="112" spans="1:81" x14ac:dyDescent="0.2">
      <c r="A112" s="10" t="s">
        <v>539</v>
      </c>
      <c r="B112" s="81">
        <v>11555.574000000001</v>
      </c>
      <c r="C112" s="82" t="s">
        <v>333</v>
      </c>
      <c r="D112" s="81">
        <v>11519.501</v>
      </c>
      <c r="E112" s="82" t="s">
        <v>333</v>
      </c>
      <c r="F112" s="81">
        <v>2574.799</v>
      </c>
      <c r="G112" s="82" t="s">
        <v>333</v>
      </c>
      <c r="H112" s="81">
        <v>2574.799</v>
      </c>
      <c r="I112" s="82" t="s">
        <v>333</v>
      </c>
      <c r="J112" s="83">
        <v>0</v>
      </c>
      <c r="K112" s="82" t="s">
        <v>333</v>
      </c>
      <c r="L112" s="81">
        <v>2574.799</v>
      </c>
      <c r="M112" s="82" t="s">
        <v>333</v>
      </c>
      <c r="N112" s="82" t="s">
        <v>202</v>
      </c>
      <c r="O112" s="82" t="s">
        <v>333</v>
      </c>
      <c r="P112" s="82" t="s">
        <v>202</v>
      </c>
      <c r="Q112" s="82" t="s">
        <v>333</v>
      </c>
      <c r="R112" s="82" t="s">
        <v>202</v>
      </c>
      <c r="S112" s="82" t="s">
        <v>333</v>
      </c>
      <c r="T112" s="82" t="s">
        <v>202</v>
      </c>
      <c r="U112" s="82" t="s">
        <v>333</v>
      </c>
      <c r="V112" s="82" t="s">
        <v>202</v>
      </c>
      <c r="W112" s="82" t="s">
        <v>333</v>
      </c>
      <c r="X112" s="81">
        <v>8980.7749999999996</v>
      </c>
      <c r="Y112" s="82" t="s">
        <v>333</v>
      </c>
      <c r="Z112" s="81">
        <v>8944.7019999999993</v>
      </c>
      <c r="AA112" s="82" t="s">
        <v>333</v>
      </c>
      <c r="AB112" s="81">
        <v>2290.3739999999998</v>
      </c>
      <c r="AC112" s="82" t="s">
        <v>333</v>
      </c>
      <c r="AD112" s="83">
        <v>0</v>
      </c>
      <c r="AE112" s="82" t="s">
        <v>333</v>
      </c>
      <c r="AF112" s="81">
        <v>1545.789</v>
      </c>
      <c r="AG112" s="82" t="s">
        <v>333</v>
      </c>
      <c r="AH112" s="83">
        <v>3726.51</v>
      </c>
      <c r="AI112" s="82" t="s">
        <v>333</v>
      </c>
      <c r="AJ112" s="83">
        <v>0</v>
      </c>
      <c r="AK112" s="82" t="s">
        <v>333</v>
      </c>
      <c r="AL112" s="81">
        <v>6.0010000000000003</v>
      </c>
      <c r="AM112" s="82" t="s">
        <v>333</v>
      </c>
      <c r="AN112" s="81">
        <v>6.0010000000000003</v>
      </c>
      <c r="AO112" s="82" t="s">
        <v>333</v>
      </c>
      <c r="AP112" s="83">
        <v>0</v>
      </c>
      <c r="AQ112" s="82" t="s">
        <v>333</v>
      </c>
      <c r="AR112" s="83">
        <v>0</v>
      </c>
      <c r="AS112" s="82" t="s">
        <v>333</v>
      </c>
      <c r="AT112" s="83">
        <v>0</v>
      </c>
      <c r="AU112" s="82" t="s">
        <v>333</v>
      </c>
      <c r="AV112" s="83">
        <v>30.96</v>
      </c>
      <c r="AW112" s="82" t="s">
        <v>333</v>
      </c>
      <c r="AX112" s="81">
        <v>514.25699999999995</v>
      </c>
      <c r="AY112" s="82" t="s">
        <v>333</v>
      </c>
      <c r="AZ112" s="81">
        <v>478.18400000000003</v>
      </c>
      <c r="BA112" s="82" t="s">
        <v>333</v>
      </c>
      <c r="BB112" s="81">
        <v>513.68399999999997</v>
      </c>
      <c r="BC112" s="82" t="s">
        <v>333</v>
      </c>
      <c r="BD112" s="81">
        <v>0.57299999999999995</v>
      </c>
      <c r="BE112" s="82" t="s">
        <v>333</v>
      </c>
      <c r="BF112" s="83">
        <v>0</v>
      </c>
      <c r="BG112" s="82" t="s">
        <v>333</v>
      </c>
      <c r="BH112" s="83">
        <v>0</v>
      </c>
      <c r="BI112" s="82" t="s">
        <v>333</v>
      </c>
      <c r="BJ112" s="83">
        <v>0</v>
      </c>
      <c r="BK112" s="82" t="s">
        <v>333</v>
      </c>
      <c r="BL112" s="83">
        <v>17.43</v>
      </c>
      <c r="BM112" s="82" t="s">
        <v>333</v>
      </c>
      <c r="BN112" s="81">
        <v>50.750999999999998</v>
      </c>
      <c r="BO112" s="82" t="s">
        <v>333</v>
      </c>
      <c r="BP112" s="81">
        <v>18.963000000000001</v>
      </c>
      <c r="BQ112" s="82" t="s">
        <v>333</v>
      </c>
      <c r="BR112" s="81">
        <v>420.54500000000002</v>
      </c>
      <c r="BS112" s="82" t="s">
        <v>333</v>
      </c>
      <c r="BT112" s="81">
        <v>91.629000000000005</v>
      </c>
      <c r="BU112" s="82" t="s">
        <v>333</v>
      </c>
      <c r="BV112" s="81">
        <v>267.56599999999997</v>
      </c>
      <c r="BW112" s="82" t="s">
        <v>333</v>
      </c>
      <c r="BX112" s="83">
        <v>0</v>
      </c>
      <c r="BY112" s="82" t="s">
        <v>333</v>
      </c>
      <c r="BZ112" s="81">
        <v>36.073</v>
      </c>
      <c r="CA112" s="82" t="s">
        <v>333</v>
      </c>
      <c r="CB112" s="83">
        <v>0</v>
      </c>
      <c r="CC112" s="82" t="s">
        <v>333</v>
      </c>
    </row>
    <row r="113" spans="1:81" x14ac:dyDescent="0.2">
      <c r="A113" s="10" t="s">
        <v>287</v>
      </c>
      <c r="B113" s="11">
        <v>2855.3159999999998</v>
      </c>
      <c r="C113" s="12" t="s">
        <v>333</v>
      </c>
      <c r="D113" s="11">
        <v>2819.2429999999999</v>
      </c>
      <c r="E113" s="12" t="s">
        <v>333</v>
      </c>
      <c r="F113" s="20">
        <v>0</v>
      </c>
      <c r="G113" s="12" t="s">
        <v>333</v>
      </c>
      <c r="H113" s="20">
        <v>0</v>
      </c>
      <c r="I113" s="12" t="s">
        <v>333</v>
      </c>
      <c r="J113" s="20">
        <v>0</v>
      </c>
      <c r="K113" s="12" t="s">
        <v>333</v>
      </c>
      <c r="L113" s="20">
        <v>0</v>
      </c>
      <c r="M113" s="12" t="s">
        <v>333</v>
      </c>
      <c r="N113" s="12" t="s">
        <v>202</v>
      </c>
      <c r="O113" s="12" t="s">
        <v>333</v>
      </c>
      <c r="P113" s="12" t="s">
        <v>202</v>
      </c>
      <c r="Q113" s="12" t="s">
        <v>333</v>
      </c>
      <c r="R113" s="12" t="s">
        <v>202</v>
      </c>
      <c r="S113" s="12" t="s">
        <v>333</v>
      </c>
      <c r="T113" s="12" t="s">
        <v>202</v>
      </c>
      <c r="U113" s="12" t="s">
        <v>333</v>
      </c>
      <c r="V113" s="12" t="s">
        <v>202</v>
      </c>
      <c r="W113" s="12" t="s">
        <v>333</v>
      </c>
      <c r="X113" s="11">
        <v>2855.3159999999998</v>
      </c>
      <c r="Y113" s="12" t="s">
        <v>333</v>
      </c>
      <c r="Z113" s="11">
        <v>2819.2429999999999</v>
      </c>
      <c r="AA113" s="12" t="s">
        <v>333</v>
      </c>
      <c r="AB113" s="11">
        <v>2290.3739999999998</v>
      </c>
      <c r="AC113" s="12" t="s">
        <v>333</v>
      </c>
      <c r="AD113" s="20">
        <v>0</v>
      </c>
      <c r="AE113" s="12" t="s">
        <v>333</v>
      </c>
      <c r="AF113" s="11">
        <v>16.163</v>
      </c>
      <c r="AG113" s="12" t="s">
        <v>333</v>
      </c>
      <c r="AH113" s="20">
        <v>0</v>
      </c>
      <c r="AI113" s="12" t="s">
        <v>333</v>
      </c>
      <c r="AJ113" s="20">
        <v>0</v>
      </c>
      <c r="AK113" s="12" t="s">
        <v>333</v>
      </c>
      <c r="AL113" s="11">
        <v>6.0010000000000003</v>
      </c>
      <c r="AM113" s="12" t="s">
        <v>333</v>
      </c>
      <c r="AN113" s="11">
        <v>6.0010000000000003</v>
      </c>
      <c r="AO113" s="12" t="s">
        <v>333</v>
      </c>
      <c r="AP113" s="20">
        <v>0</v>
      </c>
      <c r="AQ113" s="12" t="s">
        <v>333</v>
      </c>
      <c r="AR113" s="20">
        <v>0</v>
      </c>
      <c r="AS113" s="12" t="s">
        <v>333</v>
      </c>
      <c r="AT113" s="20">
        <v>0</v>
      </c>
      <c r="AU113" s="12" t="s">
        <v>333</v>
      </c>
      <c r="AV113" s="11">
        <v>4.3999999999999997E-2</v>
      </c>
      <c r="AW113" s="12" t="s">
        <v>333</v>
      </c>
      <c r="AX113" s="11">
        <v>513.68399999999997</v>
      </c>
      <c r="AY113" s="12" t="s">
        <v>333</v>
      </c>
      <c r="AZ113" s="11">
        <v>477.61099999999999</v>
      </c>
      <c r="BA113" s="12" t="s">
        <v>333</v>
      </c>
      <c r="BB113" s="11">
        <v>513.68399999999997</v>
      </c>
      <c r="BC113" s="12" t="s">
        <v>333</v>
      </c>
      <c r="BD113" s="20">
        <v>0</v>
      </c>
      <c r="BE113" s="12" t="s">
        <v>333</v>
      </c>
      <c r="BF113" s="20">
        <v>0</v>
      </c>
      <c r="BG113" s="12" t="s">
        <v>333</v>
      </c>
      <c r="BH113" s="20">
        <v>0</v>
      </c>
      <c r="BI113" s="12" t="s">
        <v>333</v>
      </c>
      <c r="BJ113" s="20">
        <v>0</v>
      </c>
      <c r="BK113" s="12" t="s">
        <v>333</v>
      </c>
      <c r="BL113" s="20">
        <v>0</v>
      </c>
      <c r="BM113" s="12" t="s">
        <v>333</v>
      </c>
      <c r="BN113" s="20">
        <v>0</v>
      </c>
      <c r="BO113" s="12" t="s">
        <v>333</v>
      </c>
      <c r="BP113" s="20">
        <v>0</v>
      </c>
      <c r="BQ113" s="12" t="s">
        <v>333</v>
      </c>
      <c r="BR113" s="11">
        <v>1.827</v>
      </c>
      <c r="BS113" s="12" t="s">
        <v>333</v>
      </c>
      <c r="BT113" s="20">
        <v>0</v>
      </c>
      <c r="BU113" s="12" t="s">
        <v>333</v>
      </c>
      <c r="BV113" s="11">
        <v>27.222999999999999</v>
      </c>
      <c r="BW113" s="12" t="s">
        <v>333</v>
      </c>
      <c r="BX113" s="20">
        <v>0</v>
      </c>
      <c r="BY113" s="12" t="s">
        <v>333</v>
      </c>
      <c r="BZ113" s="11">
        <v>36.073</v>
      </c>
      <c r="CA113" s="12" t="s">
        <v>333</v>
      </c>
      <c r="CB113" s="20">
        <v>0</v>
      </c>
      <c r="CC113" s="12" t="s">
        <v>333</v>
      </c>
    </row>
    <row r="114" spans="1:81" x14ac:dyDescent="0.2">
      <c r="A114" s="10" t="s">
        <v>540</v>
      </c>
      <c r="B114" s="81">
        <v>5.5460000000000003</v>
      </c>
      <c r="C114" s="82" t="s">
        <v>333</v>
      </c>
      <c r="D114" s="81">
        <v>5.5460000000000003</v>
      </c>
      <c r="E114" s="82" t="s">
        <v>333</v>
      </c>
      <c r="F114" s="83">
        <v>0</v>
      </c>
      <c r="G114" s="82" t="s">
        <v>333</v>
      </c>
      <c r="H114" s="83">
        <v>0</v>
      </c>
      <c r="I114" s="82" t="s">
        <v>333</v>
      </c>
      <c r="J114" s="83">
        <v>0</v>
      </c>
      <c r="K114" s="82" t="s">
        <v>333</v>
      </c>
      <c r="L114" s="83">
        <v>0</v>
      </c>
      <c r="M114" s="82" t="s">
        <v>333</v>
      </c>
      <c r="N114" s="82" t="s">
        <v>202</v>
      </c>
      <c r="O114" s="82" t="s">
        <v>333</v>
      </c>
      <c r="P114" s="82" t="s">
        <v>202</v>
      </c>
      <c r="Q114" s="82" t="s">
        <v>333</v>
      </c>
      <c r="R114" s="82" t="s">
        <v>202</v>
      </c>
      <c r="S114" s="82" t="s">
        <v>333</v>
      </c>
      <c r="T114" s="82" t="s">
        <v>202</v>
      </c>
      <c r="U114" s="82" t="s">
        <v>333</v>
      </c>
      <c r="V114" s="82" t="s">
        <v>202</v>
      </c>
      <c r="W114" s="82" t="s">
        <v>333</v>
      </c>
      <c r="X114" s="81">
        <v>5.5460000000000003</v>
      </c>
      <c r="Y114" s="82" t="s">
        <v>333</v>
      </c>
      <c r="Z114" s="81">
        <v>5.5460000000000003</v>
      </c>
      <c r="AA114" s="82" t="s">
        <v>333</v>
      </c>
      <c r="AB114" s="83">
        <v>0</v>
      </c>
      <c r="AC114" s="82" t="s">
        <v>333</v>
      </c>
      <c r="AD114" s="83">
        <v>0</v>
      </c>
      <c r="AE114" s="82" t="s">
        <v>333</v>
      </c>
      <c r="AF114" s="81">
        <v>0.73699999999999999</v>
      </c>
      <c r="AG114" s="82" t="s">
        <v>333</v>
      </c>
      <c r="AH114" s="83">
        <v>0</v>
      </c>
      <c r="AI114" s="82" t="s">
        <v>333</v>
      </c>
      <c r="AJ114" s="83">
        <v>0</v>
      </c>
      <c r="AK114" s="82" t="s">
        <v>333</v>
      </c>
      <c r="AL114" s="83">
        <v>0</v>
      </c>
      <c r="AM114" s="82" t="s">
        <v>333</v>
      </c>
      <c r="AN114" s="83">
        <v>0</v>
      </c>
      <c r="AO114" s="82" t="s">
        <v>333</v>
      </c>
      <c r="AP114" s="83">
        <v>0</v>
      </c>
      <c r="AQ114" s="82" t="s">
        <v>333</v>
      </c>
      <c r="AR114" s="83">
        <v>0</v>
      </c>
      <c r="AS114" s="82" t="s">
        <v>333</v>
      </c>
      <c r="AT114" s="83">
        <v>0</v>
      </c>
      <c r="AU114" s="82" t="s">
        <v>333</v>
      </c>
      <c r="AV114" s="83">
        <v>0</v>
      </c>
      <c r="AW114" s="82" t="s">
        <v>333</v>
      </c>
      <c r="AX114" s="83">
        <v>2.4300000000000002</v>
      </c>
      <c r="AY114" s="82" t="s">
        <v>333</v>
      </c>
      <c r="AZ114" s="83">
        <v>2.4300000000000002</v>
      </c>
      <c r="BA114" s="82" t="s">
        <v>333</v>
      </c>
      <c r="BB114" s="83">
        <v>2.4300000000000002</v>
      </c>
      <c r="BC114" s="82" t="s">
        <v>333</v>
      </c>
      <c r="BD114" s="83">
        <v>0</v>
      </c>
      <c r="BE114" s="82" t="s">
        <v>333</v>
      </c>
      <c r="BF114" s="83">
        <v>0</v>
      </c>
      <c r="BG114" s="82" t="s">
        <v>333</v>
      </c>
      <c r="BH114" s="83">
        <v>0</v>
      </c>
      <c r="BI114" s="82" t="s">
        <v>333</v>
      </c>
      <c r="BJ114" s="83">
        <v>0</v>
      </c>
      <c r="BK114" s="82" t="s">
        <v>333</v>
      </c>
      <c r="BL114" s="83">
        <v>0</v>
      </c>
      <c r="BM114" s="82" t="s">
        <v>333</v>
      </c>
      <c r="BN114" s="83">
        <v>0</v>
      </c>
      <c r="BO114" s="82" t="s">
        <v>333</v>
      </c>
      <c r="BP114" s="83">
        <v>0</v>
      </c>
      <c r="BQ114" s="82" t="s">
        <v>333</v>
      </c>
      <c r="BR114" s="81">
        <v>2.2850000000000001</v>
      </c>
      <c r="BS114" s="82" t="s">
        <v>333</v>
      </c>
      <c r="BT114" s="83">
        <v>0</v>
      </c>
      <c r="BU114" s="82" t="s">
        <v>333</v>
      </c>
      <c r="BV114" s="81">
        <v>9.4E-2</v>
      </c>
      <c r="BW114" s="82" t="s">
        <v>333</v>
      </c>
      <c r="BX114" s="83">
        <v>0</v>
      </c>
      <c r="BY114" s="82" t="s">
        <v>333</v>
      </c>
      <c r="BZ114" s="83">
        <v>0</v>
      </c>
      <c r="CA114" s="82" t="s">
        <v>333</v>
      </c>
      <c r="CB114" s="83">
        <v>0</v>
      </c>
      <c r="CC114" s="82" t="s">
        <v>333</v>
      </c>
    </row>
    <row r="115" spans="1:81" x14ac:dyDescent="0.2">
      <c r="A115" s="10" t="s">
        <v>288</v>
      </c>
      <c r="B115" s="11">
        <v>5.0880000000000001</v>
      </c>
      <c r="C115" s="12" t="s">
        <v>333</v>
      </c>
      <c r="D115" s="11">
        <v>5.0880000000000001</v>
      </c>
      <c r="E115" s="12" t="s">
        <v>333</v>
      </c>
      <c r="F115" s="20">
        <v>0</v>
      </c>
      <c r="G115" s="12" t="s">
        <v>333</v>
      </c>
      <c r="H115" s="20">
        <v>0</v>
      </c>
      <c r="I115" s="12" t="s">
        <v>333</v>
      </c>
      <c r="J115" s="20">
        <v>0</v>
      </c>
      <c r="K115" s="12" t="s">
        <v>333</v>
      </c>
      <c r="L115" s="20">
        <v>0</v>
      </c>
      <c r="M115" s="12" t="s">
        <v>333</v>
      </c>
      <c r="N115" s="12" t="s">
        <v>202</v>
      </c>
      <c r="O115" s="12" t="s">
        <v>333</v>
      </c>
      <c r="P115" s="12" t="s">
        <v>202</v>
      </c>
      <c r="Q115" s="12" t="s">
        <v>333</v>
      </c>
      <c r="R115" s="12" t="s">
        <v>202</v>
      </c>
      <c r="S115" s="12" t="s">
        <v>333</v>
      </c>
      <c r="T115" s="12" t="s">
        <v>202</v>
      </c>
      <c r="U115" s="12" t="s">
        <v>333</v>
      </c>
      <c r="V115" s="12" t="s">
        <v>202</v>
      </c>
      <c r="W115" s="12" t="s">
        <v>333</v>
      </c>
      <c r="X115" s="11">
        <v>5.0880000000000001</v>
      </c>
      <c r="Y115" s="12" t="s">
        <v>333</v>
      </c>
      <c r="Z115" s="11">
        <v>5.0880000000000001</v>
      </c>
      <c r="AA115" s="12" t="s">
        <v>333</v>
      </c>
      <c r="AB115" s="20">
        <v>0</v>
      </c>
      <c r="AC115" s="12" t="s">
        <v>333</v>
      </c>
      <c r="AD115" s="20">
        <v>0</v>
      </c>
      <c r="AE115" s="12" t="s">
        <v>333</v>
      </c>
      <c r="AF115" s="11">
        <v>0.73699999999999999</v>
      </c>
      <c r="AG115" s="12" t="s">
        <v>333</v>
      </c>
      <c r="AH115" s="20">
        <v>0</v>
      </c>
      <c r="AI115" s="12" t="s">
        <v>333</v>
      </c>
      <c r="AJ115" s="20">
        <v>0</v>
      </c>
      <c r="AK115" s="12" t="s">
        <v>333</v>
      </c>
      <c r="AL115" s="20">
        <v>0</v>
      </c>
      <c r="AM115" s="12" t="s">
        <v>333</v>
      </c>
      <c r="AN115" s="20">
        <v>0</v>
      </c>
      <c r="AO115" s="12" t="s">
        <v>333</v>
      </c>
      <c r="AP115" s="20">
        <v>0</v>
      </c>
      <c r="AQ115" s="12" t="s">
        <v>333</v>
      </c>
      <c r="AR115" s="20">
        <v>0</v>
      </c>
      <c r="AS115" s="12" t="s">
        <v>333</v>
      </c>
      <c r="AT115" s="20">
        <v>0</v>
      </c>
      <c r="AU115" s="12" t="s">
        <v>333</v>
      </c>
      <c r="AV115" s="20">
        <v>0</v>
      </c>
      <c r="AW115" s="12" t="s">
        <v>333</v>
      </c>
      <c r="AX115" s="20">
        <v>2.4300000000000002</v>
      </c>
      <c r="AY115" s="12" t="s">
        <v>333</v>
      </c>
      <c r="AZ115" s="20">
        <v>2.4300000000000002</v>
      </c>
      <c r="BA115" s="12" t="s">
        <v>333</v>
      </c>
      <c r="BB115" s="20">
        <v>2.4300000000000002</v>
      </c>
      <c r="BC115" s="12" t="s">
        <v>333</v>
      </c>
      <c r="BD115" s="20">
        <v>0</v>
      </c>
      <c r="BE115" s="12" t="s">
        <v>333</v>
      </c>
      <c r="BF115" s="20">
        <v>0</v>
      </c>
      <c r="BG115" s="12" t="s">
        <v>333</v>
      </c>
      <c r="BH115" s="20">
        <v>0</v>
      </c>
      <c r="BI115" s="12" t="s">
        <v>333</v>
      </c>
      <c r="BJ115" s="20">
        <v>0</v>
      </c>
      <c r="BK115" s="12" t="s">
        <v>333</v>
      </c>
      <c r="BL115" s="20">
        <v>0</v>
      </c>
      <c r="BM115" s="12" t="s">
        <v>333</v>
      </c>
      <c r="BN115" s="20">
        <v>0</v>
      </c>
      <c r="BO115" s="12" t="s">
        <v>333</v>
      </c>
      <c r="BP115" s="20">
        <v>0</v>
      </c>
      <c r="BQ115" s="12" t="s">
        <v>333</v>
      </c>
      <c r="BR115" s="11">
        <v>1.827</v>
      </c>
      <c r="BS115" s="12" t="s">
        <v>333</v>
      </c>
      <c r="BT115" s="20">
        <v>0</v>
      </c>
      <c r="BU115" s="12" t="s">
        <v>333</v>
      </c>
      <c r="BV115" s="11">
        <v>9.4E-2</v>
      </c>
      <c r="BW115" s="12" t="s">
        <v>333</v>
      </c>
      <c r="BX115" s="20">
        <v>0</v>
      </c>
      <c r="BY115" s="12" t="s">
        <v>333</v>
      </c>
      <c r="BZ115" s="20">
        <v>0</v>
      </c>
      <c r="CA115" s="12" t="s">
        <v>333</v>
      </c>
      <c r="CB115" s="20">
        <v>0</v>
      </c>
      <c r="CC115" s="12" t="s">
        <v>333</v>
      </c>
    </row>
    <row r="116" spans="1:81" x14ac:dyDescent="0.2">
      <c r="A116" s="10" t="s">
        <v>454</v>
      </c>
      <c r="B116" s="81">
        <v>0.45800000000000002</v>
      </c>
      <c r="C116" s="82" t="s">
        <v>333</v>
      </c>
      <c r="D116" s="81">
        <v>0.45800000000000002</v>
      </c>
      <c r="E116" s="82" t="s">
        <v>333</v>
      </c>
      <c r="F116" s="83">
        <v>0</v>
      </c>
      <c r="G116" s="82" t="s">
        <v>333</v>
      </c>
      <c r="H116" s="83">
        <v>0</v>
      </c>
      <c r="I116" s="82" t="s">
        <v>333</v>
      </c>
      <c r="J116" s="83">
        <v>0</v>
      </c>
      <c r="K116" s="82" t="s">
        <v>333</v>
      </c>
      <c r="L116" s="83">
        <v>0</v>
      </c>
      <c r="M116" s="82" t="s">
        <v>333</v>
      </c>
      <c r="N116" s="82" t="s">
        <v>202</v>
      </c>
      <c r="O116" s="82" t="s">
        <v>333</v>
      </c>
      <c r="P116" s="82" t="s">
        <v>202</v>
      </c>
      <c r="Q116" s="82" t="s">
        <v>333</v>
      </c>
      <c r="R116" s="82" t="s">
        <v>202</v>
      </c>
      <c r="S116" s="82" t="s">
        <v>333</v>
      </c>
      <c r="T116" s="82" t="s">
        <v>202</v>
      </c>
      <c r="U116" s="82" t="s">
        <v>333</v>
      </c>
      <c r="V116" s="82" t="s">
        <v>202</v>
      </c>
      <c r="W116" s="82" t="s">
        <v>333</v>
      </c>
      <c r="X116" s="81">
        <v>0.45800000000000002</v>
      </c>
      <c r="Y116" s="82" t="s">
        <v>333</v>
      </c>
      <c r="Z116" s="81">
        <v>0.45800000000000002</v>
      </c>
      <c r="AA116" s="82" t="s">
        <v>333</v>
      </c>
      <c r="AB116" s="83">
        <v>0</v>
      </c>
      <c r="AC116" s="82" t="s">
        <v>333</v>
      </c>
      <c r="AD116" s="83">
        <v>0</v>
      </c>
      <c r="AE116" s="82" t="s">
        <v>333</v>
      </c>
      <c r="AF116" s="83">
        <v>0</v>
      </c>
      <c r="AG116" s="82" t="s">
        <v>333</v>
      </c>
      <c r="AH116" s="83">
        <v>0</v>
      </c>
      <c r="AI116" s="82" t="s">
        <v>333</v>
      </c>
      <c r="AJ116" s="83">
        <v>0</v>
      </c>
      <c r="AK116" s="82" t="s">
        <v>333</v>
      </c>
      <c r="AL116" s="83">
        <v>0</v>
      </c>
      <c r="AM116" s="82" t="s">
        <v>333</v>
      </c>
      <c r="AN116" s="83">
        <v>0</v>
      </c>
      <c r="AO116" s="82" t="s">
        <v>333</v>
      </c>
      <c r="AP116" s="83">
        <v>0</v>
      </c>
      <c r="AQ116" s="82" t="s">
        <v>333</v>
      </c>
      <c r="AR116" s="83">
        <v>0</v>
      </c>
      <c r="AS116" s="82" t="s">
        <v>333</v>
      </c>
      <c r="AT116" s="83">
        <v>0</v>
      </c>
      <c r="AU116" s="82" t="s">
        <v>333</v>
      </c>
      <c r="AV116" s="83">
        <v>0</v>
      </c>
      <c r="AW116" s="82" t="s">
        <v>333</v>
      </c>
      <c r="AX116" s="83">
        <v>0</v>
      </c>
      <c r="AY116" s="82" t="s">
        <v>333</v>
      </c>
      <c r="AZ116" s="83">
        <v>0</v>
      </c>
      <c r="BA116" s="82" t="s">
        <v>333</v>
      </c>
      <c r="BB116" s="83">
        <v>0</v>
      </c>
      <c r="BC116" s="82" t="s">
        <v>333</v>
      </c>
      <c r="BD116" s="83">
        <v>0</v>
      </c>
      <c r="BE116" s="82" t="s">
        <v>333</v>
      </c>
      <c r="BF116" s="83">
        <v>0</v>
      </c>
      <c r="BG116" s="82" t="s">
        <v>333</v>
      </c>
      <c r="BH116" s="83">
        <v>0</v>
      </c>
      <c r="BI116" s="82" t="s">
        <v>333</v>
      </c>
      <c r="BJ116" s="83">
        <v>0</v>
      </c>
      <c r="BK116" s="82" t="s">
        <v>333</v>
      </c>
      <c r="BL116" s="83">
        <v>0</v>
      </c>
      <c r="BM116" s="82" t="s">
        <v>333</v>
      </c>
      <c r="BN116" s="83">
        <v>0</v>
      </c>
      <c r="BO116" s="82" t="s">
        <v>333</v>
      </c>
      <c r="BP116" s="83">
        <v>0</v>
      </c>
      <c r="BQ116" s="82" t="s">
        <v>333</v>
      </c>
      <c r="BR116" s="81">
        <v>0.45800000000000002</v>
      </c>
      <c r="BS116" s="82" t="s">
        <v>333</v>
      </c>
      <c r="BT116" s="83">
        <v>0</v>
      </c>
      <c r="BU116" s="82" t="s">
        <v>333</v>
      </c>
      <c r="BV116" s="83">
        <v>0</v>
      </c>
      <c r="BW116" s="82" t="s">
        <v>333</v>
      </c>
      <c r="BX116" s="83">
        <v>0</v>
      </c>
      <c r="BY116" s="82" t="s">
        <v>333</v>
      </c>
      <c r="BZ116" s="83">
        <v>0</v>
      </c>
      <c r="CA116" s="82" t="s">
        <v>333</v>
      </c>
      <c r="CB116" s="83">
        <v>0</v>
      </c>
      <c r="CC116" s="82" t="s">
        <v>333</v>
      </c>
    </row>
    <row r="117" spans="1:81" x14ac:dyDescent="0.2">
      <c r="A117" s="10" t="s">
        <v>541</v>
      </c>
      <c r="B117" s="11">
        <v>10751.369000000001</v>
      </c>
      <c r="C117" s="12" t="s">
        <v>333</v>
      </c>
      <c r="D117" s="11">
        <v>10751.369000000001</v>
      </c>
      <c r="E117" s="12" t="s">
        <v>333</v>
      </c>
      <c r="F117" s="11">
        <v>2574.799</v>
      </c>
      <c r="G117" s="12" t="s">
        <v>333</v>
      </c>
      <c r="H117" s="11">
        <v>2574.799</v>
      </c>
      <c r="I117" s="12" t="s">
        <v>333</v>
      </c>
      <c r="J117" s="20">
        <v>0</v>
      </c>
      <c r="K117" s="12" t="s">
        <v>333</v>
      </c>
      <c r="L117" s="11">
        <v>2574.799</v>
      </c>
      <c r="M117" s="12" t="s">
        <v>333</v>
      </c>
      <c r="N117" s="12" t="s">
        <v>202</v>
      </c>
      <c r="O117" s="12" t="s">
        <v>333</v>
      </c>
      <c r="P117" s="12" t="s">
        <v>202</v>
      </c>
      <c r="Q117" s="12" t="s">
        <v>333</v>
      </c>
      <c r="R117" s="12" t="s">
        <v>202</v>
      </c>
      <c r="S117" s="12" t="s">
        <v>333</v>
      </c>
      <c r="T117" s="12" t="s">
        <v>202</v>
      </c>
      <c r="U117" s="12" t="s">
        <v>333</v>
      </c>
      <c r="V117" s="12" t="s">
        <v>202</v>
      </c>
      <c r="W117" s="12" t="s">
        <v>333</v>
      </c>
      <c r="X117" s="20">
        <v>8176.57</v>
      </c>
      <c r="Y117" s="12" t="s">
        <v>333</v>
      </c>
      <c r="Z117" s="20">
        <v>8176.57</v>
      </c>
      <c r="AA117" s="12" t="s">
        <v>333</v>
      </c>
      <c r="AB117" s="11">
        <v>2290.3739999999998</v>
      </c>
      <c r="AC117" s="12" t="s">
        <v>333</v>
      </c>
      <c r="AD117" s="20">
        <v>0</v>
      </c>
      <c r="AE117" s="12" t="s">
        <v>333</v>
      </c>
      <c r="AF117" s="11">
        <v>1530.5319999999999</v>
      </c>
      <c r="AG117" s="12" t="s">
        <v>333</v>
      </c>
      <c r="AH117" s="20">
        <v>3726.51</v>
      </c>
      <c r="AI117" s="12" t="s">
        <v>333</v>
      </c>
      <c r="AJ117" s="20">
        <v>0</v>
      </c>
      <c r="AK117" s="12" t="s">
        <v>333</v>
      </c>
      <c r="AL117" s="20">
        <v>0</v>
      </c>
      <c r="AM117" s="12" t="s">
        <v>333</v>
      </c>
      <c r="AN117" s="20">
        <v>0</v>
      </c>
      <c r="AO117" s="12" t="s">
        <v>333</v>
      </c>
      <c r="AP117" s="20">
        <v>0</v>
      </c>
      <c r="AQ117" s="12" t="s">
        <v>333</v>
      </c>
      <c r="AR117" s="20">
        <v>0</v>
      </c>
      <c r="AS117" s="12" t="s">
        <v>333</v>
      </c>
      <c r="AT117" s="20">
        <v>0</v>
      </c>
      <c r="AU117" s="12" t="s">
        <v>333</v>
      </c>
      <c r="AV117" s="11">
        <v>30.916</v>
      </c>
      <c r="AW117" s="12" t="s">
        <v>333</v>
      </c>
      <c r="AX117" s="11">
        <v>2.327</v>
      </c>
      <c r="AY117" s="12" t="s">
        <v>333</v>
      </c>
      <c r="AZ117" s="11">
        <v>2.327</v>
      </c>
      <c r="BA117" s="12" t="s">
        <v>333</v>
      </c>
      <c r="BB117" s="11">
        <v>1.754</v>
      </c>
      <c r="BC117" s="12" t="s">
        <v>333</v>
      </c>
      <c r="BD117" s="11">
        <v>0.57299999999999995</v>
      </c>
      <c r="BE117" s="12" t="s">
        <v>333</v>
      </c>
      <c r="BF117" s="20">
        <v>0</v>
      </c>
      <c r="BG117" s="12" t="s">
        <v>333</v>
      </c>
      <c r="BH117" s="20">
        <v>0</v>
      </c>
      <c r="BI117" s="12" t="s">
        <v>333</v>
      </c>
      <c r="BJ117" s="20">
        <v>0</v>
      </c>
      <c r="BK117" s="12" t="s">
        <v>333</v>
      </c>
      <c r="BL117" s="11">
        <v>8.7149999999999999</v>
      </c>
      <c r="BM117" s="12" t="s">
        <v>333</v>
      </c>
      <c r="BN117" s="20">
        <v>0</v>
      </c>
      <c r="BO117" s="12" t="s">
        <v>333</v>
      </c>
      <c r="BP117" s="11">
        <v>9.4819999999999993</v>
      </c>
      <c r="BQ117" s="12" t="s">
        <v>333</v>
      </c>
      <c r="BR117" s="11">
        <v>310.30500000000001</v>
      </c>
      <c r="BS117" s="12" t="s">
        <v>333</v>
      </c>
      <c r="BT117" s="20">
        <v>0</v>
      </c>
      <c r="BU117" s="12" t="s">
        <v>333</v>
      </c>
      <c r="BV117" s="11">
        <v>267.40899999999999</v>
      </c>
      <c r="BW117" s="12" t="s">
        <v>333</v>
      </c>
      <c r="BX117" s="20">
        <v>0</v>
      </c>
      <c r="BY117" s="12" t="s">
        <v>333</v>
      </c>
      <c r="BZ117" s="20">
        <v>0</v>
      </c>
      <c r="CA117" s="12" t="s">
        <v>333</v>
      </c>
      <c r="CB117" s="20">
        <v>0</v>
      </c>
      <c r="CC117" s="12" t="s">
        <v>333</v>
      </c>
    </row>
    <row r="118" spans="1:81" x14ac:dyDescent="0.2">
      <c r="A118" s="10" t="s">
        <v>289</v>
      </c>
      <c r="B118" s="83">
        <v>2320.1</v>
      </c>
      <c r="C118" s="82" t="s">
        <v>333</v>
      </c>
      <c r="D118" s="83">
        <v>2320.1</v>
      </c>
      <c r="E118" s="82" t="s">
        <v>333</v>
      </c>
      <c r="F118" s="83">
        <v>0</v>
      </c>
      <c r="G118" s="82" t="s">
        <v>333</v>
      </c>
      <c r="H118" s="83">
        <v>0</v>
      </c>
      <c r="I118" s="82" t="s">
        <v>333</v>
      </c>
      <c r="J118" s="83">
        <v>0</v>
      </c>
      <c r="K118" s="82" t="s">
        <v>333</v>
      </c>
      <c r="L118" s="83">
        <v>0</v>
      </c>
      <c r="M118" s="82" t="s">
        <v>333</v>
      </c>
      <c r="N118" s="82" t="s">
        <v>202</v>
      </c>
      <c r="O118" s="82" t="s">
        <v>333</v>
      </c>
      <c r="P118" s="82" t="s">
        <v>202</v>
      </c>
      <c r="Q118" s="82" t="s">
        <v>333</v>
      </c>
      <c r="R118" s="82" t="s">
        <v>202</v>
      </c>
      <c r="S118" s="82" t="s">
        <v>333</v>
      </c>
      <c r="T118" s="82" t="s">
        <v>202</v>
      </c>
      <c r="U118" s="82" t="s">
        <v>333</v>
      </c>
      <c r="V118" s="82" t="s">
        <v>202</v>
      </c>
      <c r="W118" s="82" t="s">
        <v>333</v>
      </c>
      <c r="X118" s="83">
        <v>2320.1</v>
      </c>
      <c r="Y118" s="82" t="s">
        <v>333</v>
      </c>
      <c r="Z118" s="83">
        <v>2320.1</v>
      </c>
      <c r="AA118" s="82" t="s">
        <v>333</v>
      </c>
      <c r="AB118" s="81">
        <v>2290.3739999999998</v>
      </c>
      <c r="AC118" s="82" t="s">
        <v>333</v>
      </c>
      <c r="AD118" s="83">
        <v>0</v>
      </c>
      <c r="AE118" s="82" t="s">
        <v>333</v>
      </c>
      <c r="AF118" s="81">
        <v>0.90600000000000003</v>
      </c>
      <c r="AG118" s="82" t="s">
        <v>333</v>
      </c>
      <c r="AH118" s="83">
        <v>0</v>
      </c>
      <c r="AI118" s="82" t="s">
        <v>333</v>
      </c>
      <c r="AJ118" s="83">
        <v>0</v>
      </c>
      <c r="AK118" s="82" t="s">
        <v>333</v>
      </c>
      <c r="AL118" s="83">
        <v>0</v>
      </c>
      <c r="AM118" s="82" t="s">
        <v>333</v>
      </c>
      <c r="AN118" s="83">
        <v>0</v>
      </c>
      <c r="AO118" s="82" t="s">
        <v>333</v>
      </c>
      <c r="AP118" s="83">
        <v>0</v>
      </c>
      <c r="AQ118" s="82" t="s">
        <v>333</v>
      </c>
      <c r="AR118" s="83">
        <v>0</v>
      </c>
      <c r="AS118" s="82" t="s">
        <v>333</v>
      </c>
      <c r="AT118" s="83">
        <v>0</v>
      </c>
      <c r="AU118" s="82" t="s">
        <v>333</v>
      </c>
      <c r="AV118" s="83">
        <v>0</v>
      </c>
      <c r="AW118" s="82" t="s">
        <v>333</v>
      </c>
      <c r="AX118" s="81">
        <v>1.754</v>
      </c>
      <c r="AY118" s="82" t="s">
        <v>333</v>
      </c>
      <c r="AZ118" s="81">
        <v>1.754</v>
      </c>
      <c r="BA118" s="82" t="s">
        <v>333</v>
      </c>
      <c r="BB118" s="81">
        <v>1.754</v>
      </c>
      <c r="BC118" s="82" t="s">
        <v>333</v>
      </c>
      <c r="BD118" s="83">
        <v>0</v>
      </c>
      <c r="BE118" s="82" t="s">
        <v>333</v>
      </c>
      <c r="BF118" s="83">
        <v>0</v>
      </c>
      <c r="BG118" s="82" t="s">
        <v>333</v>
      </c>
      <c r="BH118" s="83">
        <v>0</v>
      </c>
      <c r="BI118" s="82" t="s">
        <v>333</v>
      </c>
      <c r="BJ118" s="83">
        <v>0</v>
      </c>
      <c r="BK118" s="82" t="s">
        <v>333</v>
      </c>
      <c r="BL118" s="83">
        <v>0</v>
      </c>
      <c r="BM118" s="82" t="s">
        <v>333</v>
      </c>
      <c r="BN118" s="83">
        <v>0</v>
      </c>
      <c r="BO118" s="82" t="s">
        <v>333</v>
      </c>
      <c r="BP118" s="83">
        <v>0</v>
      </c>
      <c r="BQ118" s="82" t="s">
        <v>333</v>
      </c>
      <c r="BR118" s="83">
        <v>0</v>
      </c>
      <c r="BS118" s="82" t="s">
        <v>333</v>
      </c>
      <c r="BT118" s="83">
        <v>0</v>
      </c>
      <c r="BU118" s="82" t="s">
        <v>333</v>
      </c>
      <c r="BV118" s="81">
        <v>27.065999999999999</v>
      </c>
      <c r="BW118" s="82" t="s">
        <v>333</v>
      </c>
      <c r="BX118" s="83">
        <v>0</v>
      </c>
      <c r="BY118" s="82" t="s">
        <v>333</v>
      </c>
      <c r="BZ118" s="83">
        <v>0</v>
      </c>
      <c r="CA118" s="82" t="s">
        <v>333</v>
      </c>
      <c r="CB118" s="83">
        <v>0</v>
      </c>
      <c r="CC118" s="82" t="s">
        <v>333</v>
      </c>
    </row>
    <row r="119" spans="1:81" x14ac:dyDescent="0.2">
      <c r="A119" s="10" t="s">
        <v>355</v>
      </c>
      <c r="B119" s="11">
        <v>8431.2690000000002</v>
      </c>
      <c r="C119" s="12" t="s">
        <v>333</v>
      </c>
      <c r="D119" s="11">
        <v>8431.2690000000002</v>
      </c>
      <c r="E119" s="12" t="s">
        <v>333</v>
      </c>
      <c r="F119" s="11">
        <v>2574.799</v>
      </c>
      <c r="G119" s="12" t="s">
        <v>333</v>
      </c>
      <c r="H119" s="11">
        <v>2574.799</v>
      </c>
      <c r="I119" s="12" t="s">
        <v>333</v>
      </c>
      <c r="J119" s="20">
        <v>0</v>
      </c>
      <c r="K119" s="12" t="s">
        <v>333</v>
      </c>
      <c r="L119" s="11">
        <v>2574.799</v>
      </c>
      <c r="M119" s="12" t="s">
        <v>333</v>
      </c>
      <c r="N119" s="12" t="s">
        <v>202</v>
      </c>
      <c r="O119" s="12" t="s">
        <v>333</v>
      </c>
      <c r="P119" s="12" t="s">
        <v>202</v>
      </c>
      <c r="Q119" s="12" t="s">
        <v>333</v>
      </c>
      <c r="R119" s="12" t="s">
        <v>202</v>
      </c>
      <c r="S119" s="12" t="s">
        <v>333</v>
      </c>
      <c r="T119" s="12" t="s">
        <v>202</v>
      </c>
      <c r="U119" s="12" t="s">
        <v>333</v>
      </c>
      <c r="V119" s="12" t="s">
        <v>202</v>
      </c>
      <c r="W119" s="12" t="s">
        <v>333</v>
      </c>
      <c r="X119" s="20">
        <v>5856.47</v>
      </c>
      <c r="Y119" s="12" t="s">
        <v>333</v>
      </c>
      <c r="Z119" s="20">
        <v>5856.47</v>
      </c>
      <c r="AA119" s="12" t="s">
        <v>333</v>
      </c>
      <c r="AB119" s="20">
        <v>0</v>
      </c>
      <c r="AC119" s="12" t="s">
        <v>333</v>
      </c>
      <c r="AD119" s="20">
        <v>0</v>
      </c>
      <c r="AE119" s="12" t="s">
        <v>333</v>
      </c>
      <c r="AF119" s="11">
        <v>1529.626</v>
      </c>
      <c r="AG119" s="12" t="s">
        <v>333</v>
      </c>
      <c r="AH119" s="20">
        <v>3726.51</v>
      </c>
      <c r="AI119" s="12" t="s">
        <v>333</v>
      </c>
      <c r="AJ119" s="20">
        <v>0</v>
      </c>
      <c r="AK119" s="12" t="s">
        <v>333</v>
      </c>
      <c r="AL119" s="20">
        <v>0</v>
      </c>
      <c r="AM119" s="12" t="s">
        <v>333</v>
      </c>
      <c r="AN119" s="20">
        <v>0</v>
      </c>
      <c r="AO119" s="12" t="s">
        <v>333</v>
      </c>
      <c r="AP119" s="20">
        <v>0</v>
      </c>
      <c r="AQ119" s="12" t="s">
        <v>333</v>
      </c>
      <c r="AR119" s="20">
        <v>0</v>
      </c>
      <c r="AS119" s="12" t="s">
        <v>333</v>
      </c>
      <c r="AT119" s="20">
        <v>0</v>
      </c>
      <c r="AU119" s="12" t="s">
        <v>333</v>
      </c>
      <c r="AV119" s="11">
        <v>30.916</v>
      </c>
      <c r="AW119" s="12" t="s">
        <v>333</v>
      </c>
      <c r="AX119" s="11">
        <v>0.57299999999999995</v>
      </c>
      <c r="AY119" s="12" t="s">
        <v>333</v>
      </c>
      <c r="AZ119" s="11">
        <v>0.57299999999999995</v>
      </c>
      <c r="BA119" s="12" t="s">
        <v>333</v>
      </c>
      <c r="BB119" s="20">
        <v>0</v>
      </c>
      <c r="BC119" s="12" t="s">
        <v>333</v>
      </c>
      <c r="BD119" s="11">
        <v>0.57299999999999995</v>
      </c>
      <c r="BE119" s="12" t="s">
        <v>333</v>
      </c>
      <c r="BF119" s="20">
        <v>0</v>
      </c>
      <c r="BG119" s="12" t="s">
        <v>333</v>
      </c>
      <c r="BH119" s="20">
        <v>0</v>
      </c>
      <c r="BI119" s="12" t="s">
        <v>333</v>
      </c>
      <c r="BJ119" s="20">
        <v>0</v>
      </c>
      <c r="BK119" s="12" t="s">
        <v>333</v>
      </c>
      <c r="BL119" s="11">
        <v>8.7149999999999999</v>
      </c>
      <c r="BM119" s="12" t="s">
        <v>333</v>
      </c>
      <c r="BN119" s="20">
        <v>0</v>
      </c>
      <c r="BO119" s="12" t="s">
        <v>333</v>
      </c>
      <c r="BP119" s="11">
        <v>9.4819999999999993</v>
      </c>
      <c r="BQ119" s="12" t="s">
        <v>333</v>
      </c>
      <c r="BR119" s="11">
        <v>310.30500000000001</v>
      </c>
      <c r="BS119" s="12" t="s">
        <v>333</v>
      </c>
      <c r="BT119" s="20">
        <v>0</v>
      </c>
      <c r="BU119" s="12" t="s">
        <v>333</v>
      </c>
      <c r="BV119" s="11">
        <v>240.34299999999999</v>
      </c>
      <c r="BW119" s="12" t="s">
        <v>333</v>
      </c>
      <c r="BX119" s="20">
        <v>0</v>
      </c>
      <c r="BY119" s="12" t="s">
        <v>333</v>
      </c>
      <c r="BZ119" s="20">
        <v>0</v>
      </c>
      <c r="CA119" s="12" t="s">
        <v>333</v>
      </c>
      <c r="CB119" s="20">
        <v>0</v>
      </c>
      <c r="CC119" s="12" t="s">
        <v>333</v>
      </c>
    </row>
    <row r="120" spans="1:81" x14ac:dyDescent="0.2">
      <c r="A120" s="10" t="s">
        <v>542</v>
      </c>
      <c r="B120" s="81">
        <v>1.0680000000000001</v>
      </c>
      <c r="C120" s="82" t="s">
        <v>333</v>
      </c>
      <c r="D120" s="81">
        <v>1.0680000000000001</v>
      </c>
      <c r="E120" s="82" t="s">
        <v>333</v>
      </c>
      <c r="F120" s="83">
        <v>0</v>
      </c>
      <c r="G120" s="82" t="s">
        <v>333</v>
      </c>
      <c r="H120" s="83">
        <v>0</v>
      </c>
      <c r="I120" s="82" t="s">
        <v>333</v>
      </c>
      <c r="J120" s="83">
        <v>0</v>
      </c>
      <c r="K120" s="82" t="s">
        <v>333</v>
      </c>
      <c r="L120" s="83">
        <v>0</v>
      </c>
      <c r="M120" s="82" t="s">
        <v>333</v>
      </c>
      <c r="N120" s="82" t="s">
        <v>202</v>
      </c>
      <c r="O120" s="82" t="s">
        <v>333</v>
      </c>
      <c r="P120" s="82" t="s">
        <v>202</v>
      </c>
      <c r="Q120" s="82" t="s">
        <v>333</v>
      </c>
      <c r="R120" s="82" t="s">
        <v>202</v>
      </c>
      <c r="S120" s="82" t="s">
        <v>333</v>
      </c>
      <c r="T120" s="82" t="s">
        <v>202</v>
      </c>
      <c r="U120" s="82" t="s">
        <v>333</v>
      </c>
      <c r="V120" s="82" t="s">
        <v>202</v>
      </c>
      <c r="W120" s="82" t="s">
        <v>333</v>
      </c>
      <c r="X120" s="81">
        <v>1.0680000000000001</v>
      </c>
      <c r="Y120" s="82" t="s">
        <v>333</v>
      </c>
      <c r="Z120" s="81">
        <v>1.0680000000000001</v>
      </c>
      <c r="AA120" s="82" t="s">
        <v>333</v>
      </c>
      <c r="AB120" s="83">
        <v>0</v>
      </c>
      <c r="AC120" s="82" t="s">
        <v>333</v>
      </c>
      <c r="AD120" s="83">
        <v>0</v>
      </c>
      <c r="AE120" s="82" t="s">
        <v>333</v>
      </c>
      <c r="AF120" s="81">
        <v>0.215</v>
      </c>
      <c r="AG120" s="82" t="s">
        <v>333</v>
      </c>
      <c r="AH120" s="83">
        <v>0</v>
      </c>
      <c r="AI120" s="82" t="s">
        <v>333</v>
      </c>
      <c r="AJ120" s="83">
        <v>0</v>
      </c>
      <c r="AK120" s="82" t="s">
        <v>333</v>
      </c>
      <c r="AL120" s="83">
        <v>0</v>
      </c>
      <c r="AM120" s="82" t="s">
        <v>333</v>
      </c>
      <c r="AN120" s="83">
        <v>0</v>
      </c>
      <c r="AO120" s="82" t="s">
        <v>333</v>
      </c>
      <c r="AP120" s="83">
        <v>0</v>
      </c>
      <c r="AQ120" s="82" t="s">
        <v>333</v>
      </c>
      <c r="AR120" s="83">
        <v>0</v>
      </c>
      <c r="AS120" s="82" t="s">
        <v>333</v>
      </c>
      <c r="AT120" s="83">
        <v>0</v>
      </c>
      <c r="AU120" s="82" t="s">
        <v>333</v>
      </c>
      <c r="AV120" s="83">
        <v>0</v>
      </c>
      <c r="AW120" s="82" t="s">
        <v>333</v>
      </c>
      <c r="AX120" s="81">
        <v>0.85299999999999998</v>
      </c>
      <c r="AY120" s="82" t="s">
        <v>333</v>
      </c>
      <c r="AZ120" s="81">
        <v>0.85299999999999998</v>
      </c>
      <c r="BA120" s="82" t="s">
        <v>333</v>
      </c>
      <c r="BB120" s="81">
        <v>0.85299999999999998</v>
      </c>
      <c r="BC120" s="82" t="s">
        <v>333</v>
      </c>
      <c r="BD120" s="83">
        <v>0</v>
      </c>
      <c r="BE120" s="82" t="s">
        <v>333</v>
      </c>
      <c r="BF120" s="83">
        <v>0</v>
      </c>
      <c r="BG120" s="82" t="s">
        <v>333</v>
      </c>
      <c r="BH120" s="83">
        <v>0</v>
      </c>
      <c r="BI120" s="82" t="s">
        <v>333</v>
      </c>
      <c r="BJ120" s="83">
        <v>0</v>
      </c>
      <c r="BK120" s="82" t="s">
        <v>333</v>
      </c>
      <c r="BL120" s="83">
        <v>0</v>
      </c>
      <c r="BM120" s="82" t="s">
        <v>333</v>
      </c>
      <c r="BN120" s="83">
        <v>0</v>
      </c>
      <c r="BO120" s="82" t="s">
        <v>333</v>
      </c>
      <c r="BP120" s="83">
        <v>0</v>
      </c>
      <c r="BQ120" s="82" t="s">
        <v>333</v>
      </c>
      <c r="BR120" s="83">
        <v>0</v>
      </c>
      <c r="BS120" s="82" t="s">
        <v>333</v>
      </c>
      <c r="BT120" s="83">
        <v>0</v>
      </c>
      <c r="BU120" s="82" t="s">
        <v>333</v>
      </c>
      <c r="BV120" s="83">
        <v>0</v>
      </c>
      <c r="BW120" s="82" t="s">
        <v>333</v>
      </c>
      <c r="BX120" s="83">
        <v>0</v>
      </c>
      <c r="BY120" s="82" t="s">
        <v>333</v>
      </c>
      <c r="BZ120" s="83">
        <v>0</v>
      </c>
      <c r="CA120" s="82" t="s">
        <v>333</v>
      </c>
      <c r="CB120" s="83">
        <v>0</v>
      </c>
      <c r="CC120" s="82" t="s">
        <v>333</v>
      </c>
    </row>
    <row r="121" spans="1:81" x14ac:dyDescent="0.2">
      <c r="A121" s="10" t="s">
        <v>290</v>
      </c>
      <c r="B121" s="11">
        <v>1.0680000000000001</v>
      </c>
      <c r="C121" s="12" t="s">
        <v>333</v>
      </c>
      <c r="D121" s="11">
        <v>1.0680000000000001</v>
      </c>
      <c r="E121" s="12" t="s">
        <v>333</v>
      </c>
      <c r="F121" s="20">
        <v>0</v>
      </c>
      <c r="G121" s="12" t="s">
        <v>333</v>
      </c>
      <c r="H121" s="20">
        <v>0</v>
      </c>
      <c r="I121" s="12" t="s">
        <v>333</v>
      </c>
      <c r="J121" s="20">
        <v>0</v>
      </c>
      <c r="K121" s="12" t="s">
        <v>333</v>
      </c>
      <c r="L121" s="20">
        <v>0</v>
      </c>
      <c r="M121" s="12" t="s">
        <v>333</v>
      </c>
      <c r="N121" s="12" t="s">
        <v>202</v>
      </c>
      <c r="O121" s="12" t="s">
        <v>333</v>
      </c>
      <c r="P121" s="12" t="s">
        <v>202</v>
      </c>
      <c r="Q121" s="12" t="s">
        <v>333</v>
      </c>
      <c r="R121" s="12" t="s">
        <v>202</v>
      </c>
      <c r="S121" s="12" t="s">
        <v>333</v>
      </c>
      <c r="T121" s="12" t="s">
        <v>202</v>
      </c>
      <c r="U121" s="12" t="s">
        <v>333</v>
      </c>
      <c r="V121" s="12" t="s">
        <v>202</v>
      </c>
      <c r="W121" s="12" t="s">
        <v>333</v>
      </c>
      <c r="X121" s="11">
        <v>1.0680000000000001</v>
      </c>
      <c r="Y121" s="12" t="s">
        <v>333</v>
      </c>
      <c r="Z121" s="11">
        <v>1.0680000000000001</v>
      </c>
      <c r="AA121" s="12" t="s">
        <v>333</v>
      </c>
      <c r="AB121" s="20">
        <v>0</v>
      </c>
      <c r="AC121" s="12" t="s">
        <v>333</v>
      </c>
      <c r="AD121" s="20">
        <v>0</v>
      </c>
      <c r="AE121" s="12" t="s">
        <v>333</v>
      </c>
      <c r="AF121" s="11">
        <v>0.215</v>
      </c>
      <c r="AG121" s="12" t="s">
        <v>333</v>
      </c>
      <c r="AH121" s="20">
        <v>0</v>
      </c>
      <c r="AI121" s="12" t="s">
        <v>333</v>
      </c>
      <c r="AJ121" s="20">
        <v>0</v>
      </c>
      <c r="AK121" s="12" t="s">
        <v>333</v>
      </c>
      <c r="AL121" s="20">
        <v>0</v>
      </c>
      <c r="AM121" s="12" t="s">
        <v>333</v>
      </c>
      <c r="AN121" s="20">
        <v>0</v>
      </c>
      <c r="AO121" s="12" t="s">
        <v>333</v>
      </c>
      <c r="AP121" s="20">
        <v>0</v>
      </c>
      <c r="AQ121" s="12" t="s">
        <v>333</v>
      </c>
      <c r="AR121" s="20">
        <v>0</v>
      </c>
      <c r="AS121" s="12" t="s">
        <v>333</v>
      </c>
      <c r="AT121" s="20">
        <v>0</v>
      </c>
      <c r="AU121" s="12" t="s">
        <v>333</v>
      </c>
      <c r="AV121" s="20">
        <v>0</v>
      </c>
      <c r="AW121" s="12" t="s">
        <v>333</v>
      </c>
      <c r="AX121" s="11">
        <v>0.85299999999999998</v>
      </c>
      <c r="AY121" s="12" t="s">
        <v>333</v>
      </c>
      <c r="AZ121" s="11">
        <v>0.85299999999999998</v>
      </c>
      <c r="BA121" s="12" t="s">
        <v>333</v>
      </c>
      <c r="BB121" s="11">
        <v>0.85299999999999998</v>
      </c>
      <c r="BC121" s="12" t="s">
        <v>333</v>
      </c>
      <c r="BD121" s="20">
        <v>0</v>
      </c>
      <c r="BE121" s="12" t="s">
        <v>333</v>
      </c>
      <c r="BF121" s="20">
        <v>0</v>
      </c>
      <c r="BG121" s="12" t="s">
        <v>333</v>
      </c>
      <c r="BH121" s="20">
        <v>0</v>
      </c>
      <c r="BI121" s="12" t="s">
        <v>333</v>
      </c>
      <c r="BJ121" s="20">
        <v>0</v>
      </c>
      <c r="BK121" s="12" t="s">
        <v>333</v>
      </c>
      <c r="BL121" s="20">
        <v>0</v>
      </c>
      <c r="BM121" s="12" t="s">
        <v>333</v>
      </c>
      <c r="BN121" s="20">
        <v>0</v>
      </c>
      <c r="BO121" s="12" t="s">
        <v>333</v>
      </c>
      <c r="BP121" s="20">
        <v>0</v>
      </c>
      <c r="BQ121" s="12" t="s">
        <v>333</v>
      </c>
      <c r="BR121" s="20">
        <v>0</v>
      </c>
      <c r="BS121" s="12" t="s">
        <v>333</v>
      </c>
      <c r="BT121" s="20">
        <v>0</v>
      </c>
      <c r="BU121" s="12" t="s">
        <v>333</v>
      </c>
      <c r="BV121" s="20">
        <v>0</v>
      </c>
      <c r="BW121" s="12" t="s">
        <v>333</v>
      </c>
      <c r="BX121" s="20">
        <v>0</v>
      </c>
      <c r="BY121" s="12" t="s">
        <v>333</v>
      </c>
      <c r="BZ121" s="20">
        <v>0</v>
      </c>
      <c r="CA121" s="12" t="s">
        <v>333</v>
      </c>
      <c r="CB121" s="20">
        <v>0</v>
      </c>
      <c r="CC121" s="12" t="s">
        <v>333</v>
      </c>
    </row>
    <row r="122" spans="1:81" x14ac:dyDescent="0.2">
      <c r="A122" s="10" t="s">
        <v>455</v>
      </c>
      <c r="B122" s="83">
        <v>0</v>
      </c>
      <c r="C122" s="82" t="s">
        <v>333</v>
      </c>
      <c r="D122" s="83">
        <v>0</v>
      </c>
      <c r="E122" s="82" t="s">
        <v>333</v>
      </c>
      <c r="F122" s="83">
        <v>0</v>
      </c>
      <c r="G122" s="82" t="s">
        <v>333</v>
      </c>
      <c r="H122" s="83">
        <v>0</v>
      </c>
      <c r="I122" s="82" t="s">
        <v>333</v>
      </c>
      <c r="J122" s="83">
        <v>0</v>
      </c>
      <c r="K122" s="82" t="s">
        <v>333</v>
      </c>
      <c r="L122" s="83">
        <v>0</v>
      </c>
      <c r="M122" s="82" t="s">
        <v>333</v>
      </c>
      <c r="N122" s="82" t="s">
        <v>202</v>
      </c>
      <c r="O122" s="82" t="s">
        <v>333</v>
      </c>
      <c r="P122" s="82" t="s">
        <v>202</v>
      </c>
      <c r="Q122" s="82" t="s">
        <v>333</v>
      </c>
      <c r="R122" s="82" t="s">
        <v>202</v>
      </c>
      <c r="S122" s="82" t="s">
        <v>333</v>
      </c>
      <c r="T122" s="82" t="s">
        <v>202</v>
      </c>
      <c r="U122" s="82" t="s">
        <v>333</v>
      </c>
      <c r="V122" s="82" t="s">
        <v>202</v>
      </c>
      <c r="W122" s="82" t="s">
        <v>333</v>
      </c>
      <c r="X122" s="83">
        <v>0</v>
      </c>
      <c r="Y122" s="82" t="s">
        <v>333</v>
      </c>
      <c r="Z122" s="83">
        <v>0</v>
      </c>
      <c r="AA122" s="82" t="s">
        <v>333</v>
      </c>
      <c r="AB122" s="83">
        <v>0</v>
      </c>
      <c r="AC122" s="82" t="s">
        <v>333</v>
      </c>
      <c r="AD122" s="83">
        <v>0</v>
      </c>
      <c r="AE122" s="82" t="s">
        <v>333</v>
      </c>
      <c r="AF122" s="83">
        <v>0</v>
      </c>
      <c r="AG122" s="82" t="s">
        <v>333</v>
      </c>
      <c r="AH122" s="83">
        <v>0</v>
      </c>
      <c r="AI122" s="82" t="s">
        <v>333</v>
      </c>
      <c r="AJ122" s="83">
        <v>0</v>
      </c>
      <c r="AK122" s="82" t="s">
        <v>333</v>
      </c>
      <c r="AL122" s="83">
        <v>0</v>
      </c>
      <c r="AM122" s="82" t="s">
        <v>333</v>
      </c>
      <c r="AN122" s="83">
        <v>0</v>
      </c>
      <c r="AO122" s="82" t="s">
        <v>333</v>
      </c>
      <c r="AP122" s="83">
        <v>0</v>
      </c>
      <c r="AQ122" s="82" t="s">
        <v>333</v>
      </c>
      <c r="AR122" s="83">
        <v>0</v>
      </c>
      <c r="AS122" s="82" t="s">
        <v>333</v>
      </c>
      <c r="AT122" s="83">
        <v>0</v>
      </c>
      <c r="AU122" s="82" t="s">
        <v>333</v>
      </c>
      <c r="AV122" s="83">
        <v>0</v>
      </c>
      <c r="AW122" s="82" t="s">
        <v>333</v>
      </c>
      <c r="AX122" s="83">
        <v>0</v>
      </c>
      <c r="AY122" s="82" t="s">
        <v>333</v>
      </c>
      <c r="AZ122" s="83">
        <v>0</v>
      </c>
      <c r="BA122" s="82" t="s">
        <v>333</v>
      </c>
      <c r="BB122" s="83">
        <v>0</v>
      </c>
      <c r="BC122" s="82" t="s">
        <v>333</v>
      </c>
      <c r="BD122" s="83">
        <v>0</v>
      </c>
      <c r="BE122" s="82" t="s">
        <v>333</v>
      </c>
      <c r="BF122" s="83">
        <v>0</v>
      </c>
      <c r="BG122" s="82" t="s">
        <v>333</v>
      </c>
      <c r="BH122" s="83">
        <v>0</v>
      </c>
      <c r="BI122" s="82" t="s">
        <v>333</v>
      </c>
      <c r="BJ122" s="83">
        <v>0</v>
      </c>
      <c r="BK122" s="82" t="s">
        <v>333</v>
      </c>
      <c r="BL122" s="83">
        <v>0</v>
      </c>
      <c r="BM122" s="82" t="s">
        <v>333</v>
      </c>
      <c r="BN122" s="83">
        <v>0</v>
      </c>
      <c r="BO122" s="82" t="s">
        <v>333</v>
      </c>
      <c r="BP122" s="83">
        <v>0</v>
      </c>
      <c r="BQ122" s="82" t="s">
        <v>333</v>
      </c>
      <c r="BR122" s="83">
        <v>0</v>
      </c>
      <c r="BS122" s="82" t="s">
        <v>333</v>
      </c>
      <c r="BT122" s="83">
        <v>0</v>
      </c>
      <c r="BU122" s="82" t="s">
        <v>333</v>
      </c>
      <c r="BV122" s="83">
        <v>0</v>
      </c>
      <c r="BW122" s="82" t="s">
        <v>333</v>
      </c>
      <c r="BX122" s="83">
        <v>0</v>
      </c>
      <c r="BY122" s="82" t="s">
        <v>333</v>
      </c>
      <c r="BZ122" s="83">
        <v>0</v>
      </c>
      <c r="CA122" s="82" t="s">
        <v>333</v>
      </c>
      <c r="CB122" s="83">
        <v>0</v>
      </c>
      <c r="CC122" s="82" t="s">
        <v>333</v>
      </c>
    </row>
    <row r="123" spans="1:81" x14ac:dyDescent="0.2">
      <c r="A123" s="10" t="s">
        <v>543</v>
      </c>
      <c r="B123" s="20">
        <v>2.48</v>
      </c>
      <c r="C123" s="12" t="s">
        <v>333</v>
      </c>
      <c r="D123" s="20">
        <v>2.48</v>
      </c>
      <c r="E123" s="12" t="s">
        <v>333</v>
      </c>
      <c r="F123" s="20">
        <v>0</v>
      </c>
      <c r="G123" s="12" t="s">
        <v>333</v>
      </c>
      <c r="H123" s="20">
        <v>0</v>
      </c>
      <c r="I123" s="12" t="s">
        <v>333</v>
      </c>
      <c r="J123" s="20">
        <v>0</v>
      </c>
      <c r="K123" s="12" t="s">
        <v>333</v>
      </c>
      <c r="L123" s="20">
        <v>0</v>
      </c>
      <c r="M123" s="12" t="s">
        <v>333</v>
      </c>
      <c r="N123" s="12" t="s">
        <v>202</v>
      </c>
      <c r="O123" s="12" t="s">
        <v>333</v>
      </c>
      <c r="P123" s="12" t="s">
        <v>202</v>
      </c>
      <c r="Q123" s="12" t="s">
        <v>333</v>
      </c>
      <c r="R123" s="12" t="s">
        <v>202</v>
      </c>
      <c r="S123" s="12" t="s">
        <v>333</v>
      </c>
      <c r="T123" s="12" t="s">
        <v>202</v>
      </c>
      <c r="U123" s="12" t="s">
        <v>333</v>
      </c>
      <c r="V123" s="12" t="s">
        <v>202</v>
      </c>
      <c r="W123" s="12" t="s">
        <v>333</v>
      </c>
      <c r="X123" s="20">
        <v>2.48</v>
      </c>
      <c r="Y123" s="12" t="s">
        <v>333</v>
      </c>
      <c r="Z123" s="20">
        <v>2.48</v>
      </c>
      <c r="AA123" s="12" t="s">
        <v>333</v>
      </c>
      <c r="AB123" s="20">
        <v>0</v>
      </c>
      <c r="AC123" s="12" t="s">
        <v>333</v>
      </c>
      <c r="AD123" s="20">
        <v>0</v>
      </c>
      <c r="AE123" s="12" t="s">
        <v>333</v>
      </c>
      <c r="AF123" s="11">
        <v>0.69199999999999995</v>
      </c>
      <c r="AG123" s="12" t="s">
        <v>333</v>
      </c>
      <c r="AH123" s="20">
        <v>0</v>
      </c>
      <c r="AI123" s="12" t="s">
        <v>333</v>
      </c>
      <c r="AJ123" s="20">
        <v>0</v>
      </c>
      <c r="AK123" s="12" t="s">
        <v>333</v>
      </c>
      <c r="AL123" s="20">
        <v>0</v>
      </c>
      <c r="AM123" s="12" t="s">
        <v>333</v>
      </c>
      <c r="AN123" s="20">
        <v>0</v>
      </c>
      <c r="AO123" s="12" t="s">
        <v>333</v>
      </c>
      <c r="AP123" s="20">
        <v>0</v>
      </c>
      <c r="AQ123" s="12" t="s">
        <v>333</v>
      </c>
      <c r="AR123" s="20">
        <v>0</v>
      </c>
      <c r="AS123" s="12" t="s">
        <v>333</v>
      </c>
      <c r="AT123" s="20">
        <v>0</v>
      </c>
      <c r="AU123" s="12" t="s">
        <v>333</v>
      </c>
      <c r="AV123" s="11">
        <v>3.0000000000000001E-3</v>
      </c>
      <c r="AW123" s="12" t="s">
        <v>333</v>
      </c>
      <c r="AX123" s="11">
        <v>1.7809999999999999</v>
      </c>
      <c r="AY123" s="12" t="s">
        <v>333</v>
      </c>
      <c r="AZ123" s="11">
        <v>1.7809999999999999</v>
      </c>
      <c r="BA123" s="12" t="s">
        <v>333</v>
      </c>
      <c r="BB123" s="11">
        <v>1.7809999999999999</v>
      </c>
      <c r="BC123" s="12" t="s">
        <v>333</v>
      </c>
      <c r="BD123" s="20">
        <v>0</v>
      </c>
      <c r="BE123" s="12" t="s">
        <v>333</v>
      </c>
      <c r="BF123" s="20">
        <v>0</v>
      </c>
      <c r="BG123" s="12" t="s">
        <v>333</v>
      </c>
      <c r="BH123" s="20">
        <v>0</v>
      </c>
      <c r="BI123" s="12" t="s">
        <v>333</v>
      </c>
      <c r="BJ123" s="20">
        <v>0</v>
      </c>
      <c r="BK123" s="12" t="s">
        <v>333</v>
      </c>
      <c r="BL123" s="20">
        <v>0</v>
      </c>
      <c r="BM123" s="12" t="s">
        <v>333</v>
      </c>
      <c r="BN123" s="20">
        <v>0</v>
      </c>
      <c r="BO123" s="12" t="s">
        <v>333</v>
      </c>
      <c r="BP123" s="20">
        <v>0</v>
      </c>
      <c r="BQ123" s="12" t="s">
        <v>333</v>
      </c>
      <c r="BR123" s="20">
        <v>0</v>
      </c>
      <c r="BS123" s="12" t="s">
        <v>333</v>
      </c>
      <c r="BT123" s="20">
        <v>0</v>
      </c>
      <c r="BU123" s="12" t="s">
        <v>333</v>
      </c>
      <c r="BV123" s="11">
        <v>4.0000000000000001E-3</v>
      </c>
      <c r="BW123" s="12" t="s">
        <v>333</v>
      </c>
      <c r="BX123" s="20">
        <v>0</v>
      </c>
      <c r="BY123" s="12" t="s">
        <v>333</v>
      </c>
      <c r="BZ123" s="20">
        <v>0</v>
      </c>
      <c r="CA123" s="12" t="s">
        <v>333</v>
      </c>
      <c r="CB123" s="20">
        <v>0</v>
      </c>
      <c r="CC123" s="12" t="s">
        <v>333</v>
      </c>
    </row>
    <row r="124" spans="1:81" x14ac:dyDescent="0.2">
      <c r="A124" s="10" t="s">
        <v>291</v>
      </c>
      <c r="B124" s="83">
        <v>2.48</v>
      </c>
      <c r="C124" s="82" t="s">
        <v>333</v>
      </c>
      <c r="D124" s="83">
        <v>2.48</v>
      </c>
      <c r="E124" s="82" t="s">
        <v>333</v>
      </c>
      <c r="F124" s="83">
        <v>0</v>
      </c>
      <c r="G124" s="82" t="s">
        <v>333</v>
      </c>
      <c r="H124" s="83">
        <v>0</v>
      </c>
      <c r="I124" s="82" t="s">
        <v>333</v>
      </c>
      <c r="J124" s="83">
        <v>0</v>
      </c>
      <c r="K124" s="82" t="s">
        <v>333</v>
      </c>
      <c r="L124" s="83">
        <v>0</v>
      </c>
      <c r="M124" s="82" t="s">
        <v>333</v>
      </c>
      <c r="N124" s="82" t="s">
        <v>202</v>
      </c>
      <c r="O124" s="82" t="s">
        <v>333</v>
      </c>
      <c r="P124" s="82" t="s">
        <v>202</v>
      </c>
      <c r="Q124" s="82" t="s">
        <v>333</v>
      </c>
      <c r="R124" s="82" t="s">
        <v>202</v>
      </c>
      <c r="S124" s="82" t="s">
        <v>333</v>
      </c>
      <c r="T124" s="82" t="s">
        <v>202</v>
      </c>
      <c r="U124" s="82" t="s">
        <v>333</v>
      </c>
      <c r="V124" s="82" t="s">
        <v>202</v>
      </c>
      <c r="W124" s="82" t="s">
        <v>333</v>
      </c>
      <c r="X124" s="83">
        <v>2.48</v>
      </c>
      <c r="Y124" s="82" t="s">
        <v>333</v>
      </c>
      <c r="Z124" s="83">
        <v>2.48</v>
      </c>
      <c r="AA124" s="82" t="s">
        <v>333</v>
      </c>
      <c r="AB124" s="83">
        <v>0</v>
      </c>
      <c r="AC124" s="82" t="s">
        <v>333</v>
      </c>
      <c r="AD124" s="83">
        <v>0</v>
      </c>
      <c r="AE124" s="82" t="s">
        <v>333</v>
      </c>
      <c r="AF124" s="81">
        <v>0.69199999999999995</v>
      </c>
      <c r="AG124" s="82" t="s">
        <v>333</v>
      </c>
      <c r="AH124" s="83">
        <v>0</v>
      </c>
      <c r="AI124" s="82" t="s">
        <v>333</v>
      </c>
      <c r="AJ124" s="83">
        <v>0</v>
      </c>
      <c r="AK124" s="82" t="s">
        <v>333</v>
      </c>
      <c r="AL124" s="83">
        <v>0</v>
      </c>
      <c r="AM124" s="82" t="s">
        <v>333</v>
      </c>
      <c r="AN124" s="83">
        <v>0</v>
      </c>
      <c r="AO124" s="82" t="s">
        <v>333</v>
      </c>
      <c r="AP124" s="83">
        <v>0</v>
      </c>
      <c r="AQ124" s="82" t="s">
        <v>333</v>
      </c>
      <c r="AR124" s="83">
        <v>0</v>
      </c>
      <c r="AS124" s="82" t="s">
        <v>333</v>
      </c>
      <c r="AT124" s="83">
        <v>0</v>
      </c>
      <c r="AU124" s="82" t="s">
        <v>333</v>
      </c>
      <c r="AV124" s="81">
        <v>3.0000000000000001E-3</v>
      </c>
      <c r="AW124" s="82" t="s">
        <v>333</v>
      </c>
      <c r="AX124" s="81">
        <v>1.7809999999999999</v>
      </c>
      <c r="AY124" s="82" t="s">
        <v>333</v>
      </c>
      <c r="AZ124" s="81">
        <v>1.7809999999999999</v>
      </c>
      <c r="BA124" s="82" t="s">
        <v>333</v>
      </c>
      <c r="BB124" s="81">
        <v>1.7809999999999999</v>
      </c>
      <c r="BC124" s="82" t="s">
        <v>333</v>
      </c>
      <c r="BD124" s="83">
        <v>0</v>
      </c>
      <c r="BE124" s="82" t="s">
        <v>333</v>
      </c>
      <c r="BF124" s="83">
        <v>0</v>
      </c>
      <c r="BG124" s="82" t="s">
        <v>333</v>
      </c>
      <c r="BH124" s="83">
        <v>0</v>
      </c>
      <c r="BI124" s="82" t="s">
        <v>333</v>
      </c>
      <c r="BJ124" s="83">
        <v>0</v>
      </c>
      <c r="BK124" s="82" t="s">
        <v>333</v>
      </c>
      <c r="BL124" s="83">
        <v>0</v>
      </c>
      <c r="BM124" s="82" t="s">
        <v>333</v>
      </c>
      <c r="BN124" s="83">
        <v>0</v>
      </c>
      <c r="BO124" s="82" t="s">
        <v>333</v>
      </c>
      <c r="BP124" s="83">
        <v>0</v>
      </c>
      <c r="BQ124" s="82" t="s">
        <v>333</v>
      </c>
      <c r="BR124" s="83">
        <v>0</v>
      </c>
      <c r="BS124" s="82" t="s">
        <v>333</v>
      </c>
      <c r="BT124" s="83">
        <v>0</v>
      </c>
      <c r="BU124" s="82" t="s">
        <v>333</v>
      </c>
      <c r="BV124" s="81">
        <v>4.0000000000000001E-3</v>
      </c>
      <c r="BW124" s="82" t="s">
        <v>333</v>
      </c>
      <c r="BX124" s="83">
        <v>0</v>
      </c>
      <c r="BY124" s="82" t="s">
        <v>333</v>
      </c>
      <c r="BZ124" s="83">
        <v>0</v>
      </c>
      <c r="CA124" s="82" t="s">
        <v>333</v>
      </c>
      <c r="CB124" s="83">
        <v>0</v>
      </c>
      <c r="CC124" s="82" t="s">
        <v>333</v>
      </c>
    </row>
    <row r="125" spans="1:81" x14ac:dyDescent="0.2">
      <c r="A125" s="10" t="s">
        <v>456</v>
      </c>
      <c r="B125" s="20">
        <v>0</v>
      </c>
      <c r="C125" s="12" t="s">
        <v>333</v>
      </c>
      <c r="D125" s="20">
        <v>0</v>
      </c>
      <c r="E125" s="12" t="s">
        <v>333</v>
      </c>
      <c r="F125" s="20">
        <v>0</v>
      </c>
      <c r="G125" s="12" t="s">
        <v>333</v>
      </c>
      <c r="H125" s="20">
        <v>0</v>
      </c>
      <c r="I125" s="12" t="s">
        <v>333</v>
      </c>
      <c r="J125" s="20">
        <v>0</v>
      </c>
      <c r="K125" s="12" t="s">
        <v>333</v>
      </c>
      <c r="L125" s="20">
        <v>0</v>
      </c>
      <c r="M125" s="12" t="s">
        <v>333</v>
      </c>
      <c r="N125" s="12" t="s">
        <v>202</v>
      </c>
      <c r="O125" s="12" t="s">
        <v>333</v>
      </c>
      <c r="P125" s="12" t="s">
        <v>202</v>
      </c>
      <c r="Q125" s="12" t="s">
        <v>333</v>
      </c>
      <c r="R125" s="12" t="s">
        <v>202</v>
      </c>
      <c r="S125" s="12" t="s">
        <v>333</v>
      </c>
      <c r="T125" s="12" t="s">
        <v>202</v>
      </c>
      <c r="U125" s="12" t="s">
        <v>333</v>
      </c>
      <c r="V125" s="12" t="s">
        <v>202</v>
      </c>
      <c r="W125" s="12" t="s">
        <v>333</v>
      </c>
      <c r="X125" s="20">
        <v>0</v>
      </c>
      <c r="Y125" s="12" t="s">
        <v>333</v>
      </c>
      <c r="Z125" s="20">
        <v>0</v>
      </c>
      <c r="AA125" s="12" t="s">
        <v>333</v>
      </c>
      <c r="AB125" s="20">
        <v>0</v>
      </c>
      <c r="AC125" s="12" t="s">
        <v>333</v>
      </c>
      <c r="AD125" s="20">
        <v>0</v>
      </c>
      <c r="AE125" s="12" t="s">
        <v>333</v>
      </c>
      <c r="AF125" s="20">
        <v>0</v>
      </c>
      <c r="AG125" s="12" t="s">
        <v>333</v>
      </c>
      <c r="AH125" s="20">
        <v>0</v>
      </c>
      <c r="AI125" s="12" t="s">
        <v>333</v>
      </c>
      <c r="AJ125" s="20">
        <v>0</v>
      </c>
      <c r="AK125" s="12" t="s">
        <v>333</v>
      </c>
      <c r="AL125" s="20">
        <v>0</v>
      </c>
      <c r="AM125" s="12" t="s">
        <v>333</v>
      </c>
      <c r="AN125" s="20">
        <v>0</v>
      </c>
      <c r="AO125" s="12" t="s">
        <v>333</v>
      </c>
      <c r="AP125" s="20">
        <v>0</v>
      </c>
      <c r="AQ125" s="12" t="s">
        <v>333</v>
      </c>
      <c r="AR125" s="20">
        <v>0</v>
      </c>
      <c r="AS125" s="12" t="s">
        <v>333</v>
      </c>
      <c r="AT125" s="20">
        <v>0</v>
      </c>
      <c r="AU125" s="12" t="s">
        <v>333</v>
      </c>
      <c r="AV125" s="20">
        <v>0</v>
      </c>
      <c r="AW125" s="12" t="s">
        <v>333</v>
      </c>
      <c r="AX125" s="20">
        <v>0</v>
      </c>
      <c r="AY125" s="12" t="s">
        <v>333</v>
      </c>
      <c r="AZ125" s="20">
        <v>0</v>
      </c>
      <c r="BA125" s="12" t="s">
        <v>333</v>
      </c>
      <c r="BB125" s="20">
        <v>0</v>
      </c>
      <c r="BC125" s="12" t="s">
        <v>333</v>
      </c>
      <c r="BD125" s="20">
        <v>0</v>
      </c>
      <c r="BE125" s="12" t="s">
        <v>333</v>
      </c>
      <c r="BF125" s="20">
        <v>0</v>
      </c>
      <c r="BG125" s="12" t="s">
        <v>333</v>
      </c>
      <c r="BH125" s="20">
        <v>0</v>
      </c>
      <c r="BI125" s="12" t="s">
        <v>333</v>
      </c>
      <c r="BJ125" s="20">
        <v>0</v>
      </c>
      <c r="BK125" s="12" t="s">
        <v>333</v>
      </c>
      <c r="BL125" s="20">
        <v>0</v>
      </c>
      <c r="BM125" s="12" t="s">
        <v>333</v>
      </c>
      <c r="BN125" s="20">
        <v>0</v>
      </c>
      <c r="BO125" s="12" t="s">
        <v>333</v>
      </c>
      <c r="BP125" s="20">
        <v>0</v>
      </c>
      <c r="BQ125" s="12" t="s">
        <v>333</v>
      </c>
      <c r="BR125" s="20">
        <v>0</v>
      </c>
      <c r="BS125" s="12" t="s">
        <v>333</v>
      </c>
      <c r="BT125" s="20">
        <v>0</v>
      </c>
      <c r="BU125" s="12" t="s">
        <v>333</v>
      </c>
      <c r="BV125" s="20">
        <v>0</v>
      </c>
      <c r="BW125" s="12" t="s">
        <v>333</v>
      </c>
      <c r="BX125" s="20">
        <v>0</v>
      </c>
      <c r="BY125" s="12" t="s">
        <v>333</v>
      </c>
      <c r="BZ125" s="20">
        <v>0</v>
      </c>
      <c r="CA125" s="12" t="s">
        <v>333</v>
      </c>
      <c r="CB125" s="20">
        <v>0</v>
      </c>
      <c r="CC125" s="12" t="s">
        <v>333</v>
      </c>
    </row>
    <row r="126" spans="1:81" x14ac:dyDescent="0.2">
      <c r="A126" s="10" t="s">
        <v>544</v>
      </c>
      <c r="B126" s="81">
        <v>0.41799999999999998</v>
      </c>
      <c r="C126" s="82" t="s">
        <v>333</v>
      </c>
      <c r="D126" s="81">
        <v>0.41799999999999998</v>
      </c>
      <c r="E126" s="82" t="s">
        <v>333</v>
      </c>
      <c r="F126" s="83">
        <v>0</v>
      </c>
      <c r="G126" s="82" t="s">
        <v>333</v>
      </c>
      <c r="H126" s="83">
        <v>0</v>
      </c>
      <c r="I126" s="82" t="s">
        <v>333</v>
      </c>
      <c r="J126" s="83">
        <v>0</v>
      </c>
      <c r="K126" s="82" t="s">
        <v>333</v>
      </c>
      <c r="L126" s="83">
        <v>0</v>
      </c>
      <c r="M126" s="82" t="s">
        <v>333</v>
      </c>
      <c r="N126" s="82" t="s">
        <v>202</v>
      </c>
      <c r="O126" s="82" t="s">
        <v>333</v>
      </c>
      <c r="P126" s="82" t="s">
        <v>202</v>
      </c>
      <c r="Q126" s="82" t="s">
        <v>333</v>
      </c>
      <c r="R126" s="82" t="s">
        <v>202</v>
      </c>
      <c r="S126" s="82" t="s">
        <v>333</v>
      </c>
      <c r="T126" s="82" t="s">
        <v>202</v>
      </c>
      <c r="U126" s="82" t="s">
        <v>333</v>
      </c>
      <c r="V126" s="82" t="s">
        <v>202</v>
      </c>
      <c r="W126" s="82" t="s">
        <v>333</v>
      </c>
      <c r="X126" s="81">
        <v>0.41799999999999998</v>
      </c>
      <c r="Y126" s="82" t="s">
        <v>333</v>
      </c>
      <c r="Z126" s="81">
        <v>0.41799999999999998</v>
      </c>
      <c r="AA126" s="82" t="s">
        <v>333</v>
      </c>
      <c r="AB126" s="83">
        <v>0</v>
      </c>
      <c r="AC126" s="82" t="s">
        <v>333</v>
      </c>
      <c r="AD126" s="83">
        <v>0</v>
      </c>
      <c r="AE126" s="82" t="s">
        <v>333</v>
      </c>
      <c r="AF126" s="81">
        <v>0.41399999999999998</v>
      </c>
      <c r="AG126" s="82" t="s">
        <v>333</v>
      </c>
      <c r="AH126" s="83">
        <v>0</v>
      </c>
      <c r="AI126" s="82" t="s">
        <v>333</v>
      </c>
      <c r="AJ126" s="83">
        <v>0</v>
      </c>
      <c r="AK126" s="82" t="s">
        <v>333</v>
      </c>
      <c r="AL126" s="83">
        <v>0</v>
      </c>
      <c r="AM126" s="82" t="s">
        <v>333</v>
      </c>
      <c r="AN126" s="83">
        <v>0</v>
      </c>
      <c r="AO126" s="82" t="s">
        <v>333</v>
      </c>
      <c r="AP126" s="83">
        <v>0</v>
      </c>
      <c r="AQ126" s="82" t="s">
        <v>333</v>
      </c>
      <c r="AR126" s="83">
        <v>0</v>
      </c>
      <c r="AS126" s="82" t="s">
        <v>333</v>
      </c>
      <c r="AT126" s="83">
        <v>0</v>
      </c>
      <c r="AU126" s="82" t="s">
        <v>333</v>
      </c>
      <c r="AV126" s="83">
        <v>0</v>
      </c>
      <c r="AW126" s="82" t="s">
        <v>333</v>
      </c>
      <c r="AX126" s="81">
        <v>4.0000000000000001E-3</v>
      </c>
      <c r="AY126" s="82" t="s">
        <v>333</v>
      </c>
      <c r="AZ126" s="81">
        <v>4.0000000000000001E-3</v>
      </c>
      <c r="BA126" s="82" t="s">
        <v>333</v>
      </c>
      <c r="BB126" s="81">
        <v>4.0000000000000001E-3</v>
      </c>
      <c r="BC126" s="82" t="s">
        <v>333</v>
      </c>
      <c r="BD126" s="83">
        <v>0</v>
      </c>
      <c r="BE126" s="82" t="s">
        <v>333</v>
      </c>
      <c r="BF126" s="83">
        <v>0</v>
      </c>
      <c r="BG126" s="82" t="s">
        <v>333</v>
      </c>
      <c r="BH126" s="83">
        <v>0</v>
      </c>
      <c r="BI126" s="82" t="s">
        <v>333</v>
      </c>
      <c r="BJ126" s="83">
        <v>0</v>
      </c>
      <c r="BK126" s="82" t="s">
        <v>333</v>
      </c>
      <c r="BL126" s="83">
        <v>0</v>
      </c>
      <c r="BM126" s="82" t="s">
        <v>333</v>
      </c>
      <c r="BN126" s="83">
        <v>0</v>
      </c>
      <c r="BO126" s="82" t="s">
        <v>333</v>
      </c>
      <c r="BP126" s="83">
        <v>0</v>
      </c>
      <c r="BQ126" s="82" t="s">
        <v>333</v>
      </c>
      <c r="BR126" s="83">
        <v>0</v>
      </c>
      <c r="BS126" s="82" t="s">
        <v>333</v>
      </c>
      <c r="BT126" s="83">
        <v>0</v>
      </c>
      <c r="BU126" s="82" t="s">
        <v>333</v>
      </c>
      <c r="BV126" s="83">
        <v>0</v>
      </c>
      <c r="BW126" s="82" t="s">
        <v>333</v>
      </c>
      <c r="BX126" s="83">
        <v>0</v>
      </c>
      <c r="BY126" s="82" t="s">
        <v>333</v>
      </c>
      <c r="BZ126" s="83">
        <v>0</v>
      </c>
      <c r="CA126" s="82" t="s">
        <v>333</v>
      </c>
      <c r="CB126" s="83">
        <v>0</v>
      </c>
      <c r="CC126" s="82" t="s">
        <v>333</v>
      </c>
    </row>
    <row r="127" spans="1:81" x14ac:dyDescent="0.2">
      <c r="A127" s="10" t="s">
        <v>292</v>
      </c>
      <c r="B127" s="11">
        <v>0.41799999999999998</v>
      </c>
      <c r="C127" s="12" t="s">
        <v>333</v>
      </c>
      <c r="D127" s="11">
        <v>0.41799999999999998</v>
      </c>
      <c r="E127" s="12" t="s">
        <v>333</v>
      </c>
      <c r="F127" s="20">
        <v>0</v>
      </c>
      <c r="G127" s="12" t="s">
        <v>333</v>
      </c>
      <c r="H127" s="20">
        <v>0</v>
      </c>
      <c r="I127" s="12" t="s">
        <v>333</v>
      </c>
      <c r="J127" s="20">
        <v>0</v>
      </c>
      <c r="K127" s="12" t="s">
        <v>333</v>
      </c>
      <c r="L127" s="20">
        <v>0</v>
      </c>
      <c r="M127" s="12" t="s">
        <v>333</v>
      </c>
      <c r="N127" s="12" t="s">
        <v>202</v>
      </c>
      <c r="O127" s="12" t="s">
        <v>333</v>
      </c>
      <c r="P127" s="12" t="s">
        <v>202</v>
      </c>
      <c r="Q127" s="12" t="s">
        <v>333</v>
      </c>
      <c r="R127" s="12" t="s">
        <v>202</v>
      </c>
      <c r="S127" s="12" t="s">
        <v>333</v>
      </c>
      <c r="T127" s="12" t="s">
        <v>202</v>
      </c>
      <c r="U127" s="12" t="s">
        <v>333</v>
      </c>
      <c r="V127" s="12" t="s">
        <v>202</v>
      </c>
      <c r="W127" s="12" t="s">
        <v>333</v>
      </c>
      <c r="X127" s="11">
        <v>0.41799999999999998</v>
      </c>
      <c r="Y127" s="12" t="s">
        <v>333</v>
      </c>
      <c r="Z127" s="11">
        <v>0.41799999999999998</v>
      </c>
      <c r="AA127" s="12" t="s">
        <v>333</v>
      </c>
      <c r="AB127" s="20">
        <v>0</v>
      </c>
      <c r="AC127" s="12" t="s">
        <v>333</v>
      </c>
      <c r="AD127" s="20">
        <v>0</v>
      </c>
      <c r="AE127" s="12" t="s">
        <v>333</v>
      </c>
      <c r="AF127" s="11">
        <v>0.41399999999999998</v>
      </c>
      <c r="AG127" s="12" t="s">
        <v>333</v>
      </c>
      <c r="AH127" s="20">
        <v>0</v>
      </c>
      <c r="AI127" s="12" t="s">
        <v>333</v>
      </c>
      <c r="AJ127" s="20">
        <v>0</v>
      </c>
      <c r="AK127" s="12" t="s">
        <v>333</v>
      </c>
      <c r="AL127" s="20">
        <v>0</v>
      </c>
      <c r="AM127" s="12" t="s">
        <v>333</v>
      </c>
      <c r="AN127" s="20">
        <v>0</v>
      </c>
      <c r="AO127" s="12" t="s">
        <v>333</v>
      </c>
      <c r="AP127" s="20">
        <v>0</v>
      </c>
      <c r="AQ127" s="12" t="s">
        <v>333</v>
      </c>
      <c r="AR127" s="20">
        <v>0</v>
      </c>
      <c r="AS127" s="12" t="s">
        <v>333</v>
      </c>
      <c r="AT127" s="20">
        <v>0</v>
      </c>
      <c r="AU127" s="12" t="s">
        <v>333</v>
      </c>
      <c r="AV127" s="20">
        <v>0</v>
      </c>
      <c r="AW127" s="12" t="s">
        <v>333</v>
      </c>
      <c r="AX127" s="11">
        <v>4.0000000000000001E-3</v>
      </c>
      <c r="AY127" s="12" t="s">
        <v>333</v>
      </c>
      <c r="AZ127" s="11">
        <v>4.0000000000000001E-3</v>
      </c>
      <c r="BA127" s="12" t="s">
        <v>333</v>
      </c>
      <c r="BB127" s="11">
        <v>4.0000000000000001E-3</v>
      </c>
      <c r="BC127" s="12" t="s">
        <v>333</v>
      </c>
      <c r="BD127" s="20">
        <v>0</v>
      </c>
      <c r="BE127" s="12" t="s">
        <v>333</v>
      </c>
      <c r="BF127" s="20">
        <v>0</v>
      </c>
      <c r="BG127" s="12" t="s">
        <v>333</v>
      </c>
      <c r="BH127" s="20">
        <v>0</v>
      </c>
      <c r="BI127" s="12" t="s">
        <v>333</v>
      </c>
      <c r="BJ127" s="20">
        <v>0</v>
      </c>
      <c r="BK127" s="12" t="s">
        <v>333</v>
      </c>
      <c r="BL127" s="20">
        <v>0</v>
      </c>
      <c r="BM127" s="12" t="s">
        <v>333</v>
      </c>
      <c r="BN127" s="20">
        <v>0</v>
      </c>
      <c r="BO127" s="12" t="s">
        <v>333</v>
      </c>
      <c r="BP127" s="20">
        <v>0</v>
      </c>
      <c r="BQ127" s="12" t="s">
        <v>333</v>
      </c>
      <c r="BR127" s="20">
        <v>0</v>
      </c>
      <c r="BS127" s="12" t="s">
        <v>333</v>
      </c>
      <c r="BT127" s="20">
        <v>0</v>
      </c>
      <c r="BU127" s="12" t="s">
        <v>333</v>
      </c>
      <c r="BV127" s="20">
        <v>0</v>
      </c>
      <c r="BW127" s="12" t="s">
        <v>333</v>
      </c>
      <c r="BX127" s="20">
        <v>0</v>
      </c>
      <c r="BY127" s="12" t="s">
        <v>333</v>
      </c>
      <c r="BZ127" s="20">
        <v>0</v>
      </c>
      <c r="CA127" s="12" t="s">
        <v>333</v>
      </c>
      <c r="CB127" s="20">
        <v>0</v>
      </c>
      <c r="CC127" s="12" t="s">
        <v>333</v>
      </c>
    </row>
    <row r="128" spans="1:81" x14ac:dyDescent="0.2">
      <c r="A128" s="10" t="s">
        <v>457</v>
      </c>
      <c r="B128" s="83">
        <v>0</v>
      </c>
      <c r="C128" s="82" t="s">
        <v>333</v>
      </c>
      <c r="D128" s="83">
        <v>0</v>
      </c>
      <c r="E128" s="82" t="s">
        <v>333</v>
      </c>
      <c r="F128" s="83">
        <v>0</v>
      </c>
      <c r="G128" s="82" t="s">
        <v>333</v>
      </c>
      <c r="H128" s="83">
        <v>0</v>
      </c>
      <c r="I128" s="82" t="s">
        <v>333</v>
      </c>
      <c r="J128" s="83">
        <v>0</v>
      </c>
      <c r="K128" s="82" t="s">
        <v>333</v>
      </c>
      <c r="L128" s="83">
        <v>0</v>
      </c>
      <c r="M128" s="82" t="s">
        <v>333</v>
      </c>
      <c r="N128" s="82" t="s">
        <v>202</v>
      </c>
      <c r="O128" s="82" t="s">
        <v>333</v>
      </c>
      <c r="P128" s="82" t="s">
        <v>202</v>
      </c>
      <c r="Q128" s="82" t="s">
        <v>333</v>
      </c>
      <c r="R128" s="82" t="s">
        <v>202</v>
      </c>
      <c r="S128" s="82" t="s">
        <v>333</v>
      </c>
      <c r="T128" s="82" t="s">
        <v>202</v>
      </c>
      <c r="U128" s="82" t="s">
        <v>333</v>
      </c>
      <c r="V128" s="82" t="s">
        <v>202</v>
      </c>
      <c r="W128" s="82" t="s">
        <v>333</v>
      </c>
      <c r="X128" s="83">
        <v>0</v>
      </c>
      <c r="Y128" s="82" t="s">
        <v>333</v>
      </c>
      <c r="Z128" s="83">
        <v>0</v>
      </c>
      <c r="AA128" s="82" t="s">
        <v>333</v>
      </c>
      <c r="AB128" s="83">
        <v>0</v>
      </c>
      <c r="AC128" s="82" t="s">
        <v>333</v>
      </c>
      <c r="AD128" s="83">
        <v>0</v>
      </c>
      <c r="AE128" s="82" t="s">
        <v>333</v>
      </c>
      <c r="AF128" s="83">
        <v>0</v>
      </c>
      <c r="AG128" s="82" t="s">
        <v>333</v>
      </c>
      <c r="AH128" s="83">
        <v>0</v>
      </c>
      <c r="AI128" s="82" t="s">
        <v>333</v>
      </c>
      <c r="AJ128" s="83">
        <v>0</v>
      </c>
      <c r="AK128" s="82" t="s">
        <v>333</v>
      </c>
      <c r="AL128" s="83">
        <v>0</v>
      </c>
      <c r="AM128" s="82" t="s">
        <v>333</v>
      </c>
      <c r="AN128" s="83">
        <v>0</v>
      </c>
      <c r="AO128" s="82" t="s">
        <v>333</v>
      </c>
      <c r="AP128" s="83">
        <v>0</v>
      </c>
      <c r="AQ128" s="82" t="s">
        <v>333</v>
      </c>
      <c r="AR128" s="83">
        <v>0</v>
      </c>
      <c r="AS128" s="82" t="s">
        <v>333</v>
      </c>
      <c r="AT128" s="83">
        <v>0</v>
      </c>
      <c r="AU128" s="82" t="s">
        <v>333</v>
      </c>
      <c r="AV128" s="83">
        <v>0</v>
      </c>
      <c r="AW128" s="82" t="s">
        <v>333</v>
      </c>
      <c r="AX128" s="83">
        <v>0</v>
      </c>
      <c r="AY128" s="82" t="s">
        <v>333</v>
      </c>
      <c r="AZ128" s="83">
        <v>0</v>
      </c>
      <c r="BA128" s="82" t="s">
        <v>333</v>
      </c>
      <c r="BB128" s="83">
        <v>0</v>
      </c>
      <c r="BC128" s="82" t="s">
        <v>333</v>
      </c>
      <c r="BD128" s="83">
        <v>0</v>
      </c>
      <c r="BE128" s="82" t="s">
        <v>333</v>
      </c>
      <c r="BF128" s="83">
        <v>0</v>
      </c>
      <c r="BG128" s="82" t="s">
        <v>333</v>
      </c>
      <c r="BH128" s="83">
        <v>0</v>
      </c>
      <c r="BI128" s="82" t="s">
        <v>333</v>
      </c>
      <c r="BJ128" s="83">
        <v>0</v>
      </c>
      <c r="BK128" s="82" t="s">
        <v>333</v>
      </c>
      <c r="BL128" s="83">
        <v>0</v>
      </c>
      <c r="BM128" s="82" t="s">
        <v>333</v>
      </c>
      <c r="BN128" s="83">
        <v>0</v>
      </c>
      <c r="BO128" s="82" t="s">
        <v>333</v>
      </c>
      <c r="BP128" s="83">
        <v>0</v>
      </c>
      <c r="BQ128" s="82" t="s">
        <v>333</v>
      </c>
      <c r="BR128" s="83">
        <v>0</v>
      </c>
      <c r="BS128" s="82" t="s">
        <v>333</v>
      </c>
      <c r="BT128" s="83">
        <v>0</v>
      </c>
      <c r="BU128" s="82" t="s">
        <v>333</v>
      </c>
      <c r="BV128" s="83">
        <v>0</v>
      </c>
      <c r="BW128" s="82" t="s">
        <v>333</v>
      </c>
      <c r="BX128" s="83">
        <v>0</v>
      </c>
      <c r="BY128" s="82" t="s">
        <v>333</v>
      </c>
      <c r="BZ128" s="83">
        <v>0</v>
      </c>
      <c r="CA128" s="82" t="s">
        <v>333</v>
      </c>
      <c r="CB128" s="83">
        <v>0</v>
      </c>
      <c r="CC128" s="82" t="s">
        <v>333</v>
      </c>
    </row>
    <row r="129" spans="1:81" x14ac:dyDescent="0.2">
      <c r="A129" s="10" t="s">
        <v>545</v>
      </c>
      <c r="B129" s="11">
        <v>111.854</v>
      </c>
      <c r="C129" s="12" t="s">
        <v>333</v>
      </c>
      <c r="D129" s="11">
        <v>111.854</v>
      </c>
      <c r="E129" s="12" t="s">
        <v>333</v>
      </c>
      <c r="F129" s="20">
        <v>0</v>
      </c>
      <c r="G129" s="12" t="s">
        <v>333</v>
      </c>
      <c r="H129" s="20">
        <v>0</v>
      </c>
      <c r="I129" s="12" t="s">
        <v>333</v>
      </c>
      <c r="J129" s="20">
        <v>0</v>
      </c>
      <c r="K129" s="12" t="s">
        <v>333</v>
      </c>
      <c r="L129" s="20">
        <v>0</v>
      </c>
      <c r="M129" s="12" t="s">
        <v>333</v>
      </c>
      <c r="N129" s="12" t="s">
        <v>202</v>
      </c>
      <c r="O129" s="12" t="s">
        <v>333</v>
      </c>
      <c r="P129" s="12" t="s">
        <v>202</v>
      </c>
      <c r="Q129" s="12" t="s">
        <v>333</v>
      </c>
      <c r="R129" s="12" t="s">
        <v>202</v>
      </c>
      <c r="S129" s="12" t="s">
        <v>333</v>
      </c>
      <c r="T129" s="12" t="s">
        <v>202</v>
      </c>
      <c r="U129" s="12" t="s">
        <v>333</v>
      </c>
      <c r="V129" s="12" t="s">
        <v>202</v>
      </c>
      <c r="W129" s="12" t="s">
        <v>333</v>
      </c>
      <c r="X129" s="11">
        <v>111.854</v>
      </c>
      <c r="Y129" s="12" t="s">
        <v>333</v>
      </c>
      <c r="Z129" s="11">
        <v>111.854</v>
      </c>
      <c r="AA129" s="12" t="s">
        <v>333</v>
      </c>
      <c r="AB129" s="20">
        <v>0</v>
      </c>
      <c r="AC129" s="12" t="s">
        <v>333</v>
      </c>
      <c r="AD129" s="20">
        <v>0</v>
      </c>
      <c r="AE129" s="12" t="s">
        <v>333</v>
      </c>
      <c r="AF129" s="11">
        <v>2.0720000000000001</v>
      </c>
      <c r="AG129" s="12" t="s">
        <v>333</v>
      </c>
      <c r="AH129" s="20">
        <v>0</v>
      </c>
      <c r="AI129" s="12" t="s">
        <v>333</v>
      </c>
      <c r="AJ129" s="20">
        <v>0</v>
      </c>
      <c r="AK129" s="12" t="s">
        <v>333</v>
      </c>
      <c r="AL129" s="20">
        <v>0</v>
      </c>
      <c r="AM129" s="12" t="s">
        <v>333</v>
      </c>
      <c r="AN129" s="20">
        <v>0</v>
      </c>
      <c r="AO129" s="12" t="s">
        <v>333</v>
      </c>
      <c r="AP129" s="20">
        <v>0</v>
      </c>
      <c r="AQ129" s="12" t="s">
        <v>333</v>
      </c>
      <c r="AR129" s="20">
        <v>0</v>
      </c>
      <c r="AS129" s="12" t="s">
        <v>333</v>
      </c>
      <c r="AT129" s="20">
        <v>0</v>
      </c>
      <c r="AU129" s="12" t="s">
        <v>333</v>
      </c>
      <c r="AV129" s="11">
        <v>4.1000000000000002E-2</v>
      </c>
      <c r="AW129" s="12" t="s">
        <v>333</v>
      </c>
      <c r="AX129" s="11">
        <v>1.786</v>
      </c>
      <c r="AY129" s="12" t="s">
        <v>333</v>
      </c>
      <c r="AZ129" s="11">
        <v>1.786</v>
      </c>
      <c r="BA129" s="12" t="s">
        <v>333</v>
      </c>
      <c r="BB129" s="11">
        <v>1.786</v>
      </c>
      <c r="BC129" s="12" t="s">
        <v>333</v>
      </c>
      <c r="BD129" s="20">
        <v>0</v>
      </c>
      <c r="BE129" s="12" t="s">
        <v>333</v>
      </c>
      <c r="BF129" s="20">
        <v>0</v>
      </c>
      <c r="BG129" s="12" t="s">
        <v>333</v>
      </c>
      <c r="BH129" s="20">
        <v>0</v>
      </c>
      <c r="BI129" s="12" t="s">
        <v>333</v>
      </c>
      <c r="BJ129" s="20">
        <v>0</v>
      </c>
      <c r="BK129" s="12" t="s">
        <v>333</v>
      </c>
      <c r="BL129" s="20">
        <v>0</v>
      </c>
      <c r="BM129" s="12" t="s">
        <v>333</v>
      </c>
      <c r="BN129" s="20">
        <v>0</v>
      </c>
      <c r="BO129" s="12" t="s">
        <v>333</v>
      </c>
      <c r="BP129" s="20">
        <v>0</v>
      </c>
      <c r="BQ129" s="12" t="s">
        <v>333</v>
      </c>
      <c r="BR129" s="11">
        <v>107.955</v>
      </c>
      <c r="BS129" s="12" t="s">
        <v>333</v>
      </c>
      <c r="BT129" s="20">
        <v>0</v>
      </c>
      <c r="BU129" s="12" t="s">
        <v>333</v>
      </c>
      <c r="BV129" s="20">
        <v>0</v>
      </c>
      <c r="BW129" s="12" t="s">
        <v>333</v>
      </c>
      <c r="BX129" s="20">
        <v>0</v>
      </c>
      <c r="BY129" s="12" t="s">
        <v>333</v>
      </c>
      <c r="BZ129" s="20">
        <v>0</v>
      </c>
      <c r="CA129" s="12" t="s">
        <v>333</v>
      </c>
      <c r="CB129" s="20">
        <v>0</v>
      </c>
      <c r="CC129" s="12" t="s">
        <v>333</v>
      </c>
    </row>
    <row r="130" spans="1:81" x14ac:dyDescent="0.2">
      <c r="A130" s="10" t="s">
        <v>293</v>
      </c>
      <c r="B130" s="81">
        <v>3.899</v>
      </c>
      <c r="C130" s="82" t="s">
        <v>333</v>
      </c>
      <c r="D130" s="81">
        <v>3.899</v>
      </c>
      <c r="E130" s="82" t="s">
        <v>333</v>
      </c>
      <c r="F130" s="83">
        <v>0</v>
      </c>
      <c r="G130" s="82" t="s">
        <v>333</v>
      </c>
      <c r="H130" s="83">
        <v>0</v>
      </c>
      <c r="I130" s="82" t="s">
        <v>333</v>
      </c>
      <c r="J130" s="83">
        <v>0</v>
      </c>
      <c r="K130" s="82" t="s">
        <v>333</v>
      </c>
      <c r="L130" s="83">
        <v>0</v>
      </c>
      <c r="M130" s="82" t="s">
        <v>333</v>
      </c>
      <c r="N130" s="82" t="s">
        <v>202</v>
      </c>
      <c r="O130" s="82" t="s">
        <v>333</v>
      </c>
      <c r="P130" s="82" t="s">
        <v>202</v>
      </c>
      <c r="Q130" s="82" t="s">
        <v>333</v>
      </c>
      <c r="R130" s="82" t="s">
        <v>202</v>
      </c>
      <c r="S130" s="82" t="s">
        <v>333</v>
      </c>
      <c r="T130" s="82" t="s">
        <v>202</v>
      </c>
      <c r="U130" s="82" t="s">
        <v>333</v>
      </c>
      <c r="V130" s="82" t="s">
        <v>202</v>
      </c>
      <c r="W130" s="82" t="s">
        <v>333</v>
      </c>
      <c r="X130" s="81">
        <v>3.899</v>
      </c>
      <c r="Y130" s="82" t="s">
        <v>333</v>
      </c>
      <c r="Z130" s="81">
        <v>3.899</v>
      </c>
      <c r="AA130" s="82" t="s">
        <v>333</v>
      </c>
      <c r="AB130" s="83">
        <v>0</v>
      </c>
      <c r="AC130" s="82" t="s">
        <v>333</v>
      </c>
      <c r="AD130" s="83">
        <v>0</v>
      </c>
      <c r="AE130" s="82" t="s">
        <v>333</v>
      </c>
      <c r="AF130" s="81">
        <v>2.0720000000000001</v>
      </c>
      <c r="AG130" s="82" t="s">
        <v>333</v>
      </c>
      <c r="AH130" s="83">
        <v>0</v>
      </c>
      <c r="AI130" s="82" t="s">
        <v>333</v>
      </c>
      <c r="AJ130" s="83">
        <v>0</v>
      </c>
      <c r="AK130" s="82" t="s">
        <v>333</v>
      </c>
      <c r="AL130" s="83">
        <v>0</v>
      </c>
      <c r="AM130" s="82" t="s">
        <v>333</v>
      </c>
      <c r="AN130" s="83">
        <v>0</v>
      </c>
      <c r="AO130" s="82" t="s">
        <v>333</v>
      </c>
      <c r="AP130" s="83">
        <v>0</v>
      </c>
      <c r="AQ130" s="82" t="s">
        <v>333</v>
      </c>
      <c r="AR130" s="83">
        <v>0</v>
      </c>
      <c r="AS130" s="82" t="s">
        <v>333</v>
      </c>
      <c r="AT130" s="83">
        <v>0</v>
      </c>
      <c r="AU130" s="82" t="s">
        <v>333</v>
      </c>
      <c r="AV130" s="81">
        <v>4.1000000000000002E-2</v>
      </c>
      <c r="AW130" s="82" t="s">
        <v>333</v>
      </c>
      <c r="AX130" s="81">
        <v>1.786</v>
      </c>
      <c r="AY130" s="82" t="s">
        <v>333</v>
      </c>
      <c r="AZ130" s="81">
        <v>1.786</v>
      </c>
      <c r="BA130" s="82" t="s">
        <v>333</v>
      </c>
      <c r="BB130" s="81">
        <v>1.786</v>
      </c>
      <c r="BC130" s="82" t="s">
        <v>333</v>
      </c>
      <c r="BD130" s="83">
        <v>0</v>
      </c>
      <c r="BE130" s="82" t="s">
        <v>333</v>
      </c>
      <c r="BF130" s="83">
        <v>0</v>
      </c>
      <c r="BG130" s="82" t="s">
        <v>333</v>
      </c>
      <c r="BH130" s="83">
        <v>0</v>
      </c>
      <c r="BI130" s="82" t="s">
        <v>333</v>
      </c>
      <c r="BJ130" s="83">
        <v>0</v>
      </c>
      <c r="BK130" s="82" t="s">
        <v>333</v>
      </c>
      <c r="BL130" s="83">
        <v>0</v>
      </c>
      <c r="BM130" s="82" t="s">
        <v>333</v>
      </c>
      <c r="BN130" s="83">
        <v>0</v>
      </c>
      <c r="BO130" s="82" t="s">
        <v>333</v>
      </c>
      <c r="BP130" s="83">
        <v>0</v>
      </c>
      <c r="BQ130" s="82" t="s">
        <v>333</v>
      </c>
      <c r="BR130" s="83">
        <v>0</v>
      </c>
      <c r="BS130" s="82" t="s">
        <v>333</v>
      </c>
      <c r="BT130" s="83">
        <v>0</v>
      </c>
      <c r="BU130" s="82" t="s">
        <v>333</v>
      </c>
      <c r="BV130" s="83">
        <v>0</v>
      </c>
      <c r="BW130" s="82" t="s">
        <v>333</v>
      </c>
      <c r="BX130" s="83">
        <v>0</v>
      </c>
      <c r="BY130" s="82" t="s">
        <v>333</v>
      </c>
      <c r="BZ130" s="83">
        <v>0</v>
      </c>
      <c r="CA130" s="82" t="s">
        <v>333</v>
      </c>
      <c r="CB130" s="83">
        <v>0</v>
      </c>
      <c r="CC130" s="82" t="s">
        <v>333</v>
      </c>
    </row>
    <row r="131" spans="1:81" x14ac:dyDescent="0.2">
      <c r="A131" s="10" t="s">
        <v>458</v>
      </c>
      <c r="B131" s="11">
        <v>107.955</v>
      </c>
      <c r="C131" s="12" t="s">
        <v>333</v>
      </c>
      <c r="D131" s="11">
        <v>107.955</v>
      </c>
      <c r="E131" s="12" t="s">
        <v>333</v>
      </c>
      <c r="F131" s="20">
        <v>0</v>
      </c>
      <c r="G131" s="12" t="s">
        <v>333</v>
      </c>
      <c r="H131" s="20">
        <v>0</v>
      </c>
      <c r="I131" s="12" t="s">
        <v>333</v>
      </c>
      <c r="J131" s="20">
        <v>0</v>
      </c>
      <c r="K131" s="12" t="s">
        <v>333</v>
      </c>
      <c r="L131" s="20">
        <v>0</v>
      </c>
      <c r="M131" s="12" t="s">
        <v>333</v>
      </c>
      <c r="N131" s="12" t="s">
        <v>202</v>
      </c>
      <c r="O131" s="12" t="s">
        <v>333</v>
      </c>
      <c r="P131" s="12" t="s">
        <v>202</v>
      </c>
      <c r="Q131" s="12" t="s">
        <v>333</v>
      </c>
      <c r="R131" s="12" t="s">
        <v>202</v>
      </c>
      <c r="S131" s="12" t="s">
        <v>333</v>
      </c>
      <c r="T131" s="12" t="s">
        <v>202</v>
      </c>
      <c r="U131" s="12" t="s">
        <v>333</v>
      </c>
      <c r="V131" s="12" t="s">
        <v>202</v>
      </c>
      <c r="W131" s="12" t="s">
        <v>333</v>
      </c>
      <c r="X131" s="11">
        <v>107.955</v>
      </c>
      <c r="Y131" s="12" t="s">
        <v>333</v>
      </c>
      <c r="Z131" s="11">
        <v>107.955</v>
      </c>
      <c r="AA131" s="12" t="s">
        <v>333</v>
      </c>
      <c r="AB131" s="20">
        <v>0</v>
      </c>
      <c r="AC131" s="12" t="s">
        <v>333</v>
      </c>
      <c r="AD131" s="20">
        <v>0</v>
      </c>
      <c r="AE131" s="12" t="s">
        <v>333</v>
      </c>
      <c r="AF131" s="20">
        <v>0</v>
      </c>
      <c r="AG131" s="12" t="s">
        <v>333</v>
      </c>
      <c r="AH131" s="20">
        <v>0</v>
      </c>
      <c r="AI131" s="12" t="s">
        <v>333</v>
      </c>
      <c r="AJ131" s="20">
        <v>0</v>
      </c>
      <c r="AK131" s="12" t="s">
        <v>333</v>
      </c>
      <c r="AL131" s="20">
        <v>0</v>
      </c>
      <c r="AM131" s="12" t="s">
        <v>333</v>
      </c>
      <c r="AN131" s="20">
        <v>0</v>
      </c>
      <c r="AO131" s="12" t="s">
        <v>333</v>
      </c>
      <c r="AP131" s="20">
        <v>0</v>
      </c>
      <c r="AQ131" s="12" t="s">
        <v>333</v>
      </c>
      <c r="AR131" s="20">
        <v>0</v>
      </c>
      <c r="AS131" s="12" t="s">
        <v>333</v>
      </c>
      <c r="AT131" s="20">
        <v>0</v>
      </c>
      <c r="AU131" s="12" t="s">
        <v>333</v>
      </c>
      <c r="AV131" s="20">
        <v>0</v>
      </c>
      <c r="AW131" s="12" t="s">
        <v>333</v>
      </c>
      <c r="AX131" s="20">
        <v>0</v>
      </c>
      <c r="AY131" s="12" t="s">
        <v>333</v>
      </c>
      <c r="AZ131" s="20">
        <v>0</v>
      </c>
      <c r="BA131" s="12" t="s">
        <v>333</v>
      </c>
      <c r="BB131" s="20">
        <v>0</v>
      </c>
      <c r="BC131" s="12" t="s">
        <v>333</v>
      </c>
      <c r="BD131" s="20">
        <v>0</v>
      </c>
      <c r="BE131" s="12" t="s">
        <v>333</v>
      </c>
      <c r="BF131" s="20">
        <v>0</v>
      </c>
      <c r="BG131" s="12" t="s">
        <v>333</v>
      </c>
      <c r="BH131" s="20">
        <v>0</v>
      </c>
      <c r="BI131" s="12" t="s">
        <v>333</v>
      </c>
      <c r="BJ131" s="20">
        <v>0</v>
      </c>
      <c r="BK131" s="12" t="s">
        <v>333</v>
      </c>
      <c r="BL131" s="20">
        <v>0</v>
      </c>
      <c r="BM131" s="12" t="s">
        <v>333</v>
      </c>
      <c r="BN131" s="20">
        <v>0</v>
      </c>
      <c r="BO131" s="12" t="s">
        <v>333</v>
      </c>
      <c r="BP131" s="20">
        <v>0</v>
      </c>
      <c r="BQ131" s="12" t="s">
        <v>333</v>
      </c>
      <c r="BR131" s="11">
        <v>107.955</v>
      </c>
      <c r="BS131" s="12" t="s">
        <v>333</v>
      </c>
      <c r="BT131" s="20">
        <v>0</v>
      </c>
      <c r="BU131" s="12" t="s">
        <v>333</v>
      </c>
      <c r="BV131" s="20">
        <v>0</v>
      </c>
      <c r="BW131" s="12" t="s">
        <v>333</v>
      </c>
      <c r="BX131" s="20">
        <v>0</v>
      </c>
      <c r="BY131" s="12" t="s">
        <v>333</v>
      </c>
      <c r="BZ131" s="20">
        <v>0</v>
      </c>
      <c r="CA131" s="12" t="s">
        <v>333</v>
      </c>
      <c r="CB131" s="20">
        <v>0</v>
      </c>
      <c r="CC131" s="12" t="s">
        <v>333</v>
      </c>
    </row>
    <row r="132" spans="1:81" x14ac:dyDescent="0.2">
      <c r="A132" s="10" t="s">
        <v>546</v>
      </c>
      <c r="B132" s="81">
        <v>2.3079999999999998</v>
      </c>
      <c r="C132" s="82" t="s">
        <v>333</v>
      </c>
      <c r="D132" s="81">
        <v>2.3079999999999998</v>
      </c>
      <c r="E132" s="82" t="s">
        <v>333</v>
      </c>
      <c r="F132" s="83">
        <v>0</v>
      </c>
      <c r="G132" s="82" t="s">
        <v>333</v>
      </c>
      <c r="H132" s="83">
        <v>0</v>
      </c>
      <c r="I132" s="82" t="s">
        <v>333</v>
      </c>
      <c r="J132" s="83">
        <v>0</v>
      </c>
      <c r="K132" s="82" t="s">
        <v>333</v>
      </c>
      <c r="L132" s="83">
        <v>0</v>
      </c>
      <c r="M132" s="82" t="s">
        <v>333</v>
      </c>
      <c r="N132" s="82" t="s">
        <v>202</v>
      </c>
      <c r="O132" s="82" t="s">
        <v>333</v>
      </c>
      <c r="P132" s="82" t="s">
        <v>202</v>
      </c>
      <c r="Q132" s="82" t="s">
        <v>333</v>
      </c>
      <c r="R132" s="82" t="s">
        <v>202</v>
      </c>
      <c r="S132" s="82" t="s">
        <v>333</v>
      </c>
      <c r="T132" s="82" t="s">
        <v>202</v>
      </c>
      <c r="U132" s="82" t="s">
        <v>333</v>
      </c>
      <c r="V132" s="82" t="s">
        <v>202</v>
      </c>
      <c r="W132" s="82" t="s">
        <v>333</v>
      </c>
      <c r="X132" s="81">
        <v>2.3079999999999998</v>
      </c>
      <c r="Y132" s="82" t="s">
        <v>333</v>
      </c>
      <c r="Z132" s="81">
        <v>2.3079999999999998</v>
      </c>
      <c r="AA132" s="82" t="s">
        <v>333</v>
      </c>
      <c r="AB132" s="83">
        <v>0</v>
      </c>
      <c r="AC132" s="82" t="s">
        <v>333</v>
      </c>
      <c r="AD132" s="83">
        <v>0</v>
      </c>
      <c r="AE132" s="82" t="s">
        <v>333</v>
      </c>
      <c r="AF132" s="81">
        <v>6.8000000000000005E-2</v>
      </c>
      <c r="AG132" s="82" t="s">
        <v>333</v>
      </c>
      <c r="AH132" s="83">
        <v>0</v>
      </c>
      <c r="AI132" s="82" t="s">
        <v>333</v>
      </c>
      <c r="AJ132" s="83">
        <v>0</v>
      </c>
      <c r="AK132" s="82" t="s">
        <v>333</v>
      </c>
      <c r="AL132" s="83">
        <v>0</v>
      </c>
      <c r="AM132" s="82" t="s">
        <v>333</v>
      </c>
      <c r="AN132" s="83">
        <v>0</v>
      </c>
      <c r="AO132" s="82" t="s">
        <v>333</v>
      </c>
      <c r="AP132" s="83">
        <v>0</v>
      </c>
      <c r="AQ132" s="82" t="s">
        <v>333</v>
      </c>
      <c r="AR132" s="83">
        <v>0</v>
      </c>
      <c r="AS132" s="82" t="s">
        <v>333</v>
      </c>
      <c r="AT132" s="83">
        <v>0</v>
      </c>
      <c r="AU132" s="82" t="s">
        <v>333</v>
      </c>
      <c r="AV132" s="83">
        <v>0</v>
      </c>
      <c r="AW132" s="82" t="s">
        <v>333</v>
      </c>
      <c r="AX132" s="81">
        <v>2.1930000000000001</v>
      </c>
      <c r="AY132" s="82" t="s">
        <v>333</v>
      </c>
      <c r="AZ132" s="81">
        <v>2.1930000000000001</v>
      </c>
      <c r="BA132" s="82" t="s">
        <v>333</v>
      </c>
      <c r="BB132" s="81">
        <v>2.1930000000000001</v>
      </c>
      <c r="BC132" s="82" t="s">
        <v>333</v>
      </c>
      <c r="BD132" s="83">
        <v>0</v>
      </c>
      <c r="BE132" s="82" t="s">
        <v>333</v>
      </c>
      <c r="BF132" s="83">
        <v>0</v>
      </c>
      <c r="BG132" s="82" t="s">
        <v>333</v>
      </c>
      <c r="BH132" s="83">
        <v>0</v>
      </c>
      <c r="BI132" s="82" t="s">
        <v>333</v>
      </c>
      <c r="BJ132" s="83">
        <v>0</v>
      </c>
      <c r="BK132" s="82" t="s">
        <v>333</v>
      </c>
      <c r="BL132" s="83">
        <v>0</v>
      </c>
      <c r="BM132" s="82" t="s">
        <v>333</v>
      </c>
      <c r="BN132" s="83">
        <v>0</v>
      </c>
      <c r="BO132" s="82" t="s">
        <v>333</v>
      </c>
      <c r="BP132" s="83">
        <v>0</v>
      </c>
      <c r="BQ132" s="82" t="s">
        <v>333</v>
      </c>
      <c r="BR132" s="83">
        <v>0</v>
      </c>
      <c r="BS132" s="82" t="s">
        <v>333</v>
      </c>
      <c r="BT132" s="83">
        <v>0</v>
      </c>
      <c r="BU132" s="82" t="s">
        <v>333</v>
      </c>
      <c r="BV132" s="81">
        <v>4.7E-2</v>
      </c>
      <c r="BW132" s="82" t="s">
        <v>333</v>
      </c>
      <c r="BX132" s="83">
        <v>0</v>
      </c>
      <c r="BY132" s="82" t="s">
        <v>333</v>
      </c>
      <c r="BZ132" s="83">
        <v>0</v>
      </c>
      <c r="CA132" s="82" t="s">
        <v>333</v>
      </c>
      <c r="CB132" s="83">
        <v>0</v>
      </c>
      <c r="CC132" s="82" t="s">
        <v>333</v>
      </c>
    </row>
    <row r="133" spans="1:81" x14ac:dyDescent="0.2">
      <c r="A133" s="10" t="s">
        <v>294</v>
      </c>
      <c r="B133" s="11">
        <v>2.3079999999999998</v>
      </c>
      <c r="C133" s="12" t="s">
        <v>333</v>
      </c>
      <c r="D133" s="11">
        <v>2.3079999999999998</v>
      </c>
      <c r="E133" s="12" t="s">
        <v>333</v>
      </c>
      <c r="F133" s="20">
        <v>0</v>
      </c>
      <c r="G133" s="12" t="s">
        <v>333</v>
      </c>
      <c r="H133" s="20">
        <v>0</v>
      </c>
      <c r="I133" s="12" t="s">
        <v>333</v>
      </c>
      <c r="J133" s="20">
        <v>0</v>
      </c>
      <c r="K133" s="12" t="s">
        <v>333</v>
      </c>
      <c r="L133" s="20">
        <v>0</v>
      </c>
      <c r="M133" s="12" t="s">
        <v>333</v>
      </c>
      <c r="N133" s="12" t="s">
        <v>202</v>
      </c>
      <c r="O133" s="12" t="s">
        <v>333</v>
      </c>
      <c r="P133" s="12" t="s">
        <v>202</v>
      </c>
      <c r="Q133" s="12" t="s">
        <v>333</v>
      </c>
      <c r="R133" s="12" t="s">
        <v>202</v>
      </c>
      <c r="S133" s="12" t="s">
        <v>333</v>
      </c>
      <c r="T133" s="12" t="s">
        <v>202</v>
      </c>
      <c r="U133" s="12" t="s">
        <v>333</v>
      </c>
      <c r="V133" s="12" t="s">
        <v>202</v>
      </c>
      <c r="W133" s="12" t="s">
        <v>333</v>
      </c>
      <c r="X133" s="11">
        <v>2.3079999999999998</v>
      </c>
      <c r="Y133" s="12" t="s">
        <v>333</v>
      </c>
      <c r="Z133" s="11">
        <v>2.3079999999999998</v>
      </c>
      <c r="AA133" s="12" t="s">
        <v>333</v>
      </c>
      <c r="AB133" s="20">
        <v>0</v>
      </c>
      <c r="AC133" s="12" t="s">
        <v>333</v>
      </c>
      <c r="AD133" s="20">
        <v>0</v>
      </c>
      <c r="AE133" s="12" t="s">
        <v>333</v>
      </c>
      <c r="AF133" s="11">
        <v>6.8000000000000005E-2</v>
      </c>
      <c r="AG133" s="12" t="s">
        <v>333</v>
      </c>
      <c r="AH133" s="20">
        <v>0</v>
      </c>
      <c r="AI133" s="12" t="s">
        <v>333</v>
      </c>
      <c r="AJ133" s="20">
        <v>0</v>
      </c>
      <c r="AK133" s="12" t="s">
        <v>333</v>
      </c>
      <c r="AL133" s="20">
        <v>0</v>
      </c>
      <c r="AM133" s="12" t="s">
        <v>333</v>
      </c>
      <c r="AN133" s="20">
        <v>0</v>
      </c>
      <c r="AO133" s="12" t="s">
        <v>333</v>
      </c>
      <c r="AP133" s="20">
        <v>0</v>
      </c>
      <c r="AQ133" s="12" t="s">
        <v>333</v>
      </c>
      <c r="AR133" s="20">
        <v>0</v>
      </c>
      <c r="AS133" s="12" t="s">
        <v>333</v>
      </c>
      <c r="AT133" s="20">
        <v>0</v>
      </c>
      <c r="AU133" s="12" t="s">
        <v>333</v>
      </c>
      <c r="AV133" s="20">
        <v>0</v>
      </c>
      <c r="AW133" s="12" t="s">
        <v>333</v>
      </c>
      <c r="AX133" s="11">
        <v>2.1930000000000001</v>
      </c>
      <c r="AY133" s="12" t="s">
        <v>333</v>
      </c>
      <c r="AZ133" s="11">
        <v>2.1930000000000001</v>
      </c>
      <c r="BA133" s="12" t="s">
        <v>333</v>
      </c>
      <c r="BB133" s="11">
        <v>2.1930000000000001</v>
      </c>
      <c r="BC133" s="12" t="s">
        <v>333</v>
      </c>
      <c r="BD133" s="20">
        <v>0</v>
      </c>
      <c r="BE133" s="12" t="s">
        <v>333</v>
      </c>
      <c r="BF133" s="20">
        <v>0</v>
      </c>
      <c r="BG133" s="12" t="s">
        <v>333</v>
      </c>
      <c r="BH133" s="20">
        <v>0</v>
      </c>
      <c r="BI133" s="12" t="s">
        <v>333</v>
      </c>
      <c r="BJ133" s="20">
        <v>0</v>
      </c>
      <c r="BK133" s="12" t="s">
        <v>333</v>
      </c>
      <c r="BL133" s="20">
        <v>0</v>
      </c>
      <c r="BM133" s="12" t="s">
        <v>333</v>
      </c>
      <c r="BN133" s="20">
        <v>0</v>
      </c>
      <c r="BO133" s="12" t="s">
        <v>333</v>
      </c>
      <c r="BP133" s="20">
        <v>0</v>
      </c>
      <c r="BQ133" s="12" t="s">
        <v>333</v>
      </c>
      <c r="BR133" s="20">
        <v>0</v>
      </c>
      <c r="BS133" s="12" t="s">
        <v>333</v>
      </c>
      <c r="BT133" s="20">
        <v>0</v>
      </c>
      <c r="BU133" s="12" t="s">
        <v>333</v>
      </c>
      <c r="BV133" s="11">
        <v>4.7E-2</v>
      </c>
      <c r="BW133" s="12" t="s">
        <v>333</v>
      </c>
      <c r="BX133" s="20">
        <v>0</v>
      </c>
      <c r="BY133" s="12" t="s">
        <v>333</v>
      </c>
      <c r="BZ133" s="20">
        <v>0</v>
      </c>
      <c r="CA133" s="12" t="s">
        <v>333</v>
      </c>
      <c r="CB133" s="20">
        <v>0</v>
      </c>
      <c r="CC133" s="12" t="s">
        <v>333</v>
      </c>
    </row>
    <row r="134" spans="1:81" x14ac:dyDescent="0.2">
      <c r="A134" s="10" t="s">
        <v>459</v>
      </c>
      <c r="B134" s="83">
        <v>0</v>
      </c>
      <c r="C134" s="82" t="s">
        <v>333</v>
      </c>
      <c r="D134" s="83">
        <v>0</v>
      </c>
      <c r="E134" s="82" t="s">
        <v>333</v>
      </c>
      <c r="F134" s="83">
        <v>0</v>
      </c>
      <c r="G134" s="82" t="s">
        <v>333</v>
      </c>
      <c r="H134" s="83">
        <v>0</v>
      </c>
      <c r="I134" s="82" t="s">
        <v>333</v>
      </c>
      <c r="J134" s="83">
        <v>0</v>
      </c>
      <c r="K134" s="82" t="s">
        <v>333</v>
      </c>
      <c r="L134" s="83">
        <v>0</v>
      </c>
      <c r="M134" s="82" t="s">
        <v>333</v>
      </c>
      <c r="N134" s="82" t="s">
        <v>202</v>
      </c>
      <c r="O134" s="82" t="s">
        <v>333</v>
      </c>
      <c r="P134" s="82" t="s">
        <v>202</v>
      </c>
      <c r="Q134" s="82" t="s">
        <v>333</v>
      </c>
      <c r="R134" s="82" t="s">
        <v>202</v>
      </c>
      <c r="S134" s="82" t="s">
        <v>333</v>
      </c>
      <c r="T134" s="82" t="s">
        <v>202</v>
      </c>
      <c r="U134" s="82" t="s">
        <v>333</v>
      </c>
      <c r="V134" s="82" t="s">
        <v>202</v>
      </c>
      <c r="W134" s="82" t="s">
        <v>333</v>
      </c>
      <c r="X134" s="83">
        <v>0</v>
      </c>
      <c r="Y134" s="82" t="s">
        <v>333</v>
      </c>
      <c r="Z134" s="83">
        <v>0</v>
      </c>
      <c r="AA134" s="82" t="s">
        <v>333</v>
      </c>
      <c r="AB134" s="83">
        <v>0</v>
      </c>
      <c r="AC134" s="82" t="s">
        <v>333</v>
      </c>
      <c r="AD134" s="83">
        <v>0</v>
      </c>
      <c r="AE134" s="82" t="s">
        <v>333</v>
      </c>
      <c r="AF134" s="83">
        <v>0</v>
      </c>
      <c r="AG134" s="82" t="s">
        <v>333</v>
      </c>
      <c r="AH134" s="83">
        <v>0</v>
      </c>
      <c r="AI134" s="82" t="s">
        <v>333</v>
      </c>
      <c r="AJ134" s="83">
        <v>0</v>
      </c>
      <c r="AK134" s="82" t="s">
        <v>333</v>
      </c>
      <c r="AL134" s="83">
        <v>0</v>
      </c>
      <c r="AM134" s="82" t="s">
        <v>333</v>
      </c>
      <c r="AN134" s="83">
        <v>0</v>
      </c>
      <c r="AO134" s="82" t="s">
        <v>333</v>
      </c>
      <c r="AP134" s="83">
        <v>0</v>
      </c>
      <c r="AQ134" s="82" t="s">
        <v>333</v>
      </c>
      <c r="AR134" s="83">
        <v>0</v>
      </c>
      <c r="AS134" s="82" t="s">
        <v>333</v>
      </c>
      <c r="AT134" s="83">
        <v>0</v>
      </c>
      <c r="AU134" s="82" t="s">
        <v>333</v>
      </c>
      <c r="AV134" s="83">
        <v>0</v>
      </c>
      <c r="AW134" s="82" t="s">
        <v>333</v>
      </c>
      <c r="AX134" s="83">
        <v>0</v>
      </c>
      <c r="AY134" s="82" t="s">
        <v>333</v>
      </c>
      <c r="AZ134" s="83">
        <v>0</v>
      </c>
      <c r="BA134" s="82" t="s">
        <v>333</v>
      </c>
      <c r="BB134" s="83">
        <v>0</v>
      </c>
      <c r="BC134" s="82" t="s">
        <v>333</v>
      </c>
      <c r="BD134" s="83">
        <v>0</v>
      </c>
      <c r="BE134" s="82" t="s">
        <v>333</v>
      </c>
      <c r="BF134" s="83">
        <v>0</v>
      </c>
      <c r="BG134" s="82" t="s">
        <v>333</v>
      </c>
      <c r="BH134" s="83">
        <v>0</v>
      </c>
      <c r="BI134" s="82" t="s">
        <v>333</v>
      </c>
      <c r="BJ134" s="83">
        <v>0</v>
      </c>
      <c r="BK134" s="82" t="s">
        <v>333</v>
      </c>
      <c r="BL134" s="83">
        <v>0</v>
      </c>
      <c r="BM134" s="82" t="s">
        <v>333</v>
      </c>
      <c r="BN134" s="83">
        <v>0</v>
      </c>
      <c r="BO134" s="82" t="s">
        <v>333</v>
      </c>
      <c r="BP134" s="83">
        <v>0</v>
      </c>
      <c r="BQ134" s="82" t="s">
        <v>333</v>
      </c>
      <c r="BR134" s="83">
        <v>0</v>
      </c>
      <c r="BS134" s="82" t="s">
        <v>333</v>
      </c>
      <c r="BT134" s="83">
        <v>0</v>
      </c>
      <c r="BU134" s="82" t="s">
        <v>333</v>
      </c>
      <c r="BV134" s="83">
        <v>0</v>
      </c>
      <c r="BW134" s="82" t="s">
        <v>333</v>
      </c>
      <c r="BX134" s="83">
        <v>0</v>
      </c>
      <c r="BY134" s="82" t="s">
        <v>333</v>
      </c>
      <c r="BZ134" s="83">
        <v>0</v>
      </c>
      <c r="CA134" s="82" t="s">
        <v>333</v>
      </c>
      <c r="CB134" s="83">
        <v>0</v>
      </c>
      <c r="CC134" s="82" t="s">
        <v>333</v>
      </c>
    </row>
    <row r="135" spans="1:81" x14ac:dyDescent="0.2">
      <c r="A135" s="10" t="s">
        <v>547</v>
      </c>
      <c r="B135" s="11">
        <v>1.601</v>
      </c>
      <c r="C135" s="12" t="s">
        <v>333</v>
      </c>
      <c r="D135" s="11">
        <v>1.601</v>
      </c>
      <c r="E135" s="12" t="s">
        <v>333</v>
      </c>
      <c r="F135" s="20">
        <v>0</v>
      </c>
      <c r="G135" s="12" t="s">
        <v>333</v>
      </c>
      <c r="H135" s="20">
        <v>0</v>
      </c>
      <c r="I135" s="12" t="s">
        <v>333</v>
      </c>
      <c r="J135" s="20">
        <v>0</v>
      </c>
      <c r="K135" s="12" t="s">
        <v>333</v>
      </c>
      <c r="L135" s="20">
        <v>0</v>
      </c>
      <c r="M135" s="12" t="s">
        <v>333</v>
      </c>
      <c r="N135" s="12" t="s">
        <v>202</v>
      </c>
      <c r="O135" s="12" t="s">
        <v>333</v>
      </c>
      <c r="P135" s="12" t="s">
        <v>202</v>
      </c>
      <c r="Q135" s="12" t="s">
        <v>333</v>
      </c>
      <c r="R135" s="12" t="s">
        <v>202</v>
      </c>
      <c r="S135" s="12" t="s">
        <v>333</v>
      </c>
      <c r="T135" s="12" t="s">
        <v>202</v>
      </c>
      <c r="U135" s="12" t="s">
        <v>333</v>
      </c>
      <c r="V135" s="12" t="s">
        <v>202</v>
      </c>
      <c r="W135" s="12" t="s">
        <v>333</v>
      </c>
      <c r="X135" s="11">
        <v>1.601</v>
      </c>
      <c r="Y135" s="12" t="s">
        <v>333</v>
      </c>
      <c r="Z135" s="11">
        <v>1.601</v>
      </c>
      <c r="AA135" s="12" t="s">
        <v>333</v>
      </c>
      <c r="AB135" s="20">
        <v>0</v>
      </c>
      <c r="AC135" s="12" t="s">
        <v>333</v>
      </c>
      <c r="AD135" s="20">
        <v>0</v>
      </c>
      <c r="AE135" s="12" t="s">
        <v>333</v>
      </c>
      <c r="AF135" s="11">
        <v>0.69099999999999995</v>
      </c>
      <c r="AG135" s="12" t="s">
        <v>333</v>
      </c>
      <c r="AH135" s="20">
        <v>0</v>
      </c>
      <c r="AI135" s="12" t="s">
        <v>333</v>
      </c>
      <c r="AJ135" s="20">
        <v>0</v>
      </c>
      <c r="AK135" s="12" t="s">
        <v>333</v>
      </c>
      <c r="AL135" s="20">
        <v>0</v>
      </c>
      <c r="AM135" s="12" t="s">
        <v>333</v>
      </c>
      <c r="AN135" s="20">
        <v>0</v>
      </c>
      <c r="AO135" s="12" t="s">
        <v>333</v>
      </c>
      <c r="AP135" s="20">
        <v>0</v>
      </c>
      <c r="AQ135" s="12" t="s">
        <v>333</v>
      </c>
      <c r="AR135" s="20">
        <v>0</v>
      </c>
      <c r="AS135" s="12" t="s">
        <v>333</v>
      </c>
      <c r="AT135" s="20">
        <v>0</v>
      </c>
      <c r="AU135" s="12" t="s">
        <v>333</v>
      </c>
      <c r="AV135" s="20">
        <v>0</v>
      </c>
      <c r="AW135" s="12" t="s">
        <v>333</v>
      </c>
      <c r="AX135" s="11">
        <v>0.90300000000000002</v>
      </c>
      <c r="AY135" s="12" t="s">
        <v>333</v>
      </c>
      <c r="AZ135" s="11">
        <v>0.90300000000000002</v>
      </c>
      <c r="BA135" s="12" t="s">
        <v>333</v>
      </c>
      <c r="BB135" s="11">
        <v>0.90300000000000002</v>
      </c>
      <c r="BC135" s="12" t="s">
        <v>333</v>
      </c>
      <c r="BD135" s="20">
        <v>0</v>
      </c>
      <c r="BE135" s="12" t="s">
        <v>333</v>
      </c>
      <c r="BF135" s="20">
        <v>0</v>
      </c>
      <c r="BG135" s="12" t="s">
        <v>333</v>
      </c>
      <c r="BH135" s="20">
        <v>0</v>
      </c>
      <c r="BI135" s="12" t="s">
        <v>333</v>
      </c>
      <c r="BJ135" s="20">
        <v>0</v>
      </c>
      <c r="BK135" s="12" t="s">
        <v>333</v>
      </c>
      <c r="BL135" s="20">
        <v>0</v>
      </c>
      <c r="BM135" s="12" t="s">
        <v>333</v>
      </c>
      <c r="BN135" s="20">
        <v>0</v>
      </c>
      <c r="BO135" s="12" t="s">
        <v>333</v>
      </c>
      <c r="BP135" s="20">
        <v>0</v>
      </c>
      <c r="BQ135" s="12" t="s">
        <v>333</v>
      </c>
      <c r="BR135" s="20">
        <v>0</v>
      </c>
      <c r="BS135" s="12" t="s">
        <v>333</v>
      </c>
      <c r="BT135" s="20">
        <v>0</v>
      </c>
      <c r="BU135" s="12" t="s">
        <v>333</v>
      </c>
      <c r="BV135" s="11">
        <v>7.0000000000000001E-3</v>
      </c>
      <c r="BW135" s="12" t="s">
        <v>333</v>
      </c>
      <c r="BX135" s="20">
        <v>0</v>
      </c>
      <c r="BY135" s="12" t="s">
        <v>333</v>
      </c>
      <c r="BZ135" s="20">
        <v>0</v>
      </c>
      <c r="CA135" s="12" t="s">
        <v>333</v>
      </c>
      <c r="CB135" s="20">
        <v>0</v>
      </c>
      <c r="CC135" s="12" t="s">
        <v>333</v>
      </c>
    </row>
    <row r="136" spans="1:81" x14ac:dyDescent="0.2">
      <c r="A136" s="10" t="s">
        <v>295</v>
      </c>
      <c r="B136" s="81">
        <v>1.601</v>
      </c>
      <c r="C136" s="82" t="s">
        <v>333</v>
      </c>
      <c r="D136" s="81">
        <v>1.601</v>
      </c>
      <c r="E136" s="82" t="s">
        <v>333</v>
      </c>
      <c r="F136" s="83">
        <v>0</v>
      </c>
      <c r="G136" s="82" t="s">
        <v>333</v>
      </c>
      <c r="H136" s="83">
        <v>0</v>
      </c>
      <c r="I136" s="82" t="s">
        <v>333</v>
      </c>
      <c r="J136" s="83">
        <v>0</v>
      </c>
      <c r="K136" s="82" t="s">
        <v>333</v>
      </c>
      <c r="L136" s="83">
        <v>0</v>
      </c>
      <c r="M136" s="82" t="s">
        <v>333</v>
      </c>
      <c r="N136" s="82" t="s">
        <v>202</v>
      </c>
      <c r="O136" s="82" t="s">
        <v>333</v>
      </c>
      <c r="P136" s="82" t="s">
        <v>202</v>
      </c>
      <c r="Q136" s="82" t="s">
        <v>333</v>
      </c>
      <c r="R136" s="82" t="s">
        <v>202</v>
      </c>
      <c r="S136" s="82" t="s">
        <v>333</v>
      </c>
      <c r="T136" s="82" t="s">
        <v>202</v>
      </c>
      <c r="U136" s="82" t="s">
        <v>333</v>
      </c>
      <c r="V136" s="82" t="s">
        <v>202</v>
      </c>
      <c r="W136" s="82" t="s">
        <v>333</v>
      </c>
      <c r="X136" s="81">
        <v>1.601</v>
      </c>
      <c r="Y136" s="82" t="s">
        <v>333</v>
      </c>
      <c r="Z136" s="81">
        <v>1.601</v>
      </c>
      <c r="AA136" s="82" t="s">
        <v>333</v>
      </c>
      <c r="AB136" s="83">
        <v>0</v>
      </c>
      <c r="AC136" s="82" t="s">
        <v>333</v>
      </c>
      <c r="AD136" s="83">
        <v>0</v>
      </c>
      <c r="AE136" s="82" t="s">
        <v>333</v>
      </c>
      <c r="AF136" s="81">
        <v>0.69099999999999995</v>
      </c>
      <c r="AG136" s="82" t="s">
        <v>333</v>
      </c>
      <c r="AH136" s="83">
        <v>0</v>
      </c>
      <c r="AI136" s="82" t="s">
        <v>333</v>
      </c>
      <c r="AJ136" s="83">
        <v>0</v>
      </c>
      <c r="AK136" s="82" t="s">
        <v>333</v>
      </c>
      <c r="AL136" s="83">
        <v>0</v>
      </c>
      <c r="AM136" s="82" t="s">
        <v>333</v>
      </c>
      <c r="AN136" s="83">
        <v>0</v>
      </c>
      <c r="AO136" s="82" t="s">
        <v>333</v>
      </c>
      <c r="AP136" s="83">
        <v>0</v>
      </c>
      <c r="AQ136" s="82" t="s">
        <v>333</v>
      </c>
      <c r="AR136" s="83">
        <v>0</v>
      </c>
      <c r="AS136" s="82" t="s">
        <v>333</v>
      </c>
      <c r="AT136" s="83">
        <v>0</v>
      </c>
      <c r="AU136" s="82" t="s">
        <v>333</v>
      </c>
      <c r="AV136" s="83">
        <v>0</v>
      </c>
      <c r="AW136" s="82" t="s">
        <v>333</v>
      </c>
      <c r="AX136" s="81">
        <v>0.90300000000000002</v>
      </c>
      <c r="AY136" s="82" t="s">
        <v>333</v>
      </c>
      <c r="AZ136" s="81">
        <v>0.90300000000000002</v>
      </c>
      <c r="BA136" s="82" t="s">
        <v>333</v>
      </c>
      <c r="BB136" s="81">
        <v>0.90300000000000002</v>
      </c>
      <c r="BC136" s="82" t="s">
        <v>333</v>
      </c>
      <c r="BD136" s="83">
        <v>0</v>
      </c>
      <c r="BE136" s="82" t="s">
        <v>333</v>
      </c>
      <c r="BF136" s="83">
        <v>0</v>
      </c>
      <c r="BG136" s="82" t="s">
        <v>333</v>
      </c>
      <c r="BH136" s="83">
        <v>0</v>
      </c>
      <c r="BI136" s="82" t="s">
        <v>333</v>
      </c>
      <c r="BJ136" s="83">
        <v>0</v>
      </c>
      <c r="BK136" s="82" t="s">
        <v>333</v>
      </c>
      <c r="BL136" s="83">
        <v>0</v>
      </c>
      <c r="BM136" s="82" t="s">
        <v>333</v>
      </c>
      <c r="BN136" s="83">
        <v>0</v>
      </c>
      <c r="BO136" s="82" t="s">
        <v>333</v>
      </c>
      <c r="BP136" s="83">
        <v>0</v>
      </c>
      <c r="BQ136" s="82" t="s">
        <v>333</v>
      </c>
      <c r="BR136" s="83">
        <v>0</v>
      </c>
      <c r="BS136" s="82" t="s">
        <v>333</v>
      </c>
      <c r="BT136" s="83">
        <v>0</v>
      </c>
      <c r="BU136" s="82" t="s">
        <v>333</v>
      </c>
      <c r="BV136" s="81">
        <v>7.0000000000000001E-3</v>
      </c>
      <c r="BW136" s="82" t="s">
        <v>333</v>
      </c>
      <c r="BX136" s="83">
        <v>0</v>
      </c>
      <c r="BY136" s="82" t="s">
        <v>333</v>
      </c>
      <c r="BZ136" s="83">
        <v>0</v>
      </c>
      <c r="CA136" s="82" t="s">
        <v>333</v>
      </c>
      <c r="CB136" s="83">
        <v>0</v>
      </c>
      <c r="CC136" s="82" t="s">
        <v>333</v>
      </c>
    </row>
    <row r="137" spans="1:81" x14ac:dyDescent="0.2">
      <c r="A137" s="10" t="s">
        <v>460</v>
      </c>
      <c r="B137" s="20">
        <v>0</v>
      </c>
      <c r="C137" s="12" t="s">
        <v>333</v>
      </c>
      <c r="D137" s="20">
        <v>0</v>
      </c>
      <c r="E137" s="12" t="s">
        <v>333</v>
      </c>
      <c r="F137" s="20">
        <v>0</v>
      </c>
      <c r="G137" s="12" t="s">
        <v>333</v>
      </c>
      <c r="H137" s="20">
        <v>0</v>
      </c>
      <c r="I137" s="12" t="s">
        <v>333</v>
      </c>
      <c r="J137" s="20">
        <v>0</v>
      </c>
      <c r="K137" s="12" t="s">
        <v>333</v>
      </c>
      <c r="L137" s="20">
        <v>0</v>
      </c>
      <c r="M137" s="12" t="s">
        <v>333</v>
      </c>
      <c r="N137" s="12" t="s">
        <v>202</v>
      </c>
      <c r="O137" s="12" t="s">
        <v>333</v>
      </c>
      <c r="P137" s="12" t="s">
        <v>202</v>
      </c>
      <c r="Q137" s="12" t="s">
        <v>333</v>
      </c>
      <c r="R137" s="12" t="s">
        <v>202</v>
      </c>
      <c r="S137" s="12" t="s">
        <v>333</v>
      </c>
      <c r="T137" s="12" t="s">
        <v>202</v>
      </c>
      <c r="U137" s="12" t="s">
        <v>333</v>
      </c>
      <c r="V137" s="12" t="s">
        <v>202</v>
      </c>
      <c r="W137" s="12" t="s">
        <v>333</v>
      </c>
      <c r="X137" s="20">
        <v>0</v>
      </c>
      <c r="Y137" s="12" t="s">
        <v>333</v>
      </c>
      <c r="Z137" s="20">
        <v>0</v>
      </c>
      <c r="AA137" s="12" t="s">
        <v>333</v>
      </c>
      <c r="AB137" s="20">
        <v>0</v>
      </c>
      <c r="AC137" s="12" t="s">
        <v>333</v>
      </c>
      <c r="AD137" s="20">
        <v>0</v>
      </c>
      <c r="AE137" s="12" t="s">
        <v>333</v>
      </c>
      <c r="AF137" s="20">
        <v>0</v>
      </c>
      <c r="AG137" s="12" t="s">
        <v>333</v>
      </c>
      <c r="AH137" s="20">
        <v>0</v>
      </c>
      <c r="AI137" s="12" t="s">
        <v>333</v>
      </c>
      <c r="AJ137" s="20">
        <v>0</v>
      </c>
      <c r="AK137" s="12" t="s">
        <v>333</v>
      </c>
      <c r="AL137" s="20">
        <v>0</v>
      </c>
      <c r="AM137" s="12" t="s">
        <v>333</v>
      </c>
      <c r="AN137" s="20">
        <v>0</v>
      </c>
      <c r="AO137" s="12" t="s">
        <v>333</v>
      </c>
      <c r="AP137" s="20">
        <v>0</v>
      </c>
      <c r="AQ137" s="12" t="s">
        <v>333</v>
      </c>
      <c r="AR137" s="20">
        <v>0</v>
      </c>
      <c r="AS137" s="12" t="s">
        <v>333</v>
      </c>
      <c r="AT137" s="20">
        <v>0</v>
      </c>
      <c r="AU137" s="12" t="s">
        <v>333</v>
      </c>
      <c r="AV137" s="20">
        <v>0</v>
      </c>
      <c r="AW137" s="12" t="s">
        <v>333</v>
      </c>
      <c r="AX137" s="20">
        <v>0</v>
      </c>
      <c r="AY137" s="12" t="s">
        <v>333</v>
      </c>
      <c r="AZ137" s="20">
        <v>0</v>
      </c>
      <c r="BA137" s="12" t="s">
        <v>333</v>
      </c>
      <c r="BB137" s="20">
        <v>0</v>
      </c>
      <c r="BC137" s="12" t="s">
        <v>333</v>
      </c>
      <c r="BD137" s="20">
        <v>0</v>
      </c>
      <c r="BE137" s="12" t="s">
        <v>333</v>
      </c>
      <c r="BF137" s="20">
        <v>0</v>
      </c>
      <c r="BG137" s="12" t="s">
        <v>333</v>
      </c>
      <c r="BH137" s="20">
        <v>0</v>
      </c>
      <c r="BI137" s="12" t="s">
        <v>333</v>
      </c>
      <c r="BJ137" s="20">
        <v>0</v>
      </c>
      <c r="BK137" s="12" t="s">
        <v>333</v>
      </c>
      <c r="BL137" s="20">
        <v>0</v>
      </c>
      <c r="BM137" s="12" t="s">
        <v>333</v>
      </c>
      <c r="BN137" s="20">
        <v>0</v>
      </c>
      <c r="BO137" s="12" t="s">
        <v>333</v>
      </c>
      <c r="BP137" s="20">
        <v>0</v>
      </c>
      <c r="BQ137" s="12" t="s">
        <v>333</v>
      </c>
      <c r="BR137" s="20">
        <v>0</v>
      </c>
      <c r="BS137" s="12" t="s">
        <v>333</v>
      </c>
      <c r="BT137" s="20">
        <v>0</v>
      </c>
      <c r="BU137" s="12" t="s">
        <v>333</v>
      </c>
      <c r="BV137" s="20">
        <v>0</v>
      </c>
      <c r="BW137" s="12" t="s">
        <v>333</v>
      </c>
      <c r="BX137" s="20">
        <v>0</v>
      </c>
      <c r="BY137" s="12" t="s">
        <v>333</v>
      </c>
      <c r="BZ137" s="20">
        <v>0</v>
      </c>
      <c r="CA137" s="12" t="s">
        <v>333</v>
      </c>
      <c r="CB137" s="20">
        <v>0</v>
      </c>
      <c r="CC137" s="12" t="s">
        <v>333</v>
      </c>
    </row>
    <row r="138" spans="1:81" x14ac:dyDescent="0.2">
      <c r="A138" s="10" t="s">
        <v>548</v>
      </c>
      <c r="B138" s="81">
        <v>10.609</v>
      </c>
      <c r="C138" s="82" t="s">
        <v>333</v>
      </c>
      <c r="D138" s="81">
        <v>10.609</v>
      </c>
      <c r="E138" s="82" t="s">
        <v>333</v>
      </c>
      <c r="F138" s="83">
        <v>0</v>
      </c>
      <c r="G138" s="82" t="s">
        <v>333</v>
      </c>
      <c r="H138" s="83">
        <v>0</v>
      </c>
      <c r="I138" s="82" t="s">
        <v>333</v>
      </c>
      <c r="J138" s="83">
        <v>0</v>
      </c>
      <c r="K138" s="82" t="s">
        <v>333</v>
      </c>
      <c r="L138" s="83">
        <v>0</v>
      </c>
      <c r="M138" s="82" t="s">
        <v>333</v>
      </c>
      <c r="N138" s="82" t="s">
        <v>202</v>
      </c>
      <c r="O138" s="82" t="s">
        <v>333</v>
      </c>
      <c r="P138" s="82" t="s">
        <v>202</v>
      </c>
      <c r="Q138" s="82" t="s">
        <v>333</v>
      </c>
      <c r="R138" s="82" t="s">
        <v>202</v>
      </c>
      <c r="S138" s="82" t="s">
        <v>333</v>
      </c>
      <c r="T138" s="82" t="s">
        <v>202</v>
      </c>
      <c r="U138" s="82" t="s">
        <v>333</v>
      </c>
      <c r="V138" s="82" t="s">
        <v>202</v>
      </c>
      <c r="W138" s="82" t="s">
        <v>333</v>
      </c>
      <c r="X138" s="81">
        <v>10.609</v>
      </c>
      <c r="Y138" s="82" t="s">
        <v>333</v>
      </c>
      <c r="Z138" s="81">
        <v>10.609</v>
      </c>
      <c r="AA138" s="82" t="s">
        <v>333</v>
      </c>
      <c r="AB138" s="83">
        <v>0</v>
      </c>
      <c r="AC138" s="82" t="s">
        <v>333</v>
      </c>
      <c r="AD138" s="83">
        <v>0</v>
      </c>
      <c r="AE138" s="82" t="s">
        <v>333</v>
      </c>
      <c r="AF138" s="81">
        <v>0.96599999999999997</v>
      </c>
      <c r="AG138" s="82" t="s">
        <v>333</v>
      </c>
      <c r="AH138" s="83">
        <v>0</v>
      </c>
      <c r="AI138" s="82" t="s">
        <v>333</v>
      </c>
      <c r="AJ138" s="83">
        <v>0</v>
      </c>
      <c r="AK138" s="82" t="s">
        <v>333</v>
      </c>
      <c r="AL138" s="83">
        <v>0</v>
      </c>
      <c r="AM138" s="82" t="s">
        <v>333</v>
      </c>
      <c r="AN138" s="83">
        <v>0</v>
      </c>
      <c r="AO138" s="82" t="s">
        <v>333</v>
      </c>
      <c r="AP138" s="83">
        <v>0</v>
      </c>
      <c r="AQ138" s="82" t="s">
        <v>333</v>
      </c>
      <c r="AR138" s="83">
        <v>0</v>
      </c>
      <c r="AS138" s="82" t="s">
        <v>333</v>
      </c>
      <c r="AT138" s="83">
        <v>0</v>
      </c>
      <c r="AU138" s="82" t="s">
        <v>333</v>
      </c>
      <c r="AV138" s="83">
        <v>0</v>
      </c>
      <c r="AW138" s="82" t="s">
        <v>333</v>
      </c>
      <c r="AX138" s="81">
        <v>0.157</v>
      </c>
      <c r="AY138" s="82" t="s">
        <v>333</v>
      </c>
      <c r="AZ138" s="81">
        <v>0.157</v>
      </c>
      <c r="BA138" s="82" t="s">
        <v>333</v>
      </c>
      <c r="BB138" s="81">
        <v>0.157</v>
      </c>
      <c r="BC138" s="82" t="s">
        <v>333</v>
      </c>
      <c r="BD138" s="83">
        <v>0</v>
      </c>
      <c r="BE138" s="82" t="s">
        <v>333</v>
      </c>
      <c r="BF138" s="83">
        <v>0</v>
      </c>
      <c r="BG138" s="82" t="s">
        <v>333</v>
      </c>
      <c r="BH138" s="83">
        <v>0</v>
      </c>
      <c r="BI138" s="82" t="s">
        <v>333</v>
      </c>
      <c r="BJ138" s="83">
        <v>0</v>
      </c>
      <c r="BK138" s="82" t="s">
        <v>333</v>
      </c>
      <c r="BL138" s="83">
        <v>0</v>
      </c>
      <c r="BM138" s="82" t="s">
        <v>333</v>
      </c>
      <c r="BN138" s="83">
        <v>0</v>
      </c>
      <c r="BO138" s="82" t="s">
        <v>333</v>
      </c>
      <c r="BP138" s="81">
        <v>9.4809999999999999</v>
      </c>
      <c r="BQ138" s="82" t="s">
        <v>333</v>
      </c>
      <c r="BR138" s="83">
        <v>0</v>
      </c>
      <c r="BS138" s="82" t="s">
        <v>333</v>
      </c>
      <c r="BT138" s="83">
        <v>0</v>
      </c>
      <c r="BU138" s="82" t="s">
        <v>333</v>
      </c>
      <c r="BV138" s="81">
        <v>5.0000000000000001E-3</v>
      </c>
      <c r="BW138" s="82" t="s">
        <v>333</v>
      </c>
      <c r="BX138" s="83">
        <v>0</v>
      </c>
      <c r="BY138" s="82" t="s">
        <v>333</v>
      </c>
      <c r="BZ138" s="83">
        <v>0</v>
      </c>
      <c r="CA138" s="82" t="s">
        <v>333</v>
      </c>
      <c r="CB138" s="83">
        <v>0</v>
      </c>
      <c r="CC138" s="82" t="s">
        <v>333</v>
      </c>
    </row>
    <row r="139" spans="1:81" x14ac:dyDescent="0.2">
      <c r="A139" s="10" t="s">
        <v>296</v>
      </c>
      <c r="B139" s="11">
        <v>1.1279999999999999</v>
      </c>
      <c r="C139" s="12" t="s">
        <v>333</v>
      </c>
      <c r="D139" s="11">
        <v>1.1279999999999999</v>
      </c>
      <c r="E139" s="12" t="s">
        <v>333</v>
      </c>
      <c r="F139" s="20">
        <v>0</v>
      </c>
      <c r="G139" s="12" t="s">
        <v>333</v>
      </c>
      <c r="H139" s="20">
        <v>0</v>
      </c>
      <c r="I139" s="12" t="s">
        <v>333</v>
      </c>
      <c r="J139" s="20">
        <v>0</v>
      </c>
      <c r="K139" s="12" t="s">
        <v>333</v>
      </c>
      <c r="L139" s="20">
        <v>0</v>
      </c>
      <c r="M139" s="12" t="s">
        <v>333</v>
      </c>
      <c r="N139" s="12" t="s">
        <v>202</v>
      </c>
      <c r="O139" s="12" t="s">
        <v>333</v>
      </c>
      <c r="P139" s="12" t="s">
        <v>202</v>
      </c>
      <c r="Q139" s="12" t="s">
        <v>333</v>
      </c>
      <c r="R139" s="12" t="s">
        <v>202</v>
      </c>
      <c r="S139" s="12" t="s">
        <v>333</v>
      </c>
      <c r="T139" s="12" t="s">
        <v>202</v>
      </c>
      <c r="U139" s="12" t="s">
        <v>333</v>
      </c>
      <c r="V139" s="12" t="s">
        <v>202</v>
      </c>
      <c r="W139" s="12" t="s">
        <v>333</v>
      </c>
      <c r="X139" s="11">
        <v>1.1279999999999999</v>
      </c>
      <c r="Y139" s="12" t="s">
        <v>333</v>
      </c>
      <c r="Z139" s="11">
        <v>1.1279999999999999</v>
      </c>
      <c r="AA139" s="12" t="s">
        <v>333</v>
      </c>
      <c r="AB139" s="20">
        <v>0</v>
      </c>
      <c r="AC139" s="12" t="s">
        <v>333</v>
      </c>
      <c r="AD139" s="20">
        <v>0</v>
      </c>
      <c r="AE139" s="12" t="s">
        <v>333</v>
      </c>
      <c r="AF139" s="11">
        <v>0.96599999999999997</v>
      </c>
      <c r="AG139" s="12" t="s">
        <v>333</v>
      </c>
      <c r="AH139" s="20">
        <v>0</v>
      </c>
      <c r="AI139" s="12" t="s">
        <v>333</v>
      </c>
      <c r="AJ139" s="20">
        <v>0</v>
      </c>
      <c r="AK139" s="12" t="s">
        <v>333</v>
      </c>
      <c r="AL139" s="20">
        <v>0</v>
      </c>
      <c r="AM139" s="12" t="s">
        <v>333</v>
      </c>
      <c r="AN139" s="20">
        <v>0</v>
      </c>
      <c r="AO139" s="12" t="s">
        <v>333</v>
      </c>
      <c r="AP139" s="20">
        <v>0</v>
      </c>
      <c r="AQ139" s="12" t="s">
        <v>333</v>
      </c>
      <c r="AR139" s="20">
        <v>0</v>
      </c>
      <c r="AS139" s="12" t="s">
        <v>333</v>
      </c>
      <c r="AT139" s="20">
        <v>0</v>
      </c>
      <c r="AU139" s="12" t="s">
        <v>333</v>
      </c>
      <c r="AV139" s="20">
        <v>0</v>
      </c>
      <c r="AW139" s="12" t="s">
        <v>333</v>
      </c>
      <c r="AX139" s="11">
        <v>0.157</v>
      </c>
      <c r="AY139" s="12" t="s">
        <v>333</v>
      </c>
      <c r="AZ139" s="11">
        <v>0.157</v>
      </c>
      <c r="BA139" s="12" t="s">
        <v>333</v>
      </c>
      <c r="BB139" s="11">
        <v>0.157</v>
      </c>
      <c r="BC139" s="12" t="s">
        <v>333</v>
      </c>
      <c r="BD139" s="20">
        <v>0</v>
      </c>
      <c r="BE139" s="12" t="s">
        <v>333</v>
      </c>
      <c r="BF139" s="20">
        <v>0</v>
      </c>
      <c r="BG139" s="12" t="s">
        <v>333</v>
      </c>
      <c r="BH139" s="20">
        <v>0</v>
      </c>
      <c r="BI139" s="12" t="s">
        <v>333</v>
      </c>
      <c r="BJ139" s="20">
        <v>0</v>
      </c>
      <c r="BK139" s="12" t="s">
        <v>333</v>
      </c>
      <c r="BL139" s="20">
        <v>0</v>
      </c>
      <c r="BM139" s="12" t="s">
        <v>333</v>
      </c>
      <c r="BN139" s="20">
        <v>0</v>
      </c>
      <c r="BO139" s="12" t="s">
        <v>333</v>
      </c>
      <c r="BP139" s="20">
        <v>0</v>
      </c>
      <c r="BQ139" s="12" t="s">
        <v>333</v>
      </c>
      <c r="BR139" s="20">
        <v>0</v>
      </c>
      <c r="BS139" s="12" t="s">
        <v>333</v>
      </c>
      <c r="BT139" s="20">
        <v>0</v>
      </c>
      <c r="BU139" s="12" t="s">
        <v>333</v>
      </c>
      <c r="BV139" s="11">
        <v>5.0000000000000001E-3</v>
      </c>
      <c r="BW139" s="12" t="s">
        <v>333</v>
      </c>
      <c r="BX139" s="20">
        <v>0</v>
      </c>
      <c r="BY139" s="12" t="s">
        <v>333</v>
      </c>
      <c r="BZ139" s="20">
        <v>0</v>
      </c>
      <c r="CA139" s="12" t="s">
        <v>333</v>
      </c>
      <c r="CB139" s="20">
        <v>0</v>
      </c>
      <c r="CC139" s="12" t="s">
        <v>333</v>
      </c>
    </row>
    <row r="140" spans="1:81" x14ac:dyDescent="0.2">
      <c r="A140" s="10" t="s">
        <v>461</v>
      </c>
      <c r="B140" s="81">
        <v>9.4809999999999999</v>
      </c>
      <c r="C140" s="82" t="s">
        <v>333</v>
      </c>
      <c r="D140" s="81">
        <v>9.4809999999999999</v>
      </c>
      <c r="E140" s="82" t="s">
        <v>333</v>
      </c>
      <c r="F140" s="83">
        <v>0</v>
      </c>
      <c r="G140" s="82" t="s">
        <v>333</v>
      </c>
      <c r="H140" s="83">
        <v>0</v>
      </c>
      <c r="I140" s="82" t="s">
        <v>333</v>
      </c>
      <c r="J140" s="83">
        <v>0</v>
      </c>
      <c r="K140" s="82" t="s">
        <v>333</v>
      </c>
      <c r="L140" s="83">
        <v>0</v>
      </c>
      <c r="M140" s="82" t="s">
        <v>333</v>
      </c>
      <c r="N140" s="82" t="s">
        <v>202</v>
      </c>
      <c r="O140" s="82" t="s">
        <v>333</v>
      </c>
      <c r="P140" s="82" t="s">
        <v>202</v>
      </c>
      <c r="Q140" s="82" t="s">
        <v>333</v>
      </c>
      <c r="R140" s="82" t="s">
        <v>202</v>
      </c>
      <c r="S140" s="82" t="s">
        <v>333</v>
      </c>
      <c r="T140" s="82" t="s">
        <v>202</v>
      </c>
      <c r="U140" s="82" t="s">
        <v>333</v>
      </c>
      <c r="V140" s="82" t="s">
        <v>202</v>
      </c>
      <c r="W140" s="82" t="s">
        <v>333</v>
      </c>
      <c r="X140" s="81">
        <v>9.4809999999999999</v>
      </c>
      <c r="Y140" s="82" t="s">
        <v>333</v>
      </c>
      <c r="Z140" s="81">
        <v>9.4809999999999999</v>
      </c>
      <c r="AA140" s="82" t="s">
        <v>333</v>
      </c>
      <c r="AB140" s="83">
        <v>0</v>
      </c>
      <c r="AC140" s="82" t="s">
        <v>333</v>
      </c>
      <c r="AD140" s="83">
        <v>0</v>
      </c>
      <c r="AE140" s="82" t="s">
        <v>333</v>
      </c>
      <c r="AF140" s="83">
        <v>0</v>
      </c>
      <c r="AG140" s="82" t="s">
        <v>333</v>
      </c>
      <c r="AH140" s="83">
        <v>0</v>
      </c>
      <c r="AI140" s="82" t="s">
        <v>333</v>
      </c>
      <c r="AJ140" s="83">
        <v>0</v>
      </c>
      <c r="AK140" s="82" t="s">
        <v>333</v>
      </c>
      <c r="AL140" s="83">
        <v>0</v>
      </c>
      <c r="AM140" s="82" t="s">
        <v>333</v>
      </c>
      <c r="AN140" s="83">
        <v>0</v>
      </c>
      <c r="AO140" s="82" t="s">
        <v>333</v>
      </c>
      <c r="AP140" s="83">
        <v>0</v>
      </c>
      <c r="AQ140" s="82" t="s">
        <v>333</v>
      </c>
      <c r="AR140" s="83">
        <v>0</v>
      </c>
      <c r="AS140" s="82" t="s">
        <v>333</v>
      </c>
      <c r="AT140" s="83">
        <v>0</v>
      </c>
      <c r="AU140" s="82" t="s">
        <v>333</v>
      </c>
      <c r="AV140" s="83">
        <v>0</v>
      </c>
      <c r="AW140" s="82" t="s">
        <v>333</v>
      </c>
      <c r="AX140" s="83">
        <v>0</v>
      </c>
      <c r="AY140" s="82" t="s">
        <v>333</v>
      </c>
      <c r="AZ140" s="83">
        <v>0</v>
      </c>
      <c r="BA140" s="82" t="s">
        <v>333</v>
      </c>
      <c r="BB140" s="83">
        <v>0</v>
      </c>
      <c r="BC140" s="82" t="s">
        <v>333</v>
      </c>
      <c r="BD140" s="83">
        <v>0</v>
      </c>
      <c r="BE140" s="82" t="s">
        <v>333</v>
      </c>
      <c r="BF140" s="83">
        <v>0</v>
      </c>
      <c r="BG140" s="82" t="s">
        <v>333</v>
      </c>
      <c r="BH140" s="83">
        <v>0</v>
      </c>
      <c r="BI140" s="82" t="s">
        <v>333</v>
      </c>
      <c r="BJ140" s="83">
        <v>0</v>
      </c>
      <c r="BK140" s="82" t="s">
        <v>333</v>
      </c>
      <c r="BL140" s="83">
        <v>0</v>
      </c>
      <c r="BM140" s="82" t="s">
        <v>333</v>
      </c>
      <c r="BN140" s="83">
        <v>0</v>
      </c>
      <c r="BO140" s="82" t="s">
        <v>333</v>
      </c>
      <c r="BP140" s="81">
        <v>9.4809999999999999</v>
      </c>
      <c r="BQ140" s="82" t="s">
        <v>333</v>
      </c>
      <c r="BR140" s="83">
        <v>0</v>
      </c>
      <c r="BS140" s="82" t="s">
        <v>333</v>
      </c>
      <c r="BT140" s="83">
        <v>0</v>
      </c>
      <c r="BU140" s="82" t="s">
        <v>333</v>
      </c>
      <c r="BV140" s="83">
        <v>0</v>
      </c>
      <c r="BW140" s="82" t="s">
        <v>333</v>
      </c>
      <c r="BX140" s="83">
        <v>0</v>
      </c>
      <c r="BY140" s="82" t="s">
        <v>333</v>
      </c>
      <c r="BZ140" s="83">
        <v>0</v>
      </c>
      <c r="CA140" s="82" t="s">
        <v>333</v>
      </c>
      <c r="CB140" s="83">
        <v>0</v>
      </c>
      <c r="CC140" s="82" t="s">
        <v>333</v>
      </c>
    </row>
    <row r="141" spans="1:81" x14ac:dyDescent="0.2">
      <c r="A141" s="10" t="s">
        <v>549</v>
      </c>
      <c r="B141" s="11">
        <v>0.60899999999999999</v>
      </c>
      <c r="C141" s="12" t="s">
        <v>333</v>
      </c>
      <c r="D141" s="11">
        <v>0.60899999999999999</v>
      </c>
      <c r="E141" s="12" t="s">
        <v>333</v>
      </c>
      <c r="F141" s="20">
        <v>0</v>
      </c>
      <c r="G141" s="12" t="s">
        <v>333</v>
      </c>
      <c r="H141" s="20">
        <v>0</v>
      </c>
      <c r="I141" s="12" t="s">
        <v>333</v>
      </c>
      <c r="J141" s="20">
        <v>0</v>
      </c>
      <c r="K141" s="12" t="s">
        <v>333</v>
      </c>
      <c r="L141" s="20">
        <v>0</v>
      </c>
      <c r="M141" s="12" t="s">
        <v>333</v>
      </c>
      <c r="N141" s="12" t="s">
        <v>202</v>
      </c>
      <c r="O141" s="12" t="s">
        <v>333</v>
      </c>
      <c r="P141" s="12" t="s">
        <v>202</v>
      </c>
      <c r="Q141" s="12" t="s">
        <v>333</v>
      </c>
      <c r="R141" s="12" t="s">
        <v>202</v>
      </c>
      <c r="S141" s="12" t="s">
        <v>333</v>
      </c>
      <c r="T141" s="12" t="s">
        <v>202</v>
      </c>
      <c r="U141" s="12" t="s">
        <v>333</v>
      </c>
      <c r="V141" s="12" t="s">
        <v>202</v>
      </c>
      <c r="W141" s="12" t="s">
        <v>333</v>
      </c>
      <c r="X141" s="11">
        <v>0.60899999999999999</v>
      </c>
      <c r="Y141" s="12" t="s">
        <v>333</v>
      </c>
      <c r="Z141" s="11">
        <v>0.60899999999999999</v>
      </c>
      <c r="AA141" s="12" t="s">
        <v>333</v>
      </c>
      <c r="AB141" s="20">
        <v>0</v>
      </c>
      <c r="AC141" s="12" t="s">
        <v>333</v>
      </c>
      <c r="AD141" s="20">
        <v>0</v>
      </c>
      <c r="AE141" s="12" t="s">
        <v>333</v>
      </c>
      <c r="AF141" s="11">
        <v>4.8000000000000001E-2</v>
      </c>
      <c r="AG141" s="12" t="s">
        <v>333</v>
      </c>
      <c r="AH141" s="20">
        <v>0</v>
      </c>
      <c r="AI141" s="12" t="s">
        <v>333</v>
      </c>
      <c r="AJ141" s="20">
        <v>0</v>
      </c>
      <c r="AK141" s="12" t="s">
        <v>333</v>
      </c>
      <c r="AL141" s="20">
        <v>0</v>
      </c>
      <c r="AM141" s="12" t="s">
        <v>333</v>
      </c>
      <c r="AN141" s="20">
        <v>0</v>
      </c>
      <c r="AO141" s="12" t="s">
        <v>333</v>
      </c>
      <c r="AP141" s="20">
        <v>0</v>
      </c>
      <c r="AQ141" s="12" t="s">
        <v>333</v>
      </c>
      <c r="AR141" s="20">
        <v>0</v>
      </c>
      <c r="AS141" s="12" t="s">
        <v>333</v>
      </c>
      <c r="AT141" s="20">
        <v>0</v>
      </c>
      <c r="AU141" s="12" t="s">
        <v>333</v>
      </c>
      <c r="AV141" s="20">
        <v>0</v>
      </c>
      <c r="AW141" s="12" t="s">
        <v>333</v>
      </c>
      <c r="AX141" s="11">
        <v>0.56100000000000005</v>
      </c>
      <c r="AY141" s="12" t="s">
        <v>333</v>
      </c>
      <c r="AZ141" s="11">
        <v>0.56100000000000005</v>
      </c>
      <c r="BA141" s="12" t="s">
        <v>333</v>
      </c>
      <c r="BB141" s="11">
        <v>0.56100000000000005</v>
      </c>
      <c r="BC141" s="12" t="s">
        <v>333</v>
      </c>
      <c r="BD141" s="20">
        <v>0</v>
      </c>
      <c r="BE141" s="12" t="s">
        <v>333</v>
      </c>
      <c r="BF141" s="20">
        <v>0</v>
      </c>
      <c r="BG141" s="12" t="s">
        <v>333</v>
      </c>
      <c r="BH141" s="20">
        <v>0</v>
      </c>
      <c r="BI141" s="12" t="s">
        <v>333</v>
      </c>
      <c r="BJ141" s="20">
        <v>0</v>
      </c>
      <c r="BK141" s="12" t="s">
        <v>333</v>
      </c>
      <c r="BL141" s="20">
        <v>0</v>
      </c>
      <c r="BM141" s="12" t="s">
        <v>333</v>
      </c>
      <c r="BN141" s="20">
        <v>0</v>
      </c>
      <c r="BO141" s="12" t="s">
        <v>333</v>
      </c>
      <c r="BP141" s="20">
        <v>0</v>
      </c>
      <c r="BQ141" s="12" t="s">
        <v>333</v>
      </c>
      <c r="BR141" s="20">
        <v>0</v>
      </c>
      <c r="BS141" s="12" t="s">
        <v>333</v>
      </c>
      <c r="BT141" s="20">
        <v>0</v>
      </c>
      <c r="BU141" s="12" t="s">
        <v>333</v>
      </c>
      <c r="BV141" s="20">
        <v>0</v>
      </c>
      <c r="BW141" s="12" t="s">
        <v>333</v>
      </c>
      <c r="BX141" s="20">
        <v>0</v>
      </c>
      <c r="BY141" s="12" t="s">
        <v>333</v>
      </c>
      <c r="BZ141" s="20">
        <v>0</v>
      </c>
      <c r="CA141" s="12" t="s">
        <v>333</v>
      </c>
      <c r="CB141" s="20">
        <v>0</v>
      </c>
      <c r="CC141" s="12" t="s">
        <v>333</v>
      </c>
    </row>
    <row r="142" spans="1:81" x14ac:dyDescent="0.2">
      <c r="A142" s="10" t="s">
        <v>297</v>
      </c>
      <c r="B142" s="81">
        <v>0.60899999999999999</v>
      </c>
      <c r="C142" s="82" t="s">
        <v>333</v>
      </c>
      <c r="D142" s="81">
        <v>0.60899999999999999</v>
      </c>
      <c r="E142" s="82" t="s">
        <v>333</v>
      </c>
      <c r="F142" s="83">
        <v>0</v>
      </c>
      <c r="G142" s="82" t="s">
        <v>333</v>
      </c>
      <c r="H142" s="83">
        <v>0</v>
      </c>
      <c r="I142" s="82" t="s">
        <v>333</v>
      </c>
      <c r="J142" s="83">
        <v>0</v>
      </c>
      <c r="K142" s="82" t="s">
        <v>333</v>
      </c>
      <c r="L142" s="83">
        <v>0</v>
      </c>
      <c r="M142" s="82" t="s">
        <v>333</v>
      </c>
      <c r="N142" s="82" t="s">
        <v>202</v>
      </c>
      <c r="O142" s="82" t="s">
        <v>333</v>
      </c>
      <c r="P142" s="82" t="s">
        <v>202</v>
      </c>
      <c r="Q142" s="82" t="s">
        <v>333</v>
      </c>
      <c r="R142" s="82" t="s">
        <v>202</v>
      </c>
      <c r="S142" s="82" t="s">
        <v>333</v>
      </c>
      <c r="T142" s="82" t="s">
        <v>202</v>
      </c>
      <c r="U142" s="82" t="s">
        <v>333</v>
      </c>
      <c r="V142" s="82" t="s">
        <v>202</v>
      </c>
      <c r="W142" s="82" t="s">
        <v>333</v>
      </c>
      <c r="X142" s="81">
        <v>0.60899999999999999</v>
      </c>
      <c r="Y142" s="82" t="s">
        <v>333</v>
      </c>
      <c r="Z142" s="81">
        <v>0.60899999999999999</v>
      </c>
      <c r="AA142" s="82" t="s">
        <v>333</v>
      </c>
      <c r="AB142" s="83">
        <v>0</v>
      </c>
      <c r="AC142" s="82" t="s">
        <v>333</v>
      </c>
      <c r="AD142" s="83">
        <v>0</v>
      </c>
      <c r="AE142" s="82" t="s">
        <v>333</v>
      </c>
      <c r="AF142" s="81">
        <v>4.8000000000000001E-2</v>
      </c>
      <c r="AG142" s="82" t="s">
        <v>333</v>
      </c>
      <c r="AH142" s="83">
        <v>0</v>
      </c>
      <c r="AI142" s="82" t="s">
        <v>333</v>
      </c>
      <c r="AJ142" s="83">
        <v>0</v>
      </c>
      <c r="AK142" s="82" t="s">
        <v>333</v>
      </c>
      <c r="AL142" s="83">
        <v>0</v>
      </c>
      <c r="AM142" s="82" t="s">
        <v>333</v>
      </c>
      <c r="AN142" s="83">
        <v>0</v>
      </c>
      <c r="AO142" s="82" t="s">
        <v>333</v>
      </c>
      <c r="AP142" s="83">
        <v>0</v>
      </c>
      <c r="AQ142" s="82" t="s">
        <v>333</v>
      </c>
      <c r="AR142" s="83">
        <v>0</v>
      </c>
      <c r="AS142" s="82" t="s">
        <v>333</v>
      </c>
      <c r="AT142" s="83">
        <v>0</v>
      </c>
      <c r="AU142" s="82" t="s">
        <v>333</v>
      </c>
      <c r="AV142" s="83">
        <v>0</v>
      </c>
      <c r="AW142" s="82" t="s">
        <v>333</v>
      </c>
      <c r="AX142" s="81">
        <v>0.56100000000000005</v>
      </c>
      <c r="AY142" s="82" t="s">
        <v>333</v>
      </c>
      <c r="AZ142" s="81">
        <v>0.56100000000000005</v>
      </c>
      <c r="BA142" s="82" t="s">
        <v>333</v>
      </c>
      <c r="BB142" s="81">
        <v>0.56100000000000005</v>
      </c>
      <c r="BC142" s="82" t="s">
        <v>333</v>
      </c>
      <c r="BD142" s="83">
        <v>0</v>
      </c>
      <c r="BE142" s="82" t="s">
        <v>333</v>
      </c>
      <c r="BF142" s="83">
        <v>0</v>
      </c>
      <c r="BG142" s="82" t="s">
        <v>333</v>
      </c>
      <c r="BH142" s="83">
        <v>0</v>
      </c>
      <c r="BI142" s="82" t="s">
        <v>333</v>
      </c>
      <c r="BJ142" s="83">
        <v>0</v>
      </c>
      <c r="BK142" s="82" t="s">
        <v>333</v>
      </c>
      <c r="BL142" s="83">
        <v>0</v>
      </c>
      <c r="BM142" s="82" t="s">
        <v>333</v>
      </c>
      <c r="BN142" s="83">
        <v>0</v>
      </c>
      <c r="BO142" s="82" t="s">
        <v>333</v>
      </c>
      <c r="BP142" s="83">
        <v>0</v>
      </c>
      <c r="BQ142" s="82" t="s">
        <v>333</v>
      </c>
      <c r="BR142" s="83">
        <v>0</v>
      </c>
      <c r="BS142" s="82" t="s">
        <v>333</v>
      </c>
      <c r="BT142" s="83">
        <v>0</v>
      </c>
      <c r="BU142" s="82" t="s">
        <v>333</v>
      </c>
      <c r="BV142" s="83">
        <v>0</v>
      </c>
      <c r="BW142" s="82" t="s">
        <v>333</v>
      </c>
      <c r="BX142" s="83">
        <v>0</v>
      </c>
      <c r="BY142" s="82" t="s">
        <v>333</v>
      </c>
      <c r="BZ142" s="83">
        <v>0</v>
      </c>
      <c r="CA142" s="82" t="s">
        <v>333</v>
      </c>
      <c r="CB142" s="83">
        <v>0</v>
      </c>
      <c r="CC142" s="82" t="s">
        <v>333</v>
      </c>
    </row>
    <row r="143" spans="1:81" x14ac:dyDescent="0.2">
      <c r="A143" s="10" t="s">
        <v>462</v>
      </c>
      <c r="B143" s="20">
        <v>0</v>
      </c>
      <c r="C143" s="12" t="s">
        <v>333</v>
      </c>
      <c r="D143" s="20">
        <v>0</v>
      </c>
      <c r="E143" s="12" t="s">
        <v>333</v>
      </c>
      <c r="F143" s="20">
        <v>0</v>
      </c>
      <c r="G143" s="12" t="s">
        <v>333</v>
      </c>
      <c r="H143" s="20">
        <v>0</v>
      </c>
      <c r="I143" s="12" t="s">
        <v>333</v>
      </c>
      <c r="J143" s="20">
        <v>0</v>
      </c>
      <c r="K143" s="12" t="s">
        <v>333</v>
      </c>
      <c r="L143" s="20">
        <v>0</v>
      </c>
      <c r="M143" s="12" t="s">
        <v>333</v>
      </c>
      <c r="N143" s="12" t="s">
        <v>202</v>
      </c>
      <c r="O143" s="12" t="s">
        <v>333</v>
      </c>
      <c r="P143" s="12" t="s">
        <v>202</v>
      </c>
      <c r="Q143" s="12" t="s">
        <v>333</v>
      </c>
      <c r="R143" s="12" t="s">
        <v>202</v>
      </c>
      <c r="S143" s="12" t="s">
        <v>333</v>
      </c>
      <c r="T143" s="12" t="s">
        <v>202</v>
      </c>
      <c r="U143" s="12" t="s">
        <v>333</v>
      </c>
      <c r="V143" s="12" t="s">
        <v>202</v>
      </c>
      <c r="W143" s="12" t="s">
        <v>333</v>
      </c>
      <c r="X143" s="20">
        <v>0</v>
      </c>
      <c r="Y143" s="12" t="s">
        <v>333</v>
      </c>
      <c r="Z143" s="20">
        <v>0</v>
      </c>
      <c r="AA143" s="12" t="s">
        <v>333</v>
      </c>
      <c r="AB143" s="20">
        <v>0</v>
      </c>
      <c r="AC143" s="12" t="s">
        <v>333</v>
      </c>
      <c r="AD143" s="20">
        <v>0</v>
      </c>
      <c r="AE143" s="12" t="s">
        <v>333</v>
      </c>
      <c r="AF143" s="20">
        <v>0</v>
      </c>
      <c r="AG143" s="12" t="s">
        <v>333</v>
      </c>
      <c r="AH143" s="20">
        <v>0</v>
      </c>
      <c r="AI143" s="12" t="s">
        <v>333</v>
      </c>
      <c r="AJ143" s="20">
        <v>0</v>
      </c>
      <c r="AK143" s="12" t="s">
        <v>333</v>
      </c>
      <c r="AL143" s="20">
        <v>0</v>
      </c>
      <c r="AM143" s="12" t="s">
        <v>333</v>
      </c>
      <c r="AN143" s="20">
        <v>0</v>
      </c>
      <c r="AO143" s="12" t="s">
        <v>333</v>
      </c>
      <c r="AP143" s="20">
        <v>0</v>
      </c>
      <c r="AQ143" s="12" t="s">
        <v>333</v>
      </c>
      <c r="AR143" s="20">
        <v>0</v>
      </c>
      <c r="AS143" s="12" t="s">
        <v>333</v>
      </c>
      <c r="AT143" s="20">
        <v>0</v>
      </c>
      <c r="AU143" s="12" t="s">
        <v>333</v>
      </c>
      <c r="AV143" s="20">
        <v>0</v>
      </c>
      <c r="AW143" s="12" t="s">
        <v>333</v>
      </c>
      <c r="AX143" s="20">
        <v>0</v>
      </c>
      <c r="AY143" s="12" t="s">
        <v>333</v>
      </c>
      <c r="AZ143" s="20">
        <v>0</v>
      </c>
      <c r="BA143" s="12" t="s">
        <v>333</v>
      </c>
      <c r="BB143" s="20">
        <v>0</v>
      </c>
      <c r="BC143" s="12" t="s">
        <v>333</v>
      </c>
      <c r="BD143" s="20">
        <v>0</v>
      </c>
      <c r="BE143" s="12" t="s">
        <v>333</v>
      </c>
      <c r="BF143" s="20">
        <v>0</v>
      </c>
      <c r="BG143" s="12" t="s">
        <v>333</v>
      </c>
      <c r="BH143" s="20">
        <v>0</v>
      </c>
      <c r="BI143" s="12" t="s">
        <v>333</v>
      </c>
      <c r="BJ143" s="20">
        <v>0</v>
      </c>
      <c r="BK143" s="12" t="s">
        <v>333</v>
      </c>
      <c r="BL143" s="20">
        <v>0</v>
      </c>
      <c r="BM143" s="12" t="s">
        <v>333</v>
      </c>
      <c r="BN143" s="20">
        <v>0</v>
      </c>
      <c r="BO143" s="12" t="s">
        <v>333</v>
      </c>
      <c r="BP143" s="20">
        <v>0</v>
      </c>
      <c r="BQ143" s="12" t="s">
        <v>333</v>
      </c>
      <c r="BR143" s="20">
        <v>0</v>
      </c>
      <c r="BS143" s="12" t="s">
        <v>333</v>
      </c>
      <c r="BT143" s="20">
        <v>0</v>
      </c>
      <c r="BU143" s="12" t="s">
        <v>333</v>
      </c>
      <c r="BV143" s="20">
        <v>0</v>
      </c>
      <c r="BW143" s="12" t="s">
        <v>333</v>
      </c>
      <c r="BX143" s="20">
        <v>0</v>
      </c>
      <c r="BY143" s="12" t="s">
        <v>333</v>
      </c>
      <c r="BZ143" s="20">
        <v>0</v>
      </c>
      <c r="CA143" s="12" t="s">
        <v>333</v>
      </c>
      <c r="CB143" s="20">
        <v>0</v>
      </c>
      <c r="CC143" s="12" t="s">
        <v>333</v>
      </c>
    </row>
    <row r="144" spans="1:81" x14ac:dyDescent="0.2">
      <c r="A144" s="10" t="s">
        <v>550</v>
      </c>
      <c r="B144" s="81">
        <v>610.50900000000001</v>
      </c>
      <c r="C144" s="82" t="s">
        <v>333</v>
      </c>
      <c r="D144" s="81">
        <v>574.43600000000004</v>
      </c>
      <c r="E144" s="82" t="s">
        <v>333</v>
      </c>
      <c r="F144" s="83">
        <v>0</v>
      </c>
      <c r="G144" s="82" t="s">
        <v>333</v>
      </c>
      <c r="H144" s="83">
        <v>0</v>
      </c>
      <c r="I144" s="82" t="s">
        <v>333</v>
      </c>
      <c r="J144" s="83">
        <v>0</v>
      </c>
      <c r="K144" s="82" t="s">
        <v>333</v>
      </c>
      <c r="L144" s="83">
        <v>0</v>
      </c>
      <c r="M144" s="82" t="s">
        <v>333</v>
      </c>
      <c r="N144" s="82" t="s">
        <v>202</v>
      </c>
      <c r="O144" s="82" t="s">
        <v>333</v>
      </c>
      <c r="P144" s="82" t="s">
        <v>202</v>
      </c>
      <c r="Q144" s="82" t="s">
        <v>333</v>
      </c>
      <c r="R144" s="82" t="s">
        <v>202</v>
      </c>
      <c r="S144" s="82" t="s">
        <v>333</v>
      </c>
      <c r="T144" s="82" t="s">
        <v>202</v>
      </c>
      <c r="U144" s="82" t="s">
        <v>333</v>
      </c>
      <c r="V144" s="82" t="s">
        <v>202</v>
      </c>
      <c r="W144" s="82" t="s">
        <v>333</v>
      </c>
      <c r="X144" s="81">
        <v>610.50900000000001</v>
      </c>
      <c r="Y144" s="82" t="s">
        <v>333</v>
      </c>
      <c r="Z144" s="81">
        <v>574.43600000000004</v>
      </c>
      <c r="AA144" s="82" t="s">
        <v>333</v>
      </c>
      <c r="AB144" s="83">
        <v>0</v>
      </c>
      <c r="AC144" s="82" t="s">
        <v>333</v>
      </c>
      <c r="AD144" s="83">
        <v>0</v>
      </c>
      <c r="AE144" s="82" t="s">
        <v>333</v>
      </c>
      <c r="AF144" s="81">
        <v>2.968</v>
      </c>
      <c r="AG144" s="82" t="s">
        <v>333</v>
      </c>
      <c r="AH144" s="83">
        <v>0</v>
      </c>
      <c r="AI144" s="82" t="s">
        <v>333</v>
      </c>
      <c r="AJ144" s="83">
        <v>0</v>
      </c>
      <c r="AK144" s="82" t="s">
        <v>333</v>
      </c>
      <c r="AL144" s="81">
        <v>6.0010000000000003</v>
      </c>
      <c r="AM144" s="82" t="s">
        <v>333</v>
      </c>
      <c r="AN144" s="81">
        <v>6.0010000000000003</v>
      </c>
      <c r="AO144" s="82" t="s">
        <v>333</v>
      </c>
      <c r="AP144" s="83">
        <v>0</v>
      </c>
      <c r="AQ144" s="82" t="s">
        <v>333</v>
      </c>
      <c r="AR144" s="83">
        <v>0</v>
      </c>
      <c r="AS144" s="82" t="s">
        <v>333</v>
      </c>
      <c r="AT144" s="83">
        <v>0</v>
      </c>
      <c r="AU144" s="82" t="s">
        <v>333</v>
      </c>
      <c r="AV144" s="83">
        <v>0</v>
      </c>
      <c r="AW144" s="82" t="s">
        <v>333</v>
      </c>
      <c r="AX144" s="81">
        <v>501.19600000000003</v>
      </c>
      <c r="AY144" s="82" t="s">
        <v>333</v>
      </c>
      <c r="AZ144" s="81">
        <v>465.12299999999999</v>
      </c>
      <c r="BA144" s="82" t="s">
        <v>333</v>
      </c>
      <c r="BB144" s="81">
        <v>501.19600000000003</v>
      </c>
      <c r="BC144" s="82" t="s">
        <v>333</v>
      </c>
      <c r="BD144" s="83">
        <v>0</v>
      </c>
      <c r="BE144" s="82" t="s">
        <v>333</v>
      </c>
      <c r="BF144" s="83">
        <v>0</v>
      </c>
      <c r="BG144" s="82" t="s">
        <v>333</v>
      </c>
      <c r="BH144" s="83">
        <v>0</v>
      </c>
      <c r="BI144" s="82" t="s">
        <v>333</v>
      </c>
      <c r="BJ144" s="83">
        <v>0</v>
      </c>
      <c r="BK144" s="82" t="s">
        <v>333</v>
      </c>
      <c r="BL144" s="81">
        <v>8.7149999999999999</v>
      </c>
      <c r="BM144" s="82" t="s">
        <v>333</v>
      </c>
      <c r="BN144" s="83">
        <v>0</v>
      </c>
      <c r="BO144" s="82" t="s">
        <v>333</v>
      </c>
      <c r="BP144" s="83">
        <v>0</v>
      </c>
      <c r="BQ144" s="82" t="s">
        <v>333</v>
      </c>
      <c r="BR144" s="83">
        <v>0</v>
      </c>
      <c r="BS144" s="82" t="s">
        <v>333</v>
      </c>
      <c r="BT144" s="81">
        <v>91.629000000000005</v>
      </c>
      <c r="BU144" s="82" t="s">
        <v>333</v>
      </c>
      <c r="BV144" s="83">
        <v>0</v>
      </c>
      <c r="BW144" s="82" t="s">
        <v>333</v>
      </c>
      <c r="BX144" s="83">
        <v>0</v>
      </c>
      <c r="BY144" s="82" t="s">
        <v>333</v>
      </c>
      <c r="BZ144" s="81">
        <v>36.073</v>
      </c>
      <c r="CA144" s="82" t="s">
        <v>333</v>
      </c>
      <c r="CB144" s="83">
        <v>0</v>
      </c>
      <c r="CC144" s="82" t="s">
        <v>333</v>
      </c>
    </row>
    <row r="145" spans="1:81" x14ac:dyDescent="0.2">
      <c r="A145" s="10" t="s">
        <v>298</v>
      </c>
      <c r="B145" s="11">
        <v>510.16500000000002</v>
      </c>
      <c r="C145" s="12" t="s">
        <v>333</v>
      </c>
      <c r="D145" s="11">
        <v>474.09199999999998</v>
      </c>
      <c r="E145" s="12" t="s">
        <v>333</v>
      </c>
      <c r="F145" s="20">
        <v>0</v>
      </c>
      <c r="G145" s="12" t="s">
        <v>333</v>
      </c>
      <c r="H145" s="20">
        <v>0</v>
      </c>
      <c r="I145" s="12" t="s">
        <v>333</v>
      </c>
      <c r="J145" s="20">
        <v>0</v>
      </c>
      <c r="K145" s="12" t="s">
        <v>333</v>
      </c>
      <c r="L145" s="20">
        <v>0</v>
      </c>
      <c r="M145" s="12" t="s">
        <v>333</v>
      </c>
      <c r="N145" s="12" t="s">
        <v>202</v>
      </c>
      <c r="O145" s="12" t="s">
        <v>333</v>
      </c>
      <c r="P145" s="12" t="s">
        <v>202</v>
      </c>
      <c r="Q145" s="12" t="s">
        <v>333</v>
      </c>
      <c r="R145" s="12" t="s">
        <v>202</v>
      </c>
      <c r="S145" s="12" t="s">
        <v>333</v>
      </c>
      <c r="T145" s="12" t="s">
        <v>202</v>
      </c>
      <c r="U145" s="12" t="s">
        <v>333</v>
      </c>
      <c r="V145" s="12" t="s">
        <v>202</v>
      </c>
      <c r="W145" s="12" t="s">
        <v>333</v>
      </c>
      <c r="X145" s="11">
        <v>510.16500000000002</v>
      </c>
      <c r="Y145" s="12" t="s">
        <v>333</v>
      </c>
      <c r="Z145" s="11">
        <v>474.09199999999998</v>
      </c>
      <c r="AA145" s="12" t="s">
        <v>333</v>
      </c>
      <c r="AB145" s="20">
        <v>0</v>
      </c>
      <c r="AC145" s="12" t="s">
        <v>333</v>
      </c>
      <c r="AD145" s="20">
        <v>0</v>
      </c>
      <c r="AE145" s="12" t="s">
        <v>333</v>
      </c>
      <c r="AF145" s="11">
        <v>2.968</v>
      </c>
      <c r="AG145" s="12" t="s">
        <v>333</v>
      </c>
      <c r="AH145" s="20">
        <v>0</v>
      </c>
      <c r="AI145" s="12" t="s">
        <v>333</v>
      </c>
      <c r="AJ145" s="20">
        <v>0</v>
      </c>
      <c r="AK145" s="12" t="s">
        <v>333</v>
      </c>
      <c r="AL145" s="11">
        <v>6.0010000000000003</v>
      </c>
      <c r="AM145" s="12" t="s">
        <v>333</v>
      </c>
      <c r="AN145" s="11">
        <v>6.0010000000000003</v>
      </c>
      <c r="AO145" s="12" t="s">
        <v>333</v>
      </c>
      <c r="AP145" s="20">
        <v>0</v>
      </c>
      <c r="AQ145" s="12" t="s">
        <v>333</v>
      </c>
      <c r="AR145" s="20">
        <v>0</v>
      </c>
      <c r="AS145" s="12" t="s">
        <v>333</v>
      </c>
      <c r="AT145" s="20">
        <v>0</v>
      </c>
      <c r="AU145" s="12" t="s">
        <v>333</v>
      </c>
      <c r="AV145" s="20">
        <v>0</v>
      </c>
      <c r="AW145" s="12" t="s">
        <v>333</v>
      </c>
      <c r="AX145" s="11">
        <v>501.19600000000003</v>
      </c>
      <c r="AY145" s="12" t="s">
        <v>333</v>
      </c>
      <c r="AZ145" s="11">
        <v>465.12299999999999</v>
      </c>
      <c r="BA145" s="12" t="s">
        <v>333</v>
      </c>
      <c r="BB145" s="11">
        <v>501.19600000000003</v>
      </c>
      <c r="BC145" s="12" t="s">
        <v>333</v>
      </c>
      <c r="BD145" s="20">
        <v>0</v>
      </c>
      <c r="BE145" s="12" t="s">
        <v>333</v>
      </c>
      <c r="BF145" s="20">
        <v>0</v>
      </c>
      <c r="BG145" s="12" t="s">
        <v>333</v>
      </c>
      <c r="BH145" s="20">
        <v>0</v>
      </c>
      <c r="BI145" s="12" t="s">
        <v>333</v>
      </c>
      <c r="BJ145" s="20">
        <v>0</v>
      </c>
      <c r="BK145" s="12" t="s">
        <v>333</v>
      </c>
      <c r="BL145" s="20">
        <v>0</v>
      </c>
      <c r="BM145" s="12" t="s">
        <v>333</v>
      </c>
      <c r="BN145" s="20">
        <v>0</v>
      </c>
      <c r="BO145" s="12" t="s">
        <v>333</v>
      </c>
      <c r="BP145" s="20">
        <v>0</v>
      </c>
      <c r="BQ145" s="12" t="s">
        <v>333</v>
      </c>
      <c r="BR145" s="20">
        <v>0</v>
      </c>
      <c r="BS145" s="12" t="s">
        <v>333</v>
      </c>
      <c r="BT145" s="20">
        <v>0</v>
      </c>
      <c r="BU145" s="12" t="s">
        <v>333</v>
      </c>
      <c r="BV145" s="20">
        <v>0</v>
      </c>
      <c r="BW145" s="12" t="s">
        <v>333</v>
      </c>
      <c r="BX145" s="20">
        <v>0</v>
      </c>
      <c r="BY145" s="12" t="s">
        <v>333</v>
      </c>
      <c r="BZ145" s="11">
        <v>36.073</v>
      </c>
      <c r="CA145" s="12" t="s">
        <v>333</v>
      </c>
      <c r="CB145" s="20">
        <v>0</v>
      </c>
      <c r="CC145" s="12" t="s">
        <v>333</v>
      </c>
    </row>
    <row r="146" spans="1:81" x14ac:dyDescent="0.2">
      <c r="A146" s="10" t="s">
        <v>463</v>
      </c>
      <c r="B146" s="81">
        <v>100.34399999999999</v>
      </c>
      <c r="C146" s="82" t="s">
        <v>333</v>
      </c>
      <c r="D146" s="81">
        <v>100.34399999999999</v>
      </c>
      <c r="E146" s="82" t="s">
        <v>333</v>
      </c>
      <c r="F146" s="83">
        <v>0</v>
      </c>
      <c r="G146" s="82" t="s">
        <v>333</v>
      </c>
      <c r="H146" s="83">
        <v>0</v>
      </c>
      <c r="I146" s="82" t="s">
        <v>333</v>
      </c>
      <c r="J146" s="83">
        <v>0</v>
      </c>
      <c r="K146" s="82" t="s">
        <v>333</v>
      </c>
      <c r="L146" s="83">
        <v>0</v>
      </c>
      <c r="M146" s="82" t="s">
        <v>333</v>
      </c>
      <c r="N146" s="82" t="s">
        <v>202</v>
      </c>
      <c r="O146" s="82" t="s">
        <v>333</v>
      </c>
      <c r="P146" s="82" t="s">
        <v>202</v>
      </c>
      <c r="Q146" s="82" t="s">
        <v>333</v>
      </c>
      <c r="R146" s="82" t="s">
        <v>202</v>
      </c>
      <c r="S146" s="82" t="s">
        <v>333</v>
      </c>
      <c r="T146" s="82" t="s">
        <v>202</v>
      </c>
      <c r="U146" s="82" t="s">
        <v>333</v>
      </c>
      <c r="V146" s="82" t="s">
        <v>202</v>
      </c>
      <c r="W146" s="82" t="s">
        <v>333</v>
      </c>
      <c r="X146" s="81">
        <v>100.34399999999999</v>
      </c>
      <c r="Y146" s="82" t="s">
        <v>333</v>
      </c>
      <c r="Z146" s="81">
        <v>100.34399999999999</v>
      </c>
      <c r="AA146" s="82" t="s">
        <v>333</v>
      </c>
      <c r="AB146" s="83">
        <v>0</v>
      </c>
      <c r="AC146" s="82" t="s">
        <v>333</v>
      </c>
      <c r="AD146" s="83">
        <v>0</v>
      </c>
      <c r="AE146" s="82" t="s">
        <v>333</v>
      </c>
      <c r="AF146" s="83">
        <v>0</v>
      </c>
      <c r="AG146" s="82" t="s">
        <v>333</v>
      </c>
      <c r="AH146" s="83">
        <v>0</v>
      </c>
      <c r="AI146" s="82" t="s">
        <v>333</v>
      </c>
      <c r="AJ146" s="83">
        <v>0</v>
      </c>
      <c r="AK146" s="82" t="s">
        <v>333</v>
      </c>
      <c r="AL146" s="83">
        <v>0</v>
      </c>
      <c r="AM146" s="82" t="s">
        <v>333</v>
      </c>
      <c r="AN146" s="83">
        <v>0</v>
      </c>
      <c r="AO146" s="82" t="s">
        <v>333</v>
      </c>
      <c r="AP146" s="83">
        <v>0</v>
      </c>
      <c r="AQ146" s="82" t="s">
        <v>333</v>
      </c>
      <c r="AR146" s="83">
        <v>0</v>
      </c>
      <c r="AS146" s="82" t="s">
        <v>333</v>
      </c>
      <c r="AT146" s="83">
        <v>0</v>
      </c>
      <c r="AU146" s="82" t="s">
        <v>333</v>
      </c>
      <c r="AV146" s="83">
        <v>0</v>
      </c>
      <c r="AW146" s="82" t="s">
        <v>333</v>
      </c>
      <c r="AX146" s="83">
        <v>0</v>
      </c>
      <c r="AY146" s="82" t="s">
        <v>333</v>
      </c>
      <c r="AZ146" s="83">
        <v>0</v>
      </c>
      <c r="BA146" s="82" t="s">
        <v>333</v>
      </c>
      <c r="BB146" s="83">
        <v>0</v>
      </c>
      <c r="BC146" s="82" t="s">
        <v>333</v>
      </c>
      <c r="BD146" s="83">
        <v>0</v>
      </c>
      <c r="BE146" s="82" t="s">
        <v>333</v>
      </c>
      <c r="BF146" s="83">
        <v>0</v>
      </c>
      <c r="BG146" s="82" t="s">
        <v>333</v>
      </c>
      <c r="BH146" s="83">
        <v>0</v>
      </c>
      <c r="BI146" s="82" t="s">
        <v>333</v>
      </c>
      <c r="BJ146" s="83">
        <v>0</v>
      </c>
      <c r="BK146" s="82" t="s">
        <v>333</v>
      </c>
      <c r="BL146" s="81">
        <v>8.7149999999999999</v>
      </c>
      <c r="BM146" s="82" t="s">
        <v>333</v>
      </c>
      <c r="BN146" s="83">
        <v>0</v>
      </c>
      <c r="BO146" s="82" t="s">
        <v>333</v>
      </c>
      <c r="BP146" s="83">
        <v>0</v>
      </c>
      <c r="BQ146" s="82" t="s">
        <v>333</v>
      </c>
      <c r="BR146" s="83">
        <v>0</v>
      </c>
      <c r="BS146" s="82" t="s">
        <v>333</v>
      </c>
      <c r="BT146" s="81">
        <v>91.629000000000005</v>
      </c>
      <c r="BU146" s="82" t="s">
        <v>333</v>
      </c>
      <c r="BV146" s="83">
        <v>0</v>
      </c>
      <c r="BW146" s="82" t="s">
        <v>333</v>
      </c>
      <c r="BX146" s="83">
        <v>0</v>
      </c>
      <c r="BY146" s="82" t="s">
        <v>333</v>
      </c>
      <c r="BZ146" s="83">
        <v>0</v>
      </c>
      <c r="CA146" s="82" t="s">
        <v>333</v>
      </c>
      <c r="CB146" s="83">
        <v>0</v>
      </c>
      <c r="CC146" s="82" t="s">
        <v>333</v>
      </c>
    </row>
    <row r="147" spans="1:81" x14ac:dyDescent="0.2">
      <c r="A147" s="10" t="s">
        <v>551</v>
      </c>
      <c r="B147" s="11">
        <v>0.54800000000000004</v>
      </c>
      <c r="C147" s="12" t="s">
        <v>333</v>
      </c>
      <c r="D147" s="11">
        <v>0.54800000000000004</v>
      </c>
      <c r="E147" s="12" t="s">
        <v>333</v>
      </c>
      <c r="F147" s="20">
        <v>0</v>
      </c>
      <c r="G147" s="12" t="s">
        <v>333</v>
      </c>
      <c r="H147" s="20">
        <v>0</v>
      </c>
      <c r="I147" s="12" t="s">
        <v>333</v>
      </c>
      <c r="J147" s="20">
        <v>0</v>
      </c>
      <c r="K147" s="12" t="s">
        <v>333</v>
      </c>
      <c r="L147" s="20">
        <v>0</v>
      </c>
      <c r="M147" s="12" t="s">
        <v>333</v>
      </c>
      <c r="N147" s="12" t="s">
        <v>202</v>
      </c>
      <c r="O147" s="12" t="s">
        <v>333</v>
      </c>
      <c r="P147" s="12" t="s">
        <v>202</v>
      </c>
      <c r="Q147" s="12" t="s">
        <v>333</v>
      </c>
      <c r="R147" s="12" t="s">
        <v>202</v>
      </c>
      <c r="S147" s="12" t="s">
        <v>333</v>
      </c>
      <c r="T147" s="12" t="s">
        <v>202</v>
      </c>
      <c r="U147" s="12" t="s">
        <v>333</v>
      </c>
      <c r="V147" s="12" t="s">
        <v>202</v>
      </c>
      <c r="W147" s="12" t="s">
        <v>333</v>
      </c>
      <c r="X147" s="11">
        <v>0.54800000000000004</v>
      </c>
      <c r="Y147" s="12" t="s">
        <v>333</v>
      </c>
      <c r="Z147" s="11">
        <v>0.54800000000000004</v>
      </c>
      <c r="AA147" s="12" t="s">
        <v>333</v>
      </c>
      <c r="AB147" s="20">
        <v>0</v>
      </c>
      <c r="AC147" s="12" t="s">
        <v>333</v>
      </c>
      <c r="AD147" s="20">
        <v>0</v>
      </c>
      <c r="AE147" s="12" t="s">
        <v>333</v>
      </c>
      <c r="AF147" s="11">
        <v>0.54800000000000004</v>
      </c>
      <c r="AG147" s="12" t="s">
        <v>333</v>
      </c>
      <c r="AH147" s="20">
        <v>0</v>
      </c>
      <c r="AI147" s="12" t="s">
        <v>333</v>
      </c>
      <c r="AJ147" s="20">
        <v>0</v>
      </c>
      <c r="AK147" s="12" t="s">
        <v>333</v>
      </c>
      <c r="AL147" s="20">
        <v>0</v>
      </c>
      <c r="AM147" s="12" t="s">
        <v>333</v>
      </c>
      <c r="AN147" s="20">
        <v>0</v>
      </c>
      <c r="AO147" s="12" t="s">
        <v>333</v>
      </c>
      <c r="AP147" s="20">
        <v>0</v>
      </c>
      <c r="AQ147" s="12" t="s">
        <v>333</v>
      </c>
      <c r="AR147" s="20">
        <v>0</v>
      </c>
      <c r="AS147" s="12" t="s">
        <v>333</v>
      </c>
      <c r="AT147" s="20">
        <v>0</v>
      </c>
      <c r="AU147" s="12" t="s">
        <v>333</v>
      </c>
      <c r="AV147" s="20">
        <v>0</v>
      </c>
      <c r="AW147" s="12" t="s">
        <v>333</v>
      </c>
      <c r="AX147" s="20">
        <v>0</v>
      </c>
      <c r="AY147" s="12" t="s">
        <v>333</v>
      </c>
      <c r="AZ147" s="20">
        <v>0</v>
      </c>
      <c r="BA147" s="12" t="s">
        <v>333</v>
      </c>
      <c r="BB147" s="20">
        <v>0</v>
      </c>
      <c r="BC147" s="12" t="s">
        <v>333</v>
      </c>
      <c r="BD147" s="20">
        <v>0</v>
      </c>
      <c r="BE147" s="12" t="s">
        <v>333</v>
      </c>
      <c r="BF147" s="20">
        <v>0</v>
      </c>
      <c r="BG147" s="12" t="s">
        <v>333</v>
      </c>
      <c r="BH147" s="20">
        <v>0</v>
      </c>
      <c r="BI147" s="12" t="s">
        <v>333</v>
      </c>
      <c r="BJ147" s="20">
        <v>0</v>
      </c>
      <c r="BK147" s="12" t="s">
        <v>333</v>
      </c>
      <c r="BL147" s="20">
        <v>0</v>
      </c>
      <c r="BM147" s="12" t="s">
        <v>333</v>
      </c>
      <c r="BN147" s="20">
        <v>0</v>
      </c>
      <c r="BO147" s="12" t="s">
        <v>333</v>
      </c>
      <c r="BP147" s="20">
        <v>0</v>
      </c>
      <c r="BQ147" s="12" t="s">
        <v>333</v>
      </c>
      <c r="BR147" s="20">
        <v>0</v>
      </c>
      <c r="BS147" s="12" t="s">
        <v>333</v>
      </c>
      <c r="BT147" s="20">
        <v>0</v>
      </c>
      <c r="BU147" s="12" t="s">
        <v>333</v>
      </c>
      <c r="BV147" s="20">
        <v>0</v>
      </c>
      <c r="BW147" s="12" t="s">
        <v>333</v>
      </c>
      <c r="BX147" s="20">
        <v>0</v>
      </c>
      <c r="BY147" s="12" t="s">
        <v>333</v>
      </c>
      <c r="BZ147" s="20">
        <v>0</v>
      </c>
      <c r="CA147" s="12" t="s">
        <v>333</v>
      </c>
      <c r="CB147" s="20">
        <v>0</v>
      </c>
      <c r="CC147" s="12" t="s">
        <v>333</v>
      </c>
    </row>
    <row r="148" spans="1:81" x14ac:dyDescent="0.2">
      <c r="A148" s="10" t="s">
        <v>299</v>
      </c>
      <c r="B148" s="81">
        <v>0.54800000000000004</v>
      </c>
      <c r="C148" s="82" t="s">
        <v>333</v>
      </c>
      <c r="D148" s="81">
        <v>0.54800000000000004</v>
      </c>
      <c r="E148" s="82" t="s">
        <v>333</v>
      </c>
      <c r="F148" s="83">
        <v>0</v>
      </c>
      <c r="G148" s="82" t="s">
        <v>333</v>
      </c>
      <c r="H148" s="83">
        <v>0</v>
      </c>
      <c r="I148" s="82" t="s">
        <v>333</v>
      </c>
      <c r="J148" s="83">
        <v>0</v>
      </c>
      <c r="K148" s="82" t="s">
        <v>333</v>
      </c>
      <c r="L148" s="83">
        <v>0</v>
      </c>
      <c r="M148" s="82" t="s">
        <v>333</v>
      </c>
      <c r="N148" s="82" t="s">
        <v>202</v>
      </c>
      <c r="O148" s="82" t="s">
        <v>333</v>
      </c>
      <c r="P148" s="82" t="s">
        <v>202</v>
      </c>
      <c r="Q148" s="82" t="s">
        <v>333</v>
      </c>
      <c r="R148" s="82" t="s">
        <v>202</v>
      </c>
      <c r="S148" s="82" t="s">
        <v>333</v>
      </c>
      <c r="T148" s="82" t="s">
        <v>202</v>
      </c>
      <c r="U148" s="82" t="s">
        <v>333</v>
      </c>
      <c r="V148" s="82" t="s">
        <v>202</v>
      </c>
      <c r="W148" s="82" t="s">
        <v>333</v>
      </c>
      <c r="X148" s="81">
        <v>0.54800000000000004</v>
      </c>
      <c r="Y148" s="82" t="s">
        <v>333</v>
      </c>
      <c r="Z148" s="81">
        <v>0.54800000000000004</v>
      </c>
      <c r="AA148" s="82" t="s">
        <v>333</v>
      </c>
      <c r="AB148" s="83">
        <v>0</v>
      </c>
      <c r="AC148" s="82" t="s">
        <v>333</v>
      </c>
      <c r="AD148" s="83">
        <v>0</v>
      </c>
      <c r="AE148" s="82" t="s">
        <v>333</v>
      </c>
      <c r="AF148" s="81">
        <v>0.54800000000000004</v>
      </c>
      <c r="AG148" s="82" t="s">
        <v>333</v>
      </c>
      <c r="AH148" s="83">
        <v>0</v>
      </c>
      <c r="AI148" s="82" t="s">
        <v>333</v>
      </c>
      <c r="AJ148" s="83">
        <v>0</v>
      </c>
      <c r="AK148" s="82" t="s">
        <v>333</v>
      </c>
      <c r="AL148" s="83">
        <v>0</v>
      </c>
      <c r="AM148" s="82" t="s">
        <v>333</v>
      </c>
      <c r="AN148" s="83">
        <v>0</v>
      </c>
      <c r="AO148" s="82" t="s">
        <v>333</v>
      </c>
      <c r="AP148" s="83">
        <v>0</v>
      </c>
      <c r="AQ148" s="82" t="s">
        <v>333</v>
      </c>
      <c r="AR148" s="83">
        <v>0</v>
      </c>
      <c r="AS148" s="82" t="s">
        <v>333</v>
      </c>
      <c r="AT148" s="83">
        <v>0</v>
      </c>
      <c r="AU148" s="82" t="s">
        <v>333</v>
      </c>
      <c r="AV148" s="83">
        <v>0</v>
      </c>
      <c r="AW148" s="82" t="s">
        <v>333</v>
      </c>
      <c r="AX148" s="83">
        <v>0</v>
      </c>
      <c r="AY148" s="82" t="s">
        <v>333</v>
      </c>
      <c r="AZ148" s="83">
        <v>0</v>
      </c>
      <c r="BA148" s="82" t="s">
        <v>333</v>
      </c>
      <c r="BB148" s="83">
        <v>0</v>
      </c>
      <c r="BC148" s="82" t="s">
        <v>333</v>
      </c>
      <c r="BD148" s="83">
        <v>0</v>
      </c>
      <c r="BE148" s="82" t="s">
        <v>333</v>
      </c>
      <c r="BF148" s="83">
        <v>0</v>
      </c>
      <c r="BG148" s="82" t="s">
        <v>333</v>
      </c>
      <c r="BH148" s="83">
        <v>0</v>
      </c>
      <c r="BI148" s="82" t="s">
        <v>333</v>
      </c>
      <c r="BJ148" s="83">
        <v>0</v>
      </c>
      <c r="BK148" s="82" t="s">
        <v>333</v>
      </c>
      <c r="BL148" s="83">
        <v>0</v>
      </c>
      <c r="BM148" s="82" t="s">
        <v>333</v>
      </c>
      <c r="BN148" s="83">
        <v>0</v>
      </c>
      <c r="BO148" s="82" t="s">
        <v>333</v>
      </c>
      <c r="BP148" s="83">
        <v>0</v>
      </c>
      <c r="BQ148" s="82" t="s">
        <v>333</v>
      </c>
      <c r="BR148" s="83">
        <v>0</v>
      </c>
      <c r="BS148" s="82" t="s">
        <v>333</v>
      </c>
      <c r="BT148" s="83">
        <v>0</v>
      </c>
      <c r="BU148" s="82" t="s">
        <v>333</v>
      </c>
      <c r="BV148" s="83">
        <v>0</v>
      </c>
      <c r="BW148" s="82" t="s">
        <v>333</v>
      </c>
      <c r="BX148" s="83">
        <v>0</v>
      </c>
      <c r="BY148" s="82" t="s">
        <v>333</v>
      </c>
      <c r="BZ148" s="83">
        <v>0</v>
      </c>
      <c r="CA148" s="82" t="s">
        <v>333</v>
      </c>
      <c r="CB148" s="83">
        <v>0</v>
      </c>
      <c r="CC148" s="82" t="s">
        <v>333</v>
      </c>
    </row>
    <row r="149" spans="1:81" x14ac:dyDescent="0.2">
      <c r="A149" s="10" t="s">
        <v>464</v>
      </c>
      <c r="B149" s="20">
        <v>0</v>
      </c>
      <c r="C149" s="12" t="s">
        <v>333</v>
      </c>
      <c r="D149" s="20">
        <v>0</v>
      </c>
      <c r="E149" s="12" t="s">
        <v>333</v>
      </c>
      <c r="F149" s="20">
        <v>0</v>
      </c>
      <c r="G149" s="12" t="s">
        <v>333</v>
      </c>
      <c r="H149" s="20">
        <v>0</v>
      </c>
      <c r="I149" s="12" t="s">
        <v>333</v>
      </c>
      <c r="J149" s="20">
        <v>0</v>
      </c>
      <c r="K149" s="12" t="s">
        <v>333</v>
      </c>
      <c r="L149" s="20">
        <v>0</v>
      </c>
      <c r="M149" s="12" t="s">
        <v>333</v>
      </c>
      <c r="N149" s="12" t="s">
        <v>202</v>
      </c>
      <c r="O149" s="12" t="s">
        <v>333</v>
      </c>
      <c r="P149" s="12" t="s">
        <v>202</v>
      </c>
      <c r="Q149" s="12" t="s">
        <v>333</v>
      </c>
      <c r="R149" s="12" t="s">
        <v>202</v>
      </c>
      <c r="S149" s="12" t="s">
        <v>333</v>
      </c>
      <c r="T149" s="12" t="s">
        <v>202</v>
      </c>
      <c r="U149" s="12" t="s">
        <v>333</v>
      </c>
      <c r="V149" s="12" t="s">
        <v>202</v>
      </c>
      <c r="W149" s="12" t="s">
        <v>333</v>
      </c>
      <c r="X149" s="20">
        <v>0</v>
      </c>
      <c r="Y149" s="12" t="s">
        <v>333</v>
      </c>
      <c r="Z149" s="20">
        <v>0</v>
      </c>
      <c r="AA149" s="12" t="s">
        <v>333</v>
      </c>
      <c r="AB149" s="20">
        <v>0</v>
      </c>
      <c r="AC149" s="12" t="s">
        <v>333</v>
      </c>
      <c r="AD149" s="20">
        <v>0</v>
      </c>
      <c r="AE149" s="12" t="s">
        <v>333</v>
      </c>
      <c r="AF149" s="20">
        <v>0</v>
      </c>
      <c r="AG149" s="12" t="s">
        <v>333</v>
      </c>
      <c r="AH149" s="20">
        <v>0</v>
      </c>
      <c r="AI149" s="12" t="s">
        <v>333</v>
      </c>
      <c r="AJ149" s="20">
        <v>0</v>
      </c>
      <c r="AK149" s="12" t="s">
        <v>333</v>
      </c>
      <c r="AL149" s="20">
        <v>0</v>
      </c>
      <c r="AM149" s="12" t="s">
        <v>333</v>
      </c>
      <c r="AN149" s="20">
        <v>0</v>
      </c>
      <c r="AO149" s="12" t="s">
        <v>333</v>
      </c>
      <c r="AP149" s="20">
        <v>0</v>
      </c>
      <c r="AQ149" s="12" t="s">
        <v>333</v>
      </c>
      <c r="AR149" s="20">
        <v>0</v>
      </c>
      <c r="AS149" s="12" t="s">
        <v>333</v>
      </c>
      <c r="AT149" s="20">
        <v>0</v>
      </c>
      <c r="AU149" s="12" t="s">
        <v>333</v>
      </c>
      <c r="AV149" s="20">
        <v>0</v>
      </c>
      <c r="AW149" s="12" t="s">
        <v>333</v>
      </c>
      <c r="AX149" s="20">
        <v>0</v>
      </c>
      <c r="AY149" s="12" t="s">
        <v>333</v>
      </c>
      <c r="AZ149" s="20">
        <v>0</v>
      </c>
      <c r="BA149" s="12" t="s">
        <v>333</v>
      </c>
      <c r="BB149" s="20">
        <v>0</v>
      </c>
      <c r="BC149" s="12" t="s">
        <v>333</v>
      </c>
      <c r="BD149" s="20">
        <v>0</v>
      </c>
      <c r="BE149" s="12" t="s">
        <v>333</v>
      </c>
      <c r="BF149" s="20">
        <v>0</v>
      </c>
      <c r="BG149" s="12" t="s">
        <v>333</v>
      </c>
      <c r="BH149" s="20">
        <v>0</v>
      </c>
      <c r="BI149" s="12" t="s">
        <v>333</v>
      </c>
      <c r="BJ149" s="20">
        <v>0</v>
      </c>
      <c r="BK149" s="12" t="s">
        <v>333</v>
      </c>
      <c r="BL149" s="20">
        <v>0</v>
      </c>
      <c r="BM149" s="12" t="s">
        <v>333</v>
      </c>
      <c r="BN149" s="20">
        <v>0</v>
      </c>
      <c r="BO149" s="12" t="s">
        <v>333</v>
      </c>
      <c r="BP149" s="20">
        <v>0</v>
      </c>
      <c r="BQ149" s="12" t="s">
        <v>333</v>
      </c>
      <c r="BR149" s="20">
        <v>0</v>
      </c>
      <c r="BS149" s="12" t="s">
        <v>333</v>
      </c>
      <c r="BT149" s="20">
        <v>0</v>
      </c>
      <c r="BU149" s="12" t="s">
        <v>333</v>
      </c>
      <c r="BV149" s="20">
        <v>0</v>
      </c>
      <c r="BW149" s="12" t="s">
        <v>333</v>
      </c>
      <c r="BX149" s="20">
        <v>0</v>
      </c>
      <c r="BY149" s="12" t="s">
        <v>333</v>
      </c>
      <c r="BZ149" s="20">
        <v>0</v>
      </c>
      <c r="CA149" s="12" t="s">
        <v>333</v>
      </c>
      <c r="CB149" s="20">
        <v>0</v>
      </c>
      <c r="CC149" s="12" t="s">
        <v>333</v>
      </c>
    </row>
    <row r="150" spans="1:81" x14ac:dyDescent="0.2">
      <c r="A150" s="10" t="s">
        <v>552</v>
      </c>
      <c r="B150" s="81">
        <v>56.655000000000001</v>
      </c>
      <c r="C150" s="82" t="s">
        <v>333</v>
      </c>
      <c r="D150" s="81">
        <v>56.655000000000001</v>
      </c>
      <c r="E150" s="82" t="s">
        <v>333</v>
      </c>
      <c r="F150" s="83">
        <v>0</v>
      </c>
      <c r="G150" s="82" t="s">
        <v>333</v>
      </c>
      <c r="H150" s="83">
        <v>0</v>
      </c>
      <c r="I150" s="82" t="s">
        <v>333</v>
      </c>
      <c r="J150" s="83">
        <v>0</v>
      </c>
      <c r="K150" s="82" t="s">
        <v>333</v>
      </c>
      <c r="L150" s="83">
        <v>0</v>
      </c>
      <c r="M150" s="82" t="s">
        <v>333</v>
      </c>
      <c r="N150" s="82" t="s">
        <v>202</v>
      </c>
      <c r="O150" s="82" t="s">
        <v>333</v>
      </c>
      <c r="P150" s="82" t="s">
        <v>202</v>
      </c>
      <c r="Q150" s="82" t="s">
        <v>333</v>
      </c>
      <c r="R150" s="82" t="s">
        <v>202</v>
      </c>
      <c r="S150" s="82" t="s">
        <v>333</v>
      </c>
      <c r="T150" s="82" t="s">
        <v>202</v>
      </c>
      <c r="U150" s="82" t="s">
        <v>333</v>
      </c>
      <c r="V150" s="82" t="s">
        <v>202</v>
      </c>
      <c r="W150" s="82" t="s">
        <v>333</v>
      </c>
      <c r="X150" s="81">
        <v>56.655000000000001</v>
      </c>
      <c r="Y150" s="82" t="s">
        <v>333</v>
      </c>
      <c r="Z150" s="81">
        <v>56.655000000000001</v>
      </c>
      <c r="AA150" s="82" t="s">
        <v>333</v>
      </c>
      <c r="AB150" s="83">
        <v>0</v>
      </c>
      <c r="AC150" s="82" t="s">
        <v>333</v>
      </c>
      <c r="AD150" s="83">
        <v>0</v>
      </c>
      <c r="AE150" s="82" t="s">
        <v>333</v>
      </c>
      <c r="AF150" s="81">
        <v>5.8380000000000001</v>
      </c>
      <c r="AG150" s="82" t="s">
        <v>333</v>
      </c>
      <c r="AH150" s="83">
        <v>0</v>
      </c>
      <c r="AI150" s="82" t="s">
        <v>333</v>
      </c>
      <c r="AJ150" s="83">
        <v>0</v>
      </c>
      <c r="AK150" s="82" t="s">
        <v>333</v>
      </c>
      <c r="AL150" s="83">
        <v>0</v>
      </c>
      <c r="AM150" s="82" t="s">
        <v>333</v>
      </c>
      <c r="AN150" s="83">
        <v>0</v>
      </c>
      <c r="AO150" s="82" t="s">
        <v>333</v>
      </c>
      <c r="AP150" s="83">
        <v>0</v>
      </c>
      <c r="AQ150" s="82" t="s">
        <v>333</v>
      </c>
      <c r="AR150" s="83">
        <v>0</v>
      </c>
      <c r="AS150" s="82" t="s">
        <v>333</v>
      </c>
      <c r="AT150" s="83">
        <v>0</v>
      </c>
      <c r="AU150" s="82" t="s">
        <v>333</v>
      </c>
      <c r="AV150" s="83">
        <v>0</v>
      </c>
      <c r="AW150" s="82" t="s">
        <v>333</v>
      </c>
      <c r="AX150" s="81">
        <v>6.6000000000000003E-2</v>
      </c>
      <c r="AY150" s="82" t="s">
        <v>333</v>
      </c>
      <c r="AZ150" s="81">
        <v>6.6000000000000003E-2</v>
      </c>
      <c r="BA150" s="82" t="s">
        <v>333</v>
      </c>
      <c r="BB150" s="81">
        <v>6.6000000000000003E-2</v>
      </c>
      <c r="BC150" s="82" t="s">
        <v>333</v>
      </c>
      <c r="BD150" s="83">
        <v>0</v>
      </c>
      <c r="BE150" s="82" t="s">
        <v>333</v>
      </c>
      <c r="BF150" s="83">
        <v>0</v>
      </c>
      <c r="BG150" s="82" t="s">
        <v>333</v>
      </c>
      <c r="BH150" s="83">
        <v>0</v>
      </c>
      <c r="BI150" s="82" t="s">
        <v>333</v>
      </c>
      <c r="BJ150" s="83">
        <v>0</v>
      </c>
      <c r="BK150" s="82" t="s">
        <v>333</v>
      </c>
      <c r="BL150" s="83">
        <v>0</v>
      </c>
      <c r="BM150" s="82" t="s">
        <v>333</v>
      </c>
      <c r="BN150" s="81">
        <v>50.750999999999998</v>
      </c>
      <c r="BO150" s="82" t="s">
        <v>333</v>
      </c>
      <c r="BP150" s="83">
        <v>0</v>
      </c>
      <c r="BQ150" s="82" t="s">
        <v>333</v>
      </c>
      <c r="BR150" s="83">
        <v>0</v>
      </c>
      <c r="BS150" s="82" t="s">
        <v>333</v>
      </c>
      <c r="BT150" s="83">
        <v>0</v>
      </c>
      <c r="BU150" s="82" t="s">
        <v>333</v>
      </c>
      <c r="BV150" s="83">
        <v>0</v>
      </c>
      <c r="BW150" s="82" t="s">
        <v>333</v>
      </c>
      <c r="BX150" s="83">
        <v>0</v>
      </c>
      <c r="BY150" s="82" t="s">
        <v>333</v>
      </c>
      <c r="BZ150" s="83">
        <v>0</v>
      </c>
      <c r="CA150" s="82" t="s">
        <v>333</v>
      </c>
      <c r="CB150" s="83">
        <v>0</v>
      </c>
      <c r="CC150" s="82" t="s">
        <v>333</v>
      </c>
    </row>
    <row r="151" spans="1:81" x14ac:dyDescent="0.2">
      <c r="A151" s="10" t="s">
        <v>300</v>
      </c>
      <c r="B151" s="11">
        <v>5.9039999999999999</v>
      </c>
      <c r="C151" s="12" t="s">
        <v>333</v>
      </c>
      <c r="D151" s="11">
        <v>5.9039999999999999</v>
      </c>
      <c r="E151" s="12" t="s">
        <v>333</v>
      </c>
      <c r="F151" s="20">
        <v>0</v>
      </c>
      <c r="G151" s="12" t="s">
        <v>333</v>
      </c>
      <c r="H151" s="20">
        <v>0</v>
      </c>
      <c r="I151" s="12" t="s">
        <v>333</v>
      </c>
      <c r="J151" s="20">
        <v>0</v>
      </c>
      <c r="K151" s="12" t="s">
        <v>333</v>
      </c>
      <c r="L151" s="20">
        <v>0</v>
      </c>
      <c r="M151" s="12" t="s">
        <v>333</v>
      </c>
      <c r="N151" s="12" t="s">
        <v>202</v>
      </c>
      <c r="O151" s="12" t="s">
        <v>333</v>
      </c>
      <c r="P151" s="12" t="s">
        <v>202</v>
      </c>
      <c r="Q151" s="12" t="s">
        <v>333</v>
      </c>
      <c r="R151" s="12" t="s">
        <v>202</v>
      </c>
      <c r="S151" s="12" t="s">
        <v>333</v>
      </c>
      <c r="T151" s="12" t="s">
        <v>202</v>
      </c>
      <c r="U151" s="12" t="s">
        <v>333</v>
      </c>
      <c r="V151" s="12" t="s">
        <v>202</v>
      </c>
      <c r="W151" s="12" t="s">
        <v>333</v>
      </c>
      <c r="X151" s="11">
        <v>5.9039999999999999</v>
      </c>
      <c r="Y151" s="12" t="s">
        <v>333</v>
      </c>
      <c r="Z151" s="11">
        <v>5.9039999999999999</v>
      </c>
      <c r="AA151" s="12" t="s">
        <v>333</v>
      </c>
      <c r="AB151" s="20">
        <v>0</v>
      </c>
      <c r="AC151" s="12" t="s">
        <v>333</v>
      </c>
      <c r="AD151" s="20">
        <v>0</v>
      </c>
      <c r="AE151" s="12" t="s">
        <v>333</v>
      </c>
      <c r="AF151" s="11">
        <v>5.8380000000000001</v>
      </c>
      <c r="AG151" s="12" t="s">
        <v>333</v>
      </c>
      <c r="AH151" s="20">
        <v>0</v>
      </c>
      <c r="AI151" s="12" t="s">
        <v>333</v>
      </c>
      <c r="AJ151" s="20">
        <v>0</v>
      </c>
      <c r="AK151" s="12" t="s">
        <v>333</v>
      </c>
      <c r="AL151" s="20">
        <v>0</v>
      </c>
      <c r="AM151" s="12" t="s">
        <v>333</v>
      </c>
      <c r="AN151" s="20">
        <v>0</v>
      </c>
      <c r="AO151" s="12" t="s">
        <v>333</v>
      </c>
      <c r="AP151" s="20">
        <v>0</v>
      </c>
      <c r="AQ151" s="12" t="s">
        <v>333</v>
      </c>
      <c r="AR151" s="20">
        <v>0</v>
      </c>
      <c r="AS151" s="12" t="s">
        <v>333</v>
      </c>
      <c r="AT151" s="20">
        <v>0</v>
      </c>
      <c r="AU151" s="12" t="s">
        <v>333</v>
      </c>
      <c r="AV151" s="20">
        <v>0</v>
      </c>
      <c r="AW151" s="12" t="s">
        <v>333</v>
      </c>
      <c r="AX151" s="11">
        <v>6.6000000000000003E-2</v>
      </c>
      <c r="AY151" s="12" t="s">
        <v>333</v>
      </c>
      <c r="AZ151" s="11">
        <v>6.6000000000000003E-2</v>
      </c>
      <c r="BA151" s="12" t="s">
        <v>333</v>
      </c>
      <c r="BB151" s="11">
        <v>6.6000000000000003E-2</v>
      </c>
      <c r="BC151" s="12" t="s">
        <v>333</v>
      </c>
      <c r="BD151" s="20">
        <v>0</v>
      </c>
      <c r="BE151" s="12" t="s">
        <v>333</v>
      </c>
      <c r="BF151" s="20">
        <v>0</v>
      </c>
      <c r="BG151" s="12" t="s">
        <v>333</v>
      </c>
      <c r="BH151" s="20">
        <v>0</v>
      </c>
      <c r="BI151" s="12" t="s">
        <v>333</v>
      </c>
      <c r="BJ151" s="20">
        <v>0</v>
      </c>
      <c r="BK151" s="12" t="s">
        <v>333</v>
      </c>
      <c r="BL151" s="20">
        <v>0</v>
      </c>
      <c r="BM151" s="12" t="s">
        <v>333</v>
      </c>
      <c r="BN151" s="20">
        <v>0</v>
      </c>
      <c r="BO151" s="12" t="s">
        <v>333</v>
      </c>
      <c r="BP151" s="20">
        <v>0</v>
      </c>
      <c r="BQ151" s="12" t="s">
        <v>333</v>
      </c>
      <c r="BR151" s="20">
        <v>0</v>
      </c>
      <c r="BS151" s="12" t="s">
        <v>333</v>
      </c>
      <c r="BT151" s="20">
        <v>0</v>
      </c>
      <c r="BU151" s="12" t="s">
        <v>333</v>
      </c>
      <c r="BV151" s="20">
        <v>0</v>
      </c>
      <c r="BW151" s="12" t="s">
        <v>333</v>
      </c>
      <c r="BX151" s="20">
        <v>0</v>
      </c>
      <c r="BY151" s="12" t="s">
        <v>333</v>
      </c>
      <c r="BZ151" s="20">
        <v>0</v>
      </c>
      <c r="CA151" s="12" t="s">
        <v>333</v>
      </c>
      <c r="CB151" s="20">
        <v>0</v>
      </c>
      <c r="CC151" s="12" t="s">
        <v>333</v>
      </c>
    </row>
    <row r="152" spans="1:81" x14ac:dyDescent="0.2">
      <c r="A152" s="10" t="s">
        <v>465</v>
      </c>
      <c r="B152" s="81">
        <v>50.750999999999998</v>
      </c>
      <c r="C152" s="82" t="s">
        <v>333</v>
      </c>
      <c r="D152" s="81">
        <v>50.750999999999998</v>
      </c>
      <c r="E152" s="82" t="s">
        <v>333</v>
      </c>
      <c r="F152" s="83">
        <v>0</v>
      </c>
      <c r="G152" s="82" t="s">
        <v>333</v>
      </c>
      <c r="H152" s="83">
        <v>0</v>
      </c>
      <c r="I152" s="82" t="s">
        <v>333</v>
      </c>
      <c r="J152" s="83">
        <v>0</v>
      </c>
      <c r="K152" s="82" t="s">
        <v>333</v>
      </c>
      <c r="L152" s="83">
        <v>0</v>
      </c>
      <c r="M152" s="82" t="s">
        <v>333</v>
      </c>
      <c r="N152" s="82" t="s">
        <v>202</v>
      </c>
      <c r="O152" s="82" t="s">
        <v>333</v>
      </c>
      <c r="P152" s="82" t="s">
        <v>202</v>
      </c>
      <c r="Q152" s="82" t="s">
        <v>333</v>
      </c>
      <c r="R152" s="82" t="s">
        <v>202</v>
      </c>
      <c r="S152" s="82" t="s">
        <v>333</v>
      </c>
      <c r="T152" s="82" t="s">
        <v>202</v>
      </c>
      <c r="U152" s="82" t="s">
        <v>333</v>
      </c>
      <c r="V152" s="82" t="s">
        <v>202</v>
      </c>
      <c r="W152" s="82" t="s">
        <v>333</v>
      </c>
      <c r="X152" s="81">
        <v>50.750999999999998</v>
      </c>
      <c r="Y152" s="82" t="s">
        <v>333</v>
      </c>
      <c r="Z152" s="81">
        <v>50.750999999999998</v>
      </c>
      <c r="AA152" s="82" t="s">
        <v>333</v>
      </c>
      <c r="AB152" s="83">
        <v>0</v>
      </c>
      <c r="AC152" s="82" t="s">
        <v>333</v>
      </c>
      <c r="AD152" s="83">
        <v>0</v>
      </c>
      <c r="AE152" s="82" t="s">
        <v>333</v>
      </c>
      <c r="AF152" s="83">
        <v>0</v>
      </c>
      <c r="AG152" s="82" t="s">
        <v>333</v>
      </c>
      <c r="AH152" s="83">
        <v>0</v>
      </c>
      <c r="AI152" s="82" t="s">
        <v>333</v>
      </c>
      <c r="AJ152" s="83">
        <v>0</v>
      </c>
      <c r="AK152" s="82" t="s">
        <v>333</v>
      </c>
      <c r="AL152" s="83">
        <v>0</v>
      </c>
      <c r="AM152" s="82" t="s">
        <v>333</v>
      </c>
      <c r="AN152" s="83">
        <v>0</v>
      </c>
      <c r="AO152" s="82" t="s">
        <v>333</v>
      </c>
      <c r="AP152" s="83">
        <v>0</v>
      </c>
      <c r="AQ152" s="82" t="s">
        <v>333</v>
      </c>
      <c r="AR152" s="83">
        <v>0</v>
      </c>
      <c r="AS152" s="82" t="s">
        <v>333</v>
      </c>
      <c r="AT152" s="83">
        <v>0</v>
      </c>
      <c r="AU152" s="82" t="s">
        <v>333</v>
      </c>
      <c r="AV152" s="83">
        <v>0</v>
      </c>
      <c r="AW152" s="82" t="s">
        <v>333</v>
      </c>
      <c r="AX152" s="83">
        <v>0</v>
      </c>
      <c r="AY152" s="82" t="s">
        <v>333</v>
      </c>
      <c r="AZ152" s="83">
        <v>0</v>
      </c>
      <c r="BA152" s="82" t="s">
        <v>333</v>
      </c>
      <c r="BB152" s="83">
        <v>0</v>
      </c>
      <c r="BC152" s="82" t="s">
        <v>333</v>
      </c>
      <c r="BD152" s="83">
        <v>0</v>
      </c>
      <c r="BE152" s="82" t="s">
        <v>333</v>
      </c>
      <c r="BF152" s="83">
        <v>0</v>
      </c>
      <c r="BG152" s="82" t="s">
        <v>333</v>
      </c>
      <c r="BH152" s="83">
        <v>0</v>
      </c>
      <c r="BI152" s="82" t="s">
        <v>333</v>
      </c>
      <c r="BJ152" s="83">
        <v>0</v>
      </c>
      <c r="BK152" s="82" t="s">
        <v>333</v>
      </c>
      <c r="BL152" s="83">
        <v>0</v>
      </c>
      <c r="BM152" s="82" t="s">
        <v>333</v>
      </c>
      <c r="BN152" s="81">
        <v>50.750999999999998</v>
      </c>
      <c r="BO152" s="82" t="s">
        <v>333</v>
      </c>
      <c r="BP152" s="83">
        <v>0</v>
      </c>
      <c r="BQ152" s="82" t="s">
        <v>333</v>
      </c>
      <c r="BR152" s="83">
        <v>0</v>
      </c>
      <c r="BS152" s="82" t="s">
        <v>333</v>
      </c>
      <c r="BT152" s="83">
        <v>0</v>
      </c>
      <c r="BU152" s="82" t="s">
        <v>333</v>
      </c>
      <c r="BV152" s="83">
        <v>0</v>
      </c>
      <c r="BW152" s="82" t="s">
        <v>333</v>
      </c>
      <c r="BX152" s="83">
        <v>0</v>
      </c>
      <c r="BY152" s="82" t="s">
        <v>333</v>
      </c>
      <c r="BZ152" s="83">
        <v>0</v>
      </c>
      <c r="CA152" s="82" t="s">
        <v>333</v>
      </c>
      <c r="CB152" s="83">
        <v>0</v>
      </c>
      <c r="CC152" s="82" t="s">
        <v>333</v>
      </c>
    </row>
    <row r="153" spans="1:81" x14ac:dyDescent="0.2">
      <c r="A153" s="10" t="s">
        <v>553</v>
      </c>
      <c r="B153" s="11">
        <v>12323.773999999999</v>
      </c>
      <c r="C153" s="12" t="s">
        <v>333</v>
      </c>
      <c r="D153" s="11">
        <v>11555.821</v>
      </c>
      <c r="E153" s="12" t="s">
        <v>333</v>
      </c>
      <c r="F153" s="20">
        <v>0</v>
      </c>
      <c r="G153" s="12" t="s">
        <v>333</v>
      </c>
      <c r="H153" s="20">
        <v>0</v>
      </c>
      <c r="I153" s="12" t="s">
        <v>333</v>
      </c>
      <c r="J153" s="20">
        <v>0</v>
      </c>
      <c r="K153" s="12" t="s">
        <v>333</v>
      </c>
      <c r="L153" s="20">
        <v>0</v>
      </c>
      <c r="M153" s="12" t="s">
        <v>333</v>
      </c>
      <c r="N153" s="12" t="s">
        <v>202</v>
      </c>
      <c r="O153" s="12" t="s">
        <v>333</v>
      </c>
      <c r="P153" s="12" t="s">
        <v>202</v>
      </c>
      <c r="Q153" s="12" t="s">
        <v>333</v>
      </c>
      <c r="R153" s="12" t="s">
        <v>202</v>
      </c>
      <c r="S153" s="12" t="s">
        <v>333</v>
      </c>
      <c r="T153" s="12" t="s">
        <v>202</v>
      </c>
      <c r="U153" s="12" t="s">
        <v>333</v>
      </c>
      <c r="V153" s="12" t="s">
        <v>202</v>
      </c>
      <c r="W153" s="12" t="s">
        <v>333</v>
      </c>
      <c r="X153" s="11">
        <v>12323.773999999999</v>
      </c>
      <c r="Y153" s="12" t="s">
        <v>333</v>
      </c>
      <c r="Z153" s="11">
        <v>11555.821</v>
      </c>
      <c r="AA153" s="12" t="s">
        <v>333</v>
      </c>
      <c r="AB153" s="20">
        <v>0</v>
      </c>
      <c r="AC153" s="12" t="s">
        <v>333</v>
      </c>
      <c r="AD153" s="20">
        <v>0</v>
      </c>
      <c r="AE153" s="12" t="s">
        <v>333</v>
      </c>
      <c r="AF153" s="11">
        <v>109.86799999999999</v>
      </c>
      <c r="AG153" s="12" t="s">
        <v>333</v>
      </c>
      <c r="AH153" s="20">
        <v>0</v>
      </c>
      <c r="AI153" s="12" t="s">
        <v>333</v>
      </c>
      <c r="AJ153" s="11">
        <v>1.292</v>
      </c>
      <c r="AK153" s="12" t="s">
        <v>333</v>
      </c>
      <c r="AL153" s="11">
        <v>4323.1229999999996</v>
      </c>
      <c r="AM153" s="12" t="s">
        <v>333</v>
      </c>
      <c r="AN153" s="11">
        <v>3923.8440000000001</v>
      </c>
      <c r="AO153" s="12" t="s">
        <v>333</v>
      </c>
      <c r="AP153" s="20">
        <v>0</v>
      </c>
      <c r="AQ153" s="12" t="s">
        <v>333</v>
      </c>
      <c r="AR153" s="11">
        <v>3279.2939999999999</v>
      </c>
      <c r="AS153" s="12" t="s">
        <v>333</v>
      </c>
      <c r="AT153" s="11">
        <v>3219.1480000000001</v>
      </c>
      <c r="AU153" s="12" t="s">
        <v>333</v>
      </c>
      <c r="AV153" s="20">
        <v>0</v>
      </c>
      <c r="AW153" s="12" t="s">
        <v>333</v>
      </c>
      <c r="AX153" s="20">
        <v>4544.8599999999997</v>
      </c>
      <c r="AY153" s="12" t="s">
        <v>333</v>
      </c>
      <c r="AZ153" s="11">
        <v>4236.3320000000003</v>
      </c>
      <c r="BA153" s="12" t="s">
        <v>333</v>
      </c>
      <c r="BB153" s="11">
        <v>4283.8990000000003</v>
      </c>
      <c r="BC153" s="12" t="s">
        <v>333</v>
      </c>
      <c r="BD153" s="11">
        <v>260.96199999999999</v>
      </c>
      <c r="BE153" s="12" t="s">
        <v>333</v>
      </c>
      <c r="BF153" s="20">
        <v>0</v>
      </c>
      <c r="BG153" s="12" t="s">
        <v>333</v>
      </c>
      <c r="BH153" s="20">
        <v>0</v>
      </c>
      <c r="BI153" s="12" t="s">
        <v>333</v>
      </c>
      <c r="BJ153" s="20">
        <v>0</v>
      </c>
      <c r="BK153" s="12" t="s">
        <v>333</v>
      </c>
      <c r="BL153" s="20">
        <v>0</v>
      </c>
      <c r="BM153" s="12" t="s">
        <v>333</v>
      </c>
      <c r="BN153" s="11">
        <v>65.337000000000003</v>
      </c>
      <c r="BO153" s="12" t="s">
        <v>333</v>
      </c>
      <c r="BP153" s="20">
        <v>0</v>
      </c>
      <c r="BQ153" s="12" t="s">
        <v>333</v>
      </c>
      <c r="BR153" s="20">
        <v>0</v>
      </c>
      <c r="BS153" s="12" t="s">
        <v>333</v>
      </c>
      <c r="BT153" s="20">
        <v>0</v>
      </c>
      <c r="BU153" s="12" t="s">
        <v>333</v>
      </c>
      <c r="BV153" s="20">
        <v>0</v>
      </c>
      <c r="BW153" s="12" t="s">
        <v>333</v>
      </c>
      <c r="BX153" s="11">
        <v>399.279</v>
      </c>
      <c r="BY153" s="12" t="s">
        <v>333</v>
      </c>
      <c r="BZ153" s="11">
        <v>308.52800000000002</v>
      </c>
      <c r="CA153" s="12" t="s">
        <v>333</v>
      </c>
      <c r="CB153" s="11">
        <v>60.146000000000001</v>
      </c>
      <c r="CC153" s="12" t="s">
        <v>333</v>
      </c>
    </row>
    <row r="154" spans="1:81" x14ac:dyDescent="0.2">
      <c r="A154" s="10" t="s">
        <v>301</v>
      </c>
      <c r="B154" s="81">
        <v>12258.437</v>
      </c>
      <c r="C154" s="82" t="s">
        <v>333</v>
      </c>
      <c r="D154" s="81">
        <v>11490.484</v>
      </c>
      <c r="E154" s="82" t="s">
        <v>333</v>
      </c>
      <c r="F154" s="83">
        <v>0</v>
      </c>
      <c r="G154" s="82" t="s">
        <v>333</v>
      </c>
      <c r="H154" s="83">
        <v>0</v>
      </c>
      <c r="I154" s="82" t="s">
        <v>333</v>
      </c>
      <c r="J154" s="83">
        <v>0</v>
      </c>
      <c r="K154" s="82" t="s">
        <v>333</v>
      </c>
      <c r="L154" s="83">
        <v>0</v>
      </c>
      <c r="M154" s="82" t="s">
        <v>333</v>
      </c>
      <c r="N154" s="82" t="s">
        <v>202</v>
      </c>
      <c r="O154" s="82" t="s">
        <v>333</v>
      </c>
      <c r="P154" s="82" t="s">
        <v>202</v>
      </c>
      <c r="Q154" s="82" t="s">
        <v>333</v>
      </c>
      <c r="R154" s="82" t="s">
        <v>202</v>
      </c>
      <c r="S154" s="82" t="s">
        <v>333</v>
      </c>
      <c r="T154" s="82" t="s">
        <v>202</v>
      </c>
      <c r="U154" s="82" t="s">
        <v>333</v>
      </c>
      <c r="V154" s="82" t="s">
        <v>202</v>
      </c>
      <c r="W154" s="82" t="s">
        <v>333</v>
      </c>
      <c r="X154" s="81">
        <v>12258.437</v>
      </c>
      <c r="Y154" s="82" t="s">
        <v>333</v>
      </c>
      <c r="Z154" s="81">
        <v>11490.484</v>
      </c>
      <c r="AA154" s="82" t="s">
        <v>333</v>
      </c>
      <c r="AB154" s="83">
        <v>0</v>
      </c>
      <c r="AC154" s="82" t="s">
        <v>333</v>
      </c>
      <c r="AD154" s="83">
        <v>0</v>
      </c>
      <c r="AE154" s="82" t="s">
        <v>333</v>
      </c>
      <c r="AF154" s="81">
        <v>109.86799999999999</v>
      </c>
      <c r="AG154" s="82" t="s">
        <v>333</v>
      </c>
      <c r="AH154" s="83">
        <v>0</v>
      </c>
      <c r="AI154" s="82" t="s">
        <v>333</v>
      </c>
      <c r="AJ154" s="81">
        <v>1.292</v>
      </c>
      <c r="AK154" s="82" t="s">
        <v>333</v>
      </c>
      <c r="AL154" s="81">
        <v>4323.1229999999996</v>
      </c>
      <c r="AM154" s="82" t="s">
        <v>333</v>
      </c>
      <c r="AN154" s="81">
        <v>3923.8440000000001</v>
      </c>
      <c r="AO154" s="82" t="s">
        <v>333</v>
      </c>
      <c r="AP154" s="83">
        <v>0</v>
      </c>
      <c r="AQ154" s="82" t="s">
        <v>333</v>
      </c>
      <c r="AR154" s="81">
        <v>3279.2939999999999</v>
      </c>
      <c r="AS154" s="82" t="s">
        <v>333</v>
      </c>
      <c r="AT154" s="81">
        <v>3219.1480000000001</v>
      </c>
      <c r="AU154" s="82" t="s">
        <v>333</v>
      </c>
      <c r="AV154" s="83">
        <v>0</v>
      </c>
      <c r="AW154" s="82" t="s">
        <v>333</v>
      </c>
      <c r="AX154" s="83">
        <v>4544.8599999999997</v>
      </c>
      <c r="AY154" s="82" t="s">
        <v>333</v>
      </c>
      <c r="AZ154" s="81">
        <v>4236.3320000000003</v>
      </c>
      <c r="BA154" s="82" t="s">
        <v>333</v>
      </c>
      <c r="BB154" s="81">
        <v>4283.8990000000003</v>
      </c>
      <c r="BC154" s="82" t="s">
        <v>333</v>
      </c>
      <c r="BD154" s="81">
        <v>260.96199999999999</v>
      </c>
      <c r="BE154" s="82" t="s">
        <v>333</v>
      </c>
      <c r="BF154" s="83">
        <v>0</v>
      </c>
      <c r="BG154" s="82" t="s">
        <v>333</v>
      </c>
      <c r="BH154" s="83">
        <v>0</v>
      </c>
      <c r="BI154" s="82" t="s">
        <v>333</v>
      </c>
      <c r="BJ154" s="83">
        <v>0</v>
      </c>
      <c r="BK154" s="82" t="s">
        <v>333</v>
      </c>
      <c r="BL154" s="83">
        <v>0</v>
      </c>
      <c r="BM154" s="82" t="s">
        <v>333</v>
      </c>
      <c r="BN154" s="83">
        <v>0</v>
      </c>
      <c r="BO154" s="82" t="s">
        <v>333</v>
      </c>
      <c r="BP154" s="83">
        <v>0</v>
      </c>
      <c r="BQ154" s="82" t="s">
        <v>333</v>
      </c>
      <c r="BR154" s="83">
        <v>0</v>
      </c>
      <c r="BS154" s="82" t="s">
        <v>333</v>
      </c>
      <c r="BT154" s="83">
        <v>0</v>
      </c>
      <c r="BU154" s="82" t="s">
        <v>333</v>
      </c>
      <c r="BV154" s="83">
        <v>0</v>
      </c>
      <c r="BW154" s="82" t="s">
        <v>333</v>
      </c>
      <c r="BX154" s="81">
        <v>399.279</v>
      </c>
      <c r="BY154" s="82" t="s">
        <v>333</v>
      </c>
      <c r="BZ154" s="81">
        <v>308.52800000000002</v>
      </c>
      <c r="CA154" s="82" t="s">
        <v>333</v>
      </c>
      <c r="CB154" s="81">
        <v>60.146000000000001</v>
      </c>
      <c r="CC154" s="82" t="s">
        <v>333</v>
      </c>
    </row>
    <row r="155" spans="1:81" x14ac:dyDescent="0.2">
      <c r="A155" s="10" t="s">
        <v>554</v>
      </c>
      <c r="B155" s="11">
        <v>23.353000000000002</v>
      </c>
      <c r="C155" s="12" t="s">
        <v>333</v>
      </c>
      <c r="D155" s="11">
        <v>21.678000000000001</v>
      </c>
      <c r="E155" s="12" t="s">
        <v>333</v>
      </c>
      <c r="F155" s="20">
        <v>0</v>
      </c>
      <c r="G155" s="12" t="s">
        <v>333</v>
      </c>
      <c r="H155" s="20">
        <v>0</v>
      </c>
      <c r="I155" s="12" t="s">
        <v>333</v>
      </c>
      <c r="J155" s="20">
        <v>0</v>
      </c>
      <c r="K155" s="12" t="s">
        <v>333</v>
      </c>
      <c r="L155" s="20">
        <v>0</v>
      </c>
      <c r="M155" s="12" t="s">
        <v>333</v>
      </c>
      <c r="N155" s="12" t="s">
        <v>202</v>
      </c>
      <c r="O155" s="12" t="s">
        <v>333</v>
      </c>
      <c r="P155" s="12" t="s">
        <v>202</v>
      </c>
      <c r="Q155" s="12" t="s">
        <v>333</v>
      </c>
      <c r="R155" s="12" t="s">
        <v>202</v>
      </c>
      <c r="S155" s="12" t="s">
        <v>333</v>
      </c>
      <c r="T155" s="12" t="s">
        <v>202</v>
      </c>
      <c r="U155" s="12" t="s">
        <v>333</v>
      </c>
      <c r="V155" s="12" t="s">
        <v>202</v>
      </c>
      <c r="W155" s="12" t="s">
        <v>333</v>
      </c>
      <c r="X155" s="11">
        <v>23.353000000000002</v>
      </c>
      <c r="Y155" s="12" t="s">
        <v>333</v>
      </c>
      <c r="Z155" s="11">
        <v>21.678000000000001</v>
      </c>
      <c r="AA155" s="12" t="s">
        <v>333</v>
      </c>
      <c r="AB155" s="20">
        <v>0</v>
      </c>
      <c r="AC155" s="12" t="s">
        <v>333</v>
      </c>
      <c r="AD155" s="20">
        <v>0</v>
      </c>
      <c r="AE155" s="12" t="s">
        <v>333</v>
      </c>
      <c r="AF155" s="20">
        <v>0</v>
      </c>
      <c r="AG155" s="12" t="s">
        <v>333</v>
      </c>
      <c r="AH155" s="20">
        <v>0</v>
      </c>
      <c r="AI155" s="12" t="s">
        <v>333</v>
      </c>
      <c r="AJ155" s="20">
        <v>0</v>
      </c>
      <c r="AK155" s="12" t="s">
        <v>333</v>
      </c>
      <c r="AL155" s="20">
        <v>0</v>
      </c>
      <c r="AM155" s="12" t="s">
        <v>333</v>
      </c>
      <c r="AN155" s="20">
        <v>0</v>
      </c>
      <c r="AO155" s="12" t="s">
        <v>333</v>
      </c>
      <c r="AP155" s="20">
        <v>0</v>
      </c>
      <c r="AQ155" s="12" t="s">
        <v>333</v>
      </c>
      <c r="AR155" s="20">
        <v>0</v>
      </c>
      <c r="AS155" s="12" t="s">
        <v>333</v>
      </c>
      <c r="AT155" s="20">
        <v>0</v>
      </c>
      <c r="AU155" s="12" t="s">
        <v>333</v>
      </c>
      <c r="AV155" s="20">
        <v>0</v>
      </c>
      <c r="AW155" s="12" t="s">
        <v>333</v>
      </c>
      <c r="AX155" s="11">
        <v>23.201000000000001</v>
      </c>
      <c r="AY155" s="12" t="s">
        <v>333</v>
      </c>
      <c r="AZ155" s="11">
        <v>21.526</v>
      </c>
      <c r="BA155" s="12" t="s">
        <v>333</v>
      </c>
      <c r="BB155" s="11">
        <v>23.202000000000002</v>
      </c>
      <c r="BC155" s="12" t="s">
        <v>333</v>
      </c>
      <c r="BD155" s="20">
        <v>0</v>
      </c>
      <c r="BE155" s="12" t="s">
        <v>333</v>
      </c>
      <c r="BF155" s="20">
        <v>0</v>
      </c>
      <c r="BG155" s="12" t="s">
        <v>333</v>
      </c>
      <c r="BH155" s="20">
        <v>0</v>
      </c>
      <c r="BI155" s="12" t="s">
        <v>333</v>
      </c>
      <c r="BJ155" s="20">
        <v>0</v>
      </c>
      <c r="BK155" s="12" t="s">
        <v>333</v>
      </c>
      <c r="BL155" s="20">
        <v>0</v>
      </c>
      <c r="BM155" s="12" t="s">
        <v>333</v>
      </c>
      <c r="BN155" s="11">
        <v>0.152</v>
      </c>
      <c r="BO155" s="12" t="s">
        <v>333</v>
      </c>
      <c r="BP155" s="20">
        <v>0</v>
      </c>
      <c r="BQ155" s="12" t="s">
        <v>333</v>
      </c>
      <c r="BR155" s="20">
        <v>0</v>
      </c>
      <c r="BS155" s="12" t="s">
        <v>333</v>
      </c>
      <c r="BT155" s="20">
        <v>0</v>
      </c>
      <c r="BU155" s="12" t="s">
        <v>333</v>
      </c>
      <c r="BV155" s="20">
        <v>0</v>
      </c>
      <c r="BW155" s="12" t="s">
        <v>333</v>
      </c>
      <c r="BX155" s="20">
        <v>0</v>
      </c>
      <c r="BY155" s="12" t="s">
        <v>333</v>
      </c>
      <c r="BZ155" s="11">
        <v>1.675</v>
      </c>
      <c r="CA155" s="12" t="s">
        <v>333</v>
      </c>
      <c r="CB155" s="20">
        <v>0</v>
      </c>
      <c r="CC155" s="12" t="s">
        <v>333</v>
      </c>
    </row>
    <row r="156" spans="1:81" x14ac:dyDescent="0.2">
      <c r="A156" s="10" t="s">
        <v>302</v>
      </c>
      <c r="B156" s="81">
        <v>23.201000000000001</v>
      </c>
      <c r="C156" s="82" t="s">
        <v>333</v>
      </c>
      <c r="D156" s="81">
        <v>21.526</v>
      </c>
      <c r="E156" s="82" t="s">
        <v>333</v>
      </c>
      <c r="F156" s="83">
        <v>0</v>
      </c>
      <c r="G156" s="82" t="s">
        <v>333</v>
      </c>
      <c r="H156" s="83">
        <v>0</v>
      </c>
      <c r="I156" s="82" t="s">
        <v>333</v>
      </c>
      <c r="J156" s="83">
        <v>0</v>
      </c>
      <c r="K156" s="82" t="s">
        <v>333</v>
      </c>
      <c r="L156" s="83">
        <v>0</v>
      </c>
      <c r="M156" s="82" t="s">
        <v>333</v>
      </c>
      <c r="N156" s="82" t="s">
        <v>202</v>
      </c>
      <c r="O156" s="82" t="s">
        <v>333</v>
      </c>
      <c r="P156" s="82" t="s">
        <v>202</v>
      </c>
      <c r="Q156" s="82" t="s">
        <v>333</v>
      </c>
      <c r="R156" s="82" t="s">
        <v>202</v>
      </c>
      <c r="S156" s="82" t="s">
        <v>333</v>
      </c>
      <c r="T156" s="82" t="s">
        <v>202</v>
      </c>
      <c r="U156" s="82" t="s">
        <v>333</v>
      </c>
      <c r="V156" s="82" t="s">
        <v>202</v>
      </c>
      <c r="W156" s="82" t="s">
        <v>333</v>
      </c>
      <c r="X156" s="81">
        <v>23.201000000000001</v>
      </c>
      <c r="Y156" s="82" t="s">
        <v>333</v>
      </c>
      <c r="Z156" s="81">
        <v>21.526</v>
      </c>
      <c r="AA156" s="82" t="s">
        <v>333</v>
      </c>
      <c r="AB156" s="83">
        <v>0</v>
      </c>
      <c r="AC156" s="82" t="s">
        <v>333</v>
      </c>
      <c r="AD156" s="83">
        <v>0</v>
      </c>
      <c r="AE156" s="82" t="s">
        <v>333</v>
      </c>
      <c r="AF156" s="83">
        <v>0</v>
      </c>
      <c r="AG156" s="82" t="s">
        <v>333</v>
      </c>
      <c r="AH156" s="83">
        <v>0</v>
      </c>
      <c r="AI156" s="82" t="s">
        <v>333</v>
      </c>
      <c r="AJ156" s="83">
        <v>0</v>
      </c>
      <c r="AK156" s="82" t="s">
        <v>333</v>
      </c>
      <c r="AL156" s="83">
        <v>0</v>
      </c>
      <c r="AM156" s="82" t="s">
        <v>333</v>
      </c>
      <c r="AN156" s="83">
        <v>0</v>
      </c>
      <c r="AO156" s="82" t="s">
        <v>333</v>
      </c>
      <c r="AP156" s="83">
        <v>0</v>
      </c>
      <c r="AQ156" s="82" t="s">
        <v>333</v>
      </c>
      <c r="AR156" s="83">
        <v>0</v>
      </c>
      <c r="AS156" s="82" t="s">
        <v>333</v>
      </c>
      <c r="AT156" s="83">
        <v>0</v>
      </c>
      <c r="AU156" s="82" t="s">
        <v>333</v>
      </c>
      <c r="AV156" s="83">
        <v>0</v>
      </c>
      <c r="AW156" s="82" t="s">
        <v>333</v>
      </c>
      <c r="AX156" s="81">
        <v>23.201000000000001</v>
      </c>
      <c r="AY156" s="82" t="s">
        <v>333</v>
      </c>
      <c r="AZ156" s="81">
        <v>21.526</v>
      </c>
      <c r="BA156" s="82" t="s">
        <v>333</v>
      </c>
      <c r="BB156" s="81">
        <v>23.202000000000002</v>
      </c>
      <c r="BC156" s="82" t="s">
        <v>333</v>
      </c>
      <c r="BD156" s="83">
        <v>0</v>
      </c>
      <c r="BE156" s="82" t="s">
        <v>333</v>
      </c>
      <c r="BF156" s="83">
        <v>0</v>
      </c>
      <c r="BG156" s="82" t="s">
        <v>333</v>
      </c>
      <c r="BH156" s="83">
        <v>0</v>
      </c>
      <c r="BI156" s="82" t="s">
        <v>333</v>
      </c>
      <c r="BJ156" s="83">
        <v>0</v>
      </c>
      <c r="BK156" s="82" t="s">
        <v>333</v>
      </c>
      <c r="BL156" s="83">
        <v>0</v>
      </c>
      <c r="BM156" s="82" t="s">
        <v>333</v>
      </c>
      <c r="BN156" s="83">
        <v>0</v>
      </c>
      <c r="BO156" s="82" t="s">
        <v>333</v>
      </c>
      <c r="BP156" s="83">
        <v>0</v>
      </c>
      <c r="BQ156" s="82" t="s">
        <v>333</v>
      </c>
      <c r="BR156" s="83">
        <v>0</v>
      </c>
      <c r="BS156" s="82" t="s">
        <v>333</v>
      </c>
      <c r="BT156" s="83">
        <v>0</v>
      </c>
      <c r="BU156" s="82" t="s">
        <v>333</v>
      </c>
      <c r="BV156" s="83">
        <v>0</v>
      </c>
      <c r="BW156" s="82" t="s">
        <v>333</v>
      </c>
      <c r="BX156" s="83">
        <v>0</v>
      </c>
      <c r="BY156" s="82" t="s">
        <v>333</v>
      </c>
      <c r="BZ156" s="81">
        <v>1.675</v>
      </c>
      <c r="CA156" s="82" t="s">
        <v>333</v>
      </c>
      <c r="CB156" s="83">
        <v>0</v>
      </c>
      <c r="CC156" s="82" t="s">
        <v>333</v>
      </c>
    </row>
    <row r="157" spans="1:81" x14ac:dyDescent="0.2">
      <c r="A157" s="10" t="s">
        <v>555</v>
      </c>
      <c r="B157" s="11">
        <v>0.152</v>
      </c>
      <c r="C157" s="12" t="s">
        <v>333</v>
      </c>
      <c r="D157" s="11">
        <v>0.152</v>
      </c>
      <c r="E157" s="12" t="s">
        <v>333</v>
      </c>
      <c r="F157" s="20">
        <v>0</v>
      </c>
      <c r="G157" s="12" t="s">
        <v>333</v>
      </c>
      <c r="H157" s="20">
        <v>0</v>
      </c>
      <c r="I157" s="12" t="s">
        <v>333</v>
      </c>
      <c r="J157" s="20">
        <v>0</v>
      </c>
      <c r="K157" s="12" t="s">
        <v>333</v>
      </c>
      <c r="L157" s="20">
        <v>0</v>
      </c>
      <c r="M157" s="12" t="s">
        <v>333</v>
      </c>
      <c r="N157" s="12" t="s">
        <v>202</v>
      </c>
      <c r="O157" s="12" t="s">
        <v>333</v>
      </c>
      <c r="P157" s="12" t="s">
        <v>202</v>
      </c>
      <c r="Q157" s="12" t="s">
        <v>333</v>
      </c>
      <c r="R157" s="12" t="s">
        <v>202</v>
      </c>
      <c r="S157" s="12" t="s">
        <v>333</v>
      </c>
      <c r="T157" s="12" t="s">
        <v>202</v>
      </c>
      <c r="U157" s="12" t="s">
        <v>333</v>
      </c>
      <c r="V157" s="12" t="s">
        <v>202</v>
      </c>
      <c r="W157" s="12" t="s">
        <v>333</v>
      </c>
      <c r="X157" s="11">
        <v>0.152</v>
      </c>
      <c r="Y157" s="12" t="s">
        <v>333</v>
      </c>
      <c r="Z157" s="11">
        <v>0.152</v>
      </c>
      <c r="AA157" s="12" t="s">
        <v>333</v>
      </c>
      <c r="AB157" s="20">
        <v>0</v>
      </c>
      <c r="AC157" s="12" t="s">
        <v>333</v>
      </c>
      <c r="AD157" s="20">
        <v>0</v>
      </c>
      <c r="AE157" s="12" t="s">
        <v>333</v>
      </c>
      <c r="AF157" s="20">
        <v>0</v>
      </c>
      <c r="AG157" s="12" t="s">
        <v>333</v>
      </c>
      <c r="AH157" s="20">
        <v>0</v>
      </c>
      <c r="AI157" s="12" t="s">
        <v>333</v>
      </c>
      <c r="AJ157" s="20">
        <v>0</v>
      </c>
      <c r="AK157" s="12" t="s">
        <v>333</v>
      </c>
      <c r="AL157" s="20">
        <v>0</v>
      </c>
      <c r="AM157" s="12" t="s">
        <v>333</v>
      </c>
      <c r="AN157" s="20">
        <v>0</v>
      </c>
      <c r="AO157" s="12" t="s">
        <v>333</v>
      </c>
      <c r="AP157" s="20">
        <v>0</v>
      </c>
      <c r="AQ157" s="12" t="s">
        <v>333</v>
      </c>
      <c r="AR157" s="20">
        <v>0</v>
      </c>
      <c r="AS157" s="12" t="s">
        <v>333</v>
      </c>
      <c r="AT157" s="20">
        <v>0</v>
      </c>
      <c r="AU157" s="12" t="s">
        <v>333</v>
      </c>
      <c r="AV157" s="20">
        <v>0</v>
      </c>
      <c r="AW157" s="12" t="s">
        <v>333</v>
      </c>
      <c r="AX157" s="20">
        <v>0</v>
      </c>
      <c r="AY157" s="12" t="s">
        <v>333</v>
      </c>
      <c r="AZ157" s="20">
        <v>0</v>
      </c>
      <c r="BA157" s="12" t="s">
        <v>333</v>
      </c>
      <c r="BB157" s="20">
        <v>0</v>
      </c>
      <c r="BC157" s="12" t="s">
        <v>333</v>
      </c>
      <c r="BD157" s="20">
        <v>0</v>
      </c>
      <c r="BE157" s="12" t="s">
        <v>333</v>
      </c>
      <c r="BF157" s="20">
        <v>0</v>
      </c>
      <c r="BG157" s="12" t="s">
        <v>333</v>
      </c>
      <c r="BH157" s="20">
        <v>0</v>
      </c>
      <c r="BI157" s="12" t="s">
        <v>333</v>
      </c>
      <c r="BJ157" s="20">
        <v>0</v>
      </c>
      <c r="BK157" s="12" t="s">
        <v>333</v>
      </c>
      <c r="BL157" s="20">
        <v>0</v>
      </c>
      <c r="BM157" s="12" t="s">
        <v>333</v>
      </c>
      <c r="BN157" s="11">
        <v>0.152</v>
      </c>
      <c r="BO157" s="12" t="s">
        <v>333</v>
      </c>
      <c r="BP157" s="20">
        <v>0</v>
      </c>
      <c r="BQ157" s="12" t="s">
        <v>333</v>
      </c>
      <c r="BR157" s="20">
        <v>0</v>
      </c>
      <c r="BS157" s="12" t="s">
        <v>333</v>
      </c>
      <c r="BT157" s="20">
        <v>0</v>
      </c>
      <c r="BU157" s="12" t="s">
        <v>333</v>
      </c>
      <c r="BV157" s="20">
        <v>0</v>
      </c>
      <c r="BW157" s="12" t="s">
        <v>333</v>
      </c>
      <c r="BX157" s="20">
        <v>0</v>
      </c>
      <c r="BY157" s="12" t="s">
        <v>333</v>
      </c>
      <c r="BZ157" s="20">
        <v>0</v>
      </c>
      <c r="CA157" s="12" t="s">
        <v>333</v>
      </c>
      <c r="CB157" s="20">
        <v>0</v>
      </c>
      <c r="CC157" s="12" t="s">
        <v>333</v>
      </c>
    </row>
    <row r="158" spans="1:81" x14ac:dyDescent="0.2">
      <c r="A158" s="10" t="s">
        <v>556</v>
      </c>
      <c r="B158" s="81">
        <v>8720.5519999999997</v>
      </c>
      <c r="C158" s="82" t="s">
        <v>333</v>
      </c>
      <c r="D158" s="81">
        <v>8015.5050000000001</v>
      </c>
      <c r="E158" s="82" t="s">
        <v>333</v>
      </c>
      <c r="F158" s="83">
        <v>0</v>
      </c>
      <c r="G158" s="82" t="s">
        <v>333</v>
      </c>
      <c r="H158" s="83">
        <v>0</v>
      </c>
      <c r="I158" s="82" t="s">
        <v>333</v>
      </c>
      <c r="J158" s="83">
        <v>0</v>
      </c>
      <c r="K158" s="82" t="s">
        <v>333</v>
      </c>
      <c r="L158" s="83">
        <v>0</v>
      </c>
      <c r="M158" s="82" t="s">
        <v>333</v>
      </c>
      <c r="N158" s="82" t="s">
        <v>202</v>
      </c>
      <c r="O158" s="82" t="s">
        <v>333</v>
      </c>
      <c r="P158" s="82" t="s">
        <v>202</v>
      </c>
      <c r="Q158" s="82" t="s">
        <v>333</v>
      </c>
      <c r="R158" s="82" t="s">
        <v>202</v>
      </c>
      <c r="S158" s="82" t="s">
        <v>333</v>
      </c>
      <c r="T158" s="82" t="s">
        <v>202</v>
      </c>
      <c r="U158" s="82" t="s">
        <v>333</v>
      </c>
      <c r="V158" s="82" t="s">
        <v>202</v>
      </c>
      <c r="W158" s="82" t="s">
        <v>333</v>
      </c>
      <c r="X158" s="81">
        <v>8720.5519999999997</v>
      </c>
      <c r="Y158" s="82" t="s">
        <v>333</v>
      </c>
      <c r="Z158" s="81">
        <v>8015.5050000000001</v>
      </c>
      <c r="AA158" s="82" t="s">
        <v>333</v>
      </c>
      <c r="AB158" s="83">
        <v>0</v>
      </c>
      <c r="AC158" s="82" t="s">
        <v>333</v>
      </c>
      <c r="AD158" s="83">
        <v>0</v>
      </c>
      <c r="AE158" s="82" t="s">
        <v>333</v>
      </c>
      <c r="AF158" s="81">
        <v>109.86799999999999</v>
      </c>
      <c r="AG158" s="82" t="s">
        <v>333</v>
      </c>
      <c r="AH158" s="83">
        <v>0</v>
      </c>
      <c r="AI158" s="82" t="s">
        <v>333</v>
      </c>
      <c r="AJ158" s="83">
        <v>0</v>
      </c>
      <c r="AK158" s="82" t="s">
        <v>333</v>
      </c>
      <c r="AL158" s="81">
        <v>4286.777</v>
      </c>
      <c r="AM158" s="82" t="s">
        <v>333</v>
      </c>
      <c r="AN158" s="81">
        <v>3887.498</v>
      </c>
      <c r="AO158" s="82" t="s">
        <v>333</v>
      </c>
      <c r="AP158" s="83">
        <v>0</v>
      </c>
      <c r="AQ158" s="82" t="s">
        <v>333</v>
      </c>
      <c r="AR158" s="83">
        <v>0</v>
      </c>
      <c r="AS158" s="82" t="s">
        <v>333</v>
      </c>
      <c r="AT158" s="83">
        <v>0</v>
      </c>
      <c r="AU158" s="82" t="s">
        <v>333</v>
      </c>
      <c r="AV158" s="83">
        <v>0</v>
      </c>
      <c r="AW158" s="82" t="s">
        <v>333</v>
      </c>
      <c r="AX158" s="81">
        <v>4260.6970000000001</v>
      </c>
      <c r="AY158" s="82" t="s">
        <v>333</v>
      </c>
      <c r="AZ158" s="81">
        <v>3954.9290000000001</v>
      </c>
      <c r="BA158" s="82" t="s">
        <v>333</v>
      </c>
      <c r="BB158" s="81">
        <v>4260.6970000000001</v>
      </c>
      <c r="BC158" s="82" t="s">
        <v>333</v>
      </c>
      <c r="BD158" s="83">
        <v>0</v>
      </c>
      <c r="BE158" s="82" t="s">
        <v>333</v>
      </c>
      <c r="BF158" s="83">
        <v>0</v>
      </c>
      <c r="BG158" s="82" t="s">
        <v>333</v>
      </c>
      <c r="BH158" s="83">
        <v>0</v>
      </c>
      <c r="BI158" s="82" t="s">
        <v>333</v>
      </c>
      <c r="BJ158" s="83">
        <v>0</v>
      </c>
      <c r="BK158" s="82" t="s">
        <v>333</v>
      </c>
      <c r="BL158" s="83">
        <v>0</v>
      </c>
      <c r="BM158" s="82" t="s">
        <v>333</v>
      </c>
      <c r="BN158" s="83">
        <v>63.21</v>
      </c>
      <c r="BO158" s="82" t="s">
        <v>333</v>
      </c>
      <c r="BP158" s="83">
        <v>0</v>
      </c>
      <c r="BQ158" s="82" t="s">
        <v>333</v>
      </c>
      <c r="BR158" s="83">
        <v>0</v>
      </c>
      <c r="BS158" s="82" t="s">
        <v>333</v>
      </c>
      <c r="BT158" s="83">
        <v>0</v>
      </c>
      <c r="BU158" s="82" t="s">
        <v>333</v>
      </c>
      <c r="BV158" s="83">
        <v>0</v>
      </c>
      <c r="BW158" s="82" t="s">
        <v>333</v>
      </c>
      <c r="BX158" s="81">
        <v>399.279</v>
      </c>
      <c r="BY158" s="82" t="s">
        <v>333</v>
      </c>
      <c r="BZ158" s="81">
        <v>305.76799999999997</v>
      </c>
      <c r="CA158" s="82" t="s">
        <v>333</v>
      </c>
      <c r="CB158" s="83">
        <v>0</v>
      </c>
      <c r="CC158" s="82" t="s">
        <v>333</v>
      </c>
    </row>
    <row r="159" spans="1:81" x14ac:dyDescent="0.2">
      <c r="A159" s="10" t="s">
        <v>303</v>
      </c>
      <c r="B159" s="11">
        <v>8657.3420000000006</v>
      </c>
      <c r="C159" s="12" t="s">
        <v>333</v>
      </c>
      <c r="D159" s="11">
        <v>7952.2950000000001</v>
      </c>
      <c r="E159" s="12" t="s">
        <v>333</v>
      </c>
      <c r="F159" s="20">
        <v>0</v>
      </c>
      <c r="G159" s="12" t="s">
        <v>333</v>
      </c>
      <c r="H159" s="20">
        <v>0</v>
      </c>
      <c r="I159" s="12" t="s">
        <v>333</v>
      </c>
      <c r="J159" s="20">
        <v>0</v>
      </c>
      <c r="K159" s="12" t="s">
        <v>333</v>
      </c>
      <c r="L159" s="20">
        <v>0</v>
      </c>
      <c r="M159" s="12" t="s">
        <v>333</v>
      </c>
      <c r="N159" s="12" t="s">
        <v>202</v>
      </c>
      <c r="O159" s="12" t="s">
        <v>333</v>
      </c>
      <c r="P159" s="12" t="s">
        <v>202</v>
      </c>
      <c r="Q159" s="12" t="s">
        <v>333</v>
      </c>
      <c r="R159" s="12" t="s">
        <v>202</v>
      </c>
      <c r="S159" s="12" t="s">
        <v>333</v>
      </c>
      <c r="T159" s="12" t="s">
        <v>202</v>
      </c>
      <c r="U159" s="12" t="s">
        <v>333</v>
      </c>
      <c r="V159" s="12" t="s">
        <v>202</v>
      </c>
      <c r="W159" s="12" t="s">
        <v>333</v>
      </c>
      <c r="X159" s="11">
        <v>8657.3420000000006</v>
      </c>
      <c r="Y159" s="12" t="s">
        <v>333</v>
      </c>
      <c r="Z159" s="11">
        <v>7952.2950000000001</v>
      </c>
      <c r="AA159" s="12" t="s">
        <v>333</v>
      </c>
      <c r="AB159" s="20">
        <v>0</v>
      </c>
      <c r="AC159" s="12" t="s">
        <v>333</v>
      </c>
      <c r="AD159" s="20">
        <v>0</v>
      </c>
      <c r="AE159" s="12" t="s">
        <v>333</v>
      </c>
      <c r="AF159" s="11">
        <v>109.86799999999999</v>
      </c>
      <c r="AG159" s="12" t="s">
        <v>333</v>
      </c>
      <c r="AH159" s="20">
        <v>0</v>
      </c>
      <c r="AI159" s="12" t="s">
        <v>333</v>
      </c>
      <c r="AJ159" s="20">
        <v>0</v>
      </c>
      <c r="AK159" s="12" t="s">
        <v>333</v>
      </c>
      <c r="AL159" s="11">
        <v>4286.777</v>
      </c>
      <c r="AM159" s="12" t="s">
        <v>333</v>
      </c>
      <c r="AN159" s="11">
        <v>3887.498</v>
      </c>
      <c r="AO159" s="12" t="s">
        <v>333</v>
      </c>
      <c r="AP159" s="20">
        <v>0</v>
      </c>
      <c r="AQ159" s="12" t="s">
        <v>333</v>
      </c>
      <c r="AR159" s="20">
        <v>0</v>
      </c>
      <c r="AS159" s="12" t="s">
        <v>333</v>
      </c>
      <c r="AT159" s="20">
        <v>0</v>
      </c>
      <c r="AU159" s="12" t="s">
        <v>333</v>
      </c>
      <c r="AV159" s="20">
        <v>0</v>
      </c>
      <c r="AW159" s="12" t="s">
        <v>333</v>
      </c>
      <c r="AX159" s="11">
        <v>4260.6970000000001</v>
      </c>
      <c r="AY159" s="12" t="s">
        <v>333</v>
      </c>
      <c r="AZ159" s="11">
        <v>3954.9290000000001</v>
      </c>
      <c r="BA159" s="12" t="s">
        <v>333</v>
      </c>
      <c r="BB159" s="11">
        <v>4260.6970000000001</v>
      </c>
      <c r="BC159" s="12" t="s">
        <v>333</v>
      </c>
      <c r="BD159" s="20">
        <v>0</v>
      </c>
      <c r="BE159" s="12" t="s">
        <v>333</v>
      </c>
      <c r="BF159" s="20">
        <v>0</v>
      </c>
      <c r="BG159" s="12" t="s">
        <v>333</v>
      </c>
      <c r="BH159" s="20">
        <v>0</v>
      </c>
      <c r="BI159" s="12" t="s">
        <v>333</v>
      </c>
      <c r="BJ159" s="20">
        <v>0</v>
      </c>
      <c r="BK159" s="12" t="s">
        <v>333</v>
      </c>
      <c r="BL159" s="20">
        <v>0</v>
      </c>
      <c r="BM159" s="12" t="s">
        <v>333</v>
      </c>
      <c r="BN159" s="20">
        <v>0</v>
      </c>
      <c r="BO159" s="12" t="s">
        <v>333</v>
      </c>
      <c r="BP159" s="20">
        <v>0</v>
      </c>
      <c r="BQ159" s="12" t="s">
        <v>333</v>
      </c>
      <c r="BR159" s="20">
        <v>0</v>
      </c>
      <c r="BS159" s="12" t="s">
        <v>333</v>
      </c>
      <c r="BT159" s="20">
        <v>0</v>
      </c>
      <c r="BU159" s="12" t="s">
        <v>333</v>
      </c>
      <c r="BV159" s="20">
        <v>0</v>
      </c>
      <c r="BW159" s="12" t="s">
        <v>333</v>
      </c>
      <c r="BX159" s="11">
        <v>399.279</v>
      </c>
      <c r="BY159" s="12" t="s">
        <v>333</v>
      </c>
      <c r="BZ159" s="11">
        <v>305.76799999999997</v>
      </c>
      <c r="CA159" s="12" t="s">
        <v>333</v>
      </c>
      <c r="CB159" s="20">
        <v>0</v>
      </c>
      <c r="CC159" s="12" t="s">
        <v>333</v>
      </c>
    </row>
    <row r="160" spans="1:81" x14ac:dyDescent="0.2">
      <c r="A160" s="10" t="s">
        <v>466</v>
      </c>
      <c r="B160" s="83">
        <v>63.21</v>
      </c>
      <c r="C160" s="82" t="s">
        <v>333</v>
      </c>
      <c r="D160" s="83">
        <v>63.21</v>
      </c>
      <c r="E160" s="82" t="s">
        <v>333</v>
      </c>
      <c r="F160" s="83">
        <v>0</v>
      </c>
      <c r="G160" s="82" t="s">
        <v>333</v>
      </c>
      <c r="H160" s="83">
        <v>0</v>
      </c>
      <c r="I160" s="82" t="s">
        <v>333</v>
      </c>
      <c r="J160" s="83">
        <v>0</v>
      </c>
      <c r="K160" s="82" t="s">
        <v>333</v>
      </c>
      <c r="L160" s="83">
        <v>0</v>
      </c>
      <c r="M160" s="82" t="s">
        <v>333</v>
      </c>
      <c r="N160" s="82" t="s">
        <v>202</v>
      </c>
      <c r="O160" s="82" t="s">
        <v>333</v>
      </c>
      <c r="P160" s="82" t="s">
        <v>202</v>
      </c>
      <c r="Q160" s="82" t="s">
        <v>333</v>
      </c>
      <c r="R160" s="82" t="s">
        <v>202</v>
      </c>
      <c r="S160" s="82" t="s">
        <v>333</v>
      </c>
      <c r="T160" s="82" t="s">
        <v>202</v>
      </c>
      <c r="U160" s="82" t="s">
        <v>333</v>
      </c>
      <c r="V160" s="82" t="s">
        <v>202</v>
      </c>
      <c r="W160" s="82" t="s">
        <v>333</v>
      </c>
      <c r="X160" s="83">
        <v>63.21</v>
      </c>
      <c r="Y160" s="82" t="s">
        <v>333</v>
      </c>
      <c r="Z160" s="83">
        <v>63.21</v>
      </c>
      <c r="AA160" s="82" t="s">
        <v>333</v>
      </c>
      <c r="AB160" s="83">
        <v>0</v>
      </c>
      <c r="AC160" s="82" t="s">
        <v>333</v>
      </c>
      <c r="AD160" s="83">
        <v>0</v>
      </c>
      <c r="AE160" s="82" t="s">
        <v>333</v>
      </c>
      <c r="AF160" s="83">
        <v>0</v>
      </c>
      <c r="AG160" s="82" t="s">
        <v>333</v>
      </c>
      <c r="AH160" s="83">
        <v>0</v>
      </c>
      <c r="AI160" s="82" t="s">
        <v>333</v>
      </c>
      <c r="AJ160" s="83">
        <v>0</v>
      </c>
      <c r="AK160" s="82" t="s">
        <v>333</v>
      </c>
      <c r="AL160" s="83">
        <v>0</v>
      </c>
      <c r="AM160" s="82" t="s">
        <v>333</v>
      </c>
      <c r="AN160" s="83">
        <v>0</v>
      </c>
      <c r="AO160" s="82" t="s">
        <v>333</v>
      </c>
      <c r="AP160" s="83">
        <v>0</v>
      </c>
      <c r="AQ160" s="82" t="s">
        <v>333</v>
      </c>
      <c r="AR160" s="83">
        <v>0</v>
      </c>
      <c r="AS160" s="82" t="s">
        <v>333</v>
      </c>
      <c r="AT160" s="83">
        <v>0</v>
      </c>
      <c r="AU160" s="82" t="s">
        <v>333</v>
      </c>
      <c r="AV160" s="83">
        <v>0</v>
      </c>
      <c r="AW160" s="82" t="s">
        <v>333</v>
      </c>
      <c r="AX160" s="83">
        <v>0</v>
      </c>
      <c r="AY160" s="82" t="s">
        <v>333</v>
      </c>
      <c r="AZ160" s="83">
        <v>0</v>
      </c>
      <c r="BA160" s="82" t="s">
        <v>333</v>
      </c>
      <c r="BB160" s="83">
        <v>0</v>
      </c>
      <c r="BC160" s="82" t="s">
        <v>333</v>
      </c>
      <c r="BD160" s="83">
        <v>0</v>
      </c>
      <c r="BE160" s="82" t="s">
        <v>333</v>
      </c>
      <c r="BF160" s="83">
        <v>0</v>
      </c>
      <c r="BG160" s="82" t="s">
        <v>333</v>
      </c>
      <c r="BH160" s="83">
        <v>0</v>
      </c>
      <c r="BI160" s="82" t="s">
        <v>333</v>
      </c>
      <c r="BJ160" s="83">
        <v>0</v>
      </c>
      <c r="BK160" s="82" t="s">
        <v>333</v>
      </c>
      <c r="BL160" s="83">
        <v>0</v>
      </c>
      <c r="BM160" s="82" t="s">
        <v>333</v>
      </c>
      <c r="BN160" s="83">
        <v>63.21</v>
      </c>
      <c r="BO160" s="82" t="s">
        <v>333</v>
      </c>
      <c r="BP160" s="83">
        <v>0</v>
      </c>
      <c r="BQ160" s="82" t="s">
        <v>333</v>
      </c>
      <c r="BR160" s="83">
        <v>0</v>
      </c>
      <c r="BS160" s="82" t="s">
        <v>333</v>
      </c>
      <c r="BT160" s="83">
        <v>0</v>
      </c>
      <c r="BU160" s="82" t="s">
        <v>333</v>
      </c>
      <c r="BV160" s="83">
        <v>0</v>
      </c>
      <c r="BW160" s="82" t="s">
        <v>333</v>
      </c>
      <c r="BX160" s="83">
        <v>0</v>
      </c>
      <c r="BY160" s="82" t="s">
        <v>333</v>
      </c>
      <c r="BZ160" s="83">
        <v>0</v>
      </c>
      <c r="CA160" s="82" t="s">
        <v>333</v>
      </c>
      <c r="CB160" s="83">
        <v>0</v>
      </c>
      <c r="CC160" s="82" t="s">
        <v>333</v>
      </c>
    </row>
    <row r="161" spans="1:81" x14ac:dyDescent="0.2">
      <c r="A161" s="10" t="s">
        <v>557</v>
      </c>
      <c r="B161" s="11">
        <v>9.4830000000000005</v>
      </c>
      <c r="C161" s="12" t="s">
        <v>333</v>
      </c>
      <c r="D161" s="11">
        <v>9.4830000000000005</v>
      </c>
      <c r="E161" s="12" t="s">
        <v>333</v>
      </c>
      <c r="F161" s="20">
        <v>0</v>
      </c>
      <c r="G161" s="12" t="s">
        <v>333</v>
      </c>
      <c r="H161" s="20">
        <v>0</v>
      </c>
      <c r="I161" s="12" t="s">
        <v>333</v>
      </c>
      <c r="J161" s="20">
        <v>0</v>
      </c>
      <c r="K161" s="12" t="s">
        <v>333</v>
      </c>
      <c r="L161" s="20">
        <v>0</v>
      </c>
      <c r="M161" s="12" t="s">
        <v>333</v>
      </c>
      <c r="N161" s="12" t="s">
        <v>202</v>
      </c>
      <c r="O161" s="12" t="s">
        <v>333</v>
      </c>
      <c r="P161" s="12" t="s">
        <v>202</v>
      </c>
      <c r="Q161" s="12" t="s">
        <v>333</v>
      </c>
      <c r="R161" s="12" t="s">
        <v>202</v>
      </c>
      <c r="S161" s="12" t="s">
        <v>333</v>
      </c>
      <c r="T161" s="12" t="s">
        <v>202</v>
      </c>
      <c r="U161" s="12" t="s">
        <v>333</v>
      </c>
      <c r="V161" s="12" t="s">
        <v>202</v>
      </c>
      <c r="W161" s="12" t="s">
        <v>333</v>
      </c>
      <c r="X161" s="11">
        <v>9.4830000000000005</v>
      </c>
      <c r="Y161" s="12" t="s">
        <v>333</v>
      </c>
      <c r="Z161" s="11">
        <v>9.4830000000000005</v>
      </c>
      <c r="AA161" s="12" t="s">
        <v>333</v>
      </c>
      <c r="AB161" s="20">
        <v>0</v>
      </c>
      <c r="AC161" s="12" t="s">
        <v>333</v>
      </c>
      <c r="AD161" s="20">
        <v>0</v>
      </c>
      <c r="AE161" s="12" t="s">
        <v>333</v>
      </c>
      <c r="AF161" s="20">
        <v>0</v>
      </c>
      <c r="AG161" s="12" t="s">
        <v>333</v>
      </c>
      <c r="AH161" s="20">
        <v>0</v>
      </c>
      <c r="AI161" s="12" t="s">
        <v>333</v>
      </c>
      <c r="AJ161" s="11">
        <v>1.292</v>
      </c>
      <c r="AK161" s="12" t="s">
        <v>333</v>
      </c>
      <c r="AL161" s="20">
        <v>0</v>
      </c>
      <c r="AM161" s="12" t="s">
        <v>333</v>
      </c>
      <c r="AN161" s="20">
        <v>0</v>
      </c>
      <c r="AO161" s="12" t="s">
        <v>333</v>
      </c>
      <c r="AP161" s="20">
        <v>0</v>
      </c>
      <c r="AQ161" s="12" t="s">
        <v>333</v>
      </c>
      <c r="AR161" s="11">
        <v>8.0389999999999997</v>
      </c>
      <c r="AS161" s="12" t="s">
        <v>333</v>
      </c>
      <c r="AT161" s="11">
        <v>8.0389999999999997</v>
      </c>
      <c r="AU161" s="12" t="s">
        <v>333</v>
      </c>
      <c r="AV161" s="20">
        <v>0</v>
      </c>
      <c r="AW161" s="12" t="s">
        <v>333</v>
      </c>
      <c r="AX161" s="20">
        <v>0</v>
      </c>
      <c r="AY161" s="12" t="s">
        <v>333</v>
      </c>
      <c r="AZ161" s="20">
        <v>0</v>
      </c>
      <c r="BA161" s="12" t="s">
        <v>333</v>
      </c>
      <c r="BB161" s="20">
        <v>0</v>
      </c>
      <c r="BC161" s="12" t="s">
        <v>333</v>
      </c>
      <c r="BD161" s="20">
        <v>0</v>
      </c>
      <c r="BE161" s="12" t="s">
        <v>333</v>
      </c>
      <c r="BF161" s="20">
        <v>0</v>
      </c>
      <c r="BG161" s="12" t="s">
        <v>333</v>
      </c>
      <c r="BH161" s="20">
        <v>0</v>
      </c>
      <c r="BI161" s="12" t="s">
        <v>333</v>
      </c>
      <c r="BJ161" s="20">
        <v>0</v>
      </c>
      <c r="BK161" s="12" t="s">
        <v>333</v>
      </c>
      <c r="BL161" s="20">
        <v>0</v>
      </c>
      <c r="BM161" s="12" t="s">
        <v>333</v>
      </c>
      <c r="BN161" s="11">
        <v>0.152</v>
      </c>
      <c r="BO161" s="12" t="s">
        <v>333</v>
      </c>
      <c r="BP161" s="20">
        <v>0</v>
      </c>
      <c r="BQ161" s="12" t="s">
        <v>333</v>
      </c>
      <c r="BR161" s="20">
        <v>0</v>
      </c>
      <c r="BS161" s="12" t="s">
        <v>333</v>
      </c>
      <c r="BT161" s="20">
        <v>0</v>
      </c>
      <c r="BU161" s="12" t="s">
        <v>333</v>
      </c>
      <c r="BV161" s="20">
        <v>0</v>
      </c>
      <c r="BW161" s="12" t="s">
        <v>333</v>
      </c>
      <c r="BX161" s="20">
        <v>0</v>
      </c>
      <c r="BY161" s="12" t="s">
        <v>333</v>
      </c>
      <c r="BZ161" s="20">
        <v>0</v>
      </c>
      <c r="CA161" s="12" t="s">
        <v>333</v>
      </c>
      <c r="CB161" s="20">
        <v>0</v>
      </c>
      <c r="CC161" s="12" t="s">
        <v>333</v>
      </c>
    </row>
    <row r="162" spans="1:81" x14ac:dyDescent="0.2">
      <c r="A162" s="10" t="s">
        <v>304</v>
      </c>
      <c r="B162" s="81">
        <v>9.3309999999999995</v>
      </c>
      <c r="C162" s="82" t="s">
        <v>333</v>
      </c>
      <c r="D162" s="81">
        <v>9.3309999999999995</v>
      </c>
      <c r="E162" s="82" t="s">
        <v>333</v>
      </c>
      <c r="F162" s="83">
        <v>0</v>
      </c>
      <c r="G162" s="82" t="s">
        <v>333</v>
      </c>
      <c r="H162" s="83">
        <v>0</v>
      </c>
      <c r="I162" s="82" t="s">
        <v>333</v>
      </c>
      <c r="J162" s="83">
        <v>0</v>
      </c>
      <c r="K162" s="82" t="s">
        <v>333</v>
      </c>
      <c r="L162" s="83">
        <v>0</v>
      </c>
      <c r="M162" s="82" t="s">
        <v>333</v>
      </c>
      <c r="N162" s="82" t="s">
        <v>202</v>
      </c>
      <c r="O162" s="82" t="s">
        <v>333</v>
      </c>
      <c r="P162" s="82" t="s">
        <v>202</v>
      </c>
      <c r="Q162" s="82" t="s">
        <v>333</v>
      </c>
      <c r="R162" s="82" t="s">
        <v>202</v>
      </c>
      <c r="S162" s="82" t="s">
        <v>333</v>
      </c>
      <c r="T162" s="82" t="s">
        <v>202</v>
      </c>
      <c r="U162" s="82" t="s">
        <v>333</v>
      </c>
      <c r="V162" s="82" t="s">
        <v>202</v>
      </c>
      <c r="W162" s="82" t="s">
        <v>333</v>
      </c>
      <c r="X162" s="81">
        <v>9.3309999999999995</v>
      </c>
      <c r="Y162" s="82" t="s">
        <v>333</v>
      </c>
      <c r="Z162" s="81">
        <v>9.3309999999999995</v>
      </c>
      <c r="AA162" s="82" t="s">
        <v>333</v>
      </c>
      <c r="AB162" s="83">
        <v>0</v>
      </c>
      <c r="AC162" s="82" t="s">
        <v>333</v>
      </c>
      <c r="AD162" s="83">
        <v>0</v>
      </c>
      <c r="AE162" s="82" t="s">
        <v>333</v>
      </c>
      <c r="AF162" s="83">
        <v>0</v>
      </c>
      <c r="AG162" s="82" t="s">
        <v>333</v>
      </c>
      <c r="AH162" s="83">
        <v>0</v>
      </c>
      <c r="AI162" s="82" t="s">
        <v>333</v>
      </c>
      <c r="AJ162" s="81">
        <v>1.292</v>
      </c>
      <c r="AK162" s="82" t="s">
        <v>333</v>
      </c>
      <c r="AL162" s="83">
        <v>0</v>
      </c>
      <c r="AM162" s="82" t="s">
        <v>333</v>
      </c>
      <c r="AN162" s="83">
        <v>0</v>
      </c>
      <c r="AO162" s="82" t="s">
        <v>333</v>
      </c>
      <c r="AP162" s="83">
        <v>0</v>
      </c>
      <c r="AQ162" s="82" t="s">
        <v>333</v>
      </c>
      <c r="AR162" s="81">
        <v>8.0389999999999997</v>
      </c>
      <c r="AS162" s="82" t="s">
        <v>333</v>
      </c>
      <c r="AT162" s="81">
        <v>8.0389999999999997</v>
      </c>
      <c r="AU162" s="82" t="s">
        <v>333</v>
      </c>
      <c r="AV162" s="83">
        <v>0</v>
      </c>
      <c r="AW162" s="82" t="s">
        <v>333</v>
      </c>
      <c r="AX162" s="83">
        <v>0</v>
      </c>
      <c r="AY162" s="82" t="s">
        <v>333</v>
      </c>
      <c r="AZ162" s="83">
        <v>0</v>
      </c>
      <c r="BA162" s="82" t="s">
        <v>333</v>
      </c>
      <c r="BB162" s="83">
        <v>0</v>
      </c>
      <c r="BC162" s="82" t="s">
        <v>333</v>
      </c>
      <c r="BD162" s="83">
        <v>0</v>
      </c>
      <c r="BE162" s="82" t="s">
        <v>333</v>
      </c>
      <c r="BF162" s="83">
        <v>0</v>
      </c>
      <c r="BG162" s="82" t="s">
        <v>333</v>
      </c>
      <c r="BH162" s="83">
        <v>0</v>
      </c>
      <c r="BI162" s="82" t="s">
        <v>333</v>
      </c>
      <c r="BJ162" s="83">
        <v>0</v>
      </c>
      <c r="BK162" s="82" t="s">
        <v>333</v>
      </c>
      <c r="BL162" s="83">
        <v>0</v>
      </c>
      <c r="BM162" s="82" t="s">
        <v>333</v>
      </c>
      <c r="BN162" s="83">
        <v>0</v>
      </c>
      <c r="BO162" s="82" t="s">
        <v>333</v>
      </c>
      <c r="BP162" s="83">
        <v>0</v>
      </c>
      <c r="BQ162" s="82" t="s">
        <v>333</v>
      </c>
      <c r="BR162" s="83">
        <v>0</v>
      </c>
      <c r="BS162" s="82" t="s">
        <v>333</v>
      </c>
      <c r="BT162" s="83">
        <v>0</v>
      </c>
      <c r="BU162" s="82" t="s">
        <v>333</v>
      </c>
      <c r="BV162" s="83">
        <v>0</v>
      </c>
      <c r="BW162" s="82" t="s">
        <v>333</v>
      </c>
      <c r="BX162" s="83">
        <v>0</v>
      </c>
      <c r="BY162" s="82" t="s">
        <v>333</v>
      </c>
      <c r="BZ162" s="83">
        <v>0</v>
      </c>
      <c r="CA162" s="82" t="s">
        <v>333</v>
      </c>
      <c r="CB162" s="83">
        <v>0</v>
      </c>
      <c r="CC162" s="82" t="s">
        <v>333</v>
      </c>
    </row>
    <row r="163" spans="1:81" x14ac:dyDescent="0.2">
      <c r="A163" s="10" t="s">
        <v>558</v>
      </c>
      <c r="B163" s="11">
        <v>0.152</v>
      </c>
      <c r="C163" s="12" t="s">
        <v>333</v>
      </c>
      <c r="D163" s="11">
        <v>0.152</v>
      </c>
      <c r="E163" s="12" t="s">
        <v>333</v>
      </c>
      <c r="F163" s="20">
        <v>0</v>
      </c>
      <c r="G163" s="12" t="s">
        <v>333</v>
      </c>
      <c r="H163" s="20">
        <v>0</v>
      </c>
      <c r="I163" s="12" t="s">
        <v>333</v>
      </c>
      <c r="J163" s="20">
        <v>0</v>
      </c>
      <c r="K163" s="12" t="s">
        <v>333</v>
      </c>
      <c r="L163" s="20">
        <v>0</v>
      </c>
      <c r="M163" s="12" t="s">
        <v>333</v>
      </c>
      <c r="N163" s="12" t="s">
        <v>202</v>
      </c>
      <c r="O163" s="12" t="s">
        <v>333</v>
      </c>
      <c r="P163" s="12" t="s">
        <v>202</v>
      </c>
      <c r="Q163" s="12" t="s">
        <v>333</v>
      </c>
      <c r="R163" s="12" t="s">
        <v>202</v>
      </c>
      <c r="S163" s="12" t="s">
        <v>333</v>
      </c>
      <c r="T163" s="12" t="s">
        <v>202</v>
      </c>
      <c r="U163" s="12" t="s">
        <v>333</v>
      </c>
      <c r="V163" s="12" t="s">
        <v>202</v>
      </c>
      <c r="W163" s="12" t="s">
        <v>333</v>
      </c>
      <c r="X163" s="11">
        <v>0.152</v>
      </c>
      <c r="Y163" s="12" t="s">
        <v>333</v>
      </c>
      <c r="Z163" s="11">
        <v>0.152</v>
      </c>
      <c r="AA163" s="12" t="s">
        <v>333</v>
      </c>
      <c r="AB163" s="20">
        <v>0</v>
      </c>
      <c r="AC163" s="12" t="s">
        <v>333</v>
      </c>
      <c r="AD163" s="20">
        <v>0</v>
      </c>
      <c r="AE163" s="12" t="s">
        <v>333</v>
      </c>
      <c r="AF163" s="20">
        <v>0</v>
      </c>
      <c r="AG163" s="12" t="s">
        <v>333</v>
      </c>
      <c r="AH163" s="20">
        <v>0</v>
      </c>
      <c r="AI163" s="12" t="s">
        <v>333</v>
      </c>
      <c r="AJ163" s="20">
        <v>0</v>
      </c>
      <c r="AK163" s="12" t="s">
        <v>333</v>
      </c>
      <c r="AL163" s="20">
        <v>0</v>
      </c>
      <c r="AM163" s="12" t="s">
        <v>333</v>
      </c>
      <c r="AN163" s="20">
        <v>0</v>
      </c>
      <c r="AO163" s="12" t="s">
        <v>333</v>
      </c>
      <c r="AP163" s="20">
        <v>0</v>
      </c>
      <c r="AQ163" s="12" t="s">
        <v>333</v>
      </c>
      <c r="AR163" s="20">
        <v>0</v>
      </c>
      <c r="AS163" s="12" t="s">
        <v>333</v>
      </c>
      <c r="AT163" s="20">
        <v>0</v>
      </c>
      <c r="AU163" s="12" t="s">
        <v>333</v>
      </c>
      <c r="AV163" s="20">
        <v>0</v>
      </c>
      <c r="AW163" s="12" t="s">
        <v>333</v>
      </c>
      <c r="AX163" s="20">
        <v>0</v>
      </c>
      <c r="AY163" s="12" t="s">
        <v>333</v>
      </c>
      <c r="AZ163" s="20">
        <v>0</v>
      </c>
      <c r="BA163" s="12" t="s">
        <v>333</v>
      </c>
      <c r="BB163" s="20">
        <v>0</v>
      </c>
      <c r="BC163" s="12" t="s">
        <v>333</v>
      </c>
      <c r="BD163" s="20">
        <v>0</v>
      </c>
      <c r="BE163" s="12" t="s">
        <v>333</v>
      </c>
      <c r="BF163" s="20">
        <v>0</v>
      </c>
      <c r="BG163" s="12" t="s">
        <v>333</v>
      </c>
      <c r="BH163" s="20">
        <v>0</v>
      </c>
      <c r="BI163" s="12" t="s">
        <v>333</v>
      </c>
      <c r="BJ163" s="20">
        <v>0</v>
      </c>
      <c r="BK163" s="12" t="s">
        <v>333</v>
      </c>
      <c r="BL163" s="20">
        <v>0</v>
      </c>
      <c r="BM163" s="12" t="s">
        <v>333</v>
      </c>
      <c r="BN163" s="11">
        <v>0.152</v>
      </c>
      <c r="BO163" s="12" t="s">
        <v>333</v>
      </c>
      <c r="BP163" s="20">
        <v>0</v>
      </c>
      <c r="BQ163" s="12" t="s">
        <v>333</v>
      </c>
      <c r="BR163" s="20">
        <v>0</v>
      </c>
      <c r="BS163" s="12" t="s">
        <v>333</v>
      </c>
      <c r="BT163" s="20">
        <v>0</v>
      </c>
      <c r="BU163" s="12" t="s">
        <v>333</v>
      </c>
      <c r="BV163" s="20">
        <v>0</v>
      </c>
      <c r="BW163" s="12" t="s">
        <v>333</v>
      </c>
      <c r="BX163" s="20">
        <v>0</v>
      </c>
      <c r="BY163" s="12" t="s">
        <v>333</v>
      </c>
      <c r="BZ163" s="20">
        <v>0</v>
      </c>
      <c r="CA163" s="12" t="s">
        <v>333</v>
      </c>
      <c r="CB163" s="20">
        <v>0</v>
      </c>
      <c r="CC163" s="12" t="s">
        <v>333</v>
      </c>
    </row>
    <row r="164" spans="1:81" x14ac:dyDescent="0.2">
      <c r="A164" s="10" t="s">
        <v>559</v>
      </c>
      <c r="B164" s="81">
        <v>299.13099999999997</v>
      </c>
      <c r="C164" s="82" t="s">
        <v>333</v>
      </c>
      <c r="D164" s="81">
        <v>298.04599999999999</v>
      </c>
      <c r="E164" s="82" t="s">
        <v>333</v>
      </c>
      <c r="F164" s="83">
        <v>0</v>
      </c>
      <c r="G164" s="82" t="s">
        <v>333</v>
      </c>
      <c r="H164" s="83">
        <v>0</v>
      </c>
      <c r="I164" s="82" t="s">
        <v>333</v>
      </c>
      <c r="J164" s="83">
        <v>0</v>
      </c>
      <c r="K164" s="82" t="s">
        <v>333</v>
      </c>
      <c r="L164" s="83">
        <v>0</v>
      </c>
      <c r="M164" s="82" t="s">
        <v>333</v>
      </c>
      <c r="N164" s="82" t="s">
        <v>202</v>
      </c>
      <c r="O164" s="82" t="s">
        <v>333</v>
      </c>
      <c r="P164" s="82" t="s">
        <v>202</v>
      </c>
      <c r="Q164" s="82" t="s">
        <v>333</v>
      </c>
      <c r="R164" s="82" t="s">
        <v>202</v>
      </c>
      <c r="S164" s="82" t="s">
        <v>333</v>
      </c>
      <c r="T164" s="82" t="s">
        <v>202</v>
      </c>
      <c r="U164" s="82" t="s">
        <v>333</v>
      </c>
      <c r="V164" s="82" t="s">
        <v>202</v>
      </c>
      <c r="W164" s="82" t="s">
        <v>333</v>
      </c>
      <c r="X164" s="81">
        <v>299.13099999999997</v>
      </c>
      <c r="Y164" s="82" t="s">
        <v>333</v>
      </c>
      <c r="Z164" s="81">
        <v>298.04599999999999</v>
      </c>
      <c r="AA164" s="82" t="s">
        <v>333</v>
      </c>
      <c r="AB164" s="83">
        <v>0</v>
      </c>
      <c r="AC164" s="82" t="s">
        <v>333</v>
      </c>
      <c r="AD164" s="83">
        <v>0</v>
      </c>
      <c r="AE164" s="82" t="s">
        <v>333</v>
      </c>
      <c r="AF164" s="83">
        <v>0</v>
      </c>
      <c r="AG164" s="82" t="s">
        <v>333</v>
      </c>
      <c r="AH164" s="83">
        <v>0</v>
      </c>
      <c r="AI164" s="82" t="s">
        <v>333</v>
      </c>
      <c r="AJ164" s="83">
        <v>0</v>
      </c>
      <c r="AK164" s="82" t="s">
        <v>333</v>
      </c>
      <c r="AL164" s="81">
        <v>36.345999999999997</v>
      </c>
      <c r="AM164" s="82" t="s">
        <v>333</v>
      </c>
      <c r="AN164" s="81">
        <v>36.345999999999997</v>
      </c>
      <c r="AO164" s="82" t="s">
        <v>333</v>
      </c>
      <c r="AP164" s="83">
        <v>0</v>
      </c>
      <c r="AQ164" s="82" t="s">
        <v>333</v>
      </c>
      <c r="AR164" s="83">
        <v>0</v>
      </c>
      <c r="AS164" s="82" t="s">
        <v>333</v>
      </c>
      <c r="AT164" s="83">
        <v>0</v>
      </c>
      <c r="AU164" s="82" t="s">
        <v>333</v>
      </c>
      <c r="AV164" s="83">
        <v>0</v>
      </c>
      <c r="AW164" s="82" t="s">
        <v>333</v>
      </c>
      <c r="AX164" s="81">
        <v>260.96199999999999</v>
      </c>
      <c r="AY164" s="82" t="s">
        <v>333</v>
      </c>
      <c r="AZ164" s="81">
        <v>259.87700000000001</v>
      </c>
      <c r="BA164" s="82" t="s">
        <v>333</v>
      </c>
      <c r="BB164" s="83">
        <v>0</v>
      </c>
      <c r="BC164" s="82" t="s">
        <v>333</v>
      </c>
      <c r="BD164" s="81">
        <v>260.96199999999999</v>
      </c>
      <c r="BE164" s="82" t="s">
        <v>333</v>
      </c>
      <c r="BF164" s="83">
        <v>0</v>
      </c>
      <c r="BG164" s="82" t="s">
        <v>333</v>
      </c>
      <c r="BH164" s="83">
        <v>0</v>
      </c>
      <c r="BI164" s="82" t="s">
        <v>333</v>
      </c>
      <c r="BJ164" s="83">
        <v>0</v>
      </c>
      <c r="BK164" s="82" t="s">
        <v>333</v>
      </c>
      <c r="BL164" s="83">
        <v>0</v>
      </c>
      <c r="BM164" s="82" t="s">
        <v>333</v>
      </c>
      <c r="BN164" s="81">
        <v>1.823</v>
      </c>
      <c r="BO164" s="82" t="s">
        <v>333</v>
      </c>
      <c r="BP164" s="83">
        <v>0</v>
      </c>
      <c r="BQ164" s="82" t="s">
        <v>333</v>
      </c>
      <c r="BR164" s="83">
        <v>0</v>
      </c>
      <c r="BS164" s="82" t="s">
        <v>333</v>
      </c>
      <c r="BT164" s="83">
        <v>0</v>
      </c>
      <c r="BU164" s="82" t="s">
        <v>333</v>
      </c>
      <c r="BV164" s="83">
        <v>0</v>
      </c>
      <c r="BW164" s="82" t="s">
        <v>333</v>
      </c>
      <c r="BX164" s="83">
        <v>0</v>
      </c>
      <c r="BY164" s="82" t="s">
        <v>333</v>
      </c>
      <c r="BZ164" s="81">
        <v>1.085</v>
      </c>
      <c r="CA164" s="82" t="s">
        <v>333</v>
      </c>
      <c r="CB164" s="83">
        <v>0</v>
      </c>
      <c r="CC164" s="82" t="s">
        <v>333</v>
      </c>
    </row>
    <row r="165" spans="1:81" x14ac:dyDescent="0.2">
      <c r="A165" s="10" t="s">
        <v>305</v>
      </c>
      <c r="B165" s="11">
        <v>297.30799999999999</v>
      </c>
      <c r="C165" s="12" t="s">
        <v>333</v>
      </c>
      <c r="D165" s="11">
        <v>296.22300000000001</v>
      </c>
      <c r="E165" s="12" t="s">
        <v>333</v>
      </c>
      <c r="F165" s="20">
        <v>0</v>
      </c>
      <c r="G165" s="12" t="s">
        <v>333</v>
      </c>
      <c r="H165" s="20">
        <v>0</v>
      </c>
      <c r="I165" s="12" t="s">
        <v>333</v>
      </c>
      <c r="J165" s="20">
        <v>0</v>
      </c>
      <c r="K165" s="12" t="s">
        <v>333</v>
      </c>
      <c r="L165" s="20">
        <v>0</v>
      </c>
      <c r="M165" s="12" t="s">
        <v>333</v>
      </c>
      <c r="N165" s="12" t="s">
        <v>202</v>
      </c>
      <c r="O165" s="12" t="s">
        <v>333</v>
      </c>
      <c r="P165" s="12" t="s">
        <v>202</v>
      </c>
      <c r="Q165" s="12" t="s">
        <v>333</v>
      </c>
      <c r="R165" s="12" t="s">
        <v>202</v>
      </c>
      <c r="S165" s="12" t="s">
        <v>333</v>
      </c>
      <c r="T165" s="12" t="s">
        <v>202</v>
      </c>
      <c r="U165" s="12" t="s">
        <v>333</v>
      </c>
      <c r="V165" s="12" t="s">
        <v>202</v>
      </c>
      <c r="W165" s="12" t="s">
        <v>333</v>
      </c>
      <c r="X165" s="11">
        <v>297.30799999999999</v>
      </c>
      <c r="Y165" s="12" t="s">
        <v>333</v>
      </c>
      <c r="Z165" s="11">
        <v>296.22300000000001</v>
      </c>
      <c r="AA165" s="12" t="s">
        <v>333</v>
      </c>
      <c r="AB165" s="20">
        <v>0</v>
      </c>
      <c r="AC165" s="12" t="s">
        <v>333</v>
      </c>
      <c r="AD165" s="20">
        <v>0</v>
      </c>
      <c r="AE165" s="12" t="s">
        <v>333</v>
      </c>
      <c r="AF165" s="20">
        <v>0</v>
      </c>
      <c r="AG165" s="12" t="s">
        <v>333</v>
      </c>
      <c r="AH165" s="20">
        <v>0</v>
      </c>
      <c r="AI165" s="12" t="s">
        <v>333</v>
      </c>
      <c r="AJ165" s="20">
        <v>0</v>
      </c>
      <c r="AK165" s="12" t="s">
        <v>333</v>
      </c>
      <c r="AL165" s="11">
        <v>36.345999999999997</v>
      </c>
      <c r="AM165" s="12" t="s">
        <v>333</v>
      </c>
      <c r="AN165" s="11">
        <v>36.345999999999997</v>
      </c>
      <c r="AO165" s="12" t="s">
        <v>333</v>
      </c>
      <c r="AP165" s="20">
        <v>0</v>
      </c>
      <c r="AQ165" s="12" t="s">
        <v>333</v>
      </c>
      <c r="AR165" s="20">
        <v>0</v>
      </c>
      <c r="AS165" s="12" t="s">
        <v>333</v>
      </c>
      <c r="AT165" s="20">
        <v>0</v>
      </c>
      <c r="AU165" s="12" t="s">
        <v>333</v>
      </c>
      <c r="AV165" s="20">
        <v>0</v>
      </c>
      <c r="AW165" s="12" t="s">
        <v>333</v>
      </c>
      <c r="AX165" s="11">
        <v>260.96199999999999</v>
      </c>
      <c r="AY165" s="12" t="s">
        <v>333</v>
      </c>
      <c r="AZ165" s="11">
        <v>259.87700000000001</v>
      </c>
      <c r="BA165" s="12" t="s">
        <v>333</v>
      </c>
      <c r="BB165" s="20">
        <v>0</v>
      </c>
      <c r="BC165" s="12" t="s">
        <v>333</v>
      </c>
      <c r="BD165" s="11">
        <v>260.96199999999999</v>
      </c>
      <c r="BE165" s="12" t="s">
        <v>333</v>
      </c>
      <c r="BF165" s="20">
        <v>0</v>
      </c>
      <c r="BG165" s="12" t="s">
        <v>333</v>
      </c>
      <c r="BH165" s="20">
        <v>0</v>
      </c>
      <c r="BI165" s="12" t="s">
        <v>333</v>
      </c>
      <c r="BJ165" s="20">
        <v>0</v>
      </c>
      <c r="BK165" s="12" t="s">
        <v>333</v>
      </c>
      <c r="BL165" s="20">
        <v>0</v>
      </c>
      <c r="BM165" s="12" t="s">
        <v>333</v>
      </c>
      <c r="BN165" s="20">
        <v>0</v>
      </c>
      <c r="BO165" s="12" t="s">
        <v>333</v>
      </c>
      <c r="BP165" s="20">
        <v>0</v>
      </c>
      <c r="BQ165" s="12" t="s">
        <v>333</v>
      </c>
      <c r="BR165" s="20">
        <v>0</v>
      </c>
      <c r="BS165" s="12" t="s">
        <v>333</v>
      </c>
      <c r="BT165" s="20">
        <v>0</v>
      </c>
      <c r="BU165" s="12" t="s">
        <v>333</v>
      </c>
      <c r="BV165" s="20">
        <v>0</v>
      </c>
      <c r="BW165" s="12" t="s">
        <v>333</v>
      </c>
      <c r="BX165" s="20">
        <v>0</v>
      </c>
      <c r="BY165" s="12" t="s">
        <v>333</v>
      </c>
      <c r="BZ165" s="11">
        <v>1.085</v>
      </c>
      <c r="CA165" s="12" t="s">
        <v>333</v>
      </c>
      <c r="CB165" s="20">
        <v>0</v>
      </c>
      <c r="CC165" s="12" t="s">
        <v>333</v>
      </c>
    </row>
    <row r="166" spans="1:81" x14ac:dyDescent="0.2">
      <c r="A166" s="10" t="s">
        <v>560</v>
      </c>
      <c r="B166" s="81">
        <v>1.823</v>
      </c>
      <c r="C166" s="82" t="s">
        <v>333</v>
      </c>
      <c r="D166" s="81">
        <v>1.823</v>
      </c>
      <c r="E166" s="82" t="s">
        <v>333</v>
      </c>
      <c r="F166" s="83">
        <v>0</v>
      </c>
      <c r="G166" s="82" t="s">
        <v>333</v>
      </c>
      <c r="H166" s="83">
        <v>0</v>
      </c>
      <c r="I166" s="82" t="s">
        <v>333</v>
      </c>
      <c r="J166" s="83">
        <v>0</v>
      </c>
      <c r="K166" s="82" t="s">
        <v>333</v>
      </c>
      <c r="L166" s="83">
        <v>0</v>
      </c>
      <c r="M166" s="82" t="s">
        <v>333</v>
      </c>
      <c r="N166" s="82" t="s">
        <v>202</v>
      </c>
      <c r="O166" s="82" t="s">
        <v>333</v>
      </c>
      <c r="P166" s="82" t="s">
        <v>202</v>
      </c>
      <c r="Q166" s="82" t="s">
        <v>333</v>
      </c>
      <c r="R166" s="82" t="s">
        <v>202</v>
      </c>
      <c r="S166" s="82" t="s">
        <v>333</v>
      </c>
      <c r="T166" s="82" t="s">
        <v>202</v>
      </c>
      <c r="U166" s="82" t="s">
        <v>333</v>
      </c>
      <c r="V166" s="82" t="s">
        <v>202</v>
      </c>
      <c r="W166" s="82" t="s">
        <v>333</v>
      </c>
      <c r="X166" s="81">
        <v>1.823</v>
      </c>
      <c r="Y166" s="82" t="s">
        <v>333</v>
      </c>
      <c r="Z166" s="81">
        <v>1.823</v>
      </c>
      <c r="AA166" s="82" t="s">
        <v>333</v>
      </c>
      <c r="AB166" s="83">
        <v>0</v>
      </c>
      <c r="AC166" s="82" t="s">
        <v>333</v>
      </c>
      <c r="AD166" s="83">
        <v>0</v>
      </c>
      <c r="AE166" s="82" t="s">
        <v>333</v>
      </c>
      <c r="AF166" s="83">
        <v>0</v>
      </c>
      <c r="AG166" s="82" t="s">
        <v>333</v>
      </c>
      <c r="AH166" s="83">
        <v>0</v>
      </c>
      <c r="AI166" s="82" t="s">
        <v>333</v>
      </c>
      <c r="AJ166" s="83">
        <v>0</v>
      </c>
      <c r="AK166" s="82" t="s">
        <v>333</v>
      </c>
      <c r="AL166" s="83">
        <v>0</v>
      </c>
      <c r="AM166" s="82" t="s">
        <v>333</v>
      </c>
      <c r="AN166" s="83">
        <v>0</v>
      </c>
      <c r="AO166" s="82" t="s">
        <v>333</v>
      </c>
      <c r="AP166" s="83">
        <v>0</v>
      </c>
      <c r="AQ166" s="82" t="s">
        <v>333</v>
      </c>
      <c r="AR166" s="83">
        <v>0</v>
      </c>
      <c r="AS166" s="82" t="s">
        <v>333</v>
      </c>
      <c r="AT166" s="83">
        <v>0</v>
      </c>
      <c r="AU166" s="82" t="s">
        <v>333</v>
      </c>
      <c r="AV166" s="83">
        <v>0</v>
      </c>
      <c r="AW166" s="82" t="s">
        <v>333</v>
      </c>
      <c r="AX166" s="83">
        <v>0</v>
      </c>
      <c r="AY166" s="82" t="s">
        <v>333</v>
      </c>
      <c r="AZ166" s="83">
        <v>0</v>
      </c>
      <c r="BA166" s="82" t="s">
        <v>333</v>
      </c>
      <c r="BB166" s="83">
        <v>0</v>
      </c>
      <c r="BC166" s="82" t="s">
        <v>333</v>
      </c>
      <c r="BD166" s="83">
        <v>0</v>
      </c>
      <c r="BE166" s="82" t="s">
        <v>333</v>
      </c>
      <c r="BF166" s="83">
        <v>0</v>
      </c>
      <c r="BG166" s="82" t="s">
        <v>333</v>
      </c>
      <c r="BH166" s="83">
        <v>0</v>
      </c>
      <c r="BI166" s="82" t="s">
        <v>333</v>
      </c>
      <c r="BJ166" s="83">
        <v>0</v>
      </c>
      <c r="BK166" s="82" t="s">
        <v>333</v>
      </c>
      <c r="BL166" s="83">
        <v>0</v>
      </c>
      <c r="BM166" s="82" t="s">
        <v>333</v>
      </c>
      <c r="BN166" s="81">
        <v>1.823</v>
      </c>
      <c r="BO166" s="82" t="s">
        <v>333</v>
      </c>
      <c r="BP166" s="83">
        <v>0</v>
      </c>
      <c r="BQ166" s="82" t="s">
        <v>333</v>
      </c>
      <c r="BR166" s="83">
        <v>0</v>
      </c>
      <c r="BS166" s="82" t="s">
        <v>333</v>
      </c>
      <c r="BT166" s="83">
        <v>0</v>
      </c>
      <c r="BU166" s="82" t="s">
        <v>333</v>
      </c>
      <c r="BV166" s="83">
        <v>0</v>
      </c>
      <c r="BW166" s="82" t="s">
        <v>333</v>
      </c>
      <c r="BX166" s="83">
        <v>0</v>
      </c>
      <c r="BY166" s="82" t="s">
        <v>333</v>
      </c>
      <c r="BZ166" s="83">
        <v>0</v>
      </c>
      <c r="CA166" s="82" t="s">
        <v>333</v>
      </c>
      <c r="CB166" s="83">
        <v>0</v>
      </c>
      <c r="CC166" s="82" t="s">
        <v>333</v>
      </c>
    </row>
    <row r="167" spans="1:81" x14ac:dyDescent="0.2">
      <c r="A167" s="10" t="s">
        <v>561</v>
      </c>
      <c r="B167" s="20">
        <v>0</v>
      </c>
      <c r="C167" s="12" t="s">
        <v>333</v>
      </c>
      <c r="D167" s="20">
        <v>0</v>
      </c>
      <c r="E167" s="12" t="s">
        <v>333</v>
      </c>
      <c r="F167" s="20">
        <v>0</v>
      </c>
      <c r="G167" s="12" t="s">
        <v>333</v>
      </c>
      <c r="H167" s="20">
        <v>0</v>
      </c>
      <c r="I167" s="12" t="s">
        <v>333</v>
      </c>
      <c r="J167" s="20">
        <v>0</v>
      </c>
      <c r="K167" s="12" t="s">
        <v>333</v>
      </c>
      <c r="L167" s="20">
        <v>0</v>
      </c>
      <c r="M167" s="12" t="s">
        <v>333</v>
      </c>
      <c r="N167" s="12" t="s">
        <v>202</v>
      </c>
      <c r="O167" s="12" t="s">
        <v>333</v>
      </c>
      <c r="P167" s="12" t="s">
        <v>202</v>
      </c>
      <c r="Q167" s="12" t="s">
        <v>333</v>
      </c>
      <c r="R167" s="12" t="s">
        <v>202</v>
      </c>
      <c r="S167" s="12" t="s">
        <v>333</v>
      </c>
      <c r="T167" s="12" t="s">
        <v>202</v>
      </c>
      <c r="U167" s="12" t="s">
        <v>333</v>
      </c>
      <c r="V167" s="12" t="s">
        <v>202</v>
      </c>
      <c r="W167" s="12" t="s">
        <v>333</v>
      </c>
      <c r="X167" s="20">
        <v>0</v>
      </c>
      <c r="Y167" s="12" t="s">
        <v>333</v>
      </c>
      <c r="Z167" s="20">
        <v>0</v>
      </c>
      <c r="AA167" s="12" t="s">
        <v>333</v>
      </c>
      <c r="AB167" s="20">
        <v>0</v>
      </c>
      <c r="AC167" s="12" t="s">
        <v>333</v>
      </c>
      <c r="AD167" s="20">
        <v>0</v>
      </c>
      <c r="AE167" s="12" t="s">
        <v>333</v>
      </c>
      <c r="AF167" s="20">
        <v>0</v>
      </c>
      <c r="AG167" s="12" t="s">
        <v>333</v>
      </c>
      <c r="AH167" s="20">
        <v>0</v>
      </c>
      <c r="AI167" s="12" t="s">
        <v>333</v>
      </c>
      <c r="AJ167" s="20">
        <v>0</v>
      </c>
      <c r="AK167" s="12" t="s">
        <v>333</v>
      </c>
      <c r="AL167" s="20">
        <v>0</v>
      </c>
      <c r="AM167" s="12" t="s">
        <v>333</v>
      </c>
      <c r="AN167" s="20">
        <v>0</v>
      </c>
      <c r="AO167" s="12" t="s">
        <v>333</v>
      </c>
      <c r="AP167" s="20">
        <v>0</v>
      </c>
      <c r="AQ167" s="12" t="s">
        <v>333</v>
      </c>
      <c r="AR167" s="20">
        <v>0</v>
      </c>
      <c r="AS167" s="12" t="s">
        <v>333</v>
      </c>
      <c r="AT167" s="20">
        <v>0</v>
      </c>
      <c r="AU167" s="12" t="s">
        <v>333</v>
      </c>
      <c r="AV167" s="20">
        <v>0</v>
      </c>
      <c r="AW167" s="12" t="s">
        <v>333</v>
      </c>
      <c r="AX167" s="20">
        <v>0</v>
      </c>
      <c r="AY167" s="12" t="s">
        <v>333</v>
      </c>
      <c r="AZ167" s="20">
        <v>0</v>
      </c>
      <c r="BA167" s="12" t="s">
        <v>333</v>
      </c>
      <c r="BB167" s="20">
        <v>0</v>
      </c>
      <c r="BC167" s="12" t="s">
        <v>333</v>
      </c>
      <c r="BD167" s="20">
        <v>0</v>
      </c>
      <c r="BE167" s="12" t="s">
        <v>333</v>
      </c>
      <c r="BF167" s="20">
        <v>0</v>
      </c>
      <c r="BG167" s="12" t="s">
        <v>333</v>
      </c>
      <c r="BH167" s="20">
        <v>0</v>
      </c>
      <c r="BI167" s="12" t="s">
        <v>333</v>
      </c>
      <c r="BJ167" s="20">
        <v>0</v>
      </c>
      <c r="BK167" s="12" t="s">
        <v>333</v>
      </c>
      <c r="BL167" s="20">
        <v>0</v>
      </c>
      <c r="BM167" s="12" t="s">
        <v>333</v>
      </c>
      <c r="BN167" s="20">
        <v>0</v>
      </c>
      <c r="BO167" s="12" t="s">
        <v>333</v>
      </c>
      <c r="BP167" s="20">
        <v>0</v>
      </c>
      <c r="BQ167" s="12" t="s">
        <v>333</v>
      </c>
      <c r="BR167" s="20">
        <v>0</v>
      </c>
      <c r="BS167" s="12" t="s">
        <v>333</v>
      </c>
      <c r="BT167" s="20">
        <v>0</v>
      </c>
      <c r="BU167" s="12" t="s">
        <v>333</v>
      </c>
      <c r="BV167" s="20">
        <v>0</v>
      </c>
      <c r="BW167" s="12" t="s">
        <v>333</v>
      </c>
      <c r="BX167" s="20">
        <v>0</v>
      </c>
      <c r="BY167" s="12" t="s">
        <v>333</v>
      </c>
      <c r="BZ167" s="20">
        <v>0</v>
      </c>
      <c r="CA167" s="12" t="s">
        <v>333</v>
      </c>
      <c r="CB167" s="20">
        <v>0</v>
      </c>
      <c r="CC167" s="12" t="s">
        <v>333</v>
      </c>
    </row>
    <row r="168" spans="1:81" x14ac:dyDescent="0.2">
      <c r="A168" s="10" t="s">
        <v>306</v>
      </c>
      <c r="B168" s="83">
        <v>0</v>
      </c>
      <c r="C168" s="82" t="s">
        <v>333</v>
      </c>
      <c r="D168" s="83">
        <v>0</v>
      </c>
      <c r="E168" s="82" t="s">
        <v>333</v>
      </c>
      <c r="F168" s="83">
        <v>0</v>
      </c>
      <c r="G168" s="82" t="s">
        <v>333</v>
      </c>
      <c r="H168" s="83">
        <v>0</v>
      </c>
      <c r="I168" s="82" t="s">
        <v>333</v>
      </c>
      <c r="J168" s="83">
        <v>0</v>
      </c>
      <c r="K168" s="82" t="s">
        <v>333</v>
      </c>
      <c r="L168" s="83">
        <v>0</v>
      </c>
      <c r="M168" s="82" t="s">
        <v>333</v>
      </c>
      <c r="N168" s="82" t="s">
        <v>202</v>
      </c>
      <c r="O168" s="82" t="s">
        <v>333</v>
      </c>
      <c r="P168" s="82" t="s">
        <v>202</v>
      </c>
      <c r="Q168" s="82" t="s">
        <v>333</v>
      </c>
      <c r="R168" s="82" t="s">
        <v>202</v>
      </c>
      <c r="S168" s="82" t="s">
        <v>333</v>
      </c>
      <c r="T168" s="82" t="s">
        <v>202</v>
      </c>
      <c r="U168" s="82" t="s">
        <v>333</v>
      </c>
      <c r="V168" s="82" t="s">
        <v>202</v>
      </c>
      <c r="W168" s="82" t="s">
        <v>333</v>
      </c>
      <c r="X168" s="83">
        <v>0</v>
      </c>
      <c r="Y168" s="82" t="s">
        <v>333</v>
      </c>
      <c r="Z168" s="83">
        <v>0</v>
      </c>
      <c r="AA168" s="82" t="s">
        <v>333</v>
      </c>
      <c r="AB168" s="83">
        <v>0</v>
      </c>
      <c r="AC168" s="82" t="s">
        <v>333</v>
      </c>
      <c r="AD168" s="83">
        <v>0</v>
      </c>
      <c r="AE168" s="82" t="s">
        <v>333</v>
      </c>
      <c r="AF168" s="83">
        <v>0</v>
      </c>
      <c r="AG168" s="82" t="s">
        <v>333</v>
      </c>
      <c r="AH168" s="83">
        <v>0</v>
      </c>
      <c r="AI168" s="82" t="s">
        <v>333</v>
      </c>
      <c r="AJ168" s="83">
        <v>0</v>
      </c>
      <c r="AK168" s="82" t="s">
        <v>333</v>
      </c>
      <c r="AL168" s="83">
        <v>0</v>
      </c>
      <c r="AM168" s="82" t="s">
        <v>333</v>
      </c>
      <c r="AN168" s="83">
        <v>0</v>
      </c>
      <c r="AO168" s="82" t="s">
        <v>333</v>
      </c>
      <c r="AP168" s="83">
        <v>0</v>
      </c>
      <c r="AQ168" s="82" t="s">
        <v>333</v>
      </c>
      <c r="AR168" s="83">
        <v>0</v>
      </c>
      <c r="AS168" s="82" t="s">
        <v>333</v>
      </c>
      <c r="AT168" s="83">
        <v>0</v>
      </c>
      <c r="AU168" s="82" t="s">
        <v>333</v>
      </c>
      <c r="AV168" s="83">
        <v>0</v>
      </c>
      <c r="AW168" s="82" t="s">
        <v>333</v>
      </c>
      <c r="AX168" s="83">
        <v>0</v>
      </c>
      <c r="AY168" s="82" t="s">
        <v>333</v>
      </c>
      <c r="AZ168" s="83">
        <v>0</v>
      </c>
      <c r="BA168" s="82" t="s">
        <v>333</v>
      </c>
      <c r="BB168" s="83">
        <v>0</v>
      </c>
      <c r="BC168" s="82" t="s">
        <v>333</v>
      </c>
      <c r="BD168" s="83">
        <v>0</v>
      </c>
      <c r="BE168" s="82" t="s">
        <v>333</v>
      </c>
      <c r="BF168" s="83">
        <v>0</v>
      </c>
      <c r="BG168" s="82" t="s">
        <v>333</v>
      </c>
      <c r="BH168" s="83">
        <v>0</v>
      </c>
      <c r="BI168" s="82" t="s">
        <v>333</v>
      </c>
      <c r="BJ168" s="83">
        <v>0</v>
      </c>
      <c r="BK168" s="82" t="s">
        <v>333</v>
      </c>
      <c r="BL168" s="83">
        <v>0</v>
      </c>
      <c r="BM168" s="82" t="s">
        <v>333</v>
      </c>
      <c r="BN168" s="83">
        <v>0</v>
      </c>
      <c r="BO168" s="82" t="s">
        <v>333</v>
      </c>
      <c r="BP168" s="83">
        <v>0</v>
      </c>
      <c r="BQ168" s="82" t="s">
        <v>333</v>
      </c>
      <c r="BR168" s="83">
        <v>0</v>
      </c>
      <c r="BS168" s="82" t="s">
        <v>333</v>
      </c>
      <c r="BT168" s="83">
        <v>0</v>
      </c>
      <c r="BU168" s="82" t="s">
        <v>333</v>
      </c>
      <c r="BV168" s="83">
        <v>0</v>
      </c>
      <c r="BW168" s="82" t="s">
        <v>333</v>
      </c>
      <c r="BX168" s="83">
        <v>0</v>
      </c>
      <c r="BY168" s="82" t="s">
        <v>333</v>
      </c>
      <c r="BZ168" s="83">
        <v>0</v>
      </c>
      <c r="CA168" s="82" t="s">
        <v>333</v>
      </c>
      <c r="CB168" s="83">
        <v>0</v>
      </c>
      <c r="CC168" s="82" t="s">
        <v>333</v>
      </c>
    </row>
    <row r="169" spans="1:81" x14ac:dyDescent="0.2">
      <c r="A169" s="10" t="s">
        <v>467</v>
      </c>
      <c r="B169" s="20">
        <v>0</v>
      </c>
      <c r="C169" s="12" t="s">
        <v>333</v>
      </c>
      <c r="D169" s="20">
        <v>0</v>
      </c>
      <c r="E169" s="12" t="s">
        <v>333</v>
      </c>
      <c r="F169" s="20">
        <v>0</v>
      </c>
      <c r="G169" s="12" t="s">
        <v>333</v>
      </c>
      <c r="H169" s="20">
        <v>0</v>
      </c>
      <c r="I169" s="12" t="s">
        <v>333</v>
      </c>
      <c r="J169" s="20">
        <v>0</v>
      </c>
      <c r="K169" s="12" t="s">
        <v>333</v>
      </c>
      <c r="L169" s="20">
        <v>0</v>
      </c>
      <c r="M169" s="12" t="s">
        <v>333</v>
      </c>
      <c r="N169" s="12" t="s">
        <v>202</v>
      </c>
      <c r="O169" s="12" t="s">
        <v>333</v>
      </c>
      <c r="P169" s="12" t="s">
        <v>202</v>
      </c>
      <c r="Q169" s="12" t="s">
        <v>333</v>
      </c>
      <c r="R169" s="12" t="s">
        <v>202</v>
      </c>
      <c r="S169" s="12" t="s">
        <v>333</v>
      </c>
      <c r="T169" s="12" t="s">
        <v>202</v>
      </c>
      <c r="U169" s="12" t="s">
        <v>333</v>
      </c>
      <c r="V169" s="12" t="s">
        <v>202</v>
      </c>
      <c r="W169" s="12" t="s">
        <v>333</v>
      </c>
      <c r="X169" s="20">
        <v>0</v>
      </c>
      <c r="Y169" s="12" t="s">
        <v>333</v>
      </c>
      <c r="Z169" s="20">
        <v>0</v>
      </c>
      <c r="AA169" s="12" t="s">
        <v>333</v>
      </c>
      <c r="AB169" s="20">
        <v>0</v>
      </c>
      <c r="AC169" s="12" t="s">
        <v>333</v>
      </c>
      <c r="AD169" s="20">
        <v>0</v>
      </c>
      <c r="AE169" s="12" t="s">
        <v>333</v>
      </c>
      <c r="AF169" s="20">
        <v>0</v>
      </c>
      <c r="AG169" s="12" t="s">
        <v>333</v>
      </c>
      <c r="AH169" s="20">
        <v>0</v>
      </c>
      <c r="AI169" s="12" t="s">
        <v>333</v>
      </c>
      <c r="AJ169" s="20">
        <v>0</v>
      </c>
      <c r="AK169" s="12" t="s">
        <v>333</v>
      </c>
      <c r="AL169" s="20">
        <v>0</v>
      </c>
      <c r="AM169" s="12" t="s">
        <v>333</v>
      </c>
      <c r="AN169" s="20">
        <v>0</v>
      </c>
      <c r="AO169" s="12" t="s">
        <v>333</v>
      </c>
      <c r="AP169" s="20">
        <v>0</v>
      </c>
      <c r="AQ169" s="12" t="s">
        <v>333</v>
      </c>
      <c r="AR169" s="20">
        <v>0</v>
      </c>
      <c r="AS169" s="12" t="s">
        <v>333</v>
      </c>
      <c r="AT169" s="20">
        <v>0</v>
      </c>
      <c r="AU169" s="12" t="s">
        <v>333</v>
      </c>
      <c r="AV169" s="20">
        <v>0</v>
      </c>
      <c r="AW169" s="12" t="s">
        <v>333</v>
      </c>
      <c r="AX169" s="20">
        <v>0</v>
      </c>
      <c r="AY169" s="12" t="s">
        <v>333</v>
      </c>
      <c r="AZ169" s="20">
        <v>0</v>
      </c>
      <c r="BA169" s="12" t="s">
        <v>333</v>
      </c>
      <c r="BB169" s="20">
        <v>0</v>
      </c>
      <c r="BC169" s="12" t="s">
        <v>333</v>
      </c>
      <c r="BD169" s="20">
        <v>0</v>
      </c>
      <c r="BE169" s="12" t="s">
        <v>333</v>
      </c>
      <c r="BF169" s="20">
        <v>0</v>
      </c>
      <c r="BG169" s="12" t="s">
        <v>333</v>
      </c>
      <c r="BH169" s="20">
        <v>0</v>
      </c>
      <c r="BI169" s="12" t="s">
        <v>333</v>
      </c>
      <c r="BJ169" s="20">
        <v>0</v>
      </c>
      <c r="BK169" s="12" t="s">
        <v>333</v>
      </c>
      <c r="BL169" s="20">
        <v>0</v>
      </c>
      <c r="BM169" s="12" t="s">
        <v>333</v>
      </c>
      <c r="BN169" s="20">
        <v>0</v>
      </c>
      <c r="BO169" s="12" t="s">
        <v>333</v>
      </c>
      <c r="BP169" s="20">
        <v>0</v>
      </c>
      <c r="BQ169" s="12" t="s">
        <v>333</v>
      </c>
      <c r="BR169" s="20">
        <v>0</v>
      </c>
      <c r="BS169" s="12" t="s">
        <v>333</v>
      </c>
      <c r="BT169" s="20">
        <v>0</v>
      </c>
      <c r="BU169" s="12" t="s">
        <v>333</v>
      </c>
      <c r="BV169" s="20">
        <v>0</v>
      </c>
      <c r="BW169" s="12" t="s">
        <v>333</v>
      </c>
      <c r="BX169" s="20">
        <v>0</v>
      </c>
      <c r="BY169" s="12" t="s">
        <v>333</v>
      </c>
      <c r="BZ169" s="20">
        <v>0</v>
      </c>
      <c r="CA169" s="12" t="s">
        <v>333</v>
      </c>
      <c r="CB169" s="20">
        <v>0</v>
      </c>
      <c r="CC169" s="12" t="s">
        <v>333</v>
      </c>
    </row>
    <row r="170" spans="1:81" x14ac:dyDescent="0.2">
      <c r="A170" s="10" t="s">
        <v>562</v>
      </c>
      <c r="B170" s="83">
        <v>0</v>
      </c>
      <c r="C170" s="82" t="s">
        <v>333</v>
      </c>
      <c r="D170" s="83">
        <v>0</v>
      </c>
      <c r="E170" s="82" t="s">
        <v>333</v>
      </c>
      <c r="F170" s="83">
        <v>0</v>
      </c>
      <c r="G170" s="82" t="s">
        <v>333</v>
      </c>
      <c r="H170" s="83">
        <v>0</v>
      </c>
      <c r="I170" s="82" t="s">
        <v>333</v>
      </c>
      <c r="J170" s="83">
        <v>0</v>
      </c>
      <c r="K170" s="82" t="s">
        <v>333</v>
      </c>
      <c r="L170" s="83">
        <v>0</v>
      </c>
      <c r="M170" s="82" t="s">
        <v>333</v>
      </c>
      <c r="N170" s="82" t="s">
        <v>202</v>
      </c>
      <c r="O170" s="82" t="s">
        <v>333</v>
      </c>
      <c r="P170" s="82" t="s">
        <v>202</v>
      </c>
      <c r="Q170" s="82" t="s">
        <v>333</v>
      </c>
      <c r="R170" s="82" t="s">
        <v>202</v>
      </c>
      <c r="S170" s="82" t="s">
        <v>333</v>
      </c>
      <c r="T170" s="82" t="s">
        <v>202</v>
      </c>
      <c r="U170" s="82" t="s">
        <v>333</v>
      </c>
      <c r="V170" s="82" t="s">
        <v>202</v>
      </c>
      <c r="W170" s="82" t="s">
        <v>333</v>
      </c>
      <c r="X170" s="83">
        <v>0</v>
      </c>
      <c r="Y170" s="82" t="s">
        <v>333</v>
      </c>
      <c r="Z170" s="83">
        <v>0</v>
      </c>
      <c r="AA170" s="82" t="s">
        <v>333</v>
      </c>
      <c r="AB170" s="83">
        <v>0</v>
      </c>
      <c r="AC170" s="82" t="s">
        <v>333</v>
      </c>
      <c r="AD170" s="83">
        <v>0</v>
      </c>
      <c r="AE170" s="82" t="s">
        <v>333</v>
      </c>
      <c r="AF170" s="83">
        <v>0</v>
      </c>
      <c r="AG170" s="82" t="s">
        <v>333</v>
      </c>
      <c r="AH170" s="83">
        <v>0</v>
      </c>
      <c r="AI170" s="82" t="s">
        <v>333</v>
      </c>
      <c r="AJ170" s="83">
        <v>0</v>
      </c>
      <c r="AK170" s="82" t="s">
        <v>333</v>
      </c>
      <c r="AL170" s="83">
        <v>0</v>
      </c>
      <c r="AM170" s="82" t="s">
        <v>333</v>
      </c>
      <c r="AN170" s="83">
        <v>0</v>
      </c>
      <c r="AO170" s="82" t="s">
        <v>333</v>
      </c>
      <c r="AP170" s="83">
        <v>0</v>
      </c>
      <c r="AQ170" s="82" t="s">
        <v>333</v>
      </c>
      <c r="AR170" s="83">
        <v>0</v>
      </c>
      <c r="AS170" s="82" t="s">
        <v>333</v>
      </c>
      <c r="AT170" s="83">
        <v>0</v>
      </c>
      <c r="AU170" s="82" t="s">
        <v>333</v>
      </c>
      <c r="AV170" s="83">
        <v>0</v>
      </c>
      <c r="AW170" s="82" t="s">
        <v>333</v>
      </c>
      <c r="AX170" s="83">
        <v>0</v>
      </c>
      <c r="AY170" s="82" t="s">
        <v>333</v>
      </c>
      <c r="AZ170" s="83">
        <v>0</v>
      </c>
      <c r="BA170" s="82" t="s">
        <v>333</v>
      </c>
      <c r="BB170" s="83">
        <v>0</v>
      </c>
      <c r="BC170" s="82" t="s">
        <v>333</v>
      </c>
      <c r="BD170" s="83">
        <v>0</v>
      </c>
      <c r="BE170" s="82" t="s">
        <v>333</v>
      </c>
      <c r="BF170" s="83">
        <v>0</v>
      </c>
      <c r="BG170" s="82" t="s">
        <v>333</v>
      </c>
      <c r="BH170" s="83">
        <v>0</v>
      </c>
      <c r="BI170" s="82" t="s">
        <v>333</v>
      </c>
      <c r="BJ170" s="83">
        <v>0</v>
      </c>
      <c r="BK170" s="82" t="s">
        <v>333</v>
      </c>
      <c r="BL170" s="83">
        <v>0</v>
      </c>
      <c r="BM170" s="82" t="s">
        <v>333</v>
      </c>
      <c r="BN170" s="83">
        <v>0</v>
      </c>
      <c r="BO170" s="82" t="s">
        <v>333</v>
      </c>
      <c r="BP170" s="83">
        <v>0</v>
      </c>
      <c r="BQ170" s="82" t="s">
        <v>333</v>
      </c>
      <c r="BR170" s="83">
        <v>0</v>
      </c>
      <c r="BS170" s="82" t="s">
        <v>333</v>
      </c>
      <c r="BT170" s="83">
        <v>0</v>
      </c>
      <c r="BU170" s="82" t="s">
        <v>333</v>
      </c>
      <c r="BV170" s="83">
        <v>0</v>
      </c>
      <c r="BW170" s="82" t="s">
        <v>333</v>
      </c>
      <c r="BX170" s="83">
        <v>0</v>
      </c>
      <c r="BY170" s="82" t="s">
        <v>333</v>
      </c>
      <c r="BZ170" s="83">
        <v>0</v>
      </c>
      <c r="CA170" s="82" t="s">
        <v>333</v>
      </c>
      <c r="CB170" s="83">
        <v>0</v>
      </c>
      <c r="CC170" s="82" t="s">
        <v>333</v>
      </c>
    </row>
    <row r="171" spans="1:81" x14ac:dyDescent="0.2">
      <c r="A171" s="10" t="s">
        <v>307</v>
      </c>
      <c r="B171" s="20">
        <v>0</v>
      </c>
      <c r="C171" s="12" t="s">
        <v>333</v>
      </c>
      <c r="D171" s="20">
        <v>0</v>
      </c>
      <c r="E171" s="12" t="s">
        <v>333</v>
      </c>
      <c r="F171" s="20">
        <v>0</v>
      </c>
      <c r="G171" s="12" t="s">
        <v>333</v>
      </c>
      <c r="H171" s="20">
        <v>0</v>
      </c>
      <c r="I171" s="12" t="s">
        <v>333</v>
      </c>
      <c r="J171" s="20">
        <v>0</v>
      </c>
      <c r="K171" s="12" t="s">
        <v>333</v>
      </c>
      <c r="L171" s="20">
        <v>0</v>
      </c>
      <c r="M171" s="12" t="s">
        <v>333</v>
      </c>
      <c r="N171" s="12" t="s">
        <v>202</v>
      </c>
      <c r="O171" s="12" t="s">
        <v>333</v>
      </c>
      <c r="P171" s="12" t="s">
        <v>202</v>
      </c>
      <c r="Q171" s="12" t="s">
        <v>333</v>
      </c>
      <c r="R171" s="12" t="s">
        <v>202</v>
      </c>
      <c r="S171" s="12" t="s">
        <v>333</v>
      </c>
      <c r="T171" s="12" t="s">
        <v>202</v>
      </c>
      <c r="U171" s="12" t="s">
        <v>333</v>
      </c>
      <c r="V171" s="12" t="s">
        <v>202</v>
      </c>
      <c r="W171" s="12" t="s">
        <v>333</v>
      </c>
      <c r="X171" s="20">
        <v>0</v>
      </c>
      <c r="Y171" s="12" t="s">
        <v>333</v>
      </c>
      <c r="Z171" s="20">
        <v>0</v>
      </c>
      <c r="AA171" s="12" t="s">
        <v>333</v>
      </c>
      <c r="AB171" s="20">
        <v>0</v>
      </c>
      <c r="AC171" s="12" t="s">
        <v>333</v>
      </c>
      <c r="AD171" s="20">
        <v>0</v>
      </c>
      <c r="AE171" s="12" t="s">
        <v>333</v>
      </c>
      <c r="AF171" s="20">
        <v>0</v>
      </c>
      <c r="AG171" s="12" t="s">
        <v>333</v>
      </c>
      <c r="AH171" s="20">
        <v>0</v>
      </c>
      <c r="AI171" s="12" t="s">
        <v>333</v>
      </c>
      <c r="AJ171" s="20">
        <v>0</v>
      </c>
      <c r="AK171" s="12" t="s">
        <v>333</v>
      </c>
      <c r="AL171" s="20">
        <v>0</v>
      </c>
      <c r="AM171" s="12" t="s">
        <v>333</v>
      </c>
      <c r="AN171" s="20">
        <v>0</v>
      </c>
      <c r="AO171" s="12" t="s">
        <v>333</v>
      </c>
      <c r="AP171" s="20">
        <v>0</v>
      </c>
      <c r="AQ171" s="12" t="s">
        <v>333</v>
      </c>
      <c r="AR171" s="20">
        <v>0</v>
      </c>
      <c r="AS171" s="12" t="s">
        <v>333</v>
      </c>
      <c r="AT171" s="20">
        <v>0</v>
      </c>
      <c r="AU171" s="12" t="s">
        <v>333</v>
      </c>
      <c r="AV171" s="20">
        <v>0</v>
      </c>
      <c r="AW171" s="12" t="s">
        <v>333</v>
      </c>
      <c r="AX171" s="20">
        <v>0</v>
      </c>
      <c r="AY171" s="12" t="s">
        <v>333</v>
      </c>
      <c r="AZ171" s="20">
        <v>0</v>
      </c>
      <c r="BA171" s="12" t="s">
        <v>333</v>
      </c>
      <c r="BB171" s="20">
        <v>0</v>
      </c>
      <c r="BC171" s="12" t="s">
        <v>333</v>
      </c>
      <c r="BD171" s="20">
        <v>0</v>
      </c>
      <c r="BE171" s="12" t="s">
        <v>333</v>
      </c>
      <c r="BF171" s="20">
        <v>0</v>
      </c>
      <c r="BG171" s="12" t="s">
        <v>333</v>
      </c>
      <c r="BH171" s="20">
        <v>0</v>
      </c>
      <c r="BI171" s="12" t="s">
        <v>333</v>
      </c>
      <c r="BJ171" s="20">
        <v>0</v>
      </c>
      <c r="BK171" s="12" t="s">
        <v>333</v>
      </c>
      <c r="BL171" s="20">
        <v>0</v>
      </c>
      <c r="BM171" s="12" t="s">
        <v>333</v>
      </c>
      <c r="BN171" s="20">
        <v>0</v>
      </c>
      <c r="BO171" s="12" t="s">
        <v>333</v>
      </c>
      <c r="BP171" s="20">
        <v>0</v>
      </c>
      <c r="BQ171" s="12" t="s">
        <v>333</v>
      </c>
      <c r="BR171" s="20">
        <v>0</v>
      </c>
      <c r="BS171" s="12" t="s">
        <v>333</v>
      </c>
      <c r="BT171" s="20">
        <v>0</v>
      </c>
      <c r="BU171" s="12" t="s">
        <v>333</v>
      </c>
      <c r="BV171" s="20">
        <v>0</v>
      </c>
      <c r="BW171" s="12" t="s">
        <v>333</v>
      </c>
      <c r="BX171" s="20">
        <v>0</v>
      </c>
      <c r="BY171" s="12" t="s">
        <v>333</v>
      </c>
      <c r="BZ171" s="20">
        <v>0</v>
      </c>
      <c r="CA171" s="12" t="s">
        <v>333</v>
      </c>
      <c r="CB171" s="20">
        <v>0</v>
      </c>
      <c r="CC171" s="12" t="s">
        <v>333</v>
      </c>
    </row>
    <row r="172" spans="1:81" x14ac:dyDescent="0.2">
      <c r="A172" s="10" t="s">
        <v>468</v>
      </c>
      <c r="B172" s="83">
        <v>0</v>
      </c>
      <c r="C172" s="82" t="s">
        <v>333</v>
      </c>
      <c r="D172" s="83">
        <v>0</v>
      </c>
      <c r="E172" s="82" t="s">
        <v>333</v>
      </c>
      <c r="F172" s="83">
        <v>0</v>
      </c>
      <c r="G172" s="82" t="s">
        <v>333</v>
      </c>
      <c r="H172" s="83">
        <v>0</v>
      </c>
      <c r="I172" s="82" t="s">
        <v>333</v>
      </c>
      <c r="J172" s="83">
        <v>0</v>
      </c>
      <c r="K172" s="82" t="s">
        <v>333</v>
      </c>
      <c r="L172" s="83">
        <v>0</v>
      </c>
      <c r="M172" s="82" t="s">
        <v>333</v>
      </c>
      <c r="N172" s="82" t="s">
        <v>202</v>
      </c>
      <c r="O172" s="82" t="s">
        <v>333</v>
      </c>
      <c r="P172" s="82" t="s">
        <v>202</v>
      </c>
      <c r="Q172" s="82" t="s">
        <v>333</v>
      </c>
      <c r="R172" s="82" t="s">
        <v>202</v>
      </c>
      <c r="S172" s="82" t="s">
        <v>333</v>
      </c>
      <c r="T172" s="82" t="s">
        <v>202</v>
      </c>
      <c r="U172" s="82" t="s">
        <v>333</v>
      </c>
      <c r="V172" s="82" t="s">
        <v>202</v>
      </c>
      <c r="W172" s="82" t="s">
        <v>333</v>
      </c>
      <c r="X172" s="83">
        <v>0</v>
      </c>
      <c r="Y172" s="82" t="s">
        <v>333</v>
      </c>
      <c r="Z172" s="83">
        <v>0</v>
      </c>
      <c r="AA172" s="82" t="s">
        <v>333</v>
      </c>
      <c r="AB172" s="83">
        <v>0</v>
      </c>
      <c r="AC172" s="82" t="s">
        <v>333</v>
      </c>
      <c r="AD172" s="83">
        <v>0</v>
      </c>
      <c r="AE172" s="82" t="s">
        <v>333</v>
      </c>
      <c r="AF172" s="83">
        <v>0</v>
      </c>
      <c r="AG172" s="82" t="s">
        <v>333</v>
      </c>
      <c r="AH172" s="83">
        <v>0</v>
      </c>
      <c r="AI172" s="82" t="s">
        <v>333</v>
      </c>
      <c r="AJ172" s="83">
        <v>0</v>
      </c>
      <c r="AK172" s="82" t="s">
        <v>333</v>
      </c>
      <c r="AL172" s="83">
        <v>0</v>
      </c>
      <c r="AM172" s="82" t="s">
        <v>333</v>
      </c>
      <c r="AN172" s="83">
        <v>0</v>
      </c>
      <c r="AO172" s="82" t="s">
        <v>333</v>
      </c>
      <c r="AP172" s="83">
        <v>0</v>
      </c>
      <c r="AQ172" s="82" t="s">
        <v>333</v>
      </c>
      <c r="AR172" s="83">
        <v>0</v>
      </c>
      <c r="AS172" s="82" t="s">
        <v>333</v>
      </c>
      <c r="AT172" s="83">
        <v>0</v>
      </c>
      <c r="AU172" s="82" t="s">
        <v>333</v>
      </c>
      <c r="AV172" s="83">
        <v>0</v>
      </c>
      <c r="AW172" s="82" t="s">
        <v>333</v>
      </c>
      <c r="AX172" s="83">
        <v>0</v>
      </c>
      <c r="AY172" s="82" t="s">
        <v>333</v>
      </c>
      <c r="AZ172" s="83">
        <v>0</v>
      </c>
      <c r="BA172" s="82" t="s">
        <v>333</v>
      </c>
      <c r="BB172" s="83">
        <v>0</v>
      </c>
      <c r="BC172" s="82" t="s">
        <v>333</v>
      </c>
      <c r="BD172" s="83">
        <v>0</v>
      </c>
      <c r="BE172" s="82" t="s">
        <v>333</v>
      </c>
      <c r="BF172" s="83">
        <v>0</v>
      </c>
      <c r="BG172" s="82" t="s">
        <v>333</v>
      </c>
      <c r="BH172" s="83">
        <v>0</v>
      </c>
      <c r="BI172" s="82" t="s">
        <v>333</v>
      </c>
      <c r="BJ172" s="83">
        <v>0</v>
      </c>
      <c r="BK172" s="82" t="s">
        <v>333</v>
      </c>
      <c r="BL172" s="83">
        <v>0</v>
      </c>
      <c r="BM172" s="82" t="s">
        <v>333</v>
      </c>
      <c r="BN172" s="83">
        <v>0</v>
      </c>
      <c r="BO172" s="82" t="s">
        <v>333</v>
      </c>
      <c r="BP172" s="83">
        <v>0</v>
      </c>
      <c r="BQ172" s="82" t="s">
        <v>333</v>
      </c>
      <c r="BR172" s="83">
        <v>0</v>
      </c>
      <c r="BS172" s="82" t="s">
        <v>333</v>
      </c>
      <c r="BT172" s="83">
        <v>0</v>
      </c>
      <c r="BU172" s="82" t="s">
        <v>333</v>
      </c>
      <c r="BV172" s="83">
        <v>0</v>
      </c>
      <c r="BW172" s="82" t="s">
        <v>333</v>
      </c>
      <c r="BX172" s="83">
        <v>0</v>
      </c>
      <c r="BY172" s="82" t="s">
        <v>333</v>
      </c>
      <c r="BZ172" s="83">
        <v>0</v>
      </c>
      <c r="CA172" s="82" t="s">
        <v>333</v>
      </c>
      <c r="CB172" s="83">
        <v>0</v>
      </c>
      <c r="CC172" s="82" t="s">
        <v>333</v>
      </c>
    </row>
    <row r="173" spans="1:81" x14ac:dyDescent="0.2">
      <c r="A173" s="10" t="s">
        <v>563</v>
      </c>
      <c r="B173" s="11">
        <v>938.29899999999998</v>
      </c>
      <c r="C173" s="12" t="s">
        <v>333</v>
      </c>
      <c r="D173" s="11">
        <v>907.22900000000004</v>
      </c>
      <c r="E173" s="12" t="s">
        <v>333</v>
      </c>
      <c r="F173" s="20">
        <v>0</v>
      </c>
      <c r="G173" s="12" t="s">
        <v>333</v>
      </c>
      <c r="H173" s="20">
        <v>0</v>
      </c>
      <c r="I173" s="12" t="s">
        <v>333</v>
      </c>
      <c r="J173" s="20">
        <v>0</v>
      </c>
      <c r="K173" s="12" t="s">
        <v>333</v>
      </c>
      <c r="L173" s="20">
        <v>0</v>
      </c>
      <c r="M173" s="12" t="s">
        <v>333</v>
      </c>
      <c r="N173" s="12" t="s">
        <v>202</v>
      </c>
      <c r="O173" s="12" t="s">
        <v>333</v>
      </c>
      <c r="P173" s="12" t="s">
        <v>202</v>
      </c>
      <c r="Q173" s="12" t="s">
        <v>333</v>
      </c>
      <c r="R173" s="12" t="s">
        <v>202</v>
      </c>
      <c r="S173" s="12" t="s">
        <v>333</v>
      </c>
      <c r="T173" s="12" t="s">
        <v>202</v>
      </c>
      <c r="U173" s="12" t="s">
        <v>333</v>
      </c>
      <c r="V173" s="12" t="s">
        <v>202</v>
      </c>
      <c r="W173" s="12" t="s">
        <v>333</v>
      </c>
      <c r="X173" s="11">
        <v>938.29899999999998</v>
      </c>
      <c r="Y173" s="12" t="s">
        <v>333</v>
      </c>
      <c r="Z173" s="11">
        <v>907.22900000000004</v>
      </c>
      <c r="AA173" s="12" t="s">
        <v>333</v>
      </c>
      <c r="AB173" s="20">
        <v>0</v>
      </c>
      <c r="AC173" s="12" t="s">
        <v>333</v>
      </c>
      <c r="AD173" s="20">
        <v>0</v>
      </c>
      <c r="AE173" s="12" t="s">
        <v>333</v>
      </c>
      <c r="AF173" s="11">
        <v>84.343999999999994</v>
      </c>
      <c r="AG173" s="12" t="s">
        <v>333</v>
      </c>
      <c r="AH173" s="20">
        <v>0</v>
      </c>
      <c r="AI173" s="12" t="s">
        <v>333</v>
      </c>
      <c r="AJ173" s="20">
        <v>0</v>
      </c>
      <c r="AK173" s="12" t="s">
        <v>333</v>
      </c>
      <c r="AL173" s="11">
        <v>39.844999999999999</v>
      </c>
      <c r="AM173" s="12" t="s">
        <v>333</v>
      </c>
      <c r="AN173" s="11">
        <v>39.844999999999999</v>
      </c>
      <c r="AO173" s="12" t="s">
        <v>333</v>
      </c>
      <c r="AP173" s="20">
        <v>0</v>
      </c>
      <c r="AQ173" s="12" t="s">
        <v>333</v>
      </c>
      <c r="AR173" s="11">
        <v>36.521999999999998</v>
      </c>
      <c r="AS173" s="12" t="s">
        <v>333</v>
      </c>
      <c r="AT173" s="11">
        <v>36.521999999999998</v>
      </c>
      <c r="AU173" s="12" t="s">
        <v>333</v>
      </c>
      <c r="AV173" s="11">
        <v>5.5720000000000001</v>
      </c>
      <c r="AW173" s="12" t="s">
        <v>333</v>
      </c>
      <c r="AX173" s="11">
        <v>736.15599999999995</v>
      </c>
      <c r="AY173" s="12" t="s">
        <v>333</v>
      </c>
      <c r="AZ173" s="11">
        <v>705.08600000000001</v>
      </c>
      <c r="BA173" s="12" t="s">
        <v>333</v>
      </c>
      <c r="BB173" s="11">
        <v>592.62800000000004</v>
      </c>
      <c r="BC173" s="12" t="s">
        <v>333</v>
      </c>
      <c r="BD173" s="11">
        <v>143.529</v>
      </c>
      <c r="BE173" s="12" t="s">
        <v>333</v>
      </c>
      <c r="BF173" s="20">
        <v>0</v>
      </c>
      <c r="BG173" s="12" t="s">
        <v>333</v>
      </c>
      <c r="BH173" s="20">
        <v>0</v>
      </c>
      <c r="BI173" s="12" t="s">
        <v>333</v>
      </c>
      <c r="BJ173" s="20">
        <v>0</v>
      </c>
      <c r="BK173" s="12" t="s">
        <v>333</v>
      </c>
      <c r="BL173" s="20">
        <v>0</v>
      </c>
      <c r="BM173" s="12" t="s">
        <v>333</v>
      </c>
      <c r="BN173" s="20">
        <v>35.86</v>
      </c>
      <c r="BO173" s="12" t="s">
        <v>333</v>
      </c>
      <c r="BP173" s="20">
        <v>0</v>
      </c>
      <c r="BQ173" s="12" t="s">
        <v>333</v>
      </c>
      <c r="BR173" s="20">
        <v>0</v>
      </c>
      <c r="BS173" s="12" t="s">
        <v>333</v>
      </c>
      <c r="BT173" s="20">
        <v>0</v>
      </c>
      <c r="BU173" s="12" t="s">
        <v>333</v>
      </c>
      <c r="BV173" s="20">
        <v>0</v>
      </c>
      <c r="BW173" s="12" t="s">
        <v>333</v>
      </c>
      <c r="BX173" s="20">
        <v>0</v>
      </c>
      <c r="BY173" s="12" t="s">
        <v>333</v>
      </c>
      <c r="BZ173" s="20">
        <v>31.07</v>
      </c>
      <c r="CA173" s="12" t="s">
        <v>333</v>
      </c>
      <c r="CB173" s="20">
        <v>0</v>
      </c>
      <c r="CC173" s="12" t="s">
        <v>333</v>
      </c>
    </row>
    <row r="174" spans="1:81" x14ac:dyDescent="0.2">
      <c r="A174" s="10" t="s">
        <v>308</v>
      </c>
      <c r="B174" s="81">
        <v>901.87800000000004</v>
      </c>
      <c r="C174" s="82" t="s">
        <v>333</v>
      </c>
      <c r="D174" s="81">
        <v>870.80799999999999</v>
      </c>
      <c r="E174" s="82" t="s">
        <v>333</v>
      </c>
      <c r="F174" s="83">
        <v>0</v>
      </c>
      <c r="G174" s="82" t="s">
        <v>333</v>
      </c>
      <c r="H174" s="83">
        <v>0</v>
      </c>
      <c r="I174" s="82" t="s">
        <v>333</v>
      </c>
      <c r="J174" s="83">
        <v>0</v>
      </c>
      <c r="K174" s="82" t="s">
        <v>333</v>
      </c>
      <c r="L174" s="83">
        <v>0</v>
      </c>
      <c r="M174" s="82" t="s">
        <v>333</v>
      </c>
      <c r="N174" s="82" t="s">
        <v>202</v>
      </c>
      <c r="O174" s="82" t="s">
        <v>333</v>
      </c>
      <c r="P174" s="82" t="s">
        <v>202</v>
      </c>
      <c r="Q174" s="82" t="s">
        <v>333</v>
      </c>
      <c r="R174" s="82" t="s">
        <v>202</v>
      </c>
      <c r="S174" s="82" t="s">
        <v>333</v>
      </c>
      <c r="T174" s="82" t="s">
        <v>202</v>
      </c>
      <c r="U174" s="82" t="s">
        <v>333</v>
      </c>
      <c r="V174" s="82" t="s">
        <v>202</v>
      </c>
      <c r="W174" s="82" t="s">
        <v>333</v>
      </c>
      <c r="X174" s="81">
        <v>901.87800000000004</v>
      </c>
      <c r="Y174" s="82" t="s">
        <v>333</v>
      </c>
      <c r="Z174" s="81">
        <v>870.80799999999999</v>
      </c>
      <c r="AA174" s="82" t="s">
        <v>333</v>
      </c>
      <c r="AB174" s="83">
        <v>0</v>
      </c>
      <c r="AC174" s="82" t="s">
        <v>333</v>
      </c>
      <c r="AD174" s="83">
        <v>0</v>
      </c>
      <c r="AE174" s="82" t="s">
        <v>333</v>
      </c>
      <c r="AF174" s="81">
        <v>84.343999999999994</v>
      </c>
      <c r="AG174" s="82" t="s">
        <v>333</v>
      </c>
      <c r="AH174" s="83">
        <v>0</v>
      </c>
      <c r="AI174" s="82" t="s">
        <v>333</v>
      </c>
      <c r="AJ174" s="83">
        <v>0</v>
      </c>
      <c r="AK174" s="82" t="s">
        <v>333</v>
      </c>
      <c r="AL174" s="81">
        <v>39.844999999999999</v>
      </c>
      <c r="AM174" s="82" t="s">
        <v>333</v>
      </c>
      <c r="AN174" s="81">
        <v>39.844999999999999</v>
      </c>
      <c r="AO174" s="82" t="s">
        <v>333</v>
      </c>
      <c r="AP174" s="83">
        <v>0</v>
      </c>
      <c r="AQ174" s="82" t="s">
        <v>333</v>
      </c>
      <c r="AR174" s="81">
        <v>36.521999999999998</v>
      </c>
      <c r="AS174" s="82" t="s">
        <v>333</v>
      </c>
      <c r="AT174" s="81">
        <v>36.521999999999998</v>
      </c>
      <c r="AU174" s="82" t="s">
        <v>333</v>
      </c>
      <c r="AV174" s="81">
        <v>5.0110000000000001</v>
      </c>
      <c r="AW174" s="82" t="s">
        <v>333</v>
      </c>
      <c r="AX174" s="81">
        <v>736.15599999999995</v>
      </c>
      <c r="AY174" s="82" t="s">
        <v>333</v>
      </c>
      <c r="AZ174" s="81">
        <v>705.08600000000001</v>
      </c>
      <c r="BA174" s="82" t="s">
        <v>333</v>
      </c>
      <c r="BB174" s="81">
        <v>592.62800000000004</v>
      </c>
      <c r="BC174" s="82" t="s">
        <v>333</v>
      </c>
      <c r="BD174" s="81">
        <v>143.529</v>
      </c>
      <c r="BE174" s="82" t="s">
        <v>333</v>
      </c>
      <c r="BF174" s="83">
        <v>0</v>
      </c>
      <c r="BG174" s="82" t="s">
        <v>333</v>
      </c>
      <c r="BH174" s="83">
        <v>0</v>
      </c>
      <c r="BI174" s="82" t="s">
        <v>333</v>
      </c>
      <c r="BJ174" s="83">
        <v>0</v>
      </c>
      <c r="BK174" s="82" t="s">
        <v>333</v>
      </c>
      <c r="BL174" s="83">
        <v>0</v>
      </c>
      <c r="BM174" s="82" t="s">
        <v>333</v>
      </c>
      <c r="BN174" s="83">
        <v>0</v>
      </c>
      <c r="BO174" s="82" t="s">
        <v>333</v>
      </c>
      <c r="BP174" s="83">
        <v>0</v>
      </c>
      <c r="BQ174" s="82" t="s">
        <v>333</v>
      </c>
      <c r="BR174" s="83">
        <v>0</v>
      </c>
      <c r="BS174" s="82" t="s">
        <v>333</v>
      </c>
      <c r="BT174" s="83">
        <v>0</v>
      </c>
      <c r="BU174" s="82" t="s">
        <v>333</v>
      </c>
      <c r="BV174" s="83">
        <v>0</v>
      </c>
      <c r="BW174" s="82" t="s">
        <v>333</v>
      </c>
      <c r="BX174" s="83">
        <v>0</v>
      </c>
      <c r="BY174" s="82" t="s">
        <v>333</v>
      </c>
      <c r="BZ174" s="83">
        <v>31.07</v>
      </c>
      <c r="CA174" s="82" t="s">
        <v>333</v>
      </c>
      <c r="CB174" s="83">
        <v>0</v>
      </c>
      <c r="CC174" s="82" t="s">
        <v>333</v>
      </c>
    </row>
    <row r="175" spans="1:81" x14ac:dyDescent="0.2">
      <c r="A175" s="10" t="s">
        <v>564</v>
      </c>
      <c r="B175" s="11">
        <v>223.07400000000001</v>
      </c>
      <c r="C175" s="12" t="s">
        <v>333</v>
      </c>
      <c r="D175" s="11">
        <v>223.07400000000001</v>
      </c>
      <c r="E175" s="12" t="s">
        <v>333</v>
      </c>
      <c r="F175" s="20">
        <v>0</v>
      </c>
      <c r="G175" s="12" t="s">
        <v>333</v>
      </c>
      <c r="H175" s="20">
        <v>0</v>
      </c>
      <c r="I175" s="12" t="s">
        <v>333</v>
      </c>
      <c r="J175" s="20">
        <v>0</v>
      </c>
      <c r="K175" s="12" t="s">
        <v>333</v>
      </c>
      <c r="L175" s="20">
        <v>0</v>
      </c>
      <c r="M175" s="12" t="s">
        <v>333</v>
      </c>
      <c r="N175" s="12" t="s">
        <v>202</v>
      </c>
      <c r="O175" s="12" t="s">
        <v>333</v>
      </c>
      <c r="P175" s="12" t="s">
        <v>202</v>
      </c>
      <c r="Q175" s="12" t="s">
        <v>333</v>
      </c>
      <c r="R175" s="12" t="s">
        <v>202</v>
      </c>
      <c r="S175" s="12" t="s">
        <v>333</v>
      </c>
      <c r="T175" s="12" t="s">
        <v>202</v>
      </c>
      <c r="U175" s="12" t="s">
        <v>333</v>
      </c>
      <c r="V175" s="12" t="s">
        <v>202</v>
      </c>
      <c r="W175" s="12" t="s">
        <v>333</v>
      </c>
      <c r="X175" s="11">
        <v>223.07400000000001</v>
      </c>
      <c r="Y175" s="12" t="s">
        <v>333</v>
      </c>
      <c r="Z175" s="11">
        <v>223.07400000000001</v>
      </c>
      <c r="AA175" s="12" t="s">
        <v>333</v>
      </c>
      <c r="AB175" s="20">
        <v>0</v>
      </c>
      <c r="AC175" s="12" t="s">
        <v>333</v>
      </c>
      <c r="AD175" s="20">
        <v>0</v>
      </c>
      <c r="AE175" s="12" t="s">
        <v>333</v>
      </c>
      <c r="AF175" s="11">
        <v>36.289000000000001</v>
      </c>
      <c r="AG175" s="12" t="s">
        <v>333</v>
      </c>
      <c r="AH175" s="20">
        <v>0</v>
      </c>
      <c r="AI175" s="12" t="s">
        <v>333</v>
      </c>
      <c r="AJ175" s="20">
        <v>0</v>
      </c>
      <c r="AK175" s="12" t="s">
        <v>333</v>
      </c>
      <c r="AL175" s="11">
        <v>9.5649999999999995</v>
      </c>
      <c r="AM175" s="12" t="s">
        <v>333</v>
      </c>
      <c r="AN175" s="11">
        <v>9.5649999999999995</v>
      </c>
      <c r="AO175" s="12" t="s">
        <v>333</v>
      </c>
      <c r="AP175" s="20">
        <v>0</v>
      </c>
      <c r="AQ175" s="12" t="s">
        <v>333</v>
      </c>
      <c r="AR175" s="20">
        <v>0</v>
      </c>
      <c r="AS175" s="12" t="s">
        <v>333</v>
      </c>
      <c r="AT175" s="20">
        <v>0</v>
      </c>
      <c r="AU175" s="12" t="s">
        <v>333</v>
      </c>
      <c r="AV175" s="11">
        <v>0.56100000000000005</v>
      </c>
      <c r="AW175" s="12" t="s">
        <v>333</v>
      </c>
      <c r="AX175" s="11">
        <v>140.79900000000001</v>
      </c>
      <c r="AY175" s="12" t="s">
        <v>333</v>
      </c>
      <c r="AZ175" s="11">
        <v>140.79900000000001</v>
      </c>
      <c r="BA175" s="12" t="s">
        <v>333</v>
      </c>
      <c r="BB175" s="11">
        <v>140.79900000000001</v>
      </c>
      <c r="BC175" s="12" t="s">
        <v>333</v>
      </c>
      <c r="BD175" s="20">
        <v>0</v>
      </c>
      <c r="BE175" s="12" t="s">
        <v>333</v>
      </c>
      <c r="BF175" s="20">
        <v>0</v>
      </c>
      <c r="BG175" s="12" t="s">
        <v>333</v>
      </c>
      <c r="BH175" s="20">
        <v>0</v>
      </c>
      <c r="BI175" s="12" t="s">
        <v>333</v>
      </c>
      <c r="BJ175" s="20">
        <v>0</v>
      </c>
      <c r="BK175" s="12" t="s">
        <v>333</v>
      </c>
      <c r="BL175" s="20">
        <v>0</v>
      </c>
      <c r="BM175" s="12" t="s">
        <v>333</v>
      </c>
      <c r="BN175" s="20">
        <v>35.86</v>
      </c>
      <c r="BO175" s="12" t="s">
        <v>333</v>
      </c>
      <c r="BP175" s="20">
        <v>0</v>
      </c>
      <c r="BQ175" s="12" t="s">
        <v>333</v>
      </c>
      <c r="BR175" s="20">
        <v>0</v>
      </c>
      <c r="BS175" s="12" t="s">
        <v>333</v>
      </c>
      <c r="BT175" s="20">
        <v>0</v>
      </c>
      <c r="BU175" s="12" t="s">
        <v>333</v>
      </c>
      <c r="BV175" s="20">
        <v>0</v>
      </c>
      <c r="BW175" s="12" t="s">
        <v>333</v>
      </c>
      <c r="BX175" s="20">
        <v>0</v>
      </c>
      <c r="BY175" s="12" t="s">
        <v>333</v>
      </c>
      <c r="BZ175" s="20">
        <v>0</v>
      </c>
      <c r="CA175" s="12" t="s">
        <v>333</v>
      </c>
      <c r="CB175" s="20">
        <v>0</v>
      </c>
      <c r="CC175" s="12" t="s">
        <v>333</v>
      </c>
    </row>
    <row r="176" spans="1:81" x14ac:dyDescent="0.2">
      <c r="A176" s="10" t="s">
        <v>309</v>
      </c>
      <c r="B176" s="81">
        <v>186.65299999999999</v>
      </c>
      <c r="C176" s="82" t="s">
        <v>333</v>
      </c>
      <c r="D176" s="81">
        <v>186.65299999999999</v>
      </c>
      <c r="E176" s="82" t="s">
        <v>333</v>
      </c>
      <c r="F176" s="83">
        <v>0</v>
      </c>
      <c r="G176" s="82" t="s">
        <v>333</v>
      </c>
      <c r="H176" s="83">
        <v>0</v>
      </c>
      <c r="I176" s="82" t="s">
        <v>333</v>
      </c>
      <c r="J176" s="83">
        <v>0</v>
      </c>
      <c r="K176" s="82" t="s">
        <v>333</v>
      </c>
      <c r="L176" s="83">
        <v>0</v>
      </c>
      <c r="M176" s="82" t="s">
        <v>333</v>
      </c>
      <c r="N176" s="82" t="s">
        <v>202</v>
      </c>
      <c r="O176" s="82" t="s">
        <v>333</v>
      </c>
      <c r="P176" s="82" t="s">
        <v>202</v>
      </c>
      <c r="Q176" s="82" t="s">
        <v>333</v>
      </c>
      <c r="R176" s="82" t="s">
        <v>202</v>
      </c>
      <c r="S176" s="82" t="s">
        <v>333</v>
      </c>
      <c r="T176" s="82" t="s">
        <v>202</v>
      </c>
      <c r="U176" s="82" t="s">
        <v>333</v>
      </c>
      <c r="V176" s="82" t="s">
        <v>202</v>
      </c>
      <c r="W176" s="82" t="s">
        <v>333</v>
      </c>
      <c r="X176" s="81">
        <v>186.65299999999999</v>
      </c>
      <c r="Y176" s="82" t="s">
        <v>333</v>
      </c>
      <c r="Z176" s="81">
        <v>186.65299999999999</v>
      </c>
      <c r="AA176" s="82" t="s">
        <v>333</v>
      </c>
      <c r="AB176" s="83">
        <v>0</v>
      </c>
      <c r="AC176" s="82" t="s">
        <v>333</v>
      </c>
      <c r="AD176" s="83">
        <v>0</v>
      </c>
      <c r="AE176" s="82" t="s">
        <v>333</v>
      </c>
      <c r="AF176" s="81">
        <v>36.289000000000001</v>
      </c>
      <c r="AG176" s="82" t="s">
        <v>333</v>
      </c>
      <c r="AH176" s="83">
        <v>0</v>
      </c>
      <c r="AI176" s="82" t="s">
        <v>333</v>
      </c>
      <c r="AJ176" s="83">
        <v>0</v>
      </c>
      <c r="AK176" s="82" t="s">
        <v>333</v>
      </c>
      <c r="AL176" s="81">
        <v>9.5649999999999995</v>
      </c>
      <c r="AM176" s="82" t="s">
        <v>333</v>
      </c>
      <c r="AN176" s="81">
        <v>9.5649999999999995</v>
      </c>
      <c r="AO176" s="82" t="s">
        <v>333</v>
      </c>
      <c r="AP176" s="83">
        <v>0</v>
      </c>
      <c r="AQ176" s="82" t="s">
        <v>333</v>
      </c>
      <c r="AR176" s="83">
        <v>0</v>
      </c>
      <c r="AS176" s="82" t="s">
        <v>333</v>
      </c>
      <c r="AT176" s="83">
        <v>0</v>
      </c>
      <c r="AU176" s="82" t="s">
        <v>333</v>
      </c>
      <c r="AV176" s="83">
        <v>0</v>
      </c>
      <c r="AW176" s="82" t="s">
        <v>333</v>
      </c>
      <c r="AX176" s="81">
        <v>140.79900000000001</v>
      </c>
      <c r="AY176" s="82" t="s">
        <v>333</v>
      </c>
      <c r="AZ176" s="81">
        <v>140.79900000000001</v>
      </c>
      <c r="BA176" s="82" t="s">
        <v>333</v>
      </c>
      <c r="BB176" s="81">
        <v>140.79900000000001</v>
      </c>
      <c r="BC176" s="82" t="s">
        <v>333</v>
      </c>
      <c r="BD176" s="83">
        <v>0</v>
      </c>
      <c r="BE176" s="82" t="s">
        <v>333</v>
      </c>
      <c r="BF176" s="83">
        <v>0</v>
      </c>
      <c r="BG176" s="82" t="s">
        <v>333</v>
      </c>
      <c r="BH176" s="83">
        <v>0</v>
      </c>
      <c r="BI176" s="82" t="s">
        <v>333</v>
      </c>
      <c r="BJ176" s="83">
        <v>0</v>
      </c>
      <c r="BK176" s="82" t="s">
        <v>333</v>
      </c>
      <c r="BL176" s="83">
        <v>0</v>
      </c>
      <c r="BM176" s="82" t="s">
        <v>333</v>
      </c>
      <c r="BN176" s="83">
        <v>0</v>
      </c>
      <c r="BO176" s="82" t="s">
        <v>333</v>
      </c>
      <c r="BP176" s="83">
        <v>0</v>
      </c>
      <c r="BQ176" s="82" t="s">
        <v>333</v>
      </c>
      <c r="BR176" s="83">
        <v>0</v>
      </c>
      <c r="BS176" s="82" t="s">
        <v>333</v>
      </c>
      <c r="BT176" s="83">
        <v>0</v>
      </c>
      <c r="BU176" s="82" t="s">
        <v>333</v>
      </c>
      <c r="BV176" s="83">
        <v>0</v>
      </c>
      <c r="BW176" s="82" t="s">
        <v>333</v>
      </c>
      <c r="BX176" s="83">
        <v>0</v>
      </c>
      <c r="BY176" s="82" t="s">
        <v>333</v>
      </c>
      <c r="BZ176" s="83">
        <v>0</v>
      </c>
      <c r="CA176" s="82" t="s">
        <v>333</v>
      </c>
      <c r="CB176" s="83">
        <v>0</v>
      </c>
      <c r="CC176" s="82" t="s">
        <v>333</v>
      </c>
    </row>
    <row r="177" spans="1:81" x14ac:dyDescent="0.2">
      <c r="A177" s="10" t="s">
        <v>469</v>
      </c>
      <c r="B177" s="11">
        <v>36.420999999999999</v>
      </c>
      <c r="C177" s="12" t="s">
        <v>333</v>
      </c>
      <c r="D177" s="11">
        <v>36.420999999999999</v>
      </c>
      <c r="E177" s="12" t="s">
        <v>333</v>
      </c>
      <c r="F177" s="20">
        <v>0</v>
      </c>
      <c r="G177" s="12" t="s">
        <v>333</v>
      </c>
      <c r="H177" s="20">
        <v>0</v>
      </c>
      <c r="I177" s="12" t="s">
        <v>333</v>
      </c>
      <c r="J177" s="20">
        <v>0</v>
      </c>
      <c r="K177" s="12" t="s">
        <v>333</v>
      </c>
      <c r="L177" s="20">
        <v>0</v>
      </c>
      <c r="M177" s="12" t="s">
        <v>333</v>
      </c>
      <c r="N177" s="12" t="s">
        <v>202</v>
      </c>
      <c r="O177" s="12" t="s">
        <v>333</v>
      </c>
      <c r="P177" s="12" t="s">
        <v>202</v>
      </c>
      <c r="Q177" s="12" t="s">
        <v>333</v>
      </c>
      <c r="R177" s="12" t="s">
        <v>202</v>
      </c>
      <c r="S177" s="12" t="s">
        <v>333</v>
      </c>
      <c r="T177" s="12" t="s">
        <v>202</v>
      </c>
      <c r="U177" s="12" t="s">
        <v>333</v>
      </c>
      <c r="V177" s="12" t="s">
        <v>202</v>
      </c>
      <c r="W177" s="12" t="s">
        <v>333</v>
      </c>
      <c r="X177" s="11">
        <v>36.420999999999999</v>
      </c>
      <c r="Y177" s="12" t="s">
        <v>333</v>
      </c>
      <c r="Z177" s="11">
        <v>36.420999999999999</v>
      </c>
      <c r="AA177" s="12" t="s">
        <v>333</v>
      </c>
      <c r="AB177" s="20">
        <v>0</v>
      </c>
      <c r="AC177" s="12" t="s">
        <v>333</v>
      </c>
      <c r="AD177" s="20">
        <v>0</v>
      </c>
      <c r="AE177" s="12" t="s">
        <v>333</v>
      </c>
      <c r="AF177" s="20">
        <v>0</v>
      </c>
      <c r="AG177" s="12" t="s">
        <v>333</v>
      </c>
      <c r="AH177" s="20">
        <v>0</v>
      </c>
      <c r="AI177" s="12" t="s">
        <v>333</v>
      </c>
      <c r="AJ177" s="20">
        <v>0</v>
      </c>
      <c r="AK177" s="12" t="s">
        <v>333</v>
      </c>
      <c r="AL177" s="20">
        <v>0</v>
      </c>
      <c r="AM177" s="12" t="s">
        <v>333</v>
      </c>
      <c r="AN177" s="20">
        <v>0</v>
      </c>
      <c r="AO177" s="12" t="s">
        <v>333</v>
      </c>
      <c r="AP177" s="20">
        <v>0</v>
      </c>
      <c r="AQ177" s="12" t="s">
        <v>333</v>
      </c>
      <c r="AR177" s="20">
        <v>0</v>
      </c>
      <c r="AS177" s="12" t="s">
        <v>333</v>
      </c>
      <c r="AT177" s="20">
        <v>0</v>
      </c>
      <c r="AU177" s="12" t="s">
        <v>333</v>
      </c>
      <c r="AV177" s="11">
        <v>0.56100000000000005</v>
      </c>
      <c r="AW177" s="12" t="s">
        <v>333</v>
      </c>
      <c r="AX177" s="20">
        <v>0</v>
      </c>
      <c r="AY177" s="12" t="s">
        <v>333</v>
      </c>
      <c r="AZ177" s="20">
        <v>0</v>
      </c>
      <c r="BA177" s="12" t="s">
        <v>333</v>
      </c>
      <c r="BB177" s="20">
        <v>0</v>
      </c>
      <c r="BC177" s="12" t="s">
        <v>333</v>
      </c>
      <c r="BD177" s="20">
        <v>0</v>
      </c>
      <c r="BE177" s="12" t="s">
        <v>333</v>
      </c>
      <c r="BF177" s="20">
        <v>0</v>
      </c>
      <c r="BG177" s="12" t="s">
        <v>333</v>
      </c>
      <c r="BH177" s="20">
        <v>0</v>
      </c>
      <c r="BI177" s="12" t="s">
        <v>333</v>
      </c>
      <c r="BJ177" s="20">
        <v>0</v>
      </c>
      <c r="BK177" s="12" t="s">
        <v>333</v>
      </c>
      <c r="BL177" s="20">
        <v>0</v>
      </c>
      <c r="BM177" s="12" t="s">
        <v>333</v>
      </c>
      <c r="BN177" s="20">
        <v>35.86</v>
      </c>
      <c r="BO177" s="12" t="s">
        <v>333</v>
      </c>
      <c r="BP177" s="20">
        <v>0</v>
      </c>
      <c r="BQ177" s="12" t="s">
        <v>333</v>
      </c>
      <c r="BR177" s="20">
        <v>0</v>
      </c>
      <c r="BS177" s="12" t="s">
        <v>333</v>
      </c>
      <c r="BT177" s="20">
        <v>0</v>
      </c>
      <c r="BU177" s="12" t="s">
        <v>333</v>
      </c>
      <c r="BV177" s="20">
        <v>0</v>
      </c>
      <c r="BW177" s="12" t="s">
        <v>333</v>
      </c>
      <c r="BX177" s="20">
        <v>0</v>
      </c>
      <c r="BY177" s="12" t="s">
        <v>333</v>
      </c>
      <c r="BZ177" s="20">
        <v>0</v>
      </c>
      <c r="CA177" s="12" t="s">
        <v>333</v>
      </c>
      <c r="CB177" s="20">
        <v>0</v>
      </c>
      <c r="CC177" s="12" t="s">
        <v>333</v>
      </c>
    </row>
    <row r="178" spans="1:81" x14ac:dyDescent="0.2">
      <c r="A178" s="10" t="s">
        <v>565</v>
      </c>
      <c r="B178" s="81">
        <v>55.737000000000002</v>
      </c>
      <c r="C178" s="82" t="s">
        <v>333</v>
      </c>
      <c r="D178" s="81">
        <v>55.737000000000002</v>
      </c>
      <c r="E178" s="82" t="s">
        <v>333</v>
      </c>
      <c r="F178" s="83">
        <v>0</v>
      </c>
      <c r="G178" s="82" t="s">
        <v>333</v>
      </c>
      <c r="H178" s="83">
        <v>0</v>
      </c>
      <c r="I178" s="82" t="s">
        <v>333</v>
      </c>
      <c r="J178" s="83">
        <v>0</v>
      </c>
      <c r="K178" s="82" t="s">
        <v>333</v>
      </c>
      <c r="L178" s="83">
        <v>0</v>
      </c>
      <c r="M178" s="82" t="s">
        <v>333</v>
      </c>
      <c r="N178" s="82" t="s">
        <v>202</v>
      </c>
      <c r="O178" s="82" t="s">
        <v>333</v>
      </c>
      <c r="P178" s="82" t="s">
        <v>202</v>
      </c>
      <c r="Q178" s="82" t="s">
        <v>333</v>
      </c>
      <c r="R178" s="82" t="s">
        <v>202</v>
      </c>
      <c r="S178" s="82" t="s">
        <v>333</v>
      </c>
      <c r="T178" s="82" t="s">
        <v>202</v>
      </c>
      <c r="U178" s="82" t="s">
        <v>333</v>
      </c>
      <c r="V178" s="82" t="s">
        <v>202</v>
      </c>
      <c r="W178" s="82" t="s">
        <v>333</v>
      </c>
      <c r="X178" s="81">
        <v>55.737000000000002</v>
      </c>
      <c r="Y178" s="82" t="s">
        <v>333</v>
      </c>
      <c r="Z178" s="81">
        <v>55.737000000000002</v>
      </c>
      <c r="AA178" s="82" t="s">
        <v>333</v>
      </c>
      <c r="AB178" s="83">
        <v>0</v>
      </c>
      <c r="AC178" s="82" t="s">
        <v>333</v>
      </c>
      <c r="AD178" s="83">
        <v>0</v>
      </c>
      <c r="AE178" s="82" t="s">
        <v>333</v>
      </c>
      <c r="AF178" s="81">
        <v>21.504000000000001</v>
      </c>
      <c r="AG178" s="82" t="s">
        <v>333</v>
      </c>
      <c r="AH178" s="83">
        <v>0</v>
      </c>
      <c r="AI178" s="82" t="s">
        <v>333</v>
      </c>
      <c r="AJ178" s="83">
        <v>0</v>
      </c>
      <c r="AK178" s="82" t="s">
        <v>333</v>
      </c>
      <c r="AL178" s="83">
        <v>22.17</v>
      </c>
      <c r="AM178" s="82" t="s">
        <v>333</v>
      </c>
      <c r="AN178" s="83">
        <v>22.17</v>
      </c>
      <c r="AO178" s="82" t="s">
        <v>333</v>
      </c>
      <c r="AP178" s="83">
        <v>0</v>
      </c>
      <c r="AQ178" s="82" t="s">
        <v>333</v>
      </c>
      <c r="AR178" s="83">
        <v>0</v>
      </c>
      <c r="AS178" s="82" t="s">
        <v>333</v>
      </c>
      <c r="AT178" s="83">
        <v>0</v>
      </c>
      <c r="AU178" s="82" t="s">
        <v>333</v>
      </c>
      <c r="AV178" s="81">
        <v>5.0110000000000001</v>
      </c>
      <c r="AW178" s="82" t="s">
        <v>333</v>
      </c>
      <c r="AX178" s="81">
        <v>7.0519999999999996</v>
      </c>
      <c r="AY178" s="82" t="s">
        <v>333</v>
      </c>
      <c r="AZ178" s="81">
        <v>7.0519999999999996</v>
      </c>
      <c r="BA178" s="82" t="s">
        <v>333</v>
      </c>
      <c r="BB178" s="81">
        <v>7.0519999999999996</v>
      </c>
      <c r="BC178" s="82" t="s">
        <v>333</v>
      </c>
      <c r="BD178" s="83">
        <v>0</v>
      </c>
      <c r="BE178" s="82" t="s">
        <v>333</v>
      </c>
      <c r="BF178" s="83">
        <v>0</v>
      </c>
      <c r="BG178" s="82" t="s">
        <v>333</v>
      </c>
      <c r="BH178" s="83">
        <v>0</v>
      </c>
      <c r="BI178" s="82" t="s">
        <v>333</v>
      </c>
      <c r="BJ178" s="83">
        <v>0</v>
      </c>
      <c r="BK178" s="82" t="s">
        <v>333</v>
      </c>
      <c r="BL178" s="83">
        <v>0</v>
      </c>
      <c r="BM178" s="82" t="s">
        <v>333</v>
      </c>
      <c r="BN178" s="83">
        <v>0</v>
      </c>
      <c r="BO178" s="82" t="s">
        <v>333</v>
      </c>
      <c r="BP178" s="83">
        <v>0</v>
      </c>
      <c r="BQ178" s="82" t="s">
        <v>333</v>
      </c>
      <c r="BR178" s="83">
        <v>0</v>
      </c>
      <c r="BS178" s="82" t="s">
        <v>333</v>
      </c>
      <c r="BT178" s="83">
        <v>0</v>
      </c>
      <c r="BU178" s="82" t="s">
        <v>333</v>
      </c>
      <c r="BV178" s="83">
        <v>0</v>
      </c>
      <c r="BW178" s="82" t="s">
        <v>333</v>
      </c>
      <c r="BX178" s="83">
        <v>0</v>
      </c>
      <c r="BY178" s="82" t="s">
        <v>333</v>
      </c>
      <c r="BZ178" s="83">
        <v>0</v>
      </c>
      <c r="CA178" s="82" t="s">
        <v>333</v>
      </c>
      <c r="CB178" s="83">
        <v>0</v>
      </c>
      <c r="CC178" s="82" t="s">
        <v>333</v>
      </c>
    </row>
    <row r="179" spans="1:81" x14ac:dyDescent="0.2">
      <c r="A179" s="10" t="s">
        <v>310</v>
      </c>
      <c r="B179" s="11">
        <v>55.737000000000002</v>
      </c>
      <c r="C179" s="12" t="s">
        <v>333</v>
      </c>
      <c r="D179" s="11">
        <v>55.737000000000002</v>
      </c>
      <c r="E179" s="12" t="s">
        <v>333</v>
      </c>
      <c r="F179" s="20">
        <v>0</v>
      </c>
      <c r="G179" s="12" t="s">
        <v>333</v>
      </c>
      <c r="H179" s="20">
        <v>0</v>
      </c>
      <c r="I179" s="12" t="s">
        <v>333</v>
      </c>
      <c r="J179" s="20">
        <v>0</v>
      </c>
      <c r="K179" s="12" t="s">
        <v>333</v>
      </c>
      <c r="L179" s="20">
        <v>0</v>
      </c>
      <c r="M179" s="12" t="s">
        <v>333</v>
      </c>
      <c r="N179" s="12" t="s">
        <v>202</v>
      </c>
      <c r="O179" s="12" t="s">
        <v>333</v>
      </c>
      <c r="P179" s="12" t="s">
        <v>202</v>
      </c>
      <c r="Q179" s="12" t="s">
        <v>333</v>
      </c>
      <c r="R179" s="12" t="s">
        <v>202</v>
      </c>
      <c r="S179" s="12" t="s">
        <v>333</v>
      </c>
      <c r="T179" s="12" t="s">
        <v>202</v>
      </c>
      <c r="U179" s="12" t="s">
        <v>333</v>
      </c>
      <c r="V179" s="12" t="s">
        <v>202</v>
      </c>
      <c r="W179" s="12" t="s">
        <v>333</v>
      </c>
      <c r="X179" s="11">
        <v>55.737000000000002</v>
      </c>
      <c r="Y179" s="12" t="s">
        <v>333</v>
      </c>
      <c r="Z179" s="11">
        <v>55.737000000000002</v>
      </c>
      <c r="AA179" s="12" t="s">
        <v>333</v>
      </c>
      <c r="AB179" s="20">
        <v>0</v>
      </c>
      <c r="AC179" s="12" t="s">
        <v>333</v>
      </c>
      <c r="AD179" s="20">
        <v>0</v>
      </c>
      <c r="AE179" s="12" t="s">
        <v>333</v>
      </c>
      <c r="AF179" s="11">
        <v>21.504000000000001</v>
      </c>
      <c r="AG179" s="12" t="s">
        <v>333</v>
      </c>
      <c r="AH179" s="20">
        <v>0</v>
      </c>
      <c r="AI179" s="12" t="s">
        <v>333</v>
      </c>
      <c r="AJ179" s="20">
        <v>0</v>
      </c>
      <c r="AK179" s="12" t="s">
        <v>333</v>
      </c>
      <c r="AL179" s="20">
        <v>22.17</v>
      </c>
      <c r="AM179" s="12" t="s">
        <v>333</v>
      </c>
      <c r="AN179" s="20">
        <v>22.17</v>
      </c>
      <c r="AO179" s="12" t="s">
        <v>333</v>
      </c>
      <c r="AP179" s="20">
        <v>0</v>
      </c>
      <c r="AQ179" s="12" t="s">
        <v>333</v>
      </c>
      <c r="AR179" s="20">
        <v>0</v>
      </c>
      <c r="AS179" s="12" t="s">
        <v>333</v>
      </c>
      <c r="AT179" s="20">
        <v>0</v>
      </c>
      <c r="AU179" s="12" t="s">
        <v>333</v>
      </c>
      <c r="AV179" s="11">
        <v>5.0110000000000001</v>
      </c>
      <c r="AW179" s="12" t="s">
        <v>333</v>
      </c>
      <c r="AX179" s="11">
        <v>7.0519999999999996</v>
      </c>
      <c r="AY179" s="12" t="s">
        <v>333</v>
      </c>
      <c r="AZ179" s="11">
        <v>7.0519999999999996</v>
      </c>
      <c r="BA179" s="12" t="s">
        <v>333</v>
      </c>
      <c r="BB179" s="11">
        <v>7.0519999999999996</v>
      </c>
      <c r="BC179" s="12" t="s">
        <v>333</v>
      </c>
      <c r="BD179" s="20">
        <v>0</v>
      </c>
      <c r="BE179" s="12" t="s">
        <v>333</v>
      </c>
      <c r="BF179" s="20">
        <v>0</v>
      </c>
      <c r="BG179" s="12" t="s">
        <v>333</v>
      </c>
      <c r="BH179" s="20">
        <v>0</v>
      </c>
      <c r="BI179" s="12" t="s">
        <v>333</v>
      </c>
      <c r="BJ179" s="20">
        <v>0</v>
      </c>
      <c r="BK179" s="12" t="s">
        <v>333</v>
      </c>
      <c r="BL179" s="20">
        <v>0</v>
      </c>
      <c r="BM179" s="12" t="s">
        <v>333</v>
      </c>
      <c r="BN179" s="20">
        <v>0</v>
      </c>
      <c r="BO179" s="12" t="s">
        <v>333</v>
      </c>
      <c r="BP179" s="20">
        <v>0</v>
      </c>
      <c r="BQ179" s="12" t="s">
        <v>333</v>
      </c>
      <c r="BR179" s="20">
        <v>0</v>
      </c>
      <c r="BS179" s="12" t="s">
        <v>333</v>
      </c>
      <c r="BT179" s="20">
        <v>0</v>
      </c>
      <c r="BU179" s="12" t="s">
        <v>333</v>
      </c>
      <c r="BV179" s="20">
        <v>0</v>
      </c>
      <c r="BW179" s="12" t="s">
        <v>333</v>
      </c>
      <c r="BX179" s="20">
        <v>0</v>
      </c>
      <c r="BY179" s="12" t="s">
        <v>333</v>
      </c>
      <c r="BZ179" s="20">
        <v>0</v>
      </c>
      <c r="CA179" s="12" t="s">
        <v>333</v>
      </c>
      <c r="CB179" s="20">
        <v>0</v>
      </c>
      <c r="CC179" s="12" t="s">
        <v>333</v>
      </c>
    </row>
    <row r="180" spans="1:81" x14ac:dyDescent="0.2">
      <c r="A180" s="10" t="s">
        <v>470</v>
      </c>
      <c r="B180" s="83">
        <v>0</v>
      </c>
      <c r="C180" s="82" t="s">
        <v>333</v>
      </c>
      <c r="D180" s="83">
        <v>0</v>
      </c>
      <c r="E180" s="82" t="s">
        <v>333</v>
      </c>
      <c r="F180" s="83">
        <v>0</v>
      </c>
      <c r="G180" s="82" t="s">
        <v>333</v>
      </c>
      <c r="H180" s="83">
        <v>0</v>
      </c>
      <c r="I180" s="82" t="s">
        <v>333</v>
      </c>
      <c r="J180" s="83">
        <v>0</v>
      </c>
      <c r="K180" s="82" t="s">
        <v>333</v>
      </c>
      <c r="L180" s="83">
        <v>0</v>
      </c>
      <c r="M180" s="82" t="s">
        <v>333</v>
      </c>
      <c r="N180" s="82" t="s">
        <v>202</v>
      </c>
      <c r="O180" s="82" t="s">
        <v>333</v>
      </c>
      <c r="P180" s="82" t="s">
        <v>202</v>
      </c>
      <c r="Q180" s="82" t="s">
        <v>333</v>
      </c>
      <c r="R180" s="82" t="s">
        <v>202</v>
      </c>
      <c r="S180" s="82" t="s">
        <v>333</v>
      </c>
      <c r="T180" s="82" t="s">
        <v>202</v>
      </c>
      <c r="U180" s="82" t="s">
        <v>333</v>
      </c>
      <c r="V180" s="82" t="s">
        <v>202</v>
      </c>
      <c r="W180" s="82" t="s">
        <v>333</v>
      </c>
      <c r="X180" s="83">
        <v>0</v>
      </c>
      <c r="Y180" s="82" t="s">
        <v>333</v>
      </c>
      <c r="Z180" s="83">
        <v>0</v>
      </c>
      <c r="AA180" s="82" t="s">
        <v>333</v>
      </c>
      <c r="AB180" s="83">
        <v>0</v>
      </c>
      <c r="AC180" s="82" t="s">
        <v>333</v>
      </c>
      <c r="AD180" s="83">
        <v>0</v>
      </c>
      <c r="AE180" s="82" t="s">
        <v>333</v>
      </c>
      <c r="AF180" s="83">
        <v>0</v>
      </c>
      <c r="AG180" s="82" t="s">
        <v>333</v>
      </c>
      <c r="AH180" s="83">
        <v>0</v>
      </c>
      <c r="AI180" s="82" t="s">
        <v>333</v>
      </c>
      <c r="AJ180" s="83">
        <v>0</v>
      </c>
      <c r="AK180" s="82" t="s">
        <v>333</v>
      </c>
      <c r="AL180" s="83">
        <v>0</v>
      </c>
      <c r="AM180" s="82" t="s">
        <v>333</v>
      </c>
      <c r="AN180" s="83">
        <v>0</v>
      </c>
      <c r="AO180" s="82" t="s">
        <v>333</v>
      </c>
      <c r="AP180" s="83">
        <v>0</v>
      </c>
      <c r="AQ180" s="82" t="s">
        <v>333</v>
      </c>
      <c r="AR180" s="83">
        <v>0</v>
      </c>
      <c r="AS180" s="82" t="s">
        <v>333</v>
      </c>
      <c r="AT180" s="83">
        <v>0</v>
      </c>
      <c r="AU180" s="82" t="s">
        <v>333</v>
      </c>
      <c r="AV180" s="83">
        <v>0</v>
      </c>
      <c r="AW180" s="82" t="s">
        <v>333</v>
      </c>
      <c r="AX180" s="83">
        <v>0</v>
      </c>
      <c r="AY180" s="82" t="s">
        <v>333</v>
      </c>
      <c r="AZ180" s="83">
        <v>0</v>
      </c>
      <c r="BA180" s="82" t="s">
        <v>333</v>
      </c>
      <c r="BB180" s="83">
        <v>0</v>
      </c>
      <c r="BC180" s="82" t="s">
        <v>333</v>
      </c>
      <c r="BD180" s="83">
        <v>0</v>
      </c>
      <c r="BE180" s="82" t="s">
        <v>333</v>
      </c>
      <c r="BF180" s="83">
        <v>0</v>
      </c>
      <c r="BG180" s="82" t="s">
        <v>333</v>
      </c>
      <c r="BH180" s="83">
        <v>0</v>
      </c>
      <c r="BI180" s="82" t="s">
        <v>333</v>
      </c>
      <c r="BJ180" s="83">
        <v>0</v>
      </c>
      <c r="BK180" s="82" t="s">
        <v>333</v>
      </c>
      <c r="BL180" s="83">
        <v>0</v>
      </c>
      <c r="BM180" s="82" t="s">
        <v>333</v>
      </c>
      <c r="BN180" s="83">
        <v>0</v>
      </c>
      <c r="BO180" s="82" t="s">
        <v>333</v>
      </c>
      <c r="BP180" s="83">
        <v>0</v>
      </c>
      <c r="BQ180" s="82" t="s">
        <v>333</v>
      </c>
      <c r="BR180" s="83">
        <v>0</v>
      </c>
      <c r="BS180" s="82" t="s">
        <v>333</v>
      </c>
      <c r="BT180" s="83">
        <v>0</v>
      </c>
      <c r="BU180" s="82" t="s">
        <v>333</v>
      </c>
      <c r="BV180" s="83">
        <v>0</v>
      </c>
      <c r="BW180" s="82" t="s">
        <v>333</v>
      </c>
      <c r="BX180" s="83">
        <v>0</v>
      </c>
      <c r="BY180" s="82" t="s">
        <v>333</v>
      </c>
      <c r="BZ180" s="83">
        <v>0</v>
      </c>
      <c r="CA180" s="82" t="s">
        <v>333</v>
      </c>
      <c r="CB180" s="83">
        <v>0</v>
      </c>
      <c r="CC180" s="82" t="s">
        <v>333</v>
      </c>
    </row>
    <row r="181" spans="1:81" x14ac:dyDescent="0.2">
      <c r="A181" s="10" t="s">
        <v>566</v>
      </c>
      <c r="B181" s="11">
        <v>466.34800000000001</v>
      </c>
      <c r="C181" s="12" t="s">
        <v>333</v>
      </c>
      <c r="D181" s="11">
        <v>435.27800000000002</v>
      </c>
      <c r="E181" s="12" t="s">
        <v>333</v>
      </c>
      <c r="F181" s="20">
        <v>0</v>
      </c>
      <c r="G181" s="12" t="s">
        <v>333</v>
      </c>
      <c r="H181" s="20">
        <v>0</v>
      </c>
      <c r="I181" s="12" t="s">
        <v>333</v>
      </c>
      <c r="J181" s="20">
        <v>0</v>
      </c>
      <c r="K181" s="12" t="s">
        <v>333</v>
      </c>
      <c r="L181" s="20">
        <v>0</v>
      </c>
      <c r="M181" s="12" t="s">
        <v>333</v>
      </c>
      <c r="N181" s="12" t="s">
        <v>202</v>
      </c>
      <c r="O181" s="12" t="s">
        <v>333</v>
      </c>
      <c r="P181" s="12" t="s">
        <v>202</v>
      </c>
      <c r="Q181" s="12" t="s">
        <v>333</v>
      </c>
      <c r="R181" s="12" t="s">
        <v>202</v>
      </c>
      <c r="S181" s="12" t="s">
        <v>333</v>
      </c>
      <c r="T181" s="12" t="s">
        <v>202</v>
      </c>
      <c r="U181" s="12" t="s">
        <v>333</v>
      </c>
      <c r="V181" s="12" t="s">
        <v>202</v>
      </c>
      <c r="W181" s="12" t="s">
        <v>333</v>
      </c>
      <c r="X181" s="11">
        <v>466.34800000000001</v>
      </c>
      <c r="Y181" s="12" t="s">
        <v>333</v>
      </c>
      <c r="Z181" s="11">
        <v>435.27800000000002</v>
      </c>
      <c r="AA181" s="12" t="s">
        <v>333</v>
      </c>
      <c r="AB181" s="20">
        <v>0</v>
      </c>
      <c r="AC181" s="12" t="s">
        <v>333</v>
      </c>
      <c r="AD181" s="20">
        <v>0</v>
      </c>
      <c r="AE181" s="12" t="s">
        <v>333</v>
      </c>
      <c r="AF181" s="11">
        <v>26.550999999999998</v>
      </c>
      <c r="AG181" s="12" t="s">
        <v>333</v>
      </c>
      <c r="AH181" s="20">
        <v>0</v>
      </c>
      <c r="AI181" s="12" t="s">
        <v>333</v>
      </c>
      <c r="AJ181" s="20">
        <v>0</v>
      </c>
      <c r="AK181" s="12" t="s">
        <v>333</v>
      </c>
      <c r="AL181" s="20">
        <v>8.11</v>
      </c>
      <c r="AM181" s="12" t="s">
        <v>333</v>
      </c>
      <c r="AN181" s="20">
        <v>8.11</v>
      </c>
      <c r="AO181" s="12" t="s">
        <v>333</v>
      </c>
      <c r="AP181" s="20">
        <v>0</v>
      </c>
      <c r="AQ181" s="12" t="s">
        <v>333</v>
      </c>
      <c r="AR181" s="20">
        <v>0</v>
      </c>
      <c r="AS181" s="12" t="s">
        <v>333</v>
      </c>
      <c r="AT181" s="20">
        <v>0</v>
      </c>
      <c r="AU181" s="12" t="s">
        <v>333</v>
      </c>
      <c r="AV181" s="20">
        <v>0</v>
      </c>
      <c r="AW181" s="12" t="s">
        <v>333</v>
      </c>
      <c r="AX181" s="11">
        <v>431.68700000000001</v>
      </c>
      <c r="AY181" s="12" t="s">
        <v>333</v>
      </c>
      <c r="AZ181" s="11">
        <v>400.61700000000002</v>
      </c>
      <c r="BA181" s="12" t="s">
        <v>333</v>
      </c>
      <c r="BB181" s="11">
        <v>431.68700000000001</v>
      </c>
      <c r="BC181" s="12" t="s">
        <v>333</v>
      </c>
      <c r="BD181" s="20">
        <v>0</v>
      </c>
      <c r="BE181" s="12" t="s">
        <v>333</v>
      </c>
      <c r="BF181" s="20">
        <v>0</v>
      </c>
      <c r="BG181" s="12" t="s">
        <v>333</v>
      </c>
      <c r="BH181" s="20">
        <v>0</v>
      </c>
      <c r="BI181" s="12" t="s">
        <v>333</v>
      </c>
      <c r="BJ181" s="20">
        <v>0</v>
      </c>
      <c r="BK181" s="12" t="s">
        <v>333</v>
      </c>
      <c r="BL181" s="20">
        <v>0</v>
      </c>
      <c r="BM181" s="12" t="s">
        <v>333</v>
      </c>
      <c r="BN181" s="20">
        <v>0</v>
      </c>
      <c r="BO181" s="12" t="s">
        <v>333</v>
      </c>
      <c r="BP181" s="20">
        <v>0</v>
      </c>
      <c r="BQ181" s="12" t="s">
        <v>333</v>
      </c>
      <c r="BR181" s="20">
        <v>0</v>
      </c>
      <c r="BS181" s="12" t="s">
        <v>333</v>
      </c>
      <c r="BT181" s="20">
        <v>0</v>
      </c>
      <c r="BU181" s="12" t="s">
        <v>333</v>
      </c>
      <c r="BV181" s="20">
        <v>0</v>
      </c>
      <c r="BW181" s="12" t="s">
        <v>333</v>
      </c>
      <c r="BX181" s="20">
        <v>0</v>
      </c>
      <c r="BY181" s="12" t="s">
        <v>333</v>
      </c>
      <c r="BZ181" s="20">
        <v>31.07</v>
      </c>
      <c r="CA181" s="12" t="s">
        <v>333</v>
      </c>
      <c r="CB181" s="20">
        <v>0</v>
      </c>
      <c r="CC181" s="12" t="s">
        <v>333</v>
      </c>
    </row>
    <row r="182" spans="1:81" x14ac:dyDescent="0.2">
      <c r="A182" s="10" t="s">
        <v>311</v>
      </c>
      <c r="B182" s="81">
        <v>466.34800000000001</v>
      </c>
      <c r="C182" s="82" t="s">
        <v>333</v>
      </c>
      <c r="D182" s="81">
        <v>435.27800000000002</v>
      </c>
      <c r="E182" s="82" t="s">
        <v>333</v>
      </c>
      <c r="F182" s="83">
        <v>0</v>
      </c>
      <c r="G182" s="82" t="s">
        <v>333</v>
      </c>
      <c r="H182" s="83">
        <v>0</v>
      </c>
      <c r="I182" s="82" t="s">
        <v>333</v>
      </c>
      <c r="J182" s="83">
        <v>0</v>
      </c>
      <c r="K182" s="82" t="s">
        <v>333</v>
      </c>
      <c r="L182" s="83">
        <v>0</v>
      </c>
      <c r="M182" s="82" t="s">
        <v>333</v>
      </c>
      <c r="N182" s="82" t="s">
        <v>202</v>
      </c>
      <c r="O182" s="82" t="s">
        <v>333</v>
      </c>
      <c r="P182" s="82" t="s">
        <v>202</v>
      </c>
      <c r="Q182" s="82" t="s">
        <v>333</v>
      </c>
      <c r="R182" s="82" t="s">
        <v>202</v>
      </c>
      <c r="S182" s="82" t="s">
        <v>333</v>
      </c>
      <c r="T182" s="82" t="s">
        <v>202</v>
      </c>
      <c r="U182" s="82" t="s">
        <v>333</v>
      </c>
      <c r="V182" s="82" t="s">
        <v>202</v>
      </c>
      <c r="W182" s="82" t="s">
        <v>333</v>
      </c>
      <c r="X182" s="81">
        <v>466.34800000000001</v>
      </c>
      <c r="Y182" s="82" t="s">
        <v>333</v>
      </c>
      <c r="Z182" s="81">
        <v>435.27800000000002</v>
      </c>
      <c r="AA182" s="82" t="s">
        <v>333</v>
      </c>
      <c r="AB182" s="83">
        <v>0</v>
      </c>
      <c r="AC182" s="82" t="s">
        <v>333</v>
      </c>
      <c r="AD182" s="83">
        <v>0</v>
      </c>
      <c r="AE182" s="82" t="s">
        <v>333</v>
      </c>
      <c r="AF182" s="81">
        <v>26.550999999999998</v>
      </c>
      <c r="AG182" s="82" t="s">
        <v>333</v>
      </c>
      <c r="AH182" s="83">
        <v>0</v>
      </c>
      <c r="AI182" s="82" t="s">
        <v>333</v>
      </c>
      <c r="AJ182" s="83">
        <v>0</v>
      </c>
      <c r="AK182" s="82" t="s">
        <v>333</v>
      </c>
      <c r="AL182" s="83">
        <v>8.11</v>
      </c>
      <c r="AM182" s="82" t="s">
        <v>333</v>
      </c>
      <c r="AN182" s="83">
        <v>8.11</v>
      </c>
      <c r="AO182" s="82" t="s">
        <v>333</v>
      </c>
      <c r="AP182" s="83">
        <v>0</v>
      </c>
      <c r="AQ182" s="82" t="s">
        <v>333</v>
      </c>
      <c r="AR182" s="83">
        <v>0</v>
      </c>
      <c r="AS182" s="82" t="s">
        <v>333</v>
      </c>
      <c r="AT182" s="83">
        <v>0</v>
      </c>
      <c r="AU182" s="82" t="s">
        <v>333</v>
      </c>
      <c r="AV182" s="83">
        <v>0</v>
      </c>
      <c r="AW182" s="82" t="s">
        <v>333</v>
      </c>
      <c r="AX182" s="81">
        <v>431.68700000000001</v>
      </c>
      <c r="AY182" s="82" t="s">
        <v>333</v>
      </c>
      <c r="AZ182" s="81">
        <v>400.61700000000002</v>
      </c>
      <c r="BA182" s="82" t="s">
        <v>333</v>
      </c>
      <c r="BB182" s="81">
        <v>431.68700000000001</v>
      </c>
      <c r="BC182" s="82" t="s">
        <v>333</v>
      </c>
      <c r="BD182" s="83">
        <v>0</v>
      </c>
      <c r="BE182" s="82" t="s">
        <v>333</v>
      </c>
      <c r="BF182" s="83">
        <v>0</v>
      </c>
      <c r="BG182" s="82" t="s">
        <v>333</v>
      </c>
      <c r="BH182" s="83">
        <v>0</v>
      </c>
      <c r="BI182" s="82" t="s">
        <v>333</v>
      </c>
      <c r="BJ182" s="83">
        <v>0</v>
      </c>
      <c r="BK182" s="82" t="s">
        <v>333</v>
      </c>
      <c r="BL182" s="83">
        <v>0</v>
      </c>
      <c r="BM182" s="82" t="s">
        <v>333</v>
      </c>
      <c r="BN182" s="83">
        <v>0</v>
      </c>
      <c r="BO182" s="82" t="s">
        <v>333</v>
      </c>
      <c r="BP182" s="83">
        <v>0</v>
      </c>
      <c r="BQ182" s="82" t="s">
        <v>333</v>
      </c>
      <c r="BR182" s="83">
        <v>0</v>
      </c>
      <c r="BS182" s="82" t="s">
        <v>333</v>
      </c>
      <c r="BT182" s="83">
        <v>0</v>
      </c>
      <c r="BU182" s="82" t="s">
        <v>333</v>
      </c>
      <c r="BV182" s="83">
        <v>0</v>
      </c>
      <c r="BW182" s="82" t="s">
        <v>333</v>
      </c>
      <c r="BX182" s="83">
        <v>0</v>
      </c>
      <c r="BY182" s="82" t="s">
        <v>333</v>
      </c>
      <c r="BZ182" s="83">
        <v>31.07</v>
      </c>
      <c r="CA182" s="82" t="s">
        <v>333</v>
      </c>
      <c r="CB182" s="83">
        <v>0</v>
      </c>
      <c r="CC182" s="82" t="s">
        <v>333</v>
      </c>
    </row>
    <row r="183" spans="1:81" x14ac:dyDescent="0.2">
      <c r="A183" s="10" t="s">
        <v>471</v>
      </c>
      <c r="B183" s="20">
        <v>0</v>
      </c>
      <c r="C183" s="12" t="s">
        <v>333</v>
      </c>
      <c r="D183" s="20">
        <v>0</v>
      </c>
      <c r="E183" s="12" t="s">
        <v>333</v>
      </c>
      <c r="F183" s="20">
        <v>0</v>
      </c>
      <c r="G183" s="12" t="s">
        <v>333</v>
      </c>
      <c r="H183" s="20">
        <v>0</v>
      </c>
      <c r="I183" s="12" t="s">
        <v>333</v>
      </c>
      <c r="J183" s="20">
        <v>0</v>
      </c>
      <c r="K183" s="12" t="s">
        <v>333</v>
      </c>
      <c r="L183" s="20">
        <v>0</v>
      </c>
      <c r="M183" s="12" t="s">
        <v>333</v>
      </c>
      <c r="N183" s="12" t="s">
        <v>202</v>
      </c>
      <c r="O183" s="12" t="s">
        <v>333</v>
      </c>
      <c r="P183" s="12" t="s">
        <v>202</v>
      </c>
      <c r="Q183" s="12" t="s">
        <v>333</v>
      </c>
      <c r="R183" s="12" t="s">
        <v>202</v>
      </c>
      <c r="S183" s="12" t="s">
        <v>333</v>
      </c>
      <c r="T183" s="12" t="s">
        <v>202</v>
      </c>
      <c r="U183" s="12" t="s">
        <v>333</v>
      </c>
      <c r="V183" s="12" t="s">
        <v>202</v>
      </c>
      <c r="W183" s="12" t="s">
        <v>333</v>
      </c>
      <c r="X183" s="20">
        <v>0</v>
      </c>
      <c r="Y183" s="12" t="s">
        <v>333</v>
      </c>
      <c r="Z183" s="20">
        <v>0</v>
      </c>
      <c r="AA183" s="12" t="s">
        <v>333</v>
      </c>
      <c r="AB183" s="20">
        <v>0</v>
      </c>
      <c r="AC183" s="12" t="s">
        <v>333</v>
      </c>
      <c r="AD183" s="20">
        <v>0</v>
      </c>
      <c r="AE183" s="12" t="s">
        <v>333</v>
      </c>
      <c r="AF183" s="20">
        <v>0</v>
      </c>
      <c r="AG183" s="12" t="s">
        <v>333</v>
      </c>
      <c r="AH183" s="20">
        <v>0</v>
      </c>
      <c r="AI183" s="12" t="s">
        <v>333</v>
      </c>
      <c r="AJ183" s="20">
        <v>0</v>
      </c>
      <c r="AK183" s="12" t="s">
        <v>333</v>
      </c>
      <c r="AL183" s="20">
        <v>0</v>
      </c>
      <c r="AM183" s="12" t="s">
        <v>333</v>
      </c>
      <c r="AN183" s="20">
        <v>0</v>
      </c>
      <c r="AO183" s="12" t="s">
        <v>333</v>
      </c>
      <c r="AP183" s="20">
        <v>0</v>
      </c>
      <c r="AQ183" s="12" t="s">
        <v>333</v>
      </c>
      <c r="AR183" s="20">
        <v>0</v>
      </c>
      <c r="AS183" s="12" t="s">
        <v>333</v>
      </c>
      <c r="AT183" s="20">
        <v>0</v>
      </c>
      <c r="AU183" s="12" t="s">
        <v>333</v>
      </c>
      <c r="AV183" s="20">
        <v>0</v>
      </c>
      <c r="AW183" s="12" t="s">
        <v>333</v>
      </c>
      <c r="AX183" s="20">
        <v>0</v>
      </c>
      <c r="AY183" s="12" t="s">
        <v>333</v>
      </c>
      <c r="AZ183" s="20">
        <v>0</v>
      </c>
      <c r="BA183" s="12" t="s">
        <v>333</v>
      </c>
      <c r="BB183" s="20">
        <v>0</v>
      </c>
      <c r="BC183" s="12" t="s">
        <v>333</v>
      </c>
      <c r="BD183" s="20">
        <v>0</v>
      </c>
      <c r="BE183" s="12" t="s">
        <v>333</v>
      </c>
      <c r="BF183" s="20">
        <v>0</v>
      </c>
      <c r="BG183" s="12" t="s">
        <v>333</v>
      </c>
      <c r="BH183" s="20">
        <v>0</v>
      </c>
      <c r="BI183" s="12" t="s">
        <v>333</v>
      </c>
      <c r="BJ183" s="20">
        <v>0</v>
      </c>
      <c r="BK183" s="12" t="s">
        <v>333</v>
      </c>
      <c r="BL183" s="20">
        <v>0</v>
      </c>
      <c r="BM183" s="12" t="s">
        <v>333</v>
      </c>
      <c r="BN183" s="20">
        <v>0</v>
      </c>
      <c r="BO183" s="12" t="s">
        <v>333</v>
      </c>
      <c r="BP183" s="20">
        <v>0</v>
      </c>
      <c r="BQ183" s="12" t="s">
        <v>333</v>
      </c>
      <c r="BR183" s="20">
        <v>0</v>
      </c>
      <c r="BS183" s="12" t="s">
        <v>333</v>
      </c>
      <c r="BT183" s="20">
        <v>0</v>
      </c>
      <c r="BU183" s="12" t="s">
        <v>333</v>
      </c>
      <c r="BV183" s="20">
        <v>0</v>
      </c>
      <c r="BW183" s="12" t="s">
        <v>333</v>
      </c>
      <c r="BX183" s="20">
        <v>0</v>
      </c>
      <c r="BY183" s="12" t="s">
        <v>333</v>
      </c>
      <c r="BZ183" s="20">
        <v>0</v>
      </c>
      <c r="CA183" s="12" t="s">
        <v>333</v>
      </c>
      <c r="CB183" s="20">
        <v>0</v>
      </c>
      <c r="CC183" s="12" t="s">
        <v>333</v>
      </c>
    </row>
    <row r="184" spans="1:81" x14ac:dyDescent="0.2">
      <c r="A184" s="10" t="s">
        <v>472</v>
      </c>
      <c r="B184" s="81">
        <v>466.34800000000001</v>
      </c>
      <c r="C184" s="82" t="s">
        <v>333</v>
      </c>
      <c r="D184" s="81">
        <v>435.27800000000002</v>
      </c>
      <c r="E184" s="82" t="s">
        <v>333</v>
      </c>
      <c r="F184" s="83">
        <v>0</v>
      </c>
      <c r="G184" s="82" t="s">
        <v>333</v>
      </c>
      <c r="H184" s="83">
        <v>0</v>
      </c>
      <c r="I184" s="82" t="s">
        <v>333</v>
      </c>
      <c r="J184" s="83">
        <v>0</v>
      </c>
      <c r="K184" s="82" t="s">
        <v>333</v>
      </c>
      <c r="L184" s="83">
        <v>0</v>
      </c>
      <c r="M184" s="82" t="s">
        <v>333</v>
      </c>
      <c r="N184" s="82" t="s">
        <v>202</v>
      </c>
      <c r="O184" s="82" t="s">
        <v>333</v>
      </c>
      <c r="P184" s="82" t="s">
        <v>202</v>
      </c>
      <c r="Q184" s="82" t="s">
        <v>333</v>
      </c>
      <c r="R184" s="82" t="s">
        <v>202</v>
      </c>
      <c r="S184" s="82" t="s">
        <v>333</v>
      </c>
      <c r="T184" s="82" t="s">
        <v>202</v>
      </c>
      <c r="U184" s="82" t="s">
        <v>333</v>
      </c>
      <c r="V184" s="82" t="s">
        <v>202</v>
      </c>
      <c r="W184" s="82" t="s">
        <v>333</v>
      </c>
      <c r="X184" s="81">
        <v>466.34800000000001</v>
      </c>
      <c r="Y184" s="82" t="s">
        <v>333</v>
      </c>
      <c r="Z184" s="81">
        <v>435.27800000000002</v>
      </c>
      <c r="AA184" s="82" t="s">
        <v>333</v>
      </c>
      <c r="AB184" s="83">
        <v>0</v>
      </c>
      <c r="AC184" s="82" t="s">
        <v>333</v>
      </c>
      <c r="AD184" s="83">
        <v>0</v>
      </c>
      <c r="AE184" s="82" t="s">
        <v>333</v>
      </c>
      <c r="AF184" s="81">
        <v>26.550999999999998</v>
      </c>
      <c r="AG184" s="82" t="s">
        <v>333</v>
      </c>
      <c r="AH184" s="83">
        <v>0</v>
      </c>
      <c r="AI184" s="82" t="s">
        <v>333</v>
      </c>
      <c r="AJ184" s="83">
        <v>0</v>
      </c>
      <c r="AK184" s="82" t="s">
        <v>333</v>
      </c>
      <c r="AL184" s="83">
        <v>8.11</v>
      </c>
      <c r="AM184" s="82" t="s">
        <v>333</v>
      </c>
      <c r="AN184" s="83">
        <v>8.11</v>
      </c>
      <c r="AO184" s="82" t="s">
        <v>333</v>
      </c>
      <c r="AP184" s="83">
        <v>0</v>
      </c>
      <c r="AQ184" s="82" t="s">
        <v>333</v>
      </c>
      <c r="AR184" s="83">
        <v>0</v>
      </c>
      <c r="AS184" s="82" t="s">
        <v>333</v>
      </c>
      <c r="AT184" s="83">
        <v>0</v>
      </c>
      <c r="AU184" s="82" t="s">
        <v>333</v>
      </c>
      <c r="AV184" s="83">
        <v>0</v>
      </c>
      <c r="AW184" s="82" t="s">
        <v>333</v>
      </c>
      <c r="AX184" s="81">
        <v>431.68700000000001</v>
      </c>
      <c r="AY184" s="82" t="s">
        <v>333</v>
      </c>
      <c r="AZ184" s="81">
        <v>400.61700000000002</v>
      </c>
      <c r="BA184" s="82" t="s">
        <v>333</v>
      </c>
      <c r="BB184" s="81">
        <v>431.68700000000001</v>
      </c>
      <c r="BC184" s="82" t="s">
        <v>333</v>
      </c>
      <c r="BD184" s="83">
        <v>0</v>
      </c>
      <c r="BE184" s="82" t="s">
        <v>333</v>
      </c>
      <c r="BF184" s="83">
        <v>0</v>
      </c>
      <c r="BG184" s="82" t="s">
        <v>333</v>
      </c>
      <c r="BH184" s="83">
        <v>0</v>
      </c>
      <c r="BI184" s="82" t="s">
        <v>333</v>
      </c>
      <c r="BJ184" s="83">
        <v>0</v>
      </c>
      <c r="BK184" s="82" t="s">
        <v>333</v>
      </c>
      <c r="BL184" s="83">
        <v>0</v>
      </c>
      <c r="BM184" s="82" t="s">
        <v>333</v>
      </c>
      <c r="BN184" s="83">
        <v>0</v>
      </c>
      <c r="BO184" s="82" t="s">
        <v>333</v>
      </c>
      <c r="BP184" s="83">
        <v>0</v>
      </c>
      <c r="BQ184" s="82" t="s">
        <v>333</v>
      </c>
      <c r="BR184" s="83">
        <v>0</v>
      </c>
      <c r="BS184" s="82" t="s">
        <v>333</v>
      </c>
      <c r="BT184" s="83">
        <v>0</v>
      </c>
      <c r="BU184" s="82" t="s">
        <v>333</v>
      </c>
      <c r="BV184" s="83">
        <v>0</v>
      </c>
      <c r="BW184" s="82" t="s">
        <v>333</v>
      </c>
      <c r="BX184" s="83">
        <v>0</v>
      </c>
      <c r="BY184" s="82" t="s">
        <v>333</v>
      </c>
      <c r="BZ184" s="83">
        <v>31.07</v>
      </c>
      <c r="CA184" s="82" t="s">
        <v>333</v>
      </c>
      <c r="CB184" s="83">
        <v>0</v>
      </c>
      <c r="CC184" s="82" t="s">
        <v>333</v>
      </c>
    </row>
    <row r="185" spans="1:81" x14ac:dyDescent="0.2">
      <c r="A185" s="10" t="s">
        <v>474</v>
      </c>
      <c r="B185" s="20">
        <v>0</v>
      </c>
      <c r="C185" s="12" t="s">
        <v>333</v>
      </c>
      <c r="D185" s="20">
        <v>0</v>
      </c>
      <c r="E185" s="12" t="s">
        <v>333</v>
      </c>
      <c r="F185" s="20">
        <v>0</v>
      </c>
      <c r="G185" s="12" t="s">
        <v>333</v>
      </c>
      <c r="H185" s="20">
        <v>0</v>
      </c>
      <c r="I185" s="12" t="s">
        <v>333</v>
      </c>
      <c r="J185" s="20">
        <v>0</v>
      </c>
      <c r="K185" s="12" t="s">
        <v>333</v>
      </c>
      <c r="L185" s="20">
        <v>0</v>
      </c>
      <c r="M185" s="12" t="s">
        <v>333</v>
      </c>
      <c r="N185" s="12" t="s">
        <v>202</v>
      </c>
      <c r="O185" s="12" t="s">
        <v>333</v>
      </c>
      <c r="P185" s="12" t="s">
        <v>202</v>
      </c>
      <c r="Q185" s="12" t="s">
        <v>333</v>
      </c>
      <c r="R185" s="12" t="s">
        <v>202</v>
      </c>
      <c r="S185" s="12" t="s">
        <v>333</v>
      </c>
      <c r="T185" s="12" t="s">
        <v>202</v>
      </c>
      <c r="U185" s="12" t="s">
        <v>333</v>
      </c>
      <c r="V185" s="12" t="s">
        <v>202</v>
      </c>
      <c r="W185" s="12" t="s">
        <v>333</v>
      </c>
      <c r="X185" s="20">
        <v>0</v>
      </c>
      <c r="Y185" s="12" t="s">
        <v>333</v>
      </c>
      <c r="Z185" s="20">
        <v>0</v>
      </c>
      <c r="AA185" s="12" t="s">
        <v>333</v>
      </c>
      <c r="AB185" s="20">
        <v>0</v>
      </c>
      <c r="AC185" s="12" t="s">
        <v>333</v>
      </c>
      <c r="AD185" s="20">
        <v>0</v>
      </c>
      <c r="AE185" s="12" t="s">
        <v>333</v>
      </c>
      <c r="AF185" s="20">
        <v>0</v>
      </c>
      <c r="AG185" s="12" t="s">
        <v>333</v>
      </c>
      <c r="AH185" s="20">
        <v>0</v>
      </c>
      <c r="AI185" s="12" t="s">
        <v>333</v>
      </c>
      <c r="AJ185" s="20">
        <v>0</v>
      </c>
      <c r="AK185" s="12" t="s">
        <v>333</v>
      </c>
      <c r="AL185" s="20">
        <v>0</v>
      </c>
      <c r="AM185" s="12" t="s">
        <v>333</v>
      </c>
      <c r="AN185" s="20">
        <v>0</v>
      </c>
      <c r="AO185" s="12" t="s">
        <v>333</v>
      </c>
      <c r="AP185" s="20">
        <v>0</v>
      </c>
      <c r="AQ185" s="12" t="s">
        <v>333</v>
      </c>
      <c r="AR185" s="20">
        <v>0</v>
      </c>
      <c r="AS185" s="12" t="s">
        <v>333</v>
      </c>
      <c r="AT185" s="20">
        <v>0</v>
      </c>
      <c r="AU185" s="12" t="s">
        <v>333</v>
      </c>
      <c r="AV185" s="20">
        <v>0</v>
      </c>
      <c r="AW185" s="12" t="s">
        <v>333</v>
      </c>
      <c r="AX185" s="20">
        <v>0</v>
      </c>
      <c r="AY185" s="12" t="s">
        <v>333</v>
      </c>
      <c r="AZ185" s="20">
        <v>0</v>
      </c>
      <c r="BA185" s="12" t="s">
        <v>333</v>
      </c>
      <c r="BB185" s="20">
        <v>0</v>
      </c>
      <c r="BC185" s="12" t="s">
        <v>333</v>
      </c>
      <c r="BD185" s="20">
        <v>0</v>
      </c>
      <c r="BE185" s="12" t="s">
        <v>333</v>
      </c>
      <c r="BF185" s="20">
        <v>0</v>
      </c>
      <c r="BG185" s="12" t="s">
        <v>333</v>
      </c>
      <c r="BH185" s="20">
        <v>0</v>
      </c>
      <c r="BI185" s="12" t="s">
        <v>333</v>
      </c>
      <c r="BJ185" s="20">
        <v>0</v>
      </c>
      <c r="BK185" s="12" t="s">
        <v>333</v>
      </c>
      <c r="BL185" s="20">
        <v>0</v>
      </c>
      <c r="BM185" s="12" t="s">
        <v>333</v>
      </c>
      <c r="BN185" s="20">
        <v>0</v>
      </c>
      <c r="BO185" s="12" t="s">
        <v>333</v>
      </c>
      <c r="BP185" s="20">
        <v>0</v>
      </c>
      <c r="BQ185" s="12" t="s">
        <v>333</v>
      </c>
      <c r="BR185" s="20">
        <v>0</v>
      </c>
      <c r="BS185" s="12" t="s">
        <v>333</v>
      </c>
      <c r="BT185" s="20">
        <v>0</v>
      </c>
      <c r="BU185" s="12" t="s">
        <v>333</v>
      </c>
      <c r="BV185" s="20">
        <v>0</v>
      </c>
      <c r="BW185" s="12" t="s">
        <v>333</v>
      </c>
      <c r="BX185" s="20">
        <v>0</v>
      </c>
      <c r="BY185" s="12" t="s">
        <v>333</v>
      </c>
      <c r="BZ185" s="20">
        <v>0</v>
      </c>
      <c r="CA185" s="12" t="s">
        <v>333</v>
      </c>
      <c r="CB185" s="20">
        <v>0</v>
      </c>
      <c r="CC185" s="12" t="s">
        <v>333</v>
      </c>
    </row>
    <row r="186" spans="1:81" x14ac:dyDescent="0.2">
      <c r="A186" s="10" t="s">
        <v>567</v>
      </c>
      <c r="B186" s="81">
        <v>109.54300000000001</v>
      </c>
      <c r="C186" s="82" t="s">
        <v>333</v>
      </c>
      <c r="D186" s="81">
        <v>109.54300000000001</v>
      </c>
      <c r="E186" s="82" t="s">
        <v>333</v>
      </c>
      <c r="F186" s="83">
        <v>0</v>
      </c>
      <c r="G186" s="82" t="s">
        <v>333</v>
      </c>
      <c r="H186" s="83">
        <v>0</v>
      </c>
      <c r="I186" s="82" t="s">
        <v>333</v>
      </c>
      <c r="J186" s="83">
        <v>0</v>
      </c>
      <c r="K186" s="82" t="s">
        <v>333</v>
      </c>
      <c r="L186" s="83">
        <v>0</v>
      </c>
      <c r="M186" s="82" t="s">
        <v>333</v>
      </c>
      <c r="N186" s="82" t="s">
        <v>202</v>
      </c>
      <c r="O186" s="82" t="s">
        <v>333</v>
      </c>
      <c r="P186" s="82" t="s">
        <v>202</v>
      </c>
      <c r="Q186" s="82" t="s">
        <v>333</v>
      </c>
      <c r="R186" s="82" t="s">
        <v>202</v>
      </c>
      <c r="S186" s="82" t="s">
        <v>333</v>
      </c>
      <c r="T186" s="82" t="s">
        <v>202</v>
      </c>
      <c r="U186" s="82" t="s">
        <v>333</v>
      </c>
      <c r="V186" s="82" t="s">
        <v>202</v>
      </c>
      <c r="W186" s="82" t="s">
        <v>333</v>
      </c>
      <c r="X186" s="81">
        <v>109.54300000000001</v>
      </c>
      <c r="Y186" s="82" t="s">
        <v>333</v>
      </c>
      <c r="Z186" s="81">
        <v>109.54300000000001</v>
      </c>
      <c r="AA186" s="82" t="s">
        <v>333</v>
      </c>
      <c r="AB186" s="83">
        <v>0</v>
      </c>
      <c r="AC186" s="82" t="s">
        <v>333</v>
      </c>
      <c r="AD186" s="83">
        <v>0</v>
      </c>
      <c r="AE186" s="82" t="s">
        <v>333</v>
      </c>
      <c r="AF186" s="83">
        <v>0</v>
      </c>
      <c r="AG186" s="82" t="s">
        <v>333</v>
      </c>
      <c r="AH186" s="83">
        <v>0</v>
      </c>
      <c r="AI186" s="82" t="s">
        <v>333</v>
      </c>
      <c r="AJ186" s="83">
        <v>0</v>
      </c>
      <c r="AK186" s="82" t="s">
        <v>333</v>
      </c>
      <c r="AL186" s="83">
        <v>0</v>
      </c>
      <c r="AM186" s="82" t="s">
        <v>333</v>
      </c>
      <c r="AN186" s="83">
        <v>0</v>
      </c>
      <c r="AO186" s="82" t="s">
        <v>333</v>
      </c>
      <c r="AP186" s="83">
        <v>0</v>
      </c>
      <c r="AQ186" s="82" t="s">
        <v>333</v>
      </c>
      <c r="AR186" s="83">
        <v>0</v>
      </c>
      <c r="AS186" s="82" t="s">
        <v>333</v>
      </c>
      <c r="AT186" s="83">
        <v>0</v>
      </c>
      <c r="AU186" s="82" t="s">
        <v>333</v>
      </c>
      <c r="AV186" s="83">
        <v>0</v>
      </c>
      <c r="AW186" s="82" t="s">
        <v>333</v>
      </c>
      <c r="AX186" s="81">
        <v>109.54300000000001</v>
      </c>
      <c r="AY186" s="82" t="s">
        <v>333</v>
      </c>
      <c r="AZ186" s="81">
        <v>109.54300000000001</v>
      </c>
      <c r="BA186" s="82" t="s">
        <v>333</v>
      </c>
      <c r="BB186" s="83">
        <v>0</v>
      </c>
      <c r="BC186" s="82" t="s">
        <v>333</v>
      </c>
      <c r="BD186" s="81">
        <v>109.54300000000001</v>
      </c>
      <c r="BE186" s="82" t="s">
        <v>333</v>
      </c>
      <c r="BF186" s="83">
        <v>0</v>
      </c>
      <c r="BG186" s="82" t="s">
        <v>333</v>
      </c>
      <c r="BH186" s="83">
        <v>0</v>
      </c>
      <c r="BI186" s="82" t="s">
        <v>333</v>
      </c>
      <c r="BJ186" s="83">
        <v>0</v>
      </c>
      <c r="BK186" s="82" t="s">
        <v>333</v>
      </c>
      <c r="BL186" s="83">
        <v>0</v>
      </c>
      <c r="BM186" s="82" t="s">
        <v>333</v>
      </c>
      <c r="BN186" s="83">
        <v>0</v>
      </c>
      <c r="BO186" s="82" t="s">
        <v>333</v>
      </c>
      <c r="BP186" s="83">
        <v>0</v>
      </c>
      <c r="BQ186" s="82" t="s">
        <v>333</v>
      </c>
      <c r="BR186" s="83">
        <v>0</v>
      </c>
      <c r="BS186" s="82" t="s">
        <v>333</v>
      </c>
      <c r="BT186" s="83">
        <v>0</v>
      </c>
      <c r="BU186" s="82" t="s">
        <v>333</v>
      </c>
      <c r="BV186" s="83">
        <v>0</v>
      </c>
      <c r="BW186" s="82" t="s">
        <v>333</v>
      </c>
      <c r="BX186" s="83">
        <v>0</v>
      </c>
      <c r="BY186" s="82" t="s">
        <v>333</v>
      </c>
      <c r="BZ186" s="83">
        <v>0</v>
      </c>
      <c r="CA186" s="82" t="s">
        <v>333</v>
      </c>
      <c r="CB186" s="83">
        <v>0</v>
      </c>
      <c r="CC186" s="82" t="s">
        <v>333</v>
      </c>
    </row>
    <row r="187" spans="1:81" x14ac:dyDescent="0.2">
      <c r="A187" s="10" t="s">
        <v>312</v>
      </c>
      <c r="B187" s="11">
        <v>109.54300000000001</v>
      </c>
      <c r="C187" s="12" t="s">
        <v>333</v>
      </c>
      <c r="D187" s="11">
        <v>109.54300000000001</v>
      </c>
      <c r="E187" s="12" t="s">
        <v>333</v>
      </c>
      <c r="F187" s="20">
        <v>0</v>
      </c>
      <c r="G187" s="12" t="s">
        <v>333</v>
      </c>
      <c r="H187" s="20">
        <v>0</v>
      </c>
      <c r="I187" s="12" t="s">
        <v>333</v>
      </c>
      <c r="J187" s="20">
        <v>0</v>
      </c>
      <c r="K187" s="12" t="s">
        <v>333</v>
      </c>
      <c r="L187" s="20">
        <v>0</v>
      </c>
      <c r="M187" s="12" t="s">
        <v>333</v>
      </c>
      <c r="N187" s="12" t="s">
        <v>202</v>
      </c>
      <c r="O187" s="12" t="s">
        <v>333</v>
      </c>
      <c r="P187" s="12" t="s">
        <v>202</v>
      </c>
      <c r="Q187" s="12" t="s">
        <v>333</v>
      </c>
      <c r="R187" s="12" t="s">
        <v>202</v>
      </c>
      <c r="S187" s="12" t="s">
        <v>333</v>
      </c>
      <c r="T187" s="12" t="s">
        <v>202</v>
      </c>
      <c r="U187" s="12" t="s">
        <v>333</v>
      </c>
      <c r="V187" s="12" t="s">
        <v>202</v>
      </c>
      <c r="W187" s="12" t="s">
        <v>333</v>
      </c>
      <c r="X187" s="11">
        <v>109.54300000000001</v>
      </c>
      <c r="Y187" s="12" t="s">
        <v>333</v>
      </c>
      <c r="Z187" s="11">
        <v>109.54300000000001</v>
      </c>
      <c r="AA187" s="12" t="s">
        <v>333</v>
      </c>
      <c r="AB187" s="20">
        <v>0</v>
      </c>
      <c r="AC187" s="12" t="s">
        <v>333</v>
      </c>
      <c r="AD187" s="20">
        <v>0</v>
      </c>
      <c r="AE187" s="12" t="s">
        <v>333</v>
      </c>
      <c r="AF187" s="20">
        <v>0</v>
      </c>
      <c r="AG187" s="12" t="s">
        <v>333</v>
      </c>
      <c r="AH187" s="20">
        <v>0</v>
      </c>
      <c r="AI187" s="12" t="s">
        <v>333</v>
      </c>
      <c r="AJ187" s="20">
        <v>0</v>
      </c>
      <c r="AK187" s="12" t="s">
        <v>333</v>
      </c>
      <c r="AL187" s="20">
        <v>0</v>
      </c>
      <c r="AM187" s="12" t="s">
        <v>333</v>
      </c>
      <c r="AN187" s="20">
        <v>0</v>
      </c>
      <c r="AO187" s="12" t="s">
        <v>333</v>
      </c>
      <c r="AP187" s="20">
        <v>0</v>
      </c>
      <c r="AQ187" s="12" t="s">
        <v>333</v>
      </c>
      <c r="AR187" s="20">
        <v>0</v>
      </c>
      <c r="AS187" s="12" t="s">
        <v>333</v>
      </c>
      <c r="AT187" s="20">
        <v>0</v>
      </c>
      <c r="AU187" s="12" t="s">
        <v>333</v>
      </c>
      <c r="AV187" s="20">
        <v>0</v>
      </c>
      <c r="AW187" s="12" t="s">
        <v>333</v>
      </c>
      <c r="AX187" s="11">
        <v>109.54300000000001</v>
      </c>
      <c r="AY187" s="12" t="s">
        <v>333</v>
      </c>
      <c r="AZ187" s="11">
        <v>109.54300000000001</v>
      </c>
      <c r="BA187" s="12" t="s">
        <v>333</v>
      </c>
      <c r="BB187" s="20">
        <v>0</v>
      </c>
      <c r="BC187" s="12" t="s">
        <v>333</v>
      </c>
      <c r="BD187" s="11">
        <v>109.54300000000001</v>
      </c>
      <c r="BE187" s="12" t="s">
        <v>333</v>
      </c>
      <c r="BF187" s="20">
        <v>0</v>
      </c>
      <c r="BG187" s="12" t="s">
        <v>333</v>
      </c>
      <c r="BH187" s="20">
        <v>0</v>
      </c>
      <c r="BI187" s="12" t="s">
        <v>333</v>
      </c>
      <c r="BJ187" s="20">
        <v>0</v>
      </c>
      <c r="BK187" s="12" t="s">
        <v>333</v>
      </c>
      <c r="BL187" s="20">
        <v>0</v>
      </c>
      <c r="BM187" s="12" t="s">
        <v>333</v>
      </c>
      <c r="BN187" s="20">
        <v>0</v>
      </c>
      <c r="BO187" s="12" t="s">
        <v>333</v>
      </c>
      <c r="BP187" s="20">
        <v>0</v>
      </c>
      <c r="BQ187" s="12" t="s">
        <v>333</v>
      </c>
      <c r="BR187" s="20">
        <v>0</v>
      </c>
      <c r="BS187" s="12" t="s">
        <v>333</v>
      </c>
      <c r="BT187" s="20">
        <v>0</v>
      </c>
      <c r="BU187" s="12" t="s">
        <v>333</v>
      </c>
      <c r="BV187" s="20">
        <v>0</v>
      </c>
      <c r="BW187" s="12" t="s">
        <v>333</v>
      </c>
      <c r="BX187" s="20">
        <v>0</v>
      </c>
      <c r="BY187" s="12" t="s">
        <v>333</v>
      </c>
      <c r="BZ187" s="20">
        <v>0</v>
      </c>
      <c r="CA187" s="12" t="s">
        <v>333</v>
      </c>
      <c r="CB187" s="20">
        <v>0</v>
      </c>
      <c r="CC187" s="12" t="s">
        <v>333</v>
      </c>
    </row>
    <row r="188" spans="1:81" x14ac:dyDescent="0.2">
      <c r="A188" s="10" t="s">
        <v>476</v>
      </c>
      <c r="B188" s="83">
        <v>0</v>
      </c>
      <c r="C188" s="82" t="s">
        <v>333</v>
      </c>
      <c r="D188" s="83">
        <v>0</v>
      </c>
      <c r="E188" s="82" t="s">
        <v>333</v>
      </c>
      <c r="F188" s="83">
        <v>0</v>
      </c>
      <c r="G188" s="82" t="s">
        <v>333</v>
      </c>
      <c r="H188" s="83">
        <v>0</v>
      </c>
      <c r="I188" s="82" t="s">
        <v>333</v>
      </c>
      <c r="J188" s="83">
        <v>0</v>
      </c>
      <c r="K188" s="82" t="s">
        <v>333</v>
      </c>
      <c r="L188" s="83">
        <v>0</v>
      </c>
      <c r="M188" s="82" t="s">
        <v>333</v>
      </c>
      <c r="N188" s="82" t="s">
        <v>202</v>
      </c>
      <c r="O188" s="82" t="s">
        <v>333</v>
      </c>
      <c r="P188" s="82" t="s">
        <v>202</v>
      </c>
      <c r="Q188" s="82" t="s">
        <v>333</v>
      </c>
      <c r="R188" s="82" t="s">
        <v>202</v>
      </c>
      <c r="S188" s="82" t="s">
        <v>333</v>
      </c>
      <c r="T188" s="82" t="s">
        <v>202</v>
      </c>
      <c r="U188" s="82" t="s">
        <v>333</v>
      </c>
      <c r="V188" s="82" t="s">
        <v>202</v>
      </c>
      <c r="W188" s="82" t="s">
        <v>333</v>
      </c>
      <c r="X188" s="83">
        <v>0</v>
      </c>
      <c r="Y188" s="82" t="s">
        <v>333</v>
      </c>
      <c r="Z188" s="83">
        <v>0</v>
      </c>
      <c r="AA188" s="82" t="s">
        <v>333</v>
      </c>
      <c r="AB188" s="83">
        <v>0</v>
      </c>
      <c r="AC188" s="82" t="s">
        <v>333</v>
      </c>
      <c r="AD188" s="83">
        <v>0</v>
      </c>
      <c r="AE188" s="82" t="s">
        <v>333</v>
      </c>
      <c r="AF188" s="83">
        <v>0</v>
      </c>
      <c r="AG188" s="82" t="s">
        <v>333</v>
      </c>
      <c r="AH188" s="83">
        <v>0</v>
      </c>
      <c r="AI188" s="82" t="s">
        <v>333</v>
      </c>
      <c r="AJ188" s="83">
        <v>0</v>
      </c>
      <c r="AK188" s="82" t="s">
        <v>333</v>
      </c>
      <c r="AL188" s="83">
        <v>0</v>
      </c>
      <c r="AM188" s="82" t="s">
        <v>333</v>
      </c>
      <c r="AN188" s="83">
        <v>0</v>
      </c>
      <c r="AO188" s="82" t="s">
        <v>333</v>
      </c>
      <c r="AP188" s="83">
        <v>0</v>
      </c>
      <c r="AQ188" s="82" t="s">
        <v>333</v>
      </c>
      <c r="AR188" s="83">
        <v>0</v>
      </c>
      <c r="AS188" s="82" t="s">
        <v>333</v>
      </c>
      <c r="AT188" s="83">
        <v>0</v>
      </c>
      <c r="AU188" s="82" t="s">
        <v>333</v>
      </c>
      <c r="AV188" s="83">
        <v>0</v>
      </c>
      <c r="AW188" s="82" t="s">
        <v>333</v>
      </c>
      <c r="AX188" s="83">
        <v>0</v>
      </c>
      <c r="AY188" s="82" t="s">
        <v>333</v>
      </c>
      <c r="AZ188" s="83">
        <v>0</v>
      </c>
      <c r="BA188" s="82" t="s">
        <v>333</v>
      </c>
      <c r="BB188" s="83">
        <v>0</v>
      </c>
      <c r="BC188" s="82" t="s">
        <v>333</v>
      </c>
      <c r="BD188" s="83">
        <v>0</v>
      </c>
      <c r="BE188" s="82" t="s">
        <v>333</v>
      </c>
      <c r="BF188" s="83">
        <v>0</v>
      </c>
      <c r="BG188" s="82" t="s">
        <v>333</v>
      </c>
      <c r="BH188" s="83">
        <v>0</v>
      </c>
      <c r="BI188" s="82" t="s">
        <v>333</v>
      </c>
      <c r="BJ188" s="83">
        <v>0</v>
      </c>
      <c r="BK188" s="82" t="s">
        <v>333</v>
      </c>
      <c r="BL188" s="83">
        <v>0</v>
      </c>
      <c r="BM188" s="82" t="s">
        <v>333</v>
      </c>
      <c r="BN188" s="83">
        <v>0</v>
      </c>
      <c r="BO188" s="82" t="s">
        <v>333</v>
      </c>
      <c r="BP188" s="83">
        <v>0</v>
      </c>
      <c r="BQ188" s="82" t="s">
        <v>333</v>
      </c>
      <c r="BR188" s="83">
        <v>0</v>
      </c>
      <c r="BS188" s="82" t="s">
        <v>333</v>
      </c>
      <c r="BT188" s="83">
        <v>0</v>
      </c>
      <c r="BU188" s="82" t="s">
        <v>333</v>
      </c>
      <c r="BV188" s="83">
        <v>0</v>
      </c>
      <c r="BW188" s="82" t="s">
        <v>333</v>
      </c>
      <c r="BX188" s="83">
        <v>0</v>
      </c>
      <c r="BY188" s="82" t="s">
        <v>333</v>
      </c>
      <c r="BZ188" s="83">
        <v>0</v>
      </c>
      <c r="CA188" s="82" t="s">
        <v>333</v>
      </c>
      <c r="CB188" s="83">
        <v>0</v>
      </c>
      <c r="CC188" s="82" t="s">
        <v>333</v>
      </c>
    </row>
    <row r="189" spans="1:81" x14ac:dyDescent="0.2">
      <c r="A189" s="10" t="s">
        <v>568</v>
      </c>
      <c r="B189" s="11">
        <v>83.596999999999994</v>
      </c>
      <c r="C189" s="12" t="s">
        <v>333</v>
      </c>
      <c r="D189" s="11">
        <v>83.596999999999994</v>
      </c>
      <c r="E189" s="12" t="s">
        <v>333</v>
      </c>
      <c r="F189" s="20">
        <v>0</v>
      </c>
      <c r="G189" s="12" t="s">
        <v>333</v>
      </c>
      <c r="H189" s="20">
        <v>0</v>
      </c>
      <c r="I189" s="12" t="s">
        <v>333</v>
      </c>
      <c r="J189" s="20">
        <v>0</v>
      </c>
      <c r="K189" s="12" t="s">
        <v>333</v>
      </c>
      <c r="L189" s="20">
        <v>0</v>
      </c>
      <c r="M189" s="12" t="s">
        <v>333</v>
      </c>
      <c r="N189" s="12" t="s">
        <v>202</v>
      </c>
      <c r="O189" s="12" t="s">
        <v>333</v>
      </c>
      <c r="P189" s="12" t="s">
        <v>202</v>
      </c>
      <c r="Q189" s="12" t="s">
        <v>333</v>
      </c>
      <c r="R189" s="12" t="s">
        <v>202</v>
      </c>
      <c r="S189" s="12" t="s">
        <v>333</v>
      </c>
      <c r="T189" s="12" t="s">
        <v>202</v>
      </c>
      <c r="U189" s="12" t="s">
        <v>333</v>
      </c>
      <c r="V189" s="12" t="s">
        <v>202</v>
      </c>
      <c r="W189" s="12" t="s">
        <v>333</v>
      </c>
      <c r="X189" s="11">
        <v>83.596999999999994</v>
      </c>
      <c r="Y189" s="12" t="s">
        <v>333</v>
      </c>
      <c r="Z189" s="11">
        <v>83.596999999999994</v>
      </c>
      <c r="AA189" s="12" t="s">
        <v>333</v>
      </c>
      <c r="AB189" s="20">
        <v>0</v>
      </c>
      <c r="AC189" s="12" t="s">
        <v>333</v>
      </c>
      <c r="AD189" s="20">
        <v>0</v>
      </c>
      <c r="AE189" s="12" t="s">
        <v>333</v>
      </c>
      <c r="AF189" s="20">
        <v>0</v>
      </c>
      <c r="AG189" s="12" t="s">
        <v>333</v>
      </c>
      <c r="AH189" s="20">
        <v>0</v>
      </c>
      <c r="AI189" s="12" t="s">
        <v>333</v>
      </c>
      <c r="AJ189" s="20">
        <v>0</v>
      </c>
      <c r="AK189" s="12" t="s">
        <v>333</v>
      </c>
      <c r="AL189" s="20">
        <v>0</v>
      </c>
      <c r="AM189" s="12" t="s">
        <v>333</v>
      </c>
      <c r="AN189" s="20">
        <v>0</v>
      </c>
      <c r="AO189" s="12" t="s">
        <v>333</v>
      </c>
      <c r="AP189" s="20">
        <v>0</v>
      </c>
      <c r="AQ189" s="12" t="s">
        <v>333</v>
      </c>
      <c r="AR189" s="11">
        <v>36.521999999999998</v>
      </c>
      <c r="AS189" s="12" t="s">
        <v>333</v>
      </c>
      <c r="AT189" s="11">
        <v>36.521999999999998</v>
      </c>
      <c r="AU189" s="12" t="s">
        <v>333</v>
      </c>
      <c r="AV189" s="20">
        <v>0</v>
      </c>
      <c r="AW189" s="12" t="s">
        <v>333</v>
      </c>
      <c r="AX189" s="11">
        <v>47.075000000000003</v>
      </c>
      <c r="AY189" s="12" t="s">
        <v>333</v>
      </c>
      <c r="AZ189" s="11">
        <v>47.075000000000003</v>
      </c>
      <c r="BA189" s="12" t="s">
        <v>333</v>
      </c>
      <c r="BB189" s="20">
        <v>13.09</v>
      </c>
      <c r="BC189" s="12" t="s">
        <v>333</v>
      </c>
      <c r="BD189" s="11">
        <v>33.985999999999997</v>
      </c>
      <c r="BE189" s="12" t="s">
        <v>333</v>
      </c>
      <c r="BF189" s="20">
        <v>0</v>
      </c>
      <c r="BG189" s="12" t="s">
        <v>333</v>
      </c>
      <c r="BH189" s="20">
        <v>0</v>
      </c>
      <c r="BI189" s="12" t="s">
        <v>333</v>
      </c>
      <c r="BJ189" s="20">
        <v>0</v>
      </c>
      <c r="BK189" s="12" t="s">
        <v>333</v>
      </c>
      <c r="BL189" s="20">
        <v>0</v>
      </c>
      <c r="BM189" s="12" t="s">
        <v>333</v>
      </c>
      <c r="BN189" s="20">
        <v>0</v>
      </c>
      <c r="BO189" s="12" t="s">
        <v>333</v>
      </c>
      <c r="BP189" s="20">
        <v>0</v>
      </c>
      <c r="BQ189" s="12" t="s">
        <v>333</v>
      </c>
      <c r="BR189" s="20">
        <v>0</v>
      </c>
      <c r="BS189" s="12" t="s">
        <v>333</v>
      </c>
      <c r="BT189" s="20">
        <v>0</v>
      </c>
      <c r="BU189" s="12" t="s">
        <v>333</v>
      </c>
      <c r="BV189" s="20">
        <v>0</v>
      </c>
      <c r="BW189" s="12" t="s">
        <v>333</v>
      </c>
      <c r="BX189" s="20">
        <v>0</v>
      </c>
      <c r="BY189" s="12" t="s">
        <v>333</v>
      </c>
      <c r="BZ189" s="20">
        <v>0</v>
      </c>
      <c r="CA189" s="12" t="s">
        <v>333</v>
      </c>
      <c r="CB189" s="20">
        <v>0</v>
      </c>
      <c r="CC189" s="12" t="s">
        <v>333</v>
      </c>
    </row>
    <row r="190" spans="1:81" x14ac:dyDescent="0.2">
      <c r="A190" s="10" t="s">
        <v>313</v>
      </c>
      <c r="B190" s="81">
        <v>83.596999999999994</v>
      </c>
      <c r="C190" s="82" t="s">
        <v>333</v>
      </c>
      <c r="D190" s="81">
        <v>83.596999999999994</v>
      </c>
      <c r="E190" s="82" t="s">
        <v>333</v>
      </c>
      <c r="F190" s="83">
        <v>0</v>
      </c>
      <c r="G190" s="82" t="s">
        <v>333</v>
      </c>
      <c r="H190" s="83">
        <v>0</v>
      </c>
      <c r="I190" s="82" t="s">
        <v>333</v>
      </c>
      <c r="J190" s="83">
        <v>0</v>
      </c>
      <c r="K190" s="82" t="s">
        <v>333</v>
      </c>
      <c r="L190" s="83">
        <v>0</v>
      </c>
      <c r="M190" s="82" t="s">
        <v>333</v>
      </c>
      <c r="N190" s="82" t="s">
        <v>202</v>
      </c>
      <c r="O190" s="82" t="s">
        <v>333</v>
      </c>
      <c r="P190" s="82" t="s">
        <v>202</v>
      </c>
      <c r="Q190" s="82" t="s">
        <v>333</v>
      </c>
      <c r="R190" s="82" t="s">
        <v>202</v>
      </c>
      <c r="S190" s="82" t="s">
        <v>333</v>
      </c>
      <c r="T190" s="82" t="s">
        <v>202</v>
      </c>
      <c r="U190" s="82" t="s">
        <v>333</v>
      </c>
      <c r="V190" s="82" t="s">
        <v>202</v>
      </c>
      <c r="W190" s="82" t="s">
        <v>333</v>
      </c>
      <c r="X190" s="81">
        <v>83.596999999999994</v>
      </c>
      <c r="Y190" s="82" t="s">
        <v>333</v>
      </c>
      <c r="Z190" s="81">
        <v>83.596999999999994</v>
      </c>
      <c r="AA190" s="82" t="s">
        <v>333</v>
      </c>
      <c r="AB190" s="83">
        <v>0</v>
      </c>
      <c r="AC190" s="82" t="s">
        <v>333</v>
      </c>
      <c r="AD190" s="83">
        <v>0</v>
      </c>
      <c r="AE190" s="82" t="s">
        <v>333</v>
      </c>
      <c r="AF190" s="83">
        <v>0</v>
      </c>
      <c r="AG190" s="82" t="s">
        <v>333</v>
      </c>
      <c r="AH190" s="83">
        <v>0</v>
      </c>
      <c r="AI190" s="82" t="s">
        <v>333</v>
      </c>
      <c r="AJ190" s="83">
        <v>0</v>
      </c>
      <c r="AK190" s="82" t="s">
        <v>333</v>
      </c>
      <c r="AL190" s="83">
        <v>0</v>
      </c>
      <c r="AM190" s="82" t="s">
        <v>333</v>
      </c>
      <c r="AN190" s="83">
        <v>0</v>
      </c>
      <c r="AO190" s="82" t="s">
        <v>333</v>
      </c>
      <c r="AP190" s="83">
        <v>0</v>
      </c>
      <c r="AQ190" s="82" t="s">
        <v>333</v>
      </c>
      <c r="AR190" s="81">
        <v>36.521999999999998</v>
      </c>
      <c r="AS190" s="82" t="s">
        <v>333</v>
      </c>
      <c r="AT190" s="81">
        <v>36.521999999999998</v>
      </c>
      <c r="AU190" s="82" t="s">
        <v>333</v>
      </c>
      <c r="AV190" s="83">
        <v>0</v>
      </c>
      <c r="AW190" s="82" t="s">
        <v>333</v>
      </c>
      <c r="AX190" s="81">
        <v>47.075000000000003</v>
      </c>
      <c r="AY190" s="82" t="s">
        <v>333</v>
      </c>
      <c r="AZ190" s="81">
        <v>47.075000000000003</v>
      </c>
      <c r="BA190" s="82" t="s">
        <v>333</v>
      </c>
      <c r="BB190" s="83">
        <v>13.09</v>
      </c>
      <c r="BC190" s="82" t="s">
        <v>333</v>
      </c>
      <c r="BD190" s="81">
        <v>33.985999999999997</v>
      </c>
      <c r="BE190" s="82" t="s">
        <v>333</v>
      </c>
      <c r="BF190" s="83">
        <v>0</v>
      </c>
      <c r="BG190" s="82" t="s">
        <v>333</v>
      </c>
      <c r="BH190" s="83">
        <v>0</v>
      </c>
      <c r="BI190" s="82" t="s">
        <v>333</v>
      </c>
      <c r="BJ190" s="83">
        <v>0</v>
      </c>
      <c r="BK190" s="82" t="s">
        <v>333</v>
      </c>
      <c r="BL190" s="83">
        <v>0</v>
      </c>
      <c r="BM190" s="82" t="s">
        <v>333</v>
      </c>
      <c r="BN190" s="83">
        <v>0</v>
      </c>
      <c r="BO190" s="82" t="s">
        <v>333</v>
      </c>
      <c r="BP190" s="83">
        <v>0</v>
      </c>
      <c r="BQ190" s="82" t="s">
        <v>333</v>
      </c>
      <c r="BR190" s="83">
        <v>0</v>
      </c>
      <c r="BS190" s="82" t="s">
        <v>333</v>
      </c>
      <c r="BT190" s="83">
        <v>0</v>
      </c>
      <c r="BU190" s="82" t="s">
        <v>333</v>
      </c>
      <c r="BV190" s="83">
        <v>0</v>
      </c>
      <c r="BW190" s="82" t="s">
        <v>333</v>
      </c>
      <c r="BX190" s="83">
        <v>0</v>
      </c>
      <c r="BY190" s="82" t="s">
        <v>333</v>
      </c>
      <c r="BZ190" s="83">
        <v>0</v>
      </c>
      <c r="CA190" s="82" t="s">
        <v>333</v>
      </c>
      <c r="CB190" s="83">
        <v>0</v>
      </c>
      <c r="CC190" s="82" t="s">
        <v>333</v>
      </c>
    </row>
    <row r="191" spans="1:81" x14ac:dyDescent="0.2">
      <c r="A191" s="10" t="s">
        <v>477</v>
      </c>
      <c r="B191" s="20">
        <v>0</v>
      </c>
      <c r="C191" s="12" t="s">
        <v>333</v>
      </c>
      <c r="D191" s="20">
        <v>0</v>
      </c>
      <c r="E191" s="12" t="s">
        <v>333</v>
      </c>
      <c r="F191" s="20">
        <v>0</v>
      </c>
      <c r="G191" s="12" t="s">
        <v>333</v>
      </c>
      <c r="H191" s="20">
        <v>0</v>
      </c>
      <c r="I191" s="12" t="s">
        <v>333</v>
      </c>
      <c r="J191" s="20">
        <v>0</v>
      </c>
      <c r="K191" s="12" t="s">
        <v>333</v>
      </c>
      <c r="L191" s="20">
        <v>0</v>
      </c>
      <c r="M191" s="12" t="s">
        <v>333</v>
      </c>
      <c r="N191" s="12" t="s">
        <v>202</v>
      </c>
      <c r="O191" s="12" t="s">
        <v>333</v>
      </c>
      <c r="P191" s="12" t="s">
        <v>202</v>
      </c>
      <c r="Q191" s="12" t="s">
        <v>333</v>
      </c>
      <c r="R191" s="12" t="s">
        <v>202</v>
      </c>
      <c r="S191" s="12" t="s">
        <v>333</v>
      </c>
      <c r="T191" s="12" t="s">
        <v>202</v>
      </c>
      <c r="U191" s="12" t="s">
        <v>333</v>
      </c>
      <c r="V191" s="12" t="s">
        <v>202</v>
      </c>
      <c r="W191" s="12" t="s">
        <v>333</v>
      </c>
      <c r="X191" s="20">
        <v>0</v>
      </c>
      <c r="Y191" s="12" t="s">
        <v>333</v>
      </c>
      <c r="Z191" s="20">
        <v>0</v>
      </c>
      <c r="AA191" s="12" t="s">
        <v>333</v>
      </c>
      <c r="AB191" s="20">
        <v>0</v>
      </c>
      <c r="AC191" s="12" t="s">
        <v>333</v>
      </c>
      <c r="AD191" s="20">
        <v>0</v>
      </c>
      <c r="AE191" s="12" t="s">
        <v>333</v>
      </c>
      <c r="AF191" s="20">
        <v>0</v>
      </c>
      <c r="AG191" s="12" t="s">
        <v>333</v>
      </c>
      <c r="AH191" s="20">
        <v>0</v>
      </c>
      <c r="AI191" s="12" t="s">
        <v>333</v>
      </c>
      <c r="AJ191" s="20">
        <v>0</v>
      </c>
      <c r="AK191" s="12" t="s">
        <v>333</v>
      </c>
      <c r="AL191" s="20">
        <v>0</v>
      </c>
      <c r="AM191" s="12" t="s">
        <v>333</v>
      </c>
      <c r="AN191" s="20">
        <v>0</v>
      </c>
      <c r="AO191" s="12" t="s">
        <v>333</v>
      </c>
      <c r="AP191" s="20">
        <v>0</v>
      </c>
      <c r="AQ191" s="12" t="s">
        <v>333</v>
      </c>
      <c r="AR191" s="20">
        <v>0</v>
      </c>
      <c r="AS191" s="12" t="s">
        <v>333</v>
      </c>
      <c r="AT191" s="20">
        <v>0</v>
      </c>
      <c r="AU191" s="12" t="s">
        <v>333</v>
      </c>
      <c r="AV191" s="20">
        <v>0</v>
      </c>
      <c r="AW191" s="12" t="s">
        <v>333</v>
      </c>
      <c r="AX191" s="20">
        <v>0</v>
      </c>
      <c r="AY191" s="12" t="s">
        <v>333</v>
      </c>
      <c r="AZ191" s="20">
        <v>0</v>
      </c>
      <c r="BA191" s="12" t="s">
        <v>333</v>
      </c>
      <c r="BB191" s="20">
        <v>0</v>
      </c>
      <c r="BC191" s="12" t="s">
        <v>333</v>
      </c>
      <c r="BD191" s="20">
        <v>0</v>
      </c>
      <c r="BE191" s="12" t="s">
        <v>333</v>
      </c>
      <c r="BF191" s="20">
        <v>0</v>
      </c>
      <c r="BG191" s="12" t="s">
        <v>333</v>
      </c>
      <c r="BH191" s="20">
        <v>0</v>
      </c>
      <c r="BI191" s="12" t="s">
        <v>333</v>
      </c>
      <c r="BJ191" s="20">
        <v>0</v>
      </c>
      <c r="BK191" s="12" t="s">
        <v>333</v>
      </c>
      <c r="BL191" s="20">
        <v>0</v>
      </c>
      <c r="BM191" s="12" t="s">
        <v>333</v>
      </c>
      <c r="BN191" s="20">
        <v>0</v>
      </c>
      <c r="BO191" s="12" t="s">
        <v>333</v>
      </c>
      <c r="BP191" s="20">
        <v>0</v>
      </c>
      <c r="BQ191" s="12" t="s">
        <v>333</v>
      </c>
      <c r="BR191" s="20">
        <v>0</v>
      </c>
      <c r="BS191" s="12" t="s">
        <v>333</v>
      </c>
      <c r="BT191" s="20">
        <v>0</v>
      </c>
      <c r="BU191" s="12" t="s">
        <v>333</v>
      </c>
      <c r="BV191" s="20">
        <v>0</v>
      </c>
      <c r="BW191" s="12" t="s">
        <v>333</v>
      </c>
      <c r="BX191" s="20">
        <v>0</v>
      </c>
      <c r="BY191" s="12" t="s">
        <v>333</v>
      </c>
      <c r="BZ191" s="20">
        <v>0</v>
      </c>
      <c r="CA191" s="12" t="s">
        <v>333</v>
      </c>
      <c r="CB191" s="20">
        <v>0</v>
      </c>
      <c r="CC191" s="12" t="s">
        <v>333</v>
      </c>
    </row>
    <row r="192" spans="1:81" x14ac:dyDescent="0.2">
      <c r="A192" s="10" t="s">
        <v>112</v>
      </c>
      <c r="B192" s="81">
        <v>2.984</v>
      </c>
      <c r="C192" s="82" t="s">
        <v>333</v>
      </c>
      <c r="D192" s="81">
        <v>2.984</v>
      </c>
      <c r="E192" s="82" t="s">
        <v>333</v>
      </c>
      <c r="F192" s="81">
        <v>2.6850000000000001</v>
      </c>
      <c r="G192" s="82" t="s">
        <v>333</v>
      </c>
      <c r="H192" s="81">
        <v>2.6850000000000001</v>
      </c>
      <c r="I192" s="82" t="s">
        <v>333</v>
      </c>
      <c r="J192" s="83">
        <v>-2.0299999999999998</v>
      </c>
      <c r="K192" s="82" t="s">
        <v>333</v>
      </c>
      <c r="L192" s="81">
        <v>0.28399999999999997</v>
      </c>
      <c r="M192" s="82" t="s">
        <v>333</v>
      </c>
      <c r="N192" s="83">
        <v>0</v>
      </c>
      <c r="O192" s="82" t="s">
        <v>333</v>
      </c>
      <c r="P192" s="81">
        <v>4.431</v>
      </c>
      <c r="Q192" s="82" t="s">
        <v>333</v>
      </c>
      <c r="R192" s="81">
        <v>4.431</v>
      </c>
      <c r="S192" s="82" t="s">
        <v>333</v>
      </c>
      <c r="T192" s="83">
        <v>0</v>
      </c>
      <c r="U192" s="82" t="s">
        <v>333</v>
      </c>
      <c r="V192" s="83">
        <v>0</v>
      </c>
      <c r="W192" s="82" t="s">
        <v>333</v>
      </c>
      <c r="X192" s="81">
        <v>0.29899999999999999</v>
      </c>
      <c r="Y192" s="82" t="s">
        <v>333</v>
      </c>
      <c r="Z192" s="81">
        <v>0.29899999999999999</v>
      </c>
      <c r="AA192" s="82" t="s">
        <v>333</v>
      </c>
      <c r="AB192" s="83">
        <v>0</v>
      </c>
      <c r="AC192" s="82" t="s">
        <v>333</v>
      </c>
      <c r="AD192" s="83">
        <v>0</v>
      </c>
      <c r="AE192" s="82" t="s">
        <v>333</v>
      </c>
      <c r="AF192" s="81">
        <v>-1E-3</v>
      </c>
      <c r="AG192" s="82" t="s">
        <v>333</v>
      </c>
      <c r="AH192" s="83">
        <v>0</v>
      </c>
      <c r="AI192" s="82" t="s">
        <v>333</v>
      </c>
      <c r="AJ192" s="83">
        <v>0</v>
      </c>
      <c r="AK192" s="82" t="s">
        <v>333</v>
      </c>
      <c r="AL192" s="81">
        <v>0.29799999999999999</v>
      </c>
      <c r="AM192" s="82" t="s">
        <v>333</v>
      </c>
      <c r="AN192" s="81">
        <v>0.29799999999999999</v>
      </c>
      <c r="AO192" s="82" t="s">
        <v>333</v>
      </c>
      <c r="AP192" s="83">
        <v>0</v>
      </c>
      <c r="AQ192" s="82" t="s">
        <v>333</v>
      </c>
      <c r="AR192" s="83">
        <v>0</v>
      </c>
      <c r="AS192" s="82" t="s">
        <v>333</v>
      </c>
      <c r="AT192" s="83">
        <v>0</v>
      </c>
      <c r="AU192" s="82" t="s">
        <v>333</v>
      </c>
      <c r="AV192" s="81">
        <v>-1E-3</v>
      </c>
      <c r="AW192" s="82" t="s">
        <v>333</v>
      </c>
      <c r="AX192" s="81">
        <v>3.0000000000000001E-3</v>
      </c>
      <c r="AY192" s="82" t="s">
        <v>333</v>
      </c>
      <c r="AZ192" s="81">
        <v>3.0000000000000001E-3</v>
      </c>
      <c r="BA192" s="82" t="s">
        <v>333</v>
      </c>
      <c r="BB192" s="81">
        <v>1E-3</v>
      </c>
      <c r="BC192" s="82" t="s">
        <v>333</v>
      </c>
      <c r="BD192" s="81">
        <v>1E-3</v>
      </c>
      <c r="BE192" s="82" t="s">
        <v>333</v>
      </c>
      <c r="BF192" s="81">
        <v>-1E-3</v>
      </c>
      <c r="BG192" s="82" t="s">
        <v>333</v>
      </c>
      <c r="BH192" s="81">
        <v>-1E-3</v>
      </c>
      <c r="BI192" s="82" t="s">
        <v>333</v>
      </c>
      <c r="BJ192" s="83">
        <v>0</v>
      </c>
      <c r="BK192" s="82" t="s">
        <v>333</v>
      </c>
      <c r="BL192" s="83">
        <v>0</v>
      </c>
      <c r="BM192" s="82" t="s">
        <v>333</v>
      </c>
      <c r="BN192" s="81">
        <v>1E-3</v>
      </c>
      <c r="BO192" s="82" t="s">
        <v>333</v>
      </c>
      <c r="BP192" s="83">
        <v>0</v>
      </c>
      <c r="BQ192" s="82" t="s">
        <v>333</v>
      </c>
      <c r="BR192" s="81">
        <v>-1E-3</v>
      </c>
      <c r="BS192" s="82" t="s">
        <v>333</v>
      </c>
      <c r="BT192" s="83">
        <v>0</v>
      </c>
      <c r="BU192" s="82" t="s">
        <v>333</v>
      </c>
      <c r="BV192" s="81">
        <v>1E-3</v>
      </c>
      <c r="BW192" s="82" t="s">
        <v>333</v>
      </c>
      <c r="BX192" s="83">
        <v>0</v>
      </c>
      <c r="BY192" s="82" t="s">
        <v>333</v>
      </c>
      <c r="BZ192" s="83">
        <v>0</v>
      </c>
      <c r="CA192" s="82" t="s">
        <v>333</v>
      </c>
      <c r="CB192" s="83">
        <v>0</v>
      </c>
      <c r="CC192" s="82" t="s">
        <v>333</v>
      </c>
    </row>
    <row r="193" spans="1:81" x14ac:dyDescent="0.2">
      <c r="A193" s="10" t="s">
        <v>569</v>
      </c>
      <c r="B193" s="11">
        <v>-0.29799999999999999</v>
      </c>
      <c r="C193" s="12" t="s">
        <v>333</v>
      </c>
      <c r="D193" s="11">
        <v>-0.59499999999999997</v>
      </c>
      <c r="E193" s="12" t="s">
        <v>333</v>
      </c>
      <c r="F193" s="11">
        <v>3528.866</v>
      </c>
      <c r="G193" s="12" t="s">
        <v>333</v>
      </c>
      <c r="H193" s="11">
        <v>3528.866</v>
      </c>
      <c r="I193" s="12" t="s">
        <v>333</v>
      </c>
      <c r="J193" s="12" t="s">
        <v>202</v>
      </c>
      <c r="K193" s="12" t="s">
        <v>333</v>
      </c>
      <c r="L193" s="12" t="s">
        <v>202</v>
      </c>
      <c r="M193" s="12" t="s">
        <v>333</v>
      </c>
      <c r="N193" s="11">
        <v>3528.866</v>
      </c>
      <c r="O193" s="12" t="s">
        <v>333</v>
      </c>
      <c r="P193" s="12" t="s">
        <v>202</v>
      </c>
      <c r="Q193" s="12" t="s">
        <v>333</v>
      </c>
      <c r="R193" s="12" t="s">
        <v>202</v>
      </c>
      <c r="S193" s="12" t="s">
        <v>333</v>
      </c>
      <c r="T193" s="12" t="s">
        <v>202</v>
      </c>
      <c r="U193" s="12" t="s">
        <v>333</v>
      </c>
      <c r="V193" s="12" t="s">
        <v>202</v>
      </c>
      <c r="W193" s="12" t="s">
        <v>333</v>
      </c>
      <c r="X193" s="11">
        <v>-3529.1640000000002</v>
      </c>
      <c r="Y193" s="12" t="s">
        <v>333</v>
      </c>
      <c r="Z193" s="11">
        <v>-3529.4609999999998</v>
      </c>
      <c r="AA193" s="12" t="s">
        <v>333</v>
      </c>
      <c r="AB193" s="11">
        <v>-2094.991</v>
      </c>
      <c r="AC193" s="12" t="s">
        <v>333</v>
      </c>
      <c r="AD193" s="20">
        <v>0</v>
      </c>
      <c r="AE193" s="12" t="s">
        <v>333</v>
      </c>
      <c r="AF193" s="11">
        <v>-158.46199999999999</v>
      </c>
      <c r="AG193" s="12" t="s">
        <v>333</v>
      </c>
      <c r="AH193" s="11">
        <v>-437.46300000000002</v>
      </c>
      <c r="AI193" s="12" t="s">
        <v>333</v>
      </c>
      <c r="AJ193" s="20">
        <v>0</v>
      </c>
      <c r="AK193" s="12" t="s">
        <v>333</v>
      </c>
      <c r="AL193" s="20">
        <v>0</v>
      </c>
      <c r="AM193" s="12" t="s">
        <v>333</v>
      </c>
      <c r="AN193" s="11">
        <v>-0.29699999999999999</v>
      </c>
      <c r="AO193" s="12" t="s">
        <v>333</v>
      </c>
      <c r="AP193" s="20">
        <v>0</v>
      </c>
      <c r="AQ193" s="12" t="s">
        <v>333</v>
      </c>
      <c r="AR193" s="20">
        <v>0</v>
      </c>
      <c r="AS193" s="12" t="s">
        <v>333</v>
      </c>
      <c r="AT193" s="20">
        <v>0</v>
      </c>
      <c r="AU193" s="12" t="s">
        <v>333</v>
      </c>
      <c r="AV193" s="11">
        <v>-0.55900000000000005</v>
      </c>
      <c r="AW193" s="12" t="s">
        <v>333</v>
      </c>
      <c r="AX193" s="11">
        <v>-18.951000000000001</v>
      </c>
      <c r="AY193" s="12" t="s">
        <v>333</v>
      </c>
      <c r="AZ193" s="11">
        <v>-18.951000000000001</v>
      </c>
      <c r="BA193" s="12" t="s">
        <v>333</v>
      </c>
      <c r="BB193" s="20">
        <v>0</v>
      </c>
      <c r="BC193" s="12" t="s">
        <v>333</v>
      </c>
      <c r="BD193" s="11">
        <v>-18.951000000000001</v>
      </c>
      <c r="BE193" s="12" t="s">
        <v>333</v>
      </c>
      <c r="BF193" s="20">
        <v>0</v>
      </c>
      <c r="BG193" s="12" t="s">
        <v>333</v>
      </c>
      <c r="BH193" s="20">
        <v>0</v>
      </c>
      <c r="BI193" s="12" t="s">
        <v>333</v>
      </c>
      <c r="BJ193" s="20">
        <v>0</v>
      </c>
      <c r="BK193" s="12" t="s">
        <v>333</v>
      </c>
      <c r="BL193" s="20">
        <v>-646.04</v>
      </c>
      <c r="BM193" s="12" t="s">
        <v>333</v>
      </c>
      <c r="BN193" s="20">
        <v>0</v>
      </c>
      <c r="BO193" s="12" t="s">
        <v>333</v>
      </c>
      <c r="BP193" s="20">
        <v>-0.08</v>
      </c>
      <c r="BQ193" s="12" t="s">
        <v>333</v>
      </c>
      <c r="BR193" s="20">
        <v>0</v>
      </c>
      <c r="BS193" s="12" t="s">
        <v>333</v>
      </c>
      <c r="BT193" s="20">
        <v>0</v>
      </c>
      <c r="BU193" s="12" t="s">
        <v>333</v>
      </c>
      <c r="BV193" s="11">
        <v>-172.61799999999999</v>
      </c>
      <c r="BW193" s="12" t="s">
        <v>333</v>
      </c>
      <c r="BX193" s="11">
        <v>-0.29699999999999999</v>
      </c>
      <c r="BY193" s="12" t="s">
        <v>333</v>
      </c>
      <c r="BZ193" s="20">
        <v>0</v>
      </c>
      <c r="CA193" s="12" t="s">
        <v>333</v>
      </c>
      <c r="CB193" s="20">
        <v>0</v>
      </c>
      <c r="CC193" s="12" t="s">
        <v>333</v>
      </c>
    </row>
    <row r="194" spans="1:81" x14ac:dyDescent="0.2">
      <c r="A194" s="10" t="s">
        <v>570</v>
      </c>
      <c r="B194" s="83">
        <v>0</v>
      </c>
      <c r="C194" s="82" t="s">
        <v>333</v>
      </c>
      <c r="D194" s="83">
        <v>0</v>
      </c>
      <c r="E194" s="82" t="s">
        <v>333</v>
      </c>
      <c r="F194" s="83">
        <v>0</v>
      </c>
      <c r="G194" s="82" t="s">
        <v>333</v>
      </c>
      <c r="H194" s="82" t="s">
        <v>202</v>
      </c>
      <c r="I194" s="82" t="s">
        <v>333</v>
      </c>
      <c r="J194" s="82" t="s">
        <v>202</v>
      </c>
      <c r="K194" s="82" t="s">
        <v>333</v>
      </c>
      <c r="L194" s="82" t="s">
        <v>202</v>
      </c>
      <c r="M194" s="82" t="s">
        <v>333</v>
      </c>
      <c r="N194" s="82" t="s">
        <v>202</v>
      </c>
      <c r="O194" s="82" t="s">
        <v>333</v>
      </c>
      <c r="P194" s="82" t="s">
        <v>202</v>
      </c>
      <c r="Q194" s="82" t="s">
        <v>333</v>
      </c>
      <c r="R194" s="82" t="s">
        <v>202</v>
      </c>
      <c r="S194" s="82" t="s">
        <v>333</v>
      </c>
      <c r="T194" s="82" t="s">
        <v>202</v>
      </c>
      <c r="U194" s="82" t="s">
        <v>333</v>
      </c>
      <c r="V194" s="82" t="s">
        <v>202</v>
      </c>
      <c r="W194" s="82" t="s">
        <v>333</v>
      </c>
      <c r="X194" s="83">
        <v>0</v>
      </c>
      <c r="Y194" s="82" t="s">
        <v>333</v>
      </c>
      <c r="Z194" s="83">
        <v>0</v>
      </c>
      <c r="AA194" s="82" t="s">
        <v>333</v>
      </c>
      <c r="AB194" s="83">
        <v>0</v>
      </c>
      <c r="AC194" s="82" t="s">
        <v>333</v>
      </c>
      <c r="AD194" s="83">
        <v>0</v>
      </c>
      <c r="AE194" s="82" t="s">
        <v>333</v>
      </c>
      <c r="AF194" s="83">
        <v>0</v>
      </c>
      <c r="AG194" s="82" t="s">
        <v>333</v>
      </c>
      <c r="AH194" s="83">
        <v>0</v>
      </c>
      <c r="AI194" s="82" t="s">
        <v>333</v>
      </c>
      <c r="AJ194" s="83">
        <v>0</v>
      </c>
      <c r="AK194" s="82" t="s">
        <v>333</v>
      </c>
      <c r="AL194" s="83">
        <v>0</v>
      </c>
      <c r="AM194" s="82" t="s">
        <v>333</v>
      </c>
      <c r="AN194" s="83">
        <v>0</v>
      </c>
      <c r="AO194" s="82" t="s">
        <v>333</v>
      </c>
      <c r="AP194" s="83">
        <v>0</v>
      </c>
      <c r="AQ194" s="82" t="s">
        <v>333</v>
      </c>
      <c r="AR194" s="83">
        <v>0</v>
      </c>
      <c r="AS194" s="82" t="s">
        <v>333</v>
      </c>
      <c r="AT194" s="83">
        <v>0</v>
      </c>
      <c r="AU194" s="82" t="s">
        <v>333</v>
      </c>
      <c r="AV194" s="83">
        <v>0</v>
      </c>
      <c r="AW194" s="82" t="s">
        <v>333</v>
      </c>
      <c r="AX194" s="83">
        <v>0</v>
      </c>
      <c r="AY194" s="82" t="s">
        <v>333</v>
      </c>
      <c r="AZ194" s="83">
        <v>0</v>
      </c>
      <c r="BA194" s="82" t="s">
        <v>333</v>
      </c>
      <c r="BB194" s="83">
        <v>0</v>
      </c>
      <c r="BC194" s="82" t="s">
        <v>333</v>
      </c>
      <c r="BD194" s="83">
        <v>0</v>
      </c>
      <c r="BE194" s="82" t="s">
        <v>333</v>
      </c>
      <c r="BF194" s="83">
        <v>0</v>
      </c>
      <c r="BG194" s="82" t="s">
        <v>333</v>
      </c>
      <c r="BH194" s="83">
        <v>0</v>
      </c>
      <c r="BI194" s="82" t="s">
        <v>333</v>
      </c>
      <c r="BJ194" s="83">
        <v>0</v>
      </c>
      <c r="BK194" s="82" t="s">
        <v>333</v>
      </c>
      <c r="BL194" s="83">
        <v>0</v>
      </c>
      <c r="BM194" s="82" t="s">
        <v>333</v>
      </c>
      <c r="BN194" s="83">
        <v>0</v>
      </c>
      <c r="BO194" s="82" t="s">
        <v>333</v>
      </c>
      <c r="BP194" s="83">
        <v>0</v>
      </c>
      <c r="BQ194" s="82" t="s">
        <v>333</v>
      </c>
      <c r="BR194" s="83">
        <v>0</v>
      </c>
      <c r="BS194" s="82" t="s">
        <v>333</v>
      </c>
      <c r="BT194" s="83">
        <v>0</v>
      </c>
      <c r="BU194" s="82" t="s">
        <v>333</v>
      </c>
      <c r="BV194" s="83">
        <v>0</v>
      </c>
      <c r="BW194" s="82" t="s">
        <v>333</v>
      </c>
      <c r="BX194" s="83">
        <v>0</v>
      </c>
      <c r="BY194" s="82" t="s">
        <v>333</v>
      </c>
      <c r="BZ194" s="83">
        <v>0</v>
      </c>
      <c r="CA194" s="82" t="s">
        <v>333</v>
      </c>
      <c r="CB194" s="83">
        <v>0</v>
      </c>
      <c r="CC194" s="82" t="s">
        <v>333</v>
      </c>
    </row>
    <row r="195" spans="1:81" x14ac:dyDescent="0.2">
      <c r="A195" s="10" t="s">
        <v>571</v>
      </c>
      <c r="B195" s="11">
        <v>11632.776</v>
      </c>
      <c r="C195" s="12" t="s">
        <v>333</v>
      </c>
      <c r="D195" s="11">
        <v>10280.822</v>
      </c>
      <c r="E195" s="12" t="s">
        <v>333</v>
      </c>
      <c r="F195" s="11">
        <v>6218.192</v>
      </c>
      <c r="G195" s="12" t="s">
        <v>333</v>
      </c>
      <c r="H195" s="11">
        <v>6218.192</v>
      </c>
      <c r="I195" s="12" t="s">
        <v>333</v>
      </c>
      <c r="J195" s="20">
        <v>1815.81</v>
      </c>
      <c r="K195" s="12" t="s">
        <v>333</v>
      </c>
      <c r="L195" s="11">
        <v>4402.3819999999996</v>
      </c>
      <c r="M195" s="12" t="s">
        <v>333</v>
      </c>
      <c r="N195" s="12" t="s">
        <v>202</v>
      </c>
      <c r="O195" s="12" t="s">
        <v>333</v>
      </c>
      <c r="P195" s="12" t="s">
        <v>202</v>
      </c>
      <c r="Q195" s="12" t="s">
        <v>333</v>
      </c>
      <c r="R195" s="12" t="s">
        <v>202</v>
      </c>
      <c r="S195" s="12" t="s">
        <v>333</v>
      </c>
      <c r="T195" s="12" t="s">
        <v>202</v>
      </c>
      <c r="U195" s="12" t="s">
        <v>333</v>
      </c>
      <c r="V195" s="12" t="s">
        <v>202</v>
      </c>
      <c r="W195" s="12" t="s">
        <v>333</v>
      </c>
      <c r="X195" s="11">
        <v>5414.5839999999998</v>
      </c>
      <c r="Y195" s="12" t="s">
        <v>333</v>
      </c>
      <c r="Z195" s="20">
        <v>4062.63</v>
      </c>
      <c r="AA195" s="12" t="s">
        <v>333</v>
      </c>
      <c r="AB195" s="11">
        <v>2094.991</v>
      </c>
      <c r="AC195" s="12" t="s">
        <v>333</v>
      </c>
      <c r="AD195" s="20">
        <v>0</v>
      </c>
      <c r="AE195" s="12" t="s">
        <v>333</v>
      </c>
      <c r="AF195" s="11">
        <v>158.46199999999999</v>
      </c>
      <c r="AG195" s="12" t="s">
        <v>333</v>
      </c>
      <c r="AH195" s="11">
        <v>437.46300000000002</v>
      </c>
      <c r="AI195" s="12" t="s">
        <v>333</v>
      </c>
      <c r="AJ195" s="20">
        <v>0</v>
      </c>
      <c r="AK195" s="12" t="s">
        <v>333</v>
      </c>
      <c r="AL195" s="11">
        <v>1033.596</v>
      </c>
      <c r="AM195" s="12" t="s">
        <v>333</v>
      </c>
      <c r="AN195" s="11">
        <v>501.48200000000003</v>
      </c>
      <c r="AO195" s="12" t="s">
        <v>333</v>
      </c>
      <c r="AP195" s="20">
        <v>0</v>
      </c>
      <c r="AQ195" s="12" t="s">
        <v>333</v>
      </c>
      <c r="AR195" s="20">
        <v>0</v>
      </c>
      <c r="AS195" s="12" t="s">
        <v>333</v>
      </c>
      <c r="AT195" s="20">
        <v>0</v>
      </c>
      <c r="AU195" s="12" t="s">
        <v>333</v>
      </c>
      <c r="AV195" s="11">
        <v>0.55900000000000005</v>
      </c>
      <c r="AW195" s="12" t="s">
        <v>333</v>
      </c>
      <c r="AX195" s="11">
        <v>838.79100000000005</v>
      </c>
      <c r="AY195" s="12" t="s">
        <v>333</v>
      </c>
      <c r="AZ195" s="11">
        <v>18.951000000000001</v>
      </c>
      <c r="BA195" s="12" t="s">
        <v>333</v>
      </c>
      <c r="BB195" s="11">
        <v>467.58300000000003</v>
      </c>
      <c r="BC195" s="12" t="s">
        <v>333</v>
      </c>
      <c r="BD195" s="11">
        <v>371.20800000000003</v>
      </c>
      <c r="BE195" s="12" t="s">
        <v>333</v>
      </c>
      <c r="BF195" s="20">
        <v>0</v>
      </c>
      <c r="BG195" s="12" t="s">
        <v>333</v>
      </c>
      <c r="BH195" s="20">
        <v>0</v>
      </c>
      <c r="BI195" s="12" t="s">
        <v>333</v>
      </c>
      <c r="BJ195" s="20">
        <v>0</v>
      </c>
      <c r="BK195" s="12" t="s">
        <v>333</v>
      </c>
      <c r="BL195" s="20">
        <v>646.04</v>
      </c>
      <c r="BM195" s="12" t="s">
        <v>333</v>
      </c>
      <c r="BN195" s="11">
        <v>31.984000000000002</v>
      </c>
      <c r="BO195" s="12" t="s">
        <v>333</v>
      </c>
      <c r="BP195" s="20">
        <v>0.08</v>
      </c>
      <c r="BQ195" s="12" t="s">
        <v>333</v>
      </c>
      <c r="BR195" s="20">
        <v>0</v>
      </c>
      <c r="BS195" s="12" t="s">
        <v>333</v>
      </c>
      <c r="BT195" s="20">
        <v>0</v>
      </c>
      <c r="BU195" s="12" t="s">
        <v>333</v>
      </c>
      <c r="BV195" s="11">
        <v>172.61799999999999</v>
      </c>
      <c r="BW195" s="12" t="s">
        <v>333</v>
      </c>
      <c r="BX195" s="11">
        <v>532.11400000000003</v>
      </c>
      <c r="BY195" s="12" t="s">
        <v>333</v>
      </c>
      <c r="BZ195" s="20">
        <v>819.84</v>
      </c>
      <c r="CA195" s="12" t="s">
        <v>333</v>
      </c>
      <c r="CB195" s="20">
        <v>0</v>
      </c>
      <c r="CC195" s="12" t="s">
        <v>333</v>
      </c>
    </row>
    <row r="196" spans="1:81" x14ac:dyDescent="0.2">
      <c r="A196" s="10" t="s">
        <v>572</v>
      </c>
      <c r="B196" s="81">
        <v>2E-3</v>
      </c>
      <c r="C196" s="82" t="s">
        <v>333</v>
      </c>
      <c r="D196" s="81">
        <v>2E-3</v>
      </c>
      <c r="E196" s="82" t="s">
        <v>333</v>
      </c>
      <c r="F196" s="81">
        <v>-2534.5709999999999</v>
      </c>
      <c r="G196" s="82" t="s">
        <v>333</v>
      </c>
      <c r="H196" s="81">
        <v>-2534.5709999999999</v>
      </c>
      <c r="I196" s="82" t="s">
        <v>333</v>
      </c>
      <c r="J196" s="83">
        <v>-1815.81</v>
      </c>
      <c r="K196" s="82" t="s">
        <v>333</v>
      </c>
      <c r="L196" s="81">
        <v>-718.76099999999997</v>
      </c>
      <c r="M196" s="82" t="s">
        <v>333</v>
      </c>
      <c r="N196" s="82" t="s">
        <v>202</v>
      </c>
      <c r="O196" s="82" t="s">
        <v>333</v>
      </c>
      <c r="P196" s="82" t="s">
        <v>202</v>
      </c>
      <c r="Q196" s="82" t="s">
        <v>333</v>
      </c>
      <c r="R196" s="82" t="s">
        <v>202</v>
      </c>
      <c r="S196" s="82" t="s">
        <v>333</v>
      </c>
      <c r="T196" s="82" t="s">
        <v>202</v>
      </c>
      <c r="U196" s="82" t="s">
        <v>333</v>
      </c>
      <c r="V196" s="82" t="s">
        <v>202</v>
      </c>
      <c r="W196" s="82" t="s">
        <v>333</v>
      </c>
      <c r="X196" s="81">
        <v>2534.5729999999999</v>
      </c>
      <c r="Y196" s="82" t="s">
        <v>333</v>
      </c>
      <c r="Z196" s="81">
        <v>2534.5729999999999</v>
      </c>
      <c r="AA196" s="82" t="s">
        <v>333</v>
      </c>
      <c r="AB196" s="83">
        <v>0</v>
      </c>
      <c r="AC196" s="82" t="s">
        <v>333</v>
      </c>
      <c r="AD196" s="83">
        <v>0</v>
      </c>
      <c r="AE196" s="82" t="s">
        <v>333</v>
      </c>
      <c r="AF196" s="83">
        <v>-249.71</v>
      </c>
      <c r="AG196" s="82" t="s">
        <v>333</v>
      </c>
      <c r="AH196" s="81">
        <v>-10740.987999999999</v>
      </c>
      <c r="AI196" s="82" t="s">
        <v>333</v>
      </c>
      <c r="AJ196" s="83">
        <v>0</v>
      </c>
      <c r="AK196" s="82" t="s">
        <v>333</v>
      </c>
      <c r="AL196" s="81">
        <v>12750.386</v>
      </c>
      <c r="AM196" s="82" t="s">
        <v>333</v>
      </c>
      <c r="AN196" s="81">
        <v>12750.386</v>
      </c>
      <c r="AO196" s="82" t="s">
        <v>333</v>
      </c>
      <c r="AP196" s="83">
        <v>0</v>
      </c>
      <c r="AQ196" s="82" t="s">
        <v>333</v>
      </c>
      <c r="AR196" s="81">
        <v>1025.633</v>
      </c>
      <c r="AS196" s="82" t="s">
        <v>333</v>
      </c>
      <c r="AT196" s="81">
        <v>1025.633</v>
      </c>
      <c r="AU196" s="82" t="s">
        <v>333</v>
      </c>
      <c r="AV196" s="83">
        <v>-17.66</v>
      </c>
      <c r="AW196" s="82" t="s">
        <v>333</v>
      </c>
      <c r="AX196" s="81">
        <v>-9.7579999999999991</v>
      </c>
      <c r="AY196" s="82" t="s">
        <v>333</v>
      </c>
      <c r="AZ196" s="81">
        <v>-9.7579999999999991</v>
      </c>
      <c r="BA196" s="82" t="s">
        <v>333</v>
      </c>
      <c r="BB196" s="81">
        <v>-1080.8820000000001</v>
      </c>
      <c r="BC196" s="82" t="s">
        <v>333</v>
      </c>
      <c r="BD196" s="81">
        <v>1071.124</v>
      </c>
      <c r="BE196" s="82" t="s">
        <v>333</v>
      </c>
      <c r="BF196" s="81">
        <v>899.976</v>
      </c>
      <c r="BG196" s="82" t="s">
        <v>333</v>
      </c>
      <c r="BH196" s="83">
        <v>1462.26</v>
      </c>
      <c r="BI196" s="82" t="s">
        <v>333</v>
      </c>
      <c r="BJ196" s="81">
        <v>-562.28399999999999</v>
      </c>
      <c r="BK196" s="82" t="s">
        <v>333</v>
      </c>
      <c r="BL196" s="83">
        <v>-1285</v>
      </c>
      <c r="BM196" s="82" t="s">
        <v>333</v>
      </c>
      <c r="BN196" s="81">
        <v>-188.87799999999999</v>
      </c>
      <c r="BO196" s="82" t="s">
        <v>333</v>
      </c>
      <c r="BP196" s="81">
        <v>9.4649999999999999</v>
      </c>
      <c r="BQ196" s="82" t="s">
        <v>333</v>
      </c>
      <c r="BR196" s="83">
        <v>0</v>
      </c>
      <c r="BS196" s="82" t="s">
        <v>333</v>
      </c>
      <c r="BT196" s="81">
        <v>-0.91400000000000003</v>
      </c>
      <c r="BU196" s="82" t="s">
        <v>333</v>
      </c>
      <c r="BV196" s="81">
        <v>342.02100000000002</v>
      </c>
      <c r="BW196" s="82" t="s">
        <v>333</v>
      </c>
      <c r="BX196" s="83">
        <v>0</v>
      </c>
      <c r="BY196" s="82" t="s">
        <v>333</v>
      </c>
      <c r="BZ196" s="83">
        <v>0</v>
      </c>
      <c r="CA196" s="82" t="s">
        <v>333</v>
      </c>
      <c r="CB196" s="83">
        <v>0</v>
      </c>
      <c r="CC196" s="82" t="s">
        <v>333</v>
      </c>
    </row>
    <row r="197" spans="1:81" x14ac:dyDescent="0.2">
      <c r="A197" s="10" t="s">
        <v>573</v>
      </c>
      <c r="B197" s="20">
        <v>0</v>
      </c>
      <c r="C197" s="12" t="s">
        <v>333</v>
      </c>
      <c r="D197" s="20">
        <v>0</v>
      </c>
      <c r="E197" s="12" t="s">
        <v>333</v>
      </c>
      <c r="F197" s="11">
        <v>5236.4660000000003</v>
      </c>
      <c r="G197" s="12" t="s">
        <v>333</v>
      </c>
      <c r="H197" s="11">
        <v>5236.4660000000003</v>
      </c>
      <c r="I197" s="12" t="s">
        <v>333</v>
      </c>
      <c r="J197" s="12" t="s">
        <v>202</v>
      </c>
      <c r="K197" s="12" t="s">
        <v>333</v>
      </c>
      <c r="L197" s="12" t="s">
        <v>202</v>
      </c>
      <c r="M197" s="12" t="s">
        <v>333</v>
      </c>
      <c r="N197" s="11">
        <v>5236.4660000000003</v>
      </c>
      <c r="O197" s="12" t="s">
        <v>333</v>
      </c>
      <c r="P197" s="12" t="s">
        <v>202</v>
      </c>
      <c r="Q197" s="12" t="s">
        <v>333</v>
      </c>
      <c r="R197" s="12" t="s">
        <v>202</v>
      </c>
      <c r="S197" s="12" t="s">
        <v>333</v>
      </c>
      <c r="T197" s="12" t="s">
        <v>202</v>
      </c>
      <c r="U197" s="12" t="s">
        <v>333</v>
      </c>
      <c r="V197" s="12" t="s">
        <v>202</v>
      </c>
      <c r="W197" s="12" t="s">
        <v>333</v>
      </c>
      <c r="X197" s="11">
        <v>-5236.4660000000003</v>
      </c>
      <c r="Y197" s="12" t="s">
        <v>333</v>
      </c>
      <c r="Z197" s="11">
        <v>-5236.4660000000003</v>
      </c>
      <c r="AA197" s="12" t="s">
        <v>333</v>
      </c>
      <c r="AB197" s="20">
        <v>0</v>
      </c>
      <c r="AC197" s="12" t="s">
        <v>333</v>
      </c>
      <c r="AD197" s="20">
        <v>0</v>
      </c>
      <c r="AE197" s="12" t="s">
        <v>333</v>
      </c>
      <c r="AF197" s="20">
        <v>0</v>
      </c>
      <c r="AG197" s="12" t="s">
        <v>333</v>
      </c>
      <c r="AH197" s="11">
        <v>-335.80399999999997</v>
      </c>
      <c r="AI197" s="12" t="s">
        <v>333</v>
      </c>
      <c r="AJ197" s="11">
        <v>-2E-3</v>
      </c>
      <c r="AK197" s="12" t="s">
        <v>333</v>
      </c>
      <c r="AL197" s="11">
        <v>-5.7030000000000003</v>
      </c>
      <c r="AM197" s="12" t="s">
        <v>333</v>
      </c>
      <c r="AN197" s="11">
        <v>-5.7030000000000003</v>
      </c>
      <c r="AO197" s="12" t="s">
        <v>333</v>
      </c>
      <c r="AP197" s="20">
        <v>0</v>
      </c>
      <c r="AQ197" s="12" t="s">
        <v>333</v>
      </c>
      <c r="AR197" s="11">
        <v>-1.381</v>
      </c>
      <c r="AS197" s="12" t="s">
        <v>333</v>
      </c>
      <c r="AT197" s="11">
        <v>-1.381</v>
      </c>
      <c r="AU197" s="12" t="s">
        <v>333</v>
      </c>
      <c r="AV197" s="20">
        <v>-75.38</v>
      </c>
      <c r="AW197" s="12" t="s">
        <v>333</v>
      </c>
      <c r="AX197" s="11">
        <v>-958.41800000000001</v>
      </c>
      <c r="AY197" s="12" t="s">
        <v>333</v>
      </c>
      <c r="AZ197" s="11">
        <v>-958.41800000000001</v>
      </c>
      <c r="BA197" s="12" t="s">
        <v>333</v>
      </c>
      <c r="BB197" s="20">
        <v>0</v>
      </c>
      <c r="BC197" s="12" t="s">
        <v>333</v>
      </c>
      <c r="BD197" s="11">
        <v>-958.41800000000001</v>
      </c>
      <c r="BE197" s="12" t="s">
        <v>333</v>
      </c>
      <c r="BF197" s="11">
        <v>-3321.2269999999999</v>
      </c>
      <c r="BG197" s="12" t="s">
        <v>333</v>
      </c>
      <c r="BH197" s="11">
        <v>-1.2290000000000001</v>
      </c>
      <c r="BI197" s="12" t="s">
        <v>333</v>
      </c>
      <c r="BJ197" s="11">
        <v>-3319.998</v>
      </c>
      <c r="BK197" s="12" t="s">
        <v>333</v>
      </c>
      <c r="BL197" s="11">
        <v>-106.221</v>
      </c>
      <c r="BM197" s="12" t="s">
        <v>333</v>
      </c>
      <c r="BN197" s="11">
        <v>-129.46600000000001</v>
      </c>
      <c r="BO197" s="12" t="s">
        <v>333</v>
      </c>
      <c r="BP197" s="20">
        <v>0</v>
      </c>
      <c r="BQ197" s="12" t="s">
        <v>333</v>
      </c>
      <c r="BR197" s="20">
        <v>0</v>
      </c>
      <c r="BS197" s="12" t="s">
        <v>333</v>
      </c>
      <c r="BT197" s="11">
        <v>-0.33200000000000002</v>
      </c>
      <c r="BU197" s="12" t="s">
        <v>333</v>
      </c>
      <c r="BV197" s="11">
        <v>-302.53199999999998</v>
      </c>
      <c r="BW197" s="12" t="s">
        <v>333</v>
      </c>
      <c r="BX197" s="20">
        <v>0</v>
      </c>
      <c r="BY197" s="12" t="s">
        <v>333</v>
      </c>
      <c r="BZ197" s="20">
        <v>0</v>
      </c>
      <c r="CA197" s="12" t="s">
        <v>333</v>
      </c>
      <c r="CB197" s="20">
        <v>0</v>
      </c>
      <c r="CC197" s="12" t="s">
        <v>333</v>
      </c>
    </row>
    <row r="198" spans="1:81" x14ac:dyDescent="0.2">
      <c r="A198" s="10" t="s">
        <v>574</v>
      </c>
      <c r="B198" s="81">
        <v>11632.477999999999</v>
      </c>
      <c r="C198" s="82" t="s">
        <v>333</v>
      </c>
      <c r="D198" s="81">
        <v>10280.523999999999</v>
      </c>
      <c r="E198" s="82" t="s">
        <v>333</v>
      </c>
      <c r="F198" s="81">
        <v>11632.477999999999</v>
      </c>
      <c r="G198" s="82" t="s">
        <v>333</v>
      </c>
      <c r="H198" s="81">
        <v>10280.523999999999</v>
      </c>
      <c r="I198" s="82" t="s">
        <v>333</v>
      </c>
      <c r="J198" s="83">
        <v>1815.81</v>
      </c>
      <c r="K198" s="82" t="s">
        <v>333</v>
      </c>
      <c r="L198" s="81">
        <v>4402.3819999999996</v>
      </c>
      <c r="M198" s="82" t="s">
        <v>333</v>
      </c>
      <c r="N198" s="81">
        <v>3528.866</v>
      </c>
      <c r="O198" s="82" t="s">
        <v>333</v>
      </c>
      <c r="P198" s="81">
        <v>533.46600000000001</v>
      </c>
      <c r="Q198" s="82" t="s">
        <v>333</v>
      </c>
      <c r="R198" s="83">
        <v>1885.42</v>
      </c>
      <c r="S198" s="82" t="s">
        <v>333</v>
      </c>
      <c r="T198" s="81">
        <v>1351.954</v>
      </c>
      <c r="U198" s="82" t="s">
        <v>333</v>
      </c>
      <c r="V198" s="83">
        <v>0</v>
      </c>
      <c r="W198" s="82" t="s">
        <v>333</v>
      </c>
      <c r="X198" s="82" t="s">
        <v>202</v>
      </c>
      <c r="Y198" s="82" t="s">
        <v>333</v>
      </c>
      <c r="Z198" s="82" t="s">
        <v>202</v>
      </c>
      <c r="AA198" s="82" t="s">
        <v>333</v>
      </c>
      <c r="AB198" s="82" t="s">
        <v>202</v>
      </c>
      <c r="AC198" s="82" t="s">
        <v>333</v>
      </c>
      <c r="AD198" s="82" t="s">
        <v>202</v>
      </c>
      <c r="AE198" s="82" t="s">
        <v>333</v>
      </c>
      <c r="AF198" s="82" t="s">
        <v>202</v>
      </c>
      <c r="AG198" s="82" t="s">
        <v>333</v>
      </c>
      <c r="AH198" s="82" t="s">
        <v>202</v>
      </c>
      <c r="AI198" s="82" t="s">
        <v>333</v>
      </c>
      <c r="AJ198" s="82" t="s">
        <v>202</v>
      </c>
      <c r="AK198" s="82" t="s">
        <v>333</v>
      </c>
      <c r="AL198" s="82" t="s">
        <v>202</v>
      </c>
      <c r="AM198" s="82" t="s">
        <v>333</v>
      </c>
      <c r="AN198" s="82" t="s">
        <v>202</v>
      </c>
      <c r="AO198" s="82" t="s">
        <v>333</v>
      </c>
      <c r="AP198" s="82" t="s">
        <v>202</v>
      </c>
      <c r="AQ198" s="82" t="s">
        <v>333</v>
      </c>
      <c r="AR198" s="82" t="s">
        <v>202</v>
      </c>
      <c r="AS198" s="82" t="s">
        <v>333</v>
      </c>
      <c r="AT198" s="82" t="s">
        <v>202</v>
      </c>
      <c r="AU198" s="82" t="s">
        <v>333</v>
      </c>
      <c r="AV198" s="82" t="s">
        <v>202</v>
      </c>
      <c r="AW198" s="82" t="s">
        <v>333</v>
      </c>
      <c r="AX198" s="82" t="s">
        <v>202</v>
      </c>
      <c r="AY198" s="82" t="s">
        <v>333</v>
      </c>
      <c r="AZ198" s="82" t="s">
        <v>202</v>
      </c>
      <c r="BA198" s="82" t="s">
        <v>333</v>
      </c>
      <c r="BB198" s="82" t="s">
        <v>202</v>
      </c>
      <c r="BC198" s="82" t="s">
        <v>333</v>
      </c>
      <c r="BD198" s="82" t="s">
        <v>202</v>
      </c>
      <c r="BE198" s="82" t="s">
        <v>333</v>
      </c>
      <c r="BF198" s="82" t="s">
        <v>202</v>
      </c>
      <c r="BG198" s="82" t="s">
        <v>333</v>
      </c>
      <c r="BH198" s="82" t="s">
        <v>202</v>
      </c>
      <c r="BI198" s="82" t="s">
        <v>333</v>
      </c>
      <c r="BJ198" s="82" t="s">
        <v>202</v>
      </c>
      <c r="BK198" s="82" t="s">
        <v>333</v>
      </c>
      <c r="BL198" s="82" t="s">
        <v>202</v>
      </c>
      <c r="BM198" s="82" t="s">
        <v>333</v>
      </c>
      <c r="BN198" s="82" t="s">
        <v>202</v>
      </c>
      <c r="BO198" s="82" t="s">
        <v>333</v>
      </c>
      <c r="BP198" s="82" t="s">
        <v>202</v>
      </c>
      <c r="BQ198" s="82" t="s">
        <v>333</v>
      </c>
      <c r="BR198" s="82" t="s">
        <v>202</v>
      </c>
      <c r="BS198" s="82" t="s">
        <v>333</v>
      </c>
      <c r="BT198" s="82" t="s">
        <v>202</v>
      </c>
      <c r="BU198" s="82" t="s">
        <v>333</v>
      </c>
      <c r="BV198" s="82" t="s">
        <v>202</v>
      </c>
      <c r="BW198" s="82" t="s">
        <v>333</v>
      </c>
      <c r="BX198" s="82" t="s">
        <v>202</v>
      </c>
      <c r="BY198" s="82" t="s">
        <v>333</v>
      </c>
      <c r="BZ198" s="82" t="s">
        <v>202</v>
      </c>
      <c r="CA198" s="82" t="s">
        <v>333</v>
      </c>
      <c r="CB198" s="82" t="s">
        <v>202</v>
      </c>
      <c r="CC198" s="82" t="s">
        <v>333</v>
      </c>
    </row>
    <row r="199" spans="1:81" x14ac:dyDescent="0.2">
      <c r="A199" s="10" t="s">
        <v>575</v>
      </c>
      <c r="B199" s="11">
        <v>13418.505999999999</v>
      </c>
      <c r="C199" s="12" t="s">
        <v>333</v>
      </c>
      <c r="D199" s="11">
        <v>13418.505999999999</v>
      </c>
      <c r="E199" s="12" t="s">
        <v>333</v>
      </c>
      <c r="F199" s="11">
        <v>3683.6210000000001</v>
      </c>
      <c r="G199" s="12" t="s">
        <v>333</v>
      </c>
      <c r="H199" s="11">
        <v>3683.6210000000001</v>
      </c>
      <c r="I199" s="12" t="s">
        <v>333</v>
      </c>
      <c r="J199" s="20">
        <v>0</v>
      </c>
      <c r="K199" s="12" t="s">
        <v>333</v>
      </c>
      <c r="L199" s="11">
        <v>3683.6210000000001</v>
      </c>
      <c r="M199" s="12" t="s">
        <v>333</v>
      </c>
      <c r="N199" s="12" t="s">
        <v>202</v>
      </c>
      <c r="O199" s="12" t="s">
        <v>333</v>
      </c>
      <c r="P199" s="12" t="s">
        <v>202</v>
      </c>
      <c r="Q199" s="12" t="s">
        <v>333</v>
      </c>
      <c r="R199" s="12" t="s">
        <v>202</v>
      </c>
      <c r="S199" s="12" t="s">
        <v>333</v>
      </c>
      <c r="T199" s="12" t="s">
        <v>202</v>
      </c>
      <c r="U199" s="12" t="s">
        <v>333</v>
      </c>
      <c r="V199" s="12" t="s">
        <v>202</v>
      </c>
      <c r="W199" s="12" t="s">
        <v>333</v>
      </c>
      <c r="X199" s="11">
        <v>9734.8850000000002</v>
      </c>
      <c r="Y199" s="12" t="s">
        <v>333</v>
      </c>
      <c r="Z199" s="11">
        <v>9734.8850000000002</v>
      </c>
      <c r="AA199" s="12" t="s">
        <v>333</v>
      </c>
      <c r="AB199" s="11">
        <v>2039.8579999999999</v>
      </c>
      <c r="AC199" s="12" t="s">
        <v>333</v>
      </c>
      <c r="AD199" s="20">
        <v>0</v>
      </c>
      <c r="AE199" s="12" t="s">
        <v>333</v>
      </c>
      <c r="AF199" s="11">
        <v>2179.6419999999998</v>
      </c>
      <c r="AG199" s="12" t="s">
        <v>333</v>
      </c>
      <c r="AH199" s="11">
        <v>5466.6049999999996</v>
      </c>
      <c r="AI199" s="12" t="s">
        <v>333</v>
      </c>
      <c r="AJ199" s="20">
        <v>0</v>
      </c>
      <c r="AK199" s="12" t="s">
        <v>333</v>
      </c>
      <c r="AL199" s="20">
        <v>0</v>
      </c>
      <c r="AM199" s="12" t="s">
        <v>333</v>
      </c>
      <c r="AN199" s="20">
        <v>0</v>
      </c>
      <c r="AO199" s="12" t="s">
        <v>333</v>
      </c>
      <c r="AP199" s="20">
        <v>0</v>
      </c>
      <c r="AQ199" s="12" t="s">
        <v>333</v>
      </c>
      <c r="AR199" s="20">
        <v>0</v>
      </c>
      <c r="AS199" s="12" t="s">
        <v>333</v>
      </c>
      <c r="AT199" s="20">
        <v>0</v>
      </c>
      <c r="AU199" s="12" t="s">
        <v>333</v>
      </c>
      <c r="AV199" s="11">
        <v>39.636000000000003</v>
      </c>
      <c r="AW199" s="12" t="s">
        <v>333</v>
      </c>
      <c r="AX199" s="11">
        <v>0.82199999999999995</v>
      </c>
      <c r="AY199" s="12" t="s">
        <v>333</v>
      </c>
      <c r="AZ199" s="11">
        <v>0.82199999999999995</v>
      </c>
      <c r="BA199" s="12" t="s">
        <v>333</v>
      </c>
      <c r="BB199" s="20">
        <v>0</v>
      </c>
      <c r="BC199" s="12" t="s">
        <v>333</v>
      </c>
      <c r="BD199" s="11">
        <v>0.82199999999999995</v>
      </c>
      <c r="BE199" s="12" t="s">
        <v>333</v>
      </c>
      <c r="BF199" s="20">
        <v>0</v>
      </c>
      <c r="BG199" s="12" t="s">
        <v>333</v>
      </c>
      <c r="BH199" s="20">
        <v>0</v>
      </c>
      <c r="BI199" s="12" t="s">
        <v>333</v>
      </c>
      <c r="BJ199" s="20">
        <v>0</v>
      </c>
      <c r="BK199" s="12" t="s">
        <v>333</v>
      </c>
      <c r="BL199" s="20">
        <v>0</v>
      </c>
      <c r="BM199" s="12" t="s">
        <v>333</v>
      </c>
      <c r="BN199" s="11">
        <v>0.94399999999999995</v>
      </c>
      <c r="BO199" s="12" t="s">
        <v>333</v>
      </c>
      <c r="BP199" s="11">
        <v>1E-3</v>
      </c>
      <c r="BQ199" s="12" t="s">
        <v>333</v>
      </c>
      <c r="BR199" s="20">
        <v>0</v>
      </c>
      <c r="BS199" s="12" t="s">
        <v>333</v>
      </c>
      <c r="BT199" s="20">
        <v>0</v>
      </c>
      <c r="BU199" s="12" t="s">
        <v>333</v>
      </c>
      <c r="BV199" s="11">
        <v>7.3769999999999998</v>
      </c>
      <c r="BW199" s="12" t="s">
        <v>333</v>
      </c>
      <c r="BX199" s="20">
        <v>0</v>
      </c>
      <c r="BY199" s="12" t="s">
        <v>333</v>
      </c>
      <c r="BZ199" s="20">
        <v>0</v>
      </c>
      <c r="CA199" s="12" t="s">
        <v>333</v>
      </c>
      <c r="CB199" s="20">
        <v>0</v>
      </c>
      <c r="CC199" s="12" t="s">
        <v>333</v>
      </c>
    </row>
    <row r="200" spans="1:81" x14ac:dyDescent="0.2">
      <c r="A200" s="10" t="s">
        <v>576</v>
      </c>
      <c r="B200" s="81">
        <v>2039.8579999999999</v>
      </c>
      <c r="C200" s="82" t="s">
        <v>333</v>
      </c>
      <c r="D200" s="81">
        <v>2039.8579999999999</v>
      </c>
      <c r="E200" s="82" t="s">
        <v>333</v>
      </c>
      <c r="F200" s="83">
        <v>0</v>
      </c>
      <c r="G200" s="82" t="s">
        <v>333</v>
      </c>
      <c r="H200" s="83">
        <v>0</v>
      </c>
      <c r="I200" s="82" t="s">
        <v>333</v>
      </c>
      <c r="J200" s="83">
        <v>0</v>
      </c>
      <c r="K200" s="82" t="s">
        <v>333</v>
      </c>
      <c r="L200" s="83">
        <v>0</v>
      </c>
      <c r="M200" s="82" t="s">
        <v>333</v>
      </c>
      <c r="N200" s="82" t="s">
        <v>202</v>
      </c>
      <c r="O200" s="82" t="s">
        <v>333</v>
      </c>
      <c r="P200" s="82" t="s">
        <v>202</v>
      </c>
      <c r="Q200" s="82" t="s">
        <v>333</v>
      </c>
      <c r="R200" s="82" t="s">
        <v>202</v>
      </c>
      <c r="S200" s="82" t="s">
        <v>333</v>
      </c>
      <c r="T200" s="82" t="s">
        <v>202</v>
      </c>
      <c r="U200" s="82" t="s">
        <v>333</v>
      </c>
      <c r="V200" s="82" t="s">
        <v>202</v>
      </c>
      <c r="W200" s="82" t="s">
        <v>333</v>
      </c>
      <c r="X200" s="81">
        <v>2039.8579999999999</v>
      </c>
      <c r="Y200" s="82" t="s">
        <v>333</v>
      </c>
      <c r="Z200" s="81">
        <v>2039.8579999999999</v>
      </c>
      <c r="AA200" s="82" t="s">
        <v>333</v>
      </c>
      <c r="AB200" s="81">
        <v>2039.8579999999999</v>
      </c>
      <c r="AC200" s="82" t="s">
        <v>333</v>
      </c>
      <c r="AD200" s="83">
        <v>0</v>
      </c>
      <c r="AE200" s="82" t="s">
        <v>333</v>
      </c>
      <c r="AF200" s="83">
        <v>0</v>
      </c>
      <c r="AG200" s="82" t="s">
        <v>333</v>
      </c>
      <c r="AH200" s="83">
        <v>0</v>
      </c>
      <c r="AI200" s="82" t="s">
        <v>333</v>
      </c>
      <c r="AJ200" s="83">
        <v>0</v>
      </c>
      <c r="AK200" s="82" t="s">
        <v>333</v>
      </c>
      <c r="AL200" s="83">
        <v>0</v>
      </c>
      <c r="AM200" s="82" t="s">
        <v>333</v>
      </c>
      <c r="AN200" s="83">
        <v>0</v>
      </c>
      <c r="AO200" s="82" t="s">
        <v>333</v>
      </c>
      <c r="AP200" s="83">
        <v>0</v>
      </c>
      <c r="AQ200" s="82" t="s">
        <v>333</v>
      </c>
      <c r="AR200" s="83">
        <v>0</v>
      </c>
      <c r="AS200" s="82" t="s">
        <v>333</v>
      </c>
      <c r="AT200" s="83">
        <v>0</v>
      </c>
      <c r="AU200" s="82" t="s">
        <v>333</v>
      </c>
      <c r="AV200" s="83">
        <v>0</v>
      </c>
      <c r="AW200" s="82" t="s">
        <v>333</v>
      </c>
      <c r="AX200" s="83">
        <v>0</v>
      </c>
      <c r="AY200" s="82" t="s">
        <v>333</v>
      </c>
      <c r="AZ200" s="83">
        <v>0</v>
      </c>
      <c r="BA200" s="82" t="s">
        <v>333</v>
      </c>
      <c r="BB200" s="83">
        <v>0</v>
      </c>
      <c r="BC200" s="82" t="s">
        <v>333</v>
      </c>
      <c r="BD200" s="83">
        <v>0</v>
      </c>
      <c r="BE200" s="82" t="s">
        <v>333</v>
      </c>
      <c r="BF200" s="83">
        <v>0</v>
      </c>
      <c r="BG200" s="82" t="s">
        <v>333</v>
      </c>
      <c r="BH200" s="83">
        <v>0</v>
      </c>
      <c r="BI200" s="82" t="s">
        <v>333</v>
      </c>
      <c r="BJ200" s="83">
        <v>0</v>
      </c>
      <c r="BK200" s="82" t="s">
        <v>333</v>
      </c>
      <c r="BL200" s="83">
        <v>0</v>
      </c>
      <c r="BM200" s="82" t="s">
        <v>333</v>
      </c>
      <c r="BN200" s="83">
        <v>0</v>
      </c>
      <c r="BO200" s="82" t="s">
        <v>333</v>
      </c>
      <c r="BP200" s="83">
        <v>0</v>
      </c>
      <c r="BQ200" s="82" t="s">
        <v>333</v>
      </c>
      <c r="BR200" s="83">
        <v>0</v>
      </c>
      <c r="BS200" s="82" t="s">
        <v>333</v>
      </c>
      <c r="BT200" s="83">
        <v>0</v>
      </c>
      <c r="BU200" s="82" t="s">
        <v>333</v>
      </c>
      <c r="BV200" s="83">
        <v>0</v>
      </c>
      <c r="BW200" s="82" t="s">
        <v>333</v>
      </c>
      <c r="BX200" s="83">
        <v>0</v>
      </c>
      <c r="BY200" s="82" t="s">
        <v>333</v>
      </c>
      <c r="BZ200" s="83">
        <v>0</v>
      </c>
      <c r="CA200" s="82" t="s">
        <v>333</v>
      </c>
      <c r="CB200" s="83">
        <v>0</v>
      </c>
      <c r="CC200" s="82" t="s">
        <v>333</v>
      </c>
    </row>
    <row r="201" spans="1:81" x14ac:dyDescent="0.2">
      <c r="A201" s="10" t="s">
        <v>577</v>
      </c>
      <c r="B201" s="11">
        <v>7850.2370000000001</v>
      </c>
      <c r="C201" s="12" t="s">
        <v>333</v>
      </c>
      <c r="D201" s="11">
        <v>7850.2370000000001</v>
      </c>
      <c r="E201" s="12" t="s">
        <v>333</v>
      </c>
      <c r="F201" s="11">
        <v>2574.799</v>
      </c>
      <c r="G201" s="12" t="s">
        <v>333</v>
      </c>
      <c r="H201" s="11">
        <v>2574.799</v>
      </c>
      <c r="I201" s="12" t="s">
        <v>333</v>
      </c>
      <c r="J201" s="20">
        <v>0</v>
      </c>
      <c r="K201" s="12" t="s">
        <v>333</v>
      </c>
      <c r="L201" s="11">
        <v>2574.799</v>
      </c>
      <c r="M201" s="12" t="s">
        <v>333</v>
      </c>
      <c r="N201" s="12" t="s">
        <v>202</v>
      </c>
      <c r="O201" s="12" t="s">
        <v>333</v>
      </c>
      <c r="P201" s="12" t="s">
        <v>202</v>
      </c>
      <c r="Q201" s="12" t="s">
        <v>333</v>
      </c>
      <c r="R201" s="12" t="s">
        <v>202</v>
      </c>
      <c r="S201" s="12" t="s">
        <v>333</v>
      </c>
      <c r="T201" s="12" t="s">
        <v>202</v>
      </c>
      <c r="U201" s="12" t="s">
        <v>333</v>
      </c>
      <c r="V201" s="12" t="s">
        <v>202</v>
      </c>
      <c r="W201" s="12" t="s">
        <v>333</v>
      </c>
      <c r="X201" s="11">
        <v>5275.4380000000001</v>
      </c>
      <c r="Y201" s="12" t="s">
        <v>333</v>
      </c>
      <c r="Z201" s="11">
        <v>5275.4380000000001</v>
      </c>
      <c r="AA201" s="12" t="s">
        <v>333</v>
      </c>
      <c r="AB201" s="20">
        <v>0</v>
      </c>
      <c r="AC201" s="12" t="s">
        <v>333</v>
      </c>
      <c r="AD201" s="20">
        <v>0</v>
      </c>
      <c r="AE201" s="12" t="s">
        <v>333</v>
      </c>
      <c r="AF201" s="11">
        <v>1513.6690000000001</v>
      </c>
      <c r="AG201" s="12" t="s">
        <v>333</v>
      </c>
      <c r="AH201" s="20">
        <v>3726.51</v>
      </c>
      <c r="AI201" s="12" t="s">
        <v>333</v>
      </c>
      <c r="AJ201" s="20">
        <v>0</v>
      </c>
      <c r="AK201" s="12" t="s">
        <v>333</v>
      </c>
      <c r="AL201" s="20">
        <v>0</v>
      </c>
      <c r="AM201" s="12" t="s">
        <v>333</v>
      </c>
      <c r="AN201" s="20">
        <v>0</v>
      </c>
      <c r="AO201" s="12" t="s">
        <v>333</v>
      </c>
      <c r="AP201" s="20">
        <v>0</v>
      </c>
      <c r="AQ201" s="12" t="s">
        <v>333</v>
      </c>
      <c r="AR201" s="20">
        <v>0</v>
      </c>
      <c r="AS201" s="12" t="s">
        <v>333</v>
      </c>
      <c r="AT201" s="20">
        <v>0</v>
      </c>
      <c r="AU201" s="12" t="s">
        <v>333</v>
      </c>
      <c r="AV201" s="11">
        <v>29.234999999999999</v>
      </c>
      <c r="AW201" s="12" t="s">
        <v>333</v>
      </c>
      <c r="AX201" s="11">
        <v>0.57299999999999995</v>
      </c>
      <c r="AY201" s="12" t="s">
        <v>333</v>
      </c>
      <c r="AZ201" s="11">
        <v>0.57299999999999995</v>
      </c>
      <c r="BA201" s="12" t="s">
        <v>333</v>
      </c>
      <c r="BB201" s="20">
        <v>0</v>
      </c>
      <c r="BC201" s="12" t="s">
        <v>333</v>
      </c>
      <c r="BD201" s="11">
        <v>0.57299999999999995</v>
      </c>
      <c r="BE201" s="12" t="s">
        <v>333</v>
      </c>
      <c r="BF201" s="20">
        <v>0</v>
      </c>
      <c r="BG201" s="12" t="s">
        <v>333</v>
      </c>
      <c r="BH201" s="20">
        <v>0</v>
      </c>
      <c r="BI201" s="12" t="s">
        <v>333</v>
      </c>
      <c r="BJ201" s="20">
        <v>0</v>
      </c>
      <c r="BK201" s="12" t="s">
        <v>333</v>
      </c>
      <c r="BL201" s="20">
        <v>0</v>
      </c>
      <c r="BM201" s="12" t="s">
        <v>333</v>
      </c>
      <c r="BN201" s="20">
        <v>0</v>
      </c>
      <c r="BO201" s="12" t="s">
        <v>333</v>
      </c>
      <c r="BP201" s="11">
        <v>1E-3</v>
      </c>
      <c r="BQ201" s="12" t="s">
        <v>333</v>
      </c>
      <c r="BR201" s="20">
        <v>0</v>
      </c>
      <c r="BS201" s="12" t="s">
        <v>333</v>
      </c>
      <c r="BT201" s="20">
        <v>0</v>
      </c>
      <c r="BU201" s="12" t="s">
        <v>333</v>
      </c>
      <c r="BV201" s="20">
        <v>5.45</v>
      </c>
      <c r="BW201" s="12" t="s">
        <v>333</v>
      </c>
      <c r="BX201" s="20">
        <v>0</v>
      </c>
      <c r="BY201" s="12" t="s">
        <v>333</v>
      </c>
      <c r="BZ201" s="20">
        <v>0</v>
      </c>
      <c r="CA201" s="12" t="s">
        <v>333</v>
      </c>
      <c r="CB201" s="20">
        <v>0</v>
      </c>
      <c r="CC201" s="12" t="s">
        <v>333</v>
      </c>
    </row>
    <row r="202" spans="1:81" x14ac:dyDescent="0.2">
      <c r="A202" s="10" t="s">
        <v>578</v>
      </c>
      <c r="B202" s="81">
        <v>25269.829000000002</v>
      </c>
      <c r="C202" s="82" t="s">
        <v>333</v>
      </c>
      <c r="D202" s="82" t="s">
        <v>202</v>
      </c>
      <c r="E202" s="82" t="s">
        <v>333</v>
      </c>
      <c r="F202" s="82" t="s">
        <v>202</v>
      </c>
      <c r="G202" s="82" t="s">
        <v>333</v>
      </c>
      <c r="H202" s="82" t="s">
        <v>202</v>
      </c>
      <c r="I202" s="82" t="s">
        <v>333</v>
      </c>
      <c r="J202" s="82" t="s">
        <v>202</v>
      </c>
      <c r="K202" s="82" t="s">
        <v>333</v>
      </c>
      <c r="L202" s="82" t="s">
        <v>202</v>
      </c>
      <c r="M202" s="82" t="s">
        <v>333</v>
      </c>
      <c r="N202" s="82" t="s">
        <v>202</v>
      </c>
      <c r="O202" s="82" t="s">
        <v>333</v>
      </c>
      <c r="P202" s="82" t="s">
        <v>202</v>
      </c>
      <c r="Q202" s="82" t="s">
        <v>333</v>
      </c>
      <c r="R202" s="82" t="s">
        <v>202</v>
      </c>
      <c r="S202" s="82" t="s">
        <v>333</v>
      </c>
      <c r="T202" s="82" t="s">
        <v>202</v>
      </c>
      <c r="U202" s="82" t="s">
        <v>333</v>
      </c>
      <c r="V202" s="82" t="s">
        <v>202</v>
      </c>
      <c r="W202" s="82" t="s">
        <v>333</v>
      </c>
      <c r="X202" s="82" t="s">
        <v>202</v>
      </c>
      <c r="Y202" s="82" t="s">
        <v>333</v>
      </c>
      <c r="Z202" s="82" t="s">
        <v>202</v>
      </c>
      <c r="AA202" s="82" t="s">
        <v>333</v>
      </c>
      <c r="AB202" s="82" t="s">
        <v>202</v>
      </c>
      <c r="AC202" s="82" t="s">
        <v>333</v>
      </c>
      <c r="AD202" s="82" t="s">
        <v>202</v>
      </c>
      <c r="AE202" s="82" t="s">
        <v>333</v>
      </c>
      <c r="AF202" s="82" t="s">
        <v>202</v>
      </c>
      <c r="AG202" s="82" t="s">
        <v>333</v>
      </c>
      <c r="AH202" s="82" t="s">
        <v>202</v>
      </c>
      <c r="AI202" s="82" t="s">
        <v>333</v>
      </c>
      <c r="AJ202" s="82" t="s">
        <v>202</v>
      </c>
      <c r="AK202" s="82" t="s">
        <v>333</v>
      </c>
      <c r="AL202" s="82" t="s">
        <v>202</v>
      </c>
      <c r="AM202" s="82" t="s">
        <v>333</v>
      </c>
      <c r="AN202" s="82" t="s">
        <v>202</v>
      </c>
      <c r="AO202" s="82" t="s">
        <v>333</v>
      </c>
      <c r="AP202" s="82" t="s">
        <v>202</v>
      </c>
      <c r="AQ202" s="82" t="s">
        <v>333</v>
      </c>
      <c r="AR202" s="82" t="s">
        <v>202</v>
      </c>
      <c r="AS202" s="82" t="s">
        <v>333</v>
      </c>
      <c r="AT202" s="82" t="s">
        <v>202</v>
      </c>
      <c r="AU202" s="82" t="s">
        <v>333</v>
      </c>
      <c r="AV202" s="82" t="s">
        <v>202</v>
      </c>
      <c r="AW202" s="82" t="s">
        <v>333</v>
      </c>
      <c r="AX202" s="82" t="s">
        <v>202</v>
      </c>
      <c r="AY202" s="82" t="s">
        <v>333</v>
      </c>
      <c r="AZ202" s="82" t="s">
        <v>202</v>
      </c>
      <c r="BA202" s="82" t="s">
        <v>333</v>
      </c>
      <c r="BB202" s="82" t="s">
        <v>202</v>
      </c>
      <c r="BC202" s="82" t="s">
        <v>333</v>
      </c>
      <c r="BD202" s="82" t="s">
        <v>202</v>
      </c>
      <c r="BE202" s="82" t="s">
        <v>333</v>
      </c>
      <c r="BF202" s="82" t="s">
        <v>202</v>
      </c>
      <c r="BG202" s="82" t="s">
        <v>333</v>
      </c>
      <c r="BH202" s="82" t="s">
        <v>202</v>
      </c>
      <c r="BI202" s="82" t="s">
        <v>333</v>
      </c>
      <c r="BJ202" s="82" t="s">
        <v>202</v>
      </c>
      <c r="BK202" s="82" t="s">
        <v>333</v>
      </c>
      <c r="BL202" s="82" t="s">
        <v>202</v>
      </c>
      <c r="BM202" s="82" t="s">
        <v>333</v>
      </c>
      <c r="BN202" s="82" t="s">
        <v>202</v>
      </c>
      <c r="BO202" s="82" t="s">
        <v>333</v>
      </c>
      <c r="BP202" s="82" t="s">
        <v>202</v>
      </c>
      <c r="BQ202" s="82" t="s">
        <v>333</v>
      </c>
      <c r="BR202" s="82" t="s">
        <v>202</v>
      </c>
      <c r="BS202" s="82" t="s">
        <v>333</v>
      </c>
      <c r="BT202" s="82" t="s">
        <v>202</v>
      </c>
      <c r="BU202" s="82" t="s">
        <v>333</v>
      </c>
      <c r="BV202" s="82" t="s">
        <v>202</v>
      </c>
      <c r="BW202" s="82" t="s">
        <v>333</v>
      </c>
      <c r="BX202" s="82" t="s">
        <v>202</v>
      </c>
      <c r="BY202" s="82" t="s">
        <v>333</v>
      </c>
      <c r="BZ202" s="82" t="s">
        <v>202</v>
      </c>
      <c r="CA202" s="82" t="s">
        <v>333</v>
      </c>
      <c r="CB202" s="82" t="s">
        <v>202</v>
      </c>
      <c r="CC202" s="82" t="s">
        <v>333</v>
      </c>
    </row>
    <row r="203" spans="1:81" x14ac:dyDescent="0.2">
      <c r="A203" s="10" t="s">
        <v>579</v>
      </c>
      <c r="B203" s="11">
        <v>9889.3420000000006</v>
      </c>
      <c r="C203" s="12" t="s">
        <v>333</v>
      </c>
      <c r="D203" s="12" t="s">
        <v>202</v>
      </c>
      <c r="E203" s="12" t="s">
        <v>333</v>
      </c>
      <c r="F203" s="12" t="s">
        <v>202</v>
      </c>
      <c r="G203" s="12" t="s">
        <v>333</v>
      </c>
      <c r="H203" s="12" t="s">
        <v>202</v>
      </c>
      <c r="I203" s="12" t="s">
        <v>333</v>
      </c>
      <c r="J203" s="12" t="s">
        <v>202</v>
      </c>
      <c r="K203" s="12" t="s">
        <v>333</v>
      </c>
      <c r="L203" s="12" t="s">
        <v>202</v>
      </c>
      <c r="M203" s="12" t="s">
        <v>333</v>
      </c>
      <c r="N203" s="12" t="s">
        <v>202</v>
      </c>
      <c r="O203" s="12" t="s">
        <v>333</v>
      </c>
      <c r="P203" s="12" t="s">
        <v>202</v>
      </c>
      <c r="Q203" s="12" t="s">
        <v>333</v>
      </c>
      <c r="R203" s="12" t="s">
        <v>202</v>
      </c>
      <c r="S203" s="12" t="s">
        <v>333</v>
      </c>
      <c r="T203" s="12" t="s">
        <v>202</v>
      </c>
      <c r="U203" s="12" t="s">
        <v>333</v>
      </c>
      <c r="V203" s="12" t="s">
        <v>202</v>
      </c>
      <c r="W203" s="12" t="s">
        <v>333</v>
      </c>
      <c r="X203" s="12" t="s">
        <v>202</v>
      </c>
      <c r="Y203" s="12" t="s">
        <v>333</v>
      </c>
      <c r="Z203" s="12" t="s">
        <v>202</v>
      </c>
      <c r="AA203" s="12" t="s">
        <v>333</v>
      </c>
      <c r="AB203" s="12" t="s">
        <v>202</v>
      </c>
      <c r="AC203" s="12" t="s">
        <v>333</v>
      </c>
      <c r="AD203" s="12" t="s">
        <v>202</v>
      </c>
      <c r="AE203" s="12" t="s">
        <v>333</v>
      </c>
      <c r="AF203" s="12" t="s">
        <v>202</v>
      </c>
      <c r="AG203" s="12" t="s">
        <v>333</v>
      </c>
      <c r="AH203" s="12" t="s">
        <v>202</v>
      </c>
      <c r="AI203" s="12" t="s">
        <v>333</v>
      </c>
      <c r="AJ203" s="12" t="s">
        <v>202</v>
      </c>
      <c r="AK203" s="12" t="s">
        <v>333</v>
      </c>
      <c r="AL203" s="12" t="s">
        <v>202</v>
      </c>
      <c r="AM203" s="12" t="s">
        <v>333</v>
      </c>
      <c r="AN203" s="12" t="s">
        <v>202</v>
      </c>
      <c r="AO203" s="12" t="s">
        <v>333</v>
      </c>
      <c r="AP203" s="12" t="s">
        <v>202</v>
      </c>
      <c r="AQ203" s="12" t="s">
        <v>333</v>
      </c>
      <c r="AR203" s="12" t="s">
        <v>202</v>
      </c>
      <c r="AS203" s="12" t="s">
        <v>333</v>
      </c>
      <c r="AT203" s="12" t="s">
        <v>202</v>
      </c>
      <c r="AU203" s="12" t="s">
        <v>333</v>
      </c>
      <c r="AV203" s="12" t="s">
        <v>202</v>
      </c>
      <c r="AW203" s="12" t="s">
        <v>333</v>
      </c>
      <c r="AX203" s="12" t="s">
        <v>202</v>
      </c>
      <c r="AY203" s="12" t="s">
        <v>333</v>
      </c>
      <c r="AZ203" s="12" t="s">
        <v>202</v>
      </c>
      <c r="BA203" s="12" t="s">
        <v>333</v>
      </c>
      <c r="BB203" s="12" t="s">
        <v>202</v>
      </c>
      <c r="BC203" s="12" t="s">
        <v>333</v>
      </c>
      <c r="BD203" s="12" t="s">
        <v>202</v>
      </c>
      <c r="BE203" s="12" t="s">
        <v>333</v>
      </c>
      <c r="BF203" s="12" t="s">
        <v>202</v>
      </c>
      <c r="BG203" s="12" t="s">
        <v>333</v>
      </c>
      <c r="BH203" s="12" t="s">
        <v>202</v>
      </c>
      <c r="BI203" s="12" t="s">
        <v>333</v>
      </c>
      <c r="BJ203" s="12" t="s">
        <v>202</v>
      </c>
      <c r="BK203" s="12" t="s">
        <v>333</v>
      </c>
      <c r="BL203" s="12" t="s">
        <v>202</v>
      </c>
      <c r="BM203" s="12" t="s">
        <v>333</v>
      </c>
      <c r="BN203" s="12" t="s">
        <v>202</v>
      </c>
      <c r="BO203" s="12" t="s">
        <v>333</v>
      </c>
      <c r="BP203" s="12" t="s">
        <v>202</v>
      </c>
      <c r="BQ203" s="12" t="s">
        <v>333</v>
      </c>
      <c r="BR203" s="12" t="s">
        <v>202</v>
      </c>
      <c r="BS203" s="12" t="s">
        <v>333</v>
      </c>
      <c r="BT203" s="12" t="s">
        <v>202</v>
      </c>
      <c r="BU203" s="12" t="s">
        <v>333</v>
      </c>
      <c r="BV203" s="12" t="s">
        <v>202</v>
      </c>
      <c r="BW203" s="12" t="s">
        <v>333</v>
      </c>
      <c r="BX203" s="12" t="s">
        <v>202</v>
      </c>
      <c r="BY203" s="12" t="s">
        <v>333</v>
      </c>
      <c r="BZ203" s="12" t="s">
        <v>202</v>
      </c>
      <c r="CA203" s="12" t="s">
        <v>333</v>
      </c>
      <c r="CB203" s="12" t="s">
        <v>202</v>
      </c>
      <c r="CC203" s="12" t="s">
        <v>333</v>
      </c>
    </row>
    <row r="205" spans="1:81" x14ac:dyDescent="0.2">
      <c r="A205" s="7" t="s">
        <v>335</v>
      </c>
    </row>
    <row r="206" spans="1:81" x14ac:dyDescent="0.2">
      <c r="A206" s="7" t="s">
        <v>202</v>
      </c>
      <c r="B206" s="5" t="s">
        <v>336</v>
      </c>
    </row>
  </sheetData>
  <mergeCells count="40">
    <mergeCell ref="BV10:BW10"/>
    <mergeCell ref="BX10:BY10"/>
    <mergeCell ref="BZ10:CA10"/>
    <mergeCell ref="CB10:CC10"/>
    <mergeCell ref="BJ10:BK10"/>
    <mergeCell ref="BL10:BM10"/>
    <mergeCell ref="BN10:BO10"/>
    <mergeCell ref="BP10:BQ10"/>
    <mergeCell ref="BR10:BS10"/>
    <mergeCell ref="BT10:BU10"/>
    <mergeCell ref="BH10:BI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AJ10:AK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L10:M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A103-126E-6F46-B277-0C81E8B3D39E}">
  <sheetPr>
    <tabColor rgb="FFDAEEF3"/>
  </sheetPr>
  <dimension ref="A1:AU5"/>
  <sheetViews>
    <sheetView topLeftCell="Y1" zoomScaleNormal="100" workbookViewId="0">
      <selection activeCell="A11" sqref="A11"/>
    </sheetView>
  </sheetViews>
  <sheetFormatPr baseColWidth="10" defaultRowHeight="16" x14ac:dyDescent="0.2"/>
  <cols>
    <col min="1" max="1" width="62" bestFit="1" customWidth="1"/>
    <col min="2" max="2" width="15.5" bestFit="1" customWidth="1"/>
    <col min="3" max="3" width="11.5" bestFit="1" customWidth="1"/>
    <col min="4" max="4" width="11.83203125" bestFit="1" customWidth="1"/>
    <col min="5" max="5" width="13.6640625" bestFit="1" customWidth="1"/>
    <col min="6" max="6" width="17.6640625" bestFit="1" customWidth="1"/>
    <col min="7" max="7" width="9.33203125" bestFit="1" customWidth="1"/>
    <col min="8" max="8" width="21" bestFit="1" customWidth="1"/>
    <col min="9" max="9" width="41.33203125" bestFit="1" customWidth="1"/>
    <col min="10" max="10" width="64.6640625" bestFit="1" customWidth="1"/>
    <col min="11" max="11" width="85" bestFit="1" customWidth="1"/>
    <col min="12" max="12" width="7.6640625" bestFit="1" customWidth="1"/>
    <col min="13" max="13" width="14.6640625" bestFit="1" customWidth="1"/>
    <col min="14" max="14" width="15.33203125" bestFit="1" customWidth="1"/>
    <col min="15" max="15" width="40" bestFit="1" customWidth="1"/>
    <col min="16" max="16" width="19.6640625" bestFit="1" customWidth="1"/>
    <col min="17" max="17" width="16.1640625" bestFit="1" customWidth="1"/>
    <col min="18" max="18" width="15.5" bestFit="1" customWidth="1"/>
    <col min="19" max="19" width="10" bestFit="1" customWidth="1"/>
    <col min="20" max="20" width="30.1640625" bestFit="1" customWidth="1"/>
    <col min="21" max="21" width="10.1640625" bestFit="1" customWidth="1"/>
    <col min="22" max="22" width="6" bestFit="1" customWidth="1"/>
    <col min="23" max="23" width="20.33203125" bestFit="1" customWidth="1"/>
    <col min="24" max="24" width="8" bestFit="1" customWidth="1"/>
    <col min="25" max="25" width="13.5" bestFit="1" customWidth="1"/>
    <col min="26" max="26" width="11.83203125" bestFit="1" customWidth="1"/>
    <col min="27" max="27" width="32" bestFit="1" customWidth="1"/>
    <col min="28" max="28" width="16.6640625" bestFit="1" customWidth="1"/>
    <col min="29" max="29" width="17" bestFit="1" customWidth="1"/>
    <col min="30" max="30" width="36.83203125" bestFit="1" customWidth="1"/>
    <col min="31" max="31" width="12.1640625" bestFit="1" customWidth="1"/>
    <col min="32" max="32" width="16.6640625" bestFit="1" customWidth="1"/>
    <col min="33" max="33" width="36.6640625" bestFit="1" customWidth="1"/>
    <col min="34" max="34" width="9.5" bestFit="1" customWidth="1"/>
    <col min="35" max="35" width="18.83203125" bestFit="1" customWidth="1"/>
    <col min="36" max="36" width="6.5" bestFit="1" customWidth="1"/>
    <col min="37" max="37" width="20.1640625" bestFit="1" customWidth="1"/>
    <col min="38" max="38" width="21.83203125" bestFit="1" customWidth="1"/>
    <col min="39" max="39" width="40.83203125" bestFit="1" customWidth="1"/>
    <col min="40" max="40" width="8.6640625" bestFit="1" customWidth="1"/>
    <col min="41" max="41" width="11.83203125" bestFit="1" customWidth="1"/>
    <col min="42" max="42" width="12.33203125" bestFit="1" customWidth="1"/>
    <col min="43" max="43" width="7" bestFit="1" customWidth="1"/>
    <col min="44" max="44" width="18.83203125" bestFit="1" customWidth="1"/>
    <col min="45" max="45" width="15.83203125" bestFit="1" customWidth="1"/>
    <col min="46" max="46" width="14.83203125" bestFit="1" customWidth="1"/>
    <col min="47" max="47" width="19" bestFit="1" customWidth="1"/>
  </cols>
  <sheetData>
    <row r="1" spans="1:47" x14ac:dyDescent="0.2">
      <c r="A1" s="13" t="s">
        <v>334</v>
      </c>
      <c r="B1" s="80" t="s">
        <v>13</v>
      </c>
      <c r="C1" s="80" t="s">
        <v>15</v>
      </c>
      <c r="D1" s="80" t="s">
        <v>14</v>
      </c>
      <c r="E1" s="80" t="s">
        <v>16</v>
      </c>
      <c r="F1" s="80" t="s">
        <v>17</v>
      </c>
      <c r="G1" s="80" t="s">
        <v>45</v>
      </c>
      <c r="H1" s="80" t="s">
        <v>22</v>
      </c>
      <c r="I1" s="80" t="s">
        <v>340</v>
      </c>
      <c r="J1" s="80" t="s">
        <v>341</v>
      </c>
      <c r="K1" s="80" t="s">
        <v>342</v>
      </c>
      <c r="L1" s="80" t="s">
        <v>23</v>
      </c>
      <c r="M1" s="80" t="s">
        <v>24</v>
      </c>
      <c r="N1" s="80" t="s">
        <v>25</v>
      </c>
      <c r="O1" s="80" t="s">
        <v>26</v>
      </c>
      <c r="P1" s="80" t="s">
        <v>354</v>
      </c>
      <c r="Q1" s="80" t="s">
        <v>353</v>
      </c>
      <c r="R1" s="80" t="s">
        <v>27</v>
      </c>
      <c r="S1" s="80" t="s">
        <v>343</v>
      </c>
      <c r="T1" s="80" t="s">
        <v>344</v>
      </c>
      <c r="U1" s="80" t="s">
        <v>28</v>
      </c>
      <c r="V1" s="80" t="s">
        <v>29</v>
      </c>
      <c r="W1" s="80" t="s">
        <v>30</v>
      </c>
      <c r="X1" s="80" t="s">
        <v>36</v>
      </c>
      <c r="Y1" s="80" t="s">
        <v>32</v>
      </c>
      <c r="Z1" s="80" t="s">
        <v>345</v>
      </c>
      <c r="AA1" s="80" t="s">
        <v>31</v>
      </c>
      <c r="AB1" s="80" t="s">
        <v>33</v>
      </c>
      <c r="AC1" s="80" t="s">
        <v>346</v>
      </c>
      <c r="AD1" s="80" t="s">
        <v>34</v>
      </c>
      <c r="AE1" s="80" t="s">
        <v>35</v>
      </c>
      <c r="AF1" s="80" t="s">
        <v>347</v>
      </c>
      <c r="AG1" s="80" t="s">
        <v>37</v>
      </c>
      <c r="AH1" s="80" t="s">
        <v>348</v>
      </c>
      <c r="AI1" s="80" t="s">
        <v>349</v>
      </c>
      <c r="AJ1" s="80" t="s">
        <v>38</v>
      </c>
      <c r="AK1" s="80" t="s">
        <v>350</v>
      </c>
      <c r="AL1" s="80" t="s">
        <v>351</v>
      </c>
      <c r="AM1" s="80" t="s">
        <v>39</v>
      </c>
      <c r="AN1" s="80" t="s">
        <v>40</v>
      </c>
      <c r="AO1" s="80" t="s">
        <v>43</v>
      </c>
      <c r="AP1" s="80" t="s">
        <v>42</v>
      </c>
      <c r="AQ1" s="80" t="s">
        <v>41</v>
      </c>
      <c r="AR1" s="80" t="s">
        <v>352</v>
      </c>
      <c r="AS1" s="80" t="s">
        <v>58</v>
      </c>
      <c r="AT1" s="80" t="s">
        <v>60</v>
      </c>
      <c r="AU1" s="80" t="s">
        <v>62</v>
      </c>
    </row>
    <row r="2" spans="1:47" x14ac:dyDescent="0.2">
      <c r="A2" s="8" t="s">
        <v>322</v>
      </c>
      <c r="B2" s="9" t="s">
        <v>333</v>
      </c>
      <c r="C2" s="9" t="s">
        <v>333</v>
      </c>
      <c r="D2" s="9" t="s">
        <v>333</v>
      </c>
      <c r="E2" s="9" t="s">
        <v>333</v>
      </c>
      <c r="F2" s="9" t="s">
        <v>333</v>
      </c>
      <c r="G2" s="9" t="s">
        <v>333</v>
      </c>
      <c r="H2" s="9" t="s">
        <v>333</v>
      </c>
      <c r="I2" s="9" t="s">
        <v>333</v>
      </c>
      <c r="J2" s="9" t="s">
        <v>333</v>
      </c>
      <c r="K2" s="9" t="s">
        <v>333</v>
      </c>
      <c r="L2" s="9" t="s">
        <v>333</v>
      </c>
      <c r="M2" s="9" t="s">
        <v>333</v>
      </c>
      <c r="N2" s="9" t="s">
        <v>333</v>
      </c>
      <c r="O2" s="9" t="s">
        <v>333</v>
      </c>
      <c r="P2" s="9" t="s">
        <v>333</v>
      </c>
      <c r="Q2" s="9" t="s">
        <v>333</v>
      </c>
      <c r="R2" s="9" t="s">
        <v>333</v>
      </c>
      <c r="S2" s="9" t="s">
        <v>333</v>
      </c>
      <c r="T2" s="9" t="s">
        <v>333</v>
      </c>
      <c r="U2" s="9" t="s">
        <v>333</v>
      </c>
      <c r="V2" s="9" t="s">
        <v>333</v>
      </c>
      <c r="W2" s="9" t="s">
        <v>333</v>
      </c>
      <c r="X2" s="9" t="s">
        <v>333</v>
      </c>
      <c r="Y2" s="9" t="s">
        <v>333</v>
      </c>
      <c r="Z2" s="9" t="s">
        <v>333</v>
      </c>
      <c r="AA2" s="9" t="s">
        <v>333</v>
      </c>
      <c r="AB2" s="9" t="s">
        <v>333</v>
      </c>
      <c r="AC2" s="9" t="s">
        <v>333</v>
      </c>
      <c r="AD2" s="9" t="s">
        <v>333</v>
      </c>
      <c r="AE2" s="9" t="s">
        <v>333</v>
      </c>
      <c r="AF2" s="9" t="s">
        <v>333</v>
      </c>
      <c r="AG2" s="9" t="s">
        <v>333</v>
      </c>
      <c r="AH2" s="9" t="s">
        <v>333</v>
      </c>
      <c r="AI2" s="9" t="s">
        <v>333</v>
      </c>
      <c r="AJ2" s="9" t="s">
        <v>333</v>
      </c>
      <c r="AK2" s="9" t="s">
        <v>333</v>
      </c>
      <c r="AL2" s="9" t="s">
        <v>333</v>
      </c>
      <c r="AM2" s="9" t="s">
        <v>333</v>
      </c>
      <c r="AN2" s="9" t="s">
        <v>333</v>
      </c>
      <c r="AO2" s="9" t="s">
        <v>333</v>
      </c>
      <c r="AP2" s="9" t="s">
        <v>333</v>
      </c>
      <c r="AQ2" s="9" t="s">
        <v>333</v>
      </c>
      <c r="AR2" s="9" t="s">
        <v>333</v>
      </c>
      <c r="AS2" s="9" t="s">
        <v>333</v>
      </c>
      <c r="AT2" s="9" t="s">
        <v>333</v>
      </c>
      <c r="AU2" s="9" t="s">
        <v>333</v>
      </c>
    </row>
    <row r="3" spans="1:47" x14ac:dyDescent="0.2">
      <c r="A3" s="10" t="s">
        <v>283</v>
      </c>
      <c r="B3" s="85">
        <f>IF(INDEX('EUROSTAT CB GAS'!$A$10:$M$125,MATCH($A3,'EUROSTAT CB GAS'!$A$10:$A$125,0),MATCH('EUROSTAT CB summary'!B$1,'EUROSTAT CB GAS'!$A$10:$M$10,0))=":",0,INDEX('EUROSTAT CB GAS'!$A$10:$M$125,MATCH($A3,'EUROSTAT CB GAS'!$A$10:$A$125,0),MATCH('EUROSTAT CB summary'!B$1,'EUROSTAT CB GAS'!$A$10:$M$10,0)))</f>
        <v>0</v>
      </c>
      <c r="C3" s="85">
        <f>IF(INDEX('EUROSTAT CB GAS'!$A$10:$M$125,MATCH($A3,'EUROSTAT CB GAS'!$A$10:$A$125,0),MATCH('EUROSTAT CB summary'!C$1,'EUROSTAT CB GAS'!$A$10:$M$10,0))=":",0,INDEX('EUROSTAT CB GAS'!$A$10:$M$125,MATCH($A3,'EUROSTAT CB GAS'!$A$10:$A$125,0),MATCH('EUROSTAT CB summary'!C$1,'EUROSTAT CB GAS'!$A$10:$M$10,0)))</f>
        <v>0</v>
      </c>
      <c r="D3" s="85">
        <f>IF(INDEX('EUROSTAT CB GAS'!$A$10:$M$125,MATCH($A3,'EUROSTAT CB GAS'!$A$10:$A$125,0),MATCH('EUROSTAT CB summary'!D$1,'EUROSTAT CB GAS'!$A$10:$M$10,0))=":",0,INDEX('EUROSTAT CB GAS'!$A$10:$M$125,MATCH($A3,'EUROSTAT CB GAS'!$A$10:$A$125,0),MATCH('EUROSTAT CB summary'!D$1,'EUROSTAT CB GAS'!$A$10:$M$10,0)))</f>
        <v>0</v>
      </c>
      <c r="E3" s="85">
        <f>IF(INDEX('EUROSTAT CB GAS'!$A$10:$M$125,MATCH($A3,'EUROSTAT CB GAS'!$A$10:$A$125,0),MATCH('EUROSTAT CB summary'!E$1,'EUROSTAT CB GAS'!$A$10:$M$10,0))=":",0,INDEX('EUROSTAT CB GAS'!$A$10:$M$125,MATCH($A3,'EUROSTAT CB GAS'!$A$10:$A$125,0),MATCH('EUROSTAT CB summary'!E$1,'EUROSTAT CB GAS'!$A$10:$M$10,0)))</f>
        <v>0</v>
      </c>
      <c r="F3" s="85">
        <f>IF(INDEX('EUROSTAT CB GAS'!$A$10:$M$125,MATCH($A3,'EUROSTAT CB GAS'!$A$10:$A$125,0),MATCH('EUROSTAT CB summary'!F$1,'EUROSTAT CB GAS'!$A$10:$M$10,0))=":",0,INDEX('EUROSTAT CB GAS'!$A$10:$M$125,MATCH($A3,'EUROSTAT CB GAS'!$A$10:$A$125,0),MATCH('EUROSTAT CB summary'!F$1,'EUROSTAT CB GAS'!$A$10:$M$10,0)))</f>
        <v>0</v>
      </c>
      <c r="G3" s="85">
        <f>IF(INDEX('EUROSTAT CB GAS'!$A$10:$M$125,MATCH($A3,'EUROSTAT CB GAS'!$A$10:$A$125,0),MATCH('EUROSTAT CB summary'!G$1,'EUROSTAT CB GAS'!$A$10:$M$10,0))=":",0,INDEX('EUROSTAT CB GAS'!$A$10:$M$125,MATCH($A3,'EUROSTAT CB GAS'!$A$10:$A$125,0),MATCH('EUROSTAT CB summary'!G$1,'EUROSTAT CB GAS'!$A$10:$M$10,0)))</f>
        <v>74420.880999999994</v>
      </c>
      <c r="H3" s="85">
        <f>IF(INDEX('EUROSTAT CB OIL'!$A$10:$CC$203,MATCH($A3,'EUROSTAT CB OIL'!$A$10:$A$203,0),MATCH(H$1,'EUROSTAT CB OIL'!$A$10:$CC$10,0))=":",0,INDEX('EUROSTAT CB OIL'!$A$10:$CC$203,MATCH($A3,'EUROSTAT CB OIL'!$A$10:$A$203,0),MATCH(H$1,'EUROSTAT CB OIL'!$A$10:$CC$10,0)))</f>
        <v>8700.2579999999998</v>
      </c>
      <c r="I3" s="85">
        <f>IF(INDEX('EUROSTAT CB OIL'!$A$10:$CC$203,MATCH($A3,'EUROSTAT CB OIL'!$A$10:$A$203,0),MATCH(I$1,'EUROSTAT CB OIL'!$A$10:$CC$10,0))=":",0,INDEX('EUROSTAT CB OIL'!$A$10:$CC$203,MATCH($A3,'EUROSTAT CB OIL'!$A$10:$A$203,0),MATCH(I$1,'EUROSTAT CB OIL'!$A$10:$CC$10,0)))</f>
        <v>8700.2579999999998</v>
      </c>
      <c r="J3" s="85">
        <f>IF(INDEX('EUROSTAT CB OIL'!$A$10:$CC$203,MATCH($A3,'EUROSTAT CB OIL'!$A$10:$A$203,0),MATCH(J$1,'EUROSTAT CB OIL'!$A$10:$CC$10,0))=":",0,INDEX('EUROSTAT CB OIL'!$A$10:$CC$203,MATCH($A3,'EUROSTAT CB OIL'!$A$10:$A$203,0),MATCH(J$1,'EUROSTAT CB OIL'!$A$10:$CC$10,0)))</f>
        <v>2574.799</v>
      </c>
      <c r="K3" s="85">
        <f>IF(INDEX('EUROSTAT CB OIL'!$A$10:$CC$203,MATCH($A3,'EUROSTAT CB OIL'!$A$10:$A$203,0),MATCH(K$1,'EUROSTAT CB OIL'!$A$10:$CC$10,0))=":",0,INDEX('EUROSTAT CB OIL'!$A$10:$CC$203,MATCH($A3,'EUROSTAT CB OIL'!$A$10:$A$203,0),MATCH(K$1,'EUROSTAT CB OIL'!$A$10:$CC$10,0)))</f>
        <v>2574.799</v>
      </c>
      <c r="L3" s="85">
        <f>IF(INDEX('EUROSTAT CB OIL'!$A$10:$CC$203,MATCH($A3,'EUROSTAT CB OIL'!$A$10:$A$203,0),MATCH(L$1,'EUROSTAT CB OIL'!$A$10:$CC$10,0))=":",0,INDEX('EUROSTAT CB OIL'!$A$10:$CC$203,MATCH($A3,'EUROSTAT CB OIL'!$A$10:$A$203,0),MATCH(L$1,'EUROSTAT CB OIL'!$A$10:$CC$10,0)))</f>
        <v>0</v>
      </c>
      <c r="M3" s="85">
        <f>IF(INDEX('EUROSTAT CB OIL'!$A$10:$CC$203,MATCH($A3,'EUROSTAT CB OIL'!$A$10:$A$203,0),MATCH(M$1,'EUROSTAT CB OIL'!$A$10:$CC$10,0))=":",0,INDEX('EUROSTAT CB OIL'!$A$10:$CC$203,MATCH($A3,'EUROSTAT CB OIL'!$A$10:$A$203,0),MATCH(M$1,'EUROSTAT CB OIL'!$A$10:$CC$10,0)))</f>
        <v>2574.799</v>
      </c>
      <c r="N3" s="85">
        <f>IF(INDEX('EUROSTAT CB OIL'!$A$10:$CC$203,MATCH($A3,'EUROSTAT CB OIL'!$A$10:$A$203,0),MATCH(N$1,'EUROSTAT CB OIL'!$A$10:$CC$10,0))=":",0,INDEX('EUROSTAT CB OIL'!$A$10:$CC$203,MATCH($A3,'EUROSTAT CB OIL'!$A$10:$A$203,0),MATCH(N$1,'EUROSTAT CB OIL'!$A$10:$CC$10,0)))</f>
        <v>0</v>
      </c>
      <c r="O3" s="85">
        <f>IF(INDEX('EUROSTAT CB OIL'!$A$10:$CC$203,MATCH($A3,'EUROSTAT CB OIL'!$A$10:$A$203,0),MATCH(O$1,'EUROSTAT CB OIL'!$A$10:$CC$10,0))=":",0,INDEX('EUROSTAT CB OIL'!$A$10:$CC$203,MATCH($A3,'EUROSTAT CB OIL'!$A$10:$A$203,0),MATCH(O$1,'EUROSTAT CB OIL'!$A$10:$CC$10,0)))</f>
        <v>0</v>
      </c>
      <c r="P3" s="85">
        <f>IF(INDEX('EUROSTAT CB OIL'!$A$10:$CC$203,MATCH($A3,'EUROSTAT CB OIL'!$A$10:$A$203,0),MATCH(P$1,'EUROSTAT CB OIL'!$A$10:$CC$10,0))=":",0,INDEX('EUROSTAT CB OIL'!$A$10:$CC$203,MATCH($A3,'EUROSTAT CB OIL'!$A$10:$A$203,0),MATCH(P$1,'EUROSTAT CB OIL'!$A$10:$CC$10,0)))</f>
        <v>0</v>
      </c>
      <c r="Q3" s="85">
        <f>IF(INDEX('EUROSTAT CB OIL'!$A$10:$CC$203,MATCH($A3,'EUROSTAT CB OIL'!$A$10:$A$203,0),MATCH(Q$1,'EUROSTAT CB OIL'!$A$10:$CC$10,0))=":",0,INDEX('EUROSTAT CB OIL'!$A$10:$CC$203,MATCH($A3,'EUROSTAT CB OIL'!$A$10:$A$203,0),MATCH(Q$1,'EUROSTAT CB OIL'!$A$10:$CC$10,0)))</f>
        <v>0</v>
      </c>
      <c r="R3" s="85">
        <f>IF(INDEX('EUROSTAT CB OIL'!$A$10:$CC$203,MATCH($A3,'EUROSTAT CB OIL'!$A$10:$A$203,0),MATCH(R$1,'EUROSTAT CB OIL'!$A$10:$CC$10,0))=":",0,INDEX('EUROSTAT CB OIL'!$A$10:$CC$203,MATCH($A3,'EUROSTAT CB OIL'!$A$10:$A$203,0),MATCH(R$1,'EUROSTAT CB OIL'!$A$10:$CC$10,0)))</f>
        <v>0</v>
      </c>
      <c r="S3" s="85">
        <f>IF(INDEX('EUROSTAT CB OIL'!$A$10:$CC$203,MATCH($A3,'EUROSTAT CB OIL'!$A$10:$A$203,0),MATCH(S$1,'EUROSTAT CB OIL'!$A$10:$CC$10,0))=":",0,INDEX('EUROSTAT CB OIL'!$A$10:$CC$203,MATCH($A3,'EUROSTAT CB OIL'!$A$10:$A$203,0),MATCH(S$1,'EUROSTAT CB OIL'!$A$10:$CC$10,0)))</f>
        <v>6125.4589999999998</v>
      </c>
      <c r="T3" s="85">
        <f>IF(INDEX('EUROSTAT CB OIL'!$A$10:$CC$203,MATCH($A3,'EUROSTAT CB OIL'!$A$10:$A$203,0),MATCH(T$1,'EUROSTAT CB OIL'!$A$10:$CC$10,0))=":",0,INDEX('EUROSTAT CB OIL'!$A$10:$CC$203,MATCH($A3,'EUROSTAT CB OIL'!$A$10:$A$203,0),MATCH(T$1,'EUROSTAT CB OIL'!$A$10:$CC$10,0)))</f>
        <v>6125.4589999999998</v>
      </c>
      <c r="U3" s="85">
        <f>IF(INDEX('EUROSTAT CB OIL'!$A$10:$CC$203,MATCH($A3,'EUROSTAT CB OIL'!$A$10:$A$203,0),MATCH(U$1,'EUROSTAT CB OIL'!$A$10:$CC$10,0))=":",0,INDEX('EUROSTAT CB OIL'!$A$10:$CC$203,MATCH($A3,'EUROSTAT CB OIL'!$A$10:$A$203,0),MATCH(U$1,'EUROSTAT CB OIL'!$A$10:$CC$10,0)))</f>
        <v>0</v>
      </c>
      <c r="V3" s="85">
        <f>IF(INDEX('EUROSTAT CB OIL'!$A$10:$CC$203,MATCH($A3,'EUROSTAT CB OIL'!$A$10:$A$203,0),MATCH(V$1,'EUROSTAT CB OIL'!$A$10:$CC$10,0))=":",0,INDEX('EUROSTAT CB OIL'!$A$10:$CC$203,MATCH($A3,'EUROSTAT CB OIL'!$A$10:$A$203,0),MATCH(V$1,'EUROSTAT CB OIL'!$A$10:$CC$10,0)))</f>
        <v>0</v>
      </c>
      <c r="W3" s="85">
        <f>IF(INDEX('EUROSTAT CB OIL'!$A$10:$CC$203,MATCH($A3,'EUROSTAT CB OIL'!$A$10:$A$203,0),MATCH(W$1,'EUROSTAT CB OIL'!$A$10:$CC$10,0))=":",0,INDEX('EUROSTAT CB OIL'!$A$10:$CC$203,MATCH($A3,'EUROSTAT CB OIL'!$A$10:$A$203,0),MATCH(W$1,'EUROSTAT CB OIL'!$A$10:$CC$10,0)))</f>
        <v>1529.626</v>
      </c>
      <c r="X3" s="85">
        <f>IF(INDEX('EUROSTAT CB OIL'!$A$10:$CC$203,MATCH($A3,'EUROSTAT CB OIL'!$A$10:$A$203,0),MATCH(X$1,'EUROSTAT CB OIL'!$A$10:$CC$10,0))=":",0,INDEX('EUROSTAT CB OIL'!$A$10:$CC$203,MATCH($A3,'EUROSTAT CB OIL'!$A$10:$A$203,0),MATCH(X$1,'EUROSTAT CB OIL'!$A$10:$CC$10,0)))</f>
        <v>3726.51</v>
      </c>
      <c r="Y3" s="85">
        <f>IF(INDEX('EUROSTAT CB OIL'!$A$10:$CC$203,MATCH($A3,'EUROSTAT CB OIL'!$A$10:$A$203,0),MATCH(Y$1,'EUROSTAT CB OIL'!$A$10:$CC$10,0))=":",0,INDEX('EUROSTAT CB OIL'!$A$10:$CC$203,MATCH($A3,'EUROSTAT CB OIL'!$A$10:$A$203,0),MATCH(Y$1,'EUROSTAT CB OIL'!$A$10:$CC$10,0)))</f>
        <v>0</v>
      </c>
      <c r="Z3" s="85">
        <f>IF(INDEX('EUROSTAT CB OIL'!$A$10:$CC$203,MATCH($A3,'EUROSTAT CB OIL'!$A$10:$A$203,0),MATCH(Z$1,'EUROSTAT CB OIL'!$A$10:$CC$10,0))=":",0,INDEX('EUROSTAT CB OIL'!$A$10:$CC$203,MATCH($A3,'EUROSTAT CB OIL'!$A$10:$A$203,0),MATCH(Z$1,'EUROSTAT CB OIL'!$A$10:$CC$10,0)))</f>
        <v>0</v>
      </c>
      <c r="AA3" s="85">
        <f>IF(INDEX('EUROSTAT CB OIL'!$A$10:$CC$203,MATCH($A3,'EUROSTAT CB OIL'!$A$10:$A$203,0),MATCH(AA$1,'EUROSTAT CB OIL'!$A$10:$CC$10,0))=":",0,INDEX('EUROSTAT CB OIL'!$A$10:$CC$203,MATCH($A3,'EUROSTAT CB OIL'!$A$10:$A$203,0),MATCH(AA$1,'EUROSTAT CB OIL'!$A$10:$CC$10,0)))</f>
        <v>0</v>
      </c>
      <c r="AB3" s="85">
        <f>IF(INDEX('EUROSTAT CB OIL'!$A$10:$CC$203,MATCH($A3,'EUROSTAT CB OIL'!$A$10:$A$203,0),MATCH(AB$1,'EUROSTAT CB OIL'!$A$10:$CC$10,0))=":",0,INDEX('EUROSTAT CB OIL'!$A$10:$CC$203,MATCH($A3,'EUROSTAT CB OIL'!$A$10:$A$203,0),MATCH(AB$1,'EUROSTAT CB OIL'!$A$10:$CC$10,0)))</f>
        <v>0</v>
      </c>
      <c r="AC3" s="85">
        <f>IF(INDEX('EUROSTAT CB OIL'!$A$10:$CC$203,MATCH($A3,'EUROSTAT CB OIL'!$A$10:$A$203,0),MATCH(AC$1,'EUROSTAT CB OIL'!$A$10:$CC$10,0))=":",0,INDEX('EUROSTAT CB OIL'!$A$10:$CC$203,MATCH($A3,'EUROSTAT CB OIL'!$A$10:$A$203,0),MATCH(AC$1,'EUROSTAT CB OIL'!$A$10:$CC$10,0)))</f>
        <v>0</v>
      </c>
      <c r="AD3" s="85">
        <f>IF(INDEX('EUROSTAT CB OIL'!$A$10:$CC$203,MATCH($A3,'EUROSTAT CB OIL'!$A$10:$A$203,0),MATCH(AD$1,'EUROSTAT CB OIL'!$A$10:$CC$10,0))=":",0,INDEX('EUROSTAT CB OIL'!$A$10:$CC$203,MATCH($A3,'EUROSTAT CB OIL'!$A$10:$A$203,0),MATCH(AD$1,'EUROSTAT CB OIL'!$A$10:$CC$10,0)))</f>
        <v>0</v>
      </c>
      <c r="AE3" s="85">
        <f>IF(INDEX('EUROSTAT CB OIL'!$A$10:$CC$203,MATCH($A3,'EUROSTAT CB OIL'!$A$10:$A$203,0),MATCH(AE$1,'EUROSTAT CB OIL'!$A$10:$CC$10,0))=":",0,INDEX('EUROSTAT CB OIL'!$A$10:$CC$203,MATCH($A3,'EUROSTAT CB OIL'!$A$10:$A$203,0),MATCH(AE$1,'EUROSTAT CB OIL'!$A$10:$CC$10,0)))</f>
        <v>30.916</v>
      </c>
      <c r="AF3" s="85">
        <f>IF(INDEX('EUROSTAT CB OIL'!$A$10:$CC$203,MATCH($A3,'EUROSTAT CB OIL'!$A$10:$A$203,0),MATCH(AF$1,'EUROSTAT CB OIL'!$A$10:$CC$10,0))=":",0,INDEX('EUROSTAT CB OIL'!$A$10:$CC$203,MATCH($A3,'EUROSTAT CB OIL'!$A$10:$A$203,0),MATCH(AF$1,'EUROSTAT CB OIL'!$A$10:$CC$10,0)))</f>
        <v>0.57299999999999995</v>
      </c>
      <c r="AG3" s="85">
        <f>IF(INDEX('EUROSTAT CB OIL'!$A$10:$CC$203,MATCH($A3,'EUROSTAT CB OIL'!$A$10:$A$203,0),MATCH(AG$1,'EUROSTAT CB OIL'!$A$10:$CC$10,0))=":",0,INDEX('EUROSTAT CB OIL'!$A$10:$CC$203,MATCH($A3,'EUROSTAT CB OIL'!$A$10:$A$203,0),MATCH(AG$1,'EUROSTAT CB OIL'!$A$10:$CC$10,0)))</f>
        <v>0.57299999999999995</v>
      </c>
      <c r="AH3" s="85">
        <f>IF(INDEX('EUROSTAT CB OIL'!$A$10:$CC$203,MATCH($A3,'EUROSTAT CB OIL'!$A$10:$A$203,0),MATCH(AH$1,'EUROSTAT CB OIL'!$A$10:$CC$10,0))=":",0,INDEX('EUROSTAT CB OIL'!$A$10:$CC$203,MATCH($A3,'EUROSTAT CB OIL'!$A$10:$A$203,0),MATCH(AH$1,'EUROSTAT CB OIL'!$A$10:$CC$10,0)))</f>
        <v>0</v>
      </c>
      <c r="AI3" s="85">
        <f>IF(INDEX('EUROSTAT CB OIL'!$A$10:$CC$203,MATCH($A3,'EUROSTAT CB OIL'!$A$10:$A$203,0),MATCH(AI$1,'EUROSTAT CB OIL'!$A$10:$CC$10,0))=":",0,INDEX('EUROSTAT CB OIL'!$A$10:$CC$203,MATCH($A3,'EUROSTAT CB OIL'!$A$10:$A$203,0),MATCH(AI$1,'EUROSTAT CB OIL'!$A$10:$CC$10,0)))</f>
        <v>0.57299999999999995</v>
      </c>
      <c r="AJ3" s="85">
        <f>IF(INDEX('EUROSTAT CB OIL'!$A$10:$CC$203,MATCH($A3,'EUROSTAT CB OIL'!$A$10:$A$203,0),MATCH(AJ$1,'EUROSTAT CB OIL'!$A$10:$CC$10,0))=":",0,INDEX('EUROSTAT CB OIL'!$A$10:$CC$203,MATCH($A3,'EUROSTAT CB OIL'!$A$10:$A$203,0),MATCH(AJ$1,'EUROSTAT CB OIL'!$A$10:$CC$10,0)))</f>
        <v>0</v>
      </c>
      <c r="AK3" s="85">
        <f>IF(INDEX('EUROSTAT CB OIL'!$A$10:$CC$203,MATCH($A3,'EUROSTAT CB OIL'!$A$10:$A$203,0),MATCH(AK$1,'EUROSTAT CB OIL'!$A$10:$CC$10,0))=":",0,INDEX('EUROSTAT CB OIL'!$A$10:$CC$203,MATCH($A3,'EUROSTAT CB OIL'!$A$10:$A$203,0),MATCH(AK$1,'EUROSTAT CB OIL'!$A$10:$CC$10,0)))</f>
        <v>0</v>
      </c>
      <c r="AL3" s="85">
        <f>IF(INDEX('EUROSTAT CB OIL'!$A$10:$CC$203,MATCH($A3,'EUROSTAT CB OIL'!$A$10:$A$203,0),MATCH(AL$1,'EUROSTAT CB OIL'!$A$10:$CC$10,0))=":",0,INDEX('EUROSTAT CB OIL'!$A$10:$CC$203,MATCH($A3,'EUROSTAT CB OIL'!$A$10:$A$203,0),MATCH(AL$1,'EUROSTAT CB OIL'!$A$10:$CC$10,0)))</f>
        <v>0</v>
      </c>
      <c r="AM3" s="85">
        <f>IF(INDEX('EUROSTAT CB OIL'!$A$10:$CC$203,MATCH($A3,'EUROSTAT CB OIL'!$A$10:$A$203,0),MATCH(AM$1,'EUROSTAT CB OIL'!$A$10:$CC$10,0))=":",0,INDEX('EUROSTAT CB OIL'!$A$10:$CC$203,MATCH($A3,'EUROSTAT CB OIL'!$A$10:$A$203,0),MATCH(AM$1,'EUROSTAT CB OIL'!$A$10:$CC$10,0)))</f>
        <v>17.43</v>
      </c>
      <c r="AN3" s="85">
        <f>IF(INDEX('EUROSTAT CB OIL'!$A$10:$CC$203,MATCH($A3,'EUROSTAT CB OIL'!$A$10:$A$203,0),MATCH(AN$1,'EUROSTAT CB OIL'!$A$10:$CC$10,0))=":",0,INDEX('EUROSTAT CB OIL'!$A$10:$CC$203,MATCH($A3,'EUROSTAT CB OIL'!$A$10:$A$203,0),MATCH(AN$1,'EUROSTAT CB OIL'!$A$10:$CC$10,0)))</f>
        <v>50.750999999999998</v>
      </c>
      <c r="AO3" s="85">
        <f>IF(INDEX('EUROSTAT CB OIL'!$A$10:$CC$203,MATCH($A3,'EUROSTAT CB OIL'!$A$10:$A$203,0),MATCH(AO$1,'EUROSTAT CB OIL'!$A$10:$CC$10,0))=":",0,INDEX('EUROSTAT CB OIL'!$A$10:$CC$203,MATCH($A3,'EUROSTAT CB OIL'!$A$10:$A$203,0),MATCH(AO$1,'EUROSTAT CB OIL'!$A$10:$CC$10,0)))</f>
        <v>18.963000000000001</v>
      </c>
      <c r="AP3" s="85">
        <f>IF(INDEX('EUROSTAT CB OIL'!$A$10:$CC$203,MATCH($A3,'EUROSTAT CB OIL'!$A$10:$A$203,0),MATCH(AP$1,'EUROSTAT CB OIL'!$A$10:$CC$10,0))=":",0,INDEX('EUROSTAT CB OIL'!$A$10:$CC$203,MATCH($A3,'EUROSTAT CB OIL'!$A$10:$A$203,0),MATCH(AP$1,'EUROSTAT CB OIL'!$A$10:$CC$10,0)))</f>
        <v>418.71800000000002</v>
      </c>
      <c r="AQ3" s="85">
        <f>IF(INDEX('EUROSTAT CB OIL'!$A$10:$CC$203,MATCH($A3,'EUROSTAT CB OIL'!$A$10:$A$203,0),MATCH(AQ$1,'EUROSTAT CB OIL'!$A$10:$CC$10,0))=":",0,INDEX('EUROSTAT CB OIL'!$A$10:$CC$203,MATCH($A3,'EUROSTAT CB OIL'!$A$10:$A$203,0),MATCH(AQ$1,'EUROSTAT CB OIL'!$A$10:$CC$10,0)))</f>
        <v>91.629000000000005</v>
      </c>
      <c r="AR3" s="85">
        <f>IF(INDEX('EUROSTAT CB OIL'!$A$10:$CC$203,MATCH($A3,'EUROSTAT CB OIL'!$A$10:$A$203,0),MATCH(AR$1,'EUROSTAT CB OIL'!$A$10:$CC$10,0))=":",0,INDEX('EUROSTAT CB OIL'!$A$10:$CC$203,MATCH($A3,'EUROSTAT CB OIL'!$A$10:$A$203,0),MATCH(AR$1,'EUROSTAT CB OIL'!$A$10:$CC$10,0)))</f>
        <v>240.34299999999999</v>
      </c>
      <c r="AS3" s="85">
        <f>IF(INDEX('EUROSTAT CB OIL'!$A$10:$CC$203,MATCH($A3,'EUROSTAT CB OIL'!$A$10:$A$203,0),MATCH(AS$1,'EUROSTAT CB OIL'!$A$10:$CC$10,0))=":",0,INDEX('EUROSTAT CB OIL'!$A$10:$CC$203,MATCH($A3,'EUROSTAT CB OIL'!$A$10:$A$203,0),MATCH(AS$1,'EUROSTAT CB OIL'!$A$10:$CC$10,0)))</f>
        <v>0</v>
      </c>
      <c r="AT3" s="85">
        <f>IF(INDEX('EUROSTAT CB OIL'!$A$10:$CC$203,MATCH($A3,'EUROSTAT CB OIL'!$A$10:$A$203,0),MATCH(AT$1,'EUROSTAT CB OIL'!$A$10:$CC$10,0))=":",0,INDEX('EUROSTAT CB OIL'!$A$10:$CC$203,MATCH($A3,'EUROSTAT CB OIL'!$A$10:$A$203,0),MATCH(AT$1,'EUROSTAT CB OIL'!$A$10:$CC$10,0)))</f>
        <v>0</v>
      </c>
      <c r="AU3" s="85">
        <f>IF(INDEX('EUROSTAT CB OIL'!$A$10:$CC$203,MATCH($A3,'EUROSTAT CB OIL'!$A$10:$A$203,0),MATCH(AU$1,'EUROSTAT CB OIL'!$A$10:$CC$10,0))=":",0,INDEX('EUROSTAT CB OIL'!$A$10:$CC$203,MATCH($A3,'EUROSTAT CB OIL'!$A$10:$A$203,0),MATCH(AU$1,'EUROSTAT CB OIL'!$A$10:$CC$10,0)))</f>
        <v>0</v>
      </c>
    </row>
    <row r="4" spans="1:47" x14ac:dyDescent="0.2">
      <c r="A4" s="10" t="s">
        <v>355</v>
      </c>
      <c r="B4" s="84">
        <f>IF(INDEX('EUROSTAT CB GAS'!$A$10:$M$125,MATCH($A4,'EUROSTAT CB GAS'!$A$10:$A$125,0),MATCH('EUROSTAT CB summary'!B$1,'EUROSTAT CB GAS'!$A$10:$M$10,0))=":",0,INDEX('EUROSTAT CB GAS'!$A$10:$M$125,MATCH($A4,'EUROSTAT CB GAS'!$A$10:$A$125,0),MATCH('EUROSTAT CB summary'!B$1,'EUROSTAT CB GAS'!$A$10:$M$10,0)))</f>
        <v>0</v>
      </c>
      <c r="C4" s="84">
        <f>IF(INDEX('EUROSTAT CB GAS'!$A$10:$M$125,MATCH($A4,'EUROSTAT CB GAS'!$A$10:$A$125,0),MATCH('EUROSTAT CB summary'!C$1,'EUROSTAT CB GAS'!$A$10:$M$10,0))=":",0,INDEX('EUROSTAT CB GAS'!$A$10:$M$125,MATCH($A4,'EUROSTAT CB GAS'!$A$10:$A$125,0),MATCH('EUROSTAT CB summary'!C$1,'EUROSTAT CB GAS'!$A$10:$M$10,0)))</f>
        <v>0</v>
      </c>
      <c r="D4" s="84">
        <f>IF(INDEX('EUROSTAT CB GAS'!$A$10:$M$125,MATCH($A4,'EUROSTAT CB GAS'!$A$10:$A$125,0),MATCH('EUROSTAT CB summary'!D$1,'EUROSTAT CB GAS'!$A$10:$M$10,0))=":",0,INDEX('EUROSTAT CB GAS'!$A$10:$M$125,MATCH($A4,'EUROSTAT CB GAS'!$A$10:$A$125,0),MATCH('EUROSTAT CB summary'!D$1,'EUROSTAT CB GAS'!$A$10:$M$10,0)))</f>
        <v>0</v>
      </c>
      <c r="E4" s="84">
        <f>IF(INDEX('EUROSTAT CB GAS'!$A$10:$M$125,MATCH($A4,'EUROSTAT CB GAS'!$A$10:$A$125,0),MATCH('EUROSTAT CB summary'!E$1,'EUROSTAT CB GAS'!$A$10:$M$10,0))=":",0,INDEX('EUROSTAT CB GAS'!$A$10:$M$125,MATCH($A4,'EUROSTAT CB GAS'!$A$10:$A$125,0),MATCH('EUROSTAT CB summary'!E$1,'EUROSTAT CB GAS'!$A$10:$M$10,0)))</f>
        <v>0</v>
      </c>
      <c r="F4" s="84">
        <f>IF(INDEX('EUROSTAT CB GAS'!$A$10:$M$125,MATCH($A4,'EUROSTAT CB GAS'!$A$10:$A$125,0),MATCH('EUROSTAT CB summary'!F$1,'EUROSTAT CB GAS'!$A$10:$M$10,0))=":",0,INDEX('EUROSTAT CB GAS'!$A$10:$M$125,MATCH($A4,'EUROSTAT CB GAS'!$A$10:$A$125,0),MATCH('EUROSTAT CB summary'!F$1,'EUROSTAT CB GAS'!$A$10:$M$10,0)))</f>
        <v>0</v>
      </c>
      <c r="G4" s="84">
        <f>IF(INDEX('EUROSTAT CB GAS'!$A$10:$M$125,MATCH($A4,'EUROSTAT CB GAS'!$A$10:$A$125,0),MATCH('EUROSTAT CB summary'!G$1,'EUROSTAT CB GAS'!$A$10:$M$10,0))=":",0,INDEX('EUROSTAT CB GAS'!$A$10:$M$125,MATCH($A4,'EUROSTAT CB GAS'!$A$10:$A$125,0),MATCH('EUROSTAT CB summary'!G$1,'EUROSTAT CB GAS'!$A$10:$M$10,0)))</f>
        <v>74420.880999999994</v>
      </c>
      <c r="H4" s="84">
        <f>IF(INDEX('EUROSTAT CB OIL'!$A$10:$CC$203,MATCH($A4,'EUROSTAT CB OIL'!$A$10:$A$203,0),MATCH(H$1,'EUROSTAT CB OIL'!$A$10:$CC$10,0))=":",0,INDEX('EUROSTAT CB OIL'!$A$10:$CC$203,MATCH($A4,'EUROSTAT CB OIL'!$A$10:$A$203,0),MATCH(H$1,'EUROSTAT CB OIL'!$A$10:$CC$10,0)))</f>
        <v>8431.2690000000002</v>
      </c>
      <c r="I4" s="84">
        <f>IF(INDEX('EUROSTAT CB OIL'!$A$10:$CC$203,MATCH($A4,'EUROSTAT CB OIL'!$A$10:$A$203,0),MATCH(I$1,'EUROSTAT CB OIL'!$A$10:$CC$10,0))=":",0,INDEX('EUROSTAT CB OIL'!$A$10:$CC$203,MATCH($A4,'EUROSTAT CB OIL'!$A$10:$A$203,0),MATCH(I$1,'EUROSTAT CB OIL'!$A$10:$CC$10,0)))</f>
        <v>8431.2690000000002</v>
      </c>
      <c r="J4" s="84">
        <f>IF(INDEX('EUROSTAT CB OIL'!$A$10:$CC$203,MATCH($A4,'EUROSTAT CB OIL'!$A$10:$A$203,0),MATCH(J$1,'EUROSTAT CB OIL'!$A$10:$CC$10,0))=":",0,INDEX('EUROSTAT CB OIL'!$A$10:$CC$203,MATCH($A4,'EUROSTAT CB OIL'!$A$10:$A$203,0),MATCH(J$1,'EUROSTAT CB OIL'!$A$10:$CC$10,0)))</f>
        <v>2574.799</v>
      </c>
      <c r="K4" s="84">
        <f>IF(INDEX('EUROSTAT CB OIL'!$A$10:$CC$203,MATCH($A4,'EUROSTAT CB OIL'!$A$10:$A$203,0),MATCH(K$1,'EUROSTAT CB OIL'!$A$10:$CC$10,0))=":",0,INDEX('EUROSTAT CB OIL'!$A$10:$CC$203,MATCH($A4,'EUROSTAT CB OIL'!$A$10:$A$203,0),MATCH(K$1,'EUROSTAT CB OIL'!$A$10:$CC$10,0)))</f>
        <v>2574.799</v>
      </c>
      <c r="L4" s="84">
        <f>IF(INDEX('EUROSTAT CB OIL'!$A$10:$CC$203,MATCH($A4,'EUROSTAT CB OIL'!$A$10:$A$203,0),MATCH(L$1,'EUROSTAT CB OIL'!$A$10:$CC$10,0))=":",0,INDEX('EUROSTAT CB OIL'!$A$10:$CC$203,MATCH($A4,'EUROSTAT CB OIL'!$A$10:$A$203,0),MATCH(L$1,'EUROSTAT CB OIL'!$A$10:$CC$10,0)))</f>
        <v>0</v>
      </c>
      <c r="M4" s="84">
        <f>IF(INDEX('EUROSTAT CB OIL'!$A$10:$CC$203,MATCH($A4,'EUROSTAT CB OIL'!$A$10:$A$203,0),MATCH(M$1,'EUROSTAT CB OIL'!$A$10:$CC$10,0))=":",0,INDEX('EUROSTAT CB OIL'!$A$10:$CC$203,MATCH($A4,'EUROSTAT CB OIL'!$A$10:$A$203,0),MATCH(M$1,'EUROSTAT CB OIL'!$A$10:$CC$10,0)))</f>
        <v>2574.799</v>
      </c>
      <c r="N4" s="84">
        <f>IF(INDEX('EUROSTAT CB OIL'!$A$10:$CC$203,MATCH($A4,'EUROSTAT CB OIL'!$A$10:$A$203,0),MATCH(N$1,'EUROSTAT CB OIL'!$A$10:$CC$10,0))=":",0,INDEX('EUROSTAT CB OIL'!$A$10:$CC$203,MATCH($A4,'EUROSTAT CB OIL'!$A$10:$A$203,0),MATCH(N$1,'EUROSTAT CB OIL'!$A$10:$CC$10,0)))</f>
        <v>0</v>
      </c>
      <c r="O4" s="84">
        <f>IF(INDEX('EUROSTAT CB OIL'!$A$10:$CC$203,MATCH($A4,'EUROSTAT CB OIL'!$A$10:$A$203,0),MATCH(O$1,'EUROSTAT CB OIL'!$A$10:$CC$10,0))=":",0,INDEX('EUROSTAT CB OIL'!$A$10:$CC$203,MATCH($A4,'EUROSTAT CB OIL'!$A$10:$A$203,0),MATCH(O$1,'EUROSTAT CB OIL'!$A$10:$CC$10,0)))</f>
        <v>0</v>
      </c>
      <c r="P4" s="84">
        <f>IF(INDEX('EUROSTAT CB OIL'!$A$10:$CC$203,MATCH($A4,'EUROSTAT CB OIL'!$A$10:$A$203,0),MATCH(P$1,'EUROSTAT CB OIL'!$A$10:$CC$10,0))=":",0,INDEX('EUROSTAT CB OIL'!$A$10:$CC$203,MATCH($A4,'EUROSTAT CB OIL'!$A$10:$A$203,0),MATCH(P$1,'EUROSTAT CB OIL'!$A$10:$CC$10,0)))</f>
        <v>0</v>
      </c>
      <c r="Q4" s="84">
        <f>IF(INDEX('EUROSTAT CB OIL'!$A$10:$CC$203,MATCH($A4,'EUROSTAT CB OIL'!$A$10:$A$203,0),MATCH(Q$1,'EUROSTAT CB OIL'!$A$10:$CC$10,0))=":",0,INDEX('EUROSTAT CB OIL'!$A$10:$CC$203,MATCH($A4,'EUROSTAT CB OIL'!$A$10:$A$203,0),MATCH(Q$1,'EUROSTAT CB OIL'!$A$10:$CC$10,0)))</f>
        <v>0</v>
      </c>
      <c r="R4" s="84">
        <f>IF(INDEX('EUROSTAT CB OIL'!$A$10:$CC$203,MATCH($A4,'EUROSTAT CB OIL'!$A$10:$A$203,0),MATCH(R$1,'EUROSTAT CB OIL'!$A$10:$CC$10,0))=":",0,INDEX('EUROSTAT CB OIL'!$A$10:$CC$203,MATCH($A4,'EUROSTAT CB OIL'!$A$10:$A$203,0),MATCH(R$1,'EUROSTAT CB OIL'!$A$10:$CC$10,0)))</f>
        <v>0</v>
      </c>
      <c r="S4" s="84">
        <f>IF(INDEX('EUROSTAT CB OIL'!$A$10:$CC$203,MATCH($A4,'EUROSTAT CB OIL'!$A$10:$A$203,0),MATCH(S$1,'EUROSTAT CB OIL'!$A$10:$CC$10,0))=":",0,INDEX('EUROSTAT CB OIL'!$A$10:$CC$203,MATCH($A4,'EUROSTAT CB OIL'!$A$10:$A$203,0),MATCH(S$1,'EUROSTAT CB OIL'!$A$10:$CC$10,0)))</f>
        <v>5856.47</v>
      </c>
      <c r="T4" s="84">
        <f>IF(INDEX('EUROSTAT CB OIL'!$A$10:$CC$203,MATCH($A4,'EUROSTAT CB OIL'!$A$10:$A$203,0),MATCH(T$1,'EUROSTAT CB OIL'!$A$10:$CC$10,0))=":",0,INDEX('EUROSTAT CB OIL'!$A$10:$CC$203,MATCH($A4,'EUROSTAT CB OIL'!$A$10:$A$203,0),MATCH(T$1,'EUROSTAT CB OIL'!$A$10:$CC$10,0)))</f>
        <v>5856.47</v>
      </c>
      <c r="U4" s="84">
        <f>IF(INDEX('EUROSTAT CB OIL'!$A$10:$CC$203,MATCH($A4,'EUROSTAT CB OIL'!$A$10:$A$203,0),MATCH(U$1,'EUROSTAT CB OIL'!$A$10:$CC$10,0))=":",0,INDEX('EUROSTAT CB OIL'!$A$10:$CC$203,MATCH($A4,'EUROSTAT CB OIL'!$A$10:$A$203,0),MATCH(U$1,'EUROSTAT CB OIL'!$A$10:$CC$10,0)))</f>
        <v>0</v>
      </c>
      <c r="V4" s="84">
        <f>IF(INDEX('EUROSTAT CB OIL'!$A$10:$CC$203,MATCH($A4,'EUROSTAT CB OIL'!$A$10:$A$203,0),MATCH(V$1,'EUROSTAT CB OIL'!$A$10:$CC$10,0))=":",0,INDEX('EUROSTAT CB OIL'!$A$10:$CC$203,MATCH($A4,'EUROSTAT CB OIL'!$A$10:$A$203,0),MATCH(V$1,'EUROSTAT CB OIL'!$A$10:$CC$10,0)))</f>
        <v>0</v>
      </c>
      <c r="W4" s="84">
        <f>IF(INDEX('EUROSTAT CB OIL'!$A$10:$CC$203,MATCH($A4,'EUROSTAT CB OIL'!$A$10:$A$203,0),MATCH(W$1,'EUROSTAT CB OIL'!$A$10:$CC$10,0))=":",0,INDEX('EUROSTAT CB OIL'!$A$10:$CC$203,MATCH($A4,'EUROSTAT CB OIL'!$A$10:$A$203,0),MATCH(W$1,'EUROSTAT CB OIL'!$A$10:$CC$10,0)))</f>
        <v>1529.626</v>
      </c>
      <c r="X4" s="84">
        <f>IF(INDEX('EUROSTAT CB OIL'!$A$10:$CC$203,MATCH($A4,'EUROSTAT CB OIL'!$A$10:$A$203,0),MATCH(X$1,'EUROSTAT CB OIL'!$A$10:$CC$10,0))=":",0,INDEX('EUROSTAT CB OIL'!$A$10:$CC$203,MATCH($A4,'EUROSTAT CB OIL'!$A$10:$A$203,0),MATCH(X$1,'EUROSTAT CB OIL'!$A$10:$CC$10,0)))</f>
        <v>3726.51</v>
      </c>
      <c r="Y4" s="84">
        <f>IF(INDEX('EUROSTAT CB OIL'!$A$10:$CC$203,MATCH($A4,'EUROSTAT CB OIL'!$A$10:$A$203,0),MATCH(Y$1,'EUROSTAT CB OIL'!$A$10:$CC$10,0))=":",0,INDEX('EUROSTAT CB OIL'!$A$10:$CC$203,MATCH($A4,'EUROSTAT CB OIL'!$A$10:$A$203,0),MATCH(Y$1,'EUROSTAT CB OIL'!$A$10:$CC$10,0)))</f>
        <v>0</v>
      </c>
      <c r="Z4" s="84">
        <f>IF(INDEX('EUROSTAT CB OIL'!$A$10:$CC$203,MATCH($A4,'EUROSTAT CB OIL'!$A$10:$A$203,0),MATCH(Z$1,'EUROSTAT CB OIL'!$A$10:$CC$10,0))=":",0,INDEX('EUROSTAT CB OIL'!$A$10:$CC$203,MATCH($A4,'EUROSTAT CB OIL'!$A$10:$A$203,0),MATCH(Z$1,'EUROSTAT CB OIL'!$A$10:$CC$10,0)))</f>
        <v>0</v>
      </c>
      <c r="AA4" s="84">
        <f>IF(INDEX('EUROSTAT CB OIL'!$A$10:$CC$203,MATCH($A4,'EUROSTAT CB OIL'!$A$10:$A$203,0),MATCH(AA$1,'EUROSTAT CB OIL'!$A$10:$CC$10,0))=":",0,INDEX('EUROSTAT CB OIL'!$A$10:$CC$203,MATCH($A4,'EUROSTAT CB OIL'!$A$10:$A$203,0),MATCH(AA$1,'EUROSTAT CB OIL'!$A$10:$CC$10,0)))</f>
        <v>0</v>
      </c>
      <c r="AB4" s="84">
        <f>IF(INDEX('EUROSTAT CB OIL'!$A$10:$CC$203,MATCH($A4,'EUROSTAT CB OIL'!$A$10:$A$203,0),MATCH(AB$1,'EUROSTAT CB OIL'!$A$10:$CC$10,0))=":",0,INDEX('EUROSTAT CB OIL'!$A$10:$CC$203,MATCH($A4,'EUROSTAT CB OIL'!$A$10:$A$203,0),MATCH(AB$1,'EUROSTAT CB OIL'!$A$10:$CC$10,0)))</f>
        <v>0</v>
      </c>
      <c r="AC4" s="84">
        <f>IF(INDEX('EUROSTAT CB OIL'!$A$10:$CC$203,MATCH($A4,'EUROSTAT CB OIL'!$A$10:$A$203,0),MATCH(AC$1,'EUROSTAT CB OIL'!$A$10:$CC$10,0))=":",0,INDEX('EUROSTAT CB OIL'!$A$10:$CC$203,MATCH($A4,'EUROSTAT CB OIL'!$A$10:$A$203,0),MATCH(AC$1,'EUROSTAT CB OIL'!$A$10:$CC$10,0)))</f>
        <v>0</v>
      </c>
      <c r="AD4" s="84">
        <f>IF(INDEX('EUROSTAT CB OIL'!$A$10:$CC$203,MATCH($A4,'EUROSTAT CB OIL'!$A$10:$A$203,0),MATCH(AD$1,'EUROSTAT CB OIL'!$A$10:$CC$10,0))=":",0,INDEX('EUROSTAT CB OIL'!$A$10:$CC$203,MATCH($A4,'EUROSTAT CB OIL'!$A$10:$A$203,0),MATCH(AD$1,'EUROSTAT CB OIL'!$A$10:$CC$10,0)))</f>
        <v>0</v>
      </c>
      <c r="AE4" s="84">
        <f>IF(INDEX('EUROSTAT CB OIL'!$A$10:$CC$203,MATCH($A4,'EUROSTAT CB OIL'!$A$10:$A$203,0),MATCH(AE$1,'EUROSTAT CB OIL'!$A$10:$CC$10,0))=":",0,INDEX('EUROSTAT CB OIL'!$A$10:$CC$203,MATCH($A4,'EUROSTAT CB OIL'!$A$10:$A$203,0),MATCH(AE$1,'EUROSTAT CB OIL'!$A$10:$CC$10,0)))</f>
        <v>30.916</v>
      </c>
      <c r="AF4" s="84">
        <f>IF(INDEX('EUROSTAT CB OIL'!$A$10:$CC$203,MATCH($A4,'EUROSTAT CB OIL'!$A$10:$A$203,0),MATCH(AF$1,'EUROSTAT CB OIL'!$A$10:$CC$10,0))=":",0,INDEX('EUROSTAT CB OIL'!$A$10:$CC$203,MATCH($A4,'EUROSTAT CB OIL'!$A$10:$A$203,0),MATCH(AF$1,'EUROSTAT CB OIL'!$A$10:$CC$10,0)))</f>
        <v>0.57299999999999995</v>
      </c>
      <c r="AG4" s="84">
        <f>IF(INDEX('EUROSTAT CB OIL'!$A$10:$CC$203,MATCH($A4,'EUROSTAT CB OIL'!$A$10:$A$203,0),MATCH(AG$1,'EUROSTAT CB OIL'!$A$10:$CC$10,0))=":",0,INDEX('EUROSTAT CB OIL'!$A$10:$CC$203,MATCH($A4,'EUROSTAT CB OIL'!$A$10:$A$203,0),MATCH(AG$1,'EUROSTAT CB OIL'!$A$10:$CC$10,0)))</f>
        <v>0.57299999999999995</v>
      </c>
      <c r="AH4" s="84">
        <f>IF(INDEX('EUROSTAT CB OIL'!$A$10:$CC$203,MATCH($A4,'EUROSTAT CB OIL'!$A$10:$A$203,0),MATCH(AH$1,'EUROSTAT CB OIL'!$A$10:$CC$10,0))=":",0,INDEX('EUROSTAT CB OIL'!$A$10:$CC$203,MATCH($A4,'EUROSTAT CB OIL'!$A$10:$A$203,0),MATCH(AH$1,'EUROSTAT CB OIL'!$A$10:$CC$10,0)))</f>
        <v>0</v>
      </c>
      <c r="AI4" s="84">
        <f>IF(INDEX('EUROSTAT CB OIL'!$A$10:$CC$203,MATCH($A4,'EUROSTAT CB OIL'!$A$10:$A$203,0),MATCH(AI$1,'EUROSTAT CB OIL'!$A$10:$CC$10,0))=":",0,INDEX('EUROSTAT CB OIL'!$A$10:$CC$203,MATCH($A4,'EUROSTAT CB OIL'!$A$10:$A$203,0),MATCH(AI$1,'EUROSTAT CB OIL'!$A$10:$CC$10,0)))</f>
        <v>0.57299999999999995</v>
      </c>
      <c r="AJ4" s="84">
        <f>IF(INDEX('EUROSTAT CB OIL'!$A$10:$CC$203,MATCH($A4,'EUROSTAT CB OIL'!$A$10:$A$203,0),MATCH(AJ$1,'EUROSTAT CB OIL'!$A$10:$CC$10,0))=":",0,INDEX('EUROSTAT CB OIL'!$A$10:$CC$203,MATCH($A4,'EUROSTAT CB OIL'!$A$10:$A$203,0),MATCH(AJ$1,'EUROSTAT CB OIL'!$A$10:$CC$10,0)))</f>
        <v>0</v>
      </c>
      <c r="AK4" s="84">
        <f>IF(INDEX('EUROSTAT CB OIL'!$A$10:$CC$203,MATCH($A4,'EUROSTAT CB OIL'!$A$10:$A$203,0),MATCH(AK$1,'EUROSTAT CB OIL'!$A$10:$CC$10,0))=":",0,INDEX('EUROSTAT CB OIL'!$A$10:$CC$203,MATCH($A4,'EUROSTAT CB OIL'!$A$10:$A$203,0),MATCH(AK$1,'EUROSTAT CB OIL'!$A$10:$CC$10,0)))</f>
        <v>0</v>
      </c>
      <c r="AL4" s="84">
        <f>IF(INDEX('EUROSTAT CB OIL'!$A$10:$CC$203,MATCH($A4,'EUROSTAT CB OIL'!$A$10:$A$203,0),MATCH(AL$1,'EUROSTAT CB OIL'!$A$10:$CC$10,0))=":",0,INDEX('EUROSTAT CB OIL'!$A$10:$CC$203,MATCH($A4,'EUROSTAT CB OIL'!$A$10:$A$203,0),MATCH(AL$1,'EUROSTAT CB OIL'!$A$10:$CC$10,0)))</f>
        <v>0</v>
      </c>
      <c r="AM4" s="84">
        <f>IF(INDEX('EUROSTAT CB OIL'!$A$10:$CC$203,MATCH($A4,'EUROSTAT CB OIL'!$A$10:$A$203,0),MATCH(AM$1,'EUROSTAT CB OIL'!$A$10:$CC$10,0))=":",0,INDEX('EUROSTAT CB OIL'!$A$10:$CC$203,MATCH($A4,'EUROSTAT CB OIL'!$A$10:$A$203,0),MATCH(AM$1,'EUROSTAT CB OIL'!$A$10:$CC$10,0)))</f>
        <v>8.7149999999999999</v>
      </c>
      <c r="AN4" s="84">
        <f>IF(INDEX('EUROSTAT CB OIL'!$A$10:$CC$203,MATCH($A4,'EUROSTAT CB OIL'!$A$10:$A$203,0),MATCH(AN$1,'EUROSTAT CB OIL'!$A$10:$CC$10,0))=":",0,INDEX('EUROSTAT CB OIL'!$A$10:$CC$203,MATCH($A4,'EUROSTAT CB OIL'!$A$10:$A$203,0),MATCH(AN$1,'EUROSTAT CB OIL'!$A$10:$CC$10,0)))</f>
        <v>0</v>
      </c>
      <c r="AO4" s="84">
        <f>IF(INDEX('EUROSTAT CB OIL'!$A$10:$CC$203,MATCH($A4,'EUROSTAT CB OIL'!$A$10:$A$203,0),MATCH(AO$1,'EUROSTAT CB OIL'!$A$10:$CC$10,0))=":",0,INDEX('EUROSTAT CB OIL'!$A$10:$CC$203,MATCH($A4,'EUROSTAT CB OIL'!$A$10:$A$203,0),MATCH(AO$1,'EUROSTAT CB OIL'!$A$10:$CC$10,0)))</f>
        <v>9.4819999999999993</v>
      </c>
      <c r="AP4" s="84">
        <f>IF(INDEX('EUROSTAT CB OIL'!$A$10:$CC$203,MATCH($A4,'EUROSTAT CB OIL'!$A$10:$A$203,0),MATCH(AP$1,'EUROSTAT CB OIL'!$A$10:$CC$10,0))=":",0,INDEX('EUROSTAT CB OIL'!$A$10:$CC$203,MATCH($A4,'EUROSTAT CB OIL'!$A$10:$A$203,0),MATCH(AP$1,'EUROSTAT CB OIL'!$A$10:$CC$10,0)))</f>
        <v>310.30500000000001</v>
      </c>
      <c r="AQ4" s="84">
        <f>IF(INDEX('EUROSTAT CB OIL'!$A$10:$CC$203,MATCH($A4,'EUROSTAT CB OIL'!$A$10:$A$203,0),MATCH(AQ$1,'EUROSTAT CB OIL'!$A$10:$CC$10,0))=":",0,INDEX('EUROSTAT CB OIL'!$A$10:$CC$203,MATCH($A4,'EUROSTAT CB OIL'!$A$10:$A$203,0),MATCH(AQ$1,'EUROSTAT CB OIL'!$A$10:$CC$10,0)))</f>
        <v>0</v>
      </c>
      <c r="AR4" s="84">
        <f>IF(INDEX('EUROSTAT CB OIL'!$A$10:$CC$203,MATCH($A4,'EUROSTAT CB OIL'!$A$10:$A$203,0),MATCH(AR$1,'EUROSTAT CB OIL'!$A$10:$CC$10,0))=":",0,INDEX('EUROSTAT CB OIL'!$A$10:$CC$203,MATCH($A4,'EUROSTAT CB OIL'!$A$10:$A$203,0),MATCH(AR$1,'EUROSTAT CB OIL'!$A$10:$CC$10,0)))</f>
        <v>240.34299999999999</v>
      </c>
      <c r="AS4" s="84">
        <f>IF(INDEX('EUROSTAT CB OIL'!$A$10:$CC$203,MATCH($A4,'EUROSTAT CB OIL'!$A$10:$A$203,0),MATCH(AS$1,'EUROSTAT CB OIL'!$A$10:$CC$10,0))=":",0,INDEX('EUROSTAT CB OIL'!$A$10:$CC$203,MATCH($A4,'EUROSTAT CB OIL'!$A$10:$A$203,0),MATCH(AS$1,'EUROSTAT CB OIL'!$A$10:$CC$10,0)))</f>
        <v>0</v>
      </c>
      <c r="AT4" s="84">
        <f>IF(INDEX('EUROSTAT CB OIL'!$A$10:$CC$203,MATCH($A4,'EUROSTAT CB OIL'!$A$10:$A$203,0),MATCH(AT$1,'EUROSTAT CB OIL'!$A$10:$CC$10,0))=":",0,INDEX('EUROSTAT CB OIL'!$A$10:$CC$203,MATCH($A4,'EUROSTAT CB OIL'!$A$10:$A$203,0),MATCH(AT$1,'EUROSTAT CB OIL'!$A$10:$CC$10,0)))</f>
        <v>0</v>
      </c>
      <c r="AU4" s="84">
        <f>IF(INDEX('EUROSTAT CB OIL'!$A$10:$CC$203,MATCH($A4,'EUROSTAT CB OIL'!$A$10:$A$203,0),MATCH(AU$1,'EUROSTAT CB OIL'!$A$10:$CC$10,0))=":",0,INDEX('EUROSTAT CB OIL'!$A$10:$CC$203,MATCH($A4,'EUROSTAT CB OIL'!$A$10:$A$203,0),MATCH(AU$1,'EUROSTAT CB OIL'!$A$10:$CC$10,0)))</f>
        <v>0</v>
      </c>
    </row>
    <row r="5" spans="1:47" x14ac:dyDescent="0.2">
      <c r="A5" s="10" t="s">
        <v>581</v>
      </c>
      <c r="B5" s="85">
        <f>IFERROR(ROUND(B4/B3,3),0)</f>
        <v>0</v>
      </c>
      <c r="C5" s="85">
        <f t="shared" ref="C5:J5" si="0">IFERROR(ROUND(C4/C3,3),0)</f>
        <v>0</v>
      </c>
      <c r="D5" s="85">
        <f t="shared" si="0"/>
        <v>0</v>
      </c>
      <c r="E5" s="85">
        <f t="shared" si="0"/>
        <v>0</v>
      </c>
      <c r="F5" s="85">
        <f t="shared" si="0"/>
        <v>0</v>
      </c>
      <c r="G5" s="85">
        <f t="shared" si="0"/>
        <v>1</v>
      </c>
      <c r="H5" s="85">
        <f t="shared" si="0"/>
        <v>0.96899999999999997</v>
      </c>
      <c r="I5" s="85">
        <f t="shared" si="0"/>
        <v>0.96899999999999997</v>
      </c>
      <c r="J5" s="85">
        <f t="shared" si="0"/>
        <v>1</v>
      </c>
      <c r="K5" s="85">
        <f t="shared" ref="K5" si="1">IFERROR(ROUND(K4/K3,3),0)</f>
        <v>1</v>
      </c>
      <c r="L5" s="85">
        <f t="shared" ref="L5" si="2">IFERROR(ROUND(L4/L3,3),0)</f>
        <v>0</v>
      </c>
      <c r="M5" s="85">
        <f t="shared" ref="M5" si="3">IFERROR(ROUND(M4/M3,3),0)</f>
        <v>1</v>
      </c>
      <c r="N5" s="85">
        <f t="shared" ref="N5" si="4">IFERROR(ROUND(N4/N3,3),0)</f>
        <v>0</v>
      </c>
      <c r="O5" s="85">
        <f t="shared" ref="O5" si="5">IFERROR(ROUND(O4/O3,3),0)</f>
        <v>0</v>
      </c>
      <c r="P5" s="85">
        <f t="shared" ref="P5" si="6">IFERROR(ROUND(P4/P3,3),0)</f>
        <v>0</v>
      </c>
      <c r="Q5" s="85">
        <f t="shared" ref="Q5:R5" si="7">IFERROR(ROUND(Q4/Q3,3),0)</f>
        <v>0</v>
      </c>
      <c r="R5" s="85">
        <f t="shared" si="7"/>
        <v>0</v>
      </c>
      <c r="S5" s="85">
        <f t="shared" ref="S5" si="8">IFERROR(ROUND(S4/S3,3),0)</f>
        <v>0.95599999999999996</v>
      </c>
      <c r="T5" s="85">
        <f t="shared" ref="T5" si="9">IFERROR(ROUND(T4/T3,3),0)</f>
        <v>0.95599999999999996</v>
      </c>
      <c r="U5" s="85">
        <f t="shared" ref="U5" si="10">IFERROR(ROUND(U4/U3,3),0)</f>
        <v>0</v>
      </c>
      <c r="V5" s="85">
        <f t="shared" ref="V5" si="11">IFERROR(ROUND(V4/V3,3),0)</f>
        <v>0</v>
      </c>
      <c r="W5" s="85">
        <f t="shared" ref="W5" si="12">IFERROR(ROUND(W4/W3,3),0)</f>
        <v>1</v>
      </c>
      <c r="X5" s="85">
        <f t="shared" ref="X5" si="13">IFERROR(ROUND(X4/X3,3),0)</f>
        <v>1</v>
      </c>
      <c r="Y5" s="85">
        <f t="shared" ref="Y5:Z5" si="14">IFERROR(ROUND(Y4/Y3,3),0)</f>
        <v>0</v>
      </c>
      <c r="Z5" s="85">
        <f t="shared" si="14"/>
        <v>0</v>
      </c>
      <c r="AA5" s="85">
        <f t="shared" ref="AA5" si="15">IFERROR(ROUND(AA4/AA3,3),0)</f>
        <v>0</v>
      </c>
      <c r="AB5" s="85">
        <f t="shared" ref="AB5" si="16">IFERROR(ROUND(AB4/AB3,3),0)</f>
        <v>0</v>
      </c>
      <c r="AC5" s="85">
        <f t="shared" ref="AC5" si="17">IFERROR(ROUND(AC4/AC3,3),0)</f>
        <v>0</v>
      </c>
      <c r="AD5" s="85">
        <f t="shared" ref="AD5" si="18">IFERROR(ROUND(AD4/AD3,3),0)</f>
        <v>0</v>
      </c>
      <c r="AE5" s="85">
        <f t="shared" ref="AE5" si="19">IFERROR(ROUND(AE4/AE3,3),0)</f>
        <v>1</v>
      </c>
      <c r="AF5" s="85">
        <f t="shared" ref="AF5" si="20">IFERROR(ROUND(AF4/AF3,3),0)</f>
        <v>1</v>
      </c>
      <c r="AG5" s="85">
        <f t="shared" ref="AG5:AH5" si="21">IFERROR(ROUND(AG4/AG3,3),0)</f>
        <v>1</v>
      </c>
      <c r="AH5" s="85">
        <f t="shared" si="21"/>
        <v>0</v>
      </c>
      <c r="AI5" s="85">
        <f t="shared" ref="AI5" si="22">IFERROR(ROUND(AI4/AI3,3),0)</f>
        <v>1</v>
      </c>
      <c r="AJ5" s="85">
        <f t="shared" ref="AJ5" si="23">IFERROR(ROUND(AJ4/AJ3,3),0)</f>
        <v>0</v>
      </c>
      <c r="AK5" s="85">
        <f t="shared" ref="AK5" si="24">IFERROR(ROUND(AK4/AK3,3),0)</f>
        <v>0</v>
      </c>
      <c r="AL5" s="85">
        <f t="shared" ref="AL5" si="25">IFERROR(ROUND(AL4/AL3,3),0)</f>
        <v>0</v>
      </c>
      <c r="AM5" s="85">
        <f t="shared" ref="AM5" si="26">IFERROR(ROUND(AM4/AM3,3),0)</f>
        <v>0.5</v>
      </c>
      <c r="AN5" s="85">
        <f t="shared" ref="AN5" si="27">IFERROR(ROUND(AN4/AN3,3),0)</f>
        <v>0</v>
      </c>
      <c r="AO5" s="85">
        <f t="shared" ref="AO5:AP5" si="28">IFERROR(ROUND(AO4/AO3,3),0)</f>
        <v>0.5</v>
      </c>
      <c r="AP5" s="85">
        <f t="shared" si="28"/>
        <v>0.74099999999999999</v>
      </c>
      <c r="AQ5" s="85">
        <f t="shared" ref="AQ5" si="29">IFERROR(ROUND(AQ4/AQ3,3),0)</f>
        <v>0</v>
      </c>
      <c r="AR5" s="85">
        <f t="shared" ref="AR5" si="30">IFERROR(ROUND(AR4/AR3,3),0)</f>
        <v>1</v>
      </c>
      <c r="AS5" s="85">
        <f t="shared" ref="AS5" si="31">IFERROR(ROUND(AS4/AS3,3),0)</f>
        <v>0</v>
      </c>
      <c r="AT5" s="85">
        <f t="shared" ref="AT5" si="32">IFERROR(ROUND(AT4/AT3,3),0)</f>
        <v>0</v>
      </c>
      <c r="AU5" s="85">
        <f t="shared" ref="AU5" si="33">IFERROR(ROUND(AU4/AU3,3),0)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DCE1-A4C0-8944-AA07-B4A87B465648}">
  <sheetPr>
    <tabColor rgb="FF92CDDC"/>
  </sheetPr>
  <dimension ref="A1:BV14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12" sqref="A12"/>
      <selection pane="bottomRight" activeCell="G32" sqref="G32"/>
    </sheetView>
  </sheetViews>
  <sheetFormatPr baseColWidth="10" defaultRowHeight="16" x14ac:dyDescent="0.2"/>
  <cols>
    <col min="1" max="1" width="87.33203125" bestFit="1" customWidth="1"/>
    <col min="2" max="2" width="20" customWidth="1"/>
    <col min="4" max="4" width="13.33203125" bestFit="1" customWidth="1"/>
    <col min="5" max="5" width="8.5" bestFit="1" customWidth="1"/>
    <col min="6" max="6" width="9.6640625" bestFit="1" customWidth="1"/>
    <col min="7" max="7" width="17.1640625" bestFit="1" customWidth="1"/>
    <col min="8" max="8" width="15.6640625" bestFit="1" customWidth="1"/>
    <col min="9" max="9" width="6.6640625" bestFit="1" customWidth="1"/>
    <col min="10" max="10" width="12.33203125" bestFit="1" customWidth="1"/>
    <col min="11" max="11" width="7.83203125" bestFit="1" customWidth="1"/>
    <col min="12" max="12" width="8.83203125" bestFit="1" customWidth="1"/>
    <col min="13" max="13" width="17" bestFit="1" customWidth="1"/>
    <col min="14" max="14" width="8.5" bestFit="1" customWidth="1"/>
    <col min="15" max="15" width="15.33203125" bestFit="1" customWidth="1"/>
    <col min="16" max="16" width="11.5" bestFit="1" customWidth="1"/>
    <col min="17" max="17" width="11.83203125" bestFit="1" customWidth="1"/>
    <col min="18" max="18" width="13.6640625" bestFit="1" customWidth="1"/>
    <col min="19" max="20" width="17.6640625" bestFit="1" customWidth="1"/>
    <col min="21" max="21" width="5" bestFit="1" customWidth="1"/>
    <col min="22" max="22" width="11" bestFit="1" customWidth="1"/>
    <col min="23" max="23" width="17.83203125" bestFit="1" customWidth="1"/>
    <col min="24" max="24" width="11" bestFit="1" customWidth="1"/>
    <col min="25" max="25" width="40.6640625" bestFit="1" customWidth="1"/>
    <col min="26" max="26" width="11" bestFit="1" customWidth="1"/>
    <col min="27" max="27" width="14.6640625" bestFit="1" customWidth="1"/>
    <col min="28" max="28" width="15.33203125" bestFit="1" customWidth="1"/>
    <col min="29" max="29" width="39.33203125" bestFit="1" customWidth="1"/>
    <col min="30" max="30" width="15.33203125" bestFit="1" customWidth="1"/>
    <col min="31" max="31" width="10.1640625" bestFit="1" customWidth="1"/>
    <col min="32" max="32" width="6" bestFit="1" customWidth="1"/>
    <col min="33" max="33" width="20.1640625" bestFit="1" customWidth="1"/>
    <col min="34" max="34" width="9.6640625" bestFit="1" customWidth="1"/>
    <col min="35" max="35" width="13.5" bestFit="1" customWidth="1"/>
    <col min="36" max="36" width="31.33203125" bestFit="1" customWidth="1"/>
    <col min="37" max="37" width="16.6640625" bestFit="1" customWidth="1"/>
    <col min="38" max="38" width="36.6640625" bestFit="1" customWidth="1"/>
    <col min="39" max="39" width="12.1640625" bestFit="1" customWidth="1"/>
    <col min="40" max="40" width="36.33203125" bestFit="1" customWidth="1"/>
    <col min="41" max="41" width="10.1640625" bestFit="1" customWidth="1"/>
    <col min="42" max="42" width="40.83203125" bestFit="1" customWidth="1"/>
    <col min="43" max="43" width="9.6640625" bestFit="1" customWidth="1"/>
    <col min="44" max="44" width="11.83203125" bestFit="1" customWidth="1"/>
    <col min="45" max="45" width="12.33203125" bestFit="1" customWidth="1"/>
    <col min="46" max="46" width="9.33203125" bestFit="1" customWidth="1"/>
    <col min="47" max="47" width="18.83203125" bestFit="1" customWidth="1"/>
    <col min="48" max="48" width="19" bestFit="1" customWidth="1"/>
    <col min="49" max="49" width="6.6640625" bestFit="1" customWidth="1"/>
    <col min="50" max="50" width="9.5" bestFit="1" customWidth="1"/>
    <col min="51" max="51" width="9.6640625" bestFit="1" customWidth="1"/>
    <col min="52" max="52" width="11" bestFit="1" customWidth="1"/>
    <col min="53" max="53" width="14.1640625" bestFit="1" customWidth="1"/>
    <col min="54" max="54" width="14" bestFit="1" customWidth="1"/>
    <col min="55" max="55" width="20.33203125" bestFit="1" customWidth="1"/>
    <col min="56" max="56" width="17.33203125" bestFit="1" customWidth="1"/>
    <col min="57" max="57" width="7.5" bestFit="1" customWidth="1"/>
    <col min="58" max="58" width="13.1640625" bestFit="1" customWidth="1"/>
    <col min="59" max="59" width="15.5" bestFit="1" customWidth="1"/>
    <col min="60" max="60" width="12.33203125" bestFit="1" customWidth="1"/>
    <col min="61" max="61" width="14.6640625" bestFit="1" customWidth="1"/>
    <col min="62" max="62" width="16.6640625" bestFit="1" customWidth="1"/>
    <col min="63" max="63" width="19" bestFit="1" customWidth="1"/>
    <col min="64" max="64" width="15.83203125" bestFit="1" customWidth="1"/>
    <col min="65" max="65" width="8.83203125" bestFit="1" customWidth="1"/>
    <col min="66" max="66" width="24.83203125" bestFit="1" customWidth="1"/>
    <col min="67" max="67" width="21.1640625" bestFit="1" customWidth="1"/>
    <col min="68" max="68" width="24.1640625" bestFit="1" customWidth="1"/>
    <col min="69" max="69" width="16.5" bestFit="1" customWidth="1"/>
    <col min="70" max="70" width="10.1640625" bestFit="1" customWidth="1"/>
    <col min="71" max="71" width="9.6640625" bestFit="1" customWidth="1"/>
    <col min="72" max="72" width="8.83203125" bestFit="1" customWidth="1"/>
    <col min="73" max="73" width="9.6640625" bestFit="1" customWidth="1"/>
    <col min="74" max="74" width="11" bestFit="1" customWidth="1"/>
  </cols>
  <sheetData>
    <row r="1" spans="1:74" x14ac:dyDescent="0.2">
      <c r="A1" s="51"/>
      <c r="B1" s="51"/>
      <c r="C1" s="51"/>
      <c r="D1" s="51" t="s">
        <v>393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 t="s">
        <v>394</v>
      </c>
      <c r="X1" s="51"/>
      <c r="Y1" s="51" t="s">
        <v>393</v>
      </c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 t="s">
        <v>393</v>
      </c>
      <c r="AW1" s="51"/>
      <c r="AX1" s="51"/>
      <c r="AY1" s="51"/>
      <c r="AZ1" s="51"/>
      <c r="BA1" s="51"/>
      <c r="BB1" s="51"/>
      <c r="BC1" s="51" t="s">
        <v>394</v>
      </c>
      <c r="BD1" s="51"/>
      <c r="BE1" s="51"/>
      <c r="BF1" s="51"/>
      <c r="BG1" s="51"/>
      <c r="BH1" s="51"/>
      <c r="BI1" s="51"/>
      <c r="BJ1" s="51" t="s">
        <v>394</v>
      </c>
      <c r="BK1" s="51" t="s">
        <v>394</v>
      </c>
      <c r="BL1" s="51"/>
      <c r="BM1" s="51"/>
      <c r="BN1" s="51"/>
      <c r="BO1" s="51"/>
      <c r="BP1" s="51"/>
      <c r="BQ1" s="51" t="s">
        <v>393</v>
      </c>
      <c r="BR1" s="51"/>
      <c r="BS1" s="51"/>
      <c r="BT1" s="51"/>
      <c r="BU1" s="51"/>
      <c r="BV1" s="51" t="s">
        <v>393</v>
      </c>
    </row>
    <row r="2" spans="1:74" x14ac:dyDescent="0.2">
      <c r="A2" s="52" t="s">
        <v>334</v>
      </c>
      <c r="B2" s="71"/>
      <c r="C2" s="53" t="s">
        <v>1</v>
      </c>
      <c r="D2" s="61" t="s">
        <v>2</v>
      </c>
      <c r="E2" s="53" t="s">
        <v>3</v>
      </c>
      <c r="F2" s="53" t="s">
        <v>4</v>
      </c>
      <c r="G2" s="53" t="s">
        <v>5</v>
      </c>
      <c r="H2" s="53" t="s">
        <v>6</v>
      </c>
      <c r="I2" s="53" t="s">
        <v>7</v>
      </c>
      <c r="J2" s="53" t="s">
        <v>9</v>
      </c>
      <c r="K2" s="53" t="s">
        <v>10</v>
      </c>
      <c r="L2" s="53" t="s">
        <v>8</v>
      </c>
      <c r="M2" s="53" t="s">
        <v>12</v>
      </c>
      <c r="N2" s="53" t="s">
        <v>11</v>
      </c>
      <c r="O2" s="53" t="s">
        <v>13</v>
      </c>
      <c r="P2" s="53" t="s">
        <v>15</v>
      </c>
      <c r="Q2" s="53" t="s">
        <v>14</v>
      </c>
      <c r="R2" s="53" t="s">
        <v>16</v>
      </c>
      <c r="S2" s="53" t="s">
        <v>17</v>
      </c>
      <c r="T2" s="53" t="s">
        <v>18</v>
      </c>
      <c r="U2" s="53" t="s">
        <v>19</v>
      </c>
      <c r="V2" s="53" t="s">
        <v>20</v>
      </c>
      <c r="W2" s="60" t="s">
        <v>21</v>
      </c>
      <c r="X2" s="53" t="s">
        <v>45</v>
      </c>
      <c r="Y2" s="61" t="s">
        <v>340</v>
      </c>
      <c r="Z2" s="53" t="s">
        <v>23</v>
      </c>
      <c r="AA2" s="53" t="s">
        <v>24</v>
      </c>
      <c r="AB2" s="53" t="s">
        <v>25</v>
      </c>
      <c r="AC2" s="53" t="s">
        <v>26</v>
      </c>
      <c r="AD2" s="53" t="s">
        <v>27</v>
      </c>
      <c r="AE2" s="53" t="s">
        <v>28</v>
      </c>
      <c r="AF2" s="53" t="s">
        <v>29</v>
      </c>
      <c r="AG2" s="53" t="s">
        <v>30</v>
      </c>
      <c r="AH2" s="53" t="s">
        <v>36</v>
      </c>
      <c r="AI2" s="53" t="s">
        <v>32</v>
      </c>
      <c r="AJ2" s="53" t="s">
        <v>31</v>
      </c>
      <c r="AK2" s="53" t="s">
        <v>33</v>
      </c>
      <c r="AL2" s="53" t="s">
        <v>34</v>
      </c>
      <c r="AM2" s="53" t="s">
        <v>35</v>
      </c>
      <c r="AN2" s="53" t="s">
        <v>37</v>
      </c>
      <c r="AO2" s="53" t="s">
        <v>38</v>
      </c>
      <c r="AP2" s="53" t="s">
        <v>39</v>
      </c>
      <c r="AQ2" s="53" t="s">
        <v>40</v>
      </c>
      <c r="AR2" s="53" t="s">
        <v>43</v>
      </c>
      <c r="AS2" s="53" t="s">
        <v>42</v>
      </c>
      <c r="AT2" s="53" t="s">
        <v>41</v>
      </c>
      <c r="AU2" s="53" t="s">
        <v>352</v>
      </c>
      <c r="AV2" s="61" t="s">
        <v>46</v>
      </c>
      <c r="AW2" s="53" t="s">
        <v>47</v>
      </c>
      <c r="AX2" s="53" t="s">
        <v>52</v>
      </c>
      <c r="AY2" s="53" t="s">
        <v>49</v>
      </c>
      <c r="AZ2" s="53" t="s">
        <v>51</v>
      </c>
      <c r="BA2" s="53" t="s">
        <v>50</v>
      </c>
      <c r="BB2" s="53" t="s">
        <v>48</v>
      </c>
      <c r="BC2" s="60" t="s">
        <v>64</v>
      </c>
      <c r="BD2" s="53" t="s">
        <v>53</v>
      </c>
      <c r="BE2" s="53" t="s">
        <v>54</v>
      </c>
      <c r="BF2" s="53" t="s">
        <v>57</v>
      </c>
      <c r="BG2" s="53" t="s">
        <v>58</v>
      </c>
      <c r="BH2" s="53" t="s">
        <v>59</v>
      </c>
      <c r="BI2" s="53" t="s">
        <v>60</v>
      </c>
      <c r="BJ2" s="60" t="s">
        <v>61</v>
      </c>
      <c r="BK2" s="60" t="s">
        <v>62</v>
      </c>
      <c r="BL2" s="53" t="s">
        <v>63</v>
      </c>
      <c r="BM2" s="53" t="s">
        <v>55</v>
      </c>
      <c r="BN2" s="53" t="s">
        <v>66</v>
      </c>
      <c r="BO2" s="53" t="s">
        <v>56</v>
      </c>
      <c r="BP2" s="53" t="s">
        <v>67</v>
      </c>
      <c r="BQ2" s="61" t="s">
        <v>65</v>
      </c>
      <c r="BR2" s="53" t="s">
        <v>68</v>
      </c>
      <c r="BS2" s="53" t="s">
        <v>70</v>
      </c>
      <c r="BT2" s="53" t="s">
        <v>69</v>
      </c>
      <c r="BU2" s="53" t="s">
        <v>72</v>
      </c>
      <c r="BV2" s="61" t="s">
        <v>71</v>
      </c>
    </row>
    <row r="3" spans="1:74" x14ac:dyDescent="0.2">
      <c r="A3" s="54" t="s">
        <v>322</v>
      </c>
      <c r="B3" s="70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</row>
    <row r="4" spans="1:74" x14ac:dyDescent="0.2">
      <c r="A4" s="56" t="s">
        <v>73</v>
      </c>
      <c r="B4" s="57"/>
      <c r="C4" s="57">
        <f>IF('Eurostat EB TJ'!B12=":",0,'Eurostat EB TJ'!B12)</f>
        <v>867610.75</v>
      </c>
      <c r="D4" s="57">
        <f>IF('Eurostat EB TJ'!C12=":",0,'Eurostat EB TJ'!C12)</f>
        <v>0</v>
      </c>
      <c r="E4" s="57">
        <f>IF('Eurostat EB TJ'!D12=":",0,'Eurostat EB TJ'!D12)</f>
        <v>0</v>
      </c>
      <c r="F4" s="57">
        <f>IF('Eurostat EB TJ'!E12=":",0,'Eurostat EB TJ'!E12)</f>
        <v>0</v>
      </c>
      <c r="G4" s="57">
        <f>IF('Eurostat EB TJ'!F12=":",0,'Eurostat EB TJ'!F12)</f>
        <v>0</v>
      </c>
      <c r="H4" s="57">
        <f>IF('Eurostat EB TJ'!G12=":",0,'Eurostat EB TJ'!G12)</f>
        <v>0</v>
      </c>
      <c r="I4" s="57">
        <f>IF('Eurostat EB TJ'!H12=":",0,'Eurostat EB TJ'!H12)</f>
        <v>0</v>
      </c>
      <c r="J4" s="57">
        <f>IF('Eurostat EB TJ'!I12=":",0,'Eurostat EB TJ'!I12)</f>
        <v>0</v>
      </c>
      <c r="K4" s="57">
        <f>IF('Eurostat EB TJ'!J12=":",0,'Eurostat EB TJ'!J12)</f>
        <v>0</v>
      </c>
      <c r="L4" s="57">
        <f>IF('Eurostat EB TJ'!K12=":",0,'Eurostat EB TJ'!K12)</f>
        <v>0</v>
      </c>
      <c r="M4" s="57">
        <f>IF('Eurostat EB TJ'!L12=":",0,'Eurostat EB TJ'!L12)</f>
        <v>0</v>
      </c>
      <c r="N4" s="57">
        <f>IF('Eurostat EB TJ'!M12=":",0,'Eurostat EB TJ'!M12)</f>
        <v>0</v>
      </c>
      <c r="O4" s="57">
        <f>IF('Eurostat EB TJ'!N12=":",0,'Eurostat EB TJ'!N12)</f>
        <v>0</v>
      </c>
      <c r="P4" s="57">
        <f>IF('Eurostat EB TJ'!O12=":",0,'Eurostat EB TJ'!O12)</f>
        <v>0</v>
      </c>
      <c r="Q4" s="57">
        <f>IF('Eurostat EB TJ'!P12=":",0,'Eurostat EB TJ'!P12)</f>
        <v>0</v>
      </c>
      <c r="R4" s="57">
        <f>IF('Eurostat EB TJ'!Q12=":",0,'Eurostat EB TJ'!Q12)</f>
        <v>0</v>
      </c>
      <c r="S4" s="57">
        <f>IF('Eurostat EB TJ'!R12=":",0,'Eurostat EB TJ'!R12)</f>
        <v>0</v>
      </c>
      <c r="T4" s="57">
        <f>IF('Eurostat EB TJ'!S12=":",0,'Eurostat EB TJ'!S12)</f>
        <v>0</v>
      </c>
      <c r="U4" s="57">
        <f>IF('Eurostat EB TJ'!T12=":",0,'Eurostat EB TJ'!T12)</f>
        <v>0</v>
      </c>
      <c r="V4" s="57">
        <f>IF('Eurostat EB TJ'!U12=":",0,'Eurostat EB TJ'!U12)</f>
        <v>0</v>
      </c>
      <c r="W4" s="57">
        <f>IF('Eurostat EB TJ'!V12=":",0,'Eurostat EB TJ'!V12)</f>
        <v>0</v>
      </c>
      <c r="X4" s="57">
        <f>IF('Eurostat EB TJ'!W12=":",0,'Eurostat EB TJ'!W12)</f>
        <v>354715.59399999998</v>
      </c>
      <c r="Y4" s="57">
        <f>IF('Eurostat EB TJ'!X12=":",0,'Eurostat EB TJ'!X12)</f>
        <v>28144.413</v>
      </c>
      <c r="Z4" s="57">
        <f>IF('Eurostat EB TJ'!Y12=":",0,'Eurostat EB TJ'!Y12)</f>
        <v>13646.322</v>
      </c>
      <c r="AA4" s="57">
        <f>IF('Eurostat EB TJ'!Z12=":",0,'Eurostat EB TJ'!Z12)</f>
        <v>3753.5520000000001</v>
      </c>
      <c r="AB4" s="57">
        <f>IF('Eurostat EB TJ'!AA12=":",0,'Eurostat EB TJ'!AA12)</f>
        <v>0</v>
      </c>
      <c r="AC4" s="57">
        <f>IF('Eurostat EB TJ'!AB12=":",0,'Eurostat EB TJ'!AB12)</f>
        <v>10744.539000000001</v>
      </c>
      <c r="AD4" s="57">
        <f>IF('Eurostat EB TJ'!AC12=":",0,'Eurostat EB TJ'!AC12)</f>
        <v>0</v>
      </c>
      <c r="AE4" s="57">
        <f>IF('Eurostat EB TJ'!AD12=":",0,'Eurostat EB TJ'!AD12)</f>
        <v>0</v>
      </c>
      <c r="AF4" s="57">
        <f>IF('Eurostat EB TJ'!AE12=":",0,'Eurostat EB TJ'!AE12)</f>
        <v>0</v>
      </c>
      <c r="AG4" s="57">
        <f>IF('Eurostat EB TJ'!AF12=":",0,'Eurostat EB TJ'!AF12)</f>
        <v>0</v>
      </c>
      <c r="AH4" s="57">
        <f>IF('Eurostat EB TJ'!AG12=":",0,'Eurostat EB TJ'!AG12)</f>
        <v>0</v>
      </c>
      <c r="AI4" s="57">
        <f>IF('Eurostat EB TJ'!AH12=":",0,'Eurostat EB TJ'!AH12)</f>
        <v>0</v>
      </c>
      <c r="AJ4" s="57">
        <f>IF('Eurostat EB TJ'!AI12=":",0,'Eurostat EB TJ'!AI12)</f>
        <v>0</v>
      </c>
      <c r="AK4" s="57">
        <f>IF('Eurostat EB TJ'!AJ12=":",0,'Eurostat EB TJ'!AJ12)</f>
        <v>0</v>
      </c>
      <c r="AL4" s="57">
        <f>IF('Eurostat EB TJ'!AK12=":",0,'Eurostat EB TJ'!AK12)</f>
        <v>0</v>
      </c>
      <c r="AM4" s="57">
        <f>IF('Eurostat EB TJ'!AL12=":",0,'Eurostat EB TJ'!AL12)</f>
        <v>0</v>
      </c>
      <c r="AN4" s="57">
        <f>IF('Eurostat EB TJ'!AM12=":",0,'Eurostat EB TJ'!AM12)</f>
        <v>0</v>
      </c>
      <c r="AO4" s="57">
        <f>IF('Eurostat EB TJ'!AN12=":",0,'Eurostat EB TJ'!AN12)</f>
        <v>0</v>
      </c>
      <c r="AP4" s="57">
        <f>IF('Eurostat EB TJ'!AO12=":",0,'Eurostat EB TJ'!AO12)</f>
        <v>0</v>
      </c>
      <c r="AQ4" s="57">
        <f>IF('Eurostat EB TJ'!AP12=":",0,'Eurostat EB TJ'!AP12)</f>
        <v>0</v>
      </c>
      <c r="AR4" s="57">
        <f>IF('Eurostat EB TJ'!AQ12=":",0,'Eurostat EB TJ'!AQ12)</f>
        <v>0</v>
      </c>
      <c r="AS4" s="57">
        <f>IF('Eurostat EB TJ'!AR12=":",0,'Eurostat EB TJ'!AR12)</f>
        <v>0</v>
      </c>
      <c r="AT4" s="57">
        <f>IF('Eurostat EB TJ'!AS12=":",0,'Eurostat EB TJ'!AS12)</f>
        <v>0</v>
      </c>
      <c r="AU4" s="57">
        <f>IF('Eurostat EB TJ'!AT12=":",0,'Eurostat EB TJ'!AT12)</f>
        <v>0</v>
      </c>
      <c r="AV4" s="57">
        <f>IF('Eurostat EB TJ'!AU12=":",0,'Eurostat EB TJ'!AU12)</f>
        <v>407113.09700000001</v>
      </c>
      <c r="AW4" s="57">
        <f>IF('Eurostat EB TJ'!AV12=":",0,'Eurostat EB TJ'!AV12)</f>
        <v>249.72800000000001</v>
      </c>
      <c r="AX4" s="57">
        <f>IF('Eurostat EB TJ'!AW12=":",0,'Eurostat EB TJ'!AW12)</f>
        <v>6797.51</v>
      </c>
      <c r="AY4" s="57">
        <f>IF('Eurostat EB TJ'!AX12=":",0,'Eurostat EB TJ'!AX12)</f>
        <v>106290.292</v>
      </c>
      <c r="AZ4" s="57">
        <f>IF('Eurostat EB TJ'!AY12=":",0,'Eurostat EB TJ'!AY12)</f>
        <v>1176</v>
      </c>
      <c r="BA4" s="57">
        <f>IF('Eurostat EB TJ'!AZ12=":",0,'Eurostat EB TJ'!AZ12)</f>
        <v>70481.476999999999</v>
      </c>
      <c r="BB4" s="57">
        <f>IF('Eurostat EB TJ'!BA12=":",0,'Eurostat EB TJ'!BA12)</f>
        <v>0</v>
      </c>
      <c r="BC4" s="57">
        <f>IF('Eurostat EB TJ'!BB12=":",0,'Eurostat EB TJ'!BB12)</f>
        <v>25524.613000000001</v>
      </c>
      <c r="BD4" s="57">
        <f>IF('Eurostat EB TJ'!BC12=":",0,'Eurostat EB TJ'!BC12)</f>
        <v>65069.523000000001</v>
      </c>
      <c r="BE4" s="57">
        <f>IF('Eurostat EB TJ'!BD12=":",0,'Eurostat EB TJ'!BD12)</f>
        <v>0</v>
      </c>
      <c r="BF4" s="57">
        <f>IF('Eurostat EB TJ'!BE12=":",0,'Eurostat EB TJ'!BE12)</f>
        <v>0</v>
      </c>
      <c r="BG4" s="57">
        <f>IF('Eurostat EB TJ'!BF12=":",0,'Eurostat EB TJ'!BF12)</f>
        <v>0</v>
      </c>
      <c r="BH4" s="57">
        <f>IF('Eurostat EB TJ'!BG12=":",0,'Eurostat EB TJ'!BG12)</f>
        <v>79792.506999999998</v>
      </c>
      <c r="BI4" s="57">
        <f>IF('Eurostat EB TJ'!BH12=":",0,'Eurostat EB TJ'!BH12)</f>
        <v>0</v>
      </c>
      <c r="BJ4" s="57">
        <f>IF('Eurostat EB TJ'!BI12=":",0,'Eurostat EB TJ'!BI12)</f>
        <v>0</v>
      </c>
      <c r="BK4" s="57">
        <f>IF('Eurostat EB TJ'!BJ12=":",0,'Eurostat EB TJ'!BJ12)</f>
        <v>0</v>
      </c>
      <c r="BL4" s="57">
        <f>IF('Eurostat EB TJ'!BK12=":",0,'Eurostat EB TJ'!BK12)</f>
        <v>529.77599999999995</v>
      </c>
      <c r="BM4" s="57">
        <f>IF('Eurostat EB TJ'!BL12=":",0,'Eurostat EB TJ'!BL12)</f>
        <v>18758.186000000002</v>
      </c>
      <c r="BN4" s="57">
        <f>IF('Eurostat EB TJ'!BM12=":",0,'Eurostat EB TJ'!BM12)</f>
        <v>1876.845</v>
      </c>
      <c r="BO4" s="57">
        <f>IF('Eurostat EB TJ'!BN12=":",0,'Eurostat EB TJ'!BN12)</f>
        <v>32443.485000000001</v>
      </c>
      <c r="BP4" s="57">
        <f>IF('Eurostat EB TJ'!BO12=":",0,'Eurostat EB TJ'!BO12)</f>
        <v>28770.636999999999</v>
      </c>
      <c r="BQ4" s="57">
        <f>IF('Eurostat EB TJ'!BP12=":",0,'Eurostat EB TJ'!BP12)</f>
        <v>30647.482</v>
      </c>
      <c r="BR4" s="57">
        <f>IF('Eurostat EB TJ'!BQ12=":",0,'Eurostat EB TJ'!BQ12)</f>
        <v>38959.053</v>
      </c>
      <c r="BS4" s="57">
        <f>IF('Eurostat EB TJ'!BR12=":",0,'Eurostat EB TJ'!BR12)</f>
        <v>0</v>
      </c>
      <c r="BT4" s="57">
        <f>IF('Eurostat EB TJ'!BS12=":",0,'Eurostat EB TJ'!BS12)</f>
        <v>8031.1109999999999</v>
      </c>
      <c r="BU4" s="57">
        <f>IF('Eurostat EB TJ'!BT12=":",0,'Eurostat EB TJ'!BT12)</f>
        <v>196593.47700000001</v>
      </c>
      <c r="BV4" s="57">
        <f>IF('Eurostat EB TJ'!BU12=":",0,'Eurostat EB TJ'!BU12)</f>
        <v>413507.489</v>
      </c>
    </row>
    <row r="5" spans="1:74" x14ac:dyDescent="0.2">
      <c r="A5" s="56" t="s">
        <v>203</v>
      </c>
      <c r="B5" s="17"/>
      <c r="C5" s="17">
        <f>IF('Eurostat EB TJ'!B13=":",0,'Eurostat EB TJ'!B13)</f>
        <v>13238.144</v>
      </c>
      <c r="D5" s="17">
        <f>IF('Eurostat EB TJ'!C13=":",0,'Eurostat EB TJ'!C13)</f>
        <v>0</v>
      </c>
      <c r="E5" s="17">
        <f>IF('Eurostat EB TJ'!D13=":",0,'Eurostat EB TJ'!D13)</f>
        <v>0</v>
      </c>
      <c r="F5" s="17">
        <f>IF('Eurostat EB TJ'!E13=":",0,'Eurostat EB TJ'!E13)</f>
        <v>0</v>
      </c>
      <c r="G5" s="17">
        <f>IF('Eurostat EB TJ'!F13=":",0,'Eurostat EB TJ'!F13)</f>
        <v>0</v>
      </c>
      <c r="H5" s="17">
        <f>IF('Eurostat EB TJ'!G13=":",0,'Eurostat EB TJ'!G13)</f>
        <v>0</v>
      </c>
      <c r="I5" s="17">
        <f>IF('Eurostat EB TJ'!H13=":",0,'Eurostat EB TJ'!H13)</f>
        <v>0</v>
      </c>
      <c r="J5" s="17">
        <f>IF('Eurostat EB TJ'!I13=":",0,'Eurostat EB TJ'!I13)</f>
        <v>0</v>
      </c>
      <c r="K5" s="17">
        <f>IF('Eurostat EB TJ'!J13=":",0,'Eurostat EB TJ'!J13)</f>
        <v>0</v>
      </c>
      <c r="L5" s="17">
        <f>IF('Eurostat EB TJ'!K13=":",0,'Eurostat EB TJ'!K13)</f>
        <v>0</v>
      </c>
      <c r="M5" s="17">
        <f>IF('Eurostat EB TJ'!L13=":",0,'Eurostat EB TJ'!L13)</f>
        <v>0</v>
      </c>
      <c r="N5" s="17">
        <f>IF('Eurostat EB TJ'!M13=":",0,'Eurostat EB TJ'!M13)</f>
        <v>0</v>
      </c>
      <c r="O5" s="17">
        <f>IF('Eurostat EB TJ'!N13=":",0,'Eurostat EB TJ'!N13)</f>
        <v>0</v>
      </c>
      <c r="P5" s="17">
        <f>IF('Eurostat EB TJ'!O13=":",0,'Eurostat EB TJ'!O13)</f>
        <v>0</v>
      </c>
      <c r="Q5" s="17">
        <f>IF('Eurostat EB TJ'!P13=":",0,'Eurostat EB TJ'!P13)</f>
        <v>0</v>
      </c>
      <c r="R5" s="17">
        <f>IF('Eurostat EB TJ'!Q13=":",0,'Eurostat EB TJ'!Q13)</f>
        <v>0</v>
      </c>
      <c r="S5" s="17">
        <f>IF('Eurostat EB TJ'!R13=":",0,'Eurostat EB TJ'!R13)</f>
        <v>0</v>
      </c>
      <c r="T5" s="17">
        <f>IF('Eurostat EB TJ'!S13=":",0,'Eurostat EB TJ'!S13)</f>
        <v>0</v>
      </c>
      <c r="U5" s="17">
        <f>IF('Eurostat EB TJ'!T13=":",0,'Eurostat EB TJ'!T13)</f>
        <v>0</v>
      </c>
      <c r="V5" s="17">
        <f>IF('Eurostat EB TJ'!U13=":",0,'Eurostat EB TJ'!U13)</f>
        <v>0</v>
      </c>
      <c r="W5" s="17">
        <f>IF('Eurostat EB TJ'!V13=":",0,'Eurostat EB TJ'!V13)</f>
        <v>0</v>
      </c>
      <c r="X5" s="17">
        <f>IF('Eurostat EB TJ'!W13=":",0,'Eurostat EB TJ'!W13)</f>
        <v>0</v>
      </c>
      <c r="Y5" s="17">
        <f>IF('Eurostat EB TJ'!X13=":",0,'Eurostat EB TJ'!X13)</f>
        <v>13238.144</v>
      </c>
      <c r="Z5" s="17">
        <f>IF('Eurostat EB TJ'!Y13=":",0,'Eurostat EB TJ'!Y13)</f>
        <v>0</v>
      </c>
      <c r="AA5" s="17">
        <f>IF('Eurostat EB TJ'!Z13=":",0,'Eurostat EB TJ'!Z13)</f>
        <v>0</v>
      </c>
      <c r="AB5" s="17">
        <f>IF('Eurostat EB TJ'!AA13=":",0,'Eurostat EB TJ'!AA13)</f>
        <v>0</v>
      </c>
      <c r="AC5" s="17">
        <f>IF('Eurostat EB TJ'!AB13=":",0,'Eurostat EB TJ'!AB13)</f>
        <v>0</v>
      </c>
      <c r="AD5" s="17">
        <f>IF('Eurostat EB TJ'!AC13=":",0,'Eurostat EB TJ'!AC13)</f>
        <v>0</v>
      </c>
      <c r="AE5" s="17">
        <f>IF('Eurostat EB TJ'!AD13=":",0,'Eurostat EB TJ'!AD13)</f>
        <v>10953.163</v>
      </c>
      <c r="AF5" s="17">
        <f>IF('Eurostat EB TJ'!AE13=":",0,'Eurostat EB TJ'!AE13)</f>
        <v>0</v>
      </c>
      <c r="AG5" s="17">
        <f>IF('Eurostat EB TJ'!AF13=":",0,'Eurostat EB TJ'!AF13)</f>
        <v>0</v>
      </c>
      <c r="AH5" s="17">
        <f>IF('Eurostat EB TJ'!AG13=":",0,'Eurostat EB TJ'!AG13)</f>
        <v>0</v>
      </c>
      <c r="AI5" s="17">
        <f>IF('Eurostat EB TJ'!AH13=":",0,'Eurostat EB TJ'!AH13)</f>
        <v>0</v>
      </c>
      <c r="AJ5" s="17">
        <f>IF('Eurostat EB TJ'!AI13=":",0,'Eurostat EB TJ'!AI13)</f>
        <v>0</v>
      </c>
      <c r="AK5" s="17">
        <f>IF('Eurostat EB TJ'!AJ13=":",0,'Eurostat EB TJ'!AJ13)</f>
        <v>0</v>
      </c>
      <c r="AL5" s="17">
        <f>IF('Eurostat EB TJ'!AK13=":",0,'Eurostat EB TJ'!AK13)</f>
        <v>0</v>
      </c>
      <c r="AM5" s="17">
        <f>IF('Eurostat EB TJ'!AL13=":",0,'Eurostat EB TJ'!AL13)</f>
        <v>0</v>
      </c>
      <c r="AN5" s="17">
        <f>IF('Eurostat EB TJ'!AM13=":",0,'Eurostat EB TJ'!AM13)</f>
        <v>0</v>
      </c>
      <c r="AO5" s="17">
        <f>IF('Eurostat EB TJ'!AN13=":",0,'Eurostat EB TJ'!AN13)</f>
        <v>0</v>
      </c>
      <c r="AP5" s="17">
        <f>IF('Eurostat EB TJ'!AO13=":",0,'Eurostat EB TJ'!AO13)</f>
        <v>0</v>
      </c>
      <c r="AQ5" s="17">
        <f>IF('Eurostat EB TJ'!AP13=":",0,'Eurostat EB TJ'!AP13)</f>
        <v>0</v>
      </c>
      <c r="AR5" s="17">
        <f>IF('Eurostat EB TJ'!AQ13=":",0,'Eurostat EB TJ'!AQ13)</f>
        <v>0</v>
      </c>
      <c r="AS5" s="17">
        <f>IF('Eurostat EB TJ'!AR13=":",0,'Eurostat EB TJ'!AR13)</f>
        <v>0</v>
      </c>
      <c r="AT5" s="17">
        <f>IF('Eurostat EB TJ'!AS13=":",0,'Eurostat EB TJ'!AS13)</f>
        <v>0</v>
      </c>
      <c r="AU5" s="17">
        <f>IF('Eurostat EB TJ'!AT13=":",0,'Eurostat EB TJ'!AT13)</f>
        <v>2284.98</v>
      </c>
      <c r="AV5" s="17">
        <f>IF('Eurostat EB TJ'!AU13=":",0,'Eurostat EB TJ'!AU13)</f>
        <v>0</v>
      </c>
      <c r="AW5" s="17">
        <f>IF('Eurostat EB TJ'!AV13=":",0,'Eurostat EB TJ'!AV13)</f>
        <v>0</v>
      </c>
      <c r="AX5" s="17">
        <f>IF('Eurostat EB TJ'!AW13=":",0,'Eurostat EB TJ'!AW13)</f>
        <v>0</v>
      </c>
      <c r="AY5" s="17">
        <f>IF('Eurostat EB TJ'!AX13=":",0,'Eurostat EB TJ'!AX13)</f>
        <v>0</v>
      </c>
      <c r="AZ5" s="17">
        <f>IF('Eurostat EB TJ'!AY13=":",0,'Eurostat EB TJ'!AY13)</f>
        <v>0</v>
      </c>
      <c r="BA5" s="17">
        <f>IF('Eurostat EB TJ'!AZ13=":",0,'Eurostat EB TJ'!AZ13)</f>
        <v>0</v>
      </c>
      <c r="BB5" s="17">
        <f>IF('Eurostat EB TJ'!BA13=":",0,'Eurostat EB TJ'!BA13)</f>
        <v>0</v>
      </c>
      <c r="BC5" s="17">
        <f>IF('Eurostat EB TJ'!BB13=":",0,'Eurostat EB TJ'!BB13)</f>
        <v>0</v>
      </c>
      <c r="BD5" s="17">
        <f>IF('Eurostat EB TJ'!BC13=":",0,'Eurostat EB TJ'!BC13)</f>
        <v>0</v>
      </c>
      <c r="BE5" s="17">
        <f>IF('Eurostat EB TJ'!BD13=":",0,'Eurostat EB TJ'!BD13)</f>
        <v>0</v>
      </c>
      <c r="BF5" s="17">
        <f>IF('Eurostat EB TJ'!BE13=":",0,'Eurostat EB TJ'!BE13)</f>
        <v>0</v>
      </c>
      <c r="BG5" s="17">
        <f>IF('Eurostat EB TJ'!BF13=":",0,'Eurostat EB TJ'!BF13)</f>
        <v>0</v>
      </c>
      <c r="BH5" s="17">
        <f>IF('Eurostat EB TJ'!BG13=":",0,'Eurostat EB TJ'!BG13)</f>
        <v>0</v>
      </c>
      <c r="BI5" s="17">
        <f>IF('Eurostat EB TJ'!BH13=":",0,'Eurostat EB TJ'!BH13)</f>
        <v>0</v>
      </c>
      <c r="BJ5" s="17">
        <f>IF('Eurostat EB TJ'!BI13=":",0,'Eurostat EB TJ'!BI13)</f>
        <v>0</v>
      </c>
      <c r="BK5" s="17">
        <f>IF('Eurostat EB TJ'!BJ13=":",0,'Eurostat EB TJ'!BJ13)</f>
        <v>0</v>
      </c>
      <c r="BL5" s="17">
        <f>IF('Eurostat EB TJ'!BK13=":",0,'Eurostat EB TJ'!BK13)</f>
        <v>0</v>
      </c>
      <c r="BM5" s="17">
        <f>IF('Eurostat EB TJ'!BL13=":",0,'Eurostat EB TJ'!BL13)</f>
        <v>0</v>
      </c>
      <c r="BN5" s="17">
        <f>IF('Eurostat EB TJ'!BM13=":",0,'Eurostat EB TJ'!BM13)</f>
        <v>0</v>
      </c>
      <c r="BO5" s="17">
        <f>IF('Eurostat EB TJ'!BN13=":",0,'Eurostat EB TJ'!BN13)</f>
        <v>0</v>
      </c>
      <c r="BP5" s="17">
        <f>IF('Eurostat EB TJ'!BO13=":",0,'Eurostat EB TJ'!BO13)</f>
        <v>0</v>
      </c>
      <c r="BQ5" s="17">
        <f>IF('Eurostat EB TJ'!BP13=":",0,'Eurostat EB TJ'!BP13)</f>
        <v>0</v>
      </c>
      <c r="BR5" s="17">
        <f>IF('Eurostat EB TJ'!BQ13=":",0,'Eurostat EB TJ'!BQ13)</f>
        <v>0</v>
      </c>
      <c r="BS5" s="17">
        <f>IF('Eurostat EB TJ'!BR13=":",0,'Eurostat EB TJ'!BR13)</f>
        <v>0</v>
      </c>
      <c r="BT5" s="17">
        <f>IF('Eurostat EB TJ'!BS13=":",0,'Eurostat EB TJ'!BS13)</f>
        <v>0</v>
      </c>
      <c r="BU5" s="17">
        <f>IF('Eurostat EB TJ'!BT13=":",0,'Eurostat EB TJ'!BT13)</f>
        <v>0</v>
      </c>
      <c r="BV5" s="17">
        <f>IF('Eurostat EB TJ'!BU13=":",0,'Eurostat EB TJ'!BU13)</f>
        <v>13238.144</v>
      </c>
    </row>
    <row r="6" spans="1:74" x14ac:dyDescent="0.2">
      <c r="A6" s="56" t="s">
        <v>74</v>
      </c>
      <c r="B6" s="57"/>
      <c r="C6" s="57">
        <f>IF('Eurostat EB TJ'!B14=":",0,'Eurostat EB TJ'!B14)</f>
        <v>7491212.8370000003</v>
      </c>
      <c r="D6" s="57">
        <f>IF('Eurostat EB TJ'!C14=":",0,'Eurostat EB TJ'!C14)</f>
        <v>175944.88099999999</v>
      </c>
      <c r="E6" s="57">
        <f>IF('Eurostat EB TJ'!D14=":",0,'Eurostat EB TJ'!D14)</f>
        <v>76.706999999999994</v>
      </c>
      <c r="F6" s="57">
        <f>IF('Eurostat EB TJ'!E14=":",0,'Eurostat EB TJ'!E14)</f>
        <v>104273.93</v>
      </c>
      <c r="G6" s="57">
        <f>IF('Eurostat EB TJ'!F14=":",0,'Eurostat EB TJ'!F14)</f>
        <v>70267.929999999993</v>
      </c>
      <c r="H6" s="57">
        <f>IF('Eurostat EB TJ'!G14=":",0,'Eurostat EB TJ'!G14)</f>
        <v>0</v>
      </c>
      <c r="I6" s="57">
        <f>IF('Eurostat EB TJ'!H14=":",0,'Eurostat EB TJ'!H14)</f>
        <v>312.82</v>
      </c>
      <c r="J6" s="57">
        <f>IF('Eurostat EB TJ'!I14=":",0,'Eurostat EB TJ'!I14)</f>
        <v>1013.494</v>
      </c>
      <c r="K6" s="57">
        <f>IF('Eurostat EB TJ'!J14=":",0,'Eurostat EB TJ'!J14)</f>
        <v>0</v>
      </c>
      <c r="L6" s="57">
        <f>IF('Eurostat EB TJ'!K14=":",0,'Eurostat EB TJ'!K14)</f>
        <v>0</v>
      </c>
      <c r="M6" s="57">
        <f>IF('Eurostat EB TJ'!L14=":",0,'Eurostat EB TJ'!L14)</f>
        <v>0</v>
      </c>
      <c r="N6" s="57">
        <f>IF('Eurostat EB TJ'!M14=":",0,'Eurostat EB TJ'!M14)</f>
        <v>0</v>
      </c>
      <c r="O6" s="57">
        <f>IF('Eurostat EB TJ'!N14=":",0,'Eurostat EB TJ'!N14)</f>
        <v>0</v>
      </c>
      <c r="P6" s="57">
        <f>IF('Eurostat EB TJ'!O14=":",0,'Eurostat EB TJ'!O14)</f>
        <v>0</v>
      </c>
      <c r="Q6" s="57">
        <f>IF('Eurostat EB TJ'!P14=":",0,'Eurostat EB TJ'!P14)</f>
        <v>0</v>
      </c>
      <c r="R6" s="57">
        <f>IF('Eurostat EB TJ'!Q14=":",0,'Eurostat EB TJ'!Q14)</f>
        <v>0</v>
      </c>
      <c r="S6" s="57">
        <f>IF('Eurostat EB TJ'!R14=":",0,'Eurostat EB TJ'!R14)</f>
        <v>0</v>
      </c>
      <c r="T6" s="57">
        <f>IF('Eurostat EB TJ'!S14=":",0,'Eurostat EB TJ'!S14)</f>
        <v>0</v>
      </c>
      <c r="U6" s="57">
        <f>IF('Eurostat EB TJ'!T14=":",0,'Eurostat EB TJ'!T14)</f>
        <v>0</v>
      </c>
      <c r="V6" s="57">
        <f>IF('Eurostat EB TJ'!U14=":",0,'Eurostat EB TJ'!U14)</f>
        <v>0</v>
      </c>
      <c r="W6" s="57">
        <f>IF('Eurostat EB TJ'!V14=":",0,'Eurostat EB TJ'!V14)</f>
        <v>0</v>
      </c>
      <c r="X6" s="57">
        <f>IF('Eurostat EB TJ'!W14=":",0,'Eurostat EB TJ'!W14)</f>
        <v>1210080.142</v>
      </c>
      <c r="Y6" s="57">
        <f>IF('Eurostat EB TJ'!X14=":",0,'Eurostat EB TJ'!X14)</f>
        <v>5974057.5860000001</v>
      </c>
      <c r="Z6" s="57">
        <f>IF('Eurostat EB TJ'!Y14=":",0,'Eurostat EB TJ'!Y14)</f>
        <v>2294919.9559999998</v>
      </c>
      <c r="AA6" s="57">
        <f>IF('Eurostat EB TJ'!Z14=":",0,'Eurostat EB TJ'!Z14)</f>
        <v>342371.57</v>
      </c>
      <c r="AB6" s="57">
        <f>IF('Eurostat EB TJ'!AA14=":",0,'Eurostat EB TJ'!AA14)</f>
        <v>0</v>
      </c>
      <c r="AC6" s="57">
        <f>IF('Eurostat EB TJ'!AB14=":",0,'Eurostat EB TJ'!AB14)</f>
        <v>49566.112999999998</v>
      </c>
      <c r="AD6" s="57">
        <f>IF('Eurostat EB TJ'!AC14=":",0,'Eurostat EB TJ'!AC14)</f>
        <v>0</v>
      </c>
      <c r="AE6" s="57">
        <f>IF('Eurostat EB TJ'!AD14=":",0,'Eurostat EB TJ'!AD14)</f>
        <v>0</v>
      </c>
      <c r="AF6" s="57">
        <f>IF('Eurostat EB TJ'!AE14=":",0,'Eurostat EB TJ'!AE14)</f>
        <v>0</v>
      </c>
      <c r="AG6" s="57">
        <f>IF('Eurostat EB TJ'!AF14=":",0,'Eurostat EB TJ'!AF14)</f>
        <v>154555.46400000001</v>
      </c>
      <c r="AH6" s="57">
        <f>IF('Eurostat EB TJ'!AG14=":",0,'Eurostat EB TJ'!AG14)</f>
        <v>809282.60400000005</v>
      </c>
      <c r="AI6" s="57">
        <f>IF('Eurostat EB TJ'!AH14=":",0,'Eurostat EB TJ'!AH14)</f>
        <v>15.135999999999999</v>
      </c>
      <c r="AJ6" s="57">
        <f>IF('Eurostat EB TJ'!AI14=":",0,'Eurostat EB TJ'!AI14)</f>
        <v>283288.16499999998</v>
      </c>
      <c r="AK6" s="57">
        <f>IF('Eurostat EB TJ'!AJ14=":",0,'Eurostat EB TJ'!AJ14)</f>
        <v>0</v>
      </c>
      <c r="AL6" s="57">
        <f>IF('Eurostat EB TJ'!AK14=":",0,'Eurostat EB TJ'!AK14)</f>
        <v>116138.49400000001</v>
      </c>
      <c r="AM6" s="57">
        <f>IF('Eurostat EB TJ'!AL14=":",0,'Eurostat EB TJ'!AL14)</f>
        <v>26215.852999999999</v>
      </c>
      <c r="AN6" s="57">
        <f>IF('Eurostat EB TJ'!AM14=":",0,'Eurostat EB TJ'!AM14)</f>
        <v>586131.10199999996</v>
      </c>
      <c r="AO6" s="57">
        <f>IF('Eurostat EB TJ'!AN14=":",0,'Eurostat EB TJ'!AN14)</f>
        <v>987993.85800000001</v>
      </c>
      <c r="AP6" s="57">
        <f>IF('Eurostat EB TJ'!AO14=":",0,'Eurostat EB TJ'!AO14)</f>
        <v>91210.987999999998</v>
      </c>
      <c r="AQ6" s="57">
        <f>IF('Eurostat EB TJ'!AP14=":",0,'Eurostat EB TJ'!AP14)</f>
        <v>98845.239000000001</v>
      </c>
      <c r="AR6" s="57">
        <f>IF('Eurostat EB TJ'!AQ14=":",0,'Eurostat EB TJ'!AQ14)</f>
        <v>8165.1869999999999</v>
      </c>
      <c r="AS6" s="57">
        <f>IF('Eurostat EB TJ'!AR14=":",0,'Eurostat EB TJ'!AR14)</f>
        <v>71527.952000000005</v>
      </c>
      <c r="AT6" s="57">
        <f>IF('Eurostat EB TJ'!AS14=":",0,'Eurostat EB TJ'!AS14)</f>
        <v>19370.705000000002</v>
      </c>
      <c r="AU6" s="57">
        <f>IF('Eurostat EB TJ'!AT14=":",0,'Eurostat EB TJ'!AT14)</f>
        <v>34459.199999999997</v>
      </c>
      <c r="AV6" s="57">
        <f>IF('Eurostat EB TJ'!AU14=":",0,'Eurostat EB TJ'!AU14)</f>
        <v>56021.826999999997</v>
      </c>
      <c r="AW6" s="57">
        <f>IF('Eurostat EB TJ'!AV14=":",0,'Eurostat EB TJ'!AV14)</f>
        <v>0</v>
      </c>
      <c r="AX6" s="57">
        <f>IF('Eurostat EB TJ'!AW14=":",0,'Eurostat EB TJ'!AW14)</f>
        <v>0</v>
      </c>
      <c r="AY6" s="57">
        <f>IF('Eurostat EB TJ'!AX14=":",0,'Eurostat EB TJ'!AX14)</f>
        <v>0</v>
      </c>
      <c r="AZ6" s="57">
        <f>IF('Eurostat EB TJ'!AY14=":",0,'Eurostat EB TJ'!AY14)</f>
        <v>0</v>
      </c>
      <c r="BA6" s="57">
        <f>IF('Eurostat EB TJ'!AZ14=":",0,'Eurostat EB TJ'!AZ14)</f>
        <v>0</v>
      </c>
      <c r="BB6" s="57">
        <f>IF('Eurostat EB TJ'!BA14=":",0,'Eurostat EB TJ'!BA14)</f>
        <v>0</v>
      </c>
      <c r="BC6" s="57">
        <f>IF('Eurostat EB TJ'!BB14=":",0,'Eurostat EB TJ'!BB14)</f>
        <v>0</v>
      </c>
      <c r="BD6" s="57">
        <f>IF('Eurostat EB TJ'!BC14=":",0,'Eurostat EB TJ'!BC14)</f>
        <v>33247.449999999997</v>
      </c>
      <c r="BE6" s="57">
        <f>IF('Eurostat EB TJ'!BD14=":",0,'Eurostat EB TJ'!BD14)</f>
        <v>270</v>
      </c>
      <c r="BF6" s="57">
        <f>IF('Eurostat EB TJ'!BE14=":",0,'Eurostat EB TJ'!BE14)</f>
        <v>14512.148999999999</v>
      </c>
      <c r="BG6" s="57">
        <f>IF('Eurostat EB TJ'!BF14=":",0,'Eurostat EB TJ'!BF14)</f>
        <v>0</v>
      </c>
      <c r="BH6" s="57">
        <f>IF('Eurostat EB TJ'!BG14=":",0,'Eurostat EB TJ'!BG14)</f>
        <v>0</v>
      </c>
      <c r="BI6" s="57">
        <f>IF('Eurostat EB TJ'!BH14=":",0,'Eurostat EB TJ'!BH14)</f>
        <v>0</v>
      </c>
      <c r="BJ6" s="57">
        <f>IF('Eurostat EB TJ'!BI14=":",0,'Eurostat EB TJ'!BI14)</f>
        <v>0</v>
      </c>
      <c r="BK6" s="57">
        <f>IF('Eurostat EB TJ'!BJ14=":",0,'Eurostat EB TJ'!BJ14)</f>
        <v>2646.424</v>
      </c>
      <c r="BL6" s="57">
        <f>IF('Eurostat EB TJ'!BK14=":",0,'Eurostat EB TJ'!BK14)</f>
        <v>0</v>
      </c>
      <c r="BM6" s="57">
        <f>IF('Eurostat EB TJ'!BL14=":",0,'Eurostat EB TJ'!BL14)</f>
        <v>0</v>
      </c>
      <c r="BN6" s="57">
        <f>IF('Eurostat EB TJ'!BM14=":",0,'Eurostat EB TJ'!BM14)</f>
        <v>0</v>
      </c>
      <c r="BO6" s="57">
        <f>IF('Eurostat EB TJ'!BN14=":",0,'Eurostat EB TJ'!BN14)</f>
        <v>5345.8040000000001</v>
      </c>
      <c r="BP6" s="57">
        <f>IF('Eurostat EB TJ'!BO14=":",0,'Eurostat EB TJ'!BO14)</f>
        <v>4740.6189999999997</v>
      </c>
      <c r="BQ6" s="57">
        <f>IF('Eurostat EB TJ'!BP14=":",0,'Eurostat EB TJ'!BP14)</f>
        <v>4740.6189999999997</v>
      </c>
      <c r="BR6" s="57">
        <f>IF('Eurostat EB TJ'!BQ14=":",0,'Eurostat EB TJ'!BQ14)</f>
        <v>0</v>
      </c>
      <c r="BS6" s="57">
        <f>IF('Eurostat EB TJ'!BR14=":",0,'Eurostat EB TJ'!BR14)</f>
        <v>70367.782000000007</v>
      </c>
      <c r="BT6" s="57">
        <f>IF('Eurostat EB TJ'!BS14=":",0,'Eurostat EB TJ'!BS14)</f>
        <v>0</v>
      </c>
      <c r="BU6" s="57">
        <f>IF('Eurostat EB TJ'!BT14=":",0,'Eurostat EB TJ'!BT14)</f>
        <v>73101.232000000004</v>
      </c>
      <c r="BV6" s="57">
        <f>IF('Eurostat EB TJ'!BU14=":",0,'Eurostat EB TJ'!BU14)</f>
        <v>7386950.7920000004</v>
      </c>
    </row>
    <row r="7" spans="1:74" x14ac:dyDescent="0.2">
      <c r="A7" s="56" t="s">
        <v>75</v>
      </c>
      <c r="B7" s="17"/>
      <c r="C7" s="17">
        <f>IF('Eurostat EB TJ'!B15=":",0,'Eurostat EB TJ'!B15)</f>
        <v>5249055.4579999996</v>
      </c>
      <c r="D7" s="17">
        <f>IF('Eurostat EB TJ'!C15=":",0,'Eurostat EB TJ'!C15)</f>
        <v>13808.058999999999</v>
      </c>
      <c r="E7" s="17">
        <f>IF('Eurostat EB TJ'!D15=":",0,'Eurostat EB TJ'!D15)</f>
        <v>0</v>
      </c>
      <c r="F7" s="17">
        <f>IF('Eurostat EB TJ'!E15=":",0,'Eurostat EB TJ'!E15)</f>
        <v>0</v>
      </c>
      <c r="G7" s="17">
        <f>IF('Eurostat EB TJ'!F15=":",0,'Eurostat EB TJ'!F15)</f>
        <v>0</v>
      </c>
      <c r="H7" s="17">
        <f>IF('Eurostat EB TJ'!G15=":",0,'Eurostat EB TJ'!G15)</f>
        <v>0</v>
      </c>
      <c r="I7" s="17">
        <f>IF('Eurostat EB TJ'!H15=":",0,'Eurostat EB TJ'!H15)</f>
        <v>0</v>
      </c>
      <c r="J7" s="17">
        <f>IF('Eurostat EB TJ'!I15=":",0,'Eurostat EB TJ'!I15)</f>
        <v>11551.995999999999</v>
      </c>
      <c r="K7" s="17">
        <f>IF('Eurostat EB TJ'!J15=":",0,'Eurostat EB TJ'!J15)</f>
        <v>0</v>
      </c>
      <c r="L7" s="17">
        <f>IF('Eurostat EB TJ'!K15=":",0,'Eurostat EB TJ'!K15)</f>
        <v>0</v>
      </c>
      <c r="M7" s="17">
        <f>IF('Eurostat EB TJ'!L15=":",0,'Eurostat EB TJ'!L15)</f>
        <v>0</v>
      </c>
      <c r="N7" s="17">
        <f>IF('Eurostat EB TJ'!M15=":",0,'Eurostat EB TJ'!M15)</f>
        <v>2256.0639999999999</v>
      </c>
      <c r="O7" s="17">
        <f>IF('Eurostat EB TJ'!N15=":",0,'Eurostat EB TJ'!N15)</f>
        <v>0</v>
      </c>
      <c r="P7" s="17">
        <f>IF('Eurostat EB TJ'!O15=":",0,'Eurostat EB TJ'!O15)</f>
        <v>0</v>
      </c>
      <c r="Q7" s="17">
        <f>IF('Eurostat EB TJ'!P15=":",0,'Eurostat EB TJ'!P15)</f>
        <v>0</v>
      </c>
      <c r="R7" s="17">
        <f>IF('Eurostat EB TJ'!Q15=":",0,'Eurostat EB TJ'!Q15)</f>
        <v>0</v>
      </c>
      <c r="S7" s="17">
        <f>IF('Eurostat EB TJ'!R15=":",0,'Eurostat EB TJ'!R15)</f>
        <v>0</v>
      </c>
      <c r="T7" s="17">
        <f>IF('Eurostat EB TJ'!S15=":",0,'Eurostat EB TJ'!S15)</f>
        <v>0</v>
      </c>
      <c r="U7" s="17">
        <f>IF('Eurostat EB TJ'!T15=":",0,'Eurostat EB TJ'!T15)</f>
        <v>0</v>
      </c>
      <c r="V7" s="17">
        <f>IF('Eurostat EB TJ'!U15=":",0,'Eurostat EB TJ'!U15)</f>
        <v>0</v>
      </c>
      <c r="W7" s="17">
        <f>IF('Eurostat EB TJ'!V15=":",0,'Eurostat EB TJ'!V15)</f>
        <v>0</v>
      </c>
      <c r="X7" s="17">
        <f>IF('Eurostat EB TJ'!W15=":",0,'Eurostat EB TJ'!W15)</f>
        <v>598477.35</v>
      </c>
      <c r="Y7" s="17">
        <f>IF('Eurostat EB TJ'!X15=":",0,'Eurostat EB TJ'!X15)</f>
        <v>4461947.2180000003</v>
      </c>
      <c r="Z7" s="17">
        <f>IF('Eurostat EB TJ'!Y15=":",0,'Eurostat EB TJ'!Y15)</f>
        <v>788.79700000000003</v>
      </c>
      <c r="AA7" s="17">
        <f>IF('Eurostat EB TJ'!Z15=":",0,'Eurostat EB TJ'!Z15)</f>
        <v>4516.0720000000001</v>
      </c>
      <c r="AB7" s="17">
        <f>IF('Eurostat EB TJ'!AA15=":",0,'Eurostat EB TJ'!AA15)</f>
        <v>0</v>
      </c>
      <c r="AC7" s="17">
        <f>IF('Eurostat EB TJ'!AB15=":",0,'Eurostat EB TJ'!AB15)</f>
        <v>41038.536</v>
      </c>
      <c r="AD7" s="17">
        <f>IF('Eurostat EB TJ'!AC15=":",0,'Eurostat EB TJ'!AC15)</f>
        <v>0</v>
      </c>
      <c r="AE7" s="17">
        <f>IF('Eurostat EB TJ'!AD15=":",0,'Eurostat EB TJ'!AD15)</f>
        <v>0</v>
      </c>
      <c r="AF7" s="17">
        <f>IF('Eurostat EB TJ'!AE15=":",0,'Eurostat EB TJ'!AE15)</f>
        <v>0</v>
      </c>
      <c r="AG7" s="17">
        <f>IF('Eurostat EB TJ'!AF15=":",0,'Eurostat EB TJ'!AF15)</f>
        <v>95006.081000000006</v>
      </c>
      <c r="AH7" s="17">
        <f>IF('Eurostat EB TJ'!AG15=":",0,'Eurostat EB TJ'!AG15)</f>
        <v>586802.53200000001</v>
      </c>
      <c r="AI7" s="17">
        <f>IF('Eurostat EB TJ'!AH15=":",0,'Eurostat EB TJ'!AH15)</f>
        <v>2898.34</v>
      </c>
      <c r="AJ7" s="17">
        <f>IF('Eurostat EB TJ'!AI15=":",0,'Eurostat EB TJ'!AI15)</f>
        <v>900051.24399999995</v>
      </c>
      <c r="AK7" s="17">
        <f>IF('Eurostat EB TJ'!AJ15=":",0,'Eurostat EB TJ'!AJ15)</f>
        <v>0</v>
      </c>
      <c r="AL7" s="17">
        <f>IF('Eurostat EB TJ'!AK15=":",0,'Eurostat EB TJ'!AK15)</f>
        <v>358648.68400000001</v>
      </c>
      <c r="AM7" s="17">
        <f>IF('Eurostat EB TJ'!AL15=":",0,'Eurostat EB TJ'!AL15)</f>
        <v>36859.535000000003</v>
      </c>
      <c r="AN7" s="17">
        <f>IF('Eurostat EB TJ'!AM15=":",0,'Eurostat EB TJ'!AM15)</f>
        <v>1113094.773</v>
      </c>
      <c r="AO7" s="17">
        <f>IF('Eurostat EB TJ'!AN15=":",0,'Eurostat EB TJ'!AN15)</f>
        <v>930513.51100000006</v>
      </c>
      <c r="AP7" s="17">
        <f>IF('Eurostat EB TJ'!AO15=":",0,'Eurostat EB TJ'!AO15)</f>
        <v>97476.262000000002</v>
      </c>
      <c r="AQ7" s="17">
        <f>IF('Eurostat EB TJ'!AP15=":",0,'Eurostat EB TJ'!AP15)</f>
        <v>116913.849</v>
      </c>
      <c r="AR7" s="17">
        <f>IF('Eurostat EB TJ'!AQ15=":",0,'Eurostat EB TJ'!AQ15)</f>
        <v>8041.7430000000004</v>
      </c>
      <c r="AS7" s="17">
        <f>IF('Eurostat EB TJ'!AR15=":",0,'Eurostat EB TJ'!AR15)</f>
        <v>59454.565000000002</v>
      </c>
      <c r="AT7" s="17">
        <f>IF('Eurostat EB TJ'!AS15=":",0,'Eurostat EB TJ'!AS15)</f>
        <v>52617.432999999997</v>
      </c>
      <c r="AU7" s="17">
        <f>IF('Eurostat EB TJ'!AT15=":",0,'Eurostat EB TJ'!AT15)</f>
        <v>57225.262000000002</v>
      </c>
      <c r="AV7" s="17">
        <f>IF('Eurostat EB TJ'!AU15=":",0,'Eurostat EB TJ'!AU15)</f>
        <v>83245.667000000001</v>
      </c>
      <c r="AW7" s="17">
        <f>IF('Eurostat EB TJ'!AV15=":",0,'Eurostat EB TJ'!AV15)</f>
        <v>0</v>
      </c>
      <c r="AX7" s="17">
        <f>IF('Eurostat EB TJ'!AW15=":",0,'Eurostat EB TJ'!AW15)</f>
        <v>0</v>
      </c>
      <c r="AY7" s="17">
        <f>IF('Eurostat EB TJ'!AX15=":",0,'Eurostat EB TJ'!AX15)</f>
        <v>0</v>
      </c>
      <c r="AZ7" s="17">
        <f>IF('Eurostat EB TJ'!AY15=":",0,'Eurostat EB TJ'!AY15)</f>
        <v>0</v>
      </c>
      <c r="BA7" s="17">
        <f>IF('Eurostat EB TJ'!AZ15=":",0,'Eurostat EB TJ'!AZ15)</f>
        <v>0</v>
      </c>
      <c r="BB7" s="17">
        <f>IF('Eurostat EB TJ'!BA15=":",0,'Eurostat EB TJ'!BA15)</f>
        <v>0</v>
      </c>
      <c r="BC7" s="17">
        <f>IF('Eurostat EB TJ'!BB15=":",0,'Eurostat EB TJ'!BB15)</f>
        <v>0</v>
      </c>
      <c r="BD7" s="17">
        <f>IF('Eurostat EB TJ'!BC15=":",0,'Eurostat EB TJ'!BC15)</f>
        <v>14253.745000000001</v>
      </c>
      <c r="BE7" s="17">
        <f>IF('Eurostat EB TJ'!BD15=":",0,'Eurostat EB TJ'!BD15)</f>
        <v>0</v>
      </c>
      <c r="BF7" s="17">
        <f>IF('Eurostat EB TJ'!BE15=":",0,'Eurostat EB TJ'!BE15)</f>
        <v>0</v>
      </c>
      <c r="BG7" s="17">
        <f>IF('Eurostat EB TJ'!BF15=":",0,'Eurostat EB TJ'!BF15)</f>
        <v>3586.5450000000001</v>
      </c>
      <c r="BH7" s="17">
        <f>IF('Eurostat EB TJ'!BG15=":",0,'Eurostat EB TJ'!BG15)</f>
        <v>60817.298000000003</v>
      </c>
      <c r="BI7" s="17">
        <f>IF('Eurostat EB TJ'!BH15=":",0,'Eurostat EB TJ'!BH15)</f>
        <v>3646.4119999999998</v>
      </c>
      <c r="BJ7" s="17">
        <f>IF('Eurostat EB TJ'!BI15=":",0,'Eurostat EB TJ'!BI15)</f>
        <v>0</v>
      </c>
      <c r="BK7" s="17">
        <f>IF('Eurostat EB TJ'!BJ15=":",0,'Eurostat EB TJ'!BJ15)</f>
        <v>0</v>
      </c>
      <c r="BL7" s="17">
        <f>IF('Eurostat EB TJ'!BK15=":",0,'Eurostat EB TJ'!BK15)</f>
        <v>0</v>
      </c>
      <c r="BM7" s="17">
        <f>IF('Eurostat EB TJ'!BL15=":",0,'Eurostat EB TJ'!BL15)</f>
        <v>0</v>
      </c>
      <c r="BN7" s="17">
        <f>IF('Eurostat EB TJ'!BM15=":",0,'Eurostat EB TJ'!BM15)</f>
        <v>0</v>
      </c>
      <c r="BO7" s="17">
        <f>IF('Eurostat EB TJ'!BN15=":",0,'Eurostat EB TJ'!BN15)</f>
        <v>941.66700000000003</v>
      </c>
      <c r="BP7" s="17">
        <f>IF('Eurostat EB TJ'!BO15=":",0,'Eurostat EB TJ'!BO15)</f>
        <v>835.06299999999999</v>
      </c>
      <c r="BQ7" s="17">
        <f>IF('Eurostat EB TJ'!BP15=":",0,'Eurostat EB TJ'!BP15)</f>
        <v>835.06299999999999</v>
      </c>
      <c r="BR7" s="17">
        <f>IF('Eurostat EB TJ'!BQ15=":",0,'Eurostat EB TJ'!BQ15)</f>
        <v>0</v>
      </c>
      <c r="BS7" s="17">
        <f>IF('Eurostat EB TJ'!BR15=":",0,'Eurostat EB TJ'!BR15)</f>
        <v>90742.1</v>
      </c>
      <c r="BT7" s="17">
        <f>IF('Eurostat EB TJ'!BS15=":",0,'Eurostat EB TJ'!BS15)</f>
        <v>0</v>
      </c>
      <c r="BU7" s="17">
        <f>IF('Eurostat EB TJ'!BT15=":",0,'Eurostat EB TJ'!BT15)</f>
        <v>95416.884000000005</v>
      </c>
      <c r="BV7" s="17">
        <f>IF('Eurostat EB TJ'!BU15=":",0,'Eurostat EB TJ'!BU15)</f>
        <v>5113455.4450000003</v>
      </c>
    </row>
    <row r="8" spans="1:74" x14ac:dyDescent="0.2">
      <c r="A8" s="56" t="s">
        <v>76</v>
      </c>
      <c r="B8" s="57"/>
      <c r="C8" s="57">
        <f>IF('Eurostat EB TJ'!B16=":",0,'Eurostat EB TJ'!B16)</f>
        <v>59764.099000000002</v>
      </c>
      <c r="D8" s="57">
        <f>IF('Eurostat EB TJ'!C16=":",0,'Eurostat EB TJ'!C16)</f>
        <v>-3771.364</v>
      </c>
      <c r="E8" s="57">
        <f>IF('Eurostat EB TJ'!D16=":",0,'Eurostat EB TJ'!D16)</f>
        <v>0</v>
      </c>
      <c r="F8" s="57">
        <f>IF('Eurostat EB TJ'!E16=":",0,'Eurostat EB TJ'!E16)</f>
        <v>-5064.5659999999998</v>
      </c>
      <c r="G8" s="57">
        <f>IF('Eurostat EB TJ'!F16=":",0,'Eurostat EB TJ'!F16)</f>
        <v>1532.6510000000001</v>
      </c>
      <c r="H8" s="57">
        <f>IF('Eurostat EB TJ'!G16=":",0,'Eurostat EB TJ'!G16)</f>
        <v>0</v>
      </c>
      <c r="I8" s="57">
        <f>IF('Eurostat EB TJ'!H16=":",0,'Eurostat EB TJ'!H16)</f>
        <v>0</v>
      </c>
      <c r="J8" s="57">
        <f>IF('Eurostat EB TJ'!I16=":",0,'Eurostat EB TJ'!I16)</f>
        <v>-200.441</v>
      </c>
      <c r="K8" s="57">
        <f>IF('Eurostat EB TJ'!J16=":",0,'Eurostat EB TJ'!J16)</f>
        <v>0</v>
      </c>
      <c r="L8" s="57">
        <f>IF('Eurostat EB TJ'!K16=":",0,'Eurostat EB TJ'!K16)</f>
        <v>0</v>
      </c>
      <c r="M8" s="57">
        <f>IF('Eurostat EB TJ'!L16=":",0,'Eurostat EB TJ'!L16)</f>
        <v>0</v>
      </c>
      <c r="N8" s="57">
        <f>IF('Eurostat EB TJ'!M16=":",0,'Eurostat EB TJ'!M16)</f>
        <v>-39.009</v>
      </c>
      <c r="O8" s="57">
        <f>IF('Eurostat EB TJ'!N16=":",0,'Eurostat EB TJ'!N16)</f>
        <v>0</v>
      </c>
      <c r="P8" s="57">
        <f>IF('Eurostat EB TJ'!O16=":",0,'Eurostat EB TJ'!O16)</f>
        <v>0</v>
      </c>
      <c r="Q8" s="57">
        <f>IF('Eurostat EB TJ'!P16=":",0,'Eurostat EB TJ'!P16)</f>
        <v>0</v>
      </c>
      <c r="R8" s="57">
        <f>IF('Eurostat EB TJ'!Q16=":",0,'Eurostat EB TJ'!Q16)</f>
        <v>0</v>
      </c>
      <c r="S8" s="57">
        <f>IF('Eurostat EB TJ'!R16=":",0,'Eurostat EB TJ'!R16)</f>
        <v>0</v>
      </c>
      <c r="T8" s="57">
        <f>IF('Eurostat EB TJ'!S16=":",0,'Eurostat EB TJ'!S16)</f>
        <v>0</v>
      </c>
      <c r="U8" s="57">
        <f>IF('Eurostat EB TJ'!T16=":",0,'Eurostat EB TJ'!T16)</f>
        <v>0</v>
      </c>
      <c r="V8" s="57">
        <f>IF('Eurostat EB TJ'!U16=":",0,'Eurostat EB TJ'!U16)</f>
        <v>0</v>
      </c>
      <c r="W8" s="57">
        <f>IF('Eurostat EB TJ'!V16=":",0,'Eurostat EB TJ'!V16)</f>
        <v>0</v>
      </c>
      <c r="X8" s="57">
        <f>IF('Eurostat EB TJ'!W16=":",0,'Eurostat EB TJ'!W16)</f>
        <v>-28875.692999999999</v>
      </c>
      <c r="Y8" s="57">
        <f>IF('Eurostat EB TJ'!X16=":",0,'Eurostat EB TJ'!X16)</f>
        <v>79018.392999999996</v>
      </c>
      <c r="Z8" s="57">
        <f>IF('Eurostat EB TJ'!Y16=":",0,'Eurostat EB TJ'!Y16)</f>
        <v>41615.451999999997</v>
      </c>
      <c r="AA8" s="57">
        <f>IF('Eurostat EB TJ'!Z16=":",0,'Eurostat EB TJ'!Z16)</f>
        <v>1898.6310000000001</v>
      </c>
      <c r="AB8" s="57">
        <f>IF('Eurostat EB TJ'!AA16=":",0,'Eurostat EB TJ'!AA16)</f>
        <v>0</v>
      </c>
      <c r="AC8" s="57">
        <f>IF('Eurostat EB TJ'!AB16=":",0,'Eurostat EB TJ'!AB16)</f>
        <v>5334</v>
      </c>
      <c r="AD8" s="57">
        <f>IF('Eurostat EB TJ'!AC16=":",0,'Eurostat EB TJ'!AC16)</f>
        <v>0</v>
      </c>
      <c r="AE8" s="57">
        <f>IF('Eurostat EB TJ'!AD16=":",0,'Eurostat EB TJ'!AD16)</f>
        <v>0</v>
      </c>
      <c r="AF8" s="57">
        <f>IF('Eurostat EB TJ'!AE16=":",0,'Eurostat EB TJ'!AE16)</f>
        <v>0</v>
      </c>
      <c r="AG8" s="57">
        <f>IF('Eurostat EB TJ'!AF16=":",0,'Eurostat EB TJ'!AF16)</f>
        <v>-726.803</v>
      </c>
      <c r="AH8" s="57">
        <f>IF('Eurostat EB TJ'!AG16=":",0,'Eurostat EB TJ'!AG16)</f>
        <v>1729.0039999999999</v>
      </c>
      <c r="AI8" s="57">
        <f>IF('Eurostat EB TJ'!AH16=":",0,'Eurostat EB TJ'!AH16)</f>
        <v>117.523</v>
      </c>
      <c r="AJ8" s="57">
        <f>IF('Eurostat EB TJ'!AI16=":",0,'Eurostat EB TJ'!AI16)</f>
        <v>20247.456999999999</v>
      </c>
      <c r="AK8" s="57">
        <f>IF('Eurostat EB TJ'!AJ16=":",0,'Eurostat EB TJ'!AJ16)</f>
        <v>0</v>
      </c>
      <c r="AL8" s="57">
        <f>IF('Eurostat EB TJ'!AK16=":",0,'Eurostat EB TJ'!AK16)</f>
        <v>-6270.9470000000001</v>
      </c>
      <c r="AM8" s="57">
        <f>IF('Eurostat EB TJ'!AL16=":",0,'Eurostat EB TJ'!AL16)</f>
        <v>-536.971</v>
      </c>
      <c r="AN8" s="57">
        <f>IF('Eurostat EB TJ'!AM16=":",0,'Eurostat EB TJ'!AM16)</f>
        <v>10788.423000000001</v>
      </c>
      <c r="AO8" s="57">
        <f>IF('Eurostat EB TJ'!AN16=":",0,'Eurostat EB TJ'!AN16)</f>
        <v>6224.6940000000004</v>
      </c>
      <c r="AP8" s="57">
        <f>IF('Eurostat EB TJ'!AO16=":",0,'Eurostat EB TJ'!AO16)</f>
        <v>-320.47199999999998</v>
      </c>
      <c r="AQ8" s="57">
        <f>IF('Eurostat EB TJ'!AP16=":",0,'Eurostat EB TJ'!AP16)</f>
        <v>-1860.069</v>
      </c>
      <c r="AR8" s="57">
        <f>IF('Eurostat EB TJ'!AQ16=":",0,'Eurostat EB TJ'!AQ16)</f>
        <v>278.69900000000001</v>
      </c>
      <c r="AS8" s="57">
        <f>IF('Eurostat EB TJ'!AR16=":",0,'Eurostat EB TJ'!AR16)</f>
        <v>-3297.8620000000001</v>
      </c>
      <c r="AT8" s="57">
        <f>IF('Eurostat EB TJ'!AS16=":",0,'Eurostat EB TJ'!AS16)</f>
        <v>85.727000000000004</v>
      </c>
      <c r="AU8" s="57">
        <f>IF('Eurostat EB TJ'!AT16=":",0,'Eurostat EB TJ'!AT16)</f>
        <v>3711.9079999999999</v>
      </c>
      <c r="AV8" s="57">
        <f>IF('Eurostat EB TJ'!AU16=":",0,'Eurostat EB TJ'!AU16)</f>
        <v>13392.763000000001</v>
      </c>
      <c r="AW8" s="57">
        <f>IF('Eurostat EB TJ'!AV16=":",0,'Eurostat EB TJ'!AV16)</f>
        <v>0</v>
      </c>
      <c r="AX8" s="57">
        <f>IF('Eurostat EB TJ'!AW16=":",0,'Eurostat EB TJ'!AW16)</f>
        <v>0</v>
      </c>
      <c r="AY8" s="57">
        <f>IF('Eurostat EB TJ'!AX16=":",0,'Eurostat EB TJ'!AX16)</f>
        <v>0</v>
      </c>
      <c r="AZ8" s="57">
        <f>IF('Eurostat EB TJ'!AY16=":",0,'Eurostat EB TJ'!AY16)</f>
        <v>0</v>
      </c>
      <c r="BA8" s="57">
        <f>IF('Eurostat EB TJ'!AZ16=":",0,'Eurostat EB TJ'!AZ16)</f>
        <v>0</v>
      </c>
      <c r="BB8" s="57">
        <f>IF('Eurostat EB TJ'!BA16=":",0,'Eurostat EB TJ'!BA16)</f>
        <v>0</v>
      </c>
      <c r="BC8" s="57">
        <f>IF('Eurostat EB TJ'!BB16=":",0,'Eurostat EB TJ'!BB16)</f>
        <v>0</v>
      </c>
      <c r="BD8" s="57">
        <f>IF('Eurostat EB TJ'!BC16=":",0,'Eurostat EB TJ'!BC16)</f>
        <v>0</v>
      </c>
      <c r="BE8" s="57">
        <f>IF('Eurostat EB TJ'!BD16=":",0,'Eurostat EB TJ'!BD16)</f>
        <v>0</v>
      </c>
      <c r="BF8" s="57">
        <f>IF('Eurostat EB TJ'!BE16=":",0,'Eurostat EB TJ'!BE16)</f>
        <v>222.04499999999999</v>
      </c>
      <c r="BG8" s="57">
        <f>IF('Eurostat EB TJ'!BF16=":",0,'Eurostat EB TJ'!BF16)</f>
        <v>0</v>
      </c>
      <c r="BH8" s="57">
        <f>IF('Eurostat EB TJ'!BG16=":",0,'Eurostat EB TJ'!BG16)</f>
        <v>13170.717000000001</v>
      </c>
      <c r="BI8" s="57">
        <f>IF('Eurostat EB TJ'!BH16=":",0,'Eurostat EB TJ'!BH16)</f>
        <v>0</v>
      </c>
      <c r="BJ8" s="57">
        <f>IF('Eurostat EB TJ'!BI16=":",0,'Eurostat EB TJ'!BI16)</f>
        <v>0</v>
      </c>
      <c r="BK8" s="57">
        <f>IF('Eurostat EB TJ'!BJ16=":",0,'Eurostat EB TJ'!BJ16)</f>
        <v>0</v>
      </c>
      <c r="BL8" s="57">
        <f>IF('Eurostat EB TJ'!BK16=":",0,'Eurostat EB TJ'!BK16)</f>
        <v>0</v>
      </c>
      <c r="BM8" s="57">
        <f>IF('Eurostat EB TJ'!BL16=":",0,'Eurostat EB TJ'!BL16)</f>
        <v>0</v>
      </c>
      <c r="BN8" s="57">
        <f>IF('Eurostat EB TJ'!BM16=":",0,'Eurostat EB TJ'!BM16)</f>
        <v>0</v>
      </c>
      <c r="BO8" s="57">
        <f>IF('Eurostat EB TJ'!BN16=":",0,'Eurostat EB TJ'!BN16)</f>
        <v>0</v>
      </c>
      <c r="BP8" s="57">
        <f>IF('Eurostat EB TJ'!BO16=":",0,'Eurostat EB TJ'!BO16)</f>
        <v>0</v>
      </c>
      <c r="BQ8" s="57">
        <f>IF('Eurostat EB TJ'!BP16=":",0,'Eurostat EB TJ'!BP16)</f>
        <v>0</v>
      </c>
      <c r="BR8" s="57">
        <f>IF('Eurostat EB TJ'!BQ16=":",0,'Eurostat EB TJ'!BQ16)</f>
        <v>0</v>
      </c>
      <c r="BS8" s="57">
        <f>IF('Eurostat EB TJ'!BR16=":",0,'Eurostat EB TJ'!BR16)</f>
        <v>0</v>
      </c>
      <c r="BT8" s="57">
        <f>IF('Eurostat EB TJ'!BS16=":",0,'Eurostat EB TJ'!BS16)</f>
        <v>0</v>
      </c>
      <c r="BU8" s="57">
        <f>IF('Eurostat EB TJ'!BT16=":",0,'Eurostat EB TJ'!BT16)</f>
        <v>13096.992</v>
      </c>
      <c r="BV8" s="57">
        <f>IF('Eurostat EB TJ'!BU16=":",0,'Eurostat EB TJ'!BU16)</f>
        <v>46667.107000000004</v>
      </c>
    </row>
    <row r="9" spans="1:74" x14ac:dyDescent="0.2">
      <c r="A9" s="62" t="s">
        <v>77</v>
      </c>
      <c r="B9" s="17" t="s">
        <v>393</v>
      </c>
      <c r="C9" s="17">
        <f>IF('Eurostat EB TJ'!B17=":",0,'Eurostat EB TJ'!B17)</f>
        <v>3182770.372</v>
      </c>
      <c r="D9" s="17">
        <f>IF('Eurostat EB TJ'!C17=":",0,'Eurostat EB TJ'!C17)</f>
        <v>158365.45699999999</v>
      </c>
      <c r="E9" s="17">
        <f>IF('Eurostat EB TJ'!D17=":",0,'Eurostat EB TJ'!D17)</f>
        <v>76.706999999999994</v>
      </c>
      <c r="F9" s="17">
        <f>IF('Eurostat EB TJ'!E17=":",0,'Eurostat EB TJ'!E17)</f>
        <v>99209.364000000001</v>
      </c>
      <c r="G9" s="17">
        <f>IF('Eurostat EB TJ'!F17=":",0,'Eurostat EB TJ'!F17)</f>
        <v>71800.581000000006</v>
      </c>
      <c r="H9" s="17">
        <f>IF('Eurostat EB TJ'!G17=":",0,'Eurostat EB TJ'!G17)</f>
        <v>0</v>
      </c>
      <c r="I9" s="17">
        <f>IF('Eurostat EB TJ'!H17=":",0,'Eurostat EB TJ'!H17)</f>
        <v>312.82</v>
      </c>
      <c r="J9" s="17">
        <f>IF('Eurostat EB TJ'!I17=":",0,'Eurostat EB TJ'!I17)</f>
        <v>-10738.941999999999</v>
      </c>
      <c r="K9" s="17">
        <f>IF('Eurostat EB TJ'!J17=":",0,'Eurostat EB TJ'!J17)</f>
        <v>0</v>
      </c>
      <c r="L9" s="17">
        <f>IF('Eurostat EB TJ'!K17=":",0,'Eurostat EB TJ'!K17)</f>
        <v>0</v>
      </c>
      <c r="M9" s="17">
        <f>IF('Eurostat EB TJ'!L17=":",0,'Eurostat EB TJ'!L17)</f>
        <v>0</v>
      </c>
      <c r="N9" s="17">
        <f>IF('Eurostat EB TJ'!M17=":",0,'Eurostat EB TJ'!M17)</f>
        <v>-2295.0729999999999</v>
      </c>
      <c r="O9" s="17">
        <f>IF('Eurostat EB TJ'!N17=":",0,'Eurostat EB TJ'!N17)</f>
        <v>0</v>
      </c>
      <c r="P9" s="17">
        <f>IF('Eurostat EB TJ'!O17=":",0,'Eurostat EB TJ'!O17)</f>
        <v>0</v>
      </c>
      <c r="Q9" s="17">
        <f>IF('Eurostat EB TJ'!P17=":",0,'Eurostat EB TJ'!P17)</f>
        <v>0</v>
      </c>
      <c r="R9" s="17">
        <f>IF('Eurostat EB TJ'!Q17=":",0,'Eurostat EB TJ'!Q17)</f>
        <v>0</v>
      </c>
      <c r="S9" s="17">
        <f>IF('Eurostat EB TJ'!R17=":",0,'Eurostat EB TJ'!R17)</f>
        <v>0</v>
      </c>
      <c r="T9" s="17">
        <f>IF('Eurostat EB TJ'!S17=":",0,'Eurostat EB TJ'!S17)</f>
        <v>0</v>
      </c>
      <c r="U9" s="17">
        <f>IF('Eurostat EB TJ'!T17=":",0,'Eurostat EB TJ'!T17)</f>
        <v>0</v>
      </c>
      <c r="V9" s="17">
        <f>IF('Eurostat EB TJ'!U17=":",0,'Eurostat EB TJ'!U17)</f>
        <v>0</v>
      </c>
      <c r="W9" s="17">
        <f>IF('Eurostat EB TJ'!V17=":",0,'Eurostat EB TJ'!V17)</f>
        <v>0</v>
      </c>
      <c r="X9" s="17">
        <f>IF('Eurostat EB TJ'!W17=":",0,'Eurostat EB TJ'!W17)</f>
        <v>937442.69299999997</v>
      </c>
      <c r="Y9" s="17">
        <f>IF('Eurostat EB TJ'!X17=":",0,'Eurostat EB TJ'!X17)</f>
        <v>1632511.3189999999</v>
      </c>
      <c r="Z9" s="17">
        <f>IF('Eurostat EB TJ'!Y17=":",0,'Eurostat EB TJ'!Y17)</f>
        <v>2349392.9330000002</v>
      </c>
      <c r="AA9" s="17">
        <f>IF('Eurostat EB TJ'!Z17=":",0,'Eurostat EB TJ'!Z17)</f>
        <v>343507.68</v>
      </c>
      <c r="AB9" s="17">
        <f>IF('Eurostat EB TJ'!AA17=":",0,'Eurostat EB TJ'!AA17)</f>
        <v>0</v>
      </c>
      <c r="AC9" s="17">
        <f>IF('Eurostat EB TJ'!AB17=":",0,'Eurostat EB TJ'!AB17)</f>
        <v>24606.116000000002</v>
      </c>
      <c r="AD9" s="17">
        <f>IF('Eurostat EB TJ'!AC17=":",0,'Eurostat EB TJ'!AC17)</f>
        <v>0</v>
      </c>
      <c r="AE9" s="17">
        <f>IF('Eurostat EB TJ'!AD17=":",0,'Eurostat EB TJ'!AD17)</f>
        <v>10953.163</v>
      </c>
      <c r="AF9" s="17">
        <f>IF('Eurostat EB TJ'!AE17=":",0,'Eurostat EB TJ'!AE17)</f>
        <v>0</v>
      </c>
      <c r="AG9" s="17">
        <f>IF('Eurostat EB TJ'!AF17=":",0,'Eurostat EB TJ'!AF17)</f>
        <v>58822.580999999998</v>
      </c>
      <c r="AH9" s="17">
        <f>IF('Eurostat EB TJ'!AG17=":",0,'Eurostat EB TJ'!AG17)</f>
        <v>224209.076</v>
      </c>
      <c r="AI9" s="17">
        <f>IF('Eurostat EB TJ'!AH17=":",0,'Eurostat EB TJ'!AH17)</f>
        <v>-2765.681</v>
      </c>
      <c r="AJ9" s="17">
        <f>IF('Eurostat EB TJ'!AI17=":",0,'Eurostat EB TJ'!AI17)</f>
        <v>-596515.62199999997</v>
      </c>
      <c r="AK9" s="17">
        <f>IF('Eurostat EB TJ'!AJ17=":",0,'Eurostat EB TJ'!AJ17)</f>
        <v>0</v>
      </c>
      <c r="AL9" s="17">
        <f>IF('Eurostat EB TJ'!AK17=":",0,'Eurostat EB TJ'!AK17)</f>
        <v>-248781.13699999999</v>
      </c>
      <c r="AM9" s="17">
        <f>IF('Eurostat EB TJ'!AL17=":",0,'Eurostat EB TJ'!AL17)</f>
        <v>-11180.653</v>
      </c>
      <c r="AN9" s="17">
        <f>IF('Eurostat EB TJ'!AM17=":",0,'Eurostat EB TJ'!AM17)</f>
        <v>-516175.24699999997</v>
      </c>
      <c r="AO9" s="17">
        <f>IF('Eurostat EB TJ'!AN17=":",0,'Eurostat EB TJ'!AN17)</f>
        <v>63705.040999999997</v>
      </c>
      <c r="AP9" s="17">
        <f>IF('Eurostat EB TJ'!AO17=":",0,'Eurostat EB TJ'!AO17)</f>
        <v>-6585.7460000000001</v>
      </c>
      <c r="AQ9" s="17">
        <f>IF('Eurostat EB TJ'!AP17=":",0,'Eurostat EB TJ'!AP17)</f>
        <v>-19928.679</v>
      </c>
      <c r="AR9" s="17">
        <f>IF('Eurostat EB TJ'!AQ17=":",0,'Eurostat EB TJ'!AQ17)</f>
        <v>402.14299999999997</v>
      </c>
      <c r="AS9" s="17">
        <f>IF('Eurostat EB TJ'!AR17=":",0,'Eurostat EB TJ'!AR17)</f>
        <v>8775.5249999999996</v>
      </c>
      <c r="AT9" s="17">
        <f>IF('Eurostat EB TJ'!AS17=":",0,'Eurostat EB TJ'!AS17)</f>
        <v>-33161.000999999997</v>
      </c>
      <c r="AU9" s="17">
        <f>IF('Eurostat EB TJ'!AT17=":",0,'Eurostat EB TJ'!AT17)</f>
        <v>-16769.172999999999</v>
      </c>
      <c r="AV9" s="17">
        <f>IF('Eurostat EB TJ'!AU17=":",0,'Eurostat EB TJ'!AU17)</f>
        <v>393282.01899999997</v>
      </c>
      <c r="AW9" s="17">
        <f>IF('Eurostat EB TJ'!AV17=":",0,'Eurostat EB TJ'!AV17)</f>
        <v>249.72800000000001</v>
      </c>
      <c r="AX9" s="17">
        <f>IF('Eurostat EB TJ'!AW17=":",0,'Eurostat EB TJ'!AW17)</f>
        <v>6797.51</v>
      </c>
      <c r="AY9" s="17">
        <f>IF('Eurostat EB TJ'!AX17=":",0,'Eurostat EB TJ'!AX17)</f>
        <v>106290.292</v>
      </c>
      <c r="AZ9" s="17">
        <f>IF('Eurostat EB TJ'!AY17=":",0,'Eurostat EB TJ'!AY17)</f>
        <v>1176</v>
      </c>
      <c r="BA9" s="17">
        <f>IF('Eurostat EB TJ'!AZ17=":",0,'Eurostat EB TJ'!AZ17)</f>
        <v>70481.476999999999</v>
      </c>
      <c r="BB9" s="17">
        <f>IF('Eurostat EB TJ'!BA17=":",0,'Eurostat EB TJ'!BA17)</f>
        <v>0</v>
      </c>
      <c r="BC9" s="17">
        <f>IF('Eurostat EB TJ'!BB17=":",0,'Eurostat EB TJ'!BB17)</f>
        <v>25524.613000000001</v>
      </c>
      <c r="BD9" s="17">
        <f>IF('Eurostat EB TJ'!BC17=":",0,'Eurostat EB TJ'!BC17)</f>
        <v>84063.228000000003</v>
      </c>
      <c r="BE9" s="17">
        <f>IF('Eurostat EB TJ'!BD17=":",0,'Eurostat EB TJ'!BD17)</f>
        <v>270</v>
      </c>
      <c r="BF9" s="17">
        <f>IF('Eurostat EB TJ'!BE17=":",0,'Eurostat EB TJ'!BE17)</f>
        <v>14734.195</v>
      </c>
      <c r="BG9" s="17">
        <f>IF('Eurostat EB TJ'!BF17=":",0,'Eurostat EB TJ'!BF17)</f>
        <v>-3586.5450000000001</v>
      </c>
      <c r="BH9" s="17">
        <f>IF('Eurostat EB TJ'!BG17=":",0,'Eurostat EB TJ'!BG17)</f>
        <v>32145.925999999999</v>
      </c>
      <c r="BI9" s="17">
        <f>IF('Eurostat EB TJ'!BH17=":",0,'Eurostat EB TJ'!BH17)</f>
        <v>-3646.4119999999998</v>
      </c>
      <c r="BJ9" s="17">
        <f>IF('Eurostat EB TJ'!BI17=":",0,'Eurostat EB TJ'!BI17)</f>
        <v>0</v>
      </c>
      <c r="BK9" s="17">
        <f>IF('Eurostat EB TJ'!BJ17=":",0,'Eurostat EB TJ'!BJ17)</f>
        <v>2646.424</v>
      </c>
      <c r="BL9" s="17">
        <f>IF('Eurostat EB TJ'!BK17=":",0,'Eurostat EB TJ'!BK17)</f>
        <v>529.77599999999995</v>
      </c>
      <c r="BM9" s="17">
        <f>IF('Eurostat EB TJ'!BL17=":",0,'Eurostat EB TJ'!BL17)</f>
        <v>18758.186000000002</v>
      </c>
      <c r="BN9" s="17">
        <f>IF('Eurostat EB TJ'!BM17=":",0,'Eurostat EB TJ'!BM17)</f>
        <v>1876.845</v>
      </c>
      <c r="BO9" s="17">
        <f>IF('Eurostat EB TJ'!BN17=":",0,'Eurostat EB TJ'!BN17)</f>
        <v>36847.622000000003</v>
      </c>
      <c r="BP9" s="17">
        <f>IF('Eurostat EB TJ'!BO17=":",0,'Eurostat EB TJ'!BO17)</f>
        <v>32676.192999999999</v>
      </c>
      <c r="BQ9" s="17">
        <f>IF('Eurostat EB TJ'!BP17=":",0,'Eurostat EB TJ'!BP17)</f>
        <v>34553.038</v>
      </c>
      <c r="BR9" s="17">
        <f>IF('Eurostat EB TJ'!BQ17=":",0,'Eurostat EB TJ'!BQ17)</f>
        <v>38959.053</v>
      </c>
      <c r="BS9" s="17">
        <f>IF('Eurostat EB TJ'!BR17=":",0,'Eurostat EB TJ'!BR17)</f>
        <v>-20374.319</v>
      </c>
      <c r="BT9" s="17">
        <f>IF('Eurostat EB TJ'!BS17=":",0,'Eurostat EB TJ'!BS17)</f>
        <v>8031.1109999999999</v>
      </c>
      <c r="BU9" s="17">
        <f>IF('Eurostat EB TJ'!BT17=":",0,'Eurostat EB TJ'!BT17)</f>
        <v>187374.81700000001</v>
      </c>
      <c r="BV9" s="17">
        <f>IF('Eurostat EB TJ'!BU17=":",0,'Eurostat EB TJ'!BU17)</f>
        <v>2746908.0869999998</v>
      </c>
    </row>
    <row r="10" spans="1:74" x14ac:dyDescent="0.2">
      <c r="A10" s="56" t="s">
        <v>78</v>
      </c>
      <c r="B10" s="57"/>
      <c r="C10" s="57">
        <f>IF('Eurostat EB TJ'!B18=":",0,'Eurostat EB TJ'!B18)</f>
        <v>448139.59600000002</v>
      </c>
      <c r="D10" s="57">
        <f>IF('Eurostat EB TJ'!C18=":",0,'Eurostat EB TJ'!C18)</f>
        <v>0</v>
      </c>
      <c r="E10" s="57">
        <f>IF('Eurostat EB TJ'!D18=":",0,'Eurostat EB TJ'!D18)</f>
        <v>0</v>
      </c>
      <c r="F10" s="57">
        <f>IF('Eurostat EB TJ'!E18=":",0,'Eurostat EB TJ'!E18)</f>
        <v>0</v>
      </c>
      <c r="G10" s="57">
        <f>IF('Eurostat EB TJ'!F18=":",0,'Eurostat EB TJ'!F18)</f>
        <v>0</v>
      </c>
      <c r="H10" s="57">
        <f>IF('Eurostat EB TJ'!G18=":",0,'Eurostat EB TJ'!G18)</f>
        <v>0</v>
      </c>
      <c r="I10" s="57">
        <f>IF('Eurostat EB TJ'!H18=":",0,'Eurostat EB TJ'!H18)</f>
        <v>0</v>
      </c>
      <c r="J10" s="57">
        <f>IF('Eurostat EB TJ'!I18=":",0,'Eurostat EB TJ'!I18)</f>
        <v>0</v>
      </c>
      <c r="K10" s="57">
        <f>IF('Eurostat EB TJ'!J18=":",0,'Eurostat EB TJ'!J18)</f>
        <v>0</v>
      </c>
      <c r="L10" s="57">
        <f>IF('Eurostat EB TJ'!K18=":",0,'Eurostat EB TJ'!K18)</f>
        <v>0</v>
      </c>
      <c r="M10" s="57">
        <f>IF('Eurostat EB TJ'!L18=":",0,'Eurostat EB TJ'!L18)</f>
        <v>0</v>
      </c>
      <c r="N10" s="57">
        <f>IF('Eurostat EB TJ'!M18=":",0,'Eurostat EB TJ'!M18)</f>
        <v>0</v>
      </c>
      <c r="O10" s="57">
        <f>IF('Eurostat EB TJ'!N18=":",0,'Eurostat EB TJ'!N18)</f>
        <v>0</v>
      </c>
      <c r="P10" s="57">
        <f>IF('Eurostat EB TJ'!O18=":",0,'Eurostat EB TJ'!O18)</f>
        <v>0</v>
      </c>
      <c r="Q10" s="57">
        <f>IF('Eurostat EB TJ'!P18=":",0,'Eurostat EB TJ'!P18)</f>
        <v>0</v>
      </c>
      <c r="R10" s="57">
        <f>IF('Eurostat EB TJ'!Q18=":",0,'Eurostat EB TJ'!Q18)</f>
        <v>0</v>
      </c>
      <c r="S10" s="57">
        <f>IF('Eurostat EB TJ'!R18=":",0,'Eurostat EB TJ'!R18)</f>
        <v>0</v>
      </c>
      <c r="T10" s="57">
        <f>IF('Eurostat EB TJ'!S18=":",0,'Eurostat EB TJ'!S18)</f>
        <v>0</v>
      </c>
      <c r="U10" s="57">
        <f>IF('Eurostat EB TJ'!T18=":",0,'Eurostat EB TJ'!T18)</f>
        <v>0</v>
      </c>
      <c r="V10" s="57">
        <f>IF('Eurostat EB TJ'!U18=":",0,'Eurostat EB TJ'!U18)</f>
        <v>0</v>
      </c>
      <c r="W10" s="57">
        <f>IF('Eurostat EB TJ'!V18=":",0,'Eurostat EB TJ'!V18)</f>
        <v>0</v>
      </c>
      <c r="X10" s="57">
        <f>IF('Eurostat EB TJ'!W18=":",0,'Eurostat EB TJ'!W18)</f>
        <v>8644.0669999999991</v>
      </c>
      <c r="Y10" s="57">
        <f>IF('Eurostat EB TJ'!X18=":",0,'Eurostat EB TJ'!X18)</f>
        <v>425726.07500000001</v>
      </c>
      <c r="Z10" s="57">
        <f>IF('Eurostat EB TJ'!Y18=":",0,'Eurostat EB TJ'!Y18)</f>
        <v>0</v>
      </c>
      <c r="AA10" s="57">
        <f>IF('Eurostat EB TJ'!Z18=":",0,'Eurostat EB TJ'!Z18)</f>
        <v>0</v>
      </c>
      <c r="AB10" s="57">
        <f>IF('Eurostat EB TJ'!AA18=":",0,'Eurostat EB TJ'!AA18)</f>
        <v>0</v>
      </c>
      <c r="AC10" s="57">
        <f>IF('Eurostat EB TJ'!AB18=":",0,'Eurostat EB TJ'!AB18)</f>
        <v>0</v>
      </c>
      <c r="AD10" s="57">
        <f>IF('Eurostat EB TJ'!AC18=":",0,'Eurostat EB TJ'!AC18)</f>
        <v>0</v>
      </c>
      <c r="AE10" s="57">
        <f>IF('Eurostat EB TJ'!AD18=":",0,'Eurostat EB TJ'!AD18)</f>
        <v>0</v>
      </c>
      <c r="AF10" s="57">
        <f>IF('Eurostat EB TJ'!AE18=":",0,'Eurostat EB TJ'!AE18)</f>
        <v>0</v>
      </c>
      <c r="AG10" s="57">
        <f>IF('Eurostat EB TJ'!AF18=":",0,'Eurostat EB TJ'!AF18)</f>
        <v>0</v>
      </c>
      <c r="AH10" s="57">
        <f>IF('Eurostat EB TJ'!AG18=":",0,'Eurostat EB TJ'!AG18)</f>
        <v>0</v>
      </c>
      <c r="AI10" s="57">
        <f>IF('Eurostat EB TJ'!AH18=":",0,'Eurostat EB TJ'!AH18)</f>
        <v>0</v>
      </c>
      <c r="AJ10" s="57">
        <f>IF('Eurostat EB TJ'!AI18=":",0,'Eurostat EB TJ'!AI18)</f>
        <v>0</v>
      </c>
      <c r="AK10" s="57">
        <f>IF('Eurostat EB TJ'!AJ18=":",0,'Eurostat EB TJ'!AJ18)</f>
        <v>0</v>
      </c>
      <c r="AL10" s="57">
        <f>IF('Eurostat EB TJ'!AK18=":",0,'Eurostat EB TJ'!AK18)</f>
        <v>0</v>
      </c>
      <c r="AM10" s="57">
        <f>IF('Eurostat EB TJ'!AL18=":",0,'Eurostat EB TJ'!AL18)</f>
        <v>0</v>
      </c>
      <c r="AN10" s="57">
        <f>IF('Eurostat EB TJ'!AM18=":",0,'Eurostat EB TJ'!AM18)</f>
        <v>63394.95</v>
      </c>
      <c r="AO10" s="57">
        <f>IF('Eurostat EB TJ'!AN18=":",0,'Eurostat EB TJ'!AN18)</f>
        <v>357586.375</v>
      </c>
      <c r="AP10" s="57">
        <f>IF('Eurostat EB TJ'!AO18=":",0,'Eurostat EB TJ'!AO18)</f>
        <v>0</v>
      </c>
      <c r="AQ10" s="57">
        <f>IF('Eurostat EB TJ'!AP18=":",0,'Eurostat EB TJ'!AP18)</f>
        <v>4744.75</v>
      </c>
      <c r="AR10" s="57">
        <f>IF('Eurostat EB TJ'!AQ18=":",0,'Eurostat EB TJ'!AQ18)</f>
        <v>0</v>
      </c>
      <c r="AS10" s="57">
        <f>IF('Eurostat EB TJ'!AR18=":",0,'Eurostat EB TJ'!AR18)</f>
        <v>0</v>
      </c>
      <c r="AT10" s="57">
        <f>IF('Eurostat EB TJ'!AS18=":",0,'Eurostat EB TJ'!AS18)</f>
        <v>0</v>
      </c>
      <c r="AU10" s="57">
        <f>IF('Eurostat EB TJ'!AT18=":",0,'Eurostat EB TJ'!AT18)</f>
        <v>0</v>
      </c>
      <c r="AV10" s="57">
        <f>IF('Eurostat EB TJ'!AU18=":",0,'Eurostat EB TJ'!AU18)</f>
        <v>13769.454</v>
      </c>
      <c r="AW10" s="57">
        <f>IF('Eurostat EB TJ'!AV18=":",0,'Eurostat EB TJ'!AV18)</f>
        <v>0</v>
      </c>
      <c r="AX10" s="57">
        <f>IF('Eurostat EB TJ'!AW18=":",0,'Eurostat EB TJ'!AW18)</f>
        <v>0</v>
      </c>
      <c r="AY10" s="57">
        <f>IF('Eurostat EB TJ'!AX18=":",0,'Eurostat EB TJ'!AX18)</f>
        <v>0</v>
      </c>
      <c r="AZ10" s="57">
        <f>IF('Eurostat EB TJ'!AY18=":",0,'Eurostat EB TJ'!AY18)</f>
        <v>0</v>
      </c>
      <c r="BA10" s="57">
        <f>IF('Eurostat EB TJ'!AZ18=":",0,'Eurostat EB TJ'!AZ18)</f>
        <v>0</v>
      </c>
      <c r="BB10" s="57">
        <f>IF('Eurostat EB TJ'!BA18=":",0,'Eurostat EB TJ'!BA18)</f>
        <v>0</v>
      </c>
      <c r="BC10" s="57">
        <f>IF('Eurostat EB TJ'!BB18=":",0,'Eurostat EB TJ'!BB18)</f>
        <v>0</v>
      </c>
      <c r="BD10" s="57">
        <f>IF('Eurostat EB TJ'!BC18=":",0,'Eurostat EB TJ'!BC18)</f>
        <v>0</v>
      </c>
      <c r="BE10" s="57">
        <f>IF('Eurostat EB TJ'!BD18=":",0,'Eurostat EB TJ'!BD18)</f>
        <v>0</v>
      </c>
      <c r="BF10" s="57">
        <f>IF('Eurostat EB TJ'!BE18=":",0,'Eurostat EB TJ'!BE18)</f>
        <v>0</v>
      </c>
      <c r="BG10" s="57">
        <f>IF('Eurostat EB TJ'!BF18=":",0,'Eurostat EB TJ'!BF18)</f>
        <v>0</v>
      </c>
      <c r="BH10" s="57">
        <f>IF('Eurostat EB TJ'!BG18=":",0,'Eurostat EB TJ'!BG18)</f>
        <v>0</v>
      </c>
      <c r="BI10" s="57">
        <f>IF('Eurostat EB TJ'!BH18=":",0,'Eurostat EB TJ'!BH18)</f>
        <v>13769.454</v>
      </c>
      <c r="BJ10" s="57">
        <f>IF('Eurostat EB TJ'!BI18=":",0,'Eurostat EB TJ'!BI18)</f>
        <v>0</v>
      </c>
      <c r="BK10" s="57">
        <f>IF('Eurostat EB TJ'!BJ18=":",0,'Eurostat EB TJ'!BJ18)</f>
        <v>0</v>
      </c>
      <c r="BL10" s="57">
        <f>IF('Eurostat EB TJ'!BK18=":",0,'Eurostat EB TJ'!BK18)</f>
        <v>0</v>
      </c>
      <c r="BM10" s="57">
        <f>IF('Eurostat EB TJ'!BL18=":",0,'Eurostat EB TJ'!BL18)</f>
        <v>0</v>
      </c>
      <c r="BN10" s="57">
        <f>IF('Eurostat EB TJ'!BM18=":",0,'Eurostat EB TJ'!BM18)</f>
        <v>0</v>
      </c>
      <c r="BO10" s="57">
        <f>IF('Eurostat EB TJ'!BN18=":",0,'Eurostat EB TJ'!BN18)</f>
        <v>0</v>
      </c>
      <c r="BP10" s="57">
        <f>IF('Eurostat EB TJ'!BO18=":",0,'Eurostat EB TJ'!BO18)</f>
        <v>0</v>
      </c>
      <c r="BQ10" s="57">
        <f>IF('Eurostat EB TJ'!BP18=":",0,'Eurostat EB TJ'!BP18)</f>
        <v>0</v>
      </c>
      <c r="BR10" s="57">
        <f>IF('Eurostat EB TJ'!BQ18=":",0,'Eurostat EB TJ'!BQ18)</f>
        <v>0</v>
      </c>
      <c r="BS10" s="57">
        <f>IF('Eurostat EB TJ'!BR18=":",0,'Eurostat EB TJ'!BR18)</f>
        <v>0</v>
      </c>
      <c r="BT10" s="57">
        <f>IF('Eurostat EB TJ'!BS18=":",0,'Eurostat EB TJ'!BS18)</f>
        <v>0</v>
      </c>
      <c r="BU10" s="57">
        <f>IF('Eurostat EB TJ'!BT18=":",0,'Eurostat EB TJ'!BT18)</f>
        <v>13857.994000000001</v>
      </c>
      <c r="BV10" s="57">
        <f>IF('Eurostat EB TJ'!BU18=":",0,'Eurostat EB TJ'!BU18)</f>
        <v>434281.60100000002</v>
      </c>
    </row>
    <row r="11" spans="1:74" x14ac:dyDescent="0.2">
      <c r="A11" s="62" t="s">
        <v>79</v>
      </c>
      <c r="B11" s="17" t="s">
        <v>393</v>
      </c>
      <c r="C11" s="17">
        <f>IF('Eurostat EB TJ'!B19=":",0,'Eurostat EB TJ'!B19)</f>
        <v>2734630.7760000001</v>
      </c>
      <c r="D11" s="17">
        <f>IF('Eurostat EB TJ'!C19=":",0,'Eurostat EB TJ'!C19)</f>
        <v>158365.45699999999</v>
      </c>
      <c r="E11" s="17">
        <f>IF('Eurostat EB TJ'!D19=":",0,'Eurostat EB TJ'!D19)</f>
        <v>76.706999999999994</v>
      </c>
      <c r="F11" s="17">
        <f>IF('Eurostat EB TJ'!E19=":",0,'Eurostat EB TJ'!E19)</f>
        <v>99209.364000000001</v>
      </c>
      <c r="G11" s="17">
        <f>IF('Eurostat EB TJ'!F19=":",0,'Eurostat EB TJ'!F19)</f>
        <v>71800.581000000006</v>
      </c>
      <c r="H11" s="17">
        <f>IF('Eurostat EB TJ'!G19=":",0,'Eurostat EB TJ'!G19)</f>
        <v>0</v>
      </c>
      <c r="I11" s="17">
        <f>IF('Eurostat EB TJ'!H19=":",0,'Eurostat EB TJ'!H19)</f>
        <v>312.82</v>
      </c>
      <c r="J11" s="17">
        <f>IF('Eurostat EB TJ'!I19=":",0,'Eurostat EB TJ'!I19)</f>
        <v>-10738.941999999999</v>
      </c>
      <c r="K11" s="17">
        <f>IF('Eurostat EB TJ'!J19=":",0,'Eurostat EB TJ'!J19)</f>
        <v>0</v>
      </c>
      <c r="L11" s="17">
        <f>IF('Eurostat EB TJ'!K19=":",0,'Eurostat EB TJ'!K19)</f>
        <v>0</v>
      </c>
      <c r="M11" s="17">
        <f>IF('Eurostat EB TJ'!L19=":",0,'Eurostat EB TJ'!L19)</f>
        <v>0</v>
      </c>
      <c r="N11" s="17">
        <f>IF('Eurostat EB TJ'!M19=":",0,'Eurostat EB TJ'!M19)</f>
        <v>-2295.0729999999999</v>
      </c>
      <c r="O11" s="17">
        <f>IF('Eurostat EB TJ'!N19=":",0,'Eurostat EB TJ'!N19)</f>
        <v>0</v>
      </c>
      <c r="P11" s="17">
        <f>IF('Eurostat EB TJ'!O19=":",0,'Eurostat EB TJ'!O19)</f>
        <v>0</v>
      </c>
      <c r="Q11" s="17">
        <f>IF('Eurostat EB TJ'!P19=":",0,'Eurostat EB TJ'!P19)</f>
        <v>0</v>
      </c>
      <c r="R11" s="17">
        <f>IF('Eurostat EB TJ'!Q19=":",0,'Eurostat EB TJ'!Q19)</f>
        <v>0</v>
      </c>
      <c r="S11" s="17">
        <f>IF('Eurostat EB TJ'!R19=":",0,'Eurostat EB TJ'!R19)</f>
        <v>0</v>
      </c>
      <c r="T11" s="17">
        <f>IF('Eurostat EB TJ'!S19=":",0,'Eurostat EB TJ'!S19)</f>
        <v>0</v>
      </c>
      <c r="U11" s="17">
        <f>IF('Eurostat EB TJ'!T19=":",0,'Eurostat EB TJ'!T19)</f>
        <v>0</v>
      </c>
      <c r="V11" s="17">
        <f>IF('Eurostat EB TJ'!U19=":",0,'Eurostat EB TJ'!U19)</f>
        <v>0</v>
      </c>
      <c r="W11" s="17">
        <f>IF('Eurostat EB TJ'!V19=":",0,'Eurostat EB TJ'!V19)</f>
        <v>0</v>
      </c>
      <c r="X11" s="17">
        <f>IF('Eurostat EB TJ'!W19=":",0,'Eurostat EB TJ'!W19)</f>
        <v>928798.62600000005</v>
      </c>
      <c r="Y11" s="17">
        <f>IF('Eurostat EB TJ'!X19=":",0,'Eurostat EB TJ'!X19)</f>
        <v>1206785.2439999999</v>
      </c>
      <c r="Z11" s="17">
        <f>IF('Eurostat EB TJ'!Y19=":",0,'Eurostat EB TJ'!Y19)</f>
        <v>2349392.9330000002</v>
      </c>
      <c r="AA11" s="17">
        <f>IF('Eurostat EB TJ'!Z19=":",0,'Eurostat EB TJ'!Z19)</f>
        <v>343507.68</v>
      </c>
      <c r="AB11" s="17">
        <f>IF('Eurostat EB TJ'!AA19=":",0,'Eurostat EB TJ'!AA19)</f>
        <v>0</v>
      </c>
      <c r="AC11" s="17">
        <f>IF('Eurostat EB TJ'!AB19=":",0,'Eurostat EB TJ'!AB19)</f>
        <v>24606.116000000002</v>
      </c>
      <c r="AD11" s="17">
        <f>IF('Eurostat EB TJ'!AC19=":",0,'Eurostat EB TJ'!AC19)</f>
        <v>0</v>
      </c>
      <c r="AE11" s="17">
        <f>IF('Eurostat EB TJ'!AD19=":",0,'Eurostat EB TJ'!AD19)</f>
        <v>10953.163</v>
      </c>
      <c r="AF11" s="17">
        <f>IF('Eurostat EB TJ'!AE19=":",0,'Eurostat EB TJ'!AE19)</f>
        <v>0</v>
      </c>
      <c r="AG11" s="17">
        <f>IF('Eurostat EB TJ'!AF19=":",0,'Eurostat EB TJ'!AF19)</f>
        <v>58822.580999999998</v>
      </c>
      <c r="AH11" s="17">
        <f>IF('Eurostat EB TJ'!AG19=":",0,'Eurostat EB TJ'!AG19)</f>
        <v>224209.076</v>
      </c>
      <c r="AI11" s="17">
        <f>IF('Eurostat EB TJ'!AH19=":",0,'Eurostat EB TJ'!AH19)</f>
        <v>-2765.681</v>
      </c>
      <c r="AJ11" s="17">
        <f>IF('Eurostat EB TJ'!AI19=":",0,'Eurostat EB TJ'!AI19)</f>
        <v>-596515.62199999997</v>
      </c>
      <c r="AK11" s="17">
        <f>IF('Eurostat EB TJ'!AJ19=":",0,'Eurostat EB TJ'!AJ19)</f>
        <v>0</v>
      </c>
      <c r="AL11" s="17">
        <f>IF('Eurostat EB TJ'!AK19=":",0,'Eurostat EB TJ'!AK19)</f>
        <v>-248781.13699999999</v>
      </c>
      <c r="AM11" s="17">
        <f>IF('Eurostat EB TJ'!AL19=":",0,'Eurostat EB TJ'!AL19)</f>
        <v>-11180.653</v>
      </c>
      <c r="AN11" s="17">
        <f>IF('Eurostat EB TJ'!AM19=":",0,'Eurostat EB TJ'!AM19)</f>
        <v>-579570.19700000004</v>
      </c>
      <c r="AO11" s="17">
        <f>IF('Eurostat EB TJ'!AN19=":",0,'Eurostat EB TJ'!AN19)</f>
        <v>-293881.33399999997</v>
      </c>
      <c r="AP11" s="17">
        <f>IF('Eurostat EB TJ'!AO19=":",0,'Eurostat EB TJ'!AO19)</f>
        <v>-6585.7460000000001</v>
      </c>
      <c r="AQ11" s="17">
        <f>IF('Eurostat EB TJ'!AP19=":",0,'Eurostat EB TJ'!AP19)</f>
        <v>-24673.428</v>
      </c>
      <c r="AR11" s="17">
        <f>IF('Eurostat EB TJ'!AQ19=":",0,'Eurostat EB TJ'!AQ19)</f>
        <v>402.14299999999997</v>
      </c>
      <c r="AS11" s="17">
        <f>IF('Eurostat EB TJ'!AR19=":",0,'Eurostat EB TJ'!AR19)</f>
        <v>8775.5249999999996</v>
      </c>
      <c r="AT11" s="17">
        <f>IF('Eurostat EB TJ'!AS19=":",0,'Eurostat EB TJ'!AS19)</f>
        <v>-33161.000999999997</v>
      </c>
      <c r="AU11" s="17">
        <f>IF('Eurostat EB TJ'!AT19=":",0,'Eurostat EB TJ'!AT19)</f>
        <v>-16769.172999999999</v>
      </c>
      <c r="AV11" s="17">
        <f>IF('Eurostat EB TJ'!AU19=":",0,'Eurostat EB TJ'!AU19)</f>
        <v>379512.565</v>
      </c>
      <c r="AW11" s="17">
        <f>IF('Eurostat EB TJ'!AV19=":",0,'Eurostat EB TJ'!AV19)</f>
        <v>249.72800000000001</v>
      </c>
      <c r="AX11" s="17">
        <f>IF('Eurostat EB TJ'!AW19=":",0,'Eurostat EB TJ'!AW19)</f>
        <v>6797.51</v>
      </c>
      <c r="AY11" s="17">
        <f>IF('Eurostat EB TJ'!AX19=":",0,'Eurostat EB TJ'!AX19)</f>
        <v>106290.292</v>
      </c>
      <c r="AZ11" s="17">
        <f>IF('Eurostat EB TJ'!AY19=":",0,'Eurostat EB TJ'!AY19)</f>
        <v>1176</v>
      </c>
      <c r="BA11" s="17">
        <f>IF('Eurostat EB TJ'!AZ19=":",0,'Eurostat EB TJ'!AZ19)</f>
        <v>70481.476999999999</v>
      </c>
      <c r="BB11" s="17">
        <f>IF('Eurostat EB TJ'!BA19=":",0,'Eurostat EB TJ'!BA19)</f>
        <v>0</v>
      </c>
      <c r="BC11" s="17">
        <f>IF('Eurostat EB TJ'!BB19=":",0,'Eurostat EB TJ'!BB19)</f>
        <v>25524.613000000001</v>
      </c>
      <c r="BD11" s="17">
        <f>IF('Eurostat EB TJ'!BC19=":",0,'Eurostat EB TJ'!BC19)</f>
        <v>84063.228000000003</v>
      </c>
      <c r="BE11" s="17">
        <f>IF('Eurostat EB TJ'!BD19=":",0,'Eurostat EB TJ'!BD19)</f>
        <v>270</v>
      </c>
      <c r="BF11" s="17">
        <f>IF('Eurostat EB TJ'!BE19=":",0,'Eurostat EB TJ'!BE19)</f>
        <v>14734.195</v>
      </c>
      <c r="BG11" s="17">
        <f>IF('Eurostat EB TJ'!BF19=":",0,'Eurostat EB TJ'!BF19)</f>
        <v>-3586.5450000000001</v>
      </c>
      <c r="BH11" s="17">
        <f>IF('Eurostat EB TJ'!BG19=":",0,'Eurostat EB TJ'!BG19)</f>
        <v>32145.925999999999</v>
      </c>
      <c r="BI11" s="17">
        <f>IF('Eurostat EB TJ'!BH19=":",0,'Eurostat EB TJ'!BH19)</f>
        <v>-17415.866000000002</v>
      </c>
      <c r="BJ11" s="17">
        <f>IF('Eurostat EB TJ'!BI19=":",0,'Eurostat EB TJ'!BI19)</f>
        <v>0</v>
      </c>
      <c r="BK11" s="17">
        <f>IF('Eurostat EB TJ'!BJ19=":",0,'Eurostat EB TJ'!BJ19)</f>
        <v>2646.424</v>
      </c>
      <c r="BL11" s="17">
        <f>IF('Eurostat EB TJ'!BK19=":",0,'Eurostat EB TJ'!BK19)</f>
        <v>529.77599999999995</v>
      </c>
      <c r="BM11" s="17">
        <f>IF('Eurostat EB TJ'!BL19=":",0,'Eurostat EB TJ'!BL19)</f>
        <v>18758.186000000002</v>
      </c>
      <c r="BN11" s="17">
        <f>IF('Eurostat EB TJ'!BM19=":",0,'Eurostat EB TJ'!BM19)</f>
        <v>1876.845</v>
      </c>
      <c r="BO11" s="17">
        <f>IF('Eurostat EB TJ'!BN19=":",0,'Eurostat EB TJ'!BN19)</f>
        <v>36847.622000000003</v>
      </c>
      <c r="BP11" s="17">
        <f>IF('Eurostat EB TJ'!BO19=":",0,'Eurostat EB TJ'!BO19)</f>
        <v>32676.192999999999</v>
      </c>
      <c r="BQ11" s="17">
        <f>IF('Eurostat EB TJ'!BP19=":",0,'Eurostat EB TJ'!BP19)</f>
        <v>34553.038</v>
      </c>
      <c r="BR11" s="17">
        <f>IF('Eurostat EB TJ'!BQ19=":",0,'Eurostat EB TJ'!BQ19)</f>
        <v>38959.053</v>
      </c>
      <c r="BS11" s="17">
        <f>IF('Eurostat EB TJ'!BR19=":",0,'Eurostat EB TJ'!BR19)</f>
        <v>-20374.319</v>
      </c>
      <c r="BT11" s="17">
        <f>IF('Eurostat EB TJ'!BS19=":",0,'Eurostat EB TJ'!BS19)</f>
        <v>8031.1109999999999</v>
      </c>
      <c r="BU11" s="17">
        <f>IF('Eurostat EB TJ'!BT19=":",0,'Eurostat EB TJ'!BT19)</f>
        <v>173516.82199999999</v>
      </c>
      <c r="BV11" s="17">
        <f>IF('Eurostat EB TJ'!BU19=":",0,'Eurostat EB TJ'!BU19)</f>
        <v>2312626.486</v>
      </c>
    </row>
    <row r="12" spans="1:74" x14ac:dyDescent="0.2">
      <c r="A12" s="56" t="s">
        <v>80</v>
      </c>
      <c r="B12" s="57"/>
      <c r="C12" s="57">
        <f>IF('Eurostat EB TJ'!B20=":",0,'Eurostat EB TJ'!B20)</f>
        <v>142333.24600000001</v>
      </c>
      <c r="D12" s="57">
        <f>IF('Eurostat EB TJ'!C20=":",0,'Eurostat EB TJ'!C20)</f>
        <v>0</v>
      </c>
      <c r="E12" s="57">
        <f>IF('Eurostat EB TJ'!D20=":",0,'Eurostat EB TJ'!D20)</f>
        <v>0</v>
      </c>
      <c r="F12" s="57">
        <f>IF('Eurostat EB TJ'!E20=":",0,'Eurostat EB TJ'!E20)</f>
        <v>0</v>
      </c>
      <c r="G12" s="57">
        <f>IF('Eurostat EB TJ'!F20=":",0,'Eurostat EB TJ'!F20)</f>
        <v>0</v>
      </c>
      <c r="H12" s="57">
        <f>IF('Eurostat EB TJ'!G20=":",0,'Eurostat EB TJ'!G20)</f>
        <v>0</v>
      </c>
      <c r="I12" s="57">
        <f>IF('Eurostat EB TJ'!H20=":",0,'Eurostat EB TJ'!H20)</f>
        <v>0</v>
      </c>
      <c r="J12" s="57">
        <f>IF('Eurostat EB TJ'!I20=":",0,'Eurostat EB TJ'!I20)</f>
        <v>0</v>
      </c>
      <c r="K12" s="57">
        <f>IF('Eurostat EB TJ'!J20=":",0,'Eurostat EB TJ'!J20)</f>
        <v>0</v>
      </c>
      <c r="L12" s="57">
        <f>IF('Eurostat EB TJ'!K20=":",0,'Eurostat EB TJ'!K20)</f>
        <v>0</v>
      </c>
      <c r="M12" s="57">
        <f>IF('Eurostat EB TJ'!L20=":",0,'Eurostat EB TJ'!L20)</f>
        <v>0</v>
      </c>
      <c r="N12" s="57">
        <f>IF('Eurostat EB TJ'!M20=":",0,'Eurostat EB TJ'!M20)</f>
        <v>0</v>
      </c>
      <c r="O12" s="57">
        <f>IF('Eurostat EB TJ'!N20=":",0,'Eurostat EB TJ'!N20)</f>
        <v>0</v>
      </c>
      <c r="P12" s="57">
        <f>IF('Eurostat EB TJ'!O20=":",0,'Eurostat EB TJ'!O20)</f>
        <v>0</v>
      </c>
      <c r="Q12" s="57">
        <f>IF('Eurostat EB TJ'!P20=":",0,'Eurostat EB TJ'!P20)</f>
        <v>0</v>
      </c>
      <c r="R12" s="57">
        <f>IF('Eurostat EB TJ'!Q20=":",0,'Eurostat EB TJ'!Q20)</f>
        <v>0</v>
      </c>
      <c r="S12" s="57">
        <f>IF('Eurostat EB TJ'!R20=":",0,'Eurostat EB TJ'!R20)</f>
        <v>0</v>
      </c>
      <c r="T12" s="57">
        <f>IF('Eurostat EB TJ'!S20=":",0,'Eurostat EB TJ'!S20)</f>
        <v>0</v>
      </c>
      <c r="U12" s="57">
        <f>IF('Eurostat EB TJ'!T20=":",0,'Eurostat EB TJ'!T20)</f>
        <v>0</v>
      </c>
      <c r="V12" s="57">
        <f>IF('Eurostat EB TJ'!U20=":",0,'Eurostat EB TJ'!U20)</f>
        <v>0</v>
      </c>
      <c r="W12" s="57">
        <f>IF('Eurostat EB TJ'!V20=":",0,'Eurostat EB TJ'!V20)</f>
        <v>0</v>
      </c>
      <c r="X12" s="57">
        <f>IF('Eurostat EB TJ'!W20=":",0,'Eurostat EB TJ'!W20)</f>
        <v>0</v>
      </c>
      <c r="Y12" s="57">
        <f>IF('Eurostat EB TJ'!X20=":",0,'Eurostat EB TJ'!X20)</f>
        <v>139686.82199999999</v>
      </c>
      <c r="Z12" s="57">
        <f>IF('Eurostat EB TJ'!Y20=":",0,'Eurostat EB TJ'!Y20)</f>
        <v>0</v>
      </c>
      <c r="AA12" s="57">
        <f>IF('Eurostat EB TJ'!Z20=":",0,'Eurostat EB TJ'!Z20)</f>
        <v>0</v>
      </c>
      <c r="AB12" s="57">
        <f>IF('Eurostat EB TJ'!AA20=":",0,'Eurostat EB TJ'!AA20)</f>
        <v>0</v>
      </c>
      <c r="AC12" s="57">
        <f>IF('Eurostat EB TJ'!AB20=":",0,'Eurostat EB TJ'!AB20)</f>
        <v>0</v>
      </c>
      <c r="AD12" s="57">
        <f>IF('Eurostat EB TJ'!AC20=":",0,'Eurostat EB TJ'!AC20)</f>
        <v>0</v>
      </c>
      <c r="AE12" s="57">
        <f>IF('Eurostat EB TJ'!AD20=":",0,'Eurostat EB TJ'!AD20)</f>
        <v>0</v>
      </c>
      <c r="AF12" s="57">
        <f>IF('Eurostat EB TJ'!AE20=":",0,'Eurostat EB TJ'!AE20)</f>
        <v>0</v>
      </c>
      <c r="AG12" s="57">
        <f>IF('Eurostat EB TJ'!AF20=":",0,'Eurostat EB TJ'!AF20)</f>
        <v>0</v>
      </c>
      <c r="AH12" s="57">
        <f>IF('Eurostat EB TJ'!AG20=":",0,'Eurostat EB TJ'!AG20)</f>
        <v>0</v>
      </c>
      <c r="AI12" s="57">
        <f>IF('Eurostat EB TJ'!AH20=":",0,'Eurostat EB TJ'!AH20)</f>
        <v>0</v>
      </c>
      <c r="AJ12" s="57">
        <f>IF('Eurostat EB TJ'!AI20=":",0,'Eurostat EB TJ'!AI20)</f>
        <v>0</v>
      </c>
      <c r="AK12" s="57">
        <f>IF('Eurostat EB TJ'!AJ20=":",0,'Eurostat EB TJ'!AJ20)</f>
        <v>0</v>
      </c>
      <c r="AL12" s="57">
        <f>IF('Eurostat EB TJ'!AK20=":",0,'Eurostat EB TJ'!AK20)</f>
        <v>139686.82199999999</v>
      </c>
      <c r="AM12" s="57">
        <f>IF('Eurostat EB TJ'!AL20=":",0,'Eurostat EB TJ'!AL20)</f>
        <v>0</v>
      </c>
      <c r="AN12" s="57">
        <f>IF('Eurostat EB TJ'!AM20=":",0,'Eurostat EB TJ'!AM20)</f>
        <v>0</v>
      </c>
      <c r="AO12" s="57">
        <f>IF('Eurostat EB TJ'!AN20=":",0,'Eurostat EB TJ'!AN20)</f>
        <v>0</v>
      </c>
      <c r="AP12" s="57">
        <f>IF('Eurostat EB TJ'!AO20=":",0,'Eurostat EB TJ'!AO20)</f>
        <v>0</v>
      </c>
      <c r="AQ12" s="57">
        <f>IF('Eurostat EB TJ'!AP20=":",0,'Eurostat EB TJ'!AP20)</f>
        <v>0</v>
      </c>
      <c r="AR12" s="57">
        <f>IF('Eurostat EB TJ'!AQ20=":",0,'Eurostat EB TJ'!AQ20)</f>
        <v>0</v>
      </c>
      <c r="AS12" s="57">
        <f>IF('Eurostat EB TJ'!AR20=":",0,'Eurostat EB TJ'!AR20)</f>
        <v>0</v>
      </c>
      <c r="AT12" s="57">
        <f>IF('Eurostat EB TJ'!AS20=":",0,'Eurostat EB TJ'!AS20)</f>
        <v>0</v>
      </c>
      <c r="AU12" s="57">
        <f>IF('Eurostat EB TJ'!AT20=":",0,'Eurostat EB TJ'!AT20)</f>
        <v>0</v>
      </c>
      <c r="AV12" s="57">
        <f>IF('Eurostat EB TJ'!AU20=":",0,'Eurostat EB TJ'!AU20)</f>
        <v>2646.424</v>
      </c>
      <c r="AW12" s="57">
        <f>IF('Eurostat EB TJ'!AV20=":",0,'Eurostat EB TJ'!AV20)</f>
        <v>0</v>
      </c>
      <c r="AX12" s="57">
        <f>IF('Eurostat EB TJ'!AW20=":",0,'Eurostat EB TJ'!AW20)</f>
        <v>0</v>
      </c>
      <c r="AY12" s="57">
        <f>IF('Eurostat EB TJ'!AX20=":",0,'Eurostat EB TJ'!AX20)</f>
        <v>0</v>
      </c>
      <c r="AZ12" s="57">
        <f>IF('Eurostat EB TJ'!AY20=":",0,'Eurostat EB TJ'!AY20)</f>
        <v>0</v>
      </c>
      <c r="BA12" s="57">
        <f>IF('Eurostat EB TJ'!AZ20=":",0,'Eurostat EB TJ'!AZ20)</f>
        <v>0</v>
      </c>
      <c r="BB12" s="57">
        <f>IF('Eurostat EB TJ'!BA20=":",0,'Eurostat EB TJ'!BA20)</f>
        <v>0</v>
      </c>
      <c r="BC12" s="57">
        <f>IF('Eurostat EB TJ'!BB20=":",0,'Eurostat EB TJ'!BB20)</f>
        <v>0</v>
      </c>
      <c r="BD12" s="57">
        <f>IF('Eurostat EB TJ'!BC20=":",0,'Eurostat EB TJ'!BC20)</f>
        <v>0</v>
      </c>
      <c r="BE12" s="57">
        <f>IF('Eurostat EB TJ'!BD20=":",0,'Eurostat EB TJ'!BD20)</f>
        <v>0</v>
      </c>
      <c r="BF12" s="57">
        <f>IF('Eurostat EB TJ'!BE20=":",0,'Eurostat EB TJ'!BE20)</f>
        <v>0</v>
      </c>
      <c r="BG12" s="57">
        <f>IF('Eurostat EB TJ'!BF20=":",0,'Eurostat EB TJ'!BF20)</f>
        <v>0</v>
      </c>
      <c r="BH12" s="57">
        <f>IF('Eurostat EB TJ'!BG20=":",0,'Eurostat EB TJ'!BG20)</f>
        <v>0</v>
      </c>
      <c r="BI12" s="57">
        <f>IF('Eurostat EB TJ'!BH20=":",0,'Eurostat EB TJ'!BH20)</f>
        <v>0</v>
      </c>
      <c r="BJ12" s="57">
        <f>IF('Eurostat EB TJ'!BI20=":",0,'Eurostat EB TJ'!BI20)</f>
        <v>0</v>
      </c>
      <c r="BK12" s="57">
        <f>IF('Eurostat EB TJ'!BJ20=":",0,'Eurostat EB TJ'!BJ20)</f>
        <v>2646.424</v>
      </c>
      <c r="BL12" s="57">
        <f>IF('Eurostat EB TJ'!BK20=":",0,'Eurostat EB TJ'!BK20)</f>
        <v>0</v>
      </c>
      <c r="BM12" s="57">
        <f>IF('Eurostat EB TJ'!BL20=":",0,'Eurostat EB TJ'!BL20)</f>
        <v>0</v>
      </c>
      <c r="BN12" s="57">
        <f>IF('Eurostat EB TJ'!BM20=":",0,'Eurostat EB TJ'!BM20)</f>
        <v>0</v>
      </c>
      <c r="BO12" s="57">
        <f>IF('Eurostat EB TJ'!BN20=":",0,'Eurostat EB TJ'!BN20)</f>
        <v>0</v>
      </c>
      <c r="BP12" s="57">
        <f>IF('Eurostat EB TJ'!BO20=":",0,'Eurostat EB TJ'!BO20)</f>
        <v>0</v>
      </c>
      <c r="BQ12" s="57">
        <f>IF('Eurostat EB TJ'!BP20=":",0,'Eurostat EB TJ'!BP20)</f>
        <v>0</v>
      </c>
      <c r="BR12" s="57">
        <f>IF('Eurostat EB TJ'!BQ20=":",0,'Eurostat EB TJ'!BQ20)</f>
        <v>0</v>
      </c>
      <c r="BS12" s="57">
        <f>IF('Eurostat EB TJ'!BR20=":",0,'Eurostat EB TJ'!BR20)</f>
        <v>0</v>
      </c>
      <c r="BT12" s="57">
        <f>IF('Eurostat EB TJ'!BS20=":",0,'Eurostat EB TJ'!BS20)</f>
        <v>0</v>
      </c>
      <c r="BU12" s="57">
        <f>IF('Eurostat EB TJ'!BT20=":",0,'Eurostat EB TJ'!BT20)</f>
        <v>2646.424</v>
      </c>
      <c r="BV12" s="57">
        <f>IF('Eurostat EB TJ'!BU20=":",0,'Eurostat EB TJ'!BU20)</f>
        <v>139686.82199999999</v>
      </c>
    </row>
    <row r="13" spans="1:74" x14ac:dyDescent="0.2">
      <c r="A13" s="56" t="s">
        <v>81</v>
      </c>
      <c r="B13" s="17"/>
      <c r="C13" s="17">
        <f>IF('Eurostat EB TJ'!B21=":",0,'Eurostat EB TJ'!B21)</f>
        <v>2592297.5299999998</v>
      </c>
      <c r="D13" s="17">
        <f>IF('Eurostat EB TJ'!C21=":",0,'Eurostat EB TJ'!C21)</f>
        <v>158365.45699999999</v>
      </c>
      <c r="E13" s="17">
        <f>IF('Eurostat EB TJ'!D21=":",0,'Eurostat EB TJ'!D21)</f>
        <v>76.706999999999994</v>
      </c>
      <c r="F13" s="17">
        <f>IF('Eurostat EB TJ'!E21=":",0,'Eurostat EB TJ'!E21)</f>
        <v>99209.364000000001</v>
      </c>
      <c r="G13" s="17">
        <f>IF('Eurostat EB TJ'!F21=":",0,'Eurostat EB TJ'!F21)</f>
        <v>71800.581000000006</v>
      </c>
      <c r="H13" s="17">
        <f>IF('Eurostat EB TJ'!G21=":",0,'Eurostat EB TJ'!G21)</f>
        <v>0</v>
      </c>
      <c r="I13" s="17">
        <f>IF('Eurostat EB TJ'!H21=":",0,'Eurostat EB TJ'!H21)</f>
        <v>312.82</v>
      </c>
      <c r="J13" s="17">
        <f>IF('Eurostat EB TJ'!I21=":",0,'Eurostat EB TJ'!I21)</f>
        <v>-10738.941999999999</v>
      </c>
      <c r="K13" s="17">
        <f>IF('Eurostat EB TJ'!J21=":",0,'Eurostat EB TJ'!J21)</f>
        <v>0</v>
      </c>
      <c r="L13" s="17">
        <f>IF('Eurostat EB TJ'!K21=":",0,'Eurostat EB TJ'!K21)</f>
        <v>0</v>
      </c>
      <c r="M13" s="17">
        <f>IF('Eurostat EB TJ'!L21=":",0,'Eurostat EB TJ'!L21)</f>
        <v>0</v>
      </c>
      <c r="N13" s="17">
        <f>IF('Eurostat EB TJ'!M21=":",0,'Eurostat EB TJ'!M21)</f>
        <v>-2295.0729999999999</v>
      </c>
      <c r="O13" s="17">
        <f>IF('Eurostat EB TJ'!N21=":",0,'Eurostat EB TJ'!N21)</f>
        <v>0</v>
      </c>
      <c r="P13" s="17">
        <f>IF('Eurostat EB TJ'!O21=":",0,'Eurostat EB TJ'!O21)</f>
        <v>0</v>
      </c>
      <c r="Q13" s="17">
        <f>IF('Eurostat EB TJ'!P21=":",0,'Eurostat EB TJ'!P21)</f>
        <v>0</v>
      </c>
      <c r="R13" s="17">
        <f>IF('Eurostat EB TJ'!Q21=":",0,'Eurostat EB TJ'!Q21)</f>
        <v>0</v>
      </c>
      <c r="S13" s="17">
        <f>IF('Eurostat EB TJ'!R21=":",0,'Eurostat EB TJ'!R21)</f>
        <v>0</v>
      </c>
      <c r="T13" s="17">
        <f>IF('Eurostat EB TJ'!S21=":",0,'Eurostat EB TJ'!S21)</f>
        <v>0</v>
      </c>
      <c r="U13" s="17">
        <f>IF('Eurostat EB TJ'!T21=":",0,'Eurostat EB TJ'!T21)</f>
        <v>0</v>
      </c>
      <c r="V13" s="17">
        <f>IF('Eurostat EB TJ'!U21=":",0,'Eurostat EB TJ'!U21)</f>
        <v>0</v>
      </c>
      <c r="W13" s="17">
        <f>IF('Eurostat EB TJ'!V21=":",0,'Eurostat EB TJ'!V21)</f>
        <v>0</v>
      </c>
      <c r="X13" s="17">
        <f>IF('Eurostat EB TJ'!W21=":",0,'Eurostat EB TJ'!W21)</f>
        <v>928798.62600000005</v>
      </c>
      <c r="Y13" s="17">
        <f>IF('Eurostat EB TJ'!X21=":",0,'Eurostat EB TJ'!X21)</f>
        <v>1067098.422</v>
      </c>
      <c r="Z13" s="17">
        <f>IF('Eurostat EB TJ'!Y21=":",0,'Eurostat EB TJ'!Y21)</f>
        <v>2349392.9330000002</v>
      </c>
      <c r="AA13" s="17">
        <f>IF('Eurostat EB TJ'!Z21=":",0,'Eurostat EB TJ'!Z21)</f>
        <v>343507.68</v>
      </c>
      <c r="AB13" s="17">
        <f>IF('Eurostat EB TJ'!AA21=":",0,'Eurostat EB TJ'!AA21)</f>
        <v>0</v>
      </c>
      <c r="AC13" s="17">
        <f>IF('Eurostat EB TJ'!AB21=":",0,'Eurostat EB TJ'!AB21)</f>
        <v>24606.116000000002</v>
      </c>
      <c r="AD13" s="17">
        <f>IF('Eurostat EB TJ'!AC21=":",0,'Eurostat EB TJ'!AC21)</f>
        <v>0</v>
      </c>
      <c r="AE13" s="17">
        <f>IF('Eurostat EB TJ'!AD21=":",0,'Eurostat EB TJ'!AD21)</f>
        <v>10953.163</v>
      </c>
      <c r="AF13" s="17">
        <f>IF('Eurostat EB TJ'!AE21=":",0,'Eurostat EB TJ'!AE21)</f>
        <v>0</v>
      </c>
      <c r="AG13" s="17">
        <f>IF('Eurostat EB TJ'!AF21=":",0,'Eurostat EB TJ'!AF21)</f>
        <v>58822.580999999998</v>
      </c>
      <c r="AH13" s="17">
        <f>IF('Eurostat EB TJ'!AG21=":",0,'Eurostat EB TJ'!AG21)</f>
        <v>224209.076</v>
      </c>
      <c r="AI13" s="17">
        <f>IF('Eurostat EB TJ'!AH21=":",0,'Eurostat EB TJ'!AH21)</f>
        <v>-2765.681</v>
      </c>
      <c r="AJ13" s="17">
        <f>IF('Eurostat EB TJ'!AI21=":",0,'Eurostat EB TJ'!AI21)</f>
        <v>-596515.62199999997</v>
      </c>
      <c r="AK13" s="17">
        <f>IF('Eurostat EB TJ'!AJ21=":",0,'Eurostat EB TJ'!AJ21)</f>
        <v>0</v>
      </c>
      <c r="AL13" s="17">
        <f>IF('Eurostat EB TJ'!AK21=":",0,'Eurostat EB TJ'!AK21)</f>
        <v>-388467.95899999997</v>
      </c>
      <c r="AM13" s="17">
        <f>IF('Eurostat EB TJ'!AL21=":",0,'Eurostat EB TJ'!AL21)</f>
        <v>-11180.653</v>
      </c>
      <c r="AN13" s="17">
        <f>IF('Eurostat EB TJ'!AM21=":",0,'Eurostat EB TJ'!AM21)</f>
        <v>-579570.19700000004</v>
      </c>
      <c r="AO13" s="17">
        <f>IF('Eurostat EB TJ'!AN21=":",0,'Eurostat EB TJ'!AN21)</f>
        <v>-293881.33399999997</v>
      </c>
      <c r="AP13" s="17">
        <f>IF('Eurostat EB TJ'!AO21=":",0,'Eurostat EB TJ'!AO21)</f>
        <v>-6585.7460000000001</v>
      </c>
      <c r="AQ13" s="17">
        <f>IF('Eurostat EB TJ'!AP21=":",0,'Eurostat EB TJ'!AP21)</f>
        <v>-24673.428</v>
      </c>
      <c r="AR13" s="17">
        <f>IF('Eurostat EB TJ'!AQ21=":",0,'Eurostat EB TJ'!AQ21)</f>
        <v>402.14299999999997</v>
      </c>
      <c r="AS13" s="17">
        <f>IF('Eurostat EB TJ'!AR21=":",0,'Eurostat EB TJ'!AR21)</f>
        <v>8775.5249999999996</v>
      </c>
      <c r="AT13" s="17">
        <f>IF('Eurostat EB TJ'!AS21=":",0,'Eurostat EB TJ'!AS21)</f>
        <v>-33161.000999999997</v>
      </c>
      <c r="AU13" s="17">
        <f>IF('Eurostat EB TJ'!AT21=":",0,'Eurostat EB TJ'!AT21)</f>
        <v>-16769.172999999999</v>
      </c>
      <c r="AV13" s="17">
        <f>IF('Eurostat EB TJ'!AU21=":",0,'Eurostat EB TJ'!AU21)</f>
        <v>376866.141</v>
      </c>
      <c r="AW13" s="17">
        <f>IF('Eurostat EB TJ'!AV21=":",0,'Eurostat EB TJ'!AV21)</f>
        <v>249.72800000000001</v>
      </c>
      <c r="AX13" s="17">
        <f>IF('Eurostat EB TJ'!AW21=":",0,'Eurostat EB TJ'!AW21)</f>
        <v>6797.51</v>
      </c>
      <c r="AY13" s="17">
        <f>IF('Eurostat EB TJ'!AX21=":",0,'Eurostat EB TJ'!AX21)</f>
        <v>106290.292</v>
      </c>
      <c r="AZ13" s="17">
        <f>IF('Eurostat EB TJ'!AY21=":",0,'Eurostat EB TJ'!AY21)</f>
        <v>1176</v>
      </c>
      <c r="BA13" s="17">
        <f>IF('Eurostat EB TJ'!AZ21=":",0,'Eurostat EB TJ'!AZ21)</f>
        <v>70481.476999999999</v>
      </c>
      <c r="BB13" s="17">
        <f>IF('Eurostat EB TJ'!BA21=":",0,'Eurostat EB TJ'!BA21)</f>
        <v>0</v>
      </c>
      <c r="BC13" s="17">
        <f>IF('Eurostat EB TJ'!BB21=":",0,'Eurostat EB TJ'!BB21)</f>
        <v>25524.613000000001</v>
      </c>
      <c r="BD13" s="17">
        <f>IF('Eurostat EB TJ'!BC21=":",0,'Eurostat EB TJ'!BC21)</f>
        <v>84063.228000000003</v>
      </c>
      <c r="BE13" s="17">
        <f>IF('Eurostat EB TJ'!BD21=":",0,'Eurostat EB TJ'!BD21)</f>
        <v>270</v>
      </c>
      <c r="BF13" s="17">
        <f>IF('Eurostat EB TJ'!BE21=":",0,'Eurostat EB TJ'!BE21)</f>
        <v>14734.195</v>
      </c>
      <c r="BG13" s="17">
        <f>IF('Eurostat EB TJ'!BF21=":",0,'Eurostat EB TJ'!BF21)</f>
        <v>-3586.5450000000001</v>
      </c>
      <c r="BH13" s="17">
        <f>IF('Eurostat EB TJ'!BG21=":",0,'Eurostat EB TJ'!BG21)</f>
        <v>32145.925999999999</v>
      </c>
      <c r="BI13" s="17">
        <f>IF('Eurostat EB TJ'!BH21=":",0,'Eurostat EB TJ'!BH21)</f>
        <v>-17415.866000000002</v>
      </c>
      <c r="BJ13" s="17">
        <f>IF('Eurostat EB TJ'!BI21=":",0,'Eurostat EB TJ'!BI21)</f>
        <v>0</v>
      </c>
      <c r="BK13" s="17">
        <f>IF('Eurostat EB TJ'!BJ21=":",0,'Eurostat EB TJ'!BJ21)</f>
        <v>0</v>
      </c>
      <c r="BL13" s="17">
        <f>IF('Eurostat EB TJ'!BK21=":",0,'Eurostat EB TJ'!BK21)</f>
        <v>529.77599999999995</v>
      </c>
      <c r="BM13" s="17">
        <f>IF('Eurostat EB TJ'!BL21=":",0,'Eurostat EB TJ'!BL21)</f>
        <v>18758.186000000002</v>
      </c>
      <c r="BN13" s="17">
        <f>IF('Eurostat EB TJ'!BM21=":",0,'Eurostat EB TJ'!BM21)</f>
        <v>1876.845</v>
      </c>
      <c r="BO13" s="17">
        <f>IF('Eurostat EB TJ'!BN21=":",0,'Eurostat EB TJ'!BN21)</f>
        <v>36847.622000000003</v>
      </c>
      <c r="BP13" s="17">
        <f>IF('Eurostat EB TJ'!BO21=":",0,'Eurostat EB TJ'!BO21)</f>
        <v>32676.192999999999</v>
      </c>
      <c r="BQ13" s="17">
        <f>IF('Eurostat EB TJ'!BP21=":",0,'Eurostat EB TJ'!BP21)</f>
        <v>34553.038</v>
      </c>
      <c r="BR13" s="17">
        <f>IF('Eurostat EB TJ'!BQ21=":",0,'Eurostat EB TJ'!BQ21)</f>
        <v>38959.053</v>
      </c>
      <c r="BS13" s="17">
        <f>IF('Eurostat EB TJ'!BR21=":",0,'Eurostat EB TJ'!BR21)</f>
        <v>-20374.319</v>
      </c>
      <c r="BT13" s="17">
        <f>IF('Eurostat EB TJ'!BS21=":",0,'Eurostat EB TJ'!BS21)</f>
        <v>8031.1109999999999</v>
      </c>
      <c r="BU13" s="17">
        <f>IF('Eurostat EB TJ'!BT21=":",0,'Eurostat EB TJ'!BT21)</f>
        <v>170870.39799999999</v>
      </c>
      <c r="BV13" s="17">
        <f>IF('Eurostat EB TJ'!BU21=":",0,'Eurostat EB TJ'!BU21)</f>
        <v>2172939.6639999999</v>
      </c>
    </row>
    <row r="14" spans="1:74" x14ac:dyDescent="0.2">
      <c r="A14" s="62" t="s">
        <v>387</v>
      </c>
      <c r="B14" s="57" t="s">
        <v>393</v>
      </c>
      <c r="C14" s="57">
        <f>IF('Eurostat EB TJ'!B22=":",0,'Eurostat EB TJ'!B22)</f>
        <v>2701075.0520000001</v>
      </c>
      <c r="D14" s="57">
        <f>IF('Eurostat EB TJ'!C22=":",0,'Eurostat EB TJ'!C22)</f>
        <v>0</v>
      </c>
      <c r="E14" s="57">
        <f>IF('Eurostat EB TJ'!D22=":",0,'Eurostat EB TJ'!D22)</f>
        <v>0</v>
      </c>
      <c r="F14" s="57">
        <f>IF('Eurostat EB TJ'!E22=":",0,'Eurostat EB TJ'!E22)</f>
        <v>0</v>
      </c>
      <c r="G14" s="57">
        <f>IF('Eurostat EB TJ'!F22=":",0,'Eurostat EB TJ'!F22)</f>
        <v>0</v>
      </c>
      <c r="H14" s="57">
        <f>IF('Eurostat EB TJ'!G22=":",0,'Eurostat EB TJ'!G22)</f>
        <v>0</v>
      </c>
      <c r="I14" s="57">
        <f>IF('Eurostat EB TJ'!H22=":",0,'Eurostat EB TJ'!H22)</f>
        <v>0</v>
      </c>
      <c r="J14" s="57">
        <f>IF('Eurostat EB TJ'!I22=":",0,'Eurostat EB TJ'!I22)</f>
        <v>0</v>
      </c>
      <c r="K14" s="57">
        <f>IF('Eurostat EB TJ'!J22=":",0,'Eurostat EB TJ'!J22)</f>
        <v>0</v>
      </c>
      <c r="L14" s="57">
        <f>IF('Eurostat EB TJ'!K22=":",0,'Eurostat EB TJ'!K22)</f>
        <v>0</v>
      </c>
      <c r="M14" s="57">
        <f>IF('Eurostat EB TJ'!L22=":",0,'Eurostat EB TJ'!L22)</f>
        <v>0</v>
      </c>
      <c r="N14" s="57">
        <f>IF('Eurostat EB TJ'!M22=":",0,'Eurostat EB TJ'!M22)</f>
        <v>0</v>
      </c>
      <c r="O14" s="57">
        <f>IF('Eurostat EB TJ'!N22=":",0,'Eurostat EB TJ'!N22)</f>
        <v>0</v>
      </c>
      <c r="P14" s="57">
        <f>IF('Eurostat EB TJ'!O22=":",0,'Eurostat EB TJ'!O22)</f>
        <v>0</v>
      </c>
      <c r="Q14" s="57">
        <f>IF('Eurostat EB TJ'!P22=":",0,'Eurostat EB TJ'!P22)</f>
        <v>0</v>
      </c>
      <c r="R14" s="57">
        <f>IF('Eurostat EB TJ'!Q22=":",0,'Eurostat EB TJ'!Q22)</f>
        <v>0</v>
      </c>
      <c r="S14" s="57">
        <f>IF('Eurostat EB TJ'!R22=":",0,'Eurostat EB TJ'!R22)</f>
        <v>0</v>
      </c>
      <c r="T14" s="57">
        <f>IF('Eurostat EB TJ'!S22=":",0,'Eurostat EB TJ'!S22)</f>
        <v>0</v>
      </c>
      <c r="U14" s="57">
        <f>IF('Eurostat EB TJ'!T22=":",0,'Eurostat EB TJ'!T22)</f>
        <v>0</v>
      </c>
      <c r="V14" s="57">
        <f>IF('Eurostat EB TJ'!U22=":",0,'Eurostat EB TJ'!U22)</f>
        <v>0</v>
      </c>
      <c r="W14" s="57">
        <f>IF('Eurostat EB TJ'!V22=":",0,'Eurostat EB TJ'!V22)</f>
        <v>0</v>
      </c>
      <c r="X14" s="57">
        <f>IF('Eurostat EB TJ'!W22=":",0,'Eurostat EB TJ'!W22)</f>
        <v>0</v>
      </c>
      <c r="Y14" s="57">
        <f>IF('Eurostat EB TJ'!X22=":",0,'Eurostat EB TJ'!X22)</f>
        <v>0</v>
      </c>
      <c r="Z14" s="57">
        <f>IF('Eurostat EB TJ'!Y22=":",0,'Eurostat EB TJ'!Y22)</f>
        <v>0</v>
      </c>
      <c r="AA14" s="57">
        <f>IF('Eurostat EB TJ'!Z22=":",0,'Eurostat EB TJ'!Z22)</f>
        <v>0</v>
      </c>
      <c r="AB14" s="57">
        <f>IF('Eurostat EB TJ'!AA22=":",0,'Eurostat EB TJ'!AA22)</f>
        <v>0</v>
      </c>
      <c r="AC14" s="57">
        <f>IF('Eurostat EB TJ'!AB22=":",0,'Eurostat EB TJ'!AB22)</f>
        <v>0</v>
      </c>
      <c r="AD14" s="57">
        <f>IF('Eurostat EB TJ'!AC22=":",0,'Eurostat EB TJ'!AC22)</f>
        <v>0</v>
      </c>
      <c r="AE14" s="57">
        <f>IF('Eurostat EB TJ'!AD22=":",0,'Eurostat EB TJ'!AD22)</f>
        <v>0</v>
      </c>
      <c r="AF14" s="57">
        <f>IF('Eurostat EB TJ'!AE22=":",0,'Eurostat EB TJ'!AE22)</f>
        <v>0</v>
      </c>
      <c r="AG14" s="57">
        <f>IF('Eurostat EB TJ'!AF22=":",0,'Eurostat EB TJ'!AF22)</f>
        <v>0</v>
      </c>
      <c r="AH14" s="57">
        <f>IF('Eurostat EB TJ'!AG22=":",0,'Eurostat EB TJ'!AG22)</f>
        <v>0</v>
      </c>
      <c r="AI14" s="57">
        <f>IF('Eurostat EB TJ'!AH22=":",0,'Eurostat EB TJ'!AH22)</f>
        <v>0</v>
      </c>
      <c r="AJ14" s="57">
        <f>IF('Eurostat EB TJ'!AI22=":",0,'Eurostat EB TJ'!AI22)</f>
        <v>0</v>
      </c>
      <c r="AK14" s="57">
        <f>IF('Eurostat EB TJ'!AJ22=":",0,'Eurostat EB TJ'!AJ22)</f>
        <v>0</v>
      </c>
      <c r="AL14" s="57">
        <f>IF('Eurostat EB TJ'!AK22=":",0,'Eurostat EB TJ'!AK22)</f>
        <v>0</v>
      </c>
      <c r="AM14" s="57">
        <f>IF('Eurostat EB TJ'!AL22=":",0,'Eurostat EB TJ'!AL22)</f>
        <v>0</v>
      </c>
      <c r="AN14" s="57">
        <f>IF('Eurostat EB TJ'!AM22=":",0,'Eurostat EB TJ'!AM22)</f>
        <v>0</v>
      </c>
      <c r="AO14" s="57">
        <f>IF('Eurostat EB TJ'!AN22=":",0,'Eurostat EB TJ'!AN22)</f>
        <v>0</v>
      </c>
      <c r="AP14" s="57">
        <f>IF('Eurostat EB TJ'!AO22=":",0,'Eurostat EB TJ'!AO22)</f>
        <v>0</v>
      </c>
      <c r="AQ14" s="57">
        <f>IF('Eurostat EB TJ'!AP22=":",0,'Eurostat EB TJ'!AP22)</f>
        <v>0</v>
      </c>
      <c r="AR14" s="57">
        <f>IF('Eurostat EB TJ'!AQ22=":",0,'Eurostat EB TJ'!AQ22)</f>
        <v>0</v>
      </c>
      <c r="AS14" s="57">
        <f>IF('Eurostat EB TJ'!AR22=":",0,'Eurostat EB TJ'!AR22)</f>
        <v>0</v>
      </c>
      <c r="AT14" s="57">
        <f>IF('Eurostat EB TJ'!AS22=":",0,'Eurostat EB TJ'!AS22)</f>
        <v>0</v>
      </c>
      <c r="AU14" s="57">
        <f>IF('Eurostat EB TJ'!AT22=":",0,'Eurostat EB TJ'!AT22)</f>
        <v>0</v>
      </c>
      <c r="AV14" s="57">
        <f>IF('Eurostat EB TJ'!AU22=":",0,'Eurostat EB TJ'!AU22)</f>
        <v>0</v>
      </c>
      <c r="AW14" s="57">
        <f>IF('Eurostat EB TJ'!AV22=":",0,'Eurostat EB TJ'!AV22)</f>
        <v>0</v>
      </c>
      <c r="AX14" s="57">
        <f>IF('Eurostat EB TJ'!AW22=":",0,'Eurostat EB TJ'!AW22)</f>
        <v>0</v>
      </c>
      <c r="AY14" s="57">
        <f>IF('Eurostat EB TJ'!AX22=":",0,'Eurostat EB TJ'!AX22)</f>
        <v>0</v>
      </c>
      <c r="AZ14" s="57">
        <f>IF('Eurostat EB TJ'!AY22=":",0,'Eurostat EB TJ'!AY22)</f>
        <v>0</v>
      </c>
      <c r="BA14" s="57">
        <f>IF('Eurostat EB TJ'!AZ22=":",0,'Eurostat EB TJ'!AZ22)</f>
        <v>0</v>
      </c>
      <c r="BB14" s="57">
        <f>IF('Eurostat EB TJ'!BA22=":",0,'Eurostat EB TJ'!BA22)</f>
        <v>0</v>
      </c>
      <c r="BC14" s="57">
        <f>IF('Eurostat EB TJ'!BB22=":",0,'Eurostat EB TJ'!BB22)</f>
        <v>0</v>
      </c>
      <c r="BD14" s="57">
        <f>IF('Eurostat EB TJ'!BC22=":",0,'Eurostat EB TJ'!BC22)</f>
        <v>0</v>
      </c>
      <c r="BE14" s="57">
        <f>IF('Eurostat EB TJ'!BD22=":",0,'Eurostat EB TJ'!BD22)</f>
        <v>0</v>
      </c>
      <c r="BF14" s="57">
        <f>IF('Eurostat EB TJ'!BE22=":",0,'Eurostat EB TJ'!BE22)</f>
        <v>0</v>
      </c>
      <c r="BG14" s="57">
        <f>IF('Eurostat EB TJ'!BF22=":",0,'Eurostat EB TJ'!BF22)</f>
        <v>0</v>
      </c>
      <c r="BH14" s="57">
        <f>IF('Eurostat EB TJ'!BG22=":",0,'Eurostat EB TJ'!BG22)</f>
        <v>0</v>
      </c>
      <c r="BI14" s="57">
        <f>IF('Eurostat EB TJ'!BH22=":",0,'Eurostat EB TJ'!BH22)</f>
        <v>0</v>
      </c>
      <c r="BJ14" s="57">
        <f>IF('Eurostat EB TJ'!BI22=":",0,'Eurostat EB TJ'!BI22)</f>
        <v>0</v>
      </c>
      <c r="BK14" s="57">
        <f>IF('Eurostat EB TJ'!BJ22=":",0,'Eurostat EB TJ'!BJ22)</f>
        <v>0</v>
      </c>
      <c r="BL14" s="57">
        <f>IF('Eurostat EB TJ'!BK22=":",0,'Eurostat EB TJ'!BK22)</f>
        <v>0</v>
      </c>
      <c r="BM14" s="57">
        <f>IF('Eurostat EB TJ'!BL22=":",0,'Eurostat EB TJ'!BL22)</f>
        <v>0</v>
      </c>
      <c r="BN14" s="57">
        <f>IF('Eurostat EB TJ'!BM22=":",0,'Eurostat EB TJ'!BM22)</f>
        <v>0</v>
      </c>
      <c r="BO14" s="57">
        <f>IF('Eurostat EB TJ'!BN22=":",0,'Eurostat EB TJ'!BN22)</f>
        <v>0</v>
      </c>
      <c r="BP14" s="57">
        <f>IF('Eurostat EB TJ'!BO22=":",0,'Eurostat EB TJ'!BO22)</f>
        <v>0</v>
      </c>
      <c r="BQ14" s="57">
        <f>IF('Eurostat EB TJ'!BP22=":",0,'Eurostat EB TJ'!BP22)</f>
        <v>0</v>
      </c>
      <c r="BR14" s="57">
        <f>IF('Eurostat EB TJ'!BQ22=":",0,'Eurostat EB TJ'!BQ22)</f>
        <v>0</v>
      </c>
      <c r="BS14" s="57">
        <f>IF('Eurostat EB TJ'!BR22=":",0,'Eurostat EB TJ'!BR22)</f>
        <v>0</v>
      </c>
      <c r="BT14" s="57">
        <f>IF('Eurostat EB TJ'!BS22=":",0,'Eurostat EB TJ'!BS22)</f>
        <v>0</v>
      </c>
      <c r="BU14" s="57">
        <f>IF('Eurostat EB TJ'!BT22=":",0,'Eurostat EB TJ'!BT22)</f>
        <v>0</v>
      </c>
      <c r="BV14" s="57">
        <f>IF('Eurostat EB TJ'!BU22=":",0,'Eurostat EB TJ'!BU22)</f>
        <v>0</v>
      </c>
    </row>
    <row r="15" spans="1:74" x14ac:dyDescent="0.2">
      <c r="A15" s="62" t="s">
        <v>388</v>
      </c>
      <c r="B15" s="17" t="s">
        <v>393</v>
      </c>
      <c r="C15" s="17">
        <f>IF('Eurostat EB TJ'!B23=":",0,'Eurostat EB TJ'!B23)</f>
        <v>2252963.9169999999</v>
      </c>
      <c r="D15" s="17">
        <f>IF('Eurostat EB TJ'!C23=":",0,'Eurostat EB TJ'!C23)</f>
        <v>0</v>
      </c>
      <c r="E15" s="17">
        <f>IF('Eurostat EB TJ'!D23=":",0,'Eurostat EB TJ'!D23)</f>
        <v>0</v>
      </c>
      <c r="F15" s="17">
        <f>IF('Eurostat EB TJ'!E23=":",0,'Eurostat EB TJ'!E23)</f>
        <v>0</v>
      </c>
      <c r="G15" s="17">
        <f>IF('Eurostat EB TJ'!F23=":",0,'Eurostat EB TJ'!F23)</f>
        <v>0</v>
      </c>
      <c r="H15" s="17">
        <f>IF('Eurostat EB TJ'!G23=":",0,'Eurostat EB TJ'!G23)</f>
        <v>0</v>
      </c>
      <c r="I15" s="17">
        <f>IF('Eurostat EB TJ'!H23=":",0,'Eurostat EB TJ'!H23)</f>
        <v>0</v>
      </c>
      <c r="J15" s="17">
        <f>IF('Eurostat EB TJ'!I23=":",0,'Eurostat EB TJ'!I23)</f>
        <v>0</v>
      </c>
      <c r="K15" s="17">
        <f>IF('Eurostat EB TJ'!J23=":",0,'Eurostat EB TJ'!J23)</f>
        <v>0</v>
      </c>
      <c r="L15" s="17">
        <f>IF('Eurostat EB TJ'!K23=":",0,'Eurostat EB TJ'!K23)</f>
        <v>0</v>
      </c>
      <c r="M15" s="17">
        <f>IF('Eurostat EB TJ'!L23=":",0,'Eurostat EB TJ'!L23)</f>
        <v>0</v>
      </c>
      <c r="N15" s="17">
        <f>IF('Eurostat EB TJ'!M23=":",0,'Eurostat EB TJ'!M23)</f>
        <v>0</v>
      </c>
      <c r="O15" s="17">
        <f>IF('Eurostat EB TJ'!N23=":",0,'Eurostat EB TJ'!N23)</f>
        <v>0</v>
      </c>
      <c r="P15" s="17">
        <f>IF('Eurostat EB TJ'!O23=":",0,'Eurostat EB TJ'!O23)</f>
        <v>0</v>
      </c>
      <c r="Q15" s="17">
        <f>IF('Eurostat EB TJ'!P23=":",0,'Eurostat EB TJ'!P23)</f>
        <v>0</v>
      </c>
      <c r="R15" s="17">
        <f>IF('Eurostat EB TJ'!Q23=":",0,'Eurostat EB TJ'!Q23)</f>
        <v>0</v>
      </c>
      <c r="S15" s="17">
        <f>IF('Eurostat EB TJ'!R23=":",0,'Eurostat EB TJ'!R23)</f>
        <v>0</v>
      </c>
      <c r="T15" s="17">
        <f>IF('Eurostat EB TJ'!S23=":",0,'Eurostat EB TJ'!S23)</f>
        <v>0</v>
      </c>
      <c r="U15" s="17">
        <f>IF('Eurostat EB TJ'!T23=":",0,'Eurostat EB TJ'!T23)</f>
        <v>0</v>
      </c>
      <c r="V15" s="17">
        <f>IF('Eurostat EB TJ'!U23=":",0,'Eurostat EB TJ'!U23)</f>
        <v>0</v>
      </c>
      <c r="W15" s="17">
        <f>IF('Eurostat EB TJ'!V23=":",0,'Eurostat EB TJ'!V23)</f>
        <v>0</v>
      </c>
      <c r="X15" s="17">
        <f>IF('Eurostat EB TJ'!W23=":",0,'Eurostat EB TJ'!W23)</f>
        <v>0</v>
      </c>
      <c r="Y15" s="17">
        <f>IF('Eurostat EB TJ'!X23=":",0,'Eurostat EB TJ'!X23)</f>
        <v>0</v>
      </c>
      <c r="Z15" s="17">
        <f>IF('Eurostat EB TJ'!Y23=":",0,'Eurostat EB TJ'!Y23)</f>
        <v>0</v>
      </c>
      <c r="AA15" s="17">
        <f>IF('Eurostat EB TJ'!Z23=":",0,'Eurostat EB TJ'!Z23)</f>
        <v>0</v>
      </c>
      <c r="AB15" s="17">
        <f>IF('Eurostat EB TJ'!AA23=":",0,'Eurostat EB TJ'!AA23)</f>
        <v>0</v>
      </c>
      <c r="AC15" s="17">
        <f>IF('Eurostat EB TJ'!AB23=":",0,'Eurostat EB TJ'!AB23)</f>
        <v>0</v>
      </c>
      <c r="AD15" s="17">
        <f>IF('Eurostat EB TJ'!AC23=":",0,'Eurostat EB TJ'!AC23)</f>
        <v>0</v>
      </c>
      <c r="AE15" s="17">
        <f>IF('Eurostat EB TJ'!AD23=":",0,'Eurostat EB TJ'!AD23)</f>
        <v>0</v>
      </c>
      <c r="AF15" s="17">
        <f>IF('Eurostat EB TJ'!AE23=":",0,'Eurostat EB TJ'!AE23)</f>
        <v>0</v>
      </c>
      <c r="AG15" s="17">
        <f>IF('Eurostat EB TJ'!AF23=":",0,'Eurostat EB TJ'!AF23)</f>
        <v>0</v>
      </c>
      <c r="AH15" s="17">
        <f>IF('Eurostat EB TJ'!AG23=":",0,'Eurostat EB TJ'!AG23)</f>
        <v>0</v>
      </c>
      <c r="AI15" s="17">
        <f>IF('Eurostat EB TJ'!AH23=":",0,'Eurostat EB TJ'!AH23)</f>
        <v>0</v>
      </c>
      <c r="AJ15" s="17">
        <f>IF('Eurostat EB TJ'!AI23=":",0,'Eurostat EB TJ'!AI23)</f>
        <v>0</v>
      </c>
      <c r="AK15" s="17">
        <f>IF('Eurostat EB TJ'!AJ23=":",0,'Eurostat EB TJ'!AJ23)</f>
        <v>0</v>
      </c>
      <c r="AL15" s="17">
        <f>IF('Eurostat EB TJ'!AK23=":",0,'Eurostat EB TJ'!AK23)</f>
        <v>0</v>
      </c>
      <c r="AM15" s="17">
        <f>IF('Eurostat EB TJ'!AL23=":",0,'Eurostat EB TJ'!AL23)</f>
        <v>0</v>
      </c>
      <c r="AN15" s="17">
        <f>IF('Eurostat EB TJ'!AM23=":",0,'Eurostat EB TJ'!AM23)</f>
        <v>0</v>
      </c>
      <c r="AO15" s="17">
        <f>IF('Eurostat EB TJ'!AN23=":",0,'Eurostat EB TJ'!AN23)</f>
        <v>0</v>
      </c>
      <c r="AP15" s="17">
        <f>IF('Eurostat EB TJ'!AO23=":",0,'Eurostat EB TJ'!AO23)</f>
        <v>0</v>
      </c>
      <c r="AQ15" s="17">
        <f>IF('Eurostat EB TJ'!AP23=":",0,'Eurostat EB TJ'!AP23)</f>
        <v>0</v>
      </c>
      <c r="AR15" s="17">
        <f>IF('Eurostat EB TJ'!AQ23=":",0,'Eurostat EB TJ'!AQ23)</f>
        <v>0</v>
      </c>
      <c r="AS15" s="17">
        <f>IF('Eurostat EB TJ'!AR23=":",0,'Eurostat EB TJ'!AR23)</f>
        <v>0</v>
      </c>
      <c r="AT15" s="17">
        <f>IF('Eurostat EB TJ'!AS23=":",0,'Eurostat EB TJ'!AS23)</f>
        <v>0</v>
      </c>
      <c r="AU15" s="17">
        <f>IF('Eurostat EB TJ'!AT23=":",0,'Eurostat EB TJ'!AT23)</f>
        <v>0</v>
      </c>
      <c r="AV15" s="17">
        <f>IF('Eurostat EB TJ'!AU23=":",0,'Eurostat EB TJ'!AU23)</f>
        <v>0</v>
      </c>
      <c r="AW15" s="17">
        <f>IF('Eurostat EB TJ'!AV23=":",0,'Eurostat EB TJ'!AV23)</f>
        <v>0</v>
      </c>
      <c r="AX15" s="17">
        <f>IF('Eurostat EB TJ'!AW23=":",0,'Eurostat EB TJ'!AW23)</f>
        <v>0</v>
      </c>
      <c r="AY15" s="17">
        <f>IF('Eurostat EB TJ'!AX23=":",0,'Eurostat EB TJ'!AX23)</f>
        <v>0</v>
      </c>
      <c r="AZ15" s="17">
        <f>IF('Eurostat EB TJ'!AY23=":",0,'Eurostat EB TJ'!AY23)</f>
        <v>0</v>
      </c>
      <c r="BA15" s="17">
        <f>IF('Eurostat EB TJ'!AZ23=":",0,'Eurostat EB TJ'!AZ23)</f>
        <v>0</v>
      </c>
      <c r="BB15" s="17">
        <f>IF('Eurostat EB TJ'!BA23=":",0,'Eurostat EB TJ'!BA23)</f>
        <v>0</v>
      </c>
      <c r="BC15" s="17">
        <f>IF('Eurostat EB TJ'!BB23=":",0,'Eurostat EB TJ'!BB23)</f>
        <v>0</v>
      </c>
      <c r="BD15" s="17">
        <f>IF('Eurostat EB TJ'!BC23=":",0,'Eurostat EB TJ'!BC23)</f>
        <v>0</v>
      </c>
      <c r="BE15" s="17">
        <f>IF('Eurostat EB TJ'!BD23=":",0,'Eurostat EB TJ'!BD23)</f>
        <v>0</v>
      </c>
      <c r="BF15" s="17">
        <f>IF('Eurostat EB TJ'!BE23=":",0,'Eurostat EB TJ'!BE23)</f>
        <v>0</v>
      </c>
      <c r="BG15" s="17">
        <f>IF('Eurostat EB TJ'!BF23=":",0,'Eurostat EB TJ'!BF23)</f>
        <v>0</v>
      </c>
      <c r="BH15" s="17">
        <f>IF('Eurostat EB TJ'!BG23=":",0,'Eurostat EB TJ'!BG23)</f>
        <v>0</v>
      </c>
      <c r="BI15" s="17">
        <f>IF('Eurostat EB TJ'!BH23=":",0,'Eurostat EB TJ'!BH23)</f>
        <v>0</v>
      </c>
      <c r="BJ15" s="17">
        <f>IF('Eurostat EB TJ'!BI23=":",0,'Eurostat EB TJ'!BI23)</f>
        <v>0</v>
      </c>
      <c r="BK15" s="17">
        <f>IF('Eurostat EB TJ'!BJ23=":",0,'Eurostat EB TJ'!BJ23)</f>
        <v>0</v>
      </c>
      <c r="BL15" s="17">
        <f>IF('Eurostat EB TJ'!BK23=":",0,'Eurostat EB TJ'!BK23)</f>
        <v>0</v>
      </c>
      <c r="BM15" s="17">
        <f>IF('Eurostat EB TJ'!BL23=":",0,'Eurostat EB TJ'!BL23)</f>
        <v>0</v>
      </c>
      <c r="BN15" s="17">
        <f>IF('Eurostat EB TJ'!BM23=":",0,'Eurostat EB TJ'!BM23)</f>
        <v>0</v>
      </c>
      <c r="BO15" s="17">
        <f>IF('Eurostat EB TJ'!BN23=":",0,'Eurostat EB TJ'!BN23)</f>
        <v>0</v>
      </c>
      <c r="BP15" s="17">
        <f>IF('Eurostat EB TJ'!BO23=":",0,'Eurostat EB TJ'!BO23)</f>
        <v>0</v>
      </c>
      <c r="BQ15" s="17">
        <f>IF('Eurostat EB TJ'!BP23=":",0,'Eurostat EB TJ'!BP23)</f>
        <v>0</v>
      </c>
      <c r="BR15" s="17">
        <f>IF('Eurostat EB TJ'!BQ23=":",0,'Eurostat EB TJ'!BQ23)</f>
        <v>0</v>
      </c>
      <c r="BS15" s="17">
        <f>IF('Eurostat EB TJ'!BR23=":",0,'Eurostat EB TJ'!BR23)</f>
        <v>0</v>
      </c>
      <c r="BT15" s="17">
        <f>IF('Eurostat EB TJ'!BS23=":",0,'Eurostat EB TJ'!BS23)</f>
        <v>0</v>
      </c>
      <c r="BU15" s="17">
        <f>IF('Eurostat EB TJ'!BT23=":",0,'Eurostat EB TJ'!BT23)</f>
        <v>0</v>
      </c>
      <c r="BV15" s="17">
        <f>IF('Eurostat EB TJ'!BU23=":",0,'Eurostat EB TJ'!BU23)</f>
        <v>0</v>
      </c>
    </row>
    <row r="16" spans="1:74" x14ac:dyDescent="0.2">
      <c r="A16" s="62" t="s">
        <v>389</v>
      </c>
      <c r="B16" s="57" t="s">
        <v>393</v>
      </c>
      <c r="C16" s="57">
        <f>IF('Eurostat EB TJ'!B24=":",0,'Eurostat EB TJ'!B24)</f>
        <v>1715629.72</v>
      </c>
      <c r="D16" s="57">
        <f>IF('Eurostat EB TJ'!C24=":",0,'Eurostat EB TJ'!C24)</f>
        <v>0</v>
      </c>
      <c r="E16" s="57">
        <f>IF('Eurostat EB TJ'!D24=":",0,'Eurostat EB TJ'!D24)</f>
        <v>0</v>
      </c>
      <c r="F16" s="57">
        <f>IF('Eurostat EB TJ'!E24=":",0,'Eurostat EB TJ'!E24)</f>
        <v>0</v>
      </c>
      <c r="G16" s="57">
        <f>IF('Eurostat EB TJ'!F24=":",0,'Eurostat EB TJ'!F24)</f>
        <v>0</v>
      </c>
      <c r="H16" s="57">
        <f>IF('Eurostat EB TJ'!G24=":",0,'Eurostat EB TJ'!G24)</f>
        <v>0</v>
      </c>
      <c r="I16" s="57">
        <f>IF('Eurostat EB TJ'!H24=":",0,'Eurostat EB TJ'!H24)</f>
        <v>0</v>
      </c>
      <c r="J16" s="57">
        <f>IF('Eurostat EB TJ'!I24=":",0,'Eurostat EB TJ'!I24)</f>
        <v>0</v>
      </c>
      <c r="K16" s="57">
        <f>IF('Eurostat EB TJ'!J24=":",0,'Eurostat EB TJ'!J24)</f>
        <v>0</v>
      </c>
      <c r="L16" s="57">
        <f>IF('Eurostat EB TJ'!K24=":",0,'Eurostat EB TJ'!K24)</f>
        <v>0</v>
      </c>
      <c r="M16" s="57">
        <f>IF('Eurostat EB TJ'!L24=":",0,'Eurostat EB TJ'!L24)</f>
        <v>0</v>
      </c>
      <c r="N16" s="57">
        <f>IF('Eurostat EB TJ'!M24=":",0,'Eurostat EB TJ'!M24)</f>
        <v>0</v>
      </c>
      <c r="O16" s="57">
        <f>IF('Eurostat EB TJ'!N24=":",0,'Eurostat EB TJ'!N24)</f>
        <v>0</v>
      </c>
      <c r="P16" s="57">
        <f>IF('Eurostat EB TJ'!O24=":",0,'Eurostat EB TJ'!O24)</f>
        <v>0</v>
      </c>
      <c r="Q16" s="57">
        <f>IF('Eurostat EB TJ'!P24=":",0,'Eurostat EB TJ'!P24)</f>
        <v>0</v>
      </c>
      <c r="R16" s="57">
        <f>IF('Eurostat EB TJ'!Q24=":",0,'Eurostat EB TJ'!Q24)</f>
        <v>0</v>
      </c>
      <c r="S16" s="57">
        <f>IF('Eurostat EB TJ'!R24=":",0,'Eurostat EB TJ'!R24)</f>
        <v>0</v>
      </c>
      <c r="T16" s="57">
        <f>IF('Eurostat EB TJ'!S24=":",0,'Eurostat EB TJ'!S24)</f>
        <v>0</v>
      </c>
      <c r="U16" s="57">
        <f>IF('Eurostat EB TJ'!T24=":",0,'Eurostat EB TJ'!T24)</f>
        <v>0</v>
      </c>
      <c r="V16" s="57">
        <f>IF('Eurostat EB TJ'!U24=":",0,'Eurostat EB TJ'!U24)</f>
        <v>0</v>
      </c>
      <c r="W16" s="57">
        <f>IF('Eurostat EB TJ'!V24=":",0,'Eurostat EB TJ'!V24)</f>
        <v>0</v>
      </c>
      <c r="X16" s="57">
        <f>IF('Eurostat EB TJ'!W24=":",0,'Eurostat EB TJ'!W24)</f>
        <v>0</v>
      </c>
      <c r="Y16" s="57">
        <f>IF('Eurostat EB TJ'!X24=":",0,'Eurostat EB TJ'!X24)</f>
        <v>0</v>
      </c>
      <c r="Z16" s="57">
        <f>IF('Eurostat EB TJ'!Y24=":",0,'Eurostat EB TJ'!Y24)</f>
        <v>0</v>
      </c>
      <c r="AA16" s="57">
        <f>IF('Eurostat EB TJ'!Z24=":",0,'Eurostat EB TJ'!Z24)</f>
        <v>0</v>
      </c>
      <c r="AB16" s="57">
        <f>IF('Eurostat EB TJ'!AA24=":",0,'Eurostat EB TJ'!AA24)</f>
        <v>0</v>
      </c>
      <c r="AC16" s="57">
        <f>IF('Eurostat EB TJ'!AB24=":",0,'Eurostat EB TJ'!AB24)</f>
        <v>0</v>
      </c>
      <c r="AD16" s="57">
        <f>IF('Eurostat EB TJ'!AC24=":",0,'Eurostat EB TJ'!AC24)</f>
        <v>0</v>
      </c>
      <c r="AE16" s="57">
        <f>IF('Eurostat EB TJ'!AD24=":",0,'Eurostat EB TJ'!AD24)</f>
        <v>0</v>
      </c>
      <c r="AF16" s="57">
        <f>IF('Eurostat EB TJ'!AE24=":",0,'Eurostat EB TJ'!AE24)</f>
        <v>0</v>
      </c>
      <c r="AG16" s="57">
        <f>IF('Eurostat EB TJ'!AF24=":",0,'Eurostat EB TJ'!AF24)</f>
        <v>0</v>
      </c>
      <c r="AH16" s="57">
        <f>IF('Eurostat EB TJ'!AG24=":",0,'Eurostat EB TJ'!AG24)</f>
        <v>0</v>
      </c>
      <c r="AI16" s="57">
        <f>IF('Eurostat EB TJ'!AH24=":",0,'Eurostat EB TJ'!AH24)</f>
        <v>0</v>
      </c>
      <c r="AJ16" s="57">
        <f>IF('Eurostat EB TJ'!AI24=":",0,'Eurostat EB TJ'!AI24)</f>
        <v>0</v>
      </c>
      <c r="AK16" s="57">
        <f>IF('Eurostat EB TJ'!AJ24=":",0,'Eurostat EB TJ'!AJ24)</f>
        <v>0</v>
      </c>
      <c r="AL16" s="57">
        <f>IF('Eurostat EB TJ'!AK24=":",0,'Eurostat EB TJ'!AK24)</f>
        <v>0</v>
      </c>
      <c r="AM16" s="57">
        <f>IF('Eurostat EB TJ'!AL24=":",0,'Eurostat EB TJ'!AL24)</f>
        <v>0</v>
      </c>
      <c r="AN16" s="57">
        <f>IF('Eurostat EB TJ'!AM24=":",0,'Eurostat EB TJ'!AM24)</f>
        <v>0</v>
      </c>
      <c r="AO16" s="57">
        <f>IF('Eurostat EB TJ'!AN24=":",0,'Eurostat EB TJ'!AN24)</f>
        <v>0</v>
      </c>
      <c r="AP16" s="57">
        <f>IF('Eurostat EB TJ'!AO24=":",0,'Eurostat EB TJ'!AO24)</f>
        <v>0</v>
      </c>
      <c r="AQ16" s="57">
        <f>IF('Eurostat EB TJ'!AP24=":",0,'Eurostat EB TJ'!AP24)</f>
        <v>0</v>
      </c>
      <c r="AR16" s="57">
        <f>IF('Eurostat EB TJ'!AQ24=":",0,'Eurostat EB TJ'!AQ24)</f>
        <v>0</v>
      </c>
      <c r="AS16" s="57">
        <f>IF('Eurostat EB TJ'!AR24=":",0,'Eurostat EB TJ'!AR24)</f>
        <v>0</v>
      </c>
      <c r="AT16" s="57">
        <f>IF('Eurostat EB TJ'!AS24=":",0,'Eurostat EB TJ'!AS24)</f>
        <v>0</v>
      </c>
      <c r="AU16" s="57">
        <f>IF('Eurostat EB TJ'!AT24=":",0,'Eurostat EB TJ'!AT24)</f>
        <v>0</v>
      </c>
      <c r="AV16" s="57">
        <f>IF('Eurostat EB TJ'!AU24=":",0,'Eurostat EB TJ'!AU24)</f>
        <v>0</v>
      </c>
      <c r="AW16" s="57">
        <f>IF('Eurostat EB TJ'!AV24=":",0,'Eurostat EB TJ'!AV24)</f>
        <v>0</v>
      </c>
      <c r="AX16" s="57">
        <f>IF('Eurostat EB TJ'!AW24=":",0,'Eurostat EB TJ'!AW24)</f>
        <v>0</v>
      </c>
      <c r="AY16" s="57">
        <f>IF('Eurostat EB TJ'!AX24=":",0,'Eurostat EB TJ'!AX24)</f>
        <v>0</v>
      </c>
      <c r="AZ16" s="57">
        <f>IF('Eurostat EB TJ'!AY24=":",0,'Eurostat EB TJ'!AY24)</f>
        <v>0</v>
      </c>
      <c r="BA16" s="57">
        <f>IF('Eurostat EB TJ'!AZ24=":",0,'Eurostat EB TJ'!AZ24)</f>
        <v>0</v>
      </c>
      <c r="BB16" s="57">
        <f>IF('Eurostat EB TJ'!BA24=":",0,'Eurostat EB TJ'!BA24)</f>
        <v>0</v>
      </c>
      <c r="BC16" s="57">
        <f>IF('Eurostat EB TJ'!BB24=":",0,'Eurostat EB TJ'!BB24)</f>
        <v>0</v>
      </c>
      <c r="BD16" s="57">
        <f>IF('Eurostat EB TJ'!BC24=":",0,'Eurostat EB TJ'!BC24)</f>
        <v>0</v>
      </c>
      <c r="BE16" s="57">
        <f>IF('Eurostat EB TJ'!BD24=":",0,'Eurostat EB TJ'!BD24)</f>
        <v>0</v>
      </c>
      <c r="BF16" s="57">
        <f>IF('Eurostat EB TJ'!BE24=":",0,'Eurostat EB TJ'!BE24)</f>
        <v>0</v>
      </c>
      <c r="BG16" s="57">
        <f>IF('Eurostat EB TJ'!BF24=":",0,'Eurostat EB TJ'!BF24)</f>
        <v>0</v>
      </c>
      <c r="BH16" s="57">
        <f>IF('Eurostat EB TJ'!BG24=":",0,'Eurostat EB TJ'!BG24)</f>
        <v>0</v>
      </c>
      <c r="BI16" s="57">
        <f>IF('Eurostat EB TJ'!BH24=":",0,'Eurostat EB TJ'!BH24)</f>
        <v>0</v>
      </c>
      <c r="BJ16" s="57">
        <f>IF('Eurostat EB TJ'!BI24=":",0,'Eurostat EB TJ'!BI24)</f>
        <v>0</v>
      </c>
      <c r="BK16" s="57">
        <f>IF('Eurostat EB TJ'!BJ24=":",0,'Eurostat EB TJ'!BJ24)</f>
        <v>0</v>
      </c>
      <c r="BL16" s="57">
        <f>IF('Eurostat EB TJ'!BK24=":",0,'Eurostat EB TJ'!BK24)</f>
        <v>0</v>
      </c>
      <c r="BM16" s="57">
        <f>IF('Eurostat EB TJ'!BL24=":",0,'Eurostat EB TJ'!BL24)</f>
        <v>0</v>
      </c>
      <c r="BN16" s="57">
        <f>IF('Eurostat EB TJ'!BM24=":",0,'Eurostat EB TJ'!BM24)</f>
        <v>0</v>
      </c>
      <c r="BO16" s="57">
        <f>IF('Eurostat EB TJ'!BN24=":",0,'Eurostat EB TJ'!BN24)</f>
        <v>0</v>
      </c>
      <c r="BP16" s="57">
        <f>IF('Eurostat EB TJ'!BO24=":",0,'Eurostat EB TJ'!BO24)</f>
        <v>0</v>
      </c>
      <c r="BQ16" s="57">
        <f>IF('Eurostat EB TJ'!BP24=":",0,'Eurostat EB TJ'!BP24)</f>
        <v>0</v>
      </c>
      <c r="BR16" s="57">
        <f>IF('Eurostat EB TJ'!BQ24=":",0,'Eurostat EB TJ'!BQ24)</f>
        <v>0</v>
      </c>
      <c r="BS16" s="57">
        <f>IF('Eurostat EB TJ'!BR24=":",0,'Eurostat EB TJ'!BR24)</f>
        <v>0</v>
      </c>
      <c r="BT16" s="57">
        <f>IF('Eurostat EB TJ'!BS24=":",0,'Eurostat EB TJ'!BS24)</f>
        <v>0</v>
      </c>
      <c r="BU16" s="57">
        <f>IF('Eurostat EB TJ'!BT24=":",0,'Eurostat EB TJ'!BT24)</f>
        <v>0</v>
      </c>
      <c r="BV16" s="57">
        <f>IF('Eurostat EB TJ'!BU24=":",0,'Eurostat EB TJ'!BU24)</f>
        <v>0</v>
      </c>
    </row>
    <row r="17" spans="1:74" x14ac:dyDescent="0.2">
      <c r="A17" s="62" t="s">
        <v>82</v>
      </c>
      <c r="B17" s="17" t="s">
        <v>393</v>
      </c>
      <c r="C17" s="17">
        <f>IF('Eurostat EB TJ'!B25=":",0,'Eurostat EB TJ'!B25)</f>
        <v>0</v>
      </c>
      <c r="D17" s="17">
        <f>IF('Eurostat EB TJ'!C25=":",0,'Eurostat EB TJ'!C25)</f>
        <v>0</v>
      </c>
      <c r="E17" s="17">
        <f>IF('Eurostat EB TJ'!D25=":",0,'Eurostat EB TJ'!D25)</f>
        <v>0</v>
      </c>
      <c r="F17" s="17">
        <f>IF('Eurostat EB TJ'!E25=":",0,'Eurostat EB TJ'!E25)</f>
        <v>0</v>
      </c>
      <c r="G17" s="17">
        <f>IF('Eurostat EB TJ'!F25=":",0,'Eurostat EB TJ'!F25)</f>
        <v>0</v>
      </c>
      <c r="H17" s="17">
        <f>IF('Eurostat EB TJ'!G25=":",0,'Eurostat EB TJ'!G25)</f>
        <v>0</v>
      </c>
      <c r="I17" s="17">
        <f>IF('Eurostat EB TJ'!H25=":",0,'Eurostat EB TJ'!H25)</f>
        <v>0</v>
      </c>
      <c r="J17" s="17">
        <f>IF('Eurostat EB TJ'!I25=":",0,'Eurostat EB TJ'!I25)</f>
        <v>0</v>
      </c>
      <c r="K17" s="17">
        <f>IF('Eurostat EB TJ'!J25=":",0,'Eurostat EB TJ'!J25)</f>
        <v>0</v>
      </c>
      <c r="L17" s="17">
        <f>IF('Eurostat EB TJ'!K25=":",0,'Eurostat EB TJ'!K25)</f>
        <v>0</v>
      </c>
      <c r="M17" s="17">
        <f>IF('Eurostat EB TJ'!L25=":",0,'Eurostat EB TJ'!L25)</f>
        <v>0</v>
      </c>
      <c r="N17" s="17">
        <f>IF('Eurostat EB TJ'!M25=":",0,'Eurostat EB TJ'!M25)</f>
        <v>0</v>
      </c>
      <c r="O17" s="17">
        <f>IF('Eurostat EB TJ'!N25=":",0,'Eurostat EB TJ'!N25)</f>
        <v>0</v>
      </c>
      <c r="P17" s="17">
        <f>IF('Eurostat EB TJ'!O25=":",0,'Eurostat EB TJ'!O25)</f>
        <v>0</v>
      </c>
      <c r="Q17" s="17">
        <f>IF('Eurostat EB TJ'!P25=":",0,'Eurostat EB TJ'!P25)</f>
        <v>0</v>
      </c>
      <c r="R17" s="17">
        <f>IF('Eurostat EB TJ'!Q25=":",0,'Eurostat EB TJ'!Q25)</f>
        <v>0</v>
      </c>
      <c r="S17" s="17">
        <f>IF('Eurostat EB TJ'!R25=":",0,'Eurostat EB TJ'!R25)</f>
        <v>0</v>
      </c>
      <c r="T17" s="17">
        <f>IF('Eurostat EB TJ'!S25=":",0,'Eurostat EB TJ'!S25)</f>
        <v>0</v>
      </c>
      <c r="U17" s="17">
        <f>IF('Eurostat EB TJ'!T25=":",0,'Eurostat EB TJ'!T25)</f>
        <v>0</v>
      </c>
      <c r="V17" s="17">
        <f>IF('Eurostat EB TJ'!U25=":",0,'Eurostat EB TJ'!U25)</f>
        <v>0</v>
      </c>
      <c r="W17" s="17">
        <f>IF('Eurostat EB TJ'!V25=":",0,'Eurostat EB TJ'!V25)</f>
        <v>0</v>
      </c>
      <c r="X17" s="17">
        <f>IF('Eurostat EB TJ'!W25=":",0,'Eurostat EB TJ'!W25)</f>
        <v>0</v>
      </c>
      <c r="Y17" s="17">
        <f>IF('Eurostat EB TJ'!X25=":",0,'Eurostat EB TJ'!X25)</f>
        <v>0</v>
      </c>
      <c r="Z17" s="17">
        <f>IF('Eurostat EB TJ'!Y25=":",0,'Eurostat EB TJ'!Y25)</f>
        <v>0</v>
      </c>
      <c r="AA17" s="17">
        <f>IF('Eurostat EB TJ'!Z25=":",0,'Eurostat EB TJ'!Z25)</f>
        <v>0</v>
      </c>
      <c r="AB17" s="17">
        <f>IF('Eurostat EB TJ'!AA25=":",0,'Eurostat EB TJ'!AA25)</f>
        <v>0</v>
      </c>
      <c r="AC17" s="17">
        <f>IF('Eurostat EB TJ'!AB25=":",0,'Eurostat EB TJ'!AB25)</f>
        <v>0</v>
      </c>
      <c r="AD17" s="17">
        <f>IF('Eurostat EB TJ'!AC25=":",0,'Eurostat EB TJ'!AC25)</f>
        <v>0</v>
      </c>
      <c r="AE17" s="17">
        <f>IF('Eurostat EB TJ'!AD25=":",0,'Eurostat EB TJ'!AD25)</f>
        <v>0</v>
      </c>
      <c r="AF17" s="17">
        <f>IF('Eurostat EB TJ'!AE25=":",0,'Eurostat EB TJ'!AE25)</f>
        <v>0</v>
      </c>
      <c r="AG17" s="17">
        <f>IF('Eurostat EB TJ'!AF25=":",0,'Eurostat EB TJ'!AF25)</f>
        <v>0</v>
      </c>
      <c r="AH17" s="17">
        <f>IF('Eurostat EB TJ'!AG25=":",0,'Eurostat EB TJ'!AG25)</f>
        <v>0</v>
      </c>
      <c r="AI17" s="17">
        <f>IF('Eurostat EB TJ'!AH25=":",0,'Eurostat EB TJ'!AH25)</f>
        <v>0</v>
      </c>
      <c r="AJ17" s="17">
        <f>IF('Eurostat EB TJ'!AI25=":",0,'Eurostat EB TJ'!AI25)</f>
        <v>0</v>
      </c>
      <c r="AK17" s="17">
        <f>IF('Eurostat EB TJ'!AJ25=":",0,'Eurostat EB TJ'!AJ25)</f>
        <v>0</v>
      </c>
      <c r="AL17" s="17">
        <f>IF('Eurostat EB TJ'!AK25=":",0,'Eurostat EB TJ'!AK25)</f>
        <v>0</v>
      </c>
      <c r="AM17" s="17">
        <f>IF('Eurostat EB TJ'!AL25=":",0,'Eurostat EB TJ'!AL25)</f>
        <v>0</v>
      </c>
      <c r="AN17" s="17">
        <f>IF('Eurostat EB TJ'!AM25=":",0,'Eurostat EB TJ'!AM25)</f>
        <v>0</v>
      </c>
      <c r="AO17" s="17">
        <f>IF('Eurostat EB TJ'!AN25=":",0,'Eurostat EB TJ'!AN25)</f>
        <v>0</v>
      </c>
      <c r="AP17" s="17">
        <f>IF('Eurostat EB TJ'!AO25=":",0,'Eurostat EB TJ'!AO25)</f>
        <v>0</v>
      </c>
      <c r="AQ17" s="17">
        <f>IF('Eurostat EB TJ'!AP25=":",0,'Eurostat EB TJ'!AP25)</f>
        <v>0</v>
      </c>
      <c r="AR17" s="17">
        <f>IF('Eurostat EB TJ'!AQ25=":",0,'Eurostat EB TJ'!AQ25)</f>
        <v>0</v>
      </c>
      <c r="AS17" s="17">
        <f>IF('Eurostat EB TJ'!AR25=":",0,'Eurostat EB TJ'!AR25)</f>
        <v>0</v>
      </c>
      <c r="AT17" s="17">
        <f>IF('Eurostat EB TJ'!AS25=":",0,'Eurostat EB TJ'!AS25)</f>
        <v>0</v>
      </c>
      <c r="AU17" s="17">
        <f>IF('Eurostat EB TJ'!AT25=":",0,'Eurostat EB TJ'!AT25)</f>
        <v>0</v>
      </c>
      <c r="AV17" s="17">
        <f>IF('Eurostat EB TJ'!AU25=":",0,'Eurostat EB TJ'!AU25)</f>
        <v>0</v>
      </c>
      <c r="AW17" s="17">
        <f>IF('Eurostat EB TJ'!AV25=":",0,'Eurostat EB TJ'!AV25)</f>
        <v>0</v>
      </c>
      <c r="AX17" s="17">
        <f>IF('Eurostat EB TJ'!AW25=":",0,'Eurostat EB TJ'!AW25)</f>
        <v>0</v>
      </c>
      <c r="AY17" s="17">
        <f>IF('Eurostat EB TJ'!AX25=":",0,'Eurostat EB TJ'!AX25)</f>
        <v>0</v>
      </c>
      <c r="AZ17" s="17">
        <f>IF('Eurostat EB TJ'!AY25=":",0,'Eurostat EB TJ'!AY25)</f>
        <v>0</v>
      </c>
      <c r="BA17" s="17">
        <f>IF('Eurostat EB TJ'!AZ25=":",0,'Eurostat EB TJ'!AZ25)</f>
        <v>0</v>
      </c>
      <c r="BB17" s="17">
        <f>IF('Eurostat EB TJ'!BA25=":",0,'Eurostat EB TJ'!BA25)</f>
        <v>0</v>
      </c>
      <c r="BC17" s="17">
        <f>IF('Eurostat EB TJ'!BB25=":",0,'Eurostat EB TJ'!BB25)</f>
        <v>0</v>
      </c>
      <c r="BD17" s="17">
        <f>IF('Eurostat EB TJ'!BC25=":",0,'Eurostat EB TJ'!BC25)</f>
        <v>0</v>
      </c>
      <c r="BE17" s="17">
        <f>IF('Eurostat EB TJ'!BD25=":",0,'Eurostat EB TJ'!BD25)</f>
        <v>0</v>
      </c>
      <c r="BF17" s="17">
        <f>IF('Eurostat EB TJ'!BE25=":",0,'Eurostat EB TJ'!BE25)</f>
        <v>0</v>
      </c>
      <c r="BG17" s="17">
        <f>IF('Eurostat EB TJ'!BF25=":",0,'Eurostat EB TJ'!BF25)</f>
        <v>0</v>
      </c>
      <c r="BH17" s="17">
        <f>IF('Eurostat EB TJ'!BG25=":",0,'Eurostat EB TJ'!BG25)</f>
        <v>0</v>
      </c>
      <c r="BI17" s="17">
        <f>IF('Eurostat EB TJ'!BH25=":",0,'Eurostat EB TJ'!BH25)</f>
        <v>0</v>
      </c>
      <c r="BJ17" s="17">
        <f>IF('Eurostat EB TJ'!BI25=":",0,'Eurostat EB TJ'!BI25)</f>
        <v>0</v>
      </c>
      <c r="BK17" s="17">
        <f>IF('Eurostat EB TJ'!BJ25=":",0,'Eurostat EB TJ'!BJ25)</f>
        <v>0</v>
      </c>
      <c r="BL17" s="17">
        <f>IF('Eurostat EB TJ'!BK25=":",0,'Eurostat EB TJ'!BK25)</f>
        <v>0</v>
      </c>
      <c r="BM17" s="17">
        <f>IF('Eurostat EB TJ'!BL25=":",0,'Eurostat EB TJ'!BL25)</f>
        <v>0</v>
      </c>
      <c r="BN17" s="17">
        <f>IF('Eurostat EB TJ'!BM25=":",0,'Eurostat EB TJ'!BM25)</f>
        <v>0</v>
      </c>
      <c r="BO17" s="17">
        <f>IF('Eurostat EB TJ'!BN25=":",0,'Eurostat EB TJ'!BN25)</f>
        <v>0</v>
      </c>
      <c r="BP17" s="17">
        <f>IF('Eurostat EB TJ'!BO25=":",0,'Eurostat EB TJ'!BO25)</f>
        <v>0</v>
      </c>
      <c r="BQ17" s="17">
        <f>IF('Eurostat EB TJ'!BP25=":",0,'Eurostat EB TJ'!BP25)</f>
        <v>0</v>
      </c>
      <c r="BR17" s="17">
        <f>IF('Eurostat EB TJ'!BQ25=":",0,'Eurostat EB TJ'!BQ25)</f>
        <v>0</v>
      </c>
      <c r="BS17" s="17">
        <f>IF('Eurostat EB TJ'!BR25=":",0,'Eurostat EB TJ'!BR25)</f>
        <v>0</v>
      </c>
      <c r="BT17" s="17">
        <f>IF('Eurostat EB TJ'!BS25=":",0,'Eurostat EB TJ'!BS25)</f>
        <v>0</v>
      </c>
      <c r="BU17" s="17">
        <f>IF('Eurostat EB TJ'!BT25=":",0,'Eurostat EB TJ'!BT25)</f>
        <v>0</v>
      </c>
      <c r="BV17" s="17">
        <f>IF('Eurostat EB TJ'!BU25=":",0,'Eurostat EB TJ'!BU25)</f>
        <v>0</v>
      </c>
    </row>
    <row r="18" spans="1:74" x14ac:dyDescent="0.2">
      <c r="A18" s="62" t="s">
        <v>83</v>
      </c>
      <c r="B18" s="57" t="s">
        <v>393</v>
      </c>
      <c r="C18" s="57">
        <f>IF('Eurostat EB TJ'!B26=":",0,'Eurostat EB TJ'!B26)</f>
        <v>0</v>
      </c>
      <c r="D18" s="57">
        <f>IF('Eurostat EB TJ'!C26=":",0,'Eurostat EB TJ'!C26)</f>
        <v>0</v>
      </c>
      <c r="E18" s="57">
        <f>IF('Eurostat EB TJ'!D26=":",0,'Eurostat EB TJ'!D26)</f>
        <v>0</v>
      </c>
      <c r="F18" s="57">
        <f>IF('Eurostat EB TJ'!E26=":",0,'Eurostat EB TJ'!E26)</f>
        <v>0</v>
      </c>
      <c r="G18" s="57">
        <f>IF('Eurostat EB TJ'!F26=":",0,'Eurostat EB TJ'!F26)</f>
        <v>0</v>
      </c>
      <c r="H18" s="57">
        <f>IF('Eurostat EB TJ'!G26=":",0,'Eurostat EB TJ'!G26)</f>
        <v>0</v>
      </c>
      <c r="I18" s="57">
        <f>IF('Eurostat EB TJ'!H26=":",0,'Eurostat EB TJ'!H26)</f>
        <v>0</v>
      </c>
      <c r="J18" s="57">
        <f>IF('Eurostat EB TJ'!I26=":",0,'Eurostat EB TJ'!I26)</f>
        <v>0</v>
      </c>
      <c r="K18" s="57">
        <f>IF('Eurostat EB TJ'!J26=":",0,'Eurostat EB TJ'!J26)</f>
        <v>0</v>
      </c>
      <c r="L18" s="57">
        <f>IF('Eurostat EB TJ'!K26=":",0,'Eurostat EB TJ'!K26)</f>
        <v>0</v>
      </c>
      <c r="M18" s="57">
        <f>IF('Eurostat EB TJ'!L26=":",0,'Eurostat EB TJ'!L26)</f>
        <v>0</v>
      </c>
      <c r="N18" s="57">
        <f>IF('Eurostat EB TJ'!M26=":",0,'Eurostat EB TJ'!M26)</f>
        <v>0</v>
      </c>
      <c r="O18" s="57">
        <f>IF('Eurostat EB TJ'!N26=":",0,'Eurostat EB TJ'!N26)</f>
        <v>0</v>
      </c>
      <c r="P18" s="57">
        <f>IF('Eurostat EB TJ'!O26=":",0,'Eurostat EB TJ'!O26)</f>
        <v>0</v>
      </c>
      <c r="Q18" s="57">
        <f>IF('Eurostat EB TJ'!P26=":",0,'Eurostat EB TJ'!P26)</f>
        <v>0</v>
      </c>
      <c r="R18" s="57">
        <f>IF('Eurostat EB TJ'!Q26=":",0,'Eurostat EB TJ'!Q26)</f>
        <v>0</v>
      </c>
      <c r="S18" s="57">
        <f>IF('Eurostat EB TJ'!R26=":",0,'Eurostat EB TJ'!R26)</f>
        <v>0</v>
      </c>
      <c r="T18" s="57">
        <f>IF('Eurostat EB TJ'!S26=":",0,'Eurostat EB TJ'!S26)</f>
        <v>0</v>
      </c>
      <c r="U18" s="57">
        <f>IF('Eurostat EB TJ'!T26=":",0,'Eurostat EB TJ'!T26)</f>
        <v>0</v>
      </c>
      <c r="V18" s="57">
        <f>IF('Eurostat EB TJ'!U26=":",0,'Eurostat EB TJ'!U26)</f>
        <v>0</v>
      </c>
      <c r="W18" s="57">
        <f>IF('Eurostat EB TJ'!V26=":",0,'Eurostat EB TJ'!V26)</f>
        <v>0</v>
      </c>
      <c r="X18" s="57">
        <f>IF('Eurostat EB TJ'!W26=":",0,'Eurostat EB TJ'!W26)</f>
        <v>0</v>
      </c>
      <c r="Y18" s="57">
        <f>IF('Eurostat EB TJ'!X26=":",0,'Eurostat EB TJ'!X26)</f>
        <v>0</v>
      </c>
      <c r="Z18" s="57">
        <f>IF('Eurostat EB TJ'!Y26=":",0,'Eurostat EB TJ'!Y26)</f>
        <v>0</v>
      </c>
      <c r="AA18" s="57">
        <f>IF('Eurostat EB TJ'!Z26=":",0,'Eurostat EB TJ'!Z26)</f>
        <v>0</v>
      </c>
      <c r="AB18" s="57">
        <f>IF('Eurostat EB TJ'!AA26=":",0,'Eurostat EB TJ'!AA26)</f>
        <v>0</v>
      </c>
      <c r="AC18" s="57">
        <f>IF('Eurostat EB TJ'!AB26=":",0,'Eurostat EB TJ'!AB26)</f>
        <v>0</v>
      </c>
      <c r="AD18" s="57">
        <f>IF('Eurostat EB TJ'!AC26=":",0,'Eurostat EB TJ'!AC26)</f>
        <v>0</v>
      </c>
      <c r="AE18" s="57">
        <f>IF('Eurostat EB TJ'!AD26=":",0,'Eurostat EB TJ'!AD26)</f>
        <v>0</v>
      </c>
      <c r="AF18" s="57">
        <f>IF('Eurostat EB TJ'!AE26=":",0,'Eurostat EB TJ'!AE26)</f>
        <v>0</v>
      </c>
      <c r="AG18" s="57">
        <f>IF('Eurostat EB TJ'!AF26=":",0,'Eurostat EB TJ'!AF26)</f>
        <v>0</v>
      </c>
      <c r="AH18" s="57">
        <f>IF('Eurostat EB TJ'!AG26=":",0,'Eurostat EB TJ'!AG26)</f>
        <v>0</v>
      </c>
      <c r="AI18" s="57">
        <f>IF('Eurostat EB TJ'!AH26=":",0,'Eurostat EB TJ'!AH26)</f>
        <v>0</v>
      </c>
      <c r="AJ18" s="57">
        <f>IF('Eurostat EB TJ'!AI26=":",0,'Eurostat EB TJ'!AI26)</f>
        <v>0</v>
      </c>
      <c r="AK18" s="57">
        <f>IF('Eurostat EB TJ'!AJ26=":",0,'Eurostat EB TJ'!AJ26)</f>
        <v>0</v>
      </c>
      <c r="AL18" s="57">
        <f>IF('Eurostat EB TJ'!AK26=":",0,'Eurostat EB TJ'!AK26)</f>
        <v>0</v>
      </c>
      <c r="AM18" s="57">
        <f>IF('Eurostat EB TJ'!AL26=":",0,'Eurostat EB TJ'!AL26)</f>
        <v>0</v>
      </c>
      <c r="AN18" s="57">
        <f>IF('Eurostat EB TJ'!AM26=":",0,'Eurostat EB TJ'!AM26)</f>
        <v>0</v>
      </c>
      <c r="AO18" s="57">
        <f>IF('Eurostat EB TJ'!AN26=":",0,'Eurostat EB TJ'!AN26)</f>
        <v>0</v>
      </c>
      <c r="AP18" s="57">
        <f>IF('Eurostat EB TJ'!AO26=":",0,'Eurostat EB TJ'!AO26)</f>
        <v>0</v>
      </c>
      <c r="AQ18" s="57">
        <f>IF('Eurostat EB TJ'!AP26=":",0,'Eurostat EB TJ'!AP26)</f>
        <v>0</v>
      </c>
      <c r="AR18" s="57">
        <f>IF('Eurostat EB TJ'!AQ26=":",0,'Eurostat EB TJ'!AQ26)</f>
        <v>0</v>
      </c>
      <c r="AS18" s="57">
        <f>IF('Eurostat EB TJ'!AR26=":",0,'Eurostat EB TJ'!AR26)</f>
        <v>0</v>
      </c>
      <c r="AT18" s="57">
        <f>IF('Eurostat EB TJ'!AS26=":",0,'Eurostat EB TJ'!AS26)</f>
        <v>0</v>
      </c>
      <c r="AU18" s="57">
        <f>IF('Eurostat EB TJ'!AT26=":",0,'Eurostat EB TJ'!AT26)</f>
        <v>0</v>
      </c>
      <c r="AV18" s="57">
        <f>IF('Eurostat EB TJ'!AU26=":",0,'Eurostat EB TJ'!AU26)</f>
        <v>0</v>
      </c>
      <c r="AW18" s="57">
        <f>IF('Eurostat EB TJ'!AV26=":",0,'Eurostat EB TJ'!AV26)</f>
        <v>0</v>
      </c>
      <c r="AX18" s="57">
        <f>IF('Eurostat EB TJ'!AW26=":",0,'Eurostat EB TJ'!AW26)</f>
        <v>0</v>
      </c>
      <c r="AY18" s="57">
        <f>IF('Eurostat EB TJ'!AX26=":",0,'Eurostat EB TJ'!AX26)</f>
        <v>0</v>
      </c>
      <c r="AZ18" s="57">
        <f>IF('Eurostat EB TJ'!AY26=":",0,'Eurostat EB TJ'!AY26)</f>
        <v>0</v>
      </c>
      <c r="BA18" s="57">
        <f>IF('Eurostat EB TJ'!AZ26=":",0,'Eurostat EB TJ'!AZ26)</f>
        <v>0</v>
      </c>
      <c r="BB18" s="57">
        <f>IF('Eurostat EB TJ'!BA26=":",0,'Eurostat EB TJ'!BA26)</f>
        <v>0</v>
      </c>
      <c r="BC18" s="57">
        <f>IF('Eurostat EB TJ'!BB26=":",0,'Eurostat EB TJ'!BB26)</f>
        <v>0</v>
      </c>
      <c r="BD18" s="57">
        <f>IF('Eurostat EB TJ'!BC26=":",0,'Eurostat EB TJ'!BC26)</f>
        <v>0</v>
      </c>
      <c r="BE18" s="57">
        <f>IF('Eurostat EB TJ'!BD26=":",0,'Eurostat EB TJ'!BD26)</f>
        <v>0</v>
      </c>
      <c r="BF18" s="57">
        <f>IF('Eurostat EB TJ'!BE26=":",0,'Eurostat EB TJ'!BE26)</f>
        <v>0</v>
      </c>
      <c r="BG18" s="57">
        <f>IF('Eurostat EB TJ'!BF26=":",0,'Eurostat EB TJ'!BF26)</f>
        <v>0</v>
      </c>
      <c r="BH18" s="57">
        <f>IF('Eurostat EB TJ'!BG26=":",0,'Eurostat EB TJ'!BG26)</f>
        <v>0</v>
      </c>
      <c r="BI18" s="57">
        <f>IF('Eurostat EB TJ'!BH26=":",0,'Eurostat EB TJ'!BH26)</f>
        <v>0</v>
      </c>
      <c r="BJ18" s="57">
        <f>IF('Eurostat EB TJ'!BI26=":",0,'Eurostat EB TJ'!BI26)</f>
        <v>0</v>
      </c>
      <c r="BK18" s="57">
        <f>IF('Eurostat EB TJ'!BJ26=":",0,'Eurostat EB TJ'!BJ26)</f>
        <v>0</v>
      </c>
      <c r="BL18" s="57">
        <f>IF('Eurostat EB TJ'!BK26=":",0,'Eurostat EB TJ'!BK26)</f>
        <v>0</v>
      </c>
      <c r="BM18" s="57">
        <f>IF('Eurostat EB TJ'!BL26=":",0,'Eurostat EB TJ'!BL26)</f>
        <v>0</v>
      </c>
      <c r="BN18" s="57">
        <f>IF('Eurostat EB TJ'!BM26=":",0,'Eurostat EB TJ'!BM26)</f>
        <v>0</v>
      </c>
      <c r="BO18" s="57">
        <f>IF('Eurostat EB TJ'!BN26=":",0,'Eurostat EB TJ'!BN26)</f>
        <v>0</v>
      </c>
      <c r="BP18" s="57">
        <f>IF('Eurostat EB TJ'!BO26=":",0,'Eurostat EB TJ'!BO26)</f>
        <v>0</v>
      </c>
      <c r="BQ18" s="57">
        <f>IF('Eurostat EB TJ'!BP26=":",0,'Eurostat EB TJ'!BP26)</f>
        <v>0</v>
      </c>
      <c r="BR18" s="57">
        <f>IF('Eurostat EB TJ'!BQ26=":",0,'Eurostat EB TJ'!BQ26)</f>
        <v>0</v>
      </c>
      <c r="BS18" s="57">
        <f>IF('Eurostat EB TJ'!BR26=":",0,'Eurostat EB TJ'!BR26)</f>
        <v>0</v>
      </c>
      <c r="BT18" s="57">
        <f>IF('Eurostat EB TJ'!BS26=":",0,'Eurostat EB TJ'!BS26)</f>
        <v>0</v>
      </c>
      <c r="BU18" s="57">
        <f>IF('Eurostat EB TJ'!BT26=":",0,'Eurostat EB TJ'!BT26)</f>
        <v>0</v>
      </c>
      <c r="BV18" s="57">
        <f>IF('Eurostat EB TJ'!BU26=":",0,'Eurostat EB TJ'!BU26)</f>
        <v>0</v>
      </c>
    </row>
    <row r="19" spans="1:74" x14ac:dyDescent="0.2">
      <c r="A19" s="62" t="s">
        <v>84</v>
      </c>
      <c r="B19" s="17" t="s">
        <v>393</v>
      </c>
      <c r="C19" s="17">
        <f>IF('Eurostat EB TJ'!B27=":",0,'Eurostat EB TJ'!B27)</f>
        <v>0</v>
      </c>
      <c r="D19" s="17">
        <f>IF('Eurostat EB TJ'!C27=":",0,'Eurostat EB TJ'!C27)</f>
        <v>0</v>
      </c>
      <c r="E19" s="17">
        <f>IF('Eurostat EB TJ'!D27=":",0,'Eurostat EB TJ'!D27)</f>
        <v>0</v>
      </c>
      <c r="F19" s="17">
        <f>IF('Eurostat EB TJ'!E27=":",0,'Eurostat EB TJ'!E27)</f>
        <v>0</v>
      </c>
      <c r="G19" s="17">
        <f>IF('Eurostat EB TJ'!F27=":",0,'Eurostat EB TJ'!F27)</f>
        <v>0</v>
      </c>
      <c r="H19" s="17">
        <f>IF('Eurostat EB TJ'!G27=":",0,'Eurostat EB TJ'!G27)</f>
        <v>0</v>
      </c>
      <c r="I19" s="17">
        <f>IF('Eurostat EB TJ'!H27=":",0,'Eurostat EB TJ'!H27)</f>
        <v>0</v>
      </c>
      <c r="J19" s="17">
        <f>IF('Eurostat EB TJ'!I27=":",0,'Eurostat EB TJ'!I27)</f>
        <v>0</v>
      </c>
      <c r="K19" s="17">
        <f>IF('Eurostat EB TJ'!J27=":",0,'Eurostat EB TJ'!J27)</f>
        <v>0</v>
      </c>
      <c r="L19" s="17">
        <f>IF('Eurostat EB TJ'!K27=":",0,'Eurostat EB TJ'!K27)</f>
        <v>0</v>
      </c>
      <c r="M19" s="17">
        <f>IF('Eurostat EB TJ'!L27=":",0,'Eurostat EB TJ'!L27)</f>
        <v>0</v>
      </c>
      <c r="N19" s="17">
        <f>IF('Eurostat EB TJ'!M27=":",0,'Eurostat EB TJ'!M27)</f>
        <v>0</v>
      </c>
      <c r="O19" s="17">
        <f>IF('Eurostat EB TJ'!N27=":",0,'Eurostat EB TJ'!N27)</f>
        <v>0</v>
      </c>
      <c r="P19" s="17">
        <f>IF('Eurostat EB TJ'!O27=":",0,'Eurostat EB TJ'!O27)</f>
        <v>0</v>
      </c>
      <c r="Q19" s="17">
        <f>IF('Eurostat EB TJ'!P27=":",0,'Eurostat EB TJ'!P27)</f>
        <v>0</v>
      </c>
      <c r="R19" s="17">
        <f>IF('Eurostat EB TJ'!Q27=":",0,'Eurostat EB TJ'!Q27)</f>
        <v>0</v>
      </c>
      <c r="S19" s="17">
        <f>IF('Eurostat EB TJ'!R27=":",0,'Eurostat EB TJ'!R27)</f>
        <v>0</v>
      </c>
      <c r="T19" s="17">
        <f>IF('Eurostat EB TJ'!S27=":",0,'Eurostat EB TJ'!S27)</f>
        <v>0</v>
      </c>
      <c r="U19" s="17">
        <f>IF('Eurostat EB TJ'!T27=":",0,'Eurostat EB TJ'!T27)</f>
        <v>0</v>
      </c>
      <c r="V19" s="17">
        <f>IF('Eurostat EB TJ'!U27=":",0,'Eurostat EB TJ'!U27)</f>
        <v>0</v>
      </c>
      <c r="W19" s="17">
        <f>IF('Eurostat EB TJ'!V27=":",0,'Eurostat EB TJ'!V27)</f>
        <v>0</v>
      </c>
      <c r="X19" s="17">
        <f>IF('Eurostat EB TJ'!W27=":",0,'Eurostat EB TJ'!W27)</f>
        <v>0</v>
      </c>
      <c r="Y19" s="17">
        <f>IF('Eurostat EB TJ'!X27=":",0,'Eurostat EB TJ'!X27)</f>
        <v>0</v>
      </c>
      <c r="Z19" s="17">
        <f>IF('Eurostat EB TJ'!Y27=":",0,'Eurostat EB TJ'!Y27)</f>
        <v>0</v>
      </c>
      <c r="AA19" s="17">
        <f>IF('Eurostat EB TJ'!Z27=":",0,'Eurostat EB TJ'!Z27)</f>
        <v>0</v>
      </c>
      <c r="AB19" s="17">
        <f>IF('Eurostat EB TJ'!AA27=":",0,'Eurostat EB TJ'!AA27)</f>
        <v>0</v>
      </c>
      <c r="AC19" s="17">
        <f>IF('Eurostat EB TJ'!AB27=":",0,'Eurostat EB TJ'!AB27)</f>
        <v>0</v>
      </c>
      <c r="AD19" s="17">
        <f>IF('Eurostat EB TJ'!AC27=":",0,'Eurostat EB TJ'!AC27)</f>
        <v>0</v>
      </c>
      <c r="AE19" s="17">
        <f>IF('Eurostat EB TJ'!AD27=":",0,'Eurostat EB TJ'!AD27)</f>
        <v>0</v>
      </c>
      <c r="AF19" s="17">
        <f>IF('Eurostat EB TJ'!AE27=":",0,'Eurostat EB TJ'!AE27)</f>
        <v>0</v>
      </c>
      <c r="AG19" s="17">
        <f>IF('Eurostat EB TJ'!AF27=":",0,'Eurostat EB TJ'!AF27)</f>
        <v>0</v>
      </c>
      <c r="AH19" s="17">
        <f>IF('Eurostat EB TJ'!AG27=":",0,'Eurostat EB TJ'!AG27)</f>
        <v>0</v>
      </c>
      <c r="AI19" s="17">
        <f>IF('Eurostat EB TJ'!AH27=":",0,'Eurostat EB TJ'!AH27)</f>
        <v>0</v>
      </c>
      <c r="AJ19" s="17">
        <f>IF('Eurostat EB TJ'!AI27=":",0,'Eurostat EB TJ'!AI27)</f>
        <v>0</v>
      </c>
      <c r="AK19" s="17">
        <f>IF('Eurostat EB TJ'!AJ27=":",0,'Eurostat EB TJ'!AJ27)</f>
        <v>0</v>
      </c>
      <c r="AL19" s="17">
        <f>IF('Eurostat EB TJ'!AK27=":",0,'Eurostat EB TJ'!AK27)</f>
        <v>0</v>
      </c>
      <c r="AM19" s="17">
        <f>IF('Eurostat EB TJ'!AL27=":",0,'Eurostat EB TJ'!AL27)</f>
        <v>0</v>
      </c>
      <c r="AN19" s="17">
        <f>IF('Eurostat EB TJ'!AM27=":",0,'Eurostat EB TJ'!AM27)</f>
        <v>0</v>
      </c>
      <c r="AO19" s="17">
        <f>IF('Eurostat EB TJ'!AN27=":",0,'Eurostat EB TJ'!AN27)</f>
        <v>0</v>
      </c>
      <c r="AP19" s="17">
        <f>IF('Eurostat EB TJ'!AO27=":",0,'Eurostat EB TJ'!AO27)</f>
        <v>0</v>
      </c>
      <c r="AQ19" s="17">
        <f>IF('Eurostat EB TJ'!AP27=":",0,'Eurostat EB TJ'!AP27)</f>
        <v>0</v>
      </c>
      <c r="AR19" s="17">
        <f>IF('Eurostat EB TJ'!AQ27=":",0,'Eurostat EB TJ'!AQ27)</f>
        <v>0</v>
      </c>
      <c r="AS19" s="17">
        <f>IF('Eurostat EB TJ'!AR27=":",0,'Eurostat EB TJ'!AR27)</f>
        <v>0</v>
      </c>
      <c r="AT19" s="17">
        <f>IF('Eurostat EB TJ'!AS27=":",0,'Eurostat EB TJ'!AS27)</f>
        <v>0</v>
      </c>
      <c r="AU19" s="17">
        <f>IF('Eurostat EB TJ'!AT27=":",0,'Eurostat EB TJ'!AT27)</f>
        <v>0</v>
      </c>
      <c r="AV19" s="17">
        <f>IF('Eurostat EB TJ'!AU27=":",0,'Eurostat EB TJ'!AU27)</f>
        <v>0</v>
      </c>
      <c r="AW19" s="17">
        <f>IF('Eurostat EB TJ'!AV27=":",0,'Eurostat EB TJ'!AV27)</f>
        <v>0</v>
      </c>
      <c r="AX19" s="17">
        <f>IF('Eurostat EB TJ'!AW27=":",0,'Eurostat EB TJ'!AW27)</f>
        <v>0</v>
      </c>
      <c r="AY19" s="17">
        <f>IF('Eurostat EB TJ'!AX27=":",0,'Eurostat EB TJ'!AX27)</f>
        <v>0</v>
      </c>
      <c r="AZ19" s="17">
        <f>IF('Eurostat EB TJ'!AY27=":",0,'Eurostat EB TJ'!AY27)</f>
        <v>0</v>
      </c>
      <c r="BA19" s="17">
        <f>IF('Eurostat EB TJ'!AZ27=":",0,'Eurostat EB TJ'!AZ27)</f>
        <v>0</v>
      </c>
      <c r="BB19" s="17">
        <f>IF('Eurostat EB TJ'!BA27=":",0,'Eurostat EB TJ'!BA27)</f>
        <v>0</v>
      </c>
      <c r="BC19" s="17">
        <f>IF('Eurostat EB TJ'!BB27=":",0,'Eurostat EB TJ'!BB27)</f>
        <v>0</v>
      </c>
      <c r="BD19" s="17">
        <f>IF('Eurostat EB TJ'!BC27=":",0,'Eurostat EB TJ'!BC27)</f>
        <v>0</v>
      </c>
      <c r="BE19" s="17">
        <f>IF('Eurostat EB TJ'!BD27=":",0,'Eurostat EB TJ'!BD27)</f>
        <v>0</v>
      </c>
      <c r="BF19" s="17">
        <f>IF('Eurostat EB TJ'!BE27=":",0,'Eurostat EB TJ'!BE27)</f>
        <v>0</v>
      </c>
      <c r="BG19" s="17">
        <f>IF('Eurostat EB TJ'!BF27=":",0,'Eurostat EB TJ'!BF27)</f>
        <v>0</v>
      </c>
      <c r="BH19" s="17">
        <f>IF('Eurostat EB TJ'!BG27=":",0,'Eurostat EB TJ'!BG27)</f>
        <v>0</v>
      </c>
      <c r="BI19" s="17">
        <f>IF('Eurostat EB TJ'!BH27=":",0,'Eurostat EB TJ'!BH27)</f>
        <v>0</v>
      </c>
      <c r="BJ19" s="17">
        <f>IF('Eurostat EB TJ'!BI27=":",0,'Eurostat EB TJ'!BI27)</f>
        <v>0</v>
      </c>
      <c r="BK19" s="17">
        <f>IF('Eurostat EB TJ'!BJ27=":",0,'Eurostat EB TJ'!BJ27)</f>
        <v>0</v>
      </c>
      <c r="BL19" s="17">
        <f>IF('Eurostat EB TJ'!BK27=":",0,'Eurostat EB TJ'!BK27)</f>
        <v>0</v>
      </c>
      <c r="BM19" s="17">
        <f>IF('Eurostat EB TJ'!BL27=":",0,'Eurostat EB TJ'!BL27)</f>
        <v>0</v>
      </c>
      <c r="BN19" s="17">
        <f>IF('Eurostat EB TJ'!BM27=":",0,'Eurostat EB TJ'!BM27)</f>
        <v>0</v>
      </c>
      <c r="BO19" s="17">
        <f>IF('Eurostat EB TJ'!BN27=":",0,'Eurostat EB TJ'!BN27)</f>
        <v>0</v>
      </c>
      <c r="BP19" s="17">
        <f>IF('Eurostat EB TJ'!BO27=":",0,'Eurostat EB TJ'!BO27)</f>
        <v>0</v>
      </c>
      <c r="BQ19" s="17">
        <f>IF('Eurostat EB TJ'!BP27=":",0,'Eurostat EB TJ'!BP27)</f>
        <v>0</v>
      </c>
      <c r="BR19" s="17">
        <f>IF('Eurostat EB TJ'!BQ27=":",0,'Eurostat EB TJ'!BQ27)</f>
        <v>0</v>
      </c>
      <c r="BS19" s="17">
        <f>IF('Eurostat EB TJ'!BR27=":",0,'Eurostat EB TJ'!BR27)</f>
        <v>0</v>
      </c>
      <c r="BT19" s="17">
        <f>IF('Eurostat EB TJ'!BS27=":",0,'Eurostat EB TJ'!BS27)</f>
        <v>0</v>
      </c>
      <c r="BU19" s="17">
        <f>IF('Eurostat EB TJ'!BT27=":",0,'Eurostat EB TJ'!BT27)</f>
        <v>0</v>
      </c>
      <c r="BV19" s="17">
        <f>IF('Eurostat EB TJ'!BU27=":",0,'Eurostat EB TJ'!BU27)</f>
        <v>0</v>
      </c>
    </row>
    <row r="20" spans="1:74" x14ac:dyDescent="0.2">
      <c r="A20" s="56" t="s">
        <v>204</v>
      </c>
      <c r="B20" s="57"/>
      <c r="C20" s="57">
        <f>IF('Eurostat EB TJ'!B28=":",0,'Eurostat EB TJ'!B28)</f>
        <v>5235618.9589999998</v>
      </c>
      <c r="D20" s="57">
        <f>IF('Eurostat EB TJ'!C28=":",0,'Eurostat EB TJ'!C28)</f>
        <v>206016.897</v>
      </c>
      <c r="E20" s="57">
        <f>IF('Eurostat EB TJ'!D28=":",0,'Eurostat EB TJ'!D28)</f>
        <v>0</v>
      </c>
      <c r="F20" s="57">
        <f>IF('Eurostat EB TJ'!E28=":",0,'Eurostat EB TJ'!E28)</f>
        <v>99143.111999999994</v>
      </c>
      <c r="G20" s="57">
        <f>IF('Eurostat EB TJ'!F28=":",0,'Eurostat EB TJ'!F28)</f>
        <v>71329.782000000007</v>
      </c>
      <c r="H20" s="57">
        <f>IF('Eurostat EB TJ'!G28=":",0,'Eurostat EB TJ'!G28)</f>
        <v>0</v>
      </c>
      <c r="I20" s="57">
        <f>IF('Eurostat EB TJ'!H28=":",0,'Eurostat EB TJ'!H28)</f>
        <v>0</v>
      </c>
      <c r="J20" s="57">
        <f>IF('Eurostat EB TJ'!I28=":",0,'Eurostat EB TJ'!I28)</f>
        <v>35544.002999999997</v>
      </c>
      <c r="K20" s="57">
        <f>IF('Eurostat EB TJ'!J28=":",0,'Eurostat EB TJ'!J28)</f>
        <v>0</v>
      </c>
      <c r="L20" s="57">
        <f>IF('Eurostat EB TJ'!K28=":",0,'Eurostat EB TJ'!K28)</f>
        <v>0</v>
      </c>
      <c r="M20" s="57">
        <f>IF('Eurostat EB TJ'!L28=":",0,'Eurostat EB TJ'!L28)</f>
        <v>0</v>
      </c>
      <c r="N20" s="57">
        <f>IF('Eurostat EB TJ'!M28=":",0,'Eurostat EB TJ'!M28)</f>
        <v>0</v>
      </c>
      <c r="O20" s="57">
        <f>IF('Eurostat EB TJ'!N28=":",0,'Eurostat EB TJ'!N28)</f>
        <v>18170.044999999998</v>
      </c>
      <c r="P20" s="57">
        <f>IF('Eurostat EB TJ'!O28=":",0,'Eurostat EB TJ'!O28)</f>
        <v>1428.5409999999999</v>
      </c>
      <c r="Q20" s="57">
        <f>IF('Eurostat EB TJ'!P28=":",0,'Eurostat EB TJ'!P28)</f>
        <v>0</v>
      </c>
      <c r="R20" s="57">
        <f>IF('Eurostat EB TJ'!Q28=":",0,'Eurostat EB TJ'!Q28)</f>
        <v>16741.504000000001</v>
      </c>
      <c r="S20" s="57">
        <f>IF('Eurostat EB TJ'!R28=":",0,'Eurostat EB TJ'!R28)</f>
        <v>0</v>
      </c>
      <c r="T20" s="57">
        <f>IF('Eurostat EB TJ'!S28=":",0,'Eurostat EB TJ'!S28)</f>
        <v>0</v>
      </c>
      <c r="U20" s="57">
        <f>IF('Eurostat EB TJ'!T28=":",0,'Eurostat EB TJ'!T28)</f>
        <v>0</v>
      </c>
      <c r="V20" s="57">
        <f>IF('Eurostat EB TJ'!U28=":",0,'Eurostat EB TJ'!U28)</f>
        <v>0</v>
      </c>
      <c r="W20" s="57">
        <f>IF('Eurostat EB TJ'!V28=":",0,'Eurostat EB TJ'!V28)</f>
        <v>0</v>
      </c>
      <c r="X20" s="57">
        <f>IF('Eurostat EB TJ'!W28=":",0,'Eurostat EB TJ'!W28)</f>
        <v>311308.08399999997</v>
      </c>
      <c r="Y20" s="57">
        <f>IF('Eurostat EB TJ'!X28=":",0,'Eurostat EB TJ'!X28)</f>
        <v>4282623.8660000004</v>
      </c>
      <c r="Z20" s="57">
        <f>IF('Eurostat EB TJ'!Y28=":",0,'Eurostat EB TJ'!Y28)</f>
        <v>2427012.0720000002</v>
      </c>
      <c r="AA20" s="57">
        <f>IF('Eurostat EB TJ'!Z28=":",0,'Eurostat EB TJ'!Z28)</f>
        <v>423903.73800000001</v>
      </c>
      <c r="AB20" s="57">
        <f>IF('Eurostat EB TJ'!AA28=":",0,'Eurostat EB TJ'!AA28)</f>
        <v>366286</v>
      </c>
      <c r="AC20" s="57">
        <f>IF('Eurostat EB TJ'!AB28=":",0,'Eurostat EB TJ'!AB28)</f>
        <v>21733.940999999999</v>
      </c>
      <c r="AD20" s="57">
        <f>IF('Eurostat EB TJ'!AC28=":",0,'Eurostat EB TJ'!AC28)</f>
        <v>0</v>
      </c>
      <c r="AE20" s="57">
        <f>IF('Eurostat EB TJ'!AD28=":",0,'Eurostat EB TJ'!AD28)</f>
        <v>114591.711</v>
      </c>
      <c r="AF20" s="57">
        <f>IF('Eurostat EB TJ'!AE28=":",0,'Eurostat EB TJ'!AE28)</f>
        <v>0</v>
      </c>
      <c r="AG20" s="57">
        <f>IF('Eurostat EB TJ'!AF28=":",0,'Eurostat EB TJ'!AF28)</f>
        <v>48544.434999999998</v>
      </c>
      <c r="AH20" s="57">
        <f>IF('Eurostat EB TJ'!AG28=":",0,'Eurostat EB TJ'!AG28)</f>
        <v>582932.38300000003</v>
      </c>
      <c r="AI20" s="57">
        <f>IF('Eurostat EB TJ'!AH28=":",0,'Eurostat EB TJ'!AH28)</f>
        <v>8.7999999999999995E-2</v>
      </c>
      <c r="AJ20" s="57">
        <f>IF('Eurostat EB TJ'!AI28=":",0,'Eurostat EB TJ'!AI28)</f>
        <v>234.137</v>
      </c>
      <c r="AK20" s="57">
        <f>IF('Eurostat EB TJ'!AJ28=":",0,'Eurostat EB TJ'!AJ28)</f>
        <v>0</v>
      </c>
      <c r="AL20" s="57">
        <f>IF('Eurostat EB TJ'!AK28=":",0,'Eurostat EB TJ'!AK28)</f>
        <v>60.075000000000003</v>
      </c>
      <c r="AM20" s="57">
        <f>IF('Eurostat EB TJ'!AL28=":",0,'Eurostat EB TJ'!AL28)</f>
        <v>4483.384</v>
      </c>
      <c r="AN20" s="57">
        <f>IF('Eurostat EB TJ'!AM28=":",0,'Eurostat EB TJ'!AM28)</f>
        <v>42952.313000000002</v>
      </c>
      <c r="AO20" s="57">
        <f>IF('Eurostat EB TJ'!AN28=":",0,'Eurostat EB TJ'!AN28)</f>
        <v>136153.08600000001</v>
      </c>
      <c r="AP20" s="57">
        <f>IF('Eurostat EB TJ'!AO28=":",0,'Eurostat EB TJ'!AO28)</f>
        <v>88997.346999999994</v>
      </c>
      <c r="AQ20" s="57">
        <f>IF('Eurostat EB TJ'!AP28=":",0,'Eurostat EB TJ'!AP28)</f>
        <v>13218.579</v>
      </c>
      <c r="AR20" s="57">
        <f>IF('Eurostat EB TJ'!AQ28=":",0,'Eurostat EB TJ'!AQ28)</f>
        <v>3.4159999999999999</v>
      </c>
      <c r="AS20" s="57">
        <f>IF('Eurostat EB TJ'!AR28=":",0,'Eurostat EB TJ'!AR28)</f>
        <v>0</v>
      </c>
      <c r="AT20" s="57">
        <f>IF('Eurostat EB TJ'!AS28=":",0,'Eurostat EB TJ'!AS28)</f>
        <v>52.207000000000001</v>
      </c>
      <c r="AU20" s="57">
        <f>IF('Eurostat EB TJ'!AT28=":",0,'Eurostat EB TJ'!AT28)</f>
        <v>11464.95</v>
      </c>
      <c r="AV20" s="57">
        <f>IF('Eurostat EB TJ'!AU28=":",0,'Eurostat EB TJ'!AU28)</f>
        <v>331913.16399999999</v>
      </c>
      <c r="AW20" s="57">
        <f>IF('Eurostat EB TJ'!AV28=":",0,'Eurostat EB TJ'!AV28)</f>
        <v>249.72800000000001</v>
      </c>
      <c r="AX20" s="57">
        <f>IF('Eurostat EB TJ'!AW28=":",0,'Eurostat EB TJ'!AW28)</f>
        <v>0</v>
      </c>
      <c r="AY20" s="57">
        <f>IF('Eurostat EB TJ'!AX28=":",0,'Eurostat EB TJ'!AX28)</f>
        <v>106290.292</v>
      </c>
      <c r="AZ20" s="57">
        <f>IF('Eurostat EB TJ'!AY28=":",0,'Eurostat EB TJ'!AY28)</f>
        <v>0</v>
      </c>
      <c r="BA20" s="57">
        <f>IF('Eurostat EB TJ'!AZ28=":",0,'Eurostat EB TJ'!AZ28)</f>
        <v>70481.476999999999</v>
      </c>
      <c r="BB20" s="57">
        <f>IF('Eurostat EB TJ'!BA28=":",0,'Eurostat EB TJ'!BA28)</f>
        <v>0</v>
      </c>
      <c r="BC20" s="57">
        <f>IF('Eurostat EB TJ'!BB28=":",0,'Eurostat EB TJ'!BB28)</f>
        <v>0</v>
      </c>
      <c r="BD20" s="57">
        <f>IF('Eurostat EB TJ'!BC28=":",0,'Eurostat EB TJ'!BC28)</f>
        <v>58457.756999999998</v>
      </c>
      <c r="BE20" s="57">
        <f>IF('Eurostat EB TJ'!BD28=":",0,'Eurostat EB TJ'!BD28)</f>
        <v>0</v>
      </c>
      <c r="BF20" s="57">
        <f>IF('Eurostat EB TJ'!BE28=":",0,'Eurostat EB TJ'!BE28)</f>
        <v>14734.195</v>
      </c>
      <c r="BG20" s="57">
        <f>IF('Eurostat EB TJ'!BF28=":",0,'Eurostat EB TJ'!BF28)</f>
        <v>8.0190000000000001</v>
      </c>
      <c r="BH20" s="57">
        <f>IF('Eurostat EB TJ'!BG28=":",0,'Eurostat EB TJ'!BG28)</f>
        <v>32145.925999999999</v>
      </c>
      <c r="BI20" s="57">
        <f>IF('Eurostat EB TJ'!BH28=":",0,'Eurostat EB TJ'!BH28)</f>
        <v>0</v>
      </c>
      <c r="BJ20" s="57">
        <f>IF('Eurostat EB TJ'!BI28=":",0,'Eurostat EB TJ'!BI28)</f>
        <v>0</v>
      </c>
      <c r="BK20" s="57">
        <f>IF('Eurostat EB TJ'!BJ28=":",0,'Eurostat EB TJ'!BJ28)</f>
        <v>0</v>
      </c>
      <c r="BL20" s="57">
        <f>IF('Eurostat EB TJ'!BK28=":",0,'Eurostat EB TJ'!BK28)</f>
        <v>0</v>
      </c>
      <c r="BM20" s="57">
        <f>IF('Eurostat EB TJ'!BL28=":",0,'Eurostat EB TJ'!BL28)</f>
        <v>14208.23</v>
      </c>
      <c r="BN20" s="57">
        <f>IF('Eurostat EB TJ'!BM28=":",0,'Eurostat EB TJ'!BM28)</f>
        <v>1245.8309999999999</v>
      </c>
      <c r="BO20" s="57">
        <f>IF('Eurostat EB TJ'!BN28=":",0,'Eurostat EB TJ'!BN28)</f>
        <v>35337.54</v>
      </c>
      <c r="BP20" s="57">
        <f>IF('Eurostat EB TJ'!BO28=":",0,'Eurostat EB TJ'!BO28)</f>
        <v>31337.062999999998</v>
      </c>
      <c r="BQ20" s="57">
        <f>IF('Eurostat EB TJ'!BP28=":",0,'Eurostat EB TJ'!BP28)</f>
        <v>32582.894</v>
      </c>
      <c r="BR20" s="57">
        <f>IF('Eurostat EB TJ'!BQ28=":",0,'Eurostat EB TJ'!BQ28)</f>
        <v>38959.053</v>
      </c>
      <c r="BS20" s="57">
        <f>IF('Eurostat EB TJ'!BR28=":",0,'Eurostat EB TJ'!BR28)</f>
        <v>362.92</v>
      </c>
      <c r="BT20" s="57">
        <f>IF('Eurostat EB TJ'!BS28=":",0,'Eurostat EB TJ'!BS28)</f>
        <v>13682.036</v>
      </c>
      <c r="BU20" s="57">
        <f>IF('Eurostat EB TJ'!BT28=":",0,'Eurostat EB TJ'!BT28)</f>
        <v>161107.99799999999</v>
      </c>
      <c r="BV20" s="57">
        <f>IF('Eurostat EB TJ'!BU28=":",0,'Eurostat EB TJ'!BU28)</f>
        <v>4857191.9620000003</v>
      </c>
    </row>
    <row r="21" spans="1:74" x14ac:dyDescent="0.2">
      <c r="A21" s="56" t="s">
        <v>205</v>
      </c>
      <c r="B21" s="17"/>
      <c r="C21" s="17">
        <f>IF('Eurostat EB TJ'!B29=":",0,'Eurostat EB TJ'!B29)</f>
        <v>780448.81700000004</v>
      </c>
      <c r="D21" s="17">
        <f>IF('Eurostat EB TJ'!C29=":",0,'Eurostat EB TJ'!C29)</f>
        <v>71329.782000000007</v>
      </c>
      <c r="E21" s="17">
        <f>IF('Eurostat EB TJ'!D29=":",0,'Eurostat EB TJ'!D29)</f>
        <v>0</v>
      </c>
      <c r="F21" s="17">
        <f>IF('Eurostat EB TJ'!E29=":",0,'Eurostat EB TJ'!E29)</f>
        <v>0</v>
      </c>
      <c r="G21" s="17">
        <f>IF('Eurostat EB TJ'!F29=":",0,'Eurostat EB TJ'!F29)</f>
        <v>71329.782000000007</v>
      </c>
      <c r="H21" s="17">
        <f>IF('Eurostat EB TJ'!G29=":",0,'Eurostat EB TJ'!G29)</f>
        <v>0</v>
      </c>
      <c r="I21" s="17">
        <f>IF('Eurostat EB TJ'!H29=":",0,'Eurostat EB TJ'!H29)</f>
        <v>0</v>
      </c>
      <c r="J21" s="17">
        <f>IF('Eurostat EB TJ'!I29=":",0,'Eurostat EB TJ'!I29)</f>
        <v>0</v>
      </c>
      <c r="K21" s="17">
        <f>IF('Eurostat EB TJ'!J29=":",0,'Eurostat EB TJ'!J29)</f>
        <v>0</v>
      </c>
      <c r="L21" s="17">
        <f>IF('Eurostat EB TJ'!K29=":",0,'Eurostat EB TJ'!K29)</f>
        <v>0</v>
      </c>
      <c r="M21" s="17">
        <f>IF('Eurostat EB TJ'!L29=":",0,'Eurostat EB TJ'!L29)</f>
        <v>0</v>
      </c>
      <c r="N21" s="17">
        <f>IF('Eurostat EB TJ'!M29=":",0,'Eurostat EB TJ'!M29)</f>
        <v>0</v>
      </c>
      <c r="O21" s="17">
        <f>IF('Eurostat EB TJ'!N29=":",0,'Eurostat EB TJ'!N29)</f>
        <v>18170.044999999998</v>
      </c>
      <c r="P21" s="17">
        <f>IF('Eurostat EB TJ'!O29=":",0,'Eurostat EB TJ'!O29)</f>
        <v>1428.5409999999999</v>
      </c>
      <c r="Q21" s="17">
        <f>IF('Eurostat EB TJ'!P29=":",0,'Eurostat EB TJ'!P29)</f>
        <v>0</v>
      </c>
      <c r="R21" s="17">
        <f>IF('Eurostat EB TJ'!Q29=":",0,'Eurostat EB TJ'!Q29)</f>
        <v>16741.504000000001</v>
      </c>
      <c r="S21" s="17">
        <f>IF('Eurostat EB TJ'!R29=":",0,'Eurostat EB TJ'!R29)</f>
        <v>0</v>
      </c>
      <c r="T21" s="17">
        <f>IF('Eurostat EB TJ'!S29=":",0,'Eurostat EB TJ'!S29)</f>
        <v>0</v>
      </c>
      <c r="U21" s="17">
        <f>IF('Eurostat EB TJ'!T29=":",0,'Eurostat EB TJ'!T29)</f>
        <v>0</v>
      </c>
      <c r="V21" s="17">
        <f>IF('Eurostat EB TJ'!U29=":",0,'Eurostat EB TJ'!U29)</f>
        <v>0</v>
      </c>
      <c r="W21" s="17">
        <f>IF('Eurostat EB TJ'!V29=":",0,'Eurostat EB TJ'!V29)</f>
        <v>0</v>
      </c>
      <c r="X21" s="17">
        <f>IF('Eurostat EB TJ'!W29=":",0,'Eurostat EB TJ'!W29)</f>
        <v>311308.08399999997</v>
      </c>
      <c r="Y21" s="17">
        <f>IF('Eurostat EB TJ'!X29=":",0,'Eurostat EB TJ'!X29)</f>
        <v>18747.203000000001</v>
      </c>
      <c r="Z21" s="17">
        <f>IF('Eurostat EB TJ'!Y29=":",0,'Eurostat EB TJ'!Y29)</f>
        <v>0</v>
      </c>
      <c r="AA21" s="17">
        <f>IF('Eurostat EB TJ'!Z29=":",0,'Eurostat EB TJ'!Z29)</f>
        <v>0</v>
      </c>
      <c r="AB21" s="17">
        <f>IF('Eurostat EB TJ'!AA29=":",0,'Eurostat EB TJ'!AA29)</f>
        <v>0</v>
      </c>
      <c r="AC21" s="17">
        <f>IF('Eurostat EB TJ'!AB29=":",0,'Eurostat EB TJ'!AB29)</f>
        <v>0</v>
      </c>
      <c r="AD21" s="17">
        <f>IF('Eurostat EB TJ'!AC29=":",0,'Eurostat EB TJ'!AC29)</f>
        <v>0</v>
      </c>
      <c r="AE21" s="17">
        <f>IF('Eurostat EB TJ'!AD29=":",0,'Eurostat EB TJ'!AD29)</f>
        <v>18291.896000000001</v>
      </c>
      <c r="AF21" s="17">
        <f>IF('Eurostat EB TJ'!AE29=":",0,'Eurostat EB TJ'!AE29)</f>
        <v>0</v>
      </c>
      <c r="AG21" s="17">
        <f>IF('Eurostat EB TJ'!AF29=":",0,'Eurostat EB TJ'!AF29)</f>
        <v>0</v>
      </c>
      <c r="AH21" s="17">
        <f>IF('Eurostat EB TJ'!AG29=":",0,'Eurostat EB TJ'!AG29)</f>
        <v>0</v>
      </c>
      <c r="AI21" s="17">
        <f>IF('Eurostat EB TJ'!AH29=":",0,'Eurostat EB TJ'!AH29)</f>
        <v>0</v>
      </c>
      <c r="AJ21" s="17">
        <f>IF('Eurostat EB TJ'!AI29=":",0,'Eurostat EB TJ'!AI29)</f>
        <v>0</v>
      </c>
      <c r="AK21" s="17">
        <f>IF('Eurostat EB TJ'!AJ29=":",0,'Eurostat EB TJ'!AJ29)</f>
        <v>0</v>
      </c>
      <c r="AL21" s="17">
        <f>IF('Eurostat EB TJ'!AK29=":",0,'Eurostat EB TJ'!AK29)</f>
        <v>0</v>
      </c>
      <c r="AM21" s="17">
        <f>IF('Eurostat EB TJ'!AL29=":",0,'Eurostat EB TJ'!AL29)</f>
        <v>0</v>
      </c>
      <c r="AN21" s="17">
        <f>IF('Eurostat EB TJ'!AM29=":",0,'Eurostat EB TJ'!AM29)</f>
        <v>356.34100000000001</v>
      </c>
      <c r="AO21" s="17">
        <f>IF('Eurostat EB TJ'!AN29=":",0,'Eurostat EB TJ'!AN29)</f>
        <v>0</v>
      </c>
      <c r="AP21" s="17">
        <f>IF('Eurostat EB TJ'!AO29=":",0,'Eurostat EB TJ'!AO29)</f>
        <v>0</v>
      </c>
      <c r="AQ21" s="17">
        <f>IF('Eurostat EB TJ'!AP29=":",0,'Eurostat EB TJ'!AP29)</f>
        <v>0</v>
      </c>
      <c r="AR21" s="17">
        <f>IF('Eurostat EB TJ'!AQ29=":",0,'Eurostat EB TJ'!AQ29)</f>
        <v>0</v>
      </c>
      <c r="AS21" s="17">
        <f>IF('Eurostat EB TJ'!AR29=":",0,'Eurostat EB TJ'!AR29)</f>
        <v>0</v>
      </c>
      <c r="AT21" s="17">
        <f>IF('Eurostat EB TJ'!AS29=":",0,'Eurostat EB TJ'!AS29)</f>
        <v>0</v>
      </c>
      <c r="AU21" s="17">
        <f>IF('Eurostat EB TJ'!AT29=":",0,'Eurostat EB TJ'!AT29)</f>
        <v>98.965999999999994</v>
      </c>
      <c r="AV21" s="17">
        <f>IF('Eurostat EB TJ'!AU29=":",0,'Eurostat EB TJ'!AU29)</f>
        <v>275306.8</v>
      </c>
      <c r="AW21" s="17">
        <f>IF('Eurostat EB TJ'!AV29=":",0,'Eurostat EB TJ'!AV29)</f>
        <v>249.72800000000001</v>
      </c>
      <c r="AX21" s="17">
        <f>IF('Eurostat EB TJ'!AW29=":",0,'Eurostat EB TJ'!AW29)</f>
        <v>0</v>
      </c>
      <c r="AY21" s="17">
        <f>IF('Eurostat EB TJ'!AX29=":",0,'Eurostat EB TJ'!AX29)</f>
        <v>106290.292</v>
      </c>
      <c r="AZ21" s="17">
        <f>IF('Eurostat EB TJ'!AY29=":",0,'Eurostat EB TJ'!AY29)</f>
        <v>0</v>
      </c>
      <c r="BA21" s="17">
        <f>IF('Eurostat EB TJ'!AZ29=":",0,'Eurostat EB TJ'!AZ29)</f>
        <v>70481.476999999999</v>
      </c>
      <c r="BB21" s="17">
        <f>IF('Eurostat EB TJ'!BA29=":",0,'Eurostat EB TJ'!BA29)</f>
        <v>0</v>
      </c>
      <c r="BC21" s="17">
        <f>IF('Eurostat EB TJ'!BB29=":",0,'Eurostat EB TJ'!BB29)</f>
        <v>0</v>
      </c>
      <c r="BD21" s="17">
        <f>IF('Eurostat EB TJ'!BC29=":",0,'Eurostat EB TJ'!BC29)</f>
        <v>58457.756999999998</v>
      </c>
      <c r="BE21" s="17">
        <f>IF('Eurostat EB TJ'!BD29=":",0,'Eurostat EB TJ'!BD29)</f>
        <v>0</v>
      </c>
      <c r="BF21" s="17">
        <f>IF('Eurostat EB TJ'!BE29=":",0,'Eurostat EB TJ'!BE29)</f>
        <v>0</v>
      </c>
      <c r="BG21" s="17">
        <f>IF('Eurostat EB TJ'!BF29=":",0,'Eurostat EB TJ'!BF29)</f>
        <v>0</v>
      </c>
      <c r="BH21" s="17">
        <f>IF('Eurostat EB TJ'!BG29=":",0,'Eurostat EB TJ'!BG29)</f>
        <v>0</v>
      </c>
      <c r="BI21" s="17">
        <f>IF('Eurostat EB TJ'!BH29=":",0,'Eurostat EB TJ'!BH29)</f>
        <v>0</v>
      </c>
      <c r="BJ21" s="17">
        <f>IF('Eurostat EB TJ'!BI29=":",0,'Eurostat EB TJ'!BI29)</f>
        <v>0</v>
      </c>
      <c r="BK21" s="17">
        <f>IF('Eurostat EB TJ'!BJ29=":",0,'Eurostat EB TJ'!BJ29)</f>
        <v>0</v>
      </c>
      <c r="BL21" s="17">
        <f>IF('Eurostat EB TJ'!BK29=":",0,'Eurostat EB TJ'!BK29)</f>
        <v>0</v>
      </c>
      <c r="BM21" s="17">
        <f>IF('Eurostat EB TJ'!BL29=":",0,'Eurostat EB TJ'!BL29)</f>
        <v>4490.0060000000003</v>
      </c>
      <c r="BN21" s="17">
        <f>IF('Eurostat EB TJ'!BM29=":",0,'Eurostat EB TJ'!BM29)</f>
        <v>1245.8309999999999</v>
      </c>
      <c r="BO21" s="17">
        <f>IF('Eurostat EB TJ'!BN29=":",0,'Eurostat EB TJ'!BN29)</f>
        <v>35337.54</v>
      </c>
      <c r="BP21" s="17">
        <f>IF('Eurostat EB TJ'!BO29=":",0,'Eurostat EB TJ'!BO29)</f>
        <v>31337.062999999998</v>
      </c>
      <c r="BQ21" s="17">
        <f>IF('Eurostat EB TJ'!BP29=":",0,'Eurostat EB TJ'!BP29)</f>
        <v>32582.894</v>
      </c>
      <c r="BR21" s="17">
        <f>IF('Eurostat EB TJ'!BQ29=":",0,'Eurostat EB TJ'!BQ29)</f>
        <v>38959.053</v>
      </c>
      <c r="BS21" s="17">
        <f>IF('Eurostat EB TJ'!BR29=":",0,'Eurostat EB TJ'!BR29)</f>
        <v>362.92</v>
      </c>
      <c r="BT21" s="17">
        <f>IF('Eurostat EB TJ'!BS29=":",0,'Eurostat EB TJ'!BS29)</f>
        <v>13682.036</v>
      </c>
      <c r="BU21" s="17">
        <f>IF('Eurostat EB TJ'!BT29=":",0,'Eurostat EB TJ'!BT29)</f>
        <v>104501.63400000001</v>
      </c>
      <c r="BV21" s="17">
        <f>IF('Eurostat EB TJ'!BU29=":",0,'Eurostat EB TJ'!BU29)</f>
        <v>458628.185</v>
      </c>
    </row>
    <row r="22" spans="1:74" x14ac:dyDescent="0.2">
      <c r="A22" s="56" t="s">
        <v>206</v>
      </c>
      <c r="B22" s="57"/>
      <c r="C22" s="57">
        <f>IF('Eurostat EB TJ'!B30=":",0,'Eurostat EB TJ'!B30)</f>
        <v>358410.35600000003</v>
      </c>
      <c r="D22" s="57">
        <f>IF('Eurostat EB TJ'!C30=":",0,'Eurostat EB TJ'!C30)</f>
        <v>41287.546999999999</v>
      </c>
      <c r="E22" s="57">
        <f>IF('Eurostat EB TJ'!D30=":",0,'Eurostat EB TJ'!D30)</f>
        <v>0</v>
      </c>
      <c r="F22" s="57">
        <f>IF('Eurostat EB TJ'!E30=":",0,'Eurostat EB TJ'!E30)</f>
        <v>0</v>
      </c>
      <c r="G22" s="57">
        <f>IF('Eurostat EB TJ'!F30=":",0,'Eurostat EB TJ'!F30)</f>
        <v>41287.546999999999</v>
      </c>
      <c r="H22" s="57">
        <f>IF('Eurostat EB TJ'!G30=":",0,'Eurostat EB TJ'!G30)</f>
        <v>0</v>
      </c>
      <c r="I22" s="57">
        <f>IF('Eurostat EB TJ'!H30=":",0,'Eurostat EB TJ'!H30)</f>
        <v>0</v>
      </c>
      <c r="J22" s="57">
        <f>IF('Eurostat EB TJ'!I30=":",0,'Eurostat EB TJ'!I30)</f>
        <v>0</v>
      </c>
      <c r="K22" s="57">
        <f>IF('Eurostat EB TJ'!J30=":",0,'Eurostat EB TJ'!J30)</f>
        <v>0</v>
      </c>
      <c r="L22" s="57">
        <f>IF('Eurostat EB TJ'!K30=":",0,'Eurostat EB TJ'!K30)</f>
        <v>0</v>
      </c>
      <c r="M22" s="57">
        <f>IF('Eurostat EB TJ'!L30=":",0,'Eurostat EB TJ'!L30)</f>
        <v>0</v>
      </c>
      <c r="N22" s="57">
        <f>IF('Eurostat EB TJ'!M30=":",0,'Eurostat EB TJ'!M30)</f>
        <v>0</v>
      </c>
      <c r="O22" s="57">
        <f>IF('Eurostat EB TJ'!N30=":",0,'Eurostat EB TJ'!N30)</f>
        <v>15697.981</v>
      </c>
      <c r="P22" s="57">
        <f>IF('Eurostat EB TJ'!O30=":",0,'Eurostat EB TJ'!O30)</f>
        <v>1331.16</v>
      </c>
      <c r="Q22" s="57">
        <f>IF('Eurostat EB TJ'!P30=":",0,'Eurostat EB TJ'!P30)</f>
        <v>0</v>
      </c>
      <c r="R22" s="57">
        <f>IF('Eurostat EB TJ'!Q30=":",0,'Eurostat EB TJ'!Q30)</f>
        <v>14366.821</v>
      </c>
      <c r="S22" s="57">
        <f>IF('Eurostat EB TJ'!R30=":",0,'Eurostat EB TJ'!R30)</f>
        <v>0</v>
      </c>
      <c r="T22" s="57">
        <f>IF('Eurostat EB TJ'!S30=":",0,'Eurostat EB TJ'!S30)</f>
        <v>0</v>
      </c>
      <c r="U22" s="57">
        <f>IF('Eurostat EB TJ'!T30=":",0,'Eurostat EB TJ'!T30)</f>
        <v>0</v>
      </c>
      <c r="V22" s="57">
        <f>IF('Eurostat EB TJ'!U30=":",0,'Eurostat EB TJ'!U30)</f>
        <v>0</v>
      </c>
      <c r="W22" s="57">
        <f>IF('Eurostat EB TJ'!V30=":",0,'Eurostat EB TJ'!V30)</f>
        <v>0</v>
      </c>
      <c r="X22" s="57">
        <f>IF('Eurostat EB TJ'!W30=":",0,'Eurostat EB TJ'!W30)</f>
        <v>137861.11600000001</v>
      </c>
      <c r="Y22" s="57">
        <f>IF('Eurostat EB TJ'!X30=":",0,'Eurostat EB TJ'!X30)</f>
        <v>98.941999999999993</v>
      </c>
      <c r="Z22" s="57">
        <f>IF('Eurostat EB TJ'!Y30=":",0,'Eurostat EB TJ'!Y30)</f>
        <v>0</v>
      </c>
      <c r="AA22" s="57">
        <f>IF('Eurostat EB TJ'!Z30=":",0,'Eurostat EB TJ'!Z30)</f>
        <v>0</v>
      </c>
      <c r="AB22" s="57">
        <f>IF('Eurostat EB TJ'!AA30=":",0,'Eurostat EB TJ'!AA30)</f>
        <v>0</v>
      </c>
      <c r="AC22" s="57">
        <f>IF('Eurostat EB TJ'!AB30=":",0,'Eurostat EB TJ'!AB30)</f>
        <v>0</v>
      </c>
      <c r="AD22" s="57">
        <f>IF('Eurostat EB TJ'!AC30=":",0,'Eurostat EB TJ'!AC30)</f>
        <v>0</v>
      </c>
      <c r="AE22" s="57">
        <f>IF('Eurostat EB TJ'!AD30=":",0,'Eurostat EB TJ'!AD30)</f>
        <v>0</v>
      </c>
      <c r="AF22" s="57">
        <f>IF('Eurostat EB TJ'!AE30=":",0,'Eurostat EB TJ'!AE30)</f>
        <v>0</v>
      </c>
      <c r="AG22" s="57">
        <f>IF('Eurostat EB TJ'!AF30=":",0,'Eurostat EB TJ'!AF30)</f>
        <v>0</v>
      </c>
      <c r="AH22" s="57">
        <f>IF('Eurostat EB TJ'!AG30=":",0,'Eurostat EB TJ'!AG30)</f>
        <v>0</v>
      </c>
      <c r="AI22" s="57">
        <f>IF('Eurostat EB TJ'!AH30=":",0,'Eurostat EB TJ'!AH30)</f>
        <v>0</v>
      </c>
      <c r="AJ22" s="57">
        <f>IF('Eurostat EB TJ'!AI30=":",0,'Eurostat EB TJ'!AI30)</f>
        <v>0</v>
      </c>
      <c r="AK22" s="57">
        <f>IF('Eurostat EB TJ'!AJ30=":",0,'Eurostat EB TJ'!AJ30)</f>
        <v>0</v>
      </c>
      <c r="AL22" s="57">
        <f>IF('Eurostat EB TJ'!AK30=":",0,'Eurostat EB TJ'!AK30)</f>
        <v>0</v>
      </c>
      <c r="AM22" s="57">
        <f>IF('Eurostat EB TJ'!AL30=":",0,'Eurostat EB TJ'!AL30)</f>
        <v>0</v>
      </c>
      <c r="AN22" s="57">
        <f>IF('Eurostat EB TJ'!AM30=":",0,'Eurostat EB TJ'!AM30)</f>
        <v>0</v>
      </c>
      <c r="AO22" s="57">
        <f>IF('Eurostat EB TJ'!AN30=":",0,'Eurostat EB TJ'!AN30)</f>
        <v>0</v>
      </c>
      <c r="AP22" s="57">
        <f>IF('Eurostat EB TJ'!AO30=":",0,'Eurostat EB TJ'!AO30)</f>
        <v>0</v>
      </c>
      <c r="AQ22" s="57">
        <f>IF('Eurostat EB TJ'!AP30=":",0,'Eurostat EB TJ'!AP30)</f>
        <v>0</v>
      </c>
      <c r="AR22" s="57">
        <f>IF('Eurostat EB TJ'!AQ30=":",0,'Eurostat EB TJ'!AQ30)</f>
        <v>0</v>
      </c>
      <c r="AS22" s="57">
        <f>IF('Eurostat EB TJ'!AR30=":",0,'Eurostat EB TJ'!AR30)</f>
        <v>0</v>
      </c>
      <c r="AT22" s="57">
        <f>IF('Eurostat EB TJ'!AS30=":",0,'Eurostat EB TJ'!AS30)</f>
        <v>0</v>
      </c>
      <c r="AU22" s="57">
        <f>IF('Eurostat EB TJ'!AT30=":",0,'Eurostat EB TJ'!AT30)</f>
        <v>98.941999999999993</v>
      </c>
      <c r="AV22" s="57">
        <f>IF('Eurostat EB TJ'!AU30=":",0,'Eurostat EB TJ'!AU30)</f>
        <v>124505.717</v>
      </c>
      <c r="AW22" s="57">
        <f>IF('Eurostat EB TJ'!AV30=":",0,'Eurostat EB TJ'!AV30)</f>
        <v>249.72800000000001</v>
      </c>
      <c r="AX22" s="57">
        <f>IF('Eurostat EB TJ'!AW30=":",0,'Eurostat EB TJ'!AW30)</f>
        <v>0</v>
      </c>
      <c r="AY22" s="57">
        <f>IF('Eurostat EB TJ'!AX30=":",0,'Eurostat EB TJ'!AX30)</f>
        <v>97847.002999999997</v>
      </c>
      <c r="AZ22" s="57">
        <f>IF('Eurostat EB TJ'!AY30=":",0,'Eurostat EB TJ'!AY30)</f>
        <v>0</v>
      </c>
      <c r="BA22" s="57">
        <f>IF('Eurostat EB TJ'!AZ30=":",0,'Eurostat EB TJ'!AZ30)</f>
        <v>14464.666999999999</v>
      </c>
      <c r="BB22" s="57">
        <f>IF('Eurostat EB TJ'!BA30=":",0,'Eurostat EB TJ'!BA30)</f>
        <v>0</v>
      </c>
      <c r="BC22" s="57">
        <f>IF('Eurostat EB TJ'!BB30=":",0,'Eurostat EB TJ'!BB30)</f>
        <v>0</v>
      </c>
      <c r="BD22" s="57">
        <f>IF('Eurostat EB TJ'!BC30=":",0,'Eurostat EB TJ'!BC30)</f>
        <v>11921.505999999999</v>
      </c>
      <c r="BE22" s="57">
        <f>IF('Eurostat EB TJ'!BD30=":",0,'Eurostat EB TJ'!BD30)</f>
        <v>0</v>
      </c>
      <c r="BF22" s="57">
        <f>IF('Eurostat EB TJ'!BE30=":",0,'Eurostat EB TJ'!BE30)</f>
        <v>0</v>
      </c>
      <c r="BG22" s="57">
        <f>IF('Eurostat EB TJ'!BF30=":",0,'Eurostat EB TJ'!BF30)</f>
        <v>0</v>
      </c>
      <c r="BH22" s="57">
        <f>IF('Eurostat EB TJ'!BG30=":",0,'Eurostat EB TJ'!BG30)</f>
        <v>0</v>
      </c>
      <c r="BI22" s="57">
        <f>IF('Eurostat EB TJ'!BH30=":",0,'Eurostat EB TJ'!BH30)</f>
        <v>0</v>
      </c>
      <c r="BJ22" s="57">
        <f>IF('Eurostat EB TJ'!BI30=":",0,'Eurostat EB TJ'!BI30)</f>
        <v>0</v>
      </c>
      <c r="BK22" s="57">
        <f>IF('Eurostat EB TJ'!BJ30=":",0,'Eurostat EB TJ'!BJ30)</f>
        <v>0</v>
      </c>
      <c r="BL22" s="57">
        <f>IF('Eurostat EB TJ'!BK30=":",0,'Eurostat EB TJ'!BK30)</f>
        <v>0</v>
      </c>
      <c r="BM22" s="57">
        <f>IF('Eurostat EB TJ'!BL30=":",0,'Eurostat EB TJ'!BL30)</f>
        <v>22.812999999999999</v>
      </c>
      <c r="BN22" s="57">
        <f>IF('Eurostat EB TJ'!BM30=":",0,'Eurostat EB TJ'!BM30)</f>
        <v>0</v>
      </c>
      <c r="BO22" s="57">
        <f>IF('Eurostat EB TJ'!BN30=":",0,'Eurostat EB TJ'!BN30)</f>
        <v>0</v>
      </c>
      <c r="BP22" s="57">
        <f>IF('Eurostat EB TJ'!BO30=":",0,'Eurostat EB TJ'!BO30)</f>
        <v>0</v>
      </c>
      <c r="BQ22" s="57">
        <f>IF('Eurostat EB TJ'!BP30=":",0,'Eurostat EB TJ'!BP30)</f>
        <v>0</v>
      </c>
      <c r="BR22" s="57">
        <f>IF('Eurostat EB TJ'!BQ30=":",0,'Eurostat EB TJ'!BQ30)</f>
        <v>38959.053</v>
      </c>
      <c r="BS22" s="57">
        <f>IF('Eurostat EB TJ'!BR30=":",0,'Eurostat EB TJ'!BR30)</f>
        <v>0</v>
      </c>
      <c r="BT22" s="57">
        <f>IF('Eurostat EB TJ'!BS30=":",0,'Eurostat EB TJ'!BS30)</f>
        <v>0</v>
      </c>
      <c r="BU22" s="57">
        <f>IF('Eurostat EB TJ'!BT30=":",0,'Eurostat EB TJ'!BT30)</f>
        <v>13356.416999999999</v>
      </c>
      <c r="BV22" s="57">
        <f>IF('Eurostat EB TJ'!BU30=":",0,'Eurostat EB TJ'!BU30)</f>
        <v>193533.48699999999</v>
      </c>
    </row>
    <row r="23" spans="1:74" x14ac:dyDescent="0.2">
      <c r="A23" s="56" t="s">
        <v>207</v>
      </c>
      <c r="B23" s="17"/>
      <c r="C23" s="17">
        <f>IF('Eurostat EB TJ'!B31=":",0,'Eurostat EB TJ'!B31)</f>
        <v>142106.315</v>
      </c>
      <c r="D23" s="17">
        <f>IF('Eurostat EB TJ'!C31=":",0,'Eurostat EB TJ'!C31)</f>
        <v>30042.236000000001</v>
      </c>
      <c r="E23" s="17">
        <f>IF('Eurostat EB TJ'!D31=":",0,'Eurostat EB TJ'!D31)</f>
        <v>0</v>
      </c>
      <c r="F23" s="17">
        <f>IF('Eurostat EB TJ'!E31=":",0,'Eurostat EB TJ'!E31)</f>
        <v>0</v>
      </c>
      <c r="G23" s="17">
        <f>IF('Eurostat EB TJ'!F31=":",0,'Eurostat EB TJ'!F31)</f>
        <v>30042.236000000001</v>
      </c>
      <c r="H23" s="17">
        <f>IF('Eurostat EB TJ'!G31=":",0,'Eurostat EB TJ'!G31)</f>
        <v>0</v>
      </c>
      <c r="I23" s="17">
        <f>IF('Eurostat EB TJ'!H31=":",0,'Eurostat EB TJ'!H31)</f>
        <v>0</v>
      </c>
      <c r="J23" s="17">
        <f>IF('Eurostat EB TJ'!I31=":",0,'Eurostat EB TJ'!I31)</f>
        <v>0</v>
      </c>
      <c r="K23" s="17">
        <f>IF('Eurostat EB TJ'!J31=":",0,'Eurostat EB TJ'!J31)</f>
        <v>0</v>
      </c>
      <c r="L23" s="17">
        <f>IF('Eurostat EB TJ'!K31=":",0,'Eurostat EB TJ'!K31)</f>
        <v>0</v>
      </c>
      <c r="M23" s="17">
        <f>IF('Eurostat EB TJ'!L31=":",0,'Eurostat EB TJ'!L31)</f>
        <v>0</v>
      </c>
      <c r="N23" s="17">
        <f>IF('Eurostat EB TJ'!M31=":",0,'Eurostat EB TJ'!M31)</f>
        <v>0</v>
      </c>
      <c r="O23" s="17">
        <f>IF('Eurostat EB TJ'!N31=":",0,'Eurostat EB TJ'!N31)</f>
        <v>1672.5129999999999</v>
      </c>
      <c r="P23" s="17">
        <f>IF('Eurostat EB TJ'!O31=":",0,'Eurostat EB TJ'!O31)</f>
        <v>6.4000000000000001E-2</v>
      </c>
      <c r="Q23" s="17">
        <f>IF('Eurostat EB TJ'!P31=":",0,'Eurostat EB TJ'!P31)</f>
        <v>0</v>
      </c>
      <c r="R23" s="17">
        <f>IF('Eurostat EB TJ'!Q31=":",0,'Eurostat EB TJ'!Q31)</f>
        <v>1672.4490000000001</v>
      </c>
      <c r="S23" s="17">
        <f>IF('Eurostat EB TJ'!R31=":",0,'Eurostat EB TJ'!R31)</f>
        <v>0</v>
      </c>
      <c r="T23" s="17">
        <f>IF('Eurostat EB TJ'!S31=":",0,'Eurostat EB TJ'!S31)</f>
        <v>0</v>
      </c>
      <c r="U23" s="17">
        <f>IF('Eurostat EB TJ'!T31=":",0,'Eurostat EB TJ'!T31)</f>
        <v>0</v>
      </c>
      <c r="V23" s="17">
        <f>IF('Eurostat EB TJ'!U31=":",0,'Eurostat EB TJ'!U31)</f>
        <v>0</v>
      </c>
      <c r="W23" s="17">
        <f>IF('Eurostat EB TJ'!V31=":",0,'Eurostat EB TJ'!V31)</f>
        <v>0</v>
      </c>
      <c r="X23" s="17">
        <f>IF('Eurostat EB TJ'!W31=":",0,'Eurostat EB TJ'!W31)</f>
        <v>78425.108999999997</v>
      </c>
      <c r="Y23" s="17">
        <f>IF('Eurostat EB TJ'!X31=":",0,'Eurostat EB TJ'!X31)</f>
        <v>202.37200000000001</v>
      </c>
      <c r="Z23" s="17">
        <f>IF('Eurostat EB TJ'!Y31=":",0,'Eurostat EB TJ'!Y31)</f>
        <v>0</v>
      </c>
      <c r="AA23" s="17">
        <f>IF('Eurostat EB TJ'!Z31=":",0,'Eurostat EB TJ'!Z31)</f>
        <v>0</v>
      </c>
      <c r="AB23" s="17">
        <f>IF('Eurostat EB TJ'!AA31=":",0,'Eurostat EB TJ'!AA31)</f>
        <v>0</v>
      </c>
      <c r="AC23" s="17">
        <f>IF('Eurostat EB TJ'!AB31=":",0,'Eurostat EB TJ'!AB31)</f>
        <v>0</v>
      </c>
      <c r="AD23" s="17">
        <f>IF('Eurostat EB TJ'!AC31=":",0,'Eurostat EB TJ'!AC31)</f>
        <v>0</v>
      </c>
      <c r="AE23" s="17">
        <f>IF('Eurostat EB TJ'!AD31=":",0,'Eurostat EB TJ'!AD31)</f>
        <v>0</v>
      </c>
      <c r="AF23" s="17">
        <f>IF('Eurostat EB TJ'!AE31=":",0,'Eurostat EB TJ'!AE31)</f>
        <v>0</v>
      </c>
      <c r="AG23" s="17">
        <f>IF('Eurostat EB TJ'!AF31=":",0,'Eurostat EB TJ'!AF31)</f>
        <v>0</v>
      </c>
      <c r="AH23" s="17">
        <f>IF('Eurostat EB TJ'!AG31=":",0,'Eurostat EB TJ'!AG31)</f>
        <v>0</v>
      </c>
      <c r="AI23" s="17">
        <f>IF('Eurostat EB TJ'!AH31=":",0,'Eurostat EB TJ'!AH31)</f>
        <v>0</v>
      </c>
      <c r="AJ23" s="17">
        <f>IF('Eurostat EB TJ'!AI31=":",0,'Eurostat EB TJ'!AI31)</f>
        <v>0</v>
      </c>
      <c r="AK23" s="17">
        <f>IF('Eurostat EB TJ'!AJ31=":",0,'Eurostat EB TJ'!AJ31)</f>
        <v>0</v>
      </c>
      <c r="AL23" s="17">
        <f>IF('Eurostat EB TJ'!AK31=":",0,'Eurostat EB TJ'!AK31)</f>
        <v>0</v>
      </c>
      <c r="AM23" s="17">
        <f>IF('Eurostat EB TJ'!AL31=":",0,'Eurostat EB TJ'!AL31)</f>
        <v>0</v>
      </c>
      <c r="AN23" s="17">
        <f>IF('Eurostat EB TJ'!AM31=":",0,'Eurostat EB TJ'!AM31)</f>
        <v>202.37200000000001</v>
      </c>
      <c r="AO23" s="17">
        <f>IF('Eurostat EB TJ'!AN31=":",0,'Eurostat EB TJ'!AN31)</f>
        <v>0</v>
      </c>
      <c r="AP23" s="17">
        <f>IF('Eurostat EB TJ'!AO31=":",0,'Eurostat EB TJ'!AO31)</f>
        <v>0</v>
      </c>
      <c r="AQ23" s="17">
        <f>IF('Eurostat EB TJ'!AP31=":",0,'Eurostat EB TJ'!AP31)</f>
        <v>0</v>
      </c>
      <c r="AR23" s="17">
        <f>IF('Eurostat EB TJ'!AQ31=":",0,'Eurostat EB TJ'!AQ31)</f>
        <v>0</v>
      </c>
      <c r="AS23" s="17">
        <f>IF('Eurostat EB TJ'!AR31=":",0,'Eurostat EB TJ'!AR31)</f>
        <v>0</v>
      </c>
      <c r="AT23" s="17">
        <f>IF('Eurostat EB TJ'!AS31=":",0,'Eurostat EB TJ'!AS31)</f>
        <v>0</v>
      </c>
      <c r="AU23" s="17">
        <f>IF('Eurostat EB TJ'!AT31=":",0,'Eurostat EB TJ'!AT31)</f>
        <v>0</v>
      </c>
      <c r="AV23" s="17">
        <f>IF('Eurostat EB TJ'!AU31=":",0,'Eurostat EB TJ'!AU31)</f>
        <v>31509.636999999999</v>
      </c>
      <c r="AW23" s="17">
        <f>IF('Eurostat EB TJ'!AV31=":",0,'Eurostat EB TJ'!AV31)</f>
        <v>0</v>
      </c>
      <c r="AX23" s="17">
        <f>IF('Eurostat EB TJ'!AW31=":",0,'Eurostat EB TJ'!AW31)</f>
        <v>0</v>
      </c>
      <c r="AY23" s="17">
        <f>IF('Eurostat EB TJ'!AX31=":",0,'Eurostat EB TJ'!AX31)</f>
        <v>0</v>
      </c>
      <c r="AZ23" s="17">
        <f>IF('Eurostat EB TJ'!AY31=":",0,'Eurostat EB TJ'!AY31)</f>
        <v>0</v>
      </c>
      <c r="BA23" s="17">
        <f>IF('Eurostat EB TJ'!AZ31=":",0,'Eurostat EB TJ'!AZ31)</f>
        <v>0</v>
      </c>
      <c r="BB23" s="17">
        <f>IF('Eurostat EB TJ'!BA31=":",0,'Eurostat EB TJ'!BA31)</f>
        <v>0</v>
      </c>
      <c r="BC23" s="17">
        <f>IF('Eurostat EB TJ'!BB31=":",0,'Eurostat EB TJ'!BB31)</f>
        <v>0</v>
      </c>
      <c r="BD23" s="17">
        <f>IF('Eurostat EB TJ'!BC31=":",0,'Eurostat EB TJ'!BC31)</f>
        <v>31227.246999999999</v>
      </c>
      <c r="BE23" s="17">
        <f>IF('Eurostat EB TJ'!BD31=":",0,'Eurostat EB TJ'!BD31)</f>
        <v>0</v>
      </c>
      <c r="BF23" s="17">
        <f>IF('Eurostat EB TJ'!BE31=":",0,'Eurostat EB TJ'!BE31)</f>
        <v>0</v>
      </c>
      <c r="BG23" s="17">
        <f>IF('Eurostat EB TJ'!BF31=":",0,'Eurostat EB TJ'!BF31)</f>
        <v>0</v>
      </c>
      <c r="BH23" s="17">
        <f>IF('Eurostat EB TJ'!BG31=":",0,'Eurostat EB TJ'!BG31)</f>
        <v>0</v>
      </c>
      <c r="BI23" s="17">
        <f>IF('Eurostat EB TJ'!BH31=":",0,'Eurostat EB TJ'!BH31)</f>
        <v>0</v>
      </c>
      <c r="BJ23" s="17">
        <f>IF('Eurostat EB TJ'!BI31=":",0,'Eurostat EB TJ'!BI31)</f>
        <v>0</v>
      </c>
      <c r="BK23" s="17">
        <f>IF('Eurostat EB TJ'!BJ31=":",0,'Eurostat EB TJ'!BJ31)</f>
        <v>0</v>
      </c>
      <c r="BL23" s="17">
        <f>IF('Eurostat EB TJ'!BK31=":",0,'Eurostat EB TJ'!BK31)</f>
        <v>0</v>
      </c>
      <c r="BM23" s="17">
        <f>IF('Eurostat EB TJ'!BL31=":",0,'Eurostat EB TJ'!BL31)</f>
        <v>282.39</v>
      </c>
      <c r="BN23" s="17">
        <f>IF('Eurostat EB TJ'!BM31=":",0,'Eurostat EB TJ'!BM31)</f>
        <v>254.44800000000001</v>
      </c>
      <c r="BO23" s="17">
        <f>IF('Eurostat EB TJ'!BN31=":",0,'Eurostat EB TJ'!BN31)</f>
        <v>0</v>
      </c>
      <c r="BP23" s="17">
        <f>IF('Eurostat EB TJ'!BO31=":",0,'Eurostat EB TJ'!BO31)</f>
        <v>0</v>
      </c>
      <c r="BQ23" s="17">
        <f>IF('Eurostat EB TJ'!BP31=":",0,'Eurostat EB TJ'!BP31)</f>
        <v>254.44800000000001</v>
      </c>
      <c r="BR23" s="17">
        <f>IF('Eurostat EB TJ'!BQ31=":",0,'Eurostat EB TJ'!BQ31)</f>
        <v>0</v>
      </c>
      <c r="BS23" s="17">
        <f>IF('Eurostat EB TJ'!BR31=":",0,'Eurostat EB TJ'!BR31)</f>
        <v>0</v>
      </c>
      <c r="BT23" s="17">
        <f>IF('Eurostat EB TJ'!BS31=":",0,'Eurostat EB TJ'!BS31)</f>
        <v>0</v>
      </c>
      <c r="BU23" s="17">
        <f>IF('Eurostat EB TJ'!BT31=":",0,'Eurostat EB TJ'!BT31)</f>
        <v>32312.937999999998</v>
      </c>
      <c r="BV23" s="17">
        <f>IF('Eurostat EB TJ'!BU31=":",0,'Eurostat EB TJ'!BU31)</f>
        <v>109793.37699999999</v>
      </c>
    </row>
    <row r="24" spans="1:74" x14ac:dyDescent="0.2">
      <c r="A24" s="56" t="s">
        <v>208</v>
      </c>
      <c r="B24" s="57"/>
      <c r="C24" s="57">
        <f>IF('Eurostat EB TJ'!B32=":",0,'Eurostat EB TJ'!B32)</f>
        <v>18399.78</v>
      </c>
      <c r="D24" s="57">
        <f>IF('Eurostat EB TJ'!C32=":",0,'Eurostat EB TJ'!C32)</f>
        <v>0</v>
      </c>
      <c r="E24" s="57">
        <f>IF('Eurostat EB TJ'!D32=":",0,'Eurostat EB TJ'!D32)</f>
        <v>0</v>
      </c>
      <c r="F24" s="57">
        <f>IF('Eurostat EB TJ'!E32=":",0,'Eurostat EB TJ'!E32)</f>
        <v>0</v>
      </c>
      <c r="G24" s="57">
        <f>IF('Eurostat EB TJ'!F32=":",0,'Eurostat EB TJ'!F32)</f>
        <v>0</v>
      </c>
      <c r="H24" s="57">
        <f>IF('Eurostat EB TJ'!G32=":",0,'Eurostat EB TJ'!G32)</f>
        <v>0</v>
      </c>
      <c r="I24" s="57">
        <f>IF('Eurostat EB TJ'!H32=":",0,'Eurostat EB TJ'!H32)</f>
        <v>0</v>
      </c>
      <c r="J24" s="57">
        <f>IF('Eurostat EB TJ'!I32=":",0,'Eurostat EB TJ'!I32)</f>
        <v>0</v>
      </c>
      <c r="K24" s="57">
        <f>IF('Eurostat EB TJ'!J32=":",0,'Eurostat EB TJ'!J32)</f>
        <v>0</v>
      </c>
      <c r="L24" s="57">
        <f>IF('Eurostat EB TJ'!K32=":",0,'Eurostat EB TJ'!K32)</f>
        <v>0</v>
      </c>
      <c r="M24" s="57">
        <f>IF('Eurostat EB TJ'!L32=":",0,'Eurostat EB TJ'!L32)</f>
        <v>0</v>
      </c>
      <c r="N24" s="57">
        <f>IF('Eurostat EB TJ'!M32=":",0,'Eurostat EB TJ'!M32)</f>
        <v>0</v>
      </c>
      <c r="O24" s="57">
        <f>IF('Eurostat EB TJ'!N32=":",0,'Eurostat EB TJ'!N32)</f>
        <v>0</v>
      </c>
      <c r="P24" s="57">
        <f>IF('Eurostat EB TJ'!O32=":",0,'Eurostat EB TJ'!O32)</f>
        <v>0</v>
      </c>
      <c r="Q24" s="57">
        <f>IF('Eurostat EB TJ'!P32=":",0,'Eurostat EB TJ'!P32)</f>
        <v>0</v>
      </c>
      <c r="R24" s="57">
        <f>IF('Eurostat EB TJ'!Q32=":",0,'Eurostat EB TJ'!Q32)</f>
        <v>0</v>
      </c>
      <c r="S24" s="57">
        <f>IF('Eurostat EB TJ'!R32=":",0,'Eurostat EB TJ'!R32)</f>
        <v>0</v>
      </c>
      <c r="T24" s="57">
        <f>IF('Eurostat EB TJ'!S32=":",0,'Eurostat EB TJ'!S32)</f>
        <v>0</v>
      </c>
      <c r="U24" s="57">
        <f>IF('Eurostat EB TJ'!T32=":",0,'Eurostat EB TJ'!T32)</f>
        <v>0</v>
      </c>
      <c r="V24" s="57">
        <f>IF('Eurostat EB TJ'!U32=":",0,'Eurostat EB TJ'!U32)</f>
        <v>0</v>
      </c>
      <c r="W24" s="57">
        <f>IF('Eurostat EB TJ'!V32=":",0,'Eurostat EB TJ'!V32)</f>
        <v>0</v>
      </c>
      <c r="X24" s="57">
        <f>IF('Eurostat EB TJ'!W32=":",0,'Eurostat EB TJ'!W32)</f>
        <v>10592.293</v>
      </c>
      <c r="Y24" s="57">
        <f>IF('Eurostat EB TJ'!X32=":",0,'Eurostat EB TJ'!X32)</f>
        <v>3652.7809999999999</v>
      </c>
      <c r="Z24" s="57">
        <f>IF('Eurostat EB TJ'!Y32=":",0,'Eurostat EB TJ'!Y32)</f>
        <v>0</v>
      </c>
      <c r="AA24" s="57">
        <f>IF('Eurostat EB TJ'!Z32=":",0,'Eurostat EB TJ'!Z32)</f>
        <v>0</v>
      </c>
      <c r="AB24" s="57">
        <f>IF('Eurostat EB TJ'!AA32=":",0,'Eurostat EB TJ'!AA32)</f>
        <v>0</v>
      </c>
      <c r="AC24" s="57">
        <f>IF('Eurostat EB TJ'!AB32=":",0,'Eurostat EB TJ'!AB32)</f>
        <v>0</v>
      </c>
      <c r="AD24" s="57">
        <f>IF('Eurostat EB TJ'!AC32=":",0,'Eurostat EB TJ'!AC32)</f>
        <v>0</v>
      </c>
      <c r="AE24" s="57">
        <f>IF('Eurostat EB TJ'!AD32=":",0,'Eurostat EB TJ'!AD32)</f>
        <v>3652.7570000000001</v>
      </c>
      <c r="AF24" s="57">
        <f>IF('Eurostat EB TJ'!AE32=":",0,'Eurostat EB TJ'!AE32)</f>
        <v>0</v>
      </c>
      <c r="AG24" s="57">
        <f>IF('Eurostat EB TJ'!AF32=":",0,'Eurostat EB TJ'!AF32)</f>
        <v>0</v>
      </c>
      <c r="AH24" s="57">
        <f>IF('Eurostat EB TJ'!AG32=":",0,'Eurostat EB TJ'!AG32)</f>
        <v>0</v>
      </c>
      <c r="AI24" s="57">
        <f>IF('Eurostat EB TJ'!AH32=":",0,'Eurostat EB TJ'!AH32)</f>
        <v>0</v>
      </c>
      <c r="AJ24" s="57">
        <f>IF('Eurostat EB TJ'!AI32=":",0,'Eurostat EB TJ'!AI32)</f>
        <v>0</v>
      </c>
      <c r="AK24" s="57">
        <f>IF('Eurostat EB TJ'!AJ32=":",0,'Eurostat EB TJ'!AJ32)</f>
        <v>0</v>
      </c>
      <c r="AL24" s="57">
        <f>IF('Eurostat EB TJ'!AK32=":",0,'Eurostat EB TJ'!AK32)</f>
        <v>0</v>
      </c>
      <c r="AM24" s="57">
        <f>IF('Eurostat EB TJ'!AL32=":",0,'Eurostat EB TJ'!AL32)</f>
        <v>0</v>
      </c>
      <c r="AN24" s="57">
        <f>IF('Eurostat EB TJ'!AM32=":",0,'Eurostat EB TJ'!AM32)</f>
        <v>0</v>
      </c>
      <c r="AO24" s="57">
        <f>IF('Eurostat EB TJ'!AN32=":",0,'Eurostat EB TJ'!AN32)</f>
        <v>0</v>
      </c>
      <c r="AP24" s="57">
        <f>IF('Eurostat EB TJ'!AO32=":",0,'Eurostat EB TJ'!AO32)</f>
        <v>0</v>
      </c>
      <c r="AQ24" s="57">
        <f>IF('Eurostat EB TJ'!AP32=":",0,'Eurostat EB TJ'!AP32)</f>
        <v>0</v>
      </c>
      <c r="AR24" s="57">
        <f>IF('Eurostat EB TJ'!AQ32=":",0,'Eurostat EB TJ'!AQ32)</f>
        <v>0</v>
      </c>
      <c r="AS24" s="57">
        <f>IF('Eurostat EB TJ'!AR32=":",0,'Eurostat EB TJ'!AR32)</f>
        <v>0</v>
      </c>
      <c r="AT24" s="57">
        <f>IF('Eurostat EB TJ'!AS32=":",0,'Eurostat EB TJ'!AS32)</f>
        <v>0</v>
      </c>
      <c r="AU24" s="57">
        <f>IF('Eurostat EB TJ'!AT32=":",0,'Eurostat EB TJ'!AT32)</f>
        <v>2.4E-2</v>
      </c>
      <c r="AV24" s="57">
        <f>IF('Eurostat EB TJ'!AU32=":",0,'Eurostat EB TJ'!AU32)</f>
        <v>4138.8140000000003</v>
      </c>
      <c r="AW24" s="57">
        <f>IF('Eurostat EB TJ'!AV32=":",0,'Eurostat EB TJ'!AV32)</f>
        <v>0</v>
      </c>
      <c r="AX24" s="57">
        <f>IF('Eurostat EB TJ'!AW32=":",0,'Eurostat EB TJ'!AW32)</f>
        <v>0</v>
      </c>
      <c r="AY24" s="57">
        <f>IF('Eurostat EB TJ'!AX32=":",0,'Eurostat EB TJ'!AX32)</f>
        <v>0</v>
      </c>
      <c r="AZ24" s="57">
        <f>IF('Eurostat EB TJ'!AY32=":",0,'Eurostat EB TJ'!AY32)</f>
        <v>0</v>
      </c>
      <c r="BA24" s="57">
        <f>IF('Eurostat EB TJ'!AZ32=":",0,'Eurostat EB TJ'!AZ32)</f>
        <v>0</v>
      </c>
      <c r="BB24" s="57">
        <f>IF('Eurostat EB TJ'!BA32=":",0,'Eurostat EB TJ'!BA32)</f>
        <v>0</v>
      </c>
      <c r="BC24" s="57">
        <f>IF('Eurostat EB TJ'!BB32=":",0,'Eurostat EB TJ'!BB32)</f>
        <v>0</v>
      </c>
      <c r="BD24" s="57">
        <f>IF('Eurostat EB TJ'!BC32=":",0,'Eurostat EB TJ'!BC32)</f>
        <v>4138.8140000000003</v>
      </c>
      <c r="BE24" s="57">
        <f>IF('Eurostat EB TJ'!BD32=":",0,'Eurostat EB TJ'!BD32)</f>
        <v>0</v>
      </c>
      <c r="BF24" s="57">
        <f>IF('Eurostat EB TJ'!BE32=":",0,'Eurostat EB TJ'!BE32)</f>
        <v>0</v>
      </c>
      <c r="BG24" s="57">
        <f>IF('Eurostat EB TJ'!BF32=":",0,'Eurostat EB TJ'!BF32)</f>
        <v>0</v>
      </c>
      <c r="BH24" s="57">
        <f>IF('Eurostat EB TJ'!BG32=":",0,'Eurostat EB TJ'!BG32)</f>
        <v>0</v>
      </c>
      <c r="BI24" s="57">
        <f>IF('Eurostat EB TJ'!BH32=":",0,'Eurostat EB TJ'!BH32)</f>
        <v>0</v>
      </c>
      <c r="BJ24" s="57">
        <f>IF('Eurostat EB TJ'!BI32=":",0,'Eurostat EB TJ'!BI32)</f>
        <v>0</v>
      </c>
      <c r="BK24" s="57">
        <f>IF('Eurostat EB TJ'!BJ32=":",0,'Eurostat EB TJ'!BJ32)</f>
        <v>0</v>
      </c>
      <c r="BL24" s="57">
        <f>IF('Eurostat EB TJ'!BK32=":",0,'Eurostat EB TJ'!BK32)</f>
        <v>0</v>
      </c>
      <c r="BM24" s="57">
        <f>IF('Eurostat EB TJ'!BL32=":",0,'Eurostat EB TJ'!BL32)</f>
        <v>0</v>
      </c>
      <c r="BN24" s="57">
        <f>IF('Eurostat EB TJ'!BM32=":",0,'Eurostat EB TJ'!BM32)</f>
        <v>15.891999999999999</v>
      </c>
      <c r="BO24" s="57">
        <f>IF('Eurostat EB TJ'!BN32=":",0,'Eurostat EB TJ'!BN32)</f>
        <v>0</v>
      </c>
      <c r="BP24" s="57">
        <f>IF('Eurostat EB TJ'!BO32=":",0,'Eurostat EB TJ'!BO32)</f>
        <v>0</v>
      </c>
      <c r="BQ24" s="57">
        <f>IF('Eurostat EB TJ'!BP32=":",0,'Eurostat EB TJ'!BP32)</f>
        <v>15.891999999999999</v>
      </c>
      <c r="BR24" s="57">
        <f>IF('Eurostat EB TJ'!BQ32=":",0,'Eurostat EB TJ'!BQ32)</f>
        <v>0</v>
      </c>
      <c r="BS24" s="57">
        <f>IF('Eurostat EB TJ'!BR32=":",0,'Eurostat EB TJ'!BR32)</f>
        <v>0</v>
      </c>
      <c r="BT24" s="57">
        <f>IF('Eurostat EB TJ'!BS32=":",0,'Eurostat EB TJ'!BS32)</f>
        <v>0</v>
      </c>
      <c r="BU24" s="57">
        <f>IF('Eurostat EB TJ'!BT32=":",0,'Eurostat EB TJ'!BT32)</f>
        <v>4247.3100000000004</v>
      </c>
      <c r="BV24" s="57">
        <f>IF('Eurostat EB TJ'!BU32=":",0,'Eurostat EB TJ'!BU32)</f>
        <v>14152.47</v>
      </c>
    </row>
    <row r="25" spans="1:74" x14ac:dyDescent="0.2">
      <c r="A25" s="56" t="s">
        <v>209</v>
      </c>
      <c r="B25" s="17"/>
      <c r="C25" s="17">
        <f>IF('Eurostat EB TJ'!B33=":",0,'Eurostat EB TJ'!B33)</f>
        <v>67696.36</v>
      </c>
      <c r="D25" s="17">
        <f>IF('Eurostat EB TJ'!C33=":",0,'Eurostat EB TJ'!C33)</f>
        <v>0</v>
      </c>
      <c r="E25" s="17">
        <f>IF('Eurostat EB TJ'!D33=":",0,'Eurostat EB TJ'!D33)</f>
        <v>0</v>
      </c>
      <c r="F25" s="17">
        <f>IF('Eurostat EB TJ'!E33=":",0,'Eurostat EB TJ'!E33)</f>
        <v>0</v>
      </c>
      <c r="G25" s="17">
        <f>IF('Eurostat EB TJ'!F33=":",0,'Eurostat EB TJ'!F33)</f>
        <v>0</v>
      </c>
      <c r="H25" s="17">
        <f>IF('Eurostat EB TJ'!G33=":",0,'Eurostat EB TJ'!G33)</f>
        <v>0</v>
      </c>
      <c r="I25" s="17">
        <f>IF('Eurostat EB TJ'!H33=":",0,'Eurostat EB TJ'!H33)</f>
        <v>0</v>
      </c>
      <c r="J25" s="17">
        <f>IF('Eurostat EB TJ'!I33=":",0,'Eurostat EB TJ'!I33)</f>
        <v>0</v>
      </c>
      <c r="K25" s="17">
        <f>IF('Eurostat EB TJ'!J33=":",0,'Eurostat EB TJ'!J33)</f>
        <v>0</v>
      </c>
      <c r="L25" s="17">
        <f>IF('Eurostat EB TJ'!K33=":",0,'Eurostat EB TJ'!K33)</f>
        <v>0</v>
      </c>
      <c r="M25" s="17">
        <f>IF('Eurostat EB TJ'!L33=":",0,'Eurostat EB TJ'!L33)</f>
        <v>0</v>
      </c>
      <c r="N25" s="17">
        <f>IF('Eurostat EB TJ'!M33=":",0,'Eurostat EB TJ'!M33)</f>
        <v>0</v>
      </c>
      <c r="O25" s="17">
        <f>IF('Eurostat EB TJ'!N33=":",0,'Eurostat EB TJ'!N33)</f>
        <v>0</v>
      </c>
      <c r="P25" s="17">
        <f>IF('Eurostat EB TJ'!O33=":",0,'Eurostat EB TJ'!O33)</f>
        <v>0</v>
      </c>
      <c r="Q25" s="17">
        <f>IF('Eurostat EB TJ'!P33=":",0,'Eurostat EB TJ'!P33)</f>
        <v>0</v>
      </c>
      <c r="R25" s="17">
        <f>IF('Eurostat EB TJ'!Q33=":",0,'Eurostat EB TJ'!Q33)</f>
        <v>0</v>
      </c>
      <c r="S25" s="17">
        <f>IF('Eurostat EB TJ'!R33=":",0,'Eurostat EB TJ'!R33)</f>
        <v>0</v>
      </c>
      <c r="T25" s="17">
        <f>IF('Eurostat EB TJ'!S33=":",0,'Eurostat EB TJ'!S33)</f>
        <v>0</v>
      </c>
      <c r="U25" s="17">
        <f>IF('Eurostat EB TJ'!T33=":",0,'Eurostat EB TJ'!T33)</f>
        <v>0</v>
      </c>
      <c r="V25" s="17">
        <f>IF('Eurostat EB TJ'!U33=":",0,'Eurostat EB TJ'!U33)</f>
        <v>0</v>
      </c>
      <c r="W25" s="17">
        <f>IF('Eurostat EB TJ'!V33=":",0,'Eurostat EB TJ'!V33)</f>
        <v>0</v>
      </c>
      <c r="X25" s="17">
        <f>IF('Eurostat EB TJ'!W33=":",0,'Eurostat EB TJ'!W33)</f>
        <v>2416.8009999999999</v>
      </c>
      <c r="Y25" s="17">
        <f>IF('Eurostat EB TJ'!X33=":",0,'Eurostat EB TJ'!X33)</f>
        <v>625.53200000000004</v>
      </c>
      <c r="Z25" s="17">
        <f>IF('Eurostat EB TJ'!Y33=":",0,'Eurostat EB TJ'!Y33)</f>
        <v>0</v>
      </c>
      <c r="AA25" s="17">
        <f>IF('Eurostat EB TJ'!Z33=":",0,'Eurostat EB TJ'!Z33)</f>
        <v>0</v>
      </c>
      <c r="AB25" s="17">
        <f>IF('Eurostat EB TJ'!AA33=":",0,'Eurostat EB TJ'!AA33)</f>
        <v>0</v>
      </c>
      <c r="AC25" s="17">
        <f>IF('Eurostat EB TJ'!AB33=":",0,'Eurostat EB TJ'!AB33)</f>
        <v>0</v>
      </c>
      <c r="AD25" s="17">
        <f>IF('Eurostat EB TJ'!AC33=":",0,'Eurostat EB TJ'!AC33)</f>
        <v>0</v>
      </c>
      <c r="AE25" s="17">
        <f>IF('Eurostat EB TJ'!AD33=":",0,'Eurostat EB TJ'!AD33)</f>
        <v>621.13099999999997</v>
      </c>
      <c r="AF25" s="17">
        <f>IF('Eurostat EB TJ'!AE33=":",0,'Eurostat EB TJ'!AE33)</f>
        <v>0</v>
      </c>
      <c r="AG25" s="17">
        <f>IF('Eurostat EB TJ'!AF33=":",0,'Eurostat EB TJ'!AF33)</f>
        <v>0</v>
      </c>
      <c r="AH25" s="17">
        <f>IF('Eurostat EB TJ'!AG33=":",0,'Eurostat EB TJ'!AG33)</f>
        <v>0</v>
      </c>
      <c r="AI25" s="17">
        <f>IF('Eurostat EB TJ'!AH33=":",0,'Eurostat EB TJ'!AH33)</f>
        <v>0</v>
      </c>
      <c r="AJ25" s="17">
        <f>IF('Eurostat EB TJ'!AI33=":",0,'Eurostat EB TJ'!AI33)</f>
        <v>0</v>
      </c>
      <c r="AK25" s="17">
        <f>IF('Eurostat EB TJ'!AJ33=":",0,'Eurostat EB TJ'!AJ33)</f>
        <v>0</v>
      </c>
      <c r="AL25" s="17">
        <f>IF('Eurostat EB TJ'!AK33=":",0,'Eurostat EB TJ'!AK33)</f>
        <v>0</v>
      </c>
      <c r="AM25" s="17">
        <f>IF('Eurostat EB TJ'!AL33=":",0,'Eurostat EB TJ'!AL33)</f>
        <v>0</v>
      </c>
      <c r="AN25" s="17">
        <f>IF('Eurostat EB TJ'!AM33=":",0,'Eurostat EB TJ'!AM33)</f>
        <v>4.4000000000000004</v>
      </c>
      <c r="AO25" s="17">
        <f>IF('Eurostat EB TJ'!AN33=":",0,'Eurostat EB TJ'!AN33)</f>
        <v>0</v>
      </c>
      <c r="AP25" s="17">
        <f>IF('Eurostat EB TJ'!AO33=":",0,'Eurostat EB TJ'!AO33)</f>
        <v>0</v>
      </c>
      <c r="AQ25" s="17">
        <f>IF('Eurostat EB TJ'!AP33=":",0,'Eurostat EB TJ'!AP33)</f>
        <v>0</v>
      </c>
      <c r="AR25" s="17">
        <f>IF('Eurostat EB TJ'!AQ33=":",0,'Eurostat EB TJ'!AQ33)</f>
        <v>0</v>
      </c>
      <c r="AS25" s="17">
        <f>IF('Eurostat EB TJ'!AR33=":",0,'Eurostat EB TJ'!AR33)</f>
        <v>0</v>
      </c>
      <c r="AT25" s="17">
        <f>IF('Eurostat EB TJ'!AS33=":",0,'Eurostat EB TJ'!AS33)</f>
        <v>0</v>
      </c>
      <c r="AU25" s="17">
        <f>IF('Eurostat EB TJ'!AT33=":",0,'Eurostat EB TJ'!AT33)</f>
        <v>0</v>
      </c>
      <c r="AV25" s="17">
        <f>IF('Eurostat EB TJ'!AU33=":",0,'Eurostat EB TJ'!AU33)</f>
        <v>64654.027000000002</v>
      </c>
      <c r="AW25" s="17">
        <f>IF('Eurostat EB TJ'!AV33=":",0,'Eurostat EB TJ'!AV33)</f>
        <v>0</v>
      </c>
      <c r="AX25" s="17">
        <f>IF('Eurostat EB TJ'!AW33=":",0,'Eurostat EB TJ'!AW33)</f>
        <v>0</v>
      </c>
      <c r="AY25" s="17">
        <f>IF('Eurostat EB TJ'!AX33=":",0,'Eurostat EB TJ'!AX33)</f>
        <v>8443.2890000000007</v>
      </c>
      <c r="AZ25" s="17">
        <f>IF('Eurostat EB TJ'!AY33=":",0,'Eurostat EB TJ'!AY33)</f>
        <v>0</v>
      </c>
      <c r="BA25" s="17">
        <f>IF('Eurostat EB TJ'!AZ33=":",0,'Eurostat EB TJ'!AZ33)</f>
        <v>56016.81</v>
      </c>
      <c r="BB25" s="17">
        <f>IF('Eurostat EB TJ'!BA33=":",0,'Eurostat EB TJ'!BA33)</f>
        <v>0</v>
      </c>
      <c r="BC25" s="17">
        <f>IF('Eurostat EB TJ'!BB33=":",0,'Eurostat EB TJ'!BB33)</f>
        <v>0</v>
      </c>
      <c r="BD25" s="17">
        <f>IF('Eurostat EB TJ'!BC33=":",0,'Eurostat EB TJ'!BC33)</f>
        <v>0</v>
      </c>
      <c r="BE25" s="17">
        <f>IF('Eurostat EB TJ'!BD33=":",0,'Eurostat EB TJ'!BD33)</f>
        <v>0</v>
      </c>
      <c r="BF25" s="17">
        <f>IF('Eurostat EB TJ'!BE33=":",0,'Eurostat EB TJ'!BE33)</f>
        <v>0</v>
      </c>
      <c r="BG25" s="17">
        <f>IF('Eurostat EB TJ'!BF33=":",0,'Eurostat EB TJ'!BF33)</f>
        <v>0</v>
      </c>
      <c r="BH25" s="17">
        <f>IF('Eurostat EB TJ'!BG33=":",0,'Eurostat EB TJ'!BG33)</f>
        <v>0</v>
      </c>
      <c r="BI25" s="17">
        <f>IF('Eurostat EB TJ'!BH33=":",0,'Eurostat EB TJ'!BH33)</f>
        <v>0</v>
      </c>
      <c r="BJ25" s="17">
        <f>IF('Eurostat EB TJ'!BI33=":",0,'Eurostat EB TJ'!BI33)</f>
        <v>0</v>
      </c>
      <c r="BK25" s="17">
        <f>IF('Eurostat EB TJ'!BJ33=":",0,'Eurostat EB TJ'!BJ33)</f>
        <v>0</v>
      </c>
      <c r="BL25" s="17">
        <f>IF('Eurostat EB TJ'!BK33=":",0,'Eurostat EB TJ'!BK33)</f>
        <v>0</v>
      </c>
      <c r="BM25" s="17">
        <f>IF('Eurostat EB TJ'!BL33=":",0,'Eurostat EB TJ'!BL33)</f>
        <v>193.928</v>
      </c>
      <c r="BN25" s="17">
        <f>IF('Eurostat EB TJ'!BM33=":",0,'Eurostat EB TJ'!BM33)</f>
        <v>0</v>
      </c>
      <c r="BO25" s="17">
        <f>IF('Eurostat EB TJ'!BN33=":",0,'Eurostat EB TJ'!BN33)</f>
        <v>0</v>
      </c>
      <c r="BP25" s="17">
        <f>IF('Eurostat EB TJ'!BO33=":",0,'Eurostat EB TJ'!BO33)</f>
        <v>0</v>
      </c>
      <c r="BQ25" s="17">
        <f>IF('Eurostat EB TJ'!BP33=":",0,'Eurostat EB TJ'!BP33)</f>
        <v>0</v>
      </c>
      <c r="BR25" s="17">
        <f>IF('Eurostat EB TJ'!BQ33=":",0,'Eurostat EB TJ'!BQ33)</f>
        <v>0</v>
      </c>
      <c r="BS25" s="17">
        <f>IF('Eurostat EB TJ'!BR33=":",0,'Eurostat EB TJ'!BR33)</f>
        <v>0</v>
      </c>
      <c r="BT25" s="17">
        <f>IF('Eurostat EB TJ'!BS33=":",0,'Eurostat EB TJ'!BS33)</f>
        <v>0</v>
      </c>
      <c r="BU25" s="17">
        <f>IF('Eurostat EB TJ'!BT33=":",0,'Eurostat EB TJ'!BT33)</f>
        <v>218.68299999999999</v>
      </c>
      <c r="BV25" s="17">
        <f>IF('Eurostat EB TJ'!BU33=":",0,'Eurostat EB TJ'!BU33)</f>
        <v>3017.578</v>
      </c>
    </row>
    <row r="26" spans="1:74" x14ac:dyDescent="0.2">
      <c r="A26" s="56" t="s">
        <v>210</v>
      </c>
      <c r="B26" s="57"/>
      <c r="C26" s="57">
        <f>IF('Eurostat EB TJ'!B34=":",0,'Eurostat EB TJ'!B34)</f>
        <v>175821.42199999999</v>
      </c>
      <c r="D26" s="57">
        <f>IF('Eurostat EB TJ'!C34=":",0,'Eurostat EB TJ'!C34)</f>
        <v>0</v>
      </c>
      <c r="E26" s="57">
        <f>IF('Eurostat EB TJ'!D34=":",0,'Eurostat EB TJ'!D34)</f>
        <v>0</v>
      </c>
      <c r="F26" s="57">
        <f>IF('Eurostat EB TJ'!E34=":",0,'Eurostat EB TJ'!E34)</f>
        <v>0</v>
      </c>
      <c r="G26" s="57">
        <f>IF('Eurostat EB TJ'!F34=":",0,'Eurostat EB TJ'!F34)</f>
        <v>0</v>
      </c>
      <c r="H26" s="57">
        <f>IF('Eurostat EB TJ'!G34=":",0,'Eurostat EB TJ'!G34)</f>
        <v>0</v>
      </c>
      <c r="I26" s="57">
        <f>IF('Eurostat EB TJ'!H34=":",0,'Eurostat EB TJ'!H34)</f>
        <v>0</v>
      </c>
      <c r="J26" s="57">
        <f>IF('Eurostat EB TJ'!I34=":",0,'Eurostat EB TJ'!I34)</f>
        <v>0</v>
      </c>
      <c r="K26" s="57">
        <f>IF('Eurostat EB TJ'!J34=":",0,'Eurostat EB TJ'!J34)</f>
        <v>0</v>
      </c>
      <c r="L26" s="57">
        <f>IF('Eurostat EB TJ'!K34=":",0,'Eurostat EB TJ'!K34)</f>
        <v>0</v>
      </c>
      <c r="M26" s="57">
        <f>IF('Eurostat EB TJ'!L34=":",0,'Eurostat EB TJ'!L34)</f>
        <v>0</v>
      </c>
      <c r="N26" s="57">
        <f>IF('Eurostat EB TJ'!M34=":",0,'Eurostat EB TJ'!M34)</f>
        <v>0</v>
      </c>
      <c r="O26" s="57">
        <f>IF('Eurostat EB TJ'!N34=":",0,'Eurostat EB TJ'!N34)</f>
        <v>799.55100000000004</v>
      </c>
      <c r="P26" s="57">
        <f>IF('Eurostat EB TJ'!O34=":",0,'Eurostat EB TJ'!O34)</f>
        <v>97.316999999999993</v>
      </c>
      <c r="Q26" s="57">
        <f>IF('Eurostat EB TJ'!P34=":",0,'Eurostat EB TJ'!P34)</f>
        <v>0</v>
      </c>
      <c r="R26" s="57">
        <f>IF('Eurostat EB TJ'!Q34=":",0,'Eurostat EB TJ'!Q34)</f>
        <v>702.23400000000004</v>
      </c>
      <c r="S26" s="57">
        <f>IF('Eurostat EB TJ'!R34=":",0,'Eurostat EB TJ'!R34)</f>
        <v>0</v>
      </c>
      <c r="T26" s="57">
        <f>IF('Eurostat EB TJ'!S34=":",0,'Eurostat EB TJ'!S34)</f>
        <v>0</v>
      </c>
      <c r="U26" s="57">
        <f>IF('Eurostat EB TJ'!T34=":",0,'Eurostat EB TJ'!T34)</f>
        <v>0</v>
      </c>
      <c r="V26" s="57">
        <f>IF('Eurostat EB TJ'!U34=":",0,'Eurostat EB TJ'!U34)</f>
        <v>0</v>
      </c>
      <c r="W26" s="57">
        <f>IF('Eurostat EB TJ'!V34=":",0,'Eurostat EB TJ'!V34)</f>
        <v>0</v>
      </c>
      <c r="X26" s="57">
        <f>IF('Eurostat EB TJ'!W34=":",0,'Eurostat EB TJ'!W34)</f>
        <v>79593.831999999995</v>
      </c>
      <c r="Y26" s="57">
        <f>IF('Eurostat EB TJ'!X34=":",0,'Eurostat EB TJ'!X34)</f>
        <v>13406.879000000001</v>
      </c>
      <c r="Z26" s="57">
        <f>IF('Eurostat EB TJ'!Y34=":",0,'Eurostat EB TJ'!Y34)</f>
        <v>0</v>
      </c>
      <c r="AA26" s="57">
        <f>IF('Eurostat EB TJ'!Z34=":",0,'Eurostat EB TJ'!Z34)</f>
        <v>0</v>
      </c>
      <c r="AB26" s="57">
        <f>IF('Eurostat EB TJ'!AA34=":",0,'Eurostat EB TJ'!AA34)</f>
        <v>0</v>
      </c>
      <c r="AC26" s="57">
        <f>IF('Eurostat EB TJ'!AB34=":",0,'Eurostat EB TJ'!AB34)</f>
        <v>0</v>
      </c>
      <c r="AD26" s="57">
        <f>IF('Eurostat EB TJ'!AC34=":",0,'Eurostat EB TJ'!AC34)</f>
        <v>0</v>
      </c>
      <c r="AE26" s="57">
        <f>IF('Eurostat EB TJ'!AD34=":",0,'Eurostat EB TJ'!AD34)</f>
        <v>13257.311</v>
      </c>
      <c r="AF26" s="57">
        <f>IF('Eurostat EB TJ'!AE34=":",0,'Eurostat EB TJ'!AE34)</f>
        <v>0</v>
      </c>
      <c r="AG26" s="57">
        <f>IF('Eurostat EB TJ'!AF34=":",0,'Eurostat EB TJ'!AF34)</f>
        <v>0</v>
      </c>
      <c r="AH26" s="57">
        <f>IF('Eurostat EB TJ'!AG34=":",0,'Eurostat EB TJ'!AG34)</f>
        <v>0</v>
      </c>
      <c r="AI26" s="57">
        <f>IF('Eurostat EB TJ'!AH34=":",0,'Eurostat EB TJ'!AH34)</f>
        <v>0</v>
      </c>
      <c r="AJ26" s="57">
        <f>IF('Eurostat EB TJ'!AI34=":",0,'Eurostat EB TJ'!AI34)</f>
        <v>0</v>
      </c>
      <c r="AK26" s="57">
        <f>IF('Eurostat EB TJ'!AJ34=":",0,'Eurostat EB TJ'!AJ34)</f>
        <v>0</v>
      </c>
      <c r="AL26" s="57">
        <f>IF('Eurostat EB TJ'!AK34=":",0,'Eurostat EB TJ'!AK34)</f>
        <v>0</v>
      </c>
      <c r="AM26" s="57">
        <f>IF('Eurostat EB TJ'!AL34=":",0,'Eurostat EB TJ'!AL34)</f>
        <v>0</v>
      </c>
      <c r="AN26" s="57">
        <f>IF('Eurostat EB TJ'!AM34=":",0,'Eurostat EB TJ'!AM34)</f>
        <v>149.56800000000001</v>
      </c>
      <c r="AO26" s="57">
        <f>IF('Eurostat EB TJ'!AN34=":",0,'Eurostat EB TJ'!AN34)</f>
        <v>0</v>
      </c>
      <c r="AP26" s="57">
        <f>IF('Eurostat EB TJ'!AO34=":",0,'Eurostat EB TJ'!AO34)</f>
        <v>0</v>
      </c>
      <c r="AQ26" s="57">
        <f>IF('Eurostat EB TJ'!AP34=":",0,'Eurostat EB TJ'!AP34)</f>
        <v>0</v>
      </c>
      <c r="AR26" s="57">
        <f>IF('Eurostat EB TJ'!AQ34=":",0,'Eurostat EB TJ'!AQ34)</f>
        <v>0</v>
      </c>
      <c r="AS26" s="57">
        <f>IF('Eurostat EB TJ'!AR34=":",0,'Eurostat EB TJ'!AR34)</f>
        <v>0</v>
      </c>
      <c r="AT26" s="57">
        <f>IF('Eurostat EB TJ'!AS34=":",0,'Eurostat EB TJ'!AS34)</f>
        <v>0</v>
      </c>
      <c r="AU26" s="57">
        <f>IF('Eurostat EB TJ'!AT34=":",0,'Eurostat EB TJ'!AT34)</f>
        <v>0</v>
      </c>
      <c r="AV26" s="57">
        <f>IF('Eurostat EB TJ'!AU34=":",0,'Eurostat EB TJ'!AU34)</f>
        <v>50493.582000000002</v>
      </c>
      <c r="AW26" s="57">
        <f>IF('Eurostat EB TJ'!AV34=":",0,'Eurostat EB TJ'!AV34)</f>
        <v>0</v>
      </c>
      <c r="AX26" s="57">
        <f>IF('Eurostat EB TJ'!AW34=":",0,'Eurostat EB TJ'!AW34)</f>
        <v>0</v>
      </c>
      <c r="AY26" s="57">
        <f>IF('Eurostat EB TJ'!AX34=":",0,'Eurostat EB TJ'!AX34)</f>
        <v>0</v>
      </c>
      <c r="AZ26" s="57">
        <f>IF('Eurostat EB TJ'!AY34=":",0,'Eurostat EB TJ'!AY34)</f>
        <v>0</v>
      </c>
      <c r="BA26" s="57">
        <f>IF('Eurostat EB TJ'!AZ34=":",0,'Eurostat EB TJ'!AZ34)</f>
        <v>0</v>
      </c>
      <c r="BB26" s="57">
        <f>IF('Eurostat EB TJ'!BA34=":",0,'Eurostat EB TJ'!BA34)</f>
        <v>0</v>
      </c>
      <c r="BC26" s="57">
        <f>IF('Eurostat EB TJ'!BB34=":",0,'Eurostat EB TJ'!BB34)</f>
        <v>0</v>
      </c>
      <c r="BD26" s="57">
        <f>IF('Eurostat EB TJ'!BC34=":",0,'Eurostat EB TJ'!BC34)</f>
        <v>11165.546</v>
      </c>
      <c r="BE26" s="57">
        <f>IF('Eurostat EB TJ'!BD34=":",0,'Eurostat EB TJ'!BD34)</f>
        <v>0</v>
      </c>
      <c r="BF26" s="57">
        <f>IF('Eurostat EB TJ'!BE34=":",0,'Eurostat EB TJ'!BE34)</f>
        <v>0</v>
      </c>
      <c r="BG26" s="57">
        <f>IF('Eurostat EB TJ'!BF34=":",0,'Eurostat EB TJ'!BF34)</f>
        <v>0</v>
      </c>
      <c r="BH26" s="57">
        <f>IF('Eurostat EB TJ'!BG34=":",0,'Eurostat EB TJ'!BG34)</f>
        <v>0</v>
      </c>
      <c r="BI26" s="57">
        <f>IF('Eurostat EB TJ'!BH34=":",0,'Eurostat EB TJ'!BH34)</f>
        <v>0</v>
      </c>
      <c r="BJ26" s="57">
        <f>IF('Eurostat EB TJ'!BI34=":",0,'Eurostat EB TJ'!BI34)</f>
        <v>0</v>
      </c>
      <c r="BK26" s="57">
        <f>IF('Eurostat EB TJ'!BJ34=":",0,'Eurostat EB TJ'!BJ34)</f>
        <v>0</v>
      </c>
      <c r="BL26" s="57">
        <f>IF('Eurostat EB TJ'!BK34=":",0,'Eurostat EB TJ'!BK34)</f>
        <v>0</v>
      </c>
      <c r="BM26" s="57">
        <f>IF('Eurostat EB TJ'!BL34=":",0,'Eurostat EB TJ'!BL34)</f>
        <v>3990.4960000000001</v>
      </c>
      <c r="BN26" s="57">
        <f>IF('Eurostat EB TJ'!BM34=":",0,'Eurostat EB TJ'!BM34)</f>
        <v>190.51499999999999</v>
      </c>
      <c r="BO26" s="57">
        <f>IF('Eurostat EB TJ'!BN34=":",0,'Eurostat EB TJ'!BN34)</f>
        <v>35337.54</v>
      </c>
      <c r="BP26" s="57">
        <f>IF('Eurostat EB TJ'!BO34=":",0,'Eurostat EB TJ'!BO34)</f>
        <v>31337.062999999998</v>
      </c>
      <c r="BQ26" s="57">
        <f>IF('Eurostat EB TJ'!BP34=":",0,'Eurostat EB TJ'!BP34)</f>
        <v>31527.578000000001</v>
      </c>
      <c r="BR26" s="57">
        <f>IF('Eurostat EB TJ'!BQ34=":",0,'Eurostat EB TJ'!BQ34)</f>
        <v>0</v>
      </c>
      <c r="BS26" s="57">
        <f>IF('Eurostat EB TJ'!BR34=":",0,'Eurostat EB TJ'!BR34)</f>
        <v>0</v>
      </c>
      <c r="BT26" s="57">
        <f>IF('Eurostat EB TJ'!BS34=":",0,'Eurostat EB TJ'!BS34)</f>
        <v>0</v>
      </c>
      <c r="BU26" s="57">
        <f>IF('Eurostat EB TJ'!BT34=":",0,'Eurostat EB TJ'!BT34)</f>
        <v>51308.853999999999</v>
      </c>
      <c r="BV26" s="57">
        <f>IF('Eurostat EB TJ'!BU34=":",0,'Eurostat EB TJ'!BU34)</f>
        <v>124512.568</v>
      </c>
    </row>
    <row r="27" spans="1:74" x14ac:dyDescent="0.2">
      <c r="A27" s="56" t="s">
        <v>211</v>
      </c>
      <c r="B27" s="17"/>
      <c r="C27" s="17">
        <f>IF('Eurostat EB TJ'!B35=":",0,'Eurostat EB TJ'!B35)</f>
        <v>12000.74</v>
      </c>
      <c r="D27" s="17">
        <f>IF('Eurostat EB TJ'!C35=":",0,'Eurostat EB TJ'!C35)</f>
        <v>0</v>
      </c>
      <c r="E27" s="17">
        <f>IF('Eurostat EB TJ'!D35=":",0,'Eurostat EB TJ'!D35)</f>
        <v>0</v>
      </c>
      <c r="F27" s="17">
        <f>IF('Eurostat EB TJ'!E35=":",0,'Eurostat EB TJ'!E35)</f>
        <v>0</v>
      </c>
      <c r="G27" s="17">
        <f>IF('Eurostat EB TJ'!F35=":",0,'Eurostat EB TJ'!F35)</f>
        <v>0</v>
      </c>
      <c r="H27" s="17">
        <f>IF('Eurostat EB TJ'!G35=":",0,'Eurostat EB TJ'!G35)</f>
        <v>0</v>
      </c>
      <c r="I27" s="17">
        <f>IF('Eurostat EB TJ'!H35=":",0,'Eurostat EB TJ'!H35)</f>
        <v>0</v>
      </c>
      <c r="J27" s="17">
        <f>IF('Eurostat EB TJ'!I35=":",0,'Eurostat EB TJ'!I35)</f>
        <v>0</v>
      </c>
      <c r="K27" s="17">
        <f>IF('Eurostat EB TJ'!J35=":",0,'Eurostat EB TJ'!J35)</f>
        <v>0</v>
      </c>
      <c r="L27" s="17">
        <f>IF('Eurostat EB TJ'!K35=":",0,'Eurostat EB TJ'!K35)</f>
        <v>0</v>
      </c>
      <c r="M27" s="17">
        <f>IF('Eurostat EB TJ'!L35=":",0,'Eurostat EB TJ'!L35)</f>
        <v>0</v>
      </c>
      <c r="N27" s="17">
        <f>IF('Eurostat EB TJ'!M35=":",0,'Eurostat EB TJ'!M35)</f>
        <v>0</v>
      </c>
      <c r="O27" s="17">
        <f>IF('Eurostat EB TJ'!N35=":",0,'Eurostat EB TJ'!N35)</f>
        <v>0</v>
      </c>
      <c r="P27" s="17">
        <f>IF('Eurostat EB TJ'!O35=":",0,'Eurostat EB TJ'!O35)</f>
        <v>0</v>
      </c>
      <c r="Q27" s="17">
        <f>IF('Eurostat EB TJ'!P35=":",0,'Eurostat EB TJ'!P35)</f>
        <v>0</v>
      </c>
      <c r="R27" s="17">
        <f>IF('Eurostat EB TJ'!Q35=":",0,'Eurostat EB TJ'!Q35)</f>
        <v>0</v>
      </c>
      <c r="S27" s="17">
        <f>IF('Eurostat EB TJ'!R35=":",0,'Eurostat EB TJ'!R35)</f>
        <v>0</v>
      </c>
      <c r="T27" s="17">
        <f>IF('Eurostat EB TJ'!S35=":",0,'Eurostat EB TJ'!S35)</f>
        <v>0</v>
      </c>
      <c r="U27" s="17">
        <f>IF('Eurostat EB TJ'!T35=":",0,'Eurostat EB TJ'!T35)</f>
        <v>0</v>
      </c>
      <c r="V27" s="17">
        <f>IF('Eurostat EB TJ'!U35=":",0,'Eurostat EB TJ'!U35)</f>
        <v>0</v>
      </c>
      <c r="W27" s="17">
        <f>IF('Eurostat EB TJ'!V35=":",0,'Eurostat EB TJ'!V35)</f>
        <v>0</v>
      </c>
      <c r="X27" s="17">
        <f>IF('Eurostat EB TJ'!W35=":",0,'Eurostat EB TJ'!W35)</f>
        <v>2418.933</v>
      </c>
      <c r="Y27" s="17">
        <f>IF('Eurostat EB TJ'!X35=":",0,'Eurostat EB TJ'!X35)</f>
        <v>760.697</v>
      </c>
      <c r="Z27" s="17">
        <f>IF('Eurostat EB TJ'!Y35=":",0,'Eurostat EB TJ'!Y35)</f>
        <v>0</v>
      </c>
      <c r="AA27" s="17">
        <f>IF('Eurostat EB TJ'!Z35=":",0,'Eurostat EB TJ'!Z35)</f>
        <v>0</v>
      </c>
      <c r="AB27" s="17">
        <f>IF('Eurostat EB TJ'!AA35=":",0,'Eurostat EB TJ'!AA35)</f>
        <v>0</v>
      </c>
      <c r="AC27" s="17">
        <f>IF('Eurostat EB TJ'!AB35=":",0,'Eurostat EB TJ'!AB35)</f>
        <v>0</v>
      </c>
      <c r="AD27" s="17">
        <f>IF('Eurostat EB TJ'!AC35=":",0,'Eurostat EB TJ'!AC35)</f>
        <v>0</v>
      </c>
      <c r="AE27" s="17">
        <f>IF('Eurostat EB TJ'!AD35=":",0,'Eurostat EB TJ'!AD35)</f>
        <v>760.697</v>
      </c>
      <c r="AF27" s="17">
        <f>IF('Eurostat EB TJ'!AE35=":",0,'Eurostat EB TJ'!AE35)</f>
        <v>0</v>
      </c>
      <c r="AG27" s="17">
        <f>IF('Eurostat EB TJ'!AF35=":",0,'Eurostat EB TJ'!AF35)</f>
        <v>0</v>
      </c>
      <c r="AH27" s="17">
        <f>IF('Eurostat EB TJ'!AG35=":",0,'Eurostat EB TJ'!AG35)</f>
        <v>0</v>
      </c>
      <c r="AI27" s="17">
        <f>IF('Eurostat EB TJ'!AH35=":",0,'Eurostat EB TJ'!AH35)</f>
        <v>0</v>
      </c>
      <c r="AJ27" s="17">
        <f>IF('Eurostat EB TJ'!AI35=":",0,'Eurostat EB TJ'!AI35)</f>
        <v>0</v>
      </c>
      <c r="AK27" s="17">
        <f>IF('Eurostat EB TJ'!AJ35=":",0,'Eurostat EB TJ'!AJ35)</f>
        <v>0</v>
      </c>
      <c r="AL27" s="17">
        <f>IF('Eurostat EB TJ'!AK35=":",0,'Eurostat EB TJ'!AK35)</f>
        <v>0</v>
      </c>
      <c r="AM27" s="17">
        <f>IF('Eurostat EB TJ'!AL35=":",0,'Eurostat EB TJ'!AL35)</f>
        <v>0</v>
      </c>
      <c r="AN27" s="17">
        <f>IF('Eurostat EB TJ'!AM35=":",0,'Eurostat EB TJ'!AM35)</f>
        <v>0</v>
      </c>
      <c r="AO27" s="17">
        <f>IF('Eurostat EB TJ'!AN35=":",0,'Eurostat EB TJ'!AN35)</f>
        <v>0</v>
      </c>
      <c r="AP27" s="17">
        <f>IF('Eurostat EB TJ'!AO35=":",0,'Eurostat EB TJ'!AO35)</f>
        <v>0</v>
      </c>
      <c r="AQ27" s="17">
        <f>IF('Eurostat EB TJ'!AP35=":",0,'Eurostat EB TJ'!AP35)</f>
        <v>0</v>
      </c>
      <c r="AR27" s="17">
        <f>IF('Eurostat EB TJ'!AQ35=":",0,'Eurostat EB TJ'!AQ35)</f>
        <v>0</v>
      </c>
      <c r="AS27" s="17">
        <f>IF('Eurostat EB TJ'!AR35=":",0,'Eurostat EB TJ'!AR35)</f>
        <v>0</v>
      </c>
      <c r="AT27" s="17">
        <f>IF('Eurostat EB TJ'!AS35=":",0,'Eurostat EB TJ'!AS35)</f>
        <v>0</v>
      </c>
      <c r="AU27" s="17">
        <f>IF('Eurostat EB TJ'!AT35=":",0,'Eurostat EB TJ'!AT35)</f>
        <v>0</v>
      </c>
      <c r="AV27" s="17">
        <f>IF('Eurostat EB TJ'!AU35=":",0,'Eurostat EB TJ'!AU35)</f>
        <v>5.0229999999999997</v>
      </c>
      <c r="AW27" s="17">
        <f>IF('Eurostat EB TJ'!AV35=":",0,'Eurostat EB TJ'!AV35)</f>
        <v>0</v>
      </c>
      <c r="AX27" s="17">
        <f>IF('Eurostat EB TJ'!AW35=":",0,'Eurostat EB TJ'!AW35)</f>
        <v>0</v>
      </c>
      <c r="AY27" s="17">
        <f>IF('Eurostat EB TJ'!AX35=":",0,'Eurostat EB TJ'!AX35)</f>
        <v>0</v>
      </c>
      <c r="AZ27" s="17">
        <f>IF('Eurostat EB TJ'!AY35=":",0,'Eurostat EB TJ'!AY35)</f>
        <v>0</v>
      </c>
      <c r="BA27" s="17">
        <f>IF('Eurostat EB TJ'!AZ35=":",0,'Eurostat EB TJ'!AZ35)</f>
        <v>0</v>
      </c>
      <c r="BB27" s="17">
        <f>IF('Eurostat EB TJ'!BA35=":",0,'Eurostat EB TJ'!BA35)</f>
        <v>0</v>
      </c>
      <c r="BC27" s="17">
        <f>IF('Eurostat EB TJ'!BB35=":",0,'Eurostat EB TJ'!BB35)</f>
        <v>0</v>
      </c>
      <c r="BD27" s="17">
        <f>IF('Eurostat EB TJ'!BC35=":",0,'Eurostat EB TJ'!BC35)</f>
        <v>4.6440000000000001</v>
      </c>
      <c r="BE27" s="17">
        <f>IF('Eurostat EB TJ'!BD35=":",0,'Eurostat EB TJ'!BD35)</f>
        <v>0</v>
      </c>
      <c r="BF27" s="17">
        <f>IF('Eurostat EB TJ'!BE35=":",0,'Eurostat EB TJ'!BE35)</f>
        <v>0</v>
      </c>
      <c r="BG27" s="17">
        <f>IF('Eurostat EB TJ'!BF35=":",0,'Eurostat EB TJ'!BF35)</f>
        <v>0</v>
      </c>
      <c r="BH27" s="17">
        <f>IF('Eurostat EB TJ'!BG35=":",0,'Eurostat EB TJ'!BG35)</f>
        <v>0</v>
      </c>
      <c r="BI27" s="17">
        <f>IF('Eurostat EB TJ'!BH35=":",0,'Eurostat EB TJ'!BH35)</f>
        <v>0</v>
      </c>
      <c r="BJ27" s="17">
        <f>IF('Eurostat EB TJ'!BI35=":",0,'Eurostat EB TJ'!BI35)</f>
        <v>0</v>
      </c>
      <c r="BK27" s="17">
        <f>IF('Eurostat EB TJ'!BJ35=":",0,'Eurostat EB TJ'!BJ35)</f>
        <v>0</v>
      </c>
      <c r="BL27" s="17">
        <f>IF('Eurostat EB TJ'!BK35=":",0,'Eurostat EB TJ'!BK35)</f>
        <v>0</v>
      </c>
      <c r="BM27" s="17">
        <f>IF('Eurostat EB TJ'!BL35=":",0,'Eurostat EB TJ'!BL35)</f>
        <v>0.379</v>
      </c>
      <c r="BN27" s="17">
        <f>IF('Eurostat EB TJ'!BM35=":",0,'Eurostat EB TJ'!BM35)</f>
        <v>784.976</v>
      </c>
      <c r="BO27" s="17">
        <f>IF('Eurostat EB TJ'!BN35=":",0,'Eurostat EB TJ'!BN35)</f>
        <v>0</v>
      </c>
      <c r="BP27" s="17">
        <f>IF('Eurostat EB TJ'!BO35=":",0,'Eurostat EB TJ'!BO35)</f>
        <v>0</v>
      </c>
      <c r="BQ27" s="17">
        <f>IF('Eurostat EB TJ'!BP35=":",0,'Eurostat EB TJ'!BP35)</f>
        <v>784.976</v>
      </c>
      <c r="BR27" s="17">
        <f>IF('Eurostat EB TJ'!BQ35=":",0,'Eurostat EB TJ'!BQ35)</f>
        <v>0</v>
      </c>
      <c r="BS27" s="17">
        <f>IF('Eurostat EB TJ'!BR35=":",0,'Eurostat EB TJ'!BR35)</f>
        <v>0</v>
      </c>
      <c r="BT27" s="17">
        <f>IF('Eurostat EB TJ'!BS35=":",0,'Eurostat EB TJ'!BS35)</f>
        <v>8031.1109999999999</v>
      </c>
      <c r="BU27" s="17">
        <f>IF('Eurostat EB TJ'!BT35=":",0,'Eurostat EB TJ'!BT35)</f>
        <v>1792.7840000000001</v>
      </c>
      <c r="BV27" s="17">
        <f>IF('Eurostat EB TJ'!BU35=":",0,'Eurostat EB TJ'!BU35)</f>
        <v>9516.6450000000004</v>
      </c>
    </row>
    <row r="28" spans="1:74" x14ac:dyDescent="0.2">
      <c r="A28" s="56" t="s">
        <v>212</v>
      </c>
      <c r="B28" s="57"/>
      <c r="C28" s="57">
        <f>IF('Eurostat EB TJ'!B36=":",0,'Eurostat EB TJ'!B36)</f>
        <v>0</v>
      </c>
      <c r="D28" s="57">
        <f>IF('Eurostat EB TJ'!C36=":",0,'Eurostat EB TJ'!C36)</f>
        <v>0</v>
      </c>
      <c r="E28" s="57">
        <f>IF('Eurostat EB TJ'!D36=":",0,'Eurostat EB TJ'!D36)</f>
        <v>0</v>
      </c>
      <c r="F28" s="57">
        <f>IF('Eurostat EB TJ'!E36=":",0,'Eurostat EB TJ'!E36)</f>
        <v>0</v>
      </c>
      <c r="G28" s="57">
        <f>IF('Eurostat EB TJ'!F36=":",0,'Eurostat EB TJ'!F36)</f>
        <v>0</v>
      </c>
      <c r="H28" s="57">
        <f>IF('Eurostat EB TJ'!G36=":",0,'Eurostat EB TJ'!G36)</f>
        <v>0</v>
      </c>
      <c r="I28" s="57">
        <f>IF('Eurostat EB TJ'!H36=":",0,'Eurostat EB TJ'!H36)</f>
        <v>0</v>
      </c>
      <c r="J28" s="57">
        <f>IF('Eurostat EB TJ'!I36=":",0,'Eurostat EB TJ'!I36)</f>
        <v>0</v>
      </c>
      <c r="K28" s="57">
        <f>IF('Eurostat EB TJ'!J36=":",0,'Eurostat EB TJ'!J36)</f>
        <v>0</v>
      </c>
      <c r="L28" s="57">
        <f>IF('Eurostat EB TJ'!K36=":",0,'Eurostat EB TJ'!K36)</f>
        <v>0</v>
      </c>
      <c r="M28" s="57">
        <f>IF('Eurostat EB TJ'!L36=":",0,'Eurostat EB TJ'!L36)</f>
        <v>0</v>
      </c>
      <c r="N28" s="57">
        <f>IF('Eurostat EB TJ'!M36=":",0,'Eurostat EB TJ'!M36)</f>
        <v>0</v>
      </c>
      <c r="O28" s="57">
        <f>IF('Eurostat EB TJ'!N36=":",0,'Eurostat EB TJ'!N36)</f>
        <v>0</v>
      </c>
      <c r="P28" s="57">
        <f>IF('Eurostat EB TJ'!O36=":",0,'Eurostat EB TJ'!O36)</f>
        <v>0</v>
      </c>
      <c r="Q28" s="57">
        <f>IF('Eurostat EB TJ'!P36=":",0,'Eurostat EB TJ'!P36)</f>
        <v>0</v>
      </c>
      <c r="R28" s="57">
        <f>IF('Eurostat EB TJ'!Q36=":",0,'Eurostat EB TJ'!Q36)</f>
        <v>0</v>
      </c>
      <c r="S28" s="57">
        <f>IF('Eurostat EB TJ'!R36=":",0,'Eurostat EB TJ'!R36)</f>
        <v>0</v>
      </c>
      <c r="T28" s="57">
        <f>IF('Eurostat EB TJ'!S36=":",0,'Eurostat EB TJ'!S36)</f>
        <v>0</v>
      </c>
      <c r="U28" s="57">
        <f>IF('Eurostat EB TJ'!T36=":",0,'Eurostat EB TJ'!T36)</f>
        <v>0</v>
      </c>
      <c r="V28" s="57">
        <f>IF('Eurostat EB TJ'!U36=":",0,'Eurostat EB TJ'!U36)</f>
        <v>0</v>
      </c>
      <c r="W28" s="57">
        <f>IF('Eurostat EB TJ'!V36=":",0,'Eurostat EB TJ'!V36)</f>
        <v>0</v>
      </c>
      <c r="X28" s="57">
        <f>IF('Eurostat EB TJ'!W36=":",0,'Eurostat EB TJ'!W36)</f>
        <v>0</v>
      </c>
      <c r="Y28" s="57">
        <f>IF('Eurostat EB TJ'!X36=":",0,'Eurostat EB TJ'!X36)</f>
        <v>0</v>
      </c>
      <c r="Z28" s="57">
        <f>IF('Eurostat EB TJ'!Y36=":",0,'Eurostat EB TJ'!Y36)</f>
        <v>0</v>
      </c>
      <c r="AA28" s="57">
        <f>IF('Eurostat EB TJ'!Z36=":",0,'Eurostat EB TJ'!Z36)</f>
        <v>0</v>
      </c>
      <c r="AB28" s="57">
        <f>IF('Eurostat EB TJ'!AA36=":",0,'Eurostat EB TJ'!AA36)</f>
        <v>0</v>
      </c>
      <c r="AC28" s="57">
        <f>IF('Eurostat EB TJ'!AB36=":",0,'Eurostat EB TJ'!AB36)</f>
        <v>0</v>
      </c>
      <c r="AD28" s="57">
        <f>IF('Eurostat EB TJ'!AC36=":",0,'Eurostat EB TJ'!AC36)</f>
        <v>0</v>
      </c>
      <c r="AE28" s="57">
        <f>IF('Eurostat EB TJ'!AD36=":",0,'Eurostat EB TJ'!AD36)</f>
        <v>0</v>
      </c>
      <c r="AF28" s="57">
        <f>IF('Eurostat EB TJ'!AE36=":",0,'Eurostat EB TJ'!AE36)</f>
        <v>0</v>
      </c>
      <c r="AG28" s="57">
        <f>IF('Eurostat EB TJ'!AF36=":",0,'Eurostat EB TJ'!AF36)</f>
        <v>0</v>
      </c>
      <c r="AH28" s="57">
        <f>IF('Eurostat EB TJ'!AG36=":",0,'Eurostat EB TJ'!AG36)</f>
        <v>0</v>
      </c>
      <c r="AI28" s="57">
        <f>IF('Eurostat EB TJ'!AH36=":",0,'Eurostat EB TJ'!AH36)</f>
        <v>0</v>
      </c>
      <c r="AJ28" s="57">
        <f>IF('Eurostat EB TJ'!AI36=":",0,'Eurostat EB TJ'!AI36)</f>
        <v>0</v>
      </c>
      <c r="AK28" s="57">
        <f>IF('Eurostat EB TJ'!AJ36=":",0,'Eurostat EB TJ'!AJ36)</f>
        <v>0</v>
      </c>
      <c r="AL28" s="57">
        <f>IF('Eurostat EB TJ'!AK36=":",0,'Eurostat EB TJ'!AK36)</f>
        <v>0</v>
      </c>
      <c r="AM28" s="57">
        <f>IF('Eurostat EB TJ'!AL36=":",0,'Eurostat EB TJ'!AL36)</f>
        <v>0</v>
      </c>
      <c r="AN28" s="57">
        <f>IF('Eurostat EB TJ'!AM36=":",0,'Eurostat EB TJ'!AM36)</f>
        <v>0</v>
      </c>
      <c r="AO28" s="57">
        <f>IF('Eurostat EB TJ'!AN36=":",0,'Eurostat EB TJ'!AN36)</f>
        <v>0</v>
      </c>
      <c r="AP28" s="57">
        <f>IF('Eurostat EB TJ'!AO36=":",0,'Eurostat EB TJ'!AO36)</f>
        <v>0</v>
      </c>
      <c r="AQ28" s="57">
        <f>IF('Eurostat EB TJ'!AP36=":",0,'Eurostat EB TJ'!AP36)</f>
        <v>0</v>
      </c>
      <c r="AR28" s="57">
        <f>IF('Eurostat EB TJ'!AQ36=":",0,'Eurostat EB TJ'!AQ36)</f>
        <v>0</v>
      </c>
      <c r="AS28" s="57">
        <f>IF('Eurostat EB TJ'!AR36=":",0,'Eurostat EB TJ'!AR36)</f>
        <v>0</v>
      </c>
      <c r="AT28" s="57">
        <f>IF('Eurostat EB TJ'!AS36=":",0,'Eurostat EB TJ'!AS36)</f>
        <v>0</v>
      </c>
      <c r="AU28" s="57">
        <f>IF('Eurostat EB TJ'!AT36=":",0,'Eurostat EB TJ'!AT36)</f>
        <v>0</v>
      </c>
      <c r="AV28" s="57">
        <f>IF('Eurostat EB TJ'!AU36=":",0,'Eurostat EB TJ'!AU36)</f>
        <v>0</v>
      </c>
      <c r="AW28" s="57">
        <f>IF('Eurostat EB TJ'!AV36=":",0,'Eurostat EB TJ'!AV36)</f>
        <v>0</v>
      </c>
      <c r="AX28" s="57">
        <f>IF('Eurostat EB TJ'!AW36=":",0,'Eurostat EB TJ'!AW36)</f>
        <v>0</v>
      </c>
      <c r="AY28" s="57">
        <f>IF('Eurostat EB TJ'!AX36=":",0,'Eurostat EB TJ'!AX36)</f>
        <v>0</v>
      </c>
      <c r="AZ28" s="57">
        <f>IF('Eurostat EB TJ'!AY36=":",0,'Eurostat EB TJ'!AY36)</f>
        <v>0</v>
      </c>
      <c r="BA28" s="57">
        <f>IF('Eurostat EB TJ'!AZ36=":",0,'Eurostat EB TJ'!AZ36)</f>
        <v>0</v>
      </c>
      <c r="BB28" s="57">
        <f>IF('Eurostat EB TJ'!BA36=":",0,'Eurostat EB TJ'!BA36)</f>
        <v>0</v>
      </c>
      <c r="BC28" s="57">
        <f>IF('Eurostat EB TJ'!BB36=":",0,'Eurostat EB TJ'!BB36)</f>
        <v>0</v>
      </c>
      <c r="BD28" s="57">
        <f>IF('Eurostat EB TJ'!BC36=":",0,'Eurostat EB TJ'!BC36)</f>
        <v>0</v>
      </c>
      <c r="BE28" s="57">
        <f>IF('Eurostat EB TJ'!BD36=":",0,'Eurostat EB TJ'!BD36)</f>
        <v>0</v>
      </c>
      <c r="BF28" s="57">
        <f>IF('Eurostat EB TJ'!BE36=":",0,'Eurostat EB TJ'!BE36)</f>
        <v>0</v>
      </c>
      <c r="BG28" s="57">
        <f>IF('Eurostat EB TJ'!BF36=":",0,'Eurostat EB TJ'!BF36)</f>
        <v>0</v>
      </c>
      <c r="BH28" s="57">
        <f>IF('Eurostat EB TJ'!BG36=":",0,'Eurostat EB TJ'!BG36)</f>
        <v>0</v>
      </c>
      <c r="BI28" s="57">
        <f>IF('Eurostat EB TJ'!BH36=":",0,'Eurostat EB TJ'!BH36)</f>
        <v>0</v>
      </c>
      <c r="BJ28" s="57">
        <f>IF('Eurostat EB TJ'!BI36=":",0,'Eurostat EB TJ'!BI36)</f>
        <v>0</v>
      </c>
      <c r="BK28" s="57">
        <f>IF('Eurostat EB TJ'!BJ36=":",0,'Eurostat EB TJ'!BJ36)</f>
        <v>0</v>
      </c>
      <c r="BL28" s="57">
        <f>IF('Eurostat EB TJ'!BK36=":",0,'Eurostat EB TJ'!BK36)</f>
        <v>0</v>
      </c>
      <c r="BM28" s="57">
        <f>IF('Eurostat EB TJ'!BL36=":",0,'Eurostat EB TJ'!BL36)</f>
        <v>0</v>
      </c>
      <c r="BN28" s="57">
        <f>IF('Eurostat EB TJ'!BM36=":",0,'Eurostat EB TJ'!BM36)</f>
        <v>0</v>
      </c>
      <c r="BO28" s="57">
        <f>IF('Eurostat EB TJ'!BN36=":",0,'Eurostat EB TJ'!BN36)</f>
        <v>0</v>
      </c>
      <c r="BP28" s="57">
        <f>IF('Eurostat EB TJ'!BO36=":",0,'Eurostat EB TJ'!BO36)</f>
        <v>0</v>
      </c>
      <c r="BQ28" s="57">
        <f>IF('Eurostat EB TJ'!BP36=":",0,'Eurostat EB TJ'!BP36)</f>
        <v>0</v>
      </c>
      <c r="BR28" s="57">
        <f>IF('Eurostat EB TJ'!BQ36=":",0,'Eurostat EB TJ'!BQ36)</f>
        <v>0</v>
      </c>
      <c r="BS28" s="57">
        <f>IF('Eurostat EB TJ'!BR36=":",0,'Eurostat EB TJ'!BR36)</f>
        <v>0</v>
      </c>
      <c r="BT28" s="57">
        <f>IF('Eurostat EB TJ'!BS36=":",0,'Eurostat EB TJ'!BS36)</f>
        <v>0</v>
      </c>
      <c r="BU28" s="57">
        <f>IF('Eurostat EB TJ'!BT36=":",0,'Eurostat EB TJ'!BT36)</f>
        <v>0</v>
      </c>
      <c r="BV28" s="57">
        <f>IF('Eurostat EB TJ'!BU36=":",0,'Eurostat EB TJ'!BU36)</f>
        <v>0</v>
      </c>
    </row>
    <row r="29" spans="1:74" x14ac:dyDescent="0.2">
      <c r="A29" s="56" t="s">
        <v>213</v>
      </c>
      <c r="B29" s="17"/>
      <c r="C29" s="17">
        <f>IF('Eurostat EB TJ'!B37=":",0,'Eurostat EB TJ'!B37)</f>
        <v>0</v>
      </c>
      <c r="D29" s="17">
        <f>IF('Eurostat EB TJ'!C37=":",0,'Eurostat EB TJ'!C37)</f>
        <v>0</v>
      </c>
      <c r="E29" s="17">
        <f>IF('Eurostat EB TJ'!D37=":",0,'Eurostat EB TJ'!D37)</f>
        <v>0</v>
      </c>
      <c r="F29" s="17">
        <f>IF('Eurostat EB TJ'!E37=":",0,'Eurostat EB TJ'!E37)</f>
        <v>0</v>
      </c>
      <c r="G29" s="17">
        <f>IF('Eurostat EB TJ'!F37=":",0,'Eurostat EB TJ'!F37)</f>
        <v>0</v>
      </c>
      <c r="H29" s="17">
        <f>IF('Eurostat EB TJ'!G37=":",0,'Eurostat EB TJ'!G37)</f>
        <v>0</v>
      </c>
      <c r="I29" s="17">
        <f>IF('Eurostat EB TJ'!H37=":",0,'Eurostat EB TJ'!H37)</f>
        <v>0</v>
      </c>
      <c r="J29" s="17">
        <f>IF('Eurostat EB TJ'!I37=":",0,'Eurostat EB TJ'!I37)</f>
        <v>0</v>
      </c>
      <c r="K29" s="17">
        <f>IF('Eurostat EB TJ'!J37=":",0,'Eurostat EB TJ'!J37)</f>
        <v>0</v>
      </c>
      <c r="L29" s="17">
        <f>IF('Eurostat EB TJ'!K37=":",0,'Eurostat EB TJ'!K37)</f>
        <v>0</v>
      </c>
      <c r="M29" s="17">
        <f>IF('Eurostat EB TJ'!L37=":",0,'Eurostat EB TJ'!L37)</f>
        <v>0</v>
      </c>
      <c r="N29" s="17">
        <f>IF('Eurostat EB TJ'!M37=":",0,'Eurostat EB TJ'!M37)</f>
        <v>0</v>
      </c>
      <c r="O29" s="17">
        <f>IF('Eurostat EB TJ'!N37=":",0,'Eurostat EB TJ'!N37)</f>
        <v>0</v>
      </c>
      <c r="P29" s="17">
        <f>IF('Eurostat EB TJ'!O37=":",0,'Eurostat EB TJ'!O37)</f>
        <v>0</v>
      </c>
      <c r="Q29" s="17">
        <f>IF('Eurostat EB TJ'!P37=":",0,'Eurostat EB TJ'!P37)</f>
        <v>0</v>
      </c>
      <c r="R29" s="17">
        <f>IF('Eurostat EB TJ'!Q37=":",0,'Eurostat EB TJ'!Q37)</f>
        <v>0</v>
      </c>
      <c r="S29" s="17">
        <f>IF('Eurostat EB TJ'!R37=":",0,'Eurostat EB TJ'!R37)</f>
        <v>0</v>
      </c>
      <c r="T29" s="17">
        <f>IF('Eurostat EB TJ'!S37=":",0,'Eurostat EB TJ'!S37)</f>
        <v>0</v>
      </c>
      <c r="U29" s="17">
        <f>IF('Eurostat EB TJ'!T37=":",0,'Eurostat EB TJ'!T37)</f>
        <v>0</v>
      </c>
      <c r="V29" s="17">
        <f>IF('Eurostat EB TJ'!U37=":",0,'Eurostat EB TJ'!U37)</f>
        <v>0</v>
      </c>
      <c r="W29" s="17">
        <f>IF('Eurostat EB TJ'!V37=":",0,'Eurostat EB TJ'!V37)</f>
        <v>0</v>
      </c>
      <c r="X29" s="17">
        <f>IF('Eurostat EB TJ'!W37=":",0,'Eurostat EB TJ'!W37)</f>
        <v>0</v>
      </c>
      <c r="Y29" s="17">
        <f>IF('Eurostat EB TJ'!X37=":",0,'Eurostat EB TJ'!X37)</f>
        <v>0</v>
      </c>
      <c r="Z29" s="17">
        <f>IF('Eurostat EB TJ'!Y37=":",0,'Eurostat EB TJ'!Y37)</f>
        <v>0</v>
      </c>
      <c r="AA29" s="17">
        <f>IF('Eurostat EB TJ'!Z37=":",0,'Eurostat EB TJ'!Z37)</f>
        <v>0</v>
      </c>
      <c r="AB29" s="17">
        <f>IF('Eurostat EB TJ'!AA37=":",0,'Eurostat EB TJ'!AA37)</f>
        <v>0</v>
      </c>
      <c r="AC29" s="17">
        <f>IF('Eurostat EB TJ'!AB37=":",0,'Eurostat EB TJ'!AB37)</f>
        <v>0</v>
      </c>
      <c r="AD29" s="17">
        <f>IF('Eurostat EB TJ'!AC37=":",0,'Eurostat EB TJ'!AC37)</f>
        <v>0</v>
      </c>
      <c r="AE29" s="17">
        <f>IF('Eurostat EB TJ'!AD37=":",0,'Eurostat EB TJ'!AD37)</f>
        <v>0</v>
      </c>
      <c r="AF29" s="17">
        <f>IF('Eurostat EB TJ'!AE37=":",0,'Eurostat EB TJ'!AE37)</f>
        <v>0</v>
      </c>
      <c r="AG29" s="17">
        <f>IF('Eurostat EB TJ'!AF37=":",0,'Eurostat EB TJ'!AF37)</f>
        <v>0</v>
      </c>
      <c r="AH29" s="17">
        <f>IF('Eurostat EB TJ'!AG37=":",0,'Eurostat EB TJ'!AG37)</f>
        <v>0</v>
      </c>
      <c r="AI29" s="17">
        <f>IF('Eurostat EB TJ'!AH37=":",0,'Eurostat EB TJ'!AH37)</f>
        <v>0</v>
      </c>
      <c r="AJ29" s="17">
        <f>IF('Eurostat EB TJ'!AI37=":",0,'Eurostat EB TJ'!AI37)</f>
        <v>0</v>
      </c>
      <c r="AK29" s="17">
        <f>IF('Eurostat EB TJ'!AJ37=":",0,'Eurostat EB TJ'!AJ37)</f>
        <v>0</v>
      </c>
      <c r="AL29" s="17">
        <f>IF('Eurostat EB TJ'!AK37=":",0,'Eurostat EB TJ'!AK37)</f>
        <v>0</v>
      </c>
      <c r="AM29" s="17">
        <f>IF('Eurostat EB TJ'!AL37=":",0,'Eurostat EB TJ'!AL37)</f>
        <v>0</v>
      </c>
      <c r="AN29" s="17">
        <f>IF('Eurostat EB TJ'!AM37=":",0,'Eurostat EB TJ'!AM37)</f>
        <v>0</v>
      </c>
      <c r="AO29" s="17">
        <f>IF('Eurostat EB TJ'!AN37=":",0,'Eurostat EB TJ'!AN37)</f>
        <v>0</v>
      </c>
      <c r="AP29" s="17">
        <f>IF('Eurostat EB TJ'!AO37=":",0,'Eurostat EB TJ'!AO37)</f>
        <v>0</v>
      </c>
      <c r="AQ29" s="17">
        <f>IF('Eurostat EB TJ'!AP37=":",0,'Eurostat EB TJ'!AP37)</f>
        <v>0</v>
      </c>
      <c r="AR29" s="17">
        <f>IF('Eurostat EB TJ'!AQ37=":",0,'Eurostat EB TJ'!AQ37)</f>
        <v>0</v>
      </c>
      <c r="AS29" s="17">
        <f>IF('Eurostat EB TJ'!AR37=":",0,'Eurostat EB TJ'!AR37)</f>
        <v>0</v>
      </c>
      <c r="AT29" s="17">
        <f>IF('Eurostat EB TJ'!AS37=":",0,'Eurostat EB TJ'!AS37)</f>
        <v>0</v>
      </c>
      <c r="AU29" s="17">
        <f>IF('Eurostat EB TJ'!AT37=":",0,'Eurostat EB TJ'!AT37)</f>
        <v>0</v>
      </c>
      <c r="AV29" s="17">
        <f>IF('Eurostat EB TJ'!AU37=":",0,'Eurostat EB TJ'!AU37)</f>
        <v>0</v>
      </c>
      <c r="AW29" s="17">
        <f>IF('Eurostat EB TJ'!AV37=":",0,'Eurostat EB TJ'!AV37)</f>
        <v>0</v>
      </c>
      <c r="AX29" s="17">
        <f>IF('Eurostat EB TJ'!AW37=":",0,'Eurostat EB TJ'!AW37)</f>
        <v>0</v>
      </c>
      <c r="AY29" s="17">
        <f>IF('Eurostat EB TJ'!AX37=":",0,'Eurostat EB TJ'!AX37)</f>
        <v>0</v>
      </c>
      <c r="AZ29" s="17">
        <f>IF('Eurostat EB TJ'!AY37=":",0,'Eurostat EB TJ'!AY37)</f>
        <v>0</v>
      </c>
      <c r="BA29" s="17">
        <f>IF('Eurostat EB TJ'!AZ37=":",0,'Eurostat EB TJ'!AZ37)</f>
        <v>0</v>
      </c>
      <c r="BB29" s="17">
        <f>IF('Eurostat EB TJ'!BA37=":",0,'Eurostat EB TJ'!BA37)</f>
        <v>0</v>
      </c>
      <c r="BC29" s="17">
        <f>IF('Eurostat EB TJ'!BB37=":",0,'Eurostat EB TJ'!BB37)</f>
        <v>0</v>
      </c>
      <c r="BD29" s="17">
        <f>IF('Eurostat EB TJ'!BC37=":",0,'Eurostat EB TJ'!BC37)</f>
        <v>0</v>
      </c>
      <c r="BE29" s="17">
        <f>IF('Eurostat EB TJ'!BD37=":",0,'Eurostat EB TJ'!BD37)</f>
        <v>0</v>
      </c>
      <c r="BF29" s="17">
        <f>IF('Eurostat EB TJ'!BE37=":",0,'Eurostat EB TJ'!BE37)</f>
        <v>0</v>
      </c>
      <c r="BG29" s="17">
        <f>IF('Eurostat EB TJ'!BF37=":",0,'Eurostat EB TJ'!BF37)</f>
        <v>0</v>
      </c>
      <c r="BH29" s="17">
        <f>IF('Eurostat EB TJ'!BG37=":",0,'Eurostat EB TJ'!BG37)</f>
        <v>0</v>
      </c>
      <c r="BI29" s="17">
        <f>IF('Eurostat EB TJ'!BH37=":",0,'Eurostat EB TJ'!BH37)</f>
        <v>0</v>
      </c>
      <c r="BJ29" s="17">
        <f>IF('Eurostat EB TJ'!BI37=":",0,'Eurostat EB TJ'!BI37)</f>
        <v>0</v>
      </c>
      <c r="BK29" s="17">
        <f>IF('Eurostat EB TJ'!BJ37=":",0,'Eurostat EB TJ'!BJ37)</f>
        <v>0</v>
      </c>
      <c r="BL29" s="17">
        <f>IF('Eurostat EB TJ'!BK37=":",0,'Eurostat EB TJ'!BK37)</f>
        <v>0</v>
      </c>
      <c r="BM29" s="17">
        <f>IF('Eurostat EB TJ'!BL37=":",0,'Eurostat EB TJ'!BL37)</f>
        <v>0</v>
      </c>
      <c r="BN29" s="17">
        <f>IF('Eurostat EB TJ'!BM37=":",0,'Eurostat EB TJ'!BM37)</f>
        <v>0</v>
      </c>
      <c r="BO29" s="17">
        <f>IF('Eurostat EB TJ'!BN37=":",0,'Eurostat EB TJ'!BN37)</f>
        <v>0</v>
      </c>
      <c r="BP29" s="17">
        <f>IF('Eurostat EB TJ'!BO37=":",0,'Eurostat EB TJ'!BO37)</f>
        <v>0</v>
      </c>
      <c r="BQ29" s="17">
        <f>IF('Eurostat EB TJ'!BP37=":",0,'Eurostat EB TJ'!BP37)</f>
        <v>0</v>
      </c>
      <c r="BR29" s="17">
        <f>IF('Eurostat EB TJ'!BQ37=":",0,'Eurostat EB TJ'!BQ37)</f>
        <v>0</v>
      </c>
      <c r="BS29" s="17">
        <f>IF('Eurostat EB TJ'!BR37=":",0,'Eurostat EB TJ'!BR37)</f>
        <v>0</v>
      </c>
      <c r="BT29" s="17">
        <f>IF('Eurostat EB TJ'!BS37=":",0,'Eurostat EB TJ'!BS37)</f>
        <v>0</v>
      </c>
      <c r="BU29" s="17">
        <f>IF('Eurostat EB TJ'!BT37=":",0,'Eurostat EB TJ'!BT37)</f>
        <v>0</v>
      </c>
      <c r="BV29" s="17">
        <f>IF('Eurostat EB TJ'!BU37=":",0,'Eurostat EB TJ'!BU37)</f>
        <v>0</v>
      </c>
    </row>
    <row r="30" spans="1:74" x14ac:dyDescent="0.2">
      <c r="A30" s="56" t="s">
        <v>214</v>
      </c>
      <c r="B30" s="57"/>
      <c r="C30" s="57">
        <f>IF('Eurostat EB TJ'!B38=":",0,'Eurostat EB TJ'!B38)</f>
        <v>0</v>
      </c>
      <c r="D30" s="57">
        <f>IF('Eurostat EB TJ'!C38=":",0,'Eurostat EB TJ'!C38)</f>
        <v>0</v>
      </c>
      <c r="E30" s="57">
        <f>IF('Eurostat EB TJ'!D38=":",0,'Eurostat EB TJ'!D38)</f>
        <v>0</v>
      </c>
      <c r="F30" s="57">
        <f>IF('Eurostat EB TJ'!E38=":",0,'Eurostat EB TJ'!E38)</f>
        <v>0</v>
      </c>
      <c r="G30" s="57">
        <f>IF('Eurostat EB TJ'!F38=":",0,'Eurostat EB TJ'!F38)</f>
        <v>0</v>
      </c>
      <c r="H30" s="57">
        <f>IF('Eurostat EB TJ'!G38=":",0,'Eurostat EB TJ'!G38)</f>
        <v>0</v>
      </c>
      <c r="I30" s="57">
        <f>IF('Eurostat EB TJ'!H38=":",0,'Eurostat EB TJ'!H38)</f>
        <v>0</v>
      </c>
      <c r="J30" s="57">
        <f>IF('Eurostat EB TJ'!I38=":",0,'Eurostat EB TJ'!I38)</f>
        <v>0</v>
      </c>
      <c r="K30" s="57">
        <f>IF('Eurostat EB TJ'!J38=":",0,'Eurostat EB TJ'!J38)</f>
        <v>0</v>
      </c>
      <c r="L30" s="57">
        <f>IF('Eurostat EB TJ'!K38=":",0,'Eurostat EB TJ'!K38)</f>
        <v>0</v>
      </c>
      <c r="M30" s="57">
        <f>IF('Eurostat EB TJ'!L38=":",0,'Eurostat EB TJ'!L38)</f>
        <v>0</v>
      </c>
      <c r="N30" s="57">
        <f>IF('Eurostat EB TJ'!M38=":",0,'Eurostat EB TJ'!M38)</f>
        <v>0</v>
      </c>
      <c r="O30" s="57">
        <f>IF('Eurostat EB TJ'!N38=":",0,'Eurostat EB TJ'!N38)</f>
        <v>0</v>
      </c>
      <c r="P30" s="57">
        <f>IF('Eurostat EB TJ'!O38=":",0,'Eurostat EB TJ'!O38)</f>
        <v>0</v>
      </c>
      <c r="Q30" s="57">
        <f>IF('Eurostat EB TJ'!P38=":",0,'Eurostat EB TJ'!P38)</f>
        <v>0</v>
      </c>
      <c r="R30" s="57">
        <f>IF('Eurostat EB TJ'!Q38=":",0,'Eurostat EB TJ'!Q38)</f>
        <v>0</v>
      </c>
      <c r="S30" s="57">
        <f>IF('Eurostat EB TJ'!R38=":",0,'Eurostat EB TJ'!R38)</f>
        <v>0</v>
      </c>
      <c r="T30" s="57">
        <f>IF('Eurostat EB TJ'!S38=":",0,'Eurostat EB TJ'!S38)</f>
        <v>0</v>
      </c>
      <c r="U30" s="57">
        <f>IF('Eurostat EB TJ'!T38=":",0,'Eurostat EB TJ'!T38)</f>
        <v>0</v>
      </c>
      <c r="V30" s="57">
        <f>IF('Eurostat EB TJ'!U38=":",0,'Eurostat EB TJ'!U38)</f>
        <v>0</v>
      </c>
      <c r="W30" s="57">
        <f>IF('Eurostat EB TJ'!V38=":",0,'Eurostat EB TJ'!V38)</f>
        <v>0</v>
      </c>
      <c r="X30" s="57">
        <f>IF('Eurostat EB TJ'!W38=":",0,'Eurostat EB TJ'!W38)</f>
        <v>0</v>
      </c>
      <c r="Y30" s="57">
        <f>IF('Eurostat EB TJ'!X38=":",0,'Eurostat EB TJ'!X38)</f>
        <v>0</v>
      </c>
      <c r="Z30" s="57">
        <f>IF('Eurostat EB TJ'!Y38=":",0,'Eurostat EB TJ'!Y38)</f>
        <v>0</v>
      </c>
      <c r="AA30" s="57">
        <f>IF('Eurostat EB TJ'!Z38=":",0,'Eurostat EB TJ'!Z38)</f>
        <v>0</v>
      </c>
      <c r="AB30" s="57">
        <f>IF('Eurostat EB TJ'!AA38=":",0,'Eurostat EB TJ'!AA38)</f>
        <v>0</v>
      </c>
      <c r="AC30" s="57">
        <f>IF('Eurostat EB TJ'!AB38=":",0,'Eurostat EB TJ'!AB38)</f>
        <v>0</v>
      </c>
      <c r="AD30" s="57">
        <f>IF('Eurostat EB TJ'!AC38=":",0,'Eurostat EB TJ'!AC38)</f>
        <v>0</v>
      </c>
      <c r="AE30" s="57">
        <f>IF('Eurostat EB TJ'!AD38=":",0,'Eurostat EB TJ'!AD38)</f>
        <v>0</v>
      </c>
      <c r="AF30" s="57">
        <f>IF('Eurostat EB TJ'!AE38=":",0,'Eurostat EB TJ'!AE38)</f>
        <v>0</v>
      </c>
      <c r="AG30" s="57">
        <f>IF('Eurostat EB TJ'!AF38=":",0,'Eurostat EB TJ'!AF38)</f>
        <v>0</v>
      </c>
      <c r="AH30" s="57">
        <f>IF('Eurostat EB TJ'!AG38=":",0,'Eurostat EB TJ'!AG38)</f>
        <v>0</v>
      </c>
      <c r="AI30" s="57">
        <f>IF('Eurostat EB TJ'!AH38=":",0,'Eurostat EB TJ'!AH38)</f>
        <v>0</v>
      </c>
      <c r="AJ30" s="57">
        <f>IF('Eurostat EB TJ'!AI38=":",0,'Eurostat EB TJ'!AI38)</f>
        <v>0</v>
      </c>
      <c r="AK30" s="57">
        <f>IF('Eurostat EB TJ'!AJ38=":",0,'Eurostat EB TJ'!AJ38)</f>
        <v>0</v>
      </c>
      <c r="AL30" s="57">
        <f>IF('Eurostat EB TJ'!AK38=":",0,'Eurostat EB TJ'!AK38)</f>
        <v>0</v>
      </c>
      <c r="AM30" s="57">
        <f>IF('Eurostat EB TJ'!AL38=":",0,'Eurostat EB TJ'!AL38)</f>
        <v>0</v>
      </c>
      <c r="AN30" s="57">
        <f>IF('Eurostat EB TJ'!AM38=":",0,'Eurostat EB TJ'!AM38)</f>
        <v>0</v>
      </c>
      <c r="AO30" s="57">
        <f>IF('Eurostat EB TJ'!AN38=":",0,'Eurostat EB TJ'!AN38)</f>
        <v>0</v>
      </c>
      <c r="AP30" s="57">
        <f>IF('Eurostat EB TJ'!AO38=":",0,'Eurostat EB TJ'!AO38)</f>
        <v>0</v>
      </c>
      <c r="AQ30" s="57">
        <f>IF('Eurostat EB TJ'!AP38=":",0,'Eurostat EB TJ'!AP38)</f>
        <v>0</v>
      </c>
      <c r="AR30" s="57">
        <f>IF('Eurostat EB TJ'!AQ38=":",0,'Eurostat EB TJ'!AQ38)</f>
        <v>0</v>
      </c>
      <c r="AS30" s="57">
        <f>IF('Eurostat EB TJ'!AR38=":",0,'Eurostat EB TJ'!AR38)</f>
        <v>0</v>
      </c>
      <c r="AT30" s="57">
        <f>IF('Eurostat EB TJ'!AS38=":",0,'Eurostat EB TJ'!AS38)</f>
        <v>0</v>
      </c>
      <c r="AU30" s="57">
        <f>IF('Eurostat EB TJ'!AT38=":",0,'Eurostat EB TJ'!AT38)</f>
        <v>0</v>
      </c>
      <c r="AV30" s="57">
        <f>IF('Eurostat EB TJ'!AU38=":",0,'Eurostat EB TJ'!AU38)</f>
        <v>0</v>
      </c>
      <c r="AW30" s="57">
        <f>IF('Eurostat EB TJ'!AV38=":",0,'Eurostat EB TJ'!AV38)</f>
        <v>0</v>
      </c>
      <c r="AX30" s="57">
        <f>IF('Eurostat EB TJ'!AW38=":",0,'Eurostat EB TJ'!AW38)</f>
        <v>0</v>
      </c>
      <c r="AY30" s="57">
        <f>IF('Eurostat EB TJ'!AX38=":",0,'Eurostat EB TJ'!AX38)</f>
        <v>0</v>
      </c>
      <c r="AZ30" s="57">
        <f>IF('Eurostat EB TJ'!AY38=":",0,'Eurostat EB TJ'!AY38)</f>
        <v>0</v>
      </c>
      <c r="BA30" s="57">
        <f>IF('Eurostat EB TJ'!AZ38=":",0,'Eurostat EB TJ'!AZ38)</f>
        <v>0</v>
      </c>
      <c r="BB30" s="57">
        <f>IF('Eurostat EB TJ'!BA38=":",0,'Eurostat EB TJ'!BA38)</f>
        <v>0</v>
      </c>
      <c r="BC30" s="57">
        <f>IF('Eurostat EB TJ'!BB38=":",0,'Eurostat EB TJ'!BB38)</f>
        <v>0</v>
      </c>
      <c r="BD30" s="57">
        <f>IF('Eurostat EB TJ'!BC38=":",0,'Eurostat EB TJ'!BC38)</f>
        <v>0</v>
      </c>
      <c r="BE30" s="57">
        <f>IF('Eurostat EB TJ'!BD38=":",0,'Eurostat EB TJ'!BD38)</f>
        <v>0</v>
      </c>
      <c r="BF30" s="57">
        <f>IF('Eurostat EB TJ'!BE38=":",0,'Eurostat EB TJ'!BE38)</f>
        <v>0</v>
      </c>
      <c r="BG30" s="57">
        <f>IF('Eurostat EB TJ'!BF38=":",0,'Eurostat EB TJ'!BF38)</f>
        <v>0</v>
      </c>
      <c r="BH30" s="57">
        <f>IF('Eurostat EB TJ'!BG38=":",0,'Eurostat EB TJ'!BG38)</f>
        <v>0</v>
      </c>
      <c r="BI30" s="57">
        <f>IF('Eurostat EB TJ'!BH38=":",0,'Eurostat EB TJ'!BH38)</f>
        <v>0</v>
      </c>
      <c r="BJ30" s="57">
        <f>IF('Eurostat EB TJ'!BI38=":",0,'Eurostat EB TJ'!BI38)</f>
        <v>0</v>
      </c>
      <c r="BK30" s="57">
        <f>IF('Eurostat EB TJ'!BJ38=":",0,'Eurostat EB TJ'!BJ38)</f>
        <v>0</v>
      </c>
      <c r="BL30" s="57">
        <f>IF('Eurostat EB TJ'!BK38=":",0,'Eurostat EB TJ'!BK38)</f>
        <v>0</v>
      </c>
      <c r="BM30" s="57">
        <f>IF('Eurostat EB TJ'!BL38=":",0,'Eurostat EB TJ'!BL38)</f>
        <v>0</v>
      </c>
      <c r="BN30" s="57">
        <f>IF('Eurostat EB TJ'!BM38=":",0,'Eurostat EB TJ'!BM38)</f>
        <v>0</v>
      </c>
      <c r="BO30" s="57">
        <f>IF('Eurostat EB TJ'!BN38=":",0,'Eurostat EB TJ'!BN38)</f>
        <v>0</v>
      </c>
      <c r="BP30" s="57">
        <f>IF('Eurostat EB TJ'!BO38=":",0,'Eurostat EB TJ'!BO38)</f>
        <v>0</v>
      </c>
      <c r="BQ30" s="57">
        <f>IF('Eurostat EB TJ'!BP38=":",0,'Eurostat EB TJ'!BP38)</f>
        <v>0</v>
      </c>
      <c r="BR30" s="57">
        <f>IF('Eurostat EB TJ'!BQ38=":",0,'Eurostat EB TJ'!BQ38)</f>
        <v>0</v>
      </c>
      <c r="BS30" s="57">
        <f>IF('Eurostat EB TJ'!BR38=":",0,'Eurostat EB TJ'!BR38)</f>
        <v>0</v>
      </c>
      <c r="BT30" s="57">
        <f>IF('Eurostat EB TJ'!BS38=":",0,'Eurostat EB TJ'!BS38)</f>
        <v>0</v>
      </c>
      <c r="BU30" s="57">
        <f>IF('Eurostat EB TJ'!BT38=":",0,'Eurostat EB TJ'!BT38)</f>
        <v>0</v>
      </c>
      <c r="BV30" s="57">
        <f>IF('Eurostat EB TJ'!BU38=":",0,'Eurostat EB TJ'!BU38)</f>
        <v>0</v>
      </c>
    </row>
    <row r="31" spans="1:74" x14ac:dyDescent="0.2">
      <c r="A31" s="56" t="s">
        <v>215</v>
      </c>
      <c r="B31" s="17"/>
      <c r="C31" s="17">
        <f>IF('Eurostat EB TJ'!B39=":",0,'Eurostat EB TJ'!B39)</f>
        <v>5650.9250000000002</v>
      </c>
      <c r="D31" s="17">
        <f>IF('Eurostat EB TJ'!C39=":",0,'Eurostat EB TJ'!C39)</f>
        <v>0</v>
      </c>
      <c r="E31" s="17">
        <f>IF('Eurostat EB TJ'!D39=":",0,'Eurostat EB TJ'!D39)</f>
        <v>0</v>
      </c>
      <c r="F31" s="17">
        <f>IF('Eurostat EB TJ'!E39=":",0,'Eurostat EB TJ'!E39)</f>
        <v>0</v>
      </c>
      <c r="G31" s="17">
        <f>IF('Eurostat EB TJ'!F39=":",0,'Eurostat EB TJ'!F39)</f>
        <v>0</v>
      </c>
      <c r="H31" s="17">
        <f>IF('Eurostat EB TJ'!G39=":",0,'Eurostat EB TJ'!G39)</f>
        <v>0</v>
      </c>
      <c r="I31" s="17">
        <f>IF('Eurostat EB TJ'!H39=":",0,'Eurostat EB TJ'!H39)</f>
        <v>0</v>
      </c>
      <c r="J31" s="17">
        <f>IF('Eurostat EB TJ'!I39=":",0,'Eurostat EB TJ'!I39)</f>
        <v>0</v>
      </c>
      <c r="K31" s="17">
        <f>IF('Eurostat EB TJ'!J39=":",0,'Eurostat EB TJ'!J39)</f>
        <v>0</v>
      </c>
      <c r="L31" s="17">
        <f>IF('Eurostat EB TJ'!K39=":",0,'Eurostat EB TJ'!K39)</f>
        <v>0</v>
      </c>
      <c r="M31" s="17">
        <f>IF('Eurostat EB TJ'!L39=":",0,'Eurostat EB TJ'!L39)</f>
        <v>0</v>
      </c>
      <c r="N31" s="17">
        <f>IF('Eurostat EB TJ'!M39=":",0,'Eurostat EB TJ'!M39)</f>
        <v>0</v>
      </c>
      <c r="O31" s="17">
        <f>IF('Eurostat EB TJ'!N39=":",0,'Eurostat EB TJ'!N39)</f>
        <v>0</v>
      </c>
      <c r="P31" s="17">
        <f>IF('Eurostat EB TJ'!O39=":",0,'Eurostat EB TJ'!O39)</f>
        <v>0</v>
      </c>
      <c r="Q31" s="17">
        <f>IF('Eurostat EB TJ'!P39=":",0,'Eurostat EB TJ'!P39)</f>
        <v>0</v>
      </c>
      <c r="R31" s="17">
        <f>IF('Eurostat EB TJ'!Q39=":",0,'Eurostat EB TJ'!Q39)</f>
        <v>0</v>
      </c>
      <c r="S31" s="17">
        <f>IF('Eurostat EB TJ'!R39=":",0,'Eurostat EB TJ'!R39)</f>
        <v>0</v>
      </c>
      <c r="T31" s="17">
        <f>IF('Eurostat EB TJ'!S39=":",0,'Eurostat EB TJ'!S39)</f>
        <v>0</v>
      </c>
      <c r="U31" s="17">
        <f>IF('Eurostat EB TJ'!T39=":",0,'Eurostat EB TJ'!T39)</f>
        <v>0</v>
      </c>
      <c r="V31" s="17">
        <f>IF('Eurostat EB TJ'!U39=":",0,'Eurostat EB TJ'!U39)</f>
        <v>0</v>
      </c>
      <c r="W31" s="17">
        <f>IF('Eurostat EB TJ'!V39=":",0,'Eurostat EB TJ'!V39)</f>
        <v>0</v>
      </c>
      <c r="X31" s="17">
        <f>IF('Eurostat EB TJ'!W39=":",0,'Eurostat EB TJ'!W39)</f>
        <v>0</v>
      </c>
      <c r="Y31" s="17">
        <f>IF('Eurostat EB TJ'!X39=":",0,'Eurostat EB TJ'!X39)</f>
        <v>0</v>
      </c>
      <c r="Z31" s="17">
        <f>IF('Eurostat EB TJ'!Y39=":",0,'Eurostat EB TJ'!Y39)</f>
        <v>0</v>
      </c>
      <c r="AA31" s="17">
        <f>IF('Eurostat EB TJ'!Z39=":",0,'Eurostat EB TJ'!Z39)</f>
        <v>0</v>
      </c>
      <c r="AB31" s="17">
        <f>IF('Eurostat EB TJ'!AA39=":",0,'Eurostat EB TJ'!AA39)</f>
        <v>0</v>
      </c>
      <c r="AC31" s="17">
        <f>IF('Eurostat EB TJ'!AB39=":",0,'Eurostat EB TJ'!AB39)</f>
        <v>0</v>
      </c>
      <c r="AD31" s="17">
        <f>IF('Eurostat EB TJ'!AC39=":",0,'Eurostat EB TJ'!AC39)</f>
        <v>0</v>
      </c>
      <c r="AE31" s="17">
        <f>IF('Eurostat EB TJ'!AD39=":",0,'Eurostat EB TJ'!AD39)</f>
        <v>0</v>
      </c>
      <c r="AF31" s="17">
        <f>IF('Eurostat EB TJ'!AE39=":",0,'Eurostat EB TJ'!AE39)</f>
        <v>0</v>
      </c>
      <c r="AG31" s="17">
        <f>IF('Eurostat EB TJ'!AF39=":",0,'Eurostat EB TJ'!AF39)</f>
        <v>0</v>
      </c>
      <c r="AH31" s="17">
        <f>IF('Eurostat EB TJ'!AG39=":",0,'Eurostat EB TJ'!AG39)</f>
        <v>0</v>
      </c>
      <c r="AI31" s="17">
        <f>IF('Eurostat EB TJ'!AH39=":",0,'Eurostat EB TJ'!AH39)</f>
        <v>0</v>
      </c>
      <c r="AJ31" s="17">
        <f>IF('Eurostat EB TJ'!AI39=":",0,'Eurostat EB TJ'!AI39)</f>
        <v>0</v>
      </c>
      <c r="AK31" s="17">
        <f>IF('Eurostat EB TJ'!AJ39=":",0,'Eurostat EB TJ'!AJ39)</f>
        <v>0</v>
      </c>
      <c r="AL31" s="17">
        <f>IF('Eurostat EB TJ'!AK39=":",0,'Eurostat EB TJ'!AK39)</f>
        <v>0</v>
      </c>
      <c r="AM31" s="17">
        <f>IF('Eurostat EB TJ'!AL39=":",0,'Eurostat EB TJ'!AL39)</f>
        <v>0</v>
      </c>
      <c r="AN31" s="17">
        <f>IF('Eurostat EB TJ'!AM39=":",0,'Eurostat EB TJ'!AM39)</f>
        <v>0</v>
      </c>
      <c r="AO31" s="17">
        <f>IF('Eurostat EB TJ'!AN39=":",0,'Eurostat EB TJ'!AN39)</f>
        <v>0</v>
      </c>
      <c r="AP31" s="17">
        <f>IF('Eurostat EB TJ'!AO39=":",0,'Eurostat EB TJ'!AO39)</f>
        <v>0</v>
      </c>
      <c r="AQ31" s="17">
        <f>IF('Eurostat EB TJ'!AP39=":",0,'Eurostat EB TJ'!AP39)</f>
        <v>0</v>
      </c>
      <c r="AR31" s="17">
        <f>IF('Eurostat EB TJ'!AQ39=":",0,'Eurostat EB TJ'!AQ39)</f>
        <v>0</v>
      </c>
      <c r="AS31" s="17">
        <f>IF('Eurostat EB TJ'!AR39=":",0,'Eurostat EB TJ'!AR39)</f>
        <v>0</v>
      </c>
      <c r="AT31" s="17">
        <f>IF('Eurostat EB TJ'!AS39=":",0,'Eurostat EB TJ'!AS39)</f>
        <v>0</v>
      </c>
      <c r="AU31" s="17">
        <f>IF('Eurostat EB TJ'!AT39=":",0,'Eurostat EB TJ'!AT39)</f>
        <v>0</v>
      </c>
      <c r="AV31" s="17">
        <f>IF('Eurostat EB TJ'!AU39=":",0,'Eurostat EB TJ'!AU39)</f>
        <v>0</v>
      </c>
      <c r="AW31" s="17">
        <f>IF('Eurostat EB TJ'!AV39=":",0,'Eurostat EB TJ'!AV39)</f>
        <v>0</v>
      </c>
      <c r="AX31" s="17">
        <f>IF('Eurostat EB TJ'!AW39=":",0,'Eurostat EB TJ'!AW39)</f>
        <v>0</v>
      </c>
      <c r="AY31" s="17">
        <f>IF('Eurostat EB TJ'!AX39=":",0,'Eurostat EB TJ'!AX39)</f>
        <v>0</v>
      </c>
      <c r="AZ31" s="17">
        <f>IF('Eurostat EB TJ'!AY39=":",0,'Eurostat EB TJ'!AY39)</f>
        <v>0</v>
      </c>
      <c r="BA31" s="17">
        <f>IF('Eurostat EB TJ'!AZ39=":",0,'Eurostat EB TJ'!AZ39)</f>
        <v>0</v>
      </c>
      <c r="BB31" s="17">
        <f>IF('Eurostat EB TJ'!BA39=":",0,'Eurostat EB TJ'!BA39)</f>
        <v>0</v>
      </c>
      <c r="BC31" s="17">
        <f>IF('Eurostat EB TJ'!BB39=":",0,'Eurostat EB TJ'!BB39)</f>
        <v>0</v>
      </c>
      <c r="BD31" s="17">
        <f>IF('Eurostat EB TJ'!BC39=":",0,'Eurostat EB TJ'!BC39)</f>
        <v>0</v>
      </c>
      <c r="BE31" s="17">
        <f>IF('Eurostat EB TJ'!BD39=":",0,'Eurostat EB TJ'!BD39)</f>
        <v>0</v>
      </c>
      <c r="BF31" s="17">
        <f>IF('Eurostat EB TJ'!BE39=":",0,'Eurostat EB TJ'!BE39)</f>
        <v>0</v>
      </c>
      <c r="BG31" s="17">
        <f>IF('Eurostat EB TJ'!BF39=":",0,'Eurostat EB TJ'!BF39)</f>
        <v>0</v>
      </c>
      <c r="BH31" s="17">
        <f>IF('Eurostat EB TJ'!BG39=":",0,'Eurostat EB TJ'!BG39)</f>
        <v>0</v>
      </c>
      <c r="BI31" s="17">
        <f>IF('Eurostat EB TJ'!BH39=":",0,'Eurostat EB TJ'!BH39)</f>
        <v>0</v>
      </c>
      <c r="BJ31" s="17">
        <f>IF('Eurostat EB TJ'!BI39=":",0,'Eurostat EB TJ'!BI39)</f>
        <v>0</v>
      </c>
      <c r="BK31" s="17">
        <f>IF('Eurostat EB TJ'!BJ39=":",0,'Eurostat EB TJ'!BJ39)</f>
        <v>0</v>
      </c>
      <c r="BL31" s="17">
        <f>IF('Eurostat EB TJ'!BK39=":",0,'Eurostat EB TJ'!BK39)</f>
        <v>0</v>
      </c>
      <c r="BM31" s="17">
        <f>IF('Eurostat EB TJ'!BL39=":",0,'Eurostat EB TJ'!BL39)</f>
        <v>0</v>
      </c>
      <c r="BN31" s="17">
        <f>IF('Eurostat EB TJ'!BM39=":",0,'Eurostat EB TJ'!BM39)</f>
        <v>0</v>
      </c>
      <c r="BO31" s="17">
        <f>IF('Eurostat EB TJ'!BN39=":",0,'Eurostat EB TJ'!BN39)</f>
        <v>0</v>
      </c>
      <c r="BP31" s="17">
        <f>IF('Eurostat EB TJ'!BO39=":",0,'Eurostat EB TJ'!BO39)</f>
        <v>0</v>
      </c>
      <c r="BQ31" s="17">
        <f>IF('Eurostat EB TJ'!BP39=":",0,'Eurostat EB TJ'!BP39)</f>
        <v>0</v>
      </c>
      <c r="BR31" s="17">
        <f>IF('Eurostat EB TJ'!BQ39=":",0,'Eurostat EB TJ'!BQ39)</f>
        <v>0</v>
      </c>
      <c r="BS31" s="17">
        <f>IF('Eurostat EB TJ'!BR39=":",0,'Eurostat EB TJ'!BR39)</f>
        <v>0</v>
      </c>
      <c r="BT31" s="17">
        <f>IF('Eurostat EB TJ'!BS39=":",0,'Eurostat EB TJ'!BS39)</f>
        <v>5650.9250000000002</v>
      </c>
      <c r="BU31" s="17">
        <f>IF('Eurostat EB TJ'!BT39=":",0,'Eurostat EB TJ'!BT39)</f>
        <v>1240.4870000000001</v>
      </c>
      <c r="BV31" s="17">
        <f>IF('Eurostat EB TJ'!BU39=":",0,'Eurostat EB TJ'!BU39)</f>
        <v>3924.011</v>
      </c>
    </row>
    <row r="32" spans="1:74" x14ac:dyDescent="0.2">
      <c r="A32" s="64" t="s">
        <v>390</v>
      </c>
      <c r="B32" s="57" t="s">
        <v>394</v>
      </c>
      <c r="C32" s="57">
        <f>IF('Eurostat EB TJ'!B40=":",0,'Eurostat EB TJ'!B40)</f>
        <v>362.92</v>
      </c>
      <c r="D32" s="57">
        <f>IF('Eurostat EB TJ'!C40=":",0,'Eurostat EB TJ'!C40)</f>
        <v>0</v>
      </c>
      <c r="E32" s="57">
        <f>IF('Eurostat EB TJ'!D40=":",0,'Eurostat EB TJ'!D40)</f>
        <v>0</v>
      </c>
      <c r="F32" s="57">
        <f>IF('Eurostat EB TJ'!E40=":",0,'Eurostat EB TJ'!E40)</f>
        <v>0</v>
      </c>
      <c r="G32" s="57">
        <f>IF('Eurostat EB TJ'!F40=":",0,'Eurostat EB TJ'!F40)</f>
        <v>0</v>
      </c>
      <c r="H32" s="57">
        <f>IF('Eurostat EB TJ'!G40=":",0,'Eurostat EB TJ'!G40)</f>
        <v>0</v>
      </c>
      <c r="I32" s="57">
        <f>IF('Eurostat EB TJ'!H40=":",0,'Eurostat EB TJ'!H40)</f>
        <v>0</v>
      </c>
      <c r="J32" s="57">
        <f>IF('Eurostat EB TJ'!I40=":",0,'Eurostat EB TJ'!I40)</f>
        <v>0</v>
      </c>
      <c r="K32" s="57">
        <f>IF('Eurostat EB TJ'!J40=":",0,'Eurostat EB TJ'!J40)</f>
        <v>0</v>
      </c>
      <c r="L32" s="57">
        <f>IF('Eurostat EB TJ'!K40=":",0,'Eurostat EB TJ'!K40)</f>
        <v>0</v>
      </c>
      <c r="M32" s="57">
        <f>IF('Eurostat EB TJ'!L40=":",0,'Eurostat EB TJ'!L40)</f>
        <v>0</v>
      </c>
      <c r="N32" s="57">
        <f>IF('Eurostat EB TJ'!M40=":",0,'Eurostat EB TJ'!M40)</f>
        <v>0</v>
      </c>
      <c r="O32" s="57">
        <f>IF('Eurostat EB TJ'!N40=":",0,'Eurostat EB TJ'!N40)</f>
        <v>0</v>
      </c>
      <c r="P32" s="57">
        <f>IF('Eurostat EB TJ'!O40=":",0,'Eurostat EB TJ'!O40)</f>
        <v>0</v>
      </c>
      <c r="Q32" s="57">
        <f>IF('Eurostat EB TJ'!P40=":",0,'Eurostat EB TJ'!P40)</f>
        <v>0</v>
      </c>
      <c r="R32" s="57">
        <f>IF('Eurostat EB TJ'!Q40=":",0,'Eurostat EB TJ'!Q40)</f>
        <v>0</v>
      </c>
      <c r="S32" s="57">
        <f>IF('Eurostat EB TJ'!R40=":",0,'Eurostat EB TJ'!R40)</f>
        <v>0</v>
      </c>
      <c r="T32" s="57">
        <f>IF('Eurostat EB TJ'!S40=":",0,'Eurostat EB TJ'!S40)</f>
        <v>0</v>
      </c>
      <c r="U32" s="57">
        <f>IF('Eurostat EB TJ'!T40=":",0,'Eurostat EB TJ'!T40)</f>
        <v>0</v>
      </c>
      <c r="V32" s="57">
        <f>IF('Eurostat EB TJ'!U40=":",0,'Eurostat EB TJ'!U40)</f>
        <v>0</v>
      </c>
      <c r="W32" s="57">
        <f>IF('Eurostat EB TJ'!V40=":",0,'Eurostat EB TJ'!V40)</f>
        <v>0</v>
      </c>
      <c r="X32" s="57">
        <f>IF('Eurostat EB TJ'!W40=":",0,'Eurostat EB TJ'!W40)</f>
        <v>0</v>
      </c>
      <c r="Y32" s="57">
        <f>IF('Eurostat EB TJ'!X40=":",0,'Eurostat EB TJ'!X40)</f>
        <v>0</v>
      </c>
      <c r="Z32" s="57">
        <f>IF('Eurostat EB TJ'!Y40=":",0,'Eurostat EB TJ'!Y40)</f>
        <v>0</v>
      </c>
      <c r="AA32" s="57">
        <f>IF('Eurostat EB TJ'!Z40=":",0,'Eurostat EB TJ'!Z40)</f>
        <v>0</v>
      </c>
      <c r="AB32" s="57">
        <f>IF('Eurostat EB TJ'!AA40=":",0,'Eurostat EB TJ'!AA40)</f>
        <v>0</v>
      </c>
      <c r="AC32" s="57">
        <f>IF('Eurostat EB TJ'!AB40=":",0,'Eurostat EB TJ'!AB40)</f>
        <v>0</v>
      </c>
      <c r="AD32" s="57">
        <f>IF('Eurostat EB TJ'!AC40=":",0,'Eurostat EB TJ'!AC40)</f>
        <v>0</v>
      </c>
      <c r="AE32" s="57">
        <f>IF('Eurostat EB TJ'!AD40=":",0,'Eurostat EB TJ'!AD40)</f>
        <v>0</v>
      </c>
      <c r="AF32" s="57">
        <f>IF('Eurostat EB TJ'!AE40=":",0,'Eurostat EB TJ'!AE40)</f>
        <v>0</v>
      </c>
      <c r="AG32" s="57">
        <f>IF('Eurostat EB TJ'!AF40=":",0,'Eurostat EB TJ'!AF40)</f>
        <v>0</v>
      </c>
      <c r="AH32" s="57">
        <f>IF('Eurostat EB TJ'!AG40=":",0,'Eurostat EB TJ'!AG40)</f>
        <v>0</v>
      </c>
      <c r="AI32" s="57">
        <f>IF('Eurostat EB TJ'!AH40=":",0,'Eurostat EB TJ'!AH40)</f>
        <v>0</v>
      </c>
      <c r="AJ32" s="57">
        <f>IF('Eurostat EB TJ'!AI40=":",0,'Eurostat EB TJ'!AI40)</f>
        <v>0</v>
      </c>
      <c r="AK32" s="57">
        <f>IF('Eurostat EB TJ'!AJ40=":",0,'Eurostat EB TJ'!AJ40)</f>
        <v>0</v>
      </c>
      <c r="AL32" s="57">
        <f>IF('Eurostat EB TJ'!AK40=":",0,'Eurostat EB TJ'!AK40)</f>
        <v>0</v>
      </c>
      <c r="AM32" s="57">
        <f>IF('Eurostat EB TJ'!AL40=":",0,'Eurostat EB TJ'!AL40)</f>
        <v>0</v>
      </c>
      <c r="AN32" s="57">
        <f>IF('Eurostat EB TJ'!AM40=":",0,'Eurostat EB TJ'!AM40)</f>
        <v>0</v>
      </c>
      <c r="AO32" s="57">
        <f>IF('Eurostat EB TJ'!AN40=":",0,'Eurostat EB TJ'!AN40)</f>
        <v>0</v>
      </c>
      <c r="AP32" s="57">
        <f>IF('Eurostat EB TJ'!AO40=":",0,'Eurostat EB TJ'!AO40)</f>
        <v>0</v>
      </c>
      <c r="AQ32" s="57">
        <f>IF('Eurostat EB TJ'!AP40=":",0,'Eurostat EB TJ'!AP40)</f>
        <v>0</v>
      </c>
      <c r="AR32" s="57">
        <f>IF('Eurostat EB TJ'!AQ40=":",0,'Eurostat EB TJ'!AQ40)</f>
        <v>0</v>
      </c>
      <c r="AS32" s="57">
        <f>IF('Eurostat EB TJ'!AR40=":",0,'Eurostat EB TJ'!AR40)</f>
        <v>0</v>
      </c>
      <c r="AT32" s="57">
        <f>IF('Eurostat EB TJ'!AS40=":",0,'Eurostat EB TJ'!AS40)</f>
        <v>0</v>
      </c>
      <c r="AU32" s="57">
        <f>IF('Eurostat EB TJ'!AT40=":",0,'Eurostat EB TJ'!AT40)</f>
        <v>0</v>
      </c>
      <c r="AV32" s="57">
        <f>IF('Eurostat EB TJ'!AU40=":",0,'Eurostat EB TJ'!AU40)</f>
        <v>0</v>
      </c>
      <c r="AW32" s="57">
        <f>IF('Eurostat EB TJ'!AV40=":",0,'Eurostat EB TJ'!AV40)</f>
        <v>0</v>
      </c>
      <c r="AX32" s="57">
        <f>IF('Eurostat EB TJ'!AW40=":",0,'Eurostat EB TJ'!AW40)</f>
        <v>0</v>
      </c>
      <c r="AY32" s="57">
        <f>IF('Eurostat EB TJ'!AX40=":",0,'Eurostat EB TJ'!AX40)</f>
        <v>0</v>
      </c>
      <c r="AZ32" s="57">
        <f>IF('Eurostat EB TJ'!AY40=":",0,'Eurostat EB TJ'!AY40)</f>
        <v>0</v>
      </c>
      <c r="BA32" s="57">
        <f>IF('Eurostat EB TJ'!AZ40=":",0,'Eurostat EB TJ'!AZ40)</f>
        <v>0</v>
      </c>
      <c r="BB32" s="57">
        <f>IF('Eurostat EB TJ'!BA40=":",0,'Eurostat EB TJ'!BA40)</f>
        <v>0</v>
      </c>
      <c r="BC32" s="57">
        <f>IF('Eurostat EB TJ'!BB40=":",0,'Eurostat EB TJ'!BB40)</f>
        <v>0</v>
      </c>
      <c r="BD32" s="57">
        <f>IF('Eurostat EB TJ'!BC40=":",0,'Eurostat EB TJ'!BC40)</f>
        <v>0</v>
      </c>
      <c r="BE32" s="57">
        <f>IF('Eurostat EB TJ'!BD40=":",0,'Eurostat EB TJ'!BD40)</f>
        <v>0</v>
      </c>
      <c r="BF32" s="57">
        <f>IF('Eurostat EB TJ'!BE40=":",0,'Eurostat EB TJ'!BE40)</f>
        <v>0</v>
      </c>
      <c r="BG32" s="57">
        <f>IF('Eurostat EB TJ'!BF40=":",0,'Eurostat EB TJ'!BF40)</f>
        <v>0</v>
      </c>
      <c r="BH32" s="57">
        <f>IF('Eurostat EB TJ'!BG40=":",0,'Eurostat EB TJ'!BG40)</f>
        <v>0</v>
      </c>
      <c r="BI32" s="57">
        <f>IF('Eurostat EB TJ'!BH40=":",0,'Eurostat EB TJ'!BH40)</f>
        <v>0</v>
      </c>
      <c r="BJ32" s="57">
        <f>IF('Eurostat EB TJ'!BI40=":",0,'Eurostat EB TJ'!BI40)</f>
        <v>0</v>
      </c>
      <c r="BK32" s="57">
        <f>IF('Eurostat EB TJ'!BJ40=":",0,'Eurostat EB TJ'!BJ40)</f>
        <v>0</v>
      </c>
      <c r="BL32" s="57">
        <f>IF('Eurostat EB TJ'!BK40=":",0,'Eurostat EB TJ'!BK40)</f>
        <v>0</v>
      </c>
      <c r="BM32" s="57">
        <f>IF('Eurostat EB TJ'!BL40=":",0,'Eurostat EB TJ'!BL40)</f>
        <v>0</v>
      </c>
      <c r="BN32" s="57">
        <f>IF('Eurostat EB TJ'!BM40=":",0,'Eurostat EB TJ'!BM40)</f>
        <v>0</v>
      </c>
      <c r="BO32" s="57">
        <f>IF('Eurostat EB TJ'!BN40=":",0,'Eurostat EB TJ'!BN40)</f>
        <v>0</v>
      </c>
      <c r="BP32" s="57">
        <f>IF('Eurostat EB TJ'!BO40=":",0,'Eurostat EB TJ'!BO40)</f>
        <v>0</v>
      </c>
      <c r="BQ32" s="57">
        <f>IF('Eurostat EB TJ'!BP40=":",0,'Eurostat EB TJ'!BP40)</f>
        <v>0</v>
      </c>
      <c r="BR32" s="57">
        <f>IF('Eurostat EB TJ'!BQ40=":",0,'Eurostat EB TJ'!BQ40)</f>
        <v>0</v>
      </c>
      <c r="BS32" s="57">
        <f>IF('Eurostat EB TJ'!BR40=":",0,'Eurostat EB TJ'!BR40)</f>
        <v>362.92</v>
      </c>
      <c r="BT32" s="57">
        <f>IF('Eurostat EB TJ'!BS40=":",0,'Eurostat EB TJ'!BS40)</f>
        <v>0</v>
      </c>
      <c r="BU32" s="57">
        <f>IF('Eurostat EB TJ'!BT40=":",0,'Eurostat EB TJ'!BT40)</f>
        <v>24.161000000000001</v>
      </c>
      <c r="BV32" s="57">
        <f>IF('Eurostat EB TJ'!BU40=":",0,'Eurostat EB TJ'!BU40)</f>
        <v>178.048</v>
      </c>
    </row>
    <row r="33" spans="1:74" x14ac:dyDescent="0.2">
      <c r="A33" s="56" t="s">
        <v>216</v>
      </c>
      <c r="B33" s="17"/>
      <c r="C33" s="17">
        <f>IF('Eurostat EB TJ'!B41=":",0,'Eurostat EB TJ'!B41)</f>
        <v>70878.616999999998</v>
      </c>
      <c r="D33" s="17">
        <f>IF('Eurostat EB TJ'!C41=":",0,'Eurostat EB TJ'!C41)</f>
        <v>70878.616999999998</v>
      </c>
      <c r="E33" s="17">
        <f>IF('Eurostat EB TJ'!D41=":",0,'Eurostat EB TJ'!D41)</f>
        <v>0</v>
      </c>
      <c r="F33" s="17">
        <f>IF('Eurostat EB TJ'!E41=":",0,'Eurostat EB TJ'!E41)</f>
        <v>70878.616999999998</v>
      </c>
      <c r="G33" s="17">
        <f>IF('Eurostat EB TJ'!F41=":",0,'Eurostat EB TJ'!F41)</f>
        <v>0</v>
      </c>
      <c r="H33" s="17">
        <f>IF('Eurostat EB TJ'!G41=":",0,'Eurostat EB TJ'!G41)</f>
        <v>0</v>
      </c>
      <c r="I33" s="17">
        <f>IF('Eurostat EB TJ'!H41=":",0,'Eurostat EB TJ'!H41)</f>
        <v>0</v>
      </c>
      <c r="J33" s="17">
        <f>IF('Eurostat EB TJ'!I41=":",0,'Eurostat EB TJ'!I41)</f>
        <v>0</v>
      </c>
      <c r="K33" s="17">
        <f>IF('Eurostat EB TJ'!J41=":",0,'Eurostat EB TJ'!J41)</f>
        <v>0</v>
      </c>
      <c r="L33" s="17">
        <f>IF('Eurostat EB TJ'!K41=":",0,'Eurostat EB TJ'!K41)</f>
        <v>0</v>
      </c>
      <c r="M33" s="17">
        <f>IF('Eurostat EB TJ'!L41=":",0,'Eurostat EB TJ'!L41)</f>
        <v>0</v>
      </c>
      <c r="N33" s="17">
        <f>IF('Eurostat EB TJ'!M41=":",0,'Eurostat EB TJ'!M41)</f>
        <v>0</v>
      </c>
      <c r="O33" s="17">
        <f>IF('Eurostat EB TJ'!N41=":",0,'Eurostat EB TJ'!N41)</f>
        <v>0</v>
      </c>
      <c r="P33" s="17">
        <f>IF('Eurostat EB TJ'!O41=":",0,'Eurostat EB TJ'!O41)</f>
        <v>0</v>
      </c>
      <c r="Q33" s="17">
        <f>IF('Eurostat EB TJ'!P41=":",0,'Eurostat EB TJ'!P41)</f>
        <v>0</v>
      </c>
      <c r="R33" s="17">
        <f>IF('Eurostat EB TJ'!Q41=":",0,'Eurostat EB TJ'!Q41)</f>
        <v>0</v>
      </c>
      <c r="S33" s="17">
        <f>IF('Eurostat EB TJ'!R41=":",0,'Eurostat EB TJ'!R41)</f>
        <v>0</v>
      </c>
      <c r="T33" s="17">
        <f>IF('Eurostat EB TJ'!S41=":",0,'Eurostat EB TJ'!S41)</f>
        <v>0</v>
      </c>
      <c r="U33" s="17">
        <f>IF('Eurostat EB TJ'!T41=":",0,'Eurostat EB TJ'!T41)</f>
        <v>0</v>
      </c>
      <c r="V33" s="17">
        <f>IF('Eurostat EB TJ'!U41=":",0,'Eurostat EB TJ'!U41)</f>
        <v>0</v>
      </c>
      <c r="W33" s="17">
        <f>IF('Eurostat EB TJ'!V41=":",0,'Eurostat EB TJ'!V41)</f>
        <v>0</v>
      </c>
      <c r="X33" s="17">
        <f>IF('Eurostat EB TJ'!W41=":",0,'Eurostat EB TJ'!W41)</f>
        <v>0</v>
      </c>
      <c r="Y33" s="17">
        <f>IF('Eurostat EB TJ'!X41=":",0,'Eurostat EB TJ'!X41)</f>
        <v>0</v>
      </c>
      <c r="Z33" s="17">
        <f>IF('Eurostat EB TJ'!Y41=":",0,'Eurostat EB TJ'!Y41)</f>
        <v>0</v>
      </c>
      <c r="AA33" s="17">
        <f>IF('Eurostat EB TJ'!Z41=":",0,'Eurostat EB TJ'!Z41)</f>
        <v>0</v>
      </c>
      <c r="AB33" s="17">
        <f>IF('Eurostat EB TJ'!AA41=":",0,'Eurostat EB TJ'!AA41)</f>
        <v>0</v>
      </c>
      <c r="AC33" s="17">
        <f>IF('Eurostat EB TJ'!AB41=":",0,'Eurostat EB TJ'!AB41)</f>
        <v>0</v>
      </c>
      <c r="AD33" s="17">
        <f>IF('Eurostat EB TJ'!AC41=":",0,'Eurostat EB TJ'!AC41)</f>
        <v>0</v>
      </c>
      <c r="AE33" s="17">
        <f>IF('Eurostat EB TJ'!AD41=":",0,'Eurostat EB TJ'!AD41)</f>
        <v>0</v>
      </c>
      <c r="AF33" s="17">
        <f>IF('Eurostat EB TJ'!AE41=":",0,'Eurostat EB TJ'!AE41)</f>
        <v>0</v>
      </c>
      <c r="AG33" s="17">
        <f>IF('Eurostat EB TJ'!AF41=":",0,'Eurostat EB TJ'!AF41)</f>
        <v>0</v>
      </c>
      <c r="AH33" s="17">
        <f>IF('Eurostat EB TJ'!AG41=":",0,'Eurostat EB TJ'!AG41)</f>
        <v>0</v>
      </c>
      <c r="AI33" s="17">
        <f>IF('Eurostat EB TJ'!AH41=":",0,'Eurostat EB TJ'!AH41)</f>
        <v>0</v>
      </c>
      <c r="AJ33" s="17">
        <f>IF('Eurostat EB TJ'!AI41=":",0,'Eurostat EB TJ'!AI41)</f>
        <v>0</v>
      </c>
      <c r="AK33" s="17">
        <f>IF('Eurostat EB TJ'!AJ41=":",0,'Eurostat EB TJ'!AJ41)</f>
        <v>0</v>
      </c>
      <c r="AL33" s="17">
        <f>IF('Eurostat EB TJ'!AK41=":",0,'Eurostat EB TJ'!AK41)</f>
        <v>0</v>
      </c>
      <c r="AM33" s="17">
        <f>IF('Eurostat EB TJ'!AL41=":",0,'Eurostat EB TJ'!AL41)</f>
        <v>0</v>
      </c>
      <c r="AN33" s="17">
        <f>IF('Eurostat EB TJ'!AM41=":",0,'Eurostat EB TJ'!AM41)</f>
        <v>0</v>
      </c>
      <c r="AO33" s="17">
        <f>IF('Eurostat EB TJ'!AN41=":",0,'Eurostat EB TJ'!AN41)</f>
        <v>0</v>
      </c>
      <c r="AP33" s="17">
        <f>IF('Eurostat EB TJ'!AO41=":",0,'Eurostat EB TJ'!AO41)</f>
        <v>0</v>
      </c>
      <c r="AQ33" s="17">
        <f>IF('Eurostat EB TJ'!AP41=":",0,'Eurostat EB TJ'!AP41)</f>
        <v>0</v>
      </c>
      <c r="AR33" s="17">
        <f>IF('Eurostat EB TJ'!AQ41=":",0,'Eurostat EB TJ'!AQ41)</f>
        <v>0</v>
      </c>
      <c r="AS33" s="17">
        <f>IF('Eurostat EB TJ'!AR41=":",0,'Eurostat EB TJ'!AR41)</f>
        <v>0</v>
      </c>
      <c r="AT33" s="17">
        <f>IF('Eurostat EB TJ'!AS41=":",0,'Eurostat EB TJ'!AS41)</f>
        <v>0</v>
      </c>
      <c r="AU33" s="17">
        <f>IF('Eurostat EB TJ'!AT41=":",0,'Eurostat EB TJ'!AT41)</f>
        <v>0</v>
      </c>
      <c r="AV33" s="17">
        <f>IF('Eurostat EB TJ'!AU41=":",0,'Eurostat EB TJ'!AU41)</f>
        <v>0</v>
      </c>
      <c r="AW33" s="17">
        <f>IF('Eurostat EB TJ'!AV41=":",0,'Eurostat EB TJ'!AV41)</f>
        <v>0</v>
      </c>
      <c r="AX33" s="17">
        <f>IF('Eurostat EB TJ'!AW41=":",0,'Eurostat EB TJ'!AW41)</f>
        <v>0</v>
      </c>
      <c r="AY33" s="17">
        <f>IF('Eurostat EB TJ'!AX41=":",0,'Eurostat EB TJ'!AX41)</f>
        <v>0</v>
      </c>
      <c r="AZ33" s="17">
        <f>IF('Eurostat EB TJ'!AY41=":",0,'Eurostat EB TJ'!AY41)</f>
        <v>0</v>
      </c>
      <c r="BA33" s="17">
        <f>IF('Eurostat EB TJ'!AZ41=":",0,'Eurostat EB TJ'!AZ41)</f>
        <v>0</v>
      </c>
      <c r="BB33" s="17">
        <f>IF('Eurostat EB TJ'!BA41=":",0,'Eurostat EB TJ'!BA41)</f>
        <v>0</v>
      </c>
      <c r="BC33" s="17">
        <f>IF('Eurostat EB TJ'!BB41=":",0,'Eurostat EB TJ'!BB41)</f>
        <v>0</v>
      </c>
      <c r="BD33" s="17">
        <f>IF('Eurostat EB TJ'!BC41=":",0,'Eurostat EB TJ'!BC41)</f>
        <v>0</v>
      </c>
      <c r="BE33" s="17">
        <f>IF('Eurostat EB TJ'!BD41=":",0,'Eurostat EB TJ'!BD41)</f>
        <v>0</v>
      </c>
      <c r="BF33" s="17">
        <f>IF('Eurostat EB TJ'!BE41=":",0,'Eurostat EB TJ'!BE41)</f>
        <v>0</v>
      </c>
      <c r="BG33" s="17">
        <f>IF('Eurostat EB TJ'!BF41=":",0,'Eurostat EB TJ'!BF41)</f>
        <v>0</v>
      </c>
      <c r="BH33" s="17">
        <f>IF('Eurostat EB TJ'!BG41=":",0,'Eurostat EB TJ'!BG41)</f>
        <v>0</v>
      </c>
      <c r="BI33" s="17">
        <f>IF('Eurostat EB TJ'!BH41=":",0,'Eurostat EB TJ'!BH41)</f>
        <v>0</v>
      </c>
      <c r="BJ33" s="17">
        <f>IF('Eurostat EB TJ'!BI41=":",0,'Eurostat EB TJ'!BI41)</f>
        <v>0</v>
      </c>
      <c r="BK33" s="17">
        <f>IF('Eurostat EB TJ'!BJ41=":",0,'Eurostat EB TJ'!BJ41)</f>
        <v>0</v>
      </c>
      <c r="BL33" s="17">
        <f>IF('Eurostat EB TJ'!BK41=":",0,'Eurostat EB TJ'!BK41)</f>
        <v>0</v>
      </c>
      <c r="BM33" s="17">
        <f>IF('Eurostat EB TJ'!BL41=":",0,'Eurostat EB TJ'!BL41)</f>
        <v>0</v>
      </c>
      <c r="BN33" s="17">
        <f>IF('Eurostat EB TJ'!BM41=":",0,'Eurostat EB TJ'!BM41)</f>
        <v>0</v>
      </c>
      <c r="BO33" s="17">
        <f>IF('Eurostat EB TJ'!BN41=":",0,'Eurostat EB TJ'!BN41)</f>
        <v>0</v>
      </c>
      <c r="BP33" s="17">
        <f>IF('Eurostat EB TJ'!BO41=":",0,'Eurostat EB TJ'!BO41)</f>
        <v>0</v>
      </c>
      <c r="BQ33" s="17">
        <f>IF('Eurostat EB TJ'!BP41=":",0,'Eurostat EB TJ'!BP41)</f>
        <v>0</v>
      </c>
      <c r="BR33" s="17">
        <f>IF('Eurostat EB TJ'!BQ41=":",0,'Eurostat EB TJ'!BQ41)</f>
        <v>0</v>
      </c>
      <c r="BS33" s="17">
        <f>IF('Eurostat EB TJ'!BR41=":",0,'Eurostat EB TJ'!BR41)</f>
        <v>0</v>
      </c>
      <c r="BT33" s="17">
        <f>IF('Eurostat EB TJ'!BS41=":",0,'Eurostat EB TJ'!BS41)</f>
        <v>0</v>
      </c>
      <c r="BU33" s="17">
        <f>IF('Eurostat EB TJ'!BT41=":",0,'Eurostat EB TJ'!BT41)</f>
        <v>0</v>
      </c>
      <c r="BV33" s="17">
        <f>IF('Eurostat EB TJ'!BU41=":",0,'Eurostat EB TJ'!BU41)</f>
        <v>70878.616999999998</v>
      </c>
    </row>
    <row r="34" spans="1:74" x14ac:dyDescent="0.2">
      <c r="A34" s="56" t="s">
        <v>217</v>
      </c>
      <c r="B34" s="57"/>
      <c r="C34" s="57">
        <f>IF('Eurostat EB TJ'!B42=":",0,'Eurostat EB TJ'!B42)</f>
        <v>63808.498</v>
      </c>
      <c r="D34" s="57">
        <f>IF('Eurostat EB TJ'!C42=":",0,'Eurostat EB TJ'!C42)</f>
        <v>63808.498</v>
      </c>
      <c r="E34" s="57">
        <f>IF('Eurostat EB TJ'!D42=":",0,'Eurostat EB TJ'!D42)</f>
        <v>0</v>
      </c>
      <c r="F34" s="57">
        <f>IF('Eurostat EB TJ'!E42=":",0,'Eurostat EB TJ'!E42)</f>
        <v>28264.494999999999</v>
      </c>
      <c r="G34" s="57">
        <f>IF('Eurostat EB TJ'!F42=":",0,'Eurostat EB TJ'!F42)</f>
        <v>0</v>
      </c>
      <c r="H34" s="57">
        <f>IF('Eurostat EB TJ'!G42=":",0,'Eurostat EB TJ'!G42)</f>
        <v>0</v>
      </c>
      <c r="I34" s="57">
        <f>IF('Eurostat EB TJ'!H42=":",0,'Eurostat EB TJ'!H42)</f>
        <v>0</v>
      </c>
      <c r="J34" s="57">
        <f>IF('Eurostat EB TJ'!I42=":",0,'Eurostat EB TJ'!I42)</f>
        <v>35544.002999999997</v>
      </c>
      <c r="K34" s="57">
        <f>IF('Eurostat EB TJ'!J42=":",0,'Eurostat EB TJ'!J42)</f>
        <v>0</v>
      </c>
      <c r="L34" s="57">
        <f>IF('Eurostat EB TJ'!K42=":",0,'Eurostat EB TJ'!K42)</f>
        <v>0</v>
      </c>
      <c r="M34" s="57">
        <f>IF('Eurostat EB TJ'!L42=":",0,'Eurostat EB TJ'!L42)</f>
        <v>0</v>
      </c>
      <c r="N34" s="57">
        <f>IF('Eurostat EB TJ'!M42=":",0,'Eurostat EB TJ'!M42)</f>
        <v>0</v>
      </c>
      <c r="O34" s="57">
        <f>IF('Eurostat EB TJ'!N42=":",0,'Eurostat EB TJ'!N42)</f>
        <v>0</v>
      </c>
      <c r="P34" s="57">
        <f>IF('Eurostat EB TJ'!O42=":",0,'Eurostat EB TJ'!O42)</f>
        <v>0</v>
      </c>
      <c r="Q34" s="57">
        <f>IF('Eurostat EB TJ'!P42=":",0,'Eurostat EB TJ'!P42)</f>
        <v>0</v>
      </c>
      <c r="R34" s="57">
        <f>IF('Eurostat EB TJ'!Q42=":",0,'Eurostat EB TJ'!Q42)</f>
        <v>0</v>
      </c>
      <c r="S34" s="57">
        <f>IF('Eurostat EB TJ'!R42=":",0,'Eurostat EB TJ'!R42)</f>
        <v>0</v>
      </c>
      <c r="T34" s="57">
        <f>IF('Eurostat EB TJ'!S42=":",0,'Eurostat EB TJ'!S42)</f>
        <v>0</v>
      </c>
      <c r="U34" s="57">
        <f>IF('Eurostat EB TJ'!T42=":",0,'Eurostat EB TJ'!T42)</f>
        <v>0</v>
      </c>
      <c r="V34" s="57">
        <f>IF('Eurostat EB TJ'!U42=":",0,'Eurostat EB TJ'!U42)</f>
        <v>0</v>
      </c>
      <c r="W34" s="57">
        <f>IF('Eurostat EB TJ'!V42=":",0,'Eurostat EB TJ'!V42)</f>
        <v>0</v>
      </c>
      <c r="X34" s="57">
        <f>IF('Eurostat EB TJ'!W42=":",0,'Eurostat EB TJ'!W42)</f>
        <v>0</v>
      </c>
      <c r="Y34" s="57">
        <f>IF('Eurostat EB TJ'!X42=":",0,'Eurostat EB TJ'!X42)</f>
        <v>0</v>
      </c>
      <c r="Z34" s="57">
        <f>IF('Eurostat EB TJ'!Y42=":",0,'Eurostat EB TJ'!Y42)</f>
        <v>0</v>
      </c>
      <c r="AA34" s="57">
        <f>IF('Eurostat EB TJ'!Z42=":",0,'Eurostat EB TJ'!Z42)</f>
        <v>0</v>
      </c>
      <c r="AB34" s="57">
        <f>IF('Eurostat EB TJ'!AA42=":",0,'Eurostat EB TJ'!AA42)</f>
        <v>0</v>
      </c>
      <c r="AC34" s="57">
        <f>IF('Eurostat EB TJ'!AB42=":",0,'Eurostat EB TJ'!AB42)</f>
        <v>0</v>
      </c>
      <c r="AD34" s="57">
        <f>IF('Eurostat EB TJ'!AC42=":",0,'Eurostat EB TJ'!AC42)</f>
        <v>0</v>
      </c>
      <c r="AE34" s="57">
        <f>IF('Eurostat EB TJ'!AD42=":",0,'Eurostat EB TJ'!AD42)</f>
        <v>0</v>
      </c>
      <c r="AF34" s="57">
        <f>IF('Eurostat EB TJ'!AE42=":",0,'Eurostat EB TJ'!AE42)</f>
        <v>0</v>
      </c>
      <c r="AG34" s="57">
        <f>IF('Eurostat EB TJ'!AF42=":",0,'Eurostat EB TJ'!AF42)</f>
        <v>0</v>
      </c>
      <c r="AH34" s="57">
        <f>IF('Eurostat EB TJ'!AG42=":",0,'Eurostat EB TJ'!AG42)</f>
        <v>0</v>
      </c>
      <c r="AI34" s="57">
        <f>IF('Eurostat EB TJ'!AH42=":",0,'Eurostat EB TJ'!AH42)</f>
        <v>0</v>
      </c>
      <c r="AJ34" s="57">
        <f>IF('Eurostat EB TJ'!AI42=":",0,'Eurostat EB TJ'!AI42)</f>
        <v>0</v>
      </c>
      <c r="AK34" s="57">
        <f>IF('Eurostat EB TJ'!AJ42=":",0,'Eurostat EB TJ'!AJ42)</f>
        <v>0</v>
      </c>
      <c r="AL34" s="57">
        <f>IF('Eurostat EB TJ'!AK42=":",0,'Eurostat EB TJ'!AK42)</f>
        <v>0</v>
      </c>
      <c r="AM34" s="57">
        <f>IF('Eurostat EB TJ'!AL42=":",0,'Eurostat EB TJ'!AL42)</f>
        <v>0</v>
      </c>
      <c r="AN34" s="57">
        <f>IF('Eurostat EB TJ'!AM42=":",0,'Eurostat EB TJ'!AM42)</f>
        <v>0</v>
      </c>
      <c r="AO34" s="57">
        <f>IF('Eurostat EB TJ'!AN42=":",0,'Eurostat EB TJ'!AN42)</f>
        <v>0</v>
      </c>
      <c r="AP34" s="57">
        <f>IF('Eurostat EB TJ'!AO42=":",0,'Eurostat EB TJ'!AO42)</f>
        <v>0</v>
      </c>
      <c r="AQ34" s="57">
        <f>IF('Eurostat EB TJ'!AP42=":",0,'Eurostat EB TJ'!AP42)</f>
        <v>0</v>
      </c>
      <c r="AR34" s="57">
        <f>IF('Eurostat EB TJ'!AQ42=":",0,'Eurostat EB TJ'!AQ42)</f>
        <v>0</v>
      </c>
      <c r="AS34" s="57">
        <f>IF('Eurostat EB TJ'!AR42=":",0,'Eurostat EB TJ'!AR42)</f>
        <v>0</v>
      </c>
      <c r="AT34" s="57">
        <f>IF('Eurostat EB TJ'!AS42=":",0,'Eurostat EB TJ'!AS42)</f>
        <v>0</v>
      </c>
      <c r="AU34" s="57">
        <f>IF('Eurostat EB TJ'!AT42=":",0,'Eurostat EB TJ'!AT42)</f>
        <v>0</v>
      </c>
      <c r="AV34" s="57">
        <f>IF('Eurostat EB TJ'!AU42=":",0,'Eurostat EB TJ'!AU42)</f>
        <v>0</v>
      </c>
      <c r="AW34" s="57">
        <f>IF('Eurostat EB TJ'!AV42=":",0,'Eurostat EB TJ'!AV42)</f>
        <v>0</v>
      </c>
      <c r="AX34" s="57">
        <f>IF('Eurostat EB TJ'!AW42=":",0,'Eurostat EB TJ'!AW42)</f>
        <v>0</v>
      </c>
      <c r="AY34" s="57">
        <f>IF('Eurostat EB TJ'!AX42=":",0,'Eurostat EB TJ'!AX42)</f>
        <v>0</v>
      </c>
      <c r="AZ34" s="57">
        <f>IF('Eurostat EB TJ'!AY42=":",0,'Eurostat EB TJ'!AY42)</f>
        <v>0</v>
      </c>
      <c r="BA34" s="57">
        <f>IF('Eurostat EB TJ'!AZ42=":",0,'Eurostat EB TJ'!AZ42)</f>
        <v>0</v>
      </c>
      <c r="BB34" s="57">
        <f>IF('Eurostat EB TJ'!BA42=":",0,'Eurostat EB TJ'!BA42)</f>
        <v>0</v>
      </c>
      <c r="BC34" s="57">
        <f>IF('Eurostat EB TJ'!BB42=":",0,'Eurostat EB TJ'!BB42)</f>
        <v>0</v>
      </c>
      <c r="BD34" s="57">
        <f>IF('Eurostat EB TJ'!BC42=":",0,'Eurostat EB TJ'!BC42)</f>
        <v>0</v>
      </c>
      <c r="BE34" s="57">
        <f>IF('Eurostat EB TJ'!BD42=":",0,'Eurostat EB TJ'!BD42)</f>
        <v>0</v>
      </c>
      <c r="BF34" s="57">
        <f>IF('Eurostat EB TJ'!BE42=":",0,'Eurostat EB TJ'!BE42)</f>
        <v>0</v>
      </c>
      <c r="BG34" s="57">
        <f>IF('Eurostat EB TJ'!BF42=":",0,'Eurostat EB TJ'!BF42)</f>
        <v>0</v>
      </c>
      <c r="BH34" s="57">
        <f>IF('Eurostat EB TJ'!BG42=":",0,'Eurostat EB TJ'!BG42)</f>
        <v>0</v>
      </c>
      <c r="BI34" s="57">
        <f>IF('Eurostat EB TJ'!BH42=":",0,'Eurostat EB TJ'!BH42)</f>
        <v>0</v>
      </c>
      <c r="BJ34" s="57">
        <f>IF('Eurostat EB TJ'!BI42=":",0,'Eurostat EB TJ'!BI42)</f>
        <v>0</v>
      </c>
      <c r="BK34" s="57">
        <f>IF('Eurostat EB TJ'!BJ42=":",0,'Eurostat EB TJ'!BJ42)</f>
        <v>0</v>
      </c>
      <c r="BL34" s="57">
        <f>IF('Eurostat EB TJ'!BK42=":",0,'Eurostat EB TJ'!BK42)</f>
        <v>0</v>
      </c>
      <c r="BM34" s="57">
        <f>IF('Eurostat EB TJ'!BL42=":",0,'Eurostat EB TJ'!BL42)</f>
        <v>0</v>
      </c>
      <c r="BN34" s="57">
        <f>IF('Eurostat EB TJ'!BM42=":",0,'Eurostat EB TJ'!BM42)</f>
        <v>0</v>
      </c>
      <c r="BO34" s="57">
        <f>IF('Eurostat EB TJ'!BN42=":",0,'Eurostat EB TJ'!BN42)</f>
        <v>0</v>
      </c>
      <c r="BP34" s="57">
        <f>IF('Eurostat EB TJ'!BO42=":",0,'Eurostat EB TJ'!BO42)</f>
        <v>0</v>
      </c>
      <c r="BQ34" s="57">
        <f>IF('Eurostat EB TJ'!BP42=":",0,'Eurostat EB TJ'!BP42)</f>
        <v>0</v>
      </c>
      <c r="BR34" s="57">
        <f>IF('Eurostat EB TJ'!BQ42=":",0,'Eurostat EB TJ'!BQ42)</f>
        <v>0</v>
      </c>
      <c r="BS34" s="57">
        <f>IF('Eurostat EB TJ'!BR42=":",0,'Eurostat EB TJ'!BR42)</f>
        <v>0</v>
      </c>
      <c r="BT34" s="57">
        <f>IF('Eurostat EB TJ'!BS42=":",0,'Eurostat EB TJ'!BS42)</f>
        <v>0</v>
      </c>
      <c r="BU34" s="57">
        <f>IF('Eurostat EB TJ'!BT42=":",0,'Eurostat EB TJ'!BT42)</f>
        <v>0</v>
      </c>
      <c r="BV34" s="57">
        <f>IF('Eurostat EB TJ'!BU42=":",0,'Eurostat EB TJ'!BU42)</f>
        <v>63808.498</v>
      </c>
    </row>
    <row r="35" spans="1:74" x14ac:dyDescent="0.2">
      <c r="A35" s="56" t="s">
        <v>218</v>
      </c>
      <c r="B35" s="17"/>
      <c r="C35" s="17">
        <f>IF('Eurostat EB TJ'!B43=":",0,'Eurostat EB TJ'!B43)</f>
        <v>0</v>
      </c>
      <c r="D35" s="17">
        <f>IF('Eurostat EB TJ'!C43=":",0,'Eurostat EB TJ'!C43)</f>
        <v>0</v>
      </c>
      <c r="E35" s="17">
        <f>IF('Eurostat EB TJ'!D43=":",0,'Eurostat EB TJ'!D43)</f>
        <v>0</v>
      </c>
      <c r="F35" s="17">
        <f>IF('Eurostat EB TJ'!E43=":",0,'Eurostat EB TJ'!E43)</f>
        <v>0</v>
      </c>
      <c r="G35" s="17">
        <f>IF('Eurostat EB TJ'!F43=":",0,'Eurostat EB TJ'!F43)</f>
        <v>0</v>
      </c>
      <c r="H35" s="17">
        <f>IF('Eurostat EB TJ'!G43=":",0,'Eurostat EB TJ'!G43)</f>
        <v>0</v>
      </c>
      <c r="I35" s="17">
        <f>IF('Eurostat EB TJ'!H43=":",0,'Eurostat EB TJ'!H43)</f>
        <v>0</v>
      </c>
      <c r="J35" s="17">
        <f>IF('Eurostat EB TJ'!I43=":",0,'Eurostat EB TJ'!I43)</f>
        <v>0</v>
      </c>
      <c r="K35" s="17">
        <f>IF('Eurostat EB TJ'!J43=":",0,'Eurostat EB TJ'!J43)</f>
        <v>0</v>
      </c>
      <c r="L35" s="17">
        <f>IF('Eurostat EB TJ'!K43=":",0,'Eurostat EB TJ'!K43)</f>
        <v>0</v>
      </c>
      <c r="M35" s="17">
        <f>IF('Eurostat EB TJ'!L43=":",0,'Eurostat EB TJ'!L43)</f>
        <v>0</v>
      </c>
      <c r="N35" s="17">
        <f>IF('Eurostat EB TJ'!M43=":",0,'Eurostat EB TJ'!M43)</f>
        <v>0</v>
      </c>
      <c r="O35" s="17">
        <f>IF('Eurostat EB TJ'!N43=":",0,'Eurostat EB TJ'!N43)</f>
        <v>0</v>
      </c>
      <c r="P35" s="17">
        <f>IF('Eurostat EB TJ'!O43=":",0,'Eurostat EB TJ'!O43)</f>
        <v>0</v>
      </c>
      <c r="Q35" s="17">
        <f>IF('Eurostat EB TJ'!P43=":",0,'Eurostat EB TJ'!P43)</f>
        <v>0</v>
      </c>
      <c r="R35" s="17">
        <f>IF('Eurostat EB TJ'!Q43=":",0,'Eurostat EB TJ'!Q43)</f>
        <v>0</v>
      </c>
      <c r="S35" s="17">
        <f>IF('Eurostat EB TJ'!R43=":",0,'Eurostat EB TJ'!R43)</f>
        <v>0</v>
      </c>
      <c r="T35" s="17">
        <f>IF('Eurostat EB TJ'!S43=":",0,'Eurostat EB TJ'!S43)</f>
        <v>0</v>
      </c>
      <c r="U35" s="17">
        <f>IF('Eurostat EB TJ'!T43=":",0,'Eurostat EB TJ'!T43)</f>
        <v>0</v>
      </c>
      <c r="V35" s="17">
        <f>IF('Eurostat EB TJ'!U43=":",0,'Eurostat EB TJ'!U43)</f>
        <v>0</v>
      </c>
      <c r="W35" s="17">
        <f>IF('Eurostat EB TJ'!V43=":",0,'Eurostat EB TJ'!V43)</f>
        <v>0</v>
      </c>
      <c r="X35" s="17">
        <f>IF('Eurostat EB TJ'!W43=":",0,'Eurostat EB TJ'!W43)</f>
        <v>0</v>
      </c>
      <c r="Y35" s="17">
        <f>IF('Eurostat EB TJ'!X43=":",0,'Eurostat EB TJ'!X43)</f>
        <v>0</v>
      </c>
      <c r="Z35" s="17">
        <f>IF('Eurostat EB TJ'!Y43=":",0,'Eurostat EB TJ'!Y43)</f>
        <v>0</v>
      </c>
      <c r="AA35" s="17">
        <f>IF('Eurostat EB TJ'!Z43=":",0,'Eurostat EB TJ'!Z43)</f>
        <v>0</v>
      </c>
      <c r="AB35" s="17">
        <f>IF('Eurostat EB TJ'!AA43=":",0,'Eurostat EB TJ'!AA43)</f>
        <v>0</v>
      </c>
      <c r="AC35" s="17">
        <f>IF('Eurostat EB TJ'!AB43=":",0,'Eurostat EB TJ'!AB43)</f>
        <v>0</v>
      </c>
      <c r="AD35" s="17">
        <f>IF('Eurostat EB TJ'!AC43=":",0,'Eurostat EB TJ'!AC43)</f>
        <v>0</v>
      </c>
      <c r="AE35" s="17">
        <f>IF('Eurostat EB TJ'!AD43=":",0,'Eurostat EB TJ'!AD43)</f>
        <v>0</v>
      </c>
      <c r="AF35" s="17">
        <f>IF('Eurostat EB TJ'!AE43=":",0,'Eurostat EB TJ'!AE43)</f>
        <v>0</v>
      </c>
      <c r="AG35" s="17">
        <f>IF('Eurostat EB TJ'!AF43=":",0,'Eurostat EB TJ'!AF43)</f>
        <v>0</v>
      </c>
      <c r="AH35" s="17">
        <f>IF('Eurostat EB TJ'!AG43=":",0,'Eurostat EB TJ'!AG43)</f>
        <v>0</v>
      </c>
      <c r="AI35" s="17">
        <f>IF('Eurostat EB TJ'!AH43=":",0,'Eurostat EB TJ'!AH43)</f>
        <v>0</v>
      </c>
      <c r="AJ35" s="17">
        <f>IF('Eurostat EB TJ'!AI43=":",0,'Eurostat EB TJ'!AI43)</f>
        <v>0</v>
      </c>
      <c r="AK35" s="17">
        <f>IF('Eurostat EB TJ'!AJ43=":",0,'Eurostat EB TJ'!AJ43)</f>
        <v>0</v>
      </c>
      <c r="AL35" s="17">
        <f>IF('Eurostat EB TJ'!AK43=":",0,'Eurostat EB TJ'!AK43)</f>
        <v>0</v>
      </c>
      <c r="AM35" s="17">
        <f>IF('Eurostat EB TJ'!AL43=":",0,'Eurostat EB TJ'!AL43)</f>
        <v>0</v>
      </c>
      <c r="AN35" s="17">
        <f>IF('Eurostat EB TJ'!AM43=":",0,'Eurostat EB TJ'!AM43)</f>
        <v>0</v>
      </c>
      <c r="AO35" s="17">
        <f>IF('Eurostat EB TJ'!AN43=":",0,'Eurostat EB TJ'!AN43)</f>
        <v>0</v>
      </c>
      <c r="AP35" s="17">
        <f>IF('Eurostat EB TJ'!AO43=":",0,'Eurostat EB TJ'!AO43)</f>
        <v>0</v>
      </c>
      <c r="AQ35" s="17">
        <f>IF('Eurostat EB TJ'!AP43=":",0,'Eurostat EB TJ'!AP43)</f>
        <v>0</v>
      </c>
      <c r="AR35" s="17">
        <f>IF('Eurostat EB TJ'!AQ43=":",0,'Eurostat EB TJ'!AQ43)</f>
        <v>0</v>
      </c>
      <c r="AS35" s="17">
        <f>IF('Eurostat EB TJ'!AR43=":",0,'Eurostat EB TJ'!AR43)</f>
        <v>0</v>
      </c>
      <c r="AT35" s="17">
        <f>IF('Eurostat EB TJ'!AS43=":",0,'Eurostat EB TJ'!AS43)</f>
        <v>0</v>
      </c>
      <c r="AU35" s="17">
        <f>IF('Eurostat EB TJ'!AT43=":",0,'Eurostat EB TJ'!AT43)</f>
        <v>0</v>
      </c>
      <c r="AV35" s="17">
        <f>IF('Eurostat EB TJ'!AU43=":",0,'Eurostat EB TJ'!AU43)</f>
        <v>0</v>
      </c>
      <c r="AW35" s="17">
        <f>IF('Eurostat EB TJ'!AV43=":",0,'Eurostat EB TJ'!AV43)</f>
        <v>0</v>
      </c>
      <c r="AX35" s="17">
        <f>IF('Eurostat EB TJ'!AW43=":",0,'Eurostat EB TJ'!AW43)</f>
        <v>0</v>
      </c>
      <c r="AY35" s="17">
        <f>IF('Eurostat EB TJ'!AX43=":",0,'Eurostat EB TJ'!AX43)</f>
        <v>0</v>
      </c>
      <c r="AZ35" s="17">
        <f>IF('Eurostat EB TJ'!AY43=":",0,'Eurostat EB TJ'!AY43)</f>
        <v>0</v>
      </c>
      <c r="BA35" s="17">
        <f>IF('Eurostat EB TJ'!AZ43=":",0,'Eurostat EB TJ'!AZ43)</f>
        <v>0</v>
      </c>
      <c r="BB35" s="17">
        <f>IF('Eurostat EB TJ'!BA43=":",0,'Eurostat EB TJ'!BA43)</f>
        <v>0</v>
      </c>
      <c r="BC35" s="17">
        <f>IF('Eurostat EB TJ'!BB43=":",0,'Eurostat EB TJ'!BB43)</f>
        <v>0</v>
      </c>
      <c r="BD35" s="17">
        <f>IF('Eurostat EB TJ'!BC43=":",0,'Eurostat EB TJ'!BC43)</f>
        <v>0</v>
      </c>
      <c r="BE35" s="17">
        <f>IF('Eurostat EB TJ'!BD43=":",0,'Eurostat EB TJ'!BD43)</f>
        <v>0</v>
      </c>
      <c r="BF35" s="17">
        <f>IF('Eurostat EB TJ'!BE43=":",0,'Eurostat EB TJ'!BE43)</f>
        <v>0</v>
      </c>
      <c r="BG35" s="17">
        <f>IF('Eurostat EB TJ'!BF43=":",0,'Eurostat EB TJ'!BF43)</f>
        <v>0</v>
      </c>
      <c r="BH35" s="17">
        <f>IF('Eurostat EB TJ'!BG43=":",0,'Eurostat EB TJ'!BG43)</f>
        <v>0</v>
      </c>
      <c r="BI35" s="17">
        <f>IF('Eurostat EB TJ'!BH43=":",0,'Eurostat EB TJ'!BH43)</f>
        <v>0</v>
      </c>
      <c r="BJ35" s="17">
        <f>IF('Eurostat EB TJ'!BI43=":",0,'Eurostat EB TJ'!BI43)</f>
        <v>0</v>
      </c>
      <c r="BK35" s="17">
        <f>IF('Eurostat EB TJ'!BJ43=":",0,'Eurostat EB TJ'!BJ43)</f>
        <v>0</v>
      </c>
      <c r="BL35" s="17">
        <f>IF('Eurostat EB TJ'!BK43=":",0,'Eurostat EB TJ'!BK43)</f>
        <v>0</v>
      </c>
      <c r="BM35" s="17">
        <f>IF('Eurostat EB TJ'!BL43=":",0,'Eurostat EB TJ'!BL43)</f>
        <v>0</v>
      </c>
      <c r="BN35" s="17">
        <f>IF('Eurostat EB TJ'!BM43=":",0,'Eurostat EB TJ'!BM43)</f>
        <v>0</v>
      </c>
      <c r="BO35" s="17">
        <f>IF('Eurostat EB TJ'!BN43=":",0,'Eurostat EB TJ'!BN43)</f>
        <v>0</v>
      </c>
      <c r="BP35" s="17">
        <f>IF('Eurostat EB TJ'!BO43=":",0,'Eurostat EB TJ'!BO43)</f>
        <v>0</v>
      </c>
      <c r="BQ35" s="17">
        <f>IF('Eurostat EB TJ'!BP43=":",0,'Eurostat EB TJ'!BP43)</f>
        <v>0</v>
      </c>
      <c r="BR35" s="17">
        <f>IF('Eurostat EB TJ'!BQ43=":",0,'Eurostat EB TJ'!BQ43)</f>
        <v>0</v>
      </c>
      <c r="BS35" s="17">
        <f>IF('Eurostat EB TJ'!BR43=":",0,'Eurostat EB TJ'!BR43)</f>
        <v>0</v>
      </c>
      <c r="BT35" s="17">
        <f>IF('Eurostat EB TJ'!BS43=":",0,'Eurostat EB TJ'!BS43)</f>
        <v>0</v>
      </c>
      <c r="BU35" s="17">
        <f>IF('Eurostat EB TJ'!BT43=":",0,'Eurostat EB TJ'!BT43)</f>
        <v>0</v>
      </c>
      <c r="BV35" s="17">
        <f>IF('Eurostat EB TJ'!BU43=":",0,'Eurostat EB TJ'!BU43)</f>
        <v>0</v>
      </c>
    </row>
    <row r="36" spans="1:74" x14ac:dyDescent="0.2">
      <c r="A36" s="56" t="s">
        <v>219</v>
      </c>
      <c r="B36" s="57"/>
      <c r="C36" s="57">
        <f>IF('Eurostat EB TJ'!B44=":",0,'Eurostat EB TJ'!B44)</f>
        <v>4262270.4989999998</v>
      </c>
      <c r="D36" s="57">
        <f>IF('Eurostat EB TJ'!C44=":",0,'Eurostat EB TJ'!C44)</f>
        <v>0</v>
      </c>
      <c r="E36" s="57">
        <f>IF('Eurostat EB TJ'!D44=":",0,'Eurostat EB TJ'!D44)</f>
        <v>0</v>
      </c>
      <c r="F36" s="57">
        <f>IF('Eurostat EB TJ'!E44=":",0,'Eurostat EB TJ'!E44)</f>
        <v>0</v>
      </c>
      <c r="G36" s="57">
        <f>IF('Eurostat EB TJ'!F44=":",0,'Eurostat EB TJ'!F44)</f>
        <v>0</v>
      </c>
      <c r="H36" s="57">
        <f>IF('Eurostat EB TJ'!G44=":",0,'Eurostat EB TJ'!G44)</f>
        <v>0</v>
      </c>
      <c r="I36" s="57">
        <f>IF('Eurostat EB TJ'!H44=":",0,'Eurostat EB TJ'!H44)</f>
        <v>0</v>
      </c>
      <c r="J36" s="57">
        <f>IF('Eurostat EB TJ'!I44=":",0,'Eurostat EB TJ'!I44)</f>
        <v>0</v>
      </c>
      <c r="K36" s="57">
        <f>IF('Eurostat EB TJ'!J44=":",0,'Eurostat EB TJ'!J44)</f>
        <v>0</v>
      </c>
      <c r="L36" s="57">
        <f>IF('Eurostat EB TJ'!K44=":",0,'Eurostat EB TJ'!K44)</f>
        <v>0</v>
      </c>
      <c r="M36" s="57">
        <f>IF('Eurostat EB TJ'!L44=":",0,'Eurostat EB TJ'!L44)</f>
        <v>0</v>
      </c>
      <c r="N36" s="57">
        <f>IF('Eurostat EB TJ'!M44=":",0,'Eurostat EB TJ'!M44)</f>
        <v>0</v>
      </c>
      <c r="O36" s="57">
        <f>IF('Eurostat EB TJ'!N44=":",0,'Eurostat EB TJ'!N44)</f>
        <v>0</v>
      </c>
      <c r="P36" s="57">
        <f>IF('Eurostat EB TJ'!O44=":",0,'Eurostat EB TJ'!O44)</f>
        <v>0</v>
      </c>
      <c r="Q36" s="57">
        <f>IF('Eurostat EB TJ'!P44=":",0,'Eurostat EB TJ'!P44)</f>
        <v>0</v>
      </c>
      <c r="R36" s="57">
        <f>IF('Eurostat EB TJ'!Q44=":",0,'Eurostat EB TJ'!Q44)</f>
        <v>0</v>
      </c>
      <c r="S36" s="57">
        <f>IF('Eurostat EB TJ'!R44=":",0,'Eurostat EB TJ'!R44)</f>
        <v>0</v>
      </c>
      <c r="T36" s="57">
        <f>IF('Eurostat EB TJ'!S44=":",0,'Eurostat EB TJ'!S44)</f>
        <v>0</v>
      </c>
      <c r="U36" s="57">
        <f>IF('Eurostat EB TJ'!T44=":",0,'Eurostat EB TJ'!T44)</f>
        <v>0</v>
      </c>
      <c r="V36" s="57">
        <f>IF('Eurostat EB TJ'!U44=":",0,'Eurostat EB TJ'!U44)</f>
        <v>0</v>
      </c>
      <c r="W36" s="57">
        <f>IF('Eurostat EB TJ'!V44=":",0,'Eurostat EB TJ'!V44)</f>
        <v>0</v>
      </c>
      <c r="X36" s="57">
        <f>IF('Eurostat EB TJ'!W44=":",0,'Eurostat EB TJ'!W44)</f>
        <v>0</v>
      </c>
      <c r="Y36" s="57">
        <f>IF('Eurostat EB TJ'!X44=":",0,'Eurostat EB TJ'!X44)</f>
        <v>4262262.4800000004</v>
      </c>
      <c r="Z36" s="57">
        <f>IF('Eurostat EB TJ'!Y44=":",0,'Eurostat EB TJ'!Y44)</f>
        <v>2427012.0720000002</v>
      </c>
      <c r="AA36" s="57">
        <f>IF('Eurostat EB TJ'!Z44=":",0,'Eurostat EB TJ'!Z44)</f>
        <v>423903.73800000001</v>
      </c>
      <c r="AB36" s="57">
        <f>IF('Eurostat EB TJ'!AA44=":",0,'Eurostat EB TJ'!AA44)</f>
        <v>366286</v>
      </c>
      <c r="AC36" s="57">
        <f>IF('Eurostat EB TJ'!AB44=":",0,'Eurostat EB TJ'!AB44)</f>
        <v>21733.940999999999</v>
      </c>
      <c r="AD36" s="57">
        <f>IF('Eurostat EB TJ'!AC44=":",0,'Eurostat EB TJ'!AC44)</f>
        <v>0</v>
      </c>
      <c r="AE36" s="57">
        <f>IF('Eurostat EB TJ'!AD44=":",0,'Eurostat EB TJ'!AD44)</f>
        <v>94685.631999999998</v>
      </c>
      <c r="AF36" s="57">
        <f>IF('Eurostat EB TJ'!AE44=":",0,'Eurostat EB TJ'!AE44)</f>
        <v>0</v>
      </c>
      <c r="AG36" s="57">
        <f>IF('Eurostat EB TJ'!AF44=":",0,'Eurostat EB TJ'!AF44)</f>
        <v>48544.434999999998</v>
      </c>
      <c r="AH36" s="57">
        <f>IF('Eurostat EB TJ'!AG44=":",0,'Eurostat EB TJ'!AG44)</f>
        <v>582932.38300000003</v>
      </c>
      <c r="AI36" s="57">
        <f>IF('Eurostat EB TJ'!AH44=":",0,'Eurostat EB TJ'!AH44)</f>
        <v>8.7999999999999995E-2</v>
      </c>
      <c r="AJ36" s="57">
        <f>IF('Eurostat EB TJ'!AI44=":",0,'Eurostat EB TJ'!AI44)</f>
        <v>234.137</v>
      </c>
      <c r="AK36" s="57">
        <f>IF('Eurostat EB TJ'!AJ44=":",0,'Eurostat EB TJ'!AJ44)</f>
        <v>0</v>
      </c>
      <c r="AL36" s="57">
        <f>IF('Eurostat EB TJ'!AK44=":",0,'Eurostat EB TJ'!AK44)</f>
        <v>60.075000000000003</v>
      </c>
      <c r="AM36" s="57">
        <f>IF('Eurostat EB TJ'!AL44=":",0,'Eurostat EB TJ'!AL44)</f>
        <v>4483.384</v>
      </c>
      <c r="AN36" s="57">
        <f>IF('Eurostat EB TJ'!AM44=":",0,'Eurostat EB TJ'!AM44)</f>
        <v>42595.970999999998</v>
      </c>
      <c r="AO36" s="57">
        <f>IF('Eurostat EB TJ'!AN44=":",0,'Eurostat EB TJ'!AN44)</f>
        <v>136153.08600000001</v>
      </c>
      <c r="AP36" s="57">
        <f>IF('Eurostat EB TJ'!AO44=":",0,'Eurostat EB TJ'!AO44)</f>
        <v>88997.346999999994</v>
      </c>
      <c r="AQ36" s="57">
        <f>IF('Eurostat EB TJ'!AP44=":",0,'Eurostat EB TJ'!AP44)</f>
        <v>13218.579</v>
      </c>
      <c r="AR36" s="57">
        <f>IF('Eurostat EB TJ'!AQ44=":",0,'Eurostat EB TJ'!AQ44)</f>
        <v>3.4159999999999999</v>
      </c>
      <c r="AS36" s="57">
        <f>IF('Eurostat EB TJ'!AR44=":",0,'Eurostat EB TJ'!AR44)</f>
        <v>0</v>
      </c>
      <c r="AT36" s="57">
        <f>IF('Eurostat EB TJ'!AS44=":",0,'Eurostat EB TJ'!AS44)</f>
        <v>52.207000000000001</v>
      </c>
      <c r="AU36" s="57">
        <f>IF('Eurostat EB TJ'!AT44=":",0,'Eurostat EB TJ'!AT44)</f>
        <v>11365.985000000001</v>
      </c>
      <c r="AV36" s="57">
        <f>IF('Eurostat EB TJ'!AU44=":",0,'Eurostat EB TJ'!AU44)</f>
        <v>8.0190000000000001</v>
      </c>
      <c r="AW36" s="57">
        <f>IF('Eurostat EB TJ'!AV44=":",0,'Eurostat EB TJ'!AV44)</f>
        <v>0</v>
      </c>
      <c r="AX36" s="57">
        <f>IF('Eurostat EB TJ'!AW44=":",0,'Eurostat EB TJ'!AW44)</f>
        <v>0</v>
      </c>
      <c r="AY36" s="57">
        <f>IF('Eurostat EB TJ'!AX44=":",0,'Eurostat EB TJ'!AX44)</f>
        <v>0</v>
      </c>
      <c r="AZ36" s="57">
        <f>IF('Eurostat EB TJ'!AY44=":",0,'Eurostat EB TJ'!AY44)</f>
        <v>0</v>
      </c>
      <c r="BA36" s="57">
        <f>IF('Eurostat EB TJ'!AZ44=":",0,'Eurostat EB TJ'!AZ44)</f>
        <v>0</v>
      </c>
      <c r="BB36" s="57">
        <f>IF('Eurostat EB TJ'!BA44=":",0,'Eurostat EB TJ'!BA44)</f>
        <v>0</v>
      </c>
      <c r="BC36" s="57">
        <f>IF('Eurostat EB TJ'!BB44=":",0,'Eurostat EB TJ'!BB44)</f>
        <v>0</v>
      </c>
      <c r="BD36" s="57">
        <f>IF('Eurostat EB TJ'!BC44=":",0,'Eurostat EB TJ'!BC44)</f>
        <v>0</v>
      </c>
      <c r="BE36" s="57">
        <f>IF('Eurostat EB TJ'!BD44=":",0,'Eurostat EB TJ'!BD44)</f>
        <v>0</v>
      </c>
      <c r="BF36" s="57">
        <f>IF('Eurostat EB TJ'!BE44=":",0,'Eurostat EB TJ'!BE44)</f>
        <v>0</v>
      </c>
      <c r="BG36" s="57">
        <f>IF('Eurostat EB TJ'!BF44=":",0,'Eurostat EB TJ'!BF44)</f>
        <v>8.0190000000000001</v>
      </c>
      <c r="BH36" s="57">
        <f>IF('Eurostat EB TJ'!BG44=":",0,'Eurostat EB TJ'!BG44)</f>
        <v>0</v>
      </c>
      <c r="BI36" s="57">
        <f>IF('Eurostat EB TJ'!BH44=":",0,'Eurostat EB TJ'!BH44)</f>
        <v>0</v>
      </c>
      <c r="BJ36" s="57">
        <f>IF('Eurostat EB TJ'!BI44=":",0,'Eurostat EB TJ'!BI44)</f>
        <v>0</v>
      </c>
      <c r="BK36" s="57">
        <f>IF('Eurostat EB TJ'!BJ44=":",0,'Eurostat EB TJ'!BJ44)</f>
        <v>0</v>
      </c>
      <c r="BL36" s="57">
        <f>IF('Eurostat EB TJ'!BK44=":",0,'Eurostat EB TJ'!BK44)</f>
        <v>0</v>
      </c>
      <c r="BM36" s="57">
        <f>IF('Eurostat EB TJ'!BL44=":",0,'Eurostat EB TJ'!BL44)</f>
        <v>0</v>
      </c>
      <c r="BN36" s="57">
        <f>IF('Eurostat EB TJ'!BM44=":",0,'Eurostat EB TJ'!BM44)</f>
        <v>0</v>
      </c>
      <c r="BO36" s="57">
        <f>IF('Eurostat EB TJ'!BN44=":",0,'Eurostat EB TJ'!BN44)</f>
        <v>0</v>
      </c>
      <c r="BP36" s="57">
        <f>IF('Eurostat EB TJ'!BO44=":",0,'Eurostat EB TJ'!BO44)</f>
        <v>0</v>
      </c>
      <c r="BQ36" s="57">
        <f>IF('Eurostat EB TJ'!BP44=":",0,'Eurostat EB TJ'!BP44)</f>
        <v>0</v>
      </c>
      <c r="BR36" s="57">
        <f>IF('Eurostat EB TJ'!BQ44=":",0,'Eurostat EB TJ'!BQ44)</f>
        <v>0</v>
      </c>
      <c r="BS36" s="57">
        <f>IF('Eurostat EB TJ'!BR44=":",0,'Eurostat EB TJ'!BR44)</f>
        <v>0</v>
      </c>
      <c r="BT36" s="57">
        <f>IF('Eurostat EB TJ'!BS44=":",0,'Eurostat EB TJ'!BS44)</f>
        <v>0</v>
      </c>
      <c r="BU36" s="57">
        <f>IF('Eurostat EB TJ'!BT44=":",0,'Eurostat EB TJ'!BT44)</f>
        <v>8.0190000000000001</v>
      </c>
      <c r="BV36" s="57">
        <f>IF('Eurostat EB TJ'!BU44=":",0,'Eurostat EB TJ'!BU44)</f>
        <v>4262262.4800000004</v>
      </c>
    </row>
    <row r="37" spans="1:74" x14ac:dyDescent="0.2">
      <c r="A37" s="56" t="s">
        <v>220</v>
      </c>
      <c r="B37" s="17"/>
      <c r="C37" s="17">
        <f>IF('Eurostat EB TJ'!B45=":",0,'Eurostat EB TJ'!B45)</f>
        <v>2642416.0520000001</v>
      </c>
      <c r="D37" s="17">
        <f>IF('Eurostat EB TJ'!C45=":",0,'Eurostat EB TJ'!C45)</f>
        <v>0</v>
      </c>
      <c r="E37" s="17">
        <f>IF('Eurostat EB TJ'!D45=":",0,'Eurostat EB TJ'!D45)</f>
        <v>0</v>
      </c>
      <c r="F37" s="17">
        <f>IF('Eurostat EB TJ'!E45=":",0,'Eurostat EB TJ'!E45)</f>
        <v>0</v>
      </c>
      <c r="G37" s="17">
        <f>IF('Eurostat EB TJ'!F45=":",0,'Eurostat EB TJ'!F45)</f>
        <v>0</v>
      </c>
      <c r="H37" s="17">
        <f>IF('Eurostat EB TJ'!G45=":",0,'Eurostat EB TJ'!G45)</f>
        <v>0</v>
      </c>
      <c r="I37" s="17">
        <f>IF('Eurostat EB TJ'!H45=":",0,'Eurostat EB TJ'!H45)</f>
        <v>0</v>
      </c>
      <c r="J37" s="17">
        <f>IF('Eurostat EB TJ'!I45=":",0,'Eurostat EB TJ'!I45)</f>
        <v>0</v>
      </c>
      <c r="K37" s="17">
        <f>IF('Eurostat EB TJ'!J45=":",0,'Eurostat EB TJ'!J45)</f>
        <v>0</v>
      </c>
      <c r="L37" s="17">
        <f>IF('Eurostat EB TJ'!K45=":",0,'Eurostat EB TJ'!K45)</f>
        <v>0</v>
      </c>
      <c r="M37" s="17">
        <f>IF('Eurostat EB TJ'!L45=":",0,'Eurostat EB TJ'!L45)</f>
        <v>0</v>
      </c>
      <c r="N37" s="17">
        <f>IF('Eurostat EB TJ'!M45=":",0,'Eurostat EB TJ'!M45)</f>
        <v>0</v>
      </c>
      <c r="O37" s="17">
        <f>IF('Eurostat EB TJ'!N45=":",0,'Eurostat EB TJ'!N45)</f>
        <v>0</v>
      </c>
      <c r="P37" s="17">
        <f>IF('Eurostat EB TJ'!O45=":",0,'Eurostat EB TJ'!O45)</f>
        <v>0</v>
      </c>
      <c r="Q37" s="17">
        <f>IF('Eurostat EB TJ'!P45=":",0,'Eurostat EB TJ'!P45)</f>
        <v>0</v>
      </c>
      <c r="R37" s="17">
        <f>IF('Eurostat EB TJ'!Q45=":",0,'Eurostat EB TJ'!Q45)</f>
        <v>0</v>
      </c>
      <c r="S37" s="17">
        <f>IF('Eurostat EB TJ'!R45=":",0,'Eurostat EB TJ'!R45)</f>
        <v>0</v>
      </c>
      <c r="T37" s="17">
        <f>IF('Eurostat EB TJ'!S45=":",0,'Eurostat EB TJ'!S45)</f>
        <v>0</v>
      </c>
      <c r="U37" s="17">
        <f>IF('Eurostat EB TJ'!T45=":",0,'Eurostat EB TJ'!T45)</f>
        <v>0</v>
      </c>
      <c r="V37" s="17">
        <f>IF('Eurostat EB TJ'!U45=":",0,'Eurostat EB TJ'!U45)</f>
        <v>0</v>
      </c>
      <c r="W37" s="17">
        <f>IF('Eurostat EB TJ'!V45=":",0,'Eurostat EB TJ'!V45)</f>
        <v>0</v>
      </c>
      <c r="X37" s="17">
        <f>IF('Eurostat EB TJ'!W45=":",0,'Eurostat EB TJ'!W45)</f>
        <v>0</v>
      </c>
      <c r="Y37" s="17">
        <f>IF('Eurostat EB TJ'!X45=":",0,'Eurostat EB TJ'!X45)</f>
        <v>2642416.0520000001</v>
      </c>
      <c r="Z37" s="17">
        <f>IF('Eurostat EB TJ'!Y45=":",0,'Eurostat EB TJ'!Y45)</f>
        <v>2271942.2579999999</v>
      </c>
      <c r="AA37" s="17">
        <f>IF('Eurostat EB TJ'!Z45=":",0,'Eurostat EB TJ'!Z45)</f>
        <v>149793.533</v>
      </c>
      <c r="AB37" s="17">
        <f>IF('Eurostat EB TJ'!AA45=":",0,'Eurostat EB TJ'!AA45)</f>
        <v>218821.62400000001</v>
      </c>
      <c r="AC37" s="17">
        <f>IF('Eurostat EB TJ'!AB45=":",0,'Eurostat EB TJ'!AB45)</f>
        <v>1858.636</v>
      </c>
      <c r="AD37" s="17">
        <f>IF('Eurostat EB TJ'!AC45=":",0,'Eurostat EB TJ'!AC45)</f>
        <v>0</v>
      </c>
      <c r="AE37" s="17">
        <f>IF('Eurostat EB TJ'!AD45=":",0,'Eurostat EB TJ'!AD45)</f>
        <v>0</v>
      </c>
      <c r="AF37" s="17">
        <f>IF('Eurostat EB TJ'!AE45=":",0,'Eurostat EB TJ'!AE45)</f>
        <v>0</v>
      </c>
      <c r="AG37" s="17">
        <f>IF('Eurostat EB TJ'!AF45=":",0,'Eurostat EB TJ'!AF45)</f>
        <v>0</v>
      </c>
      <c r="AH37" s="17">
        <f>IF('Eurostat EB TJ'!AG45=":",0,'Eurostat EB TJ'!AG45)</f>
        <v>0</v>
      </c>
      <c r="AI37" s="17">
        <f>IF('Eurostat EB TJ'!AH45=":",0,'Eurostat EB TJ'!AH45)</f>
        <v>0</v>
      </c>
      <c r="AJ37" s="17">
        <f>IF('Eurostat EB TJ'!AI45=":",0,'Eurostat EB TJ'!AI45)</f>
        <v>0</v>
      </c>
      <c r="AK37" s="17">
        <f>IF('Eurostat EB TJ'!AJ45=":",0,'Eurostat EB TJ'!AJ45)</f>
        <v>0</v>
      </c>
      <c r="AL37" s="17">
        <f>IF('Eurostat EB TJ'!AK45=":",0,'Eurostat EB TJ'!AK45)</f>
        <v>0</v>
      </c>
      <c r="AM37" s="17">
        <f>IF('Eurostat EB TJ'!AL45=":",0,'Eurostat EB TJ'!AL45)</f>
        <v>0</v>
      </c>
      <c r="AN37" s="17">
        <f>IF('Eurostat EB TJ'!AM45=":",0,'Eurostat EB TJ'!AM45)</f>
        <v>0</v>
      </c>
      <c r="AO37" s="17">
        <f>IF('Eurostat EB TJ'!AN45=":",0,'Eurostat EB TJ'!AN45)</f>
        <v>0</v>
      </c>
      <c r="AP37" s="17">
        <f>IF('Eurostat EB TJ'!AO45=":",0,'Eurostat EB TJ'!AO45)</f>
        <v>0</v>
      </c>
      <c r="AQ37" s="17">
        <f>IF('Eurostat EB TJ'!AP45=":",0,'Eurostat EB TJ'!AP45)</f>
        <v>0</v>
      </c>
      <c r="AR37" s="17">
        <f>IF('Eurostat EB TJ'!AQ45=":",0,'Eurostat EB TJ'!AQ45)</f>
        <v>0</v>
      </c>
      <c r="AS37" s="17">
        <f>IF('Eurostat EB TJ'!AR45=":",0,'Eurostat EB TJ'!AR45)</f>
        <v>0</v>
      </c>
      <c r="AT37" s="17">
        <f>IF('Eurostat EB TJ'!AS45=":",0,'Eurostat EB TJ'!AS45)</f>
        <v>0</v>
      </c>
      <c r="AU37" s="17">
        <f>IF('Eurostat EB TJ'!AT45=":",0,'Eurostat EB TJ'!AT45)</f>
        <v>0</v>
      </c>
      <c r="AV37" s="17">
        <f>IF('Eurostat EB TJ'!AU45=":",0,'Eurostat EB TJ'!AU45)</f>
        <v>0</v>
      </c>
      <c r="AW37" s="17">
        <f>IF('Eurostat EB TJ'!AV45=":",0,'Eurostat EB TJ'!AV45)</f>
        <v>0</v>
      </c>
      <c r="AX37" s="17">
        <f>IF('Eurostat EB TJ'!AW45=":",0,'Eurostat EB TJ'!AW45)</f>
        <v>0</v>
      </c>
      <c r="AY37" s="17">
        <f>IF('Eurostat EB TJ'!AX45=":",0,'Eurostat EB TJ'!AX45)</f>
        <v>0</v>
      </c>
      <c r="AZ37" s="17">
        <f>IF('Eurostat EB TJ'!AY45=":",0,'Eurostat EB TJ'!AY45)</f>
        <v>0</v>
      </c>
      <c r="BA37" s="17">
        <f>IF('Eurostat EB TJ'!AZ45=":",0,'Eurostat EB TJ'!AZ45)</f>
        <v>0</v>
      </c>
      <c r="BB37" s="17">
        <f>IF('Eurostat EB TJ'!BA45=":",0,'Eurostat EB TJ'!BA45)</f>
        <v>0</v>
      </c>
      <c r="BC37" s="17">
        <f>IF('Eurostat EB TJ'!BB45=":",0,'Eurostat EB TJ'!BB45)</f>
        <v>0</v>
      </c>
      <c r="BD37" s="17">
        <f>IF('Eurostat EB TJ'!BC45=":",0,'Eurostat EB TJ'!BC45)</f>
        <v>0</v>
      </c>
      <c r="BE37" s="17">
        <f>IF('Eurostat EB TJ'!BD45=":",0,'Eurostat EB TJ'!BD45)</f>
        <v>0</v>
      </c>
      <c r="BF37" s="17">
        <f>IF('Eurostat EB TJ'!BE45=":",0,'Eurostat EB TJ'!BE45)</f>
        <v>0</v>
      </c>
      <c r="BG37" s="17">
        <f>IF('Eurostat EB TJ'!BF45=":",0,'Eurostat EB TJ'!BF45)</f>
        <v>0</v>
      </c>
      <c r="BH37" s="17">
        <f>IF('Eurostat EB TJ'!BG45=":",0,'Eurostat EB TJ'!BG45)</f>
        <v>0</v>
      </c>
      <c r="BI37" s="17">
        <f>IF('Eurostat EB TJ'!BH45=":",0,'Eurostat EB TJ'!BH45)</f>
        <v>0</v>
      </c>
      <c r="BJ37" s="17">
        <f>IF('Eurostat EB TJ'!BI45=":",0,'Eurostat EB TJ'!BI45)</f>
        <v>0</v>
      </c>
      <c r="BK37" s="17">
        <f>IF('Eurostat EB TJ'!BJ45=":",0,'Eurostat EB TJ'!BJ45)</f>
        <v>0</v>
      </c>
      <c r="BL37" s="17">
        <f>IF('Eurostat EB TJ'!BK45=":",0,'Eurostat EB TJ'!BK45)</f>
        <v>0</v>
      </c>
      <c r="BM37" s="17">
        <f>IF('Eurostat EB TJ'!BL45=":",0,'Eurostat EB TJ'!BL45)</f>
        <v>0</v>
      </c>
      <c r="BN37" s="17">
        <f>IF('Eurostat EB TJ'!BM45=":",0,'Eurostat EB TJ'!BM45)</f>
        <v>0</v>
      </c>
      <c r="BO37" s="17">
        <f>IF('Eurostat EB TJ'!BN45=":",0,'Eurostat EB TJ'!BN45)</f>
        <v>0</v>
      </c>
      <c r="BP37" s="17">
        <f>IF('Eurostat EB TJ'!BO45=":",0,'Eurostat EB TJ'!BO45)</f>
        <v>0</v>
      </c>
      <c r="BQ37" s="17">
        <f>IF('Eurostat EB TJ'!BP45=":",0,'Eurostat EB TJ'!BP45)</f>
        <v>0</v>
      </c>
      <c r="BR37" s="17">
        <f>IF('Eurostat EB TJ'!BQ45=":",0,'Eurostat EB TJ'!BQ45)</f>
        <v>0</v>
      </c>
      <c r="BS37" s="17">
        <f>IF('Eurostat EB TJ'!BR45=":",0,'Eurostat EB TJ'!BR45)</f>
        <v>0</v>
      </c>
      <c r="BT37" s="17">
        <f>IF('Eurostat EB TJ'!BS45=":",0,'Eurostat EB TJ'!BS45)</f>
        <v>0</v>
      </c>
      <c r="BU37" s="17">
        <f>IF('Eurostat EB TJ'!BT45=":",0,'Eurostat EB TJ'!BT45)</f>
        <v>0</v>
      </c>
      <c r="BV37" s="17">
        <f>IF('Eurostat EB TJ'!BU45=":",0,'Eurostat EB TJ'!BU45)</f>
        <v>2642416.0520000001</v>
      </c>
    </row>
    <row r="38" spans="1:74" x14ac:dyDescent="0.2">
      <c r="A38" s="56" t="s">
        <v>221</v>
      </c>
      <c r="B38" s="57"/>
      <c r="C38" s="57">
        <f>IF('Eurostat EB TJ'!B46=":",0,'Eurostat EB TJ'!B46)</f>
        <v>154261.76300000001</v>
      </c>
      <c r="D38" s="57">
        <f>IF('Eurostat EB TJ'!C46=":",0,'Eurostat EB TJ'!C46)</f>
        <v>0</v>
      </c>
      <c r="E38" s="57">
        <f>IF('Eurostat EB TJ'!D46=":",0,'Eurostat EB TJ'!D46)</f>
        <v>0</v>
      </c>
      <c r="F38" s="57">
        <f>IF('Eurostat EB TJ'!E46=":",0,'Eurostat EB TJ'!E46)</f>
        <v>0</v>
      </c>
      <c r="G38" s="57">
        <f>IF('Eurostat EB TJ'!F46=":",0,'Eurostat EB TJ'!F46)</f>
        <v>0</v>
      </c>
      <c r="H38" s="57">
        <f>IF('Eurostat EB TJ'!G46=":",0,'Eurostat EB TJ'!G46)</f>
        <v>0</v>
      </c>
      <c r="I38" s="57">
        <f>IF('Eurostat EB TJ'!H46=":",0,'Eurostat EB TJ'!H46)</f>
        <v>0</v>
      </c>
      <c r="J38" s="57">
        <f>IF('Eurostat EB TJ'!I46=":",0,'Eurostat EB TJ'!I46)</f>
        <v>0</v>
      </c>
      <c r="K38" s="57">
        <f>IF('Eurostat EB TJ'!J46=":",0,'Eurostat EB TJ'!J46)</f>
        <v>0</v>
      </c>
      <c r="L38" s="57">
        <f>IF('Eurostat EB TJ'!K46=":",0,'Eurostat EB TJ'!K46)</f>
        <v>0</v>
      </c>
      <c r="M38" s="57">
        <f>IF('Eurostat EB TJ'!L46=":",0,'Eurostat EB TJ'!L46)</f>
        <v>0</v>
      </c>
      <c r="N38" s="57">
        <f>IF('Eurostat EB TJ'!M46=":",0,'Eurostat EB TJ'!M46)</f>
        <v>0</v>
      </c>
      <c r="O38" s="57">
        <f>IF('Eurostat EB TJ'!N46=":",0,'Eurostat EB TJ'!N46)</f>
        <v>0</v>
      </c>
      <c r="P38" s="57">
        <f>IF('Eurostat EB TJ'!O46=":",0,'Eurostat EB TJ'!O46)</f>
        <v>0</v>
      </c>
      <c r="Q38" s="57">
        <f>IF('Eurostat EB TJ'!P46=":",0,'Eurostat EB TJ'!P46)</f>
        <v>0</v>
      </c>
      <c r="R38" s="57">
        <f>IF('Eurostat EB TJ'!Q46=":",0,'Eurostat EB TJ'!Q46)</f>
        <v>0</v>
      </c>
      <c r="S38" s="57">
        <f>IF('Eurostat EB TJ'!R46=":",0,'Eurostat EB TJ'!R46)</f>
        <v>0</v>
      </c>
      <c r="T38" s="57">
        <f>IF('Eurostat EB TJ'!S46=":",0,'Eurostat EB TJ'!S46)</f>
        <v>0</v>
      </c>
      <c r="U38" s="57">
        <f>IF('Eurostat EB TJ'!T46=":",0,'Eurostat EB TJ'!T46)</f>
        <v>0</v>
      </c>
      <c r="V38" s="57">
        <f>IF('Eurostat EB TJ'!U46=":",0,'Eurostat EB TJ'!U46)</f>
        <v>0</v>
      </c>
      <c r="W38" s="57">
        <f>IF('Eurostat EB TJ'!V46=":",0,'Eurostat EB TJ'!V46)</f>
        <v>0</v>
      </c>
      <c r="X38" s="57">
        <f>IF('Eurostat EB TJ'!W46=":",0,'Eurostat EB TJ'!W46)</f>
        <v>0</v>
      </c>
      <c r="Y38" s="57">
        <f>IF('Eurostat EB TJ'!X46=":",0,'Eurostat EB TJ'!X46)</f>
        <v>154253.74400000001</v>
      </c>
      <c r="Z38" s="57">
        <f>IF('Eurostat EB TJ'!Y46=":",0,'Eurostat EB TJ'!Y46)</f>
        <v>0</v>
      </c>
      <c r="AA38" s="57">
        <f>IF('Eurostat EB TJ'!Z46=":",0,'Eurostat EB TJ'!Z46)</f>
        <v>0</v>
      </c>
      <c r="AB38" s="57">
        <f>IF('Eurostat EB TJ'!AA46=":",0,'Eurostat EB TJ'!AA46)</f>
        <v>0</v>
      </c>
      <c r="AC38" s="57">
        <f>IF('Eurostat EB TJ'!AB46=":",0,'Eurostat EB TJ'!AB46)</f>
        <v>0</v>
      </c>
      <c r="AD38" s="57">
        <f>IF('Eurostat EB TJ'!AC46=":",0,'Eurostat EB TJ'!AC46)</f>
        <v>0</v>
      </c>
      <c r="AE38" s="57">
        <f>IF('Eurostat EB TJ'!AD46=":",0,'Eurostat EB TJ'!AD46)</f>
        <v>94685.631999999998</v>
      </c>
      <c r="AF38" s="57">
        <f>IF('Eurostat EB TJ'!AE46=":",0,'Eurostat EB TJ'!AE46)</f>
        <v>0</v>
      </c>
      <c r="AG38" s="57">
        <f>IF('Eurostat EB TJ'!AF46=":",0,'Eurostat EB TJ'!AF46)</f>
        <v>7161.4620000000004</v>
      </c>
      <c r="AH38" s="57">
        <f>IF('Eurostat EB TJ'!AG46=":",0,'Eurostat EB TJ'!AG46)</f>
        <v>19239.823</v>
      </c>
      <c r="AI38" s="57">
        <f>IF('Eurostat EB TJ'!AH46=":",0,'Eurostat EB TJ'!AH46)</f>
        <v>0</v>
      </c>
      <c r="AJ38" s="57">
        <f>IF('Eurostat EB TJ'!AI46=":",0,'Eurostat EB TJ'!AI46)</f>
        <v>-12.863</v>
      </c>
      <c r="AK38" s="57">
        <f>IF('Eurostat EB TJ'!AJ46=":",0,'Eurostat EB TJ'!AJ46)</f>
        <v>0</v>
      </c>
      <c r="AL38" s="57">
        <f>IF('Eurostat EB TJ'!AK46=":",0,'Eurostat EB TJ'!AK46)</f>
        <v>0</v>
      </c>
      <c r="AM38" s="57">
        <f>IF('Eurostat EB TJ'!AL46=":",0,'Eurostat EB TJ'!AL46)</f>
        <v>24.097999999999999</v>
      </c>
      <c r="AN38" s="57">
        <f>IF('Eurostat EB TJ'!AM46=":",0,'Eurostat EB TJ'!AM46)</f>
        <v>817.55700000000002</v>
      </c>
      <c r="AO38" s="57">
        <f>IF('Eurostat EB TJ'!AN46=":",0,'Eurostat EB TJ'!AN46)</f>
        <v>0</v>
      </c>
      <c r="AP38" s="57">
        <f>IF('Eurostat EB TJ'!AO46=":",0,'Eurostat EB TJ'!AO46)</f>
        <v>28222.131000000001</v>
      </c>
      <c r="AQ38" s="57">
        <f>IF('Eurostat EB TJ'!AP46=":",0,'Eurostat EB TJ'!AP46)</f>
        <v>0</v>
      </c>
      <c r="AR38" s="57">
        <f>IF('Eurostat EB TJ'!AQ46=":",0,'Eurostat EB TJ'!AQ46)</f>
        <v>3.4159999999999999</v>
      </c>
      <c r="AS38" s="57">
        <f>IF('Eurostat EB TJ'!AR46=":",0,'Eurostat EB TJ'!AR46)</f>
        <v>0</v>
      </c>
      <c r="AT38" s="57">
        <f>IF('Eurostat EB TJ'!AS46=":",0,'Eurostat EB TJ'!AS46)</f>
        <v>0</v>
      </c>
      <c r="AU38" s="57">
        <f>IF('Eurostat EB TJ'!AT46=":",0,'Eurostat EB TJ'!AT46)</f>
        <v>4112.4880000000003</v>
      </c>
      <c r="AV38" s="57">
        <f>IF('Eurostat EB TJ'!AU46=":",0,'Eurostat EB TJ'!AU46)</f>
        <v>8.0190000000000001</v>
      </c>
      <c r="AW38" s="57">
        <f>IF('Eurostat EB TJ'!AV46=":",0,'Eurostat EB TJ'!AV46)</f>
        <v>0</v>
      </c>
      <c r="AX38" s="57">
        <f>IF('Eurostat EB TJ'!AW46=":",0,'Eurostat EB TJ'!AW46)</f>
        <v>0</v>
      </c>
      <c r="AY38" s="57">
        <f>IF('Eurostat EB TJ'!AX46=":",0,'Eurostat EB TJ'!AX46)</f>
        <v>0</v>
      </c>
      <c r="AZ38" s="57">
        <f>IF('Eurostat EB TJ'!AY46=":",0,'Eurostat EB TJ'!AY46)</f>
        <v>0</v>
      </c>
      <c r="BA38" s="57">
        <f>IF('Eurostat EB TJ'!AZ46=":",0,'Eurostat EB TJ'!AZ46)</f>
        <v>0</v>
      </c>
      <c r="BB38" s="57">
        <f>IF('Eurostat EB TJ'!BA46=":",0,'Eurostat EB TJ'!BA46)</f>
        <v>0</v>
      </c>
      <c r="BC38" s="57">
        <f>IF('Eurostat EB TJ'!BB46=":",0,'Eurostat EB TJ'!BB46)</f>
        <v>0</v>
      </c>
      <c r="BD38" s="57">
        <f>IF('Eurostat EB TJ'!BC46=":",0,'Eurostat EB TJ'!BC46)</f>
        <v>0</v>
      </c>
      <c r="BE38" s="57">
        <f>IF('Eurostat EB TJ'!BD46=":",0,'Eurostat EB TJ'!BD46)</f>
        <v>0</v>
      </c>
      <c r="BF38" s="57">
        <f>IF('Eurostat EB TJ'!BE46=":",0,'Eurostat EB TJ'!BE46)</f>
        <v>0</v>
      </c>
      <c r="BG38" s="57">
        <f>IF('Eurostat EB TJ'!BF46=":",0,'Eurostat EB TJ'!BF46)</f>
        <v>8.0190000000000001</v>
      </c>
      <c r="BH38" s="57">
        <f>IF('Eurostat EB TJ'!BG46=":",0,'Eurostat EB TJ'!BG46)</f>
        <v>0</v>
      </c>
      <c r="BI38" s="57">
        <f>IF('Eurostat EB TJ'!BH46=":",0,'Eurostat EB TJ'!BH46)</f>
        <v>0</v>
      </c>
      <c r="BJ38" s="57">
        <f>IF('Eurostat EB TJ'!BI46=":",0,'Eurostat EB TJ'!BI46)</f>
        <v>0</v>
      </c>
      <c r="BK38" s="57">
        <f>IF('Eurostat EB TJ'!BJ46=":",0,'Eurostat EB TJ'!BJ46)</f>
        <v>0</v>
      </c>
      <c r="BL38" s="57">
        <f>IF('Eurostat EB TJ'!BK46=":",0,'Eurostat EB TJ'!BK46)</f>
        <v>0</v>
      </c>
      <c r="BM38" s="57">
        <f>IF('Eurostat EB TJ'!BL46=":",0,'Eurostat EB TJ'!BL46)</f>
        <v>0</v>
      </c>
      <c r="BN38" s="57">
        <f>IF('Eurostat EB TJ'!BM46=":",0,'Eurostat EB TJ'!BM46)</f>
        <v>0</v>
      </c>
      <c r="BO38" s="57">
        <f>IF('Eurostat EB TJ'!BN46=":",0,'Eurostat EB TJ'!BN46)</f>
        <v>0</v>
      </c>
      <c r="BP38" s="57">
        <f>IF('Eurostat EB TJ'!BO46=":",0,'Eurostat EB TJ'!BO46)</f>
        <v>0</v>
      </c>
      <c r="BQ38" s="57">
        <f>IF('Eurostat EB TJ'!BP46=":",0,'Eurostat EB TJ'!BP46)</f>
        <v>0</v>
      </c>
      <c r="BR38" s="57">
        <f>IF('Eurostat EB TJ'!BQ46=":",0,'Eurostat EB TJ'!BQ46)</f>
        <v>0</v>
      </c>
      <c r="BS38" s="57">
        <f>IF('Eurostat EB TJ'!BR46=":",0,'Eurostat EB TJ'!BR46)</f>
        <v>0</v>
      </c>
      <c r="BT38" s="57">
        <f>IF('Eurostat EB TJ'!BS46=":",0,'Eurostat EB TJ'!BS46)</f>
        <v>0</v>
      </c>
      <c r="BU38" s="57">
        <f>IF('Eurostat EB TJ'!BT46=":",0,'Eurostat EB TJ'!BT46)</f>
        <v>8.0190000000000001</v>
      </c>
      <c r="BV38" s="57">
        <f>IF('Eurostat EB TJ'!BU46=":",0,'Eurostat EB TJ'!BU46)</f>
        <v>154253.74400000001</v>
      </c>
    </row>
    <row r="39" spans="1:74" x14ac:dyDescent="0.2">
      <c r="A39" s="56" t="s">
        <v>222</v>
      </c>
      <c r="B39" s="17"/>
      <c r="C39" s="17">
        <f>IF('Eurostat EB TJ'!B47=":",0,'Eurostat EB TJ'!B47)</f>
        <v>213047.01800000001</v>
      </c>
      <c r="D39" s="17">
        <f>IF('Eurostat EB TJ'!C47=":",0,'Eurostat EB TJ'!C47)</f>
        <v>0</v>
      </c>
      <c r="E39" s="17">
        <f>IF('Eurostat EB TJ'!D47=":",0,'Eurostat EB TJ'!D47)</f>
        <v>0</v>
      </c>
      <c r="F39" s="17">
        <f>IF('Eurostat EB TJ'!E47=":",0,'Eurostat EB TJ'!E47)</f>
        <v>0</v>
      </c>
      <c r="G39" s="17">
        <f>IF('Eurostat EB TJ'!F47=":",0,'Eurostat EB TJ'!F47)</f>
        <v>0</v>
      </c>
      <c r="H39" s="17">
        <f>IF('Eurostat EB TJ'!G47=":",0,'Eurostat EB TJ'!G47)</f>
        <v>0</v>
      </c>
      <c r="I39" s="17">
        <f>IF('Eurostat EB TJ'!H47=":",0,'Eurostat EB TJ'!H47)</f>
        <v>0</v>
      </c>
      <c r="J39" s="17">
        <f>IF('Eurostat EB TJ'!I47=":",0,'Eurostat EB TJ'!I47)</f>
        <v>0</v>
      </c>
      <c r="K39" s="17">
        <f>IF('Eurostat EB TJ'!J47=":",0,'Eurostat EB TJ'!J47)</f>
        <v>0</v>
      </c>
      <c r="L39" s="17">
        <f>IF('Eurostat EB TJ'!K47=":",0,'Eurostat EB TJ'!K47)</f>
        <v>0</v>
      </c>
      <c r="M39" s="17">
        <f>IF('Eurostat EB TJ'!L47=":",0,'Eurostat EB TJ'!L47)</f>
        <v>0</v>
      </c>
      <c r="N39" s="17">
        <f>IF('Eurostat EB TJ'!M47=":",0,'Eurostat EB TJ'!M47)</f>
        <v>0</v>
      </c>
      <c r="O39" s="17">
        <f>IF('Eurostat EB TJ'!N47=":",0,'Eurostat EB TJ'!N47)</f>
        <v>0</v>
      </c>
      <c r="P39" s="17">
        <f>IF('Eurostat EB TJ'!O47=":",0,'Eurostat EB TJ'!O47)</f>
        <v>0</v>
      </c>
      <c r="Q39" s="17">
        <f>IF('Eurostat EB TJ'!P47=":",0,'Eurostat EB TJ'!P47)</f>
        <v>0</v>
      </c>
      <c r="R39" s="17">
        <f>IF('Eurostat EB TJ'!Q47=":",0,'Eurostat EB TJ'!Q47)</f>
        <v>0</v>
      </c>
      <c r="S39" s="17">
        <f>IF('Eurostat EB TJ'!R47=":",0,'Eurostat EB TJ'!R47)</f>
        <v>0</v>
      </c>
      <c r="T39" s="17">
        <f>IF('Eurostat EB TJ'!S47=":",0,'Eurostat EB TJ'!S47)</f>
        <v>0</v>
      </c>
      <c r="U39" s="17">
        <f>IF('Eurostat EB TJ'!T47=":",0,'Eurostat EB TJ'!T47)</f>
        <v>0</v>
      </c>
      <c r="V39" s="17">
        <f>IF('Eurostat EB TJ'!U47=":",0,'Eurostat EB TJ'!U47)</f>
        <v>0</v>
      </c>
      <c r="W39" s="17">
        <f>IF('Eurostat EB TJ'!V47=":",0,'Eurostat EB TJ'!V47)</f>
        <v>0</v>
      </c>
      <c r="X39" s="17">
        <f>IF('Eurostat EB TJ'!W47=":",0,'Eurostat EB TJ'!W47)</f>
        <v>0</v>
      </c>
      <c r="Y39" s="17">
        <f>IF('Eurostat EB TJ'!X47=":",0,'Eurostat EB TJ'!X47)</f>
        <v>213047.01800000001</v>
      </c>
      <c r="Z39" s="17">
        <f>IF('Eurostat EB TJ'!Y47=":",0,'Eurostat EB TJ'!Y47)</f>
        <v>0</v>
      </c>
      <c r="AA39" s="17">
        <f>IF('Eurostat EB TJ'!Z47=":",0,'Eurostat EB TJ'!Z47)</f>
        <v>0</v>
      </c>
      <c r="AB39" s="17">
        <f>IF('Eurostat EB TJ'!AA47=":",0,'Eurostat EB TJ'!AA47)</f>
        <v>0</v>
      </c>
      <c r="AC39" s="17">
        <f>IF('Eurostat EB TJ'!AB47=":",0,'Eurostat EB TJ'!AB47)</f>
        <v>0</v>
      </c>
      <c r="AD39" s="17">
        <f>IF('Eurostat EB TJ'!AC47=":",0,'Eurostat EB TJ'!AC47)</f>
        <v>0</v>
      </c>
      <c r="AE39" s="17">
        <f>IF('Eurostat EB TJ'!AD47=":",0,'Eurostat EB TJ'!AD47)</f>
        <v>0</v>
      </c>
      <c r="AF39" s="17">
        <f>IF('Eurostat EB TJ'!AE47=":",0,'Eurostat EB TJ'!AE47)</f>
        <v>0</v>
      </c>
      <c r="AG39" s="17">
        <f>IF('Eurostat EB TJ'!AF47=":",0,'Eurostat EB TJ'!AF47)</f>
        <v>0</v>
      </c>
      <c r="AH39" s="17">
        <f>IF('Eurostat EB TJ'!AG47=":",0,'Eurostat EB TJ'!AG47)</f>
        <v>14768.814</v>
      </c>
      <c r="AI39" s="17">
        <f>IF('Eurostat EB TJ'!AH47=":",0,'Eurostat EB TJ'!AH47)</f>
        <v>8.7999999999999995E-2</v>
      </c>
      <c r="AJ39" s="17">
        <f>IF('Eurostat EB TJ'!AI47=":",0,'Eurostat EB TJ'!AI47)</f>
        <v>247</v>
      </c>
      <c r="AK39" s="17">
        <f>IF('Eurostat EB TJ'!AJ47=":",0,'Eurostat EB TJ'!AJ47)</f>
        <v>0</v>
      </c>
      <c r="AL39" s="17">
        <f>IF('Eurostat EB TJ'!AK47=":",0,'Eurostat EB TJ'!AK47)</f>
        <v>60.075000000000003</v>
      </c>
      <c r="AM39" s="17">
        <f>IF('Eurostat EB TJ'!AL47=":",0,'Eurostat EB TJ'!AL47)</f>
        <v>3249.5909999999999</v>
      </c>
      <c r="AN39" s="17">
        <f>IF('Eurostat EB TJ'!AM47=":",0,'Eurostat EB TJ'!AM47)</f>
        <v>41346.705999999998</v>
      </c>
      <c r="AO39" s="17">
        <f>IF('Eurostat EB TJ'!AN47=":",0,'Eurostat EB TJ'!AN47)</f>
        <v>136153.08600000001</v>
      </c>
      <c r="AP39" s="17">
        <f>IF('Eurostat EB TJ'!AO47=":",0,'Eurostat EB TJ'!AO47)</f>
        <v>4640.2439999999997</v>
      </c>
      <c r="AQ39" s="17">
        <f>IF('Eurostat EB TJ'!AP47=":",0,'Eurostat EB TJ'!AP47)</f>
        <v>5359.915</v>
      </c>
      <c r="AR39" s="17">
        <f>IF('Eurostat EB TJ'!AQ47=":",0,'Eurostat EB TJ'!AQ47)</f>
        <v>0</v>
      </c>
      <c r="AS39" s="17">
        <f>IF('Eurostat EB TJ'!AR47=":",0,'Eurostat EB TJ'!AR47)</f>
        <v>0</v>
      </c>
      <c r="AT39" s="17">
        <f>IF('Eurostat EB TJ'!AS47=":",0,'Eurostat EB TJ'!AS47)</f>
        <v>13.911</v>
      </c>
      <c r="AU39" s="17">
        <f>IF('Eurostat EB TJ'!AT47=":",0,'Eurostat EB TJ'!AT47)</f>
        <v>7207.5870000000004</v>
      </c>
      <c r="AV39" s="17">
        <f>IF('Eurostat EB TJ'!AU47=":",0,'Eurostat EB TJ'!AU47)</f>
        <v>0</v>
      </c>
      <c r="AW39" s="17">
        <f>IF('Eurostat EB TJ'!AV47=":",0,'Eurostat EB TJ'!AV47)</f>
        <v>0</v>
      </c>
      <c r="AX39" s="17">
        <f>IF('Eurostat EB TJ'!AW47=":",0,'Eurostat EB TJ'!AW47)</f>
        <v>0</v>
      </c>
      <c r="AY39" s="17">
        <f>IF('Eurostat EB TJ'!AX47=":",0,'Eurostat EB TJ'!AX47)</f>
        <v>0</v>
      </c>
      <c r="AZ39" s="17">
        <f>IF('Eurostat EB TJ'!AY47=":",0,'Eurostat EB TJ'!AY47)</f>
        <v>0</v>
      </c>
      <c r="BA39" s="17">
        <f>IF('Eurostat EB TJ'!AZ47=":",0,'Eurostat EB TJ'!AZ47)</f>
        <v>0</v>
      </c>
      <c r="BB39" s="17">
        <f>IF('Eurostat EB TJ'!BA47=":",0,'Eurostat EB TJ'!BA47)</f>
        <v>0</v>
      </c>
      <c r="BC39" s="17">
        <f>IF('Eurostat EB TJ'!BB47=":",0,'Eurostat EB TJ'!BB47)</f>
        <v>0</v>
      </c>
      <c r="BD39" s="17">
        <f>IF('Eurostat EB TJ'!BC47=":",0,'Eurostat EB TJ'!BC47)</f>
        <v>0</v>
      </c>
      <c r="BE39" s="17">
        <f>IF('Eurostat EB TJ'!BD47=":",0,'Eurostat EB TJ'!BD47)</f>
        <v>0</v>
      </c>
      <c r="BF39" s="17">
        <f>IF('Eurostat EB TJ'!BE47=":",0,'Eurostat EB TJ'!BE47)</f>
        <v>0</v>
      </c>
      <c r="BG39" s="17">
        <f>IF('Eurostat EB TJ'!BF47=":",0,'Eurostat EB TJ'!BF47)</f>
        <v>0</v>
      </c>
      <c r="BH39" s="17">
        <f>IF('Eurostat EB TJ'!BG47=":",0,'Eurostat EB TJ'!BG47)</f>
        <v>0</v>
      </c>
      <c r="BI39" s="17">
        <f>IF('Eurostat EB TJ'!BH47=":",0,'Eurostat EB TJ'!BH47)</f>
        <v>0</v>
      </c>
      <c r="BJ39" s="17">
        <f>IF('Eurostat EB TJ'!BI47=":",0,'Eurostat EB TJ'!BI47)</f>
        <v>0</v>
      </c>
      <c r="BK39" s="17">
        <f>IF('Eurostat EB TJ'!BJ47=":",0,'Eurostat EB TJ'!BJ47)</f>
        <v>0</v>
      </c>
      <c r="BL39" s="17">
        <f>IF('Eurostat EB TJ'!BK47=":",0,'Eurostat EB TJ'!BK47)</f>
        <v>0</v>
      </c>
      <c r="BM39" s="17">
        <f>IF('Eurostat EB TJ'!BL47=":",0,'Eurostat EB TJ'!BL47)</f>
        <v>0</v>
      </c>
      <c r="BN39" s="17">
        <f>IF('Eurostat EB TJ'!BM47=":",0,'Eurostat EB TJ'!BM47)</f>
        <v>0</v>
      </c>
      <c r="BO39" s="17">
        <f>IF('Eurostat EB TJ'!BN47=":",0,'Eurostat EB TJ'!BN47)</f>
        <v>0</v>
      </c>
      <c r="BP39" s="17">
        <f>IF('Eurostat EB TJ'!BO47=":",0,'Eurostat EB TJ'!BO47)</f>
        <v>0</v>
      </c>
      <c r="BQ39" s="17">
        <f>IF('Eurostat EB TJ'!BP47=":",0,'Eurostat EB TJ'!BP47)</f>
        <v>0</v>
      </c>
      <c r="BR39" s="17">
        <f>IF('Eurostat EB TJ'!BQ47=":",0,'Eurostat EB TJ'!BQ47)</f>
        <v>0</v>
      </c>
      <c r="BS39" s="17">
        <f>IF('Eurostat EB TJ'!BR47=":",0,'Eurostat EB TJ'!BR47)</f>
        <v>0</v>
      </c>
      <c r="BT39" s="17">
        <f>IF('Eurostat EB TJ'!BS47=":",0,'Eurostat EB TJ'!BS47)</f>
        <v>0</v>
      </c>
      <c r="BU39" s="17">
        <f>IF('Eurostat EB TJ'!BT47=":",0,'Eurostat EB TJ'!BT47)</f>
        <v>0</v>
      </c>
      <c r="BV39" s="17">
        <f>IF('Eurostat EB TJ'!BU47=":",0,'Eurostat EB TJ'!BU47)</f>
        <v>213047.01800000001</v>
      </c>
    </row>
    <row r="40" spans="1:74" x14ac:dyDescent="0.2">
      <c r="A40" s="56" t="s">
        <v>223</v>
      </c>
      <c r="B40" s="57"/>
      <c r="C40" s="57">
        <f>IF('Eurostat EB TJ'!B48=":",0,'Eurostat EB TJ'!B48)</f>
        <v>658013.42500000005</v>
      </c>
      <c r="D40" s="57">
        <f>IF('Eurostat EB TJ'!C48=":",0,'Eurostat EB TJ'!C48)</f>
        <v>0</v>
      </c>
      <c r="E40" s="57">
        <f>IF('Eurostat EB TJ'!D48=":",0,'Eurostat EB TJ'!D48)</f>
        <v>0</v>
      </c>
      <c r="F40" s="57">
        <f>IF('Eurostat EB TJ'!E48=":",0,'Eurostat EB TJ'!E48)</f>
        <v>0</v>
      </c>
      <c r="G40" s="57">
        <f>IF('Eurostat EB TJ'!F48=":",0,'Eurostat EB TJ'!F48)</f>
        <v>0</v>
      </c>
      <c r="H40" s="57">
        <f>IF('Eurostat EB TJ'!G48=":",0,'Eurostat EB TJ'!G48)</f>
        <v>0</v>
      </c>
      <c r="I40" s="57">
        <f>IF('Eurostat EB TJ'!H48=":",0,'Eurostat EB TJ'!H48)</f>
        <v>0</v>
      </c>
      <c r="J40" s="57">
        <f>IF('Eurostat EB TJ'!I48=":",0,'Eurostat EB TJ'!I48)</f>
        <v>0</v>
      </c>
      <c r="K40" s="57">
        <f>IF('Eurostat EB TJ'!J48=":",0,'Eurostat EB TJ'!J48)</f>
        <v>0</v>
      </c>
      <c r="L40" s="57">
        <f>IF('Eurostat EB TJ'!K48=":",0,'Eurostat EB TJ'!K48)</f>
        <v>0</v>
      </c>
      <c r="M40" s="57">
        <f>IF('Eurostat EB TJ'!L48=":",0,'Eurostat EB TJ'!L48)</f>
        <v>0</v>
      </c>
      <c r="N40" s="57">
        <f>IF('Eurostat EB TJ'!M48=":",0,'Eurostat EB TJ'!M48)</f>
        <v>0</v>
      </c>
      <c r="O40" s="57">
        <f>IF('Eurostat EB TJ'!N48=":",0,'Eurostat EB TJ'!N48)</f>
        <v>0</v>
      </c>
      <c r="P40" s="57">
        <f>IF('Eurostat EB TJ'!O48=":",0,'Eurostat EB TJ'!O48)</f>
        <v>0</v>
      </c>
      <c r="Q40" s="57">
        <f>IF('Eurostat EB TJ'!P48=":",0,'Eurostat EB TJ'!P48)</f>
        <v>0</v>
      </c>
      <c r="R40" s="57">
        <f>IF('Eurostat EB TJ'!Q48=":",0,'Eurostat EB TJ'!Q48)</f>
        <v>0</v>
      </c>
      <c r="S40" s="57">
        <f>IF('Eurostat EB TJ'!R48=":",0,'Eurostat EB TJ'!R48)</f>
        <v>0</v>
      </c>
      <c r="T40" s="57">
        <f>IF('Eurostat EB TJ'!S48=":",0,'Eurostat EB TJ'!S48)</f>
        <v>0</v>
      </c>
      <c r="U40" s="57">
        <f>IF('Eurostat EB TJ'!T48=":",0,'Eurostat EB TJ'!T48)</f>
        <v>0</v>
      </c>
      <c r="V40" s="57">
        <f>IF('Eurostat EB TJ'!U48=":",0,'Eurostat EB TJ'!U48)</f>
        <v>0</v>
      </c>
      <c r="W40" s="57">
        <f>IF('Eurostat EB TJ'!V48=":",0,'Eurostat EB TJ'!V48)</f>
        <v>0</v>
      </c>
      <c r="X40" s="57">
        <f>IF('Eurostat EB TJ'!W48=":",0,'Eurostat EB TJ'!W48)</f>
        <v>0</v>
      </c>
      <c r="Y40" s="57">
        <f>IF('Eurostat EB TJ'!X48=":",0,'Eurostat EB TJ'!X48)</f>
        <v>658013.42500000005</v>
      </c>
      <c r="Z40" s="57">
        <f>IF('Eurostat EB TJ'!Y48=":",0,'Eurostat EB TJ'!Y48)</f>
        <v>77534.907000000007</v>
      </c>
      <c r="AA40" s="57">
        <f>IF('Eurostat EB TJ'!Z48=":",0,'Eurostat EB TJ'!Z48)</f>
        <v>31624.531999999999</v>
      </c>
      <c r="AB40" s="57">
        <f>IF('Eurostat EB TJ'!AA48=":",0,'Eurostat EB TJ'!AA48)</f>
        <v>0</v>
      </c>
      <c r="AC40" s="57">
        <f>IF('Eurostat EB TJ'!AB48=":",0,'Eurostat EB TJ'!AB48)</f>
        <v>0</v>
      </c>
      <c r="AD40" s="57">
        <f>IF('Eurostat EB TJ'!AC48=":",0,'Eurostat EB TJ'!AC48)</f>
        <v>0</v>
      </c>
      <c r="AE40" s="57">
        <f>IF('Eurostat EB TJ'!AD48=":",0,'Eurostat EB TJ'!AD48)</f>
        <v>0</v>
      </c>
      <c r="AF40" s="57">
        <f>IF('Eurostat EB TJ'!AE48=":",0,'Eurostat EB TJ'!AE48)</f>
        <v>0</v>
      </c>
      <c r="AG40" s="57">
        <f>IF('Eurostat EB TJ'!AF48=":",0,'Eurostat EB TJ'!AF48)</f>
        <v>11285.284</v>
      </c>
      <c r="AH40" s="57">
        <f>IF('Eurostat EB TJ'!AG48=":",0,'Eurostat EB TJ'!AG48)</f>
        <v>472393.57199999999</v>
      </c>
      <c r="AI40" s="57">
        <f>IF('Eurostat EB TJ'!AH48=":",0,'Eurostat EB TJ'!AH48)</f>
        <v>0</v>
      </c>
      <c r="AJ40" s="57">
        <f>IF('Eurostat EB TJ'!AI48=":",0,'Eurostat EB TJ'!AI48)</f>
        <v>0</v>
      </c>
      <c r="AK40" s="57">
        <f>IF('Eurostat EB TJ'!AJ48=":",0,'Eurostat EB TJ'!AJ48)</f>
        <v>0</v>
      </c>
      <c r="AL40" s="57">
        <f>IF('Eurostat EB TJ'!AK48=":",0,'Eurostat EB TJ'!AK48)</f>
        <v>0</v>
      </c>
      <c r="AM40" s="57">
        <f>IF('Eurostat EB TJ'!AL48=":",0,'Eurostat EB TJ'!AL48)</f>
        <v>761.31299999999999</v>
      </c>
      <c r="AN40" s="57">
        <f>IF('Eurostat EB TJ'!AM48=":",0,'Eurostat EB TJ'!AM48)</f>
        <v>420.96600000000001</v>
      </c>
      <c r="AO40" s="57">
        <f>IF('Eurostat EB TJ'!AN48=":",0,'Eurostat EB TJ'!AN48)</f>
        <v>0</v>
      </c>
      <c r="AP40" s="57">
        <f>IF('Eurostat EB TJ'!AO48=":",0,'Eurostat EB TJ'!AO48)</f>
        <v>56134.972999999998</v>
      </c>
      <c r="AQ40" s="57">
        <f>IF('Eurostat EB TJ'!AP48=":",0,'Eurostat EB TJ'!AP48)</f>
        <v>7819.5820000000003</v>
      </c>
      <c r="AR40" s="57">
        <f>IF('Eurostat EB TJ'!AQ48=":",0,'Eurostat EB TJ'!AQ48)</f>
        <v>0</v>
      </c>
      <c r="AS40" s="57">
        <f>IF('Eurostat EB TJ'!AR48=":",0,'Eurostat EB TJ'!AR48)</f>
        <v>0</v>
      </c>
      <c r="AT40" s="57">
        <f>IF('Eurostat EB TJ'!AS48=":",0,'Eurostat EB TJ'!AS48)</f>
        <v>38.296999999999997</v>
      </c>
      <c r="AU40" s="57">
        <f>IF('Eurostat EB TJ'!AT48=":",0,'Eurostat EB TJ'!AT48)</f>
        <v>0</v>
      </c>
      <c r="AV40" s="57">
        <f>IF('Eurostat EB TJ'!AU48=":",0,'Eurostat EB TJ'!AU48)</f>
        <v>0</v>
      </c>
      <c r="AW40" s="57">
        <f>IF('Eurostat EB TJ'!AV48=":",0,'Eurostat EB TJ'!AV48)</f>
        <v>0</v>
      </c>
      <c r="AX40" s="57">
        <f>IF('Eurostat EB TJ'!AW48=":",0,'Eurostat EB TJ'!AW48)</f>
        <v>0</v>
      </c>
      <c r="AY40" s="57">
        <f>IF('Eurostat EB TJ'!AX48=":",0,'Eurostat EB TJ'!AX48)</f>
        <v>0</v>
      </c>
      <c r="AZ40" s="57">
        <f>IF('Eurostat EB TJ'!AY48=":",0,'Eurostat EB TJ'!AY48)</f>
        <v>0</v>
      </c>
      <c r="BA40" s="57">
        <f>IF('Eurostat EB TJ'!AZ48=":",0,'Eurostat EB TJ'!AZ48)</f>
        <v>0</v>
      </c>
      <c r="BB40" s="57">
        <f>IF('Eurostat EB TJ'!BA48=":",0,'Eurostat EB TJ'!BA48)</f>
        <v>0</v>
      </c>
      <c r="BC40" s="57">
        <f>IF('Eurostat EB TJ'!BB48=":",0,'Eurostat EB TJ'!BB48)</f>
        <v>0</v>
      </c>
      <c r="BD40" s="57">
        <f>IF('Eurostat EB TJ'!BC48=":",0,'Eurostat EB TJ'!BC48)</f>
        <v>0</v>
      </c>
      <c r="BE40" s="57">
        <f>IF('Eurostat EB TJ'!BD48=":",0,'Eurostat EB TJ'!BD48)</f>
        <v>0</v>
      </c>
      <c r="BF40" s="57">
        <f>IF('Eurostat EB TJ'!BE48=":",0,'Eurostat EB TJ'!BE48)</f>
        <v>0</v>
      </c>
      <c r="BG40" s="57">
        <f>IF('Eurostat EB TJ'!BF48=":",0,'Eurostat EB TJ'!BF48)</f>
        <v>0</v>
      </c>
      <c r="BH40" s="57">
        <f>IF('Eurostat EB TJ'!BG48=":",0,'Eurostat EB TJ'!BG48)</f>
        <v>0</v>
      </c>
      <c r="BI40" s="57">
        <f>IF('Eurostat EB TJ'!BH48=":",0,'Eurostat EB TJ'!BH48)</f>
        <v>0</v>
      </c>
      <c r="BJ40" s="57">
        <f>IF('Eurostat EB TJ'!BI48=":",0,'Eurostat EB TJ'!BI48)</f>
        <v>0</v>
      </c>
      <c r="BK40" s="57">
        <f>IF('Eurostat EB TJ'!BJ48=":",0,'Eurostat EB TJ'!BJ48)</f>
        <v>0</v>
      </c>
      <c r="BL40" s="57">
        <f>IF('Eurostat EB TJ'!BK48=":",0,'Eurostat EB TJ'!BK48)</f>
        <v>0</v>
      </c>
      <c r="BM40" s="57">
        <f>IF('Eurostat EB TJ'!BL48=":",0,'Eurostat EB TJ'!BL48)</f>
        <v>0</v>
      </c>
      <c r="BN40" s="57">
        <f>IF('Eurostat EB TJ'!BM48=":",0,'Eurostat EB TJ'!BM48)</f>
        <v>0</v>
      </c>
      <c r="BO40" s="57">
        <f>IF('Eurostat EB TJ'!BN48=":",0,'Eurostat EB TJ'!BN48)</f>
        <v>0</v>
      </c>
      <c r="BP40" s="57">
        <f>IF('Eurostat EB TJ'!BO48=":",0,'Eurostat EB TJ'!BO48)</f>
        <v>0</v>
      </c>
      <c r="BQ40" s="57">
        <f>IF('Eurostat EB TJ'!BP48=":",0,'Eurostat EB TJ'!BP48)</f>
        <v>0</v>
      </c>
      <c r="BR40" s="57">
        <f>IF('Eurostat EB TJ'!BQ48=":",0,'Eurostat EB TJ'!BQ48)</f>
        <v>0</v>
      </c>
      <c r="BS40" s="57">
        <f>IF('Eurostat EB TJ'!BR48=":",0,'Eurostat EB TJ'!BR48)</f>
        <v>0</v>
      </c>
      <c r="BT40" s="57">
        <f>IF('Eurostat EB TJ'!BS48=":",0,'Eurostat EB TJ'!BS48)</f>
        <v>0</v>
      </c>
      <c r="BU40" s="57">
        <f>IF('Eurostat EB TJ'!BT48=":",0,'Eurostat EB TJ'!BT48)</f>
        <v>0</v>
      </c>
      <c r="BV40" s="57">
        <f>IF('Eurostat EB TJ'!BU48=":",0,'Eurostat EB TJ'!BU48)</f>
        <v>658013.42500000005</v>
      </c>
    </row>
    <row r="41" spans="1:74" x14ac:dyDescent="0.2">
      <c r="A41" s="56" t="s">
        <v>224</v>
      </c>
      <c r="B41" s="17"/>
      <c r="C41" s="17">
        <f>IF('Eurostat EB TJ'!B49=":",0,'Eurostat EB TJ'!B49)</f>
        <v>438573.56300000002</v>
      </c>
      <c r="D41" s="17">
        <f>IF('Eurostat EB TJ'!C49=":",0,'Eurostat EB TJ'!C49)</f>
        <v>0</v>
      </c>
      <c r="E41" s="17">
        <f>IF('Eurostat EB TJ'!D49=":",0,'Eurostat EB TJ'!D49)</f>
        <v>0</v>
      </c>
      <c r="F41" s="17">
        <f>IF('Eurostat EB TJ'!E49=":",0,'Eurostat EB TJ'!E49)</f>
        <v>0</v>
      </c>
      <c r="G41" s="17">
        <f>IF('Eurostat EB TJ'!F49=":",0,'Eurostat EB TJ'!F49)</f>
        <v>0</v>
      </c>
      <c r="H41" s="17">
        <f>IF('Eurostat EB TJ'!G49=":",0,'Eurostat EB TJ'!G49)</f>
        <v>0</v>
      </c>
      <c r="I41" s="17">
        <f>IF('Eurostat EB TJ'!H49=":",0,'Eurostat EB TJ'!H49)</f>
        <v>0</v>
      </c>
      <c r="J41" s="17">
        <f>IF('Eurostat EB TJ'!I49=":",0,'Eurostat EB TJ'!I49)</f>
        <v>0</v>
      </c>
      <c r="K41" s="17">
        <f>IF('Eurostat EB TJ'!J49=":",0,'Eurostat EB TJ'!J49)</f>
        <v>0</v>
      </c>
      <c r="L41" s="17">
        <f>IF('Eurostat EB TJ'!K49=":",0,'Eurostat EB TJ'!K49)</f>
        <v>0</v>
      </c>
      <c r="M41" s="17">
        <f>IF('Eurostat EB TJ'!L49=":",0,'Eurostat EB TJ'!L49)</f>
        <v>0</v>
      </c>
      <c r="N41" s="17">
        <f>IF('Eurostat EB TJ'!M49=":",0,'Eurostat EB TJ'!M49)</f>
        <v>0</v>
      </c>
      <c r="O41" s="17">
        <f>IF('Eurostat EB TJ'!N49=":",0,'Eurostat EB TJ'!N49)</f>
        <v>0</v>
      </c>
      <c r="P41" s="17">
        <f>IF('Eurostat EB TJ'!O49=":",0,'Eurostat EB TJ'!O49)</f>
        <v>0</v>
      </c>
      <c r="Q41" s="17">
        <f>IF('Eurostat EB TJ'!P49=":",0,'Eurostat EB TJ'!P49)</f>
        <v>0</v>
      </c>
      <c r="R41" s="17">
        <f>IF('Eurostat EB TJ'!Q49=":",0,'Eurostat EB TJ'!Q49)</f>
        <v>0</v>
      </c>
      <c r="S41" s="17">
        <f>IF('Eurostat EB TJ'!R49=":",0,'Eurostat EB TJ'!R49)</f>
        <v>0</v>
      </c>
      <c r="T41" s="17">
        <f>IF('Eurostat EB TJ'!S49=":",0,'Eurostat EB TJ'!S49)</f>
        <v>0</v>
      </c>
      <c r="U41" s="17">
        <f>IF('Eurostat EB TJ'!T49=":",0,'Eurostat EB TJ'!T49)</f>
        <v>0</v>
      </c>
      <c r="V41" s="17">
        <f>IF('Eurostat EB TJ'!U49=":",0,'Eurostat EB TJ'!U49)</f>
        <v>0</v>
      </c>
      <c r="W41" s="17">
        <f>IF('Eurostat EB TJ'!V49=":",0,'Eurostat EB TJ'!V49)</f>
        <v>0</v>
      </c>
      <c r="X41" s="17">
        <f>IF('Eurostat EB TJ'!W49=":",0,'Eurostat EB TJ'!W49)</f>
        <v>0</v>
      </c>
      <c r="Y41" s="17">
        <f>IF('Eurostat EB TJ'!X49=":",0,'Eurostat EB TJ'!X49)</f>
        <v>438573.56300000002</v>
      </c>
      <c r="Z41" s="17">
        <f>IF('Eurostat EB TJ'!Y49=":",0,'Eurostat EB TJ'!Y49)</f>
        <v>77534.907000000007</v>
      </c>
      <c r="AA41" s="17">
        <f>IF('Eurostat EB TJ'!Z49=":",0,'Eurostat EB TJ'!Z49)</f>
        <v>193698.97500000001</v>
      </c>
      <c r="AB41" s="17">
        <f>IF('Eurostat EB TJ'!AA49=":",0,'Eurostat EB TJ'!AA49)</f>
        <v>147464.37599999999</v>
      </c>
      <c r="AC41" s="17">
        <f>IF('Eurostat EB TJ'!AB49=":",0,'Eurostat EB TJ'!AB49)</f>
        <v>19875.305</v>
      </c>
      <c r="AD41" s="17">
        <f>IF('Eurostat EB TJ'!AC49=":",0,'Eurostat EB TJ'!AC49)</f>
        <v>0</v>
      </c>
      <c r="AE41" s="17">
        <f>IF('Eurostat EB TJ'!AD49=":",0,'Eurostat EB TJ'!AD49)</f>
        <v>0</v>
      </c>
      <c r="AF41" s="17">
        <f>IF('Eurostat EB TJ'!AE49=":",0,'Eurostat EB TJ'!AE49)</f>
        <v>0</v>
      </c>
      <c r="AG41" s="17">
        <f>IF('Eurostat EB TJ'!AF49=":",0,'Eurostat EB TJ'!AF49)</f>
        <v>0</v>
      </c>
      <c r="AH41" s="17">
        <f>IF('Eurostat EB TJ'!AG49=":",0,'Eurostat EB TJ'!AG49)</f>
        <v>0</v>
      </c>
      <c r="AI41" s="17">
        <f>IF('Eurostat EB TJ'!AH49=":",0,'Eurostat EB TJ'!AH49)</f>
        <v>0</v>
      </c>
      <c r="AJ41" s="17">
        <f>IF('Eurostat EB TJ'!AI49=":",0,'Eurostat EB TJ'!AI49)</f>
        <v>0</v>
      </c>
      <c r="AK41" s="17">
        <f>IF('Eurostat EB TJ'!AJ49=":",0,'Eurostat EB TJ'!AJ49)</f>
        <v>0</v>
      </c>
      <c r="AL41" s="17">
        <f>IF('Eurostat EB TJ'!AK49=":",0,'Eurostat EB TJ'!AK49)</f>
        <v>0</v>
      </c>
      <c r="AM41" s="17">
        <f>IF('Eurostat EB TJ'!AL49=":",0,'Eurostat EB TJ'!AL49)</f>
        <v>0</v>
      </c>
      <c r="AN41" s="17">
        <f>IF('Eurostat EB TJ'!AM49=":",0,'Eurostat EB TJ'!AM49)</f>
        <v>0</v>
      </c>
      <c r="AO41" s="17">
        <f>IF('Eurostat EB TJ'!AN49=":",0,'Eurostat EB TJ'!AN49)</f>
        <v>0</v>
      </c>
      <c r="AP41" s="17">
        <f>IF('Eurostat EB TJ'!AO49=":",0,'Eurostat EB TJ'!AO49)</f>
        <v>0</v>
      </c>
      <c r="AQ41" s="17">
        <f>IF('Eurostat EB TJ'!AP49=":",0,'Eurostat EB TJ'!AP49)</f>
        <v>0</v>
      </c>
      <c r="AR41" s="17">
        <f>IF('Eurostat EB TJ'!AQ49=":",0,'Eurostat EB TJ'!AQ49)</f>
        <v>0</v>
      </c>
      <c r="AS41" s="17">
        <f>IF('Eurostat EB TJ'!AR49=":",0,'Eurostat EB TJ'!AR49)</f>
        <v>0</v>
      </c>
      <c r="AT41" s="17">
        <f>IF('Eurostat EB TJ'!AS49=":",0,'Eurostat EB TJ'!AS49)</f>
        <v>0</v>
      </c>
      <c r="AU41" s="17">
        <f>IF('Eurostat EB TJ'!AT49=":",0,'Eurostat EB TJ'!AT49)</f>
        <v>0</v>
      </c>
      <c r="AV41" s="17">
        <f>IF('Eurostat EB TJ'!AU49=":",0,'Eurostat EB TJ'!AU49)</f>
        <v>0</v>
      </c>
      <c r="AW41" s="17">
        <f>IF('Eurostat EB TJ'!AV49=":",0,'Eurostat EB TJ'!AV49)</f>
        <v>0</v>
      </c>
      <c r="AX41" s="17">
        <f>IF('Eurostat EB TJ'!AW49=":",0,'Eurostat EB TJ'!AW49)</f>
        <v>0</v>
      </c>
      <c r="AY41" s="17">
        <f>IF('Eurostat EB TJ'!AX49=":",0,'Eurostat EB TJ'!AX49)</f>
        <v>0</v>
      </c>
      <c r="AZ41" s="17">
        <f>IF('Eurostat EB TJ'!AY49=":",0,'Eurostat EB TJ'!AY49)</f>
        <v>0</v>
      </c>
      <c r="BA41" s="17">
        <f>IF('Eurostat EB TJ'!AZ49=":",0,'Eurostat EB TJ'!AZ49)</f>
        <v>0</v>
      </c>
      <c r="BB41" s="17">
        <f>IF('Eurostat EB TJ'!BA49=":",0,'Eurostat EB TJ'!BA49)</f>
        <v>0</v>
      </c>
      <c r="BC41" s="17">
        <f>IF('Eurostat EB TJ'!BB49=":",0,'Eurostat EB TJ'!BB49)</f>
        <v>0</v>
      </c>
      <c r="BD41" s="17">
        <f>IF('Eurostat EB TJ'!BC49=":",0,'Eurostat EB TJ'!BC49)</f>
        <v>0</v>
      </c>
      <c r="BE41" s="17">
        <f>IF('Eurostat EB TJ'!BD49=":",0,'Eurostat EB TJ'!BD49)</f>
        <v>0</v>
      </c>
      <c r="BF41" s="17">
        <f>IF('Eurostat EB TJ'!BE49=":",0,'Eurostat EB TJ'!BE49)</f>
        <v>0</v>
      </c>
      <c r="BG41" s="17">
        <f>IF('Eurostat EB TJ'!BF49=":",0,'Eurostat EB TJ'!BF49)</f>
        <v>0</v>
      </c>
      <c r="BH41" s="17">
        <f>IF('Eurostat EB TJ'!BG49=":",0,'Eurostat EB TJ'!BG49)</f>
        <v>0</v>
      </c>
      <c r="BI41" s="17">
        <f>IF('Eurostat EB TJ'!BH49=":",0,'Eurostat EB TJ'!BH49)</f>
        <v>0</v>
      </c>
      <c r="BJ41" s="17">
        <f>IF('Eurostat EB TJ'!BI49=":",0,'Eurostat EB TJ'!BI49)</f>
        <v>0</v>
      </c>
      <c r="BK41" s="17">
        <f>IF('Eurostat EB TJ'!BJ49=":",0,'Eurostat EB TJ'!BJ49)</f>
        <v>0</v>
      </c>
      <c r="BL41" s="17">
        <f>IF('Eurostat EB TJ'!BK49=":",0,'Eurostat EB TJ'!BK49)</f>
        <v>0</v>
      </c>
      <c r="BM41" s="17">
        <f>IF('Eurostat EB TJ'!BL49=":",0,'Eurostat EB TJ'!BL49)</f>
        <v>0</v>
      </c>
      <c r="BN41" s="17">
        <f>IF('Eurostat EB TJ'!BM49=":",0,'Eurostat EB TJ'!BM49)</f>
        <v>0</v>
      </c>
      <c r="BO41" s="17">
        <f>IF('Eurostat EB TJ'!BN49=":",0,'Eurostat EB TJ'!BN49)</f>
        <v>0</v>
      </c>
      <c r="BP41" s="17">
        <f>IF('Eurostat EB TJ'!BO49=":",0,'Eurostat EB TJ'!BO49)</f>
        <v>0</v>
      </c>
      <c r="BQ41" s="17">
        <f>IF('Eurostat EB TJ'!BP49=":",0,'Eurostat EB TJ'!BP49)</f>
        <v>0</v>
      </c>
      <c r="BR41" s="17">
        <f>IF('Eurostat EB TJ'!BQ49=":",0,'Eurostat EB TJ'!BQ49)</f>
        <v>0</v>
      </c>
      <c r="BS41" s="17">
        <f>IF('Eurostat EB TJ'!BR49=":",0,'Eurostat EB TJ'!BR49)</f>
        <v>0</v>
      </c>
      <c r="BT41" s="17">
        <f>IF('Eurostat EB TJ'!BS49=":",0,'Eurostat EB TJ'!BS49)</f>
        <v>0</v>
      </c>
      <c r="BU41" s="17">
        <f>IF('Eurostat EB TJ'!BT49=":",0,'Eurostat EB TJ'!BT49)</f>
        <v>0</v>
      </c>
      <c r="BV41" s="17">
        <f>IF('Eurostat EB TJ'!BU49=":",0,'Eurostat EB TJ'!BU49)</f>
        <v>438573.56300000002</v>
      </c>
    </row>
    <row r="42" spans="1:74" x14ac:dyDescent="0.2">
      <c r="A42" s="56" t="s">
        <v>225</v>
      </c>
      <c r="B42" s="57"/>
      <c r="C42" s="57">
        <f>IF('Eurostat EB TJ'!B50=":",0,'Eurostat EB TJ'!B50)</f>
        <v>155958.67800000001</v>
      </c>
      <c r="D42" s="57">
        <f>IF('Eurostat EB TJ'!C50=":",0,'Eurostat EB TJ'!C50)</f>
        <v>0</v>
      </c>
      <c r="E42" s="57">
        <f>IF('Eurostat EB TJ'!D50=":",0,'Eurostat EB TJ'!D50)</f>
        <v>0</v>
      </c>
      <c r="F42" s="57">
        <f>IF('Eurostat EB TJ'!E50=":",0,'Eurostat EB TJ'!E50)</f>
        <v>0</v>
      </c>
      <c r="G42" s="57">
        <f>IF('Eurostat EB TJ'!F50=":",0,'Eurostat EB TJ'!F50)</f>
        <v>0</v>
      </c>
      <c r="H42" s="57">
        <f>IF('Eurostat EB TJ'!G50=":",0,'Eurostat EB TJ'!G50)</f>
        <v>0</v>
      </c>
      <c r="I42" s="57">
        <f>IF('Eurostat EB TJ'!H50=":",0,'Eurostat EB TJ'!H50)</f>
        <v>0</v>
      </c>
      <c r="J42" s="57">
        <f>IF('Eurostat EB TJ'!I50=":",0,'Eurostat EB TJ'!I50)</f>
        <v>0</v>
      </c>
      <c r="K42" s="57">
        <f>IF('Eurostat EB TJ'!J50=":",0,'Eurostat EB TJ'!J50)</f>
        <v>0</v>
      </c>
      <c r="L42" s="57">
        <f>IF('Eurostat EB TJ'!K50=":",0,'Eurostat EB TJ'!K50)</f>
        <v>0</v>
      </c>
      <c r="M42" s="57">
        <f>IF('Eurostat EB TJ'!L50=":",0,'Eurostat EB TJ'!L50)</f>
        <v>0</v>
      </c>
      <c r="N42" s="57">
        <f>IF('Eurostat EB TJ'!M50=":",0,'Eurostat EB TJ'!M50)</f>
        <v>0</v>
      </c>
      <c r="O42" s="57">
        <f>IF('Eurostat EB TJ'!N50=":",0,'Eurostat EB TJ'!N50)</f>
        <v>0</v>
      </c>
      <c r="P42" s="57">
        <f>IF('Eurostat EB TJ'!O50=":",0,'Eurostat EB TJ'!O50)</f>
        <v>0</v>
      </c>
      <c r="Q42" s="57">
        <f>IF('Eurostat EB TJ'!P50=":",0,'Eurostat EB TJ'!P50)</f>
        <v>0</v>
      </c>
      <c r="R42" s="57">
        <f>IF('Eurostat EB TJ'!Q50=":",0,'Eurostat EB TJ'!Q50)</f>
        <v>0</v>
      </c>
      <c r="S42" s="57">
        <f>IF('Eurostat EB TJ'!R50=":",0,'Eurostat EB TJ'!R50)</f>
        <v>0</v>
      </c>
      <c r="T42" s="57">
        <f>IF('Eurostat EB TJ'!S50=":",0,'Eurostat EB TJ'!S50)</f>
        <v>0</v>
      </c>
      <c r="U42" s="57">
        <f>IF('Eurostat EB TJ'!T50=":",0,'Eurostat EB TJ'!T50)</f>
        <v>0</v>
      </c>
      <c r="V42" s="57">
        <f>IF('Eurostat EB TJ'!U50=":",0,'Eurostat EB TJ'!U50)</f>
        <v>0</v>
      </c>
      <c r="W42" s="57">
        <f>IF('Eurostat EB TJ'!V50=":",0,'Eurostat EB TJ'!V50)</f>
        <v>0</v>
      </c>
      <c r="X42" s="57">
        <f>IF('Eurostat EB TJ'!W50=":",0,'Eurostat EB TJ'!W50)</f>
        <v>0</v>
      </c>
      <c r="Y42" s="57">
        <f>IF('Eurostat EB TJ'!X50=":",0,'Eurostat EB TJ'!X50)</f>
        <v>155958.67800000001</v>
      </c>
      <c r="Z42" s="57">
        <f>IF('Eurostat EB TJ'!Y50=":",0,'Eurostat EB TJ'!Y50)</f>
        <v>0</v>
      </c>
      <c r="AA42" s="57">
        <f>IF('Eurostat EB TJ'!Z50=":",0,'Eurostat EB TJ'!Z50)</f>
        <v>48786.699000000001</v>
      </c>
      <c r="AB42" s="57">
        <f>IF('Eurostat EB TJ'!AA50=":",0,'Eurostat EB TJ'!AA50)</f>
        <v>0</v>
      </c>
      <c r="AC42" s="57">
        <f>IF('Eurostat EB TJ'!AB50=":",0,'Eurostat EB TJ'!AB50)</f>
        <v>0</v>
      </c>
      <c r="AD42" s="57">
        <f>IF('Eurostat EB TJ'!AC50=":",0,'Eurostat EB TJ'!AC50)</f>
        <v>0</v>
      </c>
      <c r="AE42" s="57">
        <f>IF('Eurostat EB TJ'!AD50=":",0,'Eurostat EB TJ'!AD50)</f>
        <v>0</v>
      </c>
      <c r="AF42" s="57">
        <f>IF('Eurostat EB TJ'!AE50=":",0,'Eurostat EB TJ'!AE50)</f>
        <v>0</v>
      </c>
      <c r="AG42" s="57">
        <f>IF('Eurostat EB TJ'!AF50=":",0,'Eurostat EB TJ'!AF50)</f>
        <v>30097.69</v>
      </c>
      <c r="AH42" s="57">
        <f>IF('Eurostat EB TJ'!AG50=":",0,'Eurostat EB TJ'!AG50)</f>
        <v>76530.175000000003</v>
      </c>
      <c r="AI42" s="57">
        <f>IF('Eurostat EB TJ'!AH50=":",0,'Eurostat EB TJ'!AH50)</f>
        <v>0</v>
      </c>
      <c r="AJ42" s="57">
        <f>IF('Eurostat EB TJ'!AI50=":",0,'Eurostat EB TJ'!AI50)</f>
        <v>0</v>
      </c>
      <c r="AK42" s="57">
        <f>IF('Eurostat EB TJ'!AJ50=":",0,'Eurostat EB TJ'!AJ50)</f>
        <v>0</v>
      </c>
      <c r="AL42" s="57">
        <f>IF('Eurostat EB TJ'!AK50=":",0,'Eurostat EB TJ'!AK50)</f>
        <v>0</v>
      </c>
      <c r="AM42" s="57">
        <f>IF('Eurostat EB TJ'!AL50=":",0,'Eurostat EB TJ'!AL50)</f>
        <v>448.38099999999997</v>
      </c>
      <c r="AN42" s="57">
        <f>IF('Eurostat EB TJ'!AM50=":",0,'Eurostat EB TJ'!AM50)</f>
        <v>10.742000000000001</v>
      </c>
      <c r="AO42" s="57">
        <f>IF('Eurostat EB TJ'!AN50=":",0,'Eurostat EB TJ'!AN50)</f>
        <v>0</v>
      </c>
      <c r="AP42" s="57">
        <f>IF('Eurostat EB TJ'!AO50=":",0,'Eurostat EB TJ'!AO50)</f>
        <v>0</v>
      </c>
      <c r="AQ42" s="57">
        <f>IF('Eurostat EB TJ'!AP50=":",0,'Eurostat EB TJ'!AP50)</f>
        <v>39.082000000000001</v>
      </c>
      <c r="AR42" s="57">
        <f>IF('Eurostat EB TJ'!AQ50=":",0,'Eurostat EB TJ'!AQ50)</f>
        <v>0</v>
      </c>
      <c r="AS42" s="57">
        <f>IF('Eurostat EB TJ'!AR50=":",0,'Eurostat EB TJ'!AR50)</f>
        <v>0</v>
      </c>
      <c r="AT42" s="57">
        <f>IF('Eurostat EB TJ'!AS50=":",0,'Eurostat EB TJ'!AS50)</f>
        <v>0</v>
      </c>
      <c r="AU42" s="57">
        <f>IF('Eurostat EB TJ'!AT50=":",0,'Eurostat EB TJ'!AT50)</f>
        <v>45.908999999999999</v>
      </c>
      <c r="AV42" s="57">
        <f>IF('Eurostat EB TJ'!AU50=":",0,'Eurostat EB TJ'!AU50)</f>
        <v>0</v>
      </c>
      <c r="AW42" s="57">
        <f>IF('Eurostat EB TJ'!AV50=":",0,'Eurostat EB TJ'!AV50)</f>
        <v>0</v>
      </c>
      <c r="AX42" s="57">
        <f>IF('Eurostat EB TJ'!AW50=":",0,'Eurostat EB TJ'!AW50)</f>
        <v>0</v>
      </c>
      <c r="AY42" s="57">
        <f>IF('Eurostat EB TJ'!AX50=":",0,'Eurostat EB TJ'!AX50)</f>
        <v>0</v>
      </c>
      <c r="AZ42" s="57">
        <f>IF('Eurostat EB TJ'!AY50=":",0,'Eurostat EB TJ'!AY50)</f>
        <v>0</v>
      </c>
      <c r="BA42" s="57">
        <f>IF('Eurostat EB TJ'!AZ50=":",0,'Eurostat EB TJ'!AZ50)</f>
        <v>0</v>
      </c>
      <c r="BB42" s="57">
        <f>IF('Eurostat EB TJ'!BA50=":",0,'Eurostat EB TJ'!BA50)</f>
        <v>0</v>
      </c>
      <c r="BC42" s="57">
        <f>IF('Eurostat EB TJ'!BB50=":",0,'Eurostat EB TJ'!BB50)</f>
        <v>0</v>
      </c>
      <c r="BD42" s="57">
        <f>IF('Eurostat EB TJ'!BC50=":",0,'Eurostat EB TJ'!BC50)</f>
        <v>0</v>
      </c>
      <c r="BE42" s="57">
        <f>IF('Eurostat EB TJ'!BD50=":",0,'Eurostat EB TJ'!BD50)</f>
        <v>0</v>
      </c>
      <c r="BF42" s="57">
        <f>IF('Eurostat EB TJ'!BE50=":",0,'Eurostat EB TJ'!BE50)</f>
        <v>0</v>
      </c>
      <c r="BG42" s="57">
        <f>IF('Eurostat EB TJ'!BF50=":",0,'Eurostat EB TJ'!BF50)</f>
        <v>0</v>
      </c>
      <c r="BH42" s="57">
        <f>IF('Eurostat EB TJ'!BG50=":",0,'Eurostat EB TJ'!BG50)</f>
        <v>0</v>
      </c>
      <c r="BI42" s="57">
        <f>IF('Eurostat EB TJ'!BH50=":",0,'Eurostat EB TJ'!BH50)</f>
        <v>0</v>
      </c>
      <c r="BJ42" s="57">
        <f>IF('Eurostat EB TJ'!BI50=":",0,'Eurostat EB TJ'!BI50)</f>
        <v>0</v>
      </c>
      <c r="BK42" s="57">
        <f>IF('Eurostat EB TJ'!BJ50=":",0,'Eurostat EB TJ'!BJ50)</f>
        <v>0</v>
      </c>
      <c r="BL42" s="57">
        <f>IF('Eurostat EB TJ'!BK50=":",0,'Eurostat EB TJ'!BK50)</f>
        <v>0</v>
      </c>
      <c r="BM42" s="57">
        <f>IF('Eurostat EB TJ'!BL50=":",0,'Eurostat EB TJ'!BL50)</f>
        <v>0</v>
      </c>
      <c r="BN42" s="57">
        <f>IF('Eurostat EB TJ'!BM50=":",0,'Eurostat EB TJ'!BM50)</f>
        <v>0</v>
      </c>
      <c r="BO42" s="57">
        <f>IF('Eurostat EB TJ'!BN50=":",0,'Eurostat EB TJ'!BN50)</f>
        <v>0</v>
      </c>
      <c r="BP42" s="57">
        <f>IF('Eurostat EB TJ'!BO50=":",0,'Eurostat EB TJ'!BO50)</f>
        <v>0</v>
      </c>
      <c r="BQ42" s="57">
        <f>IF('Eurostat EB TJ'!BP50=":",0,'Eurostat EB TJ'!BP50)</f>
        <v>0</v>
      </c>
      <c r="BR42" s="57">
        <f>IF('Eurostat EB TJ'!BQ50=":",0,'Eurostat EB TJ'!BQ50)</f>
        <v>0</v>
      </c>
      <c r="BS42" s="57">
        <f>IF('Eurostat EB TJ'!BR50=":",0,'Eurostat EB TJ'!BR50)</f>
        <v>0</v>
      </c>
      <c r="BT42" s="57">
        <f>IF('Eurostat EB TJ'!BS50=":",0,'Eurostat EB TJ'!BS50)</f>
        <v>0</v>
      </c>
      <c r="BU42" s="57">
        <f>IF('Eurostat EB TJ'!BT50=":",0,'Eurostat EB TJ'!BT50)</f>
        <v>0</v>
      </c>
      <c r="BV42" s="57">
        <f>IF('Eurostat EB TJ'!BU50=":",0,'Eurostat EB TJ'!BU50)</f>
        <v>155958.67800000001</v>
      </c>
    </row>
    <row r="43" spans="1:74" x14ac:dyDescent="0.2">
      <c r="A43" s="56" t="s">
        <v>226</v>
      </c>
      <c r="B43" s="17"/>
      <c r="C43" s="17">
        <f>IF('Eurostat EB TJ'!B51=":",0,'Eurostat EB TJ'!B51)</f>
        <v>0</v>
      </c>
      <c r="D43" s="17">
        <f>IF('Eurostat EB TJ'!C51=":",0,'Eurostat EB TJ'!C51)</f>
        <v>0</v>
      </c>
      <c r="E43" s="17">
        <f>IF('Eurostat EB TJ'!D51=":",0,'Eurostat EB TJ'!D51)</f>
        <v>0</v>
      </c>
      <c r="F43" s="17">
        <f>IF('Eurostat EB TJ'!E51=":",0,'Eurostat EB TJ'!E51)</f>
        <v>0</v>
      </c>
      <c r="G43" s="17">
        <f>IF('Eurostat EB TJ'!F51=":",0,'Eurostat EB TJ'!F51)</f>
        <v>0</v>
      </c>
      <c r="H43" s="17">
        <f>IF('Eurostat EB TJ'!G51=":",0,'Eurostat EB TJ'!G51)</f>
        <v>0</v>
      </c>
      <c r="I43" s="17">
        <f>IF('Eurostat EB TJ'!H51=":",0,'Eurostat EB TJ'!H51)</f>
        <v>0</v>
      </c>
      <c r="J43" s="17">
        <f>IF('Eurostat EB TJ'!I51=":",0,'Eurostat EB TJ'!I51)</f>
        <v>0</v>
      </c>
      <c r="K43" s="17">
        <f>IF('Eurostat EB TJ'!J51=":",0,'Eurostat EB TJ'!J51)</f>
        <v>0</v>
      </c>
      <c r="L43" s="17">
        <f>IF('Eurostat EB TJ'!K51=":",0,'Eurostat EB TJ'!K51)</f>
        <v>0</v>
      </c>
      <c r="M43" s="17">
        <f>IF('Eurostat EB TJ'!L51=":",0,'Eurostat EB TJ'!L51)</f>
        <v>0</v>
      </c>
      <c r="N43" s="17">
        <f>IF('Eurostat EB TJ'!M51=":",0,'Eurostat EB TJ'!M51)</f>
        <v>0</v>
      </c>
      <c r="O43" s="17">
        <f>IF('Eurostat EB TJ'!N51=":",0,'Eurostat EB TJ'!N51)</f>
        <v>0</v>
      </c>
      <c r="P43" s="17">
        <f>IF('Eurostat EB TJ'!O51=":",0,'Eurostat EB TJ'!O51)</f>
        <v>0</v>
      </c>
      <c r="Q43" s="17">
        <f>IF('Eurostat EB TJ'!P51=":",0,'Eurostat EB TJ'!P51)</f>
        <v>0</v>
      </c>
      <c r="R43" s="17">
        <f>IF('Eurostat EB TJ'!Q51=":",0,'Eurostat EB TJ'!Q51)</f>
        <v>0</v>
      </c>
      <c r="S43" s="17">
        <f>IF('Eurostat EB TJ'!R51=":",0,'Eurostat EB TJ'!R51)</f>
        <v>0</v>
      </c>
      <c r="T43" s="17">
        <f>IF('Eurostat EB TJ'!S51=":",0,'Eurostat EB TJ'!S51)</f>
        <v>0</v>
      </c>
      <c r="U43" s="17">
        <f>IF('Eurostat EB TJ'!T51=":",0,'Eurostat EB TJ'!T51)</f>
        <v>0</v>
      </c>
      <c r="V43" s="17">
        <f>IF('Eurostat EB TJ'!U51=":",0,'Eurostat EB TJ'!U51)</f>
        <v>0</v>
      </c>
      <c r="W43" s="17">
        <f>IF('Eurostat EB TJ'!V51=":",0,'Eurostat EB TJ'!V51)</f>
        <v>0</v>
      </c>
      <c r="X43" s="17">
        <f>IF('Eurostat EB TJ'!W51=":",0,'Eurostat EB TJ'!W51)</f>
        <v>0</v>
      </c>
      <c r="Y43" s="17">
        <f>IF('Eurostat EB TJ'!X51=":",0,'Eurostat EB TJ'!X51)</f>
        <v>0</v>
      </c>
      <c r="Z43" s="17">
        <f>IF('Eurostat EB TJ'!Y51=":",0,'Eurostat EB TJ'!Y51)</f>
        <v>0</v>
      </c>
      <c r="AA43" s="17">
        <f>IF('Eurostat EB TJ'!Z51=":",0,'Eurostat EB TJ'!Z51)</f>
        <v>0</v>
      </c>
      <c r="AB43" s="17">
        <f>IF('Eurostat EB TJ'!AA51=":",0,'Eurostat EB TJ'!AA51)</f>
        <v>0</v>
      </c>
      <c r="AC43" s="17">
        <f>IF('Eurostat EB TJ'!AB51=":",0,'Eurostat EB TJ'!AB51)</f>
        <v>0</v>
      </c>
      <c r="AD43" s="17">
        <f>IF('Eurostat EB TJ'!AC51=":",0,'Eurostat EB TJ'!AC51)</f>
        <v>0</v>
      </c>
      <c r="AE43" s="17">
        <f>IF('Eurostat EB TJ'!AD51=":",0,'Eurostat EB TJ'!AD51)</f>
        <v>0</v>
      </c>
      <c r="AF43" s="17">
        <f>IF('Eurostat EB TJ'!AE51=":",0,'Eurostat EB TJ'!AE51)</f>
        <v>0</v>
      </c>
      <c r="AG43" s="17">
        <f>IF('Eurostat EB TJ'!AF51=":",0,'Eurostat EB TJ'!AF51)</f>
        <v>0</v>
      </c>
      <c r="AH43" s="17">
        <f>IF('Eurostat EB TJ'!AG51=":",0,'Eurostat EB TJ'!AG51)</f>
        <v>0</v>
      </c>
      <c r="AI43" s="17">
        <f>IF('Eurostat EB TJ'!AH51=":",0,'Eurostat EB TJ'!AH51)</f>
        <v>0</v>
      </c>
      <c r="AJ43" s="17">
        <f>IF('Eurostat EB TJ'!AI51=":",0,'Eurostat EB TJ'!AI51)</f>
        <v>0</v>
      </c>
      <c r="AK43" s="17">
        <f>IF('Eurostat EB TJ'!AJ51=":",0,'Eurostat EB TJ'!AJ51)</f>
        <v>0</v>
      </c>
      <c r="AL43" s="17">
        <f>IF('Eurostat EB TJ'!AK51=":",0,'Eurostat EB TJ'!AK51)</f>
        <v>0</v>
      </c>
      <c r="AM43" s="17">
        <f>IF('Eurostat EB TJ'!AL51=":",0,'Eurostat EB TJ'!AL51)</f>
        <v>0</v>
      </c>
      <c r="AN43" s="17">
        <f>IF('Eurostat EB TJ'!AM51=":",0,'Eurostat EB TJ'!AM51)</f>
        <v>0</v>
      </c>
      <c r="AO43" s="17">
        <f>IF('Eurostat EB TJ'!AN51=":",0,'Eurostat EB TJ'!AN51)</f>
        <v>0</v>
      </c>
      <c r="AP43" s="17">
        <f>IF('Eurostat EB TJ'!AO51=":",0,'Eurostat EB TJ'!AO51)</f>
        <v>0</v>
      </c>
      <c r="AQ43" s="17">
        <f>IF('Eurostat EB TJ'!AP51=":",0,'Eurostat EB TJ'!AP51)</f>
        <v>0</v>
      </c>
      <c r="AR43" s="17">
        <f>IF('Eurostat EB TJ'!AQ51=":",0,'Eurostat EB TJ'!AQ51)</f>
        <v>0</v>
      </c>
      <c r="AS43" s="17">
        <f>IF('Eurostat EB TJ'!AR51=":",0,'Eurostat EB TJ'!AR51)</f>
        <v>0</v>
      </c>
      <c r="AT43" s="17">
        <f>IF('Eurostat EB TJ'!AS51=":",0,'Eurostat EB TJ'!AS51)</f>
        <v>0</v>
      </c>
      <c r="AU43" s="17">
        <f>IF('Eurostat EB TJ'!AT51=":",0,'Eurostat EB TJ'!AT51)</f>
        <v>0</v>
      </c>
      <c r="AV43" s="17">
        <f>IF('Eurostat EB TJ'!AU51=":",0,'Eurostat EB TJ'!AU51)</f>
        <v>0</v>
      </c>
      <c r="AW43" s="17">
        <f>IF('Eurostat EB TJ'!AV51=":",0,'Eurostat EB TJ'!AV51)</f>
        <v>0</v>
      </c>
      <c r="AX43" s="17">
        <f>IF('Eurostat EB TJ'!AW51=":",0,'Eurostat EB TJ'!AW51)</f>
        <v>0</v>
      </c>
      <c r="AY43" s="17">
        <f>IF('Eurostat EB TJ'!AX51=":",0,'Eurostat EB TJ'!AX51)</f>
        <v>0</v>
      </c>
      <c r="AZ43" s="17">
        <f>IF('Eurostat EB TJ'!AY51=":",0,'Eurostat EB TJ'!AY51)</f>
        <v>0</v>
      </c>
      <c r="BA43" s="17">
        <f>IF('Eurostat EB TJ'!AZ51=":",0,'Eurostat EB TJ'!AZ51)</f>
        <v>0</v>
      </c>
      <c r="BB43" s="17">
        <f>IF('Eurostat EB TJ'!BA51=":",0,'Eurostat EB TJ'!BA51)</f>
        <v>0</v>
      </c>
      <c r="BC43" s="17">
        <f>IF('Eurostat EB TJ'!BB51=":",0,'Eurostat EB TJ'!BB51)</f>
        <v>0</v>
      </c>
      <c r="BD43" s="17">
        <f>IF('Eurostat EB TJ'!BC51=":",0,'Eurostat EB TJ'!BC51)</f>
        <v>0</v>
      </c>
      <c r="BE43" s="17">
        <f>IF('Eurostat EB TJ'!BD51=":",0,'Eurostat EB TJ'!BD51)</f>
        <v>0</v>
      </c>
      <c r="BF43" s="17">
        <f>IF('Eurostat EB TJ'!BE51=":",0,'Eurostat EB TJ'!BE51)</f>
        <v>0</v>
      </c>
      <c r="BG43" s="17">
        <f>IF('Eurostat EB TJ'!BF51=":",0,'Eurostat EB TJ'!BF51)</f>
        <v>0</v>
      </c>
      <c r="BH43" s="17">
        <f>IF('Eurostat EB TJ'!BG51=":",0,'Eurostat EB TJ'!BG51)</f>
        <v>0</v>
      </c>
      <c r="BI43" s="17">
        <f>IF('Eurostat EB TJ'!BH51=":",0,'Eurostat EB TJ'!BH51)</f>
        <v>0</v>
      </c>
      <c r="BJ43" s="17">
        <f>IF('Eurostat EB TJ'!BI51=":",0,'Eurostat EB TJ'!BI51)</f>
        <v>0</v>
      </c>
      <c r="BK43" s="17">
        <f>IF('Eurostat EB TJ'!BJ51=":",0,'Eurostat EB TJ'!BJ51)</f>
        <v>0</v>
      </c>
      <c r="BL43" s="17">
        <f>IF('Eurostat EB TJ'!BK51=":",0,'Eurostat EB TJ'!BK51)</f>
        <v>0</v>
      </c>
      <c r="BM43" s="17">
        <f>IF('Eurostat EB TJ'!BL51=":",0,'Eurostat EB TJ'!BL51)</f>
        <v>0</v>
      </c>
      <c r="BN43" s="17">
        <f>IF('Eurostat EB TJ'!BM51=":",0,'Eurostat EB TJ'!BM51)</f>
        <v>0</v>
      </c>
      <c r="BO43" s="17">
        <f>IF('Eurostat EB TJ'!BN51=":",0,'Eurostat EB TJ'!BN51)</f>
        <v>0</v>
      </c>
      <c r="BP43" s="17">
        <f>IF('Eurostat EB TJ'!BO51=":",0,'Eurostat EB TJ'!BO51)</f>
        <v>0</v>
      </c>
      <c r="BQ43" s="17">
        <f>IF('Eurostat EB TJ'!BP51=":",0,'Eurostat EB TJ'!BP51)</f>
        <v>0</v>
      </c>
      <c r="BR43" s="17">
        <f>IF('Eurostat EB TJ'!BQ51=":",0,'Eurostat EB TJ'!BQ51)</f>
        <v>0</v>
      </c>
      <c r="BS43" s="17">
        <f>IF('Eurostat EB TJ'!BR51=":",0,'Eurostat EB TJ'!BR51)</f>
        <v>0</v>
      </c>
      <c r="BT43" s="17">
        <f>IF('Eurostat EB TJ'!BS51=":",0,'Eurostat EB TJ'!BS51)</f>
        <v>0</v>
      </c>
      <c r="BU43" s="17">
        <f>IF('Eurostat EB TJ'!BT51=":",0,'Eurostat EB TJ'!BT51)</f>
        <v>0</v>
      </c>
      <c r="BV43" s="17">
        <f>IF('Eurostat EB TJ'!BU51=":",0,'Eurostat EB TJ'!BU51)</f>
        <v>0</v>
      </c>
    </row>
    <row r="44" spans="1:74" x14ac:dyDescent="0.2">
      <c r="A44" s="56" t="s">
        <v>227</v>
      </c>
      <c r="B44" s="57"/>
      <c r="C44" s="57">
        <f>IF('Eurostat EB TJ'!B52=":",0,'Eurostat EB TJ'!B52)</f>
        <v>0</v>
      </c>
      <c r="D44" s="57">
        <f>IF('Eurostat EB TJ'!C52=":",0,'Eurostat EB TJ'!C52)</f>
        <v>0</v>
      </c>
      <c r="E44" s="57">
        <f>IF('Eurostat EB TJ'!D52=":",0,'Eurostat EB TJ'!D52)</f>
        <v>0</v>
      </c>
      <c r="F44" s="57">
        <f>IF('Eurostat EB TJ'!E52=":",0,'Eurostat EB TJ'!E52)</f>
        <v>0</v>
      </c>
      <c r="G44" s="57">
        <f>IF('Eurostat EB TJ'!F52=":",0,'Eurostat EB TJ'!F52)</f>
        <v>0</v>
      </c>
      <c r="H44" s="57">
        <f>IF('Eurostat EB TJ'!G52=":",0,'Eurostat EB TJ'!G52)</f>
        <v>0</v>
      </c>
      <c r="I44" s="57">
        <f>IF('Eurostat EB TJ'!H52=":",0,'Eurostat EB TJ'!H52)</f>
        <v>0</v>
      </c>
      <c r="J44" s="57">
        <f>IF('Eurostat EB TJ'!I52=":",0,'Eurostat EB TJ'!I52)</f>
        <v>0</v>
      </c>
      <c r="K44" s="57">
        <f>IF('Eurostat EB TJ'!J52=":",0,'Eurostat EB TJ'!J52)</f>
        <v>0</v>
      </c>
      <c r="L44" s="57">
        <f>IF('Eurostat EB TJ'!K52=":",0,'Eurostat EB TJ'!K52)</f>
        <v>0</v>
      </c>
      <c r="M44" s="57">
        <f>IF('Eurostat EB TJ'!L52=":",0,'Eurostat EB TJ'!L52)</f>
        <v>0</v>
      </c>
      <c r="N44" s="57">
        <f>IF('Eurostat EB TJ'!M52=":",0,'Eurostat EB TJ'!M52)</f>
        <v>0</v>
      </c>
      <c r="O44" s="57">
        <f>IF('Eurostat EB TJ'!N52=":",0,'Eurostat EB TJ'!N52)</f>
        <v>0</v>
      </c>
      <c r="P44" s="57">
        <f>IF('Eurostat EB TJ'!O52=":",0,'Eurostat EB TJ'!O52)</f>
        <v>0</v>
      </c>
      <c r="Q44" s="57">
        <f>IF('Eurostat EB TJ'!P52=":",0,'Eurostat EB TJ'!P52)</f>
        <v>0</v>
      </c>
      <c r="R44" s="57">
        <f>IF('Eurostat EB TJ'!Q52=":",0,'Eurostat EB TJ'!Q52)</f>
        <v>0</v>
      </c>
      <c r="S44" s="57">
        <f>IF('Eurostat EB TJ'!R52=":",0,'Eurostat EB TJ'!R52)</f>
        <v>0</v>
      </c>
      <c r="T44" s="57">
        <f>IF('Eurostat EB TJ'!S52=":",0,'Eurostat EB TJ'!S52)</f>
        <v>0</v>
      </c>
      <c r="U44" s="57">
        <f>IF('Eurostat EB TJ'!T52=":",0,'Eurostat EB TJ'!T52)</f>
        <v>0</v>
      </c>
      <c r="V44" s="57">
        <f>IF('Eurostat EB TJ'!U52=":",0,'Eurostat EB TJ'!U52)</f>
        <v>0</v>
      </c>
      <c r="W44" s="57">
        <f>IF('Eurostat EB TJ'!V52=":",0,'Eurostat EB TJ'!V52)</f>
        <v>0</v>
      </c>
      <c r="X44" s="57">
        <f>IF('Eurostat EB TJ'!W52=":",0,'Eurostat EB TJ'!W52)</f>
        <v>0</v>
      </c>
      <c r="Y44" s="57">
        <f>IF('Eurostat EB TJ'!X52=":",0,'Eurostat EB TJ'!X52)</f>
        <v>0</v>
      </c>
      <c r="Z44" s="57">
        <f>IF('Eurostat EB TJ'!Y52=":",0,'Eurostat EB TJ'!Y52)</f>
        <v>0</v>
      </c>
      <c r="AA44" s="57">
        <f>IF('Eurostat EB TJ'!Z52=":",0,'Eurostat EB TJ'!Z52)</f>
        <v>0</v>
      </c>
      <c r="AB44" s="57">
        <f>IF('Eurostat EB TJ'!AA52=":",0,'Eurostat EB TJ'!AA52)</f>
        <v>0</v>
      </c>
      <c r="AC44" s="57">
        <f>IF('Eurostat EB TJ'!AB52=":",0,'Eurostat EB TJ'!AB52)</f>
        <v>0</v>
      </c>
      <c r="AD44" s="57">
        <f>IF('Eurostat EB TJ'!AC52=":",0,'Eurostat EB TJ'!AC52)</f>
        <v>0</v>
      </c>
      <c r="AE44" s="57">
        <f>IF('Eurostat EB TJ'!AD52=":",0,'Eurostat EB TJ'!AD52)</f>
        <v>0</v>
      </c>
      <c r="AF44" s="57">
        <f>IF('Eurostat EB TJ'!AE52=":",0,'Eurostat EB TJ'!AE52)</f>
        <v>0</v>
      </c>
      <c r="AG44" s="57">
        <f>IF('Eurostat EB TJ'!AF52=":",0,'Eurostat EB TJ'!AF52)</f>
        <v>0</v>
      </c>
      <c r="AH44" s="57">
        <f>IF('Eurostat EB TJ'!AG52=":",0,'Eurostat EB TJ'!AG52)</f>
        <v>0</v>
      </c>
      <c r="AI44" s="57">
        <f>IF('Eurostat EB TJ'!AH52=":",0,'Eurostat EB TJ'!AH52)</f>
        <v>0</v>
      </c>
      <c r="AJ44" s="57">
        <f>IF('Eurostat EB TJ'!AI52=":",0,'Eurostat EB TJ'!AI52)</f>
        <v>0</v>
      </c>
      <c r="AK44" s="57">
        <f>IF('Eurostat EB TJ'!AJ52=":",0,'Eurostat EB TJ'!AJ52)</f>
        <v>0</v>
      </c>
      <c r="AL44" s="57">
        <f>IF('Eurostat EB TJ'!AK52=":",0,'Eurostat EB TJ'!AK52)</f>
        <v>0</v>
      </c>
      <c r="AM44" s="57">
        <f>IF('Eurostat EB TJ'!AL52=":",0,'Eurostat EB TJ'!AL52)</f>
        <v>0</v>
      </c>
      <c r="AN44" s="57">
        <f>IF('Eurostat EB TJ'!AM52=":",0,'Eurostat EB TJ'!AM52)</f>
        <v>0</v>
      </c>
      <c r="AO44" s="57">
        <f>IF('Eurostat EB TJ'!AN52=":",0,'Eurostat EB TJ'!AN52)</f>
        <v>0</v>
      </c>
      <c r="AP44" s="57">
        <f>IF('Eurostat EB TJ'!AO52=":",0,'Eurostat EB TJ'!AO52)</f>
        <v>0</v>
      </c>
      <c r="AQ44" s="57">
        <f>IF('Eurostat EB TJ'!AP52=":",0,'Eurostat EB TJ'!AP52)</f>
        <v>0</v>
      </c>
      <c r="AR44" s="57">
        <f>IF('Eurostat EB TJ'!AQ52=":",0,'Eurostat EB TJ'!AQ52)</f>
        <v>0</v>
      </c>
      <c r="AS44" s="57">
        <f>IF('Eurostat EB TJ'!AR52=":",0,'Eurostat EB TJ'!AR52)</f>
        <v>0</v>
      </c>
      <c r="AT44" s="57">
        <f>IF('Eurostat EB TJ'!AS52=":",0,'Eurostat EB TJ'!AS52)</f>
        <v>0</v>
      </c>
      <c r="AU44" s="57">
        <f>IF('Eurostat EB TJ'!AT52=":",0,'Eurostat EB TJ'!AT52)</f>
        <v>0</v>
      </c>
      <c r="AV44" s="57">
        <f>IF('Eurostat EB TJ'!AU52=":",0,'Eurostat EB TJ'!AU52)</f>
        <v>0</v>
      </c>
      <c r="AW44" s="57">
        <f>IF('Eurostat EB TJ'!AV52=":",0,'Eurostat EB TJ'!AV52)</f>
        <v>0</v>
      </c>
      <c r="AX44" s="57">
        <f>IF('Eurostat EB TJ'!AW52=":",0,'Eurostat EB TJ'!AW52)</f>
        <v>0</v>
      </c>
      <c r="AY44" s="57">
        <f>IF('Eurostat EB TJ'!AX52=":",0,'Eurostat EB TJ'!AX52)</f>
        <v>0</v>
      </c>
      <c r="AZ44" s="57">
        <f>IF('Eurostat EB TJ'!AY52=":",0,'Eurostat EB TJ'!AY52)</f>
        <v>0</v>
      </c>
      <c r="BA44" s="57">
        <f>IF('Eurostat EB TJ'!AZ52=":",0,'Eurostat EB TJ'!AZ52)</f>
        <v>0</v>
      </c>
      <c r="BB44" s="57">
        <f>IF('Eurostat EB TJ'!BA52=":",0,'Eurostat EB TJ'!BA52)</f>
        <v>0</v>
      </c>
      <c r="BC44" s="57">
        <f>IF('Eurostat EB TJ'!BB52=":",0,'Eurostat EB TJ'!BB52)</f>
        <v>0</v>
      </c>
      <c r="BD44" s="57">
        <f>IF('Eurostat EB TJ'!BC52=":",0,'Eurostat EB TJ'!BC52)</f>
        <v>0</v>
      </c>
      <c r="BE44" s="57">
        <f>IF('Eurostat EB TJ'!BD52=":",0,'Eurostat EB TJ'!BD52)</f>
        <v>0</v>
      </c>
      <c r="BF44" s="57">
        <f>IF('Eurostat EB TJ'!BE52=":",0,'Eurostat EB TJ'!BE52)</f>
        <v>0</v>
      </c>
      <c r="BG44" s="57">
        <f>IF('Eurostat EB TJ'!BF52=":",0,'Eurostat EB TJ'!BF52)</f>
        <v>0</v>
      </c>
      <c r="BH44" s="57">
        <f>IF('Eurostat EB TJ'!BG52=":",0,'Eurostat EB TJ'!BG52)</f>
        <v>0</v>
      </c>
      <c r="BI44" s="57">
        <f>IF('Eurostat EB TJ'!BH52=":",0,'Eurostat EB TJ'!BH52)</f>
        <v>0</v>
      </c>
      <c r="BJ44" s="57">
        <f>IF('Eurostat EB TJ'!BI52=":",0,'Eurostat EB TJ'!BI52)</f>
        <v>0</v>
      </c>
      <c r="BK44" s="57">
        <f>IF('Eurostat EB TJ'!BJ52=":",0,'Eurostat EB TJ'!BJ52)</f>
        <v>0</v>
      </c>
      <c r="BL44" s="57">
        <f>IF('Eurostat EB TJ'!BK52=":",0,'Eurostat EB TJ'!BK52)</f>
        <v>0</v>
      </c>
      <c r="BM44" s="57">
        <f>IF('Eurostat EB TJ'!BL52=":",0,'Eurostat EB TJ'!BL52)</f>
        <v>0</v>
      </c>
      <c r="BN44" s="57">
        <f>IF('Eurostat EB TJ'!BM52=":",0,'Eurostat EB TJ'!BM52)</f>
        <v>0</v>
      </c>
      <c r="BO44" s="57">
        <f>IF('Eurostat EB TJ'!BN52=":",0,'Eurostat EB TJ'!BN52)</f>
        <v>0</v>
      </c>
      <c r="BP44" s="57">
        <f>IF('Eurostat EB TJ'!BO52=":",0,'Eurostat EB TJ'!BO52)</f>
        <v>0</v>
      </c>
      <c r="BQ44" s="57">
        <f>IF('Eurostat EB TJ'!BP52=":",0,'Eurostat EB TJ'!BP52)</f>
        <v>0</v>
      </c>
      <c r="BR44" s="57">
        <f>IF('Eurostat EB TJ'!BQ52=":",0,'Eurostat EB TJ'!BQ52)</f>
        <v>0</v>
      </c>
      <c r="BS44" s="57">
        <f>IF('Eurostat EB TJ'!BR52=":",0,'Eurostat EB TJ'!BR52)</f>
        <v>0</v>
      </c>
      <c r="BT44" s="57">
        <f>IF('Eurostat EB TJ'!BS52=":",0,'Eurostat EB TJ'!BS52)</f>
        <v>0</v>
      </c>
      <c r="BU44" s="57">
        <f>IF('Eurostat EB TJ'!BT52=":",0,'Eurostat EB TJ'!BT52)</f>
        <v>0</v>
      </c>
      <c r="BV44" s="57">
        <f>IF('Eurostat EB TJ'!BU52=":",0,'Eurostat EB TJ'!BU52)</f>
        <v>0</v>
      </c>
    </row>
    <row r="45" spans="1:74" x14ac:dyDescent="0.2">
      <c r="A45" s="56" t="s">
        <v>228</v>
      </c>
      <c r="B45" s="17"/>
      <c r="C45" s="17">
        <f>IF('Eurostat EB TJ'!B53=":",0,'Eurostat EB TJ'!B53)</f>
        <v>0</v>
      </c>
      <c r="D45" s="17">
        <f>IF('Eurostat EB TJ'!C53=":",0,'Eurostat EB TJ'!C53)</f>
        <v>0</v>
      </c>
      <c r="E45" s="17">
        <f>IF('Eurostat EB TJ'!D53=":",0,'Eurostat EB TJ'!D53)</f>
        <v>0</v>
      </c>
      <c r="F45" s="17">
        <f>IF('Eurostat EB TJ'!E53=":",0,'Eurostat EB TJ'!E53)</f>
        <v>0</v>
      </c>
      <c r="G45" s="17">
        <f>IF('Eurostat EB TJ'!F53=":",0,'Eurostat EB TJ'!F53)</f>
        <v>0</v>
      </c>
      <c r="H45" s="17">
        <f>IF('Eurostat EB TJ'!G53=":",0,'Eurostat EB TJ'!G53)</f>
        <v>0</v>
      </c>
      <c r="I45" s="17">
        <f>IF('Eurostat EB TJ'!H53=":",0,'Eurostat EB TJ'!H53)</f>
        <v>0</v>
      </c>
      <c r="J45" s="17">
        <f>IF('Eurostat EB TJ'!I53=":",0,'Eurostat EB TJ'!I53)</f>
        <v>0</v>
      </c>
      <c r="K45" s="17">
        <f>IF('Eurostat EB TJ'!J53=":",0,'Eurostat EB TJ'!J53)</f>
        <v>0</v>
      </c>
      <c r="L45" s="17">
        <f>IF('Eurostat EB TJ'!K53=":",0,'Eurostat EB TJ'!K53)</f>
        <v>0</v>
      </c>
      <c r="M45" s="17">
        <f>IF('Eurostat EB TJ'!L53=":",0,'Eurostat EB TJ'!L53)</f>
        <v>0</v>
      </c>
      <c r="N45" s="17">
        <f>IF('Eurostat EB TJ'!M53=":",0,'Eurostat EB TJ'!M53)</f>
        <v>0</v>
      </c>
      <c r="O45" s="17">
        <f>IF('Eurostat EB TJ'!N53=":",0,'Eurostat EB TJ'!N53)</f>
        <v>0</v>
      </c>
      <c r="P45" s="17">
        <f>IF('Eurostat EB TJ'!O53=":",0,'Eurostat EB TJ'!O53)</f>
        <v>0</v>
      </c>
      <c r="Q45" s="17">
        <f>IF('Eurostat EB TJ'!P53=":",0,'Eurostat EB TJ'!P53)</f>
        <v>0</v>
      </c>
      <c r="R45" s="17">
        <f>IF('Eurostat EB TJ'!Q53=":",0,'Eurostat EB TJ'!Q53)</f>
        <v>0</v>
      </c>
      <c r="S45" s="17">
        <f>IF('Eurostat EB TJ'!R53=":",0,'Eurostat EB TJ'!R53)</f>
        <v>0</v>
      </c>
      <c r="T45" s="17">
        <f>IF('Eurostat EB TJ'!S53=":",0,'Eurostat EB TJ'!S53)</f>
        <v>0</v>
      </c>
      <c r="U45" s="17">
        <f>IF('Eurostat EB TJ'!T53=":",0,'Eurostat EB TJ'!T53)</f>
        <v>0</v>
      </c>
      <c r="V45" s="17">
        <f>IF('Eurostat EB TJ'!U53=":",0,'Eurostat EB TJ'!U53)</f>
        <v>0</v>
      </c>
      <c r="W45" s="17">
        <f>IF('Eurostat EB TJ'!V53=":",0,'Eurostat EB TJ'!V53)</f>
        <v>0</v>
      </c>
      <c r="X45" s="17">
        <f>IF('Eurostat EB TJ'!W53=":",0,'Eurostat EB TJ'!W53)</f>
        <v>0</v>
      </c>
      <c r="Y45" s="17">
        <f>IF('Eurostat EB TJ'!X53=":",0,'Eurostat EB TJ'!X53)</f>
        <v>0</v>
      </c>
      <c r="Z45" s="17">
        <f>IF('Eurostat EB TJ'!Y53=":",0,'Eurostat EB TJ'!Y53)</f>
        <v>0</v>
      </c>
      <c r="AA45" s="17">
        <f>IF('Eurostat EB TJ'!Z53=":",0,'Eurostat EB TJ'!Z53)</f>
        <v>0</v>
      </c>
      <c r="AB45" s="17">
        <f>IF('Eurostat EB TJ'!AA53=":",0,'Eurostat EB TJ'!AA53)</f>
        <v>0</v>
      </c>
      <c r="AC45" s="17">
        <f>IF('Eurostat EB TJ'!AB53=":",0,'Eurostat EB TJ'!AB53)</f>
        <v>0</v>
      </c>
      <c r="AD45" s="17">
        <f>IF('Eurostat EB TJ'!AC53=":",0,'Eurostat EB TJ'!AC53)</f>
        <v>0</v>
      </c>
      <c r="AE45" s="17">
        <f>IF('Eurostat EB TJ'!AD53=":",0,'Eurostat EB TJ'!AD53)</f>
        <v>0</v>
      </c>
      <c r="AF45" s="17">
        <f>IF('Eurostat EB TJ'!AE53=":",0,'Eurostat EB TJ'!AE53)</f>
        <v>0</v>
      </c>
      <c r="AG45" s="17">
        <f>IF('Eurostat EB TJ'!AF53=":",0,'Eurostat EB TJ'!AF53)</f>
        <v>0</v>
      </c>
      <c r="AH45" s="17">
        <f>IF('Eurostat EB TJ'!AG53=":",0,'Eurostat EB TJ'!AG53)</f>
        <v>0</v>
      </c>
      <c r="AI45" s="17">
        <f>IF('Eurostat EB TJ'!AH53=":",0,'Eurostat EB TJ'!AH53)</f>
        <v>0</v>
      </c>
      <c r="AJ45" s="17">
        <f>IF('Eurostat EB TJ'!AI53=":",0,'Eurostat EB TJ'!AI53)</f>
        <v>0</v>
      </c>
      <c r="AK45" s="17">
        <f>IF('Eurostat EB TJ'!AJ53=":",0,'Eurostat EB TJ'!AJ53)</f>
        <v>0</v>
      </c>
      <c r="AL45" s="17">
        <f>IF('Eurostat EB TJ'!AK53=":",0,'Eurostat EB TJ'!AK53)</f>
        <v>0</v>
      </c>
      <c r="AM45" s="17">
        <f>IF('Eurostat EB TJ'!AL53=":",0,'Eurostat EB TJ'!AL53)</f>
        <v>0</v>
      </c>
      <c r="AN45" s="17">
        <f>IF('Eurostat EB TJ'!AM53=":",0,'Eurostat EB TJ'!AM53)</f>
        <v>0</v>
      </c>
      <c r="AO45" s="17">
        <f>IF('Eurostat EB TJ'!AN53=":",0,'Eurostat EB TJ'!AN53)</f>
        <v>0</v>
      </c>
      <c r="AP45" s="17">
        <f>IF('Eurostat EB TJ'!AO53=":",0,'Eurostat EB TJ'!AO53)</f>
        <v>0</v>
      </c>
      <c r="AQ45" s="17">
        <f>IF('Eurostat EB TJ'!AP53=":",0,'Eurostat EB TJ'!AP53)</f>
        <v>0</v>
      </c>
      <c r="AR45" s="17">
        <f>IF('Eurostat EB TJ'!AQ53=":",0,'Eurostat EB TJ'!AQ53)</f>
        <v>0</v>
      </c>
      <c r="AS45" s="17">
        <f>IF('Eurostat EB TJ'!AR53=":",0,'Eurostat EB TJ'!AR53)</f>
        <v>0</v>
      </c>
      <c r="AT45" s="17">
        <f>IF('Eurostat EB TJ'!AS53=":",0,'Eurostat EB TJ'!AS53)</f>
        <v>0</v>
      </c>
      <c r="AU45" s="17">
        <f>IF('Eurostat EB TJ'!AT53=":",0,'Eurostat EB TJ'!AT53)</f>
        <v>0</v>
      </c>
      <c r="AV45" s="17">
        <f>IF('Eurostat EB TJ'!AU53=":",0,'Eurostat EB TJ'!AU53)</f>
        <v>0</v>
      </c>
      <c r="AW45" s="17">
        <f>IF('Eurostat EB TJ'!AV53=":",0,'Eurostat EB TJ'!AV53)</f>
        <v>0</v>
      </c>
      <c r="AX45" s="17">
        <f>IF('Eurostat EB TJ'!AW53=":",0,'Eurostat EB TJ'!AW53)</f>
        <v>0</v>
      </c>
      <c r="AY45" s="17">
        <f>IF('Eurostat EB TJ'!AX53=":",0,'Eurostat EB TJ'!AX53)</f>
        <v>0</v>
      </c>
      <c r="AZ45" s="17">
        <f>IF('Eurostat EB TJ'!AY53=":",0,'Eurostat EB TJ'!AY53)</f>
        <v>0</v>
      </c>
      <c r="BA45" s="17">
        <f>IF('Eurostat EB TJ'!AZ53=":",0,'Eurostat EB TJ'!AZ53)</f>
        <v>0</v>
      </c>
      <c r="BB45" s="17">
        <f>IF('Eurostat EB TJ'!BA53=":",0,'Eurostat EB TJ'!BA53)</f>
        <v>0</v>
      </c>
      <c r="BC45" s="17">
        <f>IF('Eurostat EB TJ'!BB53=":",0,'Eurostat EB TJ'!BB53)</f>
        <v>0</v>
      </c>
      <c r="BD45" s="17">
        <f>IF('Eurostat EB TJ'!BC53=":",0,'Eurostat EB TJ'!BC53)</f>
        <v>0</v>
      </c>
      <c r="BE45" s="17">
        <f>IF('Eurostat EB TJ'!BD53=":",0,'Eurostat EB TJ'!BD53)</f>
        <v>0</v>
      </c>
      <c r="BF45" s="17">
        <f>IF('Eurostat EB TJ'!BE53=":",0,'Eurostat EB TJ'!BE53)</f>
        <v>0</v>
      </c>
      <c r="BG45" s="17">
        <f>IF('Eurostat EB TJ'!BF53=":",0,'Eurostat EB TJ'!BF53)</f>
        <v>0</v>
      </c>
      <c r="BH45" s="17">
        <f>IF('Eurostat EB TJ'!BG53=":",0,'Eurostat EB TJ'!BG53)</f>
        <v>0</v>
      </c>
      <c r="BI45" s="17">
        <f>IF('Eurostat EB TJ'!BH53=":",0,'Eurostat EB TJ'!BH53)</f>
        <v>0</v>
      </c>
      <c r="BJ45" s="17">
        <f>IF('Eurostat EB TJ'!BI53=":",0,'Eurostat EB TJ'!BI53)</f>
        <v>0</v>
      </c>
      <c r="BK45" s="17">
        <f>IF('Eurostat EB TJ'!BJ53=":",0,'Eurostat EB TJ'!BJ53)</f>
        <v>0</v>
      </c>
      <c r="BL45" s="17">
        <f>IF('Eurostat EB TJ'!BK53=":",0,'Eurostat EB TJ'!BK53)</f>
        <v>0</v>
      </c>
      <c r="BM45" s="17">
        <f>IF('Eurostat EB TJ'!BL53=":",0,'Eurostat EB TJ'!BL53)</f>
        <v>0</v>
      </c>
      <c r="BN45" s="17">
        <f>IF('Eurostat EB TJ'!BM53=":",0,'Eurostat EB TJ'!BM53)</f>
        <v>0</v>
      </c>
      <c r="BO45" s="17">
        <f>IF('Eurostat EB TJ'!BN53=":",0,'Eurostat EB TJ'!BN53)</f>
        <v>0</v>
      </c>
      <c r="BP45" s="17">
        <f>IF('Eurostat EB TJ'!BO53=":",0,'Eurostat EB TJ'!BO53)</f>
        <v>0</v>
      </c>
      <c r="BQ45" s="17">
        <f>IF('Eurostat EB TJ'!BP53=":",0,'Eurostat EB TJ'!BP53)</f>
        <v>0</v>
      </c>
      <c r="BR45" s="17">
        <f>IF('Eurostat EB TJ'!BQ53=":",0,'Eurostat EB TJ'!BQ53)</f>
        <v>0</v>
      </c>
      <c r="BS45" s="17">
        <f>IF('Eurostat EB TJ'!BR53=":",0,'Eurostat EB TJ'!BR53)</f>
        <v>0</v>
      </c>
      <c r="BT45" s="17">
        <f>IF('Eurostat EB TJ'!BS53=":",0,'Eurostat EB TJ'!BS53)</f>
        <v>0</v>
      </c>
      <c r="BU45" s="17">
        <f>IF('Eurostat EB TJ'!BT53=":",0,'Eurostat EB TJ'!BT53)</f>
        <v>0</v>
      </c>
      <c r="BV45" s="17">
        <f>IF('Eurostat EB TJ'!BU53=":",0,'Eurostat EB TJ'!BU53)</f>
        <v>0</v>
      </c>
    </row>
    <row r="46" spans="1:74" x14ac:dyDescent="0.2">
      <c r="A46" s="56" t="s">
        <v>391</v>
      </c>
      <c r="B46" s="57"/>
      <c r="C46" s="57">
        <f>IF('Eurostat EB TJ'!B54=":",0,'Eurostat EB TJ'!B54)</f>
        <v>11332.406000000001</v>
      </c>
      <c r="D46" s="57">
        <f>IF('Eurostat EB TJ'!C54=":",0,'Eurostat EB TJ'!C54)</f>
        <v>0</v>
      </c>
      <c r="E46" s="57">
        <f>IF('Eurostat EB TJ'!D54=":",0,'Eurostat EB TJ'!D54)</f>
        <v>0</v>
      </c>
      <c r="F46" s="57">
        <f>IF('Eurostat EB TJ'!E54=":",0,'Eurostat EB TJ'!E54)</f>
        <v>0</v>
      </c>
      <c r="G46" s="57">
        <f>IF('Eurostat EB TJ'!F54=":",0,'Eurostat EB TJ'!F54)</f>
        <v>0</v>
      </c>
      <c r="H46" s="57">
        <f>IF('Eurostat EB TJ'!G54=":",0,'Eurostat EB TJ'!G54)</f>
        <v>0</v>
      </c>
      <c r="I46" s="57">
        <f>IF('Eurostat EB TJ'!H54=":",0,'Eurostat EB TJ'!H54)</f>
        <v>0</v>
      </c>
      <c r="J46" s="57">
        <f>IF('Eurostat EB TJ'!I54=":",0,'Eurostat EB TJ'!I54)</f>
        <v>0</v>
      </c>
      <c r="K46" s="57">
        <f>IF('Eurostat EB TJ'!J54=":",0,'Eurostat EB TJ'!J54)</f>
        <v>0</v>
      </c>
      <c r="L46" s="57">
        <f>IF('Eurostat EB TJ'!K54=":",0,'Eurostat EB TJ'!K54)</f>
        <v>0</v>
      </c>
      <c r="M46" s="57">
        <f>IF('Eurostat EB TJ'!L54=":",0,'Eurostat EB TJ'!L54)</f>
        <v>0</v>
      </c>
      <c r="N46" s="57">
        <f>IF('Eurostat EB TJ'!M54=":",0,'Eurostat EB TJ'!M54)</f>
        <v>0</v>
      </c>
      <c r="O46" s="57">
        <f>IF('Eurostat EB TJ'!N54=":",0,'Eurostat EB TJ'!N54)</f>
        <v>0</v>
      </c>
      <c r="P46" s="57">
        <f>IF('Eurostat EB TJ'!O54=":",0,'Eurostat EB TJ'!O54)</f>
        <v>0</v>
      </c>
      <c r="Q46" s="57">
        <f>IF('Eurostat EB TJ'!P54=":",0,'Eurostat EB TJ'!P54)</f>
        <v>0</v>
      </c>
      <c r="R46" s="57">
        <f>IF('Eurostat EB TJ'!Q54=":",0,'Eurostat EB TJ'!Q54)</f>
        <v>0</v>
      </c>
      <c r="S46" s="57">
        <f>IF('Eurostat EB TJ'!R54=":",0,'Eurostat EB TJ'!R54)</f>
        <v>0</v>
      </c>
      <c r="T46" s="57">
        <f>IF('Eurostat EB TJ'!S54=":",0,'Eurostat EB TJ'!S54)</f>
        <v>0</v>
      </c>
      <c r="U46" s="57">
        <f>IF('Eurostat EB TJ'!T54=":",0,'Eurostat EB TJ'!T54)</f>
        <v>0</v>
      </c>
      <c r="V46" s="57">
        <f>IF('Eurostat EB TJ'!U54=":",0,'Eurostat EB TJ'!U54)</f>
        <v>0</v>
      </c>
      <c r="W46" s="57">
        <f>IF('Eurostat EB TJ'!V54=":",0,'Eurostat EB TJ'!V54)</f>
        <v>0</v>
      </c>
      <c r="X46" s="57">
        <f>IF('Eurostat EB TJ'!W54=":",0,'Eurostat EB TJ'!W54)</f>
        <v>0</v>
      </c>
      <c r="Y46" s="57">
        <f>IF('Eurostat EB TJ'!X54=":",0,'Eurostat EB TJ'!X54)</f>
        <v>1614.182</v>
      </c>
      <c r="Z46" s="57">
        <f>IF('Eurostat EB TJ'!Y54=":",0,'Eurostat EB TJ'!Y54)</f>
        <v>0</v>
      </c>
      <c r="AA46" s="57">
        <f>IF('Eurostat EB TJ'!Z54=":",0,'Eurostat EB TJ'!Z54)</f>
        <v>0</v>
      </c>
      <c r="AB46" s="57">
        <f>IF('Eurostat EB TJ'!AA54=":",0,'Eurostat EB TJ'!AA54)</f>
        <v>0</v>
      </c>
      <c r="AC46" s="57">
        <f>IF('Eurostat EB TJ'!AB54=":",0,'Eurostat EB TJ'!AB54)</f>
        <v>0</v>
      </c>
      <c r="AD46" s="57">
        <f>IF('Eurostat EB TJ'!AC54=":",0,'Eurostat EB TJ'!AC54)</f>
        <v>0</v>
      </c>
      <c r="AE46" s="57">
        <f>IF('Eurostat EB TJ'!AD54=":",0,'Eurostat EB TJ'!AD54)</f>
        <v>1614.182</v>
      </c>
      <c r="AF46" s="57">
        <f>IF('Eurostat EB TJ'!AE54=":",0,'Eurostat EB TJ'!AE54)</f>
        <v>0</v>
      </c>
      <c r="AG46" s="57">
        <f>IF('Eurostat EB TJ'!AF54=":",0,'Eurostat EB TJ'!AF54)</f>
        <v>0</v>
      </c>
      <c r="AH46" s="57">
        <f>IF('Eurostat EB TJ'!AG54=":",0,'Eurostat EB TJ'!AG54)</f>
        <v>0</v>
      </c>
      <c r="AI46" s="57">
        <f>IF('Eurostat EB TJ'!AH54=":",0,'Eurostat EB TJ'!AH54)</f>
        <v>0</v>
      </c>
      <c r="AJ46" s="57">
        <f>IF('Eurostat EB TJ'!AI54=":",0,'Eurostat EB TJ'!AI54)</f>
        <v>0</v>
      </c>
      <c r="AK46" s="57">
        <f>IF('Eurostat EB TJ'!AJ54=":",0,'Eurostat EB TJ'!AJ54)</f>
        <v>0</v>
      </c>
      <c r="AL46" s="57">
        <f>IF('Eurostat EB TJ'!AK54=":",0,'Eurostat EB TJ'!AK54)</f>
        <v>0</v>
      </c>
      <c r="AM46" s="57">
        <f>IF('Eurostat EB TJ'!AL54=":",0,'Eurostat EB TJ'!AL54)</f>
        <v>0</v>
      </c>
      <c r="AN46" s="57">
        <f>IF('Eurostat EB TJ'!AM54=":",0,'Eurostat EB TJ'!AM54)</f>
        <v>0</v>
      </c>
      <c r="AO46" s="57">
        <f>IF('Eurostat EB TJ'!AN54=":",0,'Eurostat EB TJ'!AN54)</f>
        <v>0</v>
      </c>
      <c r="AP46" s="57">
        <f>IF('Eurostat EB TJ'!AO54=":",0,'Eurostat EB TJ'!AO54)</f>
        <v>0</v>
      </c>
      <c r="AQ46" s="57">
        <f>IF('Eurostat EB TJ'!AP54=":",0,'Eurostat EB TJ'!AP54)</f>
        <v>0</v>
      </c>
      <c r="AR46" s="57">
        <f>IF('Eurostat EB TJ'!AQ54=":",0,'Eurostat EB TJ'!AQ54)</f>
        <v>0</v>
      </c>
      <c r="AS46" s="57">
        <f>IF('Eurostat EB TJ'!AR54=":",0,'Eurostat EB TJ'!AR54)</f>
        <v>0</v>
      </c>
      <c r="AT46" s="57">
        <f>IF('Eurostat EB TJ'!AS54=":",0,'Eurostat EB TJ'!AS54)</f>
        <v>0</v>
      </c>
      <c r="AU46" s="57">
        <f>IF('Eurostat EB TJ'!AT54=":",0,'Eurostat EB TJ'!AT54)</f>
        <v>0</v>
      </c>
      <c r="AV46" s="57">
        <f>IF('Eurostat EB TJ'!AU54=":",0,'Eurostat EB TJ'!AU54)</f>
        <v>9718.2240000000002</v>
      </c>
      <c r="AW46" s="57">
        <f>IF('Eurostat EB TJ'!AV54=":",0,'Eurostat EB TJ'!AV54)</f>
        <v>0</v>
      </c>
      <c r="AX46" s="57">
        <f>IF('Eurostat EB TJ'!AW54=":",0,'Eurostat EB TJ'!AW54)</f>
        <v>0</v>
      </c>
      <c r="AY46" s="57">
        <f>IF('Eurostat EB TJ'!AX54=":",0,'Eurostat EB TJ'!AX54)</f>
        <v>0</v>
      </c>
      <c r="AZ46" s="57">
        <f>IF('Eurostat EB TJ'!AY54=":",0,'Eurostat EB TJ'!AY54)</f>
        <v>0</v>
      </c>
      <c r="BA46" s="57">
        <f>IF('Eurostat EB TJ'!AZ54=":",0,'Eurostat EB TJ'!AZ54)</f>
        <v>0</v>
      </c>
      <c r="BB46" s="57">
        <f>IF('Eurostat EB TJ'!BA54=":",0,'Eurostat EB TJ'!BA54)</f>
        <v>0</v>
      </c>
      <c r="BC46" s="57">
        <f>IF('Eurostat EB TJ'!BB54=":",0,'Eurostat EB TJ'!BB54)</f>
        <v>0</v>
      </c>
      <c r="BD46" s="57">
        <f>IF('Eurostat EB TJ'!BC54=":",0,'Eurostat EB TJ'!BC54)</f>
        <v>0</v>
      </c>
      <c r="BE46" s="57">
        <f>IF('Eurostat EB TJ'!BD54=":",0,'Eurostat EB TJ'!BD54)</f>
        <v>0</v>
      </c>
      <c r="BF46" s="57">
        <f>IF('Eurostat EB TJ'!BE54=":",0,'Eurostat EB TJ'!BE54)</f>
        <v>0</v>
      </c>
      <c r="BG46" s="57">
        <f>IF('Eurostat EB TJ'!BF54=":",0,'Eurostat EB TJ'!BF54)</f>
        <v>0</v>
      </c>
      <c r="BH46" s="57">
        <f>IF('Eurostat EB TJ'!BG54=":",0,'Eurostat EB TJ'!BG54)</f>
        <v>0</v>
      </c>
      <c r="BI46" s="57">
        <f>IF('Eurostat EB TJ'!BH54=":",0,'Eurostat EB TJ'!BH54)</f>
        <v>0</v>
      </c>
      <c r="BJ46" s="57">
        <f>IF('Eurostat EB TJ'!BI54=":",0,'Eurostat EB TJ'!BI54)</f>
        <v>0</v>
      </c>
      <c r="BK46" s="57">
        <f>IF('Eurostat EB TJ'!BJ54=":",0,'Eurostat EB TJ'!BJ54)</f>
        <v>0</v>
      </c>
      <c r="BL46" s="57">
        <f>IF('Eurostat EB TJ'!BK54=":",0,'Eurostat EB TJ'!BK54)</f>
        <v>0</v>
      </c>
      <c r="BM46" s="57">
        <f>IF('Eurostat EB TJ'!BL54=":",0,'Eurostat EB TJ'!BL54)</f>
        <v>9718.2240000000002</v>
      </c>
      <c r="BN46" s="57">
        <f>IF('Eurostat EB TJ'!BM54=":",0,'Eurostat EB TJ'!BM54)</f>
        <v>0</v>
      </c>
      <c r="BO46" s="57">
        <f>IF('Eurostat EB TJ'!BN54=":",0,'Eurostat EB TJ'!BN54)</f>
        <v>0</v>
      </c>
      <c r="BP46" s="57">
        <f>IF('Eurostat EB TJ'!BO54=":",0,'Eurostat EB TJ'!BO54)</f>
        <v>0</v>
      </c>
      <c r="BQ46" s="57">
        <f>IF('Eurostat EB TJ'!BP54=":",0,'Eurostat EB TJ'!BP54)</f>
        <v>0</v>
      </c>
      <c r="BR46" s="57">
        <f>IF('Eurostat EB TJ'!BQ54=":",0,'Eurostat EB TJ'!BQ54)</f>
        <v>0</v>
      </c>
      <c r="BS46" s="57">
        <f>IF('Eurostat EB TJ'!BR54=":",0,'Eurostat EB TJ'!BR54)</f>
        <v>0</v>
      </c>
      <c r="BT46" s="57">
        <f>IF('Eurostat EB TJ'!BS54=":",0,'Eurostat EB TJ'!BS54)</f>
        <v>0</v>
      </c>
      <c r="BU46" s="57">
        <f>IF('Eurostat EB TJ'!BT54=":",0,'Eurostat EB TJ'!BT54)</f>
        <v>9718.2240000000002</v>
      </c>
      <c r="BV46" s="57">
        <f>IF('Eurostat EB TJ'!BU54=":",0,'Eurostat EB TJ'!BU54)</f>
        <v>1614.182</v>
      </c>
    </row>
    <row r="47" spans="1:74" x14ac:dyDescent="0.2">
      <c r="A47" s="56" t="s">
        <v>229</v>
      </c>
      <c r="B47" s="17"/>
      <c r="C47" s="17">
        <f>IF('Eurostat EB TJ'!B55=":",0,'Eurostat EB TJ'!B55)</f>
        <v>46880.120999999999</v>
      </c>
      <c r="D47" s="17">
        <f>IF('Eurostat EB TJ'!C55=":",0,'Eurostat EB TJ'!C55)</f>
        <v>0</v>
      </c>
      <c r="E47" s="17">
        <f>IF('Eurostat EB TJ'!D55=":",0,'Eurostat EB TJ'!D55)</f>
        <v>0</v>
      </c>
      <c r="F47" s="17">
        <f>IF('Eurostat EB TJ'!E55=":",0,'Eurostat EB TJ'!E55)</f>
        <v>0</v>
      </c>
      <c r="G47" s="17">
        <f>IF('Eurostat EB TJ'!F55=":",0,'Eurostat EB TJ'!F55)</f>
        <v>0</v>
      </c>
      <c r="H47" s="17">
        <f>IF('Eurostat EB TJ'!G55=":",0,'Eurostat EB TJ'!G55)</f>
        <v>0</v>
      </c>
      <c r="I47" s="17">
        <f>IF('Eurostat EB TJ'!H55=":",0,'Eurostat EB TJ'!H55)</f>
        <v>0</v>
      </c>
      <c r="J47" s="17">
        <f>IF('Eurostat EB TJ'!I55=":",0,'Eurostat EB TJ'!I55)</f>
        <v>0</v>
      </c>
      <c r="K47" s="17">
        <f>IF('Eurostat EB TJ'!J55=":",0,'Eurostat EB TJ'!J55)</f>
        <v>0</v>
      </c>
      <c r="L47" s="17">
        <f>IF('Eurostat EB TJ'!K55=":",0,'Eurostat EB TJ'!K55)</f>
        <v>0</v>
      </c>
      <c r="M47" s="17">
        <f>IF('Eurostat EB TJ'!L55=":",0,'Eurostat EB TJ'!L55)</f>
        <v>0</v>
      </c>
      <c r="N47" s="17">
        <f>IF('Eurostat EB TJ'!M55=":",0,'Eurostat EB TJ'!M55)</f>
        <v>0</v>
      </c>
      <c r="O47" s="17">
        <f>IF('Eurostat EB TJ'!N55=":",0,'Eurostat EB TJ'!N55)</f>
        <v>0</v>
      </c>
      <c r="P47" s="17">
        <f>IF('Eurostat EB TJ'!O55=":",0,'Eurostat EB TJ'!O55)</f>
        <v>0</v>
      </c>
      <c r="Q47" s="17">
        <f>IF('Eurostat EB TJ'!P55=":",0,'Eurostat EB TJ'!P55)</f>
        <v>0</v>
      </c>
      <c r="R47" s="17">
        <f>IF('Eurostat EB TJ'!Q55=":",0,'Eurostat EB TJ'!Q55)</f>
        <v>0</v>
      </c>
      <c r="S47" s="17">
        <f>IF('Eurostat EB TJ'!R55=":",0,'Eurostat EB TJ'!R55)</f>
        <v>0</v>
      </c>
      <c r="T47" s="17">
        <f>IF('Eurostat EB TJ'!S55=":",0,'Eurostat EB TJ'!S55)</f>
        <v>0</v>
      </c>
      <c r="U47" s="17">
        <f>IF('Eurostat EB TJ'!T55=":",0,'Eurostat EB TJ'!T55)</f>
        <v>0</v>
      </c>
      <c r="V47" s="17">
        <f>IF('Eurostat EB TJ'!U55=":",0,'Eurostat EB TJ'!U55)</f>
        <v>0</v>
      </c>
      <c r="W47" s="17">
        <f>IF('Eurostat EB TJ'!V55=":",0,'Eurostat EB TJ'!V55)</f>
        <v>0</v>
      </c>
      <c r="X47" s="17">
        <f>IF('Eurostat EB TJ'!W55=":",0,'Eurostat EB TJ'!W55)</f>
        <v>0</v>
      </c>
      <c r="Y47" s="17">
        <f>IF('Eurostat EB TJ'!X55=":",0,'Eurostat EB TJ'!X55)</f>
        <v>0</v>
      </c>
      <c r="Z47" s="17">
        <f>IF('Eurostat EB TJ'!Y55=":",0,'Eurostat EB TJ'!Y55)</f>
        <v>0</v>
      </c>
      <c r="AA47" s="17">
        <f>IF('Eurostat EB TJ'!Z55=":",0,'Eurostat EB TJ'!Z55)</f>
        <v>0</v>
      </c>
      <c r="AB47" s="17">
        <f>IF('Eurostat EB TJ'!AA55=":",0,'Eurostat EB TJ'!AA55)</f>
        <v>0</v>
      </c>
      <c r="AC47" s="17">
        <f>IF('Eurostat EB TJ'!AB55=":",0,'Eurostat EB TJ'!AB55)</f>
        <v>0</v>
      </c>
      <c r="AD47" s="17">
        <f>IF('Eurostat EB TJ'!AC55=":",0,'Eurostat EB TJ'!AC55)</f>
        <v>0</v>
      </c>
      <c r="AE47" s="17">
        <f>IF('Eurostat EB TJ'!AD55=":",0,'Eurostat EB TJ'!AD55)</f>
        <v>0</v>
      </c>
      <c r="AF47" s="17">
        <f>IF('Eurostat EB TJ'!AE55=":",0,'Eurostat EB TJ'!AE55)</f>
        <v>0</v>
      </c>
      <c r="AG47" s="17">
        <f>IF('Eurostat EB TJ'!AF55=":",0,'Eurostat EB TJ'!AF55)</f>
        <v>0</v>
      </c>
      <c r="AH47" s="17">
        <f>IF('Eurostat EB TJ'!AG55=":",0,'Eurostat EB TJ'!AG55)</f>
        <v>0</v>
      </c>
      <c r="AI47" s="17">
        <f>IF('Eurostat EB TJ'!AH55=":",0,'Eurostat EB TJ'!AH55)</f>
        <v>0</v>
      </c>
      <c r="AJ47" s="17">
        <f>IF('Eurostat EB TJ'!AI55=":",0,'Eurostat EB TJ'!AI55)</f>
        <v>0</v>
      </c>
      <c r="AK47" s="17">
        <f>IF('Eurostat EB TJ'!AJ55=":",0,'Eurostat EB TJ'!AJ55)</f>
        <v>0</v>
      </c>
      <c r="AL47" s="17">
        <f>IF('Eurostat EB TJ'!AK55=":",0,'Eurostat EB TJ'!AK55)</f>
        <v>0</v>
      </c>
      <c r="AM47" s="17">
        <f>IF('Eurostat EB TJ'!AL55=":",0,'Eurostat EB TJ'!AL55)</f>
        <v>0</v>
      </c>
      <c r="AN47" s="17">
        <f>IF('Eurostat EB TJ'!AM55=":",0,'Eurostat EB TJ'!AM55)</f>
        <v>0</v>
      </c>
      <c r="AO47" s="17">
        <f>IF('Eurostat EB TJ'!AN55=":",0,'Eurostat EB TJ'!AN55)</f>
        <v>0</v>
      </c>
      <c r="AP47" s="17">
        <f>IF('Eurostat EB TJ'!AO55=":",0,'Eurostat EB TJ'!AO55)</f>
        <v>0</v>
      </c>
      <c r="AQ47" s="17">
        <f>IF('Eurostat EB TJ'!AP55=":",0,'Eurostat EB TJ'!AP55)</f>
        <v>0</v>
      </c>
      <c r="AR47" s="17">
        <f>IF('Eurostat EB TJ'!AQ55=":",0,'Eurostat EB TJ'!AQ55)</f>
        <v>0</v>
      </c>
      <c r="AS47" s="17">
        <f>IF('Eurostat EB TJ'!AR55=":",0,'Eurostat EB TJ'!AR55)</f>
        <v>0</v>
      </c>
      <c r="AT47" s="17">
        <f>IF('Eurostat EB TJ'!AS55=":",0,'Eurostat EB TJ'!AS55)</f>
        <v>0</v>
      </c>
      <c r="AU47" s="17">
        <f>IF('Eurostat EB TJ'!AT55=":",0,'Eurostat EB TJ'!AT55)</f>
        <v>0</v>
      </c>
      <c r="AV47" s="17">
        <f>IF('Eurostat EB TJ'!AU55=":",0,'Eurostat EB TJ'!AU55)</f>
        <v>46880.120999999999</v>
      </c>
      <c r="AW47" s="17">
        <f>IF('Eurostat EB TJ'!AV55=":",0,'Eurostat EB TJ'!AV55)</f>
        <v>0</v>
      </c>
      <c r="AX47" s="17">
        <f>IF('Eurostat EB TJ'!AW55=":",0,'Eurostat EB TJ'!AW55)</f>
        <v>0</v>
      </c>
      <c r="AY47" s="17">
        <f>IF('Eurostat EB TJ'!AX55=":",0,'Eurostat EB TJ'!AX55)</f>
        <v>0</v>
      </c>
      <c r="AZ47" s="17">
        <f>IF('Eurostat EB TJ'!AY55=":",0,'Eurostat EB TJ'!AY55)</f>
        <v>0</v>
      </c>
      <c r="BA47" s="17">
        <f>IF('Eurostat EB TJ'!AZ55=":",0,'Eurostat EB TJ'!AZ55)</f>
        <v>0</v>
      </c>
      <c r="BB47" s="17">
        <f>IF('Eurostat EB TJ'!BA55=":",0,'Eurostat EB TJ'!BA55)</f>
        <v>0</v>
      </c>
      <c r="BC47" s="17">
        <f>IF('Eurostat EB TJ'!BB55=":",0,'Eurostat EB TJ'!BB55)</f>
        <v>0</v>
      </c>
      <c r="BD47" s="17">
        <f>IF('Eurostat EB TJ'!BC55=":",0,'Eurostat EB TJ'!BC55)</f>
        <v>0</v>
      </c>
      <c r="BE47" s="17">
        <f>IF('Eurostat EB TJ'!BD55=":",0,'Eurostat EB TJ'!BD55)</f>
        <v>0</v>
      </c>
      <c r="BF47" s="17">
        <f>IF('Eurostat EB TJ'!BE55=":",0,'Eurostat EB TJ'!BE55)</f>
        <v>14734.195</v>
      </c>
      <c r="BG47" s="17">
        <f>IF('Eurostat EB TJ'!BF55=":",0,'Eurostat EB TJ'!BF55)</f>
        <v>0</v>
      </c>
      <c r="BH47" s="17">
        <f>IF('Eurostat EB TJ'!BG55=":",0,'Eurostat EB TJ'!BG55)</f>
        <v>32145.925999999999</v>
      </c>
      <c r="BI47" s="17">
        <f>IF('Eurostat EB TJ'!BH55=":",0,'Eurostat EB TJ'!BH55)</f>
        <v>0</v>
      </c>
      <c r="BJ47" s="17">
        <f>IF('Eurostat EB TJ'!BI55=":",0,'Eurostat EB TJ'!BI55)</f>
        <v>0</v>
      </c>
      <c r="BK47" s="17">
        <f>IF('Eurostat EB TJ'!BJ55=":",0,'Eurostat EB TJ'!BJ55)</f>
        <v>0</v>
      </c>
      <c r="BL47" s="17">
        <f>IF('Eurostat EB TJ'!BK55=":",0,'Eurostat EB TJ'!BK55)</f>
        <v>0</v>
      </c>
      <c r="BM47" s="17">
        <f>IF('Eurostat EB TJ'!BL55=":",0,'Eurostat EB TJ'!BL55)</f>
        <v>0</v>
      </c>
      <c r="BN47" s="17">
        <f>IF('Eurostat EB TJ'!BM55=":",0,'Eurostat EB TJ'!BM55)</f>
        <v>0</v>
      </c>
      <c r="BO47" s="17">
        <f>IF('Eurostat EB TJ'!BN55=":",0,'Eurostat EB TJ'!BN55)</f>
        <v>0</v>
      </c>
      <c r="BP47" s="17">
        <f>IF('Eurostat EB TJ'!BO55=":",0,'Eurostat EB TJ'!BO55)</f>
        <v>0</v>
      </c>
      <c r="BQ47" s="17">
        <f>IF('Eurostat EB TJ'!BP55=":",0,'Eurostat EB TJ'!BP55)</f>
        <v>0</v>
      </c>
      <c r="BR47" s="17">
        <f>IF('Eurostat EB TJ'!BQ55=":",0,'Eurostat EB TJ'!BQ55)</f>
        <v>0</v>
      </c>
      <c r="BS47" s="17">
        <f>IF('Eurostat EB TJ'!BR55=":",0,'Eurostat EB TJ'!BR55)</f>
        <v>0</v>
      </c>
      <c r="BT47" s="17">
        <f>IF('Eurostat EB TJ'!BS55=":",0,'Eurostat EB TJ'!BS55)</f>
        <v>0</v>
      </c>
      <c r="BU47" s="17">
        <f>IF('Eurostat EB TJ'!BT55=":",0,'Eurostat EB TJ'!BT55)</f>
        <v>46880.120999999999</v>
      </c>
      <c r="BV47" s="17">
        <f>IF('Eurostat EB TJ'!BU55=":",0,'Eurostat EB TJ'!BU55)</f>
        <v>0</v>
      </c>
    </row>
    <row r="48" spans="1:74" x14ac:dyDescent="0.2">
      <c r="A48" s="56" t="s">
        <v>230</v>
      </c>
      <c r="B48" s="57"/>
      <c r="C48" s="57">
        <f>IF('Eurostat EB TJ'!B56=":",0,'Eurostat EB TJ'!B56)</f>
        <v>0</v>
      </c>
      <c r="D48" s="57">
        <f>IF('Eurostat EB TJ'!C56=":",0,'Eurostat EB TJ'!C56)</f>
        <v>0</v>
      </c>
      <c r="E48" s="57">
        <f>IF('Eurostat EB TJ'!D56=":",0,'Eurostat EB TJ'!D56)</f>
        <v>0</v>
      </c>
      <c r="F48" s="57">
        <f>IF('Eurostat EB TJ'!E56=":",0,'Eurostat EB TJ'!E56)</f>
        <v>0</v>
      </c>
      <c r="G48" s="57">
        <f>IF('Eurostat EB TJ'!F56=":",0,'Eurostat EB TJ'!F56)</f>
        <v>0</v>
      </c>
      <c r="H48" s="57">
        <f>IF('Eurostat EB TJ'!G56=":",0,'Eurostat EB TJ'!G56)</f>
        <v>0</v>
      </c>
      <c r="I48" s="57">
        <f>IF('Eurostat EB TJ'!H56=":",0,'Eurostat EB TJ'!H56)</f>
        <v>0</v>
      </c>
      <c r="J48" s="57">
        <f>IF('Eurostat EB TJ'!I56=":",0,'Eurostat EB TJ'!I56)</f>
        <v>0</v>
      </c>
      <c r="K48" s="57">
        <f>IF('Eurostat EB TJ'!J56=":",0,'Eurostat EB TJ'!J56)</f>
        <v>0</v>
      </c>
      <c r="L48" s="57">
        <f>IF('Eurostat EB TJ'!K56=":",0,'Eurostat EB TJ'!K56)</f>
        <v>0</v>
      </c>
      <c r="M48" s="57">
        <f>IF('Eurostat EB TJ'!L56=":",0,'Eurostat EB TJ'!L56)</f>
        <v>0</v>
      </c>
      <c r="N48" s="57">
        <f>IF('Eurostat EB TJ'!M56=":",0,'Eurostat EB TJ'!M56)</f>
        <v>0</v>
      </c>
      <c r="O48" s="57">
        <f>IF('Eurostat EB TJ'!N56=":",0,'Eurostat EB TJ'!N56)</f>
        <v>0</v>
      </c>
      <c r="P48" s="57">
        <f>IF('Eurostat EB TJ'!O56=":",0,'Eurostat EB TJ'!O56)</f>
        <v>0</v>
      </c>
      <c r="Q48" s="57">
        <f>IF('Eurostat EB TJ'!P56=":",0,'Eurostat EB TJ'!P56)</f>
        <v>0</v>
      </c>
      <c r="R48" s="57">
        <f>IF('Eurostat EB TJ'!Q56=":",0,'Eurostat EB TJ'!Q56)</f>
        <v>0</v>
      </c>
      <c r="S48" s="57">
        <f>IF('Eurostat EB TJ'!R56=":",0,'Eurostat EB TJ'!R56)</f>
        <v>0</v>
      </c>
      <c r="T48" s="57">
        <f>IF('Eurostat EB TJ'!S56=":",0,'Eurostat EB TJ'!S56)</f>
        <v>0</v>
      </c>
      <c r="U48" s="57">
        <f>IF('Eurostat EB TJ'!T56=":",0,'Eurostat EB TJ'!T56)</f>
        <v>0</v>
      </c>
      <c r="V48" s="57">
        <f>IF('Eurostat EB TJ'!U56=":",0,'Eurostat EB TJ'!U56)</f>
        <v>0</v>
      </c>
      <c r="W48" s="57">
        <f>IF('Eurostat EB TJ'!V56=":",0,'Eurostat EB TJ'!V56)</f>
        <v>0</v>
      </c>
      <c r="X48" s="57">
        <f>IF('Eurostat EB TJ'!W56=":",0,'Eurostat EB TJ'!W56)</f>
        <v>0</v>
      </c>
      <c r="Y48" s="57">
        <f>IF('Eurostat EB TJ'!X56=":",0,'Eurostat EB TJ'!X56)</f>
        <v>0</v>
      </c>
      <c r="Z48" s="57">
        <f>IF('Eurostat EB TJ'!Y56=":",0,'Eurostat EB TJ'!Y56)</f>
        <v>0</v>
      </c>
      <c r="AA48" s="57">
        <f>IF('Eurostat EB TJ'!Z56=":",0,'Eurostat EB TJ'!Z56)</f>
        <v>0</v>
      </c>
      <c r="AB48" s="57">
        <f>IF('Eurostat EB TJ'!AA56=":",0,'Eurostat EB TJ'!AA56)</f>
        <v>0</v>
      </c>
      <c r="AC48" s="57">
        <f>IF('Eurostat EB TJ'!AB56=":",0,'Eurostat EB TJ'!AB56)</f>
        <v>0</v>
      </c>
      <c r="AD48" s="57">
        <f>IF('Eurostat EB TJ'!AC56=":",0,'Eurostat EB TJ'!AC56)</f>
        <v>0</v>
      </c>
      <c r="AE48" s="57">
        <f>IF('Eurostat EB TJ'!AD56=":",0,'Eurostat EB TJ'!AD56)</f>
        <v>0</v>
      </c>
      <c r="AF48" s="57">
        <f>IF('Eurostat EB TJ'!AE56=":",0,'Eurostat EB TJ'!AE56)</f>
        <v>0</v>
      </c>
      <c r="AG48" s="57">
        <f>IF('Eurostat EB TJ'!AF56=":",0,'Eurostat EB TJ'!AF56)</f>
        <v>0</v>
      </c>
      <c r="AH48" s="57">
        <f>IF('Eurostat EB TJ'!AG56=":",0,'Eurostat EB TJ'!AG56)</f>
        <v>0</v>
      </c>
      <c r="AI48" s="57">
        <f>IF('Eurostat EB TJ'!AH56=":",0,'Eurostat EB TJ'!AH56)</f>
        <v>0</v>
      </c>
      <c r="AJ48" s="57">
        <f>IF('Eurostat EB TJ'!AI56=":",0,'Eurostat EB TJ'!AI56)</f>
        <v>0</v>
      </c>
      <c r="AK48" s="57">
        <f>IF('Eurostat EB TJ'!AJ56=":",0,'Eurostat EB TJ'!AJ56)</f>
        <v>0</v>
      </c>
      <c r="AL48" s="57">
        <f>IF('Eurostat EB TJ'!AK56=":",0,'Eurostat EB TJ'!AK56)</f>
        <v>0</v>
      </c>
      <c r="AM48" s="57">
        <f>IF('Eurostat EB TJ'!AL56=":",0,'Eurostat EB TJ'!AL56)</f>
        <v>0</v>
      </c>
      <c r="AN48" s="57">
        <f>IF('Eurostat EB TJ'!AM56=":",0,'Eurostat EB TJ'!AM56)</f>
        <v>0</v>
      </c>
      <c r="AO48" s="57">
        <f>IF('Eurostat EB TJ'!AN56=":",0,'Eurostat EB TJ'!AN56)</f>
        <v>0</v>
      </c>
      <c r="AP48" s="57">
        <f>IF('Eurostat EB TJ'!AO56=":",0,'Eurostat EB TJ'!AO56)</f>
        <v>0</v>
      </c>
      <c r="AQ48" s="57">
        <f>IF('Eurostat EB TJ'!AP56=":",0,'Eurostat EB TJ'!AP56)</f>
        <v>0</v>
      </c>
      <c r="AR48" s="57">
        <f>IF('Eurostat EB TJ'!AQ56=":",0,'Eurostat EB TJ'!AQ56)</f>
        <v>0</v>
      </c>
      <c r="AS48" s="57">
        <f>IF('Eurostat EB TJ'!AR56=":",0,'Eurostat EB TJ'!AR56)</f>
        <v>0</v>
      </c>
      <c r="AT48" s="57">
        <f>IF('Eurostat EB TJ'!AS56=":",0,'Eurostat EB TJ'!AS56)</f>
        <v>0</v>
      </c>
      <c r="AU48" s="57">
        <f>IF('Eurostat EB TJ'!AT56=":",0,'Eurostat EB TJ'!AT56)</f>
        <v>0</v>
      </c>
      <c r="AV48" s="57">
        <f>IF('Eurostat EB TJ'!AU56=":",0,'Eurostat EB TJ'!AU56)</f>
        <v>0</v>
      </c>
      <c r="AW48" s="57">
        <f>IF('Eurostat EB TJ'!AV56=":",0,'Eurostat EB TJ'!AV56)</f>
        <v>0</v>
      </c>
      <c r="AX48" s="57">
        <f>IF('Eurostat EB TJ'!AW56=":",0,'Eurostat EB TJ'!AW56)</f>
        <v>0</v>
      </c>
      <c r="AY48" s="57">
        <f>IF('Eurostat EB TJ'!AX56=":",0,'Eurostat EB TJ'!AX56)</f>
        <v>0</v>
      </c>
      <c r="AZ48" s="57">
        <f>IF('Eurostat EB TJ'!AY56=":",0,'Eurostat EB TJ'!AY56)</f>
        <v>0</v>
      </c>
      <c r="BA48" s="57">
        <f>IF('Eurostat EB TJ'!AZ56=":",0,'Eurostat EB TJ'!AZ56)</f>
        <v>0</v>
      </c>
      <c r="BB48" s="57">
        <f>IF('Eurostat EB TJ'!BA56=":",0,'Eurostat EB TJ'!BA56)</f>
        <v>0</v>
      </c>
      <c r="BC48" s="57">
        <f>IF('Eurostat EB TJ'!BB56=":",0,'Eurostat EB TJ'!BB56)</f>
        <v>0</v>
      </c>
      <c r="BD48" s="57">
        <f>IF('Eurostat EB TJ'!BC56=":",0,'Eurostat EB TJ'!BC56)</f>
        <v>0</v>
      </c>
      <c r="BE48" s="57">
        <f>IF('Eurostat EB TJ'!BD56=":",0,'Eurostat EB TJ'!BD56)</f>
        <v>0</v>
      </c>
      <c r="BF48" s="57">
        <f>IF('Eurostat EB TJ'!BE56=":",0,'Eurostat EB TJ'!BE56)</f>
        <v>0</v>
      </c>
      <c r="BG48" s="57">
        <f>IF('Eurostat EB TJ'!BF56=":",0,'Eurostat EB TJ'!BF56)</f>
        <v>0</v>
      </c>
      <c r="BH48" s="57">
        <f>IF('Eurostat EB TJ'!BG56=":",0,'Eurostat EB TJ'!BG56)</f>
        <v>0</v>
      </c>
      <c r="BI48" s="57">
        <f>IF('Eurostat EB TJ'!BH56=":",0,'Eurostat EB TJ'!BH56)</f>
        <v>0</v>
      </c>
      <c r="BJ48" s="57">
        <f>IF('Eurostat EB TJ'!BI56=":",0,'Eurostat EB TJ'!BI56)</f>
        <v>0</v>
      </c>
      <c r="BK48" s="57">
        <f>IF('Eurostat EB TJ'!BJ56=":",0,'Eurostat EB TJ'!BJ56)</f>
        <v>0</v>
      </c>
      <c r="BL48" s="57">
        <f>IF('Eurostat EB TJ'!BK56=":",0,'Eurostat EB TJ'!BK56)</f>
        <v>0</v>
      </c>
      <c r="BM48" s="57">
        <f>IF('Eurostat EB TJ'!BL56=":",0,'Eurostat EB TJ'!BL56)</f>
        <v>0</v>
      </c>
      <c r="BN48" s="57">
        <f>IF('Eurostat EB TJ'!BM56=":",0,'Eurostat EB TJ'!BM56)</f>
        <v>0</v>
      </c>
      <c r="BO48" s="57">
        <f>IF('Eurostat EB TJ'!BN56=":",0,'Eurostat EB TJ'!BN56)</f>
        <v>0</v>
      </c>
      <c r="BP48" s="57">
        <f>IF('Eurostat EB TJ'!BO56=":",0,'Eurostat EB TJ'!BO56)</f>
        <v>0</v>
      </c>
      <c r="BQ48" s="57">
        <f>IF('Eurostat EB TJ'!BP56=":",0,'Eurostat EB TJ'!BP56)</f>
        <v>0</v>
      </c>
      <c r="BR48" s="57">
        <f>IF('Eurostat EB TJ'!BQ56=":",0,'Eurostat EB TJ'!BQ56)</f>
        <v>0</v>
      </c>
      <c r="BS48" s="57">
        <f>IF('Eurostat EB TJ'!BR56=":",0,'Eurostat EB TJ'!BR56)</f>
        <v>0</v>
      </c>
      <c r="BT48" s="57">
        <f>IF('Eurostat EB TJ'!BS56=":",0,'Eurostat EB TJ'!BS56)</f>
        <v>0</v>
      </c>
      <c r="BU48" s="57">
        <f>IF('Eurostat EB TJ'!BT56=":",0,'Eurostat EB TJ'!BT56)</f>
        <v>0</v>
      </c>
      <c r="BV48" s="57">
        <f>IF('Eurostat EB TJ'!BU56=":",0,'Eurostat EB TJ'!BU56)</f>
        <v>0</v>
      </c>
    </row>
    <row r="49" spans="1:74" x14ac:dyDescent="0.2">
      <c r="A49" s="56" t="s">
        <v>231</v>
      </c>
      <c r="B49" s="17"/>
      <c r="C49" s="17">
        <f>IF('Eurostat EB TJ'!B57=":",0,'Eurostat EB TJ'!B57)</f>
        <v>0</v>
      </c>
      <c r="D49" s="17">
        <f>IF('Eurostat EB TJ'!C57=":",0,'Eurostat EB TJ'!C57)</f>
        <v>0</v>
      </c>
      <c r="E49" s="17">
        <f>IF('Eurostat EB TJ'!D57=":",0,'Eurostat EB TJ'!D57)</f>
        <v>0</v>
      </c>
      <c r="F49" s="17">
        <f>IF('Eurostat EB TJ'!E57=":",0,'Eurostat EB TJ'!E57)</f>
        <v>0</v>
      </c>
      <c r="G49" s="17">
        <f>IF('Eurostat EB TJ'!F57=":",0,'Eurostat EB TJ'!F57)</f>
        <v>0</v>
      </c>
      <c r="H49" s="17">
        <f>IF('Eurostat EB TJ'!G57=":",0,'Eurostat EB TJ'!G57)</f>
        <v>0</v>
      </c>
      <c r="I49" s="17">
        <f>IF('Eurostat EB TJ'!H57=":",0,'Eurostat EB TJ'!H57)</f>
        <v>0</v>
      </c>
      <c r="J49" s="17">
        <f>IF('Eurostat EB TJ'!I57=":",0,'Eurostat EB TJ'!I57)</f>
        <v>0</v>
      </c>
      <c r="K49" s="17">
        <f>IF('Eurostat EB TJ'!J57=":",0,'Eurostat EB TJ'!J57)</f>
        <v>0</v>
      </c>
      <c r="L49" s="17">
        <f>IF('Eurostat EB TJ'!K57=":",0,'Eurostat EB TJ'!K57)</f>
        <v>0</v>
      </c>
      <c r="M49" s="17">
        <f>IF('Eurostat EB TJ'!L57=":",0,'Eurostat EB TJ'!L57)</f>
        <v>0</v>
      </c>
      <c r="N49" s="17">
        <f>IF('Eurostat EB TJ'!M57=":",0,'Eurostat EB TJ'!M57)</f>
        <v>0</v>
      </c>
      <c r="O49" s="17">
        <f>IF('Eurostat EB TJ'!N57=":",0,'Eurostat EB TJ'!N57)</f>
        <v>0</v>
      </c>
      <c r="P49" s="17">
        <f>IF('Eurostat EB TJ'!O57=":",0,'Eurostat EB TJ'!O57)</f>
        <v>0</v>
      </c>
      <c r="Q49" s="17">
        <f>IF('Eurostat EB TJ'!P57=":",0,'Eurostat EB TJ'!P57)</f>
        <v>0</v>
      </c>
      <c r="R49" s="17">
        <f>IF('Eurostat EB TJ'!Q57=":",0,'Eurostat EB TJ'!Q57)</f>
        <v>0</v>
      </c>
      <c r="S49" s="17">
        <f>IF('Eurostat EB TJ'!R57=":",0,'Eurostat EB TJ'!R57)</f>
        <v>0</v>
      </c>
      <c r="T49" s="17">
        <f>IF('Eurostat EB TJ'!S57=":",0,'Eurostat EB TJ'!S57)</f>
        <v>0</v>
      </c>
      <c r="U49" s="17">
        <f>IF('Eurostat EB TJ'!T57=":",0,'Eurostat EB TJ'!T57)</f>
        <v>0</v>
      </c>
      <c r="V49" s="17">
        <f>IF('Eurostat EB TJ'!U57=":",0,'Eurostat EB TJ'!U57)</f>
        <v>0</v>
      </c>
      <c r="W49" s="17">
        <f>IF('Eurostat EB TJ'!V57=":",0,'Eurostat EB TJ'!V57)</f>
        <v>0</v>
      </c>
      <c r="X49" s="17">
        <f>IF('Eurostat EB TJ'!W57=":",0,'Eurostat EB TJ'!W57)</f>
        <v>0</v>
      </c>
      <c r="Y49" s="17">
        <f>IF('Eurostat EB TJ'!X57=":",0,'Eurostat EB TJ'!X57)</f>
        <v>0</v>
      </c>
      <c r="Z49" s="17">
        <f>IF('Eurostat EB TJ'!Y57=":",0,'Eurostat EB TJ'!Y57)</f>
        <v>0</v>
      </c>
      <c r="AA49" s="17">
        <f>IF('Eurostat EB TJ'!Z57=":",0,'Eurostat EB TJ'!Z57)</f>
        <v>0</v>
      </c>
      <c r="AB49" s="17">
        <f>IF('Eurostat EB TJ'!AA57=":",0,'Eurostat EB TJ'!AA57)</f>
        <v>0</v>
      </c>
      <c r="AC49" s="17">
        <f>IF('Eurostat EB TJ'!AB57=":",0,'Eurostat EB TJ'!AB57)</f>
        <v>0</v>
      </c>
      <c r="AD49" s="17">
        <f>IF('Eurostat EB TJ'!AC57=":",0,'Eurostat EB TJ'!AC57)</f>
        <v>0</v>
      </c>
      <c r="AE49" s="17">
        <f>IF('Eurostat EB TJ'!AD57=":",0,'Eurostat EB TJ'!AD57)</f>
        <v>0</v>
      </c>
      <c r="AF49" s="17">
        <f>IF('Eurostat EB TJ'!AE57=":",0,'Eurostat EB TJ'!AE57)</f>
        <v>0</v>
      </c>
      <c r="AG49" s="17">
        <f>IF('Eurostat EB TJ'!AF57=":",0,'Eurostat EB TJ'!AF57)</f>
        <v>0</v>
      </c>
      <c r="AH49" s="17">
        <f>IF('Eurostat EB TJ'!AG57=":",0,'Eurostat EB TJ'!AG57)</f>
        <v>0</v>
      </c>
      <c r="AI49" s="17">
        <f>IF('Eurostat EB TJ'!AH57=":",0,'Eurostat EB TJ'!AH57)</f>
        <v>0</v>
      </c>
      <c r="AJ49" s="17">
        <f>IF('Eurostat EB TJ'!AI57=":",0,'Eurostat EB TJ'!AI57)</f>
        <v>0</v>
      </c>
      <c r="AK49" s="17">
        <f>IF('Eurostat EB TJ'!AJ57=":",0,'Eurostat EB TJ'!AJ57)</f>
        <v>0</v>
      </c>
      <c r="AL49" s="17">
        <f>IF('Eurostat EB TJ'!AK57=":",0,'Eurostat EB TJ'!AK57)</f>
        <v>0</v>
      </c>
      <c r="AM49" s="17">
        <f>IF('Eurostat EB TJ'!AL57=":",0,'Eurostat EB TJ'!AL57)</f>
        <v>0</v>
      </c>
      <c r="AN49" s="17">
        <f>IF('Eurostat EB TJ'!AM57=":",0,'Eurostat EB TJ'!AM57)</f>
        <v>0</v>
      </c>
      <c r="AO49" s="17">
        <f>IF('Eurostat EB TJ'!AN57=":",0,'Eurostat EB TJ'!AN57)</f>
        <v>0</v>
      </c>
      <c r="AP49" s="17">
        <f>IF('Eurostat EB TJ'!AO57=":",0,'Eurostat EB TJ'!AO57)</f>
        <v>0</v>
      </c>
      <c r="AQ49" s="17">
        <f>IF('Eurostat EB TJ'!AP57=":",0,'Eurostat EB TJ'!AP57)</f>
        <v>0</v>
      </c>
      <c r="AR49" s="17">
        <f>IF('Eurostat EB TJ'!AQ57=":",0,'Eurostat EB TJ'!AQ57)</f>
        <v>0</v>
      </c>
      <c r="AS49" s="17">
        <f>IF('Eurostat EB TJ'!AR57=":",0,'Eurostat EB TJ'!AR57)</f>
        <v>0</v>
      </c>
      <c r="AT49" s="17">
        <f>IF('Eurostat EB TJ'!AS57=":",0,'Eurostat EB TJ'!AS57)</f>
        <v>0</v>
      </c>
      <c r="AU49" s="17">
        <f>IF('Eurostat EB TJ'!AT57=":",0,'Eurostat EB TJ'!AT57)</f>
        <v>0</v>
      </c>
      <c r="AV49" s="17">
        <f>IF('Eurostat EB TJ'!AU57=":",0,'Eurostat EB TJ'!AU57)</f>
        <v>0</v>
      </c>
      <c r="AW49" s="17">
        <f>IF('Eurostat EB TJ'!AV57=":",0,'Eurostat EB TJ'!AV57)</f>
        <v>0</v>
      </c>
      <c r="AX49" s="17">
        <f>IF('Eurostat EB TJ'!AW57=":",0,'Eurostat EB TJ'!AW57)</f>
        <v>0</v>
      </c>
      <c r="AY49" s="17">
        <f>IF('Eurostat EB TJ'!AX57=":",0,'Eurostat EB TJ'!AX57)</f>
        <v>0</v>
      </c>
      <c r="AZ49" s="17">
        <f>IF('Eurostat EB TJ'!AY57=":",0,'Eurostat EB TJ'!AY57)</f>
        <v>0</v>
      </c>
      <c r="BA49" s="17">
        <f>IF('Eurostat EB TJ'!AZ57=":",0,'Eurostat EB TJ'!AZ57)</f>
        <v>0</v>
      </c>
      <c r="BB49" s="17">
        <f>IF('Eurostat EB TJ'!BA57=":",0,'Eurostat EB TJ'!BA57)</f>
        <v>0</v>
      </c>
      <c r="BC49" s="17">
        <f>IF('Eurostat EB TJ'!BB57=":",0,'Eurostat EB TJ'!BB57)</f>
        <v>0</v>
      </c>
      <c r="BD49" s="17">
        <f>IF('Eurostat EB TJ'!BC57=":",0,'Eurostat EB TJ'!BC57)</f>
        <v>0</v>
      </c>
      <c r="BE49" s="17">
        <f>IF('Eurostat EB TJ'!BD57=":",0,'Eurostat EB TJ'!BD57)</f>
        <v>0</v>
      </c>
      <c r="BF49" s="17">
        <f>IF('Eurostat EB TJ'!BE57=":",0,'Eurostat EB TJ'!BE57)</f>
        <v>0</v>
      </c>
      <c r="BG49" s="17">
        <f>IF('Eurostat EB TJ'!BF57=":",0,'Eurostat EB TJ'!BF57)</f>
        <v>0</v>
      </c>
      <c r="BH49" s="17">
        <f>IF('Eurostat EB TJ'!BG57=":",0,'Eurostat EB TJ'!BG57)</f>
        <v>0</v>
      </c>
      <c r="BI49" s="17">
        <f>IF('Eurostat EB TJ'!BH57=":",0,'Eurostat EB TJ'!BH57)</f>
        <v>0</v>
      </c>
      <c r="BJ49" s="17">
        <f>IF('Eurostat EB TJ'!BI57=":",0,'Eurostat EB TJ'!BI57)</f>
        <v>0</v>
      </c>
      <c r="BK49" s="17">
        <f>IF('Eurostat EB TJ'!BJ57=":",0,'Eurostat EB TJ'!BJ57)</f>
        <v>0</v>
      </c>
      <c r="BL49" s="17">
        <f>IF('Eurostat EB TJ'!BK57=":",0,'Eurostat EB TJ'!BK57)</f>
        <v>0</v>
      </c>
      <c r="BM49" s="17">
        <f>IF('Eurostat EB TJ'!BL57=":",0,'Eurostat EB TJ'!BL57)</f>
        <v>0</v>
      </c>
      <c r="BN49" s="17">
        <f>IF('Eurostat EB TJ'!BM57=":",0,'Eurostat EB TJ'!BM57)</f>
        <v>0</v>
      </c>
      <c r="BO49" s="17">
        <f>IF('Eurostat EB TJ'!BN57=":",0,'Eurostat EB TJ'!BN57)</f>
        <v>0</v>
      </c>
      <c r="BP49" s="17">
        <f>IF('Eurostat EB TJ'!BO57=":",0,'Eurostat EB TJ'!BO57)</f>
        <v>0</v>
      </c>
      <c r="BQ49" s="17">
        <f>IF('Eurostat EB TJ'!BP57=":",0,'Eurostat EB TJ'!BP57)</f>
        <v>0</v>
      </c>
      <c r="BR49" s="17">
        <f>IF('Eurostat EB TJ'!BQ57=":",0,'Eurostat EB TJ'!BQ57)</f>
        <v>0</v>
      </c>
      <c r="BS49" s="17">
        <f>IF('Eurostat EB TJ'!BR57=":",0,'Eurostat EB TJ'!BR57)</f>
        <v>0</v>
      </c>
      <c r="BT49" s="17">
        <f>IF('Eurostat EB TJ'!BS57=":",0,'Eurostat EB TJ'!BS57)</f>
        <v>0</v>
      </c>
      <c r="BU49" s="17">
        <f>IF('Eurostat EB TJ'!BT57=":",0,'Eurostat EB TJ'!BT57)</f>
        <v>0</v>
      </c>
      <c r="BV49" s="17">
        <f>IF('Eurostat EB TJ'!BU57=":",0,'Eurostat EB TJ'!BU57)</f>
        <v>0</v>
      </c>
    </row>
    <row r="50" spans="1:74" x14ac:dyDescent="0.2">
      <c r="A50" s="56" t="s">
        <v>232</v>
      </c>
      <c r="B50" s="57"/>
      <c r="C50" s="57">
        <f>IF('Eurostat EB TJ'!B58=":",0,'Eurostat EB TJ'!B58)</f>
        <v>0</v>
      </c>
      <c r="D50" s="57">
        <f>IF('Eurostat EB TJ'!C58=":",0,'Eurostat EB TJ'!C58)</f>
        <v>0</v>
      </c>
      <c r="E50" s="57">
        <f>IF('Eurostat EB TJ'!D58=":",0,'Eurostat EB TJ'!D58)</f>
        <v>0</v>
      </c>
      <c r="F50" s="57">
        <f>IF('Eurostat EB TJ'!E58=":",0,'Eurostat EB TJ'!E58)</f>
        <v>0</v>
      </c>
      <c r="G50" s="57">
        <f>IF('Eurostat EB TJ'!F58=":",0,'Eurostat EB TJ'!F58)</f>
        <v>0</v>
      </c>
      <c r="H50" s="57">
        <f>IF('Eurostat EB TJ'!G58=":",0,'Eurostat EB TJ'!G58)</f>
        <v>0</v>
      </c>
      <c r="I50" s="57">
        <f>IF('Eurostat EB TJ'!H58=":",0,'Eurostat EB TJ'!H58)</f>
        <v>0</v>
      </c>
      <c r="J50" s="57">
        <f>IF('Eurostat EB TJ'!I58=":",0,'Eurostat EB TJ'!I58)</f>
        <v>0</v>
      </c>
      <c r="K50" s="57">
        <f>IF('Eurostat EB TJ'!J58=":",0,'Eurostat EB TJ'!J58)</f>
        <v>0</v>
      </c>
      <c r="L50" s="57">
        <f>IF('Eurostat EB TJ'!K58=":",0,'Eurostat EB TJ'!K58)</f>
        <v>0</v>
      </c>
      <c r="M50" s="57">
        <f>IF('Eurostat EB TJ'!L58=":",0,'Eurostat EB TJ'!L58)</f>
        <v>0</v>
      </c>
      <c r="N50" s="57">
        <f>IF('Eurostat EB TJ'!M58=":",0,'Eurostat EB TJ'!M58)</f>
        <v>0</v>
      </c>
      <c r="O50" s="57">
        <f>IF('Eurostat EB TJ'!N58=":",0,'Eurostat EB TJ'!N58)</f>
        <v>0</v>
      </c>
      <c r="P50" s="57">
        <f>IF('Eurostat EB TJ'!O58=":",0,'Eurostat EB TJ'!O58)</f>
        <v>0</v>
      </c>
      <c r="Q50" s="57">
        <f>IF('Eurostat EB TJ'!P58=":",0,'Eurostat EB TJ'!P58)</f>
        <v>0</v>
      </c>
      <c r="R50" s="57">
        <f>IF('Eurostat EB TJ'!Q58=":",0,'Eurostat EB TJ'!Q58)</f>
        <v>0</v>
      </c>
      <c r="S50" s="57">
        <f>IF('Eurostat EB TJ'!R58=":",0,'Eurostat EB TJ'!R58)</f>
        <v>0</v>
      </c>
      <c r="T50" s="57">
        <f>IF('Eurostat EB TJ'!S58=":",0,'Eurostat EB TJ'!S58)</f>
        <v>0</v>
      </c>
      <c r="U50" s="57">
        <f>IF('Eurostat EB TJ'!T58=":",0,'Eurostat EB TJ'!T58)</f>
        <v>0</v>
      </c>
      <c r="V50" s="57">
        <f>IF('Eurostat EB TJ'!U58=":",0,'Eurostat EB TJ'!U58)</f>
        <v>0</v>
      </c>
      <c r="W50" s="57">
        <f>IF('Eurostat EB TJ'!V58=":",0,'Eurostat EB TJ'!V58)</f>
        <v>0</v>
      </c>
      <c r="X50" s="57">
        <f>IF('Eurostat EB TJ'!W58=":",0,'Eurostat EB TJ'!W58)</f>
        <v>0</v>
      </c>
      <c r="Y50" s="57">
        <f>IF('Eurostat EB TJ'!X58=":",0,'Eurostat EB TJ'!X58)</f>
        <v>0</v>
      </c>
      <c r="Z50" s="57">
        <f>IF('Eurostat EB TJ'!Y58=":",0,'Eurostat EB TJ'!Y58)</f>
        <v>0</v>
      </c>
      <c r="AA50" s="57">
        <f>IF('Eurostat EB TJ'!Z58=":",0,'Eurostat EB TJ'!Z58)</f>
        <v>0</v>
      </c>
      <c r="AB50" s="57">
        <f>IF('Eurostat EB TJ'!AA58=":",0,'Eurostat EB TJ'!AA58)</f>
        <v>0</v>
      </c>
      <c r="AC50" s="57">
        <f>IF('Eurostat EB TJ'!AB58=":",0,'Eurostat EB TJ'!AB58)</f>
        <v>0</v>
      </c>
      <c r="AD50" s="57">
        <f>IF('Eurostat EB TJ'!AC58=":",0,'Eurostat EB TJ'!AC58)</f>
        <v>0</v>
      </c>
      <c r="AE50" s="57">
        <f>IF('Eurostat EB TJ'!AD58=":",0,'Eurostat EB TJ'!AD58)</f>
        <v>0</v>
      </c>
      <c r="AF50" s="57">
        <f>IF('Eurostat EB TJ'!AE58=":",0,'Eurostat EB TJ'!AE58)</f>
        <v>0</v>
      </c>
      <c r="AG50" s="57">
        <f>IF('Eurostat EB TJ'!AF58=":",0,'Eurostat EB TJ'!AF58)</f>
        <v>0</v>
      </c>
      <c r="AH50" s="57">
        <f>IF('Eurostat EB TJ'!AG58=":",0,'Eurostat EB TJ'!AG58)</f>
        <v>0</v>
      </c>
      <c r="AI50" s="57">
        <f>IF('Eurostat EB TJ'!AH58=":",0,'Eurostat EB TJ'!AH58)</f>
        <v>0</v>
      </c>
      <c r="AJ50" s="57">
        <f>IF('Eurostat EB TJ'!AI58=":",0,'Eurostat EB TJ'!AI58)</f>
        <v>0</v>
      </c>
      <c r="AK50" s="57">
        <f>IF('Eurostat EB TJ'!AJ58=":",0,'Eurostat EB TJ'!AJ58)</f>
        <v>0</v>
      </c>
      <c r="AL50" s="57">
        <f>IF('Eurostat EB TJ'!AK58=":",0,'Eurostat EB TJ'!AK58)</f>
        <v>0</v>
      </c>
      <c r="AM50" s="57">
        <f>IF('Eurostat EB TJ'!AL58=":",0,'Eurostat EB TJ'!AL58)</f>
        <v>0</v>
      </c>
      <c r="AN50" s="57">
        <f>IF('Eurostat EB TJ'!AM58=":",0,'Eurostat EB TJ'!AM58)</f>
        <v>0</v>
      </c>
      <c r="AO50" s="57">
        <f>IF('Eurostat EB TJ'!AN58=":",0,'Eurostat EB TJ'!AN58)</f>
        <v>0</v>
      </c>
      <c r="AP50" s="57">
        <f>IF('Eurostat EB TJ'!AO58=":",0,'Eurostat EB TJ'!AO58)</f>
        <v>0</v>
      </c>
      <c r="AQ50" s="57">
        <f>IF('Eurostat EB TJ'!AP58=":",0,'Eurostat EB TJ'!AP58)</f>
        <v>0</v>
      </c>
      <c r="AR50" s="57">
        <f>IF('Eurostat EB TJ'!AQ58=":",0,'Eurostat EB TJ'!AQ58)</f>
        <v>0</v>
      </c>
      <c r="AS50" s="57">
        <f>IF('Eurostat EB TJ'!AR58=":",0,'Eurostat EB TJ'!AR58)</f>
        <v>0</v>
      </c>
      <c r="AT50" s="57">
        <f>IF('Eurostat EB TJ'!AS58=":",0,'Eurostat EB TJ'!AS58)</f>
        <v>0</v>
      </c>
      <c r="AU50" s="57">
        <f>IF('Eurostat EB TJ'!AT58=":",0,'Eurostat EB TJ'!AT58)</f>
        <v>0</v>
      </c>
      <c r="AV50" s="57">
        <f>IF('Eurostat EB TJ'!AU58=":",0,'Eurostat EB TJ'!AU58)</f>
        <v>0</v>
      </c>
      <c r="AW50" s="57">
        <f>IF('Eurostat EB TJ'!AV58=":",0,'Eurostat EB TJ'!AV58)</f>
        <v>0</v>
      </c>
      <c r="AX50" s="57">
        <f>IF('Eurostat EB TJ'!AW58=":",0,'Eurostat EB TJ'!AW58)</f>
        <v>0</v>
      </c>
      <c r="AY50" s="57">
        <f>IF('Eurostat EB TJ'!AX58=":",0,'Eurostat EB TJ'!AX58)</f>
        <v>0</v>
      </c>
      <c r="AZ50" s="57">
        <f>IF('Eurostat EB TJ'!AY58=":",0,'Eurostat EB TJ'!AY58)</f>
        <v>0</v>
      </c>
      <c r="BA50" s="57">
        <f>IF('Eurostat EB TJ'!AZ58=":",0,'Eurostat EB TJ'!AZ58)</f>
        <v>0</v>
      </c>
      <c r="BB50" s="57">
        <f>IF('Eurostat EB TJ'!BA58=":",0,'Eurostat EB TJ'!BA58)</f>
        <v>0</v>
      </c>
      <c r="BC50" s="57">
        <f>IF('Eurostat EB TJ'!BB58=":",0,'Eurostat EB TJ'!BB58)</f>
        <v>0</v>
      </c>
      <c r="BD50" s="57">
        <f>IF('Eurostat EB TJ'!BC58=":",0,'Eurostat EB TJ'!BC58)</f>
        <v>0</v>
      </c>
      <c r="BE50" s="57">
        <f>IF('Eurostat EB TJ'!BD58=":",0,'Eurostat EB TJ'!BD58)</f>
        <v>0</v>
      </c>
      <c r="BF50" s="57">
        <f>IF('Eurostat EB TJ'!BE58=":",0,'Eurostat EB TJ'!BE58)</f>
        <v>0</v>
      </c>
      <c r="BG50" s="57">
        <f>IF('Eurostat EB TJ'!BF58=":",0,'Eurostat EB TJ'!BF58)</f>
        <v>0</v>
      </c>
      <c r="BH50" s="57">
        <f>IF('Eurostat EB TJ'!BG58=":",0,'Eurostat EB TJ'!BG58)</f>
        <v>0</v>
      </c>
      <c r="BI50" s="57">
        <f>IF('Eurostat EB TJ'!BH58=":",0,'Eurostat EB TJ'!BH58)</f>
        <v>0</v>
      </c>
      <c r="BJ50" s="57">
        <f>IF('Eurostat EB TJ'!BI58=":",0,'Eurostat EB TJ'!BI58)</f>
        <v>0</v>
      </c>
      <c r="BK50" s="57">
        <f>IF('Eurostat EB TJ'!BJ58=":",0,'Eurostat EB TJ'!BJ58)</f>
        <v>0</v>
      </c>
      <c r="BL50" s="57">
        <f>IF('Eurostat EB TJ'!BK58=":",0,'Eurostat EB TJ'!BK58)</f>
        <v>0</v>
      </c>
      <c r="BM50" s="57">
        <f>IF('Eurostat EB TJ'!BL58=":",0,'Eurostat EB TJ'!BL58)</f>
        <v>0</v>
      </c>
      <c r="BN50" s="57">
        <f>IF('Eurostat EB TJ'!BM58=":",0,'Eurostat EB TJ'!BM58)</f>
        <v>0</v>
      </c>
      <c r="BO50" s="57">
        <f>IF('Eurostat EB TJ'!BN58=":",0,'Eurostat EB TJ'!BN58)</f>
        <v>0</v>
      </c>
      <c r="BP50" s="57">
        <f>IF('Eurostat EB TJ'!BO58=":",0,'Eurostat EB TJ'!BO58)</f>
        <v>0</v>
      </c>
      <c r="BQ50" s="57">
        <f>IF('Eurostat EB TJ'!BP58=":",0,'Eurostat EB TJ'!BP58)</f>
        <v>0</v>
      </c>
      <c r="BR50" s="57">
        <f>IF('Eurostat EB TJ'!BQ58=":",0,'Eurostat EB TJ'!BQ58)</f>
        <v>0</v>
      </c>
      <c r="BS50" s="57">
        <f>IF('Eurostat EB TJ'!BR58=":",0,'Eurostat EB TJ'!BR58)</f>
        <v>0</v>
      </c>
      <c r="BT50" s="57">
        <f>IF('Eurostat EB TJ'!BS58=":",0,'Eurostat EB TJ'!BS58)</f>
        <v>0</v>
      </c>
      <c r="BU50" s="57">
        <f>IF('Eurostat EB TJ'!BT58=":",0,'Eurostat EB TJ'!BT58)</f>
        <v>0</v>
      </c>
      <c r="BV50" s="57">
        <f>IF('Eurostat EB TJ'!BU58=":",0,'Eurostat EB TJ'!BU58)</f>
        <v>0</v>
      </c>
    </row>
    <row r="51" spans="1:74" x14ac:dyDescent="0.2">
      <c r="A51" s="56" t="s">
        <v>93</v>
      </c>
      <c r="B51" s="17"/>
      <c r="C51" s="17">
        <f>IF('Eurostat EB TJ'!B59=":",0,'Eurostat EB TJ'!B59)</f>
        <v>4907356.5190000003</v>
      </c>
      <c r="D51" s="17">
        <f>IF('Eurostat EB TJ'!C59=":",0,'Eurostat EB TJ'!C59)</f>
        <v>53399.764000000003</v>
      </c>
      <c r="E51" s="17">
        <f>IF('Eurostat EB TJ'!D59=":",0,'Eurostat EB TJ'!D59)</f>
        <v>0</v>
      </c>
      <c r="F51" s="17">
        <f>IF('Eurostat EB TJ'!E59=":",0,'Eurostat EB TJ'!E59)</f>
        <v>0</v>
      </c>
      <c r="G51" s="17">
        <f>IF('Eurostat EB TJ'!F59=":",0,'Eurostat EB TJ'!F59)</f>
        <v>0</v>
      </c>
      <c r="H51" s="17">
        <f>IF('Eurostat EB TJ'!G59=":",0,'Eurostat EB TJ'!G59)</f>
        <v>0</v>
      </c>
      <c r="I51" s="17">
        <f>IF('Eurostat EB TJ'!H59=":",0,'Eurostat EB TJ'!H59)</f>
        <v>0</v>
      </c>
      <c r="J51" s="17">
        <f>IF('Eurostat EB TJ'!I59=":",0,'Eurostat EB TJ'!I59)</f>
        <v>50186.705000000002</v>
      </c>
      <c r="K51" s="17">
        <f>IF('Eurostat EB TJ'!J59=":",0,'Eurostat EB TJ'!J59)</f>
        <v>0</v>
      </c>
      <c r="L51" s="17">
        <f>IF('Eurostat EB TJ'!K59=":",0,'Eurostat EB TJ'!K59)</f>
        <v>0</v>
      </c>
      <c r="M51" s="17">
        <f>IF('Eurostat EB TJ'!L59=":",0,'Eurostat EB TJ'!L59)</f>
        <v>0</v>
      </c>
      <c r="N51" s="17">
        <f>IF('Eurostat EB TJ'!M59=":",0,'Eurostat EB TJ'!M59)</f>
        <v>3213.06</v>
      </c>
      <c r="O51" s="17">
        <f>IF('Eurostat EB TJ'!N59=":",0,'Eurostat EB TJ'!N59)</f>
        <v>42147.79</v>
      </c>
      <c r="P51" s="17">
        <f>IF('Eurostat EB TJ'!O59=":",0,'Eurostat EB TJ'!O59)</f>
        <v>15016.271000000001</v>
      </c>
      <c r="Q51" s="17">
        <f>IF('Eurostat EB TJ'!P59=":",0,'Eurostat EB TJ'!P59)</f>
        <v>0</v>
      </c>
      <c r="R51" s="17">
        <f>IF('Eurostat EB TJ'!Q59=":",0,'Eurostat EB TJ'!Q59)</f>
        <v>27131.519</v>
      </c>
      <c r="S51" s="17">
        <f>IF('Eurostat EB TJ'!R59=":",0,'Eurostat EB TJ'!R59)</f>
        <v>0</v>
      </c>
      <c r="T51" s="17">
        <f>IF('Eurostat EB TJ'!S59=":",0,'Eurostat EB TJ'!S59)</f>
        <v>0</v>
      </c>
      <c r="U51" s="17">
        <f>IF('Eurostat EB TJ'!T59=":",0,'Eurostat EB TJ'!T59)</f>
        <v>0</v>
      </c>
      <c r="V51" s="17">
        <f>IF('Eurostat EB TJ'!U59=":",0,'Eurostat EB TJ'!U59)</f>
        <v>0</v>
      </c>
      <c r="W51" s="17">
        <f>IF('Eurostat EB TJ'!V59=":",0,'Eurostat EB TJ'!V59)</f>
        <v>0</v>
      </c>
      <c r="X51" s="17">
        <f>IF('Eurostat EB TJ'!W59=":",0,'Eurostat EB TJ'!W59)</f>
        <v>11333.489</v>
      </c>
      <c r="Y51" s="17">
        <f>IF('Eurostat EB TJ'!X59=":",0,'Eurostat EB TJ'!X59)</f>
        <v>4223865.1890000002</v>
      </c>
      <c r="Z51" s="17">
        <f>IF('Eurostat EB TJ'!Y59=":",0,'Eurostat EB TJ'!Y59)</f>
        <v>77534.907000000007</v>
      </c>
      <c r="AA51" s="17">
        <f>IF('Eurostat EB TJ'!Z59=":",0,'Eurostat EB TJ'!Z59)</f>
        <v>193698.97500000001</v>
      </c>
      <c r="AB51" s="17">
        <f>IF('Eurostat EB TJ'!AA59=":",0,'Eurostat EB TJ'!AA59)</f>
        <v>366286</v>
      </c>
      <c r="AC51" s="17">
        <f>IF('Eurostat EB TJ'!AB59=":",0,'Eurostat EB TJ'!AB59)</f>
        <v>0</v>
      </c>
      <c r="AD51" s="17">
        <f>IF('Eurostat EB TJ'!AC59=":",0,'Eurostat EB TJ'!AC59)</f>
        <v>0</v>
      </c>
      <c r="AE51" s="17">
        <f>IF('Eurostat EB TJ'!AD59=":",0,'Eurostat EB TJ'!AD59)</f>
        <v>296327.21299999999</v>
      </c>
      <c r="AF51" s="17">
        <f>IF('Eurostat EB TJ'!AE59=":",0,'Eurostat EB TJ'!AE59)</f>
        <v>0</v>
      </c>
      <c r="AG51" s="17">
        <f>IF('Eurostat EB TJ'!AF59=":",0,'Eurostat EB TJ'!AF59)</f>
        <v>72539.956000000006</v>
      </c>
      <c r="AH51" s="17">
        <f>IF('Eurostat EB TJ'!AG59=":",0,'Eurostat EB TJ'!AG59)</f>
        <v>522616.924</v>
      </c>
      <c r="AI51" s="17">
        <f>IF('Eurostat EB TJ'!AH59=":",0,'Eurostat EB TJ'!AH59)</f>
        <v>2822.6170000000002</v>
      </c>
      <c r="AJ51" s="17">
        <f>IF('Eurostat EB TJ'!AI59=":",0,'Eurostat EB TJ'!AI59)</f>
        <v>768692.41700000002</v>
      </c>
      <c r="AK51" s="17">
        <f>IF('Eurostat EB TJ'!AJ59=":",0,'Eurostat EB TJ'!AJ59)</f>
        <v>0</v>
      </c>
      <c r="AL51" s="17">
        <f>IF('Eurostat EB TJ'!AK59=":",0,'Eurostat EB TJ'!AK59)</f>
        <v>390466.48700000002</v>
      </c>
      <c r="AM51" s="17">
        <f>IF('Eurostat EB TJ'!AL59=":",0,'Eurostat EB TJ'!AL59)</f>
        <v>17238.868999999999</v>
      </c>
      <c r="AN51" s="17">
        <f>IF('Eurostat EB TJ'!AM59=":",0,'Eurostat EB TJ'!AM59)</f>
        <v>856335.598</v>
      </c>
      <c r="AO51" s="17">
        <f>IF('Eurostat EB TJ'!AN59=":",0,'Eurostat EB TJ'!AN59)</f>
        <v>430034.38</v>
      </c>
      <c r="AP51" s="17">
        <f>IF('Eurostat EB TJ'!AO59=":",0,'Eurostat EB TJ'!AO59)</f>
        <v>96344.52</v>
      </c>
      <c r="AQ51" s="17">
        <f>IF('Eurostat EB TJ'!AP59=":",0,'Eurostat EB TJ'!AP59)</f>
        <v>44182.722999999998</v>
      </c>
      <c r="AR51" s="17">
        <f>IF('Eurostat EB TJ'!AQ59=":",0,'Eurostat EB TJ'!AQ59)</f>
        <v>410.98099999999999</v>
      </c>
      <c r="AS51" s="17">
        <f>IF('Eurostat EB TJ'!AR59=":",0,'Eurostat EB TJ'!AR59)</f>
        <v>16671.462</v>
      </c>
      <c r="AT51" s="17">
        <f>IF('Eurostat EB TJ'!AS59=":",0,'Eurostat EB TJ'!AS59)</f>
        <v>37052.463000000003</v>
      </c>
      <c r="AU51" s="17">
        <f>IF('Eurostat EB TJ'!AT59=":",0,'Eurostat EB TJ'!AT59)</f>
        <v>34608.697</v>
      </c>
      <c r="AV51" s="17">
        <f>IF('Eurostat EB TJ'!AU59=":",0,'Eurostat EB TJ'!AU59)</f>
        <v>46521.023000000001</v>
      </c>
      <c r="AW51" s="17">
        <f>IF('Eurostat EB TJ'!AV59=":",0,'Eurostat EB TJ'!AV59)</f>
        <v>0</v>
      </c>
      <c r="AX51" s="17">
        <f>IF('Eurostat EB TJ'!AW59=":",0,'Eurostat EB TJ'!AW59)</f>
        <v>0</v>
      </c>
      <c r="AY51" s="17">
        <f>IF('Eurostat EB TJ'!AX59=":",0,'Eurostat EB TJ'!AX59)</f>
        <v>0</v>
      </c>
      <c r="AZ51" s="17">
        <f>IF('Eurostat EB TJ'!AY59=":",0,'Eurostat EB TJ'!AY59)</f>
        <v>0</v>
      </c>
      <c r="BA51" s="17">
        <f>IF('Eurostat EB TJ'!AZ59=":",0,'Eurostat EB TJ'!AZ59)</f>
        <v>0</v>
      </c>
      <c r="BB51" s="17">
        <f>IF('Eurostat EB TJ'!BA59=":",0,'Eurostat EB TJ'!BA59)</f>
        <v>0</v>
      </c>
      <c r="BC51" s="17">
        <f>IF('Eurostat EB TJ'!BB59=":",0,'Eurostat EB TJ'!BB59)</f>
        <v>0</v>
      </c>
      <c r="BD51" s="17">
        <f>IF('Eurostat EB TJ'!BC59=":",0,'Eurostat EB TJ'!BC59)</f>
        <v>0</v>
      </c>
      <c r="BE51" s="17">
        <f>IF('Eurostat EB TJ'!BD59=":",0,'Eurostat EB TJ'!BD59)</f>
        <v>0</v>
      </c>
      <c r="BF51" s="17">
        <f>IF('Eurostat EB TJ'!BE59=":",0,'Eurostat EB TJ'!BE59)</f>
        <v>0</v>
      </c>
      <c r="BG51" s="17">
        <f>IF('Eurostat EB TJ'!BF59=":",0,'Eurostat EB TJ'!BF59)</f>
        <v>14375.097</v>
      </c>
      <c r="BH51" s="17">
        <f>IF('Eurostat EB TJ'!BG59=":",0,'Eurostat EB TJ'!BG59)</f>
        <v>0</v>
      </c>
      <c r="BI51" s="17">
        <f>IF('Eurostat EB TJ'!BH59=":",0,'Eurostat EB TJ'!BH59)</f>
        <v>32145.925999999999</v>
      </c>
      <c r="BJ51" s="17">
        <f>IF('Eurostat EB TJ'!BI59=":",0,'Eurostat EB TJ'!BI59)</f>
        <v>0</v>
      </c>
      <c r="BK51" s="17">
        <f>IF('Eurostat EB TJ'!BJ59=":",0,'Eurostat EB TJ'!BJ59)</f>
        <v>0</v>
      </c>
      <c r="BL51" s="17">
        <f>IF('Eurostat EB TJ'!BK59=":",0,'Eurostat EB TJ'!BK59)</f>
        <v>0</v>
      </c>
      <c r="BM51" s="17">
        <f>IF('Eurostat EB TJ'!BL59=":",0,'Eurostat EB TJ'!BL59)</f>
        <v>0</v>
      </c>
      <c r="BN51" s="17">
        <f>IF('Eurostat EB TJ'!BM59=":",0,'Eurostat EB TJ'!BM59)</f>
        <v>0</v>
      </c>
      <c r="BO51" s="17">
        <f>IF('Eurostat EB TJ'!BN59=":",0,'Eurostat EB TJ'!BN59)</f>
        <v>0</v>
      </c>
      <c r="BP51" s="17">
        <f>IF('Eurostat EB TJ'!BO59=":",0,'Eurostat EB TJ'!BO59)</f>
        <v>0</v>
      </c>
      <c r="BQ51" s="17">
        <f>IF('Eurostat EB TJ'!BP59=":",0,'Eurostat EB TJ'!BP59)</f>
        <v>0</v>
      </c>
      <c r="BR51" s="17">
        <f>IF('Eurostat EB TJ'!BQ59=":",0,'Eurostat EB TJ'!BQ59)</f>
        <v>0</v>
      </c>
      <c r="BS51" s="17">
        <f>IF('Eurostat EB TJ'!BR59=":",0,'Eurostat EB TJ'!BR59)</f>
        <v>436790.11</v>
      </c>
      <c r="BT51" s="17">
        <f>IF('Eurostat EB TJ'!BS59=":",0,'Eurostat EB TJ'!BS59)</f>
        <v>93299.153999999995</v>
      </c>
      <c r="BU51" s="17">
        <f>IF('Eurostat EB TJ'!BT59=":",0,'Eurostat EB TJ'!BT59)</f>
        <v>96196.967000000004</v>
      </c>
      <c r="BV51" s="17">
        <f>IF('Eurostat EB TJ'!BU59=":",0,'Eurostat EB TJ'!BU59)</f>
        <v>4609705.6169999996</v>
      </c>
    </row>
    <row r="52" spans="1:74" x14ac:dyDescent="0.2">
      <c r="A52" s="56" t="s">
        <v>233</v>
      </c>
      <c r="B52" s="57"/>
      <c r="C52" s="57">
        <f>IF('Eurostat EB TJ'!B60=":",0,'Eurostat EB TJ'!B60)</f>
        <v>530089.26399999997</v>
      </c>
      <c r="D52" s="57">
        <f>IF('Eurostat EB TJ'!C60=":",0,'Eurostat EB TJ'!C60)</f>
        <v>0</v>
      </c>
      <c r="E52" s="57">
        <f>IF('Eurostat EB TJ'!D60=":",0,'Eurostat EB TJ'!D60)</f>
        <v>0</v>
      </c>
      <c r="F52" s="57">
        <f>IF('Eurostat EB TJ'!E60=":",0,'Eurostat EB TJ'!E60)</f>
        <v>0</v>
      </c>
      <c r="G52" s="57">
        <f>IF('Eurostat EB TJ'!F60=":",0,'Eurostat EB TJ'!F60)</f>
        <v>0</v>
      </c>
      <c r="H52" s="57">
        <f>IF('Eurostat EB TJ'!G60=":",0,'Eurostat EB TJ'!G60)</f>
        <v>0</v>
      </c>
      <c r="I52" s="57">
        <f>IF('Eurostat EB TJ'!H60=":",0,'Eurostat EB TJ'!H60)</f>
        <v>0</v>
      </c>
      <c r="J52" s="57">
        <f>IF('Eurostat EB TJ'!I60=":",0,'Eurostat EB TJ'!I60)</f>
        <v>0</v>
      </c>
      <c r="K52" s="57">
        <f>IF('Eurostat EB TJ'!J60=":",0,'Eurostat EB TJ'!J60)</f>
        <v>0</v>
      </c>
      <c r="L52" s="57">
        <f>IF('Eurostat EB TJ'!K60=":",0,'Eurostat EB TJ'!K60)</f>
        <v>0</v>
      </c>
      <c r="M52" s="57">
        <f>IF('Eurostat EB TJ'!L60=":",0,'Eurostat EB TJ'!L60)</f>
        <v>0</v>
      </c>
      <c r="N52" s="57">
        <f>IF('Eurostat EB TJ'!M60=":",0,'Eurostat EB TJ'!M60)</f>
        <v>0</v>
      </c>
      <c r="O52" s="57">
        <f>IF('Eurostat EB TJ'!N60=":",0,'Eurostat EB TJ'!N60)</f>
        <v>0</v>
      </c>
      <c r="P52" s="57">
        <f>IF('Eurostat EB TJ'!O60=":",0,'Eurostat EB TJ'!O60)</f>
        <v>0</v>
      </c>
      <c r="Q52" s="57">
        <f>IF('Eurostat EB TJ'!P60=":",0,'Eurostat EB TJ'!P60)</f>
        <v>0</v>
      </c>
      <c r="R52" s="57">
        <f>IF('Eurostat EB TJ'!Q60=":",0,'Eurostat EB TJ'!Q60)</f>
        <v>0</v>
      </c>
      <c r="S52" s="57">
        <f>IF('Eurostat EB TJ'!R60=":",0,'Eurostat EB TJ'!R60)</f>
        <v>0</v>
      </c>
      <c r="T52" s="57">
        <f>IF('Eurostat EB TJ'!S60=":",0,'Eurostat EB TJ'!S60)</f>
        <v>0</v>
      </c>
      <c r="U52" s="57">
        <f>IF('Eurostat EB TJ'!T60=":",0,'Eurostat EB TJ'!T60)</f>
        <v>0</v>
      </c>
      <c r="V52" s="57">
        <f>IF('Eurostat EB TJ'!U60=":",0,'Eurostat EB TJ'!U60)</f>
        <v>0</v>
      </c>
      <c r="W52" s="57">
        <f>IF('Eurostat EB TJ'!V60=":",0,'Eurostat EB TJ'!V60)</f>
        <v>0</v>
      </c>
      <c r="X52" s="57">
        <f>IF('Eurostat EB TJ'!W60=":",0,'Eurostat EB TJ'!W60)</f>
        <v>0</v>
      </c>
      <c r="Y52" s="57">
        <f>IF('Eurostat EB TJ'!X60=":",0,'Eurostat EB TJ'!X60)</f>
        <v>0</v>
      </c>
      <c r="Z52" s="57">
        <f>IF('Eurostat EB TJ'!Y60=":",0,'Eurostat EB TJ'!Y60)</f>
        <v>0</v>
      </c>
      <c r="AA52" s="57">
        <f>IF('Eurostat EB TJ'!Z60=":",0,'Eurostat EB TJ'!Z60)</f>
        <v>0</v>
      </c>
      <c r="AB52" s="57">
        <f>IF('Eurostat EB TJ'!AA60=":",0,'Eurostat EB TJ'!AA60)</f>
        <v>0</v>
      </c>
      <c r="AC52" s="57">
        <f>IF('Eurostat EB TJ'!AB60=":",0,'Eurostat EB TJ'!AB60)</f>
        <v>0</v>
      </c>
      <c r="AD52" s="57">
        <f>IF('Eurostat EB TJ'!AC60=":",0,'Eurostat EB TJ'!AC60)</f>
        <v>0</v>
      </c>
      <c r="AE52" s="57">
        <f>IF('Eurostat EB TJ'!AD60=":",0,'Eurostat EB TJ'!AD60)</f>
        <v>0</v>
      </c>
      <c r="AF52" s="57">
        <f>IF('Eurostat EB TJ'!AE60=":",0,'Eurostat EB TJ'!AE60)</f>
        <v>0</v>
      </c>
      <c r="AG52" s="57">
        <f>IF('Eurostat EB TJ'!AF60=":",0,'Eurostat EB TJ'!AF60)</f>
        <v>0</v>
      </c>
      <c r="AH52" s="57">
        <f>IF('Eurostat EB TJ'!AG60=":",0,'Eurostat EB TJ'!AG60)</f>
        <v>0</v>
      </c>
      <c r="AI52" s="57">
        <f>IF('Eurostat EB TJ'!AH60=":",0,'Eurostat EB TJ'!AH60)</f>
        <v>0</v>
      </c>
      <c r="AJ52" s="57">
        <f>IF('Eurostat EB TJ'!AI60=":",0,'Eurostat EB TJ'!AI60)</f>
        <v>0</v>
      </c>
      <c r="AK52" s="57">
        <f>IF('Eurostat EB TJ'!AJ60=":",0,'Eurostat EB TJ'!AJ60)</f>
        <v>0</v>
      </c>
      <c r="AL52" s="57">
        <f>IF('Eurostat EB TJ'!AK60=":",0,'Eurostat EB TJ'!AK60)</f>
        <v>0</v>
      </c>
      <c r="AM52" s="57">
        <f>IF('Eurostat EB TJ'!AL60=":",0,'Eurostat EB TJ'!AL60)</f>
        <v>0</v>
      </c>
      <c r="AN52" s="57">
        <f>IF('Eurostat EB TJ'!AM60=":",0,'Eurostat EB TJ'!AM60)</f>
        <v>0</v>
      </c>
      <c r="AO52" s="57">
        <f>IF('Eurostat EB TJ'!AN60=":",0,'Eurostat EB TJ'!AN60)</f>
        <v>0</v>
      </c>
      <c r="AP52" s="57">
        <f>IF('Eurostat EB TJ'!AO60=":",0,'Eurostat EB TJ'!AO60)</f>
        <v>0</v>
      </c>
      <c r="AQ52" s="57">
        <f>IF('Eurostat EB TJ'!AP60=":",0,'Eurostat EB TJ'!AP60)</f>
        <v>0</v>
      </c>
      <c r="AR52" s="57">
        <f>IF('Eurostat EB TJ'!AQ60=":",0,'Eurostat EB TJ'!AQ60)</f>
        <v>0</v>
      </c>
      <c r="AS52" s="57">
        <f>IF('Eurostat EB TJ'!AR60=":",0,'Eurostat EB TJ'!AR60)</f>
        <v>0</v>
      </c>
      <c r="AT52" s="57">
        <f>IF('Eurostat EB TJ'!AS60=":",0,'Eurostat EB TJ'!AS60)</f>
        <v>0</v>
      </c>
      <c r="AU52" s="57">
        <f>IF('Eurostat EB TJ'!AT60=":",0,'Eurostat EB TJ'!AT60)</f>
        <v>0</v>
      </c>
      <c r="AV52" s="57">
        <f>IF('Eurostat EB TJ'!AU60=":",0,'Eurostat EB TJ'!AU60)</f>
        <v>0</v>
      </c>
      <c r="AW52" s="57">
        <f>IF('Eurostat EB TJ'!AV60=":",0,'Eurostat EB TJ'!AV60)</f>
        <v>0</v>
      </c>
      <c r="AX52" s="57">
        <f>IF('Eurostat EB TJ'!AW60=":",0,'Eurostat EB TJ'!AW60)</f>
        <v>0</v>
      </c>
      <c r="AY52" s="57">
        <f>IF('Eurostat EB TJ'!AX60=":",0,'Eurostat EB TJ'!AX60)</f>
        <v>0</v>
      </c>
      <c r="AZ52" s="57">
        <f>IF('Eurostat EB TJ'!AY60=":",0,'Eurostat EB TJ'!AY60)</f>
        <v>0</v>
      </c>
      <c r="BA52" s="57">
        <f>IF('Eurostat EB TJ'!AZ60=":",0,'Eurostat EB TJ'!AZ60)</f>
        <v>0</v>
      </c>
      <c r="BB52" s="57">
        <f>IF('Eurostat EB TJ'!BA60=":",0,'Eurostat EB TJ'!BA60)</f>
        <v>0</v>
      </c>
      <c r="BC52" s="57">
        <f>IF('Eurostat EB TJ'!BB60=":",0,'Eurostat EB TJ'!BB60)</f>
        <v>0</v>
      </c>
      <c r="BD52" s="57">
        <f>IF('Eurostat EB TJ'!BC60=":",0,'Eurostat EB TJ'!BC60)</f>
        <v>0</v>
      </c>
      <c r="BE52" s="57">
        <f>IF('Eurostat EB TJ'!BD60=":",0,'Eurostat EB TJ'!BD60)</f>
        <v>0</v>
      </c>
      <c r="BF52" s="57">
        <f>IF('Eurostat EB TJ'!BE60=":",0,'Eurostat EB TJ'!BE60)</f>
        <v>0</v>
      </c>
      <c r="BG52" s="57">
        <f>IF('Eurostat EB TJ'!BF60=":",0,'Eurostat EB TJ'!BF60)</f>
        <v>0</v>
      </c>
      <c r="BH52" s="57">
        <f>IF('Eurostat EB TJ'!BG60=":",0,'Eurostat EB TJ'!BG60)</f>
        <v>0</v>
      </c>
      <c r="BI52" s="57">
        <f>IF('Eurostat EB TJ'!BH60=":",0,'Eurostat EB TJ'!BH60)</f>
        <v>0</v>
      </c>
      <c r="BJ52" s="57">
        <f>IF('Eurostat EB TJ'!BI60=":",0,'Eurostat EB TJ'!BI60)</f>
        <v>0</v>
      </c>
      <c r="BK52" s="57">
        <f>IF('Eurostat EB TJ'!BJ60=":",0,'Eurostat EB TJ'!BJ60)</f>
        <v>0</v>
      </c>
      <c r="BL52" s="57">
        <f>IF('Eurostat EB TJ'!BK60=":",0,'Eurostat EB TJ'!BK60)</f>
        <v>0</v>
      </c>
      <c r="BM52" s="57">
        <f>IF('Eurostat EB TJ'!BL60=":",0,'Eurostat EB TJ'!BL60)</f>
        <v>0</v>
      </c>
      <c r="BN52" s="57">
        <f>IF('Eurostat EB TJ'!BM60=":",0,'Eurostat EB TJ'!BM60)</f>
        <v>0</v>
      </c>
      <c r="BO52" s="57">
        <f>IF('Eurostat EB TJ'!BN60=":",0,'Eurostat EB TJ'!BN60)</f>
        <v>0</v>
      </c>
      <c r="BP52" s="57">
        <f>IF('Eurostat EB TJ'!BO60=":",0,'Eurostat EB TJ'!BO60)</f>
        <v>0</v>
      </c>
      <c r="BQ52" s="57">
        <f>IF('Eurostat EB TJ'!BP60=":",0,'Eurostat EB TJ'!BP60)</f>
        <v>0</v>
      </c>
      <c r="BR52" s="57">
        <f>IF('Eurostat EB TJ'!BQ60=":",0,'Eurostat EB TJ'!BQ60)</f>
        <v>0</v>
      </c>
      <c r="BS52" s="57">
        <f>IF('Eurostat EB TJ'!BR60=":",0,'Eurostat EB TJ'!BR60)</f>
        <v>436790.11</v>
      </c>
      <c r="BT52" s="57">
        <f>IF('Eurostat EB TJ'!BS60=":",0,'Eurostat EB TJ'!BS60)</f>
        <v>93299.153999999995</v>
      </c>
      <c r="BU52" s="57">
        <f>IF('Eurostat EB TJ'!BT60=":",0,'Eurostat EB TJ'!BT60)</f>
        <v>49559.856</v>
      </c>
      <c r="BV52" s="57">
        <f>IF('Eurostat EB TJ'!BU60=":",0,'Eurostat EB TJ'!BU60)</f>
        <v>279075.473</v>
      </c>
    </row>
    <row r="53" spans="1:74" x14ac:dyDescent="0.2">
      <c r="A53" s="56" t="s">
        <v>234</v>
      </c>
      <c r="B53" s="17"/>
      <c r="C53" s="17">
        <f>IF('Eurostat EB TJ'!B61=":",0,'Eurostat EB TJ'!B61)</f>
        <v>232097.47899999999</v>
      </c>
      <c r="D53" s="17">
        <f>IF('Eurostat EB TJ'!C61=":",0,'Eurostat EB TJ'!C61)</f>
        <v>0</v>
      </c>
      <c r="E53" s="17">
        <f>IF('Eurostat EB TJ'!D61=":",0,'Eurostat EB TJ'!D61)</f>
        <v>0</v>
      </c>
      <c r="F53" s="17">
        <f>IF('Eurostat EB TJ'!E61=":",0,'Eurostat EB TJ'!E61)</f>
        <v>0</v>
      </c>
      <c r="G53" s="17">
        <f>IF('Eurostat EB TJ'!F61=":",0,'Eurostat EB TJ'!F61)</f>
        <v>0</v>
      </c>
      <c r="H53" s="17">
        <f>IF('Eurostat EB TJ'!G61=":",0,'Eurostat EB TJ'!G61)</f>
        <v>0</v>
      </c>
      <c r="I53" s="17">
        <f>IF('Eurostat EB TJ'!H61=":",0,'Eurostat EB TJ'!H61)</f>
        <v>0</v>
      </c>
      <c r="J53" s="17">
        <f>IF('Eurostat EB TJ'!I61=":",0,'Eurostat EB TJ'!I61)</f>
        <v>0</v>
      </c>
      <c r="K53" s="17">
        <f>IF('Eurostat EB TJ'!J61=":",0,'Eurostat EB TJ'!J61)</f>
        <v>0</v>
      </c>
      <c r="L53" s="17">
        <f>IF('Eurostat EB TJ'!K61=":",0,'Eurostat EB TJ'!K61)</f>
        <v>0</v>
      </c>
      <c r="M53" s="17">
        <f>IF('Eurostat EB TJ'!L61=":",0,'Eurostat EB TJ'!L61)</f>
        <v>0</v>
      </c>
      <c r="N53" s="17">
        <f>IF('Eurostat EB TJ'!M61=":",0,'Eurostat EB TJ'!M61)</f>
        <v>0</v>
      </c>
      <c r="O53" s="17">
        <f>IF('Eurostat EB TJ'!N61=":",0,'Eurostat EB TJ'!N61)</f>
        <v>0</v>
      </c>
      <c r="P53" s="17">
        <f>IF('Eurostat EB TJ'!O61=":",0,'Eurostat EB TJ'!O61)</f>
        <v>0</v>
      </c>
      <c r="Q53" s="17">
        <f>IF('Eurostat EB TJ'!P61=":",0,'Eurostat EB TJ'!P61)</f>
        <v>0</v>
      </c>
      <c r="R53" s="17">
        <f>IF('Eurostat EB TJ'!Q61=":",0,'Eurostat EB TJ'!Q61)</f>
        <v>0</v>
      </c>
      <c r="S53" s="17">
        <f>IF('Eurostat EB TJ'!R61=":",0,'Eurostat EB TJ'!R61)</f>
        <v>0</v>
      </c>
      <c r="T53" s="17">
        <f>IF('Eurostat EB TJ'!S61=":",0,'Eurostat EB TJ'!S61)</f>
        <v>0</v>
      </c>
      <c r="U53" s="17">
        <f>IF('Eurostat EB TJ'!T61=":",0,'Eurostat EB TJ'!T61)</f>
        <v>0</v>
      </c>
      <c r="V53" s="17">
        <f>IF('Eurostat EB TJ'!U61=":",0,'Eurostat EB TJ'!U61)</f>
        <v>0</v>
      </c>
      <c r="W53" s="17">
        <f>IF('Eurostat EB TJ'!V61=":",0,'Eurostat EB TJ'!V61)</f>
        <v>0</v>
      </c>
      <c r="X53" s="17">
        <f>IF('Eurostat EB TJ'!W61=":",0,'Eurostat EB TJ'!W61)</f>
        <v>0</v>
      </c>
      <c r="Y53" s="17">
        <f>IF('Eurostat EB TJ'!X61=":",0,'Eurostat EB TJ'!X61)</f>
        <v>0</v>
      </c>
      <c r="Z53" s="17">
        <f>IF('Eurostat EB TJ'!Y61=":",0,'Eurostat EB TJ'!Y61)</f>
        <v>0</v>
      </c>
      <c r="AA53" s="17">
        <f>IF('Eurostat EB TJ'!Z61=":",0,'Eurostat EB TJ'!Z61)</f>
        <v>0</v>
      </c>
      <c r="AB53" s="17">
        <f>IF('Eurostat EB TJ'!AA61=":",0,'Eurostat EB TJ'!AA61)</f>
        <v>0</v>
      </c>
      <c r="AC53" s="17">
        <f>IF('Eurostat EB TJ'!AB61=":",0,'Eurostat EB TJ'!AB61)</f>
        <v>0</v>
      </c>
      <c r="AD53" s="17">
        <f>IF('Eurostat EB TJ'!AC61=":",0,'Eurostat EB TJ'!AC61)</f>
        <v>0</v>
      </c>
      <c r="AE53" s="17">
        <f>IF('Eurostat EB TJ'!AD61=":",0,'Eurostat EB TJ'!AD61)</f>
        <v>0</v>
      </c>
      <c r="AF53" s="17">
        <f>IF('Eurostat EB TJ'!AE61=":",0,'Eurostat EB TJ'!AE61)</f>
        <v>0</v>
      </c>
      <c r="AG53" s="17">
        <f>IF('Eurostat EB TJ'!AF61=":",0,'Eurostat EB TJ'!AF61)</f>
        <v>0</v>
      </c>
      <c r="AH53" s="17">
        <f>IF('Eurostat EB TJ'!AG61=":",0,'Eurostat EB TJ'!AG61)</f>
        <v>0</v>
      </c>
      <c r="AI53" s="17">
        <f>IF('Eurostat EB TJ'!AH61=":",0,'Eurostat EB TJ'!AH61)</f>
        <v>0</v>
      </c>
      <c r="AJ53" s="17">
        <f>IF('Eurostat EB TJ'!AI61=":",0,'Eurostat EB TJ'!AI61)</f>
        <v>0</v>
      </c>
      <c r="AK53" s="17">
        <f>IF('Eurostat EB TJ'!AJ61=":",0,'Eurostat EB TJ'!AJ61)</f>
        <v>0</v>
      </c>
      <c r="AL53" s="17">
        <f>IF('Eurostat EB TJ'!AK61=":",0,'Eurostat EB TJ'!AK61)</f>
        <v>0</v>
      </c>
      <c r="AM53" s="17">
        <f>IF('Eurostat EB TJ'!AL61=":",0,'Eurostat EB TJ'!AL61)</f>
        <v>0</v>
      </c>
      <c r="AN53" s="17">
        <f>IF('Eurostat EB TJ'!AM61=":",0,'Eurostat EB TJ'!AM61)</f>
        <v>0</v>
      </c>
      <c r="AO53" s="17">
        <f>IF('Eurostat EB TJ'!AN61=":",0,'Eurostat EB TJ'!AN61)</f>
        <v>0</v>
      </c>
      <c r="AP53" s="17">
        <f>IF('Eurostat EB TJ'!AO61=":",0,'Eurostat EB TJ'!AO61)</f>
        <v>0</v>
      </c>
      <c r="AQ53" s="17">
        <f>IF('Eurostat EB TJ'!AP61=":",0,'Eurostat EB TJ'!AP61)</f>
        <v>0</v>
      </c>
      <c r="AR53" s="17">
        <f>IF('Eurostat EB TJ'!AQ61=":",0,'Eurostat EB TJ'!AQ61)</f>
        <v>0</v>
      </c>
      <c r="AS53" s="17">
        <f>IF('Eurostat EB TJ'!AR61=":",0,'Eurostat EB TJ'!AR61)</f>
        <v>0</v>
      </c>
      <c r="AT53" s="17">
        <f>IF('Eurostat EB TJ'!AS61=":",0,'Eurostat EB TJ'!AS61)</f>
        <v>0</v>
      </c>
      <c r="AU53" s="17">
        <f>IF('Eurostat EB TJ'!AT61=":",0,'Eurostat EB TJ'!AT61)</f>
        <v>0</v>
      </c>
      <c r="AV53" s="17">
        <f>IF('Eurostat EB TJ'!AU61=":",0,'Eurostat EB TJ'!AU61)</f>
        <v>0</v>
      </c>
      <c r="AW53" s="17">
        <f>IF('Eurostat EB TJ'!AV61=":",0,'Eurostat EB TJ'!AV61)</f>
        <v>0</v>
      </c>
      <c r="AX53" s="17">
        <f>IF('Eurostat EB TJ'!AW61=":",0,'Eurostat EB TJ'!AW61)</f>
        <v>0</v>
      </c>
      <c r="AY53" s="17">
        <f>IF('Eurostat EB TJ'!AX61=":",0,'Eurostat EB TJ'!AX61)</f>
        <v>0</v>
      </c>
      <c r="AZ53" s="17">
        <f>IF('Eurostat EB TJ'!AY61=":",0,'Eurostat EB TJ'!AY61)</f>
        <v>0</v>
      </c>
      <c r="BA53" s="17">
        <f>IF('Eurostat EB TJ'!AZ61=":",0,'Eurostat EB TJ'!AZ61)</f>
        <v>0</v>
      </c>
      <c r="BB53" s="17">
        <f>IF('Eurostat EB TJ'!BA61=":",0,'Eurostat EB TJ'!BA61)</f>
        <v>0</v>
      </c>
      <c r="BC53" s="17">
        <f>IF('Eurostat EB TJ'!BB61=":",0,'Eurostat EB TJ'!BB61)</f>
        <v>0</v>
      </c>
      <c r="BD53" s="17">
        <f>IF('Eurostat EB TJ'!BC61=":",0,'Eurostat EB TJ'!BC61)</f>
        <v>0</v>
      </c>
      <c r="BE53" s="17">
        <f>IF('Eurostat EB TJ'!BD61=":",0,'Eurostat EB TJ'!BD61)</f>
        <v>0</v>
      </c>
      <c r="BF53" s="17">
        <f>IF('Eurostat EB TJ'!BE61=":",0,'Eurostat EB TJ'!BE61)</f>
        <v>0</v>
      </c>
      <c r="BG53" s="17">
        <f>IF('Eurostat EB TJ'!BF61=":",0,'Eurostat EB TJ'!BF61)</f>
        <v>0</v>
      </c>
      <c r="BH53" s="17">
        <f>IF('Eurostat EB TJ'!BG61=":",0,'Eurostat EB TJ'!BG61)</f>
        <v>0</v>
      </c>
      <c r="BI53" s="17">
        <f>IF('Eurostat EB TJ'!BH61=":",0,'Eurostat EB TJ'!BH61)</f>
        <v>0</v>
      </c>
      <c r="BJ53" s="17">
        <f>IF('Eurostat EB TJ'!BI61=":",0,'Eurostat EB TJ'!BI61)</f>
        <v>0</v>
      </c>
      <c r="BK53" s="17">
        <f>IF('Eurostat EB TJ'!BJ61=":",0,'Eurostat EB TJ'!BJ61)</f>
        <v>0</v>
      </c>
      <c r="BL53" s="17">
        <f>IF('Eurostat EB TJ'!BK61=":",0,'Eurostat EB TJ'!BK61)</f>
        <v>0</v>
      </c>
      <c r="BM53" s="17">
        <f>IF('Eurostat EB TJ'!BL61=":",0,'Eurostat EB TJ'!BL61)</f>
        <v>0</v>
      </c>
      <c r="BN53" s="17">
        <f>IF('Eurostat EB TJ'!BM61=":",0,'Eurostat EB TJ'!BM61)</f>
        <v>0</v>
      </c>
      <c r="BO53" s="17">
        <f>IF('Eurostat EB TJ'!BN61=":",0,'Eurostat EB TJ'!BN61)</f>
        <v>0</v>
      </c>
      <c r="BP53" s="17">
        <f>IF('Eurostat EB TJ'!BO61=":",0,'Eurostat EB TJ'!BO61)</f>
        <v>0</v>
      </c>
      <c r="BQ53" s="17">
        <f>IF('Eurostat EB TJ'!BP61=":",0,'Eurostat EB TJ'!BP61)</f>
        <v>0</v>
      </c>
      <c r="BR53" s="17">
        <f>IF('Eurostat EB TJ'!BQ61=":",0,'Eurostat EB TJ'!BQ61)</f>
        <v>0</v>
      </c>
      <c r="BS53" s="17">
        <f>IF('Eurostat EB TJ'!BR61=":",0,'Eurostat EB TJ'!BR61)</f>
        <v>232097.47899999999</v>
      </c>
      <c r="BT53" s="17">
        <f>IF('Eurostat EB TJ'!BS61=":",0,'Eurostat EB TJ'!BS61)</f>
        <v>0</v>
      </c>
      <c r="BU53" s="17">
        <f>IF('Eurostat EB TJ'!BT61=":",0,'Eurostat EB TJ'!BT61)</f>
        <v>15451.673000000001</v>
      </c>
      <c r="BV53" s="17">
        <f>IF('Eurostat EB TJ'!BU61=":",0,'Eurostat EB TJ'!BU61)</f>
        <v>113866.579</v>
      </c>
    </row>
    <row r="54" spans="1:74" x14ac:dyDescent="0.2">
      <c r="A54" s="56" t="s">
        <v>235</v>
      </c>
      <c r="B54" s="57"/>
      <c r="C54" s="57">
        <f>IF('Eurostat EB TJ'!B62=":",0,'Eurostat EB TJ'!B62)</f>
        <v>90064.077999999994</v>
      </c>
      <c r="D54" s="57">
        <f>IF('Eurostat EB TJ'!C62=":",0,'Eurostat EB TJ'!C62)</f>
        <v>0</v>
      </c>
      <c r="E54" s="57">
        <f>IF('Eurostat EB TJ'!D62=":",0,'Eurostat EB TJ'!D62)</f>
        <v>0</v>
      </c>
      <c r="F54" s="57">
        <f>IF('Eurostat EB TJ'!E62=":",0,'Eurostat EB TJ'!E62)</f>
        <v>0</v>
      </c>
      <c r="G54" s="57">
        <f>IF('Eurostat EB TJ'!F62=":",0,'Eurostat EB TJ'!F62)</f>
        <v>0</v>
      </c>
      <c r="H54" s="57">
        <f>IF('Eurostat EB TJ'!G62=":",0,'Eurostat EB TJ'!G62)</f>
        <v>0</v>
      </c>
      <c r="I54" s="57">
        <f>IF('Eurostat EB TJ'!H62=":",0,'Eurostat EB TJ'!H62)</f>
        <v>0</v>
      </c>
      <c r="J54" s="57">
        <f>IF('Eurostat EB TJ'!I62=":",0,'Eurostat EB TJ'!I62)</f>
        <v>0</v>
      </c>
      <c r="K54" s="57">
        <f>IF('Eurostat EB TJ'!J62=":",0,'Eurostat EB TJ'!J62)</f>
        <v>0</v>
      </c>
      <c r="L54" s="57">
        <f>IF('Eurostat EB TJ'!K62=":",0,'Eurostat EB TJ'!K62)</f>
        <v>0</v>
      </c>
      <c r="M54" s="57">
        <f>IF('Eurostat EB TJ'!L62=":",0,'Eurostat EB TJ'!L62)</f>
        <v>0</v>
      </c>
      <c r="N54" s="57">
        <f>IF('Eurostat EB TJ'!M62=":",0,'Eurostat EB TJ'!M62)</f>
        <v>0</v>
      </c>
      <c r="O54" s="57">
        <f>IF('Eurostat EB TJ'!N62=":",0,'Eurostat EB TJ'!N62)</f>
        <v>0</v>
      </c>
      <c r="P54" s="57">
        <f>IF('Eurostat EB TJ'!O62=":",0,'Eurostat EB TJ'!O62)</f>
        <v>0</v>
      </c>
      <c r="Q54" s="57">
        <f>IF('Eurostat EB TJ'!P62=":",0,'Eurostat EB TJ'!P62)</f>
        <v>0</v>
      </c>
      <c r="R54" s="57">
        <f>IF('Eurostat EB TJ'!Q62=":",0,'Eurostat EB TJ'!Q62)</f>
        <v>0</v>
      </c>
      <c r="S54" s="57">
        <f>IF('Eurostat EB TJ'!R62=":",0,'Eurostat EB TJ'!R62)</f>
        <v>0</v>
      </c>
      <c r="T54" s="57">
        <f>IF('Eurostat EB TJ'!S62=":",0,'Eurostat EB TJ'!S62)</f>
        <v>0</v>
      </c>
      <c r="U54" s="57">
        <f>IF('Eurostat EB TJ'!T62=":",0,'Eurostat EB TJ'!T62)</f>
        <v>0</v>
      </c>
      <c r="V54" s="57">
        <f>IF('Eurostat EB TJ'!U62=":",0,'Eurostat EB TJ'!U62)</f>
        <v>0</v>
      </c>
      <c r="W54" s="57">
        <f>IF('Eurostat EB TJ'!V62=":",0,'Eurostat EB TJ'!V62)</f>
        <v>0</v>
      </c>
      <c r="X54" s="57">
        <f>IF('Eurostat EB TJ'!W62=":",0,'Eurostat EB TJ'!W62)</f>
        <v>0</v>
      </c>
      <c r="Y54" s="57">
        <f>IF('Eurostat EB TJ'!X62=":",0,'Eurostat EB TJ'!X62)</f>
        <v>0</v>
      </c>
      <c r="Z54" s="57">
        <f>IF('Eurostat EB TJ'!Y62=":",0,'Eurostat EB TJ'!Y62)</f>
        <v>0</v>
      </c>
      <c r="AA54" s="57">
        <f>IF('Eurostat EB TJ'!Z62=":",0,'Eurostat EB TJ'!Z62)</f>
        <v>0</v>
      </c>
      <c r="AB54" s="57">
        <f>IF('Eurostat EB TJ'!AA62=":",0,'Eurostat EB TJ'!AA62)</f>
        <v>0</v>
      </c>
      <c r="AC54" s="57">
        <f>IF('Eurostat EB TJ'!AB62=":",0,'Eurostat EB TJ'!AB62)</f>
        <v>0</v>
      </c>
      <c r="AD54" s="57">
        <f>IF('Eurostat EB TJ'!AC62=":",0,'Eurostat EB TJ'!AC62)</f>
        <v>0</v>
      </c>
      <c r="AE54" s="57">
        <f>IF('Eurostat EB TJ'!AD62=":",0,'Eurostat EB TJ'!AD62)</f>
        <v>0</v>
      </c>
      <c r="AF54" s="57">
        <f>IF('Eurostat EB TJ'!AE62=":",0,'Eurostat EB TJ'!AE62)</f>
        <v>0</v>
      </c>
      <c r="AG54" s="57">
        <f>IF('Eurostat EB TJ'!AF62=":",0,'Eurostat EB TJ'!AF62)</f>
        <v>0</v>
      </c>
      <c r="AH54" s="57">
        <f>IF('Eurostat EB TJ'!AG62=":",0,'Eurostat EB TJ'!AG62)</f>
        <v>0</v>
      </c>
      <c r="AI54" s="57">
        <f>IF('Eurostat EB TJ'!AH62=":",0,'Eurostat EB TJ'!AH62)</f>
        <v>0</v>
      </c>
      <c r="AJ54" s="57">
        <f>IF('Eurostat EB TJ'!AI62=":",0,'Eurostat EB TJ'!AI62)</f>
        <v>0</v>
      </c>
      <c r="AK54" s="57">
        <f>IF('Eurostat EB TJ'!AJ62=":",0,'Eurostat EB TJ'!AJ62)</f>
        <v>0</v>
      </c>
      <c r="AL54" s="57">
        <f>IF('Eurostat EB TJ'!AK62=":",0,'Eurostat EB TJ'!AK62)</f>
        <v>0</v>
      </c>
      <c r="AM54" s="57">
        <f>IF('Eurostat EB TJ'!AL62=":",0,'Eurostat EB TJ'!AL62)</f>
        <v>0</v>
      </c>
      <c r="AN54" s="57">
        <f>IF('Eurostat EB TJ'!AM62=":",0,'Eurostat EB TJ'!AM62)</f>
        <v>0</v>
      </c>
      <c r="AO54" s="57">
        <f>IF('Eurostat EB TJ'!AN62=":",0,'Eurostat EB TJ'!AN62)</f>
        <v>0</v>
      </c>
      <c r="AP54" s="57">
        <f>IF('Eurostat EB TJ'!AO62=":",0,'Eurostat EB TJ'!AO62)</f>
        <v>0</v>
      </c>
      <c r="AQ54" s="57">
        <f>IF('Eurostat EB TJ'!AP62=":",0,'Eurostat EB TJ'!AP62)</f>
        <v>0</v>
      </c>
      <c r="AR54" s="57">
        <f>IF('Eurostat EB TJ'!AQ62=":",0,'Eurostat EB TJ'!AQ62)</f>
        <v>0</v>
      </c>
      <c r="AS54" s="57">
        <f>IF('Eurostat EB TJ'!AR62=":",0,'Eurostat EB TJ'!AR62)</f>
        <v>0</v>
      </c>
      <c r="AT54" s="57">
        <f>IF('Eurostat EB TJ'!AS62=":",0,'Eurostat EB TJ'!AS62)</f>
        <v>0</v>
      </c>
      <c r="AU54" s="57">
        <f>IF('Eurostat EB TJ'!AT62=":",0,'Eurostat EB TJ'!AT62)</f>
        <v>0</v>
      </c>
      <c r="AV54" s="57">
        <f>IF('Eurostat EB TJ'!AU62=":",0,'Eurostat EB TJ'!AU62)</f>
        <v>0</v>
      </c>
      <c r="AW54" s="57">
        <f>IF('Eurostat EB TJ'!AV62=":",0,'Eurostat EB TJ'!AV62)</f>
        <v>0</v>
      </c>
      <c r="AX54" s="57">
        <f>IF('Eurostat EB TJ'!AW62=":",0,'Eurostat EB TJ'!AW62)</f>
        <v>0</v>
      </c>
      <c r="AY54" s="57">
        <f>IF('Eurostat EB TJ'!AX62=":",0,'Eurostat EB TJ'!AX62)</f>
        <v>0</v>
      </c>
      <c r="AZ54" s="57">
        <f>IF('Eurostat EB TJ'!AY62=":",0,'Eurostat EB TJ'!AY62)</f>
        <v>0</v>
      </c>
      <c r="BA54" s="57">
        <f>IF('Eurostat EB TJ'!AZ62=":",0,'Eurostat EB TJ'!AZ62)</f>
        <v>0</v>
      </c>
      <c r="BB54" s="57">
        <f>IF('Eurostat EB TJ'!BA62=":",0,'Eurostat EB TJ'!BA62)</f>
        <v>0</v>
      </c>
      <c r="BC54" s="57">
        <f>IF('Eurostat EB TJ'!BB62=":",0,'Eurostat EB TJ'!BB62)</f>
        <v>0</v>
      </c>
      <c r="BD54" s="57">
        <f>IF('Eurostat EB TJ'!BC62=":",0,'Eurostat EB TJ'!BC62)</f>
        <v>0</v>
      </c>
      <c r="BE54" s="57">
        <f>IF('Eurostat EB TJ'!BD62=":",0,'Eurostat EB TJ'!BD62)</f>
        <v>0</v>
      </c>
      <c r="BF54" s="57">
        <f>IF('Eurostat EB TJ'!BE62=":",0,'Eurostat EB TJ'!BE62)</f>
        <v>0</v>
      </c>
      <c r="BG54" s="57">
        <f>IF('Eurostat EB TJ'!BF62=":",0,'Eurostat EB TJ'!BF62)</f>
        <v>0</v>
      </c>
      <c r="BH54" s="57">
        <f>IF('Eurostat EB TJ'!BG62=":",0,'Eurostat EB TJ'!BG62)</f>
        <v>0</v>
      </c>
      <c r="BI54" s="57">
        <f>IF('Eurostat EB TJ'!BH62=":",0,'Eurostat EB TJ'!BH62)</f>
        <v>0</v>
      </c>
      <c r="BJ54" s="57">
        <f>IF('Eurostat EB TJ'!BI62=":",0,'Eurostat EB TJ'!BI62)</f>
        <v>0</v>
      </c>
      <c r="BK54" s="57">
        <f>IF('Eurostat EB TJ'!BJ62=":",0,'Eurostat EB TJ'!BJ62)</f>
        <v>0</v>
      </c>
      <c r="BL54" s="57">
        <f>IF('Eurostat EB TJ'!BK62=":",0,'Eurostat EB TJ'!BK62)</f>
        <v>0</v>
      </c>
      <c r="BM54" s="57">
        <f>IF('Eurostat EB TJ'!BL62=":",0,'Eurostat EB TJ'!BL62)</f>
        <v>0</v>
      </c>
      <c r="BN54" s="57">
        <f>IF('Eurostat EB TJ'!BM62=":",0,'Eurostat EB TJ'!BM62)</f>
        <v>0</v>
      </c>
      <c r="BO54" s="57">
        <f>IF('Eurostat EB TJ'!BN62=":",0,'Eurostat EB TJ'!BN62)</f>
        <v>0</v>
      </c>
      <c r="BP54" s="57">
        <f>IF('Eurostat EB TJ'!BO62=":",0,'Eurostat EB TJ'!BO62)</f>
        <v>0</v>
      </c>
      <c r="BQ54" s="57">
        <f>IF('Eurostat EB TJ'!BP62=":",0,'Eurostat EB TJ'!BP62)</f>
        <v>0</v>
      </c>
      <c r="BR54" s="57">
        <f>IF('Eurostat EB TJ'!BQ62=":",0,'Eurostat EB TJ'!BQ62)</f>
        <v>0</v>
      </c>
      <c r="BS54" s="57">
        <f>IF('Eurostat EB TJ'!BR62=":",0,'Eurostat EB TJ'!BR62)</f>
        <v>58257.402999999998</v>
      </c>
      <c r="BT54" s="57">
        <f>IF('Eurostat EB TJ'!BS62=":",0,'Eurostat EB TJ'!BS62)</f>
        <v>31806.674999999999</v>
      </c>
      <c r="BU54" s="57">
        <f>IF('Eurostat EB TJ'!BT62=":",0,'Eurostat EB TJ'!BT62)</f>
        <v>10860.61</v>
      </c>
      <c r="BV54" s="57">
        <f>IF('Eurostat EB TJ'!BU62=":",0,'Eurostat EB TJ'!BU62)</f>
        <v>50667.576000000001</v>
      </c>
    </row>
    <row r="55" spans="1:74" x14ac:dyDescent="0.2">
      <c r="A55" s="56" t="s">
        <v>236</v>
      </c>
      <c r="B55" s="17"/>
      <c r="C55" s="17">
        <f>IF('Eurostat EB TJ'!B63=":",0,'Eurostat EB TJ'!B63)</f>
        <v>17195.844000000001</v>
      </c>
      <c r="D55" s="17">
        <f>IF('Eurostat EB TJ'!C63=":",0,'Eurostat EB TJ'!C63)</f>
        <v>0</v>
      </c>
      <c r="E55" s="17">
        <f>IF('Eurostat EB TJ'!D63=":",0,'Eurostat EB TJ'!D63)</f>
        <v>0</v>
      </c>
      <c r="F55" s="17">
        <f>IF('Eurostat EB TJ'!E63=":",0,'Eurostat EB TJ'!E63)</f>
        <v>0</v>
      </c>
      <c r="G55" s="17">
        <f>IF('Eurostat EB TJ'!F63=":",0,'Eurostat EB TJ'!F63)</f>
        <v>0</v>
      </c>
      <c r="H55" s="17">
        <f>IF('Eurostat EB TJ'!G63=":",0,'Eurostat EB TJ'!G63)</f>
        <v>0</v>
      </c>
      <c r="I55" s="17">
        <f>IF('Eurostat EB TJ'!H63=":",0,'Eurostat EB TJ'!H63)</f>
        <v>0</v>
      </c>
      <c r="J55" s="17">
        <f>IF('Eurostat EB TJ'!I63=":",0,'Eurostat EB TJ'!I63)</f>
        <v>0</v>
      </c>
      <c r="K55" s="17">
        <f>IF('Eurostat EB TJ'!J63=":",0,'Eurostat EB TJ'!J63)</f>
        <v>0</v>
      </c>
      <c r="L55" s="17">
        <f>IF('Eurostat EB TJ'!K63=":",0,'Eurostat EB TJ'!K63)</f>
        <v>0</v>
      </c>
      <c r="M55" s="17">
        <f>IF('Eurostat EB TJ'!L63=":",0,'Eurostat EB TJ'!L63)</f>
        <v>0</v>
      </c>
      <c r="N55" s="17">
        <f>IF('Eurostat EB TJ'!M63=":",0,'Eurostat EB TJ'!M63)</f>
        <v>0</v>
      </c>
      <c r="O55" s="17">
        <f>IF('Eurostat EB TJ'!N63=":",0,'Eurostat EB TJ'!N63)</f>
        <v>0</v>
      </c>
      <c r="P55" s="17">
        <f>IF('Eurostat EB TJ'!O63=":",0,'Eurostat EB TJ'!O63)</f>
        <v>0</v>
      </c>
      <c r="Q55" s="17">
        <f>IF('Eurostat EB TJ'!P63=":",0,'Eurostat EB TJ'!P63)</f>
        <v>0</v>
      </c>
      <c r="R55" s="17">
        <f>IF('Eurostat EB TJ'!Q63=":",0,'Eurostat EB TJ'!Q63)</f>
        <v>0</v>
      </c>
      <c r="S55" s="17">
        <f>IF('Eurostat EB TJ'!R63=":",0,'Eurostat EB TJ'!R63)</f>
        <v>0</v>
      </c>
      <c r="T55" s="17">
        <f>IF('Eurostat EB TJ'!S63=":",0,'Eurostat EB TJ'!S63)</f>
        <v>0</v>
      </c>
      <c r="U55" s="17">
        <f>IF('Eurostat EB TJ'!T63=":",0,'Eurostat EB TJ'!T63)</f>
        <v>0</v>
      </c>
      <c r="V55" s="17">
        <f>IF('Eurostat EB TJ'!U63=":",0,'Eurostat EB TJ'!U63)</f>
        <v>0</v>
      </c>
      <c r="W55" s="17">
        <f>IF('Eurostat EB TJ'!V63=":",0,'Eurostat EB TJ'!V63)</f>
        <v>0</v>
      </c>
      <c r="X55" s="17">
        <f>IF('Eurostat EB TJ'!W63=":",0,'Eurostat EB TJ'!W63)</f>
        <v>0</v>
      </c>
      <c r="Y55" s="17">
        <f>IF('Eurostat EB TJ'!X63=":",0,'Eurostat EB TJ'!X63)</f>
        <v>0</v>
      </c>
      <c r="Z55" s="17">
        <f>IF('Eurostat EB TJ'!Y63=":",0,'Eurostat EB TJ'!Y63)</f>
        <v>0</v>
      </c>
      <c r="AA55" s="17">
        <f>IF('Eurostat EB TJ'!Z63=":",0,'Eurostat EB TJ'!Z63)</f>
        <v>0</v>
      </c>
      <c r="AB55" s="17">
        <f>IF('Eurostat EB TJ'!AA63=":",0,'Eurostat EB TJ'!AA63)</f>
        <v>0</v>
      </c>
      <c r="AC55" s="17">
        <f>IF('Eurostat EB TJ'!AB63=":",0,'Eurostat EB TJ'!AB63)</f>
        <v>0</v>
      </c>
      <c r="AD55" s="17">
        <f>IF('Eurostat EB TJ'!AC63=":",0,'Eurostat EB TJ'!AC63)</f>
        <v>0</v>
      </c>
      <c r="AE55" s="17">
        <f>IF('Eurostat EB TJ'!AD63=":",0,'Eurostat EB TJ'!AD63)</f>
        <v>0</v>
      </c>
      <c r="AF55" s="17">
        <f>IF('Eurostat EB TJ'!AE63=":",0,'Eurostat EB TJ'!AE63)</f>
        <v>0</v>
      </c>
      <c r="AG55" s="17">
        <f>IF('Eurostat EB TJ'!AF63=":",0,'Eurostat EB TJ'!AF63)</f>
        <v>0</v>
      </c>
      <c r="AH55" s="17">
        <f>IF('Eurostat EB TJ'!AG63=":",0,'Eurostat EB TJ'!AG63)</f>
        <v>0</v>
      </c>
      <c r="AI55" s="17">
        <f>IF('Eurostat EB TJ'!AH63=":",0,'Eurostat EB TJ'!AH63)</f>
        <v>0</v>
      </c>
      <c r="AJ55" s="17">
        <f>IF('Eurostat EB TJ'!AI63=":",0,'Eurostat EB TJ'!AI63)</f>
        <v>0</v>
      </c>
      <c r="AK55" s="17">
        <f>IF('Eurostat EB TJ'!AJ63=":",0,'Eurostat EB TJ'!AJ63)</f>
        <v>0</v>
      </c>
      <c r="AL55" s="17">
        <f>IF('Eurostat EB TJ'!AK63=":",0,'Eurostat EB TJ'!AK63)</f>
        <v>0</v>
      </c>
      <c r="AM55" s="17">
        <f>IF('Eurostat EB TJ'!AL63=":",0,'Eurostat EB TJ'!AL63)</f>
        <v>0</v>
      </c>
      <c r="AN55" s="17">
        <f>IF('Eurostat EB TJ'!AM63=":",0,'Eurostat EB TJ'!AM63)</f>
        <v>0</v>
      </c>
      <c r="AO55" s="17">
        <f>IF('Eurostat EB TJ'!AN63=":",0,'Eurostat EB TJ'!AN63)</f>
        <v>0</v>
      </c>
      <c r="AP55" s="17">
        <f>IF('Eurostat EB TJ'!AO63=":",0,'Eurostat EB TJ'!AO63)</f>
        <v>0</v>
      </c>
      <c r="AQ55" s="17">
        <f>IF('Eurostat EB TJ'!AP63=":",0,'Eurostat EB TJ'!AP63)</f>
        <v>0</v>
      </c>
      <c r="AR55" s="17">
        <f>IF('Eurostat EB TJ'!AQ63=":",0,'Eurostat EB TJ'!AQ63)</f>
        <v>0</v>
      </c>
      <c r="AS55" s="17">
        <f>IF('Eurostat EB TJ'!AR63=":",0,'Eurostat EB TJ'!AR63)</f>
        <v>0</v>
      </c>
      <c r="AT55" s="17">
        <f>IF('Eurostat EB TJ'!AS63=":",0,'Eurostat EB TJ'!AS63)</f>
        <v>0</v>
      </c>
      <c r="AU55" s="17">
        <f>IF('Eurostat EB TJ'!AT63=":",0,'Eurostat EB TJ'!AT63)</f>
        <v>0</v>
      </c>
      <c r="AV55" s="17">
        <f>IF('Eurostat EB TJ'!AU63=":",0,'Eurostat EB TJ'!AU63)</f>
        <v>0</v>
      </c>
      <c r="AW55" s="17">
        <f>IF('Eurostat EB TJ'!AV63=":",0,'Eurostat EB TJ'!AV63)</f>
        <v>0</v>
      </c>
      <c r="AX55" s="17">
        <f>IF('Eurostat EB TJ'!AW63=":",0,'Eurostat EB TJ'!AW63)</f>
        <v>0</v>
      </c>
      <c r="AY55" s="17">
        <f>IF('Eurostat EB TJ'!AX63=":",0,'Eurostat EB TJ'!AX63)</f>
        <v>0</v>
      </c>
      <c r="AZ55" s="17">
        <f>IF('Eurostat EB TJ'!AY63=":",0,'Eurostat EB TJ'!AY63)</f>
        <v>0</v>
      </c>
      <c r="BA55" s="17">
        <f>IF('Eurostat EB TJ'!AZ63=":",0,'Eurostat EB TJ'!AZ63)</f>
        <v>0</v>
      </c>
      <c r="BB55" s="17">
        <f>IF('Eurostat EB TJ'!BA63=":",0,'Eurostat EB TJ'!BA63)</f>
        <v>0</v>
      </c>
      <c r="BC55" s="17">
        <f>IF('Eurostat EB TJ'!BB63=":",0,'Eurostat EB TJ'!BB63)</f>
        <v>0</v>
      </c>
      <c r="BD55" s="17">
        <f>IF('Eurostat EB TJ'!BC63=":",0,'Eurostat EB TJ'!BC63)</f>
        <v>0</v>
      </c>
      <c r="BE55" s="17">
        <f>IF('Eurostat EB TJ'!BD63=":",0,'Eurostat EB TJ'!BD63)</f>
        <v>0</v>
      </c>
      <c r="BF55" s="17">
        <f>IF('Eurostat EB TJ'!BE63=":",0,'Eurostat EB TJ'!BE63)</f>
        <v>0</v>
      </c>
      <c r="BG55" s="17">
        <f>IF('Eurostat EB TJ'!BF63=":",0,'Eurostat EB TJ'!BF63)</f>
        <v>0</v>
      </c>
      <c r="BH55" s="17">
        <f>IF('Eurostat EB TJ'!BG63=":",0,'Eurostat EB TJ'!BG63)</f>
        <v>0</v>
      </c>
      <c r="BI55" s="17">
        <f>IF('Eurostat EB TJ'!BH63=":",0,'Eurostat EB TJ'!BH63)</f>
        <v>0</v>
      </c>
      <c r="BJ55" s="17">
        <f>IF('Eurostat EB TJ'!BI63=":",0,'Eurostat EB TJ'!BI63)</f>
        <v>0</v>
      </c>
      <c r="BK55" s="17">
        <f>IF('Eurostat EB TJ'!BJ63=":",0,'Eurostat EB TJ'!BJ63)</f>
        <v>0</v>
      </c>
      <c r="BL55" s="17">
        <f>IF('Eurostat EB TJ'!BK63=":",0,'Eurostat EB TJ'!BK63)</f>
        <v>0</v>
      </c>
      <c r="BM55" s="17">
        <f>IF('Eurostat EB TJ'!BL63=":",0,'Eurostat EB TJ'!BL63)</f>
        <v>0</v>
      </c>
      <c r="BN55" s="17">
        <f>IF('Eurostat EB TJ'!BM63=":",0,'Eurostat EB TJ'!BM63)</f>
        <v>0</v>
      </c>
      <c r="BO55" s="17">
        <f>IF('Eurostat EB TJ'!BN63=":",0,'Eurostat EB TJ'!BN63)</f>
        <v>0</v>
      </c>
      <c r="BP55" s="17">
        <f>IF('Eurostat EB TJ'!BO63=":",0,'Eurostat EB TJ'!BO63)</f>
        <v>0</v>
      </c>
      <c r="BQ55" s="17">
        <f>IF('Eurostat EB TJ'!BP63=":",0,'Eurostat EB TJ'!BP63)</f>
        <v>0</v>
      </c>
      <c r="BR55" s="17">
        <f>IF('Eurostat EB TJ'!BQ63=":",0,'Eurostat EB TJ'!BQ63)</f>
        <v>0</v>
      </c>
      <c r="BS55" s="17">
        <f>IF('Eurostat EB TJ'!BR63=":",0,'Eurostat EB TJ'!BR63)</f>
        <v>0</v>
      </c>
      <c r="BT55" s="17">
        <f>IF('Eurostat EB TJ'!BS63=":",0,'Eurostat EB TJ'!BS63)</f>
        <v>17195.844000000001</v>
      </c>
      <c r="BU55" s="17">
        <f>IF('Eurostat EB TJ'!BT63=":",0,'Eurostat EB TJ'!BT63)</f>
        <v>3774.819</v>
      </c>
      <c r="BV55" s="17">
        <f>IF('Eurostat EB TJ'!BU63=":",0,'Eurostat EB TJ'!BU63)</f>
        <v>11940.821</v>
      </c>
    </row>
    <row r="56" spans="1:74" x14ac:dyDescent="0.2">
      <c r="A56" s="56" t="s">
        <v>237</v>
      </c>
      <c r="B56" s="57"/>
      <c r="C56" s="57">
        <f>IF('Eurostat EB TJ'!B64=":",0,'Eurostat EB TJ'!B64)</f>
        <v>65848.452999999994</v>
      </c>
      <c r="D56" s="57">
        <f>IF('Eurostat EB TJ'!C64=":",0,'Eurostat EB TJ'!C64)</f>
        <v>0</v>
      </c>
      <c r="E56" s="57">
        <f>IF('Eurostat EB TJ'!D64=":",0,'Eurostat EB TJ'!D64)</f>
        <v>0</v>
      </c>
      <c r="F56" s="57">
        <f>IF('Eurostat EB TJ'!E64=":",0,'Eurostat EB TJ'!E64)</f>
        <v>0</v>
      </c>
      <c r="G56" s="57">
        <f>IF('Eurostat EB TJ'!F64=":",0,'Eurostat EB TJ'!F64)</f>
        <v>0</v>
      </c>
      <c r="H56" s="57">
        <f>IF('Eurostat EB TJ'!G64=":",0,'Eurostat EB TJ'!G64)</f>
        <v>0</v>
      </c>
      <c r="I56" s="57">
        <f>IF('Eurostat EB TJ'!H64=":",0,'Eurostat EB TJ'!H64)</f>
        <v>0</v>
      </c>
      <c r="J56" s="57">
        <f>IF('Eurostat EB TJ'!I64=":",0,'Eurostat EB TJ'!I64)</f>
        <v>0</v>
      </c>
      <c r="K56" s="57">
        <f>IF('Eurostat EB TJ'!J64=":",0,'Eurostat EB TJ'!J64)</f>
        <v>0</v>
      </c>
      <c r="L56" s="57">
        <f>IF('Eurostat EB TJ'!K64=":",0,'Eurostat EB TJ'!K64)</f>
        <v>0</v>
      </c>
      <c r="M56" s="57">
        <f>IF('Eurostat EB TJ'!L64=":",0,'Eurostat EB TJ'!L64)</f>
        <v>0</v>
      </c>
      <c r="N56" s="57">
        <f>IF('Eurostat EB TJ'!M64=":",0,'Eurostat EB TJ'!M64)</f>
        <v>0</v>
      </c>
      <c r="O56" s="57">
        <f>IF('Eurostat EB TJ'!N64=":",0,'Eurostat EB TJ'!N64)</f>
        <v>0</v>
      </c>
      <c r="P56" s="57">
        <f>IF('Eurostat EB TJ'!O64=":",0,'Eurostat EB TJ'!O64)</f>
        <v>0</v>
      </c>
      <c r="Q56" s="57">
        <f>IF('Eurostat EB TJ'!P64=":",0,'Eurostat EB TJ'!P64)</f>
        <v>0</v>
      </c>
      <c r="R56" s="57">
        <f>IF('Eurostat EB TJ'!Q64=":",0,'Eurostat EB TJ'!Q64)</f>
        <v>0</v>
      </c>
      <c r="S56" s="57">
        <f>IF('Eurostat EB TJ'!R64=":",0,'Eurostat EB TJ'!R64)</f>
        <v>0</v>
      </c>
      <c r="T56" s="57">
        <f>IF('Eurostat EB TJ'!S64=":",0,'Eurostat EB TJ'!S64)</f>
        <v>0</v>
      </c>
      <c r="U56" s="57">
        <f>IF('Eurostat EB TJ'!T64=":",0,'Eurostat EB TJ'!T64)</f>
        <v>0</v>
      </c>
      <c r="V56" s="57">
        <f>IF('Eurostat EB TJ'!U64=":",0,'Eurostat EB TJ'!U64)</f>
        <v>0</v>
      </c>
      <c r="W56" s="57">
        <f>IF('Eurostat EB TJ'!V64=":",0,'Eurostat EB TJ'!V64)</f>
        <v>0</v>
      </c>
      <c r="X56" s="57">
        <f>IF('Eurostat EB TJ'!W64=":",0,'Eurostat EB TJ'!W64)</f>
        <v>0</v>
      </c>
      <c r="Y56" s="57">
        <f>IF('Eurostat EB TJ'!X64=":",0,'Eurostat EB TJ'!X64)</f>
        <v>0</v>
      </c>
      <c r="Z56" s="57">
        <f>IF('Eurostat EB TJ'!Y64=":",0,'Eurostat EB TJ'!Y64)</f>
        <v>0</v>
      </c>
      <c r="AA56" s="57">
        <f>IF('Eurostat EB TJ'!Z64=":",0,'Eurostat EB TJ'!Z64)</f>
        <v>0</v>
      </c>
      <c r="AB56" s="57">
        <f>IF('Eurostat EB TJ'!AA64=":",0,'Eurostat EB TJ'!AA64)</f>
        <v>0</v>
      </c>
      <c r="AC56" s="57">
        <f>IF('Eurostat EB TJ'!AB64=":",0,'Eurostat EB TJ'!AB64)</f>
        <v>0</v>
      </c>
      <c r="AD56" s="57">
        <f>IF('Eurostat EB TJ'!AC64=":",0,'Eurostat EB TJ'!AC64)</f>
        <v>0</v>
      </c>
      <c r="AE56" s="57">
        <f>IF('Eurostat EB TJ'!AD64=":",0,'Eurostat EB TJ'!AD64)</f>
        <v>0</v>
      </c>
      <c r="AF56" s="57">
        <f>IF('Eurostat EB TJ'!AE64=":",0,'Eurostat EB TJ'!AE64)</f>
        <v>0</v>
      </c>
      <c r="AG56" s="57">
        <f>IF('Eurostat EB TJ'!AF64=":",0,'Eurostat EB TJ'!AF64)</f>
        <v>0</v>
      </c>
      <c r="AH56" s="57">
        <f>IF('Eurostat EB TJ'!AG64=":",0,'Eurostat EB TJ'!AG64)</f>
        <v>0</v>
      </c>
      <c r="AI56" s="57">
        <f>IF('Eurostat EB TJ'!AH64=":",0,'Eurostat EB TJ'!AH64)</f>
        <v>0</v>
      </c>
      <c r="AJ56" s="57">
        <f>IF('Eurostat EB TJ'!AI64=":",0,'Eurostat EB TJ'!AI64)</f>
        <v>0</v>
      </c>
      <c r="AK56" s="57">
        <f>IF('Eurostat EB TJ'!AJ64=":",0,'Eurostat EB TJ'!AJ64)</f>
        <v>0</v>
      </c>
      <c r="AL56" s="57">
        <f>IF('Eurostat EB TJ'!AK64=":",0,'Eurostat EB TJ'!AK64)</f>
        <v>0</v>
      </c>
      <c r="AM56" s="57">
        <f>IF('Eurostat EB TJ'!AL64=":",0,'Eurostat EB TJ'!AL64)</f>
        <v>0</v>
      </c>
      <c r="AN56" s="57">
        <f>IF('Eurostat EB TJ'!AM64=":",0,'Eurostat EB TJ'!AM64)</f>
        <v>0</v>
      </c>
      <c r="AO56" s="57">
        <f>IF('Eurostat EB TJ'!AN64=":",0,'Eurostat EB TJ'!AN64)</f>
        <v>0</v>
      </c>
      <c r="AP56" s="57">
        <f>IF('Eurostat EB TJ'!AO64=":",0,'Eurostat EB TJ'!AO64)</f>
        <v>0</v>
      </c>
      <c r="AQ56" s="57">
        <f>IF('Eurostat EB TJ'!AP64=":",0,'Eurostat EB TJ'!AP64)</f>
        <v>0</v>
      </c>
      <c r="AR56" s="57">
        <f>IF('Eurostat EB TJ'!AQ64=":",0,'Eurostat EB TJ'!AQ64)</f>
        <v>0</v>
      </c>
      <c r="AS56" s="57">
        <f>IF('Eurostat EB TJ'!AR64=":",0,'Eurostat EB TJ'!AR64)</f>
        <v>0</v>
      </c>
      <c r="AT56" s="57">
        <f>IF('Eurostat EB TJ'!AS64=":",0,'Eurostat EB TJ'!AS64)</f>
        <v>0</v>
      </c>
      <c r="AU56" s="57">
        <f>IF('Eurostat EB TJ'!AT64=":",0,'Eurostat EB TJ'!AT64)</f>
        <v>0</v>
      </c>
      <c r="AV56" s="57">
        <f>IF('Eurostat EB TJ'!AU64=":",0,'Eurostat EB TJ'!AU64)</f>
        <v>0</v>
      </c>
      <c r="AW56" s="57">
        <f>IF('Eurostat EB TJ'!AV64=":",0,'Eurostat EB TJ'!AV64)</f>
        <v>0</v>
      </c>
      <c r="AX56" s="57">
        <f>IF('Eurostat EB TJ'!AW64=":",0,'Eurostat EB TJ'!AW64)</f>
        <v>0</v>
      </c>
      <c r="AY56" s="57">
        <f>IF('Eurostat EB TJ'!AX64=":",0,'Eurostat EB TJ'!AX64)</f>
        <v>0</v>
      </c>
      <c r="AZ56" s="57">
        <f>IF('Eurostat EB TJ'!AY64=":",0,'Eurostat EB TJ'!AY64)</f>
        <v>0</v>
      </c>
      <c r="BA56" s="57">
        <f>IF('Eurostat EB TJ'!AZ64=":",0,'Eurostat EB TJ'!AZ64)</f>
        <v>0</v>
      </c>
      <c r="BB56" s="57">
        <f>IF('Eurostat EB TJ'!BA64=":",0,'Eurostat EB TJ'!BA64)</f>
        <v>0</v>
      </c>
      <c r="BC56" s="57">
        <f>IF('Eurostat EB TJ'!BB64=":",0,'Eurostat EB TJ'!BB64)</f>
        <v>0</v>
      </c>
      <c r="BD56" s="57">
        <f>IF('Eurostat EB TJ'!BC64=":",0,'Eurostat EB TJ'!BC64)</f>
        <v>0</v>
      </c>
      <c r="BE56" s="57">
        <f>IF('Eurostat EB TJ'!BD64=":",0,'Eurostat EB TJ'!BD64)</f>
        <v>0</v>
      </c>
      <c r="BF56" s="57">
        <f>IF('Eurostat EB TJ'!BE64=":",0,'Eurostat EB TJ'!BE64)</f>
        <v>0</v>
      </c>
      <c r="BG56" s="57">
        <f>IF('Eurostat EB TJ'!BF64=":",0,'Eurostat EB TJ'!BF64)</f>
        <v>0</v>
      </c>
      <c r="BH56" s="57">
        <f>IF('Eurostat EB TJ'!BG64=":",0,'Eurostat EB TJ'!BG64)</f>
        <v>0</v>
      </c>
      <c r="BI56" s="57">
        <f>IF('Eurostat EB TJ'!BH64=":",0,'Eurostat EB TJ'!BH64)</f>
        <v>0</v>
      </c>
      <c r="BJ56" s="57">
        <f>IF('Eurostat EB TJ'!BI64=":",0,'Eurostat EB TJ'!BI64)</f>
        <v>0</v>
      </c>
      <c r="BK56" s="57">
        <f>IF('Eurostat EB TJ'!BJ64=":",0,'Eurostat EB TJ'!BJ64)</f>
        <v>0</v>
      </c>
      <c r="BL56" s="57">
        <f>IF('Eurostat EB TJ'!BK64=":",0,'Eurostat EB TJ'!BK64)</f>
        <v>0</v>
      </c>
      <c r="BM56" s="57">
        <f>IF('Eurostat EB TJ'!BL64=":",0,'Eurostat EB TJ'!BL64)</f>
        <v>0</v>
      </c>
      <c r="BN56" s="57">
        <f>IF('Eurostat EB TJ'!BM64=":",0,'Eurostat EB TJ'!BM64)</f>
        <v>0</v>
      </c>
      <c r="BO56" s="57">
        <f>IF('Eurostat EB TJ'!BN64=":",0,'Eurostat EB TJ'!BN64)</f>
        <v>0</v>
      </c>
      <c r="BP56" s="57">
        <f>IF('Eurostat EB TJ'!BO64=":",0,'Eurostat EB TJ'!BO64)</f>
        <v>0</v>
      </c>
      <c r="BQ56" s="57">
        <f>IF('Eurostat EB TJ'!BP64=":",0,'Eurostat EB TJ'!BP64)</f>
        <v>0</v>
      </c>
      <c r="BR56" s="57">
        <f>IF('Eurostat EB TJ'!BQ64=":",0,'Eurostat EB TJ'!BQ64)</f>
        <v>0</v>
      </c>
      <c r="BS56" s="57">
        <f>IF('Eurostat EB TJ'!BR64=":",0,'Eurostat EB TJ'!BR64)</f>
        <v>65848.452999999994</v>
      </c>
      <c r="BT56" s="57">
        <f>IF('Eurostat EB TJ'!BS64=":",0,'Eurostat EB TJ'!BS64)</f>
        <v>0</v>
      </c>
      <c r="BU56" s="57">
        <f>IF('Eurostat EB TJ'!BT64=":",0,'Eurostat EB TJ'!BT64)</f>
        <v>4383.799</v>
      </c>
      <c r="BV56" s="57">
        <f>IF('Eurostat EB TJ'!BU64=":",0,'Eurostat EB TJ'!BU64)</f>
        <v>32305.125</v>
      </c>
    </row>
    <row r="57" spans="1:74" x14ac:dyDescent="0.2">
      <c r="A57" s="56" t="s">
        <v>238</v>
      </c>
      <c r="B57" s="17"/>
      <c r="C57" s="17">
        <f>IF('Eurostat EB TJ'!B65=":",0,'Eurostat EB TJ'!B65)</f>
        <v>111897.534</v>
      </c>
      <c r="D57" s="17">
        <f>IF('Eurostat EB TJ'!C65=":",0,'Eurostat EB TJ'!C65)</f>
        <v>0</v>
      </c>
      <c r="E57" s="17">
        <f>IF('Eurostat EB TJ'!D65=":",0,'Eurostat EB TJ'!D65)</f>
        <v>0</v>
      </c>
      <c r="F57" s="17">
        <f>IF('Eurostat EB TJ'!E65=":",0,'Eurostat EB TJ'!E65)</f>
        <v>0</v>
      </c>
      <c r="G57" s="17">
        <f>IF('Eurostat EB TJ'!F65=":",0,'Eurostat EB TJ'!F65)</f>
        <v>0</v>
      </c>
      <c r="H57" s="17">
        <f>IF('Eurostat EB TJ'!G65=":",0,'Eurostat EB TJ'!G65)</f>
        <v>0</v>
      </c>
      <c r="I57" s="17">
        <f>IF('Eurostat EB TJ'!H65=":",0,'Eurostat EB TJ'!H65)</f>
        <v>0</v>
      </c>
      <c r="J57" s="17">
        <f>IF('Eurostat EB TJ'!I65=":",0,'Eurostat EB TJ'!I65)</f>
        <v>0</v>
      </c>
      <c r="K57" s="17">
        <f>IF('Eurostat EB TJ'!J65=":",0,'Eurostat EB TJ'!J65)</f>
        <v>0</v>
      </c>
      <c r="L57" s="17">
        <f>IF('Eurostat EB TJ'!K65=":",0,'Eurostat EB TJ'!K65)</f>
        <v>0</v>
      </c>
      <c r="M57" s="17">
        <f>IF('Eurostat EB TJ'!L65=":",0,'Eurostat EB TJ'!L65)</f>
        <v>0</v>
      </c>
      <c r="N57" s="17">
        <f>IF('Eurostat EB TJ'!M65=":",0,'Eurostat EB TJ'!M65)</f>
        <v>0</v>
      </c>
      <c r="O57" s="17">
        <f>IF('Eurostat EB TJ'!N65=":",0,'Eurostat EB TJ'!N65)</f>
        <v>0</v>
      </c>
      <c r="P57" s="17">
        <f>IF('Eurostat EB TJ'!O65=":",0,'Eurostat EB TJ'!O65)</f>
        <v>0</v>
      </c>
      <c r="Q57" s="17">
        <f>IF('Eurostat EB TJ'!P65=":",0,'Eurostat EB TJ'!P65)</f>
        <v>0</v>
      </c>
      <c r="R57" s="17">
        <f>IF('Eurostat EB TJ'!Q65=":",0,'Eurostat EB TJ'!Q65)</f>
        <v>0</v>
      </c>
      <c r="S57" s="17">
        <f>IF('Eurostat EB TJ'!R65=":",0,'Eurostat EB TJ'!R65)</f>
        <v>0</v>
      </c>
      <c r="T57" s="17">
        <f>IF('Eurostat EB TJ'!S65=":",0,'Eurostat EB TJ'!S65)</f>
        <v>0</v>
      </c>
      <c r="U57" s="17">
        <f>IF('Eurostat EB TJ'!T65=":",0,'Eurostat EB TJ'!T65)</f>
        <v>0</v>
      </c>
      <c r="V57" s="17">
        <f>IF('Eurostat EB TJ'!U65=":",0,'Eurostat EB TJ'!U65)</f>
        <v>0</v>
      </c>
      <c r="W57" s="17">
        <f>IF('Eurostat EB TJ'!V65=":",0,'Eurostat EB TJ'!V65)</f>
        <v>0</v>
      </c>
      <c r="X57" s="17">
        <f>IF('Eurostat EB TJ'!W65=":",0,'Eurostat EB TJ'!W65)</f>
        <v>0</v>
      </c>
      <c r="Y57" s="17">
        <f>IF('Eurostat EB TJ'!X65=":",0,'Eurostat EB TJ'!X65)</f>
        <v>0</v>
      </c>
      <c r="Z57" s="17">
        <f>IF('Eurostat EB TJ'!Y65=":",0,'Eurostat EB TJ'!Y65)</f>
        <v>0</v>
      </c>
      <c r="AA57" s="17">
        <f>IF('Eurostat EB TJ'!Z65=":",0,'Eurostat EB TJ'!Z65)</f>
        <v>0</v>
      </c>
      <c r="AB57" s="17">
        <f>IF('Eurostat EB TJ'!AA65=":",0,'Eurostat EB TJ'!AA65)</f>
        <v>0</v>
      </c>
      <c r="AC57" s="17">
        <f>IF('Eurostat EB TJ'!AB65=":",0,'Eurostat EB TJ'!AB65)</f>
        <v>0</v>
      </c>
      <c r="AD57" s="17">
        <f>IF('Eurostat EB TJ'!AC65=":",0,'Eurostat EB TJ'!AC65)</f>
        <v>0</v>
      </c>
      <c r="AE57" s="17">
        <f>IF('Eurostat EB TJ'!AD65=":",0,'Eurostat EB TJ'!AD65)</f>
        <v>0</v>
      </c>
      <c r="AF57" s="17">
        <f>IF('Eurostat EB TJ'!AE65=":",0,'Eurostat EB TJ'!AE65)</f>
        <v>0</v>
      </c>
      <c r="AG57" s="17">
        <f>IF('Eurostat EB TJ'!AF65=":",0,'Eurostat EB TJ'!AF65)</f>
        <v>0</v>
      </c>
      <c r="AH57" s="17">
        <f>IF('Eurostat EB TJ'!AG65=":",0,'Eurostat EB TJ'!AG65)</f>
        <v>0</v>
      </c>
      <c r="AI57" s="17">
        <f>IF('Eurostat EB TJ'!AH65=":",0,'Eurostat EB TJ'!AH65)</f>
        <v>0</v>
      </c>
      <c r="AJ57" s="17">
        <f>IF('Eurostat EB TJ'!AI65=":",0,'Eurostat EB TJ'!AI65)</f>
        <v>0</v>
      </c>
      <c r="AK57" s="17">
        <f>IF('Eurostat EB TJ'!AJ65=":",0,'Eurostat EB TJ'!AJ65)</f>
        <v>0</v>
      </c>
      <c r="AL57" s="17">
        <f>IF('Eurostat EB TJ'!AK65=":",0,'Eurostat EB TJ'!AK65)</f>
        <v>0</v>
      </c>
      <c r="AM57" s="17">
        <f>IF('Eurostat EB TJ'!AL65=":",0,'Eurostat EB TJ'!AL65)</f>
        <v>0</v>
      </c>
      <c r="AN57" s="17">
        <f>IF('Eurostat EB TJ'!AM65=":",0,'Eurostat EB TJ'!AM65)</f>
        <v>0</v>
      </c>
      <c r="AO57" s="17">
        <f>IF('Eurostat EB TJ'!AN65=":",0,'Eurostat EB TJ'!AN65)</f>
        <v>0</v>
      </c>
      <c r="AP57" s="17">
        <f>IF('Eurostat EB TJ'!AO65=":",0,'Eurostat EB TJ'!AO65)</f>
        <v>0</v>
      </c>
      <c r="AQ57" s="17">
        <f>IF('Eurostat EB TJ'!AP65=":",0,'Eurostat EB TJ'!AP65)</f>
        <v>0</v>
      </c>
      <c r="AR57" s="17">
        <f>IF('Eurostat EB TJ'!AQ65=":",0,'Eurostat EB TJ'!AQ65)</f>
        <v>0</v>
      </c>
      <c r="AS57" s="17">
        <f>IF('Eurostat EB TJ'!AR65=":",0,'Eurostat EB TJ'!AR65)</f>
        <v>0</v>
      </c>
      <c r="AT57" s="17">
        <f>IF('Eurostat EB TJ'!AS65=":",0,'Eurostat EB TJ'!AS65)</f>
        <v>0</v>
      </c>
      <c r="AU57" s="17">
        <f>IF('Eurostat EB TJ'!AT65=":",0,'Eurostat EB TJ'!AT65)</f>
        <v>0</v>
      </c>
      <c r="AV57" s="17">
        <f>IF('Eurostat EB TJ'!AU65=":",0,'Eurostat EB TJ'!AU65)</f>
        <v>0</v>
      </c>
      <c r="AW57" s="17">
        <f>IF('Eurostat EB TJ'!AV65=":",0,'Eurostat EB TJ'!AV65)</f>
        <v>0</v>
      </c>
      <c r="AX57" s="17">
        <f>IF('Eurostat EB TJ'!AW65=":",0,'Eurostat EB TJ'!AW65)</f>
        <v>0</v>
      </c>
      <c r="AY57" s="17">
        <f>IF('Eurostat EB TJ'!AX65=":",0,'Eurostat EB TJ'!AX65)</f>
        <v>0</v>
      </c>
      <c r="AZ57" s="17">
        <f>IF('Eurostat EB TJ'!AY65=":",0,'Eurostat EB TJ'!AY65)</f>
        <v>0</v>
      </c>
      <c r="BA57" s="17">
        <f>IF('Eurostat EB TJ'!AZ65=":",0,'Eurostat EB TJ'!AZ65)</f>
        <v>0</v>
      </c>
      <c r="BB57" s="17">
        <f>IF('Eurostat EB TJ'!BA65=":",0,'Eurostat EB TJ'!BA65)</f>
        <v>0</v>
      </c>
      <c r="BC57" s="17">
        <f>IF('Eurostat EB TJ'!BB65=":",0,'Eurostat EB TJ'!BB65)</f>
        <v>0</v>
      </c>
      <c r="BD57" s="17">
        <f>IF('Eurostat EB TJ'!BC65=":",0,'Eurostat EB TJ'!BC65)</f>
        <v>0</v>
      </c>
      <c r="BE57" s="17">
        <f>IF('Eurostat EB TJ'!BD65=":",0,'Eurostat EB TJ'!BD65)</f>
        <v>0</v>
      </c>
      <c r="BF57" s="17">
        <f>IF('Eurostat EB TJ'!BE65=":",0,'Eurostat EB TJ'!BE65)</f>
        <v>0</v>
      </c>
      <c r="BG57" s="17">
        <f>IF('Eurostat EB TJ'!BF65=":",0,'Eurostat EB TJ'!BF65)</f>
        <v>0</v>
      </c>
      <c r="BH57" s="17">
        <f>IF('Eurostat EB TJ'!BG65=":",0,'Eurostat EB TJ'!BG65)</f>
        <v>0</v>
      </c>
      <c r="BI57" s="17">
        <f>IF('Eurostat EB TJ'!BH65=":",0,'Eurostat EB TJ'!BH65)</f>
        <v>0</v>
      </c>
      <c r="BJ57" s="17">
        <f>IF('Eurostat EB TJ'!BI65=":",0,'Eurostat EB TJ'!BI65)</f>
        <v>0</v>
      </c>
      <c r="BK57" s="17">
        <f>IF('Eurostat EB TJ'!BJ65=":",0,'Eurostat EB TJ'!BJ65)</f>
        <v>0</v>
      </c>
      <c r="BL57" s="17">
        <f>IF('Eurostat EB TJ'!BK65=":",0,'Eurostat EB TJ'!BK65)</f>
        <v>0</v>
      </c>
      <c r="BM57" s="17">
        <f>IF('Eurostat EB TJ'!BL65=":",0,'Eurostat EB TJ'!BL65)</f>
        <v>0</v>
      </c>
      <c r="BN57" s="17">
        <f>IF('Eurostat EB TJ'!BM65=":",0,'Eurostat EB TJ'!BM65)</f>
        <v>0</v>
      </c>
      <c r="BO57" s="17">
        <f>IF('Eurostat EB TJ'!BN65=":",0,'Eurostat EB TJ'!BN65)</f>
        <v>0</v>
      </c>
      <c r="BP57" s="17">
        <f>IF('Eurostat EB TJ'!BO65=":",0,'Eurostat EB TJ'!BO65)</f>
        <v>0</v>
      </c>
      <c r="BQ57" s="17">
        <f>IF('Eurostat EB TJ'!BP65=":",0,'Eurostat EB TJ'!BP65)</f>
        <v>0</v>
      </c>
      <c r="BR57" s="17">
        <f>IF('Eurostat EB TJ'!BQ65=":",0,'Eurostat EB TJ'!BQ65)</f>
        <v>0</v>
      </c>
      <c r="BS57" s="17">
        <f>IF('Eurostat EB TJ'!BR65=":",0,'Eurostat EB TJ'!BR65)</f>
        <v>78532.501999999993</v>
      </c>
      <c r="BT57" s="17">
        <f>IF('Eurostat EB TJ'!BS65=":",0,'Eurostat EB TJ'!BS65)</f>
        <v>33365.031999999999</v>
      </c>
      <c r="BU57" s="17">
        <f>IF('Eurostat EB TJ'!BT65=":",0,'Eurostat EB TJ'!BT65)</f>
        <v>12552.495999999999</v>
      </c>
      <c r="BV57" s="17">
        <f>IF('Eurostat EB TJ'!BU65=":",0,'Eurostat EB TJ'!BU65)</f>
        <v>61696.627</v>
      </c>
    </row>
    <row r="58" spans="1:74" x14ac:dyDescent="0.2">
      <c r="A58" s="56" t="s">
        <v>239</v>
      </c>
      <c r="B58" s="57"/>
      <c r="C58" s="57">
        <f>IF('Eurostat EB TJ'!B66=":",0,'Eurostat EB TJ'!B66)</f>
        <v>2900.4920000000002</v>
      </c>
      <c r="D58" s="57">
        <f>IF('Eurostat EB TJ'!C66=":",0,'Eurostat EB TJ'!C66)</f>
        <v>0</v>
      </c>
      <c r="E58" s="57">
        <f>IF('Eurostat EB TJ'!D66=":",0,'Eurostat EB TJ'!D66)</f>
        <v>0</v>
      </c>
      <c r="F58" s="57">
        <f>IF('Eurostat EB TJ'!E66=":",0,'Eurostat EB TJ'!E66)</f>
        <v>0</v>
      </c>
      <c r="G58" s="57">
        <f>IF('Eurostat EB TJ'!F66=":",0,'Eurostat EB TJ'!F66)</f>
        <v>0</v>
      </c>
      <c r="H58" s="57">
        <f>IF('Eurostat EB TJ'!G66=":",0,'Eurostat EB TJ'!G66)</f>
        <v>0</v>
      </c>
      <c r="I58" s="57">
        <f>IF('Eurostat EB TJ'!H66=":",0,'Eurostat EB TJ'!H66)</f>
        <v>0</v>
      </c>
      <c r="J58" s="57">
        <f>IF('Eurostat EB TJ'!I66=":",0,'Eurostat EB TJ'!I66)</f>
        <v>0</v>
      </c>
      <c r="K58" s="57">
        <f>IF('Eurostat EB TJ'!J66=":",0,'Eurostat EB TJ'!J66)</f>
        <v>0</v>
      </c>
      <c r="L58" s="57">
        <f>IF('Eurostat EB TJ'!K66=":",0,'Eurostat EB TJ'!K66)</f>
        <v>0</v>
      </c>
      <c r="M58" s="57">
        <f>IF('Eurostat EB TJ'!L66=":",0,'Eurostat EB TJ'!L66)</f>
        <v>0</v>
      </c>
      <c r="N58" s="57">
        <f>IF('Eurostat EB TJ'!M66=":",0,'Eurostat EB TJ'!M66)</f>
        <v>0</v>
      </c>
      <c r="O58" s="57">
        <f>IF('Eurostat EB TJ'!N66=":",0,'Eurostat EB TJ'!N66)</f>
        <v>0</v>
      </c>
      <c r="P58" s="57">
        <f>IF('Eurostat EB TJ'!O66=":",0,'Eurostat EB TJ'!O66)</f>
        <v>0</v>
      </c>
      <c r="Q58" s="57">
        <f>IF('Eurostat EB TJ'!P66=":",0,'Eurostat EB TJ'!P66)</f>
        <v>0</v>
      </c>
      <c r="R58" s="57">
        <f>IF('Eurostat EB TJ'!Q66=":",0,'Eurostat EB TJ'!Q66)</f>
        <v>0</v>
      </c>
      <c r="S58" s="57">
        <f>IF('Eurostat EB TJ'!R66=":",0,'Eurostat EB TJ'!R66)</f>
        <v>0</v>
      </c>
      <c r="T58" s="57">
        <f>IF('Eurostat EB TJ'!S66=":",0,'Eurostat EB TJ'!S66)</f>
        <v>0</v>
      </c>
      <c r="U58" s="57">
        <f>IF('Eurostat EB TJ'!T66=":",0,'Eurostat EB TJ'!T66)</f>
        <v>0</v>
      </c>
      <c r="V58" s="57">
        <f>IF('Eurostat EB TJ'!U66=":",0,'Eurostat EB TJ'!U66)</f>
        <v>0</v>
      </c>
      <c r="W58" s="57">
        <f>IF('Eurostat EB TJ'!V66=":",0,'Eurostat EB TJ'!V66)</f>
        <v>0</v>
      </c>
      <c r="X58" s="57">
        <f>IF('Eurostat EB TJ'!W66=":",0,'Eurostat EB TJ'!W66)</f>
        <v>0</v>
      </c>
      <c r="Y58" s="57">
        <f>IF('Eurostat EB TJ'!X66=":",0,'Eurostat EB TJ'!X66)</f>
        <v>0</v>
      </c>
      <c r="Z58" s="57">
        <f>IF('Eurostat EB TJ'!Y66=":",0,'Eurostat EB TJ'!Y66)</f>
        <v>0</v>
      </c>
      <c r="AA58" s="57">
        <f>IF('Eurostat EB TJ'!Z66=":",0,'Eurostat EB TJ'!Z66)</f>
        <v>0</v>
      </c>
      <c r="AB58" s="57">
        <f>IF('Eurostat EB TJ'!AA66=":",0,'Eurostat EB TJ'!AA66)</f>
        <v>0</v>
      </c>
      <c r="AC58" s="57">
        <f>IF('Eurostat EB TJ'!AB66=":",0,'Eurostat EB TJ'!AB66)</f>
        <v>0</v>
      </c>
      <c r="AD58" s="57">
        <f>IF('Eurostat EB TJ'!AC66=":",0,'Eurostat EB TJ'!AC66)</f>
        <v>0</v>
      </c>
      <c r="AE58" s="57">
        <f>IF('Eurostat EB TJ'!AD66=":",0,'Eurostat EB TJ'!AD66)</f>
        <v>0</v>
      </c>
      <c r="AF58" s="57">
        <f>IF('Eurostat EB TJ'!AE66=":",0,'Eurostat EB TJ'!AE66)</f>
        <v>0</v>
      </c>
      <c r="AG58" s="57">
        <f>IF('Eurostat EB TJ'!AF66=":",0,'Eurostat EB TJ'!AF66)</f>
        <v>0</v>
      </c>
      <c r="AH58" s="57">
        <f>IF('Eurostat EB TJ'!AG66=":",0,'Eurostat EB TJ'!AG66)</f>
        <v>0</v>
      </c>
      <c r="AI58" s="57">
        <f>IF('Eurostat EB TJ'!AH66=":",0,'Eurostat EB TJ'!AH66)</f>
        <v>0</v>
      </c>
      <c r="AJ58" s="57">
        <f>IF('Eurostat EB TJ'!AI66=":",0,'Eurostat EB TJ'!AI66)</f>
        <v>0</v>
      </c>
      <c r="AK58" s="57">
        <f>IF('Eurostat EB TJ'!AJ66=":",0,'Eurostat EB TJ'!AJ66)</f>
        <v>0</v>
      </c>
      <c r="AL58" s="57">
        <f>IF('Eurostat EB TJ'!AK66=":",0,'Eurostat EB TJ'!AK66)</f>
        <v>0</v>
      </c>
      <c r="AM58" s="57">
        <f>IF('Eurostat EB TJ'!AL66=":",0,'Eurostat EB TJ'!AL66)</f>
        <v>0</v>
      </c>
      <c r="AN58" s="57">
        <f>IF('Eurostat EB TJ'!AM66=":",0,'Eurostat EB TJ'!AM66)</f>
        <v>0</v>
      </c>
      <c r="AO58" s="57">
        <f>IF('Eurostat EB TJ'!AN66=":",0,'Eurostat EB TJ'!AN66)</f>
        <v>0</v>
      </c>
      <c r="AP58" s="57">
        <f>IF('Eurostat EB TJ'!AO66=":",0,'Eurostat EB TJ'!AO66)</f>
        <v>0</v>
      </c>
      <c r="AQ58" s="57">
        <f>IF('Eurostat EB TJ'!AP66=":",0,'Eurostat EB TJ'!AP66)</f>
        <v>0</v>
      </c>
      <c r="AR58" s="57">
        <f>IF('Eurostat EB TJ'!AQ66=":",0,'Eurostat EB TJ'!AQ66)</f>
        <v>0</v>
      </c>
      <c r="AS58" s="57">
        <f>IF('Eurostat EB TJ'!AR66=":",0,'Eurostat EB TJ'!AR66)</f>
        <v>0</v>
      </c>
      <c r="AT58" s="57">
        <f>IF('Eurostat EB TJ'!AS66=":",0,'Eurostat EB TJ'!AS66)</f>
        <v>0</v>
      </c>
      <c r="AU58" s="57">
        <f>IF('Eurostat EB TJ'!AT66=":",0,'Eurostat EB TJ'!AT66)</f>
        <v>0</v>
      </c>
      <c r="AV58" s="57">
        <f>IF('Eurostat EB TJ'!AU66=":",0,'Eurostat EB TJ'!AU66)</f>
        <v>0</v>
      </c>
      <c r="AW58" s="57">
        <f>IF('Eurostat EB TJ'!AV66=":",0,'Eurostat EB TJ'!AV66)</f>
        <v>0</v>
      </c>
      <c r="AX58" s="57">
        <f>IF('Eurostat EB TJ'!AW66=":",0,'Eurostat EB TJ'!AW66)</f>
        <v>0</v>
      </c>
      <c r="AY58" s="57">
        <f>IF('Eurostat EB TJ'!AX66=":",0,'Eurostat EB TJ'!AX66)</f>
        <v>0</v>
      </c>
      <c r="AZ58" s="57">
        <f>IF('Eurostat EB TJ'!AY66=":",0,'Eurostat EB TJ'!AY66)</f>
        <v>0</v>
      </c>
      <c r="BA58" s="57">
        <f>IF('Eurostat EB TJ'!AZ66=":",0,'Eurostat EB TJ'!AZ66)</f>
        <v>0</v>
      </c>
      <c r="BB58" s="57">
        <f>IF('Eurostat EB TJ'!BA66=":",0,'Eurostat EB TJ'!BA66)</f>
        <v>0</v>
      </c>
      <c r="BC58" s="57">
        <f>IF('Eurostat EB TJ'!BB66=":",0,'Eurostat EB TJ'!BB66)</f>
        <v>0</v>
      </c>
      <c r="BD58" s="57">
        <f>IF('Eurostat EB TJ'!BC66=":",0,'Eurostat EB TJ'!BC66)</f>
        <v>0</v>
      </c>
      <c r="BE58" s="57">
        <f>IF('Eurostat EB TJ'!BD66=":",0,'Eurostat EB TJ'!BD66)</f>
        <v>0</v>
      </c>
      <c r="BF58" s="57">
        <f>IF('Eurostat EB TJ'!BE66=":",0,'Eurostat EB TJ'!BE66)</f>
        <v>0</v>
      </c>
      <c r="BG58" s="57">
        <f>IF('Eurostat EB TJ'!BF66=":",0,'Eurostat EB TJ'!BF66)</f>
        <v>0</v>
      </c>
      <c r="BH58" s="57">
        <f>IF('Eurostat EB TJ'!BG66=":",0,'Eurostat EB TJ'!BG66)</f>
        <v>0</v>
      </c>
      <c r="BI58" s="57">
        <f>IF('Eurostat EB TJ'!BH66=":",0,'Eurostat EB TJ'!BH66)</f>
        <v>0</v>
      </c>
      <c r="BJ58" s="57">
        <f>IF('Eurostat EB TJ'!BI66=":",0,'Eurostat EB TJ'!BI66)</f>
        <v>0</v>
      </c>
      <c r="BK58" s="57">
        <f>IF('Eurostat EB TJ'!BJ66=":",0,'Eurostat EB TJ'!BJ66)</f>
        <v>0</v>
      </c>
      <c r="BL58" s="57">
        <f>IF('Eurostat EB TJ'!BK66=":",0,'Eurostat EB TJ'!BK66)</f>
        <v>0</v>
      </c>
      <c r="BM58" s="57">
        <f>IF('Eurostat EB TJ'!BL66=":",0,'Eurostat EB TJ'!BL66)</f>
        <v>0</v>
      </c>
      <c r="BN58" s="57">
        <f>IF('Eurostat EB TJ'!BM66=":",0,'Eurostat EB TJ'!BM66)</f>
        <v>0</v>
      </c>
      <c r="BO58" s="57">
        <f>IF('Eurostat EB TJ'!BN66=":",0,'Eurostat EB TJ'!BN66)</f>
        <v>0</v>
      </c>
      <c r="BP58" s="57">
        <f>IF('Eurostat EB TJ'!BO66=":",0,'Eurostat EB TJ'!BO66)</f>
        <v>0</v>
      </c>
      <c r="BQ58" s="57">
        <f>IF('Eurostat EB TJ'!BP66=":",0,'Eurostat EB TJ'!BP66)</f>
        <v>0</v>
      </c>
      <c r="BR58" s="57">
        <f>IF('Eurostat EB TJ'!BQ66=":",0,'Eurostat EB TJ'!BQ66)</f>
        <v>0</v>
      </c>
      <c r="BS58" s="57">
        <f>IF('Eurostat EB TJ'!BR66=":",0,'Eurostat EB TJ'!BR66)</f>
        <v>0</v>
      </c>
      <c r="BT58" s="57">
        <f>IF('Eurostat EB TJ'!BS66=":",0,'Eurostat EB TJ'!BS66)</f>
        <v>2900.4920000000002</v>
      </c>
      <c r="BU58" s="57">
        <f>IF('Eurostat EB TJ'!BT66=":",0,'Eurostat EB TJ'!BT66)</f>
        <v>636.71400000000006</v>
      </c>
      <c r="BV58" s="57">
        <f>IF('Eurostat EB TJ'!BU66=":",0,'Eurostat EB TJ'!BU66)</f>
        <v>2014.106</v>
      </c>
    </row>
    <row r="59" spans="1:74" x14ac:dyDescent="0.2">
      <c r="A59" s="56" t="s">
        <v>240</v>
      </c>
      <c r="B59" s="17"/>
      <c r="C59" s="17">
        <f>IF('Eurostat EB TJ'!B67=":",0,'Eurostat EB TJ'!B67)</f>
        <v>0</v>
      </c>
      <c r="D59" s="17">
        <f>IF('Eurostat EB TJ'!C67=":",0,'Eurostat EB TJ'!C67)</f>
        <v>0</v>
      </c>
      <c r="E59" s="17">
        <f>IF('Eurostat EB TJ'!D67=":",0,'Eurostat EB TJ'!D67)</f>
        <v>0</v>
      </c>
      <c r="F59" s="17">
        <f>IF('Eurostat EB TJ'!E67=":",0,'Eurostat EB TJ'!E67)</f>
        <v>0</v>
      </c>
      <c r="G59" s="17">
        <f>IF('Eurostat EB TJ'!F67=":",0,'Eurostat EB TJ'!F67)</f>
        <v>0</v>
      </c>
      <c r="H59" s="17">
        <f>IF('Eurostat EB TJ'!G67=":",0,'Eurostat EB TJ'!G67)</f>
        <v>0</v>
      </c>
      <c r="I59" s="17">
        <f>IF('Eurostat EB TJ'!H67=":",0,'Eurostat EB TJ'!H67)</f>
        <v>0</v>
      </c>
      <c r="J59" s="17">
        <f>IF('Eurostat EB TJ'!I67=":",0,'Eurostat EB TJ'!I67)</f>
        <v>0</v>
      </c>
      <c r="K59" s="17">
        <f>IF('Eurostat EB TJ'!J67=":",0,'Eurostat EB TJ'!J67)</f>
        <v>0</v>
      </c>
      <c r="L59" s="17">
        <f>IF('Eurostat EB TJ'!K67=":",0,'Eurostat EB TJ'!K67)</f>
        <v>0</v>
      </c>
      <c r="M59" s="17">
        <f>IF('Eurostat EB TJ'!L67=":",0,'Eurostat EB TJ'!L67)</f>
        <v>0</v>
      </c>
      <c r="N59" s="17">
        <f>IF('Eurostat EB TJ'!M67=":",0,'Eurostat EB TJ'!M67)</f>
        <v>0</v>
      </c>
      <c r="O59" s="17">
        <f>IF('Eurostat EB TJ'!N67=":",0,'Eurostat EB TJ'!N67)</f>
        <v>0</v>
      </c>
      <c r="P59" s="17">
        <f>IF('Eurostat EB TJ'!O67=":",0,'Eurostat EB TJ'!O67)</f>
        <v>0</v>
      </c>
      <c r="Q59" s="17">
        <f>IF('Eurostat EB TJ'!P67=":",0,'Eurostat EB TJ'!P67)</f>
        <v>0</v>
      </c>
      <c r="R59" s="17">
        <f>IF('Eurostat EB TJ'!Q67=":",0,'Eurostat EB TJ'!Q67)</f>
        <v>0</v>
      </c>
      <c r="S59" s="17">
        <f>IF('Eurostat EB TJ'!R67=":",0,'Eurostat EB TJ'!R67)</f>
        <v>0</v>
      </c>
      <c r="T59" s="17">
        <f>IF('Eurostat EB TJ'!S67=":",0,'Eurostat EB TJ'!S67)</f>
        <v>0</v>
      </c>
      <c r="U59" s="17">
        <f>IF('Eurostat EB TJ'!T67=":",0,'Eurostat EB TJ'!T67)</f>
        <v>0</v>
      </c>
      <c r="V59" s="17">
        <f>IF('Eurostat EB TJ'!U67=":",0,'Eurostat EB TJ'!U67)</f>
        <v>0</v>
      </c>
      <c r="W59" s="17">
        <f>IF('Eurostat EB TJ'!V67=":",0,'Eurostat EB TJ'!V67)</f>
        <v>0</v>
      </c>
      <c r="X59" s="17">
        <f>IF('Eurostat EB TJ'!W67=":",0,'Eurostat EB TJ'!W67)</f>
        <v>0</v>
      </c>
      <c r="Y59" s="17">
        <f>IF('Eurostat EB TJ'!X67=":",0,'Eurostat EB TJ'!X67)</f>
        <v>0</v>
      </c>
      <c r="Z59" s="17">
        <f>IF('Eurostat EB TJ'!Y67=":",0,'Eurostat EB TJ'!Y67)</f>
        <v>0</v>
      </c>
      <c r="AA59" s="17">
        <f>IF('Eurostat EB TJ'!Z67=":",0,'Eurostat EB TJ'!Z67)</f>
        <v>0</v>
      </c>
      <c r="AB59" s="17">
        <f>IF('Eurostat EB TJ'!AA67=":",0,'Eurostat EB TJ'!AA67)</f>
        <v>0</v>
      </c>
      <c r="AC59" s="17">
        <f>IF('Eurostat EB TJ'!AB67=":",0,'Eurostat EB TJ'!AB67)</f>
        <v>0</v>
      </c>
      <c r="AD59" s="17">
        <f>IF('Eurostat EB TJ'!AC67=":",0,'Eurostat EB TJ'!AC67)</f>
        <v>0</v>
      </c>
      <c r="AE59" s="17">
        <f>IF('Eurostat EB TJ'!AD67=":",0,'Eurostat EB TJ'!AD67)</f>
        <v>0</v>
      </c>
      <c r="AF59" s="17">
        <f>IF('Eurostat EB TJ'!AE67=":",0,'Eurostat EB TJ'!AE67)</f>
        <v>0</v>
      </c>
      <c r="AG59" s="17">
        <f>IF('Eurostat EB TJ'!AF67=":",0,'Eurostat EB TJ'!AF67)</f>
        <v>0</v>
      </c>
      <c r="AH59" s="17">
        <f>IF('Eurostat EB TJ'!AG67=":",0,'Eurostat EB TJ'!AG67)</f>
        <v>0</v>
      </c>
      <c r="AI59" s="17">
        <f>IF('Eurostat EB TJ'!AH67=":",0,'Eurostat EB TJ'!AH67)</f>
        <v>0</v>
      </c>
      <c r="AJ59" s="17">
        <f>IF('Eurostat EB TJ'!AI67=":",0,'Eurostat EB TJ'!AI67)</f>
        <v>0</v>
      </c>
      <c r="AK59" s="17">
        <f>IF('Eurostat EB TJ'!AJ67=":",0,'Eurostat EB TJ'!AJ67)</f>
        <v>0</v>
      </c>
      <c r="AL59" s="17">
        <f>IF('Eurostat EB TJ'!AK67=":",0,'Eurostat EB TJ'!AK67)</f>
        <v>0</v>
      </c>
      <c r="AM59" s="17">
        <f>IF('Eurostat EB TJ'!AL67=":",0,'Eurostat EB TJ'!AL67)</f>
        <v>0</v>
      </c>
      <c r="AN59" s="17">
        <f>IF('Eurostat EB TJ'!AM67=":",0,'Eurostat EB TJ'!AM67)</f>
        <v>0</v>
      </c>
      <c r="AO59" s="17">
        <f>IF('Eurostat EB TJ'!AN67=":",0,'Eurostat EB TJ'!AN67)</f>
        <v>0</v>
      </c>
      <c r="AP59" s="17">
        <f>IF('Eurostat EB TJ'!AO67=":",0,'Eurostat EB TJ'!AO67)</f>
        <v>0</v>
      </c>
      <c r="AQ59" s="17">
        <f>IF('Eurostat EB TJ'!AP67=":",0,'Eurostat EB TJ'!AP67)</f>
        <v>0</v>
      </c>
      <c r="AR59" s="17">
        <f>IF('Eurostat EB TJ'!AQ67=":",0,'Eurostat EB TJ'!AQ67)</f>
        <v>0</v>
      </c>
      <c r="AS59" s="17">
        <f>IF('Eurostat EB TJ'!AR67=":",0,'Eurostat EB TJ'!AR67)</f>
        <v>0</v>
      </c>
      <c r="AT59" s="17">
        <f>IF('Eurostat EB TJ'!AS67=":",0,'Eurostat EB TJ'!AS67)</f>
        <v>0</v>
      </c>
      <c r="AU59" s="17">
        <f>IF('Eurostat EB TJ'!AT67=":",0,'Eurostat EB TJ'!AT67)</f>
        <v>0</v>
      </c>
      <c r="AV59" s="17">
        <f>IF('Eurostat EB TJ'!AU67=":",0,'Eurostat EB TJ'!AU67)</f>
        <v>0</v>
      </c>
      <c r="AW59" s="17">
        <f>IF('Eurostat EB TJ'!AV67=":",0,'Eurostat EB TJ'!AV67)</f>
        <v>0</v>
      </c>
      <c r="AX59" s="17">
        <f>IF('Eurostat EB TJ'!AW67=":",0,'Eurostat EB TJ'!AW67)</f>
        <v>0</v>
      </c>
      <c r="AY59" s="17">
        <f>IF('Eurostat EB TJ'!AX67=":",0,'Eurostat EB TJ'!AX67)</f>
        <v>0</v>
      </c>
      <c r="AZ59" s="17">
        <f>IF('Eurostat EB TJ'!AY67=":",0,'Eurostat EB TJ'!AY67)</f>
        <v>0</v>
      </c>
      <c r="BA59" s="17">
        <f>IF('Eurostat EB TJ'!AZ67=":",0,'Eurostat EB TJ'!AZ67)</f>
        <v>0</v>
      </c>
      <c r="BB59" s="17">
        <f>IF('Eurostat EB TJ'!BA67=":",0,'Eurostat EB TJ'!BA67)</f>
        <v>0</v>
      </c>
      <c r="BC59" s="17">
        <f>IF('Eurostat EB TJ'!BB67=":",0,'Eurostat EB TJ'!BB67)</f>
        <v>0</v>
      </c>
      <c r="BD59" s="17">
        <f>IF('Eurostat EB TJ'!BC67=":",0,'Eurostat EB TJ'!BC67)</f>
        <v>0</v>
      </c>
      <c r="BE59" s="17">
        <f>IF('Eurostat EB TJ'!BD67=":",0,'Eurostat EB TJ'!BD67)</f>
        <v>0</v>
      </c>
      <c r="BF59" s="17">
        <f>IF('Eurostat EB TJ'!BE67=":",0,'Eurostat EB TJ'!BE67)</f>
        <v>0</v>
      </c>
      <c r="BG59" s="17">
        <f>IF('Eurostat EB TJ'!BF67=":",0,'Eurostat EB TJ'!BF67)</f>
        <v>0</v>
      </c>
      <c r="BH59" s="17">
        <f>IF('Eurostat EB TJ'!BG67=":",0,'Eurostat EB TJ'!BG67)</f>
        <v>0</v>
      </c>
      <c r="BI59" s="17">
        <f>IF('Eurostat EB TJ'!BH67=":",0,'Eurostat EB TJ'!BH67)</f>
        <v>0</v>
      </c>
      <c r="BJ59" s="17">
        <f>IF('Eurostat EB TJ'!BI67=":",0,'Eurostat EB TJ'!BI67)</f>
        <v>0</v>
      </c>
      <c r="BK59" s="17">
        <f>IF('Eurostat EB TJ'!BJ67=":",0,'Eurostat EB TJ'!BJ67)</f>
        <v>0</v>
      </c>
      <c r="BL59" s="17">
        <f>IF('Eurostat EB TJ'!BK67=":",0,'Eurostat EB TJ'!BK67)</f>
        <v>0</v>
      </c>
      <c r="BM59" s="17">
        <f>IF('Eurostat EB TJ'!BL67=":",0,'Eurostat EB TJ'!BL67)</f>
        <v>0</v>
      </c>
      <c r="BN59" s="17">
        <f>IF('Eurostat EB TJ'!BM67=":",0,'Eurostat EB TJ'!BM67)</f>
        <v>0</v>
      </c>
      <c r="BO59" s="17">
        <f>IF('Eurostat EB TJ'!BN67=":",0,'Eurostat EB TJ'!BN67)</f>
        <v>0</v>
      </c>
      <c r="BP59" s="17">
        <f>IF('Eurostat EB TJ'!BO67=":",0,'Eurostat EB TJ'!BO67)</f>
        <v>0</v>
      </c>
      <c r="BQ59" s="17">
        <f>IF('Eurostat EB TJ'!BP67=":",0,'Eurostat EB TJ'!BP67)</f>
        <v>0</v>
      </c>
      <c r="BR59" s="17">
        <f>IF('Eurostat EB TJ'!BQ67=":",0,'Eurostat EB TJ'!BQ67)</f>
        <v>0</v>
      </c>
      <c r="BS59" s="17">
        <f>IF('Eurostat EB TJ'!BR67=":",0,'Eurostat EB TJ'!BR67)</f>
        <v>0</v>
      </c>
      <c r="BT59" s="17">
        <f>IF('Eurostat EB TJ'!BS67=":",0,'Eurostat EB TJ'!BS67)</f>
        <v>0</v>
      </c>
      <c r="BU59" s="17">
        <f>IF('Eurostat EB TJ'!BT67=":",0,'Eurostat EB TJ'!BT67)</f>
        <v>0</v>
      </c>
      <c r="BV59" s="17">
        <f>IF('Eurostat EB TJ'!BU67=":",0,'Eurostat EB TJ'!BU67)</f>
        <v>0</v>
      </c>
    </row>
    <row r="60" spans="1:74" x14ac:dyDescent="0.2">
      <c r="A60" s="56" t="s">
        <v>241</v>
      </c>
      <c r="B60" s="57"/>
      <c r="C60" s="57">
        <f>IF('Eurostat EB TJ'!B68=":",0,'Eurostat EB TJ'!B68)</f>
        <v>0</v>
      </c>
      <c r="D60" s="57">
        <f>IF('Eurostat EB TJ'!C68=":",0,'Eurostat EB TJ'!C68)</f>
        <v>0</v>
      </c>
      <c r="E60" s="57">
        <f>IF('Eurostat EB TJ'!D68=":",0,'Eurostat EB TJ'!D68)</f>
        <v>0</v>
      </c>
      <c r="F60" s="57">
        <f>IF('Eurostat EB TJ'!E68=":",0,'Eurostat EB TJ'!E68)</f>
        <v>0</v>
      </c>
      <c r="G60" s="57">
        <f>IF('Eurostat EB TJ'!F68=":",0,'Eurostat EB TJ'!F68)</f>
        <v>0</v>
      </c>
      <c r="H60" s="57">
        <f>IF('Eurostat EB TJ'!G68=":",0,'Eurostat EB TJ'!G68)</f>
        <v>0</v>
      </c>
      <c r="I60" s="57">
        <f>IF('Eurostat EB TJ'!H68=":",0,'Eurostat EB TJ'!H68)</f>
        <v>0</v>
      </c>
      <c r="J60" s="57">
        <f>IF('Eurostat EB TJ'!I68=":",0,'Eurostat EB TJ'!I68)</f>
        <v>0</v>
      </c>
      <c r="K60" s="57">
        <f>IF('Eurostat EB TJ'!J68=":",0,'Eurostat EB TJ'!J68)</f>
        <v>0</v>
      </c>
      <c r="L60" s="57">
        <f>IF('Eurostat EB TJ'!K68=":",0,'Eurostat EB TJ'!K68)</f>
        <v>0</v>
      </c>
      <c r="M60" s="57">
        <f>IF('Eurostat EB TJ'!L68=":",0,'Eurostat EB TJ'!L68)</f>
        <v>0</v>
      </c>
      <c r="N60" s="57">
        <f>IF('Eurostat EB TJ'!M68=":",0,'Eurostat EB TJ'!M68)</f>
        <v>0</v>
      </c>
      <c r="O60" s="57">
        <f>IF('Eurostat EB TJ'!N68=":",0,'Eurostat EB TJ'!N68)</f>
        <v>0</v>
      </c>
      <c r="P60" s="57">
        <f>IF('Eurostat EB TJ'!O68=":",0,'Eurostat EB TJ'!O68)</f>
        <v>0</v>
      </c>
      <c r="Q60" s="57">
        <f>IF('Eurostat EB TJ'!P68=":",0,'Eurostat EB TJ'!P68)</f>
        <v>0</v>
      </c>
      <c r="R60" s="57">
        <f>IF('Eurostat EB TJ'!Q68=":",0,'Eurostat EB TJ'!Q68)</f>
        <v>0</v>
      </c>
      <c r="S60" s="57">
        <f>IF('Eurostat EB TJ'!R68=":",0,'Eurostat EB TJ'!R68)</f>
        <v>0</v>
      </c>
      <c r="T60" s="57">
        <f>IF('Eurostat EB TJ'!S68=":",0,'Eurostat EB TJ'!S68)</f>
        <v>0</v>
      </c>
      <c r="U60" s="57">
        <f>IF('Eurostat EB TJ'!T68=":",0,'Eurostat EB TJ'!T68)</f>
        <v>0</v>
      </c>
      <c r="V60" s="57">
        <f>IF('Eurostat EB TJ'!U68=":",0,'Eurostat EB TJ'!U68)</f>
        <v>0</v>
      </c>
      <c r="W60" s="57">
        <f>IF('Eurostat EB TJ'!V68=":",0,'Eurostat EB TJ'!V68)</f>
        <v>0</v>
      </c>
      <c r="X60" s="57">
        <f>IF('Eurostat EB TJ'!W68=":",0,'Eurostat EB TJ'!W68)</f>
        <v>0</v>
      </c>
      <c r="Y60" s="57">
        <f>IF('Eurostat EB TJ'!X68=":",0,'Eurostat EB TJ'!X68)</f>
        <v>0</v>
      </c>
      <c r="Z60" s="57">
        <f>IF('Eurostat EB TJ'!Y68=":",0,'Eurostat EB TJ'!Y68)</f>
        <v>0</v>
      </c>
      <c r="AA60" s="57">
        <f>IF('Eurostat EB TJ'!Z68=":",0,'Eurostat EB TJ'!Z68)</f>
        <v>0</v>
      </c>
      <c r="AB60" s="57">
        <f>IF('Eurostat EB TJ'!AA68=":",0,'Eurostat EB TJ'!AA68)</f>
        <v>0</v>
      </c>
      <c r="AC60" s="57">
        <f>IF('Eurostat EB TJ'!AB68=":",0,'Eurostat EB TJ'!AB68)</f>
        <v>0</v>
      </c>
      <c r="AD60" s="57">
        <f>IF('Eurostat EB TJ'!AC68=":",0,'Eurostat EB TJ'!AC68)</f>
        <v>0</v>
      </c>
      <c r="AE60" s="57">
        <f>IF('Eurostat EB TJ'!AD68=":",0,'Eurostat EB TJ'!AD68)</f>
        <v>0</v>
      </c>
      <c r="AF60" s="57">
        <f>IF('Eurostat EB TJ'!AE68=":",0,'Eurostat EB TJ'!AE68)</f>
        <v>0</v>
      </c>
      <c r="AG60" s="57">
        <f>IF('Eurostat EB TJ'!AF68=":",0,'Eurostat EB TJ'!AF68)</f>
        <v>0</v>
      </c>
      <c r="AH60" s="57">
        <f>IF('Eurostat EB TJ'!AG68=":",0,'Eurostat EB TJ'!AG68)</f>
        <v>0</v>
      </c>
      <c r="AI60" s="57">
        <f>IF('Eurostat EB TJ'!AH68=":",0,'Eurostat EB TJ'!AH68)</f>
        <v>0</v>
      </c>
      <c r="AJ60" s="57">
        <f>IF('Eurostat EB TJ'!AI68=":",0,'Eurostat EB TJ'!AI68)</f>
        <v>0</v>
      </c>
      <c r="AK60" s="57">
        <f>IF('Eurostat EB TJ'!AJ68=":",0,'Eurostat EB TJ'!AJ68)</f>
        <v>0</v>
      </c>
      <c r="AL60" s="57">
        <f>IF('Eurostat EB TJ'!AK68=":",0,'Eurostat EB TJ'!AK68)</f>
        <v>0</v>
      </c>
      <c r="AM60" s="57">
        <f>IF('Eurostat EB TJ'!AL68=":",0,'Eurostat EB TJ'!AL68)</f>
        <v>0</v>
      </c>
      <c r="AN60" s="57">
        <f>IF('Eurostat EB TJ'!AM68=":",0,'Eurostat EB TJ'!AM68)</f>
        <v>0</v>
      </c>
      <c r="AO60" s="57">
        <f>IF('Eurostat EB TJ'!AN68=":",0,'Eurostat EB TJ'!AN68)</f>
        <v>0</v>
      </c>
      <c r="AP60" s="57">
        <f>IF('Eurostat EB TJ'!AO68=":",0,'Eurostat EB TJ'!AO68)</f>
        <v>0</v>
      </c>
      <c r="AQ60" s="57">
        <f>IF('Eurostat EB TJ'!AP68=":",0,'Eurostat EB TJ'!AP68)</f>
        <v>0</v>
      </c>
      <c r="AR60" s="57">
        <f>IF('Eurostat EB TJ'!AQ68=":",0,'Eurostat EB TJ'!AQ68)</f>
        <v>0</v>
      </c>
      <c r="AS60" s="57">
        <f>IF('Eurostat EB TJ'!AR68=":",0,'Eurostat EB TJ'!AR68)</f>
        <v>0</v>
      </c>
      <c r="AT60" s="57">
        <f>IF('Eurostat EB TJ'!AS68=":",0,'Eurostat EB TJ'!AS68)</f>
        <v>0</v>
      </c>
      <c r="AU60" s="57">
        <f>IF('Eurostat EB TJ'!AT68=":",0,'Eurostat EB TJ'!AT68)</f>
        <v>0</v>
      </c>
      <c r="AV60" s="57">
        <f>IF('Eurostat EB TJ'!AU68=":",0,'Eurostat EB TJ'!AU68)</f>
        <v>0</v>
      </c>
      <c r="AW60" s="57">
        <f>IF('Eurostat EB TJ'!AV68=":",0,'Eurostat EB TJ'!AV68)</f>
        <v>0</v>
      </c>
      <c r="AX60" s="57">
        <f>IF('Eurostat EB TJ'!AW68=":",0,'Eurostat EB TJ'!AW68)</f>
        <v>0</v>
      </c>
      <c r="AY60" s="57">
        <f>IF('Eurostat EB TJ'!AX68=":",0,'Eurostat EB TJ'!AX68)</f>
        <v>0</v>
      </c>
      <c r="AZ60" s="57">
        <f>IF('Eurostat EB TJ'!AY68=":",0,'Eurostat EB TJ'!AY68)</f>
        <v>0</v>
      </c>
      <c r="BA60" s="57">
        <f>IF('Eurostat EB TJ'!AZ68=":",0,'Eurostat EB TJ'!AZ68)</f>
        <v>0</v>
      </c>
      <c r="BB60" s="57">
        <f>IF('Eurostat EB TJ'!BA68=":",0,'Eurostat EB TJ'!BA68)</f>
        <v>0</v>
      </c>
      <c r="BC60" s="57">
        <f>IF('Eurostat EB TJ'!BB68=":",0,'Eurostat EB TJ'!BB68)</f>
        <v>0</v>
      </c>
      <c r="BD60" s="57">
        <f>IF('Eurostat EB TJ'!BC68=":",0,'Eurostat EB TJ'!BC68)</f>
        <v>0</v>
      </c>
      <c r="BE60" s="57">
        <f>IF('Eurostat EB TJ'!BD68=":",0,'Eurostat EB TJ'!BD68)</f>
        <v>0</v>
      </c>
      <c r="BF60" s="57">
        <f>IF('Eurostat EB TJ'!BE68=":",0,'Eurostat EB TJ'!BE68)</f>
        <v>0</v>
      </c>
      <c r="BG60" s="57">
        <f>IF('Eurostat EB TJ'!BF68=":",0,'Eurostat EB TJ'!BF68)</f>
        <v>0</v>
      </c>
      <c r="BH60" s="57">
        <f>IF('Eurostat EB TJ'!BG68=":",0,'Eurostat EB TJ'!BG68)</f>
        <v>0</v>
      </c>
      <c r="BI60" s="57">
        <f>IF('Eurostat EB TJ'!BH68=":",0,'Eurostat EB TJ'!BH68)</f>
        <v>0</v>
      </c>
      <c r="BJ60" s="57">
        <f>IF('Eurostat EB TJ'!BI68=":",0,'Eurostat EB TJ'!BI68)</f>
        <v>0</v>
      </c>
      <c r="BK60" s="57">
        <f>IF('Eurostat EB TJ'!BJ68=":",0,'Eurostat EB TJ'!BJ68)</f>
        <v>0</v>
      </c>
      <c r="BL60" s="57">
        <f>IF('Eurostat EB TJ'!BK68=":",0,'Eurostat EB TJ'!BK68)</f>
        <v>0</v>
      </c>
      <c r="BM60" s="57">
        <f>IF('Eurostat EB TJ'!BL68=":",0,'Eurostat EB TJ'!BL68)</f>
        <v>0</v>
      </c>
      <c r="BN60" s="57">
        <f>IF('Eurostat EB TJ'!BM68=":",0,'Eurostat EB TJ'!BM68)</f>
        <v>0</v>
      </c>
      <c r="BO60" s="57">
        <f>IF('Eurostat EB TJ'!BN68=":",0,'Eurostat EB TJ'!BN68)</f>
        <v>0</v>
      </c>
      <c r="BP60" s="57">
        <f>IF('Eurostat EB TJ'!BO68=":",0,'Eurostat EB TJ'!BO68)</f>
        <v>0</v>
      </c>
      <c r="BQ60" s="57">
        <f>IF('Eurostat EB TJ'!BP68=":",0,'Eurostat EB TJ'!BP68)</f>
        <v>0</v>
      </c>
      <c r="BR60" s="57">
        <f>IF('Eurostat EB TJ'!BQ68=":",0,'Eurostat EB TJ'!BQ68)</f>
        <v>0</v>
      </c>
      <c r="BS60" s="57">
        <f>IF('Eurostat EB TJ'!BR68=":",0,'Eurostat EB TJ'!BR68)</f>
        <v>0</v>
      </c>
      <c r="BT60" s="57">
        <f>IF('Eurostat EB TJ'!BS68=":",0,'Eurostat EB TJ'!BS68)</f>
        <v>0</v>
      </c>
      <c r="BU60" s="57">
        <f>IF('Eurostat EB TJ'!BT68=":",0,'Eurostat EB TJ'!BT68)</f>
        <v>0</v>
      </c>
      <c r="BV60" s="57">
        <f>IF('Eurostat EB TJ'!BU68=":",0,'Eurostat EB TJ'!BU68)</f>
        <v>0</v>
      </c>
    </row>
    <row r="61" spans="1:74" x14ac:dyDescent="0.2">
      <c r="A61" s="56" t="s">
        <v>242</v>
      </c>
      <c r="B61" s="17"/>
      <c r="C61" s="17">
        <f>IF('Eurostat EB TJ'!B69=":",0,'Eurostat EB TJ'!B69)</f>
        <v>0</v>
      </c>
      <c r="D61" s="17">
        <f>IF('Eurostat EB TJ'!C69=":",0,'Eurostat EB TJ'!C69)</f>
        <v>0</v>
      </c>
      <c r="E61" s="17">
        <f>IF('Eurostat EB TJ'!D69=":",0,'Eurostat EB TJ'!D69)</f>
        <v>0</v>
      </c>
      <c r="F61" s="17">
        <f>IF('Eurostat EB TJ'!E69=":",0,'Eurostat EB TJ'!E69)</f>
        <v>0</v>
      </c>
      <c r="G61" s="17">
        <f>IF('Eurostat EB TJ'!F69=":",0,'Eurostat EB TJ'!F69)</f>
        <v>0</v>
      </c>
      <c r="H61" s="17">
        <f>IF('Eurostat EB TJ'!G69=":",0,'Eurostat EB TJ'!G69)</f>
        <v>0</v>
      </c>
      <c r="I61" s="17">
        <f>IF('Eurostat EB TJ'!H69=":",0,'Eurostat EB TJ'!H69)</f>
        <v>0</v>
      </c>
      <c r="J61" s="17">
        <f>IF('Eurostat EB TJ'!I69=":",0,'Eurostat EB TJ'!I69)</f>
        <v>0</v>
      </c>
      <c r="K61" s="17">
        <f>IF('Eurostat EB TJ'!J69=":",0,'Eurostat EB TJ'!J69)</f>
        <v>0</v>
      </c>
      <c r="L61" s="17">
        <f>IF('Eurostat EB TJ'!K69=":",0,'Eurostat EB TJ'!K69)</f>
        <v>0</v>
      </c>
      <c r="M61" s="17">
        <f>IF('Eurostat EB TJ'!L69=":",0,'Eurostat EB TJ'!L69)</f>
        <v>0</v>
      </c>
      <c r="N61" s="17">
        <f>IF('Eurostat EB TJ'!M69=":",0,'Eurostat EB TJ'!M69)</f>
        <v>0</v>
      </c>
      <c r="O61" s="17">
        <f>IF('Eurostat EB TJ'!N69=":",0,'Eurostat EB TJ'!N69)</f>
        <v>0</v>
      </c>
      <c r="P61" s="17">
        <f>IF('Eurostat EB TJ'!O69=":",0,'Eurostat EB TJ'!O69)</f>
        <v>0</v>
      </c>
      <c r="Q61" s="17">
        <f>IF('Eurostat EB TJ'!P69=":",0,'Eurostat EB TJ'!P69)</f>
        <v>0</v>
      </c>
      <c r="R61" s="17">
        <f>IF('Eurostat EB TJ'!Q69=":",0,'Eurostat EB TJ'!Q69)</f>
        <v>0</v>
      </c>
      <c r="S61" s="17">
        <f>IF('Eurostat EB TJ'!R69=":",0,'Eurostat EB TJ'!R69)</f>
        <v>0</v>
      </c>
      <c r="T61" s="17">
        <f>IF('Eurostat EB TJ'!S69=":",0,'Eurostat EB TJ'!S69)</f>
        <v>0</v>
      </c>
      <c r="U61" s="17">
        <f>IF('Eurostat EB TJ'!T69=":",0,'Eurostat EB TJ'!T69)</f>
        <v>0</v>
      </c>
      <c r="V61" s="17">
        <f>IF('Eurostat EB TJ'!U69=":",0,'Eurostat EB TJ'!U69)</f>
        <v>0</v>
      </c>
      <c r="W61" s="17">
        <f>IF('Eurostat EB TJ'!V69=":",0,'Eurostat EB TJ'!V69)</f>
        <v>0</v>
      </c>
      <c r="X61" s="17">
        <f>IF('Eurostat EB TJ'!W69=":",0,'Eurostat EB TJ'!W69)</f>
        <v>0</v>
      </c>
      <c r="Y61" s="17">
        <f>IF('Eurostat EB TJ'!X69=":",0,'Eurostat EB TJ'!X69)</f>
        <v>0</v>
      </c>
      <c r="Z61" s="17">
        <f>IF('Eurostat EB TJ'!Y69=":",0,'Eurostat EB TJ'!Y69)</f>
        <v>0</v>
      </c>
      <c r="AA61" s="17">
        <f>IF('Eurostat EB TJ'!Z69=":",0,'Eurostat EB TJ'!Z69)</f>
        <v>0</v>
      </c>
      <c r="AB61" s="17">
        <f>IF('Eurostat EB TJ'!AA69=":",0,'Eurostat EB TJ'!AA69)</f>
        <v>0</v>
      </c>
      <c r="AC61" s="17">
        <f>IF('Eurostat EB TJ'!AB69=":",0,'Eurostat EB TJ'!AB69)</f>
        <v>0</v>
      </c>
      <c r="AD61" s="17">
        <f>IF('Eurostat EB TJ'!AC69=":",0,'Eurostat EB TJ'!AC69)</f>
        <v>0</v>
      </c>
      <c r="AE61" s="17">
        <f>IF('Eurostat EB TJ'!AD69=":",0,'Eurostat EB TJ'!AD69)</f>
        <v>0</v>
      </c>
      <c r="AF61" s="17">
        <f>IF('Eurostat EB TJ'!AE69=":",0,'Eurostat EB TJ'!AE69)</f>
        <v>0</v>
      </c>
      <c r="AG61" s="17">
        <f>IF('Eurostat EB TJ'!AF69=":",0,'Eurostat EB TJ'!AF69)</f>
        <v>0</v>
      </c>
      <c r="AH61" s="17">
        <f>IF('Eurostat EB TJ'!AG69=":",0,'Eurostat EB TJ'!AG69)</f>
        <v>0</v>
      </c>
      <c r="AI61" s="17">
        <f>IF('Eurostat EB TJ'!AH69=":",0,'Eurostat EB TJ'!AH69)</f>
        <v>0</v>
      </c>
      <c r="AJ61" s="17">
        <f>IF('Eurostat EB TJ'!AI69=":",0,'Eurostat EB TJ'!AI69)</f>
        <v>0</v>
      </c>
      <c r="AK61" s="17">
        <f>IF('Eurostat EB TJ'!AJ69=":",0,'Eurostat EB TJ'!AJ69)</f>
        <v>0</v>
      </c>
      <c r="AL61" s="17">
        <f>IF('Eurostat EB TJ'!AK69=":",0,'Eurostat EB TJ'!AK69)</f>
        <v>0</v>
      </c>
      <c r="AM61" s="17">
        <f>IF('Eurostat EB TJ'!AL69=":",0,'Eurostat EB TJ'!AL69)</f>
        <v>0</v>
      </c>
      <c r="AN61" s="17">
        <f>IF('Eurostat EB TJ'!AM69=":",0,'Eurostat EB TJ'!AM69)</f>
        <v>0</v>
      </c>
      <c r="AO61" s="17">
        <f>IF('Eurostat EB TJ'!AN69=":",0,'Eurostat EB TJ'!AN69)</f>
        <v>0</v>
      </c>
      <c r="AP61" s="17">
        <f>IF('Eurostat EB TJ'!AO69=":",0,'Eurostat EB TJ'!AO69)</f>
        <v>0</v>
      </c>
      <c r="AQ61" s="17">
        <f>IF('Eurostat EB TJ'!AP69=":",0,'Eurostat EB TJ'!AP69)</f>
        <v>0</v>
      </c>
      <c r="AR61" s="17">
        <f>IF('Eurostat EB TJ'!AQ69=":",0,'Eurostat EB TJ'!AQ69)</f>
        <v>0</v>
      </c>
      <c r="AS61" s="17">
        <f>IF('Eurostat EB TJ'!AR69=":",0,'Eurostat EB TJ'!AR69)</f>
        <v>0</v>
      </c>
      <c r="AT61" s="17">
        <f>IF('Eurostat EB TJ'!AS69=":",0,'Eurostat EB TJ'!AS69)</f>
        <v>0</v>
      </c>
      <c r="AU61" s="17">
        <f>IF('Eurostat EB TJ'!AT69=":",0,'Eurostat EB TJ'!AT69)</f>
        <v>0</v>
      </c>
      <c r="AV61" s="17">
        <f>IF('Eurostat EB TJ'!AU69=":",0,'Eurostat EB TJ'!AU69)</f>
        <v>0</v>
      </c>
      <c r="AW61" s="17">
        <f>IF('Eurostat EB TJ'!AV69=":",0,'Eurostat EB TJ'!AV69)</f>
        <v>0</v>
      </c>
      <c r="AX61" s="17">
        <f>IF('Eurostat EB TJ'!AW69=":",0,'Eurostat EB TJ'!AW69)</f>
        <v>0</v>
      </c>
      <c r="AY61" s="17">
        <f>IF('Eurostat EB TJ'!AX69=":",0,'Eurostat EB TJ'!AX69)</f>
        <v>0</v>
      </c>
      <c r="AZ61" s="17">
        <f>IF('Eurostat EB TJ'!AY69=":",0,'Eurostat EB TJ'!AY69)</f>
        <v>0</v>
      </c>
      <c r="BA61" s="17">
        <f>IF('Eurostat EB TJ'!AZ69=":",0,'Eurostat EB TJ'!AZ69)</f>
        <v>0</v>
      </c>
      <c r="BB61" s="17">
        <f>IF('Eurostat EB TJ'!BA69=":",0,'Eurostat EB TJ'!BA69)</f>
        <v>0</v>
      </c>
      <c r="BC61" s="17">
        <f>IF('Eurostat EB TJ'!BB69=":",0,'Eurostat EB TJ'!BB69)</f>
        <v>0</v>
      </c>
      <c r="BD61" s="17">
        <f>IF('Eurostat EB TJ'!BC69=":",0,'Eurostat EB TJ'!BC69)</f>
        <v>0</v>
      </c>
      <c r="BE61" s="17">
        <f>IF('Eurostat EB TJ'!BD69=":",0,'Eurostat EB TJ'!BD69)</f>
        <v>0</v>
      </c>
      <c r="BF61" s="17">
        <f>IF('Eurostat EB TJ'!BE69=":",0,'Eurostat EB TJ'!BE69)</f>
        <v>0</v>
      </c>
      <c r="BG61" s="17">
        <f>IF('Eurostat EB TJ'!BF69=":",0,'Eurostat EB TJ'!BF69)</f>
        <v>0</v>
      </c>
      <c r="BH61" s="17">
        <f>IF('Eurostat EB TJ'!BG69=":",0,'Eurostat EB TJ'!BG69)</f>
        <v>0</v>
      </c>
      <c r="BI61" s="17">
        <f>IF('Eurostat EB TJ'!BH69=":",0,'Eurostat EB TJ'!BH69)</f>
        <v>0</v>
      </c>
      <c r="BJ61" s="17">
        <f>IF('Eurostat EB TJ'!BI69=":",0,'Eurostat EB TJ'!BI69)</f>
        <v>0</v>
      </c>
      <c r="BK61" s="17">
        <f>IF('Eurostat EB TJ'!BJ69=":",0,'Eurostat EB TJ'!BJ69)</f>
        <v>0</v>
      </c>
      <c r="BL61" s="17">
        <f>IF('Eurostat EB TJ'!BK69=":",0,'Eurostat EB TJ'!BK69)</f>
        <v>0</v>
      </c>
      <c r="BM61" s="17">
        <f>IF('Eurostat EB TJ'!BL69=":",0,'Eurostat EB TJ'!BL69)</f>
        <v>0</v>
      </c>
      <c r="BN61" s="17">
        <f>IF('Eurostat EB TJ'!BM69=":",0,'Eurostat EB TJ'!BM69)</f>
        <v>0</v>
      </c>
      <c r="BO61" s="17">
        <f>IF('Eurostat EB TJ'!BN69=":",0,'Eurostat EB TJ'!BN69)</f>
        <v>0</v>
      </c>
      <c r="BP61" s="17">
        <f>IF('Eurostat EB TJ'!BO69=":",0,'Eurostat EB TJ'!BO69)</f>
        <v>0</v>
      </c>
      <c r="BQ61" s="17">
        <f>IF('Eurostat EB TJ'!BP69=":",0,'Eurostat EB TJ'!BP69)</f>
        <v>0</v>
      </c>
      <c r="BR61" s="17">
        <f>IF('Eurostat EB TJ'!BQ69=":",0,'Eurostat EB TJ'!BQ69)</f>
        <v>0</v>
      </c>
      <c r="BS61" s="17">
        <f>IF('Eurostat EB TJ'!BR69=":",0,'Eurostat EB TJ'!BR69)</f>
        <v>0</v>
      </c>
      <c r="BT61" s="17">
        <f>IF('Eurostat EB TJ'!BS69=":",0,'Eurostat EB TJ'!BS69)</f>
        <v>0</v>
      </c>
      <c r="BU61" s="17">
        <f>IF('Eurostat EB TJ'!BT69=":",0,'Eurostat EB TJ'!BT69)</f>
        <v>0</v>
      </c>
      <c r="BV61" s="17">
        <f>IF('Eurostat EB TJ'!BU69=":",0,'Eurostat EB TJ'!BU69)</f>
        <v>0</v>
      </c>
    </row>
    <row r="62" spans="1:74" x14ac:dyDescent="0.2">
      <c r="A62" s="56" t="s">
        <v>243</v>
      </c>
      <c r="B62" s="57"/>
      <c r="C62" s="57">
        <f>IF('Eurostat EB TJ'!B70=":",0,'Eurostat EB TJ'!B70)</f>
        <v>10085.383</v>
      </c>
      <c r="D62" s="57">
        <f>IF('Eurostat EB TJ'!C70=":",0,'Eurostat EB TJ'!C70)</f>
        <v>0</v>
      </c>
      <c r="E62" s="57">
        <f>IF('Eurostat EB TJ'!D70=":",0,'Eurostat EB TJ'!D70)</f>
        <v>0</v>
      </c>
      <c r="F62" s="57">
        <f>IF('Eurostat EB TJ'!E70=":",0,'Eurostat EB TJ'!E70)</f>
        <v>0</v>
      </c>
      <c r="G62" s="57">
        <f>IF('Eurostat EB TJ'!F70=":",0,'Eurostat EB TJ'!F70)</f>
        <v>0</v>
      </c>
      <c r="H62" s="57">
        <f>IF('Eurostat EB TJ'!G70=":",0,'Eurostat EB TJ'!G70)</f>
        <v>0</v>
      </c>
      <c r="I62" s="57">
        <f>IF('Eurostat EB TJ'!H70=":",0,'Eurostat EB TJ'!H70)</f>
        <v>0</v>
      </c>
      <c r="J62" s="57">
        <f>IF('Eurostat EB TJ'!I70=":",0,'Eurostat EB TJ'!I70)</f>
        <v>0</v>
      </c>
      <c r="K62" s="57">
        <f>IF('Eurostat EB TJ'!J70=":",0,'Eurostat EB TJ'!J70)</f>
        <v>0</v>
      </c>
      <c r="L62" s="57">
        <f>IF('Eurostat EB TJ'!K70=":",0,'Eurostat EB TJ'!K70)</f>
        <v>0</v>
      </c>
      <c r="M62" s="57">
        <f>IF('Eurostat EB TJ'!L70=":",0,'Eurostat EB TJ'!L70)</f>
        <v>0</v>
      </c>
      <c r="N62" s="57">
        <f>IF('Eurostat EB TJ'!M70=":",0,'Eurostat EB TJ'!M70)</f>
        <v>0</v>
      </c>
      <c r="O62" s="57">
        <f>IF('Eurostat EB TJ'!N70=":",0,'Eurostat EB TJ'!N70)</f>
        <v>0</v>
      </c>
      <c r="P62" s="57">
        <f>IF('Eurostat EB TJ'!O70=":",0,'Eurostat EB TJ'!O70)</f>
        <v>0</v>
      </c>
      <c r="Q62" s="57">
        <f>IF('Eurostat EB TJ'!P70=":",0,'Eurostat EB TJ'!P70)</f>
        <v>0</v>
      </c>
      <c r="R62" s="57">
        <f>IF('Eurostat EB TJ'!Q70=":",0,'Eurostat EB TJ'!Q70)</f>
        <v>0</v>
      </c>
      <c r="S62" s="57">
        <f>IF('Eurostat EB TJ'!R70=":",0,'Eurostat EB TJ'!R70)</f>
        <v>0</v>
      </c>
      <c r="T62" s="57">
        <f>IF('Eurostat EB TJ'!S70=":",0,'Eurostat EB TJ'!S70)</f>
        <v>0</v>
      </c>
      <c r="U62" s="57">
        <f>IF('Eurostat EB TJ'!T70=":",0,'Eurostat EB TJ'!T70)</f>
        <v>0</v>
      </c>
      <c r="V62" s="57">
        <f>IF('Eurostat EB TJ'!U70=":",0,'Eurostat EB TJ'!U70)</f>
        <v>0</v>
      </c>
      <c r="W62" s="57">
        <f>IF('Eurostat EB TJ'!V70=":",0,'Eurostat EB TJ'!V70)</f>
        <v>0</v>
      </c>
      <c r="X62" s="57">
        <f>IF('Eurostat EB TJ'!W70=":",0,'Eurostat EB TJ'!W70)</f>
        <v>0</v>
      </c>
      <c r="Y62" s="57">
        <f>IF('Eurostat EB TJ'!X70=":",0,'Eurostat EB TJ'!X70)</f>
        <v>0</v>
      </c>
      <c r="Z62" s="57">
        <f>IF('Eurostat EB TJ'!Y70=":",0,'Eurostat EB TJ'!Y70)</f>
        <v>0</v>
      </c>
      <c r="AA62" s="57">
        <f>IF('Eurostat EB TJ'!Z70=":",0,'Eurostat EB TJ'!Z70)</f>
        <v>0</v>
      </c>
      <c r="AB62" s="57">
        <f>IF('Eurostat EB TJ'!AA70=":",0,'Eurostat EB TJ'!AA70)</f>
        <v>0</v>
      </c>
      <c r="AC62" s="57">
        <f>IF('Eurostat EB TJ'!AB70=":",0,'Eurostat EB TJ'!AB70)</f>
        <v>0</v>
      </c>
      <c r="AD62" s="57">
        <f>IF('Eurostat EB TJ'!AC70=":",0,'Eurostat EB TJ'!AC70)</f>
        <v>0</v>
      </c>
      <c r="AE62" s="57">
        <f>IF('Eurostat EB TJ'!AD70=":",0,'Eurostat EB TJ'!AD70)</f>
        <v>0</v>
      </c>
      <c r="AF62" s="57">
        <f>IF('Eurostat EB TJ'!AE70=":",0,'Eurostat EB TJ'!AE70)</f>
        <v>0</v>
      </c>
      <c r="AG62" s="57">
        <f>IF('Eurostat EB TJ'!AF70=":",0,'Eurostat EB TJ'!AF70)</f>
        <v>0</v>
      </c>
      <c r="AH62" s="57">
        <f>IF('Eurostat EB TJ'!AG70=":",0,'Eurostat EB TJ'!AG70)</f>
        <v>0</v>
      </c>
      <c r="AI62" s="57">
        <f>IF('Eurostat EB TJ'!AH70=":",0,'Eurostat EB TJ'!AH70)</f>
        <v>0</v>
      </c>
      <c r="AJ62" s="57">
        <f>IF('Eurostat EB TJ'!AI70=":",0,'Eurostat EB TJ'!AI70)</f>
        <v>0</v>
      </c>
      <c r="AK62" s="57">
        <f>IF('Eurostat EB TJ'!AJ70=":",0,'Eurostat EB TJ'!AJ70)</f>
        <v>0</v>
      </c>
      <c r="AL62" s="57">
        <f>IF('Eurostat EB TJ'!AK70=":",0,'Eurostat EB TJ'!AK70)</f>
        <v>0</v>
      </c>
      <c r="AM62" s="57">
        <f>IF('Eurostat EB TJ'!AL70=":",0,'Eurostat EB TJ'!AL70)</f>
        <v>0</v>
      </c>
      <c r="AN62" s="57">
        <f>IF('Eurostat EB TJ'!AM70=":",0,'Eurostat EB TJ'!AM70)</f>
        <v>0</v>
      </c>
      <c r="AO62" s="57">
        <f>IF('Eurostat EB TJ'!AN70=":",0,'Eurostat EB TJ'!AN70)</f>
        <v>0</v>
      </c>
      <c r="AP62" s="57">
        <f>IF('Eurostat EB TJ'!AO70=":",0,'Eurostat EB TJ'!AO70)</f>
        <v>0</v>
      </c>
      <c r="AQ62" s="57">
        <f>IF('Eurostat EB TJ'!AP70=":",0,'Eurostat EB TJ'!AP70)</f>
        <v>0</v>
      </c>
      <c r="AR62" s="57">
        <f>IF('Eurostat EB TJ'!AQ70=":",0,'Eurostat EB TJ'!AQ70)</f>
        <v>0</v>
      </c>
      <c r="AS62" s="57">
        <f>IF('Eurostat EB TJ'!AR70=":",0,'Eurostat EB TJ'!AR70)</f>
        <v>0</v>
      </c>
      <c r="AT62" s="57">
        <f>IF('Eurostat EB TJ'!AS70=":",0,'Eurostat EB TJ'!AS70)</f>
        <v>0</v>
      </c>
      <c r="AU62" s="57">
        <f>IF('Eurostat EB TJ'!AT70=":",0,'Eurostat EB TJ'!AT70)</f>
        <v>0</v>
      </c>
      <c r="AV62" s="57">
        <f>IF('Eurostat EB TJ'!AU70=":",0,'Eurostat EB TJ'!AU70)</f>
        <v>0</v>
      </c>
      <c r="AW62" s="57">
        <f>IF('Eurostat EB TJ'!AV70=":",0,'Eurostat EB TJ'!AV70)</f>
        <v>0</v>
      </c>
      <c r="AX62" s="57">
        <f>IF('Eurostat EB TJ'!AW70=":",0,'Eurostat EB TJ'!AW70)</f>
        <v>0</v>
      </c>
      <c r="AY62" s="57">
        <f>IF('Eurostat EB TJ'!AX70=":",0,'Eurostat EB TJ'!AX70)</f>
        <v>0</v>
      </c>
      <c r="AZ62" s="57">
        <f>IF('Eurostat EB TJ'!AY70=":",0,'Eurostat EB TJ'!AY70)</f>
        <v>0</v>
      </c>
      <c r="BA62" s="57">
        <f>IF('Eurostat EB TJ'!AZ70=":",0,'Eurostat EB TJ'!AZ70)</f>
        <v>0</v>
      </c>
      <c r="BB62" s="57">
        <f>IF('Eurostat EB TJ'!BA70=":",0,'Eurostat EB TJ'!BA70)</f>
        <v>0</v>
      </c>
      <c r="BC62" s="57">
        <f>IF('Eurostat EB TJ'!BB70=":",0,'Eurostat EB TJ'!BB70)</f>
        <v>0</v>
      </c>
      <c r="BD62" s="57">
        <f>IF('Eurostat EB TJ'!BC70=":",0,'Eurostat EB TJ'!BC70)</f>
        <v>0</v>
      </c>
      <c r="BE62" s="57">
        <f>IF('Eurostat EB TJ'!BD70=":",0,'Eurostat EB TJ'!BD70)</f>
        <v>0</v>
      </c>
      <c r="BF62" s="57">
        <f>IF('Eurostat EB TJ'!BE70=":",0,'Eurostat EB TJ'!BE70)</f>
        <v>0</v>
      </c>
      <c r="BG62" s="57">
        <f>IF('Eurostat EB TJ'!BF70=":",0,'Eurostat EB TJ'!BF70)</f>
        <v>0</v>
      </c>
      <c r="BH62" s="57">
        <f>IF('Eurostat EB TJ'!BG70=":",0,'Eurostat EB TJ'!BG70)</f>
        <v>0</v>
      </c>
      <c r="BI62" s="57">
        <f>IF('Eurostat EB TJ'!BH70=":",0,'Eurostat EB TJ'!BH70)</f>
        <v>0</v>
      </c>
      <c r="BJ62" s="57">
        <f>IF('Eurostat EB TJ'!BI70=":",0,'Eurostat EB TJ'!BI70)</f>
        <v>0</v>
      </c>
      <c r="BK62" s="57">
        <f>IF('Eurostat EB TJ'!BJ70=":",0,'Eurostat EB TJ'!BJ70)</f>
        <v>0</v>
      </c>
      <c r="BL62" s="57">
        <f>IF('Eurostat EB TJ'!BK70=":",0,'Eurostat EB TJ'!BK70)</f>
        <v>0</v>
      </c>
      <c r="BM62" s="57">
        <f>IF('Eurostat EB TJ'!BL70=":",0,'Eurostat EB TJ'!BL70)</f>
        <v>0</v>
      </c>
      <c r="BN62" s="57">
        <f>IF('Eurostat EB TJ'!BM70=":",0,'Eurostat EB TJ'!BM70)</f>
        <v>0</v>
      </c>
      <c r="BO62" s="57">
        <f>IF('Eurostat EB TJ'!BN70=":",0,'Eurostat EB TJ'!BN70)</f>
        <v>0</v>
      </c>
      <c r="BP62" s="57">
        <f>IF('Eurostat EB TJ'!BO70=":",0,'Eurostat EB TJ'!BO70)</f>
        <v>0</v>
      </c>
      <c r="BQ62" s="57">
        <f>IF('Eurostat EB TJ'!BP70=":",0,'Eurostat EB TJ'!BP70)</f>
        <v>0</v>
      </c>
      <c r="BR62" s="57">
        <f>IF('Eurostat EB TJ'!BQ70=":",0,'Eurostat EB TJ'!BQ70)</f>
        <v>0</v>
      </c>
      <c r="BS62" s="57">
        <f>IF('Eurostat EB TJ'!BR70=":",0,'Eurostat EB TJ'!BR70)</f>
        <v>2054.2719999999999</v>
      </c>
      <c r="BT62" s="57">
        <f>IF('Eurostat EB TJ'!BS70=":",0,'Eurostat EB TJ'!BS70)</f>
        <v>8031.1109999999999</v>
      </c>
      <c r="BU62" s="57">
        <f>IF('Eurostat EB TJ'!BT70=":",0,'Eurostat EB TJ'!BT70)</f>
        <v>1899.7449999999999</v>
      </c>
      <c r="BV62" s="57">
        <f>IF('Eurostat EB TJ'!BU70=":",0,'Eurostat EB TJ'!BU70)</f>
        <v>6584.6379999999999</v>
      </c>
    </row>
    <row r="63" spans="1:74" x14ac:dyDescent="0.2">
      <c r="A63" s="56" t="s">
        <v>244</v>
      </c>
      <c r="B63" s="17"/>
      <c r="C63" s="17">
        <f>IF('Eurostat EB TJ'!B71=":",0,'Eurostat EB TJ'!B71)</f>
        <v>68416.035000000003</v>
      </c>
      <c r="D63" s="17">
        <f>IF('Eurostat EB TJ'!C71=":",0,'Eurostat EB TJ'!C71)</f>
        <v>53399.764000000003</v>
      </c>
      <c r="E63" s="17">
        <f>IF('Eurostat EB TJ'!D71=":",0,'Eurostat EB TJ'!D71)</f>
        <v>0</v>
      </c>
      <c r="F63" s="17">
        <f>IF('Eurostat EB TJ'!E71=":",0,'Eurostat EB TJ'!E71)</f>
        <v>0</v>
      </c>
      <c r="G63" s="17">
        <f>IF('Eurostat EB TJ'!F71=":",0,'Eurostat EB TJ'!F71)</f>
        <v>0</v>
      </c>
      <c r="H63" s="17">
        <f>IF('Eurostat EB TJ'!G71=":",0,'Eurostat EB TJ'!G71)</f>
        <v>0</v>
      </c>
      <c r="I63" s="17">
        <f>IF('Eurostat EB TJ'!H71=":",0,'Eurostat EB TJ'!H71)</f>
        <v>0</v>
      </c>
      <c r="J63" s="17">
        <f>IF('Eurostat EB TJ'!I71=":",0,'Eurostat EB TJ'!I71)</f>
        <v>50186.705000000002</v>
      </c>
      <c r="K63" s="17">
        <f>IF('Eurostat EB TJ'!J71=":",0,'Eurostat EB TJ'!J71)</f>
        <v>0</v>
      </c>
      <c r="L63" s="17">
        <f>IF('Eurostat EB TJ'!K71=":",0,'Eurostat EB TJ'!K71)</f>
        <v>0</v>
      </c>
      <c r="M63" s="17">
        <f>IF('Eurostat EB TJ'!L71=":",0,'Eurostat EB TJ'!L71)</f>
        <v>0</v>
      </c>
      <c r="N63" s="17">
        <f>IF('Eurostat EB TJ'!M71=":",0,'Eurostat EB TJ'!M71)</f>
        <v>3213.06</v>
      </c>
      <c r="O63" s="17">
        <f>IF('Eurostat EB TJ'!N71=":",0,'Eurostat EB TJ'!N71)</f>
        <v>15016.271000000001</v>
      </c>
      <c r="P63" s="17">
        <f>IF('Eurostat EB TJ'!O71=":",0,'Eurostat EB TJ'!O71)</f>
        <v>15016.271000000001</v>
      </c>
      <c r="Q63" s="17">
        <f>IF('Eurostat EB TJ'!P71=":",0,'Eurostat EB TJ'!P71)</f>
        <v>0</v>
      </c>
      <c r="R63" s="17">
        <f>IF('Eurostat EB TJ'!Q71=":",0,'Eurostat EB TJ'!Q71)</f>
        <v>0</v>
      </c>
      <c r="S63" s="17">
        <f>IF('Eurostat EB TJ'!R71=":",0,'Eurostat EB TJ'!R71)</f>
        <v>0</v>
      </c>
      <c r="T63" s="17">
        <f>IF('Eurostat EB TJ'!S71=":",0,'Eurostat EB TJ'!S71)</f>
        <v>0</v>
      </c>
      <c r="U63" s="17">
        <f>IF('Eurostat EB TJ'!T71=":",0,'Eurostat EB TJ'!T71)</f>
        <v>0</v>
      </c>
      <c r="V63" s="17">
        <f>IF('Eurostat EB TJ'!U71=":",0,'Eurostat EB TJ'!U71)</f>
        <v>0</v>
      </c>
      <c r="W63" s="17">
        <f>IF('Eurostat EB TJ'!V71=":",0,'Eurostat EB TJ'!V71)</f>
        <v>0</v>
      </c>
      <c r="X63" s="17">
        <f>IF('Eurostat EB TJ'!W71=":",0,'Eurostat EB TJ'!W71)</f>
        <v>0</v>
      </c>
      <c r="Y63" s="17">
        <f>IF('Eurostat EB TJ'!X71=":",0,'Eurostat EB TJ'!X71)</f>
        <v>0</v>
      </c>
      <c r="Z63" s="17">
        <f>IF('Eurostat EB TJ'!Y71=":",0,'Eurostat EB TJ'!Y71)</f>
        <v>0</v>
      </c>
      <c r="AA63" s="17">
        <f>IF('Eurostat EB TJ'!Z71=":",0,'Eurostat EB TJ'!Z71)</f>
        <v>0</v>
      </c>
      <c r="AB63" s="17">
        <f>IF('Eurostat EB TJ'!AA71=":",0,'Eurostat EB TJ'!AA71)</f>
        <v>0</v>
      </c>
      <c r="AC63" s="17">
        <f>IF('Eurostat EB TJ'!AB71=":",0,'Eurostat EB TJ'!AB71)</f>
        <v>0</v>
      </c>
      <c r="AD63" s="17">
        <f>IF('Eurostat EB TJ'!AC71=":",0,'Eurostat EB TJ'!AC71)</f>
        <v>0</v>
      </c>
      <c r="AE63" s="17">
        <f>IF('Eurostat EB TJ'!AD71=":",0,'Eurostat EB TJ'!AD71)</f>
        <v>0</v>
      </c>
      <c r="AF63" s="17">
        <f>IF('Eurostat EB TJ'!AE71=":",0,'Eurostat EB TJ'!AE71)</f>
        <v>0</v>
      </c>
      <c r="AG63" s="17">
        <f>IF('Eurostat EB TJ'!AF71=":",0,'Eurostat EB TJ'!AF71)</f>
        <v>0</v>
      </c>
      <c r="AH63" s="17">
        <f>IF('Eurostat EB TJ'!AG71=":",0,'Eurostat EB TJ'!AG71)</f>
        <v>0</v>
      </c>
      <c r="AI63" s="17">
        <f>IF('Eurostat EB TJ'!AH71=":",0,'Eurostat EB TJ'!AH71)</f>
        <v>0</v>
      </c>
      <c r="AJ63" s="17">
        <f>IF('Eurostat EB TJ'!AI71=":",0,'Eurostat EB TJ'!AI71)</f>
        <v>0</v>
      </c>
      <c r="AK63" s="17">
        <f>IF('Eurostat EB TJ'!AJ71=":",0,'Eurostat EB TJ'!AJ71)</f>
        <v>0</v>
      </c>
      <c r="AL63" s="17">
        <f>IF('Eurostat EB TJ'!AK71=":",0,'Eurostat EB TJ'!AK71)</f>
        <v>0</v>
      </c>
      <c r="AM63" s="17">
        <f>IF('Eurostat EB TJ'!AL71=":",0,'Eurostat EB TJ'!AL71)</f>
        <v>0</v>
      </c>
      <c r="AN63" s="17">
        <f>IF('Eurostat EB TJ'!AM71=":",0,'Eurostat EB TJ'!AM71)</f>
        <v>0</v>
      </c>
      <c r="AO63" s="17">
        <f>IF('Eurostat EB TJ'!AN71=":",0,'Eurostat EB TJ'!AN71)</f>
        <v>0</v>
      </c>
      <c r="AP63" s="17">
        <f>IF('Eurostat EB TJ'!AO71=":",0,'Eurostat EB TJ'!AO71)</f>
        <v>0</v>
      </c>
      <c r="AQ63" s="17">
        <f>IF('Eurostat EB TJ'!AP71=":",0,'Eurostat EB TJ'!AP71)</f>
        <v>0</v>
      </c>
      <c r="AR63" s="17">
        <f>IF('Eurostat EB TJ'!AQ71=":",0,'Eurostat EB TJ'!AQ71)</f>
        <v>0</v>
      </c>
      <c r="AS63" s="17">
        <f>IF('Eurostat EB TJ'!AR71=":",0,'Eurostat EB TJ'!AR71)</f>
        <v>0</v>
      </c>
      <c r="AT63" s="17">
        <f>IF('Eurostat EB TJ'!AS71=":",0,'Eurostat EB TJ'!AS71)</f>
        <v>0</v>
      </c>
      <c r="AU63" s="17">
        <f>IF('Eurostat EB TJ'!AT71=":",0,'Eurostat EB TJ'!AT71)</f>
        <v>0</v>
      </c>
      <c r="AV63" s="17">
        <f>IF('Eurostat EB TJ'!AU71=":",0,'Eurostat EB TJ'!AU71)</f>
        <v>0</v>
      </c>
      <c r="AW63" s="17">
        <f>IF('Eurostat EB TJ'!AV71=":",0,'Eurostat EB TJ'!AV71)</f>
        <v>0</v>
      </c>
      <c r="AX63" s="17">
        <f>IF('Eurostat EB TJ'!AW71=":",0,'Eurostat EB TJ'!AW71)</f>
        <v>0</v>
      </c>
      <c r="AY63" s="17">
        <f>IF('Eurostat EB TJ'!AX71=":",0,'Eurostat EB TJ'!AX71)</f>
        <v>0</v>
      </c>
      <c r="AZ63" s="17">
        <f>IF('Eurostat EB TJ'!AY71=":",0,'Eurostat EB TJ'!AY71)</f>
        <v>0</v>
      </c>
      <c r="BA63" s="17">
        <f>IF('Eurostat EB TJ'!AZ71=":",0,'Eurostat EB TJ'!AZ71)</f>
        <v>0</v>
      </c>
      <c r="BB63" s="17">
        <f>IF('Eurostat EB TJ'!BA71=":",0,'Eurostat EB TJ'!BA71)</f>
        <v>0</v>
      </c>
      <c r="BC63" s="17">
        <f>IF('Eurostat EB TJ'!BB71=":",0,'Eurostat EB TJ'!BB71)</f>
        <v>0</v>
      </c>
      <c r="BD63" s="17">
        <f>IF('Eurostat EB TJ'!BC71=":",0,'Eurostat EB TJ'!BC71)</f>
        <v>0</v>
      </c>
      <c r="BE63" s="17">
        <f>IF('Eurostat EB TJ'!BD71=":",0,'Eurostat EB TJ'!BD71)</f>
        <v>0</v>
      </c>
      <c r="BF63" s="17">
        <f>IF('Eurostat EB TJ'!BE71=":",0,'Eurostat EB TJ'!BE71)</f>
        <v>0</v>
      </c>
      <c r="BG63" s="17">
        <f>IF('Eurostat EB TJ'!BF71=":",0,'Eurostat EB TJ'!BF71)</f>
        <v>0</v>
      </c>
      <c r="BH63" s="17">
        <f>IF('Eurostat EB TJ'!BG71=":",0,'Eurostat EB TJ'!BG71)</f>
        <v>0</v>
      </c>
      <c r="BI63" s="17">
        <f>IF('Eurostat EB TJ'!BH71=":",0,'Eurostat EB TJ'!BH71)</f>
        <v>0</v>
      </c>
      <c r="BJ63" s="17">
        <f>IF('Eurostat EB TJ'!BI71=":",0,'Eurostat EB TJ'!BI71)</f>
        <v>0</v>
      </c>
      <c r="BK63" s="17">
        <f>IF('Eurostat EB TJ'!BJ71=":",0,'Eurostat EB TJ'!BJ71)</f>
        <v>0</v>
      </c>
      <c r="BL63" s="17">
        <f>IF('Eurostat EB TJ'!BK71=":",0,'Eurostat EB TJ'!BK71)</f>
        <v>0</v>
      </c>
      <c r="BM63" s="17">
        <f>IF('Eurostat EB TJ'!BL71=":",0,'Eurostat EB TJ'!BL71)</f>
        <v>0</v>
      </c>
      <c r="BN63" s="17">
        <f>IF('Eurostat EB TJ'!BM71=":",0,'Eurostat EB TJ'!BM71)</f>
        <v>0</v>
      </c>
      <c r="BO63" s="17">
        <f>IF('Eurostat EB TJ'!BN71=":",0,'Eurostat EB TJ'!BN71)</f>
        <v>0</v>
      </c>
      <c r="BP63" s="17">
        <f>IF('Eurostat EB TJ'!BO71=":",0,'Eurostat EB TJ'!BO71)</f>
        <v>0</v>
      </c>
      <c r="BQ63" s="17">
        <f>IF('Eurostat EB TJ'!BP71=":",0,'Eurostat EB TJ'!BP71)</f>
        <v>0</v>
      </c>
      <c r="BR63" s="17">
        <f>IF('Eurostat EB TJ'!BQ71=":",0,'Eurostat EB TJ'!BQ71)</f>
        <v>0</v>
      </c>
      <c r="BS63" s="17">
        <f>IF('Eurostat EB TJ'!BR71=":",0,'Eurostat EB TJ'!BR71)</f>
        <v>0</v>
      </c>
      <c r="BT63" s="17">
        <f>IF('Eurostat EB TJ'!BS71=":",0,'Eurostat EB TJ'!BS71)</f>
        <v>0</v>
      </c>
      <c r="BU63" s="17">
        <f>IF('Eurostat EB TJ'!BT71=":",0,'Eurostat EB TJ'!BT71)</f>
        <v>0</v>
      </c>
      <c r="BV63" s="17">
        <f>IF('Eurostat EB TJ'!BU71=":",0,'Eurostat EB TJ'!BU71)</f>
        <v>68416.035000000003</v>
      </c>
    </row>
    <row r="64" spans="1:74" x14ac:dyDescent="0.2">
      <c r="A64" s="56" t="s">
        <v>245</v>
      </c>
      <c r="B64" s="57"/>
      <c r="C64" s="57">
        <f>IF('Eurostat EB TJ'!B72=":",0,'Eurostat EB TJ'!B72)</f>
        <v>27131.519</v>
      </c>
      <c r="D64" s="57">
        <f>IF('Eurostat EB TJ'!C72=":",0,'Eurostat EB TJ'!C72)</f>
        <v>0</v>
      </c>
      <c r="E64" s="57">
        <f>IF('Eurostat EB TJ'!D72=":",0,'Eurostat EB TJ'!D72)</f>
        <v>0</v>
      </c>
      <c r="F64" s="57">
        <f>IF('Eurostat EB TJ'!E72=":",0,'Eurostat EB TJ'!E72)</f>
        <v>0</v>
      </c>
      <c r="G64" s="57">
        <f>IF('Eurostat EB TJ'!F72=":",0,'Eurostat EB TJ'!F72)</f>
        <v>0</v>
      </c>
      <c r="H64" s="57">
        <f>IF('Eurostat EB TJ'!G72=":",0,'Eurostat EB TJ'!G72)</f>
        <v>0</v>
      </c>
      <c r="I64" s="57">
        <f>IF('Eurostat EB TJ'!H72=":",0,'Eurostat EB TJ'!H72)</f>
        <v>0</v>
      </c>
      <c r="J64" s="57">
        <f>IF('Eurostat EB TJ'!I72=":",0,'Eurostat EB TJ'!I72)</f>
        <v>0</v>
      </c>
      <c r="K64" s="57">
        <f>IF('Eurostat EB TJ'!J72=":",0,'Eurostat EB TJ'!J72)</f>
        <v>0</v>
      </c>
      <c r="L64" s="57">
        <f>IF('Eurostat EB TJ'!K72=":",0,'Eurostat EB TJ'!K72)</f>
        <v>0</v>
      </c>
      <c r="M64" s="57">
        <f>IF('Eurostat EB TJ'!L72=":",0,'Eurostat EB TJ'!L72)</f>
        <v>0</v>
      </c>
      <c r="N64" s="57">
        <f>IF('Eurostat EB TJ'!M72=":",0,'Eurostat EB TJ'!M72)</f>
        <v>0</v>
      </c>
      <c r="O64" s="57">
        <f>IF('Eurostat EB TJ'!N72=":",0,'Eurostat EB TJ'!N72)</f>
        <v>27131.519</v>
      </c>
      <c r="P64" s="57">
        <f>IF('Eurostat EB TJ'!O72=":",0,'Eurostat EB TJ'!O72)</f>
        <v>0</v>
      </c>
      <c r="Q64" s="57">
        <f>IF('Eurostat EB TJ'!P72=":",0,'Eurostat EB TJ'!P72)</f>
        <v>0</v>
      </c>
      <c r="R64" s="57">
        <f>IF('Eurostat EB TJ'!Q72=":",0,'Eurostat EB TJ'!Q72)</f>
        <v>27131.519</v>
      </c>
      <c r="S64" s="57">
        <f>IF('Eurostat EB TJ'!R72=":",0,'Eurostat EB TJ'!R72)</f>
        <v>0</v>
      </c>
      <c r="T64" s="57">
        <f>IF('Eurostat EB TJ'!S72=":",0,'Eurostat EB TJ'!S72)</f>
        <v>0</v>
      </c>
      <c r="U64" s="57">
        <f>IF('Eurostat EB TJ'!T72=":",0,'Eurostat EB TJ'!T72)</f>
        <v>0</v>
      </c>
      <c r="V64" s="57">
        <f>IF('Eurostat EB TJ'!U72=":",0,'Eurostat EB TJ'!U72)</f>
        <v>0</v>
      </c>
      <c r="W64" s="57">
        <f>IF('Eurostat EB TJ'!V72=":",0,'Eurostat EB TJ'!V72)</f>
        <v>0</v>
      </c>
      <c r="X64" s="57">
        <f>IF('Eurostat EB TJ'!W72=":",0,'Eurostat EB TJ'!W72)</f>
        <v>0</v>
      </c>
      <c r="Y64" s="57">
        <f>IF('Eurostat EB TJ'!X72=":",0,'Eurostat EB TJ'!X72)</f>
        <v>0</v>
      </c>
      <c r="Z64" s="57">
        <f>IF('Eurostat EB TJ'!Y72=":",0,'Eurostat EB TJ'!Y72)</f>
        <v>0</v>
      </c>
      <c r="AA64" s="57">
        <f>IF('Eurostat EB TJ'!Z72=":",0,'Eurostat EB TJ'!Z72)</f>
        <v>0</v>
      </c>
      <c r="AB64" s="57">
        <f>IF('Eurostat EB TJ'!AA72=":",0,'Eurostat EB TJ'!AA72)</f>
        <v>0</v>
      </c>
      <c r="AC64" s="57">
        <f>IF('Eurostat EB TJ'!AB72=":",0,'Eurostat EB TJ'!AB72)</f>
        <v>0</v>
      </c>
      <c r="AD64" s="57">
        <f>IF('Eurostat EB TJ'!AC72=":",0,'Eurostat EB TJ'!AC72)</f>
        <v>0</v>
      </c>
      <c r="AE64" s="57">
        <f>IF('Eurostat EB TJ'!AD72=":",0,'Eurostat EB TJ'!AD72)</f>
        <v>0</v>
      </c>
      <c r="AF64" s="57">
        <f>IF('Eurostat EB TJ'!AE72=":",0,'Eurostat EB TJ'!AE72)</f>
        <v>0</v>
      </c>
      <c r="AG64" s="57">
        <f>IF('Eurostat EB TJ'!AF72=":",0,'Eurostat EB TJ'!AF72)</f>
        <v>0</v>
      </c>
      <c r="AH64" s="57">
        <f>IF('Eurostat EB TJ'!AG72=":",0,'Eurostat EB TJ'!AG72)</f>
        <v>0</v>
      </c>
      <c r="AI64" s="57">
        <f>IF('Eurostat EB TJ'!AH72=":",0,'Eurostat EB TJ'!AH72)</f>
        <v>0</v>
      </c>
      <c r="AJ64" s="57">
        <f>IF('Eurostat EB TJ'!AI72=":",0,'Eurostat EB TJ'!AI72)</f>
        <v>0</v>
      </c>
      <c r="AK64" s="57">
        <f>IF('Eurostat EB TJ'!AJ72=":",0,'Eurostat EB TJ'!AJ72)</f>
        <v>0</v>
      </c>
      <c r="AL64" s="57">
        <f>IF('Eurostat EB TJ'!AK72=":",0,'Eurostat EB TJ'!AK72)</f>
        <v>0</v>
      </c>
      <c r="AM64" s="57">
        <f>IF('Eurostat EB TJ'!AL72=":",0,'Eurostat EB TJ'!AL72)</f>
        <v>0</v>
      </c>
      <c r="AN64" s="57">
        <f>IF('Eurostat EB TJ'!AM72=":",0,'Eurostat EB TJ'!AM72)</f>
        <v>0</v>
      </c>
      <c r="AO64" s="57">
        <f>IF('Eurostat EB TJ'!AN72=":",0,'Eurostat EB TJ'!AN72)</f>
        <v>0</v>
      </c>
      <c r="AP64" s="57">
        <f>IF('Eurostat EB TJ'!AO72=":",0,'Eurostat EB TJ'!AO72)</f>
        <v>0</v>
      </c>
      <c r="AQ64" s="57">
        <f>IF('Eurostat EB TJ'!AP72=":",0,'Eurostat EB TJ'!AP72)</f>
        <v>0</v>
      </c>
      <c r="AR64" s="57">
        <f>IF('Eurostat EB TJ'!AQ72=":",0,'Eurostat EB TJ'!AQ72)</f>
        <v>0</v>
      </c>
      <c r="AS64" s="57">
        <f>IF('Eurostat EB TJ'!AR72=":",0,'Eurostat EB TJ'!AR72)</f>
        <v>0</v>
      </c>
      <c r="AT64" s="57">
        <f>IF('Eurostat EB TJ'!AS72=":",0,'Eurostat EB TJ'!AS72)</f>
        <v>0</v>
      </c>
      <c r="AU64" s="57">
        <f>IF('Eurostat EB TJ'!AT72=":",0,'Eurostat EB TJ'!AT72)</f>
        <v>0</v>
      </c>
      <c r="AV64" s="57">
        <f>IF('Eurostat EB TJ'!AU72=":",0,'Eurostat EB TJ'!AU72)</f>
        <v>0</v>
      </c>
      <c r="AW64" s="57">
        <f>IF('Eurostat EB TJ'!AV72=":",0,'Eurostat EB TJ'!AV72)</f>
        <v>0</v>
      </c>
      <c r="AX64" s="57">
        <f>IF('Eurostat EB TJ'!AW72=":",0,'Eurostat EB TJ'!AW72)</f>
        <v>0</v>
      </c>
      <c r="AY64" s="57">
        <f>IF('Eurostat EB TJ'!AX72=":",0,'Eurostat EB TJ'!AX72)</f>
        <v>0</v>
      </c>
      <c r="AZ64" s="57">
        <f>IF('Eurostat EB TJ'!AY72=":",0,'Eurostat EB TJ'!AY72)</f>
        <v>0</v>
      </c>
      <c r="BA64" s="57">
        <f>IF('Eurostat EB TJ'!AZ72=":",0,'Eurostat EB TJ'!AZ72)</f>
        <v>0</v>
      </c>
      <c r="BB64" s="57">
        <f>IF('Eurostat EB TJ'!BA72=":",0,'Eurostat EB TJ'!BA72)</f>
        <v>0</v>
      </c>
      <c r="BC64" s="57">
        <f>IF('Eurostat EB TJ'!BB72=":",0,'Eurostat EB TJ'!BB72)</f>
        <v>0</v>
      </c>
      <c r="BD64" s="57">
        <f>IF('Eurostat EB TJ'!BC72=":",0,'Eurostat EB TJ'!BC72)</f>
        <v>0</v>
      </c>
      <c r="BE64" s="57">
        <f>IF('Eurostat EB TJ'!BD72=":",0,'Eurostat EB TJ'!BD72)</f>
        <v>0</v>
      </c>
      <c r="BF64" s="57">
        <f>IF('Eurostat EB TJ'!BE72=":",0,'Eurostat EB TJ'!BE72)</f>
        <v>0</v>
      </c>
      <c r="BG64" s="57">
        <f>IF('Eurostat EB TJ'!BF72=":",0,'Eurostat EB TJ'!BF72)</f>
        <v>0</v>
      </c>
      <c r="BH64" s="57">
        <f>IF('Eurostat EB TJ'!BG72=":",0,'Eurostat EB TJ'!BG72)</f>
        <v>0</v>
      </c>
      <c r="BI64" s="57">
        <f>IF('Eurostat EB TJ'!BH72=":",0,'Eurostat EB TJ'!BH72)</f>
        <v>0</v>
      </c>
      <c r="BJ64" s="57">
        <f>IF('Eurostat EB TJ'!BI72=":",0,'Eurostat EB TJ'!BI72)</f>
        <v>0</v>
      </c>
      <c r="BK64" s="57">
        <f>IF('Eurostat EB TJ'!BJ72=":",0,'Eurostat EB TJ'!BJ72)</f>
        <v>0</v>
      </c>
      <c r="BL64" s="57">
        <f>IF('Eurostat EB TJ'!BK72=":",0,'Eurostat EB TJ'!BK72)</f>
        <v>0</v>
      </c>
      <c r="BM64" s="57">
        <f>IF('Eurostat EB TJ'!BL72=":",0,'Eurostat EB TJ'!BL72)</f>
        <v>0</v>
      </c>
      <c r="BN64" s="57">
        <f>IF('Eurostat EB TJ'!BM72=":",0,'Eurostat EB TJ'!BM72)</f>
        <v>0</v>
      </c>
      <c r="BO64" s="57">
        <f>IF('Eurostat EB TJ'!BN72=":",0,'Eurostat EB TJ'!BN72)</f>
        <v>0</v>
      </c>
      <c r="BP64" s="57">
        <f>IF('Eurostat EB TJ'!BO72=":",0,'Eurostat EB TJ'!BO72)</f>
        <v>0</v>
      </c>
      <c r="BQ64" s="57">
        <f>IF('Eurostat EB TJ'!BP72=":",0,'Eurostat EB TJ'!BP72)</f>
        <v>0</v>
      </c>
      <c r="BR64" s="57">
        <f>IF('Eurostat EB TJ'!BQ72=":",0,'Eurostat EB TJ'!BQ72)</f>
        <v>0</v>
      </c>
      <c r="BS64" s="57">
        <f>IF('Eurostat EB TJ'!BR72=":",0,'Eurostat EB TJ'!BR72)</f>
        <v>0</v>
      </c>
      <c r="BT64" s="57">
        <f>IF('Eurostat EB TJ'!BS72=":",0,'Eurostat EB TJ'!BS72)</f>
        <v>0</v>
      </c>
      <c r="BU64" s="57">
        <f>IF('Eurostat EB TJ'!BT72=":",0,'Eurostat EB TJ'!BT72)</f>
        <v>0</v>
      </c>
      <c r="BV64" s="57">
        <f>IF('Eurostat EB TJ'!BU72=":",0,'Eurostat EB TJ'!BU72)</f>
        <v>27131.519</v>
      </c>
    </row>
    <row r="65" spans="1:74" x14ac:dyDescent="0.2">
      <c r="A65" s="56" t="s">
        <v>246</v>
      </c>
      <c r="B65" s="17"/>
      <c r="C65" s="17">
        <f>IF('Eurostat EB TJ'!B73=":",0,'Eurostat EB TJ'!B73)</f>
        <v>0</v>
      </c>
      <c r="D65" s="17">
        <f>IF('Eurostat EB TJ'!C73=":",0,'Eurostat EB TJ'!C73)</f>
        <v>0</v>
      </c>
      <c r="E65" s="17">
        <f>IF('Eurostat EB TJ'!D73=":",0,'Eurostat EB TJ'!D73)</f>
        <v>0</v>
      </c>
      <c r="F65" s="17">
        <f>IF('Eurostat EB TJ'!E73=":",0,'Eurostat EB TJ'!E73)</f>
        <v>0</v>
      </c>
      <c r="G65" s="17">
        <f>IF('Eurostat EB TJ'!F73=":",0,'Eurostat EB TJ'!F73)</f>
        <v>0</v>
      </c>
      <c r="H65" s="17">
        <f>IF('Eurostat EB TJ'!G73=":",0,'Eurostat EB TJ'!G73)</f>
        <v>0</v>
      </c>
      <c r="I65" s="17">
        <f>IF('Eurostat EB TJ'!H73=":",0,'Eurostat EB TJ'!H73)</f>
        <v>0</v>
      </c>
      <c r="J65" s="17">
        <f>IF('Eurostat EB TJ'!I73=":",0,'Eurostat EB TJ'!I73)</f>
        <v>0</v>
      </c>
      <c r="K65" s="17">
        <f>IF('Eurostat EB TJ'!J73=":",0,'Eurostat EB TJ'!J73)</f>
        <v>0</v>
      </c>
      <c r="L65" s="17">
        <f>IF('Eurostat EB TJ'!K73=":",0,'Eurostat EB TJ'!K73)</f>
        <v>0</v>
      </c>
      <c r="M65" s="17">
        <f>IF('Eurostat EB TJ'!L73=":",0,'Eurostat EB TJ'!L73)</f>
        <v>0</v>
      </c>
      <c r="N65" s="17">
        <f>IF('Eurostat EB TJ'!M73=":",0,'Eurostat EB TJ'!M73)</f>
        <v>0</v>
      </c>
      <c r="O65" s="17">
        <f>IF('Eurostat EB TJ'!N73=":",0,'Eurostat EB TJ'!N73)</f>
        <v>0</v>
      </c>
      <c r="P65" s="17">
        <f>IF('Eurostat EB TJ'!O73=":",0,'Eurostat EB TJ'!O73)</f>
        <v>0</v>
      </c>
      <c r="Q65" s="17">
        <f>IF('Eurostat EB TJ'!P73=":",0,'Eurostat EB TJ'!P73)</f>
        <v>0</v>
      </c>
      <c r="R65" s="17">
        <f>IF('Eurostat EB TJ'!Q73=":",0,'Eurostat EB TJ'!Q73)</f>
        <v>0</v>
      </c>
      <c r="S65" s="17">
        <f>IF('Eurostat EB TJ'!R73=":",0,'Eurostat EB TJ'!R73)</f>
        <v>0</v>
      </c>
      <c r="T65" s="17">
        <f>IF('Eurostat EB TJ'!S73=":",0,'Eurostat EB TJ'!S73)</f>
        <v>0</v>
      </c>
      <c r="U65" s="17">
        <f>IF('Eurostat EB TJ'!T73=":",0,'Eurostat EB TJ'!T73)</f>
        <v>0</v>
      </c>
      <c r="V65" s="17">
        <f>IF('Eurostat EB TJ'!U73=":",0,'Eurostat EB TJ'!U73)</f>
        <v>0</v>
      </c>
      <c r="W65" s="17">
        <f>IF('Eurostat EB TJ'!V73=":",0,'Eurostat EB TJ'!V73)</f>
        <v>0</v>
      </c>
      <c r="X65" s="17">
        <f>IF('Eurostat EB TJ'!W73=":",0,'Eurostat EB TJ'!W73)</f>
        <v>0</v>
      </c>
      <c r="Y65" s="17">
        <f>IF('Eurostat EB TJ'!X73=":",0,'Eurostat EB TJ'!X73)</f>
        <v>0</v>
      </c>
      <c r="Z65" s="17">
        <f>IF('Eurostat EB TJ'!Y73=":",0,'Eurostat EB TJ'!Y73)</f>
        <v>0</v>
      </c>
      <c r="AA65" s="17">
        <f>IF('Eurostat EB TJ'!Z73=":",0,'Eurostat EB TJ'!Z73)</f>
        <v>0</v>
      </c>
      <c r="AB65" s="17">
        <f>IF('Eurostat EB TJ'!AA73=":",0,'Eurostat EB TJ'!AA73)</f>
        <v>0</v>
      </c>
      <c r="AC65" s="17">
        <f>IF('Eurostat EB TJ'!AB73=":",0,'Eurostat EB TJ'!AB73)</f>
        <v>0</v>
      </c>
      <c r="AD65" s="17">
        <f>IF('Eurostat EB TJ'!AC73=":",0,'Eurostat EB TJ'!AC73)</f>
        <v>0</v>
      </c>
      <c r="AE65" s="17">
        <f>IF('Eurostat EB TJ'!AD73=":",0,'Eurostat EB TJ'!AD73)</f>
        <v>0</v>
      </c>
      <c r="AF65" s="17">
        <f>IF('Eurostat EB TJ'!AE73=":",0,'Eurostat EB TJ'!AE73)</f>
        <v>0</v>
      </c>
      <c r="AG65" s="17">
        <f>IF('Eurostat EB TJ'!AF73=":",0,'Eurostat EB TJ'!AF73)</f>
        <v>0</v>
      </c>
      <c r="AH65" s="17">
        <f>IF('Eurostat EB TJ'!AG73=":",0,'Eurostat EB TJ'!AG73)</f>
        <v>0</v>
      </c>
      <c r="AI65" s="17">
        <f>IF('Eurostat EB TJ'!AH73=":",0,'Eurostat EB TJ'!AH73)</f>
        <v>0</v>
      </c>
      <c r="AJ65" s="17">
        <f>IF('Eurostat EB TJ'!AI73=":",0,'Eurostat EB TJ'!AI73)</f>
        <v>0</v>
      </c>
      <c r="AK65" s="17">
        <f>IF('Eurostat EB TJ'!AJ73=":",0,'Eurostat EB TJ'!AJ73)</f>
        <v>0</v>
      </c>
      <c r="AL65" s="17">
        <f>IF('Eurostat EB TJ'!AK73=":",0,'Eurostat EB TJ'!AK73)</f>
        <v>0</v>
      </c>
      <c r="AM65" s="17">
        <f>IF('Eurostat EB TJ'!AL73=":",0,'Eurostat EB TJ'!AL73)</f>
        <v>0</v>
      </c>
      <c r="AN65" s="17">
        <f>IF('Eurostat EB TJ'!AM73=":",0,'Eurostat EB TJ'!AM73)</f>
        <v>0</v>
      </c>
      <c r="AO65" s="17">
        <f>IF('Eurostat EB TJ'!AN73=":",0,'Eurostat EB TJ'!AN73)</f>
        <v>0</v>
      </c>
      <c r="AP65" s="17">
        <f>IF('Eurostat EB TJ'!AO73=":",0,'Eurostat EB TJ'!AO73)</f>
        <v>0</v>
      </c>
      <c r="AQ65" s="17">
        <f>IF('Eurostat EB TJ'!AP73=":",0,'Eurostat EB TJ'!AP73)</f>
        <v>0</v>
      </c>
      <c r="AR65" s="17">
        <f>IF('Eurostat EB TJ'!AQ73=":",0,'Eurostat EB TJ'!AQ73)</f>
        <v>0</v>
      </c>
      <c r="AS65" s="17">
        <f>IF('Eurostat EB TJ'!AR73=":",0,'Eurostat EB TJ'!AR73)</f>
        <v>0</v>
      </c>
      <c r="AT65" s="17">
        <f>IF('Eurostat EB TJ'!AS73=":",0,'Eurostat EB TJ'!AS73)</f>
        <v>0</v>
      </c>
      <c r="AU65" s="17">
        <f>IF('Eurostat EB TJ'!AT73=":",0,'Eurostat EB TJ'!AT73)</f>
        <v>0</v>
      </c>
      <c r="AV65" s="17">
        <f>IF('Eurostat EB TJ'!AU73=":",0,'Eurostat EB TJ'!AU73)</f>
        <v>0</v>
      </c>
      <c r="AW65" s="17">
        <f>IF('Eurostat EB TJ'!AV73=":",0,'Eurostat EB TJ'!AV73)</f>
        <v>0</v>
      </c>
      <c r="AX65" s="17">
        <f>IF('Eurostat EB TJ'!AW73=":",0,'Eurostat EB TJ'!AW73)</f>
        <v>0</v>
      </c>
      <c r="AY65" s="17">
        <f>IF('Eurostat EB TJ'!AX73=":",0,'Eurostat EB TJ'!AX73)</f>
        <v>0</v>
      </c>
      <c r="AZ65" s="17">
        <f>IF('Eurostat EB TJ'!AY73=":",0,'Eurostat EB TJ'!AY73)</f>
        <v>0</v>
      </c>
      <c r="BA65" s="17">
        <f>IF('Eurostat EB TJ'!AZ73=":",0,'Eurostat EB TJ'!AZ73)</f>
        <v>0</v>
      </c>
      <c r="BB65" s="17">
        <f>IF('Eurostat EB TJ'!BA73=":",0,'Eurostat EB TJ'!BA73)</f>
        <v>0</v>
      </c>
      <c r="BC65" s="17">
        <f>IF('Eurostat EB TJ'!BB73=":",0,'Eurostat EB TJ'!BB73)</f>
        <v>0</v>
      </c>
      <c r="BD65" s="17">
        <f>IF('Eurostat EB TJ'!BC73=":",0,'Eurostat EB TJ'!BC73)</f>
        <v>0</v>
      </c>
      <c r="BE65" s="17">
        <f>IF('Eurostat EB TJ'!BD73=":",0,'Eurostat EB TJ'!BD73)</f>
        <v>0</v>
      </c>
      <c r="BF65" s="17">
        <f>IF('Eurostat EB TJ'!BE73=":",0,'Eurostat EB TJ'!BE73)</f>
        <v>0</v>
      </c>
      <c r="BG65" s="17">
        <f>IF('Eurostat EB TJ'!BF73=":",0,'Eurostat EB TJ'!BF73)</f>
        <v>0</v>
      </c>
      <c r="BH65" s="17">
        <f>IF('Eurostat EB TJ'!BG73=":",0,'Eurostat EB TJ'!BG73)</f>
        <v>0</v>
      </c>
      <c r="BI65" s="17">
        <f>IF('Eurostat EB TJ'!BH73=":",0,'Eurostat EB TJ'!BH73)</f>
        <v>0</v>
      </c>
      <c r="BJ65" s="17">
        <f>IF('Eurostat EB TJ'!BI73=":",0,'Eurostat EB TJ'!BI73)</f>
        <v>0</v>
      </c>
      <c r="BK65" s="17">
        <f>IF('Eurostat EB TJ'!BJ73=":",0,'Eurostat EB TJ'!BJ73)</f>
        <v>0</v>
      </c>
      <c r="BL65" s="17">
        <f>IF('Eurostat EB TJ'!BK73=":",0,'Eurostat EB TJ'!BK73)</f>
        <v>0</v>
      </c>
      <c r="BM65" s="17">
        <f>IF('Eurostat EB TJ'!BL73=":",0,'Eurostat EB TJ'!BL73)</f>
        <v>0</v>
      </c>
      <c r="BN65" s="17">
        <f>IF('Eurostat EB TJ'!BM73=":",0,'Eurostat EB TJ'!BM73)</f>
        <v>0</v>
      </c>
      <c r="BO65" s="17">
        <f>IF('Eurostat EB TJ'!BN73=":",0,'Eurostat EB TJ'!BN73)</f>
        <v>0</v>
      </c>
      <c r="BP65" s="17">
        <f>IF('Eurostat EB TJ'!BO73=":",0,'Eurostat EB TJ'!BO73)</f>
        <v>0</v>
      </c>
      <c r="BQ65" s="17">
        <f>IF('Eurostat EB TJ'!BP73=":",0,'Eurostat EB TJ'!BP73)</f>
        <v>0</v>
      </c>
      <c r="BR65" s="17">
        <f>IF('Eurostat EB TJ'!BQ73=":",0,'Eurostat EB TJ'!BQ73)</f>
        <v>0</v>
      </c>
      <c r="BS65" s="17">
        <f>IF('Eurostat EB TJ'!BR73=":",0,'Eurostat EB TJ'!BR73)</f>
        <v>0</v>
      </c>
      <c r="BT65" s="17">
        <f>IF('Eurostat EB TJ'!BS73=":",0,'Eurostat EB TJ'!BS73)</f>
        <v>0</v>
      </c>
      <c r="BU65" s="17">
        <f>IF('Eurostat EB TJ'!BT73=":",0,'Eurostat EB TJ'!BT73)</f>
        <v>0</v>
      </c>
      <c r="BV65" s="17">
        <f>IF('Eurostat EB TJ'!BU73=":",0,'Eurostat EB TJ'!BU73)</f>
        <v>0</v>
      </c>
    </row>
    <row r="66" spans="1:74" x14ac:dyDescent="0.2">
      <c r="A66" s="56" t="s">
        <v>247</v>
      </c>
      <c r="B66" s="57"/>
      <c r="C66" s="57">
        <f>IF('Eurostat EB TJ'!B74=":",0,'Eurostat EB TJ'!B74)</f>
        <v>4223873.2079999996</v>
      </c>
      <c r="D66" s="57">
        <f>IF('Eurostat EB TJ'!C74=":",0,'Eurostat EB TJ'!C74)</f>
        <v>0</v>
      </c>
      <c r="E66" s="57">
        <f>IF('Eurostat EB TJ'!D74=":",0,'Eurostat EB TJ'!D74)</f>
        <v>0</v>
      </c>
      <c r="F66" s="57">
        <f>IF('Eurostat EB TJ'!E74=":",0,'Eurostat EB TJ'!E74)</f>
        <v>0</v>
      </c>
      <c r="G66" s="57">
        <f>IF('Eurostat EB TJ'!F74=":",0,'Eurostat EB TJ'!F74)</f>
        <v>0</v>
      </c>
      <c r="H66" s="57">
        <f>IF('Eurostat EB TJ'!G74=":",0,'Eurostat EB TJ'!G74)</f>
        <v>0</v>
      </c>
      <c r="I66" s="57">
        <f>IF('Eurostat EB TJ'!H74=":",0,'Eurostat EB TJ'!H74)</f>
        <v>0</v>
      </c>
      <c r="J66" s="57">
        <f>IF('Eurostat EB TJ'!I74=":",0,'Eurostat EB TJ'!I74)</f>
        <v>0</v>
      </c>
      <c r="K66" s="57">
        <f>IF('Eurostat EB TJ'!J74=":",0,'Eurostat EB TJ'!J74)</f>
        <v>0</v>
      </c>
      <c r="L66" s="57">
        <f>IF('Eurostat EB TJ'!K74=":",0,'Eurostat EB TJ'!K74)</f>
        <v>0</v>
      </c>
      <c r="M66" s="57">
        <f>IF('Eurostat EB TJ'!L74=":",0,'Eurostat EB TJ'!L74)</f>
        <v>0</v>
      </c>
      <c r="N66" s="57">
        <f>IF('Eurostat EB TJ'!M74=":",0,'Eurostat EB TJ'!M74)</f>
        <v>0</v>
      </c>
      <c r="O66" s="57">
        <f>IF('Eurostat EB TJ'!N74=":",0,'Eurostat EB TJ'!N74)</f>
        <v>0</v>
      </c>
      <c r="P66" s="57">
        <f>IF('Eurostat EB TJ'!O74=":",0,'Eurostat EB TJ'!O74)</f>
        <v>0</v>
      </c>
      <c r="Q66" s="57">
        <f>IF('Eurostat EB TJ'!P74=":",0,'Eurostat EB TJ'!P74)</f>
        <v>0</v>
      </c>
      <c r="R66" s="57">
        <f>IF('Eurostat EB TJ'!Q74=":",0,'Eurostat EB TJ'!Q74)</f>
        <v>0</v>
      </c>
      <c r="S66" s="57">
        <f>IF('Eurostat EB TJ'!R74=":",0,'Eurostat EB TJ'!R74)</f>
        <v>0</v>
      </c>
      <c r="T66" s="57">
        <f>IF('Eurostat EB TJ'!S74=":",0,'Eurostat EB TJ'!S74)</f>
        <v>0</v>
      </c>
      <c r="U66" s="57">
        <f>IF('Eurostat EB TJ'!T74=":",0,'Eurostat EB TJ'!T74)</f>
        <v>0</v>
      </c>
      <c r="V66" s="57">
        <f>IF('Eurostat EB TJ'!U74=":",0,'Eurostat EB TJ'!U74)</f>
        <v>0</v>
      </c>
      <c r="W66" s="57">
        <f>IF('Eurostat EB TJ'!V74=":",0,'Eurostat EB TJ'!V74)</f>
        <v>0</v>
      </c>
      <c r="X66" s="57">
        <f>IF('Eurostat EB TJ'!W74=":",0,'Eurostat EB TJ'!W74)</f>
        <v>0</v>
      </c>
      <c r="Y66" s="57">
        <f>IF('Eurostat EB TJ'!X74=":",0,'Eurostat EB TJ'!X74)</f>
        <v>4223865.1890000002</v>
      </c>
      <c r="Z66" s="57">
        <f>IF('Eurostat EB TJ'!Y74=":",0,'Eurostat EB TJ'!Y74)</f>
        <v>77534.907000000007</v>
      </c>
      <c r="AA66" s="57">
        <f>IF('Eurostat EB TJ'!Z74=":",0,'Eurostat EB TJ'!Z74)</f>
        <v>193698.97500000001</v>
      </c>
      <c r="AB66" s="57">
        <f>IF('Eurostat EB TJ'!AA74=":",0,'Eurostat EB TJ'!AA74)</f>
        <v>366286</v>
      </c>
      <c r="AC66" s="57">
        <f>IF('Eurostat EB TJ'!AB74=":",0,'Eurostat EB TJ'!AB74)</f>
        <v>0</v>
      </c>
      <c r="AD66" s="57">
        <f>IF('Eurostat EB TJ'!AC74=":",0,'Eurostat EB TJ'!AC74)</f>
        <v>0</v>
      </c>
      <c r="AE66" s="57">
        <f>IF('Eurostat EB TJ'!AD74=":",0,'Eurostat EB TJ'!AD74)</f>
        <v>296327.21299999999</v>
      </c>
      <c r="AF66" s="57">
        <f>IF('Eurostat EB TJ'!AE74=":",0,'Eurostat EB TJ'!AE74)</f>
        <v>0</v>
      </c>
      <c r="AG66" s="57">
        <f>IF('Eurostat EB TJ'!AF74=":",0,'Eurostat EB TJ'!AF74)</f>
        <v>72539.956000000006</v>
      </c>
      <c r="AH66" s="57">
        <f>IF('Eurostat EB TJ'!AG74=":",0,'Eurostat EB TJ'!AG74)</f>
        <v>522616.924</v>
      </c>
      <c r="AI66" s="57">
        <f>IF('Eurostat EB TJ'!AH74=":",0,'Eurostat EB TJ'!AH74)</f>
        <v>2822.6170000000002</v>
      </c>
      <c r="AJ66" s="57">
        <f>IF('Eurostat EB TJ'!AI74=":",0,'Eurostat EB TJ'!AI74)</f>
        <v>768692.41700000002</v>
      </c>
      <c r="AK66" s="57">
        <f>IF('Eurostat EB TJ'!AJ74=":",0,'Eurostat EB TJ'!AJ74)</f>
        <v>0</v>
      </c>
      <c r="AL66" s="57">
        <f>IF('Eurostat EB TJ'!AK74=":",0,'Eurostat EB TJ'!AK74)</f>
        <v>390466.48700000002</v>
      </c>
      <c r="AM66" s="57">
        <f>IF('Eurostat EB TJ'!AL74=":",0,'Eurostat EB TJ'!AL74)</f>
        <v>17238.868999999999</v>
      </c>
      <c r="AN66" s="57">
        <f>IF('Eurostat EB TJ'!AM74=":",0,'Eurostat EB TJ'!AM74)</f>
        <v>856335.598</v>
      </c>
      <c r="AO66" s="57">
        <f>IF('Eurostat EB TJ'!AN74=":",0,'Eurostat EB TJ'!AN74)</f>
        <v>430034.38</v>
      </c>
      <c r="AP66" s="57">
        <f>IF('Eurostat EB TJ'!AO74=":",0,'Eurostat EB TJ'!AO74)</f>
        <v>96344.52</v>
      </c>
      <c r="AQ66" s="57">
        <f>IF('Eurostat EB TJ'!AP74=":",0,'Eurostat EB TJ'!AP74)</f>
        <v>44182.722999999998</v>
      </c>
      <c r="AR66" s="57">
        <f>IF('Eurostat EB TJ'!AQ74=":",0,'Eurostat EB TJ'!AQ74)</f>
        <v>410.98099999999999</v>
      </c>
      <c r="AS66" s="57">
        <f>IF('Eurostat EB TJ'!AR74=":",0,'Eurostat EB TJ'!AR74)</f>
        <v>16671.462</v>
      </c>
      <c r="AT66" s="57">
        <f>IF('Eurostat EB TJ'!AS74=":",0,'Eurostat EB TJ'!AS74)</f>
        <v>37052.463000000003</v>
      </c>
      <c r="AU66" s="57">
        <f>IF('Eurostat EB TJ'!AT74=":",0,'Eurostat EB TJ'!AT74)</f>
        <v>34608.697</v>
      </c>
      <c r="AV66" s="57">
        <f>IF('Eurostat EB TJ'!AU74=":",0,'Eurostat EB TJ'!AU74)</f>
        <v>8.0190000000000001</v>
      </c>
      <c r="AW66" s="57">
        <f>IF('Eurostat EB TJ'!AV74=":",0,'Eurostat EB TJ'!AV74)</f>
        <v>0</v>
      </c>
      <c r="AX66" s="57">
        <f>IF('Eurostat EB TJ'!AW74=":",0,'Eurostat EB TJ'!AW74)</f>
        <v>0</v>
      </c>
      <c r="AY66" s="57">
        <f>IF('Eurostat EB TJ'!AX74=":",0,'Eurostat EB TJ'!AX74)</f>
        <v>0</v>
      </c>
      <c r="AZ66" s="57">
        <f>IF('Eurostat EB TJ'!AY74=":",0,'Eurostat EB TJ'!AY74)</f>
        <v>0</v>
      </c>
      <c r="BA66" s="57">
        <f>IF('Eurostat EB TJ'!AZ74=":",0,'Eurostat EB TJ'!AZ74)</f>
        <v>0</v>
      </c>
      <c r="BB66" s="57">
        <f>IF('Eurostat EB TJ'!BA74=":",0,'Eurostat EB TJ'!BA74)</f>
        <v>0</v>
      </c>
      <c r="BC66" s="57">
        <f>IF('Eurostat EB TJ'!BB74=":",0,'Eurostat EB TJ'!BB74)</f>
        <v>0</v>
      </c>
      <c r="BD66" s="57">
        <f>IF('Eurostat EB TJ'!BC74=":",0,'Eurostat EB TJ'!BC74)</f>
        <v>0</v>
      </c>
      <c r="BE66" s="57">
        <f>IF('Eurostat EB TJ'!BD74=":",0,'Eurostat EB TJ'!BD74)</f>
        <v>0</v>
      </c>
      <c r="BF66" s="57">
        <f>IF('Eurostat EB TJ'!BE74=":",0,'Eurostat EB TJ'!BE74)</f>
        <v>0</v>
      </c>
      <c r="BG66" s="57">
        <f>IF('Eurostat EB TJ'!BF74=":",0,'Eurostat EB TJ'!BF74)</f>
        <v>8.0190000000000001</v>
      </c>
      <c r="BH66" s="57">
        <f>IF('Eurostat EB TJ'!BG74=":",0,'Eurostat EB TJ'!BG74)</f>
        <v>0</v>
      </c>
      <c r="BI66" s="57">
        <f>IF('Eurostat EB TJ'!BH74=":",0,'Eurostat EB TJ'!BH74)</f>
        <v>0</v>
      </c>
      <c r="BJ66" s="57">
        <f>IF('Eurostat EB TJ'!BI74=":",0,'Eurostat EB TJ'!BI74)</f>
        <v>0</v>
      </c>
      <c r="BK66" s="57">
        <f>IF('Eurostat EB TJ'!BJ74=":",0,'Eurostat EB TJ'!BJ74)</f>
        <v>0</v>
      </c>
      <c r="BL66" s="57">
        <f>IF('Eurostat EB TJ'!BK74=":",0,'Eurostat EB TJ'!BK74)</f>
        <v>0</v>
      </c>
      <c r="BM66" s="57">
        <f>IF('Eurostat EB TJ'!BL74=":",0,'Eurostat EB TJ'!BL74)</f>
        <v>0</v>
      </c>
      <c r="BN66" s="57">
        <f>IF('Eurostat EB TJ'!BM74=":",0,'Eurostat EB TJ'!BM74)</f>
        <v>0</v>
      </c>
      <c r="BO66" s="57">
        <f>IF('Eurostat EB TJ'!BN74=":",0,'Eurostat EB TJ'!BN74)</f>
        <v>0</v>
      </c>
      <c r="BP66" s="57">
        <f>IF('Eurostat EB TJ'!BO74=":",0,'Eurostat EB TJ'!BO74)</f>
        <v>0</v>
      </c>
      <c r="BQ66" s="57">
        <f>IF('Eurostat EB TJ'!BP74=":",0,'Eurostat EB TJ'!BP74)</f>
        <v>0</v>
      </c>
      <c r="BR66" s="57">
        <f>IF('Eurostat EB TJ'!BQ74=":",0,'Eurostat EB TJ'!BQ74)</f>
        <v>0</v>
      </c>
      <c r="BS66" s="57">
        <f>IF('Eurostat EB TJ'!BR74=":",0,'Eurostat EB TJ'!BR74)</f>
        <v>0</v>
      </c>
      <c r="BT66" s="57">
        <f>IF('Eurostat EB TJ'!BS74=":",0,'Eurostat EB TJ'!BS74)</f>
        <v>0</v>
      </c>
      <c r="BU66" s="57">
        <f>IF('Eurostat EB TJ'!BT74=":",0,'Eurostat EB TJ'!BT74)</f>
        <v>8.0190000000000001</v>
      </c>
      <c r="BV66" s="57">
        <f>IF('Eurostat EB TJ'!BU74=":",0,'Eurostat EB TJ'!BU74)</f>
        <v>4223865.1890000002</v>
      </c>
    </row>
    <row r="67" spans="1:74" x14ac:dyDescent="0.2">
      <c r="A67" s="56" t="s">
        <v>248</v>
      </c>
      <c r="B67" s="17"/>
      <c r="C67" s="17">
        <f>IF('Eurostat EB TJ'!B75=":",0,'Eurostat EB TJ'!B75)</f>
        <v>2612491.08</v>
      </c>
      <c r="D67" s="17">
        <f>IF('Eurostat EB TJ'!C75=":",0,'Eurostat EB TJ'!C75)</f>
        <v>0</v>
      </c>
      <c r="E67" s="17">
        <f>IF('Eurostat EB TJ'!D75=":",0,'Eurostat EB TJ'!D75)</f>
        <v>0</v>
      </c>
      <c r="F67" s="17">
        <f>IF('Eurostat EB TJ'!E75=":",0,'Eurostat EB TJ'!E75)</f>
        <v>0</v>
      </c>
      <c r="G67" s="17">
        <f>IF('Eurostat EB TJ'!F75=":",0,'Eurostat EB TJ'!F75)</f>
        <v>0</v>
      </c>
      <c r="H67" s="17">
        <f>IF('Eurostat EB TJ'!G75=":",0,'Eurostat EB TJ'!G75)</f>
        <v>0</v>
      </c>
      <c r="I67" s="17">
        <f>IF('Eurostat EB TJ'!H75=":",0,'Eurostat EB TJ'!H75)</f>
        <v>0</v>
      </c>
      <c r="J67" s="17">
        <f>IF('Eurostat EB TJ'!I75=":",0,'Eurostat EB TJ'!I75)</f>
        <v>0</v>
      </c>
      <c r="K67" s="17">
        <f>IF('Eurostat EB TJ'!J75=":",0,'Eurostat EB TJ'!J75)</f>
        <v>0</v>
      </c>
      <c r="L67" s="17">
        <f>IF('Eurostat EB TJ'!K75=":",0,'Eurostat EB TJ'!K75)</f>
        <v>0</v>
      </c>
      <c r="M67" s="17">
        <f>IF('Eurostat EB TJ'!L75=":",0,'Eurostat EB TJ'!L75)</f>
        <v>0</v>
      </c>
      <c r="N67" s="17">
        <f>IF('Eurostat EB TJ'!M75=":",0,'Eurostat EB TJ'!M75)</f>
        <v>0</v>
      </c>
      <c r="O67" s="17">
        <f>IF('Eurostat EB TJ'!N75=":",0,'Eurostat EB TJ'!N75)</f>
        <v>0</v>
      </c>
      <c r="P67" s="17">
        <f>IF('Eurostat EB TJ'!O75=":",0,'Eurostat EB TJ'!O75)</f>
        <v>0</v>
      </c>
      <c r="Q67" s="17">
        <f>IF('Eurostat EB TJ'!P75=":",0,'Eurostat EB TJ'!P75)</f>
        <v>0</v>
      </c>
      <c r="R67" s="17">
        <f>IF('Eurostat EB TJ'!Q75=":",0,'Eurostat EB TJ'!Q75)</f>
        <v>0</v>
      </c>
      <c r="S67" s="17">
        <f>IF('Eurostat EB TJ'!R75=":",0,'Eurostat EB TJ'!R75)</f>
        <v>0</v>
      </c>
      <c r="T67" s="17">
        <f>IF('Eurostat EB TJ'!S75=":",0,'Eurostat EB TJ'!S75)</f>
        <v>0</v>
      </c>
      <c r="U67" s="17">
        <f>IF('Eurostat EB TJ'!T75=":",0,'Eurostat EB TJ'!T75)</f>
        <v>0</v>
      </c>
      <c r="V67" s="17">
        <f>IF('Eurostat EB TJ'!U75=":",0,'Eurostat EB TJ'!U75)</f>
        <v>0</v>
      </c>
      <c r="W67" s="17">
        <f>IF('Eurostat EB TJ'!V75=":",0,'Eurostat EB TJ'!V75)</f>
        <v>0</v>
      </c>
      <c r="X67" s="17">
        <f>IF('Eurostat EB TJ'!W75=":",0,'Eurostat EB TJ'!W75)</f>
        <v>0</v>
      </c>
      <c r="Y67" s="17">
        <f>IF('Eurostat EB TJ'!X75=":",0,'Eurostat EB TJ'!X75)</f>
        <v>2612491.08</v>
      </c>
      <c r="Z67" s="17">
        <f>IF('Eurostat EB TJ'!Y75=":",0,'Eurostat EB TJ'!Y75)</f>
        <v>0</v>
      </c>
      <c r="AA67" s="17">
        <f>IF('Eurostat EB TJ'!Z75=":",0,'Eurostat EB TJ'!Z75)</f>
        <v>0</v>
      </c>
      <c r="AB67" s="17">
        <f>IF('Eurostat EB TJ'!AA75=":",0,'Eurostat EB TJ'!AA75)</f>
        <v>0</v>
      </c>
      <c r="AC67" s="17">
        <f>IF('Eurostat EB TJ'!AB75=":",0,'Eurostat EB TJ'!AB75)</f>
        <v>0</v>
      </c>
      <c r="AD67" s="17">
        <f>IF('Eurostat EB TJ'!AC75=":",0,'Eurostat EB TJ'!AC75)</f>
        <v>0</v>
      </c>
      <c r="AE67" s="17">
        <f>IF('Eurostat EB TJ'!AD75=":",0,'Eurostat EB TJ'!AD75)</f>
        <v>106955.94899999999</v>
      </c>
      <c r="AF67" s="17">
        <f>IF('Eurostat EB TJ'!AE75=":",0,'Eurostat EB TJ'!AE75)</f>
        <v>0</v>
      </c>
      <c r="AG67" s="17">
        <f>IF('Eurostat EB TJ'!AF75=":",0,'Eurostat EB TJ'!AF75)</f>
        <v>58217.031999999999</v>
      </c>
      <c r="AH67" s="17">
        <f>IF('Eurostat EB TJ'!AG75=":",0,'Eurostat EB TJ'!AG75)</f>
        <v>484137.277</v>
      </c>
      <c r="AI67" s="17">
        <f>IF('Eurostat EB TJ'!AH75=":",0,'Eurostat EB TJ'!AH75)</f>
        <v>2822.6170000000002</v>
      </c>
      <c r="AJ67" s="17">
        <f>IF('Eurostat EB TJ'!AI75=":",0,'Eurostat EB TJ'!AI75)</f>
        <v>194758.60800000001</v>
      </c>
      <c r="AK67" s="17">
        <f>IF('Eurostat EB TJ'!AJ75=":",0,'Eurostat EB TJ'!AJ75)</f>
        <v>0</v>
      </c>
      <c r="AL67" s="17">
        <f>IF('Eurostat EB TJ'!AK75=":",0,'Eurostat EB TJ'!AK75)</f>
        <v>345850.30800000002</v>
      </c>
      <c r="AM67" s="17">
        <f>IF('Eurostat EB TJ'!AL75=":",0,'Eurostat EB TJ'!AL75)</f>
        <v>17190.671999999999</v>
      </c>
      <c r="AN67" s="17">
        <f>IF('Eurostat EB TJ'!AM75=":",0,'Eurostat EB TJ'!AM75)</f>
        <v>854700.48400000005</v>
      </c>
      <c r="AO67" s="17">
        <f>IF('Eurostat EB TJ'!AN75=":",0,'Eurostat EB TJ'!AN75)</f>
        <v>393140.03</v>
      </c>
      <c r="AP67" s="17">
        <f>IF('Eurostat EB TJ'!AO75=":",0,'Eurostat EB TJ'!AO75)</f>
        <v>39900.258000000002</v>
      </c>
      <c r="AQ67" s="17">
        <f>IF('Eurostat EB TJ'!AP75=":",0,'Eurostat EB TJ'!AP75)</f>
        <v>42858.58</v>
      </c>
      <c r="AR67" s="17">
        <f>IF('Eurostat EB TJ'!AQ75=":",0,'Eurostat EB TJ'!AQ75)</f>
        <v>0</v>
      </c>
      <c r="AS67" s="17">
        <f>IF('Eurostat EB TJ'!AR75=":",0,'Eurostat EB TJ'!AR75)</f>
        <v>16671.462</v>
      </c>
      <c r="AT67" s="17">
        <f>IF('Eurostat EB TJ'!AS75=":",0,'Eurostat EB TJ'!AS75)</f>
        <v>37052.463000000003</v>
      </c>
      <c r="AU67" s="17">
        <f>IF('Eurostat EB TJ'!AT75=":",0,'Eurostat EB TJ'!AT75)</f>
        <v>18235.339</v>
      </c>
      <c r="AV67" s="17">
        <f>IF('Eurostat EB TJ'!AU75=":",0,'Eurostat EB TJ'!AU75)</f>
        <v>0</v>
      </c>
      <c r="AW67" s="17">
        <f>IF('Eurostat EB TJ'!AV75=":",0,'Eurostat EB TJ'!AV75)</f>
        <v>0</v>
      </c>
      <c r="AX67" s="17">
        <f>IF('Eurostat EB TJ'!AW75=":",0,'Eurostat EB TJ'!AW75)</f>
        <v>0</v>
      </c>
      <c r="AY67" s="17">
        <f>IF('Eurostat EB TJ'!AX75=":",0,'Eurostat EB TJ'!AX75)</f>
        <v>0</v>
      </c>
      <c r="AZ67" s="17">
        <f>IF('Eurostat EB TJ'!AY75=":",0,'Eurostat EB TJ'!AY75)</f>
        <v>0</v>
      </c>
      <c r="BA67" s="17">
        <f>IF('Eurostat EB TJ'!AZ75=":",0,'Eurostat EB TJ'!AZ75)</f>
        <v>0</v>
      </c>
      <c r="BB67" s="17">
        <f>IF('Eurostat EB TJ'!BA75=":",0,'Eurostat EB TJ'!BA75)</f>
        <v>0</v>
      </c>
      <c r="BC67" s="17">
        <f>IF('Eurostat EB TJ'!BB75=":",0,'Eurostat EB TJ'!BB75)</f>
        <v>0</v>
      </c>
      <c r="BD67" s="17">
        <f>IF('Eurostat EB TJ'!BC75=":",0,'Eurostat EB TJ'!BC75)</f>
        <v>0</v>
      </c>
      <c r="BE67" s="17">
        <f>IF('Eurostat EB TJ'!BD75=":",0,'Eurostat EB TJ'!BD75)</f>
        <v>0</v>
      </c>
      <c r="BF67" s="17">
        <f>IF('Eurostat EB TJ'!BE75=":",0,'Eurostat EB TJ'!BE75)</f>
        <v>0</v>
      </c>
      <c r="BG67" s="17">
        <f>IF('Eurostat EB TJ'!BF75=":",0,'Eurostat EB TJ'!BF75)</f>
        <v>0</v>
      </c>
      <c r="BH67" s="17">
        <f>IF('Eurostat EB TJ'!BG75=":",0,'Eurostat EB TJ'!BG75)</f>
        <v>0</v>
      </c>
      <c r="BI67" s="17">
        <f>IF('Eurostat EB TJ'!BH75=":",0,'Eurostat EB TJ'!BH75)</f>
        <v>0</v>
      </c>
      <c r="BJ67" s="17">
        <f>IF('Eurostat EB TJ'!BI75=":",0,'Eurostat EB TJ'!BI75)</f>
        <v>0</v>
      </c>
      <c r="BK67" s="17">
        <f>IF('Eurostat EB TJ'!BJ75=":",0,'Eurostat EB TJ'!BJ75)</f>
        <v>0</v>
      </c>
      <c r="BL67" s="17">
        <f>IF('Eurostat EB TJ'!BK75=":",0,'Eurostat EB TJ'!BK75)</f>
        <v>0</v>
      </c>
      <c r="BM67" s="17">
        <f>IF('Eurostat EB TJ'!BL75=":",0,'Eurostat EB TJ'!BL75)</f>
        <v>0</v>
      </c>
      <c r="BN67" s="17">
        <f>IF('Eurostat EB TJ'!BM75=":",0,'Eurostat EB TJ'!BM75)</f>
        <v>0</v>
      </c>
      <c r="BO67" s="17">
        <f>IF('Eurostat EB TJ'!BN75=":",0,'Eurostat EB TJ'!BN75)</f>
        <v>0</v>
      </c>
      <c r="BP67" s="17">
        <f>IF('Eurostat EB TJ'!BO75=":",0,'Eurostat EB TJ'!BO75)</f>
        <v>0</v>
      </c>
      <c r="BQ67" s="17">
        <f>IF('Eurostat EB TJ'!BP75=":",0,'Eurostat EB TJ'!BP75)</f>
        <v>0</v>
      </c>
      <c r="BR67" s="17">
        <f>IF('Eurostat EB TJ'!BQ75=":",0,'Eurostat EB TJ'!BQ75)</f>
        <v>0</v>
      </c>
      <c r="BS67" s="17">
        <f>IF('Eurostat EB TJ'!BR75=":",0,'Eurostat EB TJ'!BR75)</f>
        <v>0</v>
      </c>
      <c r="BT67" s="17">
        <f>IF('Eurostat EB TJ'!BS75=":",0,'Eurostat EB TJ'!BS75)</f>
        <v>0</v>
      </c>
      <c r="BU67" s="17">
        <f>IF('Eurostat EB TJ'!BT75=":",0,'Eurostat EB TJ'!BT75)</f>
        <v>0</v>
      </c>
      <c r="BV67" s="17">
        <f>IF('Eurostat EB TJ'!BU75=":",0,'Eurostat EB TJ'!BU75)</f>
        <v>2612491.08</v>
      </c>
    </row>
    <row r="68" spans="1:74" x14ac:dyDescent="0.2">
      <c r="A68" s="56" t="s">
        <v>249</v>
      </c>
      <c r="B68" s="57"/>
      <c r="C68" s="57">
        <f>IF('Eurostat EB TJ'!B76=":",0,'Eurostat EB TJ'!B76)</f>
        <v>147464.37599999999</v>
      </c>
      <c r="D68" s="57">
        <f>IF('Eurostat EB TJ'!C76=":",0,'Eurostat EB TJ'!C76)</f>
        <v>0</v>
      </c>
      <c r="E68" s="57">
        <f>IF('Eurostat EB TJ'!D76=":",0,'Eurostat EB TJ'!D76)</f>
        <v>0</v>
      </c>
      <c r="F68" s="57">
        <f>IF('Eurostat EB TJ'!E76=":",0,'Eurostat EB TJ'!E76)</f>
        <v>0</v>
      </c>
      <c r="G68" s="57">
        <f>IF('Eurostat EB TJ'!F76=":",0,'Eurostat EB TJ'!F76)</f>
        <v>0</v>
      </c>
      <c r="H68" s="57">
        <f>IF('Eurostat EB TJ'!G76=":",0,'Eurostat EB TJ'!G76)</f>
        <v>0</v>
      </c>
      <c r="I68" s="57">
        <f>IF('Eurostat EB TJ'!H76=":",0,'Eurostat EB TJ'!H76)</f>
        <v>0</v>
      </c>
      <c r="J68" s="57">
        <f>IF('Eurostat EB TJ'!I76=":",0,'Eurostat EB TJ'!I76)</f>
        <v>0</v>
      </c>
      <c r="K68" s="57">
        <f>IF('Eurostat EB TJ'!J76=":",0,'Eurostat EB TJ'!J76)</f>
        <v>0</v>
      </c>
      <c r="L68" s="57">
        <f>IF('Eurostat EB TJ'!K76=":",0,'Eurostat EB TJ'!K76)</f>
        <v>0</v>
      </c>
      <c r="M68" s="57">
        <f>IF('Eurostat EB TJ'!L76=":",0,'Eurostat EB TJ'!L76)</f>
        <v>0</v>
      </c>
      <c r="N68" s="57">
        <f>IF('Eurostat EB TJ'!M76=":",0,'Eurostat EB TJ'!M76)</f>
        <v>0</v>
      </c>
      <c r="O68" s="57">
        <f>IF('Eurostat EB TJ'!N76=":",0,'Eurostat EB TJ'!N76)</f>
        <v>0</v>
      </c>
      <c r="P68" s="57">
        <f>IF('Eurostat EB TJ'!O76=":",0,'Eurostat EB TJ'!O76)</f>
        <v>0</v>
      </c>
      <c r="Q68" s="57">
        <f>IF('Eurostat EB TJ'!P76=":",0,'Eurostat EB TJ'!P76)</f>
        <v>0</v>
      </c>
      <c r="R68" s="57">
        <f>IF('Eurostat EB TJ'!Q76=":",0,'Eurostat EB TJ'!Q76)</f>
        <v>0</v>
      </c>
      <c r="S68" s="57">
        <f>IF('Eurostat EB TJ'!R76=":",0,'Eurostat EB TJ'!R76)</f>
        <v>0</v>
      </c>
      <c r="T68" s="57">
        <f>IF('Eurostat EB TJ'!S76=":",0,'Eurostat EB TJ'!S76)</f>
        <v>0</v>
      </c>
      <c r="U68" s="57">
        <f>IF('Eurostat EB TJ'!T76=":",0,'Eurostat EB TJ'!T76)</f>
        <v>0</v>
      </c>
      <c r="V68" s="57">
        <f>IF('Eurostat EB TJ'!U76=":",0,'Eurostat EB TJ'!U76)</f>
        <v>0</v>
      </c>
      <c r="W68" s="57">
        <f>IF('Eurostat EB TJ'!V76=":",0,'Eurostat EB TJ'!V76)</f>
        <v>0</v>
      </c>
      <c r="X68" s="57">
        <f>IF('Eurostat EB TJ'!W76=":",0,'Eurostat EB TJ'!W76)</f>
        <v>0</v>
      </c>
      <c r="Y68" s="57">
        <f>IF('Eurostat EB TJ'!X76=":",0,'Eurostat EB TJ'!X76)</f>
        <v>147464.37599999999</v>
      </c>
      <c r="Z68" s="57">
        <f>IF('Eurostat EB TJ'!Y76=":",0,'Eurostat EB TJ'!Y76)</f>
        <v>0</v>
      </c>
      <c r="AA68" s="57">
        <f>IF('Eurostat EB TJ'!Z76=":",0,'Eurostat EB TJ'!Z76)</f>
        <v>0</v>
      </c>
      <c r="AB68" s="57">
        <f>IF('Eurostat EB TJ'!AA76=":",0,'Eurostat EB TJ'!AA76)</f>
        <v>147464.37599999999</v>
      </c>
      <c r="AC68" s="57">
        <f>IF('Eurostat EB TJ'!AB76=":",0,'Eurostat EB TJ'!AB76)</f>
        <v>0</v>
      </c>
      <c r="AD68" s="57">
        <f>IF('Eurostat EB TJ'!AC76=":",0,'Eurostat EB TJ'!AC76)</f>
        <v>0</v>
      </c>
      <c r="AE68" s="57">
        <f>IF('Eurostat EB TJ'!AD76=":",0,'Eurostat EB TJ'!AD76)</f>
        <v>0</v>
      </c>
      <c r="AF68" s="57">
        <f>IF('Eurostat EB TJ'!AE76=":",0,'Eurostat EB TJ'!AE76)</f>
        <v>0</v>
      </c>
      <c r="AG68" s="57">
        <f>IF('Eurostat EB TJ'!AF76=":",0,'Eurostat EB TJ'!AF76)</f>
        <v>0</v>
      </c>
      <c r="AH68" s="57">
        <f>IF('Eurostat EB TJ'!AG76=":",0,'Eurostat EB TJ'!AG76)</f>
        <v>0</v>
      </c>
      <c r="AI68" s="57">
        <f>IF('Eurostat EB TJ'!AH76=":",0,'Eurostat EB TJ'!AH76)</f>
        <v>0</v>
      </c>
      <c r="AJ68" s="57">
        <f>IF('Eurostat EB TJ'!AI76=":",0,'Eurostat EB TJ'!AI76)</f>
        <v>0</v>
      </c>
      <c r="AK68" s="57">
        <f>IF('Eurostat EB TJ'!AJ76=":",0,'Eurostat EB TJ'!AJ76)</f>
        <v>0</v>
      </c>
      <c r="AL68" s="57">
        <f>IF('Eurostat EB TJ'!AK76=":",0,'Eurostat EB TJ'!AK76)</f>
        <v>0</v>
      </c>
      <c r="AM68" s="57">
        <f>IF('Eurostat EB TJ'!AL76=":",0,'Eurostat EB TJ'!AL76)</f>
        <v>0</v>
      </c>
      <c r="AN68" s="57">
        <f>IF('Eurostat EB TJ'!AM76=":",0,'Eurostat EB TJ'!AM76)</f>
        <v>0</v>
      </c>
      <c r="AO68" s="57">
        <f>IF('Eurostat EB TJ'!AN76=":",0,'Eurostat EB TJ'!AN76)</f>
        <v>0</v>
      </c>
      <c r="AP68" s="57">
        <f>IF('Eurostat EB TJ'!AO76=":",0,'Eurostat EB TJ'!AO76)</f>
        <v>0</v>
      </c>
      <c r="AQ68" s="57">
        <f>IF('Eurostat EB TJ'!AP76=":",0,'Eurostat EB TJ'!AP76)</f>
        <v>0</v>
      </c>
      <c r="AR68" s="57">
        <f>IF('Eurostat EB TJ'!AQ76=":",0,'Eurostat EB TJ'!AQ76)</f>
        <v>0</v>
      </c>
      <c r="AS68" s="57">
        <f>IF('Eurostat EB TJ'!AR76=":",0,'Eurostat EB TJ'!AR76)</f>
        <v>0</v>
      </c>
      <c r="AT68" s="57">
        <f>IF('Eurostat EB TJ'!AS76=":",0,'Eurostat EB TJ'!AS76)</f>
        <v>0</v>
      </c>
      <c r="AU68" s="57">
        <f>IF('Eurostat EB TJ'!AT76=":",0,'Eurostat EB TJ'!AT76)</f>
        <v>0</v>
      </c>
      <c r="AV68" s="57">
        <f>IF('Eurostat EB TJ'!AU76=":",0,'Eurostat EB TJ'!AU76)</f>
        <v>0</v>
      </c>
      <c r="AW68" s="57">
        <f>IF('Eurostat EB TJ'!AV76=":",0,'Eurostat EB TJ'!AV76)</f>
        <v>0</v>
      </c>
      <c r="AX68" s="57">
        <f>IF('Eurostat EB TJ'!AW76=":",0,'Eurostat EB TJ'!AW76)</f>
        <v>0</v>
      </c>
      <c r="AY68" s="57">
        <f>IF('Eurostat EB TJ'!AX76=":",0,'Eurostat EB TJ'!AX76)</f>
        <v>0</v>
      </c>
      <c r="AZ68" s="57">
        <f>IF('Eurostat EB TJ'!AY76=":",0,'Eurostat EB TJ'!AY76)</f>
        <v>0</v>
      </c>
      <c r="BA68" s="57">
        <f>IF('Eurostat EB TJ'!AZ76=":",0,'Eurostat EB TJ'!AZ76)</f>
        <v>0</v>
      </c>
      <c r="BB68" s="57">
        <f>IF('Eurostat EB TJ'!BA76=":",0,'Eurostat EB TJ'!BA76)</f>
        <v>0</v>
      </c>
      <c r="BC68" s="57">
        <f>IF('Eurostat EB TJ'!BB76=":",0,'Eurostat EB TJ'!BB76)</f>
        <v>0</v>
      </c>
      <c r="BD68" s="57">
        <f>IF('Eurostat EB TJ'!BC76=":",0,'Eurostat EB TJ'!BC76)</f>
        <v>0</v>
      </c>
      <c r="BE68" s="57">
        <f>IF('Eurostat EB TJ'!BD76=":",0,'Eurostat EB TJ'!BD76)</f>
        <v>0</v>
      </c>
      <c r="BF68" s="57">
        <f>IF('Eurostat EB TJ'!BE76=":",0,'Eurostat EB TJ'!BE76)</f>
        <v>0</v>
      </c>
      <c r="BG68" s="57">
        <f>IF('Eurostat EB TJ'!BF76=":",0,'Eurostat EB TJ'!BF76)</f>
        <v>0</v>
      </c>
      <c r="BH68" s="57">
        <f>IF('Eurostat EB TJ'!BG76=":",0,'Eurostat EB TJ'!BG76)</f>
        <v>0</v>
      </c>
      <c r="BI68" s="57">
        <f>IF('Eurostat EB TJ'!BH76=":",0,'Eurostat EB TJ'!BH76)</f>
        <v>0</v>
      </c>
      <c r="BJ68" s="57">
        <f>IF('Eurostat EB TJ'!BI76=":",0,'Eurostat EB TJ'!BI76)</f>
        <v>0</v>
      </c>
      <c r="BK68" s="57">
        <f>IF('Eurostat EB TJ'!BJ76=":",0,'Eurostat EB TJ'!BJ76)</f>
        <v>0</v>
      </c>
      <c r="BL68" s="57">
        <f>IF('Eurostat EB TJ'!BK76=":",0,'Eurostat EB TJ'!BK76)</f>
        <v>0</v>
      </c>
      <c r="BM68" s="57">
        <f>IF('Eurostat EB TJ'!BL76=":",0,'Eurostat EB TJ'!BL76)</f>
        <v>0</v>
      </c>
      <c r="BN68" s="57">
        <f>IF('Eurostat EB TJ'!BM76=":",0,'Eurostat EB TJ'!BM76)</f>
        <v>0</v>
      </c>
      <c r="BO68" s="57">
        <f>IF('Eurostat EB TJ'!BN76=":",0,'Eurostat EB TJ'!BN76)</f>
        <v>0</v>
      </c>
      <c r="BP68" s="57">
        <f>IF('Eurostat EB TJ'!BO76=":",0,'Eurostat EB TJ'!BO76)</f>
        <v>0</v>
      </c>
      <c r="BQ68" s="57">
        <f>IF('Eurostat EB TJ'!BP76=":",0,'Eurostat EB TJ'!BP76)</f>
        <v>0</v>
      </c>
      <c r="BR68" s="57">
        <f>IF('Eurostat EB TJ'!BQ76=":",0,'Eurostat EB TJ'!BQ76)</f>
        <v>0</v>
      </c>
      <c r="BS68" s="57">
        <f>IF('Eurostat EB TJ'!BR76=":",0,'Eurostat EB TJ'!BR76)</f>
        <v>0</v>
      </c>
      <c r="BT68" s="57">
        <f>IF('Eurostat EB TJ'!BS76=":",0,'Eurostat EB TJ'!BS76)</f>
        <v>0</v>
      </c>
      <c r="BU68" s="57">
        <f>IF('Eurostat EB TJ'!BT76=":",0,'Eurostat EB TJ'!BT76)</f>
        <v>0</v>
      </c>
      <c r="BV68" s="57">
        <f>IF('Eurostat EB TJ'!BU76=":",0,'Eurostat EB TJ'!BU76)</f>
        <v>147464.37599999999</v>
      </c>
    </row>
    <row r="69" spans="1:74" x14ac:dyDescent="0.2">
      <c r="A69" s="56" t="s">
        <v>250</v>
      </c>
      <c r="B69" s="17"/>
      <c r="C69" s="17">
        <f>IF('Eurostat EB TJ'!B77=":",0,'Eurostat EB TJ'!B77)</f>
        <v>218821.62400000001</v>
      </c>
      <c r="D69" s="17">
        <f>IF('Eurostat EB TJ'!C77=":",0,'Eurostat EB TJ'!C77)</f>
        <v>0</v>
      </c>
      <c r="E69" s="17">
        <f>IF('Eurostat EB TJ'!D77=":",0,'Eurostat EB TJ'!D77)</f>
        <v>0</v>
      </c>
      <c r="F69" s="17">
        <f>IF('Eurostat EB TJ'!E77=":",0,'Eurostat EB TJ'!E77)</f>
        <v>0</v>
      </c>
      <c r="G69" s="17">
        <f>IF('Eurostat EB TJ'!F77=":",0,'Eurostat EB TJ'!F77)</f>
        <v>0</v>
      </c>
      <c r="H69" s="17">
        <f>IF('Eurostat EB TJ'!G77=":",0,'Eurostat EB TJ'!G77)</f>
        <v>0</v>
      </c>
      <c r="I69" s="17">
        <f>IF('Eurostat EB TJ'!H77=":",0,'Eurostat EB TJ'!H77)</f>
        <v>0</v>
      </c>
      <c r="J69" s="17">
        <f>IF('Eurostat EB TJ'!I77=":",0,'Eurostat EB TJ'!I77)</f>
        <v>0</v>
      </c>
      <c r="K69" s="17">
        <f>IF('Eurostat EB TJ'!J77=":",0,'Eurostat EB TJ'!J77)</f>
        <v>0</v>
      </c>
      <c r="L69" s="17">
        <f>IF('Eurostat EB TJ'!K77=":",0,'Eurostat EB TJ'!K77)</f>
        <v>0</v>
      </c>
      <c r="M69" s="17">
        <f>IF('Eurostat EB TJ'!L77=":",0,'Eurostat EB TJ'!L77)</f>
        <v>0</v>
      </c>
      <c r="N69" s="17">
        <f>IF('Eurostat EB TJ'!M77=":",0,'Eurostat EB TJ'!M77)</f>
        <v>0</v>
      </c>
      <c r="O69" s="17">
        <f>IF('Eurostat EB TJ'!N77=":",0,'Eurostat EB TJ'!N77)</f>
        <v>0</v>
      </c>
      <c r="P69" s="17">
        <f>IF('Eurostat EB TJ'!O77=":",0,'Eurostat EB TJ'!O77)</f>
        <v>0</v>
      </c>
      <c r="Q69" s="17">
        <f>IF('Eurostat EB TJ'!P77=":",0,'Eurostat EB TJ'!P77)</f>
        <v>0</v>
      </c>
      <c r="R69" s="17">
        <f>IF('Eurostat EB TJ'!Q77=":",0,'Eurostat EB TJ'!Q77)</f>
        <v>0</v>
      </c>
      <c r="S69" s="17">
        <f>IF('Eurostat EB TJ'!R77=":",0,'Eurostat EB TJ'!R77)</f>
        <v>0</v>
      </c>
      <c r="T69" s="17">
        <f>IF('Eurostat EB TJ'!S77=":",0,'Eurostat EB TJ'!S77)</f>
        <v>0</v>
      </c>
      <c r="U69" s="17">
        <f>IF('Eurostat EB TJ'!T77=":",0,'Eurostat EB TJ'!T77)</f>
        <v>0</v>
      </c>
      <c r="V69" s="17">
        <f>IF('Eurostat EB TJ'!U77=":",0,'Eurostat EB TJ'!U77)</f>
        <v>0</v>
      </c>
      <c r="W69" s="17">
        <f>IF('Eurostat EB TJ'!V77=":",0,'Eurostat EB TJ'!V77)</f>
        <v>0</v>
      </c>
      <c r="X69" s="17">
        <f>IF('Eurostat EB TJ'!W77=":",0,'Eurostat EB TJ'!W77)</f>
        <v>0</v>
      </c>
      <c r="Y69" s="17">
        <f>IF('Eurostat EB TJ'!X77=":",0,'Eurostat EB TJ'!X77)</f>
        <v>218821.62400000001</v>
      </c>
      <c r="Z69" s="17">
        <f>IF('Eurostat EB TJ'!Y77=":",0,'Eurostat EB TJ'!Y77)</f>
        <v>0</v>
      </c>
      <c r="AA69" s="17">
        <f>IF('Eurostat EB TJ'!Z77=":",0,'Eurostat EB TJ'!Z77)</f>
        <v>0</v>
      </c>
      <c r="AB69" s="17">
        <f>IF('Eurostat EB TJ'!AA77=":",0,'Eurostat EB TJ'!AA77)</f>
        <v>218821.62400000001</v>
      </c>
      <c r="AC69" s="17">
        <f>IF('Eurostat EB TJ'!AB77=":",0,'Eurostat EB TJ'!AB77)</f>
        <v>0</v>
      </c>
      <c r="AD69" s="17">
        <f>IF('Eurostat EB TJ'!AC77=":",0,'Eurostat EB TJ'!AC77)</f>
        <v>0</v>
      </c>
      <c r="AE69" s="17">
        <f>IF('Eurostat EB TJ'!AD77=":",0,'Eurostat EB TJ'!AD77)</f>
        <v>0</v>
      </c>
      <c r="AF69" s="17">
        <f>IF('Eurostat EB TJ'!AE77=":",0,'Eurostat EB TJ'!AE77)</f>
        <v>0</v>
      </c>
      <c r="AG69" s="17">
        <f>IF('Eurostat EB TJ'!AF77=":",0,'Eurostat EB TJ'!AF77)</f>
        <v>0</v>
      </c>
      <c r="AH69" s="17">
        <f>IF('Eurostat EB TJ'!AG77=":",0,'Eurostat EB TJ'!AG77)</f>
        <v>0</v>
      </c>
      <c r="AI69" s="17">
        <f>IF('Eurostat EB TJ'!AH77=":",0,'Eurostat EB TJ'!AH77)</f>
        <v>0</v>
      </c>
      <c r="AJ69" s="17">
        <f>IF('Eurostat EB TJ'!AI77=":",0,'Eurostat EB TJ'!AI77)</f>
        <v>0</v>
      </c>
      <c r="AK69" s="17">
        <f>IF('Eurostat EB TJ'!AJ77=":",0,'Eurostat EB TJ'!AJ77)</f>
        <v>0</v>
      </c>
      <c r="AL69" s="17">
        <f>IF('Eurostat EB TJ'!AK77=":",0,'Eurostat EB TJ'!AK77)</f>
        <v>0</v>
      </c>
      <c r="AM69" s="17">
        <f>IF('Eurostat EB TJ'!AL77=":",0,'Eurostat EB TJ'!AL77)</f>
        <v>0</v>
      </c>
      <c r="AN69" s="17">
        <f>IF('Eurostat EB TJ'!AM77=":",0,'Eurostat EB TJ'!AM77)</f>
        <v>0</v>
      </c>
      <c r="AO69" s="17">
        <f>IF('Eurostat EB TJ'!AN77=":",0,'Eurostat EB TJ'!AN77)</f>
        <v>0</v>
      </c>
      <c r="AP69" s="17">
        <f>IF('Eurostat EB TJ'!AO77=":",0,'Eurostat EB TJ'!AO77)</f>
        <v>0</v>
      </c>
      <c r="AQ69" s="17">
        <f>IF('Eurostat EB TJ'!AP77=":",0,'Eurostat EB TJ'!AP77)</f>
        <v>0</v>
      </c>
      <c r="AR69" s="17">
        <f>IF('Eurostat EB TJ'!AQ77=":",0,'Eurostat EB TJ'!AQ77)</f>
        <v>0</v>
      </c>
      <c r="AS69" s="17">
        <f>IF('Eurostat EB TJ'!AR77=":",0,'Eurostat EB TJ'!AR77)</f>
        <v>0</v>
      </c>
      <c r="AT69" s="17">
        <f>IF('Eurostat EB TJ'!AS77=":",0,'Eurostat EB TJ'!AS77)</f>
        <v>0</v>
      </c>
      <c r="AU69" s="17">
        <f>IF('Eurostat EB TJ'!AT77=":",0,'Eurostat EB TJ'!AT77)</f>
        <v>0</v>
      </c>
      <c r="AV69" s="17">
        <f>IF('Eurostat EB TJ'!AU77=":",0,'Eurostat EB TJ'!AU77)</f>
        <v>0</v>
      </c>
      <c r="AW69" s="17">
        <f>IF('Eurostat EB TJ'!AV77=":",0,'Eurostat EB TJ'!AV77)</f>
        <v>0</v>
      </c>
      <c r="AX69" s="17">
        <f>IF('Eurostat EB TJ'!AW77=":",0,'Eurostat EB TJ'!AW77)</f>
        <v>0</v>
      </c>
      <c r="AY69" s="17">
        <f>IF('Eurostat EB TJ'!AX77=":",0,'Eurostat EB TJ'!AX77)</f>
        <v>0</v>
      </c>
      <c r="AZ69" s="17">
        <f>IF('Eurostat EB TJ'!AY77=":",0,'Eurostat EB TJ'!AY77)</f>
        <v>0</v>
      </c>
      <c r="BA69" s="17">
        <f>IF('Eurostat EB TJ'!AZ77=":",0,'Eurostat EB TJ'!AZ77)</f>
        <v>0</v>
      </c>
      <c r="BB69" s="17">
        <f>IF('Eurostat EB TJ'!BA77=":",0,'Eurostat EB TJ'!BA77)</f>
        <v>0</v>
      </c>
      <c r="BC69" s="17">
        <f>IF('Eurostat EB TJ'!BB77=":",0,'Eurostat EB TJ'!BB77)</f>
        <v>0</v>
      </c>
      <c r="BD69" s="17">
        <f>IF('Eurostat EB TJ'!BC77=":",0,'Eurostat EB TJ'!BC77)</f>
        <v>0</v>
      </c>
      <c r="BE69" s="17">
        <f>IF('Eurostat EB TJ'!BD77=":",0,'Eurostat EB TJ'!BD77)</f>
        <v>0</v>
      </c>
      <c r="BF69" s="17">
        <f>IF('Eurostat EB TJ'!BE77=":",0,'Eurostat EB TJ'!BE77)</f>
        <v>0</v>
      </c>
      <c r="BG69" s="17">
        <f>IF('Eurostat EB TJ'!BF77=":",0,'Eurostat EB TJ'!BF77)</f>
        <v>0</v>
      </c>
      <c r="BH69" s="17">
        <f>IF('Eurostat EB TJ'!BG77=":",0,'Eurostat EB TJ'!BG77)</f>
        <v>0</v>
      </c>
      <c r="BI69" s="17">
        <f>IF('Eurostat EB TJ'!BH77=":",0,'Eurostat EB TJ'!BH77)</f>
        <v>0</v>
      </c>
      <c r="BJ69" s="17">
        <f>IF('Eurostat EB TJ'!BI77=":",0,'Eurostat EB TJ'!BI77)</f>
        <v>0</v>
      </c>
      <c r="BK69" s="17">
        <f>IF('Eurostat EB TJ'!BJ77=":",0,'Eurostat EB TJ'!BJ77)</f>
        <v>0</v>
      </c>
      <c r="BL69" s="17">
        <f>IF('Eurostat EB TJ'!BK77=":",0,'Eurostat EB TJ'!BK77)</f>
        <v>0</v>
      </c>
      <c r="BM69" s="17">
        <f>IF('Eurostat EB TJ'!BL77=":",0,'Eurostat EB TJ'!BL77)</f>
        <v>0</v>
      </c>
      <c r="BN69" s="17">
        <f>IF('Eurostat EB TJ'!BM77=":",0,'Eurostat EB TJ'!BM77)</f>
        <v>0</v>
      </c>
      <c r="BO69" s="17">
        <f>IF('Eurostat EB TJ'!BN77=":",0,'Eurostat EB TJ'!BN77)</f>
        <v>0</v>
      </c>
      <c r="BP69" s="17">
        <f>IF('Eurostat EB TJ'!BO77=":",0,'Eurostat EB TJ'!BO77)</f>
        <v>0</v>
      </c>
      <c r="BQ69" s="17">
        <f>IF('Eurostat EB TJ'!BP77=":",0,'Eurostat EB TJ'!BP77)</f>
        <v>0</v>
      </c>
      <c r="BR69" s="17">
        <f>IF('Eurostat EB TJ'!BQ77=":",0,'Eurostat EB TJ'!BQ77)</f>
        <v>0</v>
      </c>
      <c r="BS69" s="17">
        <f>IF('Eurostat EB TJ'!BR77=":",0,'Eurostat EB TJ'!BR77)</f>
        <v>0</v>
      </c>
      <c r="BT69" s="17">
        <f>IF('Eurostat EB TJ'!BS77=":",0,'Eurostat EB TJ'!BS77)</f>
        <v>0</v>
      </c>
      <c r="BU69" s="17">
        <f>IF('Eurostat EB TJ'!BT77=":",0,'Eurostat EB TJ'!BT77)</f>
        <v>0</v>
      </c>
      <c r="BV69" s="17">
        <f>IF('Eurostat EB TJ'!BU77=":",0,'Eurostat EB TJ'!BU77)</f>
        <v>218821.62400000001</v>
      </c>
    </row>
    <row r="70" spans="1:74" x14ac:dyDescent="0.2">
      <c r="A70" s="56" t="s">
        <v>251</v>
      </c>
      <c r="B70" s="57"/>
      <c r="C70" s="57">
        <f>IF('Eurostat EB TJ'!B78=":",0,'Eurostat EB TJ'!B78)</f>
        <v>642290.23400000005</v>
      </c>
      <c r="D70" s="57">
        <f>IF('Eurostat EB TJ'!C78=":",0,'Eurostat EB TJ'!C78)</f>
        <v>0</v>
      </c>
      <c r="E70" s="57">
        <f>IF('Eurostat EB TJ'!D78=":",0,'Eurostat EB TJ'!D78)</f>
        <v>0</v>
      </c>
      <c r="F70" s="57">
        <f>IF('Eurostat EB TJ'!E78=":",0,'Eurostat EB TJ'!E78)</f>
        <v>0</v>
      </c>
      <c r="G70" s="57">
        <f>IF('Eurostat EB TJ'!F78=":",0,'Eurostat EB TJ'!F78)</f>
        <v>0</v>
      </c>
      <c r="H70" s="57">
        <f>IF('Eurostat EB TJ'!G78=":",0,'Eurostat EB TJ'!G78)</f>
        <v>0</v>
      </c>
      <c r="I70" s="57">
        <f>IF('Eurostat EB TJ'!H78=":",0,'Eurostat EB TJ'!H78)</f>
        <v>0</v>
      </c>
      <c r="J70" s="57">
        <f>IF('Eurostat EB TJ'!I78=":",0,'Eurostat EB TJ'!I78)</f>
        <v>0</v>
      </c>
      <c r="K70" s="57">
        <f>IF('Eurostat EB TJ'!J78=":",0,'Eurostat EB TJ'!J78)</f>
        <v>0</v>
      </c>
      <c r="L70" s="57">
        <f>IF('Eurostat EB TJ'!K78=":",0,'Eurostat EB TJ'!K78)</f>
        <v>0</v>
      </c>
      <c r="M70" s="57">
        <f>IF('Eurostat EB TJ'!L78=":",0,'Eurostat EB TJ'!L78)</f>
        <v>0</v>
      </c>
      <c r="N70" s="57">
        <f>IF('Eurostat EB TJ'!M78=":",0,'Eurostat EB TJ'!M78)</f>
        <v>0</v>
      </c>
      <c r="O70" s="57">
        <f>IF('Eurostat EB TJ'!N78=":",0,'Eurostat EB TJ'!N78)</f>
        <v>0</v>
      </c>
      <c r="P70" s="57">
        <f>IF('Eurostat EB TJ'!O78=":",0,'Eurostat EB TJ'!O78)</f>
        <v>0</v>
      </c>
      <c r="Q70" s="57">
        <f>IF('Eurostat EB TJ'!P78=":",0,'Eurostat EB TJ'!P78)</f>
        <v>0</v>
      </c>
      <c r="R70" s="57">
        <f>IF('Eurostat EB TJ'!Q78=":",0,'Eurostat EB TJ'!Q78)</f>
        <v>0</v>
      </c>
      <c r="S70" s="57">
        <f>IF('Eurostat EB TJ'!R78=":",0,'Eurostat EB TJ'!R78)</f>
        <v>0</v>
      </c>
      <c r="T70" s="57">
        <f>IF('Eurostat EB TJ'!S78=":",0,'Eurostat EB TJ'!S78)</f>
        <v>0</v>
      </c>
      <c r="U70" s="57">
        <f>IF('Eurostat EB TJ'!T78=":",0,'Eurostat EB TJ'!T78)</f>
        <v>0</v>
      </c>
      <c r="V70" s="57">
        <f>IF('Eurostat EB TJ'!U78=":",0,'Eurostat EB TJ'!U78)</f>
        <v>0</v>
      </c>
      <c r="W70" s="57">
        <f>IF('Eurostat EB TJ'!V78=":",0,'Eurostat EB TJ'!V78)</f>
        <v>0</v>
      </c>
      <c r="X70" s="57">
        <f>IF('Eurostat EB TJ'!W78=":",0,'Eurostat EB TJ'!W78)</f>
        <v>0</v>
      </c>
      <c r="Y70" s="57">
        <f>IF('Eurostat EB TJ'!X78=":",0,'Eurostat EB TJ'!X78)</f>
        <v>642290.23400000005</v>
      </c>
      <c r="Z70" s="57">
        <f>IF('Eurostat EB TJ'!Y78=":",0,'Eurostat EB TJ'!Y78)</f>
        <v>0</v>
      </c>
      <c r="AA70" s="57">
        <f>IF('Eurostat EB TJ'!Z78=":",0,'Eurostat EB TJ'!Z78)</f>
        <v>0</v>
      </c>
      <c r="AB70" s="57">
        <f>IF('Eurostat EB TJ'!AA78=":",0,'Eurostat EB TJ'!AA78)</f>
        <v>0</v>
      </c>
      <c r="AC70" s="57">
        <f>IF('Eurostat EB TJ'!AB78=":",0,'Eurostat EB TJ'!AB78)</f>
        <v>0</v>
      </c>
      <c r="AD70" s="57">
        <f>IF('Eurostat EB TJ'!AC78=":",0,'Eurostat EB TJ'!AC78)</f>
        <v>0</v>
      </c>
      <c r="AE70" s="57">
        <f>IF('Eurostat EB TJ'!AD78=":",0,'Eurostat EB TJ'!AD78)</f>
        <v>0</v>
      </c>
      <c r="AF70" s="57">
        <f>IF('Eurostat EB TJ'!AE78=":",0,'Eurostat EB TJ'!AE78)</f>
        <v>0</v>
      </c>
      <c r="AG70" s="57">
        <f>IF('Eurostat EB TJ'!AF78=":",0,'Eurostat EB TJ'!AF78)</f>
        <v>0</v>
      </c>
      <c r="AH70" s="57">
        <f>IF('Eurostat EB TJ'!AG78=":",0,'Eurostat EB TJ'!AG78)</f>
        <v>0</v>
      </c>
      <c r="AI70" s="57">
        <f>IF('Eurostat EB TJ'!AH78=":",0,'Eurostat EB TJ'!AH78)</f>
        <v>0</v>
      </c>
      <c r="AJ70" s="57">
        <f>IF('Eurostat EB TJ'!AI78=":",0,'Eurostat EB TJ'!AI78)</f>
        <v>552227.174</v>
      </c>
      <c r="AK70" s="57">
        <f>IF('Eurostat EB TJ'!AJ78=":",0,'Eurostat EB TJ'!AJ78)</f>
        <v>0</v>
      </c>
      <c r="AL70" s="57">
        <f>IF('Eurostat EB TJ'!AK78=":",0,'Eurostat EB TJ'!AK78)</f>
        <v>44616.178999999996</v>
      </c>
      <c r="AM70" s="57">
        <f>IF('Eurostat EB TJ'!AL78=":",0,'Eurostat EB TJ'!AL78)</f>
        <v>0</v>
      </c>
      <c r="AN70" s="57">
        <f>IF('Eurostat EB TJ'!AM78=":",0,'Eurostat EB TJ'!AM78)</f>
        <v>0</v>
      </c>
      <c r="AO70" s="57">
        <f>IF('Eurostat EB TJ'!AN78=":",0,'Eurostat EB TJ'!AN78)</f>
        <v>36894.35</v>
      </c>
      <c r="AP70" s="57">
        <f>IF('Eurostat EB TJ'!AO78=":",0,'Eurostat EB TJ'!AO78)</f>
        <v>0</v>
      </c>
      <c r="AQ70" s="57">
        <f>IF('Eurostat EB TJ'!AP78=":",0,'Eurostat EB TJ'!AP78)</f>
        <v>0</v>
      </c>
      <c r="AR70" s="57">
        <f>IF('Eurostat EB TJ'!AQ78=":",0,'Eurostat EB TJ'!AQ78)</f>
        <v>404.15</v>
      </c>
      <c r="AS70" s="57">
        <f>IF('Eurostat EB TJ'!AR78=":",0,'Eurostat EB TJ'!AR78)</f>
        <v>0</v>
      </c>
      <c r="AT70" s="57">
        <f>IF('Eurostat EB TJ'!AS78=":",0,'Eurostat EB TJ'!AS78)</f>
        <v>0</v>
      </c>
      <c r="AU70" s="57">
        <f>IF('Eurostat EB TJ'!AT78=":",0,'Eurostat EB TJ'!AT78)</f>
        <v>8148.3810000000003</v>
      </c>
      <c r="AV70" s="57">
        <f>IF('Eurostat EB TJ'!AU78=":",0,'Eurostat EB TJ'!AU78)</f>
        <v>0</v>
      </c>
      <c r="AW70" s="57">
        <f>IF('Eurostat EB TJ'!AV78=":",0,'Eurostat EB TJ'!AV78)</f>
        <v>0</v>
      </c>
      <c r="AX70" s="57">
        <f>IF('Eurostat EB TJ'!AW78=":",0,'Eurostat EB TJ'!AW78)</f>
        <v>0</v>
      </c>
      <c r="AY70" s="57">
        <f>IF('Eurostat EB TJ'!AX78=":",0,'Eurostat EB TJ'!AX78)</f>
        <v>0</v>
      </c>
      <c r="AZ70" s="57">
        <f>IF('Eurostat EB TJ'!AY78=":",0,'Eurostat EB TJ'!AY78)</f>
        <v>0</v>
      </c>
      <c r="BA70" s="57">
        <f>IF('Eurostat EB TJ'!AZ78=":",0,'Eurostat EB TJ'!AZ78)</f>
        <v>0</v>
      </c>
      <c r="BB70" s="57">
        <f>IF('Eurostat EB TJ'!BA78=":",0,'Eurostat EB TJ'!BA78)</f>
        <v>0</v>
      </c>
      <c r="BC70" s="57">
        <f>IF('Eurostat EB TJ'!BB78=":",0,'Eurostat EB TJ'!BB78)</f>
        <v>0</v>
      </c>
      <c r="BD70" s="57">
        <f>IF('Eurostat EB TJ'!BC78=":",0,'Eurostat EB TJ'!BC78)</f>
        <v>0</v>
      </c>
      <c r="BE70" s="57">
        <f>IF('Eurostat EB TJ'!BD78=":",0,'Eurostat EB TJ'!BD78)</f>
        <v>0</v>
      </c>
      <c r="BF70" s="57">
        <f>IF('Eurostat EB TJ'!BE78=":",0,'Eurostat EB TJ'!BE78)</f>
        <v>0</v>
      </c>
      <c r="BG70" s="57">
        <f>IF('Eurostat EB TJ'!BF78=":",0,'Eurostat EB TJ'!BF78)</f>
        <v>0</v>
      </c>
      <c r="BH70" s="57">
        <f>IF('Eurostat EB TJ'!BG78=":",0,'Eurostat EB TJ'!BG78)</f>
        <v>0</v>
      </c>
      <c r="BI70" s="57">
        <f>IF('Eurostat EB TJ'!BH78=":",0,'Eurostat EB TJ'!BH78)</f>
        <v>0</v>
      </c>
      <c r="BJ70" s="57">
        <f>IF('Eurostat EB TJ'!BI78=":",0,'Eurostat EB TJ'!BI78)</f>
        <v>0</v>
      </c>
      <c r="BK70" s="57">
        <f>IF('Eurostat EB TJ'!BJ78=":",0,'Eurostat EB TJ'!BJ78)</f>
        <v>0</v>
      </c>
      <c r="BL70" s="57">
        <f>IF('Eurostat EB TJ'!BK78=":",0,'Eurostat EB TJ'!BK78)</f>
        <v>0</v>
      </c>
      <c r="BM70" s="57">
        <f>IF('Eurostat EB TJ'!BL78=":",0,'Eurostat EB TJ'!BL78)</f>
        <v>0</v>
      </c>
      <c r="BN70" s="57">
        <f>IF('Eurostat EB TJ'!BM78=":",0,'Eurostat EB TJ'!BM78)</f>
        <v>0</v>
      </c>
      <c r="BO70" s="57">
        <f>IF('Eurostat EB TJ'!BN78=":",0,'Eurostat EB TJ'!BN78)</f>
        <v>0</v>
      </c>
      <c r="BP70" s="57">
        <f>IF('Eurostat EB TJ'!BO78=":",0,'Eurostat EB TJ'!BO78)</f>
        <v>0</v>
      </c>
      <c r="BQ70" s="57">
        <f>IF('Eurostat EB TJ'!BP78=":",0,'Eurostat EB TJ'!BP78)</f>
        <v>0</v>
      </c>
      <c r="BR70" s="57">
        <f>IF('Eurostat EB TJ'!BQ78=":",0,'Eurostat EB TJ'!BQ78)</f>
        <v>0</v>
      </c>
      <c r="BS70" s="57">
        <f>IF('Eurostat EB TJ'!BR78=":",0,'Eurostat EB TJ'!BR78)</f>
        <v>0</v>
      </c>
      <c r="BT70" s="57">
        <f>IF('Eurostat EB TJ'!BS78=":",0,'Eurostat EB TJ'!BS78)</f>
        <v>0</v>
      </c>
      <c r="BU70" s="57">
        <f>IF('Eurostat EB TJ'!BT78=":",0,'Eurostat EB TJ'!BT78)</f>
        <v>0</v>
      </c>
      <c r="BV70" s="57">
        <f>IF('Eurostat EB TJ'!BU78=":",0,'Eurostat EB TJ'!BU78)</f>
        <v>642290.23400000005</v>
      </c>
    </row>
    <row r="71" spans="1:74" x14ac:dyDescent="0.2">
      <c r="A71" s="56" t="s">
        <v>252</v>
      </c>
      <c r="B71" s="17"/>
      <c r="C71" s="17">
        <f>IF('Eurostat EB TJ'!B79=":",0,'Eurostat EB TJ'!B79)</f>
        <v>448544.13099999999</v>
      </c>
      <c r="D71" s="17">
        <f>IF('Eurostat EB TJ'!C79=":",0,'Eurostat EB TJ'!C79)</f>
        <v>0</v>
      </c>
      <c r="E71" s="17">
        <f>IF('Eurostat EB TJ'!D79=":",0,'Eurostat EB TJ'!D79)</f>
        <v>0</v>
      </c>
      <c r="F71" s="17">
        <f>IF('Eurostat EB TJ'!E79=":",0,'Eurostat EB TJ'!E79)</f>
        <v>0</v>
      </c>
      <c r="G71" s="17">
        <f>IF('Eurostat EB TJ'!F79=":",0,'Eurostat EB TJ'!F79)</f>
        <v>0</v>
      </c>
      <c r="H71" s="17">
        <f>IF('Eurostat EB TJ'!G79=":",0,'Eurostat EB TJ'!G79)</f>
        <v>0</v>
      </c>
      <c r="I71" s="17">
        <f>IF('Eurostat EB TJ'!H79=":",0,'Eurostat EB TJ'!H79)</f>
        <v>0</v>
      </c>
      <c r="J71" s="17">
        <f>IF('Eurostat EB TJ'!I79=":",0,'Eurostat EB TJ'!I79)</f>
        <v>0</v>
      </c>
      <c r="K71" s="17">
        <f>IF('Eurostat EB TJ'!J79=":",0,'Eurostat EB TJ'!J79)</f>
        <v>0</v>
      </c>
      <c r="L71" s="17">
        <f>IF('Eurostat EB TJ'!K79=":",0,'Eurostat EB TJ'!K79)</f>
        <v>0</v>
      </c>
      <c r="M71" s="17">
        <f>IF('Eurostat EB TJ'!L79=":",0,'Eurostat EB TJ'!L79)</f>
        <v>0</v>
      </c>
      <c r="N71" s="17">
        <f>IF('Eurostat EB TJ'!M79=":",0,'Eurostat EB TJ'!M79)</f>
        <v>0</v>
      </c>
      <c r="O71" s="17">
        <f>IF('Eurostat EB TJ'!N79=":",0,'Eurostat EB TJ'!N79)</f>
        <v>0</v>
      </c>
      <c r="P71" s="17">
        <f>IF('Eurostat EB TJ'!O79=":",0,'Eurostat EB TJ'!O79)</f>
        <v>0</v>
      </c>
      <c r="Q71" s="17">
        <f>IF('Eurostat EB TJ'!P79=":",0,'Eurostat EB TJ'!P79)</f>
        <v>0</v>
      </c>
      <c r="R71" s="17">
        <f>IF('Eurostat EB TJ'!Q79=":",0,'Eurostat EB TJ'!Q79)</f>
        <v>0</v>
      </c>
      <c r="S71" s="17">
        <f>IF('Eurostat EB TJ'!R79=":",0,'Eurostat EB TJ'!R79)</f>
        <v>0</v>
      </c>
      <c r="T71" s="17">
        <f>IF('Eurostat EB TJ'!S79=":",0,'Eurostat EB TJ'!S79)</f>
        <v>0</v>
      </c>
      <c r="U71" s="17">
        <f>IF('Eurostat EB TJ'!T79=":",0,'Eurostat EB TJ'!T79)</f>
        <v>0</v>
      </c>
      <c r="V71" s="17">
        <f>IF('Eurostat EB TJ'!U79=":",0,'Eurostat EB TJ'!U79)</f>
        <v>0</v>
      </c>
      <c r="W71" s="17">
        <f>IF('Eurostat EB TJ'!V79=":",0,'Eurostat EB TJ'!V79)</f>
        <v>0</v>
      </c>
      <c r="X71" s="17">
        <f>IF('Eurostat EB TJ'!W79=":",0,'Eurostat EB TJ'!W79)</f>
        <v>0</v>
      </c>
      <c r="Y71" s="17">
        <f>IF('Eurostat EB TJ'!X79=":",0,'Eurostat EB TJ'!X79)</f>
        <v>448544.13099999999</v>
      </c>
      <c r="Z71" s="17">
        <f>IF('Eurostat EB TJ'!Y79=":",0,'Eurostat EB TJ'!Y79)</f>
        <v>77534.907000000007</v>
      </c>
      <c r="AA71" s="17">
        <f>IF('Eurostat EB TJ'!Z79=":",0,'Eurostat EB TJ'!Z79)</f>
        <v>193698.97500000001</v>
      </c>
      <c r="AB71" s="17">
        <f>IF('Eurostat EB TJ'!AA79=":",0,'Eurostat EB TJ'!AA79)</f>
        <v>0</v>
      </c>
      <c r="AC71" s="17">
        <f>IF('Eurostat EB TJ'!AB79=":",0,'Eurostat EB TJ'!AB79)</f>
        <v>0</v>
      </c>
      <c r="AD71" s="17">
        <f>IF('Eurostat EB TJ'!AC79=":",0,'Eurostat EB TJ'!AC79)</f>
        <v>0</v>
      </c>
      <c r="AE71" s="17">
        <f>IF('Eurostat EB TJ'!AD79=":",0,'Eurostat EB TJ'!AD79)</f>
        <v>94685.631999999998</v>
      </c>
      <c r="AF71" s="17">
        <f>IF('Eurostat EB TJ'!AE79=":",0,'Eurostat EB TJ'!AE79)</f>
        <v>0</v>
      </c>
      <c r="AG71" s="17">
        <f>IF('Eurostat EB TJ'!AF79=":",0,'Eurostat EB TJ'!AF79)</f>
        <v>7161.4620000000004</v>
      </c>
      <c r="AH71" s="17">
        <f>IF('Eurostat EB TJ'!AG79=":",0,'Eurostat EB TJ'!AG79)</f>
        <v>19239.823</v>
      </c>
      <c r="AI71" s="17">
        <f>IF('Eurostat EB TJ'!AH79=":",0,'Eurostat EB TJ'!AH79)</f>
        <v>0</v>
      </c>
      <c r="AJ71" s="17">
        <f>IF('Eurostat EB TJ'!AI79=":",0,'Eurostat EB TJ'!AI79)</f>
        <v>21719.498</v>
      </c>
      <c r="AK71" s="17">
        <f>IF('Eurostat EB TJ'!AJ79=":",0,'Eurostat EB TJ'!AJ79)</f>
        <v>0</v>
      </c>
      <c r="AL71" s="17">
        <f>IF('Eurostat EB TJ'!AK79=":",0,'Eurostat EB TJ'!AK79)</f>
        <v>0</v>
      </c>
      <c r="AM71" s="17">
        <f>IF('Eurostat EB TJ'!AL79=":",0,'Eurostat EB TJ'!AL79)</f>
        <v>24.097999999999999</v>
      </c>
      <c r="AN71" s="17">
        <f>IF('Eurostat EB TJ'!AM79=":",0,'Eurostat EB TJ'!AM79)</f>
        <v>817.55700000000002</v>
      </c>
      <c r="AO71" s="17">
        <f>IF('Eurostat EB TJ'!AN79=":",0,'Eurostat EB TJ'!AN79)</f>
        <v>0</v>
      </c>
      <c r="AP71" s="17">
        <f>IF('Eurostat EB TJ'!AO79=":",0,'Eurostat EB TJ'!AO79)</f>
        <v>28222.131000000001</v>
      </c>
      <c r="AQ71" s="17">
        <f>IF('Eurostat EB TJ'!AP79=":",0,'Eurostat EB TJ'!AP79)</f>
        <v>1324.143</v>
      </c>
      <c r="AR71" s="17">
        <f>IF('Eurostat EB TJ'!AQ79=":",0,'Eurostat EB TJ'!AQ79)</f>
        <v>3.4159999999999999</v>
      </c>
      <c r="AS71" s="17">
        <f>IF('Eurostat EB TJ'!AR79=":",0,'Eurostat EB TJ'!AR79)</f>
        <v>0</v>
      </c>
      <c r="AT71" s="17">
        <f>IF('Eurostat EB TJ'!AS79=":",0,'Eurostat EB TJ'!AS79)</f>
        <v>0</v>
      </c>
      <c r="AU71" s="17">
        <f>IF('Eurostat EB TJ'!AT79=":",0,'Eurostat EB TJ'!AT79)</f>
        <v>4112.4880000000003</v>
      </c>
      <c r="AV71" s="17">
        <f>IF('Eurostat EB TJ'!AU79=":",0,'Eurostat EB TJ'!AU79)</f>
        <v>0</v>
      </c>
      <c r="AW71" s="17">
        <f>IF('Eurostat EB TJ'!AV79=":",0,'Eurostat EB TJ'!AV79)</f>
        <v>0</v>
      </c>
      <c r="AX71" s="17">
        <f>IF('Eurostat EB TJ'!AW79=":",0,'Eurostat EB TJ'!AW79)</f>
        <v>0</v>
      </c>
      <c r="AY71" s="17">
        <f>IF('Eurostat EB TJ'!AX79=":",0,'Eurostat EB TJ'!AX79)</f>
        <v>0</v>
      </c>
      <c r="AZ71" s="17">
        <f>IF('Eurostat EB TJ'!AY79=":",0,'Eurostat EB TJ'!AY79)</f>
        <v>0</v>
      </c>
      <c r="BA71" s="17">
        <f>IF('Eurostat EB TJ'!AZ79=":",0,'Eurostat EB TJ'!AZ79)</f>
        <v>0</v>
      </c>
      <c r="BB71" s="17">
        <f>IF('Eurostat EB TJ'!BA79=":",0,'Eurostat EB TJ'!BA79)</f>
        <v>0</v>
      </c>
      <c r="BC71" s="17">
        <f>IF('Eurostat EB TJ'!BB79=":",0,'Eurostat EB TJ'!BB79)</f>
        <v>0</v>
      </c>
      <c r="BD71" s="17">
        <f>IF('Eurostat EB TJ'!BC79=":",0,'Eurostat EB TJ'!BC79)</f>
        <v>0</v>
      </c>
      <c r="BE71" s="17">
        <f>IF('Eurostat EB TJ'!BD79=":",0,'Eurostat EB TJ'!BD79)</f>
        <v>0</v>
      </c>
      <c r="BF71" s="17">
        <f>IF('Eurostat EB TJ'!BE79=":",0,'Eurostat EB TJ'!BE79)</f>
        <v>0</v>
      </c>
      <c r="BG71" s="17">
        <f>IF('Eurostat EB TJ'!BF79=":",0,'Eurostat EB TJ'!BF79)</f>
        <v>0</v>
      </c>
      <c r="BH71" s="17">
        <f>IF('Eurostat EB TJ'!BG79=":",0,'Eurostat EB TJ'!BG79)</f>
        <v>0</v>
      </c>
      <c r="BI71" s="17">
        <f>IF('Eurostat EB TJ'!BH79=":",0,'Eurostat EB TJ'!BH79)</f>
        <v>0</v>
      </c>
      <c r="BJ71" s="17">
        <f>IF('Eurostat EB TJ'!BI79=":",0,'Eurostat EB TJ'!BI79)</f>
        <v>0</v>
      </c>
      <c r="BK71" s="17">
        <f>IF('Eurostat EB TJ'!BJ79=":",0,'Eurostat EB TJ'!BJ79)</f>
        <v>0</v>
      </c>
      <c r="BL71" s="17">
        <f>IF('Eurostat EB TJ'!BK79=":",0,'Eurostat EB TJ'!BK79)</f>
        <v>0</v>
      </c>
      <c r="BM71" s="17">
        <f>IF('Eurostat EB TJ'!BL79=":",0,'Eurostat EB TJ'!BL79)</f>
        <v>0</v>
      </c>
      <c r="BN71" s="17">
        <f>IF('Eurostat EB TJ'!BM79=":",0,'Eurostat EB TJ'!BM79)</f>
        <v>0</v>
      </c>
      <c r="BO71" s="17">
        <f>IF('Eurostat EB TJ'!BN79=":",0,'Eurostat EB TJ'!BN79)</f>
        <v>0</v>
      </c>
      <c r="BP71" s="17">
        <f>IF('Eurostat EB TJ'!BO79=":",0,'Eurostat EB TJ'!BO79)</f>
        <v>0</v>
      </c>
      <c r="BQ71" s="17">
        <f>IF('Eurostat EB TJ'!BP79=":",0,'Eurostat EB TJ'!BP79)</f>
        <v>0</v>
      </c>
      <c r="BR71" s="17">
        <f>IF('Eurostat EB TJ'!BQ79=":",0,'Eurostat EB TJ'!BQ79)</f>
        <v>0</v>
      </c>
      <c r="BS71" s="17">
        <f>IF('Eurostat EB TJ'!BR79=":",0,'Eurostat EB TJ'!BR79)</f>
        <v>0</v>
      </c>
      <c r="BT71" s="17">
        <f>IF('Eurostat EB TJ'!BS79=":",0,'Eurostat EB TJ'!BS79)</f>
        <v>0</v>
      </c>
      <c r="BU71" s="17">
        <f>IF('Eurostat EB TJ'!BT79=":",0,'Eurostat EB TJ'!BT79)</f>
        <v>0</v>
      </c>
      <c r="BV71" s="17">
        <f>IF('Eurostat EB TJ'!BU79=":",0,'Eurostat EB TJ'!BU79)</f>
        <v>448544.13099999999</v>
      </c>
    </row>
    <row r="72" spans="1:74" x14ac:dyDescent="0.2">
      <c r="A72" s="56" t="s">
        <v>253</v>
      </c>
      <c r="B72" s="57"/>
      <c r="C72" s="57">
        <f>IF('Eurostat EB TJ'!B80=":",0,'Eurostat EB TJ'!B80)</f>
        <v>154261.76300000001</v>
      </c>
      <c r="D72" s="57">
        <f>IF('Eurostat EB TJ'!C80=":",0,'Eurostat EB TJ'!C80)</f>
        <v>0</v>
      </c>
      <c r="E72" s="57">
        <f>IF('Eurostat EB TJ'!D80=":",0,'Eurostat EB TJ'!D80)</f>
        <v>0</v>
      </c>
      <c r="F72" s="57">
        <f>IF('Eurostat EB TJ'!E80=":",0,'Eurostat EB TJ'!E80)</f>
        <v>0</v>
      </c>
      <c r="G72" s="57">
        <f>IF('Eurostat EB TJ'!F80=":",0,'Eurostat EB TJ'!F80)</f>
        <v>0</v>
      </c>
      <c r="H72" s="57">
        <f>IF('Eurostat EB TJ'!G80=":",0,'Eurostat EB TJ'!G80)</f>
        <v>0</v>
      </c>
      <c r="I72" s="57">
        <f>IF('Eurostat EB TJ'!H80=":",0,'Eurostat EB TJ'!H80)</f>
        <v>0</v>
      </c>
      <c r="J72" s="57">
        <f>IF('Eurostat EB TJ'!I80=":",0,'Eurostat EB TJ'!I80)</f>
        <v>0</v>
      </c>
      <c r="K72" s="57">
        <f>IF('Eurostat EB TJ'!J80=":",0,'Eurostat EB TJ'!J80)</f>
        <v>0</v>
      </c>
      <c r="L72" s="57">
        <f>IF('Eurostat EB TJ'!K80=":",0,'Eurostat EB TJ'!K80)</f>
        <v>0</v>
      </c>
      <c r="M72" s="57">
        <f>IF('Eurostat EB TJ'!L80=":",0,'Eurostat EB TJ'!L80)</f>
        <v>0</v>
      </c>
      <c r="N72" s="57">
        <f>IF('Eurostat EB TJ'!M80=":",0,'Eurostat EB TJ'!M80)</f>
        <v>0</v>
      </c>
      <c r="O72" s="57">
        <f>IF('Eurostat EB TJ'!N80=":",0,'Eurostat EB TJ'!N80)</f>
        <v>0</v>
      </c>
      <c r="P72" s="57">
        <f>IF('Eurostat EB TJ'!O80=":",0,'Eurostat EB TJ'!O80)</f>
        <v>0</v>
      </c>
      <c r="Q72" s="57">
        <f>IF('Eurostat EB TJ'!P80=":",0,'Eurostat EB TJ'!P80)</f>
        <v>0</v>
      </c>
      <c r="R72" s="57">
        <f>IF('Eurostat EB TJ'!Q80=":",0,'Eurostat EB TJ'!Q80)</f>
        <v>0</v>
      </c>
      <c r="S72" s="57">
        <f>IF('Eurostat EB TJ'!R80=":",0,'Eurostat EB TJ'!R80)</f>
        <v>0</v>
      </c>
      <c r="T72" s="57">
        <f>IF('Eurostat EB TJ'!S80=":",0,'Eurostat EB TJ'!S80)</f>
        <v>0</v>
      </c>
      <c r="U72" s="57">
        <f>IF('Eurostat EB TJ'!T80=":",0,'Eurostat EB TJ'!T80)</f>
        <v>0</v>
      </c>
      <c r="V72" s="57">
        <f>IF('Eurostat EB TJ'!U80=":",0,'Eurostat EB TJ'!U80)</f>
        <v>0</v>
      </c>
      <c r="W72" s="57">
        <f>IF('Eurostat EB TJ'!V80=":",0,'Eurostat EB TJ'!V80)</f>
        <v>0</v>
      </c>
      <c r="X72" s="57">
        <f>IF('Eurostat EB TJ'!W80=":",0,'Eurostat EB TJ'!W80)</f>
        <v>0</v>
      </c>
      <c r="Y72" s="57">
        <f>IF('Eurostat EB TJ'!X80=":",0,'Eurostat EB TJ'!X80)</f>
        <v>154253.74400000001</v>
      </c>
      <c r="Z72" s="57">
        <f>IF('Eurostat EB TJ'!Y80=":",0,'Eurostat EB TJ'!Y80)</f>
        <v>0</v>
      </c>
      <c r="AA72" s="57">
        <f>IF('Eurostat EB TJ'!Z80=":",0,'Eurostat EB TJ'!Z80)</f>
        <v>0</v>
      </c>
      <c r="AB72" s="57">
        <f>IF('Eurostat EB TJ'!AA80=":",0,'Eurostat EB TJ'!AA80)</f>
        <v>0</v>
      </c>
      <c r="AC72" s="57">
        <f>IF('Eurostat EB TJ'!AB80=":",0,'Eurostat EB TJ'!AB80)</f>
        <v>0</v>
      </c>
      <c r="AD72" s="57">
        <f>IF('Eurostat EB TJ'!AC80=":",0,'Eurostat EB TJ'!AC80)</f>
        <v>0</v>
      </c>
      <c r="AE72" s="57">
        <f>IF('Eurostat EB TJ'!AD80=":",0,'Eurostat EB TJ'!AD80)</f>
        <v>94685.631999999998</v>
      </c>
      <c r="AF72" s="57">
        <f>IF('Eurostat EB TJ'!AE80=":",0,'Eurostat EB TJ'!AE80)</f>
        <v>0</v>
      </c>
      <c r="AG72" s="57">
        <f>IF('Eurostat EB TJ'!AF80=":",0,'Eurostat EB TJ'!AF80)</f>
        <v>7161.4620000000004</v>
      </c>
      <c r="AH72" s="57">
        <f>IF('Eurostat EB TJ'!AG80=":",0,'Eurostat EB TJ'!AG80)</f>
        <v>19239.823</v>
      </c>
      <c r="AI72" s="57">
        <f>IF('Eurostat EB TJ'!AH80=":",0,'Eurostat EB TJ'!AH80)</f>
        <v>0</v>
      </c>
      <c r="AJ72" s="57">
        <f>IF('Eurostat EB TJ'!AI80=":",0,'Eurostat EB TJ'!AI80)</f>
        <v>-12.863</v>
      </c>
      <c r="AK72" s="57">
        <f>IF('Eurostat EB TJ'!AJ80=":",0,'Eurostat EB TJ'!AJ80)</f>
        <v>0</v>
      </c>
      <c r="AL72" s="57">
        <f>IF('Eurostat EB TJ'!AK80=":",0,'Eurostat EB TJ'!AK80)</f>
        <v>0</v>
      </c>
      <c r="AM72" s="57">
        <f>IF('Eurostat EB TJ'!AL80=":",0,'Eurostat EB TJ'!AL80)</f>
        <v>24.097999999999999</v>
      </c>
      <c r="AN72" s="57">
        <f>IF('Eurostat EB TJ'!AM80=":",0,'Eurostat EB TJ'!AM80)</f>
        <v>817.55700000000002</v>
      </c>
      <c r="AO72" s="57">
        <f>IF('Eurostat EB TJ'!AN80=":",0,'Eurostat EB TJ'!AN80)</f>
        <v>0</v>
      </c>
      <c r="AP72" s="57">
        <f>IF('Eurostat EB TJ'!AO80=":",0,'Eurostat EB TJ'!AO80)</f>
        <v>28222.131000000001</v>
      </c>
      <c r="AQ72" s="57">
        <f>IF('Eurostat EB TJ'!AP80=":",0,'Eurostat EB TJ'!AP80)</f>
        <v>0</v>
      </c>
      <c r="AR72" s="57">
        <f>IF('Eurostat EB TJ'!AQ80=":",0,'Eurostat EB TJ'!AQ80)</f>
        <v>3.4159999999999999</v>
      </c>
      <c r="AS72" s="57">
        <f>IF('Eurostat EB TJ'!AR80=":",0,'Eurostat EB TJ'!AR80)</f>
        <v>0</v>
      </c>
      <c r="AT72" s="57">
        <f>IF('Eurostat EB TJ'!AS80=":",0,'Eurostat EB TJ'!AS80)</f>
        <v>0</v>
      </c>
      <c r="AU72" s="57">
        <f>IF('Eurostat EB TJ'!AT80=":",0,'Eurostat EB TJ'!AT80)</f>
        <v>4112.4880000000003</v>
      </c>
      <c r="AV72" s="57">
        <f>IF('Eurostat EB TJ'!AU80=":",0,'Eurostat EB TJ'!AU80)</f>
        <v>8.0190000000000001</v>
      </c>
      <c r="AW72" s="57">
        <f>IF('Eurostat EB TJ'!AV80=":",0,'Eurostat EB TJ'!AV80)</f>
        <v>0</v>
      </c>
      <c r="AX72" s="57">
        <f>IF('Eurostat EB TJ'!AW80=":",0,'Eurostat EB TJ'!AW80)</f>
        <v>0</v>
      </c>
      <c r="AY72" s="57">
        <f>IF('Eurostat EB TJ'!AX80=":",0,'Eurostat EB TJ'!AX80)</f>
        <v>0</v>
      </c>
      <c r="AZ72" s="57">
        <f>IF('Eurostat EB TJ'!AY80=":",0,'Eurostat EB TJ'!AY80)</f>
        <v>0</v>
      </c>
      <c r="BA72" s="57">
        <f>IF('Eurostat EB TJ'!AZ80=":",0,'Eurostat EB TJ'!AZ80)</f>
        <v>0</v>
      </c>
      <c r="BB72" s="57">
        <f>IF('Eurostat EB TJ'!BA80=":",0,'Eurostat EB TJ'!BA80)</f>
        <v>0</v>
      </c>
      <c r="BC72" s="57">
        <f>IF('Eurostat EB TJ'!BB80=":",0,'Eurostat EB TJ'!BB80)</f>
        <v>0</v>
      </c>
      <c r="BD72" s="57">
        <f>IF('Eurostat EB TJ'!BC80=":",0,'Eurostat EB TJ'!BC80)</f>
        <v>0</v>
      </c>
      <c r="BE72" s="57">
        <f>IF('Eurostat EB TJ'!BD80=":",0,'Eurostat EB TJ'!BD80)</f>
        <v>0</v>
      </c>
      <c r="BF72" s="57">
        <f>IF('Eurostat EB TJ'!BE80=":",0,'Eurostat EB TJ'!BE80)</f>
        <v>0</v>
      </c>
      <c r="BG72" s="57">
        <f>IF('Eurostat EB TJ'!BF80=":",0,'Eurostat EB TJ'!BF80)</f>
        <v>8.0190000000000001</v>
      </c>
      <c r="BH72" s="57">
        <f>IF('Eurostat EB TJ'!BG80=":",0,'Eurostat EB TJ'!BG80)</f>
        <v>0</v>
      </c>
      <c r="BI72" s="57">
        <f>IF('Eurostat EB TJ'!BH80=":",0,'Eurostat EB TJ'!BH80)</f>
        <v>0</v>
      </c>
      <c r="BJ72" s="57">
        <f>IF('Eurostat EB TJ'!BI80=":",0,'Eurostat EB TJ'!BI80)</f>
        <v>0</v>
      </c>
      <c r="BK72" s="57">
        <f>IF('Eurostat EB TJ'!BJ80=":",0,'Eurostat EB TJ'!BJ80)</f>
        <v>0</v>
      </c>
      <c r="BL72" s="57">
        <f>IF('Eurostat EB TJ'!BK80=":",0,'Eurostat EB TJ'!BK80)</f>
        <v>0</v>
      </c>
      <c r="BM72" s="57">
        <f>IF('Eurostat EB TJ'!BL80=":",0,'Eurostat EB TJ'!BL80)</f>
        <v>0</v>
      </c>
      <c r="BN72" s="57">
        <f>IF('Eurostat EB TJ'!BM80=":",0,'Eurostat EB TJ'!BM80)</f>
        <v>0</v>
      </c>
      <c r="BO72" s="57">
        <f>IF('Eurostat EB TJ'!BN80=":",0,'Eurostat EB TJ'!BN80)</f>
        <v>0</v>
      </c>
      <c r="BP72" s="57">
        <f>IF('Eurostat EB TJ'!BO80=":",0,'Eurostat EB TJ'!BO80)</f>
        <v>0</v>
      </c>
      <c r="BQ72" s="57">
        <f>IF('Eurostat EB TJ'!BP80=":",0,'Eurostat EB TJ'!BP80)</f>
        <v>0</v>
      </c>
      <c r="BR72" s="57">
        <f>IF('Eurostat EB TJ'!BQ80=":",0,'Eurostat EB TJ'!BQ80)</f>
        <v>0</v>
      </c>
      <c r="BS72" s="57">
        <f>IF('Eurostat EB TJ'!BR80=":",0,'Eurostat EB TJ'!BR80)</f>
        <v>0</v>
      </c>
      <c r="BT72" s="57">
        <f>IF('Eurostat EB TJ'!BS80=":",0,'Eurostat EB TJ'!BS80)</f>
        <v>0</v>
      </c>
      <c r="BU72" s="57">
        <f>IF('Eurostat EB TJ'!BT80=":",0,'Eurostat EB TJ'!BT80)</f>
        <v>8.0190000000000001</v>
      </c>
      <c r="BV72" s="57">
        <f>IF('Eurostat EB TJ'!BU80=":",0,'Eurostat EB TJ'!BU80)</f>
        <v>154253.74400000001</v>
      </c>
    </row>
    <row r="73" spans="1:74" x14ac:dyDescent="0.2">
      <c r="A73" s="56" t="s">
        <v>254</v>
      </c>
      <c r="B73" s="17"/>
      <c r="C73" s="17">
        <f>IF('Eurostat EB TJ'!B81=":",0,'Eurostat EB TJ'!B81)</f>
        <v>0</v>
      </c>
      <c r="D73" s="17">
        <f>IF('Eurostat EB TJ'!C81=":",0,'Eurostat EB TJ'!C81)</f>
        <v>0</v>
      </c>
      <c r="E73" s="17">
        <f>IF('Eurostat EB TJ'!D81=":",0,'Eurostat EB TJ'!D81)</f>
        <v>0</v>
      </c>
      <c r="F73" s="17">
        <f>IF('Eurostat EB TJ'!E81=":",0,'Eurostat EB TJ'!E81)</f>
        <v>0</v>
      </c>
      <c r="G73" s="17">
        <f>IF('Eurostat EB TJ'!F81=":",0,'Eurostat EB TJ'!F81)</f>
        <v>0</v>
      </c>
      <c r="H73" s="17">
        <f>IF('Eurostat EB TJ'!G81=":",0,'Eurostat EB TJ'!G81)</f>
        <v>0</v>
      </c>
      <c r="I73" s="17">
        <f>IF('Eurostat EB TJ'!H81=":",0,'Eurostat EB TJ'!H81)</f>
        <v>0</v>
      </c>
      <c r="J73" s="17">
        <f>IF('Eurostat EB TJ'!I81=":",0,'Eurostat EB TJ'!I81)</f>
        <v>0</v>
      </c>
      <c r="K73" s="17">
        <f>IF('Eurostat EB TJ'!J81=":",0,'Eurostat EB TJ'!J81)</f>
        <v>0</v>
      </c>
      <c r="L73" s="17">
        <f>IF('Eurostat EB TJ'!K81=":",0,'Eurostat EB TJ'!K81)</f>
        <v>0</v>
      </c>
      <c r="M73" s="17">
        <f>IF('Eurostat EB TJ'!L81=":",0,'Eurostat EB TJ'!L81)</f>
        <v>0</v>
      </c>
      <c r="N73" s="17">
        <f>IF('Eurostat EB TJ'!M81=":",0,'Eurostat EB TJ'!M81)</f>
        <v>0</v>
      </c>
      <c r="O73" s="17">
        <f>IF('Eurostat EB TJ'!N81=":",0,'Eurostat EB TJ'!N81)</f>
        <v>0</v>
      </c>
      <c r="P73" s="17">
        <f>IF('Eurostat EB TJ'!O81=":",0,'Eurostat EB TJ'!O81)</f>
        <v>0</v>
      </c>
      <c r="Q73" s="17">
        <f>IF('Eurostat EB TJ'!P81=":",0,'Eurostat EB TJ'!P81)</f>
        <v>0</v>
      </c>
      <c r="R73" s="17">
        <f>IF('Eurostat EB TJ'!Q81=":",0,'Eurostat EB TJ'!Q81)</f>
        <v>0</v>
      </c>
      <c r="S73" s="17">
        <f>IF('Eurostat EB TJ'!R81=":",0,'Eurostat EB TJ'!R81)</f>
        <v>0</v>
      </c>
      <c r="T73" s="17">
        <f>IF('Eurostat EB TJ'!S81=":",0,'Eurostat EB TJ'!S81)</f>
        <v>0</v>
      </c>
      <c r="U73" s="17">
        <f>IF('Eurostat EB TJ'!T81=":",0,'Eurostat EB TJ'!T81)</f>
        <v>0</v>
      </c>
      <c r="V73" s="17">
        <f>IF('Eurostat EB TJ'!U81=":",0,'Eurostat EB TJ'!U81)</f>
        <v>0</v>
      </c>
      <c r="W73" s="17">
        <f>IF('Eurostat EB TJ'!V81=":",0,'Eurostat EB TJ'!V81)</f>
        <v>0</v>
      </c>
      <c r="X73" s="17">
        <f>IF('Eurostat EB TJ'!W81=":",0,'Eurostat EB TJ'!W81)</f>
        <v>0</v>
      </c>
      <c r="Y73" s="17">
        <f>IF('Eurostat EB TJ'!X81=":",0,'Eurostat EB TJ'!X81)</f>
        <v>0</v>
      </c>
      <c r="Z73" s="17">
        <f>IF('Eurostat EB TJ'!Y81=":",0,'Eurostat EB TJ'!Y81)</f>
        <v>0</v>
      </c>
      <c r="AA73" s="17">
        <f>IF('Eurostat EB TJ'!Z81=":",0,'Eurostat EB TJ'!Z81)</f>
        <v>0</v>
      </c>
      <c r="AB73" s="17">
        <f>IF('Eurostat EB TJ'!AA81=":",0,'Eurostat EB TJ'!AA81)</f>
        <v>0</v>
      </c>
      <c r="AC73" s="17">
        <f>IF('Eurostat EB TJ'!AB81=":",0,'Eurostat EB TJ'!AB81)</f>
        <v>0</v>
      </c>
      <c r="AD73" s="17">
        <f>IF('Eurostat EB TJ'!AC81=":",0,'Eurostat EB TJ'!AC81)</f>
        <v>0</v>
      </c>
      <c r="AE73" s="17">
        <f>IF('Eurostat EB TJ'!AD81=":",0,'Eurostat EB TJ'!AD81)</f>
        <v>0</v>
      </c>
      <c r="AF73" s="17">
        <f>IF('Eurostat EB TJ'!AE81=":",0,'Eurostat EB TJ'!AE81)</f>
        <v>0</v>
      </c>
      <c r="AG73" s="17">
        <f>IF('Eurostat EB TJ'!AF81=":",0,'Eurostat EB TJ'!AF81)</f>
        <v>0</v>
      </c>
      <c r="AH73" s="17">
        <f>IF('Eurostat EB TJ'!AG81=":",0,'Eurostat EB TJ'!AG81)</f>
        <v>0</v>
      </c>
      <c r="AI73" s="17">
        <f>IF('Eurostat EB TJ'!AH81=":",0,'Eurostat EB TJ'!AH81)</f>
        <v>0</v>
      </c>
      <c r="AJ73" s="17">
        <f>IF('Eurostat EB TJ'!AI81=":",0,'Eurostat EB TJ'!AI81)</f>
        <v>0</v>
      </c>
      <c r="AK73" s="17">
        <f>IF('Eurostat EB TJ'!AJ81=":",0,'Eurostat EB TJ'!AJ81)</f>
        <v>0</v>
      </c>
      <c r="AL73" s="17">
        <f>IF('Eurostat EB TJ'!AK81=":",0,'Eurostat EB TJ'!AK81)</f>
        <v>0</v>
      </c>
      <c r="AM73" s="17">
        <f>IF('Eurostat EB TJ'!AL81=":",0,'Eurostat EB TJ'!AL81)</f>
        <v>0</v>
      </c>
      <c r="AN73" s="17">
        <f>IF('Eurostat EB TJ'!AM81=":",0,'Eurostat EB TJ'!AM81)</f>
        <v>0</v>
      </c>
      <c r="AO73" s="17">
        <f>IF('Eurostat EB TJ'!AN81=":",0,'Eurostat EB TJ'!AN81)</f>
        <v>0</v>
      </c>
      <c r="AP73" s="17">
        <f>IF('Eurostat EB TJ'!AO81=":",0,'Eurostat EB TJ'!AO81)</f>
        <v>0</v>
      </c>
      <c r="AQ73" s="17">
        <f>IF('Eurostat EB TJ'!AP81=":",0,'Eurostat EB TJ'!AP81)</f>
        <v>0</v>
      </c>
      <c r="AR73" s="17">
        <f>IF('Eurostat EB TJ'!AQ81=":",0,'Eurostat EB TJ'!AQ81)</f>
        <v>0</v>
      </c>
      <c r="AS73" s="17">
        <f>IF('Eurostat EB TJ'!AR81=":",0,'Eurostat EB TJ'!AR81)</f>
        <v>0</v>
      </c>
      <c r="AT73" s="17">
        <f>IF('Eurostat EB TJ'!AS81=":",0,'Eurostat EB TJ'!AS81)</f>
        <v>0</v>
      </c>
      <c r="AU73" s="17">
        <f>IF('Eurostat EB TJ'!AT81=":",0,'Eurostat EB TJ'!AT81)</f>
        <v>0</v>
      </c>
      <c r="AV73" s="17">
        <f>IF('Eurostat EB TJ'!AU81=":",0,'Eurostat EB TJ'!AU81)</f>
        <v>0</v>
      </c>
      <c r="AW73" s="17">
        <f>IF('Eurostat EB TJ'!AV81=":",0,'Eurostat EB TJ'!AV81)</f>
        <v>0</v>
      </c>
      <c r="AX73" s="17">
        <f>IF('Eurostat EB TJ'!AW81=":",0,'Eurostat EB TJ'!AW81)</f>
        <v>0</v>
      </c>
      <c r="AY73" s="17">
        <f>IF('Eurostat EB TJ'!AX81=":",0,'Eurostat EB TJ'!AX81)</f>
        <v>0</v>
      </c>
      <c r="AZ73" s="17">
        <f>IF('Eurostat EB TJ'!AY81=":",0,'Eurostat EB TJ'!AY81)</f>
        <v>0</v>
      </c>
      <c r="BA73" s="17">
        <f>IF('Eurostat EB TJ'!AZ81=":",0,'Eurostat EB TJ'!AZ81)</f>
        <v>0</v>
      </c>
      <c r="BB73" s="17">
        <f>IF('Eurostat EB TJ'!BA81=":",0,'Eurostat EB TJ'!BA81)</f>
        <v>0</v>
      </c>
      <c r="BC73" s="17">
        <f>IF('Eurostat EB TJ'!BB81=":",0,'Eurostat EB TJ'!BB81)</f>
        <v>0</v>
      </c>
      <c r="BD73" s="17">
        <f>IF('Eurostat EB TJ'!BC81=":",0,'Eurostat EB TJ'!BC81)</f>
        <v>0</v>
      </c>
      <c r="BE73" s="17">
        <f>IF('Eurostat EB TJ'!BD81=":",0,'Eurostat EB TJ'!BD81)</f>
        <v>0</v>
      </c>
      <c r="BF73" s="17">
        <f>IF('Eurostat EB TJ'!BE81=":",0,'Eurostat EB TJ'!BE81)</f>
        <v>0</v>
      </c>
      <c r="BG73" s="17">
        <f>IF('Eurostat EB TJ'!BF81=":",0,'Eurostat EB TJ'!BF81)</f>
        <v>0</v>
      </c>
      <c r="BH73" s="17">
        <f>IF('Eurostat EB TJ'!BG81=":",0,'Eurostat EB TJ'!BG81)</f>
        <v>0</v>
      </c>
      <c r="BI73" s="17">
        <f>IF('Eurostat EB TJ'!BH81=":",0,'Eurostat EB TJ'!BH81)</f>
        <v>0</v>
      </c>
      <c r="BJ73" s="17">
        <f>IF('Eurostat EB TJ'!BI81=":",0,'Eurostat EB TJ'!BI81)</f>
        <v>0</v>
      </c>
      <c r="BK73" s="17">
        <f>IF('Eurostat EB TJ'!BJ81=":",0,'Eurostat EB TJ'!BJ81)</f>
        <v>0</v>
      </c>
      <c r="BL73" s="17">
        <f>IF('Eurostat EB TJ'!BK81=":",0,'Eurostat EB TJ'!BK81)</f>
        <v>0</v>
      </c>
      <c r="BM73" s="17">
        <f>IF('Eurostat EB TJ'!BL81=":",0,'Eurostat EB TJ'!BL81)</f>
        <v>0</v>
      </c>
      <c r="BN73" s="17">
        <f>IF('Eurostat EB TJ'!BM81=":",0,'Eurostat EB TJ'!BM81)</f>
        <v>0</v>
      </c>
      <c r="BO73" s="17">
        <f>IF('Eurostat EB TJ'!BN81=":",0,'Eurostat EB TJ'!BN81)</f>
        <v>0</v>
      </c>
      <c r="BP73" s="17">
        <f>IF('Eurostat EB TJ'!BO81=":",0,'Eurostat EB TJ'!BO81)</f>
        <v>0</v>
      </c>
      <c r="BQ73" s="17">
        <f>IF('Eurostat EB TJ'!BP81=":",0,'Eurostat EB TJ'!BP81)</f>
        <v>0</v>
      </c>
      <c r="BR73" s="17">
        <f>IF('Eurostat EB TJ'!BQ81=":",0,'Eurostat EB TJ'!BQ81)</f>
        <v>0</v>
      </c>
      <c r="BS73" s="17">
        <f>IF('Eurostat EB TJ'!BR81=":",0,'Eurostat EB TJ'!BR81)</f>
        <v>0</v>
      </c>
      <c r="BT73" s="17">
        <f>IF('Eurostat EB TJ'!BS81=":",0,'Eurostat EB TJ'!BS81)</f>
        <v>0</v>
      </c>
      <c r="BU73" s="17">
        <f>IF('Eurostat EB TJ'!BT81=":",0,'Eurostat EB TJ'!BT81)</f>
        <v>0</v>
      </c>
      <c r="BV73" s="17">
        <f>IF('Eurostat EB TJ'!BU81=":",0,'Eurostat EB TJ'!BU81)</f>
        <v>0</v>
      </c>
    </row>
    <row r="74" spans="1:74" x14ac:dyDescent="0.2">
      <c r="A74" s="56" t="s">
        <v>255</v>
      </c>
      <c r="B74" s="57"/>
      <c r="C74" s="57">
        <f>IF('Eurostat EB TJ'!B82=":",0,'Eurostat EB TJ'!B82)</f>
        <v>0</v>
      </c>
      <c r="D74" s="57">
        <f>IF('Eurostat EB TJ'!C82=":",0,'Eurostat EB TJ'!C82)</f>
        <v>0</v>
      </c>
      <c r="E74" s="57">
        <f>IF('Eurostat EB TJ'!D82=":",0,'Eurostat EB TJ'!D82)</f>
        <v>0</v>
      </c>
      <c r="F74" s="57">
        <f>IF('Eurostat EB TJ'!E82=":",0,'Eurostat EB TJ'!E82)</f>
        <v>0</v>
      </c>
      <c r="G74" s="57">
        <f>IF('Eurostat EB TJ'!F82=":",0,'Eurostat EB TJ'!F82)</f>
        <v>0</v>
      </c>
      <c r="H74" s="57">
        <f>IF('Eurostat EB TJ'!G82=":",0,'Eurostat EB TJ'!G82)</f>
        <v>0</v>
      </c>
      <c r="I74" s="57">
        <f>IF('Eurostat EB TJ'!H82=":",0,'Eurostat EB TJ'!H82)</f>
        <v>0</v>
      </c>
      <c r="J74" s="57">
        <f>IF('Eurostat EB TJ'!I82=":",0,'Eurostat EB TJ'!I82)</f>
        <v>0</v>
      </c>
      <c r="K74" s="57">
        <f>IF('Eurostat EB TJ'!J82=":",0,'Eurostat EB TJ'!J82)</f>
        <v>0</v>
      </c>
      <c r="L74" s="57">
        <f>IF('Eurostat EB TJ'!K82=":",0,'Eurostat EB TJ'!K82)</f>
        <v>0</v>
      </c>
      <c r="M74" s="57">
        <f>IF('Eurostat EB TJ'!L82=":",0,'Eurostat EB TJ'!L82)</f>
        <v>0</v>
      </c>
      <c r="N74" s="57">
        <f>IF('Eurostat EB TJ'!M82=":",0,'Eurostat EB TJ'!M82)</f>
        <v>0</v>
      </c>
      <c r="O74" s="57">
        <f>IF('Eurostat EB TJ'!N82=":",0,'Eurostat EB TJ'!N82)</f>
        <v>0</v>
      </c>
      <c r="P74" s="57">
        <f>IF('Eurostat EB TJ'!O82=":",0,'Eurostat EB TJ'!O82)</f>
        <v>0</v>
      </c>
      <c r="Q74" s="57">
        <f>IF('Eurostat EB TJ'!P82=":",0,'Eurostat EB TJ'!P82)</f>
        <v>0</v>
      </c>
      <c r="R74" s="57">
        <f>IF('Eurostat EB TJ'!Q82=":",0,'Eurostat EB TJ'!Q82)</f>
        <v>0</v>
      </c>
      <c r="S74" s="57">
        <f>IF('Eurostat EB TJ'!R82=":",0,'Eurostat EB TJ'!R82)</f>
        <v>0</v>
      </c>
      <c r="T74" s="57">
        <f>IF('Eurostat EB TJ'!S82=":",0,'Eurostat EB TJ'!S82)</f>
        <v>0</v>
      </c>
      <c r="U74" s="57">
        <f>IF('Eurostat EB TJ'!T82=":",0,'Eurostat EB TJ'!T82)</f>
        <v>0</v>
      </c>
      <c r="V74" s="57">
        <f>IF('Eurostat EB TJ'!U82=":",0,'Eurostat EB TJ'!U82)</f>
        <v>0</v>
      </c>
      <c r="W74" s="57">
        <f>IF('Eurostat EB TJ'!V82=":",0,'Eurostat EB TJ'!V82)</f>
        <v>0</v>
      </c>
      <c r="X74" s="57">
        <f>IF('Eurostat EB TJ'!W82=":",0,'Eurostat EB TJ'!W82)</f>
        <v>0</v>
      </c>
      <c r="Y74" s="57">
        <f>IF('Eurostat EB TJ'!X82=":",0,'Eurostat EB TJ'!X82)</f>
        <v>0</v>
      </c>
      <c r="Z74" s="57">
        <f>IF('Eurostat EB TJ'!Y82=":",0,'Eurostat EB TJ'!Y82)</f>
        <v>0</v>
      </c>
      <c r="AA74" s="57">
        <f>IF('Eurostat EB TJ'!Z82=":",0,'Eurostat EB TJ'!Z82)</f>
        <v>0</v>
      </c>
      <c r="AB74" s="57">
        <f>IF('Eurostat EB TJ'!AA82=":",0,'Eurostat EB TJ'!AA82)</f>
        <v>0</v>
      </c>
      <c r="AC74" s="57">
        <f>IF('Eurostat EB TJ'!AB82=":",0,'Eurostat EB TJ'!AB82)</f>
        <v>0</v>
      </c>
      <c r="AD74" s="57">
        <f>IF('Eurostat EB TJ'!AC82=":",0,'Eurostat EB TJ'!AC82)</f>
        <v>0</v>
      </c>
      <c r="AE74" s="57">
        <f>IF('Eurostat EB TJ'!AD82=":",0,'Eurostat EB TJ'!AD82)</f>
        <v>0</v>
      </c>
      <c r="AF74" s="57">
        <f>IF('Eurostat EB TJ'!AE82=":",0,'Eurostat EB TJ'!AE82)</f>
        <v>0</v>
      </c>
      <c r="AG74" s="57">
        <f>IF('Eurostat EB TJ'!AF82=":",0,'Eurostat EB TJ'!AF82)</f>
        <v>0</v>
      </c>
      <c r="AH74" s="57">
        <f>IF('Eurostat EB TJ'!AG82=":",0,'Eurostat EB TJ'!AG82)</f>
        <v>0</v>
      </c>
      <c r="AI74" s="57">
        <f>IF('Eurostat EB TJ'!AH82=":",0,'Eurostat EB TJ'!AH82)</f>
        <v>0</v>
      </c>
      <c r="AJ74" s="57">
        <f>IF('Eurostat EB TJ'!AI82=":",0,'Eurostat EB TJ'!AI82)</f>
        <v>0</v>
      </c>
      <c r="AK74" s="57">
        <f>IF('Eurostat EB TJ'!AJ82=":",0,'Eurostat EB TJ'!AJ82)</f>
        <v>0</v>
      </c>
      <c r="AL74" s="57">
        <f>IF('Eurostat EB TJ'!AK82=":",0,'Eurostat EB TJ'!AK82)</f>
        <v>0</v>
      </c>
      <c r="AM74" s="57">
        <f>IF('Eurostat EB TJ'!AL82=":",0,'Eurostat EB TJ'!AL82)</f>
        <v>0</v>
      </c>
      <c r="AN74" s="57">
        <f>IF('Eurostat EB TJ'!AM82=":",0,'Eurostat EB TJ'!AM82)</f>
        <v>0</v>
      </c>
      <c r="AO74" s="57">
        <f>IF('Eurostat EB TJ'!AN82=":",0,'Eurostat EB TJ'!AN82)</f>
        <v>0</v>
      </c>
      <c r="AP74" s="57">
        <f>IF('Eurostat EB TJ'!AO82=":",0,'Eurostat EB TJ'!AO82)</f>
        <v>0</v>
      </c>
      <c r="AQ74" s="57">
        <f>IF('Eurostat EB TJ'!AP82=":",0,'Eurostat EB TJ'!AP82)</f>
        <v>0</v>
      </c>
      <c r="AR74" s="57">
        <f>IF('Eurostat EB TJ'!AQ82=":",0,'Eurostat EB TJ'!AQ82)</f>
        <v>0</v>
      </c>
      <c r="AS74" s="57">
        <f>IF('Eurostat EB TJ'!AR82=":",0,'Eurostat EB TJ'!AR82)</f>
        <v>0</v>
      </c>
      <c r="AT74" s="57">
        <f>IF('Eurostat EB TJ'!AS82=":",0,'Eurostat EB TJ'!AS82)</f>
        <v>0</v>
      </c>
      <c r="AU74" s="57">
        <f>IF('Eurostat EB TJ'!AT82=":",0,'Eurostat EB TJ'!AT82)</f>
        <v>0</v>
      </c>
      <c r="AV74" s="57">
        <f>IF('Eurostat EB TJ'!AU82=":",0,'Eurostat EB TJ'!AU82)</f>
        <v>0</v>
      </c>
      <c r="AW74" s="57">
        <f>IF('Eurostat EB TJ'!AV82=":",0,'Eurostat EB TJ'!AV82)</f>
        <v>0</v>
      </c>
      <c r="AX74" s="57">
        <f>IF('Eurostat EB TJ'!AW82=":",0,'Eurostat EB TJ'!AW82)</f>
        <v>0</v>
      </c>
      <c r="AY74" s="57">
        <f>IF('Eurostat EB TJ'!AX82=":",0,'Eurostat EB TJ'!AX82)</f>
        <v>0</v>
      </c>
      <c r="AZ74" s="57">
        <f>IF('Eurostat EB TJ'!AY82=":",0,'Eurostat EB TJ'!AY82)</f>
        <v>0</v>
      </c>
      <c r="BA74" s="57">
        <f>IF('Eurostat EB TJ'!AZ82=":",0,'Eurostat EB TJ'!AZ82)</f>
        <v>0</v>
      </c>
      <c r="BB74" s="57">
        <f>IF('Eurostat EB TJ'!BA82=":",0,'Eurostat EB TJ'!BA82)</f>
        <v>0</v>
      </c>
      <c r="BC74" s="57">
        <f>IF('Eurostat EB TJ'!BB82=":",0,'Eurostat EB TJ'!BB82)</f>
        <v>0</v>
      </c>
      <c r="BD74" s="57">
        <f>IF('Eurostat EB TJ'!BC82=":",0,'Eurostat EB TJ'!BC82)</f>
        <v>0</v>
      </c>
      <c r="BE74" s="57">
        <f>IF('Eurostat EB TJ'!BD82=":",0,'Eurostat EB TJ'!BD82)</f>
        <v>0</v>
      </c>
      <c r="BF74" s="57">
        <f>IF('Eurostat EB TJ'!BE82=":",0,'Eurostat EB TJ'!BE82)</f>
        <v>0</v>
      </c>
      <c r="BG74" s="57">
        <f>IF('Eurostat EB TJ'!BF82=":",0,'Eurostat EB TJ'!BF82)</f>
        <v>0</v>
      </c>
      <c r="BH74" s="57">
        <f>IF('Eurostat EB TJ'!BG82=":",0,'Eurostat EB TJ'!BG82)</f>
        <v>0</v>
      </c>
      <c r="BI74" s="57">
        <f>IF('Eurostat EB TJ'!BH82=":",0,'Eurostat EB TJ'!BH82)</f>
        <v>0</v>
      </c>
      <c r="BJ74" s="57">
        <f>IF('Eurostat EB TJ'!BI82=":",0,'Eurostat EB TJ'!BI82)</f>
        <v>0</v>
      </c>
      <c r="BK74" s="57">
        <f>IF('Eurostat EB TJ'!BJ82=":",0,'Eurostat EB TJ'!BJ82)</f>
        <v>0</v>
      </c>
      <c r="BL74" s="57">
        <f>IF('Eurostat EB TJ'!BK82=":",0,'Eurostat EB TJ'!BK82)</f>
        <v>0</v>
      </c>
      <c r="BM74" s="57">
        <f>IF('Eurostat EB TJ'!BL82=":",0,'Eurostat EB TJ'!BL82)</f>
        <v>0</v>
      </c>
      <c r="BN74" s="57">
        <f>IF('Eurostat EB TJ'!BM82=":",0,'Eurostat EB TJ'!BM82)</f>
        <v>0</v>
      </c>
      <c r="BO74" s="57">
        <f>IF('Eurostat EB TJ'!BN82=":",0,'Eurostat EB TJ'!BN82)</f>
        <v>0</v>
      </c>
      <c r="BP74" s="57">
        <f>IF('Eurostat EB TJ'!BO82=":",0,'Eurostat EB TJ'!BO82)</f>
        <v>0</v>
      </c>
      <c r="BQ74" s="57">
        <f>IF('Eurostat EB TJ'!BP82=":",0,'Eurostat EB TJ'!BP82)</f>
        <v>0</v>
      </c>
      <c r="BR74" s="57">
        <f>IF('Eurostat EB TJ'!BQ82=":",0,'Eurostat EB TJ'!BQ82)</f>
        <v>0</v>
      </c>
      <c r="BS74" s="57">
        <f>IF('Eurostat EB TJ'!BR82=":",0,'Eurostat EB TJ'!BR82)</f>
        <v>0</v>
      </c>
      <c r="BT74" s="57">
        <f>IF('Eurostat EB TJ'!BS82=":",0,'Eurostat EB TJ'!BS82)</f>
        <v>0</v>
      </c>
      <c r="BU74" s="57">
        <f>IF('Eurostat EB TJ'!BT82=":",0,'Eurostat EB TJ'!BT82)</f>
        <v>0</v>
      </c>
      <c r="BV74" s="57">
        <f>IF('Eurostat EB TJ'!BU82=":",0,'Eurostat EB TJ'!BU82)</f>
        <v>0</v>
      </c>
    </row>
    <row r="75" spans="1:74" x14ac:dyDescent="0.2">
      <c r="A75" s="56" t="s">
        <v>256</v>
      </c>
      <c r="B75" s="17"/>
      <c r="C75" s="17">
        <f>IF('Eurostat EB TJ'!B83=":",0,'Eurostat EB TJ'!B83)</f>
        <v>0</v>
      </c>
      <c r="D75" s="17">
        <f>IF('Eurostat EB TJ'!C83=":",0,'Eurostat EB TJ'!C83)</f>
        <v>0</v>
      </c>
      <c r="E75" s="17">
        <f>IF('Eurostat EB TJ'!D83=":",0,'Eurostat EB TJ'!D83)</f>
        <v>0</v>
      </c>
      <c r="F75" s="17">
        <f>IF('Eurostat EB TJ'!E83=":",0,'Eurostat EB TJ'!E83)</f>
        <v>0</v>
      </c>
      <c r="G75" s="17">
        <f>IF('Eurostat EB TJ'!F83=":",0,'Eurostat EB TJ'!F83)</f>
        <v>0</v>
      </c>
      <c r="H75" s="17">
        <f>IF('Eurostat EB TJ'!G83=":",0,'Eurostat EB TJ'!G83)</f>
        <v>0</v>
      </c>
      <c r="I75" s="17">
        <f>IF('Eurostat EB TJ'!H83=":",0,'Eurostat EB TJ'!H83)</f>
        <v>0</v>
      </c>
      <c r="J75" s="17">
        <f>IF('Eurostat EB TJ'!I83=":",0,'Eurostat EB TJ'!I83)</f>
        <v>0</v>
      </c>
      <c r="K75" s="17">
        <f>IF('Eurostat EB TJ'!J83=":",0,'Eurostat EB TJ'!J83)</f>
        <v>0</v>
      </c>
      <c r="L75" s="17">
        <f>IF('Eurostat EB TJ'!K83=":",0,'Eurostat EB TJ'!K83)</f>
        <v>0</v>
      </c>
      <c r="M75" s="17">
        <f>IF('Eurostat EB TJ'!L83=":",0,'Eurostat EB TJ'!L83)</f>
        <v>0</v>
      </c>
      <c r="N75" s="17">
        <f>IF('Eurostat EB TJ'!M83=":",0,'Eurostat EB TJ'!M83)</f>
        <v>0</v>
      </c>
      <c r="O75" s="17">
        <f>IF('Eurostat EB TJ'!N83=":",0,'Eurostat EB TJ'!N83)</f>
        <v>0</v>
      </c>
      <c r="P75" s="17">
        <f>IF('Eurostat EB TJ'!O83=":",0,'Eurostat EB TJ'!O83)</f>
        <v>0</v>
      </c>
      <c r="Q75" s="17">
        <f>IF('Eurostat EB TJ'!P83=":",0,'Eurostat EB TJ'!P83)</f>
        <v>0</v>
      </c>
      <c r="R75" s="17">
        <f>IF('Eurostat EB TJ'!Q83=":",0,'Eurostat EB TJ'!Q83)</f>
        <v>0</v>
      </c>
      <c r="S75" s="17">
        <f>IF('Eurostat EB TJ'!R83=":",0,'Eurostat EB TJ'!R83)</f>
        <v>0</v>
      </c>
      <c r="T75" s="17">
        <f>IF('Eurostat EB TJ'!S83=":",0,'Eurostat EB TJ'!S83)</f>
        <v>0</v>
      </c>
      <c r="U75" s="17">
        <f>IF('Eurostat EB TJ'!T83=":",0,'Eurostat EB TJ'!T83)</f>
        <v>0</v>
      </c>
      <c r="V75" s="17">
        <f>IF('Eurostat EB TJ'!U83=":",0,'Eurostat EB TJ'!U83)</f>
        <v>0</v>
      </c>
      <c r="W75" s="17">
        <f>IF('Eurostat EB TJ'!V83=":",0,'Eurostat EB TJ'!V83)</f>
        <v>0</v>
      </c>
      <c r="X75" s="17">
        <f>IF('Eurostat EB TJ'!W83=":",0,'Eurostat EB TJ'!W83)</f>
        <v>0</v>
      </c>
      <c r="Y75" s="17">
        <f>IF('Eurostat EB TJ'!X83=":",0,'Eurostat EB TJ'!X83)</f>
        <v>0</v>
      </c>
      <c r="Z75" s="17">
        <f>IF('Eurostat EB TJ'!Y83=":",0,'Eurostat EB TJ'!Y83)</f>
        <v>0</v>
      </c>
      <c r="AA75" s="17">
        <f>IF('Eurostat EB TJ'!Z83=":",0,'Eurostat EB TJ'!Z83)</f>
        <v>0</v>
      </c>
      <c r="AB75" s="17">
        <f>IF('Eurostat EB TJ'!AA83=":",0,'Eurostat EB TJ'!AA83)</f>
        <v>0</v>
      </c>
      <c r="AC75" s="17">
        <f>IF('Eurostat EB TJ'!AB83=":",0,'Eurostat EB TJ'!AB83)</f>
        <v>0</v>
      </c>
      <c r="AD75" s="17">
        <f>IF('Eurostat EB TJ'!AC83=":",0,'Eurostat EB TJ'!AC83)</f>
        <v>0</v>
      </c>
      <c r="AE75" s="17">
        <f>IF('Eurostat EB TJ'!AD83=":",0,'Eurostat EB TJ'!AD83)</f>
        <v>0</v>
      </c>
      <c r="AF75" s="17">
        <f>IF('Eurostat EB TJ'!AE83=":",0,'Eurostat EB TJ'!AE83)</f>
        <v>0</v>
      </c>
      <c r="AG75" s="17">
        <f>IF('Eurostat EB TJ'!AF83=":",0,'Eurostat EB TJ'!AF83)</f>
        <v>0</v>
      </c>
      <c r="AH75" s="17">
        <f>IF('Eurostat EB TJ'!AG83=":",0,'Eurostat EB TJ'!AG83)</f>
        <v>0</v>
      </c>
      <c r="AI75" s="17">
        <f>IF('Eurostat EB TJ'!AH83=":",0,'Eurostat EB TJ'!AH83)</f>
        <v>0</v>
      </c>
      <c r="AJ75" s="17">
        <f>IF('Eurostat EB TJ'!AI83=":",0,'Eurostat EB TJ'!AI83)</f>
        <v>0</v>
      </c>
      <c r="AK75" s="17">
        <f>IF('Eurostat EB TJ'!AJ83=":",0,'Eurostat EB TJ'!AJ83)</f>
        <v>0</v>
      </c>
      <c r="AL75" s="17">
        <f>IF('Eurostat EB TJ'!AK83=":",0,'Eurostat EB TJ'!AK83)</f>
        <v>0</v>
      </c>
      <c r="AM75" s="17">
        <f>IF('Eurostat EB TJ'!AL83=":",0,'Eurostat EB TJ'!AL83)</f>
        <v>0</v>
      </c>
      <c r="AN75" s="17">
        <f>IF('Eurostat EB TJ'!AM83=":",0,'Eurostat EB TJ'!AM83)</f>
        <v>0</v>
      </c>
      <c r="AO75" s="17">
        <f>IF('Eurostat EB TJ'!AN83=":",0,'Eurostat EB TJ'!AN83)</f>
        <v>0</v>
      </c>
      <c r="AP75" s="17">
        <f>IF('Eurostat EB TJ'!AO83=":",0,'Eurostat EB TJ'!AO83)</f>
        <v>0</v>
      </c>
      <c r="AQ75" s="17">
        <f>IF('Eurostat EB TJ'!AP83=":",0,'Eurostat EB TJ'!AP83)</f>
        <v>0</v>
      </c>
      <c r="AR75" s="17">
        <f>IF('Eurostat EB TJ'!AQ83=":",0,'Eurostat EB TJ'!AQ83)</f>
        <v>0</v>
      </c>
      <c r="AS75" s="17">
        <f>IF('Eurostat EB TJ'!AR83=":",0,'Eurostat EB TJ'!AR83)</f>
        <v>0</v>
      </c>
      <c r="AT75" s="17">
        <f>IF('Eurostat EB TJ'!AS83=":",0,'Eurostat EB TJ'!AS83)</f>
        <v>0</v>
      </c>
      <c r="AU75" s="17">
        <f>IF('Eurostat EB TJ'!AT83=":",0,'Eurostat EB TJ'!AT83)</f>
        <v>0</v>
      </c>
      <c r="AV75" s="17">
        <f>IF('Eurostat EB TJ'!AU83=":",0,'Eurostat EB TJ'!AU83)</f>
        <v>0</v>
      </c>
      <c r="AW75" s="17">
        <f>IF('Eurostat EB TJ'!AV83=":",0,'Eurostat EB TJ'!AV83)</f>
        <v>0</v>
      </c>
      <c r="AX75" s="17">
        <f>IF('Eurostat EB TJ'!AW83=":",0,'Eurostat EB TJ'!AW83)</f>
        <v>0</v>
      </c>
      <c r="AY75" s="17">
        <f>IF('Eurostat EB TJ'!AX83=":",0,'Eurostat EB TJ'!AX83)</f>
        <v>0</v>
      </c>
      <c r="AZ75" s="17">
        <f>IF('Eurostat EB TJ'!AY83=":",0,'Eurostat EB TJ'!AY83)</f>
        <v>0</v>
      </c>
      <c r="BA75" s="17">
        <f>IF('Eurostat EB TJ'!AZ83=":",0,'Eurostat EB TJ'!AZ83)</f>
        <v>0</v>
      </c>
      <c r="BB75" s="17">
        <f>IF('Eurostat EB TJ'!BA83=":",0,'Eurostat EB TJ'!BA83)</f>
        <v>0</v>
      </c>
      <c r="BC75" s="17">
        <f>IF('Eurostat EB TJ'!BB83=":",0,'Eurostat EB TJ'!BB83)</f>
        <v>0</v>
      </c>
      <c r="BD75" s="17">
        <f>IF('Eurostat EB TJ'!BC83=":",0,'Eurostat EB TJ'!BC83)</f>
        <v>0</v>
      </c>
      <c r="BE75" s="17">
        <f>IF('Eurostat EB TJ'!BD83=":",0,'Eurostat EB TJ'!BD83)</f>
        <v>0</v>
      </c>
      <c r="BF75" s="17">
        <f>IF('Eurostat EB TJ'!BE83=":",0,'Eurostat EB TJ'!BE83)</f>
        <v>0</v>
      </c>
      <c r="BG75" s="17">
        <f>IF('Eurostat EB TJ'!BF83=":",0,'Eurostat EB TJ'!BF83)</f>
        <v>0</v>
      </c>
      <c r="BH75" s="17">
        <f>IF('Eurostat EB TJ'!BG83=":",0,'Eurostat EB TJ'!BG83)</f>
        <v>0</v>
      </c>
      <c r="BI75" s="17">
        <f>IF('Eurostat EB TJ'!BH83=":",0,'Eurostat EB TJ'!BH83)</f>
        <v>0</v>
      </c>
      <c r="BJ75" s="17">
        <f>IF('Eurostat EB TJ'!BI83=":",0,'Eurostat EB TJ'!BI83)</f>
        <v>0</v>
      </c>
      <c r="BK75" s="17">
        <f>IF('Eurostat EB TJ'!BJ83=":",0,'Eurostat EB TJ'!BJ83)</f>
        <v>0</v>
      </c>
      <c r="BL75" s="17">
        <f>IF('Eurostat EB TJ'!BK83=":",0,'Eurostat EB TJ'!BK83)</f>
        <v>0</v>
      </c>
      <c r="BM75" s="17">
        <f>IF('Eurostat EB TJ'!BL83=":",0,'Eurostat EB TJ'!BL83)</f>
        <v>0</v>
      </c>
      <c r="BN75" s="17">
        <f>IF('Eurostat EB TJ'!BM83=":",0,'Eurostat EB TJ'!BM83)</f>
        <v>0</v>
      </c>
      <c r="BO75" s="17">
        <f>IF('Eurostat EB TJ'!BN83=":",0,'Eurostat EB TJ'!BN83)</f>
        <v>0</v>
      </c>
      <c r="BP75" s="17">
        <f>IF('Eurostat EB TJ'!BO83=":",0,'Eurostat EB TJ'!BO83)</f>
        <v>0</v>
      </c>
      <c r="BQ75" s="17">
        <f>IF('Eurostat EB TJ'!BP83=":",0,'Eurostat EB TJ'!BP83)</f>
        <v>0</v>
      </c>
      <c r="BR75" s="17">
        <f>IF('Eurostat EB TJ'!BQ83=":",0,'Eurostat EB TJ'!BQ83)</f>
        <v>0</v>
      </c>
      <c r="BS75" s="17">
        <f>IF('Eurostat EB TJ'!BR83=":",0,'Eurostat EB TJ'!BR83)</f>
        <v>0</v>
      </c>
      <c r="BT75" s="17">
        <f>IF('Eurostat EB TJ'!BS83=":",0,'Eurostat EB TJ'!BS83)</f>
        <v>0</v>
      </c>
      <c r="BU75" s="17">
        <f>IF('Eurostat EB TJ'!BT83=":",0,'Eurostat EB TJ'!BT83)</f>
        <v>0</v>
      </c>
      <c r="BV75" s="17">
        <f>IF('Eurostat EB TJ'!BU83=":",0,'Eurostat EB TJ'!BU83)</f>
        <v>0</v>
      </c>
    </row>
    <row r="76" spans="1:74" x14ac:dyDescent="0.2">
      <c r="A76" s="56" t="s">
        <v>257</v>
      </c>
      <c r="B76" s="57"/>
      <c r="C76" s="57">
        <f>IF('Eurostat EB TJ'!B84=":",0,'Eurostat EB TJ'!B84)</f>
        <v>11333.489</v>
      </c>
      <c r="D76" s="57">
        <f>IF('Eurostat EB TJ'!C84=":",0,'Eurostat EB TJ'!C84)</f>
        <v>0</v>
      </c>
      <c r="E76" s="57">
        <f>IF('Eurostat EB TJ'!D84=":",0,'Eurostat EB TJ'!D84)</f>
        <v>0</v>
      </c>
      <c r="F76" s="57">
        <f>IF('Eurostat EB TJ'!E84=":",0,'Eurostat EB TJ'!E84)</f>
        <v>0</v>
      </c>
      <c r="G76" s="57">
        <f>IF('Eurostat EB TJ'!F84=":",0,'Eurostat EB TJ'!F84)</f>
        <v>0</v>
      </c>
      <c r="H76" s="57">
        <f>IF('Eurostat EB TJ'!G84=":",0,'Eurostat EB TJ'!G84)</f>
        <v>0</v>
      </c>
      <c r="I76" s="57">
        <f>IF('Eurostat EB TJ'!H84=":",0,'Eurostat EB TJ'!H84)</f>
        <v>0</v>
      </c>
      <c r="J76" s="57">
        <f>IF('Eurostat EB TJ'!I84=":",0,'Eurostat EB TJ'!I84)</f>
        <v>0</v>
      </c>
      <c r="K76" s="57">
        <f>IF('Eurostat EB TJ'!J84=":",0,'Eurostat EB TJ'!J84)</f>
        <v>0</v>
      </c>
      <c r="L76" s="57">
        <f>IF('Eurostat EB TJ'!K84=":",0,'Eurostat EB TJ'!K84)</f>
        <v>0</v>
      </c>
      <c r="M76" s="57">
        <f>IF('Eurostat EB TJ'!L84=":",0,'Eurostat EB TJ'!L84)</f>
        <v>0</v>
      </c>
      <c r="N76" s="57">
        <f>IF('Eurostat EB TJ'!M84=":",0,'Eurostat EB TJ'!M84)</f>
        <v>0</v>
      </c>
      <c r="O76" s="57">
        <f>IF('Eurostat EB TJ'!N84=":",0,'Eurostat EB TJ'!N84)</f>
        <v>0</v>
      </c>
      <c r="P76" s="57">
        <f>IF('Eurostat EB TJ'!O84=":",0,'Eurostat EB TJ'!O84)</f>
        <v>0</v>
      </c>
      <c r="Q76" s="57">
        <f>IF('Eurostat EB TJ'!P84=":",0,'Eurostat EB TJ'!P84)</f>
        <v>0</v>
      </c>
      <c r="R76" s="57">
        <f>IF('Eurostat EB TJ'!Q84=":",0,'Eurostat EB TJ'!Q84)</f>
        <v>0</v>
      </c>
      <c r="S76" s="57">
        <f>IF('Eurostat EB TJ'!R84=":",0,'Eurostat EB TJ'!R84)</f>
        <v>0</v>
      </c>
      <c r="T76" s="57">
        <f>IF('Eurostat EB TJ'!S84=":",0,'Eurostat EB TJ'!S84)</f>
        <v>0</v>
      </c>
      <c r="U76" s="57">
        <f>IF('Eurostat EB TJ'!T84=":",0,'Eurostat EB TJ'!T84)</f>
        <v>0</v>
      </c>
      <c r="V76" s="57">
        <f>IF('Eurostat EB TJ'!U84=":",0,'Eurostat EB TJ'!U84)</f>
        <v>0</v>
      </c>
      <c r="W76" s="57">
        <f>IF('Eurostat EB TJ'!V84=":",0,'Eurostat EB TJ'!V84)</f>
        <v>0</v>
      </c>
      <c r="X76" s="57">
        <f>IF('Eurostat EB TJ'!W84=":",0,'Eurostat EB TJ'!W84)</f>
        <v>11333.489</v>
      </c>
      <c r="Y76" s="57">
        <f>IF('Eurostat EB TJ'!X84=":",0,'Eurostat EB TJ'!X84)</f>
        <v>0</v>
      </c>
      <c r="Z76" s="57">
        <f>IF('Eurostat EB TJ'!Y84=":",0,'Eurostat EB TJ'!Y84)</f>
        <v>0</v>
      </c>
      <c r="AA76" s="57">
        <f>IF('Eurostat EB TJ'!Z84=":",0,'Eurostat EB TJ'!Z84)</f>
        <v>0</v>
      </c>
      <c r="AB76" s="57">
        <f>IF('Eurostat EB TJ'!AA84=":",0,'Eurostat EB TJ'!AA84)</f>
        <v>0</v>
      </c>
      <c r="AC76" s="57">
        <f>IF('Eurostat EB TJ'!AB84=":",0,'Eurostat EB TJ'!AB84)</f>
        <v>0</v>
      </c>
      <c r="AD76" s="57">
        <f>IF('Eurostat EB TJ'!AC84=":",0,'Eurostat EB TJ'!AC84)</f>
        <v>0</v>
      </c>
      <c r="AE76" s="57">
        <f>IF('Eurostat EB TJ'!AD84=":",0,'Eurostat EB TJ'!AD84)</f>
        <v>0</v>
      </c>
      <c r="AF76" s="57">
        <f>IF('Eurostat EB TJ'!AE84=":",0,'Eurostat EB TJ'!AE84)</f>
        <v>0</v>
      </c>
      <c r="AG76" s="57">
        <f>IF('Eurostat EB TJ'!AF84=":",0,'Eurostat EB TJ'!AF84)</f>
        <v>0</v>
      </c>
      <c r="AH76" s="57">
        <f>IF('Eurostat EB TJ'!AG84=":",0,'Eurostat EB TJ'!AG84)</f>
        <v>0</v>
      </c>
      <c r="AI76" s="57">
        <f>IF('Eurostat EB TJ'!AH84=":",0,'Eurostat EB TJ'!AH84)</f>
        <v>0</v>
      </c>
      <c r="AJ76" s="57">
        <f>IF('Eurostat EB TJ'!AI84=":",0,'Eurostat EB TJ'!AI84)</f>
        <v>0</v>
      </c>
      <c r="AK76" s="57">
        <f>IF('Eurostat EB TJ'!AJ84=":",0,'Eurostat EB TJ'!AJ84)</f>
        <v>0</v>
      </c>
      <c r="AL76" s="57">
        <f>IF('Eurostat EB TJ'!AK84=":",0,'Eurostat EB TJ'!AK84)</f>
        <v>0</v>
      </c>
      <c r="AM76" s="57">
        <f>IF('Eurostat EB TJ'!AL84=":",0,'Eurostat EB TJ'!AL84)</f>
        <v>0</v>
      </c>
      <c r="AN76" s="57">
        <f>IF('Eurostat EB TJ'!AM84=":",0,'Eurostat EB TJ'!AM84)</f>
        <v>0</v>
      </c>
      <c r="AO76" s="57">
        <f>IF('Eurostat EB TJ'!AN84=":",0,'Eurostat EB TJ'!AN84)</f>
        <v>0</v>
      </c>
      <c r="AP76" s="57">
        <f>IF('Eurostat EB TJ'!AO84=":",0,'Eurostat EB TJ'!AO84)</f>
        <v>0</v>
      </c>
      <c r="AQ76" s="57">
        <f>IF('Eurostat EB TJ'!AP84=":",0,'Eurostat EB TJ'!AP84)</f>
        <v>0</v>
      </c>
      <c r="AR76" s="57">
        <f>IF('Eurostat EB TJ'!AQ84=":",0,'Eurostat EB TJ'!AQ84)</f>
        <v>0</v>
      </c>
      <c r="AS76" s="57">
        <f>IF('Eurostat EB TJ'!AR84=":",0,'Eurostat EB TJ'!AR84)</f>
        <v>0</v>
      </c>
      <c r="AT76" s="57">
        <f>IF('Eurostat EB TJ'!AS84=":",0,'Eurostat EB TJ'!AS84)</f>
        <v>0</v>
      </c>
      <c r="AU76" s="57">
        <f>IF('Eurostat EB TJ'!AT84=":",0,'Eurostat EB TJ'!AT84)</f>
        <v>0</v>
      </c>
      <c r="AV76" s="57">
        <f>IF('Eurostat EB TJ'!AU84=":",0,'Eurostat EB TJ'!AU84)</f>
        <v>0</v>
      </c>
      <c r="AW76" s="57">
        <f>IF('Eurostat EB TJ'!AV84=":",0,'Eurostat EB TJ'!AV84)</f>
        <v>0</v>
      </c>
      <c r="AX76" s="57">
        <f>IF('Eurostat EB TJ'!AW84=":",0,'Eurostat EB TJ'!AW84)</f>
        <v>0</v>
      </c>
      <c r="AY76" s="57">
        <f>IF('Eurostat EB TJ'!AX84=":",0,'Eurostat EB TJ'!AX84)</f>
        <v>0</v>
      </c>
      <c r="AZ76" s="57">
        <f>IF('Eurostat EB TJ'!AY84=":",0,'Eurostat EB TJ'!AY84)</f>
        <v>0</v>
      </c>
      <c r="BA76" s="57">
        <f>IF('Eurostat EB TJ'!AZ84=":",0,'Eurostat EB TJ'!AZ84)</f>
        <v>0</v>
      </c>
      <c r="BB76" s="57">
        <f>IF('Eurostat EB TJ'!BA84=":",0,'Eurostat EB TJ'!BA84)</f>
        <v>0</v>
      </c>
      <c r="BC76" s="57">
        <f>IF('Eurostat EB TJ'!BB84=":",0,'Eurostat EB TJ'!BB84)</f>
        <v>0</v>
      </c>
      <c r="BD76" s="57">
        <f>IF('Eurostat EB TJ'!BC84=":",0,'Eurostat EB TJ'!BC84)</f>
        <v>0</v>
      </c>
      <c r="BE76" s="57">
        <f>IF('Eurostat EB TJ'!BD84=":",0,'Eurostat EB TJ'!BD84)</f>
        <v>0</v>
      </c>
      <c r="BF76" s="57">
        <f>IF('Eurostat EB TJ'!BE84=":",0,'Eurostat EB TJ'!BE84)</f>
        <v>0</v>
      </c>
      <c r="BG76" s="57">
        <f>IF('Eurostat EB TJ'!BF84=":",0,'Eurostat EB TJ'!BF84)</f>
        <v>0</v>
      </c>
      <c r="BH76" s="57">
        <f>IF('Eurostat EB TJ'!BG84=":",0,'Eurostat EB TJ'!BG84)</f>
        <v>0</v>
      </c>
      <c r="BI76" s="57">
        <f>IF('Eurostat EB TJ'!BH84=":",0,'Eurostat EB TJ'!BH84)</f>
        <v>0</v>
      </c>
      <c r="BJ76" s="57">
        <f>IF('Eurostat EB TJ'!BI84=":",0,'Eurostat EB TJ'!BI84)</f>
        <v>0</v>
      </c>
      <c r="BK76" s="57">
        <f>IF('Eurostat EB TJ'!BJ84=":",0,'Eurostat EB TJ'!BJ84)</f>
        <v>0</v>
      </c>
      <c r="BL76" s="57">
        <f>IF('Eurostat EB TJ'!BK84=":",0,'Eurostat EB TJ'!BK84)</f>
        <v>0</v>
      </c>
      <c r="BM76" s="57">
        <f>IF('Eurostat EB TJ'!BL84=":",0,'Eurostat EB TJ'!BL84)</f>
        <v>0</v>
      </c>
      <c r="BN76" s="57">
        <f>IF('Eurostat EB TJ'!BM84=":",0,'Eurostat EB TJ'!BM84)</f>
        <v>0</v>
      </c>
      <c r="BO76" s="57">
        <f>IF('Eurostat EB TJ'!BN84=":",0,'Eurostat EB TJ'!BN84)</f>
        <v>0</v>
      </c>
      <c r="BP76" s="57">
        <f>IF('Eurostat EB TJ'!BO84=":",0,'Eurostat EB TJ'!BO84)</f>
        <v>0</v>
      </c>
      <c r="BQ76" s="57">
        <f>IF('Eurostat EB TJ'!BP84=":",0,'Eurostat EB TJ'!BP84)</f>
        <v>0</v>
      </c>
      <c r="BR76" s="57">
        <f>IF('Eurostat EB TJ'!BQ84=":",0,'Eurostat EB TJ'!BQ84)</f>
        <v>0</v>
      </c>
      <c r="BS76" s="57">
        <f>IF('Eurostat EB TJ'!BR84=":",0,'Eurostat EB TJ'!BR84)</f>
        <v>0</v>
      </c>
      <c r="BT76" s="57">
        <f>IF('Eurostat EB TJ'!BS84=":",0,'Eurostat EB TJ'!BS84)</f>
        <v>0</v>
      </c>
      <c r="BU76" s="57">
        <f>IF('Eurostat EB TJ'!BT84=":",0,'Eurostat EB TJ'!BT84)</f>
        <v>116.08799999999999</v>
      </c>
      <c r="BV76" s="57">
        <f>IF('Eurostat EB TJ'!BU84=":",0,'Eurostat EB TJ'!BU84)</f>
        <v>11217.402</v>
      </c>
    </row>
    <row r="77" spans="1:74" x14ac:dyDescent="0.2">
      <c r="A77" s="56" t="s">
        <v>258</v>
      </c>
      <c r="B77" s="17"/>
      <c r="C77" s="17">
        <f>IF('Eurostat EB TJ'!B85=":",0,'Eurostat EB TJ'!B85)</f>
        <v>46513.004000000001</v>
      </c>
      <c r="D77" s="17">
        <f>IF('Eurostat EB TJ'!C85=":",0,'Eurostat EB TJ'!C85)</f>
        <v>0</v>
      </c>
      <c r="E77" s="17">
        <f>IF('Eurostat EB TJ'!D85=":",0,'Eurostat EB TJ'!D85)</f>
        <v>0</v>
      </c>
      <c r="F77" s="17">
        <f>IF('Eurostat EB TJ'!E85=":",0,'Eurostat EB TJ'!E85)</f>
        <v>0</v>
      </c>
      <c r="G77" s="17">
        <f>IF('Eurostat EB TJ'!F85=":",0,'Eurostat EB TJ'!F85)</f>
        <v>0</v>
      </c>
      <c r="H77" s="17">
        <f>IF('Eurostat EB TJ'!G85=":",0,'Eurostat EB TJ'!G85)</f>
        <v>0</v>
      </c>
      <c r="I77" s="17">
        <f>IF('Eurostat EB TJ'!H85=":",0,'Eurostat EB TJ'!H85)</f>
        <v>0</v>
      </c>
      <c r="J77" s="17">
        <f>IF('Eurostat EB TJ'!I85=":",0,'Eurostat EB TJ'!I85)</f>
        <v>0</v>
      </c>
      <c r="K77" s="17">
        <f>IF('Eurostat EB TJ'!J85=":",0,'Eurostat EB TJ'!J85)</f>
        <v>0</v>
      </c>
      <c r="L77" s="17">
        <f>IF('Eurostat EB TJ'!K85=":",0,'Eurostat EB TJ'!K85)</f>
        <v>0</v>
      </c>
      <c r="M77" s="17">
        <f>IF('Eurostat EB TJ'!L85=":",0,'Eurostat EB TJ'!L85)</f>
        <v>0</v>
      </c>
      <c r="N77" s="17">
        <f>IF('Eurostat EB TJ'!M85=":",0,'Eurostat EB TJ'!M85)</f>
        <v>0</v>
      </c>
      <c r="O77" s="17">
        <f>IF('Eurostat EB TJ'!N85=":",0,'Eurostat EB TJ'!N85)</f>
        <v>0</v>
      </c>
      <c r="P77" s="17">
        <f>IF('Eurostat EB TJ'!O85=":",0,'Eurostat EB TJ'!O85)</f>
        <v>0</v>
      </c>
      <c r="Q77" s="17">
        <f>IF('Eurostat EB TJ'!P85=":",0,'Eurostat EB TJ'!P85)</f>
        <v>0</v>
      </c>
      <c r="R77" s="17">
        <f>IF('Eurostat EB TJ'!Q85=":",0,'Eurostat EB TJ'!Q85)</f>
        <v>0</v>
      </c>
      <c r="S77" s="17">
        <f>IF('Eurostat EB TJ'!R85=":",0,'Eurostat EB TJ'!R85)</f>
        <v>0</v>
      </c>
      <c r="T77" s="17">
        <f>IF('Eurostat EB TJ'!S85=":",0,'Eurostat EB TJ'!S85)</f>
        <v>0</v>
      </c>
      <c r="U77" s="17">
        <f>IF('Eurostat EB TJ'!T85=":",0,'Eurostat EB TJ'!T85)</f>
        <v>0</v>
      </c>
      <c r="V77" s="17">
        <f>IF('Eurostat EB TJ'!U85=":",0,'Eurostat EB TJ'!U85)</f>
        <v>0</v>
      </c>
      <c r="W77" s="17">
        <f>IF('Eurostat EB TJ'!V85=":",0,'Eurostat EB TJ'!V85)</f>
        <v>0</v>
      </c>
      <c r="X77" s="17">
        <f>IF('Eurostat EB TJ'!W85=":",0,'Eurostat EB TJ'!W85)</f>
        <v>0</v>
      </c>
      <c r="Y77" s="17">
        <f>IF('Eurostat EB TJ'!X85=":",0,'Eurostat EB TJ'!X85)</f>
        <v>0</v>
      </c>
      <c r="Z77" s="17">
        <f>IF('Eurostat EB TJ'!Y85=":",0,'Eurostat EB TJ'!Y85)</f>
        <v>0</v>
      </c>
      <c r="AA77" s="17">
        <f>IF('Eurostat EB TJ'!Z85=":",0,'Eurostat EB TJ'!Z85)</f>
        <v>0</v>
      </c>
      <c r="AB77" s="17">
        <f>IF('Eurostat EB TJ'!AA85=":",0,'Eurostat EB TJ'!AA85)</f>
        <v>0</v>
      </c>
      <c r="AC77" s="17">
        <f>IF('Eurostat EB TJ'!AB85=":",0,'Eurostat EB TJ'!AB85)</f>
        <v>0</v>
      </c>
      <c r="AD77" s="17">
        <f>IF('Eurostat EB TJ'!AC85=":",0,'Eurostat EB TJ'!AC85)</f>
        <v>0</v>
      </c>
      <c r="AE77" s="17">
        <f>IF('Eurostat EB TJ'!AD85=":",0,'Eurostat EB TJ'!AD85)</f>
        <v>0</v>
      </c>
      <c r="AF77" s="17">
        <f>IF('Eurostat EB TJ'!AE85=":",0,'Eurostat EB TJ'!AE85)</f>
        <v>0</v>
      </c>
      <c r="AG77" s="17">
        <f>IF('Eurostat EB TJ'!AF85=":",0,'Eurostat EB TJ'!AF85)</f>
        <v>0</v>
      </c>
      <c r="AH77" s="17">
        <f>IF('Eurostat EB TJ'!AG85=":",0,'Eurostat EB TJ'!AG85)</f>
        <v>0</v>
      </c>
      <c r="AI77" s="17">
        <f>IF('Eurostat EB TJ'!AH85=":",0,'Eurostat EB TJ'!AH85)</f>
        <v>0</v>
      </c>
      <c r="AJ77" s="17">
        <f>IF('Eurostat EB TJ'!AI85=":",0,'Eurostat EB TJ'!AI85)</f>
        <v>0</v>
      </c>
      <c r="AK77" s="17">
        <f>IF('Eurostat EB TJ'!AJ85=":",0,'Eurostat EB TJ'!AJ85)</f>
        <v>0</v>
      </c>
      <c r="AL77" s="17">
        <f>IF('Eurostat EB TJ'!AK85=":",0,'Eurostat EB TJ'!AK85)</f>
        <v>0</v>
      </c>
      <c r="AM77" s="17">
        <f>IF('Eurostat EB TJ'!AL85=":",0,'Eurostat EB TJ'!AL85)</f>
        <v>0</v>
      </c>
      <c r="AN77" s="17">
        <f>IF('Eurostat EB TJ'!AM85=":",0,'Eurostat EB TJ'!AM85)</f>
        <v>0</v>
      </c>
      <c r="AO77" s="17">
        <f>IF('Eurostat EB TJ'!AN85=":",0,'Eurostat EB TJ'!AN85)</f>
        <v>0</v>
      </c>
      <c r="AP77" s="17">
        <f>IF('Eurostat EB TJ'!AO85=":",0,'Eurostat EB TJ'!AO85)</f>
        <v>0</v>
      </c>
      <c r="AQ77" s="17">
        <f>IF('Eurostat EB TJ'!AP85=":",0,'Eurostat EB TJ'!AP85)</f>
        <v>0</v>
      </c>
      <c r="AR77" s="17">
        <f>IF('Eurostat EB TJ'!AQ85=":",0,'Eurostat EB TJ'!AQ85)</f>
        <v>0</v>
      </c>
      <c r="AS77" s="17">
        <f>IF('Eurostat EB TJ'!AR85=":",0,'Eurostat EB TJ'!AR85)</f>
        <v>0</v>
      </c>
      <c r="AT77" s="17">
        <f>IF('Eurostat EB TJ'!AS85=":",0,'Eurostat EB TJ'!AS85)</f>
        <v>0</v>
      </c>
      <c r="AU77" s="17">
        <f>IF('Eurostat EB TJ'!AT85=":",0,'Eurostat EB TJ'!AT85)</f>
        <v>0</v>
      </c>
      <c r="AV77" s="17">
        <f>IF('Eurostat EB TJ'!AU85=":",0,'Eurostat EB TJ'!AU85)</f>
        <v>46513.004000000001</v>
      </c>
      <c r="AW77" s="17">
        <f>IF('Eurostat EB TJ'!AV85=":",0,'Eurostat EB TJ'!AV85)</f>
        <v>0</v>
      </c>
      <c r="AX77" s="17">
        <f>IF('Eurostat EB TJ'!AW85=":",0,'Eurostat EB TJ'!AW85)</f>
        <v>0</v>
      </c>
      <c r="AY77" s="17">
        <f>IF('Eurostat EB TJ'!AX85=":",0,'Eurostat EB TJ'!AX85)</f>
        <v>0</v>
      </c>
      <c r="AZ77" s="17">
        <f>IF('Eurostat EB TJ'!AY85=":",0,'Eurostat EB TJ'!AY85)</f>
        <v>0</v>
      </c>
      <c r="BA77" s="17">
        <f>IF('Eurostat EB TJ'!AZ85=":",0,'Eurostat EB TJ'!AZ85)</f>
        <v>0</v>
      </c>
      <c r="BB77" s="17">
        <f>IF('Eurostat EB TJ'!BA85=":",0,'Eurostat EB TJ'!BA85)</f>
        <v>0</v>
      </c>
      <c r="BC77" s="17">
        <f>IF('Eurostat EB TJ'!BB85=":",0,'Eurostat EB TJ'!BB85)</f>
        <v>0</v>
      </c>
      <c r="BD77" s="17">
        <f>IF('Eurostat EB TJ'!BC85=":",0,'Eurostat EB TJ'!BC85)</f>
        <v>0</v>
      </c>
      <c r="BE77" s="17">
        <f>IF('Eurostat EB TJ'!BD85=":",0,'Eurostat EB TJ'!BD85)</f>
        <v>0</v>
      </c>
      <c r="BF77" s="17">
        <f>IF('Eurostat EB TJ'!BE85=":",0,'Eurostat EB TJ'!BE85)</f>
        <v>0</v>
      </c>
      <c r="BG77" s="17">
        <f>IF('Eurostat EB TJ'!BF85=":",0,'Eurostat EB TJ'!BF85)</f>
        <v>14367.078</v>
      </c>
      <c r="BH77" s="17">
        <f>IF('Eurostat EB TJ'!BG85=":",0,'Eurostat EB TJ'!BG85)</f>
        <v>0</v>
      </c>
      <c r="BI77" s="17">
        <f>IF('Eurostat EB TJ'!BH85=":",0,'Eurostat EB TJ'!BH85)</f>
        <v>32145.925999999999</v>
      </c>
      <c r="BJ77" s="17">
        <f>IF('Eurostat EB TJ'!BI85=":",0,'Eurostat EB TJ'!BI85)</f>
        <v>0</v>
      </c>
      <c r="BK77" s="17">
        <f>IF('Eurostat EB TJ'!BJ85=":",0,'Eurostat EB TJ'!BJ85)</f>
        <v>0</v>
      </c>
      <c r="BL77" s="17">
        <f>IF('Eurostat EB TJ'!BK85=":",0,'Eurostat EB TJ'!BK85)</f>
        <v>0</v>
      </c>
      <c r="BM77" s="17">
        <f>IF('Eurostat EB TJ'!BL85=":",0,'Eurostat EB TJ'!BL85)</f>
        <v>0</v>
      </c>
      <c r="BN77" s="17">
        <f>IF('Eurostat EB TJ'!BM85=":",0,'Eurostat EB TJ'!BM85)</f>
        <v>0</v>
      </c>
      <c r="BO77" s="17">
        <f>IF('Eurostat EB TJ'!BN85=":",0,'Eurostat EB TJ'!BN85)</f>
        <v>0</v>
      </c>
      <c r="BP77" s="17">
        <f>IF('Eurostat EB TJ'!BO85=":",0,'Eurostat EB TJ'!BO85)</f>
        <v>0</v>
      </c>
      <c r="BQ77" s="17">
        <f>IF('Eurostat EB TJ'!BP85=":",0,'Eurostat EB TJ'!BP85)</f>
        <v>0</v>
      </c>
      <c r="BR77" s="17">
        <f>IF('Eurostat EB TJ'!BQ85=":",0,'Eurostat EB TJ'!BQ85)</f>
        <v>0</v>
      </c>
      <c r="BS77" s="17">
        <f>IF('Eurostat EB TJ'!BR85=":",0,'Eurostat EB TJ'!BR85)</f>
        <v>0</v>
      </c>
      <c r="BT77" s="17">
        <f>IF('Eurostat EB TJ'!BS85=":",0,'Eurostat EB TJ'!BS85)</f>
        <v>0</v>
      </c>
      <c r="BU77" s="17">
        <f>IF('Eurostat EB TJ'!BT85=":",0,'Eurostat EB TJ'!BT85)</f>
        <v>46513.004000000001</v>
      </c>
      <c r="BV77" s="17">
        <f>IF('Eurostat EB TJ'!BU85=":",0,'Eurostat EB TJ'!BU85)</f>
        <v>0</v>
      </c>
    </row>
    <row r="78" spans="1:74" x14ac:dyDescent="0.2">
      <c r="A78" s="56" t="s">
        <v>259</v>
      </c>
      <c r="B78" s="57"/>
      <c r="C78" s="57">
        <f>IF('Eurostat EB TJ'!B86=":",0,'Eurostat EB TJ'!B86)</f>
        <v>0</v>
      </c>
      <c r="D78" s="57">
        <f>IF('Eurostat EB TJ'!C86=":",0,'Eurostat EB TJ'!C86)</f>
        <v>0</v>
      </c>
      <c r="E78" s="57">
        <f>IF('Eurostat EB TJ'!D86=":",0,'Eurostat EB TJ'!D86)</f>
        <v>0</v>
      </c>
      <c r="F78" s="57">
        <f>IF('Eurostat EB TJ'!E86=":",0,'Eurostat EB TJ'!E86)</f>
        <v>0</v>
      </c>
      <c r="G78" s="57">
        <f>IF('Eurostat EB TJ'!F86=":",0,'Eurostat EB TJ'!F86)</f>
        <v>0</v>
      </c>
      <c r="H78" s="57">
        <f>IF('Eurostat EB TJ'!G86=":",0,'Eurostat EB TJ'!G86)</f>
        <v>0</v>
      </c>
      <c r="I78" s="57">
        <f>IF('Eurostat EB TJ'!H86=":",0,'Eurostat EB TJ'!H86)</f>
        <v>0</v>
      </c>
      <c r="J78" s="57">
        <f>IF('Eurostat EB TJ'!I86=":",0,'Eurostat EB TJ'!I86)</f>
        <v>0</v>
      </c>
      <c r="K78" s="57">
        <f>IF('Eurostat EB TJ'!J86=":",0,'Eurostat EB TJ'!J86)</f>
        <v>0</v>
      </c>
      <c r="L78" s="57">
        <f>IF('Eurostat EB TJ'!K86=":",0,'Eurostat EB TJ'!K86)</f>
        <v>0</v>
      </c>
      <c r="M78" s="57">
        <f>IF('Eurostat EB TJ'!L86=":",0,'Eurostat EB TJ'!L86)</f>
        <v>0</v>
      </c>
      <c r="N78" s="57">
        <f>IF('Eurostat EB TJ'!M86=":",0,'Eurostat EB TJ'!M86)</f>
        <v>0</v>
      </c>
      <c r="O78" s="57">
        <f>IF('Eurostat EB TJ'!N86=":",0,'Eurostat EB TJ'!N86)</f>
        <v>0</v>
      </c>
      <c r="P78" s="57">
        <f>IF('Eurostat EB TJ'!O86=":",0,'Eurostat EB TJ'!O86)</f>
        <v>0</v>
      </c>
      <c r="Q78" s="57">
        <f>IF('Eurostat EB TJ'!P86=":",0,'Eurostat EB TJ'!P86)</f>
        <v>0</v>
      </c>
      <c r="R78" s="57">
        <f>IF('Eurostat EB TJ'!Q86=":",0,'Eurostat EB TJ'!Q86)</f>
        <v>0</v>
      </c>
      <c r="S78" s="57">
        <f>IF('Eurostat EB TJ'!R86=":",0,'Eurostat EB TJ'!R86)</f>
        <v>0</v>
      </c>
      <c r="T78" s="57">
        <f>IF('Eurostat EB TJ'!S86=":",0,'Eurostat EB TJ'!S86)</f>
        <v>0</v>
      </c>
      <c r="U78" s="57">
        <f>IF('Eurostat EB TJ'!T86=":",0,'Eurostat EB TJ'!T86)</f>
        <v>0</v>
      </c>
      <c r="V78" s="57">
        <f>IF('Eurostat EB TJ'!U86=":",0,'Eurostat EB TJ'!U86)</f>
        <v>0</v>
      </c>
      <c r="W78" s="57">
        <f>IF('Eurostat EB TJ'!V86=":",0,'Eurostat EB TJ'!V86)</f>
        <v>0</v>
      </c>
      <c r="X78" s="57">
        <f>IF('Eurostat EB TJ'!W86=":",0,'Eurostat EB TJ'!W86)</f>
        <v>0</v>
      </c>
      <c r="Y78" s="57">
        <f>IF('Eurostat EB TJ'!X86=":",0,'Eurostat EB TJ'!X86)</f>
        <v>0</v>
      </c>
      <c r="Z78" s="57">
        <f>IF('Eurostat EB TJ'!Y86=":",0,'Eurostat EB TJ'!Y86)</f>
        <v>0</v>
      </c>
      <c r="AA78" s="57">
        <f>IF('Eurostat EB TJ'!Z86=":",0,'Eurostat EB TJ'!Z86)</f>
        <v>0</v>
      </c>
      <c r="AB78" s="57">
        <f>IF('Eurostat EB TJ'!AA86=":",0,'Eurostat EB TJ'!AA86)</f>
        <v>0</v>
      </c>
      <c r="AC78" s="57">
        <f>IF('Eurostat EB TJ'!AB86=":",0,'Eurostat EB TJ'!AB86)</f>
        <v>0</v>
      </c>
      <c r="AD78" s="57">
        <f>IF('Eurostat EB TJ'!AC86=":",0,'Eurostat EB TJ'!AC86)</f>
        <v>0</v>
      </c>
      <c r="AE78" s="57">
        <f>IF('Eurostat EB TJ'!AD86=":",0,'Eurostat EB TJ'!AD86)</f>
        <v>0</v>
      </c>
      <c r="AF78" s="57">
        <f>IF('Eurostat EB TJ'!AE86=":",0,'Eurostat EB TJ'!AE86)</f>
        <v>0</v>
      </c>
      <c r="AG78" s="57">
        <f>IF('Eurostat EB TJ'!AF86=":",0,'Eurostat EB TJ'!AF86)</f>
        <v>0</v>
      </c>
      <c r="AH78" s="57">
        <f>IF('Eurostat EB TJ'!AG86=":",0,'Eurostat EB TJ'!AG86)</f>
        <v>0</v>
      </c>
      <c r="AI78" s="57">
        <f>IF('Eurostat EB TJ'!AH86=":",0,'Eurostat EB TJ'!AH86)</f>
        <v>0</v>
      </c>
      <c r="AJ78" s="57">
        <f>IF('Eurostat EB TJ'!AI86=":",0,'Eurostat EB TJ'!AI86)</f>
        <v>0</v>
      </c>
      <c r="AK78" s="57">
        <f>IF('Eurostat EB TJ'!AJ86=":",0,'Eurostat EB TJ'!AJ86)</f>
        <v>0</v>
      </c>
      <c r="AL78" s="57">
        <f>IF('Eurostat EB TJ'!AK86=":",0,'Eurostat EB TJ'!AK86)</f>
        <v>0</v>
      </c>
      <c r="AM78" s="57">
        <f>IF('Eurostat EB TJ'!AL86=":",0,'Eurostat EB TJ'!AL86)</f>
        <v>0</v>
      </c>
      <c r="AN78" s="57">
        <f>IF('Eurostat EB TJ'!AM86=":",0,'Eurostat EB TJ'!AM86)</f>
        <v>0</v>
      </c>
      <c r="AO78" s="57">
        <f>IF('Eurostat EB TJ'!AN86=":",0,'Eurostat EB TJ'!AN86)</f>
        <v>0</v>
      </c>
      <c r="AP78" s="57">
        <f>IF('Eurostat EB TJ'!AO86=":",0,'Eurostat EB TJ'!AO86)</f>
        <v>0</v>
      </c>
      <c r="AQ78" s="57">
        <f>IF('Eurostat EB TJ'!AP86=":",0,'Eurostat EB TJ'!AP86)</f>
        <v>0</v>
      </c>
      <c r="AR78" s="57">
        <f>IF('Eurostat EB TJ'!AQ86=":",0,'Eurostat EB TJ'!AQ86)</f>
        <v>0</v>
      </c>
      <c r="AS78" s="57">
        <f>IF('Eurostat EB TJ'!AR86=":",0,'Eurostat EB TJ'!AR86)</f>
        <v>0</v>
      </c>
      <c r="AT78" s="57">
        <f>IF('Eurostat EB TJ'!AS86=":",0,'Eurostat EB TJ'!AS86)</f>
        <v>0</v>
      </c>
      <c r="AU78" s="57">
        <f>IF('Eurostat EB TJ'!AT86=":",0,'Eurostat EB TJ'!AT86)</f>
        <v>0</v>
      </c>
      <c r="AV78" s="57">
        <f>IF('Eurostat EB TJ'!AU86=":",0,'Eurostat EB TJ'!AU86)</f>
        <v>0</v>
      </c>
      <c r="AW78" s="57">
        <f>IF('Eurostat EB TJ'!AV86=":",0,'Eurostat EB TJ'!AV86)</f>
        <v>0</v>
      </c>
      <c r="AX78" s="57">
        <f>IF('Eurostat EB TJ'!AW86=":",0,'Eurostat EB TJ'!AW86)</f>
        <v>0</v>
      </c>
      <c r="AY78" s="57">
        <f>IF('Eurostat EB TJ'!AX86=":",0,'Eurostat EB TJ'!AX86)</f>
        <v>0</v>
      </c>
      <c r="AZ78" s="57">
        <f>IF('Eurostat EB TJ'!AY86=":",0,'Eurostat EB TJ'!AY86)</f>
        <v>0</v>
      </c>
      <c r="BA78" s="57">
        <f>IF('Eurostat EB TJ'!AZ86=":",0,'Eurostat EB TJ'!AZ86)</f>
        <v>0</v>
      </c>
      <c r="BB78" s="57">
        <f>IF('Eurostat EB TJ'!BA86=":",0,'Eurostat EB TJ'!BA86)</f>
        <v>0</v>
      </c>
      <c r="BC78" s="57">
        <f>IF('Eurostat EB TJ'!BB86=":",0,'Eurostat EB TJ'!BB86)</f>
        <v>0</v>
      </c>
      <c r="BD78" s="57">
        <f>IF('Eurostat EB TJ'!BC86=":",0,'Eurostat EB TJ'!BC86)</f>
        <v>0</v>
      </c>
      <c r="BE78" s="57">
        <f>IF('Eurostat EB TJ'!BD86=":",0,'Eurostat EB TJ'!BD86)</f>
        <v>0</v>
      </c>
      <c r="BF78" s="57">
        <f>IF('Eurostat EB TJ'!BE86=":",0,'Eurostat EB TJ'!BE86)</f>
        <v>0</v>
      </c>
      <c r="BG78" s="57">
        <f>IF('Eurostat EB TJ'!BF86=":",0,'Eurostat EB TJ'!BF86)</f>
        <v>0</v>
      </c>
      <c r="BH78" s="57">
        <f>IF('Eurostat EB TJ'!BG86=":",0,'Eurostat EB TJ'!BG86)</f>
        <v>0</v>
      </c>
      <c r="BI78" s="57">
        <f>IF('Eurostat EB TJ'!BH86=":",0,'Eurostat EB TJ'!BH86)</f>
        <v>0</v>
      </c>
      <c r="BJ78" s="57">
        <f>IF('Eurostat EB TJ'!BI86=":",0,'Eurostat EB TJ'!BI86)</f>
        <v>0</v>
      </c>
      <c r="BK78" s="57">
        <f>IF('Eurostat EB TJ'!BJ86=":",0,'Eurostat EB TJ'!BJ86)</f>
        <v>0</v>
      </c>
      <c r="BL78" s="57">
        <f>IF('Eurostat EB TJ'!BK86=":",0,'Eurostat EB TJ'!BK86)</f>
        <v>0</v>
      </c>
      <c r="BM78" s="57">
        <f>IF('Eurostat EB TJ'!BL86=":",0,'Eurostat EB TJ'!BL86)</f>
        <v>0</v>
      </c>
      <c r="BN78" s="57">
        <f>IF('Eurostat EB TJ'!BM86=":",0,'Eurostat EB TJ'!BM86)</f>
        <v>0</v>
      </c>
      <c r="BO78" s="57">
        <f>IF('Eurostat EB TJ'!BN86=":",0,'Eurostat EB TJ'!BN86)</f>
        <v>0</v>
      </c>
      <c r="BP78" s="57">
        <f>IF('Eurostat EB TJ'!BO86=":",0,'Eurostat EB TJ'!BO86)</f>
        <v>0</v>
      </c>
      <c r="BQ78" s="57">
        <f>IF('Eurostat EB TJ'!BP86=":",0,'Eurostat EB TJ'!BP86)</f>
        <v>0</v>
      </c>
      <c r="BR78" s="57">
        <f>IF('Eurostat EB TJ'!BQ86=":",0,'Eurostat EB TJ'!BQ86)</f>
        <v>0</v>
      </c>
      <c r="BS78" s="57">
        <f>IF('Eurostat EB TJ'!BR86=":",0,'Eurostat EB TJ'!BR86)</f>
        <v>0</v>
      </c>
      <c r="BT78" s="57">
        <f>IF('Eurostat EB TJ'!BS86=":",0,'Eurostat EB TJ'!BS86)</f>
        <v>0</v>
      </c>
      <c r="BU78" s="57">
        <f>IF('Eurostat EB TJ'!BT86=":",0,'Eurostat EB TJ'!BT86)</f>
        <v>0</v>
      </c>
      <c r="BV78" s="57">
        <f>IF('Eurostat EB TJ'!BU86=":",0,'Eurostat EB TJ'!BU86)</f>
        <v>0</v>
      </c>
    </row>
    <row r="79" spans="1:74" x14ac:dyDescent="0.2">
      <c r="A79" s="56" t="s">
        <v>260</v>
      </c>
      <c r="B79" s="17"/>
      <c r="C79" s="17">
        <f>IF('Eurostat EB TJ'!B87=":",0,'Eurostat EB TJ'!B87)</f>
        <v>0</v>
      </c>
      <c r="D79" s="17">
        <f>IF('Eurostat EB TJ'!C87=":",0,'Eurostat EB TJ'!C87)</f>
        <v>0</v>
      </c>
      <c r="E79" s="17">
        <f>IF('Eurostat EB TJ'!D87=":",0,'Eurostat EB TJ'!D87)</f>
        <v>0</v>
      </c>
      <c r="F79" s="17">
        <f>IF('Eurostat EB TJ'!E87=":",0,'Eurostat EB TJ'!E87)</f>
        <v>0</v>
      </c>
      <c r="G79" s="17">
        <f>IF('Eurostat EB TJ'!F87=":",0,'Eurostat EB TJ'!F87)</f>
        <v>0</v>
      </c>
      <c r="H79" s="17">
        <f>IF('Eurostat EB TJ'!G87=":",0,'Eurostat EB TJ'!G87)</f>
        <v>0</v>
      </c>
      <c r="I79" s="17">
        <f>IF('Eurostat EB TJ'!H87=":",0,'Eurostat EB TJ'!H87)</f>
        <v>0</v>
      </c>
      <c r="J79" s="17">
        <f>IF('Eurostat EB TJ'!I87=":",0,'Eurostat EB TJ'!I87)</f>
        <v>0</v>
      </c>
      <c r="K79" s="17">
        <f>IF('Eurostat EB TJ'!J87=":",0,'Eurostat EB TJ'!J87)</f>
        <v>0</v>
      </c>
      <c r="L79" s="17">
        <f>IF('Eurostat EB TJ'!K87=":",0,'Eurostat EB TJ'!K87)</f>
        <v>0</v>
      </c>
      <c r="M79" s="17">
        <f>IF('Eurostat EB TJ'!L87=":",0,'Eurostat EB TJ'!L87)</f>
        <v>0</v>
      </c>
      <c r="N79" s="17">
        <f>IF('Eurostat EB TJ'!M87=":",0,'Eurostat EB TJ'!M87)</f>
        <v>0</v>
      </c>
      <c r="O79" s="17">
        <f>IF('Eurostat EB TJ'!N87=":",0,'Eurostat EB TJ'!N87)</f>
        <v>0</v>
      </c>
      <c r="P79" s="17">
        <f>IF('Eurostat EB TJ'!O87=":",0,'Eurostat EB TJ'!O87)</f>
        <v>0</v>
      </c>
      <c r="Q79" s="17">
        <f>IF('Eurostat EB TJ'!P87=":",0,'Eurostat EB TJ'!P87)</f>
        <v>0</v>
      </c>
      <c r="R79" s="17">
        <f>IF('Eurostat EB TJ'!Q87=":",0,'Eurostat EB TJ'!Q87)</f>
        <v>0</v>
      </c>
      <c r="S79" s="17">
        <f>IF('Eurostat EB TJ'!R87=":",0,'Eurostat EB TJ'!R87)</f>
        <v>0</v>
      </c>
      <c r="T79" s="17">
        <f>IF('Eurostat EB TJ'!S87=":",0,'Eurostat EB TJ'!S87)</f>
        <v>0</v>
      </c>
      <c r="U79" s="17">
        <f>IF('Eurostat EB TJ'!T87=":",0,'Eurostat EB TJ'!T87)</f>
        <v>0</v>
      </c>
      <c r="V79" s="17">
        <f>IF('Eurostat EB TJ'!U87=":",0,'Eurostat EB TJ'!U87)</f>
        <v>0</v>
      </c>
      <c r="W79" s="17">
        <f>IF('Eurostat EB TJ'!V87=":",0,'Eurostat EB TJ'!V87)</f>
        <v>0</v>
      </c>
      <c r="X79" s="17">
        <f>IF('Eurostat EB TJ'!W87=":",0,'Eurostat EB TJ'!W87)</f>
        <v>0</v>
      </c>
      <c r="Y79" s="17">
        <f>IF('Eurostat EB TJ'!X87=":",0,'Eurostat EB TJ'!X87)</f>
        <v>0</v>
      </c>
      <c r="Z79" s="17">
        <f>IF('Eurostat EB TJ'!Y87=":",0,'Eurostat EB TJ'!Y87)</f>
        <v>0</v>
      </c>
      <c r="AA79" s="17">
        <f>IF('Eurostat EB TJ'!Z87=":",0,'Eurostat EB TJ'!Z87)</f>
        <v>0</v>
      </c>
      <c r="AB79" s="17">
        <f>IF('Eurostat EB TJ'!AA87=":",0,'Eurostat EB TJ'!AA87)</f>
        <v>0</v>
      </c>
      <c r="AC79" s="17">
        <f>IF('Eurostat EB TJ'!AB87=":",0,'Eurostat EB TJ'!AB87)</f>
        <v>0</v>
      </c>
      <c r="AD79" s="17">
        <f>IF('Eurostat EB TJ'!AC87=":",0,'Eurostat EB TJ'!AC87)</f>
        <v>0</v>
      </c>
      <c r="AE79" s="17">
        <f>IF('Eurostat EB TJ'!AD87=":",0,'Eurostat EB TJ'!AD87)</f>
        <v>0</v>
      </c>
      <c r="AF79" s="17">
        <f>IF('Eurostat EB TJ'!AE87=":",0,'Eurostat EB TJ'!AE87)</f>
        <v>0</v>
      </c>
      <c r="AG79" s="17">
        <f>IF('Eurostat EB TJ'!AF87=":",0,'Eurostat EB TJ'!AF87)</f>
        <v>0</v>
      </c>
      <c r="AH79" s="17">
        <f>IF('Eurostat EB TJ'!AG87=":",0,'Eurostat EB TJ'!AG87)</f>
        <v>0</v>
      </c>
      <c r="AI79" s="17">
        <f>IF('Eurostat EB TJ'!AH87=":",0,'Eurostat EB TJ'!AH87)</f>
        <v>0</v>
      </c>
      <c r="AJ79" s="17">
        <f>IF('Eurostat EB TJ'!AI87=":",0,'Eurostat EB TJ'!AI87)</f>
        <v>0</v>
      </c>
      <c r="AK79" s="17">
        <f>IF('Eurostat EB TJ'!AJ87=":",0,'Eurostat EB TJ'!AJ87)</f>
        <v>0</v>
      </c>
      <c r="AL79" s="17">
        <f>IF('Eurostat EB TJ'!AK87=":",0,'Eurostat EB TJ'!AK87)</f>
        <v>0</v>
      </c>
      <c r="AM79" s="17">
        <f>IF('Eurostat EB TJ'!AL87=":",0,'Eurostat EB TJ'!AL87)</f>
        <v>0</v>
      </c>
      <c r="AN79" s="17">
        <f>IF('Eurostat EB TJ'!AM87=":",0,'Eurostat EB TJ'!AM87)</f>
        <v>0</v>
      </c>
      <c r="AO79" s="17">
        <f>IF('Eurostat EB TJ'!AN87=":",0,'Eurostat EB TJ'!AN87)</f>
        <v>0</v>
      </c>
      <c r="AP79" s="17">
        <f>IF('Eurostat EB TJ'!AO87=":",0,'Eurostat EB TJ'!AO87)</f>
        <v>0</v>
      </c>
      <c r="AQ79" s="17">
        <f>IF('Eurostat EB TJ'!AP87=":",0,'Eurostat EB TJ'!AP87)</f>
        <v>0</v>
      </c>
      <c r="AR79" s="17">
        <f>IF('Eurostat EB TJ'!AQ87=":",0,'Eurostat EB TJ'!AQ87)</f>
        <v>0</v>
      </c>
      <c r="AS79" s="17">
        <f>IF('Eurostat EB TJ'!AR87=":",0,'Eurostat EB TJ'!AR87)</f>
        <v>0</v>
      </c>
      <c r="AT79" s="17">
        <f>IF('Eurostat EB TJ'!AS87=":",0,'Eurostat EB TJ'!AS87)</f>
        <v>0</v>
      </c>
      <c r="AU79" s="17">
        <f>IF('Eurostat EB TJ'!AT87=":",0,'Eurostat EB TJ'!AT87)</f>
        <v>0</v>
      </c>
      <c r="AV79" s="17">
        <f>IF('Eurostat EB TJ'!AU87=":",0,'Eurostat EB TJ'!AU87)</f>
        <v>0</v>
      </c>
      <c r="AW79" s="17">
        <f>IF('Eurostat EB TJ'!AV87=":",0,'Eurostat EB TJ'!AV87)</f>
        <v>0</v>
      </c>
      <c r="AX79" s="17">
        <f>IF('Eurostat EB TJ'!AW87=":",0,'Eurostat EB TJ'!AW87)</f>
        <v>0</v>
      </c>
      <c r="AY79" s="17">
        <f>IF('Eurostat EB TJ'!AX87=":",0,'Eurostat EB TJ'!AX87)</f>
        <v>0</v>
      </c>
      <c r="AZ79" s="17">
        <f>IF('Eurostat EB TJ'!AY87=":",0,'Eurostat EB TJ'!AY87)</f>
        <v>0</v>
      </c>
      <c r="BA79" s="17">
        <f>IF('Eurostat EB TJ'!AZ87=":",0,'Eurostat EB TJ'!AZ87)</f>
        <v>0</v>
      </c>
      <c r="BB79" s="17">
        <f>IF('Eurostat EB TJ'!BA87=":",0,'Eurostat EB TJ'!BA87)</f>
        <v>0</v>
      </c>
      <c r="BC79" s="17">
        <f>IF('Eurostat EB TJ'!BB87=":",0,'Eurostat EB TJ'!BB87)</f>
        <v>0</v>
      </c>
      <c r="BD79" s="17">
        <f>IF('Eurostat EB TJ'!BC87=":",0,'Eurostat EB TJ'!BC87)</f>
        <v>0</v>
      </c>
      <c r="BE79" s="17">
        <f>IF('Eurostat EB TJ'!BD87=":",0,'Eurostat EB TJ'!BD87)</f>
        <v>0</v>
      </c>
      <c r="BF79" s="17">
        <f>IF('Eurostat EB TJ'!BE87=":",0,'Eurostat EB TJ'!BE87)</f>
        <v>0</v>
      </c>
      <c r="BG79" s="17">
        <f>IF('Eurostat EB TJ'!BF87=":",0,'Eurostat EB TJ'!BF87)</f>
        <v>0</v>
      </c>
      <c r="BH79" s="17">
        <f>IF('Eurostat EB TJ'!BG87=":",0,'Eurostat EB TJ'!BG87)</f>
        <v>0</v>
      </c>
      <c r="BI79" s="17">
        <f>IF('Eurostat EB TJ'!BH87=":",0,'Eurostat EB TJ'!BH87)</f>
        <v>0</v>
      </c>
      <c r="BJ79" s="17">
        <f>IF('Eurostat EB TJ'!BI87=":",0,'Eurostat EB TJ'!BI87)</f>
        <v>0</v>
      </c>
      <c r="BK79" s="17">
        <f>IF('Eurostat EB TJ'!BJ87=":",0,'Eurostat EB TJ'!BJ87)</f>
        <v>0</v>
      </c>
      <c r="BL79" s="17">
        <f>IF('Eurostat EB TJ'!BK87=":",0,'Eurostat EB TJ'!BK87)</f>
        <v>0</v>
      </c>
      <c r="BM79" s="17">
        <f>IF('Eurostat EB TJ'!BL87=":",0,'Eurostat EB TJ'!BL87)</f>
        <v>0</v>
      </c>
      <c r="BN79" s="17">
        <f>IF('Eurostat EB TJ'!BM87=":",0,'Eurostat EB TJ'!BM87)</f>
        <v>0</v>
      </c>
      <c r="BO79" s="17">
        <f>IF('Eurostat EB TJ'!BN87=":",0,'Eurostat EB TJ'!BN87)</f>
        <v>0</v>
      </c>
      <c r="BP79" s="17">
        <f>IF('Eurostat EB TJ'!BO87=":",0,'Eurostat EB TJ'!BO87)</f>
        <v>0</v>
      </c>
      <c r="BQ79" s="17">
        <f>IF('Eurostat EB TJ'!BP87=":",0,'Eurostat EB TJ'!BP87)</f>
        <v>0</v>
      </c>
      <c r="BR79" s="17">
        <f>IF('Eurostat EB TJ'!BQ87=":",0,'Eurostat EB TJ'!BQ87)</f>
        <v>0</v>
      </c>
      <c r="BS79" s="17">
        <f>IF('Eurostat EB TJ'!BR87=":",0,'Eurostat EB TJ'!BR87)</f>
        <v>0</v>
      </c>
      <c r="BT79" s="17">
        <f>IF('Eurostat EB TJ'!BS87=":",0,'Eurostat EB TJ'!BS87)</f>
        <v>0</v>
      </c>
      <c r="BU79" s="17">
        <f>IF('Eurostat EB TJ'!BT87=":",0,'Eurostat EB TJ'!BT87)</f>
        <v>0</v>
      </c>
      <c r="BV79" s="17">
        <f>IF('Eurostat EB TJ'!BU87=":",0,'Eurostat EB TJ'!BU87)</f>
        <v>0</v>
      </c>
    </row>
    <row r="80" spans="1:74" x14ac:dyDescent="0.2">
      <c r="A80" s="56" t="s">
        <v>261</v>
      </c>
      <c r="B80" s="57"/>
      <c r="C80" s="57">
        <f>IF('Eurostat EB TJ'!B88=":",0,'Eurostat EB TJ'!B88)</f>
        <v>0</v>
      </c>
      <c r="D80" s="57">
        <f>IF('Eurostat EB TJ'!C88=":",0,'Eurostat EB TJ'!C88)</f>
        <v>0</v>
      </c>
      <c r="E80" s="57">
        <f>IF('Eurostat EB TJ'!D88=":",0,'Eurostat EB TJ'!D88)</f>
        <v>0</v>
      </c>
      <c r="F80" s="57">
        <f>IF('Eurostat EB TJ'!E88=":",0,'Eurostat EB TJ'!E88)</f>
        <v>0</v>
      </c>
      <c r="G80" s="57">
        <f>IF('Eurostat EB TJ'!F88=":",0,'Eurostat EB TJ'!F88)</f>
        <v>0</v>
      </c>
      <c r="H80" s="57">
        <f>IF('Eurostat EB TJ'!G88=":",0,'Eurostat EB TJ'!G88)</f>
        <v>0</v>
      </c>
      <c r="I80" s="57">
        <f>IF('Eurostat EB TJ'!H88=":",0,'Eurostat EB TJ'!H88)</f>
        <v>0</v>
      </c>
      <c r="J80" s="57">
        <f>IF('Eurostat EB TJ'!I88=":",0,'Eurostat EB TJ'!I88)</f>
        <v>0</v>
      </c>
      <c r="K80" s="57">
        <f>IF('Eurostat EB TJ'!J88=":",0,'Eurostat EB TJ'!J88)</f>
        <v>0</v>
      </c>
      <c r="L80" s="57">
        <f>IF('Eurostat EB TJ'!K88=":",0,'Eurostat EB TJ'!K88)</f>
        <v>0</v>
      </c>
      <c r="M80" s="57">
        <f>IF('Eurostat EB TJ'!L88=":",0,'Eurostat EB TJ'!L88)</f>
        <v>0</v>
      </c>
      <c r="N80" s="57">
        <f>IF('Eurostat EB TJ'!M88=":",0,'Eurostat EB TJ'!M88)</f>
        <v>0</v>
      </c>
      <c r="O80" s="57">
        <f>IF('Eurostat EB TJ'!N88=":",0,'Eurostat EB TJ'!N88)</f>
        <v>0</v>
      </c>
      <c r="P80" s="57">
        <f>IF('Eurostat EB TJ'!O88=":",0,'Eurostat EB TJ'!O88)</f>
        <v>0</v>
      </c>
      <c r="Q80" s="57">
        <f>IF('Eurostat EB TJ'!P88=":",0,'Eurostat EB TJ'!P88)</f>
        <v>0</v>
      </c>
      <c r="R80" s="57">
        <f>IF('Eurostat EB TJ'!Q88=":",0,'Eurostat EB TJ'!Q88)</f>
        <v>0</v>
      </c>
      <c r="S80" s="57">
        <f>IF('Eurostat EB TJ'!R88=":",0,'Eurostat EB TJ'!R88)</f>
        <v>0</v>
      </c>
      <c r="T80" s="57">
        <f>IF('Eurostat EB TJ'!S88=":",0,'Eurostat EB TJ'!S88)</f>
        <v>0</v>
      </c>
      <c r="U80" s="57">
        <f>IF('Eurostat EB TJ'!T88=":",0,'Eurostat EB TJ'!T88)</f>
        <v>0</v>
      </c>
      <c r="V80" s="57">
        <f>IF('Eurostat EB TJ'!U88=":",0,'Eurostat EB TJ'!U88)</f>
        <v>0</v>
      </c>
      <c r="W80" s="57">
        <f>IF('Eurostat EB TJ'!V88=":",0,'Eurostat EB TJ'!V88)</f>
        <v>0</v>
      </c>
      <c r="X80" s="57">
        <f>IF('Eurostat EB TJ'!W88=":",0,'Eurostat EB TJ'!W88)</f>
        <v>0</v>
      </c>
      <c r="Y80" s="57">
        <f>IF('Eurostat EB TJ'!X88=":",0,'Eurostat EB TJ'!X88)</f>
        <v>0</v>
      </c>
      <c r="Z80" s="57">
        <f>IF('Eurostat EB TJ'!Y88=":",0,'Eurostat EB TJ'!Y88)</f>
        <v>0</v>
      </c>
      <c r="AA80" s="57">
        <f>IF('Eurostat EB TJ'!Z88=":",0,'Eurostat EB TJ'!Z88)</f>
        <v>0</v>
      </c>
      <c r="AB80" s="57">
        <f>IF('Eurostat EB TJ'!AA88=":",0,'Eurostat EB TJ'!AA88)</f>
        <v>0</v>
      </c>
      <c r="AC80" s="57">
        <f>IF('Eurostat EB TJ'!AB88=":",0,'Eurostat EB TJ'!AB88)</f>
        <v>0</v>
      </c>
      <c r="AD80" s="57">
        <f>IF('Eurostat EB TJ'!AC88=":",0,'Eurostat EB TJ'!AC88)</f>
        <v>0</v>
      </c>
      <c r="AE80" s="57">
        <f>IF('Eurostat EB TJ'!AD88=":",0,'Eurostat EB TJ'!AD88)</f>
        <v>0</v>
      </c>
      <c r="AF80" s="57">
        <f>IF('Eurostat EB TJ'!AE88=":",0,'Eurostat EB TJ'!AE88)</f>
        <v>0</v>
      </c>
      <c r="AG80" s="57">
        <f>IF('Eurostat EB TJ'!AF88=":",0,'Eurostat EB TJ'!AF88)</f>
        <v>0</v>
      </c>
      <c r="AH80" s="57">
        <f>IF('Eurostat EB TJ'!AG88=":",0,'Eurostat EB TJ'!AG88)</f>
        <v>0</v>
      </c>
      <c r="AI80" s="57">
        <f>IF('Eurostat EB TJ'!AH88=":",0,'Eurostat EB TJ'!AH88)</f>
        <v>0</v>
      </c>
      <c r="AJ80" s="57">
        <f>IF('Eurostat EB TJ'!AI88=":",0,'Eurostat EB TJ'!AI88)</f>
        <v>0</v>
      </c>
      <c r="AK80" s="57">
        <f>IF('Eurostat EB TJ'!AJ88=":",0,'Eurostat EB TJ'!AJ88)</f>
        <v>0</v>
      </c>
      <c r="AL80" s="57">
        <f>IF('Eurostat EB TJ'!AK88=":",0,'Eurostat EB TJ'!AK88)</f>
        <v>0</v>
      </c>
      <c r="AM80" s="57">
        <f>IF('Eurostat EB TJ'!AL88=":",0,'Eurostat EB TJ'!AL88)</f>
        <v>0</v>
      </c>
      <c r="AN80" s="57">
        <f>IF('Eurostat EB TJ'!AM88=":",0,'Eurostat EB TJ'!AM88)</f>
        <v>0</v>
      </c>
      <c r="AO80" s="57">
        <f>IF('Eurostat EB TJ'!AN88=":",0,'Eurostat EB TJ'!AN88)</f>
        <v>0</v>
      </c>
      <c r="AP80" s="57">
        <f>IF('Eurostat EB TJ'!AO88=":",0,'Eurostat EB TJ'!AO88)</f>
        <v>0</v>
      </c>
      <c r="AQ80" s="57">
        <f>IF('Eurostat EB TJ'!AP88=":",0,'Eurostat EB TJ'!AP88)</f>
        <v>0</v>
      </c>
      <c r="AR80" s="57">
        <f>IF('Eurostat EB TJ'!AQ88=":",0,'Eurostat EB TJ'!AQ88)</f>
        <v>0</v>
      </c>
      <c r="AS80" s="57">
        <f>IF('Eurostat EB TJ'!AR88=":",0,'Eurostat EB TJ'!AR88)</f>
        <v>0</v>
      </c>
      <c r="AT80" s="57">
        <f>IF('Eurostat EB TJ'!AS88=":",0,'Eurostat EB TJ'!AS88)</f>
        <v>0</v>
      </c>
      <c r="AU80" s="57">
        <f>IF('Eurostat EB TJ'!AT88=":",0,'Eurostat EB TJ'!AT88)</f>
        <v>0</v>
      </c>
      <c r="AV80" s="57">
        <f>IF('Eurostat EB TJ'!AU88=":",0,'Eurostat EB TJ'!AU88)</f>
        <v>0</v>
      </c>
      <c r="AW80" s="57">
        <f>IF('Eurostat EB TJ'!AV88=":",0,'Eurostat EB TJ'!AV88)</f>
        <v>0</v>
      </c>
      <c r="AX80" s="57">
        <f>IF('Eurostat EB TJ'!AW88=":",0,'Eurostat EB TJ'!AW88)</f>
        <v>0</v>
      </c>
      <c r="AY80" s="57">
        <f>IF('Eurostat EB TJ'!AX88=":",0,'Eurostat EB TJ'!AX88)</f>
        <v>0</v>
      </c>
      <c r="AZ80" s="57">
        <f>IF('Eurostat EB TJ'!AY88=":",0,'Eurostat EB TJ'!AY88)</f>
        <v>0</v>
      </c>
      <c r="BA80" s="57">
        <f>IF('Eurostat EB TJ'!AZ88=":",0,'Eurostat EB TJ'!AZ88)</f>
        <v>0</v>
      </c>
      <c r="BB80" s="57">
        <f>IF('Eurostat EB TJ'!BA88=":",0,'Eurostat EB TJ'!BA88)</f>
        <v>0</v>
      </c>
      <c r="BC80" s="57">
        <f>IF('Eurostat EB TJ'!BB88=":",0,'Eurostat EB TJ'!BB88)</f>
        <v>0</v>
      </c>
      <c r="BD80" s="57">
        <f>IF('Eurostat EB TJ'!BC88=":",0,'Eurostat EB TJ'!BC88)</f>
        <v>0</v>
      </c>
      <c r="BE80" s="57">
        <f>IF('Eurostat EB TJ'!BD88=":",0,'Eurostat EB TJ'!BD88)</f>
        <v>0</v>
      </c>
      <c r="BF80" s="57">
        <f>IF('Eurostat EB TJ'!BE88=":",0,'Eurostat EB TJ'!BE88)</f>
        <v>0</v>
      </c>
      <c r="BG80" s="57">
        <f>IF('Eurostat EB TJ'!BF88=":",0,'Eurostat EB TJ'!BF88)</f>
        <v>0</v>
      </c>
      <c r="BH80" s="57">
        <f>IF('Eurostat EB TJ'!BG88=":",0,'Eurostat EB TJ'!BG88)</f>
        <v>0</v>
      </c>
      <c r="BI80" s="57">
        <f>IF('Eurostat EB TJ'!BH88=":",0,'Eurostat EB TJ'!BH88)</f>
        <v>0</v>
      </c>
      <c r="BJ80" s="57">
        <f>IF('Eurostat EB TJ'!BI88=":",0,'Eurostat EB TJ'!BI88)</f>
        <v>0</v>
      </c>
      <c r="BK80" s="57">
        <f>IF('Eurostat EB TJ'!BJ88=":",0,'Eurostat EB TJ'!BJ88)</f>
        <v>0</v>
      </c>
      <c r="BL80" s="57">
        <f>IF('Eurostat EB TJ'!BK88=":",0,'Eurostat EB TJ'!BK88)</f>
        <v>0</v>
      </c>
      <c r="BM80" s="57">
        <f>IF('Eurostat EB TJ'!BL88=":",0,'Eurostat EB TJ'!BL88)</f>
        <v>0</v>
      </c>
      <c r="BN80" s="57">
        <f>IF('Eurostat EB TJ'!BM88=":",0,'Eurostat EB TJ'!BM88)</f>
        <v>0</v>
      </c>
      <c r="BO80" s="57">
        <f>IF('Eurostat EB TJ'!BN88=":",0,'Eurostat EB TJ'!BN88)</f>
        <v>0</v>
      </c>
      <c r="BP80" s="57">
        <f>IF('Eurostat EB TJ'!BO88=":",0,'Eurostat EB TJ'!BO88)</f>
        <v>0</v>
      </c>
      <c r="BQ80" s="57">
        <f>IF('Eurostat EB TJ'!BP88=":",0,'Eurostat EB TJ'!BP88)</f>
        <v>0</v>
      </c>
      <c r="BR80" s="57">
        <f>IF('Eurostat EB TJ'!BQ88=":",0,'Eurostat EB TJ'!BQ88)</f>
        <v>0</v>
      </c>
      <c r="BS80" s="57">
        <f>IF('Eurostat EB TJ'!BR88=":",0,'Eurostat EB TJ'!BR88)</f>
        <v>0</v>
      </c>
      <c r="BT80" s="57">
        <f>IF('Eurostat EB TJ'!BS88=":",0,'Eurostat EB TJ'!BS88)</f>
        <v>0</v>
      </c>
      <c r="BU80" s="57">
        <f>IF('Eurostat EB TJ'!BT88=":",0,'Eurostat EB TJ'!BT88)</f>
        <v>0</v>
      </c>
      <c r="BV80" s="57">
        <f>IF('Eurostat EB TJ'!BU88=":",0,'Eurostat EB TJ'!BU88)</f>
        <v>0</v>
      </c>
    </row>
    <row r="81" spans="1:74" x14ac:dyDescent="0.2">
      <c r="A81" s="56" t="s">
        <v>262</v>
      </c>
      <c r="B81" s="17"/>
      <c r="C81" s="17">
        <f>IF('Eurostat EB TJ'!B89=":",0,'Eurostat EB TJ'!B89)</f>
        <v>191527.25599999999</v>
      </c>
      <c r="D81" s="17">
        <f>IF('Eurostat EB TJ'!C89=":",0,'Eurostat EB TJ'!C89)</f>
        <v>0</v>
      </c>
      <c r="E81" s="17">
        <f>IF('Eurostat EB TJ'!D89=":",0,'Eurostat EB TJ'!D89)</f>
        <v>0</v>
      </c>
      <c r="F81" s="17">
        <f>IF('Eurostat EB TJ'!E89=":",0,'Eurostat EB TJ'!E89)</f>
        <v>0</v>
      </c>
      <c r="G81" s="17">
        <f>IF('Eurostat EB TJ'!F89=":",0,'Eurostat EB TJ'!F89)</f>
        <v>0</v>
      </c>
      <c r="H81" s="17">
        <f>IF('Eurostat EB TJ'!G89=":",0,'Eurostat EB TJ'!G89)</f>
        <v>0</v>
      </c>
      <c r="I81" s="17">
        <f>IF('Eurostat EB TJ'!H89=":",0,'Eurostat EB TJ'!H89)</f>
        <v>0</v>
      </c>
      <c r="J81" s="17">
        <f>IF('Eurostat EB TJ'!I89=":",0,'Eurostat EB TJ'!I89)</f>
        <v>0</v>
      </c>
      <c r="K81" s="17">
        <f>IF('Eurostat EB TJ'!J89=":",0,'Eurostat EB TJ'!J89)</f>
        <v>0</v>
      </c>
      <c r="L81" s="17">
        <f>IF('Eurostat EB TJ'!K89=":",0,'Eurostat EB TJ'!K89)</f>
        <v>0</v>
      </c>
      <c r="M81" s="17">
        <f>IF('Eurostat EB TJ'!L89=":",0,'Eurostat EB TJ'!L89)</f>
        <v>0</v>
      </c>
      <c r="N81" s="17">
        <f>IF('Eurostat EB TJ'!M89=":",0,'Eurostat EB TJ'!M89)</f>
        <v>0</v>
      </c>
      <c r="O81" s="17">
        <f>IF('Eurostat EB TJ'!N89=":",0,'Eurostat EB TJ'!N89)</f>
        <v>12791.338</v>
      </c>
      <c r="P81" s="17">
        <f>IF('Eurostat EB TJ'!O89=":",0,'Eurostat EB TJ'!O89)</f>
        <v>7194.2259999999997</v>
      </c>
      <c r="Q81" s="17">
        <f>IF('Eurostat EB TJ'!P89=":",0,'Eurostat EB TJ'!P89)</f>
        <v>0</v>
      </c>
      <c r="R81" s="17">
        <f>IF('Eurostat EB TJ'!Q89=":",0,'Eurostat EB TJ'!Q89)</f>
        <v>5597.1120000000001</v>
      </c>
      <c r="S81" s="17">
        <f>IF('Eurostat EB TJ'!R89=":",0,'Eurostat EB TJ'!R89)</f>
        <v>0</v>
      </c>
      <c r="T81" s="17">
        <f>IF('Eurostat EB TJ'!S89=":",0,'Eurostat EB TJ'!S89)</f>
        <v>0</v>
      </c>
      <c r="U81" s="17">
        <f>IF('Eurostat EB TJ'!T89=":",0,'Eurostat EB TJ'!T89)</f>
        <v>0</v>
      </c>
      <c r="V81" s="17">
        <f>IF('Eurostat EB TJ'!U89=":",0,'Eurostat EB TJ'!U89)</f>
        <v>0</v>
      </c>
      <c r="W81" s="17">
        <f>IF('Eurostat EB TJ'!V89=":",0,'Eurostat EB TJ'!V89)</f>
        <v>0</v>
      </c>
      <c r="X81" s="17">
        <f>IF('Eurostat EB TJ'!W89=":",0,'Eurostat EB TJ'!W89)</f>
        <v>32451.208999999999</v>
      </c>
      <c r="Y81" s="17">
        <f>IF('Eurostat EB TJ'!X89=":",0,'Eurostat EB TJ'!X89)</f>
        <v>104032.261</v>
      </c>
      <c r="Z81" s="17">
        <f>IF('Eurostat EB TJ'!Y89=":",0,'Eurostat EB TJ'!Y89)</f>
        <v>0</v>
      </c>
      <c r="AA81" s="17">
        <f>IF('Eurostat EB TJ'!Z89=":",0,'Eurostat EB TJ'!Z89)</f>
        <v>0</v>
      </c>
      <c r="AB81" s="17">
        <f>IF('Eurostat EB TJ'!AA89=":",0,'Eurostat EB TJ'!AA89)</f>
        <v>0</v>
      </c>
      <c r="AC81" s="17">
        <f>IF('Eurostat EB TJ'!AB89=":",0,'Eurostat EB TJ'!AB89)</f>
        <v>0</v>
      </c>
      <c r="AD81" s="17">
        <f>IF('Eurostat EB TJ'!AC89=":",0,'Eurostat EB TJ'!AC89)</f>
        <v>0</v>
      </c>
      <c r="AE81" s="17">
        <f>IF('Eurostat EB TJ'!AD89=":",0,'Eurostat EB TJ'!AD89)</f>
        <v>89172.464000000007</v>
      </c>
      <c r="AF81" s="17">
        <f>IF('Eurostat EB TJ'!AE89=":",0,'Eurostat EB TJ'!AE89)</f>
        <v>0</v>
      </c>
      <c r="AG81" s="17">
        <f>IF('Eurostat EB TJ'!AF89=":",0,'Eurostat EB TJ'!AF89)</f>
        <v>4181.308</v>
      </c>
      <c r="AH81" s="17">
        <f>IF('Eurostat EB TJ'!AG89=":",0,'Eurostat EB TJ'!AG89)</f>
        <v>0</v>
      </c>
      <c r="AI81" s="17">
        <f>IF('Eurostat EB TJ'!AH89=":",0,'Eurostat EB TJ'!AH89)</f>
        <v>0</v>
      </c>
      <c r="AJ81" s="17">
        <f>IF('Eurostat EB TJ'!AI89=":",0,'Eurostat EB TJ'!AI89)</f>
        <v>0</v>
      </c>
      <c r="AK81" s="17">
        <f>IF('Eurostat EB TJ'!AJ89=":",0,'Eurostat EB TJ'!AJ89)</f>
        <v>0</v>
      </c>
      <c r="AL81" s="17">
        <f>IF('Eurostat EB TJ'!AK89=":",0,'Eurostat EB TJ'!AK89)</f>
        <v>0</v>
      </c>
      <c r="AM81" s="17">
        <f>IF('Eurostat EB TJ'!AL89=":",0,'Eurostat EB TJ'!AL89)</f>
        <v>0</v>
      </c>
      <c r="AN81" s="17">
        <f>IF('Eurostat EB TJ'!AM89=":",0,'Eurostat EB TJ'!AM89)</f>
        <v>8.1969999999999992</v>
      </c>
      <c r="AO81" s="17">
        <f>IF('Eurostat EB TJ'!AN89=":",0,'Eurostat EB TJ'!AN89)</f>
        <v>0</v>
      </c>
      <c r="AP81" s="17">
        <f>IF('Eurostat EB TJ'!AO89=":",0,'Eurostat EB TJ'!AO89)</f>
        <v>0</v>
      </c>
      <c r="AQ81" s="17">
        <f>IF('Eurostat EB TJ'!AP89=":",0,'Eurostat EB TJ'!AP89)</f>
        <v>0</v>
      </c>
      <c r="AR81" s="17">
        <f>IF('Eurostat EB TJ'!AQ89=":",0,'Eurostat EB TJ'!AQ89)</f>
        <v>0</v>
      </c>
      <c r="AS81" s="17">
        <f>IF('Eurostat EB TJ'!AR89=":",0,'Eurostat EB TJ'!AR89)</f>
        <v>10670.291999999999</v>
      </c>
      <c r="AT81" s="17">
        <f>IF('Eurostat EB TJ'!AS89=":",0,'Eurostat EB TJ'!AS89)</f>
        <v>0</v>
      </c>
      <c r="AU81" s="17">
        <f>IF('Eurostat EB TJ'!AT89=":",0,'Eurostat EB TJ'!AT89)</f>
        <v>0</v>
      </c>
      <c r="AV81" s="17">
        <f>IF('Eurostat EB TJ'!AU89=":",0,'Eurostat EB TJ'!AU89)</f>
        <v>0</v>
      </c>
      <c r="AW81" s="17">
        <f>IF('Eurostat EB TJ'!AV89=":",0,'Eurostat EB TJ'!AV89)</f>
        <v>0</v>
      </c>
      <c r="AX81" s="17">
        <f>IF('Eurostat EB TJ'!AW89=":",0,'Eurostat EB TJ'!AW89)</f>
        <v>0</v>
      </c>
      <c r="AY81" s="17">
        <f>IF('Eurostat EB TJ'!AX89=":",0,'Eurostat EB TJ'!AX89)</f>
        <v>0</v>
      </c>
      <c r="AZ81" s="17">
        <f>IF('Eurostat EB TJ'!AY89=":",0,'Eurostat EB TJ'!AY89)</f>
        <v>0</v>
      </c>
      <c r="BA81" s="17">
        <f>IF('Eurostat EB TJ'!AZ89=":",0,'Eurostat EB TJ'!AZ89)</f>
        <v>0</v>
      </c>
      <c r="BB81" s="17">
        <f>IF('Eurostat EB TJ'!BA89=":",0,'Eurostat EB TJ'!BA89)</f>
        <v>0</v>
      </c>
      <c r="BC81" s="17">
        <f>IF('Eurostat EB TJ'!BB89=":",0,'Eurostat EB TJ'!BB89)</f>
        <v>0</v>
      </c>
      <c r="BD81" s="17">
        <f>IF('Eurostat EB TJ'!BC89=":",0,'Eurostat EB TJ'!BC89)</f>
        <v>0</v>
      </c>
      <c r="BE81" s="17">
        <f>IF('Eurostat EB TJ'!BD89=":",0,'Eurostat EB TJ'!BD89)</f>
        <v>0</v>
      </c>
      <c r="BF81" s="17">
        <f>IF('Eurostat EB TJ'!BE89=":",0,'Eurostat EB TJ'!BE89)</f>
        <v>0</v>
      </c>
      <c r="BG81" s="17">
        <f>IF('Eurostat EB TJ'!BF89=":",0,'Eurostat EB TJ'!BF89)</f>
        <v>0</v>
      </c>
      <c r="BH81" s="17">
        <f>IF('Eurostat EB TJ'!BG89=":",0,'Eurostat EB TJ'!BG89)</f>
        <v>0</v>
      </c>
      <c r="BI81" s="17">
        <f>IF('Eurostat EB TJ'!BH89=":",0,'Eurostat EB TJ'!BH89)</f>
        <v>0</v>
      </c>
      <c r="BJ81" s="17">
        <f>IF('Eurostat EB TJ'!BI89=":",0,'Eurostat EB TJ'!BI89)</f>
        <v>0</v>
      </c>
      <c r="BK81" s="17">
        <f>IF('Eurostat EB TJ'!BJ89=":",0,'Eurostat EB TJ'!BJ89)</f>
        <v>0</v>
      </c>
      <c r="BL81" s="17">
        <f>IF('Eurostat EB TJ'!BK89=":",0,'Eurostat EB TJ'!BK89)</f>
        <v>0</v>
      </c>
      <c r="BM81" s="17">
        <f>IF('Eurostat EB TJ'!BL89=":",0,'Eurostat EB TJ'!BL89)</f>
        <v>0</v>
      </c>
      <c r="BN81" s="17">
        <f>IF('Eurostat EB TJ'!BM89=":",0,'Eurostat EB TJ'!BM89)</f>
        <v>0</v>
      </c>
      <c r="BO81" s="17">
        <f>IF('Eurostat EB TJ'!BN89=":",0,'Eurostat EB TJ'!BN89)</f>
        <v>0</v>
      </c>
      <c r="BP81" s="17">
        <f>IF('Eurostat EB TJ'!BO89=":",0,'Eurostat EB TJ'!BO89)</f>
        <v>0</v>
      </c>
      <c r="BQ81" s="17">
        <f>IF('Eurostat EB TJ'!BP89=":",0,'Eurostat EB TJ'!BP89)</f>
        <v>0</v>
      </c>
      <c r="BR81" s="17">
        <f>IF('Eurostat EB TJ'!BQ89=":",0,'Eurostat EB TJ'!BQ89)</f>
        <v>0</v>
      </c>
      <c r="BS81" s="17">
        <f>IF('Eurostat EB TJ'!BR89=":",0,'Eurostat EB TJ'!BR89)</f>
        <v>30941.248</v>
      </c>
      <c r="BT81" s="17">
        <f>IF('Eurostat EB TJ'!BS89=":",0,'Eurostat EB TJ'!BS89)</f>
        <v>11311.2</v>
      </c>
      <c r="BU81" s="17">
        <f>IF('Eurostat EB TJ'!BT89=":",0,'Eurostat EB TJ'!BT89)</f>
        <v>4875.3059999999996</v>
      </c>
      <c r="BV81" s="17">
        <f>IF('Eurostat EB TJ'!BU89=":",0,'Eurostat EB TJ'!BU89)</f>
        <v>171976.64600000001</v>
      </c>
    </row>
    <row r="82" spans="1:74" x14ac:dyDescent="0.2">
      <c r="A82" s="56" t="s">
        <v>263</v>
      </c>
      <c r="B82" s="57"/>
      <c r="C82" s="57">
        <f>IF('Eurostat EB TJ'!B90=":",0,'Eurostat EB TJ'!B90)</f>
        <v>13691.806</v>
      </c>
      <c r="D82" s="57">
        <f>IF('Eurostat EB TJ'!C90=":",0,'Eurostat EB TJ'!C90)</f>
        <v>0</v>
      </c>
      <c r="E82" s="57">
        <f>IF('Eurostat EB TJ'!D90=":",0,'Eurostat EB TJ'!D90)</f>
        <v>0</v>
      </c>
      <c r="F82" s="57">
        <f>IF('Eurostat EB TJ'!E90=":",0,'Eurostat EB TJ'!E90)</f>
        <v>0</v>
      </c>
      <c r="G82" s="57">
        <f>IF('Eurostat EB TJ'!F90=":",0,'Eurostat EB TJ'!F90)</f>
        <v>0</v>
      </c>
      <c r="H82" s="57">
        <f>IF('Eurostat EB TJ'!G90=":",0,'Eurostat EB TJ'!G90)</f>
        <v>0</v>
      </c>
      <c r="I82" s="57">
        <f>IF('Eurostat EB TJ'!H90=":",0,'Eurostat EB TJ'!H90)</f>
        <v>0</v>
      </c>
      <c r="J82" s="57">
        <f>IF('Eurostat EB TJ'!I90=":",0,'Eurostat EB TJ'!I90)</f>
        <v>0</v>
      </c>
      <c r="K82" s="57">
        <f>IF('Eurostat EB TJ'!J90=":",0,'Eurostat EB TJ'!J90)</f>
        <v>0</v>
      </c>
      <c r="L82" s="57">
        <f>IF('Eurostat EB TJ'!K90=":",0,'Eurostat EB TJ'!K90)</f>
        <v>0</v>
      </c>
      <c r="M82" s="57">
        <f>IF('Eurostat EB TJ'!L90=":",0,'Eurostat EB TJ'!L90)</f>
        <v>0</v>
      </c>
      <c r="N82" s="57">
        <f>IF('Eurostat EB TJ'!M90=":",0,'Eurostat EB TJ'!M90)</f>
        <v>0</v>
      </c>
      <c r="O82" s="57">
        <f>IF('Eurostat EB TJ'!N90=":",0,'Eurostat EB TJ'!N90)</f>
        <v>0</v>
      </c>
      <c r="P82" s="57">
        <f>IF('Eurostat EB TJ'!O90=":",0,'Eurostat EB TJ'!O90)</f>
        <v>0</v>
      </c>
      <c r="Q82" s="57">
        <f>IF('Eurostat EB TJ'!P90=":",0,'Eurostat EB TJ'!P90)</f>
        <v>0</v>
      </c>
      <c r="R82" s="57">
        <f>IF('Eurostat EB TJ'!Q90=":",0,'Eurostat EB TJ'!Q90)</f>
        <v>0</v>
      </c>
      <c r="S82" s="57">
        <f>IF('Eurostat EB TJ'!R90=":",0,'Eurostat EB TJ'!R90)</f>
        <v>0</v>
      </c>
      <c r="T82" s="57">
        <f>IF('Eurostat EB TJ'!S90=":",0,'Eurostat EB TJ'!S90)</f>
        <v>0</v>
      </c>
      <c r="U82" s="57">
        <f>IF('Eurostat EB TJ'!T90=":",0,'Eurostat EB TJ'!T90)</f>
        <v>0</v>
      </c>
      <c r="V82" s="57">
        <f>IF('Eurostat EB TJ'!U90=":",0,'Eurostat EB TJ'!U90)</f>
        <v>0</v>
      </c>
      <c r="W82" s="57">
        <f>IF('Eurostat EB TJ'!V90=":",0,'Eurostat EB TJ'!V90)</f>
        <v>0</v>
      </c>
      <c r="X82" s="57">
        <f>IF('Eurostat EB TJ'!W90=":",0,'Eurostat EB TJ'!W90)</f>
        <v>20.163</v>
      </c>
      <c r="Y82" s="57">
        <f>IF('Eurostat EB TJ'!X90=":",0,'Eurostat EB TJ'!X90)</f>
        <v>3.6240000000000001</v>
      </c>
      <c r="Z82" s="57">
        <f>IF('Eurostat EB TJ'!Y90=":",0,'Eurostat EB TJ'!Y90)</f>
        <v>0</v>
      </c>
      <c r="AA82" s="57">
        <f>IF('Eurostat EB TJ'!Z90=":",0,'Eurostat EB TJ'!Z90)</f>
        <v>0</v>
      </c>
      <c r="AB82" s="57">
        <f>IF('Eurostat EB TJ'!AA90=":",0,'Eurostat EB TJ'!AA90)</f>
        <v>0</v>
      </c>
      <c r="AC82" s="57">
        <f>IF('Eurostat EB TJ'!AB90=":",0,'Eurostat EB TJ'!AB90)</f>
        <v>0</v>
      </c>
      <c r="AD82" s="57">
        <f>IF('Eurostat EB TJ'!AC90=":",0,'Eurostat EB TJ'!AC90)</f>
        <v>0</v>
      </c>
      <c r="AE82" s="57">
        <f>IF('Eurostat EB TJ'!AD90=":",0,'Eurostat EB TJ'!AD90)</f>
        <v>0</v>
      </c>
      <c r="AF82" s="57">
        <f>IF('Eurostat EB TJ'!AE90=":",0,'Eurostat EB TJ'!AE90)</f>
        <v>0</v>
      </c>
      <c r="AG82" s="57">
        <f>IF('Eurostat EB TJ'!AF90=":",0,'Eurostat EB TJ'!AF90)</f>
        <v>0</v>
      </c>
      <c r="AH82" s="57">
        <f>IF('Eurostat EB TJ'!AG90=":",0,'Eurostat EB TJ'!AG90)</f>
        <v>0</v>
      </c>
      <c r="AI82" s="57">
        <f>IF('Eurostat EB TJ'!AH90=":",0,'Eurostat EB TJ'!AH90)</f>
        <v>0</v>
      </c>
      <c r="AJ82" s="57">
        <f>IF('Eurostat EB TJ'!AI90=":",0,'Eurostat EB TJ'!AI90)</f>
        <v>0</v>
      </c>
      <c r="AK82" s="57">
        <f>IF('Eurostat EB TJ'!AJ90=":",0,'Eurostat EB TJ'!AJ90)</f>
        <v>0</v>
      </c>
      <c r="AL82" s="57">
        <f>IF('Eurostat EB TJ'!AK90=":",0,'Eurostat EB TJ'!AK90)</f>
        <v>0</v>
      </c>
      <c r="AM82" s="57">
        <f>IF('Eurostat EB TJ'!AL90=":",0,'Eurostat EB TJ'!AL90)</f>
        <v>0</v>
      </c>
      <c r="AN82" s="57">
        <f>IF('Eurostat EB TJ'!AM90=":",0,'Eurostat EB TJ'!AM90)</f>
        <v>3.6240000000000001</v>
      </c>
      <c r="AO82" s="57">
        <f>IF('Eurostat EB TJ'!AN90=":",0,'Eurostat EB TJ'!AN90)</f>
        <v>0</v>
      </c>
      <c r="AP82" s="57">
        <f>IF('Eurostat EB TJ'!AO90=":",0,'Eurostat EB TJ'!AO90)</f>
        <v>0</v>
      </c>
      <c r="AQ82" s="57">
        <f>IF('Eurostat EB TJ'!AP90=":",0,'Eurostat EB TJ'!AP90)</f>
        <v>0</v>
      </c>
      <c r="AR82" s="57">
        <f>IF('Eurostat EB TJ'!AQ90=":",0,'Eurostat EB TJ'!AQ90)</f>
        <v>0</v>
      </c>
      <c r="AS82" s="57">
        <f>IF('Eurostat EB TJ'!AR90=":",0,'Eurostat EB TJ'!AR90)</f>
        <v>0</v>
      </c>
      <c r="AT82" s="57">
        <f>IF('Eurostat EB TJ'!AS90=":",0,'Eurostat EB TJ'!AS90)</f>
        <v>0</v>
      </c>
      <c r="AU82" s="57">
        <f>IF('Eurostat EB TJ'!AT90=":",0,'Eurostat EB TJ'!AT90)</f>
        <v>0</v>
      </c>
      <c r="AV82" s="57">
        <f>IF('Eurostat EB TJ'!AU90=":",0,'Eurostat EB TJ'!AU90)</f>
        <v>0</v>
      </c>
      <c r="AW82" s="57">
        <f>IF('Eurostat EB TJ'!AV90=":",0,'Eurostat EB TJ'!AV90)</f>
        <v>0</v>
      </c>
      <c r="AX82" s="57">
        <f>IF('Eurostat EB TJ'!AW90=":",0,'Eurostat EB TJ'!AW90)</f>
        <v>0</v>
      </c>
      <c r="AY82" s="57">
        <f>IF('Eurostat EB TJ'!AX90=":",0,'Eurostat EB TJ'!AX90)</f>
        <v>0</v>
      </c>
      <c r="AZ82" s="57">
        <f>IF('Eurostat EB TJ'!AY90=":",0,'Eurostat EB TJ'!AY90)</f>
        <v>0</v>
      </c>
      <c r="BA82" s="57">
        <f>IF('Eurostat EB TJ'!AZ90=":",0,'Eurostat EB TJ'!AZ90)</f>
        <v>0</v>
      </c>
      <c r="BB82" s="57">
        <f>IF('Eurostat EB TJ'!BA90=":",0,'Eurostat EB TJ'!BA90)</f>
        <v>0</v>
      </c>
      <c r="BC82" s="57">
        <f>IF('Eurostat EB TJ'!BB90=":",0,'Eurostat EB TJ'!BB90)</f>
        <v>0</v>
      </c>
      <c r="BD82" s="57">
        <f>IF('Eurostat EB TJ'!BC90=":",0,'Eurostat EB TJ'!BC90)</f>
        <v>0</v>
      </c>
      <c r="BE82" s="57">
        <f>IF('Eurostat EB TJ'!BD90=":",0,'Eurostat EB TJ'!BD90)</f>
        <v>0</v>
      </c>
      <c r="BF82" s="57">
        <f>IF('Eurostat EB TJ'!BE90=":",0,'Eurostat EB TJ'!BE90)</f>
        <v>0</v>
      </c>
      <c r="BG82" s="57">
        <f>IF('Eurostat EB TJ'!BF90=":",0,'Eurostat EB TJ'!BF90)</f>
        <v>0</v>
      </c>
      <c r="BH82" s="57">
        <f>IF('Eurostat EB TJ'!BG90=":",0,'Eurostat EB TJ'!BG90)</f>
        <v>0</v>
      </c>
      <c r="BI82" s="57">
        <f>IF('Eurostat EB TJ'!BH90=":",0,'Eurostat EB TJ'!BH90)</f>
        <v>0</v>
      </c>
      <c r="BJ82" s="57">
        <f>IF('Eurostat EB TJ'!BI90=":",0,'Eurostat EB TJ'!BI90)</f>
        <v>0</v>
      </c>
      <c r="BK82" s="57">
        <f>IF('Eurostat EB TJ'!BJ90=":",0,'Eurostat EB TJ'!BJ90)</f>
        <v>0</v>
      </c>
      <c r="BL82" s="57">
        <f>IF('Eurostat EB TJ'!BK90=":",0,'Eurostat EB TJ'!BK90)</f>
        <v>0</v>
      </c>
      <c r="BM82" s="57">
        <f>IF('Eurostat EB TJ'!BL90=":",0,'Eurostat EB TJ'!BL90)</f>
        <v>0</v>
      </c>
      <c r="BN82" s="57">
        <f>IF('Eurostat EB TJ'!BM90=":",0,'Eurostat EB TJ'!BM90)</f>
        <v>0</v>
      </c>
      <c r="BO82" s="57">
        <f>IF('Eurostat EB TJ'!BN90=":",0,'Eurostat EB TJ'!BN90)</f>
        <v>0</v>
      </c>
      <c r="BP82" s="57">
        <f>IF('Eurostat EB TJ'!BO90=":",0,'Eurostat EB TJ'!BO90)</f>
        <v>0</v>
      </c>
      <c r="BQ82" s="57">
        <f>IF('Eurostat EB TJ'!BP90=":",0,'Eurostat EB TJ'!BP90)</f>
        <v>0</v>
      </c>
      <c r="BR82" s="57">
        <f>IF('Eurostat EB TJ'!BQ90=":",0,'Eurostat EB TJ'!BQ90)</f>
        <v>0</v>
      </c>
      <c r="BS82" s="57">
        <f>IF('Eurostat EB TJ'!BR90=":",0,'Eurostat EB TJ'!BR90)</f>
        <v>13668.019</v>
      </c>
      <c r="BT82" s="57">
        <f>IF('Eurostat EB TJ'!BS90=":",0,'Eurostat EB TJ'!BS90)</f>
        <v>0</v>
      </c>
      <c r="BU82" s="57">
        <f>IF('Eurostat EB TJ'!BT90=":",0,'Eurostat EB TJ'!BT90)</f>
        <v>910.14200000000005</v>
      </c>
      <c r="BV82" s="57">
        <f>IF('Eurostat EB TJ'!BU90=":",0,'Eurostat EB TJ'!BU90)</f>
        <v>6729.0839999999998</v>
      </c>
    </row>
    <row r="83" spans="1:74" x14ac:dyDescent="0.2">
      <c r="A83" s="56" t="s">
        <v>264</v>
      </c>
      <c r="B83" s="17"/>
      <c r="C83" s="17">
        <f>IF('Eurostat EB TJ'!B91=":",0,'Eurostat EB TJ'!B91)</f>
        <v>0</v>
      </c>
      <c r="D83" s="17">
        <f>IF('Eurostat EB TJ'!C91=":",0,'Eurostat EB TJ'!C91)</f>
        <v>0</v>
      </c>
      <c r="E83" s="17">
        <f>IF('Eurostat EB TJ'!D91=":",0,'Eurostat EB TJ'!D91)</f>
        <v>0</v>
      </c>
      <c r="F83" s="17">
        <f>IF('Eurostat EB TJ'!E91=":",0,'Eurostat EB TJ'!E91)</f>
        <v>0</v>
      </c>
      <c r="G83" s="17">
        <f>IF('Eurostat EB TJ'!F91=":",0,'Eurostat EB TJ'!F91)</f>
        <v>0</v>
      </c>
      <c r="H83" s="17">
        <f>IF('Eurostat EB TJ'!G91=":",0,'Eurostat EB TJ'!G91)</f>
        <v>0</v>
      </c>
      <c r="I83" s="17">
        <f>IF('Eurostat EB TJ'!H91=":",0,'Eurostat EB TJ'!H91)</f>
        <v>0</v>
      </c>
      <c r="J83" s="17">
        <f>IF('Eurostat EB TJ'!I91=":",0,'Eurostat EB TJ'!I91)</f>
        <v>0</v>
      </c>
      <c r="K83" s="17">
        <f>IF('Eurostat EB TJ'!J91=":",0,'Eurostat EB TJ'!J91)</f>
        <v>0</v>
      </c>
      <c r="L83" s="17">
        <f>IF('Eurostat EB TJ'!K91=":",0,'Eurostat EB TJ'!K91)</f>
        <v>0</v>
      </c>
      <c r="M83" s="17">
        <f>IF('Eurostat EB TJ'!L91=":",0,'Eurostat EB TJ'!L91)</f>
        <v>0</v>
      </c>
      <c r="N83" s="17">
        <f>IF('Eurostat EB TJ'!M91=":",0,'Eurostat EB TJ'!M91)</f>
        <v>0</v>
      </c>
      <c r="O83" s="17">
        <f>IF('Eurostat EB TJ'!N91=":",0,'Eurostat EB TJ'!N91)</f>
        <v>0</v>
      </c>
      <c r="P83" s="17">
        <f>IF('Eurostat EB TJ'!O91=":",0,'Eurostat EB TJ'!O91)</f>
        <v>0</v>
      </c>
      <c r="Q83" s="17">
        <f>IF('Eurostat EB TJ'!P91=":",0,'Eurostat EB TJ'!P91)</f>
        <v>0</v>
      </c>
      <c r="R83" s="17">
        <f>IF('Eurostat EB TJ'!Q91=":",0,'Eurostat EB TJ'!Q91)</f>
        <v>0</v>
      </c>
      <c r="S83" s="17">
        <f>IF('Eurostat EB TJ'!R91=":",0,'Eurostat EB TJ'!R91)</f>
        <v>0</v>
      </c>
      <c r="T83" s="17">
        <f>IF('Eurostat EB TJ'!S91=":",0,'Eurostat EB TJ'!S91)</f>
        <v>0</v>
      </c>
      <c r="U83" s="17">
        <f>IF('Eurostat EB TJ'!T91=":",0,'Eurostat EB TJ'!T91)</f>
        <v>0</v>
      </c>
      <c r="V83" s="17">
        <f>IF('Eurostat EB TJ'!U91=":",0,'Eurostat EB TJ'!U91)</f>
        <v>0</v>
      </c>
      <c r="W83" s="17">
        <f>IF('Eurostat EB TJ'!V91=":",0,'Eurostat EB TJ'!V91)</f>
        <v>0</v>
      </c>
      <c r="X83" s="17">
        <f>IF('Eurostat EB TJ'!W91=":",0,'Eurostat EB TJ'!W91)</f>
        <v>0</v>
      </c>
      <c r="Y83" s="17">
        <f>IF('Eurostat EB TJ'!X91=":",0,'Eurostat EB TJ'!X91)</f>
        <v>0</v>
      </c>
      <c r="Z83" s="17">
        <f>IF('Eurostat EB TJ'!Y91=":",0,'Eurostat EB TJ'!Y91)</f>
        <v>0</v>
      </c>
      <c r="AA83" s="17">
        <f>IF('Eurostat EB TJ'!Z91=":",0,'Eurostat EB TJ'!Z91)</f>
        <v>0</v>
      </c>
      <c r="AB83" s="17">
        <f>IF('Eurostat EB TJ'!AA91=":",0,'Eurostat EB TJ'!AA91)</f>
        <v>0</v>
      </c>
      <c r="AC83" s="17">
        <f>IF('Eurostat EB TJ'!AB91=":",0,'Eurostat EB TJ'!AB91)</f>
        <v>0</v>
      </c>
      <c r="AD83" s="17">
        <f>IF('Eurostat EB TJ'!AC91=":",0,'Eurostat EB TJ'!AC91)</f>
        <v>0</v>
      </c>
      <c r="AE83" s="17">
        <f>IF('Eurostat EB TJ'!AD91=":",0,'Eurostat EB TJ'!AD91)</f>
        <v>0</v>
      </c>
      <c r="AF83" s="17">
        <f>IF('Eurostat EB TJ'!AE91=":",0,'Eurostat EB TJ'!AE91)</f>
        <v>0</v>
      </c>
      <c r="AG83" s="17">
        <f>IF('Eurostat EB TJ'!AF91=":",0,'Eurostat EB TJ'!AF91)</f>
        <v>0</v>
      </c>
      <c r="AH83" s="17">
        <f>IF('Eurostat EB TJ'!AG91=":",0,'Eurostat EB TJ'!AG91)</f>
        <v>0</v>
      </c>
      <c r="AI83" s="17">
        <f>IF('Eurostat EB TJ'!AH91=":",0,'Eurostat EB TJ'!AH91)</f>
        <v>0</v>
      </c>
      <c r="AJ83" s="17">
        <f>IF('Eurostat EB TJ'!AI91=":",0,'Eurostat EB TJ'!AI91)</f>
        <v>0</v>
      </c>
      <c r="AK83" s="17">
        <f>IF('Eurostat EB TJ'!AJ91=":",0,'Eurostat EB TJ'!AJ91)</f>
        <v>0</v>
      </c>
      <c r="AL83" s="17">
        <f>IF('Eurostat EB TJ'!AK91=":",0,'Eurostat EB TJ'!AK91)</f>
        <v>0</v>
      </c>
      <c r="AM83" s="17">
        <f>IF('Eurostat EB TJ'!AL91=":",0,'Eurostat EB TJ'!AL91)</f>
        <v>0</v>
      </c>
      <c r="AN83" s="17">
        <f>IF('Eurostat EB TJ'!AM91=":",0,'Eurostat EB TJ'!AM91)</f>
        <v>0</v>
      </c>
      <c r="AO83" s="17">
        <f>IF('Eurostat EB TJ'!AN91=":",0,'Eurostat EB TJ'!AN91)</f>
        <v>0</v>
      </c>
      <c r="AP83" s="17">
        <f>IF('Eurostat EB TJ'!AO91=":",0,'Eurostat EB TJ'!AO91)</f>
        <v>0</v>
      </c>
      <c r="AQ83" s="17">
        <f>IF('Eurostat EB TJ'!AP91=":",0,'Eurostat EB TJ'!AP91)</f>
        <v>0</v>
      </c>
      <c r="AR83" s="17">
        <f>IF('Eurostat EB TJ'!AQ91=":",0,'Eurostat EB TJ'!AQ91)</f>
        <v>0</v>
      </c>
      <c r="AS83" s="17">
        <f>IF('Eurostat EB TJ'!AR91=":",0,'Eurostat EB TJ'!AR91)</f>
        <v>0</v>
      </c>
      <c r="AT83" s="17">
        <f>IF('Eurostat EB TJ'!AS91=":",0,'Eurostat EB TJ'!AS91)</f>
        <v>0</v>
      </c>
      <c r="AU83" s="17">
        <f>IF('Eurostat EB TJ'!AT91=":",0,'Eurostat EB TJ'!AT91)</f>
        <v>0</v>
      </c>
      <c r="AV83" s="17">
        <f>IF('Eurostat EB TJ'!AU91=":",0,'Eurostat EB TJ'!AU91)</f>
        <v>0</v>
      </c>
      <c r="AW83" s="17">
        <f>IF('Eurostat EB TJ'!AV91=":",0,'Eurostat EB TJ'!AV91)</f>
        <v>0</v>
      </c>
      <c r="AX83" s="17">
        <f>IF('Eurostat EB TJ'!AW91=":",0,'Eurostat EB TJ'!AW91)</f>
        <v>0</v>
      </c>
      <c r="AY83" s="17">
        <f>IF('Eurostat EB TJ'!AX91=":",0,'Eurostat EB TJ'!AX91)</f>
        <v>0</v>
      </c>
      <c r="AZ83" s="17">
        <f>IF('Eurostat EB TJ'!AY91=":",0,'Eurostat EB TJ'!AY91)</f>
        <v>0</v>
      </c>
      <c r="BA83" s="17">
        <f>IF('Eurostat EB TJ'!AZ91=":",0,'Eurostat EB TJ'!AZ91)</f>
        <v>0</v>
      </c>
      <c r="BB83" s="17">
        <f>IF('Eurostat EB TJ'!BA91=":",0,'Eurostat EB TJ'!BA91)</f>
        <v>0</v>
      </c>
      <c r="BC83" s="17">
        <f>IF('Eurostat EB TJ'!BB91=":",0,'Eurostat EB TJ'!BB91)</f>
        <v>0</v>
      </c>
      <c r="BD83" s="17">
        <f>IF('Eurostat EB TJ'!BC91=":",0,'Eurostat EB TJ'!BC91)</f>
        <v>0</v>
      </c>
      <c r="BE83" s="17">
        <f>IF('Eurostat EB TJ'!BD91=":",0,'Eurostat EB TJ'!BD91)</f>
        <v>0</v>
      </c>
      <c r="BF83" s="17">
        <f>IF('Eurostat EB TJ'!BE91=":",0,'Eurostat EB TJ'!BE91)</f>
        <v>0</v>
      </c>
      <c r="BG83" s="17">
        <f>IF('Eurostat EB TJ'!BF91=":",0,'Eurostat EB TJ'!BF91)</f>
        <v>0</v>
      </c>
      <c r="BH83" s="17">
        <f>IF('Eurostat EB TJ'!BG91=":",0,'Eurostat EB TJ'!BG91)</f>
        <v>0</v>
      </c>
      <c r="BI83" s="17">
        <f>IF('Eurostat EB TJ'!BH91=":",0,'Eurostat EB TJ'!BH91)</f>
        <v>0</v>
      </c>
      <c r="BJ83" s="17">
        <f>IF('Eurostat EB TJ'!BI91=":",0,'Eurostat EB TJ'!BI91)</f>
        <v>0</v>
      </c>
      <c r="BK83" s="17">
        <f>IF('Eurostat EB TJ'!BJ91=":",0,'Eurostat EB TJ'!BJ91)</f>
        <v>0</v>
      </c>
      <c r="BL83" s="17">
        <f>IF('Eurostat EB TJ'!BK91=":",0,'Eurostat EB TJ'!BK91)</f>
        <v>0</v>
      </c>
      <c r="BM83" s="17">
        <f>IF('Eurostat EB TJ'!BL91=":",0,'Eurostat EB TJ'!BL91)</f>
        <v>0</v>
      </c>
      <c r="BN83" s="17">
        <f>IF('Eurostat EB TJ'!BM91=":",0,'Eurostat EB TJ'!BM91)</f>
        <v>0</v>
      </c>
      <c r="BO83" s="17">
        <f>IF('Eurostat EB TJ'!BN91=":",0,'Eurostat EB TJ'!BN91)</f>
        <v>0</v>
      </c>
      <c r="BP83" s="17">
        <f>IF('Eurostat EB TJ'!BO91=":",0,'Eurostat EB TJ'!BO91)</f>
        <v>0</v>
      </c>
      <c r="BQ83" s="17">
        <f>IF('Eurostat EB TJ'!BP91=":",0,'Eurostat EB TJ'!BP91)</f>
        <v>0</v>
      </c>
      <c r="BR83" s="17">
        <f>IF('Eurostat EB TJ'!BQ91=":",0,'Eurostat EB TJ'!BQ91)</f>
        <v>0</v>
      </c>
      <c r="BS83" s="17">
        <f>IF('Eurostat EB TJ'!BR91=":",0,'Eurostat EB TJ'!BR91)</f>
        <v>0</v>
      </c>
      <c r="BT83" s="17">
        <f>IF('Eurostat EB TJ'!BS91=":",0,'Eurostat EB TJ'!BS91)</f>
        <v>0</v>
      </c>
      <c r="BU83" s="17">
        <f>IF('Eurostat EB TJ'!BT91=":",0,'Eurostat EB TJ'!BT91)</f>
        <v>0</v>
      </c>
      <c r="BV83" s="17">
        <f>IF('Eurostat EB TJ'!BU91=":",0,'Eurostat EB TJ'!BU91)</f>
        <v>0</v>
      </c>
    </row>
    <row r="84" spans="1:74" x14ac:dyDescent="0.2">
      <c r="A84" s="56" t="s">
        <v>265</v>
      </c>
      <c r="B84" s="57"/>
      <c r="C84" s="57">
        <f>IF('Eurostat EB TJ'!B92=":",0,'Eurostat EB TJ'!B92)</f>
        <v>19520.600999999999</v>
      </c>
      <c r="D84" s="57">
        <f>IF('Eurostat EB TJ'!C92=":",0,'Eurostat EB TJ'!C92)</f>
        <v>0</v>
      </c>
      <c r="E84" s="57">
        <f>IF('Eurostat EB TJ'!D92=":",0,'Eurostat EB TJ'!D92)</f>
        <v>0</v>
      </c>
      <c r="F84" s="57">
        <f>IF('Eurostat EB TJ'!E92=":",0,'Eurostat EB TJ'!E92)</f>
        <v>0</v>
      </c>
      <c r="G84" s="57">
        <f>IF('Eurostat EB TJ'!F92=":",0,'Eurostat EB TJ'!F92)</f>
        <v>0</v>
      </c>
      <c r="H84" s="57">
        <f>IF('Eurostat EB TJ'!G92=":",0,'Eurostat EB TJ'!G92)</f>
        <v>0</v>
      </c>
      <c r="I84" s="57">
        <f>IF('Eurostat EB TJ'!H92=":",0,'Eurostat EB TJ'!H92)</f>
        <v>0</v>
      </c>
      <c r="J84" s="57">
        <f>IF('Eurostat EB TJ'!I92=":",0,'Eurostat EB TJ'!I92)</f>
        <v>0</v>
      </c>
      <c r="K84" s="57">
        <f>IF('Eurostat EB TJ'!J92=":",0,'Eurostat EB TJ'!J92)</f>
        <v>0</v>
      </c>
      <c r="L84" s="57">
        <f>IF('Eurostat EB TJ'!K92=":",0,'Eurostat EB TJ'!K92)</f>
        <v>0</v>
      </c>
      <c r="M84" s="57">
        <f>IF('Eurostat EB TJ'!L92=":",0,'Eurostat EB TJ'!L92)</f>
        <v>0</v>
      </c>
      <c r="N84" s="57">
        <f>IF('Eurostat EB TJ'!M92=":",0,'Eurostat EB TJ'!M92)</f>
        <v>0</v>
      </c>
      <c r="O84" s="57">
        <f>IF('Eurostat EB TJ'!N92=":",0,'Eurostat EB TJ'!N92)</f>
        <v>0</v>
      </c>
      <c r="P84" s="57">
        <f>IF('Eurostat EB TJ'!O92=":",0,'Eurostat EB TJ'!O92)</f>
        <v>0</v>
      </c>
      <c r="Q84" s="57">
        <f>IF('Eurostat EB TJ'!P92=":",0,'Eurostat EB TJ'!P92)</f>
        <v>0</v>
      </c>
      <c r="R84" s="57">
        <f>IF('Eurostat EB TJ'!Q92=":",0,'Eurostat EB TJ'!Q92)</f>
        <v>0</v>
      </c>
      <c r="S84" s="57">
        <f>IF('Eurostat EB TJ'!R92=":",0,'Eurostat EB TJ'!R92)</f>
        <v>0</v>
      </c>
      <c r="T84" s="57">
        <f>IF('Eurostat EB TJ'!S92=":",0,'Eurostat EB TJ'!S92)</f>
        <v>0</v>
      </c>
      <c r="U84" s="57">
        <f>IF('Eurostat EB TJ'!T92=":",0,'Eurostat EB TJ'!T92)</f>
        <v>0</v>
      </c>
      <c r="V84" s="57">
        <f>IF('Eurostat EB TJ'!U92=":",0,'Eurostat EB TJ'!U92)</f>
        <v>0</v>
      </c>
      <c r="W84" s="57">
        <f>IF('Eurostat EB TJ'!V92=":",0,'Eurostat EB TJ'!V92)</f>
        <v>0</v>
      </c>
      <c r="X84" s="57">
        <f>IF('Eurostat EB TJ'!W92=":",0,'Eurostat EB TJ'!W92)</f>
        <v>14138.665999999999</v>
      </c>
      <c r="Y84" s="57">
        <f>IF('Eurostat EB TJ'!X92=":",0,'Eurostat EB TJ'!X92)</f>
        <v>0</v>
      </c>
      <c r="Z84" s="57">
        <f>IF('Eurostat EB TJ'!Y92=":",0,'Eurostat EB TJ'!Y92)</f>
        <v>0</v>
      </c>
      <c r="AA84" s="57">
        <f>IF('Eurostat EB TJ'!Z92=":",0,'Eurostat EB TJ'!Z92)</f>
        <v>0</v>
      </c>
      <c r="AB84" s="57">
        <f>IF('Eurostat EB TJ'!AA92=":",0,'Eurostat EB TJ'!AA92)</f>
        <v>0</v>
      </c>
      <c r="AC84" s="57">
        <f>IF('Eurostat EB TJ'!AB92=":",0,'Eurostat EB TJ'!AB92)</f>
        <v>0</v>
      </c>
      <c r="AD84" s="57">
        <f>IF('Eurostat EB TJ'!AC92=":",0,'Eurostat EB TJ'!AC92)</f>
        <v>0</v>
      </c>
      <c r="AE84" s="57">
        <f>IF('Eurostat EB TJ'!AD92=":",0,'Eurostat EB TJ'!AD92)</f>
        <v>0</v>
      </c>
      <c r="AF84" s="57">
        <f>IF('Eurostat EB TJ'!AE92=":",0,'Eurostat EB TJ'!AE92)</f>
        <v>0</v>
      </c>
      <c r="AG84" s="57">
        <f>IF('Eurostat EB TJ'!AF92=":",0,'Eurostat EB TJ'!AF92)</f>
        <v>0</v>
      </c>
      <c r="AH84" s="57">
        <f>IF('Eurostat EB TJ'!AG92=":",0,'Eurostat EB TJ'!AG92)</f>
        <v>0</v>
      </c>
      <c r="AI84" s="57">
        <f>IF('Eurostat EB TJ'!AH92=":",0,'Eurostat EB TJ'!AH92)</f>
        <v>0</v>
      </c>
      <c r="AJ84" s="57">
        <f>IF('Eurostat EB TJ'!AI92=":",0,'Eurostat EB TJ'!AI92)</f>
        <v>0</v>
      </c>
      <c r="AK84" s="57">
        <f>IF('Eurostat EB TJ'!AJ92=":",0,'Eurostat EB TJ'!AJ92)</f>
        <v>0</v>
      </c>
      <c r="AL84" s="57">
        <f>IF('Eurostat EB TJ'!AK92=":",0,'Eurostat EB TJ'!AK92)</f>
        <v>0</v>
      </c>
      <c r="AM84" s="57">
        <f>IF('Eurostat EB TJ'!AL92=":",0,'Eurostat EB TJ'!AL92)</f>
        <v>0</v>
      </c>
      <c r="AN84" s="57">
        <f>IF('Eurostat EB TJ'!AM92=":",0,'Eurostat EB TJ'!AM92)</f>
        <v>0</v>
      </c>
      <c r="AO84" s="57">
        <f>IF('Eurostat EB TJ'!AN92=":",0,'Eurostat EB TJ'!AN92)</f>
        <v>0</v>
      </c>
      <c r="AP84" s="57">
        <f>IF('Eurostat EB TJ'!AO92=":",0,'Eurostat EB TJ'!AO92)</f>
        <v>0</v>
      </c>
      <c r="AQ84" s="57">
        <f>IF('Eurostat EB TJ'!AP92=":",0,'Eurostat EB TJ'!AP92)</f>
        <v>0</v>
      </c>
      <c r="AR84" s="57">
        <f>IF('Eurostat EB TJ'!AQ92=":",0,'Eurostat EB TJ'!AQ92)</f>
        <v>0</v>
      </c>
      <c r="AS84" s="57">
        <f>IF('Eurostat EB TJ'!AR92=":",0,'Eurostat EB TJ'!AR92)</f>
        <v>0</v>
      </c>
      <c r="AT84" s="57">
        <f>IF('Eurostat EB TJ'!AS92=":",0,'Eurostat EB TJ'!AS92)</f>
        <v>0</v>
      </c>
      <c r="AU84" s="57">
        <f>IF('Eurostat EB TJ'!AT92=":",0,'Eurostat EB TJ'!AT92)</f>
        <v>0</v>
      </c>
      <c r="AV84" s="57">
        <f>IF('Eurostat EB TJ'!AU92=":",0,'Eurostat EB TJ'!AU92)</f>
        <v>0</v>
      </c>
      <c r="AW84" s="57">
        <f>IF('Eurostat EB TJ'!AV92=":",0,'Eurostat EB TJ'!AV92)</f>
        <v>0</v>
      </c>
      <c r="AX84" s="57">
        <f>IF('Eurostat EB TJ'!AW92=":",0,'Eurostat EB TJ'!AW92)</f>
        <v>0</v>
      </c>
      <c r="AY84" s="57">
        <f>IF('Eurostat EB TJ'!AX92=":",0,'Eurostat EB TJ'!AX92)</f>
        <v>0</v>
      </c>
      <c r="AZ84" s="57">
        <f>IF('Eurostat EB TJ'!AY92=":",0,'Eurostat EB TJ'!AY92)</f>
        <v>0</v>
      </c>
      <c r="BA84" s="57">
        <f>IF('Eurostat EB TJ'!AZ92=":",0,'Eurostat EB TJ'!AZ92)</f>
        <v>0</v>
      </c>
      <c r="BB84" s="57">
        <f>IF('Eurostat EB TJ'!BA92=":",0,'Eurostat EB TJ'!BA92)</f>
        <v>0</v>
      </c>
      <c r="BC84" s="57">
        <f>IF('Eurostat EB TJ'!BB92=":",0,'Eurostat EB TJ'!BB92)</f>
        <v>0</v>
      </c>
      <c r="BD84" s="57">
        <f>IF('Eurostat EB TJ'!BC92=":",0,'Eurostat EB TJ'!BC92)</f>
        <v>0</v>
      </c>
      <c r="BE84" s="57">
        <f>IF('Eurostat EB TJ'!BD92=":",0,'Eurostat EB TJ'!BD92)</f>
        <v>0</v>
      </c>
      <c r="BF84" s="57">
        <f>IF('Eurostat EB TJ'!BE92=":",0,'Eurostat EB TJ'!BE92)</f>
        <v>0</v>
      </c>
      <c r="BG84" s="57">
        <f>IF('Eurostat EB TJ'!BF92=":",0,'Eurostat EB TJ'!BF92)</f>
        <v>0</v>
      </c>
      <c r="BH84" s="57">
        <f>IF('Eurostat EB TJ'!BG92=":",0,'Eurostat EB TJ'!BG92)</f>
        <v>0</v>
      </c>
      <c r="BI84" s="57">
        <f>IF('Eurostat EB TJ'!BH92=":",0,'Eurostat EB TJ'!BH92)</f>
        <v>0</v>
      </c>
      <c r="BJ84" s="57">
        <f>IF('Eurostat EB TJ'!BI92=":",0,'Eurostat EB TJ'!BI92)</f>
        <v>0</v>
      </c>
      <c r="BK84" s="57">
        <f>IF('Eurostat EB TJ'!BJ92=":",0,'Eurostat EB TJ'!BJ92)</f>
        <v>0</v>
      </c>
      <c r="BL84" s="57">
        <f>IF('Eurostat EB TJ'!BK92=":",0,'Eurostat EB TJ'!BK92)</f>
        <v>0</v>
      </c>
      <c r="BM84" s="57">
        <f>IF('Eurostat EB TJ'!BL92=":",0,'Eurostat EB TJ'!BL92)</f>
        <v>0</v>
      </c>
      <c r="BN84" s="57">
        <f>IF('Eurostat EB TJ'!BM92=":",0,'Eurostat EB TJ'!BM92)</f>
        <v>0</v>
      </c>
      <c r="BO84" s="57">
        <f>IF('Eurostat EB TJ'!BN92=":",0,'Eurostat EB TJ'!BN92)</f>
        <v>0</v>
      </c>
      <c r="BP84" s="57">
        <f>IF('Eurostat EB TJ'!BO92=":",0,'Eurostat EB TJ'!BO92)</f>
        <v>0</v>
      </c>
      <c r="BQ84" s="57">
        <f>IF('Eurostat EB TJ'!BP92=":",0,'Eurostat EB TJ'!BP92)</f>
        <v>0</v>
      </c>
      <c r="BR84" s="57">
        <f>IF('Eurostat EB TJ'!BQ92=":",0,'Eurostat EB TJ'!BQ92)</f>
        <v>0</v>
      </c>
      <c r="BS84" s="57">
        <f>IF('Eurostat EB TJ'!BR92=":",0,'Eurostat EB TJ'!BR92)</f>
        <v>5381.9350000000004</v>
      </c>
      <c r="BT84" s="57">
        <f>IF('Eurostat EB TJ'!BS92=":",0,'Eurostat EB TJ'!BS92)</f>
        <v>0</v>
      </c>
      <c r="BU84" s="57">
        <f>IF('Eurostat EB TJ'!BT92=":",0,'Eurostat EB TJ'!BT92)</f>
        <v>503.11799999999999</v>
      </c>
      <c r="BV84" s="57">
        <f>IF('Eurostat EB TJ'!BU92=":",0,'Eurostat EB TJ'!BU92)</f>
        <v>16634.212</v>
      </c>
    </row>
    <row r="85" spans="1:74" x14ac:dyDescent="0.2">
      <c r="A85" s="56" t="s">
        <v>266</v>
      </c>
      <c r="B85" s="17"/>
      <c r="C85" s="17">
        <f>IF('Eurostat EB TJ'!B93=":",0,'Eurostat EB TJ'!B93)</f>
        <v>0</v>
      </c>
      <c r="D85" s="17">
        <f>IF('Eurostat EB TJ'!C93=":",0,'Eurostat EB TJ'!C93)</f>
        <v>0</v>
      </c>
      <c r="E85" s="17">
        <f>IF('Eurostat EB TJ'!D93=":",0,'Eurostat EB TJ'!D93)</f>
        <v>0</v>
      </c>
      <c r="F85" s="17">
        <f>IF('Eurostat EB TJ'!E93=":",0,'Eurostat EB TJ'!E93)</f>
        <v>0</v>
      </c>
      <c r="G85" s="17">
        <f>IF('Eurostat EB TJ'!F93=":",0,'Eurostat EB TJ'!F93)</f>
        <v>0</v>
      </c>
      <c r="H85" s="17">
        <f>IF('Eurostat EB TJ'!G93=":",0,'Eurostat EB TJ'!G93)</f>
        <v>0</v>
      </c>
      <c r="I85" s="17">
        <f>IF('Eurostat EB TJ'!H93=":",0,'Eurostat EB TJ'!H93)</f>
        <v>0</v>
      </c>
      <c r="J85" s="17">
        <f>IF('Eurostat EB TJ'!I93=":",0,'Eurostat EB TJ'!I93)</f>
        <v>0</v>
      </c>
      <c r="K85" s="17">
        <f>IF('Eurostat EB TJ'!J93=":",0,'Eurostat EB TJ'!J93)</f>
        <v>0</v>
      </c>
      <c r="L85" s="17">
        <f>IF('Eurostat EB TJ'!K93=":",0,'Eurostat EB TJ'!K93)</f>
        <v>0</v>
      </c>
      <c r="M85" s="17">
        <f>IF('Eurostat EB TJ'!L93=":",0,'Eurostat EB TJ'!L93)</f>
        <v>0</v>
      </c>
      <c r="N85" s="17">
        <f>IF('Eurostat EB TJ'!M93=":",0,'Eurostat EB TJ'!M93)</f>
        <v>0</v>
      </c>
      <c r="O85" s="17">
        <f>IF('Eurostat EB TJ'!N93=":",0,'Eurostat EB TJ'!N93)</f>
        <v>0</v>
      </c>
      <c r="P85" s="17">
        <f>IF('Eurostat EB TJ'!O93=":",0,'Eurostat EB TJ'!O93)</f>
        <v>0</v>
      </c>
      <c r="Q85" s="17">
        <f>IF('Eurostat EB TJ'!P93=":",0,'Eurostat EB TJ'!P93)</f>
        <v>0</v>
      </c>
      <c r="R85" s="17">
        <f>IF('Eurostat EB TJ'!Q93=":",0,'Eurostat EB TJ'!Q93)</f>
        <v>0</v>
      </c>
      <c r="S85" s="17">
        <f>IF('Eurostat EB TJ'!R93=":",0,'Eurostat EB TJ'!R93)</f>
        <v>0</v>
      </c>
      <c r="T85" s="17">
        <f>IF('Eurostat EB TJ'!S93=":",0,'Eurostat EB TJ'!S93)</f>
        <v>0</v>
      </c>
      <c r="U85" s="17">
        <f>IF('Eurostat EB TJ'!T93=":",0,'Eurostat EB TJ'!T93)</f>
        <v>0</v>
      </c>
      <c r="V85" s="17">
        <f>IF('Eurostat EB TJ'!U93=":",0,'Eurostat EB TJ'!U93)</f>
        <v>0</v>
      </c>
      <c r="W85" s="17">
        <f>IF('Eurostat EB TJ'!V93=":",0,'Eurostat EB TJ'!V93)</f>
        <v>0</v>
      </c>
      <c r="X85" s="17">
        <f>IF('Eurostat EB TJ'!W93=":",0,'Eurostat EB TJ'!W93)</f>
        <v>0</v>
      </c>
      <c r="Y85" s="17">
        <f>IF('Eurostat EB TJ'!X93=":",0,'Eurostat EB TJ'!X93)</f>
        <v>0</v>
      </c>
      <c r="Z85" s="17">
        <f>IF('Eurostat EB TJ'!Y93=":",0,'Eurostat EB TJ'!Y93)</f>
        <v>0</v>
      </c>
      <c r="AA85" s="17">
        <f>IF('Eurostat EB TJ'!Z93=":",0,'Eurostat EB TJ'!Z93)</f>
        <v>0</v>
      </c>
      <c r="AB85" s="17">
        <f>IF('Eurostat EB TJ'!AA93=":",0,'Eurostat EB TJ'!AA93)</f>
        <v>0</v>
      </c>
      <c r="AC85" s="17">
        <f>IF('Eurostat EB TJ'!AB93=":",0,'Eurostat EB TJ'!AB93)</f>
        <v>0</v>
      </c>
      <c r="AD85" s="17">
        <f>IF('Eurostat EB TJ'!AC93=":",0,'Eurostat EB TJ'!AC93)</f>
        <v>0</v>
      </c>
      <c r="AE85" s="17">
        <f>IF('Eurostat EB TJ'!AD93=":",0,'Eurostat EB TJ'!AD93)</f>
        <v>0</v>
      </c>
      <c r="AF85" s="17">
        <f>IF('Eurostat EB TJ'!AE93=":",0,'Eurostat EB TJ'!AE93)</f>
        <v>0</v>
      </c>
      <c r="AG85" s="17">
        <f>IF('Eurostat EB TJ'!AF93=":",0,'Eurostat EB TJ'!AF93)</f>
        <v>0</v>
      </c>
      <c r="AH85" s="17">
        <f>IF('Eurostat EB TJ'!AG93=":",0,'Eurostat EB TJ'!AG93)</f>
        <v>0</v>
      </c>
      <c r="AI85" s="17">
        <f>IF('Eurostat EB TJ'!AH93=":",0,'Eurostat EB TJ'!AH93)</f>
        <v>0</v>
      </c>
      <c r="AJ85" s="17">
        <f>IF('Eurostat EB TJ'!AI93=":",0,'Eurostat EB TJ'!AI93)</f>
        <v>0</v>
      </c>
      <c r="AK85" s="17">
        <f>IF('Eurostat EB TJ'!AJ93=":",0,'Eurostat EB TJ'!AJ93)</f>
        <v>0</v>
      </c>
      <c r="AL85" s="17">
        <f>IF('Eurostat EB TJ'!AK93=":",0,'Eurostat EB TJ'!AK93)</f>
        <v>0</v>
      </c>
      <c r="AM85" s="17">
        <f>IF('Eurostat EB TJ'!AL93=":",0,'Eurostat EB TJ'!AL93)</f>
        <v>0</v>
      </c>
      <c r="AN85" s="17">
        <f>IF('Eurostat EB TJ'!AM93=":",0,'Eurostat EB TJ'!AM93)</f>
        <v>0</v>
      </c>
      <c r="AO85" s="17">
        <f>IF('Eurostat EB TJ'!AN93=":",0,'Eurostat EB TJ'!AN93)</f>
        <v>0</v>
      </c>
      <c r="AP85" s="17">
        <f>IF('Eurostat EB TJ'!AO93=":",0,'Eurostat EB TJ'!AO93)</f>
        <v>0</v>
      </c>
      <c r="AQ85" s="17">
        <f>IF('Eurostat EB TJ'!AP93=":",0,'Eurostat EB TJ'!AP93)</f>
        <v>0</v>
      </c>
      <c r="AR85" s="17">
        <f>IF('Eurostat EB TJ'!AQ93=":",0,'Eurostat EB TJ'!AQ93)</f>
        <v>0</v>
      </c>
      <c r="AS85" s="17">
        <f>IF('Eurostat EB TJ'!AR93=":",0,'Eurostat EB TJ'!AR93)</f>
        <v>0</v>
      </c>
      <c r="AT85" s="17">
        <f>IF('Eurostat EB TJ'!AS93=":",0,'Eurostat EB TJ'!AS93)</f>
        <v>0</v>
      </c>
      <c r="AU85" s="17">
        <f>IF('Eurostat EB TJ'!AT93=":",0,'Eurostat EB TJ'!AT93)</f>
        <v>0</v>
      </c>
      <c r="AV85" s="17">
        <f>IF('Eurostat EB TJ'!AU93=":",0,'Eurostat EB TJ'!AU93)</f>
        <v>0</v>
      </c>
      <c r="AW85" s="17">
        <f>IF('Eurostat EB TJ'!AV93=":",0,'Eurostat EB TJ'!AV93)</f>
        <v>0</v>
      </c>
      <c r="AX85" s="17">
        <f>IF('Eurostat EB TJ'!AW93=":",0,'Eurostat EB TJ'!AW93)</f>
        <v>0</v>
      </c>
      <c r="AY85" s="17">
        <f>IF('Eurostat EB TJ'!AX93=":",0,'Eurostat EB TJ'!AX93)</f>
        <v>0</v>
      </c>
      <c r="AZ85" s="17">
        <f>IF('Eurostat EB TJ'!AY93=":",0,'Eurostat EB TJ'!AY93)</f>
        <v>0</v>
      </c>
      <c r="BA85" s="17">
        <f>IF('Eurostat EB TJ'!AZ93=":",0,'Eurostat EB TJ'!AZ93)</f>
        <v>0</v>
      </c>
      <c r="BB85" s="17">
        <f>IF('Eurostat EB TJ'!BA93=":",0,'Eurostat EB TJ'!BA93)</f>
        <v>0</v>
      </c>
      <c r="BC85" s="17">
        <f>IF('Eurostat EB TJ'!BB93=":",0,'Eurostat EB TJ'!BB93)</f>
        <v>0</v>
      </c>
      <c r="BD85" s="17">
        <f>IF('Eurostat EB TJ'!BC93=":",0,'Eurostat EB TJ'!BC93)</f>
        <v>0</v>
      </c>
      <c r="BE85" s="17">
        <f>IF('Eurostat EB TJ'!BD93=":",0,'Eurostat EB TJ'!BD93)</f>
        <v>0</v>
      </c>
      <c r="BF85" s="17">
        <f>IF('Eurostat EB TJ'!BE93=":",0,'Eurostat EB TJ'!BE93)</f>
        <v>0</v>
      </c>
      <c r="BG85" s="17">
        <f>IF('Eurostat EB TJ'!BF93=":",0,'Eurostat EB TJ'!BF93)</f>
        <v>0</v>
      </c>
      <c r="BH85" s="17">
        <f>IF('Eurostat EB TJ'!BG93=":",0,'Eurostat EB TJ'!BG93)</f>
        <v>0</v>
      </c>
      <c r="BI85" s="17">
        <f>IF('Eurostat EB TJ'!BH93=":",0,'Eurostat EB TJ'!BH93)</f>
        <v>0</v>
      </c>
      <c r="BJ85" s="17">
        <f>IF('Eurostat EB TJ'!BI93=":",0,'Eurostat EB TJ'!BI93)</f>
        <v>0</v>
      </c>
      <c r="BK85" s="17">
        <f>IF('Eurostat EB TJ'!BJ93=":",0,'Eurostat EB TJ'!BJ93)</f>
        <v>0</v>
      </c>
      <c r="BL85" s="17">
        <f>IF('Eurostat EB TJ'!BK93=":",0,'Eurostat EB TJ'!BK93)</f>
        <v>0</v>
      </c>
      <c r="BM85" s="17">
        <f>IF('Eurostat EB TJ'!BL93=":",0,'Eurostat EB TJ'!BL93)</f>
        <v>0</v>
      </c>
      <c r="BN85" s="17">
        <f>IF('Eurostat EB TJ'!BM93=":",0,'Eurostat EB TJ'!BM93)</f>
        <v>0</v>
      </c>
      <c r="BO85" s="17">
        <f>IF('Eurostat EB TJ'!BN93=":",0,'Eurostat EB TJ'!BN93)</f>
        <v>0</v>
      </c>
      <c r="BP85" s="17">
        <f>IF('Eurostat EB TJ'!BO93=":",0,'Eurostat EB TJ'!BO93)</f>
        <v>0</v>
      </c>
      <c r="BQ85" s="17">
        <f>IF('Eurostat EB TJ'!BP93=":",0,'Eurostat EB TJ'!BP93)</f>
        <v>0</v>
      </c>
      <c r="BR85" s="17">
        <f>IF('Eurostat EB TJ'!BQ93=":",0,'Eurostat EB TJ'!BQ93)</f>
        <v>0</v>
      </c>
      <c r="BS85" s="17">
        <f>IF('Eurostat EB TJ'!BR93=":",0,'Eurostat EB TJ'!BR93)</f>
        <v>0</v>
      </c>
      <c r="BT85" s="17">
        <f>IF('Eurostat EB TJ'!BS93=":",0,'Eurostat EB TJ'!BS93)</f>
        <v>0</v>
      </c>
      <c r="BU85" s="17">
        <f>IF('Eurostat EB TJ'!BT93=":",0,'Eurostat EB TJ'!BT93)</f>
        <v>0</v>
      </c>
      <c r="BV85" s="17">
        <f>IF('Eurostat EB TJ'!BU93=":",0,'Eurostat EB TJ'!BU93)</f>
        <v>0</v>
      </c>
    </row>
    <row r="86" spans="1:74" x14ac:dyDescent="0.2">
      <c r="A86" s="56" t="s">
        <v>267</v>
      </c>
      <c r="B86" s="57"/>
      <c r="C86" s="57">
        <f>IF('Eurostat EB TJ'!B94=":",0,'Eurostat EB TJ'!B94)</f>
        <v>8193.7189999999991</v>
      </c>
      <c r="D86" s="57">
        <f>IF('Eurostat EB TJ'!C94=":",0,'Eurostat EB TJ'!C94)</f>
        <v>0</v>
      </c>
      <c r="E86" s="57">
        <f>IF('Eurostat EB TJ'!D94=":",0,'Eurostat EB TJ'!D94)</f>
        <v>0</v>
      </c>
      <c r="F86" s="57">
        <f>IF('Eurostat EB TJ'!E94=":",0,'Eurostat EB TJ'!E94)</f>
        <v>0</v>
      </c>
      <c r="G86" s="57">
        <f>IF('Eurostat EB TJ'!F94=":",0,'Eurostat EB TJ'!F94)</f>
        <v>0</v>
      </c>
      <c r="H86" s="57">
        <f>IF('Eurostat EB TJ'!G94=":",0,'Eurostat EB TJ'!G94)</f>
        <v>0</v>
      </c>
      <c r="I86" s="57">
        <f>IF('Eurostat EB TJ'!H94=":",0,'Eurostat EB TJ'!H94)</f>
        <v>0</v>
      </c>
      <c r="J86" s="57">
        <f>IF('Eurostat EB TJ'!I94=":",0,'Eurostat EB TJ'!I94)</f>
        <v>0</v>
      </c>
      <c r="K86" s="57">
        <f>IF('Eurostat EB TJ'!J94=":",0,'Eurostat EB TJ'!J94)</f>
        <v>0</v>
      </c>
      <c r="L86" s="57">
        <f>IF('Eurostat EB TJ'!K94=":",0,'Eurostat EB TJ'!K94)</f>
        <v>0</v>
      </c>
      <c r="M86" s="57">
        <f>IF('Eurostat EB TJ'!L94=":",0,'Eurostat EB TJ'!L94)</f>
        <v>0</v>
      </c>
      <c r="N86" s="57">
        <f>IF('Eurostat EB TJ'!M94=":",0,'Eurostat EB TJ'!M94)</f>
        <v>0</v>
      </c>
      <c r="O86" s="57">
        <f>IF('Eurostat EB TJ'!N94=":",0,'Eurostat EB TJ'!N94)</f>
        <v>6927.3320000000003</v>
      </c>
      <c r="P86" s="57">
        <f>IF('Eurostat EB TJ'!O94=":",0,'Eurostat EB TJ'!O94)</f>
        <v>6767.5630000000001</v>
      </c>
      <c r="Q86" s="57">
        <f>IF('Eurostat EB TJ'!P94=":",0,'Eurostat EB TJ'!P94)</f>
        <v>0</v>
      </c>
      <c r="R86" s="57">
        <f>IF('Eurostat EB TJ'!Q94=":",0,'Eurostat EB TJ'!Q94)</f>
        <v>159.76900000000001</v>
      </c>
      <c r="S86" s="57">
        <f>IF('Eurostat EB TJ'!R94=":",0,'Eurostat EB TJ'!R94)</f>
        <v>0</v>
      </c>
      <c r="T86" s="57">
        <f>IF('Eurostat EB TJ'!S94=":",0,'Eurostat EB TJ'!S94)</f>
        <v>0</v>
      </c>
      <c r="U86" s="57">
        <f>IF('Eurostat EB TJ'!T94=":",0,'Eurostat EB TJ'!T94)</f>
        <v>0</v>
      </c>
      <c r="V86" s="57">
        <f>IF('Eurostat EB TJ'!U94=":",0,'Eurostat EB TJ'!U94)</f>
        <v>0</v>
      </c>
      <c r="W86" s="57">
        <f>IF('Eurostat EB TJ'!V94=":",0,'Eurostat EB TJ'!V94)</f>
        <v>0</v>
      </c>
      <c r="X86" s="57">
        <f>IF('Eurostat EB TJ'!W94=":",0,'Eurostat EB TJ'!W94)</f>
        <v>0</v>
      </c>
      <c r="Y86" s="57">
        <f>IF('Eurostat EB TJ'!X94=":",0,'Eurostat EB TJ'!X94)</f>
        <v>0</v>
      </c>
      <c r="Z86" s="57">
        <f>IF('Eurostat EB TJ'!Y94=":",0,'Eurostat EB TJ'!Y94)</f>
        <v>0</v>
      </c>
      <c r="AA86" s="57">
        <f>IF('Eurostat EB TJ'!Z94=":",0,'Eurostat EB TJ'!Z94)</f>
        <v>0</v>
      </c>
      <c r="AB86" s="57">
        <f>IF('Eurostat EB TJ'!AA94=":",0,'Eurostat EB TJ'!AA94)</f>
        <v>0</v>
      </c>
      <c r="AC86" s="57">
        <f>IF('Eurostat EB TJ'!AB94=":",0,'Eurostat EB TJ'!AB94)</f>
        <v>0</v>
      </c>
      <c r="AD86" s="57">
        <f>IF('Eurostat EB TJ'!AC94=":",0,'Eurostat EB TJ'!AC94)</f>
        <v>0</v>
      </c>
      <c r="AE86" s="57">
        <f>IF('Eurostat EB TJ'!AD94=":",0,'Eurostat EB TJ'!AD94)</f>
        <v>0</v>
      </c>
      <c r="AF86" s="57">
        <f>IF('Eurostat EB TJ'!AE94=":",0,'Eurostat EB TJ'!AE94)</f>
        <v>0</v>
      </c>
      <c r="AG86" s="57">
        <f>IF('Eurostat EB TJ'!AF94=":",0,'Eurostat EB TJ'!AF94)</f>
        <v>0</v>
      </c>
      <c r="AH86" s="57">
        <f>IF('Eurostat EB TJ'!AG94=":",0,'Eurostat EB TJ'!AG94)</f>
        <v>0</v>
      </c>
      <c r="AI86" s="57">
        <f>IF('Eurostat EB TJ'!AH94=":",0,'Eurostat EB TJ'!AH94)</f>
        <v>0</v>
      </c>
      <c r="AJ86" s="57">
        <f>IF('Eurostat EB TJ'!AI94=":",0,'Eurostat EB TJ'!AI94)</f>
        <v>0</v>
      </c>
      <c r="AK86" s="57">
        <f>IF('Eurostat EB TJ'!AJ94=":",0,'Eurostat EB TJ'!AJ94)</f>
        <v>0</v>
      </c>
      <c r="AL86" s="57">
        <f>IF('Eurostat EB TJ'!AK94=":",0,'Eurostat EB TJ'!AK94)</f>
        <v>0</v>
      </c>
      <c r="AM86" s="57">
        <f>IF('Eurostat EB TJ'!AL94=":",0,'Eurostat EB TJ'!AL94)</f>
        <v>0</v>
      </c>
      <c r="AN86" s="57">
        <f>IF('Eurostat EB TJ'!AM94=":",0,'Eurostat EB TJ'!AM94)</f>
        <v>0</v>
      </c>
      <c r="AO86" s="57">
        <f>IF('Eurostat EB TJ'!AN94=":",0,'Eurostat EB TJ'!AN94)</f>
        <v>0</v>
      </c>
      <c r="AP86" s="57">
        <f>IF('Eurostat EB TJ'!AO94=":",0,'Eurostat EB TJ'!AO94)</f>
        <v>0</v>
      </c>
      <c r="AQ86" s="57">
        <f>IF('Eurostat EB TJ'!AP94=":",0,'Eurostat EB TJ'!AP94)</f>
        <v>0</v>
      </c>
      <c r="AR86" s="57">
        <f>IF('Eurostat EB TJ'!AQ94=":",0,'Eurostat EB TJ'!AQ94)</f>
        <v>0</v>
      </c>
      <c r="AS86" s="57">
        <f>IF('Eurostat EB TJ'!AR94=":",0,'Eurostat EB TJ'!AR94)</f>
        <v>0</v>
      </c>
      <c r="AT86" s="57">
        <f>IF('Eurostat EB TJ'!AS94=":",0,'Eurostat EB TJ'!AS94)</f>
        <v>0</v>
      </c>
      <c r="AU86" s="57">
        <f>IF('Eurostat EB TJ'!AT94=":",0,'Eurostat EB TJ'!AT94)</f>
        <v>0</v>
      </c>
      <c r="AV86" s="57">
        <f>IF('Eurostat EB TJ'!AU94=":",0,'Eurostat EB TJ'!AU94)</f>
        <v>0</v>
      </c>
      <c r="AW86" s="57">
        <f>IF('Eurostat EB TJ'!AV94=":",0,'Eurostat EB TJ'!AV94)</f>
        <v>0</v>
      </c>
      <c r="AX86" s="57">
        <f>IF('Eurostat EB TJ'!AW94=":",0,'Eurostat EB TJ'!AW94)</f>
        <v>0</v>
      </c>
      <c r="AY86" s="57">
        <f>IF('Eurostat EB TJ'!AX94=":",0,'Eurostat EB TJ'!AX94)</f>
        <v>0</v>
      </c>
      <c r="AZ86" s="57">
        <f>IF('Eurostat EB TJ'!AY94=":",0,'Eurostat EB TJ'!AY94)</f>
        <v>0</v>
      </c>
      <c r="BA86" s="57">
        <f>IF('Eurostat EB TJ'!AZ94=":",0,'Eurostat EB TJ'!AZ94)</f>
        <v>0</v>
      </c>
      <c r="BB86" s="57">
        <f>IF('Eurostat EB TJ'!BA94=":",0,'Eurostat EB TJ'!BA94)</f>
        <v>0</v>
      </c>
      <c r="BC86" s="57">
        <f>IF('Eurostat EB TJ'!BB94=":",0,'Eurostat EB TJ'!BB94)</f>
        <v>0</v>
      </c>
      <c r="BD86" s="57">
        <f>IF('Eurostat EB TJ'!BC94=":",0,'Eurostat EB TJ'!BC94)</f>
        <v>0</v>
      </c>
      <c r="BE86" s="57">
        <f>IF('Eurostat EB TJ'!BD94=":",0,'Eurostat EB TJ'!BD94)</f>
        <v>0</v>
      </c>
      <c r="BF86" s="57">
        <f>IF('Eurostat EB TJ'!BE94=":",0,'Eurostat EB TJ'!BE94)</f>
        <v>0</v>
      </c>
      <c r="BG86" s="57">
        <f>IF('Eurostat EB TJ'!BF94=":",0,'Eurostat EB TJ'!BF94)</f>
        <v>0</v>
      </c>
      <c r="BH86" s="57">
        <f>IF('Eurostat EB TJ'!BG94=":",0,'Eurostat EB TJ'!BG94)</f>
        <v>0</v>
      </c>
      <c r="BI86" s="57">
        <f>IF('Eurostat EB TJ'!BH94=":",0,'Eurostat EB TJ'!BH94)</f>
        <v>0</v>
      </c>
      <c r="BJ86" s="57">
        <f>IF('Eurostat EB TJ'!BI94=":",0,'Eurostat EB TJ'!BI94)</f>
        <v>0</v>
      </c>
      <c r="BK86" s="57">
        <f>IF('Eurostat EB TJ'!BJ94=":",0,'Eurostat EB TJ'!BJ94)</f>
        <v>0</v>
      </c>
      <c r="BL86" s="57">
        <f>IF('Eurostat EB TJ'!BK94=":",0,'Eurostat EB TJ'!BK94)</f>
        <v>0</v>
      </c>
      <c r="BM86" s="57">
        <f>IF('Eurostat EB TJ'!BL94=":",0,'Eurostat EB TJ'!BL94)</f>
        <v>0</v>
      </c>
      <c r="BN86" s="57">
        <f>IF('Eurostat EB TJ'!BM94=":",0,'Eurostat EB TJ'!BM94)</f>
        <v>0</v>
      </c>
      <c r="BO86" s="57">
        <f>IF('Eurostat EB TJ'!BN94=":",0,'Eurostat EB TJ'!BN94)</f>
        <v>0</v>
      </c>
      <c r="BP86" s="57">
        <f>IF('Eurostat EB TJ'!BO94=":",0,'Eurostat EB TJ'!BO94)</f>
        <v>0</v>
      </c>
      <c r="BQ86" s="57">
        <f>IF('Eurostat EB TJ'!BP94=":",0,'Eurostat EB TJ'!BP94)</f>
        <v>0</v>
      </c>
      <c r="BR86" s="57">
        <f>IF('Eurostat EB TJ'!BQ94=":",0,'Eurostat EB TJ'!BQ94)</f>
        <v>0</v>
      </c>
      <c r="BS86" s="57">
        <f>IF('Eurostat EB TJ'!BR94=":",0,'Eurostat EB TJ'!BR94)</f>
        <v>317.60300000000001</v>
      </c>
      <c r="BT86" s="57">
        <f>IF('Eurostat EB TJ'!BS94=":",0,'Eurostat EB TJ'!BS94)</f>
        <v>948.78499999999997</v>
      </c>
      <c r="BU86" s="57">
        <f>IF('Eurostat EB TJ'!BT94=":",0,'Eurostat EB TJ'!BT94)</f>
        <v>229.42099999999999</v>
      </c>
      <c r="BV86" s="57">
        <f>IF('Eurostat EB TJ'!BU94=":",0,'Eurostat EB TJ'!BU94)</f>
        <v>7741.9849999999997</v>
      </c>
    </row>
    <row r="87" spans="1:74" x14ac:dyDescent="0.2">
      <c r="A87" s="56" t="s">
        <v>268</v>
      </c>
      <c r="B87" s="17"/>
      <c r="C87" s="17">
        <f>IF('Eurostat EB TJ'!B95=":",0,'Eurostat EB TJ'!B95)</f>
        <v>0</v>
      </c>
      <c r="D87" s="17">
        <f>IF('Eurostat EB TJ'!C95=":",0,'Eurostat EB TJ'!C95)</f>
        <v>0</v>
      </c>
      <c r="E87" s="17">
        <f>IF('Eurostat EB TJ'!D95=":",0,'Eurostat EB TJ'!D95)</f>
        <v>0</v>
      </c>
      <c r="F87" s="17">
        <f>IF('Eurostat EB TJ'!E95=":",0,'Eurostat EB TJ'!E95)</f>
        <v>0</v>
      </c>
      <c r="G87" s="17">
        <f>IF('Eurostat EB TJ'!F95=":",0,'Eurostat EB TJ'!F95)</f>
        <v>0</v>
      </c>
      <c r="H87" s="17">
        <f>IF('Eurostat EB TJ'!G95=":",0,'Eurostat EB TJ'!G95)</f>
        <v>0</v>
      </c>
      <c r="I87" s="17">
        <f>IF('Eurostat EB TJ'!H95=":",0,'Eurostat EB TJ'!H95)</f>
        <v>0</v>
      </c>
      <c r="J87" s="17">
        <f>IF('Eurostat EB TJ'!I95=":",0,'Eurostat EB TJ'!I95)</f>
        <v>0</v>
      </c>
      <c r="K87" s="17">
        <f>IF('Eurostat EB TJ'!J95=":",0,'Eurostat EB TJ'!J95)</f>
        <v>0</v>
      </c>
      <c r="L87" s="17">
        <f>IF('Eurostat EB TJ'!K95=":",0,'Eurostat EB TJ'!K95)</f>
        <v>0</v>
      </c>
      <c r="M87" s="17">
        <f>IF('Eurostat EB TJ'!L95=":",0,'Eurostat EB TJ'!L95)</f>
        <v>0</v>
      </c>
      <c r="N87" s="17">
        <f>IF('Eurostat EB TJ'!M95=":",0,'Eurostat EB TJ'!M95)</f>
        <v>0</v>
      </c>
      <c r="O87" s="17">
        <f>IF('Eurostat EB TJ'!N95=":",0,'Eurostat EB TJ'!N95)</f>
        <v>0</v>
      </c>
      <c r="P87" s="17">
        <f>IF('Eurostat EB TJ'!O95=":",0,'Eurostat EB TJ'!O95)</f>
        <v>0</v>
      </c>
      <c r="Q87" s="17">
        <f>IF('Eurostat EB TJ'!P95=":",0,'Eurostat EB TJ'!P95)</f>
        <v>0</v>
      </c>
      <c r="R87" s="17">
        <f>IF('Eurostat EB TJ'!Q95=":",0,'Eurostat EB TJ'!Q95)</f>
        <v>0</v>
      </c>
      <c r="S87" s="17">
        <f>IF('Eurostat EB TJ'!R95=":",0,'Eurostat EB TJ'!R95)</f>
        <v>0</v>
      </c>
      <c r="T87" s="17">
        <f>IF('Eurostat EB TJ'!S95=":",0,'Eurostat EB TJ'!S95)</f>
        <v>0</v>
      </c>
      <c r="U87" s="17">
        <f>IF('Eurostat EB TJ'!T95=":",0,'Eurostat EB TJ'!T95)</f>
        <v>0</v>
      </c>
      <c r="V87" s="17">
        <f>IF('Eurostat EB TJ'!U95=":",0,'Eurostat EB TJ'!U95)</f>
        <v>0</v>
      </c>
      <c r="W87" s="17">
        <f>IF('Eurostat EB TJ'!V95=":",0,'Eurostat EB TJ'!V95)</f>
        <v>0</v>
      </c>
      <c r="X87" s="17">
        <f>IF('Eurostat EB TJ'!W95=":",0,'Eurostat EB TJ'!W95)</f>
        <v>0</v>
      </c>
      <c r="Y87" s="17">
        <f>IF('Eurostat EB TJ'!X95=":",0,'Eurostat EB TJ'!X95)</f>
        <v>0</v>
      </c>
      <c r="Z87" s="17">
        <f>IF('Eurostat EB TJ'!Y95=":",0,'Eurostat EB TJ'!Y95)</f>
        <v>0</v>
      </c>
      <c r="AA87" s="17">
        <f>IF('Eurostat EB TJ'!Z95=":",0,'Eurostat EB TJ'!Z95)</f>
        <v>0</v>
      </c>
      <c r="AB87" s="17">
        <f>IF('Eurostat EB TJ'!AA95=":",0,'Eurostat EB TJ'!AA95)</f>
        <v>0</v>
      </c>
      <c r="AC87" s="17">
        <f>IF('Eurostat EB TJ'!AB95=":",0,'Eurostat EB TJ'!AB95)</f>
        <v>0</v>
      </c>
      <c r="AD87" s="17">
        <f>IF('Eurostat EB TJ'!AC95=":",0,'Eurostat EB TJ'!AC95)</f>
        <v>0</v>
      </c>
      <c r="AE87" s="17">
        <f>IF('Eurostat EB TJ'!AD95=":",0,'Eurostat EB TJ'!AD95)</f>
        <v>0</v>
      </c>
      <c r="AF87" s="17">
        <f>IF('Eurostat EB TJ'!AE95=":",0,'Eurostat EB TJ'!AE95)</f>
        <v>0</v>
      </c>
      <c r="AG87" s="17">
        <f>IF('Eurostat EB TJ'!AF95=":",0,'Eurostat EB TJ'!AF95)</f>
        <v>0</v>
      </c>
      <c r="AH87" s="17">
        <f>IF('Eurostat EB TJ'!AG95=":",0,'Eurostat EB TJ'!AG95)</f>
        <v>0</v>
      </c>
      <c r="AI87" s="17">
        <f>IF('Eurostat EB TJ'!AH95=":",0,'Eurostat EB TJ'!AH95)</f>
        <v>0</v>
      </c>
      <c r="AJ87" s="17">
        <f>IF('Eurostat EB TJ'!AI95=":",0,'Eurostat EB TJ'!AI95)</f>
        <v>0</v>
      </c>
      <c r="AK87" s="17">
        <f>IF('Eurostat EB TJ'!AJ95=":",0,'Eurostat EB TJ'!AJ95)</f>
        <v>0</v>
      </c>
      <c r="AL87" s="17">
        <f>IF('Eurostat EB TJ'!AK95=":",0,'Eurostat EB TJ'!AK95)</f>
        <v>0</v>
      </c>
      <c r="AM87" s="17">
        <f>IF('Eurostat EB TJ'!AL95=":",0,'Eurostat EB TJ'!AL95)</f>
        <v>0</v>
      </c>
      <c r="AN87" s="17">
        <f>IF('Eurostat EB TJ'!AM95=":",0,'Eurostat EB TJ'!AM95)</f>
        <v>0</v>
      </c>
      <c r="AO87" s="17">
        <f>IF('Eurostat EB TJ'!AN95=":",0,'Eurostat EB TJ'!AN95)</f>
        <v>0</v>
      </c>
      <c r="AP87" s="17">
        <f>IF('Eurostat EB TJ'!AO95=":",0,'Eurostat EB TJ'!AO95)</f>
        <v>0</v>
      </c>
      <c r="AQ87" s="17">
        <f>IF('Eurostat EB TJ'!AP95=":",0,'Eurostat EB TJ'!AP95)</f>
        <v>0</v>
      </c>
      <c r="AR87" s="17">
        <f>IF('Eurostat EB TJ'!AQ95=":",0,'Eurostat EB TJ'!AQ95)</f>
        <v>0</v>
      </c>
      <c r="AS87" s="17">
        <f>IF('Eurostat EB TJ'!AR95=":",0,'Eurostat EB TJ'!AR95)</f>
        <v>0</v>
      </c>
      <c r="AT87" s="17">
        <f>IF('Eurostat EB TJ'!AS95=":",0,'Eurostat EB TJ'!AS95)</f>
        <v>0</v>
      </c>
      <c r="AU87" s="17">
        <f>IF('Eurostat EB TJ'!AT95=":",0,'Eurostat EB TJ'!AT95)</f>
        <v>0</v>
      </c>
      <c r="AV87" s="17">
        <f>IF('Eurostat EB TJ'!AU95=":",0,'Eurostat EB TJ'!AU95)</f>
        <v>0</v>
      </c>
      <c r="AW87" s="17">
        <f>IF('Eurostat EB TJ'!AV95=":",0,'Eurostat EB TJ'!AV95)</f>
        <v>0</v>
      </c>
      <c r="AX87" s="17">
        <f>IF('Eurostat EB TJ'!AW95=":",0,'Eurostat EB TJ'!AW95)</f>
        <v>0</v>
      </c>
      <c r="AY87" s="17">
        <f>IF('Eurostat EB TJ'!AX95=":",0,'Eurostat EB TJ'!AX95)</f>
        <v>0</v>
      </c>
      <c r="AZ87" s="17">
        <f>IF('Eurostat EB TJ'!AY95=":",0,'Eurostat EB TJ'!AY95)</f>
        <v>0</v>
      </c>
      <c r="BA87" s="17">
        <f>IF('Eurostat EB TJ'!AZ95=":",0,'Eurostat EB TJ'!AZ95)</f>
        <v>0</v>
      </c>
      <c r="BB87" s="17">
        <f>IF('Eurostat EB TJ'!BA95=":",0,'Eurostat EB TJ'!BA95)</f>
        <v>0</v>
      </c>
      <c r="BC87" s="17">
        <f>IF('Eurostat EB TJ'!BB95=":",0,'Eurostat EB TJ'!BB95)</f>
        <v>0</v>
      </c>
      <c r="BD87" s="17">
        <f>IF('Eurostat EB TJ'!BC95=":",0,'Eurostat EB TJ'!BC95)</f>
        <v>0</v>
      </c>
      <c r="BE87" s="17">
        <f>IF('Eurostat EB TJ'!BD95=":",0,'Eurostat EB TJ'!BD95)</f>
        <v>0</v>
      </c>
      <c r="BF87" s="17">
        <f>IF('Eurostat EB TJ'!BE95=":",0,'Eurostat EB TJ'!BE95)</f>
        <v>0</v>
      </c>
      <c r="BG87" s="17">
        <f>IF('Eurostat EB TJ'!BF95=":",0,'Eurostat EB TJ'!BF95)</f>
        <v>0</v>
      </c>
      <c r="BH87" s="17">
        <f>IF('Eurostat EB TJ'!BG95=":",0,'Eurostat EB TJ'!BG95)</f>
        <v>0</v>
      </c>
      <c r="BI87" s="17">
        <f>IF('Eurostat EB TJ'!BH95=":",0,'Eurostat EB TJ'!BH95)</f>
        <v>0</v>
      </c>
      <c r="BJ87" s="17">
        <f>IF('Eurostat EB TJ'!BI95=":",0,'Eurostat EB TJ'!BI95)</f>
        <v>0</v>
      </c>
      <c r="BK87" s="17">
        <f>IF('Eurostat EB TJ'!BJ95=":",0,'Eurostat EB TJ'!BJ95)</f>
        <v>0</v>
      </c>
      <c r="BL87" s="17">
        <f>IF('Eurostat EB TJ'!BK95=":",0,'Eurostat EB TJ'!BK95)</f>
        <v>0</v>
      </c>
      <c r="BM87" s="17">
        <f>IF('Eurostat EB TJ'!BL95=":",0,'Eurostat EB TJ'!BL95)</f>
        <v>0</v>
      </c>
      <c r="BN87" s="17">
        <f>IF('Eurostat EB TJ'!BM95=":",0,'Eurostat EB TJ'!BM95)</f>
        <v>0</v>
      </c>
      <c r="BO87" s="17">
        <f>IF('Eurostat EB TJ'!BN95=":",0,'Eurostat EB TJ'!BN95)</f>
        <v>0</v>
      </c>
      <c r="BP87" s="17">
        <f>IF('Eurostat EB TJ'!BO95=":",0,'Eurostat EB TJ'!BO95)</f>
        <v>0</v>
      </c>
      <c r="BQ87" s="17">
        <f>IF('Eurostat EB TJ'!BP95=":",0,'Eurostat EB TJ'!BP95)</f>
        <v>0</v>
      </c>
      <c r="BR87" s="17">
        <f>IF('Eurostat EB TJ'!BQ95=":",0,'Eurostat EB TJ'!BQ95)</f>
        <v>0</v>
      </c>
      <c r="BS87" s="17">
        <f>IF('Eurostat EB TJ'!BR95=":",0,'Eurostat EB TJ'!BR95)</f>
        <v>0</v>
      </c>
      <c r="BT87" s="17">
        <f>IF('Eurostat EB TJ'!BS95=":",0,'Eurostat EB TJ'!BS95)</f>
        <v>0</v>
      </c>
      <c r="BU87" s="17">
        <f>IF('Eurostat EB TJ'!BT95=":",0,'Eurostat EB TJ'!BT95)</f>
        <v>0</v>
      </c>
      <c r="BV87" s="17">
        <f>IF('Eurostat EB TJ'!BU95=":",0,'Eurostat EB TJ'!BU95)</f>
        <v>0</v>
      </c>
    </row>
    <row r="88" spans="1:74" x14ac:dyDescent="0.2">
      <c r="A88" s="56" t="s">
        <v>269</v>
      </c>
      <c r="B88" s="57"/>
      <c r="C88" s="57">
        <f>IF('Eurostat EB TJ'!B96=":",0,'Eurostat EB TJ'!B96)</f>
        <v>0</v>
      </c>
      <c r="D88" s="57">
        <f>IF('Eurostat EB TJ'!C96=":",0,'Eurostat EB TJ'!C96)</f>
        <v>0</v>
      </c>
      <c r="E88" s="57">
        <f>IF('Eurostat EB TJ'!D96=":",0,'Eurostat EB TJ'!D96)</f>
        <v>0</v>
      </c>
      <c r="F88" s="57">
        <f>IF('Eurostat EB TJ'!E96=":",0,'Eurostat EB TJ'!E96)</f>
        <v>0</v>
      </c>
      <c r="G88" s="57">
        <f>IF('Eurostat EB TJ'!F96=":",0,'Eurostat EB TJ'!F96)</f>
        <v>0</v>
      </c>
      <c r="H88" s="57">
        <f>IF('Eurostat EB TJ'!G96=":",0,'Eurostat EB TJ'!G96)</f>
        <v>0</v>
      </c>
      <c r="I88" s="57">
        <f>IF('Eurostat EB TJ'!H96=":",0,'Eurostat EB TJ'!H96)</f>
        <v>0</v>
      </c>
      <c r="J88" s="57">
        <f>IF('Eurostat EB TJ'!I96=":",0,'Eurostat EB TJ'!I96)</f>
        <v>0</v>
      </c>
      <c r="K88" s="57">
        <f>IF('Eurostat EB TJ'!J96=":",0,'Eurostat EB TJ'!J96)</f>
        <v>0</v>
      </c>
      <c r="L88" s="57">
        <f>IF('Eurostat EB TJ'!K96=":",0,'Eurostat EB TJ'!K96)</f>
        <v>0</v>
      </c>
      <c r="M88" s="57">
        <f>IF('Eurostat EB TJ'!L96=":",0,'Eurostat EB TJ'!L96)</f>
        <v>0</v>
      </c>
      <c r="N88" s="57">
        <f>IF('Eurostat EB TJ'!M96=":",0,'Eurostat EB TJ'!M96)</f>
        <v>0</v>
      </c>
      <c r="O88" s="57">
        <f>IF('Eurostat EB TJ'!N96=":",0,'Eurostat EB TJ'!N96)</f>
        <v>0</v>
      </c>
      <c r="P88" s="57">
        <f>IF('Eurostat EB TJ'!O96=":",0,'Eurostat EB TJ'!O96)</f>
        <v>0</v>
      </c>
      <c r="Q88" s="57">
        <f>IF('Eurostat EB TJ'!P96=":",0,'Eurostat EB TJ'!P96)</f>
        <v>0</v>
      </c>
      <c r="R88" s="57">
        <f>IF('Eurostat EB TJ'!Q96=":",0,'Eurostat EB TJ'!Q96)</f>
        <v>0</v>
      </c>
      <c r="S88" s="57">
        <f>IF('Eurostat EB TJ'!R96=":",0,'Eurostat EB TJ'!R96)</f>
        <v>0</v>
      </c>
      <c r="T88" s="57">
        <f>IF('Eurostat EB TJ'!S96=":",0,'Eurostat EB TJ'!S96)</f>
        <v>0</v>
      </c>
      <c r="U88" s="57">
        <f>IF('Eurostat EB TJ'!T96=":",0,'Eurostat EB TJ'!T96)</f>
        <v>0</v>
      </c>
      <c r="V88" s="57">
        <f>IF('Eurostat EB TJ'!U96=":",0,'Eurostat EB TJ'!U96)</f>
        <v>0</v>
      </c>
      <c r="W88" s="57">
        <f>IF('Eurostat EB TJ'!V96=":",0,'Eurostat EB TJ'!V96)</f>
        <v>0</v>
      </c>
      <c r="X88" s="57">
        <f>IF('Eurostat EB TJ'!W96=":",0,'Eurostat EB TJ'!W96)</f>
        <v>0</v>
      </c>
      <c r="Y88" s="57">
        <f>IF('Eurostat EB TJ'!X96=":",0,'Eurostat EB TJ'!X96)</f>
        <v>0</v>
      </c>
      <c r="Z88" s="57">
        <f>IF('Eurostat EB TJ'!Y96=":",0,'Eurostat EB TJ'!Y96)</f>
        <v>0</v>
      </c>
      <c r="AA88" s="57">
        <f>IF('Eurostat EB TJ'!Z96=":",0,'Eurostat EB TJ'!Z96)</f>
        <v>0</v>
      </c>
      <c r="AB88" s="57">
        <f>IF('Eurostat EB TJ'!AA96=":",0,'Eurostat EB TJ'!AA96)</f>
        <v>0</v>
      </c>
      <c r="AC88" s="57">
        <f>IF('Eurostat EB TJ'!AB96=":",0,'Eurostat EB TJ'!AB96)</f>
        <v>0</v>
      </c>
      <c r="AD88" s="57">
        <f>IF('Eurostat EB TJ'!AC96=":",0,'Eurostat EB TJ'!AC96)</f>
        <v>0</v>
      </c>
      <c r="AE88" s="57">
        <f>IF('Eurostat EB TJ'!AD96=":",0,'Eurostat EB TJ'!AD96)</f>
        <v>0</v>
      </c>
      <c r="AF88" s="57">
        <f>IF('Eurostat EB TJ'!AE96=":",0,'Eurostat EB TJ'!AE96)</f>
        <v>0</v>
      </c>
      <c r="AG88" s="57">
        <f>IF('Eurostat EB TJ'!AF96=":",0,'Eurostat EB TJ'!AF96)</f>
        <v>0</v>
      </c>
      <c r="AH88" s="57">
        <f>IF('Eurostat EB TJ'!AG96=":",0,'Eurostat EB TJ'!AG96)</f>
        <v>0</v>
      </c>
      <c r="AI88" s="57">
        <f>IF('Eurostat EB TJ'!AH96=":",0,'Eurostat EB TJ'!AH96)</f>
        <v>0</v>
      </c>
      <c r="AJ88" s="57">
        <f>IF('Eurostat EB TJ'!AI96=":",0,'Eurostat EB TJ'!AI96)</f>
        <v>0</v>
      </c>
      <c r="AK88" s="57">
        <f>IF('Eurostat EB TJ'!AJ96=":",0,'Eurostat EB TJ'!AJ96)</f>
        <v>0</v>
      </c>
      <c r="AL88" s="57">
        <f>IF('Eurostat EB TJ'!AK96=":",0,'Eurostat EB TJ'!AK96)</f>
        <v>0</v>
      </c>
      <c r="AM88" s="57">
        <f>IF('Eurostat EB TJ'!AL96=":",0,'Eurostat EB TJ'!AL96)</f>
        <v>0</v>
      </c>
      <c r="AN88" s="57">
        <f>IF('Eurostat EB TJ'!AM96=":",0,'Eurostat EB TJ'!AM96)</f>
        <v>0</v>
      </c>
      <c r="AO88" s="57">
        <f>IF('Eurostat EB TJ'!AN96=":",0,'Eurostat EB TJ'!AN96)</f>
        <v>0</v>
      </c>
      <c r="AP88" s="57">
        <f>IF('Eurostat EB TJ'!AO96=":",0,'Eurostat EB TJ'!AO96)</f>
        <v>0</v>
      </c>
      <c r="AQ88" s="57">
        <f>IF('Eurostat EB TJ'!AP96=":",0,'Eurostat EB TJ'!AP96)</f>
        <v>0</v>
      </c>
      <c r="AR88" s="57">
        <f>IF('Eurostat EB TJ'!AQ96=":",0,'Eurostat EB TJ'!AQ96)</f>
        <v>0</v>
      </c>
      <c r="AS88" s="57">
        <f>IF('Eurostat EB TJ'!AR96=":",0,'Eurostat EB TJ'!AR96)</f>
        <v>0</v>
      </c>
      <c r="AT88" s="57">
        <f>IF('Eurostat EB TJ'!AS96=":",0,'Eurostat EB TJ'!AS96)</f>
        <v>0</v>
      </c>
      <c r="AU88" s="57">
        <f>IF('Eurostat EB TJ'!AT96=":",0,'Eurostat EB TJ'!AT96)</f>
        <v>0</v>
      </c>
      <c r="AV88" s="57">
        <f>IF('Eurostat EB TJ'!AU96=":",0,'Eurostat EB TJ'!AU96)</f>
        <v>0</v>
      </c>
      <c r="AW88" s="57">
        <f>IF('Eurostat EB TJ'!AV96=":",0,'Eurostat EB TJ'!AV96)</f>
        <v>0</v>
      </c>
      <c r="AX88" s="57">
        <f>IF('Eurostat EB TJ'!AW96=":",0,'Eurostat EB TJ'!AW96)</f>
        <v>0</v>
      </c>
      <c r="AY88" s="57">
        <f>IF('Eurostat EB TJ'!AX96=":",0,'Eurostat EB TJ'!AX96)</f>
        <v>0</v>
      </c>
      <c r="AZ88" s="57">
        <f>IF('Eurostat EB TJ'!AY96=":",0,'Eurostat EB TJ'!AY96)</f>
        <v>0</v>
      </c>
      <c r="BA88" s="57">
        <f>IF('Eurostat EB TJ'!AZ96=":",0,'Eurostat EB TJ'!AZ96)</f>
        <v>0</v>
      </c>
      <c r="BB88" s="57">
        <f>IF('Eurostat EB TJ'!BA96=":",0,'Eurostat EB TJ'!BA96)</f>
        <v>0</v>
      </c>
      <c r="BC88" s="57">
        <f>IF('Eurostat EB TJ'!BB96=":",0,'Eurostat EB TJ'!BB96)</f>
        <v>0</v>
      </c>
      <c r="BD88" s="57">
        <f>IF('Eurostat EB TJ'!BC96=":",0,'Eurostat EB TJ'!BC96)</f>
        <v>0</v>
      </c>
      <c r="BE88" s="57">
        <f>IF('Eurostat EB TJ'!BD96=":",0,'Eurostat EB TJ'!BD96)</f>
        <v>0</v>
      </c>
      <c r="BF88" s="57">
        <f>IF('Eurostat EB TJ'!BE96=":",0,'Eurostat EB TJ'!BE96)</f>
        <v>0</v>
      </c>
      <c r="BG88" s="57">
        <f>IF('Eurostat EB TJ'!BF96=":",0,'Eurostat EB TJ'!BF96)</f>
        <v>0</v>
      </c>
      <c r="BH88" s="57">
        <f>IF('Eurostat EB TJ'!BG96=":",0,'Eurostat EB TJ'!BG96)</f>
        <v>0</v>
      </c>
      <c r="BI88" s="57">
        <f>IF('Eurostat EB TJ'!BH96=":",0,'Eurostat EB TJ'!BH96)</f>
        <v>0</v>
      </c>
      <c r="BJ88" s="57">
        <f>IF('Eurostat EB TJ'!BI96=":",0,'Eurostat EB TJ'!BI96)</f>
        <v>0</v>
      </c>
      <c r="BK88" s="57">
        <f>IF('Eurostat EB TJ'!BJ96=":",0,'Eurostat EB TJ'!BJ96)</f>
        <v>0</v>
      </c>
      <c r="BL88" s="57">
        <f>IF('Eurostat EB TJ'!BK96=":",0,'Eurostat EB TJ'!BK96)</f>
        <v>0</v>
      </c>
      <c r="BM88" s="57">
        <f>IF('Eurostat EB TJ'!BL96=":",0,'Eurostat EB TJ'!BL96)</f>
        <v>0</v>
      </c>
      <c r="BN88" s="57">
        <f>IF('Eurostat EB TJ'!BM96=":",0,'Eurostat EB TJ'!BM96)</f>
        <v>0</v>
      </c>
      <c r="BO88" s="57">
        <f>IF('Eurostat EB TJ'!BN96=":",0,'Eurostat EB TJ'!BN96)</f>
        <v>0</v>
      </c>
      <c r="BP88" s="57">
        <f>IF('Eurostat EB TJ'!BO96=":",0,'Eurostat EB TJ'!BO96)</f>
        <v>0</v>
      </c>
      <c r="BQ88" s="57">
        <f>IF('Eurostat EB TJ'!BP96=":",0,'Eurostat EB TJ'!BP96)</f>
        <v>0</v>
      </c>
      <c r="BR88" s="57">
        <f>IF('Eurostat EB TJ'!BQ96=":",0,'Eurostat EB TJ'!BQ96)</f>
        <v>0</v>
      </c>
      <c r="BS88" s="57">
        <f>IF('Eurostat EB TJ'!BR96=":",0,'Eurostat EB TJ'!BR96)</f>
        <v>0</v>
      </c>
      <c r="BT88" s="57">
        <f>IF('Eurostat EB TJ'!BS96=":",0,'Eurostat EB TJ'!BS96)</f>
        <v>0</v>
      </c>
      <c r="BU88" s="57">
        <f>IF('Eurostat EB TJ'!BT96=":",0,'Eurostat EB TJ'!BT96)</f>
        <v>0</v>
      </c>
      <c r="BV88" s="57">
        <f>IF('Eurostat EB TJ'!BU96=":",0,'Eurostat EB TJ'!BU96)</f>
        <v>0</v>
      </c>
    </row>
    <row r="89" spans="1:74" x14ac:dyDescent="0.2">
      <c r="A89" s="56" t="s">
        <v>270</v>
      </c>
      <c r="B89" s="17"/>
      <c r="C89" s="17">
        <f>IF('Eurostat EB TJ'!B97=":",0,'Eurostat EB TJ'!B97)</f>
        <v>6773.41</v>
      </c>
      <c r="D89" s="17">
        <f>IF('Eurostat EB TJ'!C97=":",0,'Eurostat EB TJ'!C97)</f>
        <v>0</v>
      </c>
      <c r="E89" s="17">
        <f>IF('Eurostat EB TJ'!D97=":",0,'Eurostat EB TJ'!D97)</f>
        <v>0</v>
      </c>
      <c r="F89" s="17">
        <f>IF('Eurostat EB TJ'!E97=":",0,'Eurostat EB TJ'!E97)</f>
        <v>0</v>
      </c>
      <c r="G89" s="17">
        <f>IF('Eurostat EB TJ'!F97=":",0,'Eurostat EB TJ'!F97)</f>
        <v>0</v>
      </c>
      <c r="H89" s="17">
        <f>IF('Eurostat EB TJ'!G97=":",0,'Eurostat EB TJ'!G97)</f>
        <v>0</v>
      </c>
      <c r="I89" s="17">
        <f>IF('Eurostat EB TJ'!H97=":",0,'Eurostat EB TJ'!H97)</f>
        <v>0</v>
      </c>
      <c r="J89" s="17">
        <f>IF('Eurostat EB TJ'!I97=":",0,'Eurostat EB TJ'!I97)</f>
        <v>0</v>
      </c>
      <c r="K89" s="17">
        <f>IF('Eurostat EB TJ'!J97=":",0,'Eurostat EB TJ'!J97)</f>
        <v>0</v>
      </c>
      <c r="L89" s="17">
        <f>IF('Eurostat EB TJ'!K97=":",0,'Eurostat EB TJ'!K97)</f>
        <v>0</v>
      </c>
      <c r="M89" s="17">
        <f>IF('Eurostat EB TJ'!L97=":",0,'Eurostat EB TJ'!L97)</f>
        <v>0</v>
      </c>
      <c r="N89" s="17">
        <f>IF('Eurostat EB TJ'!M97=":",0,'Eurostat EB TJ'!M97)</f>
        <v>0</v>
      </c>
      <c r="O89" s="17">
        <f>IF('Eurostat EB TJ'!N97=":",0,'Eurostat EB TJ'!N97)</f>
        <v>5864.0060000000003</v>
      </c>
      <c r="P89" s="17">
        <f>IF('Eurostat EB TJ'!O97=":",0,'Eurostat EB TJ'!O97)</f>
        <v>426.66300000000001</v>
      </c>
      <c r="Q89" s="17">
        <f>IF('Eurostat EB TJ'!P97=":",0,'Eurostat EB TJ'!P97)</f>
        <v>0</v>
      </c>
      <c r="R89" s="17">
        <f>IF('Eurostat EB TJ'!Q97=":",0,'Eurostat EB TJ'!Q97)</f>
        <v>5437.3429999999998</v>
      </c>
      <c r="S89" s="17">
        <f>IF('Eurostat EB TJ'!R97=":",0,'Eurostat EB TJ'!R97)</f>
        <v>0</v>
      </c>
      <c r="T89" s="17">
        <f>IF('Eurostat EB TJ'!S97=":",0,'Eurostat EB TJ'!S97)</f>
        <v>0</v>
      </c>
      <c r="U89" s="17">
        <f>IF('Eurostat EB TJ'!T97=":",0,'Eurostat EB TJ'!T97)</f>
        <v>0</v>
      </c>
      <c r="V89" s="17">
        <f>IF('Eurostat EB TJ'!U97=":",0,'Eurostat EB TJ'!U97)</f>
        <v>0</v>
      </c>
      <c r="W89" s="17">
        <f>IF('Eurostat EB TJ'!V97=":",0,'Eurostat EB TJ'!V97)</f>
        <v>0</v>
      </c>
      <c r="X89" s="17">
        <f>IF('Eurostat EB TJ'!W97=":",0,'Eurostat EB TJ'!W97)</f>
        <v>524.42700000000002</v>
      </c>
      <c r="Y89" s="17">
        <f>IF('Eurostat EB TJ'!X97=":",0,'Eurostat EB TJ'!X97)</f>
        <v>0</v>
      </c>
      <c r="Z89" s="17">
        <f>IF('Eurostat EB TJ'!Y97=":",0,'Eurostat EB TJ'!Y97)</f>
        <v>0</v>
      </c>
      <c r="AA89" s="17">
        <f>IF('Eurostat EB TJ'!Z97=":",0,'Eurostat EB TJ'!Z97)</f>
        <v>0</v>
      </c>
      <c r="AB89" s="17">
        <f>IF('Eurostat EB TJ'!AA97=":",0,'Eurostat EB TJ'!AA97)</f>
        <v>0</v>
      </c>
      <c r="AC89" s="17">
        <f>IF('Eurostat EB TJ'!AB97=":",0,'Eurostat EB TJ'!AB97)</f>
        <v>0</v>
      </c>
      <c r="AD89" s="17">
        <f>IF('Eurostat EB TJ'!AC97=":",0,'Eurostat EB TJ'!AC97)</f>
        <v>0</v>
      </c>
      <c r="AE89" s="17">
        <f>IF('Eurostat EB TJ'!AD97=":",0,'Eurostat EB TJ'!AD97)</f>
        <v>0</v>
      </c>
      <c r="AF89" s="17">
        <f>IF('Eurostat EB TJ'!AE97=":",0,'Eurostat EB TJ'!AE97)</f>
        <v>0</v>
      </c>
      <c r="AG89" s="17">
        <f>IF('Eurostat EB TJ'!AF97=":",0,'Eurostat EB TJ'!AF97)</f>
        <v>0</v>
      </c>
      <c r="AH89" s="17">
        <f>IF('Eurostat EB TJ'!AG97=":",0,'Eurostat EB TJ'!AG97)</f>
        <v>0</v>
      </c>
      <c r="AI89" s="17">
        <f>IF('Eurostat EB TJ'!AH97=":",0,'Eurostat EB TJ'!AH97)</f>
        <v>0</v>
      </c>
      <c r="AJ89" s="17">
        <f>IF('Eurostat EB TJ'!AI97=":",0,'Eurostat EB TJ'!AI97)</f>
        <v>0</v>
      </c>
      <c r="AK89" s="17">
        <f>IF('Eurostat EB TJ'!AJ97=":",0,'Eurostat EB TJ'!AJ97)</f>
        <v>0</v>
      </c>
      <c r="AL89" s="17">
        <f>IF('Eurostat EB TJ'!AK97=":",0,'Eurostat EB TJ'!AK97)</f>
        <v>0</v>
      </c>
      <c r="AM89" s="17">
        <f>IF('Eurostat EB TJ'!AL97=":",0,'Eurostat EB TJ'!AL97)</f>
        <v>0</v>
      </c>
      <c r="AN89" s="17">
        <f>IF('Eurostat EB TJ'!AM97=":",0,'Eurostat EB TJ'!AM97)</f>
        <v>0</v>
      </c>
      <c r="AO89" s="17">
        <f>IF('Eurostat EB TJ'!AN97=":",0,'Eurostat EB TJ'!AN97)</f>
        <v>0</v>
      </c>
      <c r="AP89" s="17">
        <f>IF('Eurostat EB TJ'!AO97=":",0,'Eurostat EB TJ'!AO97)</f>
        <v>0</v>
      </c>
      <c r="AQ89" s="17">
        <f>IF('Eurostat EB TJ'!AP97=":",0,'Eurostat EB TJ'!AP97)</f>
        <v>0</v>
      </c>
      <c r="AR89" s="17">
        <f>IF('Eurostat EB TJ'!AQ97=":",0,'Eurostat EB TJ'!AQ97)</f>
        <v>0</v>
      </c>
      <c r="AS89" s="17">
        <f>IF('Eurostat EB TJ'!AR97=":",0,'Eurostat EB TJ'!AR97)</f>
        <v>0</v>
      </c>
      <c r="AT89" s="17">
        <f>IF('Eurostat EB TJ'!AS97=":",0,'Eurostat EB TJ'!AS97)</f>
        <v>0</v>
      </c>
      <c r="AU89" s="17">
        <f>IF('Eurostat EB TJ'!AT97=":",0,'Eurostat EB TJ'!AT97)</f>
        <v>0</v>
      </c>
      <c r="AV89" s="17">
        <f>IF('Eurostat EB TJ'!AU97=":",0,'Eurostat EB TJ'!AU97)</f>
        <v>0</v>
      </c>
      <c r="AW89" s="17">
        <f>IF('Eurostat EB TJ'!AV97=":",0,'Eurostat EB TJ'!AV97)</f>
        <v>0</v>
      </c>
      <c r="AX89" s="17">
        <f>IF('Eurostat EB TJ'!AW97=":",0,'Eurostat EB TJ'!AW97)</f>
        <v>0</v>
      </c>
      <c r="AY89" s="17">
        <f>IF('Eurostat EB TJ'!AX97=":",0,'Eurostat EB TJ'!AX97)</f>
        <v>0</v>
      </c>
      <c r="AZ89" s="17">
        <f>IF('Eurostat EB TJ'!AY97=":",0,'Eurostat EB TJ'!AY97)</f>
        <v>0</v>
      </c>
      <c r="BA89" s="17">
        <f>IF('Eurostat EB TJ'!AZ97=":",0,'Eurostat EB TJ'!AZ97)</f>
        <v>0</v>
      </c>
      <c r="BB89" s="17">
        <f>IF('Eurostat EB TJ'!BA97=":",0,'Eurostat EB TJ'!BA97)</f>
        <v>0</v>
      </c>
      <c r="BC89" s="17">
        <f>IF('Eurostat EB TJ'!BB97=":",0,'Eurostat EB TJ'!BB97)</f>
        <v>0</v>
      </c>
      <c r="BD89" s="17">
        <f>IF('Eurostat EB TJ'!BC97=":",0,'Eurostat EB TJ'!BC97)</f>
        <v>0</v>
      </c>
      <c r="BE89" s="17">
        <f>IF('Eurostat EB TJ'!BD97=":",0,'Eurostat EB TJ'!BD97)</f>
        <v>0</v>
      </c>
      <c r="BF89" s="17">
        <f>IF('Eurostat EB TJ'!BE97=":",0,'Eurostat EB TJ'!BE97)</f>
        <v>0</v>
      </c>
      <c r="BG89" s="17">
        <f>IF('Eurostat EB TJ'!BF97=":",0,'Eurostat EB TJ'!BF97)</f>
        <v>0</v>
      </c>
      <c r="BH89" s="17">
        <f>IF('Eurostat EB TJ'!BG97=":",0,'Eurostat EB TJ'!BG97)</f>
        <v>0</v>
      </c>
      <c r="BI89" s="17">
        <f>IF('Eurostat EB TJ'!BH97=":",0,'Eurostat EB TJ'!BH97)</f>
        <v>0</v>
      </c>
      <c r="BJ89" s="17">
        <f>IF('Eurostat EB TJ'!BI97=":",0,'Eurostat EB TJ'!BI97)</f>
        <v>0</v>
      </c>
      <c r="BK89" s="17">
        <f>IF('Eurostat EB TJ'!BJ97=":",0,'Eurostat EB TJ'!BJ97)</f>
        <v>0</v>
      </c>
      <c r="BL89" s="17">
        <f>IF('Eurostat EB TJ'!BK97=":",0,'Eurostat EB TJ'!BK97)</f>
        <v>0</v>
      </c>
      <c r="BM89" s="17">
        <f>IF('Eurostat EB TJ'!BL97=":",0,'Eurostat EB TJ'!BL97)</f>
        <v>0</v>
      </c>
      <c r="BN89" s="17">
        <f>IF('Eurostat EB TJ'!BM97=":",0,'Eurostat EB TJ'!BM97)</f>
        <v>0</v>
      </c>
      <c r="BO89" s="17">
        <f>IF('Eurostat EB TJ'!BN97=":",0,'Eurostat EB TJ'!BN97)</f>
        <v>0</v>
      </c>
      <c r="BP89" s="17">
        <f>IF('Eurostat EB TJ'!BO97=":",0,'Eurostat EB TJ'!BO97)</f>
        <v>0</v>
      </c>
      <c r="BQ89" s="17">
        <f>IF('Eurostat EB TJ'!BP97=":",0,'Eurostat EB TJ'!BP97)</f>
        <v>0</v>
      </c>
      <c r="BR89" s="17">
        <f>IF('Eurostat EB TJ'!BQ97=":",0,'Eurostat EB TJ'!BQ97)</f>
        <v>0</v>
      </c>
      <c r="BS89" s="17">
        <f>IF('Eurostat EB TJ'!BR97=":",0,'Eurostat EB TJ'!BR97)</f>
        <v>384.97699999999998</v>
      </c>
      <c r="BT89" s="17">
        <f>IF('Eurostat EB TJ'!BS97=":",0,'Eurostat EB TJ'!BS97)</f>
        <v>0</v>
      </c>
      <c r="BU89" s="17">
        <f>IF('Eurostat EB TJ'!BT97=":",0,'Eurostat EB TJ'!BT97)</f>
        <v>31.001000000000001</v>
      </c>
      <c r="BV89" s="17">
        <f>IF('Eurostat EB TJ'!BU97=":",0,'Eurostat EB TJ'!BU97)</f>
        <v>6571.9309999999996</v>
      </c>
    </row>
    <row r="90" spans="1:74" x14ac:dyDescent="0.2">
      <c r="A90" s="56" t="s">
        <v>271</v>
      </c>
      <c r="B90" s="57"/>
      <c r="C90" s="57">
        <f>IF('Eurostat EB TJ'!B98=":",0,'Eurostat EB TJ'!B98)</f>
        <v>139399.74600000001</v>
      </c>
      <c r="D90" s="57">
        <f>IF('Eurostat EB TJ'!C98=":",0,'Eurostat EB TJ'!C98)</f>
        <v>0</v>
      </c>
      <c r="E90" s="57">
        <f>IF('Eurostat EB TJ'!D98=":",0,'Eurostat EB TJ'!D98)</f>
        <v>0</v>
      </c>
      <c r="F90" s="57">
        <f>IF('Eurostat EB TJ'!E98=":",0,'Eurostat EB TJ'!E98)</f>
        <v>0</v>
      </c>
      <c r="G90" s="57">
        <f>IF('Eurostat EB TJ'!F98=":",0,'Eurostat EB TJ'!F98)</f>
        <v>0</v>
      </c>
      <c r="H90" s="57">
        <f>IF('Eurostat EB TJ'!G98=":",0,'Eurostat EB TJ'!G98)</f>
        <v>0</v>
      </c>
      <c r="I90" s="57">
        <f>IF('Eurostat EB TJ'!H98=":",0,'Eurostat EB TJ'!H98)</f>
        <v>0</v>
      </c>
      <c r="J90" s="57">
        <f>IF('Eurostat EB TJ'!I98=":",0,'Eurostat EB TJ'!I98)</f>
        <v>0</v>
      </c>
      <c r="K90" s="57">
        <f>IF('Eurostat EB TJ'!J98=":",0,'Eurostat EB TJ'!J98)</f>
        <v>0</v>
      </c>
      <c r="L90" s="57">
        <f>IF('Eurostat EB TJ'!K98=":",0,'Eurostat EB TJ'!K98)</f>
        <v>0</v>
      </c>
      <c r="M90" s="57">
        <f>IF('Eurostat EB TJ'!L98=":",0,'Eurostat EB TJ'!L98)</f>
        <v>0</v>
      </c>
      <c r="N90" s="57">
        <f>IF('Eurostat EB TJ'!M98=":",0,'Eurostat EB TJ'!M98)</f>
        <v>0</v>
      </c>
      <c r="O90" s="57">
        <f>IF('Eurostat EB TJ'!N98=":",0,'Eurostat EB TJ'!N98)</f>
        <v>0</v>
      </c>
      <c r="P90" s="57">
        <f>IF('Eurostat EB TJ'!O98=":",0,'Eurostat EB TJ'!O98)</f>
        <v>0</v>
      </c>
      <c r="Q90" s="57">
        <f>IF('Eurostat EB TJ'!P98=":",0,'Eurostat EB TJ'!P98)</f>
        <v>0</v>
      </c>
      <c r="R90" s="57">
        <f>IF('Eurostat EB TJ'!Q98=":",0,'Eurostat EB TJ'!Q98)</f>
        <v>0</v>
      </c>
      <c r="S90" s="57">
        <f>IF('Eurostat EB TJ'!R98=":",0,'Eurostat EB TJ'!R98)</f>
        <v>0</v>
      </c>
      <c r="T90" s="57">
        <f>IF('Eurostat EB TJ'!S98=":",0,'Eurostat EB TJ'!S98)</f>
        <v>0</v>
      </c>
      <c r="U90" s="57">
        <f>IF('Eurostat EB TJ'!T98=":",0,'Eurostat EB TJ'!T98)</f>
        <v>0</v>
      </c>
      <c r="V90" s="57">
        <f>IF('Eurostat EB TJ'!U98=":",0,'Eurostat EB TJ'!U98)</f>
        <v>0</v>
      </c>
      <c r="W90" s="57">
        <f>IF('Eurostat EB TJ'!V98=":",0,'Eurostat EB TJ'!V98)</f>
        <v>0</v>
      </c>
      <c r="X90" s="57">
        <f>IF('Eurostat EB TJ'!W98=":",0,'Eurostat EB TJ'!W98)</f>
        <v>17101.123</v>
      </c>
      <c r="Y90" s="57">
        <f>IF('Eurostat EB TJ'!X98=":",0,'Eurostat EB TJ'!X98)</f>
        <v>104028.63800000001</v>
      </c>
      <c r="Z90" s="57">
        <f>IF('Eurostat EB TJ'!Y98=":",0,'Eurostat EB TJ'!Y98)</f>
        <v>0</v>
      </c>
      <c r="AA90" s="57">
        <f>IF('Eurostat EB TJ'!Z98=":",0,'Eurostat EB TJ'!Z98)</f>
        <v>0</v>
      </c>
      <c r="AB90" s="57">
        <f>IF('Eurostat EB TJ'!AA98=":",0,'Eurostat EB TJ'!AA98)</f>
        <v>0</v>
      </c>
      <c r="AC90" s="57">
        <f>IF('Eurostat EB TJ'!AB98=":",0,'Eurostat EB TJ'!AB98)</f>
        <v>0</v>
      </c>
      <c r="AD90" s="57">
        <f>IF('Eurostat EB TJ'!AC98=":",0,'Eurostat EB TJ'!AC98)</f>
        <v>0</v>
      </c>
      <c r="AE90" s="57">
        <f>IF('Eurostat EB TJ'!AD98=":",0,'Eurostat EB TJ'!AD98)</f>
        <v>89172.464000000007</v>
      </c>
      <c r="AF90" s="57">
        <f>IF('Eurostat EB TJ'!AE98=":",0,'Eurostat EB TJ'!AE98)</f>
        <v>0</v>
      </c>
      <c r="AG90" s="57">
        <f>IF('Eurostat EB TJ'!AF98=":",0,'Eurostat EB TJ'!AF98)</f>
        <v>4181.308</v>
      </c>
      <c r="AH90" s="57">
        <f>IF('Eurostat EB TJ'!AG98=":",0,'Eurostat EB TJ'!AG98)</f>
        <v>0</v>
      </c>
      <c r="AI90" s="57">
        <f>IF('Eurostat EB TJ'!AH98=":",0,'Eurostat EB TJ'!AH98)</f>
        <v>0</v>
      </c>
      <c r="AJ90" s="57">
        <f>IF('Eurostat EB TJ'!AI98=":",0,'Eurostat EB TJ'!AI98)</f>
        <v>0</v>
      </c>
      <c r="AK90" s="57">
        <f>IF('Eurostat EB TJ'!AJ98=":",0,'Eurostat EB TJ'!AJ98)</f>
        <v>0</v>
      </c>
      <c r="AL90" s="57">
        <f>IF('Eurostat EB TJ'!AK98=":",0,'Eurostat EB TJ'!AK98)</f>
        <v>0</v>
      </c>
      <c r="AM90" s="57">
        <f>IF('Eurostat EB TJ'!AL98=":",0,'Eurostat EB TJ'!AL98)</f>
        <v>0</v>
      </c>
      <c r="AN90" s="57">
        <f>IF('Eurostat EB TJ'!AM98=":",0,'Eurostat EB TJ'!AM98)</f>
        <v>4.5730000000000004</v>
      </c>
      <c r="AO90" s="57">
        <f>IF('Eurostat EB TJ'!AN98=":",0,'Eurostat EB TJ'!AN98)</f>
        <v>0</v>
      </c>
      <c r="AP90" s="57">
        <f>IF('Eurostat EB TJ'!AO98=":",0,'Eurostat EB TJ'!AO98)</f>
        <v>0</v>
      </c>
      <c r="AQ90" s="57">
        <f>IF('Eurostat EB TJ'!AP98=":",0,'Eurostat EB TJ'!AP98)</f>
        <v>0</v>
      </c>
      <c r="AR90" s="57">
        <f>IF('Eurostat EB TJ'!AQ98=":",0,'Eurostat EB TJ'!AQ98)</f>
        <v>0</v>
      </c>
      <c r="AS90" s="57">
        <f>IF('Eurostat EB TJ'!AR98=":",0,'Eurostat EB TJ'!AR98)</f>
        <v>10670.291999999999</v>
      </c>
      <c r="AT90" s="57">
        <f>IF('Eurostat EB TJ'!AS98=":",0,'Eurostat EB TJ'!AS98)</f>
        <v>0</v>
      </c>
      <c r="AU90" s="57">
        <f>IF('Eurostat EB TJ'!AT98=":",0,'Eurostat EB TJ'!AT98)</f>
        <v>0</v>
      </c>
      <c r="AV90" s="57">
        <f>IF('Eurostat EB TJ'!AU98=":",0,'Eurostat EB TJ'!AU98)</f>
        <v>0</v>
      </c>
      <c r="AW90" s="57">
        <f>IF('Eurostat EB TJ'!AV98=":",0,'Eurostat EB TJ'!AV98)</f>
        <v>0</v>
      </c>
      <c r="AX90" s="57">
        <f>IF('Eurostat EB TJ'!AW98=":",0,'Eurostat EB TJ'!AW98)</f>
        <v>0</v>
      </c>
      <c r="AY90" s="57">
        <f>IF('Eurostat EB TJ'!AX98=":",0,'Eurostat EB TJ'!AX98)</f>
        <v>0</v>
      </c>
      <c r="AZ90" s="57">
        <f>IF('Eurostat EB TJ'!AY98=":",0,'Eurostat EB TJ'!AY98)</f>
        <v>0</v>
      </c>
      <c r="BA90" s="57">
        <f>IF('Eurostat EB TJ'!AZ98=":",0,'Eurostat EB TJ'!AZ98)</f>
        <v>0</v>
      </c>
      <c r="BB90" s="57">
        <f>IF('Eurostat EB TJ'!BA98=":",0,'Eurostat EB TJ'!BA98)</f>
        <v>0</v>
      </c>
      <c r="BC90" s="57">
        <f>IF('Eurostat EB TJ'!BB98=":",0,'Eurostat EB TJ'!BB98)</f>
        <v>0</v>
      </c>
      <c r="BD90" s="57">
        <f>IF('Eurostat EB TJ'!BC98=":",0,'Eurostat EB TJ'!BC98)</f>
        <v>0</v>
      </c>
      <c r="BE90" s="57">
        <f>IF('Eurostat EB TJ'!BD98=":",0,'Eurostat EB TJ'!BD98)</f>
        <v>0</v>
      </c>
      <c r="BF90" s="57">
        <f>IF('Eurostat EB TJ'!BE98=":",0,'Eurostat EB TJ'!BE98)</f>
        <v>0</v>
      </c>
      <c r="BG90" s="57">
        <f>IF('Eurostat EB TJ'!BF98=":",0,'Eurostat EB TJ'!BF98)</f>
        <v>0</v>
      </c>
      <c r="BH90" s="57">
        <f>IF('Eurostat EB TJ'!BG98=":",0,'Eurostat EB TJ'!BG98)</f>
        <v>0</v>
      </c>
      <c r="BI90" s="57">
        <f>IF('Eurostat EB TJ'!BH98=":",0,'Eurostat EB TJ'!BH98)</f>
        <v>0</v>
      </c>
      <c r="BJ90" s="57">
        <f>IF('Eurostat EB TJ'!BI98=":",0,'Eurostat EB TJ'!BI98)</f>
        <v>0</v>
      </c>
      <c r="BK90" s="57">
        <f>IF('Eurostat EB TJ'!BJ98=":",0,'Eurostat EB TJ'!BJ98)</f>
        <v>0</v>
      </c>
      <c r="BL90" s="57">
        <f>IF('Eurostat EB TJ'!BK98=":",0,'Eurostat EB TJ'!BK98)</f>
        <v>0</v>
      </c>
      <c r="BM90" s="57">
        <f>IF('Eurostat EB TJ'!BL98=":",0,'Eurostat EB TJ'!BL98)</f>
        <v>0</v>
      </c>
      <c r="BN90" s="57">
        <f>IF('Eurostat EB TJ'!BM98=":",0,'Eurostat EB TJ'!BM98)</f>
        <v>0</v>
      </c>
      <c r="BO90" s="57">
        <f>IF('Eurostat EB TJ'!BN98=":",0,'Eurostat EB TJ'!BN98)</f>
        <v>0</v>
      </c>
      <c r="BP90" s="57">
        <f>IF('Eurostat EB TJ'!BO98=":",0,'Eurostat EB TJ'!BO98)</f>
        <v>0</v>
      </c>
      <c r="BQ90" s="57">
        <f>IF('Eurostat EB TJ'!BP98=":",0,'Eurostat EB TJ'!BP98)</f>
        <v>0</v>
      </c>
      <c r="BR90" s="57">
        <f>IF('Eurostat EB TJ'!BQ98=":",0,'Eurostat EB TJ'!BQ98)</f>
        <v>0</v>
      </c>
      <c r="BS90" s="57">
        <f>IF('Eurostat EB TJ'!BR98=":",0,'Eurostat EB TJ'!BR98)</f>
        <v>9573.6059999999998</v>
      </c>
      <c r="BT90" s="57">
        <f>IF('Eurostat EB TJ'!BS98=":",0,'Eurostat EB TJ'!BS98)</f>
        <v>8696.3790000000008</v>
      </c>
      <c r="BU90" s="57">
        <f>IF('Eurostat EB TJ'!BT98=":",0,'Eurostat EB TJ'!BT98)</f>
        <v>2721.5419999999999</v>
      </c>
      <c r="BV90" s="57">
        <f>IF('Eurostat EB TJ'!BU98=":",0,'Eurostat EB TJ'!BU98)</f>
        <v>131690.16800000001</v>
      </c>
    </row>
    <row r="91" spans="1:74" x14ac:dyDescent="0.2">
      <c r="A91" s="56" t="s">
        <v>272</v>
      </c>
      <c r="B91" s="17"/>
      <c r="C91" s="17">
        <f>IF('Eurostat EB TJ'!B99=":",0,'Eurostat EB TJ'!B99)</f>
        <v>566.87</v>
      </c>
      <c r="D91" s="17">
        <f>IF('Eurostat EB TJ'!C99=":",0,'Eurostat EB TJ'!C99)</f>
        <v>0</v>
      </c>
      <c r="E91" s="17">
        <f>IF('Eurostat EB TJ'!D99=":",0,'Eurostat EB TJ'!D99)</f>
        <v>0</v>
      </c>
      <c r="F91" s="17">
        <f>IF('Eurostat EB TJ'!E99=":",0,'Eurostat EB TJ'!E99)</f>
        <v>0</v>
      </c>
      <c r="G91" s="17">
        <f>IF('Eurostat EB TJ'!F99=":",0,'Eurostat EB TJ'!F99)</f>
        <v>0</v>
      </c>
      <c r="H91" s="17">
        <f>IF('Eurostat EB TJ'!G99=":",0,'Eurostat EB TJ'!G99)</f>
        <v>0</v>
      </c>
      <c r="I91" s="17">
        <f>IF('Eurostat EB TJ'!H99=":",0,'Eurostat EB TJ'!H99)</f>
        <v>0</v>
      </c>
      <c r="J91" s="17">
        <f>IF('Eurostat EB TJ'!I99=":",0,'Eurostat EB TJ'!I99)</f>
        <v>0</v>
      </c>
      <c r="K91" s="17">
        <f>IF('Eurostat EB TJ'!J99=":",0,'Eurostat EB TJ'!J99)</f>
        <v>0</v>
      </c>
      <c r="L91" s="17">
        <f>IF('Eurostat EB TJ'!K99=":",0,'Eurostat EB TJ'!K99)</f>
        <v>0</v>
      </c>
      <c r="M91" s="17">
        <f>IF('Eurostat EB TJ'!L99=":",0,'Eurostat EB TJ'!L99)</f>
        <v>0</v>
      </c>
      <c r="N91" s="17">
        <f>IF('Eurostat EB TJ'!M99=":",0,'Eurostat EB TJ'!M99)</f>
        <v>0</v>
      </c>
      <c r="O91" s="17">
        <f>IF('Eurostat EB TJ'!N99=":",0,'Eurostat EB TJ'!N99)</f>
        <v>0</v>
      </c>
      <c r="P91" s="17">
        <f>IF('Eurostat EB TJ'!O99=":",0,'Eurostat EB TJ'!O99)</f>
        <v>0</v>
      </c>
      <c r="Q91" s="17">
        <f>IF('Eurostat EB TJ'!P99=":",0,'Eurostat EB TJ'!P99)</f>
        <v>0</v>
      </c>
      <c r="R91" s="17">
        <f>IF('Eurostat EB TJ'!Q99=":",0,'Eurostat EB TJ'!Q99)</f>
        <v>0</v>
      </c>
      <c r="S91" s="17">
        <f>IF('Eurostat EB TJ'!R99=":",0,'Eurostat EB TJ'!R99)</f>
        <v>0</v>
      </c>
      <c r="T91" s="17">
        <f>IF('Eurostat EB TJ'!S99=":",0,'Eurostat EB TJ'!S99)</f>
        <v>0</v>
      </c>
      <c r="U91" s="17">
        <f>IF('Eurostat EB TJ'!T99=":",0,'Eurostat EB TJ'!T99)</f>
        <v>0</v>
      </c>
      <c r="V91" s="17">
        <f>IF('Eurostat EB TJ'!U99=":",0,'Eurostat EB TJ'!U99)</f>
        <v>0</v>
      </c>
      <c r="W91" s="17">
        <f>IF('Eurostat EB TJ'!V99=":",0,'Eurostat EB TJ'!V99)</f>
        <v>0</v>
      </c>
      <c r="X91" s="17">
        <f>IF('Eurostat EB TJ'!W99=":",0,'Eurostat EB TJ'!W99)</f>
        <v>0</v>
      </c>
      <c r="Y91" s="17">
        <f>IF('Eurostat EB TJ'!X99=":",0,'Eurostat EB TJ'!X99)</f>
        <v>0</v>
      </c>
      <c r="Z91" s="17">
        <f>IF('Eurostat EB TJ'!Y99=":",0,'Eurostat EB TJ'!Y99)</f>
        <v>0</v>
      </c>
      <c r="AA91" s="17">
        <f>IF('Eurostat EB TJ'!Z99=":",0,'Eurostat EB TJ'!Z99)</f>
        <v>0</v>
      </c>
      <c r="AB91" s="17">
        <f>IF('Eurostat EB TJ'!AA99=":",0,'Eurostat EB TJ'!AA99)</f>
        <v>0</v>
      </c>
      <c r="AC91" s="17">
        <f>IF('Eurostat EB TJ'!AB99=":",0,'Eurostat EB TJ'!AB99)</f>
        <v>0</v>
      </c>
      <c r="AD91" s="17">
        <f>IF('Eurostat EB TJ'!AC99=":",0,'Eurostat EB TJ'!AC99)</f>
        <v>0</v>
      </c>
      <c r="AE91" s="17">
        <f>IF('Eurostat EB TJ'!AD99=":",0,'Eurostat EB TJ'!AD99)</f>
        <v>0</v>
      </c>
      <c r="AF91" s="17">
        <f>IF('Eurostat EB TJ'!AE99=":",0,'Eurostat EB TJ'!AE99)</f>
        <v>0</v>
      </c>
      <c r="AG91" s="17">
        <f>IF('Eurostat EB TJ'!AF99=":",0,'Eurostat EB TJ'!AF99)</f>
        <v>0</v>
      </c>
      <c r="AH91" s="17">
        <f>IF('Eurostat EB TJ'!AG99=":",0,'Eurostat EB TJ'!AG99)</f>
        <v>0</v>
      </c>
      <c r="AI91" s="17">
        <f>IF('Eurostat EB TJ'!AH99=":",0,'Eurostat EB TJ'!AH99)</f>
        <v>0</v>
      </c>
      <c r="AJ91" s="17">
        <f>IF('Eurostat EB TJ'!AI99=":",0,'Eurostat EB TJ'!AI99)</f>
        <v>0</v>
      </c>
      <c r="AK91" s="17">
        <f>IF('Eurostat EB TJ'!AJ99=":",0,'Eurostat EB TJ'!AJ99)</f>
        <v>0</v>
      </c>
      <c r="AL91" s="17">
        <f>IF('Eurostat EB TJ'!AK99=":",0,'Eurostat EB TJ'!AK99)</f>
        <v>0</v>
      </c>
      <c r="AM91" s="17">
        <f>IF('Eurostat EB TJ'!AL99=":",0,'Eurostat EB TJ'!AL99)</f>
        <v>0</v>
      </c>
      <c r="AN91" s="17">
        <f>IF('Eurostat EB TJ'!AM99=":",0,'Eurostat EB TJ'!AM99)</f>
        <v>0</v>
      </c>
      <c r="AO91" s="17">
        <f>IF('Eurostat EB TJ'!AN99=":",0,'Eurostat EB TJ'!AN99)</f>
        <v>0</v>
      </c>
      <c r="AP91" s="17">
        <f>IF('Eurostat EB TJ'!AO99=":",0,'Eurostat EB TJ'!AO99)</f>
        <v>0</v>
      </c>
      <c r="AQ91" s="17">
        <f>IF('Eurostat EB TJ'!AP99=":",0,'Eurostat EB TJ'!AP99)</f>
        <v>0</v>
      </c>
      <c r="AR91" s="17">
        <f>IF('Eurostat EB TJ'!AQ99=":",0,'Eurostat EB TJ'!AQ99)</f>
        <v>0</v>
      </c>
      <c r="AS91" s="17">
        <f>IF('Eurostat EB TJ'!AR99=":",0,'Eurostat EB TJ'!AR99)</f>
        <v>0</v>
      </c>
      <c r="AT91" s="17">
        <f>IF('Eurostat EB TJ'!AS99=":",0,'Eurostat EB TJ'!AS99)</f>
        <v>0</v>
      </c>
      <c r="AU91" s="17">
        <f>IF('Eurostat EB TJ'!AT99=":",0,'Eurostat EB TJ'!AT99)</f>
        <v>0</v>
      </c>
      <c r="AV91" s="17">
        <f>IF('Eurostat EB TJ'!AU99=":",0,'Eurostat EB TJ'!AU99)</f>
        <v>0</v>
      </c>
      <c r="AW91" s="17">
        <f>IF('Eurostat EB TJ'!AV99=":",0,'Eurostat EB TJ'!AV99)</f>
        <v>0</v>
      </c>
      <c r="AX91" s="17">
        <f>IF('Eurostat EB TJ'!AW99=":",0,'Eurostat EB TJ'!AW99)</f>
        <v>0</v>
      </c>
      <c r="AY91" s="17">
        <f>IF('Eurostat EB TJ'!AX99=":",0,'Eurostat EB TJ'!AX99)</f>
        <v>0</v>
      </c>
      <c r="AZ91" s="17">
        <f>IF('Eurostat EB TJ'!AY99=":",0,'Eurostat EB TJ'!AY99)</f>
        <v>0</v>
      </c>
      <c r="BA91" s="17">
        <f>IF('Eurostat EB TJ'!AZ99=":",0,'Eurostat EB TJ'!AZ99)</f>
        <v>0</v>
      </c>
      <c r="BB91" s="17">
        <f>IF('Eurostat EB TJ'!BA99=":",0,'Eurostat EB TJ'!BA99)</f>
        <v>0</v>
      </c>
      <c r="BC91" s="17">
        <f>IF('Eurostat EB TJ'!BB99=":",0,'Eurostat EB TJ'!BB99)</f>
        <v>0</v>
      </c>
      <c r="BD91" s="17">
        <f>IF('Eurostat EB TJ'!BC99=":",0,'Eurostat EB TJ'!BC99)</f>
        <v>0</v>
      </c>
      <c r="BE91" s="17">
        <f>IF('Eurostat EB TJ'!BD99=":",0,'Eurostat EB TJ'!BD99)</f>
        <v>0</v>
      </c>
      <c r="BF91" s="17">
        <f>IF('Eurostat EB TJ'!BE99=":",0,'Eurostat EB TJ'!BE99)</f>
        <v>0</v>
      </c>
      <c r="BG91" s="17">
        <f>IF('Eurostat EB TJ'!BF99=":",0,'Eurostat EB TJ'!BF99)</f>
        <v>0</v>
      </c>
      <c r="BH91" s="17">
        <f>IF('Eurostat EB TJ'!BG99=":",0,'Eurostat EB TJ'!BG99)</f>
        <v>0</v>
      </c>
      <c r="BI91" s="17">
        <f>IF('Eurostat EB TJ'!BH99=":",0,'Eurostat EB TJ'!BH99)</f>
        <v>0</v>
      </c>
      <c r="BJ91" s="17">
        <f>IF('Eurostat EB TJ'!BI99=":",0,'Eurostat EB TJ'!BI99)</f>
        <v>0</v>
      </c>
      <c r="BK91" s="17">
        <f>IF('Eurostat EB TJ'!BJ99=":",0,'Eurostat EB TJ'!BJ99)</f>
        <v>0</v>
      </c>
      <c r="BL91" s="17">
        <f>IF('Eurostat EB TJ'!BK99=":",0,'Eurostat EB TJ'!BK99)</f>
        <v>0</v>
      </c>
      <c r="BM91" s="17">
        <f>IF('Eurostat EB TJ'!BL99=":",0,'Eurostat EB TJ'!BL99)</f>
        <v>0</v>
      </c>
      <c r="BN91" s="17">
        <f>IF('Eurostat EB TJ'!BM99=":",0,'Eurostat EB TJ'!BM99)</f>
        <v>0</v>
      </c>
      <c r="BO91" s="17">
        <f>IF('Eurostat EB TJ'!BN99=":",0,'Eurostat EB TJ'!BN99)</f>
        <v>0</v>
      </c>
      <c r="BP91" s="17">
        <f>IF('Eurostat EB TJ'!BO99=":",0,'Eurostat EB TJ'!BO99)</f>
        <v>0</v>
      </c>
      <c r="BQ91" s="17">
        <f>IF('Eurostat EB TJ'!BP99=":",0,'Eurostat EB TJ'!BP99)</f>
        <v>0</v>
      </c>
      <c r="BR91" s="17">
        <f>IF('Eurostat EB TJ'!BQ99=":",0,'Eurostat EB TJ'!BQ99)</f>
        <v>0</v>
      </c>
      <c r="BS91" s="17">
        <f>IF('Eurostat EB TJ'!BR99=":",0,'Eurostat EB TJ'!BR99)</f>
        <v>566.87</v>
      </c>
      <c r="BT91" s="17">
        <f>IF('Eurostat EB TJ'!BS99=":",0,'Eurostat EB TJ'!BS99)</f>
        <v>0</v>
      </c>
      <c r="BU91" s="17">
        <f>IF('Eurostat EB TJ'!BT99=":",0,'Eurostat EB TJ'!BT99)</f>
        <v>37.738999999999997</v>
      </c>
      <c r="BV91" s="17">
        <f>IF('Eurostat EB TJ'!BU99=":",0,'Eurostat EB TJ'!BU99)</f>
        <v>278.10599999999999</v>
      </c>
    </row>
    <row r="92" spans="1:74" x14ac:dyDescent="0.2">
      <c r="A92" s="56" t="s">
        <v>273</v>
      </c>
      <c r="B92" s="57"/>
      <c r="C92" s="57">
        <f>IF('Eurostat EB TJ'!B100=":",0,'Eurostat EB TJ'!B100)</f>
        <v>0</v>
      </c>
      <c r="D92" s="57">
        <f>IF('Eurostat EB TJ'!C100=":",0,'Eurostat EB TJ'!C100)</f>
        <v>0</v>
      </c>
      <c r="E92" s="57">
        <f>IF('Eurostat EB TJ'!D100=":",0,'Eurostat EB TJ'!D100)</f>
        <v>0</v>
      </c>
      <c r="F92" s="57">
        <f>IF('Eurostat EB TJ'!E100=":",0,'Eurostat EB TJ'!E100)</f>
        <v>0</v>
      </c>
      <c r="G92" s="57">
        <f>IF('Eurostat EB TJ'!F100=":",0,'Eurostat EB TJ'!F100)</f>
        <v>0</v>
      </c>
      <c r="H92" s="57">
        <f>IF('Eurostat EB TJ'!G100=":",0,'Eurostat EB TJ'!G100)</f>
        <v>0</v>
      </c>
      <c r="I92" s="57">
        <f>IF('Eurostat EB TJ'!H100=":",0,'Eurostat EB TJ'!H100)</f>
        <v>0</v>
      </c>
      <c r="J92" s="57">
        <f>IF('Eurostat EB TJ'!I100=":",0,'Eurostat EB TJ'!I100)</f>
        <v>0</v>
      </c>
      <c r="K92" s="57">
        <f>IF('Eurostat EB TJ'!J100=":",0,'Eurostat EB TJ'!J100)</f>
        <v>0</v>
      </c>
      <c r="L92" s="57">
        <f>IF('Eurostat EB TJ'!K100=":",0,'Eurostat EB TJ'!K100)</f>
        <v>0</v>
      </c>
      <c r="M92" s="57">
        <f>IF('Eurostat EB TJ'!L100=":",0,'Eurostat EB TJ'!L100)</f>
        <v>0</v>
      </c>
      <c r="N92" s="57">
        <f>IF('Eurostat EB TJ'!M100=":",0,'Eurostat EB TJ'!M100)</f>
        <v>0</v>
      </c>
      <c r="O92" s="57">
        <f>IF('Eurostat EB TJ'!N100=":",0,'Eurostat EB TJ'!N100)</f>
        <v>0</v>
      </c>
      <c r="P92" s="57">
        <f>IF('Eurostat EB TJ'!O100=":",0,'Eurostat EB TJ'!O100)</f>
        <v>0</v>
      </c>
      <c r="Q92" s="57">
        <f>IF('Eurostat EB TJ'!P100=":",0,'Eurostat EB TJ'!P100)</f>
        <v>0</v>
      </c>
      <c r="R92" s="57">
        <f>IF('Eurostat EB TJ'!Q100=":",0,'Eurostat EB TJ'!Q100)</f>
        <v>0</v>
      </c>
      <c r="S92" s="57">
        <f>IF('Eurostat EB TJ'!R100=":",0,'Eurostat EB TJ'!R100)</f>
        <v>0</v>
      </c>
      <c r="T92" s="57">
        <f>IF('Eurostat EB TJ'!S100=":",0,'Eurostat EB TJ'!S100)</f>
        <v>0</v>
      </c>
      <c r="U92" s="57">
        <f>IF('Eurostat EB TJ'!T100=":",0,'Eurostat EB TJ'!T100)</f>
        <v>0</v>
      </c>
      <c r="V92" s="57">
        <f>IF('Eurostat EB TJ'!U100=":",0,'Eurostat EB TJ'!U100)</f>
        <v>0</v>
      </c>
      <c r="W92" s="57">
        <f>IF('Eurostat EB TJ'!V100=":",0,'Eurostat EB TJ'!V100)</f>
        <v>0</v>
      </c>
      <c r="X92" s="57">
        <f>IF('Eurostat EB TJ'!W100=":",0,'Eurostat EB TJ'!W100)</f>
        <v>0</v>
      </c>
      <c r="Y92" s="57">
        <f>IF('Eurostat EB TJ'!X100=":",0,'Eurostat EB TJ'!X100)</f>
        <v>0</v>
      </c>
      <c r="Z92" s="57">
        <f>IF('Eurostat EB TJ'!Y100=":",0,'Eurostat EB TJ'!Y100)</f>
        <v>0</v>
      </c>
      <c r="AA92" s="57">
        <f>IF('Eurostat EB TJ'!Z100=":",0,'Eurostat EB TJ'!Z100)</f>
        <v>0</v>
      </c>
      <c r="AB92" s="57">
        <f>IF('Eurostat EB TJ'!AA100=":",0,'Eurostat EB TJ'!AA100)</f>
        <v>0</v>
      </c>
      <c r="AC92" s="57">
        <f>IF('Eurostat EB TJ'!AB100=":",0,'Eurostat EB TJ'!AB100)</f>
        <v>0</v>
      </c>
      <c r="AD92" s="57">
        <f>IF('Eurostat EB TJ'!AC100=":",0,'Eurostat EB TJ'!AC100)</f>
        <v>0</v>
      </c>
      <c r="AE92" s="57">
        <f>IF('Eurostat EB TJ'!AD100=":",0,'Eurostat EB TJ'!AD100)</f>
        <v>0</v>
      </c>
      <c r="AF92" s="57">
        <f>IF('Eurostat EB TJ'!AE100=":",0,'Eurostat EB TJ'!AE100)</f>
        <v>0</v>
      </c>
      <c r="AG92" s="57">
        <f>IF('Eurostat EB TJ'!AF100=":",0,'Eurostat EB TJ'!AF100)</f>
        <v>0</v>
      </c>
      <c r="AH92" s="57">
        <f>IF('Eurostat EB TJ'!AG100=":",0,'Eurostat EB TJ'!AG100)</f>
        <v>0</v>
      </c>
      <c r="AI92" s="57">
        <f>IF('Eurostat EB TJ'!AH100=":",0,'Eurostat EB TJ'!AH100)</f>
        <v>0</v>
      </c>
      <c r="AJ92" s="57">
        <f>IF('Eurostat EB TJ'!AI100=":",0,'Eurostat EB TJ'!AI100)</f>
        <v>0</v>
      </c>
      <c r="AK92" s="57">
        <f>IF('Eurostat EB TJ'!AJ100=":",0,'Eurostat EB TJ'!AJ100)</f>
        <v>0</v>
      </c>
      <c r="AL92" s="57">
        <f>IF('Eurostat EB TJ'!AK100=":",0,'Eurostat EB TJ'!AK100)</f>
        <v>0</v>
      </c>
      <c r="AM92" s="57">
        <f>IF('Eurostat EB TJ'!AL100=":",0,'Eurostat EB TJ'!AL100)</f>
        <v>0</v>
      </c>
      <c r="AN92" s="57">
        <f>IF('Eurostat EB TJ'!AM100=":",0,'Eurostat EB TJ'!AM100)</f>
        <v>0</v>
      </c>
      <c r="AO92" s="57">
        <f>IF('Eurostat EB TJ'!AN100=":",0,'Eurostat EB TJ'!AN100)</f>
        <v>0</v>
      </c>
      <c r="AP92" s="57">
        <f>IF('Eurostat EB TJ'!AO100=":",0,'Eurostat EB TJ'!AO100)</f>
        <v>0</v>
      </c>
      <c r="AQ92" s="57">
        <f>IF('Eurostat EB TJ'!AP100=":",0,'Eurostat EB TJ'!AP100)</f>
        <v>0</v>
      </c>
      <c r="AR92" s="57">
        <f>IF('Eurostat EB TJ'!AQ100=":",0,'Eurostat EB TJ'!AQ100)</f>
        <v>0</v>
      </c>
      <c r="AS92" s="57">
        <f>IF('Eurostat EB TJ'!AR100=":",0,'Eurostat EB TJ'!AR100)</f>
        <v>0</v>
      </c>
      <c r="AT92" s="57">
        <f>IF('Eurostat EB TJ'!AS100=":",0,'Eurostat EB TJ'!AS100)</f>
        <v>0</v>
      </c>
      <c r="AU92" s="57">
        <f>IF('Eurostat EB TJ'!AT100=":",0,'Eurostat EB TJ'!AT100)</f>
        <v>0</v>
      </c>
      <c r="AV92" s="57">
        <f>IF('Eurostat EB TJ'!AU100=":",0,'Eurostat EB TJ'!AU100)</f>
        <v>0</v>
      </c>
      <c r="AW92" s="57">
        <f>IF('Eurostat EB TJ'!AV100=":",0,'Eurostat EB TJ'!AV100)</f>
        <v>0</v>
      </c>
      <c r="AX92" s="57">
        <f>IF('Eurostat EB TJ'!AW100=":",0,'Eurostat EB TJ'!AW100)</f>
        <v>0</v>
      </c>
      <c r="AY92" s="57">
        <f>IF('Eurostat EB TJ'!AX100=":",0,'Eurostat EB TJ'!AX100)</f>
        <v>0</v>
      </c>
      <c r="AZ92" s="57">
        <f>IF('Eurostat EB TJ'!AY100=":",0,'Eurostat EB TJ'!AY100)</f>
        <v>0</v>
      </c>
      <c r="BA92" s="57">
        <f>IF('Eurostat EB TJ'!AZ100=":",0,'Eurostat EB TJ'!AZ100)</f>
        <v>0</v>
      </c>
      <c r="BB92" s="57">
        <f>IF('Eurostat EB TJ'!BA100=":",0,'Eurostat EB TJ'!BA100)</f>
        <v>0</v>
      </c>
      <c r="BC92" s="57">
        <f>IF('Eurostat EB TJ'!BB100=":",0,'Eurostat EB TJ'!BB100)</f>
        <v>0</v>
      </c>
      <c r="BD92" s="57">
        <f>IF('Eurostat EB TJ'!BC100=":",0,'Eurostat EB TJ'!BC100)</f>
        <v>0</v>
      </c>
      <c r="BE92" s="57">
        <f>IF('Eurostat EB TJ'!BD100=":",0,'Eurostat EB TJ'!BD100)</f>
        <v>0</v>
      </c>
      <c r="BF92" s="57">
        <f>IF('Eurostat EB TJ'!BE100=":",0,'Eurostat EB TJ'!BE100)</f>
        <v>0</v>
      </c>
      <c r="BG92" s="57">
        <f>IF('Eurostat EB TJ'!BF100=":",0,'Eurostat EB TJ'!BF100)</f>
        <v>0</v>
      </c>
      <c r="BH92" s="57">
        <f>IF('Eurostat EB TJ'!BG100=":",0,'Eurostat EB TJ'!BG100)</f>
        <v>0</v>
      </c>
      <c r="BI92" s="57">
        <f>IF('Eurostat EB TJ'!BH100=":",0,'Eurostat EB TJ'!BH100)</f>
        <v>0</v>
      </c>
      <c r="BJ92" s="57">
        <f>IF('Eurostat EB TJ'!BI100=":",0,'Eurostat EB TJ'!BI100)</f>
        <v>0</v>
      </c>
      <c r="BK92" s="57">
        <f>IF('Eurostat EB TJ'!BJ100=":",0,'Eurostat EB TJ'!BJ100)</f>
        <v>0</v>
      </c>
      <c r="BL92" s="57">
        <f>IF('Eurostat EB TJ'!BK100=":",0,'Eurostat EB TJ'!BK100)</f>
        <v>0</v>
      </c>
      <c r="BM92" s="57">
        <f>IF('Eurostat EB TJ'!BL100=":",0,'Eurostat EB TJ'!BL100)</f>
        <v>0</v>
      </c>
      <c r="BN92" s="57">
        <f>IF('Eurostat EB TJ'!BM100=":",0,'Eurostat EB TJ'!BM100)</f>
        <v>0</v>
      </c>
      <c r="BO92" s="57">
        <f>IF('Eurostat EB TJ'!BN100=":",0,'Eurostat EB TJ'!BN100)</f>
        <v>0</v>
      </c>
      <c r="BP92" s="57">
        <f>IF('Eurostat EB TJ'!BO100=":",0,'Eurostat EB TJ'!BO100)</f>
        <v>0</v>
      </c>
      <c r="BQ92" s="57">
        <f>IF('Eurostat EB TJ'!BP100=":",0,'Eurostat EB TJ'!BP100)</f>
        <v>0</v>
      </c>
      <c r="BR92" s="57">
        <f>IF('Eurostat EB TJ'!BQ100=":",0,'Eurostat EB TJ'!BQ100)</f>
        <v>0</v>
      </c>
      <c r="BS92" s="57">
        <f>IF('Eurostat EB TJ'!BR100=":",0,'Eurostat EB TJ'!BR100)</f>
        <v>0</v>
      </c>
      <c r="BT92" s="57">
        <f>IF('Eurostat EB TJ'!BS100=":",0,'Eurostat EB TJ'!BS100)</f>
        <v>0</v>
      </c>
      <c r="BU92" s="57">
        <f>IF('Eurostat EB TJ'!BT100=":",0,'Eurostat EB TJ'!BT100)</f>
        <v>0</v>
      </c>
      <c r="BV92" s="57">
        <f>IF('Eurostat EB TJ'!BU100=":",0,'Eurostat EB TJ'!BU100)</f>
        <v>0</v>
      </c>
    </row>
    <row r="93" spans="1:74" x14ac:dyDescent="0.2">
      <c r="A93" s="56" t="s">
        <v>274</v>
      </c>
      <c r="B93" s="17"/>
      <c r="C93" s="17">
        <f>IF('Eurostat EB TJ'!B101=":",0,'Eurostat EB TJ'!B101)</f>
        <v>0</v>
      </c>
      <c r="D93" s="17">
        <f>IF('Eurostat EB TJ'!C101=":",0,'Eurostat EB TJ'!C101)</f>
        <v>0</v>
      </c>
      <c r="E93" s="17">
        <f>IF('Eurostat EB TJ'!D101=":",0,'Eurostat EB TJ'!D101)</f>
        <v>0</v>
      </c>
      <c r="F93" s="17">
        <f>IF('Eurostat EB TJ'!E101=":",0,'Eurostat EB TJ'!E101)</f>
        <v>0</v>
      </c>
      <c r="G93" s="17">
        <f>IF('Eurostat EB TJ'!F101=":",0,'Eurostat EB TJ'!F101)</f>
        <v>0</v>
      </c>
      <c r="H93" s="17">
        <f>IF('Eurostat EB TJ'!G101=":",0,'Eurostat EB TJ'!G101)</f>
        <v>0</v>
      </c>
      <c r="I93" s="17">
        <f>IF('Eurostat EB TJ'!H101=":",0,'Eurostat EB TJ'!H101)</f>
        <v>0</v>
      </c>
      <c r="J93" s="17">
        <f>IF('Eurostat EB TJ'!I101=":",0,'Eurostat EB TJ'!I101)</f>
        <v>0</v>
      </c>
      <c r="K93" s="17">
        <f>IF('Eurostat EB TJ'!J101=":",0,'Eurostat EB TJ'!J101)</f>
        <v>0</v>
      </c>
      <c r="L93" s="17">
        <f>IF('Eurostat EB TJ'!K101=":",0,'Eurostat EB TJ'!K101)</f>
        <v>0</v>
      </c>
      <c r="M93" s="17">
        <f>IF('Eurostat EB TJ'!L101=":",0,'Eurostat EB TJ'!L101)</f>
        <v>0</v>
      </c>
      <c r="N93" s="17">
        <f>IF('Eurostat EB TJ'!M101=":",0,'Eurostat EB TJ'!M101)</f>
        <v>0</v>
      </c>
      <c r="O93" s="17">
        <f>IF('Eurostat EB TJ'!N101=":",0,'Eurostat EB TJ'!N101)</f>
        <v>0</v>
      </c>
      <c r="P93" s="17">
        <f>IF('Eurostat EB TJ'!O101=":",0,'Eurostat EB TJ'!O101)</f>
        <v>0</v>
      </c>
      <c r="Q93" s="17">
        <f>IF('Eurostat EB TJ'!P101=":",0,'Eurostat EB TJ'!P101)</f>
        <v>0</v>
      </c>
      <c r="R93" s="17">
        <f>IF('Eurostat EB TJ'!Q101=":",0,'Eurostat EB TJ'!Q101)</f>
        <v>0</v>
      </c>
      <c r="S93" s="17">
        <f>IF('Eurostat EB TJ'!R101=":",0,'Eurostat EB TJ'!R101)</f>
        <v>0</v>
      </c>
      <c r="T93" s="17">
        <f>IF('Eurostat EB TJ'!S101=":",0,'Eurostat EB TJ'!S101)</f>
        <v>0</v>
      </c>
      <c r="U93" s="17">
        <f>IF('Eurostat EB TJ'!T101=":",0,'Eurostat EB TJ'!T101)</f>
        <v>0</v>
      </c>
      <c r="V93" s="17">
        <f>IF('Eurostat EB TJ'!U101=":",0,'Eurostat EB TJ'!U101)</f>
        <v>0</v>
      </c>
      <c r="W93" s="17">
        <f>IF('Eurostat EB TJ'!V101=":",0,'Eurostat EB TJ'!V101)</f>
        <v>0</v>
      </c>
      <c r="X93" s="17">
        <f>IF('Eurostat EB TJ'!W101=":",0,'Eurostat EB TJ'!W101)</f>
        <v>0</v>
      </c>
      <c r="Y93" s="17">
        <f>IF('Eurostat EB TJ'!X101=":",0,'Eurostat EB TJ'!X101)</f>
        <v>0</v>
      </c>
      <c r="Z93" s="17">
        <f>IF('Eurostat EB TJ'!Y101=":",0,'Eurostat EB TJ'!Y101)</f>
        <v>0</v>
      </c>
      <c r="AA93" s="17">
        <f>IF('Eurostat EB TJ'!Z101=":",0,'Eurostat EB TJ'!Z101)</f>
        <v>0</v>
      </c>
      <c r="AB93" s="17">
        <f>IF('Eurostat EB TJ'!AA101=":",0,'Eurostat EB TJ'!AA101)</f>
        <v>0</v>
      </c>
      <c r="AC93" s="17">
        <f>IF('Eurostat EB TJ'!AB101=":",0,'Eurostat EB TJ'!AB101)</f>
        <v>0</v>
      </c>
      <c r="AD93" s="17">
        <f>IF('Eurostat EB TJ'!AC101=":",0,'Eurostat EB TJ'!AC101)</f>
        <v>0</v>
      </c>
      <c r="AE93" s="17">
        <f>IF('Eurostat EB TJ'!AD101=":",0,'Eurostat EB TJ'!AD101)</f>
        <v>0</v>
      </c>
      <c r="AF93" s="17">
        <f>IF('Eurostat EB TJ'!AE101=":",0,'Eurostat EB TJ'!AE101)</f>
        <v>0</v>
      </c>
      <c r="AG93" s="17">
        <f>IF('Eurostat EB TJ'!AF101=":",0,'Eurostat EB TJ'!AF101)</f>
        <v>0</v>
      </c>
      <c r="AH93" s="17">
        <f>IF('Eurostat EB TJ'!AG101=":",0,'Eurostat EB TJ'!AG101)</f>
        <v>0</v>
      </c>
      <c r="AI93" s="17">
        <f>IF('Eurostat EB TJ'!AH101=":",0,'Eurostat EB TJ'!AH101)</f>
        <v>0</v>
      </c>
      <c r="AJ93" s="17">
        <f>IF('Eurostat EB TJ'!AI101=":",0,'Eurostat EB TJ'!AI101)</f>
        <v>0</v>
      </c>
      <c r="AK93" s="17">
        <f>IF('Eurostat EB TJ'!AJ101=":",0,'Eurostat EB TJ'!AJ101)</f>
        <v>0</v>
      </c>
      <c r="AL93" s="17">
        <f>IF('Eurostat EB TJ'!AK101=":",0,'Eurostat EB TJ'!AK101)</f>
        <v>0</v>
      </c>
      <c r="AM93" s="17">
        <f>IF('Eurostat EB TJ'!AL101=":",0,'Eurostat EB TJ'!AL101)</f>
        <v>0</v>
      </c>
      <c r="AN93" s="17">
        <f>IF('Eurostat EB TJ'!AM101=":",0,'Eurostat EB TJ'!AM101)</f>
        <v>0</v>
      </c>
      <c r="AO93" s="17">
        <f>IF('Eurostat EB TJ'!AN101=":",0,'Eurostat EB TJ'!AN101)</f>
        <v>0</v>
      </c>
      <c r="AP93" s="17">
        <f>IF('Eurostat EB TJ'!AO101=":",0,'Eurostat EB TJ'!AO101)</f>
        <v>0</v>
      </c>
      <c r="AQ93" s="17">
        <f>IF('Eurostat EB TJ'!AP101=":",0,'Eurostat EB TJ'!AP101)</f>
        <v>0</v>
      </c>
      <c r="AR93" s="17">
        <f>IF('Eurostat EB TJ'!AQ101=":",0,'Eurostat EB TJ'!AQ101)</f>
        <v>0</v>
      </c>
      <c r="AS93" s="17">
        <f>IF('Eurostat EB TJ'!AR101=":",0,'Eurostat EB TJ'!AR101)</f>
        <v>0</v>
      </c>
      <c r="AT93" s="17">
        <f>IF('Eurostat EB TJ'!AS101=":",0,'Eurostat EB TJ'!AS101)</f>
        <v>0</v>
      </c>
      <c r="AU93" s="17">
        <f>IF('Eurostat EB TJ'!AT101=":",0,'Eurostat EB TJ'!AT101)</f>
        <v>0</v>
      </c>
      <c r="AV93" s="17">
        <f>IF('Eurostat EB TJ'!AU101=":",0,'Eurostat EB TJ'!AU101)</f>
        <v>0</v>
      </c>
      <c r="AW93" s="17">
        <f>IF('Eurostat EB TJ'!AV101=":",0,'Eurostat EB TJ'!AV101)</f>
        <v>0</v>
      </c>
      <c r="AX93" s="17">
        <f>IF('Eurostat EB TJ'!AW101=":",0,'Eurostat EB TJ'!AW101)</f>
        <v>0</v>
      </c>
      <c r="AY93" s="17">
        <f>IF('Eurostat EB TJ'!AX101=":",0,'Eurostat EB TJ'!AX101)</f>
        <v>0</v>
      </c>
      <c r="AZ93" s="17">
        <f>IF('Eurostat EB TJ'!AY101=":",0,'Eurostat EB TJ'!AY101)</f>
        <v>0</v>
      </c>
      <c r="BA93" s="17">
        <f>IF('Eurostat EB TJ'!AZ101=":",0,'Eurostat EB TJ'!AZ101)</f>
        <v>0</v>
      </c>
      <c r="BB93" s="17">
        <f>IF('Eurostat EB TJ'!BA101=":",0,'Eurostat EB TJ'!BA101)</f>
        <v>0</v>
      </c>
      <c r="BC93" s="17">
        <f>IF('Eurostat EB TJ'!BB101=":",0,'Eurostat EB TJ'!BB101)</f>
        <v>0</v>
      </c>
      <c r="BD93" s="17">
        <f>IF('Eurostat EB TJ'!BC101=":",0,'Eurostat EB TJ'!BC101)</f>
        <v>0</v>
      </c>
      <c r="BE93" s="17">
        <f>IF('Eurostat EB TJ'!BD101=":",0,'Eurostat EB TJ'!BD101)</f>
        <v>0</v>
      </c>
      <c r="BF93" s="17">
        <f>IF('Eurostat EB TJ'!BE101=":",0,'Eurostat EB TJ'!BE101)</f>
        <v>0</v>
      </c>
      <c r="BG93" s="17">
        <f>IF('Eurostat EB TJ'!BF101=":",0,'Eurostat EB TJ'!BF101)</f>
        <v>0</v>
      </c>
      <c r="BH93" s="17">
        <f>IF('Eurostat EB TJ'!BG101=":",0,'Eurostat EB TJ'!BG101)</f>
        <v>0</v>
      </c>
      <c r="BI93" s="17">
        <f>IF('Eurostat EB TJ'!BH101=":",0,'Eurostat EB TJ'!BH101)</f>
        <v>0</v>
      </c>
      <c r="BJ93" s="17">
        <f>IF('Eurostat EB TJ'!BI101=":",0,'Eurostat EB TJ'!BI101)</f>
        <v>0</v>
      </c>
      <c r="BK93" s="17">
        <f>IF('Eurostat EB TJ'!BJ101=":",0,'Eurostat EB TJ'!BJ101)</f>
        <v>0</v>
      </c>
      <c r="BL93" s="17">
        <f>IF('Eurostat EB TJ'!BK101=":",0,'Eurostat EB TJ'!BK101)</f>
        <v>0</v>
      </c>
      <c r="BM93" s="17">
        <f>IF('Eurostat EB TJ'!BL101=":",0,'Eurostat EB TJ'!BL101)</f>
        <v>0</v>
      </c>
      <c r="BN93" s="17">
        <f>IF('Eurostat EB TJ'!BM101=":",0,'Eurostat EB TJ'!BM101)</f>
        <v>0</v>
      </c>
      <c r="BO93" s="17">
        <f>IF('Eurostat EB TJ'!BN101=":",0,'Eurostat EB TJ'!BN101)</f>
        <v>0</v>
      </c>
      <c r="BP93" s="17">
        <f>IF('Eurostat EB TJ'!BO101=":",0,'Eurostat EB TJ'!BO101)</f>
        <v>0</v>
      </c>
      <c r="BQ93" s="17">
        <f>IF('Eurostat EB TJ'!BP101=":",0,'Eurostat EB TJ'!BP101)</f>
        <v>0</v>
      </c>
      <c r="BR93" s="17">
        <f>IF('Eurostat EB TJ'!BQ101=":",0,'Eurostat EB TJ'!BQ101)</f>
        <v>0</v>
      </c>
      <c r="BS93" s="17">
        <f>IF('Eurostat EB TJ'!BR101=":",0,'Eurostat EB TJ'!BR101)</f>
        <v>0</v>
      </c>
      <c r="BT93" s="17">
        <f>IF('Eurostat EB TJ'!BS101=":",0,'Eurostat EB TJ'!BS101)</f>
        <v>0</v>
      </c>
      <c r="BU93" s="17">
        <f>IF('Eurostat EB TJ'!BT101=":",0,'Eurostat EB TJ'!BT101)</f>
        <v>0</v>
      </c>
      <c r="BV93" s="17">
        <f>IF('Eurostat EB TJ'!BU101=":",0,'Eurostat EB TJ'!BU101)</f>
        <v>0</v>
      </c>
    </row>
    <row r="94" spans="1:74" x14ac:dyDescent="0.2">
      <c r="A94" s="56" t="s">
        <v>275</v>
      </c>
      <c r="B94" s="57"/>
      <c r="C94" s="57">
        <f>IF('Eurostat EB TJ'!B102=":",0,'Eurostat EB TJ'!B102)</f>
        <v>0</v>
      </c>
      <c r="D94" s="57">
        <f>IF('Eurostat EB TJ'!C102=":",0,'Eurostat EB TJ'!C102)</f>
        <v>0</v>
      </c>
      <c r="E94" s="57">
        <f>IF('Eurostat EB TJ'!D102=":",0,'Eurostat EB TJ'!D102)</f>
        <v>0</v>
      </c>
      <c r="F94" s="57">
        <f>IF('Eurostat EB TJ'!E102=":",0,'Eurostat EB TJ'!E102)</f>
        <v>0</v>
      </c>
      <c r="G94" s="57">
        <f>IF('Eurostat EB TJ'!F102=":",0,'Eurostat EB TJ'!F102)</f>
        <v>0</v>
      </c>
      <c r="H94" s="57">
        <f>IF('Eurostat EB TJ'!G102=":",0,'Eurostat EB TJ'!G102)</f>
        <v>0</v>
      </c>
      <c r="I94" s="57">
        <f>IF('Eurostat EB TJ'!H102=":",0,'Eurostat EB TJ'!H102)</f>
        <v>0</v>
      </c>
      <c r="J94" s="57">
        <f>IF('Eurostat EB TJ'!I102=":",0,'Eurostat EB TJ'!I102)</f>
        <v>0</v>
      </c>
      <c r="K94" s="57">
        <f>IF('Eurostat EB TJ'!J102=":",0,'Eurostat EB TJ'!J102)</f>
        <v>0</v>
      </c>
      <c r="L94" s="57">
        <f>IF('Eurostat EB TJ'!K102=":",0,'Eurostat EB TJ'!K102)</f>
        <v>0</v>
      </c>
      <c r="M94" s="57">
        <f>IF('Eurostat EB TJ'!L102=":",0,'Eurostat EB TJ'!L102)</f>
        <v>0</v>
      </c>
      <c r="N94" s="57">
        <f>IF('Eurostat EB TJ'!M102=":",0,'Eurostat EB TJ'!M102)</f>
        <v>0</v>
      </c>
      <c r="O94" s="57">
        <f>IF('Eurostat EB TJ'!N102=":",0,'Eurostat EB TJ'!N102)</f>
        <v>0</v>
      </c>
      <c r="P94" s="57">
        <f>IF('Eurostat EB TJ'!O102=":",0,'Eurostat EB TJ'!O102)</f>
        <v>0</v>
      </c>
      <c r="Q94" s="57">
        <f>IF('Eurostat EB TJ'!P102=":",0,'Eurostat EB TJ'!P102)</f>
        <v>0</v>
      </c>
      <c r="R94" s="57">
        <f>IF('Eurostat EB TJ'!Q102=":",0,'Eurostat EB TJ'!Q102)</f>
        <v>0</v>
      </c>
      <c r="S94" s="57">
        <f>IF('Eurostat EB TJ'!R102=":",0,'Eurostat EB TJ'!R102)</f>
        <v>0</v>
      </c>
      <c r="T94" s="57">
        <f>IF('Eurostat EB TJ'!S102=":",0,'Eurostat EB TJ'!S102)</f>
        <v>0</v>
      </c>
      <c r="U94" s="57">
        <f>IF('Eurostat EB TJ'!T102=":",0,'Eurostat EB TJ'!T102)</f>
        <v>0</v>
      </c>
      <c r="V94" s="57">
        <f>IF('Eurostat EB TJ'!U102=":",0,'Eurostat EB TJ'!U102)</f>
        <v>0</v>
      </c>
      <c r="W94" s="57">
        <f>IF('Eurostat EB TJ'!V102=":",0,'Eurostat EB TJ'!V102)</f>
        <v>0</v>
      </c>
      <c r="X94" s="57">
        <f>IF('Eurostat EB TJ'!W102=":",0,'Eurostat EB TJ'!W102)</f>
        <v>0</v>
      </c>
      <c r="Y94" s="57">
        <f>IF('Eurostat EB TJ'!X102=":",0,'Eurostat EB TJ'!X102)</f>
        <v>0</v>
      </c>
      <c r="Z94" s="57">
        <f>IF('Eurostat EB TJ'!Y102=":",0,'Eurostat EB TJ'!Y102)</f>
        <v>0</v>
      </c>
      <c r="AA94" s="57">
        <f>IF('Eurostat EB TJ'!Z102=":",0,'Eurostat EB TJ'!Z102)</f>
        <v>0</v>
      </c>
      <c r="AB94" s="57">
        <f>IF('Eurostat EB TJ'!AA102=":",0,'Eurostat EB TJ'!AA102)</f>
        <v>0</v>
      </c>
      <c r="AC94" s="57">
        <f>IF('Eurostat EB TJ'!AB102=":",0,'Eurostat EB TJ'!AB102)</f>
        <v>0</v>
      </c>
      <c r="AD94" s="57">
        <f>IF('Eurostat EB TJ'!AC102=":",0,'Eurostat EB TJ'!AC102)</f>
        <v>0</v>
      </c>
      <c r="AE94" s="57">
        <f>IF('Eurostat EB TJ'!AD102=":",0,'Eurostat EB TJ'!AD102)</f>
        <v>0</v>
      </c>
      <c r="AF94" s="57">
        <f>IF('Eurostat EB TJ'!AE102=":",0,'Eurostat EB TJ'!AE102)</f>
        <v>0</v>
      </c>
      <c r="AG94" s="57">
        <f>IF('Eurostat EB TJ'!AF102=":",0,'Eurostat EB TJ'!AF102)</f>
        <v>0</v>
      </c>
      <c r="AH94" s="57">
        <f>IF('Eurostat EB TJ'!AG102=":",0,'Eurostat EB TJ'!AG102)</f>
        <v>0</v>
      </c>
      <c r="AI94" s="57">
        <f>IF('Eurostat EB TJ'!AH102=":",0,'Eurostat EB TJ'!AH102)</f>
        <v>0</v>
      </c>
      <c r="AJ94" s="57">
        <f>IF('Eurostat EB TJ'!AI102=":",0,'Eurostat EB TJ'!AI102)</f>
        <v>0</v>
      </c>
      <c r="AK94" s="57">
        <f>IF('Eurostat EB TJ'!AJ102=":",0,'Eurostat EB TJ'!AJ102)</f>
        <v>0</v>
      </c>
      <c r="AL94" s="57">
        <f>IF('Eurostat EB TJ'!AK102=":",0,'Eurostat EB TJ'!AK102)</f>
        <v>0</v>
      </c>
      <c r="AM94" s="57">
        <f>IF('Eurostat EB TJ'!AL102=":",0,'Eurostat EB TJ'!AL102)</f>
        <v>0</v>
      </c>
      <c r="AN94" s="57">
        <f>IF('Eurostat EB TJ'!AM102=":",0,'Eurostat EB TJ'!AM102)</f>
        <v>0</v>
      </c>
      <c r="AO94" s="57">
        <f>IF('Eurostat EB TJ'!AN102=":",0,'Eurostat EB TJ'!AN102)</f>
        <v>0</v>
      </c>
      <c r="AP94" s="57">
        <f>IF('Eurostat EB TJ'!AO102=":",0,'Eurostat EB TJ'!AO102)</f>
        <v>0</v>
      </c>
      <c r="AQ94" s="57">
        <f>IF('Eurostat EB TJ'!AP102=":",0,'Eurostat EB TJ'!AP102)</f>
        <v>0</v>
      </c>
      <c r="AR94" s="57">
        <f>IF('Eurostat EB TJ'!AQ102=":",0,'Eurostat EB TJ'!AQ102)</f>
        <v>0</v>
      </c>
      <c r="AS94" s="57">
        <f>IF('Eurostat EB TJ'!AR102=":",0,'Eurostat EB TJ'!AR102)</f>
        <v>0</v>
      </c>
      <c r="AT94" s="57">
        <f>IF('Eurostat EB TJ'!AS102=":",0,'Eurostat EB TJ'!AS102)</f>
        <v>0</v>
      </c>
      <c r="AU94" s="57">
        <f>IF('Eurostat EB TJ'!AT102=":",0,'Eurostat EB TJ'!AT102)</f>
        <v>0</v>
      </c>
      <c r="AV94" s="57">
        <f>IF('Eurostat EB TJ'!AU102=":",0,'Eurostat EB TJ'!AU102)</f>
        <v>0</v>
      </c>
      <c r="AW94" s="57">
        <f>IF('Eurostat EB TJ'!AV102=":",0,'Eurostat EB TJ'!AV102)</f>
        <v>0</v>
      </c>
      <c r="AX94" s="57">
        <f>IF('Eurostat EB TJ'!AW102=":",0,'Eurostat EB TJ'!AW102)</f>
        <v>0</v>
      </c>
      <c r="AY94" s="57">
        <f>IF('Eurostat EB TJ'!AX102=":",0,'Eurostat EB TJ'!AX102)</f>
        <v>0</v>
      </c>
      <c r="AZ94" s="57">
        <f>IF('Eurostat EB TJ'!AY102=":",0,'Eurostat EB TJ'!AY102)</f>
        <v>0</v>
      </c>
      <c r="BA94" s="57">
        <f>IF('Eurostat EB TJ'!AZ102=":",0,'Eurostat EB TJ'!AZ102)</f>
        <v>0</v>
      </c>
      <c r="BB94" s="57">
        <f>IF('Eurostat EB TJ'!BA102=":",0,'Eurostat EB TJ'!BA102)</f>
        <v>0</v>
      </c>
      <c r="BC94" s="57">
        <f>IF('Eurostat EB TJ'!BB102=":",0,'Eurostat EB TJ'!BB102)</f>
        <v>0</v>
      </c>
      <c r="BD94" s="57">
        <f>IF('Eurostat EB TJ'!BC102=":",0,'Eurostat EB TJ'!BC102)</f>
        <v>0</v>
      </c>
      <c r="BE94" s="57">
        <f>IF('Eurostat EB TJ'!BD102=":",0,'Eurostat EB TJ'!BD102)</f>
        <v>0</v>
      </c>
      <c r="BF94" s="57">
        <f>IF('Eurostat EB TJ'!BE102=":",0,'Eurostat EB TJ'!BE102)</f>
        <v>0</v>
      </c>
      <c r="BG94" s="57">
        <f>IF('Eurostat EB TJ'!BF102=":",0,'Eurostat EB TJ'!BF102)</f>
        <v>0</v>
      </c>
      <c r="BH94" s="57">
        <f>IF('Eurostat EB TJ'!BG102=":",0,'Eurostat EB TJ'!BG102)</f>
        <v>0</v>
      </c>
      <c r="BI94" s="57">
        <f>IF('Eurostat EB TJ'!BH102=":",0,'Eurostat EB TJ'!BH102)</f>
        <v>0</v>
      </c>
      <c r="BJ94" s="57">
        <f>IF('Eurostat EB TJ'!BI102=":",0,'Eurostat EB TJ'!BI102)</f>
        <v>0</v>
      </c>
      <c r="BK94" s="57">
        <f>IF('Eurostat EB TJ'!BJ102=":",0,'Eurostat EB TJ'!BJ102)</f>
        <v>0</v>
      </c>
      <c r="BL94" s="57">
        <f>IF('Eurostat EB TJ'!BK102=":",0,'Eurostat EB TJ'!BK102)</f>
        <v>0</v>
      </c>
      <c r="BM94" s="57">
        <f>IF('Eurostat EB TJ'!BL102=":",0,'Eurostat EB TJ'!BL102)</f>
        <v>0</v>
      </c>
      <c r="BN94" s="57">
        <f>IF('Eurostat EB TJ'!BM102=":",0,'Eurostat EB TJ'!BM102)</f>
        <v>0</v>
      </c>
      <c r="BO94" s="57">
        <f>IF('Eurostat EB TJ'!BN102=":",0,'Eurostat EB TJ'!BN102)</f>
        <v>0</v>
      </c>
      <c r="BP94" s="57">
        <f>IF('Eurostat EB TJ'!BO102=":",0,'Eurostat EB TJ'!BO102)</f>
        <v>0</v>
      </c>
      <c r="BQ94" s="57">
        <f>IF('Eurostat EB TJ'!BP102=":",0,'Eurostat EB TJ'!BP102)</f>
        <v>0</v>
      </c>
      <c r="BR94" s="57">
        <f>IF('Eurostat EB TJ'!BQ102=":",0,'Eurostat EB TJ'!BQ102)</f>
        <v>0</v>
      </c>
      <c r="BS94" s="57">
        <f>IF('Eurostat EB TJ'!BR102=":",0,'Eurostat EB TJ'!BR102)</f>
        <v>0</v>
      </c>
      <c r="BT94" s="57">
        <f>IF('Eurostat EB TJ'!BS102=":",0,'Eurostat EB TJ'!BS102)</f>
        <v>0</v>
      </c>
      <c r="BU94" s="57">
        <f>IF('Eurostat EB TJ'!BT102=":",0,'Eurostat EB TJ'!BT102)</f>
        <v>0</v>
      </c>
      <c r="BV94" s="57">
        <f>IF('Eurostat EB TJ'!BU102=":",0,'Eurostat EB TJ'!BU102)</f>
        <v>0</v>
      </c>
    </row>
    <row r="95" spans="1:74" x14ac:dyDescent="0.2">
      <c r="A95" s="56" t="s">
        <v>276</v>
      </c>
      <c r="B95" s="17"/>
      <c r="C95" s="17">
        <f>IF('Eurostat EB TJ'!B103=":",0,'Eurostat EB TJ'!B103)</f>
        <v>0</v>
      </c>
      <c r="D95" s="17">
        <f>IF('Eurostat EB TJ'!C103=":",0,'Eurostat EB TJ'!C103)</f>
        <v>0</v>
      </c>
      <c r="E95" s="17">
        <f>IF('Eurostat EB TJ'!D103=":",0,'Eurostat EB TJ'!D103)</f>
        <v>0</v>
      </c>
      <c r="F95" s="17">
        <f>IF('Eurostat EB TJ'!E103=":",0,'Eurostat EB TJ'!E103)</f>
        <v>0</v>
      </c>
      <c r="G95" s="17">
        <f>IF('Eurostat EB TJ'!F103=":",0,'Eurostat EB TJ'!F103)</f>
        <v>0</v>
      </c>
      <c r="H95" s="17">
        <f>IF('Eurostat EB TJ'!G103=":",0,'Eurostat EB TJ'!G103)</f>
        <v>0</v>
      </c>
      <c r="I95" s="17">
        <f>IF('Eurostat EB TJ'!H103=":",0,'Eurostat EB TJ'!H103)</f>
        <v>0</v>
      </c>
      <c r="J95" s="17">
        <f>IF('Eurostat EB TJ'!I103=":",0,'Eurostat EB TJ'!I103)</f>
        <v>0</v>
      </c>
      <c r="K95" s="17">
        <f>IF('Eurostat EB TJ'!J103=":",0,'Eurostat EB TJ'!J103)</f>
        <v>0</v>
      </c>
      <c r="L95" s="17">
        <f>IF('Eurostat EB TJ'!K103=":",0,'Eurostat EB TJ'!K103)</f>
        <v>0</v>
      </c>
      <c r="M95" s="17">
        <f>IF('Eurostat EB TJ'!L103=":",0,'Eurostat EB TJ'!L103)</f>
        <v>0</v>
      </c>
      <c r="N95" s="17">
        <f>IF('Eurostat EB TJ'!M103=":",0,'Eurostat EB TJ'!M103)</f>
        <v>0</v>
      </c>
      <c r="O95" s="17">
        <f>IF('Eurostat EB TJ'!N103=":",0,'Eurostat EB TJ'!N103)</f>
        <v>0</v>
      </c>
      <c r="P95" s="17">
        <f>IF('Eurostat EB TJ'!O103=":",0,'Eurostat EB TJ'!O103)</f>
        <v>0</v>
      </c>
      <c r="Q95" s="17">
        <f>IF('Eurostat EB TJ'!P103=":",0,'Eurostat EB TJ'!P103)</f>
        <v>0</v>
      </c>
      <c r="R95" s="17">
        <f>IF('Eurostat EB TJ'!Q103=":",0,'Eurostat EB TJ'!Q103)</f>
        <v>0</v>
      </c>
      <c r="S95" s="17">
        <f>IF('Eurostat EB TJ'!R103=":",0,'Eurostat EB TJ'!R103)</f>
        <v>0</v>
      </c>
      <c r="T95" s="17">
        <f>IF('Eurostat EB TJ'!S103=":",0,'Eurostat EB TJ'!S103)</f>
        <v>0</v>
      </c>
      <c r="U95" s="17">
        <f>IF('Eurostat EB TJ'!T103=":",0,'Eurostat EB TJ'!T103)</f>
        <v>0</v>
      </c>
      <c r="V95" s="17">
        <f>IF('Eurostat EB TJ'!U103=":",0,'Eurostat EB TJ'!U103)</f>
        <v>0</v>
      </c>
      <c r="W95" s="17">
        <f>IF('Eurostat EB TJ'!V103=":",0,'Eurostat EB TJ'!V103)</f>
        <v>0</v>
      </c>
      <c r="X95" s="17">
        <f>IF('Eurostat EB TJ'!W103=":",0,'Eurostat EB TJ'!W103)</f>
        <v>0</v>
      </c>
      <c r="Y95" s="17">
        <f>IF('Eurostat EB TJ'!X103=":",0,'Eurostat EB TJ'!X103)</f>
        <v>0</v>
      </c>
      <c r="Z95" s="17">
        <f>IF('Eurostat EB TJ'!Y103=":",0,'Eurostat EB TJ'!Y103)</f>
        <v>0</v>
      </c>
      <c r="AA95" s="17">
        <f>IF('Eurostat EB TJ'!Z103=":",0,'Eurostat EB TJ'!Z103)</f>
        <v>0</v>
      </c>
      <c r="AB95" s="17">
        <f>IF('Eurostat EB TJ'!AA103=":",0,'Eurostat EB TJ'!AA103)</f>
        <v>0</v>
      </c>
      <c r="AC95" s="17">
        <f>IF('Eurostat EB TJ'!AB103=":",0,'Eurostat EB TJ'!AB103)</f>
        <v>0</v>
      </c>
      <c r="AD95" s="17">
        <f>IF('Eurostat EB TJ'!AC103=":",0,'Eurostat EB TJ'!AC103)</f>
        <v>0</v>
      </c>
      <c r="AE95" s="17">
        <f>IF('Eurostat EB TJ'!AD103=":",0,'Eurostat EB TJ'!AD103)</f>
        <v>0</v>
      </c>
      <c r="AF95" s="17">
        <f>IF('Eurostat EB TJ'!AE103=":",0,'Eurostat EB TJ'!AE103)</f>
        <v>0</v>
      </c>
      <c r="AG95" s="17">
        <f>IF('Eurostat EB TJ'!AF103=":",0,'Eurostat EB TJ'!AF103)</f>
        <v>0</v>
      </c>
      <c r="AH95" s="17">
        <f>IF('Eurostat EB TJ'!AG103=":",0,'Eurostat EB TJ'!AG103)</f>
        <v>0</v>
      </c>
      <c r="AI95" s="17">
        <f>IF('Eurostat EB TJ'!AH103=":",0,'Eurostat EB TJ'!AH103)</f>
        <v>0</v>
      </c>
      <c r="AJ95" s="17">
        <f>IF('Eurostat EB TJ'!AI103=":",0,'Eurostat EB TJ'!AI103)</f>
        <v>0</v>
      </c>
      <c r="AK95" s="17">
        <f>IF('Eurostat EB TJ'!AJ103=":",0,'Eurostat EB TJ'!AJ103)</f>
        <v>0</v>
      </c>
      <c r="AL95" s="17">
        <f>IF('Eurostat EB TJ'!AK103=":",0,'Eurostat EB TJ'!AK103)</f>
        <v>0</v>
      </c>
      <c r="AM95" s="17">
        <f>IF('Eurostat EB TJ'!AL103=":",0,'Eurostat EB TJ'!AL103)</f>
        <v>0</v>
      </c>
      <c r="AN95" s="17">
        <f>IF('Eurostat EB TJ'!AM103=":",0,'Eurostat EB TJ'!AM103)</f>
        <v>0</v>
      </c>
      <c r="AO95" s="17">
        <f>IF('Eurostat EB TJ'!AN103=":",0,'Eurostat EB TJ'!AN103)</f>
        <v>0</v>
      </c>
      <c r="AP95" s="17">
        <f>IF('Eurostat EB TJ'!AO103=":",0,'Eurostat EB TJ'!AO103)</f>
        <v>0</v>
      </c>
      <c r="AQ95" s="17">
        <f>IF('Eurostat EB TJ'!AP103=":",0,'Eurostat EB TJ'!AP103)</f>
        <v>0</v>
      </c>
      <c r="AR95" s="17">
        <f>IF('Eurostat EB TJ'!AQ103=":",0,'Eurostat EB TJ'!AQ103)</f>
        <v>0</v>
      </c>
      <c r="AS95" s="17">
        <f>IF('Eurostat EB TJ'!AR103=":",0,'Eurostat EB TJ'!AR103)</f>
        <v>0</v>
      </c>
      <c r="AT95" s="17">
        <f>IF('Eurostat EB TJ'!AS103=":",0,'Eurostat EB TJ'!AS103)</f>
        <v>0</v>
      </c>
      <c r="AU95" s="17">
        <f>IF('Eurostat EB TJ'!AT103=":",0,'Eurostat EB TJ'!AT103)</f>
        <v>0</v>
      </c>
      <c r="AV95" s="17">
        <f>IF('Eurostat EB TJ'!AU103=":",0,'Eurostat EB TJ'!AU103)</f>
        <v>0</v>
      </c>
      <c r="AW95" s="17">
        <f>IF('Eurostat EB TJ'!AV103=":",0,'Eurostat EB TJ'!AV103)</f>
        <v>0</v>
      </c>
      <c r="AX95" s="17">
        <f>IF('Eurostat EB TJ'!AW103=":",0,'Eurostat EB TJ'!AW103)</f>
        <v>0</v>
      </c>
      <c r="AY95" s="17">
        <f>IF('Eurostat EB TJ'!AX103=":",0,'Eurostat EB TJ'!AX103)</f>
        <v>0</v>
      </c>
      <c r="AZ95" s="17">
        <f>IF('Eurostat EB TJ'!AY103=":",0,'Eurostat EB TJ'!AY103)</f>
        <v>0</v>
      </c>
      <c r="BA95" s="17">
        <f>IF('Eurostat EB TJ'!AZ103=":",0,'Eurostat EB TJ'!AZ103)</f>
        <v>0</v>
      </c>
      <c r="BB95" s="17">
        <f>IF('Eurostat EB TJ'!BA103=":",0,'Eurostat EB TJ'!BA103)</f>
        <v>0</v>
      </c>
      <c r="BC95" s="17">
        <f>IF('Eurostat EB TJ'!BB103=":",0,'Eurostat EB TJ'!BB103)</f>
        <v>0</v>
      </c>
      <c r="BD95" s="17">
        <f>IF('Eurostat EB TJ'!BC103=":",0,'Eurostat EB TJ'!BC103)</f>
        <v>0</v>
      </c>
      <c r="BE95" s="17">
        <f>IF('Eurostat EB TJ'!BD103=":",0,'Eurostat EB TJ'!BD103)</f>
        <v>0</v>
      </c>
      <c r="BF95" s="17">
        <f>IF('Eurostat EB TJ'!BE103=":",0,'Eurostat EB TJ'!BE103)</f>
        <v>0</v>
      </c>
      <c r="BG95" s="17">
        <f>IF('Eurostat EB TJ'!BF103=":",0,'Eurostat EB TJ'!BF103)</f>
        <v>0</v>
      </c>
      <c r="BH95" s="17">
        <f>IF('Eurostat EB TJ'!BG103=":",0,'Eurostat EB TJ'!BG103)</f>
        <v>0</v>
      </c>
      <c r="BI95" s="17">
        <f>IF('Eurostat EB TJ'!BH103=":",0,'Eurostat EB TJ'!BH103)</f>
        <v>0</v>
      </c>
      <c r="BJ95" s="17">
        <f>IF('Eurostat EB TJ'!BI103=":",0,'Eurostat EB TJ'!BI103)</f>
        <v>0</v>
      </c>
      <c r="BK95" s="17">
        <f>IF('Eurostat EB TJ'!BJ103=":",0,'Eurostat EB TJ'!BJ103)</f>
        <v>0</v>
      </c>
      <c r="BL95" s="17">
        <f>IF('Eurostat EB TJ'!BK103=":",0,'Eurostat EB TJ'!BK103)</f>
        <v>0</v>
      </c>
      <c r="BM95" s="17">
        <f>IF('Eurostat EB TJ'!BL103=":",0,'Eurostat EB TJ'!BL103)</f>
        <v>0</v>
      </c>
      <c r="BN95" s="17">
        <f>IF('Eurostat EB TJ'!BM103=":",0,'Eurostat EB TJ'!BM103)</f>
        <v>0</v>
      </c>
      <c r="BO95" s="17">
        <f>IF('Eurostat EB TJ'!BN103=":",0,'Eurostat EB TJ'!BN103)</f>
        <v>0</v>
      </c>
      <c r="BP95" s="17">
        <f>IF('Eurostat EB TJ'!BO103=":",0,'Eurostat EB TJ'!BO103)</f>
        <v>0</v>
      </c>
      <c r="BQ95" s="17">
        <f>IF('Eurostat EB TJ'!BP103=":",0,'Eurostat EB TJ'!BP103)</f>
        <v>0</v>
      </c>
      <c r="BR95" s="17">
        <f>IF('Eurostat EB TJ'!BQ103=":",0,'Eurostat EB TJ'!BQ103)</f>
        <v>0</v>
      </c>
      <c r="BS95" s="17">
        <f>IF('Eurostat EB TJ'!BR103=":",0,'Eurostat EB TJ'!BR103)</f>
        <v>0</v>
      </c>
      <c r="BT95" s="17">
        <f>IF('Eurostat EB TJ'!BS103=":",0,'Eurostat EB TJ'!BS103)</f>
        <v>0</v>
      </c>
      <c r="BU95" s="17">
        <f>IF('Eurostat EB TJ'!BT103=":",0,'Eurostat EB TJ'!BT103)</f>
        <v>0</v>
      </c>
      <c r="BV95" s="17">
        <f>IF('Eurostat EB TJ'!BU103=":",0,'Eurostat EB TJ'!BU103)</f>
        <v>0</v>
      </c>
    </row>
    <row r="96" spans="1:74" x14ac:dyDescent="0.2">
      <c r="A96" s="56" t="s">
        <v>277</v>
      </c>
      <c r="B96" s="57"/>
      <c r="C96" s="57">
        <f>IF('Eurostat EB TJ'!B104=":",0,'Eurostat EB TJ'!B104)</f>
        <v>0</v>
      </c>
      <c r="D96" s="57">
        <f>IF('Eurostat EB TJ'!C104=":",0,'Eurostat EB TJ'!C104)</f>
        <v>0</v>
      </c>
      <c r="E96" s="57">
        <f>IF('Eurostat EB TJ'!D104=":",0,'Eurostat EB TJ'!D104)</f>
        <v>0</v>
      </c>
      <c r="F96" s="57">
        <f>IF('Eurostat EB TJ'!E104=":",0,'Eurostat EB TJ'!E104)</f>
        <v>0</v>
      </c>
      <c r="G96" s="57">
        <f>IF('Eurostat EB TJ'!F104=":",0,'Eurostat EB TJ'!F104)</f>
        <v>0</v>
      </c>
      <c r="H96" s="57">
        <f>IF('Eurostat EB TJ'!G104=":",0,'Eurostat EB TJ'!G104)</f>
        <v>0</v>
      </c>
      <c r="I96" s="57">
        <f>IF('Eurostat EB TJ'!H104=":",0,'Eurostat EB TJ'!H104)</f>
        <v>0</v>
      </c>
      <c r="J96" s="57">
        <f>IF('Eurostat EB TJ'!I104=":",0,'Eurostat EB TJ'!I104)</f>
        <v>0</v>
      </c>
      <c r="K96" s="57">
        <f>IF('Eurostat EB TJ'!J104=":",0,'Eurostat EB TJ'!J104)</f>
        <v>0</v>
      </c>
      <c r="L96" s="57">
        <f>IF('Eurostat EB TJ'!K104=":",0,'Eurostat EB TJ'!K104)</f>
        <v>0</v>
      </c>
      <c r="M96" s="57">
        <f>IF('Eurostat EB TJ'!L104=":",0,'Eurostat EB TJ'!L104)</f>
        <v>0</v>
      </c>
      <c r="N96" s="57">
        <f>IF('Eurostat EB TJ'!M104=":",0,'Eurostat EB TJ'!M104)</f>
        <v>0</v>
      </c>
      <c r="O96" s="57">
        <f>IF('Eurostat EB TJ'!N104=":",0,'Eurostat EB TJ'!N104)</f>
        <v>0</v>
      </c>
      <c r="P96" s="57">
        <f>IF('Eurostat EB TJ'!O104=":",0,'Eurostat EB TJ'!O104)</f>
        <v>0</v>
      </c>
      <c r="Q96" s="57">
        <f>IF('Eurostat EB TJ'!P104=":",0,'Eurostat EB TJ'!P104)</f>
        <v>0</v>
      </c>
      <c r="R96" s="57">
        <f>IF('Eurostat EB TJ'!Q104=":",0,'Eurostat EB TJ'!Q104)</f>
        <v>0</v>
      </c>
      <c r="S96" s="57">
        <f>IF('Eurostat EB TJ'!R104=":",0,'Eurostat EB TJ'!R104)</f>
        <v>0</v>
      </c>
      <c r="T96" s="57">
        <f>IF('Eurostat EB TJ'!S104=":",0,'Eurostat EB TJ'!S104)</f>
        <v>0</v>
      </c>
      <c r="U96" s="57">
        <f>IF('Eurostat EB TJ'!T104=":",0,'Eurostat EB TJ'!T104)</f>
        <v>0</v>
      </c>
      <c r="V96" s="57">
        <f>IF('Eurostat EB TJ'!U104=":",0,'Eurostat EB TJ'!U104)</f>
        <v>0</v>
      </c>
      <c r="W96" s="57">
        <f>IF('Eurostat EB TJ'!V104=":",0,'Eurostat EB TJ'!V104)</f>
        <v>0</v>
      </c>
      <c r="X96" s="57">
        <f>IF('Eurostat EB TJ'!W104=":",0,'Eurostat EB TJ'!W104)</f>
        <v>0</v>
      </c>
      <c r="Y96" s="57">
        <f>IF('Eurostat EB TJ'!X104=":",0,'Eurostat EB TJ'!X104)</f>
        <v>0</v>
      </c>
      <c r="Z96" s="57">
        <f>IF('Eurostat EB TJ'!Y104=":",0,'Eurostat EB TJ'!Y104)</f>
        <v>0</v>
      </c>
      <c r="AA96" s="57">
        <f>IF('Eurostat EB TJ'!Z104=":",0,'Eurostat EB TJ'!Z104)</f>
        <v>0</v>
      </c>
      <c r="AB96" s="57">
        <f>IF('Eurostat EB TJ'!AA104=":",0,'Eurostat EB TJ'!AA104)</f>
        <v>0</v>
      </c>
      <c r="AC96" s="57">
        <f>IF('Eurostat EB TJ'!AB104=":",0,'Eurostat EB TJ'!AB104)</f>
        <v>0</v>
      </c>
      <c r="AD96" s="57">
        <f>IF('Eurostat EB TJ'!AC104=":",0,'Eurostat EB TJ'!AC104)</f>
        <v>0</v>
      </c>
      <c r="AE96" s="57">
        <f>IF('Eurostat EB TJ'!AD104=":",0,'Eurostat EB TJ'!AD104)</f>
        <v>0</v>
      </c>
      <c r="AF96" s="57">
        <f>IF('Eurostat EB TJ'!AE104=":",0,'Eurostat EB TJ'!AE104)</f>
        <v>0</v>
      </c>
      <c r="AG96" s="57">
        <f>IF('Eurostat EB TJ'!AF104=":",0,'Eurostat EB TJ'!AF104)</f>
        <v>0</v>
      </c>
      <c r="AH96" s="57">
        <f>IF('Eurostat EB TJ'!AG104=":",0,'Eurostat EB TJ'!AG104)</f>
        <v>0</v>
      </c>
      <c r="AI96" s="57">
        <f>IF('Eurostat EB TJ'!AH104=":",0,'Eurostat EB TJ'!AH104)</f>
        <v>0</v>
      </c>
      <c r="AJ96" s="57">
        <f>IF('Eurostat EB TJ'!AI104=":",0,'Eurostat EB TJ'!AI104)</f>
        <v>0</v>
      </c>
      <c r="AK96" s="57">
        <f>IF('Eurostat EB TJ'!AJ104=":",0,'Eurostat EB TJ'!AJ104)</f>
        <v>0</v>
      </c>
      <c r="AL96" s="57">
        <f>IF('Eurostat EB TJ'!AK104=":",0,'Eurostat EB TJ'!AK104)</f>
        <v>0</v>
      </c>
      <c r="AM96" s="57">
        <f>IF('Eurostat EB TJ'!AL104=":",0,'Eurostat EB TJ'!AL104)</f>
        <v>0</v>
      </c>
      <c r="AN96" s="57">
        <f>IF('Eurostat EB TJ'!AM104=":",0,'Eurostat EB TJ'!AM104)</f>
        <v>0</v>
      </c>
      <c r="AO96" s="57">
        <f>IF('Eurostat EB TJ'!AN104=":",0,'Eurostat EB TJ'!AN104)</f>
        <v>0</v>
      </c>
      <c r="AP96" s="57">
        <f>IF('Eurostat EB TJ'!AO104=":",0,'Eurostat EB TJ'!AO104)</f>
        <v>0</v>
      </c>
      <c r="AQ96" s="57">
        <f>IF('Eurostat EB TJ'!AP104=":",0,'Eurostat EB TJ'!AP104)</f>
        <v>0</v>
      </c>
      <c r="AR96" s="57">
        <f>IF('Eurostat EB TJ'!AQ104=":",0,'Eurostat EB TJ'!AQ104)</f>
        <v>0</v>
      </c>
      <c r="AS96" s="57">
        <f>IF('Eurostat EB TJ'!AR104=":",0,'Eurostat EB TJ'!AR104)</f>
        <v>0</v>
      </c>
      <c r="AT96" s="57">
        <f>IF('Eurostat EB TJ'!AS104=":",0,'Eurostat EB TJ'!AS104)</f>
        <v>0</v>
      </c>
      <c r="AU96" s="57">
        <f>IF('Eurostat EB TJ'!AT104=":",0,'Eurostat EB TJ'!AT104)</f>
        <v>0</v>
      </c>
      <c r="AV96" s="57">
        <f>IF('Eurostat EB TJ'!AU104=":",0,'Eurostat EB TJ'!AU104)</f>
        <v>0</v>
      </c>
      <c r="AW96" s="57">
        <f>IF('Eurostat EB TJ'!AV104=":",0,'Eurostat EB TJ'!AV104)</f>
        <v>0</v>
      </c>
      <c r="AX96" s="57">
        <f>IF('Eurostat EB TJ'!AW104=":",0,'Eurostat EB TJ'!AW104)</f>
        <v>0</v>
      </c>
      <c r="AY96" s="57">
        <f>IF('Eurostat EB TJ'!AX104=":",0,'Eurostat EB TJ'!AX104)</f>
        <v>0</v>
      </c>
      <c r="AZ96" s="57">
        <f>IF('Eurostat EB TJ'!AY104=":",0,'Eurostat EB TJ'!AY104)</f>
        <v>0</v>
      </c>
      <c r="BA96" s="57">
        <f>IF('Eurostat EB TJ'!AZ104=":",0,'Eurostat EB TJ'!AZ104)</f>
        <v>0</v>
      </c>
      <c r="BB96" s="57">
        <f>IF('Eurostat EB TJ'!BA104=":",0,'Eurostat EB TJ'!BA104)</f>
        <v>0</v>
      </c>
      <c r="BC96" s="57">
        <f>IF('Eurostat EB TJ'!BB104=":",0,'Eurostat EB TJ'!BB104)</f>
        <v>0</v>
      </c>
      <c r="BD96" s="57">
        <f>IF('Eurostat EB TJ'!BC104=":",0,'Eurostat EB TJ'!BC104)</f>
        <v>0</v>
      </c>
      <c r="BE96" s="57">
        <f>IF('Eurostat EB TJ'!BD104=":",0,'Eurostat EB TJ'!BD104)</f>
        <v>0</v>
      </c>
      <c r="BF96" s="57">
        <f>IF('Eurostat EB TJ'!BE104=":",0,'Eurostat EB TJ'!BE104)</f>
        <v>0</v>
      </c>
      <c r="BG96" s="57">
        <f>IF('Eurostat EB TJ'!BF104=":",0,'Eurostat EB TJ'!BF104)</f>
        <v>0</v>
      </c>
      <c r="BH96" s="57">
        <f>IF('Eurostat EB TJ'!BG104=":",0,'Eurostat EB TJ'!BG104)</f>
        <v>0</v>
      </c>
      <c r="BI96" s="57">
        <f>IF('Eurostat EB TJ'!BH104=":",0,'Eurostat EB TJ'!BH104)</f>
        <v>0</v>
      </c>
      <c r="BJ96" s="57">
        <f>IF('Eurostat EB TJ'!BI104=":",0,'Eurostat EB TJ'!BI104)</f>
        <v>0</v>
      </c>
      <c r="BK96" s="57">
        <f>IF('Eurostat EB TJ'!BJ104=":",0,'Eurostat EB TJ'!BJ104)</f>
        <v>0</v>
      </c>
      <c r="BL96" s="57">
        <f>IF('Eurostat EB TJ'!BK104=":",0,'Eurostat EB TJ'!BK104)</f>
        <v>0</v>
      </c>
      <c r="BM96" s="57">
        <f>IF('Eurostat EB TJ'!BL104=":",0,'Eurostat EB TJ'!BL104)</f>
        <v>0</v>
      </c>
      <c r="BN96" s="57">
        <f>IF('Eurostat EB TJ'!BM104=":",0,'Eurostat EB TJ'!BM104)</f>
        <v>0</v>
      </c>
      <c r="BO96" s="57">
        <f>IF('Eurostat EB TJ'!BN104=":",0,'Eurostat EB TJ'!BN104)</f>
        <v>0</v>
      </c>
      <c r="BP96" s="57">
        <f>IF('Eurostat EB TJ'!BO104=":",0,'Eurostat EB TJ'!BO104)</f>
        <v>0</v>
      </c>
      <c r="BQ96" s="57">
        <f>IF('Eurostat EB TJ'!BP104=":",0,'Eurostat EB TJ'!BP104)</f>
        <v>0</v>
      </c>
      <c r="BR96" s="57">
        <f>IF('Eurostat EB TJ'!BQ104=":",0,'Eurostat EB TJ'!BQ104)</f>
        <v>0</v>
      </c>
      <c r="BS96" s="57">
        <f>IF('Eurostat EB TJ'!BR104=":",0,'Eurostat EB TJ'!BR104)</f>
        <v>0</v>
      </c>
      <c r="BT96" s="57">
        <f>IF('Eurostat EB TJ'!BS104=":",0,'Eurostat EB TJ'!BS104)</f>
        <v>0</v>
      </c>
      <c r="BU96" s="57">
        <f>IF('Eurostat EB TJ'!BT104=":",0,'Eurostat EB TJ'!BT104)</f>
        <v>0</v>
      </c>
      <c r="BV96" s="57">
        <f>IF('Eurostat EB TJ'!BU104=":",0,'Eurostat EB TJ'!BU104)</f>
        <v>0</v>
      </c>
    </row>
    <row r="97" spans="1:74" x14ac:dyDescent="0.2">
      <c r="A97" s="56" t="s">
        <v>278</v>
      </c>
      <c r="B97" s="17"/>
      <c r="C97" s="17">
        <f>IF('Eurostat EB TJ'!B105=":",0,'Eurostat EB TJ'!B105)</f>
        <v>3381.1030000000001</v>
      </c>
      <c r="D97" s="17">
        <f>IF('Eurostat EB TJ'!C105=":",0,'Eurostat EB TJ'!C105)</f>
        <v>0</v>
      </c>
      <c r="E97" s="17">
        <f>IF('Eurostat EB TJ'!D105=":",0,'Eurostat EB TJ'!D105)</f>
        <v>0</v>
      </c>
      <c r="F97" s="17">
        <f>IF('Eurostat EB TJ'!E105=":",0,'Eurostat EB TJ'!E105)</f>
        <v>0</v>
      </c>
      <c r="G97" s="17">
        <f>IF('Eurostat EB TJ'!F105=":",0,'Eurostat EB TJ'!F105)</f>
        <v>0</v>
      </c>
      <c r="H97" s="17">
        <f>IF('Eurostat EB TJ'!G105=":",0,'Eurostat EB TJ'!G105)</f>
        <v>0</v>
      </c>
      <c r="I97" s="17">
        <f>IF('Eurostat EB TJ'!H105=":",0,'Eurostat EB TJ'!H105)</f>
        <v>0</v>
      </c>
      <c r="J97" s="17">
        <f>IF('Eurostat EB TJ'!I105=":",0,'Eurostat EB TJ'!I105)</f>
        <v>0</v>
      </c>
      <c r="K97" s="17">
        <f>IF('Eurostat EB TJ'!J105=":",0,'Eurostat EB TJ'!J105)</f>
        <v>0</v>
      </c>
      <c r="L97" s="17">
        <f>IF('Eurostat EB TJ'!K105=":",0,'Eurostat EB TJ'!K105)</f>
        <v>0</v>
      </c>
      <c r="M97" s="17">
        <f>IF('Eurostat EB TJ'!L105=":",0,'Eurostat EB TJ'!L105)</f>
        <v>0</v>
      </c>
      <c r="N97" s="17">
        <f>IF('Eurostat EB TJ'!M105=":",0,'Eurostat EB TJ'!M105)</f>
        <v>0</v>
      </c>
      <c r="O97" s="17">
        <f>IF('Eurostat EB TJ'!N105=":",0,'Eurostat EB TJ'!N105)</f>
        <v>0</v>
      </c>
      <c r="P97" s="17">
        <f>IF('Eurostat EB TJ'!O105=":",0,'Eurostat EB TJ'!O105)</f>
        <v>0</v>
      </c>
      <c r="Q97" s="17">
        <f>IF('Eurostat EB TJ'!P105=":",0,'Eurostat EB TJ'!P105)</f>
        <v>0</v>
      </c>
      <c r="R97" s="17">
        <f>IF('Eurostat EB TJ'!Q105=":",0,'Eurostat EB TJ'!Q105)</f>
        <v>0</v>
      </c>
      <c r="S97" s="17">
        <f>IF('Eurostat EB TJ'!R105=":",0,'Eurostat EB TJ'!R105)</f>
        <v>0</v>
      </c>
      <c r="T97" s="17">
        <f>IF('Eurostat EB TJ'!S105=":",0,'Eurostat EB TJ'!S105)</f>
        <v>0</v>
      </c>
      <c r="U97" s="17">
        <f>IF('Eurostat EB TJ'!T105=":",0,'Eurostat EB TJ'!T105)</f>
        <v>0</v>
      </c>
      <c r="V97" s="17">
        <f>IF('Eurostat EB TJ'!U105=":",0,'Eurostat EB TJ'!U105)</f>
        <v>0</v>
      </c>
      <c r="W97" s="17">
        <f>IF('Eurostat EB TJ'!V105=":",0,'Eurostat EB TJ'!V105)</f>
        <v>0</v>
      </c>
      <c r="X97" s="17">
        <f>IF('Eurostat EB TJ'!W105=":",0,'Eurostat EB TJ'!W105)</f>
        <v>666.83</v>
      </c>
      <c r="Y97" s="17">
        <f>IF('Eurostat EB TJ'!X105=":",0,'Eurostat EB TJ'!X105)</f>
        <v>0</v>
      </c>
      <c r="Z97" s="17">
        <f>IF('Eurostat EB TJ'!Y105=":",0,'Eurostat EB TJ'!Y105)</f>
        <v>0</v>
      </c>
      <c r="AA97" s="17">
        <f>IF('Eurostat EB TJ'!Z105=":",0,'Eurostat EB TJ'!Z105)</f>
        <v>0</v>
      </c>
      <c r="AB97" s="17">
        <f>IF('Eurostat EB TJ'!AA105=":",0,'Eurostat EB TJ'!AA105)</f>
        <v>0</v>
      </c>
      <c r="AC97" s="17">
        <f>IF('Eurostat EB TJ'!AB105=":",0,'Eurostat EB TJ'!AB105)</f>
        <v>0</v>
      </c>
      <c r="AD97" s="17">
        <f>IF('Eurostat EB TJ'!AC105=":",0,'Eurostat EB TJ'!AC105)</f>
        <v>0</v>
      </c>
      <c r="AE97" s="17">
        <f>IF('Eurostat EB TJ'!AD105=":",0,'Eurostat EB TJ'!AD105)</f>
        <v>0</v>
      </c>
      <c r="AF97" s="17">
        <f>IF('Eurostat EB TJ'!AE105=":",0,'Eurostat EB TJ'!AE105)</f>
        <v>0</v>
      </c>
      <c r="AG97" s="17">
        <f>IF('Eurostat EB TJ'!AF105=":",0,'Eurostat EB TJ'!AF105)</f>
        <v>0</v>
      </c>
      <c r="AH97" s="17">
        <f>IF('Eurostat EB TJ'!AG105=":",0,'Eurostat EB TJ'!AG105)</f>
        <v>0</v>
      </c>
      <c r="AI97" s="17">
        <f>IF('Eurostat EB TJ'!AH105=":",0,'Eurostat EB TJ'!AH105)</f>
        <v>0</v>
      </c>
      <c r="AJ97" s="17">
        <f>IF('Eurostat EB TJ'!AI105=":",0,'Eurostat EB TJ'!AI105)</f>
        <v>0</v>
      </c>
      <c r="AK97" s="17">
        <f>IF('Eurostat EB TJ'!AJ105=":",0,'Eurostat EB TJ'!AJ105)</f>
        <v>0</v>
      </c>
      <c r="AL97" s="17">
        <f>IF('Eurostat EB TJ'!AK105=":",0,'Eurostat EB TJ'!AK105)</f>
        <v>0</v>
      </c>
      <c r="AM97" s="17">
        <f>IF('Eurostat EB TJ'!AL105=":",0,'Eurostat EB TJ'!AL105)</f>
        <v>0</v>
      </c>
      <c r="AN97" s="17">
        <f>IF('Eurostat EB TJ'!AM105=":",0,'Eurostat EB TJ'!AM105)</f>
        <v>0</v>
      </c>
      <c r="AO97" s="17">
        <f>IF('Eurostat EB TJ'!AN105=":",0,'Eurostat EB TJ'!AN105)</f>
        <v>0</v>
      </c>
      <c r="AP97" s="17">
        <f>IF('Eurostat EB TJ'!AO105=":",0,'Eurostat EB TJ'!AO105)</f>
        <v>0</v>
      </c>
      <c r="AQ97" s="17">
        <f>IF('Eurostat EB TJ'!AP105=":",0,'Eurostat EB TJ'!AP105)</f>
        <v>0</v>
      </c>
      <c r="AR97" s="17">
        <f>IF('Eurostat EB TJ'!AQ105=":",0,'Eurostat EB TJ'!AQ105)</f>
        <v>0</v>
      </c>
      <c r="AS97" s="17">
        <f>IF('Eurostat EB TJ'!AR105=":",0,'Eurostat EB TJ'!AR105)</f>
        <v>0</v>
      </c>
      <c r="AT97" s="17">
        <f>IF('Eurostat EB TJ'!AS105=":",0,'Eurostat EB TJ'!AS105)</f>
        <v>0</v>
      </c>
      <c r="AU97" s="17">
        <f>IF('Eurostat EB TJ'!AT105=":",0,'Eurostat EB TJ'!AT105)</f>
        <v>0</v>
      </c>
      <c r="AV97" s="17">
        <f>IF('Eurostat EB TJ'!AU105=":",0,'Eurostat EB TJ'!AU105)</f>
        <v>0</v>
      </c>
      <c r="AW97" s="17">
        <f>IF('Eurostat EB TJ'!AV105=":",0,'Eurostat EB TJ'!AV105)</f>
        <v>0</v>
      </c>
      <c r="AX97" s="17">
        <f>IF('Eurostat EB TJ'!AW105=":",0,'Eurostat EB TJ'!AW105)</f>
        <v>0</v>
      </c>
      <c r="AY97" s="17">
        <f>IF('Eurostat EB TJ'!AX105=":",0,'Eurostat EB TJ'!AX105)</f>
        <v>0</v>
      </c>
      <c r="AZ97" s="17">
        <f>IF('Eurostat EB TJ'!AY105=":",0,'Eurostat EB TJ'!AY105)</f>
        <v>0</v>
      </c>
      <c r="BA97" s="17">
        <f>IF('Eurostat EB TJ'!AZ105=":",0,'Eurostat EB TJ'!AZ105)</f>
        <v>0</v>
      </c>
      <c r="BB97" s="17">
        <f>IF('Eurostat EB TJ'!BA105=":",0,'Eurostat EB TJ'!BA105)</f>
        <v>0</v>
      </c>
      <c r="BC97" s="17">
        <f>IF('Eurostat EB TJ'!BB105=":",0,'Eurostat EB TJ'!BB105)</f>
        <v>0</v>
      </c>
      <c r="BD97" s="17">
        <f>IF('Eurostat EB TJ'!BC105=":",0,'Eurostat EB TJ'!BC105)</f>
        <v>0</v>
      </c>
      <c r="BE97" s="17">
        <f>IF('Eurostat EB TJ'!BD105=":",0,'Eurostat EB TJ'!BD105)</f>
        <v>0</v>
      </c>
      <c r="BF97" s="17">
        <f>IF('Eurostat EB TJ'!BE105=":",0,'Eurostat EB TJ'!BE105)</f>
        <v>0</v>
      </c>
      <c r="BG97" s="17">
        <f>IF('Eurostat EB TJ'!BF105=":",0,'Eurostat EB TJ'!BF105)</f>
        <v>0</v>
      </c>
      <c r="BH97" s="17">
        <f>IF('Eurostat EB TJ'!BG105=":",0,'Eurostat EB TJ'!BG105)</f>
        <v>0</v>
      </c>
      <c r="BI97" s="17">
        <f>IF('Eurostat EB TJ'!BH105=":",0,'Eurostat EB TJ'!BH105)</f>
        <v>0</v>
      </c>
      <c r="BJ97" s="17">
        <f>IF('Eurostat EB TJ'!BI105=":",0,'Eurostat EB TJ'!BI105)</f>
        <v>0</v>
      </c>
      <c r="BK97" s="17">
        <f>IF('Eurostat EB TJ'!BJ105=":",0,'Eurostat EB TJ'!BJ105)</f>
        <v>0</v>
      </c>
      <c r="BL97" s="17">
        <f>IF('Eurostat EB TJ'!BK105=":",0,'Eurostat EB TJ'!BK105)</f>
        <v>0</v>
      </c>
      <c r="BM97" s="17">
        <f>IF('Eurostat EB TJ'!BL105=":",0,'Eurostat EB TJ'!BL105)</f>
        <v>0</v>
      </c>
      <c r="BN97" s="17">
        <f>IF('Eurostat EB TJ'!BM105=":",0,'Eurostat EB TJ'!BM105)</f>
        <v>0</v>
      </c>
      <c r="BO97" s="17">
        <f>IF('Eurostat EB TJ'!BN105=":",0,'Eurostat EB TJ'!BN105)</f>
        <v>0</v>
      </c>
      <c r="BP97" s="17">
        <f>IF('Eurostat EB TJ'!BO105=":",0,'Eurostat EB TJ'!BO105)</f>
        <v>0</v>
      </c>
      <c r="BQ97" s="17">
        <f>IF('Eurostat EB TJ'!BP105=":",0,'Eurostat EB TJ'!BP105)</f>
        <v>0</v>
      </c>
      <c r="BR97" s="17">
        <f>IF('Eurostat EB TJ'!BQ105=":",0,'Eurostat EB TJ'!BQ105)</f>
        <v>0</v>
      </c>
      <c r="BS97" s="17">
        <f>IF('Eurostat EB TJ'!BR105=":",0,'Eurostat EB TJ'!BR105)</f>
        <v>1048.2370000000001</v>
      </c>
      <c r="BT97" s="17">
        <f>IF('Eurostat EB TJ'!BS105=":",0,'Eurostat EB TJ'!BS105)</f>
        <v>1666.0360000000001</v>
      </c>
      <c r="BU97" s="17">
        <f>IF('Eurostat EB TJ'!BT105=":",0,'Eurostat EB TJ'!BT105)</f>
        <v>442.34300000000002</v>
      </c>
      <c r="BV97" s="17">
        <f>IF('Eurostat EB TJ'!BU105=":",0,'Eurostat EB TJ'!BU105)</f>
        <v>2331.1610000000001</v>
      </c>
    </row>
    <row r="98" spans="1:74" x14ac:dyDescent="0.2">
      <c r="A98" s="56" t="s">
        <v>98</v>
      </c>
      <c r="B98" s="57"/>
      <c r="C98" s="57">
        <f>IF('Eurostat EB TJ'!B106=":",0,'Eurostat EB TJ'!B106)</f>
        <v>25768.62</v>
      </c>
      <c r="D98" s="57">
        <f>IF('Eurostat EB TJ'!C106=":",0,'Eurostat EB TJ'!C106)</f>
        <v>0</v>
      </c>
      <c r="E98" s="57">
        <f>IF('Eurostat EB TJ'!D106=":",0,'Eurostat EB TJ'!D106)</f>
        <v>0</v>
      </c>
      <c r="F98" s="57">
        <f>IF('Eurostat EB TJ'!E106=":",0,'Eurostat EB TJ'!E106)</f>
        <v>0</v>
      </c>
      <c r="G98" s="57">
        <f>IF('Eurostat EB TJ'!F106=":",0,'Eurostat EB TJ'!F106)</f>
        <v>0</v>
      </c>
      <c r="H98" s="57">
        <f>IF('Eurostat EB TJ'!G106=":",0,'Eurostat EB TJ'!G106)</f>
        <v>0</v>
      </c>
      <c r="I98" s="57">
        <f>IF('Eurostat EB TJ'!H106=":",0,'Eurostat EB TJ'!H106)</f>
        <v>0</v>
      </c>
      <c r="J98" s="57">
        <f>IF('Eurostat EB TJ'!I106=":",0,'Eurostat EB TJ'!I106)</f>
        <v>0</v>
      </c>
      <c r="K98" s="57">
        <f>IF('Eurostat EB TJ'!J106=":",0,'Eurostat EB TJ'!J106)</f>
        <v>0</v>
      </c>
      <c r="L98" s="57">
        <f>IF('Eurostat EB TJ'!K106=":",0,'Eurostat EB TJ'!K106)</f>
        <v>0</v>
      </c>
      <c r="M98" s="57">
        <f>IF('Eurostat EB TJ'!L106=":",0,'Eurostat EB TJ'!L106)</f>
        <v>0</v>
      </c>
      <c r="N98" s="57">
        <f>IF('Eurostat EB TJ'!M106=":",0,'Eurostat EB TJ'!M106)</f>
        <v>0</v>
      </c>
      <c r="O98" s="57">
        <f>IF('Eurostat EB TJ'!N106=":",0,'Eurostat EB TJ'!N106)</f>
        <v>0</v>
      </c>
      <c r="P98" s="57">
        <f>IF('Eurostat EB TJ'!O106=":",0,'Eurostat EB TJ'!O106)</f>
        <v>0</v>
      </c>
      <c r="Q98" s="57">
        <f>IF('Eurostat EB TJ'!P106=":",0,'Eurostat EB TJ'!P106)</f>
        <v>0</v>
      </c>
      <c r="R98" s="57">
        <f>IF('Eurostat EB TJ'!Q106=":",0,'Eurostat EB TJ'!Q106)</f>
        <v>0</v>
      </c>
      <c r="S98" s="57">
        <f>IF('Eurostat EB TJ'!R106=":",0,'Eurostat EB TJ'!R106)</f>
        <v>0</v>
      </c>
      <c r="T98" s="57">
        <f>IF('Eurostat EB TJ'!S106=":",0,'Eurostat EB TJ'!S106)</f>
        <v>0</v>
      </c>
      <c r="U98" s="57">
        <f>IF('Eurostat EB TJ'!T106=":",0,'Eurostat EB TJ'!T106)</f>
        <v>0</v>
      </c>
      <c r="V98" s="57">
        <f>IF('Eurostat EB TJ'!U106=":",0,'Eurostat EB TJ'!U106)</f>
        <v>0</v>
      </c>
      <c r="W98" s="57">
        <f>IF('Eurostat EB TJ'!V106=":",0,'Eurostat EB TJ'!V106)</f>
        <v>0</v>
      </c>
      <c r="X98" s="57">
        <f>IF('Eurostat EB TJ'!W106=":",0,'Eurostat EB TJ'!W106)</f>
        <v>47.442999999999998</v>
      </c>
      <c r="Y98" s="57">
        <f>IF('Eurostat EB TJ'!X106=":",0,'Eurostat EB TJ'!X106)</f>
        <v>0</v>
      </c>
      <c r="Z98" s="57">
        <f>IF('Eurostat EB TJ'!Y106=":",0,'Eurostat EB TJ'!Y106)</f>
        <v>0</v>
      </c>
      <c r="AA98" s="57">
        <f>IF('Eurostat EB TJ'!Z106=":",0,'Eurostat EB TJ'!Z106)</f>
        <v>0</v>
      </c>
      <c r="AB98" s="57">
        <f>IF('Eurostat EB TJ'!AA106=":",0,'Eurostat EB TJ'!AA106)</f>
        <v>0</v>
      </c>
      <c r="AC98" s="57">
        <f>IF('Eurostat EB TJ'!AB106=":",0,'Eurostat EB TJ'!AB106)</f>
        <v>0</v>
      </c>
      <c r="AD98" s="57">
        <f>IF('Eurostat EB TJ'!AC106=":",0,'Eurostat EB TJ'!AC106)</f>
        <v>0</v>
      </c>
      <c r="AE98" s="57">
        <f>IF('Eurostat EB TJ'!AD106=":",0,'Eurostat EB TJ'!AD106)</f>
        <v>0</v>
      </c>
      <c r="AF98" s="57">
        <f>IF('Eurostat EB TJ'!AE106=":",0,'Eurostat EB TJ'!AE106)</f>
        <v>0</v>
      </c>
      <c r="AG98" s="57">
        <f>IF('Eurostat EB TJ'!AF106=":",0,'Eurostat EB TJ'!AF106)</f>
        <v>0</v>
      </c>
      <c r="AH98" s="57">
        <f>IF('Eurostat EB TJ'!AG106=":",0,'Eurostat EB TJ'!AG106)</f>
        <v>0</v>
      </c>
      <c r="AI98" s="57">
        <f>IF('Eurostat EB TJ'!AH106=":",0,'Eurostat EB TJ'!AH106)</f>
        <v>0</v>
      </c>
      <c r="AJ98" s="57">
        <f>IF('Eurostat EB TJ'!AI106=":",0,'Eurostat EB TJ'!AI106)</f>
        <v>0</v>
      </c>
      <c r="AK98" s="57">
        <f>IF('Eurostat EB TJ'!AJ106=":",0,'Eurostat EB TJ'!AJ106)</f>
        <v>0</v>
      </c>
      <c r="AL98" s="57">
        <f>IF('Eurostat EB TJ'!AK106=":",0,'Eurostat EB TJ'!AK106)</f>
        <v>0</v>
      </c>
      <c r="AM98" s="57">
        <f>IF('Eurostat EB TJ'!AL106=":",0,'Eurostat EB TJ'!AL106)</f>
        <v>0</v>
      </c>
      <c r="AN98" s="57">
        <f>IF('Eurostat EB TJ'!AM106=":",0,'Eurostat EB TJ'!AM106)</f>
        <v>0</v>
      </c>
      <c r="AO98" s="57">
        <f>IF('Eurostat EB TJ'!AN106=":",0,'Eurostat EB TJ'!AN106)</f>
        <v>0</v>
      </c>
      <c r="AP98" s="57">
        <f>IF('Eurostat EB TJ'!AO106=":",0,'Eurostat EB TJ'!AO106)</f>
        <v>0</v>
      </c>
      <c r="AQ98" s="57">
        <f>IF('Eurostat EB TJ'!AP106=":",0,'Eurostat EB TJ'!AP106)</f>
        <v>0</v>
      </c>
      <c r="AR98" s="57">
        <f>IF('Eurostat EB TJ'!AQ106=":",0,'Eurostat EB TJ'!AQ106)</f>
        <v>0</v>
      </c>
      <c r="AS98" s="57">
        <f>IF('Eurostat EB TJ'!AR106=":",0,'Eurostat EB TJ'!AR106)</f>
        <v>0</v>
      </c>
      <c r="AT98" s="57">
        <f>IF('Eurostat EB TJ'!AS106=":",0,'Eurostat EB TJ'!AS106)</f>
        <v>0</v>
      </c>
      <c r="AU98" s="57">
        <f>IF('Eurostat EB TJ'!AT106=":",0,'Eurostat EB TJ'!AT106)</f>
        <v>0</v>
      </c>
      <c r="AV98" s="57">
        <f>IF('Eurostat EB TJ'!AU106=":",0,'Eurostat EB TJ'!AU106)</f>
        <v>0</v>
      </c>
      <c r="AW98" s="57">
        <f>IF('Eurostat EB TJ'!AV106=":",0,'Eurostat EB TJ'!AV106)</f>
        <v>0</v>
      </c>
      <c r="AX98" s="57">
        <f>IF('Eurostat EB TJ'!AW106=":",0,'Eurostat EB TJ'!AW106)</f>
        <v>0</v>
      </c>
      <c r="AY98" s="57">
        <f>IF('Eurostat EB TJ'!AX106=":",0,'Eurostat EB TJ'!AX106)</f>
        <v>0</v>
      </c>
      <c r="AZ98" s="57">
        <f>IF('Eurostat EB TJ'!AY106=":",0,'Eurostat EB TJ'!AY106)</f>
        <v>0</v>
      </c>
      <c r="BA98" s="57">
        <f>IF('Eurostat EB TJ'!AZ106=":",0,'Eurostat EB TJ'!AZ106)</f>
        <v>0</v>
      </c>
      <c r="BB98" s="57">
        <f>IF('Eurostat EB TJ'!BA106=":",0,'Eurostat EB TJ'!BA106)</f>
        <v>0</v>
      </c>
      <c r="BC98" s="57">
        <f>IF('Eurostat EB TJ'!BB106=":",0,'Eurostat EB TJ'!BB106)</f>
        <v>0</v>
      </c>
      <c r="BD98" s="57">
        <f>IF('Eurostat EB TJ'!BC106=":",0,'Eurostat EB TJ'!BC106)</f>
        <v>0</v>
      </c>
      <c r="BE98" s="57">
        <f>IF('Eurostat EB TJ'!BD106=":",0,'Eurostat EB TJ'!BD106)</f>
        <v>0</v>
      </c>
      <c r="BF98" s="57">
        <f>IF('Eurostat EB TJ'!BE106=":",0,'Eurostat EB TJ'!BE106)</f>
        <v>0</v>
      </c>
      <c r="BG98" s="57">
        <f>IF('Eurostat EB TJ'!BF106=":",0,'Eurostat EB TJ'!BF106)</f>
        <v>0</v>
      </c>
      <c r="BH98" s="57">
        <f>IF('Eurostat EB TJ'!BG106=":",0,'Eurostat EB TJ'!BG106)</f>
        <v>0</v>
      </c>
      <c r="BI98" s="57">
        <f>IF('Eurostat EB TJ'!BH106=":",0,'Eurostat EB TJ'!BH106)</f>
        <v>0</v>
      </c>
      <c r="BJ98" s="57">
        <f>IF('Eurostat EB TJ'!BI106=":",0,'Eurostat EB TJ'!BI106)</f>
        <v>0</v>
      </c>
      <c r="BK98" s="57">
        <f>IF('Eurostat EB TJ'!BJ106=":",0,'Eurostat EB TJ'!BJ106)</f>
        <v>0</v>
      </c>
      <c r="BL98" s="57">
        <f>IF('Eurostat EB TJ'!BK106=":",0,'Eurostat EB TJ'!BK106)</f>
        <v>0</v>
      </c>
      <c r="BM98" s="57">
        <f>IF('Eurostat EB TJ'!BL106=":",0,'Eurostat EB TJ'!BL106)</f>
        <v>0</v>
      </c>
      <c r="BN98" s="57">
        <f>IF('Eurostat EB TJ'!BM106=":",0,'Eurostat EB TJ'!BM106)</f>
        <v>0</v>
      </c>
      <c r="BO98" s="57">
        <f>IF('Eurostat EB TJ'!BN106=":",0,'Eurostat EB TJ'!BN106)</f>
        <v>0</v>
      </c>
      <c r="BP98" s="57">
        <f>IF('Eurostat EB TJ'!BO106=":",0,'Eurostat EB TJ'!BO106)</f>
        <v>0</v>
      </c>
      <c r="BQ98" s="57">
        <f>IF('Eurostat EB TJ'!BP106=":",0,'Eurostat EB TJ'!BP106)</f>
        <v>0</v>
      </c>
      <c r="BR98" s="57">
        <f>IF('Eurostat EB TJ'!BQ106=":",0,'Eurostat EB TJ'!BQ106)</f>
        <v>0</v>
      </c>
      <c r="BS98" s="57">
        <f>IF('Eurostat EB TJ'!BR106=":",0,'Eurostat EB TJ'!BR106)</f>
        <v>18101.606</v>
      </c>
      <c r="BT98" s="57">
        <f>IF('Eurostat EB TJ'!BS106=":",0,'Eurostat EB TJ'!BS106)</f>
        <v>7619.5709999999999</v>
      </c>
      <c r="BU98" s="57">
        <f>IF('Eurostat EB TJ'!BT106=":",0,'Eurostat EB TJ'!BT106)</f>
        <v>2878.2260000000001</v>
      </c>
      <c r="BV98" s="57">
        <f>IF('Eurostat EB TJ'!BU106=":",0,'Eurostat EB TJ'!BU106)</f>
        <v>14218.611999999999</v>
      </c>
    </row>
    <row r="99" spans="1:74" x14ac:dyDescent="0.2">
      <c r="A99" s="62" t="s">
        <v>99</v>
      </c>
      <c r="B99" s="17" t="s">
        <v>393</v>
      </c>
      <c r="C99" s="17">
        <f>IF('Eurostat EB TJ'!B107=":",0,'Eurostat EB TJ'!B107)</f>
        <v>2046739.2150000001</v>
      </c>
      <c r="D99" s="17">
        <f>IF('Eurostat EB TJ'!C107=":",0,'Eurostat EB TJ'!C107)</f>
        <v>5748.3239999999996</v>
      </c>
      <c r="E99" s="17">
        <f>IF('Eurostat EB TJ'!D107=":",0,'Eurostat EB TJ'!D107)</f>
        <v>76.706999999999994</v>
      </c>
      <c r="F99" s="17">
        <f>IF('Eurostat EB TJ'!E107=":",0,'Eurostat EB TJ'!E107)</f>
        <v>66.251999999999995</v>
      </c>
      <c r="G99" s="17">
        <f>IF('Eurostat EB TJ'!F107=":",0,'Eurostat EB TJ'!F107)</f>
        <v>470.79899999999998</v>
      </c>
      <c r="H99" s="17">
        <f>IF('Eurostat EB TJ'!G107=":",0,'Eurostat EB TJ'!G107)</f>
        <v>0</v>
      </c>
      <c r="I99" s="17">
        <f>IF('Eurostat EB TJ'!H107=":",0,'Eurostat EB TJ'!H107)</f>
        <v>312.82</v>
      </c>
      <c r="J99" s="17">
        <f>IF('Eurostat EB TJ'!I107=":",0,'Eurostat EB TJ'!I107)</f>
        <v>3903.759</v>
      </c>
      <c r="K99" s="17">
        <f>IF('Eurostat EB TJ'!J107=":",0,'Eurostat EB TJ'!J107)</f>
        <v>0</v>
      </c>
      <c r="L99" s="17">
        <f>IF('Eurostat EB TJ'!K107=":",0,'Eurostat EB TJ'!K107)</f>
        <v>0</v>
      </c>
      <c r="M99" s="17">
        <f>IF('Eurostat EB TJ'!L107=":",0,'Eurostat EB TJ'!L107)</f>
        <v>0</v>
      </c>
      <c r="N99" s="17">
        <f>IF('Eurostat EB TJ'!M107=":",0,'Eurostat EB TJ'!M107)</f>
        <v>917.98699999999997</v>
      </c>
      <c r="O99" s="17">
        <f>IF('Eurostat EB TJ'!N107=":",0,'Eurostat EB TJ'!N107)</f>
        <v>11186.406999999999</v>
      </c>
      <c r="P99" s="17">
        <f>IF('Eurostat EB TJ'!O107=":",0,'Eurostat EB TJ'!O107)</f>
        <v>6393.5039999999999</v>
      </c>
      <c r="Q99" s="17">
        <f>IF('Eurostat EB TJ'!P107=":",0,'Eurostat EB TJ'!P107)</f>
        <v>0</v>
      </c>
      <c r="R99" s="17">
        <f>IF('Eurostat EB TJ'!Q107=":",0,'Eurostat EB TJ'!Q107)</f>
        <v>4792.9030000000002</v>
      </c>
      <c r="S99" s="17">
        <f>IF('Eurostat EB TJ'!R107=":",0,'Eurostat EB TJ'!R107)</f>
        <v>0</v>
      </c>
      <c r="T99" s="17">
        <f>IF('Eurostat EB TJ'!S107=":",0,'Eurostat EB TJ'!S107)</f>
        <v>0</v>
      </c>
      <c r="U99" s="17">
        <f>IF('Eurostat EB TJ'!T107=":",0,'Eurostat EB TJ'!T107)</f>
        <v>0</v>
      </c>
      <c r="V99" s="17">
        <f>IF('Eurostat EB TJ'!U107=":",0,'Eurostat EB TJ'!U107)</f>
        <v>0</v>
      </c>
      <c r="W99" s="17">
        <f>IF('Eurostat EB TJ'!V107=":",0,'Eurostat EB TJ'!V107)</f>
        <v>0</v>
      </c>
      <c r="X99" s="17">
        <f>IF('Eurostat EB TJ'!W107=":",0,'Eurostat EB TJ'!W107)</f>
        <v>596325.38</v>
      </c>
      <c r="Y99" s="17">
        <f>IF('Eurostat EB TJ'!X107=":",0,'Eurostat EB TJ'!X107)</f>
        <v>904307.48400000005</v>
      </c>
      <c r="Z99" s="17">
        <f>IF('Eurostat EB TJ'!Y107=":",0,'Eurostat EB TJ'!Y107)</f>
        <v>-84.231999999999999</v>
      </c>
      <c r="AA99" s="17">
        <f>IF('Eurostat EB TJ'!Z107=":",0,'Eurostat EB TJ'!Z107)</f>
        <v>113302.917</v>
      </c>
      <c r="AB99" s="17">
        <f>IF('Eurostat EB TJ'!AA107=":",0,'Eurostat EB TJ'!AA107)</f>
        <v>0</v>
      </c>
      <c r="AC99" s="17">
        <f>IF('Eurostat EB TJ'!AB107=":",0,'Eurostat EB TJ'!AB107)</f>
        <v>2872.1750000000002</v>
      </c>
      <c r="AD99" s="17">
        <f>IF('Eurostat EB TJ'!AC107=":",0,'Eurostat EB TJ'!AC107)</f>
        <v>0</v>
      </c>
      <c r="AE99" s="17">
        <f>IF('Eurostat EB TJ'!AD107=":",0,'Eurostat EB TJ'!AD107)</f>
        <v>103516.201</v>
      </c>
      <c r="AF99" s="17">
        <f>IF('Eurostat EB TJ'!AE107=":",0,'Eurostat EB TJ'!AE107)</f>
        <v>0</v>
      </c>
      <c r="AG99" s="17">
        <f>IF('Eurostat EB TJ'!AF107=":",0,'Eurostat EB TJ'!AF107)</f>
        <v>78636.793000000005</v>
      </c>
      <c r="AH99" s="17">
        <f>IF('Eurostat EB TJ'!AG107=":",0,'Eurostat EB TJ'!AG107)</f>
        <v>163893.617</v>
      </c>
      <c r="AI99" s="17">
        <f>IF('Eurostat EB TJ'!AH107=":",0,'Eurostat EB TJ'!AH107)</f>
        <v>56.847000000000001</v>
      </c>
      <c r="AJ99" s="17">
        <f>IF('Eurostat EB TJ'!AI107=":",0,'Eurostat EB TJ'!AI107)</f>
        <v>171942.658</v>
      </c>
      <c r="AK99" s="17">
        <f>IF('Eurostat EB TJ'!AJ107=":",0,'Eurostat EB TJ'!AJ107)</f>
        <v>0</v>
      </c>
      <c r="AL99" s="17">
        <f>IF('Eurostat EB TJ'!AK107=":",0,'Eurostat EB TJ'!AK107)</f>
        <v>1938.453</v>
      </c>
      <c r="AM99" s="17">
        <f>IF('Eurostat EB TJ'!AL107=":",0,'Eurostat EB TJ'!AL107)</f>
        <v>1574.8320000000001</v>
      </c>
      <c r="AN99" s="17">
        <f>IF('Eurostat EB TJ'!AM107=":",0,'Eurostat EB TJ'!AM107)</f>
        <v>233804.89199999999</v>
      </c>
      <c r="AO99" s="17">
        <f>IF('Eurostat EB TJ'!AN107=":",0,'Eurostat EB TJ'!AN107)</f>
        <v>-4.1000000000000002E-2</v>
      </c>
      <c r="AP99" s="17">
        <f>IF('Eurostat EB TJ'!AO107=":",0,'Eurostat EB TJ'!AO107)</f>
        <v>761.42600000000004</v>
      </c>
      <c r="AQ99" s="17">
        <f>IF('Eurostat EB TJ'!AP107=":",0,'Eurostat EB TJ'!AP107)</f>
        <v>6290.7150000000001</v>
      </c>
      <c r="AR99" s="17">
        <f>IF('Eurostat EB TJ'!AQ107=":",0,'Eurostat EB TJ'!AQ107)</f>
        <v>809.70799999999997</v>
      </c>
      <c r="AS99" s="17">
        <f>IF('Eurostat EB TJ'!AR107=":",0,'Eurostat EB TJ'!AR107)</f>
        <v>14776.694</v>
      </c>
      <c r="AT99" s="17">
        <f>IF('Eurostat EB TJ'!AS107=":",0,'Eurostat EB TJ'!AS107)</f>
        <v>3839.2550000000001</v>
      </c>
      <c r="AU99" s="17">
        <f>IF('Eurostat EB TJ'!AT107=":",0,'Eurostat EB TJ'!AT107)</f>
        <v>6374.5730000000003</v>
      </c>
      <c r="AV99" s="17">
        <f>IF('Eurostat EB TJ'!AU107=":",0,'Eurostat EB TJ'!AU107)</f>
        <v>91474.001000000004</v>
      </c>
      <c r="AW99" s="17">
        <f>IF('Eurostat EB TJ'!AV107=":",0,'Eurostat EB TJ'!AV107)</f>
        <v>0</v>
      </c>
      <c r="AX99" s="17">
        <f>IF('Eurostat EB TJ'!AW107=":",0,'Eurostat EB TJ'!AW107)</f>
        <v>6797.51</v>
      </c>
      <c r="AY99" s="17">
        <f>IF('Eurostat EB TJ'!AX107=":",0,'Eurostat EB TJ'!AX107)</f>
        <v>0</v>
      </c>
      <c r="AZ99" s="17">
        <f>IF('Eurostat EB TJ'!AY107=":",0,'Eurostat EB TJ'!AY107)</f>
        <v>1176</v>
      </c>
      <c r="BA99" s="17">
        <f>IF('Eurostat EB TJ'!AZ107=":",0,'Eurostat EB TJ'!AZ107)</f>
        <v>0</v>
      </c>
      <c r="BB99" s="17">
        <f>IF('Eurostat EB TJ'!BA107=":",0,'Eurostat EB TJ'!BA107)</f>
        <v>0</v>
      </c>
      <c r="BC99" s="17">
        <f>IF('Eurostat EB TJ'!BB107=":",0,'Eurostat EB TJ'!BB107)</f>
        <v>25524.613000000001</v>
      </c>
      <c r="BD99" s="17">
        <f>IF('Eurostat EB TJ'!BC107=":",0,'Eurostat EB TJ'!BC107)</f>
        <v>25605.471000000001</v>
      </c>
      <c r="BE99" s="17">
        <f>IF('Eurostat EB TJ'!BD107=":",0,'Eurostat EB TJ'!BD107)</f>
        <v>270</v>
      </c>
      <c r="BF99" s="17">
        <f>IF('Eurostat EB TJ'!BE107=":",0,'Eurostat EB TJ'!BE107)</f>
        <v>0</v>
      </c>
      <c r="BG99" s="17">
        <f>IF('Eurostat EB TJ'!BF107=":",0,'Eurostat EB TJ'!BF107)</f>
        <v>10780.532999999999</v>
      </c>
      <c r="BH99" s="17">
        <f>IF('Eurostat EB TJ'!BG107=":",0,'Eurostat EB TJ'!BG107)</f>
        <v>0</v>
      </c>
      <c r="BI99" s="17">
        <f>IF('Eurostat EB TJ'!BH107=":",0,'Eurostat EB TJ'!BH107)</f>
        <v>14730.06</v>
      </c>
      <c r="BJ99" s="17">
        <f>IF('Eurostat EB TJ'!BI107=":",0,'Eurostat EB TJ'!BI107)</f>
        <v>0</v>
      </c>
      <c r="BK99" s="17">
        <f>IF('Eurostat EB TJ'!BJ107=":",0,'Eurostat EB TJ'!BJ107)</f>
        <v>0</v>
      </c>
      <c r="BL99" s="17">
        <f>IF('Eurostat EB TJ'!BK107=":",0,'Eurostat EB TJ'!BK107)</f>
        <v>529.77599999999995</v>
      </c>
      <c r="BM99" s="17">
        <f>IF('Eurostat EB TJ'!BL107=":",0,'Eurostat EB TJ'!BL107)</f>
        <v>4549.9560000000001</v>
      </c>
      <c r="BN99" s="17">
        <f>IF('Eurostat EB TJ'!BM107=":",0,'Eurostat EB TJ'!BM107)</f>
        <v>631.01400000000001</v>
      </c>
      <c r="BO99" s="17">
        <f>IF('Eurostat EB TJ'!BN107=":",0,'Eurostat EB TJ'!BN107)</f>
        <v>1510.0820000000001</v>
      </c>
      <c r="BP99" s="17">
        <f>IF('Eurostat EB TJ'!BO107=":",0,'Eurostat EB TJ'!BO107)</f>
        <v>1339.13</v>
      </c>
      <c r="BQ99" s="17">
        <f>IF('Eurostat EB TJ'!BP107=":",0,'Eurostat EB TJ'!BP107)</f>
        <v>1970.144</v>
      </c>
      <c r="BR99" s="17">
        <f>IF('Eurostat EB TJ'!BQ107=":",0,'Eurostat EB TJ'!BQ107)</f>
        <v>0</v>
      </c>
      <c r="BS99" s="17">
        <f>IF('Eurostat EB TJ'!BR107=":",0,'Eurostat EB TJ'!BR107)</f>
        <v>367010.01699999999</v>
      </c>
      <c r="BT99" s="17">
        <f>IF('Eurostat EB TJ'!BS107=":",0,'Eurostat EB TJ'!BS107)</f>
        <v>68717.457999999999</v>
      </c>
      <c r="BU99" s="17">
        <f>IF('Eurostat EB TJ'!BT107=":",0,'Eurostat EB TJ'!BT107)</f>
        <v>98205.835999999996</v>
      </c>
      <c r="BV99" s="17">
        <f>IF('Eurostat EB TJ'!BU107=":",0,'Eurostat EB TJ'!BU107)</f>
        <v>1739258.061</v>
      </c>
    </row>
    <row r="100" spans="1:74" x14ac:dyDescent="0.2">
      <c r="A100" s="56" t="s">
        <v>279</v>
      </c>
      <c r="B100" s="57"/>
      <c r="C100" s="57">
        <f>IF('Eurostat EB TJ'!B108=":",0,'Eurostat EB TJ'!B108)</f>
        <v>448111.13500000001</v>
      </c>
      <c r="D100" s="57">
        <f>IF('Eurostat EB TJ'!C108=":",0,'Eurostat EB TJ'!C108)</f>
        <v>1262.528</v>
      </c>
      <c r="E100" s="57">
        <f>IF('Eurostat EB TJ'!D108=":",0,'Eurostat EB TJ'!D108)</f>
        <v>74.216999999999999</v>
      </c>
      <c r="F100" s="57">
        <f>IF('Eurostat EB TJ'!E108=":",0,'Eurostat EB TJ'!E108)</f>
        <v>18.925000000000001</v>
      </c>
      <c r="G100" s="57">
        <f>IF('Eurostat EB TJ'!F108=":",0,'Eurostat EB TJ'!F108)</f>
        <v>0</v>
      </c>
      <c r="H100" s="57">
        <f>IF('Eurostat EB TJ'!G108=":",0,'Eurostat EB TJ'!G108)</f>
        <v>0</v>
      </c>
      <c r="I100" s="57">
        <f>IF('Eurostat EB TJ'!H108=":",0,'Eurostat EB TJ'!H108)</f>
        <v>0</v>
      </c>
      <c r="J100" s="57">
        <f>IF('Eurostat EB TJ'!I108=":",0,'Eurostat EB TJ'!I108)</f>
        <v>251.399</v>
      </c>
      <c r="K100" s="57">
        <f>IF('Eurostat EB TJ'!J108=":",0,'Eurostat EB TJ'!J108)</f>
        <v>0</v>
      </c>
      <c r="L100" s="57">
        <f>IF('Eurostat EB TJ'!K108=":",0,'Eurostat EB TJ'!K108)</f>
        <v>0</v>
      </c>
      <c r="M100" s="57">
        <f>IF('Eurostat EB TJ'!L108=":",0,'Eurostat EB TJ'!L108)</f>
        <v>0</v>
      </c>
      <c r="N100" s="57">
        <f>IF('Eurostat EB TJ'!M108=":",0,'Eurostat EB TJ'!M108)</f>
        <v>917.98699999999997</v>
      </c>
      <c r="O100" s="57">
        <f>IF('Eurostat EB TJ'!N108=":",0,'Eurostat EB TJ'!N108)</f>
        <v>0</v>
      </c>
      <c r="P100" s="57">
        <f>IF('Eurostat EB TJ'!O108=":",0,'Eurostat EB TJ'!O108)</f>
        <v>0</v>
      </c>
      <c r="Q100" s="57">
        <f>IF('Eurostat EB TJ'!P108=":",0,'Eurostat EB TJ'!P108)</f>
        <v>0</v>
      </c>
      <c r="R100" s="57">
        <f>IF('Eurostat EB TJ'!Q108=":",0,'Eurostat EB TJ'!Q108)</f>
        <v>0</v>
      </c>
      <c r="S100" s="57">
        <f>IF('Eurostat EB TJ'!R108=":",0,'Eurostat EB TJ'!R108)</f>
        <v>0</v>
      </c>
      <c r="T100" s="57">
        <f>IF('Eurostat EB TJ'!S108=":",0,'Eurostat EB TJ'!S108)</f>
        <v>0</v>
      </c>
      <c r="U100" s="57">
        <f>IF('Eurostat EB TJ'!T108=":",0,'Eurostat EB TJ'!T108)</f>
        <v>0</v>
      </c>
      <c r="V100" s="57">
        <f>IF('Eurostat EB TJ'!U108=":",0,'Eurostat EB TJ'!U108)</f>
        <v>0</v>
      </c>
      <c r="W100" s="57">
        <f>IF('Eurostat EB TJ'!V108=":",0,'Eurostat EB TJ'!V108)</f>
        <v>0</v>
      </c>
      <c r="X100" s="57">
        <f>IF('Eurostat EB TJ'!W108=":",0,'Eurostat EB TJ'!W108)</f>
        <v>67016.747000000003</v>
      </c>
      <c r="Y100" s="57">
        <f>IF('Eurostat EB TJ'!X108=":",0,'Eurostat EB TJ'!X108)</f>
        <v>379831.86</v>
      </c>
      <c r="Z100" s="57">
        <f>IF('Eurostat EB TJ'!Y108=":",0,'Eurostat EB TJ'!Y108)</f>
        <v>0</v>
      </c>
      <c r="AA100" s="57">
        <f>IF('Eurostat EB TJ'!Z108=":",0,'Eurostat EB TJ'!Z108)</f>
        <v>113287.74400000001</v>
      </c>
      <c r="AB100" s="57">
        <f>IF('Eurostat EB TJ'!AA108=":",0,'Eurostat EB TJ'!AA108)</f>
        <v>0</v>
      </c>
      <c r="AC100" s="57">
        <f>IF('Eurostat EB TJ'!AB108=":",0,'Eurostat EB TJ'!AB108)</f>
        <v>0</v>
      </c>
      <c r="AD100" s="57">
        <f>IF('Eurostat EB TJ'!AC108=":",0,'Eurostat EB TJ'!AC108)</f>
        <v>0</v>
      </c>
      <c r="AE100" s="57">
        <f>IF('Eurostat EB TJ'!AD108=":",0,'Eurostat EB TJ'!AD108)</f>
        <v>0</v>
      </c>
      <c r="AF100" s="57">
        <f>IF('Eurostat EB TJ'!AE108=":",0,'Eurostat EB TJ'!AE108)</f>
        <v>0</v>
      </c>
      <c r="AG100" s="57">
        <f>IF('Eurostat EB TJ'!AF108=":",0,'Eurostat EB TJ'!AF108)</f>
        <v>69129.243000000002</v>
      </c>
      <c r="AH100" s="57">
        <f>IF('Eurostat EB TJ'!AG108=":",0,'Eurostat EB TJ'!AG108)</f>
        <v>163893.617</v>
      </c>
      <c r="AI100" s="57">
        <f>IF('Eurostat EB TJ'!AH108=":",0,'Eurostat EB TJ'!AH108)</f>
        <v>0</v>
      </c>
      <c r="AJ100" s="57">
        <f>IF('Eurostat EB TJ'!AI108=":",0,'Eurostat EB TJ'!AI108)</f>
        <v>0</v>
      </c>
      <c r="AK100" s="57">
        <f>IF('Eurostat EB TJ'!AJ108=":",0,'Eurostat EB TJ'!AJ108)</f>
        <v>0</v>
      </c>
      <c r="AL100" s="57">
        <f>IF('Eurostat EB TJ'!AK108=":",0,'Eurostat EB TJ'!AK108)</f>
        <v>0</v>
      </c>
      <c r="AM100" s="57">
        <f>IF('Eurostat EB TJ'!AL108=":",0,'Eurostat EB TJ'!AL108)</f>
        <v>1356.9559999999999</v>
      </c>
      <c r="AN100" s="57">
        <f>IF('Eurostat EB TJ'!AM108=":",0,'Eurostat EB TJ'!AM108)</f>
        <v>24.72</v>
      </c>
      <c r="AO100" s="57">
        <f>IF('Eurostat EB TJ'!AN108=":",0,'Eurostat EB TJ'!AN108)</f>
        <v>0</v>
      </c>
      <c r="AP100" s="57">
        <f>IF('Eurostat EB TJ'!AO108=":",0,'Eurostat EB TJ'!AO108)</f>
        <v>761.42600000000004</v>
      </c>
      <c r="AQ100" s="57">
        <f>IF('Eurostat EB TJ'!AP108=":",0,'Eurostat EB TJ'!AP108)</f>
        <v>6290.674</v>
      </c>
      <c r="AR100" s="57">
        <f>IF('Eurostat EB TJ'!AQ108=":",0,'Eurostat EB TJ'!AQ108)</f>
        <v>809.70799999999997</v>
      </c>
      <c r="AS100" s="57">
        <f>IF('Eurostat EB TJ'!AR108=":",0,'Eurostat EB TJ'!AR108)</f>
        <v>14712.534</v>
      </c>
      <c r="AT100" s="57">
        <f>IF('Eurostat EB TJ'!AS108=":",0,'Eurostat EB TJ'!AS108)</f>
        <v>3839.2550000000001</v>
      </c>
      <c r="AU100" s="57">
        <f>IF('Eurostat EB TJ'!AT108=":",0,'Eurostat EB TJ'!AT108)</f>
        <v>5725.9830000000002</v>
      </c>
      <c r="AV100" s="57">
        <f>IF('Eurostat EB TJ'!AU108=":",0,'Eurostat EB TJ'!AU108)</f>
        <v>0</v>
      </c>
      <c r="AW100" s="57">
        <f>IF('Eurostat EB TJ'!AV108=":",0,'Eurostat EB TJ'!AV108)</f>
        <v>0</v>
      </c>
      <c r="AX100" s="57">
        <f>IF('Eurostat EB TJ'!AW108=":",0,'Eurostat EB TJ'!AW108)</f>
        <v>0</v>
      </c>
      <c r="AY100" s="57">
        <f>IF('Eurostat EB TJ'!AX108=":",0,'Eurostat EB TJ'!AX108)</f>
        <v>0</v>
      </c>
      <c r="AZ100" s="57">
        <f>IF('Eurostat EB TJ'!AY108=":",0,'Eurostat EB TJ'!AY108)</f>
        <v>0</v>
      </c>
      <c r="BA100" s="57">
        <f>IF('Eurostat EB TJ'!AZ108=":",0,'Eurostat EB TJ'!AZ108)</f>
        <v>0</v>
      </c>
      <c r="BB100" s="57">
        <f>IF('Eurostat EB TJ'!BA108=":",0,'Eurostat EB TJ'!BA108)</f>
        <v>0</v>
      </c>
      <c r="BC100" s="57">
        <f>IF('Eurostat EB TJ'!BB108=":",0,'Eurostat EB TJ'!BB108)</f>
        <v>0</v>
      </c>
      <c r="BD100" s="57">
        <f>IF('Eurostat EB TJ'!BC108=":",0,'Eurostat EB TJ'!BC108)</f>
        <v>0</v>
      </c>
      <c r="BE100" s="57">
        <f>IF('Eurostat EB TJ'!BD108=":",0,'Eurostat EB TJ'!BD108)</f>
        <v>0</v>
      </c>
      <c r="BF100" s="57">
        <f>IF('Eurostat EB TJ'!BE108=":",0,'Eurostat EB TJ'!BE108)</f>
        <v>0</v>
      </c>
      <c r="BG100" s="57">
        <f>IF('Eurostat EB TJ'!BF108=":",0,'Eurostat EB TJ'!BF108)</f>
        <v>0</v>
      </c>
      <c r="BH100" s="57">
        <f>IF('Eurostat EB TJ'!BG108=":",0,'Eurostat EB TJ'!BG108)</f>
        <v>0</v>
      </c>
      <c r="BI100" s="57">
        <f>IF('Eurostat EB TJ'!BH108=":",0,'Eurostat EB TJ'!BH108)</f>
        <v>0</v>
      </c>
      <c r="BJ100" s="57">
        <f>IF('Eurostat EB TJ'!BI108=":",0,'Eurostat EB TJ'!BI108)</f>
        <v>0</v>
      </c>
      <c r="BK100" s="57">
        <f>IF('Eurostat EB TJ'!BJ108=":",0,'Eurostat EB TJ'!BJ108)</f>
        <v>0</v>
      </c>
      <c r="BL100" s="57">
        <f>IF('Eurostat EB TJ'!BK108=":",0,'Eurostat EB TJ'!BK108)</f>
        <v>0</v>
      </c>
      <c r="BM100" s="57">
        <f>IF('Eurostat EB TJ'!BL108=":",0,'Eurostat EB TJ'!BL108)</f>
        <v>0</v>
      </c>
      <c r="BN100" s="57">
        <f>IF('Eurostat EB TJ'!BM108=":",0,'Eurostat EB TJ'!BM108)</f>
        <v>0</v>
      </c>
      <c r="BO100" s="57">
        <f>IF('Eurostat EB TJ'!BN108=":",0,'Eurostat EB TJ'!BN108)</f>
        <v>0</v>
      </c>
      <c r="BP100" s="57">
        <f>IF('Eurostat EB TJ'!BO108=":",0,'Eurostat EB TJ'!BO108)</f>
        <v>0</v>
      </c>
      <c r="BQ100" s="57">
        <f>IF('Eurostat EB TJ'!BP108=":",0,'Eurostat EB TJ'!BP108)</f>
        <v>0</v>
      </c>
      <c r="BR100" s="57">
        <f>IF('Eurostat EB TJ'!BQ108=":",0,'Eurostat EB TJ'!BQ108)</f>
        <v>0</v>
      </c>
      <c r="BS100" s="57">
        <f>IF('Eurostat EB TJ'!BR108=":",0,'Eurostat EB TJ'!BR108)</f>
        <v>0</v>
      </c>
      <c r="BT100" s="57">
        <f>IF('Eurostat EB TJ'!BS108=":",0,'Eurostat EB TJ'!BS108)</f>
        <v>0</v>
      </c>
      <c r="BU100" s="57">
        <f>IF('Eurostat EB TJ'!BT108=":",0,'Eurostat EB TJ'!BT108)</f>
        <v>686.44600000000003</v>
      </c>
      <c r="BV100" s="57">
        <f>IF('Eurostat EB TJ'!BU108=":",0,'Eurostat EB TJ'!BU108)</f>
        <v>447424.68900000001</v>
      </c>
    </row>
    <row r="101" spans="1:74" x14ac:dyDescent="0.2">
      <c r="A101" s="56" t="s">
        <v>280</v>
      </c>
      <c r="B101" s="17"/>
      <c r="C101" s="17">
        <f>IF('Eurostat EB TJ'!B109=":",0,'Eurostat EB TJ'!B109)</f>
        <v>443859.42300000001</v>
      </c>
      <c r="D101" s="17">
        <f>IF('Eurostat EB TJ'!C109=":",0,'Eurostat EB TJ'!C109)</f>
        <v>1262.528</v>
      </c>
      <c r="E101" s="17">
        <f>IF('Eurostat EB TJ'!D109=":",0,'Eurostat EB TJ'!D109)</f>
        <v>74.216999999999999</v>
      </c>
      <c r="F101" s="17">
        <f>IF('Eurostat EB TJ'!E109=":",0,'Eurostat EB TJ'!E109)</f>
        <v>18.925000000000001</v>
      </c>
      <c r="G101" s="17">
        <f>IF('Eurostat EB TJ'!F109=":",0,'Eurostat EB TJ'!F109)</f>
        <v>0</v>
      </c>
      <c r="H101" s="17">
        <f>IF('Eurostat EB TJ'!G109=":",0,'Eurostat EB TJ'!G109)</f>
        <v>0</v>
      </c>
      <c r="I101" s="17">
        <f>IF('Eurostat EB TJ'!H109=":",0,'Eurostat EB TJ'!H109)</f>
        <v>0</v>
      </c>
      <c r="J101" s="17">
        <f>IF('Eurostat EB TJ'!I109=":",0,'Eurostat EB TJ'!I109)</f>
        <v>251.399</v>
      </c>
      <c r="K101" s="17">
        <f>IF('Eurostat EB TJ'!J109=":",0,'Eurostat EB TJ'!J109)</f>
        <v>0</v>
      </c>
      <c r="L101" s="17">
        <f>IF('Eurostat EB TJ'!K109=":",0,'Eurostat EB TJ'!K109)</f>
        <v>0</v>
      </c>
      <c r="M101" s="17">
        <f>IF('Eurostat EB TJ'!L109=":",0,'Eurostat EB TJ'!L109)</f>
        <v>0</v>
      </c>
      <c r="N101" s="17">
        <f>IF('Eurostat EB TJ'!M109=":",0,'Eurostat EB TJ'!M109)</f>
        <v>917.98699999999997</v>
      </c>
      <c r="O101" s="17">
        <f>IF('Eurostat EB TJ'!N109=":",0,'Eurostat EB TJ'!N109)</f>
        <v>0</v>
      </c>
      <c r="P101" s="17">
        <f>IF('Eurostat EB TJ'!O109=":",0,'Eurostat EB TJ'!O109)</f>
        <v>0</v>
      </c>
      <c r="Q101" s="17">
        <f>IF('Eurostat EB TJ'!P109=":",0,'Eurostat EB TJ'!P109)</f>
        <v>0</v>
      </c>
      <c r="R101" s="17">
        <f>IF('Eurostat EB TJ'!Q109=":",0,'Eurostat EB TJ'!Q109)</f>
        <v>0</v>
      </c>
      <c r="S101" s="17">
        <f>IF('Eurostat EB TJ'!R109=":",0,'Eurostat EB TJ'!R109)</f>
        <v>0</v>
      </c>
      <c r="T101" s="17">
        <f>IF('Eurostat EB TJ'!S109=":",0,'Eurostat EB TJ'!S109)</f>
        <v>0</v>
      </c>
      <c r="U101" s="17">
        <f>IF('Eurostat EB TJ'!T109=":",0,'Eurostat EB TJ'!T109)</f>
        <v>0</v>
      </c>
      <c r="V101" s="17">
        <f>IF('Eurostat EB TJ'!U109=":",0,'Eurostat EB TJ'!U109)</f>
        <v>0</v>
      </c>
      <c r="W101" s="17">
        <f>IF('Eurostat EB TJ'!V109=":",0,'Eurostat EB TJ'!V109)</f>
        <v>0</v>
      </c>
      <c r="X101" s="17">
        <f>IF('Eurostat EB TJ'!W109=":",0,'Eurostat EB TJ'!W109)</f>
        <v>66978.793000000005</v>
      </c>
      <c r="Y101" s="17">
        <f>IF('Eurostat EB TJ'!X109=":",0,'Eurostat EB TJ'!X109)</f>
        <v>375618.10200000001</v>
      </c>
      <c r="Z101" s="17">
        <f>IF('Eurostat EB TJ'!Y109=":",0,'Eurostat EB TJ'!Y109)</f>
        <v>0</v>
      </c>
      <c r="AA101" s="17">
        <f>IF('Eurostat EB TJ'!Z109=":",0,'Eurostat EB TJ'!Z109)</f>
        <v>113287.74400000001</v>
      </c>
      <c r="AB101" s="17">
        <f>IF('Eurostat EB TJ'!AA109=":",0,'Eurostat EB TJ'!AA109)</f>
        <v>0</v>
      </c>
      <c r="AC101" s="17">
        <f>IF('Eurostat EB TJ'!AB109=":",0,'Eurostat EB TJ'!AB109)</f>
        <v>0</v>
      </c>
      <c r="AD101" s="17">
        <f>IF('Eurostat EB TJ'!AC109=":",0,'Eurostat EB TJ'!AC109)</f>
        <v>0</v>
      </c>
      <c r="AE101" s="17">
        <f>IF('Eurostat EB TJ'!AD109=":",0,'Eurostat EB TJ'!AD109)</f>
        <v>0</v>
      </c>
      <c r="AF101" s="17">
        <f>IF('Eurostat EB TJ'!AE109=":",0,'Eurostat EB TJ'!AE109)</f>
        <v>0</v>
      </c>
      <c r="AG101" s="17">
        <f>IF('Eurostat EB TJ'!AF109=":",0,'Eurostat EB TJ'!AF109)</f>
        <v>69129.243000000002</v>
      </c>
      <c r="AH101" s="17">
        <f>IF('Eurostat EB TJ'!AG109=":",0,'Eurostat EB TJ'!AG109)</f>
        <v>163893.617</v>
      </c>
      <c r="AI101" s="17">
        <f>IF('Eurostat EB TJ'!AH109=":",0,'Eurostat EB TJ'!AH109)</f>
        <v>0</v>
      </c>
      <c r="AJ101" s="17">
        <f>IF('Eurostat EB TJ'!AI109=":",0,'Eurostat EB TJ'!AI109)</f>
        <v>0</v>
      </c>
      <c r="AK101" s="17">
        <f>IF('Eurostat EB TJ'!AJ109=":",0,'Eurostat EB TJ'!AJ109)</f>
        <v>0</v>
      </c>
      <c r="AL101" s="17">
        <f>IF('Eurostat EB TJ'!AK109=":",0,'Eurostat EB TJ'!AK109)</f>
        <v>0</v>
      </c>
      <c r="AM101" s="17">
        <f>IF('Eurostat EB TJ'!AL109=":",0,'Eurostat EB TJ'!AL109)</f>
        <v>1332.7719999999999</v>
      </c>
      <c r="AN101" s="17">
        <f>IF('Eurostat EB TJ'!AM109=":",0,'Eurostat EB TJ'!AM109)</f>
        <v>24.72</v>
      </c>
      <c r="AO101" s="17">
        <f>IF('Eurostat EB TJ'!AN109=":",0,'Eurostat EB TJ'!AN109)</f>
        <v>0</v>
      </c>
      <c r="AP101" s="17">
        <f>IF('Eurostat EB TJ'!AO109=":",0,'Eurostat EB TJ'!AO109)</f>
        <v>761.42600000000004</v>
      </c>
      <c r="AQ101" s="17">
        <f>IF('Eurostat EB TJ'!AP109=":",0,'Eurostat EB TJ'!AP109)</f>
        <v>2101.1</v>
      </c>
      <c r="AR101" s="17">
        <f>IF('Eurostat EB TJ'!AQ109=":",0,'Eurostat EB TJ'!AQ109)</f>
        <v>809.70799999999997</v>
      </c>
      <c r="AS101" s="17">
        <f>IF('Eurostat EB TJ'!AR109=":",0,'Eurostat EB TJ'!AR109)</f>
        <v>14712.534</v>
      </c>
      <c r="AT101" s="17">
        <f>IF('Eurostat EB TJ'!AS109=":",0,'Eurostat EB TJ'!AS109)</f>
        <v>3839.2550000000001</v>
      </c>
      <c r="AU101" s="17">
        <f>IF('Eurostat EB TJ'!AT109=":",0,'Eurostat EB TJ'!AT109)</f>
        <v>5725.9830000000002</v>
      </c>
      <c r="AV101" s="17">
        <f>IF('Eurostat EB TJ'!AU109=":",0,'Eurostat EB TJ'!AU109)</f>
        <v>0</v>
      </c>
      <c r="AW101" s="17">
        <f>IF('Eurostat EB TJ'!AV109=":",0,'Eurostat EB TJ'!AV109)</f>
        <v>0</v>
      </c>
      <c r="AX101" s="17">
        <f>IF('Eurostat EB TJ'!AW109=":",0,'Eurostat EB TJ'!AW109)</f>
        <v>0</v>
      </c>
      <c r="AY101" s="17">
        <f>IF('Eurostat EB TJ'!AX109=":",0,'Eurostat EB TJ'!AX109)</f>
        <v>0</v>
      </c>
      <c r="AZ101" s="17">
        <f>IF('Eurostat EB TJ'!AY109=":",0,'Eurostat EB TJ'!AY109)</f>
        <v>0</v>
      </c>
      <c r="BA101" s="17">
        <f>IF('Eurostat EB TJ'!AZ109=":",0,'Eurostat EB TJ'!AZ109)</f>
        <v>0</v>
      </c>
      <c r="BB101" s="17">
        <f>IF('Eurostat EB TJ'!BA109=":",0,'Eurostat EB TJ'!BA109)</f>
        <v>0</v>
      </c>
      <c r="BC101" s="17">
        <f>IF('Eurostat EB TJ'!BB109=":",0,'Eurostat EB TJ'!BB109)</f>
        <v>0</v>
      </c>
      <c r="BD101" s="17">
        <f>IF('Eurostat EB TJ'!BC109=":",0,'Eurostat EB TJ'!BC109)</f>
        <v>0</v>
      </c>
      <c r="BE101" s="17">
        <f>IF('Eurostat EB TJ'!BD109=":",0,'Eurostat EB TJ'!BD109)</f>
        <v>0</v>
      </c>
      <c r="BF101" s="17">
        <f>IF('Eurostat EB TJ'!BE109=":",0,'Eurostat EB TJ'!BE109)</f>
        <v>0</v>
      </c>
      <c r="BG101" s="17">
        <f>IF('Eurostat EB TJ'!BF109=":",0,'Eurostat EB TJ'!BF109)</f>
        <v>0</v>
      </c>
      <c r="BH101" s="17">
        <f>IF('Eurostat EB TJ'!BG109=":",0,'Eurostat EB TJ'!BG109)</f>
        <v>0</v>
      </c>
      <c r="BI101" s="17">
        <f>IF('Eurostat EB TJ'!BH109=":",0,'Eurostat EB TJ'!BH109)</f>
        <v>0</v>
      </c>
      <c r="BJ101" s="17">
        <f>IF('Eurostat EB TJ'!BI109=":",0,'Eurostat EB TJ'!BI109)</f>
        <v>0</v>
      </c>
      <c r="BK101" s="17">
        <f>IF('Eurostat EB TJ'!BJ109=":",0,'Eurostat EB TJ'!BJ109)</f>
        <v>0</v>
      </c>
      <c r="BL101" s="17">
        <f>IF('Eurostat EB TJ'!BK109=":",0,'Eurostat EB TJ'!BK109)</f>
        <v>0</v>
      </c>
      <c r="BM101" s="17">
        <f>IF('Eurostat EB TJ'!BL109=":",0,'Eurostat EB TJ'!BL109)</f>
        <v>0</v>
      </c>
      <c r="BN101" s="17">
        <f>IF('Eurostat EB TJ'!BM109=":",0,'Eurostat EB TJ'!BM109)</f>
        <v>0</v>
      </c>
      <c r="BO101" s="17">
        <f>IF('Eurostat EB TJ'!BN109=":",0,'Eurostat EB TJ'!BN109)</f>
        <v>0</v>
      </c>
      <c r="BP101" s="17">
        <f>IF('Eurostat EB TJ'!BO109=":",0,'Eurostat EB TJ'!BO109)</f>
        <v>0</v>
      </c>
      <c r="BQ101" s="17">
        <f>IF('Eurostat EB TJ'!BP109=":",0,'Eurostat EB TJ'!BP109)</f>
        <v>0</v>
      </c>
      <c r="BR101" s="17">
        <f>IF('Eurostat EB TJ'!BQ109=":",0,'Eurostat EB TJ'!BQ109)</f>
        <v>0</v>
      </c>
      <c r="BS101" s="17">
        <f>IF('Eurostat EB TJ'!BR109=":",0,'Eurostat EB TJ'!BR109)</f>
        <v>0</v>
      </c>
      <c r="BT101" s="17">
        <f>IF('Eurostat EB TJ'!BS109=":",0,'Eurostat EB TJ'!BS109)</f>
        <v>0</v>
      </c>
      <c r="BU101" s="17">
        <f>IF('Eurostat EB TJ'!BT109=":",0,'Eurostat EB TJ'!BT109)</f>
        <v>686.05700000000002</v>
      </c>
      <c r="BV101" s="17">
        <f>IF('Eurostat EB TJ'!BU109=":",0,'Eurostat EB TJ'!BU109)</f>
        <v>443173.36499999999</v>
      </c>
    </row>
    <row r="102" spans="1:74" x14ac:dyDescent="0.2">
      <c r="A102" s="62" t="s">
        <v>281</v>
      </c>
      <c r="B102" s="57" t="s">
        <v>393</v>
      </c>
      <c r="C102" s="57">
        <f>IF('Eurostat EB TJ'!B110=":",0,'Eurostat EB TJ'!B110)</f>
        <v>0</v>
      </c>
      <c r="D102" s="57">
        <f>IF('Eurostat EB TJ'!C110=":",0,'Eurostat EB TJ'!C110)</f>
        <v>0</v>
      </c>
      <c r="E102" s="57">
        <f>IF('Eurostat EB TJ'!D110=":",0,'Eurostat EB TJ'!D110)</f>
        <v>0</v>
      </c>
      <c r="F102" s="57">
        <f>IF('Eurostat EB TJ'!E110=":",0,'Eurostat EB TJ'!E110)</f>
        <v>0</v>
      </c>
      <c r="G102" s="57">
        <f>IF('Eurostat EB TJ'!F110=":",0,'Eurostat EB TJ'!F110)</f>
        <v>0</v>
      </c>
      <c r="H102" s="57">
        <f>IF('Eurostat EB TJ'!G110=":",0,'Eurostat EB TJ'!G110)</f>
        <v>0</v>
      </c>
      <c r="I102" s="57">
        <f>IF('Eurostat EB TJ'!H110=":",0,'Eurostat EB TJ'!H110)</f>
        <v>0</v>
      </c>
      <c r="J102" s="57">
        <f>IF('Eurostat EB TJ'!I110=":",0,'Eurostat EB TJ'!I110)</f>
        <v>0</v>
      </c>
      <c r="K102" s="57">
        <f>IF('Eurostat EB TJ'!J110=":",0,'Eurostat EB TJ'!J110)</f>
        <v>0</v>
      </c>
      <c r="L102" s="57">
        <f>IF('Eurostat EB TJ'!K110=":",0,'Eurostat EB TJ'!K110)</f>
        <v>0</v>
      </c>
      <c r="M102" s="57">
        <f>IF('Eurostat EB TJ'!L110=":",0,'Eurostat EB TJ'!L110)</f>
        <v>0</v>
      </c>
      <c r="N102" s="57">
        <f>IF('Eurostat EB TJ'!M110=":",0,'Eurostat EB TJ'!M110)</f>
        <v>0</v>
      </c>
      <c r="O102" s="57">
        <f>IF('Eurostat EB TJ'!N110=":",0,'Eurostat EB TJ'!N110)</f>
        <v>0</v>
      </c>
      <c r="P102" s="57">
        <f>IF('Eurostat EB TJ'!O110=":",0,'Eurostat EB TJ'!O110)</f>
        <v>0</v>
      </c>
      <c r="Q102" s="57">
        <f>IF('Eurostat EB TJ'!P110=":",0,'Eurostat EB TJ'!P110)</f>
        <v>0</v>
      </c>
      <c r="R102" s="57">
        <f>IF('Eurostat EB TJ'!Q110=":",0,'Eurostat EB TJ'!Q110)</f>
        <v>0</v>
      </c>
      <c r="S102" s="57">
        <f>IF('Eurostat EB TJ'!R110=":",0,'Eurostat EB TJ'!R110)</f>
        <v>0</v>
      </c>
      <c r="T102" s="57">
        <f>IF('Eurostat EB TJ'!S110=":",0,'Eurostat EB TJ'!S110)</f>
        <v>0</v>
      </c>
      <c r="U102" s="57">
        <f>IF('Eurostat EB TJ'!T110=":",0,'Eurostat EB TJ'!T110)</f>
        <v>0</v>
      </c>
      <c r="V102" s="57">
        <f>IF('Eurostat EB TJ'!U110=":",0,'Eurostat EB TJ'!U110)</f>
        <v>0</v>
      </c>
      <c r="W102" s="57">
        <f>IF('Eurostat EB TJ'!V110=":",0,'Eurostat EB TJ'!V110)</f>
        <v>0</v>
      </c>
      <c r="X102" s="57">
        <f>IF('Eurostat EB TJ'!W110=":",0,'Eurostat EB TJ'!W110)</f>
        <v>0</v>
      </c>
      <c r="Y102" s="57">
        <f>IF('Eurostat EB TJ'!X110=":",0,'Eurostat EB TJ'!X110)</f>
        <v>0</v>
      </c>
      <c r="Z102" s="57">
        <f>IF('Eurostat EB TJ'!Y110=":",0,'Eurostat EB TJ'!Y110)</f>
        <v>0</v>
      </c>
      <c r="AA102" s="57">
        <f>IF('Eurostat EB TJ'!Z110=":",0,'Eurostat EB TJ'!Z110)</f>
        <v>0</v>
      </c>
      <c r="AB102" s="57">
        <f>IF('Eurostat EB TJ'!AA110=":",0,'Eurostat EB TJ'!AA110)</f>
        <v>0</v>
      </c>
      <c r="AC102" s="57">
        <f>IF('Eurostat EB TJ'!AB110=":",0,'Eurostat EB TJ'!AB110)</f>
        <v>0</v>
      </c>
      <c r="AD102" s="57">
        <f>IF('Eurostat EB TJ'!AC110=":",0,'Eurostat EB TJ'!AC110)</f>
        <v>0</v>
      </c>
      <c r="AE102" s="57">
        <f>IF('Eurostat EB TJ'!AD110=":",0,'Eurostat EB TJ'!AD110)</f>
        <v>0</v>
      </c>
      <c r="AF102" s="57">
        <f>IF('Eurostat EB TJ'!AE110=":",0,'Eurostat EB TJ'!AE110)</f>
        <v>0</v>
      </c>
      <c r="AG102" s="57">
        <f>IF('Eurostat EB TJ'!AF110=":",0,'Eurostat EB TJ'!AF110)</f>
        <v>0</v>
      </c>
      <c r="AH102" s="57">
        <f>IF('Eurostat EB TJ'!AG110=":",0,'Eurostat EB TJ'!AG110)</f>
        <v>0</v>
      </c>
      <c r="AI102" s="57">
        <f>IF('Eurostat EB TJ'!AH110=":",0,'Eurostat EB TJ'!AH110)</f>
        <v>0</v>
      </c>
      <c r="AJ102" s="57">
        <f>IF('Eurostat EB TJ'!AI110=":",0,'Eurostat EB TJ'!AI110)</f>
        <v>0</v>
      </c>
      <c r="AK102" s="57">
        <f>IF('Eurostat EB TJ'!AJ110=":",0,'Eurostat EB TJ'!AJ110)</f>
        <v>0</v>
      </c>
      <c r="AL102" s="57">
        <f>IF('Eurostat EB TJ'!AK110=":",0,'Eurostat EB TJ'!AK110)</f>
        <v>0</v>
      </c>
      <c r="AM102" s="57">
        <f>IF('Eurostat EB TJ'!AL110=":",0,'Eurostat EB TJ'!AL110)</f>
        <v>0</v>
      </c>
      <c r="AN102" s="57">
        <f>IF('Eurostat EB TJ'!AM110=":",0,'Eurostat EB TJ'!AM110)</f>
        <v>0</v>
      </c>
      <c r="AO102" s="57">
        <f>IF('Eurostat EB TJ'!AN110=":",0,'Eurostat EB TJ'!AN110)</f>
        <v>0</v>
      </c>
      <c r="AP102" s="57">
        <f>IF('Eurostat EB TJ'!AO110=":",0,'Eurostat EB TJ'!AO110)</f>
        <v>0</v>
      </c>
      <c r="AQ102" s="57">
        <f>IF('Eurostat EB TJ'!AP110=":",0,'Eurostat EB TJ'!AP110)</f>
        <v>0</v>
      </c>
      <c r="AR102" s="57">
        <f>IF('Eurostat EB TJ'!AQ110=":",0,'Eurostat EB TJ'!AQ110)</f>
        <v>0</v>
      </c>
      <c r="AS102" s="57">
        <f>IF('Eurostat EB TJ'!AR110=":",0,'Eurostat EB TJ'!AR110)</f>
        <v>0</v>
      </c>
      <c r="AT102" s="57">
        <f>IF('Eurostat EB TJ'!AS110=":",0,'Eurostat EB TJ'!AS110)</f>
        <v>0</v>
      </c>
      <c r="AU102" s="57">
        <f>IF('Eurostat EB TJ'!AT110=":",0,'Eurostat EB TJ'!AT110)</f>
        <v>0</v>
      </c>
      <c r="AV102" s="57">
        <f>IF('Eurostat EB TJ'!AU110=":",0,'Eurostat EB TJ'!AU110)</f>
        <v>0</v>
      </c>
      <c r="AW102" s="57">
        <f>IF('Eurostat EB TJ'!AV110=":",0,'Eurostat EB TJ'!AV110)</f>
        <v>0</v>
      </c>
      <c r="AX102" s="57">
        <f>IF('Eurostat EB TJ'!AW110=":",0,'Eurostat EB TJ'!AW110)</f>
        <v>0</v>
      </c>
      <c r="AY102" s="57">
        <f>IF('Eurostat EB TJ'!AX110=":",0,'Eurostat EB TJ'!AX110)</f>
        <v>0</v>
      </c>
      <c r="AZ102" s="57">
        <f>IF('Eurostat EB TJ'!AY110=":",0,'Eurostat EB TJ'!AY110)</f>
        <v>0</v>
      </c>
      <c r="BA102" s="57">
        <f>IF('Eurostat EB TJ'!AZ110=":",0,'Eurostat EB TJ'!AZ110)</f>
        <v>0</v>
      </c>
      <c r="BB102" s="57">
        <f>IF('Eurostat EB TJ'!BA110=":",0,'Eurostat EB TJ'!BA110)</f>
        <v>0</v>
      </c>
      <c r="BC102" s="57">
        <f>IF('Eurostat EB TJ'!BB110=":",0,'Eurostat EB TJ'!BB110)</f>
        <v>0</v>
      </c>
      <c r="BD102" s="57">
        <f>IF('Eurostat EB TJ'!BC110=":",0,'Eurostat EB TJ'!BC110)</f>
        <v>0</v>
      </c>
      <c r="BE102" s="57">
        <f>IF('Eurostat EB TJ'!BD110=":",0,'Eurostat EB TJ'!BD110)</f>
        <v>0</v>
      </c>
      <c r="BF102" s="57">
        <f>IF('Eurostat EB TJ'!BE110=":",0,'Eurostat EB TJ'!BE110)</f>
        <v>0</v>
      </c>
      <c r="BG102" s="57">
        <f>IF('Eurostat EB TJ'!BF110=":",0,'Eurostat EB TJ'!BF110)</f>
        <v>0</v>
      </c>
      <c r="BH102" s="57">
        <f>IF('Eurostat EB TJ'!BG110=":",0,'Eurostat EB TJ'!BG110)</f>
        <v>0</v>
      </c>
      <c r="BI102" s="57">
        <f>IF('Eurostat EB TJ'!BH110=":",0,'Eurostat EB TJ'!BH110)</f>
        <v>0</v>
      </c>
      <c r="BJ102" s="57">
        <f>IF('Eurostat EB TJ'!BI110=":",0,'Eurostat EB TJ'!BI110)</f>
        <v>0</v>
      </c>
      <c r="BK102" s="57">
        <f>IF('Eurostat EB TJ'!BJ110=":",0,'Eurostat EB TJ'!BJ110)</f>
        <v>0</v>
      </c>
      <c r="BL102" s="57">
        <f>IF('Eurostat EB TJ'!BK110=":",0,'Eurostat EB TJ'!BK110)</f>
        <v>0</v>
      </c>
      <c r="BM102" s="57">
        <f>IF('Eurostat EB TJ'!BL110=":",0,'Eurostat EB TJ'!BL110)</f>
        <v>0</v>
      </c>
      <c r="BN102" s="57">
        <f>IF('Eurostat EB TJ'!BM110=":",0,'Eurostat EB TJ'!BM110)</f>
        <v>0</v>
      </c>
      <c r="BO102" s="57">
        <f>IF('Eurostat EB TJ'!BN110=":",0,'Eurostat EB TJ'!BN110)</f>
        <v>0</v>
      </c>
      <c r="BP102" s="57">
        <f>IF('Eurostat EB TJ'!BO110=":",0,'Eurostat EB TJ'!BO110)</f>
        <v>0</v>
      </c>
      <c r="BQ102" s="57">
        <f>IF('Eurostat EB TJ'!BP110=":",0,'Eurostat EB TJ'!BP110)</f>
        <v>0</v>
      </c>
      <c r="BR102" s="57">
        <f>IF('Eurostat EB TJ'!BQ110=":",0,'Eurostat EB TJ'!BQ110)</f>
        <v>0</v>
      </c>
      <c r="BS102" s="57">
        <f>IF('Eurostat EB TJ'!BR110=":",0,'Eurostat EB TJ'!BR110)</f>
        <v>0</v>
      </c>
      <c r="BT102" s="57">
        <f>IF('Eurostat EB TJ'!BS110=":",0,'Eurostat EB TJ'!BS110)</f>
        <v>0</v>
      </c>
      <c r="BU102" s="57">
        <f>IF('Eurostat EB TJ'!BT110=":",0,'Eurostat EB TJ'!BT110)</f>
        <v>0</v>
      </c>
      <c r="BV102" s="57">
        <f>IF('Eurostat EB TJ'!BU110=":",0,'Eurostat EB TJ'!BU110)</f>
        <v>0</v>
      </c>
    </row>
    <row r="103" spans="1:74" x14ac:dyDescent="0.2">
      <c r="A103" s="62" t="s">
        <v>282</v>
      </c>
      <c r="B103" s="17" t="s">
        <v>393</v>
      </c>
      <c r="C103" s="17">
        <f>IF('Eurostat EB TJ'!B111=":",0,'Eurostat EB TJ'!B111)</f>
        <v>0</v>
      </c>
      <c r="D103" s="17">
        <f>IF('Eurostat EB TJ'!C111=":",0,'Eurostat EB TJ'!C111)</f>
        <v>0</v>
      </c>
      <c r="E103" s="17">
        <f>IF('Eurostat EB TJ'!D111=":",0,'Eurostat EB TJ'!D111)</f>
        <v>0</v>
      </c>
      <c r="F103" s="17">
        <f>IF('Eurostat EB TJ'!E111=":",0,'Eurostat EB TJ'!E111)</f>
        <v>0</v>
      </c>
      <c r="G103" s="17">
        <f>IF('Eurostat EB TJ'!F111=":",0,'Eurostat EB TJ'!F111)</f>
        <v>0</v>
      </c>
      <c r="H103" s="17">
        <f>IF('Eurostat EB TJ'!G111=":",0,'Eurostat EB TJ'!G111)</f>
        <v>0</v>
      </c>
      <c r="I103" s="17">
        <f>IF('Eurostat EB TJ'!H111=":",0,'Eurostat EB TJ'!H111)</f>
        <v>0</v>
      </c>
      <c r="J103" s="17">
        <f>IF('Eurostat EB TJ'!I111=":",0,'Eurostat EB TJ'!I111)</f>
        <v>0</v>
      </c>
      <c r="K103" s="17">
        <f>IF('Eurostat EB TJ'!J111=":",0,'Eurostat EB TJ'!J111)</f>
        <v>0</v>
      </c>
      <c r="L103" s="17">
        <f>IF('Eurostat EB TJ'!K111=":",0,'Eurostat EB TJ'!K111)</f>
        <v>0</v>
      </c>
      <c r="M103" s="17">
        <f>IF('Eurostat EB TJ'!L111=":",0,'Eurostat EB TJ'!L111)</f>
        <v>0</v>
      </c>
      <c r="N103" s="17">
        <f>IF('Eurostat EB TJ'!M111=":",0,'Eurostat EB TJ'!M111)</f>
        <v>0</v>
      </c>
      <c r="O103" s="17">
        <f>IF('Eurostat EB TJ'!N111=":",0,'Eurostat EB TJ'!N111)</f>
        <v>0</v>
      </c>
      <c r="P103" s="17">
        <f>IF('Eurostat EB TJ'!O111=":",0,'Eurostat EB TJ'!O111)</f>
        <v>0</v>
      </c>
      <c r="Q103" s="17">
        <f>IF('Eurostat EB TJ'!P111=":",0,'Eurostat EB TJ'!P111)</f>
        <v>0</v>
      </c>
      <c r="R103" s="17">
        <f>IF('Eurostat EB TJ'!Q111=":",0,'Eurostat EB TJ'!Q111)</f>
        <v>0</v>
      </c>
      <c r="S103" s="17">
        <f>IF('Eurostat EB TJ'!R111=":",0,'Eurostat EB TJ'!R111)</f>
        <v>0</v>
      </c>
      <c r="T103" s="17">
        <f>IF('Eurostat EB TJ'!S111=":",0,'Eurostat EB TJ'!S111)</f>
        <v>0</v>
      </c>
      <c r="U103" s="17">
        <f>IF('Eurostat EB TJ'!T111=":",0,'Eurostat EB TJ'!T111)</f>
        <v>0</v>
      </c>
      <c r="V103" s="17">
        <f>IF('Eurostat EB TJ'!U111=":",0,'Eurostat EB TJ'!U111)</f>
        <v>0</v>
      </c>
      <c r="W103" s="17">
        <f>IF('Eurostat EB TJ'!V111=":",0,'Eurostat EB TJ'!V111)</f>
        <v>0</v>
      </c>
      <c r="X103" s="17">
        <f>IF('Eurostat EB TJ'!W111=":",0,'Eurostat EB TJ'!W111)</f>
        <v>0</v>
      </c>
      <c r="Y103" s="17">
        <f>IF('Eurostat EB TJ'!X111=":",0,'Eurostat EB TJ'!X111)</f>
        <v>0</v>
      </c>
      <c r="Z103" s="17">
        <f>IF('Eurostat EB TJ'!Y111=":",0,'Eurostat EB TJ'!Y111)</f>
        <v>0</v>
      </c>
      <c r="AA103" s="17">
        <f>IF('Eurostat EB TJ'!Z111=":",0,'Eurostat EB TJ'!Z111)</f>
        <v>0</v>
      </c>
      <c r="AB103" s="17">
        <f>IF('Eurostat EB TJ'!AA111=":",0,'Eurostat EB TJ'!AA111)</f>
        <v>0</v>
      </c>
      <c r="AC103" s="17">
        <f>IF('Eurostat EB TJ'!AB111=":",0,'Eurostat EB TJ'!AB111)</f>
        <v>0</v>
      </c>
      <c r="AD103" s="17">
        <f>IF('Eurostat EB TJ'!AC111=":",0,'Eurostat EB TJ'!AC111)</f>
        <v>0</v>
      </c>
      <c r="AE103" s="17">
        <f>IF('Eurostat EB TJ'!AD111=":",0,'Eurostat EB TJ'!AD111)</f>
        <v>0</v>
      </c>
      <c r="AF103" s="17">
        <f>IF('Eurostat EB TJ'!AE111=":",0,'Eurostat EB TJ'!AE111)</f>
        <v>0</v>
      </c>
      <c r="AG103" s="17">
        <f>IF('Eurostat EB TJ'!AF111=":",0,'Eurostat EB TJ'!AF111)</f>
        <v>0</v>
      </c>
      <c r="AH103" s="17">
        <f>IF('Eurostat EB TJ'!AG111=":",0,'Eurostat EB TJ'!AG111)</f>
        <v>0</v>
      </c>
      <c r="AI103" s="17">
        <f>IF('Eurostat EB TJ'!AH111=":",0,'Eurostat EB TJ'!AH111)</f>
        <v>0</v>
      </c>
      <c r="AJ103" s="17">
        <f>IF('Eurostat EB TJ'!AI111=":",0,'Eurostat EB TJ'!AI111)</f>
        <v>0</v>
      </c>
      <c r="AK103" s="17">
        <f>IF('Eurostat EB TJ'!AJ111=":",0,'Eurostat EB TJ'!AJ111)</f>
        <v>0</v>
      </c>
      <c r="AL103" s="17">
        <f>IF('Eurostat EB TJ'!AK111=":",0,'Eurostat EB TJ'!AK111)</f>
        <v>0</v>
      </c>
      <c r="AM103" s="17">
        <f>IF('Eurostat EB TJ'!AL111=":",0,'Eurostat EB TJ'!AL111)</f>
        <v>0</v>
      </c>
      <c r="AN103" s="17">
        <f>IF('Eurostat EB TJ'!AM111=":",0,'Eurostat EB TJ'!AM111)</f>
        <v>0</v>
      </c>
      <c r="AO103" s="17">
        <f>IF('Eurostat EB TJ'!AN111=":",0,'Eurostat EB TJ'!AN111)</f>
        <v>0</v>
      </c>
      <c r="AP103" s="17">
        <f>IF('Eurostat EB TJ'!AO111=":",0,'Eurostat EB TJ'!AO111)</f>
        <v>0</v>
      </c>
      <c r="AQ103" s="17">
        <f>IF('Eurostat EB TJ'!AP111=":",0,'Eurostat EB TJ'!AP111)</f>
        <v>0</v>
      </c>
      <c r="AR103" s="17">
        <f>IF('Eurostat EB TJ'!AQ111=":",0,'Eurostat EB TJ'!AQ111)</f>
        <v>0</v>
      </c>
      <c r="AS103" s="17">
        <f>IF('Eurostat EB TJ'!AR111=":",0,'Eurostat EB TJ'!AR111)</f>
        <v>0</v>
      </c>
      <c r="AT103" s="17">
        <f>IF('Eurostat EB TJ'!AS111=":",0,'Eurostat EB TJ'!AS111)</f>
        <v>0</v>
      </c>
      <c r="AU103" s="17">
        <f>IF('Eurostat EB TJ'!AT111=":",0,'Eurostat EB TJ'!AT111)</f>
        <v>0</v>
      </c>
      <c r="AV103" s="17">
        <f>IF('Eurostat EB TJ'!AU111=":",0,'Eurostat EB TJ'!AU111)</f>
        <v>0</v>
      </c>
      <c r="AW103" s="17">
        <f>IF('Eurostat EB TJ'!AV111=":",0,'Eurostat EB TJ'!AV111)</f>
        <v>0</v>
      </c>
      <c r="AX103" s="17">
        <f>IF('Eurostat EB TJ'!AW111=":",0,'Eurostat EB TJ'!AW111)</f>
        <v>0</v>
      </c>
      <c r="AY103" s="17">
        <f>IF('Eurostat EB TJ'!AX111=":",0,'Eurostat EB TJ'!AX111)</f>
        <v>0</v>
      </c>
      <c r="AZ103" s="17">
        <f>IF('Eurostat EB TJ'!AY111=":",0,'Eurostat EB TJ'!AY111)</f>
        <v>0</v>
      </c>
      <c r="BA103" s="17">
        <f>IF('Eurostat EB TJ'!AZ111=":",0,'Eurostat EB TJ'!AZ111)</f>
        <v>0</v>
      </c>
      <c r="BB103" s="17">
        <f>IF('Eurostat EB TJ'!BA111=":",0,'Eurostat EB TJ'!BA111)</f>
        <v>0</v>
      </c>
      <c r="BC103" s="17">
        <f>IF('Eurostat EB TJ'!BB111=":",0,'Eurostat EB TJ'!BB111)</f>
        <v>0</v>
      </c>
      <c r="BD103" s="17">
        <f>IF('Eurostat EB TJ'!BC111=":",0,'Eurostat EB TJ'!BC111)</f>
        <v>0</v>
      </c>
      <c r="BE103" s="17">
        <f>IF('Eurostat EB TJ'!BD111=":",0,'Eurostat EB TJ'!BD111)</f>
        <v>0</v>
      </c>
      <c r="BF103" s="17">
        <f>IF('Eurostat EB TJ'!BE111=":",0,'Eurostat EB TJ'!BE111)</f>
        <v>0</v>
      </c>
      <c r="BG103" s="17">
        <f>IF('Eurostat EB TJ'!BF111=":",0,'Eurostat EB TJ'!BF111)</f>
        <v>0</v>
      </c>
      <c r="BH103" s="17">
        <f>IF('Eurostat EB TJ'!BG111=":",0,'Eurostat EB TJ'!BG111)</f>
        <v>0</v>
      </c>
      <c r="BI103" s="17">
        <f>IF('Eurostat EB TJ'!BH111=":",0,'Eurostat EB TJ'!BH111)</f>
        <v>0</v>
      </c>
      <c r="BJ103" s="17">
        <f>IF('Eurostat EB TJ'!BI111=":",0,'Eurostat EB TJ'!BI111)</f>
        <v>0</v>
      </c>
      <c r="BK103" s="17">
        <f>IF('Eurostat EB TJ'!BJ111=":",0,'Eurostat EB TJ'!BJ111)</f>
        <v>0</v>
      </c>
      <c r="BL103" s="17">
        <f>IF('Eurostat EB TJ'!BK111=":",0,'Eurostat EB TJ'!BK111)</f>
        <v>0</v>
      </c>
      <c r="BM103" s="17">
        <f>IF('Eurostat EB TJ'!BL111=":",0,'Eurostat EB TJ'!BL111)</f>
        <v>0</v>
      </c>
      <c r="BN103" s="17">
        <f>IF('Eurostat EB TJ'!BM111=":",0,'Eurostat EB TJ'!BM111)</f>
        <v>0</v>
      </c>
      <c r="BO103" s="17">
        <f>IF('Eurostat EB TJ'!BN111=":",0,'Eurostat EB TJ'!BN111)</f>
        <v>0</v>
      </c>
      <c r="BP103" s="17">
        <f>IF('Eurostat EB TJ'!BO111=":",0,'Eurostat EB TJ'!BO111)</f>
        <v>0</v>
      </c>
      <c r="BQ103" s="17">
        <f>IF('Eurostat EB TJ'!BP111=":",0,'Eurostat EB TJ'!BP111)</f>
        <v>0</v>
      </c>
      <c r="BR103" s="17">
        <f>IF('Eurostat EB TJ'!BQ111=":",0,'Eurostat EB TJ'!BQ111)</f>
        <v>0</v>
      </c>
      <c r="BS103" s="17">
        <f>IF('Eurostat EB TJ'!BR111=":",0,'Eurostat EB TJ'!BR111)</f>
        <v>0</v>
      </c>
      <c r="BT103" s="17">
        <f>IF('Eurostat EB TJ'!BS111=":",0,'Eurostat EB TJ'!BS111)</f>
        <v>0</v>
      </c>
      <c r="BU103" s="17">
        <f>IF('Eurostat EB TJ'!BT111=":",0,'Eurostat EB TJ'!BT111)</f>
        <v>0</v>
      </c>
      <c r="BV103" s="17">
        <f>IF('Eurostat EB TJ'!BU111=":",0,'Eurostat EB TJ'!BU111)</f>
        <v>0</v>
      </c>
    </row>
    <row r="104" spans="1:74" x14ac:dyDescent="0.2">
      <c r="A104" s="62" t="s">
        <v>283</v>
      </c>
      <c r="B104" s="57" t="s">
        <v>393</v>
      </c>
      <c r="C104" s="57">
        <f>IF('Eurostat EB TJ'!B112=":",0,'Eurostat EB TJ'!B112)</f>
        <v>442596.89500000002</v>
      </c>
      <c r="D104" s="57">
        <f>IF('Eurostat EB TJ'!C112=":",0,'Eurostat EB TJ'!C112)</f>
        <v>0</v>
      </c>
      <c r="E104" s="57">
        <f>IF('Eurostat EB TJ'!D112=":",0,'Eurostat EB TJ'!D112)</f>
        <v>0</v>
      </c>
      <c r="F104" s="57">
        <f>IF('Eurostat EB TJ'!E112=":",0,'Eurostat EB TJ'!E112)</f>
        <v>0</v>
      </c>
      <c r="G104" s="57">
        <f>IF('Eurostat EB TJ'!F112=":",0,'Eurostat EB TJ'!F112)</f>
        <v>0</v>
      </c>
      <c r="H104" s="57">
        <f>IF('Eurostat EB TJ'!G112=":",0,'Eurostat EB TJ'!G112)</f>
        <v>0</v>
      </c>
      <c r="I104" s="57">
        <f>IF('Eurostat EB TJ'!H112=":",0,'Eurostat EB TJ'!H112)</f>
        <v>0</v>
      </c>
      <c r="J104" s="57">
        <f>IF('Eurostat EB TJ'!I112=":",0,'Eurostat EB TJ'!I112)</f>
        <v>0</v>
      </c>
      <c r="K104" s="57">
        <f>IF('Eurostat EB TJ'!J112=":",0,'Eurostat EB TJ'!J112)</f>
        <v>0</v>
      </c>
      <c r="L104" s="57">
        <f>IF('Eurostat EB TJ'!K112=":",0,'Eurostat EB TJ'!K112)</f>
        <v>0</v>
      </c>
      <c r="M104" s="57">
        <f>IF('Eurostat EB TJ'!L112=":",0,'Eurostat EB TJ'!L112)</f>
        <v>0</v>
      </c>
      <c r="N104" s="57">
        <f>IF('Eurostat EB TJ'!M112=":",0,'Eurostat EB TJ'!M112)</f>
        <v>0</v>
      </c>
      <c r="O104" s="57">
        <f>IF('Eurostat EB TJ'!N112=":",0,'Eurostat EB TJ'!N112)</f>
        <v>0</v>
      </c>
      <c r="P104" s="57">
        <f>IF('Eurostat EB TJ'!O112=":",0,'Eurostat EB TJ'!O112)</f>
        <v>0</v>
      </c>
      <c r="Q104" s="57">
        <f>IF('Eurostat EB TJ'!P112=":",0,'Eurostat EB TJ'!P112)</f>
        <v>0</v>
      </c>
      <c r="R104" s="57">
        <f>IF('Eurostat EB TJ'!Q112=":",0,'Eurostat EB TJ'!Q112)</f>
        <v>0</v>
      </c>
      <c r="S104" s="57">
        <f>IF('Eurostat EB TJ'!R112=":",0,'Eurostat EB TJ'!R112)</f>
        <v>0</v>
      </c>
      <c r="T104" s="57">
        <f>IF('Eurostat EB TJ'!S112=":",0,'Eurostat EB TJ'!S112)</f>
        <v>0</v>
      </c>
      <c r="U104" s="57">
        <f>IF('Eurostat EB TJ'!T112=":",0,'Eurostat EB TJ'!T112)</f>
        <v>0</v>
      </c>
      <c r="V104" s="57">
        <f>IF('Eurostat EB TJ'!U112=":",0,'Eurostat EB TJ'!U112)</f>
        <v>0</v>
      </c>
      <c r="W104" s="57">
        <f>IF('Eurostat EB TJ'!V112=":",0,'Eurostat EB TJ'!V112)</f>
        <v>0</v>
      </c>
      <c r="X104" s="57">
        <f>IF('Eurostat EB TJ'!W112=":",0,'Eurostat EB TJ'!W112)</f>
        <v>66978.793000000005</v>
      </c>
      <c r="Y104" s="57">
        <f>IF('Eurostat EB TJ'!X112=":",0,'Eurostat EB TJ'!X112)</f>
        <v>375618.10200000001</v>
      </c>
      <c r="Z104" s="57">
        <f>IF('Eurostat EB TJ'!Y112=":",0,'Eurostat EB TJ'!Y112)</f>
        <v>0</v>
      </c>
      <c r="AA104" s="57">
        <f>IF('Eurostat EB TJ'!Z112=":",0,'Eurostat EB TJ'!Z112)</f>
        <v>113287.74400000001</v>
      </c>
      <c r="AB104" s="57">
        <f>IF('Eurostat EB TJ'!AA112=":",0,'Eurostat EB TJ'!AA112)</f>
        <v>0</v>
      </c>
      <c r="AC104" s="57">
        <f>IF('Eurostat EB TJ'!AB112=":",0,'Eurostat EB TJ'!AB112)</f>
        <v>0</v>
      </c>
      <c r="AD104" s="57">
        <f>IF('Eurostat EB TJ'!AC112=":",0,'Eurostat EB TJ'!AC112)</f>
        <v>0</v>
      </c>
      <c r="AE104" s="57">
        <f>IF('Eurostat EB TJ'!AD112=":",0,'Eurostat EB TJ'!AD112)</f>
        <v>0</v>
      </c>
      <c r="AF104" s="57">
        <f>IF('Eurostat EB TJ'!AE112=":",0,'Eurostat EB TJ'!AE112)</f>
        <v>0</v>
      </c>
      <c r="AG104" s="57">
        <f>IF('Eurostat EB TJ'!AF112=":",0,'Eurostat EB TJ'!AF112)</f>
        <v>69129.243000000002</v>
      </c>
      <c r="AH104" s="57">
        <f>IF('Eurostat EB TJ'!AG112=":",0,'Eurostat EB TJ'!AG112)</f>
        <v>163893.617</v>
      </c>
      <c r="AI104" s="57">
        <f>IF('Eurostat EB TJ'!AH112=":",0,'Eurostat EB TJ'!AH112)</f>
        <v>0</v>
      </c>
      <c r="AJ104" s="57">
        <f>IF('Eurostat EB TJ'!AI112=":",0,'Eurostat EB TJ'!AI112)</f>
        <v>0</v>
      </c>
      <c r="AK104" s="57">
        <f>IF('Eurostat EB TJ'!AJ112=":",0,'Eurostat EB TJ'!AJ112)</f>
        <v>0</v>
      </c>
      <c r="AL104" s="57">
        <f>IF('Eurostat EB TJ'!AK112=":",0,'Eurostat EB TJ'!AK112)</f>
        <v>0</v>
      </c>
      <c r="AM104" s="57">
        <f>IF('Eurostat EB TJ'!AL112=":",0,'Eurostat EB TJ'!AL112)</f>
        <v>1332.7719999999999</v>
      </c>
      <c r="AN104" s="57">
        <f>IF('Eurostat EB TJ'!AM112=":",0,'Eurostat EB TJ'!AM112)</f>
        <v>24.72</v>
      </c>
      <c r="AO104" s="57">
        <f>IF('Eurostat EB TJ'!AN112=":",0,'Eurostat EB TJ'!AN112)</f>
        <v>0</v>
      </c>
      <c r="AP104" s="57">
        <f>IF('Eurostat EB TJ'!AO112=":",0,'Eurostat EB TJ'!AO112)</f>
        <v>761.42600000000004</v>
      </c>
      <c r="AQ104" s="57">
        <f>IF('Eurostat EB TJ'!AP112=":",0,'Eurostat EB TJ'!AP112)</f>
        <v>2101.1</v>
      </c>
      <c r="AR104" s="57">
        <f>IF('Eurostat EB TJ'!AQ112=":",0,'Eurostat EB TJ'!AQ112)</f>
        <v>809.70799999999997</v>
      </c>
      <c r="AS104" s="57">
        <f>IF('Eurostat EB TJ'!AR112=":",0,'Eurostat EB TJ'!AR112)</f>
        <v>14712.534</v>
      </c>
      <c r="AT104" s="57">
        <f>IF('Eurostat EB TJ'!AS112=":",0,'Eurostat EB TJ'!AS112)</f>
        <v>3839.2550000000001</v>
      </c>
      <c r="AU104" s="57">
        <f>IF('Eurostat EB TJ'!AT112=":",0,'Eurostat EB TJ'!AT112)</f>
        <v>5725.9830000000002</v>
      </c>
      <c r="AV104" s="57">
        <f>IF('Eurostat EB TJ'!AU112=":",0,'Eurostat EB TJ'!AU112)</f>
        <v>0</v>
      </c>
      <c r="AW104" s="57">
        <f>IF('Eurostat EB TJ'!AV112=":",0,'Eurostat EB TJ'!AV112)</f>
        <v>0</v>
      </c>
      <c r="AX104" s="57">
        <f>IF('Eurostat EB TJ'!AW112=":",0,'Eurostat EB TJ'!AW112)</f>
        <v>0</v>
      </c>
      <c r="AY104" s="57">
        <f>IF('Eurostat EB TJ'!AX112=":",0,'Eurostat EB TJ'!AX112)</f>
        <v>0</v>
      </c>
      <c r="AZ104" s="57">
        <f>IF('Eurostat EB TJ'!AY112=":",0,'Eurostat EB TJ'!AY112)</f>
        <v>0</v>
      </c>
      <c r="BA104" s="57">
        <f>IF('Eurostat EB TJ'!AZ112=":",0,'Eurostat EB TJ'!AZ112)</f>
        <v>0</v>
      </c>
      <c r="BB104" s="57">
        <f>IF('Eurostat EB TJ'!BA112=":",0,'Eurostat EB TJ'!BA112)</f>
        <v>0</v>
      </c>
      <c r="BC104" s="57">
        <f>IF('Eurostat EB TJ'!BB112=":",0,'Eurostat EB TJ'!BB112)</f>
        <v>0</v>
      </c>
      <c r="BD104" s="57">
        <f>IF('Eurostat EB TJ'!BC112=":",0,'Eurostat EB TJ'!BC112)</f>
        <v>0</v>
      </c>
      <c r="BE104" s="57">
        <f>IF('Eurostat EB TJ'!BD112=":",0,'Eurostat EB TJ'!BD112)</f>
        <v>0</v>
      </c>
      <c r="BF104" s="57">
        <f>IF('Eurostat EB TJ'!BE112=":",0,'Eurostat EB TJ'!BE112)</f>
        <v>0</v>
      </c>
      <c r="BG104" s="57">
        <f>IF('Eurostat EB TJ'!BF112=":",0,'Eurostat EB TJ'!BF112)</f>
        <v>0</v>
      </c>
      <c r="BH104" s="57">
        <f>IF('Eurostat EB TJ'!BG112=":",0,'Eurostat EB TJ'!BG112)</f>
        <v>0</v>
      </c>
      <c r="BI104" s="57">
        <f>IF('Eurostat EB TJ'!BH112=":",0,'Eurostat EB TJ'!BH112)</f>
        <v>0</v>
      </c>
      <c r="BJ104" s="57">
        <f>IF('Eurostat EB TJ'!BI112=":",0,'Eurostat EB TJ'!BI112)</f>
        <v>0</v>
      </c>
      <c r="BK104" s="57">
        <f>IF('Eurostat EB TJ'!BJ112=":",0,'Eurostat EB TJ'!BJ112)</f>
        <v>0</v>
      </c>
      <c r="BL104" s="57">
        <f>IF('Eurostat EB TJ'!BK112=":",0,'Eurostat EB TJ'!BK112)</f>
        <v>0</v>
      </c>
      <c r="BM104" s="57">
        <f>IF('Eurostat EB TJ'!BL112=":",0,'Eurostat EB TJ'!BL112)</f>
        <v>0</v>
      </c>
      <c r="BN104" s="57">
        <f>IF('Eurostat EB TJ'!BM112=":",0,'Eurostat EB TJ'!BM112)</f>
        <v>0</v>
      </c>
      <c r="BO104" s="57">
        <f>IF('Eurostat EB TJ'!BN112=":",0,'Eurostat EB TJ'!BN112)</f>
        <v>0</v>
      </c>
      <c r="BP104" s="57">
        <f>IF('Eurostat EB TJ'!BO112=":",0,'Eurostat EB TJ'!BO112)</f>
        <v>0</v>
      </c>
      <c r="BQ104" s="57">
        <f>IF('Eurostat EB TJ'!BP112=":",0,'Eurostat EB TJ'!BP112)</f>
        <v>0</v>
      </c>
      <c r="BR104" s="57">
        <f>IF('Eurostat EB TJ'!BQ112=":",0,'Eurostat EB TJ'!BQ112)</f>
        <v>0</v>
      </c>
      <c r="BS104" s="57">
        <f>IF('Eurostat EB TJ'!BR112=":",0,'Eurostat EB TJ'!BR112)</f>
        <v>0</v>
      </c>
      <c r="BT104" s="57">
        <f>IF('Eurostat EB TJ'!BS112=":",0,'Eurostat EB TJ'!BS112)</f>
        <v>0</v>
      </c>
      <c r="BU104" s="57">
        <f>IF('Eurostat EB TJ'!BT112=":",0,'Eurostat EB TJ'!BT112)</f>
        <v>686.05700000000002</v>
      </c>
      <c r="BV104" s="57">
        <f>IF('Eurostat EB TJ'!BU112=":",0,'Eurostat EB TJ'!BU112)</f>
        <v>441910.83799999999</v>
      </c>
    </row>
    <row r="105" spans="1:74" x14ac:dyDescent="0.2">
      <c r="A105" s="63" t="s">
        <v>355</v>
      </c>
      <c r="B105" s="72" t="s">
        <v>580</v>
      </c>
      <c r="C105" s="72">
        <f>SUM(D105:BV105)</f>
        <v>796034.36753200006</v>
      </c>
      <c r="D105" s="72" cm="1">
        <f t="array" ref="D105">IFERROR(INDEX('EUROSTAT CB summary'!$B$5:$AU$5,0,MATCH(D$2,'EUROSTAT CB summary'!$B$1:$AU$1,0)),0)*D104</f>
        <v>0</v>
      </c>
      <c r="E105" s="72" cm="1">
        <f t="array" ref="E105">IFERROR(INDEX('EUROSTAT CB summary'!$B$5:$AU$5,0,MATCH(E$2,'EUROSTAT CB summary'!$B$1:$AU$1,0)),0)*E104</f>
        <v>0</v>
      </c>
      <c r="F105" s="72" cm="1">
        <f t="array" ref="F105">IFERROR(INDEX('EUROSTAT CB summary'!$B$5:$AU$5,0,MATCH(F$2,'EUROSTAT CB summary'!$B$1:$AU$1,0)),0)*F104</f>
        <v>0</v>
      </c>
      <c r="G105" s="72" cm="1">
        <f t="array" ref="G105">IFERROR(INDEX('EUROSTAT CB summary'!$B$5:$AU$5,0,MATCH(G$2,'EUROSTAT CB summary'!$B$1:$AU$1,0)),0)*G104</f>
        <v>0</v>
      </c>
      <c r="H105" s="72" cm="1">
        <f t="array" ref="H105">IFERROR(INDEX('EUROSTAT CB summary'!$B$5:$AU$5,0,MATCH(H$2,'EUROSTAT CB summary'!$B$1:$AU$1,0)),0)*H104</f>
        <v>0</v>
      </c>
      <c r="I105" s="72" cm="1">
        <f t="array" ref="I105">IFERROR(INDEX('EUROSTAT CB summary'!$B$5:$AU$5,0,MATCH(I$2,'EUROSTAT CB summary'!$B$1:$AU$1,0)),0)*I104</f>
        <v>0</v>
      </c>
      <c r="J105" s="72" cm="1">
        <f t="array" ref="J105">IFERROR(INDEX('EUROSTAT CB summary'!$B$5:$AU$5,0,MATCH(J$2,'EUROSTAT CB summary'!$B$1:$AU$1,0)),0)*J104</f>
        <v>0</v>
      </c>
      <c r="K105" s="72" cm="1">
        <f t="array" ref="K105">IFERROR(INDEX('EUROSTAT CB summary'!$B$5:$AU$5,0,MATCH(K$2,'EUROSTAT CB summary'!$B$1:$AU$1,0)),0)*K104</f>
        <v>0</v>
      </c>
      <c r="L105" s="72" cm="1">
        <f t="array" ref="L105">IFERROR(INDEX('EUROSTAT CB summary'!$B$5:$AU$5,0,MATCH(L$2,'EUROSTAT CB summary'!$B$1:$AU$1,0)),0)*L104</f>
        <v>0</v>
      </c>
      <c r="M105" s="72" cm="1">
        <f t="array" ref="M105">IFERROR(INDEX('EUROSTAT CB summary'!$B$5:$AU$5,0,MATCH(M$2,'EUROSTAT CB summary'!$B$1:$AU$1,0)),0)*M104</f>
        <v>0</v>
      </c>
      <c r="N105" s="72" cm="1">
        <f t="array" ref="N105">IFERROR(INDEX('EUROSTAT CB summary'!$B$5:$AU$5,0,MATCH(N$2,'EUROSTAT CB summary'!$B$1:$AU$1,0)),0)*N104</f>
        <v>0</v>
      </c>
      <c r="O105" s="72" cm="1">
        <f t="array" ref="O105">IFERROR(INDEX('EUROSTAT CB summary'!$B$5:$AU$5,0,MATCH(O$2,'EUROSTAT CB summary'!$B$1:$AU$1,0)),0)*O104</f>
        <v>0</v>
      </c>
      <c r="P105" s="72" cm="1">
        <f t="array" ref="P105">IFERROR(INDEX('EUROSTAT CB summary'!$B$5:$AU$5,0,MATCH(P$2,'EUROSTAT CB summary'!$B$1:$AU$1,0)),0)*P104</f>
        <v>0</v>
      </c>
      <c r="Q105" s="72" cm="1">
        <f t="array" ref="Q105">IFERROR(INDEX('EUROSTAT CB summary'!$B$5:$AU$5,0,MATCH(Q$2,'EUROSTAT CB summary'!$B$1:$AU$1,0)),0)*Q104</f>
        <v>0</v>
      </c>
      <c r="R105" s="72" cm="1">
        <f t="array" ref="R105">IFERROR(INDEX('EUROSTAT CB summary'!$B$5:$AU$5,0,MATCH(R$2,'EUROSTAT CB summary'!$B$1:$AU$1,0)),0)*R104</f>
        <v>0</v>
      </c>
      <c r="S105" s="72" cm="1">
        <f t="array" ref="S105">IFERROR(INDEX('EUROSTAT CB summary'!$B$5:$AU$5,0,MATCH(S$2,'EUROSTAT CB summary'!$B$1:$AU$1,0)),0)*S104</f>
        <v>0</v>
      </c>
      <c r="T105" s="72" cm="1">
        <f t="array" ref="T105">IFERROR(INDEX('EUROSTAT CB summary'!$B$5:$AU$5,0,MATCH(T$2,'EUROSTAT CB summary'!$B$1:$AU$1,0)),0)*T104</f>
        <v>0</v>
      </c>
      <c r="U105" s="72" cm="1">
        <f t="array" ref="U105">IFERROR(INDEX('EUROSTAT CB summary'!$B$5:$AU$5,0,MATCH(U$2,'EUROSTAT CB summary'!$B$1:$AU$1,0)),0)*U104</f>
        <v>0</v>
      </c>
      <c r="V105" s="72" cm="1">
        <f t="array" ref="V105">IFERROR(INDEX('EUROSTAT CB summary'!$B$5:$AU$5,0,MATCH(V$2,'EUROSTAT CB summary'!$B$1:$AU$1,0)),0)*V104</f>
        <v>0</v>
      </c>
      <c r="W105" s="72" cm="1">
        <f t="array" ref="W105">IFERROR(INDEX('EUROSTAT CB summary'!$B$5:$AU$5,0,MATCH(W$2,'EUROSTAT CB summary'!$B$1:$AU$1,0)),0)*W104</f>
        <v>0</v>
      </c>
      <c r="X105" s="72" cm="1">
        <f t="array" ref="X105">IFERROR(INDEX('EUROSTAT CB summary'!$B$5:$AU$5,0,MATCH(X$2,'EUROSTAT CB summary'!$B$1:$AU$1,0)),0)*X104</f>
        <v>66978.793000000005</v>
      </c>
      <c r="Y105" s="72" cm="1">
        <f t="array" ref="Y105">IFERROR(INDEX('EUROSTAT CB summary'!$B$5:$AU$5,0,MATCH(Y$2,'EUROSTAT CB summary'!$B$1:$AU$1,0)),0)*Y104</f>
        <v>363973.94083799998</v>
      </c>
      <c r="Z105" s="72" cm="1">
        <f t="array" ref="Z105">IFERROR(INDEX('EUROSTAT CB summary'!$B$5:$AU$5,0,MATCH(Z$2,'EUROSTAT CB summary'!$B$1:$AU$1,0)),0)*Z104</f>
        <v>0</v>
      </c>
      <c r="AA105" s="72" cm="1">
        <f t="array" ref="AA105">IFERROR(INDEX('EUROSTAT CB summary'!$B$5:$AU$5,0,MATCH(AA$2,'EUROSTAT CB summary'!$B$1:$AU$1,0)),0)*AA104</f>
        <v>113287.74400000001</v>
      </c>
      <c r="AB105" s="72" cm="1">
        <f t="array" ref="AB105">IFERROR(INDEX('EUROSTAT CB summary'!$B$5:$AU$5,0,MATCH(AB$2,'EUROSTAT CB summary'!$B$1:$AU$1,0)),0)*AB104</f>
        <v>0</v>
      </c>
      <c r="AC105" s="72" cm="1">
        <f t="array" ref="AC105">IFERROR(INDEX('EUROSTAT CB summary'!$B$5:$AU$5,0,MATCH(AC$2,'EUROSTAT CB summary'!$B$1:$AU$1,0)),0)*AC104</f>
        <v>0</v>
      </c>
      <c r="AD105" s="72" cm="1">
        <f t="array" ref="AD105">IFERROR(INDEX('EUROSTAT CB summary'!$B$5:$AU$5,0,MATCH(AD$2,'EUROSTAT CB summary'!$B$1:$AU$1,0)),0)*AD104</f>
        <v>0</v>
      </c>
      <c r="AE105" s="72" cm="1">
        <f t="array" ref="AE105">IFERROR(INDEX('EUROSTAT CB summary'!$B$5:$AU$5,0,MATCH(AE$2,'EUROSTAT CB summary'!$B$1:$AU$1,0)),0)*AE104</f>
        <v>0</v>
      </c>
      <c r="AF105" s="72" cm="1">
        <f t="array" ref="AF105">IFERROR(INDEX('EUROSTAT CB summary'!$B$5:$AU$5,0,MATCH(AF$2,'EUROSTAT CB summary'!$B$1:$AU$1,0)),0)*AF104</f>
        <v>0</v>
      </c>
      <c r="AG105" s="72" cm="1">
        <f t="array" ref="AG105">IFERROR(INDEX('EUROSTAT CB summary'!$B$5:$AU$5,0,MATCH(AG$2,'EUROSTAT CB summary'!$B$1:$AU$1,0)),0)*AG104</f>
        <v>69129.243000000002</v>
      </c>
      <c r="AH105" s="72" cm="1">
        <f t="array" ref="AH105">IFERROR(INDEX('EUROSTAT CB summary'!$B$5:$AU$5,0,MATCH(AH$2,'EUROSTAT CB summary'!$B$1:$AU$1,0)),0)*AH104</f>
        <v>163893.617</v>
      </c>
      <c r="AI105" s="72" cm="1">
        <f t="array" ref="AI105">IFERROR(INDEX('EUROSTAT CB summary'!$B$5:$AU$5,0,MATCH(AI$2,'EUROSTAT CB summary'!$B$1:$AU$1,0)),0)*AI104</f>
        <v>0</v>
      </c>
      <c r="AJ105" s="72" cm="1">
        <f t="array" ref="AJ105">IFERROR(INDEX('EUROSTAT CB summary'!$B$5:$AU$5,0,MATCH(AJ$2,'EUROSTAT CB summary'!$B$1:$AU$1,0)),0)*AJ104</f>
        <v>0</v>
      </c>
      <c r="AK105" s="72" cm="1">
        <f t="array" ref="AK105">IFERROR(INDEX('EUROSTAT CB summary'!$B$5:$AU$5,0,MATCH(AK$2,'EUROSTAT CB summary'!$B$1:$AU$1,0)),0)*AK104</f>
        <v>0</v>
      </c>
      <c r="AL105" s="72" cm="1">
        <f t="array" ref="AL105">IFERROR(INDEX('EUROSTAT CB summary'!$B$5:$AU$5,0,MATCH(AL$2,'EUROSTAT CB summary'!$B$1:$AU$1,0)),0)*AL104</f>
        <v>0</v>
      </c>
      <c r="AM105" s="72" cm="1">
        <f t="array" ref="AM105">IFERROR(INDEX('EUROSTAT CB summary'!$B$5:$AU$5,0,MATCH(AM$2,'EUROSTAT CB summary'!$B$1:$AU$1,0)),0)*AM104</f>
        <v>1332.7719999999999</v>
      </c>
      <c r="AN105" s="72" cm="1">
        <f t="array" ref="AN105">IFERROR(INDEX('EUROSTAT CB summary'!$B$5:$AU$5,0,MATCH(AN$2,'EUROSTAT CB summary'!$B$1:$AU$1,0)),0)*AN104</f>
        <v>24.72</v>
      </c>
      <c r="AO105" s="72" cm="1">
        <f t="array" ref="AO105">IFERROR(INDEX('EUROSTAT CB summary'!$B$5:$AU$5,0,MATCH(AO$2,'EUROSTAT CB summary'!$B$1:$AU$1,0)),0)*AO104</f>
        <v>0</v>
      </c>
      <c r="AP105" s="72" cm="1">
        <f t="array" ref="AP105">IFERROR(INDEX('EUROSTAT CB summary'!$B$5:$AU$5,0,MATCH(AP$2,'EUROSTAT CB summary'!$B$1:$AU$1,0)),0)*AP104</f>
        <v>380.71300000000002</v>
      </c>
      <c r="AQ105" s="72" cm="1">
        <f t="array" ref="AQ105">IFERROR(INDEX('EUROSTAT CB summary'!$B$5:$AU$5,0,MATCH(AQ$2,'EUROSTAT CB summary'!$B$1:$AU$1,0)),0)*AQ104</f>
        <v>0</v>
      </c>
      <c r="AR105" s="72" cm="1">
        <f t="array" ref="AR105">IFERROR(INDEX('EUROSTAT CB summary'!$B$5:$AU$5,0,MATCH(AR$2,'EUROSTAT CB summary'!$B$1:$AU$1,0)),0)*AR104</f>
        <v>404.85399999999998</v>
      </c>
      <c r="AS105" s="72" cm="1">
        <f t="array" ref="AS105">IFERROR(INDEX('EUROSTAT CB summary'!$B$5:$AU$5,0,MATCH(AS$2,'EUROSTAT CB summary'!$B$1:$AU$1,0)),0)*AS104</f>
        <v>10901.987693999999</v>
      </c>
      <c r="AT105" s="72" cm="1">
        <f t="array" ref="AT105">IFERROR(INDEX('EUROSTAT CB summary'!$B$5:$AU$5,0,MATCH(AT$2,'EUROSTAT CB summary'!$B$1:$AU$1,0)),0)*AT104</f>
        <v>0</v>
      </c>
      <c r="AU105" s="72" cm="1">
        <f t="array" ref="AU105">IFERROR(INDEX('EUROSTAT CB summary'!$B$5:$AU$5,0,MATCH(AU$2,'EUROSTAT CB summary'!$B$1:$AU$1,0)),0)*AU104</f>
        <v>5725.9830000000002</v>
      </c>
      <c r="AV105" s="72" cm="1">
        <f t="array" ref="AV105">IFERROR(INDEX('EUROSTAT CB summary'!$B$5:$AU$5,0,MATCH(AV$2,'EUROSTAT CB summary'!$B$1:$AU$1,0)),0)*AV104</f>
        <v>0</v>
      </c>
      <c r="AW105" s="72" cm="1">
        <f t="array" ref="AW105">IFERROR(INDEX('EUROSTAT CB summary'!$B$5:$AU$5,0,MATCH(AW$2,'EUROSTAT CB summary'!$B$1:$AU$1,0)),0)*AW104</f>
        <v>0</v>
      </c>
      <c r="AX105" s="72" cm="1">
        <f t="array" ref="AX105">IFERROR(INDEX('EUROSTAT CB summary'!$B$5:$AU$5,0,MATCH(AX$2,'EUROSTAT CB summary'!$B$1:$AU$1,0)),0)*AX104</f>
        <v>0</v>
      </c>
      <c r="AY105" s="72" cm="1">
        <f t="array" ref="AY105">IFERROR(INDEX('EUROSTAT CB summary'!$B$5:$AU$5,0,MATCH(AY$2,'EUROSTAT CB summary'!$B$1:$AU$1,0)),0)*AY104</f>
        <v>0</v>
      </c>
      <c r="AZ105" s="72" cm="1">
        <f t="array" ref="AZ105">IFERROR(INDEX('EUROSTAT CB summary'!$B$5:$AU$5,0,MATCH(AZ$2,'EUROSTAT CB summary'!$B$1:$AU$1,0)),0)*AZ104</f>
        <v>0</v>
      </c>
      <c r="BA105" s="72" cm="1">
        <f t="array" ref="BA105">IFERROR(INDEX('EUROSTAT CB summary'!$B$5:$AU$5,0,MATCH(BA$2,'EUROSTAT CB summary'!$B$1:$AU$1,0)),0)*BA104</f>
        <v>0</v>
      </c>
      <c r="BB105" s="72" cm="1">
        <f t="array" ref="BB105">IFERROR(INDEX('EUROSTAT CB summary'!$B$5:$AU$5,0,MATCH(BB$2,'EUROSTAT CB summary'!$B$1:$AU$1,0)),0)*BB104</f>
        <v>0</v>
      </c>
      <c r="BC105" s="72" cm="1">
        <f t="array" ref="BC105">IFERROR(INDEX('EUROSTAT CB summary'!$B$5:$AU$5,0,MATCH(BC$2,'EUROSTAT CB summary'!$B$1:$AU$1,0)),0)*BC104</f>
        <v>0</v>
      </c>
      <c r="BD105" s="72" cm="1">
        <f t="array" ref="BD105">IFERROR(INDEX('EUROSTAT CB summary'!$B$5:$AU$5,0,MATCH(BD$2,'EUROSTAT CB summary'!$B$1:$AU$1,0)),0)*BD104</f>
        <v>0</v>
      </c>
      <c r="BE105" s="72" cm="1">
        <f t="array" ref="BE105">IFERROR(INDEX('EUROSTAT CB summary'!$B$5:$AU$5,0,MATCH(BE$2,'EUROSTAT CB summary'!$B$1:$AU$1,0)),0)*BE104</f>
        <v>0</v>
      </c>
      <c r="BF105" s="72" cm="1">
        <f t="array" ref="BF105">IFERROR(INDEX('EUROSTAT CB summary'!$B$5:$AU$5,0,MATCH(BF$2,'EUROSTAT CB summary'!$B$1:$AU$1,0)),0)*BF104</f>
        <v>0</v>
      </c>
      <c r="BG105" s="72" cm="1">
        <f t="array" ref="BG105">IFERROR(INDEX('EUROSTAT CB summary'!$B$5:$AU$5,0,MATCH(BG$2,'EUROSTAT CB summary'!$B$1:$AU$1,0)),0)*BG104</f>
        <v>0</v>
      </c>
      <c r="BH105" s="72" cm="1">
        <f t="array" ref="BH105">IFERROR(INDEX('EUROSTAT CB summary'!$B$5:$AU$5,0,MATCH(BH$2,'EUROSTAT CB summary'!$B$1:$AU$1,0)),0)*BH104</f>
        <v>0</v>
      </c>
      <c r="BI105" s="72" cm="1">
        <f t="array" ref="BI105">IFERROR(INDEX('EUROSTAT CB summary'!$B$5:$AU$5,0,MATCH(BI$2,'EUROSTAT CB summary'!$B$1:$AU$1,0)),0)*BI104</f>
        <v>0</v>
      </c>
      <c r="BJ105" s="72" cm="1">
        <f t="array" ref="BJ105">IFERROR(INDEX('EUROSTAT CB summary'!$B$5:$AU$5,0,MATCH(BJ$2,'EUROSTAT CB summary'!$B$1:$AU$1,0)),0)*BJ104</f>
        <v>0</v>
      </c>
      <c r="BK105" s="72" cm="1">
        <f t="array" ref="BK105">IFERROR(INDEX('EUROSTAT CB summary'!$B$5:$AU$5,0,MATCH(BK$2,'EUROSTAT CB summary'!$B$1:$AU$1,0)),0)*BK104</f>
        <v>0</v>
      </c>
      <c r="BL105" s="72" cm="1">
        <f t="array" ref="BL105">IFERROR(INDEX('EUROSTAT CB summary'!$B$5:$AU$5,0,MATCH(BL$2,'EUROSTAT CB summary'!$B$1:$AU$1,0)),0)*BL104</f>
        <v>0</v>
      </c>
      <c r="BM105" s="72" cm="1">
        <f t="array" ref="BM105">IFERROR(INDEX('EUROSTAT CB summary'!$B$5:$AU$5,0,MATCH(BM$2,'EUROSTAT CB summary'!$B$1:$AU$1,0)),0)*BM104</f>
        <v>0</v>
      </c>
      <c r="BN105" s="72" cm="1">
        <f t="array" ref="BN105">IFERROR(INDEX('EUROSTAT CB summary'!$B$5:$AU$5,0,MATCH(BN$2,'EUROSTAT CB summary'!$B$1:$AU$1,0)),0)*BN104</f>
        <v>0</v>
      </c>
      <c r="BO105" s="72" cm="1">
        <f t="array" ref="BO105">IFERROR(INDEX('EUROSTAT CB summary'!$B$5:$AU$5,0,MATCH(BO$2,'EUROSTAT CB summary'!$B$1:$AU$1,0)),0)*BO104</f>
        <v>0</v>
      </c>
      <c r="BP105" s="72" cm="1">
        <f t="array" ref="BP105">IFERROR(INDEX('EUROSTAT CB summary'!$B$5:$AU$5,0,MATCH(BP$2,'EUROSTAT CB summary'!$B$1:$AU$1,0)),0)*BP104</f>
        <v>0</v>
      </c>
      <c r="BQ105" s="72" cm="1">
        <f t="array" ref="BQ105">IFERROR(INDEX('EUROSTAT CB summary'!$B$5:$AU$5,0,MATCH(BQ$2,'EUROSTAT CB summary'!$B$1:$AU$1,0)),0)*BQ104</f>
        <v>0</v>
      </c>
      <c r="BR105" s="72" cm="1">
        <f t="array" ref="BR105">IFERROR(INDEX('EUROSTAT CB summary'!$B$5:$AU$5,0,MATCH(BR$2,'EUROSTAT CB summary'!$B$1:$AU$1,0)),0)*BR104</f>
        <v>0</v>
      </c>
      <c r="BS105" s="72" cm="1">
        <f t="array" ref="BS105">IFERROR(INDEX('EUROSTAT CB summary'!$B$5:$AU$5,0,MATCH(BS$2,'EUROSTAT CB summary'!$B$1:$AU$1,0)),0)*BS104</f>
        <v>0</v>
      </c>
      <c r="BT105" s="72" cm="1">
        <f t="array" ref="BT105">IFERROR(INDEX('EUROSTAT CB summary'!$B$5:$AU$5,0,MATCH(BT$2,'EUROSTAT CB summary'!$B$1:$AU$1,0)),0)*BT104</f>
        <v>0</v>
      </c>
      <c r="BU105" s="72" cm="1">
        <f t="array" ref="BU105">IFERROR(INDEX('EUROSTAT CB summary'!$B$5:$AU$5,0,MATCH(BU$2,'EUROSTAT CB summary'!$B$1:$AU$1,0)),0)*BU104</f>
        <v>0</v>
      </c>
      <c r="BV105" s="72" cm="1">
        <f t="array" ref="BV105">IFERROR(INDEX('EUROSTAT CB summary'!$B$5:$AU$5,0,MATCH(BV$2,'EUROSTAT CB summary'!$B$1:$AU$1,0)),0)*BV104</f>
        <v>0</v>
      </c>
    </row>
    <row r="106" spans="1:74" x14ac:dyDescent="0.2">
      <c r="A106" s="56" t="s">
        <v>284</v>
      </c>
      <c r="B106" s="57"/>
      <c r="C106" s="57">
        <f>IF('Eurostat EB TJ'!B113=":",0,'Eurostat EB TJ'!B113)</f>
        <v>2704.9630000000002</v>
      </c>
      <c r="D106" s="57">
        <f>IF('Eurostat EB TJ'!C113=":",0,'Eurostat EB TJ'!C113)</f>
        <v>0</v>
      </c>
      <c r="E106" s="57">
        <f>IF('Eurostat EB TJ'!D113=":",0,'Eurostat EB TJ'!D113)</f>
        <v>0</v>
      </c>
      <c r="F106" s="57">
        <f>IF('Eurostat EB TJ'!E113=":",0,'Eurostat EB TJ'!E113)</f>
        <v>0</v>
      </c>
      <c r="G106" s="57">
        <f>IF('Eurostat EB TJ'!F113=":",0,'Eurostat EB TJ'!F113)</f>
        <v>0</v>
      </c>
      <c r="H106" s="57">
        <f>IF('Eurostat EB TJ'!G113=":",0,'Eurostat EB TJ'!G113)</f>
        <v>0</v>
      </c>
      <c r="I106" s="57">
        <f>IF('Eurostat EB TJ'!H113=":",0,'Eurostat EB TJ'!H113)</f>
        <v>0</v>
      </c>
      <c r="J106" s="57">
        <f>IF('Eurostat EB TJ'!I113=":",0,'Eurostat EB TJ'!I113)</f>
        <v>0</v>
      </c>
      <c r="K106" s="57">
        <f>IF('Eurostat EB TJ'!J113=":",0,'Eurostat EB TJ'!J113)</f>
        <v>0</v>
      </c>
      <c r="L106" s="57">
        <f>IF('Eurostat EB TJ'!K113=":",0,'Eurostat EB TJ'!K113)</f>
        <v>0</v>
      </c>
      <c r="M106" s="57">
        <f>IF('Eurostat EB TJ'!L113=":",0,'Eurostat EB TJ'!L113)</f>
        <v>0</v>
      </c>
      <c r="N106" s="57">
        <f>IF('Eurostat EB TJ'!M113=":",0,'Eurostat EB TJ'!M113)</f>
        <v>0</v>
      </c>
      <c r="O106" s="57">
        <f>IF('Eurostat EB TJ'!N113=":",0,'Eurostat EB TJ'!N113)</f>
        <v>0</v>
      </c>
      <c r="P106" s="57">
        <f>IF('Eurostat EB TJ'!O113=":",0,'Eurostat EB TJ'!O113)</f>
        <v>0</v>
      </c>
      <c r="Q106" s="57">
        <f>IF('Eurostat EB TJ'!P113=":",0,'Eurostat EB TJ'!P113)</f>
        <v>0</v>
      </c>
      <c r="R106" s="57">
        <f>IF('Eurostat EB TJ'!Q113=":",0,'Eurostat EB TJ'!Q113)</f>
        <v>0</v>
      </c>
      <c r="S106" s="57">
        <f>IF('Eurostat EB TJ'!R113=":",0,'Eurostat EB TJ'!R113)</f>
        <v>0</v>
      </c>
      <c r="T106" s="57">
        <f>IF('Eurostat EB TJ'!S113=":",0,'Eurostat EB TJ'!S113)</f>
        <v>0</v>
      </c>
      <c r="U106" s="57">
        <f>IF('Eurostat EB TJ'!T113=":",0,'Eurostat EB TJ'!T113)</f>
        <v>0</v>
      </c>
      <c r="V106" s="57">
        <f>IF('Eurostat EB TJ'!U113=":",0,'Eurostat EB TJ'!U113)</f>
        <v>0</v>
      </c>
      <c r="W106" s="57">
        <f>IF('Eurostat EB TJ'!V113=":",0,'Eurostat EB TJ'!V113)</f>
        <v>0</v>
      </c>
      <c r="X106" s="57">
        <f>IF('Eurostat EB TJ'!W113=":",0,'Eurostat EB TJ'!W113)</f>
        <v>0</v>
      </c>
      <c r="Y106" s="57">
        <f>IF('Eurostat EB TJ'!X113=":",0,'Eurostat EB TJ'!X113)</f>
        <v>2704.9630000000002</v>
      </c>
      <c r="Z106" s="57">
        <f>IF('Eurostat EB TJ'!Y113=":",0,'Eurostat EB TJ'!Y113)</f>
        <v>0</v>
      </c>
      <c r="AA106" s="57">
        <f>IF('Eurostat EB TJ'!Z113=":",0,'Eurostat EB TJ'!Z113)</f>
        <v>0</v>
      </c>
      <c r="AB106" s="57">
        <f>IF('Eurostat EB TJ'!AA113=":",0,'Eurostat EB TJ'!AA113)</f>
        <v>0</v>
      </c>
      <c r="AC106" s="57">
        <f>IF('Eurostat EB TJ'!AB113=":",0,'Eurostat EB TJ'!AB113)</f>
        <v>0</v>
      </c>
      <c r="AD106" s="57">
        <f>IF('Eurostat EB TJ'!AC113=":",0,'Eurostat EB TJ'!AC113)</f>
        <v>0</v>
      </c>
      <c r="AE106" s="57">
        <f>IF('Eurostat EB TJ'!AD113=":",0,'Eurostat EB TJ'!AD113)</f>
        <v>0</v>
      </c>
      <c r="AF106" s="57">
        <f>IF('Eurostat EB TJ'!AE113=":",0,'Eurostat EB TJ'!AE113)</f>
        <v>0</v>
      </c>
      <c r="AG106" s="57">
        <f>IF('Eurostat EB TJ'!AF113=":",0,'Eurostat EB TJ'!AF113)</f>
        <v>0</v>
      </c>
      <c r="AH106" s="57">
        <f>IF('Eurostat EB TJ'!AG113=":",0,'Eurostat EB TJ'!AG113)</f>
        <v>0</v>
      </c>
      <c r="AI106" s="57">
        <f>IF('Eurostat EB TJ'!AH113=":",0,'Eurostat EB TJ'!AH113)</f>
        <v>0</v>
      </c>
      <c r="AJ106" s="57">
        <f>IF('Eurostat EB TJ'!AI113=":",0,'Eurostat EB TJ'!AI113)</f>
        <v>0</v>
      </c>
      <c r="AK106" s="57">
        <f>IF('Eurostat EB TJ'!AJ113=":",0,'Eurostat EB TJ'!AJ113)</f>
        <v>0</v>
      </c>
      <c r="AL106" s="57">
        <f>IF('Eurostat EB TJ'!AK113=":",0,'Eurostat EB TJ'!AK113)</f>
        <v>0</v>
      </c>
      <c r="AM106" s="57">
        <f>IF('Eurostat EB TJ'!AL113=":",0,'Eurostat EB TJ'!AL113)</f>
        <v>0</v>
      </c>
      <c r="AN106" s="57">
        <f>IF('Eurostat EB TJ'!AM113=":",0,'Eurostat EB TJ'!AM113)</f>
        <v>0</v>
      </c>
      <c r="AO106" s="57">
        <f>IF('Eurostat EB TJ'!AN113=":",0,'Eurostat EB TJ'!AN113)</f>
        <v>0</v>
      </c>
      <c r="AP106" s="57">
        <f>IF('Eurostat EB TJ'!AO113=":",0,'Eurostat EB TJ'!AO113)</f>
        <v>0</v>
      </c>
      <c r="AQ106" s="57">
        <f>IF('Eurostat EB TJ'!AP113=":",0,'Eurostat EB TJ'!AP113)</f>
        <v>2704.9630000000002</v>
      </c>
      <c r="AR106" s="57">
        <f>IF('Eurostat EB TJ'!AQ113=":",0,'Eurostat EB TJ'!AQ113)</f>
        <v>0</v>
      </c>
      <c r="AS106" s="57">
        <f>IF('Eurostat EB TJ'!AR113=":",0,'Eurostat EB TJ'!AR113)</f>
        <v>0</v>
      </c>
      <c r="AT106" s="57">
        <f>IF('Eurostat EB TJ'!AS113=":",0,'Eurostat EB TJ'!AS113)</f>
        <v>0</v>
      </c>
      <c r="AU106" s="57">
        <f>IF('Eurostat EB TJ'!AT113=":",0,'Eurostat EB TJ'!AT113)</f>
        <v>0</v>
      </c>
      <c r="AV106" s="57">
        <f>IF('Eurostat EB TJ'!AU113=":",0,'Eurostat EB TJ'!AU113)</f>
        <v>0</v>
      </c>
      <c r="AW106" s="57">
        <f>IF('Eurostat EB TJ'!AV113=":",0,'Eurostat EB TJ'!AV113)</f>
        <v>0</v>
      </c>
      <c r="AX106" s="57">
        <f>IF('Eurostat EB TJ'!AW113=":",0,'Eurostat EB TJ'!AW113)</f>
        <v>0</v>
      </c>
      <c r="AY106" s="57">
        <f>IF('Eurostat EB TJ'!AX113=":",0,'Eurostat EB TJ'!AX113)</f>
        <v>0</v>
      </c>
      <c r="AZ106" s="57">
        <f>IF('Eurostat EB TJ'!AY113=":",0,'Eurostat EB TJ'!AY113)</f>
        <v>0</v>
      </c>
      <c r="BA106" s="57">
        <f>IF('Eurostat EB TJ'!AZ113=":",0,'Eurostat EB TJ'!AZ113)</f>
        <v>0</v>
      </c>
      <c r="BB106" s="57">
        <f>IF('Eurostat EB TJ'!BA113=":",0,'Eurostat EB TJ'!BA113)</f>
        <v>0</v>
      </c>
      <c r="BC106" s="57">
        <f>IF('Eurostat EB TJ'!BB113=":",0,'Eurostat EB TJ'!BB113)</f>
        <v>0</v>
      </c>
      <c r="BD106" s="57">
        <f>IF('Eurostat EB TJ'!BC113=":",0,'Eurostat EB TJ'!BC113)</f>
        <v>0</v>
      </c>
      <c r="BE106" s="57">
        <f>IF('Eurostat EB TJ'!BD113=":",0,'Eurostat EB TJ'!BD113)</f>
        <v>0</v>
      </c>
      <c r="BF106" s="57">
        <f>IF('Eurostat EB TJ'!BE113=":",0,'Eurostat EB TJ'!BE113)</f>
        <v>0</v>
      </c>
      <c r="BG106" s="57">
        <f>IF('Eurostat EB TJ'!BF113=":",0,'Eurostat EB TJ'!BF113)</f>
        <v>0</v>
      </c>
      <c r="BH106" s="57">
        <f>IF('Eurostat EB TJ'!BG113=":",0,'Eurostat EB TJ'!BG113)</f>
        <v>0</v>
      </c>
      <c r="BI106" s="57">
        <f>IF('Eurostat EB TJ'!BH113=":",0,'Eurostat EB TJ'!BH113)</f>
        <v>0</v>
      </c>
      <c r="BJ106" s="57">
        <f>IF('Eurostat EB TJ'!BI113=":",0,'Eurostat EB TJ'!BI113)</f>
        <v>0</v>
      </c>
      <c r="BK106" s="57">
        <f>IF('Eurostat EB TJ'!BJ113=":",0,'Eurostat EB TJ'!BJ113)</f>
        <v>0</v>
      </c>
      <c r="BL106" s="57">
        <f>IF('Eurostat EB TJ'!BK113=":",0,'Eurostat EB TJ'!BK113)</f>
        <v>0</v>
      </c>
      <c r="BM106" s="57">
        <f>IF('Eurostat EB TJ'!BL113=":",0,'Eurostat EB TJ'!BL113)</f>
        <v>0</v>
      </c>
      <c r="BN106" s="57">
        <f>IF('Eurostat EB TJ'!BM113=":",0,'Eurostat EB TJ'!BM113)</f>
        <v>0</v>
      </c>
      <c r="BO106" s="57">
        <f>IF('Eurostat EB TJ'!BN113=":",0,'Eurostat EB TJ'!BN113)</f>
        <v>0</v>
      </c>
      <c r="BP106" s="57">
        <f>IF('Eurostat EB TJ'!BO113=":",0,'Eurostat EB TJ'!BO113)</f>
        <v>0</v>
      </c>
      <c r="BQ106" s="57">
        <f>IF('Eurostat EB TJ'!BP113=":",0,'Eurostat EB TJ'!BP113)</f>
        <v>0</v>
      </c>
      <c r="BR106" s="57">
        <f>IF('Eurostat EB TJ'!BQ113=":",0,'Eurostat EB TJ'!BQ113)</f>
        <v>0</v>
      </c>
      <c r="BS106" s="57">
        <f>IF('Eurostat EB TJ'!BR113=":",0,'Eurostat EB TJ'!BR113)</f>
        <v>0</v>
      </c>
      <c r="BT106" s="57">
        <f>IF('Eurostat EB TJ'!BS113=":",0,'Eurostat EB TJ'!BS113)</f>
        <v>0</v>
      </c>
      <c r="BU106" s="57">
        <f>IF('Eurostat EB TJ'!BT113=":",0,'Eurostat EB TJ'!BT113)</f>
        <v>0</v>
      </c>
      <c r="BV106" s="57">
        <f>IF('Eurostat EB TJ'!BU113=":",0,'Eurostat EB TJ'!BU113)</f>
        <v>2704.9630000000002</v>
      </c>
    </row>
    <row r="107" spans="1:74" x14ac:dyDescent="0.2">
      <c r="A107" s="56" t="s">
        <v>285</v>
      </c>
      <c r="B107" s="17"/>
      <c r="C107" s="17">
        <f>IF('Eurostat EB TJ'!B114=":",0,'Eurostat EB TJ'!B114)</f>
        <v>1546.75</v>
      </c>
      <c r="D107" s="17">
        <f>IF('Eurostat EB TJ'!C114=":",0,'Eurostat EB TJ'!C114)</f>
        <v>0</v>
      </c>
      <c r="E107" s="17">
        <f>IF('Eurostat EB TJ'!D114=":",0,'Eurostat EB TJ'!D114)</f>
        <v>0</v>
      </c>
      <c r="F107" s="17">
        <f>IF('Eurostat EB TJ'!E114=":",0,'Eurostat EB TJ'!E114)</f>
        <v>0</v>
      </c>
      <c r="G107" s="17">
        <f>IF('Eurostat EB TJ'!F114=":",0,'Eurostat EB TJ'!F114)</f>
        <v>0</v>
      </c>
      <c r="H107" s="17">
        <f>IF('Eurostat EB TJ'!G114=":",0,'Eurostat EB TJ'!G114)</f>
        <v>0</v>
      </c>
      <c r="I107" s="17">
        <f>IF('Eurostat EB TJ'!H114=":",0,'Eurostat EB TJ'!H114)</f>
        <v>0</v>
      </c>
      <c r="J107" s="17">
        <f>IF('Eurostat EB TJ'!I114=":",0,'Eurostat EB TJ'!I114)</f>
        <v>0</v>
      </c>
      <c r="K107" s="17">
        <f>IF('Eurostat EB TJ'!J114=":",0,'Eurostat EB TJ'!J114)</f>
        <v>0</v>
      </c>
      <c r="L107" s="17">
        <f>IF('Eurostat EB TJ'!K114=":",0,'Eurostat EB TJ'!K114)</f>
        <v>0</v>
      </c>
      <c r="M107" s="17">
        <f>IF('Eurostat EB TJ'!L114=":",0,'Eurostat EB TJ'!L114)</f>
        <v>0</v>
      </c>
      <c r="N107" s="17">
        <f>IF('Eurostat EB TJ'!M114=":",0,'Eurostat EB TJ'!M114)</f>
        <v>0</v>
      </c>
      <c r="O107" s="17">
        <f>IF('Eurostat EB TJ'!N114=":",0,'Eurostat EB TJ'!N114)</f>
        <v>0</v>
      </c>
      <c r="P107" s="17">
        <f>IF('Eurostat EB TJ'!O114=":",0,'Eurostat EB TJ'!O114)</f>
        <v>0</v>
      </c>
      <c r="Q107" s="17">
        <f>IF('Eurostat EB TJ'!P114=":",0,'Eurostat EB TJ'!P114)</f>
        <v>0</v>
      </c>
      <c r="R107" s="17">
        <f>IF('Eurostat EB TJ'!Q114=":",0,'Eurostat EB TJ'!Q114)</f>
        <v>0</v>
      </c>
      <c r="S107" s="17">
        <f>IF('Eurostat EB TJ'!R114=":",0,'Eurostat EB TJ'!R114)</f>
        <v>0</v>
      </c>
      <c r="T107" s="17">
        <f>IF('Eurostat EB TJ'!S114=":",0,'Eurostat EB TJ'!S114)</f>
        <v>0</v>
      </c>
      <c r="U107" s="17">
        <f>IF('Eurostat EB TJ'!T114=":",0,'Eurostat EB TJ'!T114)</f>
        <v>0</v>
      </c>
      <c r="V107" s="17">
        <f>IF('Eurostat EB TJ'!U114=":",0,'Eurostat EB TJ'!U114)</f>
        <v>0</v>
      </c>
      <c r="W107" s="17">
        <f>IF('Eurostat EB TJ'!V114=":",0,'Eurostat EB TJ'!V114)</f>
        <v>0</v>
      </c>
      <c r="X107" s="17">
        <f>IF('Eurostat EB TJ'!W114=":",0,'Eurostat EB TJ'!W114)</f>
        <v>37.954999999999998</v>
      </c>
      <c r="Y107" s="17">
        <f>IF('Eurostat EB TJ'!X114=":",0,'Eurostat EB TJ'!X114)</f>
        <v>1508.7950000000001</v>
      </c>
      <c r="Z107" s="17">
        <f>IF('Eurostat EB TJ'!Y114=":",0,'Eurostat EB TJ'!Y114)</f>
        <v>0</v>
      </c>
      <c r="AA107" s="17">
        <f>IF('Eurostat EB TJ'!Z114=":",0,'Eurostat EB TJ'!Z114)</f>
        <v>0</v>
      </c>
      <c r="AB107" s="17">
        <f>IF('Eurostat EB TJ'!AA114=":",0,'Eurostat EB TJ'!AA114)</f>
        <v>0</v>
      </c>
      <c r="AC107" s="17">
        <f>IF('Eurostat EB TJ'!AB114=":",0,'Eurostat EB TJ'!AB114)</f>
        <v>0</v>
      </c>
      <c r="AD107" s="17">
        <f>IF('Eurostat EB TJ'!AC114=":",0,'Eurostat EB TJ'!AC114)</f>
        <v>0</v>
      </c>
      <c r="AE107" s="17">
        <f>IF('Eurostat EB TJ'!AD114=":",0,'Eurostat EB TJ'!AD114)</f>
        <v>0</v>
      </c>
      <c r="AF107" s="17">
        <f>IF('Eurostat EB TJ'!AE114=":",0,'Eurostat EB TJ'!AE114)</f>
        <v>0</v>
      </c>
      <c r="AG107" s="17">
        <f>IF('Eurostat EB TJ'!AF114=":",0,'Eurostat EB TJ'!AF114)</f>
        <v>0</v>
      </c>
      <c r="AH107" s="17">
        <f>IF('Eurostat EB TJ'!AG114=":",0,'Eurostat EB TJ'!AG114)</f>
        <v>0</v>
      </c>
      <c r="AI107" s="17">
        <f>IF('Eurostat EB TJ'!AH114=":",0,'Eurostat EB TJ'!AH114)</f>
        <v>0</v>
      </c>
      <c r="AJ107" s="17">
        <f>IF('Eurostat EB TJ'!AI114=":",0,'Eurostat EB TJ'!AI114)</f>
        <v>0</v>
      </c>
      <c r="AK107" s="17">
        <f>IF('Eurostat EB TJ'!AJ114=":",0,'Eurostat EB TJ'!AJ114)</f>
        <v>0</v>
      </c>
      <c r="AL107" s="17">
        <f>IF('Eurostat EB TJ'!AK114=":",0,'Eurostat EB TJ'!AK114)</f>
        <v>0</v>
      </c>
      <c r="AM107" s="17">
        <f>IF('Eurostat EB TJ'!AL114=":",0,'Eurostat EB TJ'!AL114)</f>
        <v>24.184000000000001</v>
      </c>
      <c r="AN107" s="17">
        <f>IF('Eurostat EB TJ'!AM114=":",0,'Eurostat EB TJ'!AM114)</f>
        <v>0</v>
      </c>
      <c r="AO107" s="17">
        <f>IF('Eurostat EB TJ'!AN114=":",0,'Eurostat EB TJ'!AN114)</f>
        <v>0</v>
      </c>
      <c r="AP107" s="17">
        <f>IF('Eurostat EB TJ'!AO114=":",0,'Eurostat EB TJ'!AO114)</f>
        <v>0</v>
      </c>
      <c r="AQ107" s="17">
        <f>IF('Eurostat EB TJ'!AP114=":",0,'Eurostat EB TJ'!AP114)</f>
        <v>1484.61</v>
      </c>
      <c r="AR107" s="17">
        <f>IF('Eurostat EB TJ'!AQ114=":",0,'Eurostat EB TJ'!AQ114)</f>
        <v>0</v>
      </c>
      <c r="AS107" s="17">
        <f>IF('Eurostat EB TJ'!AR114=":",0,'Eurostat EB TJ'!AR114)</f>
        <v>0</v>
      </c>
      <c r="AT107" s="17">
        <f>IF('Eurostat EB TJ'!AS114=":",0,'Eurostat EB TJ'!AS114)</f>
        <v>0</v>
      </c>
      <c r="AU107" s="17">
        <f>IF('Eurostat EB TJ'!AT114=":",0,'Eurostat EB TJ'!AT114)</f>
        <v>0</v>
      </c>
      <c r="AV107" s="17">
        <f>IF('Eurostat EB TJ'!AU114=":",0,'Eurostat EB TJ'!AU114)</f>
        <v>0</v>
      </c>
      <c r="AW107" s="17">
        <f>IF('Eurostat EB TJ'!AV114=":",0,'Eurostat EB TJ'!AV114)</f>
        <v>0</v>
      </c>
      <c r="AX107" s="17">
        <f>IF('Eurostat EB TJ'!AW114=":",0,'Eurostat EB TJ'!AW114)</f>
        <v>0</v>
      </c>
      <c r="AY107" s="17">
        <f>IF('Eurostat EB TJ'!AX114=":",0,'Eurostat EB TJ'!AX114)</f>
        <v>0</v>
      </c>
      <c r="AZ107" s="17">
        <f>IF('Eurostat EB TJ'!AY114=":",0,'Eurostat EB TJ'!AY114)</f>
        <v>0</v>
      </c>
      <c r="BA107" s="17">
        <f>IF('Eurostat EB TJ'!AZ114=":",0,'Eurostat EB TJ'!AZ114)</f>
        <v>0</v>
      </c>
      <c r="BB107" s="17">
        <f>IF('Eurostat EB TJ'!BA114=":",0,'Eurostat EB TJ'!BA114)</f>
        <v>0</v>
      </c>
      <c r="BC107" s="17">
        <f>IF('Eurostat EB TJ'!BB114=":",0,'Eurostat EB TJ'!BB114)</f>
        <v>0</v>
      </c>
      <c r="BD107" s="17">
        <f>IF('Eurostat EB TJ'!BC114=":",0,'Eurostat EB TJ'!BC114)</f>
        <v>0</v>
      </c>
      <c r="BE107" s="17">
        <f>IF('Eurostat EB TJ'!BD114=":",0,'Eurostat EB TJ'!BD114)</f>
        <v>0</v>
      </c>
      <c r="BF107" s="17">
        <f>IF('Eurostat EB TJ'!BE114=":",0,'Eurostat EB TJ'!BE114)</f>
        <v>0</v>
      </c>
      <c r="BG107" s="17">
        <f>IF('Eurostat EB TJ'!BF114=":",0,'Eurostat EB TJ'!BF114)</f>
        <v>0</v>
      </c>
      <c r="BH107" s="17">
        <f>IF('Eurostat EB TJ'!BG114=":",0,'Eurostat EB TJ'!BG114)</f>
        <v>0</v>
      </c>
      <c r="BI107" s="17">
        <f>IF('Eurostat EB TJ'!BH114=":",0,'Eurostat EB TJ'!BH114)</f>
        <v>0</v>
      </c>
      <c r="BJ107" s="17">
        <f>IF('Eurostat EB TJ'!BI114=":",0,'Eurostat EB TJ'!BI114)</f>
        <v>0</v>
      </c>
      <c r="BK107" s="17">
        <f>IF('Eurostat EB TJ'!BJ114=":",0,'Eurostat EB TJ'!BJ114)</f>
        <v>0</v>
      </c>
      <c r="BL107" s="17">
        <f>IF('Eurostat EB TJ'!BK114=":",0,'Eurostat EB TJ'!BK114)</f>
        <v>0</v>
      </c>
      <c r="BM107" s="17">
        <f>IF('Eurostat EB TJ'!BL114=":",0,'Eurostat EB TJ'!BL114)</f>
        <v>0</v>
      </c>
      <c r="BN107" s="17">
        <f>IF('Eurostat EB TJ'!BM114=":",0,'Eurostat EB TJ'!BM114)</f>
        <v>0</v>
      </c>
      <c r="BO107" s="17">
        <f>IF('Eurostat EB TJ'!BN114=":",0,'Eurostat EB TJ'!BN114)</f>
        <v>0</v>
      </c>
      <c r="BP107" s="17">
        <f>IF('Eurostat EB TJ'!BO114=":",0,'Eurostat EB TJ'!BO114)</f>
        <v>0</v>
      </c>
      <c r="BQ107" s="17">
        <f>IF('Eurostat EB TJ'!BP114=":",0,'Eurostat EB TJ'!BP114)</f>
        <v>0</v>
      </c>
      <c r="BR107" s="17">
        <f>IF('Eurostat EB TJ'!BQ114=":",0,'Eurostat EB TJ'!BQ114)</f>
        <v>0</v>
      </c>
      <c r="BS107" s="17">
        <f>IF('Eurostat EB TJ'!BR114=":",0,'Eurostat EB TJ'!BR114)</f>
        <v>0</v>
      </c>
      <c r="BT107" s="17">
        <f>IF('Eurostat EB TJ'!BS114=":",0,'Eurostat EB TJ'!BS114)</f>
        <v>0</v>
      </c>
      <c r="BU107" s="17">
        <f>IF('Eurostat EB TJ'!BT114=":",0,'Eurostat EB TJ'!BT114)</f>
        <v>0.38900000000000001</v>
      </c>
      <c r="BV107" s="17">
        <f>IF('Eurostat EB TJ'!BU114=":",0,'Eurostat EB TJ'!BU114)</f>
        <v>1546.3610000000001</v>
      </c>
    </row>
    <row r="108" spans="1:74" x14ac:dyDescent="0.2">
      <c r="A108" s="56" t="s">
        <v>286</v>
      </c>
      <c r="B108" s="57"/>
      <c r="C108" s="57">
        <f>IF('Eurostat EB TJ'!B115=":",0,'Eurostat EB TJ'!B115)</f>
        <v>1598821.0870000001</v>
      </c>
      <c r="D108" s="57">
        <f>IF('Eurostat EB TJ'!C115=":",0,'Eurostat EB TJ'!C115)</f>
        <v>4309.5230000000001</v>
      </c>
      <c r="E108" s="57">
        <f>IF('Eurostat EB TJ'!D115=":",0,'Eurostat EB TJ'!D115)</f>
        <v>2.4910000000000001</v>
      </c>
      <c r="F108" s="57">
        <f>IF('Eurostat EB TJ'!E115=":",0,'Eurostat EB TJ'!E115)</f>
        <v>47.326999999999998</v>
      </c>
      <c r="G108" s="57">
        <f>IF('Eurostat EB TJ'!F115=":",0,'Eurostat EB TJ'!F115)</f>
        <v>294.52499999999998</v>
      </c>
      <c r="H108" s="57">
        <f>IF('Eurostat EB TJ'!G115=":",0,'Eurostat EB TJ'!G115)</f>
        <v>0</v>
      </c>
      <c r="I108" s="57">
        <f>IF('Eurostat EB TJ'!H115=":",0,'Eurostat EB TJ'!H115)</f>
        <v>312.82</v>
      </c>
      <c r="J108" s="57">
        <f>IF('Eurostat EB TJ'!I115=":",0,'Eurostat EB TJ'!I115)</f>
        <v>3652.3609999999999</v>
      </c>
      <c r="K108" s="57">
        <f>IF('Eurostat EB TJ'!J115=":",0,'Eurostat EB TJ'!J115)</f>
        <v>0</v>
      </c>
      <c r="L108" s="57">
        <f>IF('Eurostat EB TJ'!K115=":",0,'Eurostat EB TJ'!K115)</f>
        <v>0</v>
      </c>
      <c r="M108" s="57">
        <f>IF('Eurostat EB TJ'!L115=":",0,'Eurostat EB TJ'!L115)</f>
        <v>0</v>
      </c>
      <c r="N108" s="57">
        <f>IF('Eurostat EB TJ'!M115=":",0,'Eurostat EB TJ'!M115)</f>
        <v>0</v>
      </c>
      <c r="O108" s="57">
        <f>IF('Eurostat EB TJ'!N115=":",0,'Eurostat EB TJ'!N115)</f>
        <v>11186.406000000001</v>
      </c>
      <c r="P108" s="57">
        <f>IF('Eurostat EB TJ'!O115=":",0,'Eurostat EB TJ'!O115)</f>
        <v>6393.5039999999999</v>
      </c>
      <c r="Q108" s="57">
        <f>IF('Eurostat EB TJ'!P115=":",0,'Eurostat EB TJ'!P115)</f>
        <v>0</v>
      </c>
      <c r="R108" s="57">
        <f>IF('Eurostat EB TJ'!Q115=":",0,'Eurostat EB TJ'!Q115)</f>
        <v>4792.902</v>
      </c>
      <c r="S108" s="57">
        <f>IF('Eurostat EB TJ'!R115=":",0,'Eurostat EB TJ'!R115)</f>
        <v>0</v>
      </c>
      <c r="T108" s="57">
        <f>IF('Eurostat EB TJ'!S115=":",0,'Eurostat EB TJ'!S115)</f>
        <v>0</v>
      </c>
      <c r="U108" s="57">
        <f>IF('Eurostat EB TJ'!T115=":",0,'Eurostat EB TJ'!T115)</f>
        <v>0</v>
      </c>
      <c r="V108" s="57">
        <f>IF('Eurostat EB TJ'!U115=":",0,'Eurostat EB TJ'!U115)</f>
        <v>0</v>
      </c>
      <c r="W108" s="57">
        <f>IF('Eurostat EB TJ'!V115=":",0,'Eurostat EB TJ'!V115)</f>
        <v>0</v>
      </c>
      <c r="X108" s="57">
        <f>IF('Eurostat EB TJ'!W115=":",0,'Eurostat EB TJ'!W115)</f>
        <v>533282.353</v>
      </c>
      <c r="Y108" s="57">
        <f>IF('Eurostat EB TJ'!X115=":",0,'Eurostat EB TJ'!X115)</f>
        <v>521659.57199999999</v>
      </c>
      <c r="Z108" s="57">
        <f>IF('Eurostat EB TJ'!Y115=":",0,'Eurostat EB TJ'!Y115)</f>
        <v>0</v>
      </c>
      <c r="AA108" s="57">
        <f>IF('Eurostat EB TJ'!Z115=":",0,'Eurostat EB TJ'!Z115)</f>
        <v>0</v>
      </c>
      <c r="AB108" s="57">
        <f>IF('Eurostat EB TJ'!AA115=":",0,'Eurostat EB TJ'!AA115)</f>
        <v>0</v>
      </c>
      <c r="AC108" s="57">
        <f>IF('Eurostat EB TJ'!AB115=":",0,'Eurostat EB TJ'!AB115)</f>
        <v>0</v>
      </c>
      <c r="AD108" s="57">
        <f>IF('Eurostat EB TJ'!AC115=":",0,'Eurostat EB TJ'!AC115)</f>
        <v>0</v>
      </c>
      <c r="AE108" s="57">
        <f>IF('Eurostat EB TJ'!AD115=":",0,'Eurostat EB TJ'!AD115)</f>
        <v>103516.201</v>
      </c>
      <c r="AF108" s="57">
        <f>IF('Eurostat EB TJ'!AE115=":",0,'Eurostat EB TJ'!AE115)</f>
        <v>0</v>
      </c>
      <c r="AG108" s="57">
        <f>IF('Eurostat EB TJ'!AF115=":",0,'Eurostat EB TJ'!AF115)</f>
        <v>9507.5949999999993</v>
      </c>
      <c r="AH108" s="57">
        <f>IF('Eurostat EB TJ'!AG115=":",0,'Eurostat EB TJ'!AG115)</f>
        <v>0</v>
      </c>
      <c r="AI108" s="57">
        <f>IF('Eurostat EB TJ'!AH115=":",0,'Eurostat EB TJ'!AH115)</f>
        <v>56.847000000000001</v>
      </c>
      <c r="AJ108" s="57">
        <f>IF('Eurostat EB TJ'!AI115=":",0,'Eurostat EB TJ'!AI115)</f>
        <v>171929.75099999999</v>
      </c>
      <c r="AK108" s="57">
        <f>IF('Eurostat EB TJ'!AJ115=":",0,'Eurostat EB TJ'!AJ115)</f>
        <v>0</v>
      </c>
      <c r="AL108" s="57">
        <f>IF('Eurostat EB TJ'!AK115=":",0,'Eurostat EB TJ'!AK115)</f>
        <v>1938.453</v>
      </c>
      <c r="AM108" s="57">
        <f>IF('Eurostat EB TJ'!AL115=":",0,'Eurostat EB TJ'!AL115)</f>
        <v>217.91800000000001</v>
      </c>
      <c r="AN108" s="57">
        <f>IF('Eurostat EB TJ'!AM115=":",0,'Eurostat EB TJ'!AM115)</f>
        <v>233780.04300000001</v>
      </c>
      <c r="AO108" s="57">
        <f>IF('Eurostat EB TJ'!AN115=":",0,'Eurostat EB TJ'!AN115)</f>
        <v>0</v>
      </c>
      <c r="AP108" s="57">
        <f>IF('Eurostat EB TJ'!AO115=":",0,'Eurostat EB TJ'!AO115)</f>
        <v>0</v>
      </c>
      <c r="AQ108" s="57">
        <f>IF('Eurostat EB TJ'!AP115=":",0,'Eurostat EB TJ'!AP115)</f>
        <v>0</v>
      </c>
      <c r="AR108" s="57">
        <f>IF('Eurostat EB TJ'!AQ115=":",0,'Eurostat EB TJ'!AQ115)</f>
        <v>0</v>
      </c>
      <c r="AS108" s="57">
        <f>IF('Eurostat EB TJ'!AR115=":",0,'Eurostat EB TJ'!AR115)</f>
        <v>64.194999999999993</v>
      </c>
      <c r="AT108" s="57">
        <f>IF('Eurostat EB TJ'!AS115=":",0,'Eurostat EB TJ'!AS115)</f>
        <v>0</v>
      </c>
      <c r="AU108" s="57">
        <f>IF('Eurostat EB TJ'!AT115=":",0,'Eurostat EB TJ'!AT115)</f>
        <v>648.56700000000001</v>
      </c>
      <c r="AV108" s="57">
        <f>IF('Eurostat EB TJ'!AU115=":",0,'Eurostat EB TJ'!AU115)</f>
        <v>91450.414999999994</v>
      </c>
      <c r="AW108" s="57">
        <f>IF('Eurostat EB TJ'!AV115=":",0,'Eurostat EB TJ'!AV115)</f>
        <v>0</v>
      </c>
      <c r="AX108" s="57">
        <f>IF('Eurostat EB TJ'!AW115=":",0,'Eurostat EB TJ'!AW115)</f>
        <v>6797.51</v>
      </c>
      <c r="AY108" s="57">
        <f>IF('Eurostat EB TJ'!AX115=":",0,'Eurostat EB TJ'!AX115)</f>
        <v>0</v>
      </c>
      <c r="AZ108" s="57">
        <f>IF('Eurostat EB TJ'!AY115=":",0,'Eurostat EB TJ'!AY115)</f>
        <v>1176</v>
      </c>
      <c r="BA108" s="57">
        <f>IF('Eurostat EB TJ'!AZ115=":",0,'Eurostat EB TJ'!AZ115)</f>
        <v>0</v>
      </c>
      <c r="BB108" s="57">
        <f>IF('Eurostat EB TJ'!BA115=":",0,'Eurostat EB TJ'!BA115)</f>
        <v>0</v>
      </c>
      <c r="BC108" s="57">
        <f>IF('Eurostat EB TJ'!BB115=":",0,'Eurostat EB TJ'!BB115)</f>
        <v>25524.613000000001</v>
      </c>
      <c r="BD108" s="57">
        <f>IF('Eurostat EB TJ'!BC115=":",0,'Eurostat EB TJ'!BC115)</f>
        <v>25605.462</v>
      </c>
      <c r="BE108" s="57">
        <f>IF('Eurostat EB TJ'!BD115=":",0,'Eurostat EB TJ'!BD115)</f>
        <v>270</v>
      </c>
      <c r="BF108" s="57">
        <f>IF('Eurostat EB TJ'!BE115=":",0,'Eurostat EB TJ'!BE115)</f>
        <v>0</v>
      </c>
      <c r="BG108" s="57">
        <f>IF('Eurostat EB TJ'!BF115=":",0,'Eurostat EB TJ'!BF115)</f>
        <v>10780.532999999999</v>
      </c>
      <c r="BH108" s="57">
        <f>IF('Eurostat EB TJ'!BG115=":",0,'Eurostat EB TJ'!BG115)</f>
        <v>0</v>
      </c>
      <c r="BI108" s="57">
        <f>IF('Eurostat EB TJ'!BH115=":",0,'Eurostat EB TJ'!BH115)</f>
        <v>14730.06</v>
      </c>
      <c r="BJ108" s="57">
        <f>IF('Eurostat EB TJ'!BI115=":",0,'Eurostat EB TJ'!BI115)</f>
        <v>0</v>
      </c>
      <c r="BK108" s="57">
        <f>IF('Eurostat EB TJ'!BJ115=":",0,'Eurostat EB TJ'!BJ115)</f>
        <v>0</v>
      </c>
      <c r="BL108" s="57">
        <f>IF('Eurostat EB TJ'!BK115=":",0,'Eurostat EB TJ'!BK115)</f>
        <v>529.77599999999995</v>
      </c>
      <c r="BM108" s="57">
        <f>IF('Eurostat EB TJ'!BL115=":",0,'Eurostat EB TJ'!BL115)</f>
        <v>4526.3789999999999</v>
      </c>
      <c r="BN108" s="57">
        <f>IF('Eurostat EB TJ'!BM115=":",0,'Eurostat EB TJ'!BM115)</f>
        <v>631.01400000000001</v>
      </c>
      <c r="BO108" s="57">
        <f>IF('Eurostat EB TJ'!BN115=":",0,'Eurostat EB TJ'!BN115)</f>
        <v>1510.0820000000001</v>
      </c>
      <c r="BP108" s="57">
        <f>IF('Eurostat EB TJ'!BO115=":",0,'Eurostat EB TJ'!BO115)</f>
        <v>1339.13</v>
      </c>
      <c r="BQ108" s="57">
        <f>IF('Eurostat EB TJ'!BP115=":",0,'Eurostat EB TJ'!BP115)</f>
        <v>1970.144</v>
      </c>
      <c r="BR108" s="57">
        <f>IF('Eurostat EB TJ'!BQ115=":",0,'Eurostat EB TJ'!BQ115)</f>
        <v>0</v>
      </c>
      <c r="BS108" s="57">
        <f>IF('Eurostat EB TJ'!BR115=":",0,'Eurostat EB TJ'!BR115)</f>
        <v>366245.21899999998</v>
      </c>
      <c r="BT108" s="57">
        <f>IF('Eurostat EB TJ'!BS115=":",0,'Eurostat EB TJ'!BS115)</f>
        <v>68717.456000000006</v>
      </c>
      <c r="BU108" s="57">
        <f>IF('Eurostat EB TJ'!BT115=":",0,'Eurostat EB TJ'!BT115)</f>
        <v>102881.89200000001</v>
      </c>
      <c r="BV108" s="57">
        <f>IF('Eurostat EB TJ'!BU115=":",0,'Eurostat EB TJ'!BU115)</f>
        <v>1294342.352</v>
      </c>
    </row>
    <row r="109" spans="1:74" x14ac:dyDescent="0.2">
      <c r="A109" s="56" t="s">
        <v>287</v>
      </c>
      <c r="B109" s="17"/>
      <c r="C109" s="17">
        <f>IF('Eurostat EB TJ'!B116=":",0,'Eurostat EB TJ'!B116)</f>
        <v>487196.93</v>
      </c>
      <c r="D109" s="17">
        <f>IF('Eurostat EB TJ'!C116=":",0,'Eurostat EB TJ'!C116)</f>
        <v>3994.2130000000002</v>
      </c>
      <c r="E109" s="17">
        <f>IF('Eurostat EB TJ'!D116=":",0,'Eurostat EB TJ'!D116)</f>
        <v>0</v>
      </c>
      <c r="F109" s="17">
        <f>IF('Eurostat EB TJ'!E116=":",0,'Eurostat EB TJ'!E116)</f>
        <v>47.326999999999998</v>
      </c>
      <c r="G109" s="17">
        <f>IF('Eurostat EB TJ'!F116=":",0,'Eurostat EB TJ'!F116)</f>
        <v>294.52499999999998</v>
      </c>
      <c r="H109" s="17">
        <f>IF('Eurostat EB TJ'!G116=":",0,'Eurostat EB TJ'!G116)</f>
        <v>0</v>
      </c>
      <c r="I109" s="17">
        <f>IF('Eurostat EB TJ'!H116=":",0,'Eurostat EB TJ'!H116)</f>
        <v>0</v>
      </c>
      <c r="J109" s="17">
        <f>IF('Eurostat EB TJ'!I116=":",0,'Eurostat EB TJ'!I116)</f>
        <v>3652.3609999999999</v>
      </c>
      <c r="K109" s="17">
        <f>IF('Eurostat EB TJ'!J116=":",0,'Eurostat EB TJ'!J116)</f>
        <v>0</v>
      </c>
      <c r="L109" s="17">
        <f>IF('Eurostat EB TJ'!K116=":",0,'Eurostat EB TJ'!K116)</f>
        <v>0</v>
      </c>
      <c r="M109" s="17">
        <f>IF('Eurostat EB TJ'!L116=":",0,'Eurostat EB TJ'!L116)</f>
        <v>0</v>
      </c>
      <c r="N109" s="17">
        <f>IF('Eurostat EB TJ'!M116=":",0,'Eurostat EB TJ'!M116)</f>
        <v>0</v>
      </c>
      <c r="O109" s="17">
        <f>IF('Eurostat EB TJ'!N116=":",0,'Eurostat EB TJ'!N116)</f>
        <v>11186.406000000001</v>
      </c>
      <c r="P109" s="17">
        <f>IF('Eurostat EB TJ'!O116=":",0,'Eurostat EB TJ'!O116)</f>
        <v>6393.5039999999999</v>
      </c>
      <c r="Q109" s="17">
        <f>IF('Eurostat EB TJ'!P116=":",0,'Eurostat EB TJ'!P116)</f>
        <v>0</v>
      </c>
      <c r="R109" s="17">
        <f>IF('Eurostat EB TJ'!Q116=":",0,'Eurostat EB TJ'!Q116)</f>
        <v>4792.902</v>
      </c>
      <c r="S109" s="17">
        <f>IF('Eurostat EB TJ'!R116=":",0,'Eurostat EB TJ'!R116)</f>
        <v>0</v>
      </c>
      <c r="T109" s="17">
        <f>IF('Eurostat EB TJ'!S116=":",0,'Eurostat EB TJ'!S116)</f>
        <v>0</v>
      </c>
      <c r="U109" s="17">
        <f>IF('Eurostat EB TJ'!T116=":",0,'Eurostat EB TJ'!T116)</f>
        <v>0</v>
      </c>
      <c r="V109" s="17">
        <f>IF('Eurostat EB TJ'!U116=":",0,'Eurostat EB TJ'!U116)</f>
        <v>0</v>
      </c>
      <c r="W109" s="17">
        <f>IF('Eurostat EB TJ'!V116=":",0,'Eurostat EB TJ'!V116)</f>
        <v>0</v>
      </c>
      <c r="X109" s="17">
        <f>IF('Eurostat EB TJ'!W116=":",0,'Eurostat EB TJ'!W116)</f>
        <v>176097.43599999999</v>
      </c>
      <c r="Y109" s="17">
        <f>IF('Eurostat EB TJ'!X116=":",0,'Eurostat EB TJ'!X116)</f>
        <v>125825.645</v>
      </c>
      <c r="Z109" s="17">
        <f>IF('Eurostat EB TJ'!Y116=":",0,'Eurostat EB TJ'!Y116)</f>
        <v>0</v>
      </c>
      <c r="AA109" s="17">
        <f>IF('Eurostat EB TJ'!Z116=":",0,'Eurostat EB TJ'!Z116)</f>
        <v>0</v>
      </c>
      <c r="AB109" s="17">
        <f>IF('Eurostat EB TJ'!AA116=":",0,'Eurostat EB TJ'!AA116)</f>
        <v>0</v>
      </c>
      <c r="AC109" s="17">
        <f>IF('Eurostat EB TJ'!AB116=":",0,'Eurostat EB TJ'!AB116)</f>
        <v>0</v>
      </c>
      <c r="AD109" s="17">
        <f>IF('Eurostat EB TJ'!AC116=":",0,'Eurostat EB TJ'!AC116)</f>
        <v>0</v>
      </c>
      <c r="AE109" s="17">
        <f>IF('Eurostat EB TJ'!AD116=":",0,'Eurostat EB TJ'!AD116)</f>
        <v>103516.201</v>
      </c>
      <c r="AF109" s="17">
        <f>IF('Eurostat EB TJ'!AE116=":",0,'Eurostat EB TJ'!AE116)</f>
        <v>0</v>
      </c>
      <c r="AG109" s="17">
        <f>IF('Eurostat EB TJ'!AF116=":",0,'Eurostat EB TJ'!AF116)</f>
        <v>730.46299999999997</v>
      </c>
      <c r="AH109" s="17">
        <f>IF('Eurostat EB TJ'!AG116=":",0,'Eurostat EB TJ'!AG116)</f>
        <v>0</v>
      </c>
      <c r="AI109" s="17">
        <f>IF('Eurostat EB TJ'!AH116=":",0,'Eurostat EB TJ'!AH116)</f>
        <v>0</v>
      </c>
      <c r="AJ109" s="17">
        <f>IF('Eurostat EB TJ'!AI116=":",0,'Eurostat EB TJ'!AI116)</f>
        <v>259.90699999999998</v>
      </c>
      <c r="AK109" s="17">
        <f>IF('Eurostat EB TJ'!AJ116=":",0,'Eurostat EB TJ'!AJ116)</f>
        <v>0</v>
      </c>
      <c r="AL109" s="17">
        <f>IF('Eurostat EB TJ'!AK116=":",0,'Eurostat EB TJ'!AK116)</f>
        <v>0</v>
      </c>
      <c r="AM109" s="17">
        <f>IF('Eurostat EB TJ'!AL116=":",0,'Eurostat EB TJ'!AL116)</f>
        <v>1.897</v>
      </c>
      <c r="AN109" s="17">
        <f>IF('Eurostat EB TJ'!AM116=":",0,'Eurostat EB TJ'!AM116)</f>
        <v>20604.415000000001</v>
      </c>
      <c r="AO109" s="17">
        <f>IF('Eurostat EB TJ'!AN116=":",0,'Eurostat EB TJ'!AN116)</f>
        <v>0</v>
      </c>
      <c r="AP109" s="17">
        <f>IF('Eurostat EB TJ'!AO116=":",0,'Eurostat EB TJ'!AO116)</f>
        <v>0</v>
      </c>
      <c r="AQ109" s="17">
        <f>IF('Eurostat EB TJ'!AP116=":",0,'Eurostat EB TJ'!AP116)</f>
        <v>0</v>
      </c>
      <c r="AR109" s="17">
        <f>IF('Eurostat EB TJ'!AQ116=":",0,'Eurostat EB TJ'!AQ116)</f>
        <v>0</v>
      </c>
      <c r="AS109" s="17">
        <f>IF('Eurostat EB TJ'!AR116=":",0,'Eurostat EB TJ'!AR116)</f>
        <v>64.194999999999993</v>
      </c>
      <c r="AT109" s="17">
        <f>IF('Eurostat EB TJ'!AS116=":",0,'Eurostat EB TJ'!AS116)</f>
        <v>0</v>
      </c>
      <c r="AU109" s="17">
        <f>IF('Eurostat EB TJ'!AT116=":",0,'Eurostat EB TJ'!AT116)</f>
        <v>648.56700000000001</v>
      </c>
      <c r="AV109" s="17">
        <f>IF('Eurostat EB TJ'!AU116=":",0,'Eurostat EB TJ'!AU116)</f>
        <v>6459.3069999999998</v>
      </c>
      <c r="AW109" s="17">
        <f>IF('Eurostat EB TJ'!AV116=":",0,'Eurostat EB TJ'!AV116)</f>
        <v>0</v>
      </c>
      <c r="AX109" s="17">
        <f>IF('Eurostat EB TJ'!AW116=":",0,'Eurostat EB TJ'!AW116)</f>
        <v>0</v>
      </c>
      <c r="AY109" s="17">
        <f>IF('Eurostat EB TJ'!AX116=":",0,'Eurostat EB TJ'!AX116)</f>
        <v>0</v>
      </c>
      <c r="AZ109" s="17">
        <f>IF('Eurostat EB TJ'!AY116=":",0,'Eurostat EB TJ'!AY116)</f>
        <v>0</v>
      </c>
      <c r="BA109" s="17">
        <f>IF('Eurostat EB TJ'!AZ116=":",0,'Eurostat EB TJ'!AZ116)</f>
        <v>0</v>
      </c>
      <c r="BB109" s="17">
        <f>IF('Eurostat EB TJ'!BA116=":",0,'Eurostat EB TJ'!BA116)</f>
        <v>0</v>
      </c>
      <c r="BC109" s="17">
        <f>IF('Eurostat EB TJ'!BB116=":",0,'Eurostat EB TJ'!BB116)</f>
        <v>0</v>
      </c>
      <c r="BD109" s="17">
        <f>IF('Eurostat EB TJ'!BC116=":",0,'Eurostat EB TJ'!BC116)</f>
        <v>3043.9540000000002</v>
      </c>
      <c r="BE109" s="17">
        <f>IF('Eurostat EB TJ'!BD116=":",0,'Eurostat EB TJ'!BD116)</f>
        <v>0</v>
      </c>
      <c r="BF109" s="17">
        <f>IF('Eurostat EB TJ'!BE116=":",0,'Eurostat EB TJ'!BE116)</f>
        <v>0</v>
      </c>
      <c r="BG109" s="17">
        <f>IF('Eurostat EB TJ'!BF116=":",0,'Eurostat EB TJ'!BF116)</f>
        <v>0</v>
      </c>
      <c r="BH109" s="17">
        <f>IF('Eurostat EB TJ'!BG116=":",0,'Eurostat EB TJ'!BG116)</f>
        <v>0</v>
      </c>
      <c r="BI109" s="17">
        <f>IF('Eurostat EB TJ'!BH116=":",0,'Eurostat EB TJ'!BH116)</f>
        <v>1414.422</v>
      </c>
      <c r="BJ109" s="17">
        <f>IF('Eurostat EB TJ'!BI116=":",0,'Eurostat EB TJ'!BI116)</f>
        <v>0</v>
      </c>
      <c r="BK109" s="17">
        <f>IF('Eurostat EB TJ'!BJ116=":",0,'Eurostat EB TJ'!BJ116)</f>
        <v>0</v>
      </c>
      <c r="BL109" s="17">
        <f>IF('Eurostat EB TJ'!BK116=":",0,'Eurostat EB TJ'!BK116)</f>
        <v>272.16000000000003</v>
      </c>
      <c r="BM109" s="17">
        <f>IF('Eurostat EB TJ'!BL116=":",0,'Eurostat EB TJ'!BL116)</f>
        <v>1728.771</v>
      </c>
      <c r="BN109" s="17">
        <f>IF('Eurostat EB TJ'!BM116=":",0,'Eurostat EB TJ'!BM116)</f>
        <v>592.08699999999999</v>
      </c>
      <c r="BO109" s="17">
        <f>IF('Eurostat EB TJ'!BN116=":",0,'Eurostat EB TJ'!BN116)</f>
        <v>0</v>
      </c>
      <c r="BP109" s="17">
        <f>IF('Eurostat EB TJ'!BO116=":",0,'Eurostat EB TJ'!BO116)</f>
        <v>0</v>
      </c>
      <c r="BQ109" s="17">
        <f>IF('Eurostat EB TJ'!BP116=":",0,'Eurostat EB TJ'!BP116)</f>
        <v>592.08699999999999</v>
      </c>
      <c r="BR109" s="17">
        <f>IF('Eurostat EB TJ'!BQ116=":",0,'Eurostat EB TJ'!BQ116)</f>
        <v>0</v>
      </c>
      <c r="BS109" s="17">
        <f>IF('Eurostat EB TJ'!BR116=":",0,'Eurostat EB TJ'!BR116)</f>
        <v>115158.823</v>
      </c>
      <c r="BT109" s="17">
        <f>IF('Eurostat EB TJ'!BS116=":",0,'Eurostat EB TJ'!BS116)</f>
        <v>47883.012999999999</v>
      </c>
      <c r="BU109" s="17">
        <f>IF('Eurostat EB TJ'!BT116=":",0,'Eurostat EB TJ'!BT116)</f>
        <v>26440.892</v>
      </c>
      <c r="BV109" s="17">
        <f>IF('Eurostat EB TJ'!BU116=":",0,'Eurostat EB TJ'!BU116)</f>
        <v>405638.77600000001</v>
      </c>
    </row>
    <row r="110" spans="1:74" x14ac:dyDescent="0.2">
      <c r="A110" s="56" t="s">
        <v>288</v>
      </c>
      <c r="B110" s="57"/>
      <c r="C110" s="57">
        <f>IF('Eurostat EB TJ'!B117=":",0,'Eurostat EB TJ'!B117)</f>
        <v>28445.046999999999</v>
      </c>
      <c r="D110" s="57">
        <f>IF('Eurostat EB TJ'!C117=":",0,'Eurostat EB TJ'!C117)</f>
        <v>2965.098</v>
      </c>
      <c r="E110" s="57">
        <f>IF('Eurostat EB TJ'!D117=":",0,'Eurostat EB TJ'!D117)</f>
        <v>0</v>
      </c>
      <c r="F110" s="57">
        <f>IF('Eurostat EB TJ'!E117=":",0,'Eurostat EB TJ'!E117)</f>
        <v>34.386000000000003</v>
      </c>
      <c r="G110" s="57">
        <f>IF('Eurostat EB TJ'!F117=":",0,'Eurostat EB TJ'!F117)</f>
        <v>0</v>
      </c>
      <c r="H110" s="57">
        <f>IF('Eurostat EB TJ'!G117=":",0,'Eurostat EB TJ'!G117)</f>
        <v>0</v>
      </c>
      <c r="I110" s="57">
        <f>IF('Eurostat EB TJ'!H117=":",0,'Eurostat EB TJ'!H117)</f>
        <v>0</v>
      </c>
      <c r="J110" s="57">
        <f>IF('Eurostat EB TJ'!I117=":",0,'Eurostat EB TJ'!I117)</f>
        <v>2930.712</v>
      </c>
      <c r="K110" s="57">
        <f>IF('Eurostat EB TJ'!J117=":",0,'Eurostat EB TJ'!J117)</f>
        <v>0</v>
      </c>
      <c r="L110" s="57">
        <f>IF('Eurostat EB TJ'!K117=":",0,'Eurostat EB TJ'!K117)</f>
        <v>0</v>
      </c>
      <c r="M110" s="57">
        <f>IF('Eurostat EB TJ'!L117=":",0,'Eurostat EB TJ'!L117)</f>
        <v>0</v>
      </c>
      <c r="N110" s="57">
        <f>IF('Eurostat EB TJ'!M117=":",0,'Eurostat EB TJ'!M117)</f>
        <v>0</v>
      </c>
      <c r="O110" s="57">
        <f>IF('Eurostat EB TJ'!N117=":",0,'Eurostat EB TJ'!N117)</f>
        <v>11186.406000000001</v>
      </c>
      <c r="P110" s="57">
        <f>IF('Eurostat EB TJ'!O117=":",0,'Eurostat EB TJ'!O117)</f>
        <v>6393.5039999999999</v>
      </c>
      <c r="Q110" s="57">
        <f>IF('Eurostat EB TJ'!P117=":",0,'Eurostat EB TJ'!P117)</f>
        <v>0</v>
      </c>
      <c r="R110" s="57">
        <f>IF('Eurostat EB TJ'!Q117=":",0,'Eurostat EB TJ'!Q117)</f>
        <v>4792.902</v>
      </c>
      <c r="S110" s="57">
        <f>IF('Eurostat EB TJ'!R117=":",0,'Eurostat EB TJ'!R117)</f>
        <v>0</v>
      </c>
      <c r="T110" s="57">
        <f>IF('Eurostat EB TJ'!S117=":",0,'Eurostat EB TJ'!S117)</f>
        <v>0</v>
      </c>
      <c r="U110" s="57">
        <f>IF('Eurostat EB TJ'!T117=":",0,'Eurostat EB TJ'!T117)</f>
        <v>0</v>
      </c>
      <c r="V110" s="57">
        <f>IF('Eurostat EB TJ'!U117=":",0,'Eurostat EB TJ'!U117)</f>
        <v>0</v>
      </c>
      <c r="W110" s="57">
        <f>IF('Eurostat EB TJ'!V117=":",0,'Eurostat EB TJ'!V117)</f>
        <v>0</v>
      </c>
      <c r="X110" s="57">
        <f>IF('Eurostat EB TJ'!W117=":",0,'Eurostat EB TJ'!W117)</f>
        <v>7183.5</v>
      </c>
      <c r="Y110" s="57">
        <f>IF('Eurostat EB TJ'!X117=":",0,'Eurostat EB TJ'!X117)</f>
        <v>204.57400000000001</v>
      </c>
      <c r="Z110" s="57">
        <f>IF('Eurostat EB TJ'!Y117=":",0,'Eurostat EB TJ'!Y117)</f>
        <v>0</v>
      </c>
      <c r="AA110" s="57">
        <f>IF('Eurostat EB TJ'!Z117=":",0,'Eurostat EB TJ'!Z117)</f>
        <v>0</v>
      </c>
      <c r="AB110" s="57">
        <f>IF('Eurostat EB TJ'!AA117=":",0,'Eurostat EB TJ'!AA117)</f>
        <v>0</v>
      </c>
      <c r="AC110" s="57">
        <f>IF('Eurostat EB TJ'!AB117=":",0,'Eurostat EB TJ'!AB117)</f>
        <v>0</v>
      </c>
      <c r="AD110" s="57">
        <f>IF('Eurostat EB TJ'!AC117=":",0,'Eurostat EB TJ'!AC117)</f>
        <v>0</v>
      </c>
      <c r="AE110" s="57">
        <f>IF('Eurostat EB TJ'!AD117=":",0,'Eurostat EB TJ'!AD117)</f>
        <v>0</v>
      </c>
      <c r="AF110" s="57">
        <f>IF('Eurostat EB TJ'!AE117=":",0,'Eurostat EB TJ'!AE117)</f>
        <v>0</v>
      </c>
      <c r="AG110" s="57">
        <f>IF('Eurostat EB TJ'!AF117=":",0,'Eurostat EB TJ'!AF117)</f>
        <v>33.308</v>
      </c>
      <c r="AH110" s="57">
        <f>IF('Eurostat EB TJ'!AG117=":",0,'Eurostat EB TJ'!AG117)</f>
        <v>0</v>
      </c>
      <c r="AI110" s="57">
        <f>IF('Eurostat EB TJ'!AH117=":",0,'Eurostat EB TJ'!AH117)</f>
        <v>0</v>
      </c>
      <c r="AJ110" s="57">
        <f>IF('Eurostat EB TJ'!AI117=":",0,'Eurostat EB TJ'!AI117)</f>
        <v>0</v>
      </c>
      <c r="AK110" s="57">
        <f>IF('Eurostat EB TJ'!AJ117=":",0,'Eurostat EB TJ'!AJ117)</f>
        <v>0</v>
      </c>
      <c r="AL110" s="57">
        <f>IF('Eurostat EB TJ'!AK117=":",0,'Eurostat EB TJ'!AK117)</f>
        <v>0</v>
      </c>
      <c r="AM110" s="57">
        <f>IF('Eurostat EB TJ'!AL117=":",0,'Eurostat EB TJ'!AL117)</f>
        <v>0</v>
      </c>
      <c r="AN110" s="57">
        <f>IF('Eurostat EB TJ'!AM117=":",0,'Eurostat EB TJ'!AM117)</f>
        <v>104.83199999999999</v>
      </c>
      <c r="AO110" s="57">
        <f>IF('Eurostat EB TJ'!AN117=":",0,'Eurostat EB TJ'!AN117)</f>
        <v>0</v>
      </c>
      <c r="AP110" s="57">
        <f>IF('Eurostat EB TJ'!AO117=":",0,'Eurostat EB TJ'!AO117)</f>
        <v>0</v>
      </c>
      <c r="AQ110" s="57">
        <f>IF('Eurostat EB TJ'!AP117=":",0,'Eurostat EB TJ'!AP117)</f>
        <v>0</v>
      </c>
      <c r="AR110" s="57">
        <f>IF('Eurostat EB TJ'!AQ117=":",0,'Eurostat EB TJ'!AQ117)</f>
        <v>0</v>
      </c>
      <c r="AS110" s="57">
        <f>IF('Eurostat EB TJ'!AR117=":",0,'Eurostat EB TJ'!AR117)</f>
        <v>64.194999999999993</v>
      </c>
      <c r="AT110" s="57">
        <f>IF('Eurostat EB TJ'!AS117=":",0,'Eurostat EB TJ'!AS117)</f>
        <v>0</v>
      </c>
      <c r="AU110" s="57">
        <f>IF('Eurostat EB TJ'!AT117=":",0,'Eurostat EB TJ'!AT117)</f>
        <v>2.2389999999999999</v>
      </c>
      <c r="AV110" s="57">
        <f>IF('Eurostat EB TJ'!AU117=":",0,'Eurostat EB TJ'!AU117)</f>
        <v>0</v>
      </c>
      <c r="AW110" s="57">
        <f>IF('Eurostat EB TJ'!AV117=":",0,'Eurostat EB TJ'!AV117)</f>
        <v>0</v>
      </c>
      <c r="AX110" s="57">
        <f>IF('Eurostat EB TJ'!AW117=":",0,'Eurostat EB TJ'!AW117)</f>
        <v>0</v>
      </c>
      <c r="AY110" s="57">
        <f>IF('Eurostat EB TJ'!AX117=":",0,'Eurostat EB TJ'!AX117)</f>
        <v>0</v>
      </c>
      <c r="AZ110" s="57">
        <f>IF('Eurostat EB TJ'!AY117=":",0,'Eurostat EB TJ'!AY117)</f>
        <v>0</v>
      </c>
      <c r="BA110" s="57">
        <f>IF('Eurostat EB TJ'!AZ117=":",0,'Eurostat EB TJ'!AZ117)</f>
        <v>0</v>
      </c>
      <c r="BB110" s="57">
        <f>IF('Eurostat EB TJ'!BA117=":",0,'Eurostat EB TJ'!BA117)</f>
        <v>0</v>
      </c>
      <c r="BC110" s="57">
        <f>IF('Eurostat EB TJ'!BB117=":",0,'Eurostat EB TJ'!BB117)</f>
        <v>0</v>
      </c>
      <c r="BD110" s="57">
        <f>IF('Eurostat EB TJ'!BC117=":",0,'Eurostat EB TJ'!BC117)</f>
        <v>0</v>
      </c>
      <c r="BE110" s="57">
        <f>IF('Eurostat EB TJ'!BD117=":",0,'Eurostat EB TJ'!BD117)</f>
        <v>0</v>
      </c>
      <c r="BF110" s="57">
        <f>IF('Eurostat EB TJ'!BE117=":",0,'Eurostat EB TJ'!BE117)</f>
        <v>0</v>
      </c>
      <c r="BG110" s="57">
        <f>IF('Eurostat EB TJ'!BF117=":",0,'Eurostat EB TJ'!BF117)</f>
        <v>0</v>
      </c>
      <c r="BH110" s="57">
        <f>IF('Eurostat EB TJ'!BG117=":",0,'Eurostat EB TJ'!BG117)</f>
        <v>0</v>
      </c>
      <c r="BI110" s="57">
        <f>IF('Eurostat EB TJ'!BH117=":",0,'Eurostat EB TJ'!BH117)</f>
        <v>0</v>
      </c>
      <c r="BJ110" s="57">
        <f>IF('Eurostat EB TJ'!BI117=":",0,'Eurostat EB TJ'!BI117)</f>
        <v>0</v>
      </c>
      <c r="BK110" s="57">
        <f>IF('Eurostat EB TJ'!BJ117=":",0,'Eurostat EB TJ'!BJ117)</f>
        <v>0</v>
      </c>
      <c r="BL110" s="57">
        <f>IF('Eurostat EB TJ'!BK117=":",0,'Eurostat EB TJ'!BK117)</f>
        <v>0</v>
      </c>
      <c r="BM110" s="57">
        <f>IF('Eurostat EB TJ'!BL117=":",0,'Eurostat EB TJ'!BL117)</f>
        <v>0</v>
      </c>
      <c r="BN110" s="57">
        <f>IF('Eurostat EB TJ'!BM117=":",0,'Eurostat EB TJ'!BM117)</f>
        <v>0</v>
      </c>
      <c r="BO110" s="57">
        <f>IF('Eurostat EB TJ'!BN117=":",0,'Eurostat EB TJ'!BN117)</f>
        <v>0</v>
      </c>
      <c r="BP110" s="57">
        <f>IF('Eurostat EB TJ'!BO117=":",0,'Eurostat EB TJ'!BO117)</f>
        <v>0</v>
      </c>
      <c r="BQ110" s="57">
        <f>IF('Eurostat EB TJ'!BP117=":",0,'Eurostat EB TJ'!BP117)</f>
        <v>0</v>
      </c>
      <c r="BR110" s="57">
        <f>IF('Eurostat EB TJ'!BQ117=":",0,'Eurostat EB TJ'!BQ117)</f>
        <v>0</v>
      </c>
      <c r="BS110" s="57">
        <f>IF('Eurostat EB TJ'!BR117=":",0,'Eurostat EB TJ'!BR117)</f>
        <v>6857.442</v>
      </c>
      <c r="BT110" s="57">
        <f>IF('Eurostat EB TJ'!BS117=":",0,'Eurostat EB TJ'!BS117)</f>
        <v>48.027000000000001</v>
      </c>
      <c r="BU110" s="57">
        <f>IF('Eurostat EB TJ'!BT117=":",0,'Eurostat EB TJ'!BT117)</f>
        <v>540.65099999999995</v>
      </c>
      <c r="BV110" s="57">
        <f>IF('Eurostat EB TJ'!BU117=":",0,'Eurostat EB TJ'!BU117)</f>
        <v>24863.596000000001</v>
      </c>
    </row>
    <row r="111" spans="1:74" x14ac:dyDescent="0.2">
      <c r="A111" s="56" t="s">
        <v>289</v>
      </c>
      <c r="B111" s="17"/>
      <c r="C111" s="17">
        <f>IF('Eurostat EB TJ'!B118=":",0,'Eurostat EB TJ'!B118)</f>
        <v>262145.81599999999</v>
      </c>
      <c r="D111" s="17">
        <f>IF('Eurostat EB TJ'!C118=":",0,'Eurostat EB TJ'!C118)</f>
        <v>0</v>
      </c>
      <c r="E111" s="17">
        <f>IF('Eurostat EB TJ'!D118=":",0,'Eurostat EB TJ'!D118)</f>
        <v>0</v>
      </c>
      <c r="F111" s="17">
        <f>IF('Eurostat EB TJ'!E118=":",0,'Eurostat EB TJ'!E118)</f>
        <v>0</v>
      </c>
      <c r="G111" s="17">
        <f>IF('Eurostat EB TJ'!F118=":",0,'Eurostat EB TJ'!F118)</f>
        <v>0</v>
      </c>
      <c r="H111" s="17">
        <f>IF('Eurostat EB TJ'!G118=":",0,'Eurostat EB TJ'!G118)</f>
        <v>0</v>
      </c>
      <c r="I111" s="17">
        <f>IF('Eurostat EB TJ'!H118=":",0,'Eurostat EB TJ'!H118)</f>
        <v>0</v>
      </c>
      <c r="J111" s="17">
        <f>IF('Eurostat EB TJ'!I118=":",0,'Eurostat EB TJ'!I118)</f>
        <v>0</v>
      </c>
      <c r="K111" s="17">
        <f>IF('Eurostat EB TJ'!J118=":",0,'Eurostat EB TJ'!J118)</f>
        <v>0</v>
      </c>
      <c r="L111" s="17">
        <f>IF('Eurostat EB TJ'!K118=":",0,'Eurostat EB TJ'!K118)</f>
        <v>0</v>
      </c>
      <c r="M111" s="17">
        <f>IF('Eurostat EB TJ'!L118=":",0,'Eurostat EB TJ'!L118)</f>
        <v>0</v>
      </c>
      <c r="N111" s="17">
        <f>IF('Eurostat EB TJ'!M118=":",0,'Eurostat EB TJ'!M118)</f>
        <v>0</v>
      </c>
      <c r="O111" s="17">
        <f>IF('Eurostat EB TJ'!N118=":",0,'Eurostat EB TJ'!N118)</f>
        <v>0</v>
      </c>
      <c r="P111" s="17">
        <f>IF('Eurostat EB TJ'!O118=":",0,'Eurostat EB TJ'!O118)</f>
        <v>0</v>
      </c>
      <c r="Q111" s="17">
        <f>IF('Eurostat EB TJ'!P118=":",0,'Eurostat EB TJ'!P118)</f>
        <v>0</v>
      </c>
      <c r="R111" s="17">
        <f>IF('Eurostat EB TJ'!Q118=":",0,'Eurostat EB TJ'!Q118)</f>
        <v>0</v>
      </c>
      <c r="S111" s="17">
        <f>IF('Eurostat EB TJ'!R118=":",0,'Eurostat EB TJ'!R118)</f>
        <v>0</v>
      </c>
      <c r="T111" s="17">
        <f>IF('Eurostat EB TJ'!S118=":",0,'Eurostat EB TJ'!S118)</f>
        <v>0</v>
      </c>
      <c r="U111" s="17">
        <f>IF('Eurostat EB TJ'!T118=":",0,'Eurostat EB TJ'!T118)</f>
        <v>0</v>
      </c>
      <c r="V111" s="17">
        <f>IF('Eurostat EB TJ'!U118=":",0,'Eurostat EB TJ'!U118)</f>
        <v>0</v>
      </c>
      <c r="W111" s="17">
        <f>IF('Eurostat EB TJ'!V118=":",0,'Eurostat EB TJ'!V118)</f>
        <v>0</v>
      </c>
      <c r="X111" s="17">
        <f>IF('Eurostat EB TJ'!W118=":",0,'Eurostat EB TJ'!W118)</f>
        <v>70345.629000000001</v>
      </c>
      <c r="Y111" s="17">
        <f>IF('Eurostat EB TJ'!X118=":",0,'Eurostat EB TJ'!X118)</f>
        <v>104277.641</v>
      </c>
      <c r="Z111" s="17">
        <f>IF('Eurostat EB TJ'!Y118=":",0,'Eurostat EB TJ'!Y118)</f>
        <v>0</v>
      </c>
      <c r="AA111" s="17">
        <f>IF('Eurostat EB TJ'!Z118=":",0,'Eurostat EB TJ'!Z118)</f>
        <v>0</v>
      </c>
      <c r="AB111" s="17">
        <f>IF('Eurostat EB TJ'!AA118=":",0,'Eurostat EB TJ'!AA118)</f>
        <v>0</v>
      </c>
      <c r="AC111" s="17">
        <f>IF('Eurostat EB TJ'!AB118=":",0,'Eurostat EB TJ'!AB118)</f>
        <v>0</v>
      </c>
      <c r="AD111" s="17">
        <f>IF('Eurostat EB TJ'!AC118=":",0,'Eurostat EB TJ'!AC118)</f>
        <v>0</v>
      </c>
      <c r="AE111" s="17">
        <f>IF('Eurostat EB TJ'!AD118=":",0,'Eurostat EB TJ'!AD118)</f>
        <v>103516.201</v>
      </c>
      <c r="AF111" s="17">
        <f>IF('Eurostat EB TJ'!AE118=":",0,'Eurostat EB TJ'!AE118)</f>
        <v>0</v>
      </c>
      <c r="AG111" s="17">
        <f>IF('Eurostat EB TJ'!AF118=":",0,'Eurostat EB TJ'!AF118)</f>
        <v>40.945</v>
      </c>
      <c r="AH111" s="17">
        <f>IF('Eurostat EB TJ'!AG118=":",0,'Eurostat EB TJ'!AG118)</f>
        <v>0</v>
      </c>
      <c r="AI111" s="17">
        <f>IF('Eurostat EB TJ'!AH118=":",0,'Eurostat EB TJ'!AH118)</f>
        <v>0</v>
      </c>
      <c r="AJ111" s="17">
        <f>IF('Eurostat EB TJ'!AI118=":",0,'Eurostat EB TJ'!AI118)</f>
        <v>0</v>
      </c>
      <c r="AK111" s="17">
        <f>IF('Eurostat EB TJ'!AJ118=":",0,'Eurostat EB TJ'!AJ118)</f>
        <v>0</v>
      </c>
      <c r="AL111" s="17">
        <f>IF('Eurostat EB TJ'!AK118=":",0,'Eurostat EB TJ'!AK118)</f>
        <v>0</v>
      </c>
      <c r="AM111" s="17">
        <f>IF('Eurostat EB TJ'!AL118=":",0,'Eurostat EB TJ'!AL118)</f>
        <v>0</v>
      </c>
      <c r="AN111" s="17">
        <f>IF('Eurostat EB TJ'!AM118=":",0,'Eurostat EB TJ'!AM118)</f>
        <v>75.668999999999997</v>
      </c>
      <c r="AO111" s="17">
        <f>IF('Eurostat EB TJ'!AN118=":",0,'Eurostat EB TJ'!AN118)</f>
        <v>0</v>
      </c>
      <c r="AP111" s="17">
        <f>IF('Eurostat EB TJ'!AO118=":",0,'Eurostat EB TJ'!AO118)</f>
        <v>0</v>
      </c>
      <c r="AQ111" s="17">
        <f>IF('Eurostat EB TJ'!AP118=":",0,'Eurostat EB TJ'!AP118)</f>
        <v>0</v>
      </c>
      <c r="AR111" s="17">
        <f>IF('Eurostat EB TJ'!AQ118=":",0,'Eurostat EB TJ'!AQ118)</f>
        <v>0</v>
      </c>
      <c r="AS111" s="17">
        <f>IF('Eurostat EB TJ'!AR118=":",0,'Eurostat EB TJ'!AR118)</f>
        <v>0</v>
      </c>
      <c r="AT111" s="17">
        <f>IF('Eurostat EB TJ'!AS118=":",0,'Eurostat EB TJ'!AS118)</f>
        <v>0</v>
      </c>
      <c r="AU111" s="17">
        <f>IF('Eurostat EB TJ'!AT118=":",0,'Eurostat EB TJ'!AT118)</f>
        <v>644.82600000000002</v>
      </c>
      <c r="AV111" s="17">
        <f>IF('Eurostat EB TJ'!AU118=":",0,'Eurostat EB TJ'!AU118)</f>
        <v>220.68</v>
      </c>
      <c r="AW111" s="17">
        <f>IF('Eurostat EB TJ'!AV118=":",0,'Eurostat EB TJ'!AV118)</f>
        <v>0</v>
      </c>
      <c r="AX111" s="17">
        <f>IF('Eurostat EB TJ'!AW118=":",0,'Eurostat EB TJ'!AW118)</f>
        <v>0</v>
      </c>
      <c r="AY111" s="17">
        <f>IF('Eurostat EB TJ'!AX118=":",0,'Eurostat EB TJ'!AX118)</f>
        <v>0</v>
      </c>
      <c r="AZ111" s="17">
        <f>IF('Eurostat EB TJ'!AY118=":",0,'Eurostat EB TJ'!AY118)</f>
        <v>0</v>
      </c>
      <c r="BA111" s="17">
        <f>IF('Eurostat EB TJ'!AZ118=":",0,'Eurostat EB TJ'!AZ118)</f>
        <v>0</v>
      </c>
      <c r="BB111" s="17">
        <f>IF('Eurostat EB TJ'!BA118=":",0,'Eurostat EB TJ'!BA118)</f>
        <v>0</v>
      </c>
      <c r="BC111" s="17">
        <f>IF('Eurostat EB TJ'!BB118=":",0,'Eurostat EB TJ'!BB118)</f>
        <v>0</v>
      </c>
      <c r="BD111" s="17">
        <f>IF('Eurostat EB TJ'!BC118=":",0,'Eurostat EB TJ'!BC118)</f>
        <v>0</v>
      </c>
      <c r="BE111" s="17">
        <f>IF('Eurostat EB TJ'!BD118=":",0,'Eurostat EB TJ'!BD118)</f>
        <v>0</v>
      </c>
      <c r="BF111" s="17">
        <f>IF('Eurostat EB TJ'!BE118=":",0,'Eurostat EB TJ'!BE118)</f>
        <v>0</v>
      </c>
      <c r="BG111" s="17">
        <f>IF('Eurostat EB TJ'!BF118=":",0,'Eurostat EB TJ'!BF118)</f>
        <v>0</v>
      </c>
      <c r="BH111" s="17">
        <f>IF('Eurostat EB TJ'!BG118=":",0,'Eurostat EB TJ'!BG118)</f>
        <v>0</v>
      </c>
      <c r="BI111" s="17">
        <f>IF('Eurostat EB TJ'!BH118=":",0,'Eurostat EB TJ'!BH118)</f>
        <v>0</v>
      </c>
      <c r="BJ111" s="17">
        <f>IF('Eurostat EB TJ'!BI118=":",0,'Eurostat EB TJ'!BI118)</f>
        <v>0</v>
      </c>
      <c r="BK111" s="17">
        <f>IF('Eurostat EB TJ'!BJ118=":",0,'Eurostat EB TJ'!BJ118)</f>
        <v>0</v>
      </c>
      <c r="BL111" s="17">
        <f>IF('Eurostat EB TJ'!BK118=":",0,'Eurostat EB TJ'!BK118)</f>
        <v>220.68</v>
      </c>
      <c r="BM111" s="17">
        <f>IF('Eurostat EB TJ'!BL118=":",0,'Eurostat EB TJ'!BL118)</f>
        <v>0</v>
      </c>
      <c r="BN111" s="17">
        <f>IF('Eurostat EB TJ'!BM118=":",0,'Eurostat EB TJ'!BM118)</f>
        <v>405.91800000000001</v>
      </c>
      <c r="BO111" s="17">
        <f>IF('Eurostat EB TJ'!BN118=":",0,'Eurostat EB TJ'!BN118)</f>
        <v>0</v>
      </c>
      <c r="BP111" s="17">
        <f>IF('Eurostat EB TJ'!BO118=":",0,'Eurostat EB TJ'!BO118)</f>
        <v>0</v>
      </c>
      <c r="BQ111" s="17">
        <f>IF('Eurostat EB TJ'!BP118=":",0,'Eurostat EB TJ'!BP118)</f>
        <v>405.91800000000001</v>
      </c>
      <c r="BR111" s="17">
        <f>IF('Eurostat EB TJ'!BQ118=":",0,'Eurostat EB TJ'!BQ118)</f>
        <v>0</v>
      </c>
      <c r="BS111" s="17">
        <f>IF('Eurostat EB TJ'!BR118=":",0,'Eurostat EB TJ'!BR118)</f>
        <v>43191.173000000003</v>
      </c>
      <c r="BT111" s="17">
        <f>IF('Eurostat EB TJ'!BS118=":",0,'Eurostat EB TJ'!BS118)</f>
        <v>43704.775000000001</v>
      </c>
      <c r="BU111" s="17">
        <f>IF('Eurostat EB TJ'!BT118=":",0,'Eurostat EB TJ'!BT118)</f>
        <v>13410.675999999999</v>
      </c>
      <c r="BV111" s="17">
        <f>IF('Eurostat EB TJ'!BU118=":",0,'Eurostat EB TJ'!BU118)</f>
        <v>225846.81700000001</v>
      </c>
    </row>
    <row r="112" spans="1:74" x14ac:dyDescent="0.2">
      <c r="A112" s="56" t="s">
        <v>290</v>
      </c>
      <c r="B112" s="57"/>
      <c r="C112" s="57">
        <f>IF('Eurostat EB TJ'!B119=":",0,'Eurostat EB TJ'!B119)</f>
        <v>5653.9009999999998</v>
      </c>
      <c r="D112" s="57">
        <f>IF('Eurostat EB TJ'!C119=":",0,'Eurostat EB TJ'!C119)</f>
        <v>0</v>
      </c>
      <c r="E112" s="57">
        <f>IF('Eurostat EB TJ'!D119=":",0,'Eurostat EB TJ'!D119)</f>
        <v>0</v>
      </c>
      <c r="F112" s="57">
        <f>IF('Eurostat EB TJ'!E119=":",0,'Eurostat EB TJ'!E119)</f>
        <v>0</v>
      </c>
      <c r="G112" s="57">
        <f>IF('Eurostat EB TJ'!F119=":",0,'Eurostat EB TJ'!F119)</f>
        <v>0</v>
      </c>
      <c r="H112" s="57">
        <f>IF('Eurostat EB TJ'!G119=":",0,'Eurostat EB TJ'!G119)</f>
        <v>0</v>
      </c>
      <c r="I112" s="57">
        <f>IF('Eurostat EB TJ'!H119=":",0,'Eurostat EB TJ'!H119)</f>
        <v>0</v>
      </c>
      <c r="J112" s="57">
        <f>IF('Eurostat EB TJ'!I119=":",0,'Eurostat EB TJ'!I119)</f>
        <v>0</v>
      </c>
      <c r="K112" s="57">
        <f>IF('Eurostat EB TJ'!J119=":",0,'Eurostat EB TJ'!J119)</f>
        <v>0</v>
      </c>
      <c r="L112" s="57">
        <f>IF('Eurostat EB TJ'!K119=":",0,'Eurostat EB TJ'!K119)</f>
        <v>0</v>
      </c>
      <c r="M112" s="57">
        <f>IF('Eurostat EB TJ'!L119=":",0,'Eurostat EB TJ'!L119)</f>
        <v>0</v>
      </c>
      <c r="N112" s="57">
        <f>IF('Eurostat EB TJ'!M119=":",0,'Eurostat EB TJ'!M119)</f>
        <v>0</v>
      </c>
      <c r="O112" s="57">
        <f>IF('Eurostat EB TJ'!N119=":",0,'Eurostat EB TJ'!N119)</f>
        <v>0</v>
      </c>
      <c r="P112" s="57">
        <f>IF('Eurostat EB TJ'!O119=":",0,'Eurostat EB TJ'!O119)</f>
        <v>0</v>
      </c>
      <c r="Q112" s="57">
        <f>IF('Eurostat EB TJ'!P119=":",0,'Eurostat EB TJ'!P119)</f>
        <v>0</v>
      </c>
      <c r="R112" s="57">
        <f>IF('Eurostat EB TJ'!Q119=":",0,'Eurostat EB TJ'!Q119)</f>
        <v>0</v>
      </c>
      <c r="S112" s="57">
        <f>IF('Eurostat EB TJ'!R119=":",0,'Eurostat EB TJ'!R119)</f>
        <v>0</v>
      </c>
      <c r="T112" s="57">
        <f>IF('Eurostat EB TJ'!S119=":",0,'Eurostat EB TJ'!S119)</f>
        <v>0</v>
      </c>
      <c r="U112" s="57">
        <f>IF('Eurostat EB TJ'!T119=":",0,'Eurostat EB TJ'!T119)</f>
        <v>0</v>
      </c>
      <c r="V112" s="57">
        <f>IF('Eurostat EB TJ'!U119=":",0,'Eurostat EB TJ'!U119)</f>
        <v>0</v>
      </c>
      <c r="W112" s="57">
        <f>IF('Eurostat EB TJ'!V119=":",0,'Eurostat EB TJ'!V119)</f>
        <v>0</v>
      </c>
      <c r="X112" s="57">
        <f>IF('Eurostat EB TJ'!W119=":",0,'Eurostat EB TJ'!W119)</f>
        <v>1821.0119999999999</v>
      </c>
      <c r="Y112" s="57">
        <f>IF('Eurostat EB TJ'!X119=":",0,'Eurostat EB TJ'!X119)</f>
        <v>46.515999999999998</v>
      </c>
      <c r="Z112" s="57">
        <f>IF('Eurostat EB TJ'!Y119=":",0,'Eurostat EB TJ'!Y119)</f>
        <v>0</v>
      </c>
      <c r="AA112" s="57">
        <f>IF('Eurostat EB TJ'!Z119=":",0,'Eurostat EB TJ'!Z119)</f>
        <v>0</v>
      </c>
      <c r="AB112" s="57">
        <f>IF('Eurostat EB TJ'!AA119=":",0,'Eurostat EB TJ'!AA119)</f>
        <v>0</v>
      </c>
      <c r="AC112" s="57">
        <f>IF('Eurostat EB TJ'!AB119=":",0,'Eurostat EB TJ'!AB119)</f>
        <v>0</v>
      </c>
      <c r="AD112" s="57">
        <f>IF('Eurostat EB TJ'!AC119=":",0,'Eurostat EB TJ'!AC119)</f>
        <v>0</v>
      </c>
      <c r="AE112" s="57">
        <f>IF('Eurostat EB TJ'!AD119=":",0,'Eurostat EB TJ'!AD119)</f>
        <v>0</v>
      </c>
      <c r="AF112" s="57">
        <f>IF('Eurostat EB TJ'!AE119=":",0,'Eurostat EB TJ'!AE119)</f>
        <v>0</v>
      </c>
      <c r="AG112" s="57">
        <f>IF('Eurostat EB TJ'!AF119=":",0,'Eurostat EB TJ'!AF119)</f>
        <v>9.7170000000000005</v>
      </c>
      <c r="AH112" s="57">
        <f>IF('Eurostat EB TJ'!AG119=":",0,'Eurostat EB TJ'!AG119)</f>
        <v>0</v>
      </c>
      <c r="AI112" s="57">
        <f>IF('Eurostat EB TJ'!AH119=":",0,'Eurostat EB TJ'!AH119)</f>
        <v>0</v>
      </c>
      <c r="AJ112" s="57">
        <f>IF('Eurostat EB TJ'!AI119=":",0,'Eurostat EB TJ'!AI119)</f>
        <v>0</v>
      </c>
      <c r="AK112" s="57">
        <f>IF('Eurostat EB TJ'!AJ119=":",0,'Eurostat EB TJ'!AJ119)</f>
        <v>0</v>
      </c>
      <c r="AL112" s="57">
        <f>IF('Eurostat EB TJ'!AK119=":",0,'Eurostat EB TJ'!AK119)</f>
        <v>0</v>
      </c>
      <c r="AM112" s="57">
        <f>IF('Eurostat EB TJ'!AL119=":",0,'Eurostat EB TJ'!AL119)</f>
        <v>0</v>
      </c>
      <c r="AN112" s="57">
        <f>IF('Eurostat EB TJ'!AM119=":",0,'Eurostat EB TJ'!AM119)</f>
        <v>36.798999999999999</v>
      </c>
      <c r="AO112" s="57">
        <f>IF('Eurostat EB TJ'!AN119=":",0,'Eurostat EB TJ'!AN119)</f>
        <v>0</v>
      </c>
      <c r="AP112" s="57">
        <f>IF('Eurostat EB TJ'!AO119=":",0,'Eurostat EB TJ'!AO119)</f>
        <v>0</v>
      </c>
      <c r="AQ112" s="57">
        <f>IF('Eurostat EB TJ'!AP119=":",0,'Eurostat EB TJ'!AP119)</f>
        <v>0</v>
      </c>
      <c r="AR112" s="57">
        <f>IF('Eurostat EB TJ'!AQ119=":",0,'Eurostat EB TJ'!AQ119)</f>
        <v>0</v>
      </c>
      <c r="AS112" s="57">
        <f>IF('Eurostat EB TJ'!AR119=":",0,'Eurostat EB TJ'!AR119)</f>
        <v>0</v>
      </c>
      <c r="AT112" s="57">
        <f>IF('Eurostat EB TJ'!AS119=":",0,'Eurostat EB TJ'!AS119)</f>
        <v>0</v>
      </c>
      <c r="AU112" s="57">
        <f>IF('Eurostat EB TJ'!AT119=":",0,'Eurostat EB TJ'!AT119)</f>
        <v>0</v>
      </c>
      <c r="AV112" s="57">
        <f>IF('Eurostat EB TJ'!AU119=":",0,'Eurostat EB TJ'!AU119)</f>
        <v>0</v>
      </c>
      <c r="AW112" s="57">
        <f>IF('Eurostat EB TJ'!AV119=":",0,'Eurostat EB TJ'!AV119)</f>
        <v>0</v>
      </c>
      <c r="AX112" s="57">
        <f>IF('Eurostat EB TJ'!AW119=":",0,'Eurostat EB TJ'!AW119)</f>
        <v>0</v>
      </c>
      <c r="AY112" s="57">
        <f>IF('Eurostat EB TJ'!AX119=":",0,'Eurostat EB TJ'!AX119)</f>
        <v>0</v>
      </c>
      <c r="AZ112" s="57">
        <f>IF('Eurostat EB TJ'!AY119=":",0,'Eurostat EB TJ'!AY119)</f>
        <v>0</v>
      </c>
      <c r="BA112" s="57">
        <f>IF('Eurostat EB TJ'!AZ119=":",0,'Eurostat EB TJ'!AZ119)</f>
        <v>0</v>
      </c>
      <c r="BB112" s="57">
        <f>IF('Eurostat EB TJ'!BA119=":",0,'Eurostat EB TJ'!BA119)</f>
        <v>0</v>
      </c>
      <c r="BC112" s="57">
        <f>IF('Eurostat EB TJ'!BB119=":",0,'Eurostat EB TJ'!BB119)</f>
        <v>0</v>
      </c>
      <c r="BD112" s="57">
        <f>IF('Eurostat EB TJ'!BC119=":",0,'Eurostat EB TJ'!BC119)</f>
        <v>0</v>
      </c>
      <c r="BE112" s="57">
        <f>IF('Eurostat EB TJ'!BD119=":",0,'Eurostat EB TJ'!BD119)</f>
        <v>0</v>
      </c>
      <c r="BF112" s="57">
        <f>IF('Eurostat EB TJ'!BE119=":",0,'Eurostat EB TJ'!BE119)</f>
        <v>0</v>
      </c>
      <c r="BG112" s="57">
        <f>IF('Eurostat EB TJ'!BF119=":",0,'Eurostat EB TJ'!BF119)</f>
        <v>0</v>
      </c>
      <c r="BH112" s="57">
        <f>IF('Eurostat EB TJ'!BG119=":",0,'Eurostat EB TJ'!BG119)</f>
        <v>0</v>
      </c>
      <c r="BI112" s="57">
        <f>IF('Eurostat EB TJ'!BH119=":",0,'Eurostat EB TJ'!BH119)</f>
        <v>0</v>
      </c>
      <c r="BJ112" s="57">
        <f>IF('Eurostat EB TJ'!BI119=":",0,'Eurostat EB TJ'!BI119)</f>
        <v>0</v>
      </c>
      <c r="BK112" s="57">
        <f>IF('Eurostat EB TJ'!BJ119=":",0,'Eurostat EB TJ'!BJ119)</f>
        <v>0</v>
      </c>
      <c r="BL112" s="57">
        <f>IF('Eurostat EB TJ'!BK119=":",0,'Eurostat EB TJ'!BK119)</f>
        <v>0</v>
      </c>
      <c r="BM112" s="57">
        <f>IF('Eurostat EB TJ'!BL119=":",0,'Eurostat EB TJ'!BL119)</f>
        <v>0</v>
      </c>
      <c r="BN112" s="57">
        <f>IF('Eurostat EB TJ'!BM119=":",0,'Eurostat EB TJ'!BM119)</f>
        <v>0</v>
      </c>
      <c r="BO112" s="57">
        <f>IF('Eurostat EB TJ'!BN119=":",0,'Eurostat EB TJ'!BN119)</f>
        <v>0</v>
      </c>
      <c r="BP112" s="57">
        <f>IF('Eurostat EB TJ'!BO119=":",0,'Eurostat EB TJ'!BO119)</f>
        <v>0</v>
      </c>
      <c r="BQ112" s="57">
        <f>IF('Eurostat EB TJ'!BP119=":",0,'Eurostat EB TJ'!BP119)</f>
        <v>0</v>
      </c>
      <c r="BR112" s="57">
        <f>IF('Eurostat EB TJ'!BQ119=":",0,'Eurostat EB TJ'!BQ119)</f>
        <v>0</v>
      </c>
      <c r="BS112" s="57">
        <f>IF('Eurostat EB TJ'!BR119=":",0,'Eurostat EB TJ'!BR119)</f>
        <v>3786.3719999999998</v>
      </c>
      <c r="BT112" s="57">
        <f>IF('Eurostat EB TJ'!BS119=":",0,'Eurostat EB TJ'!BS119)</f>
        <v>1E-3</v>
      </c>
      <c r="BU112" s="57">
        <f>IF('Eurostat EB TJ'!BT119=":",0,'Eurostat EB TJ'!BT119)</f>
        <v>270.72699999999998</v>
      </c>
      <c r="BV112" s="57">
        <f>IF('Eurostat EB TJ'!BU119=":",0,'Eurostat EB TJ'!BU119)</f>
        <v>3706.4630000000002</v>
      </c>
    </row>
    <row r="113" spans="1:74" x14ac:dyDescent="0.2">
      <c r="A113" s="56" t="s">
        <v>291</v>
      </c>
      <c r="B113" s="17"/>
      <c r="C113" s="17">
        <f>IF('Eurostat EB TJ'!B120=":",0,'Eurostat EB TJ'!B120)</f>
        <v>21286.021000000001</v>
      </c>
      <c r="D113" s="17">
        <f>IF('Eurostat EB TJ'!C120=":",0,'Eurostat EB TJ'!C120)</f>
        <v>734.59</v>
      </c>
      <c r="E113" s="17">
        <f>IF('Eurostat EB TJ'!D120=":",0,'Eurostat EB TJ'!D120)</f>
        <v>0</v>
      </c>
      <c r="F113" s="17">
        <f>IF('Eurostat EB TJ'!E120=":",0,'Eurostat EB TJ'!E120)</f>
        <v>12.941000000000001</v>
      </c>
      <c r="G113" s="17">
        <f>IF('Eurostat EB TJ'!F120=":",0,'Eurostat EB TJ'!F120)</f>
        <v>0</v>
      </c>
      <c r="H113" s="17">
        <f>IF('Eurostat EB TJ'!G120=":",0,'Eurostat EB TJ'!G120)</f>
        <v>0</v>
      </c>
      <c r="I113" s="17">
        <f>IF('Eurostat EB TJ'!H120=":",0,'Eurostat EB TJ'!H120)</f>
        <v>0</v>
      </c>
      <c r="J113" s="17">
        <f>IF('Eurostat EB TJ'!I120=":",0,'Eurostat EB TJ'!I120)</f>
        <v>721.649</v>
      </c>
      <c r="K113" s="17">
        <f>IF('Eurostat EB TJ'!J120=":",0,'Eurostat EB TJ'!J120)</f>
        <v>0</v>
      </c>
      <c r="L113" s="17">
        <f>IF('Eurostat EB TJ'!K120=":",0,'Eurostat EB TJ'!K120)</f>
        <v>0</v>
      </c>
      <c r="M113" s="17">
        <f>IF('Eurostat EB TJ'!L120=":",0,'Eurostat EB TJ'!L120)</f>
        <v>0</v>
      </c>
      <c r="N113" s="17">
        <f>IF('Eurostat EB TJ'!M120=":",0,'Eurostat EB TJ'!M120)</f>
        <v>0</v>
      </c>
      <c r="O113" s="17">
        <f>IF('Eurostat EB TJ'!N120=":",0,'Eurostat EB TJ'!N120)</f>
        <v>0</v>
      </c>
      <c r="P113" s="17">
        <f>IF('Eurostat EB TJ'!O120=":",0,'Eurostat EB TJ'!O120)</f>
        <v>0</v>
      </c>
      <c r="Q113" s="17">
        <f>IF('Eurostat EB TJ'!P120=":",0,'Eurostat EB TJ'!P120)</f>
        <v>0</v>
      </c>
      <c r="R113" s="17">
        <f>IF('Eurostat EB TJ'!Q120=":",0,'Eurostat EB TJ'!Q120)</f>
        <v>0</v>
      </c>
      <c r="S113" s="17">
        <f>IF('Eurostat EB TJ'!R120=":",0,'Eurostat EB TJ'!R120)</f>
        <v>0</v>
      </c>
      <c r="T113" s="17">
        <f>IF('Eurostat EB TJ'!S120=":",0,'Eurostat EB TJ'!S120)</f>
        <v>0</v>
      </c>
      <c r="U113" s="17">
        <f>IF('Eurostat EB TJ'!T120=":",0,'Eurostat EB TJ'!T120)</f>
        <v>0</v>
      </c>
      <c r="V113" s="17">
        <f>IF('Eurostat EB TJ'!U120=":",0,'Eurostat EB TJ'!U120)</f>
        <v>0</v>
      </c>
      <c r="W113" s="17">
        <f>IF('Eurostat EB TJ'!V120=":",0,'Eurostat EB TJ'!V120)</f>
        <v>0</v>
      </c>
      <c r="X113" s="17">
        <f>IF('Eurostat EB TJ'!W120=":",0,'Eurostat EB TJ'!W120)</f>
        <v>16545.536</v>
      </c>
      <c r="Y113" s="17">
        <f>IF('Eurostat EB TJ'!X120=":",0,'Eurostat EB TJ'!X120)</f>
        <v>108.33199999999999</v>
      </c>
      <c r="Z113" s="17">
        <f>IF('Eurostat EB TJ'!Y120=":",0,'Eurostat EB TJ'!Y120)</f>
        <v>0</v>
      </c>
      <c r="AA113" s="17">
        <f>IF('Eurostat EB TJ'!Z120=":",0,'Eurostat EB TJ'!Z120)</f>
        <v>0</v>
      </c>
      <c r="AB113" s="17">
        <f>IF('Eurostat EB TJ'!AA120=":",0,'Eurostat EB TJ'!AA120)</f>
        <v>0</v>
      </c>
      <c r="AC113" s="17">
        <f>IF('Eurostat EB TJ'!AB120=":",0,'Eurostat EB TJ'!AB120)</f>
        <v>0</v>
      </c>
      <c r="AD113" s="17">
        <f>IF('Eurostat EB TJ'!AC120=":",0,'Eurostat EB TJ'!AC120)</f>
        <v>0</v>
      </c>
      <c r="AE113" s="17">
        <f>IF('Eurostat EB TJ'!AD120=":",0,'Eurostat EB TJ'!AD120)</f>
        <v>0</v>
      </c>
      <c r="AF113" s="17">
        <f>IF('Eurostat EB TJ'!AE120=":",0,'Eurostat EB TJ'!AE120)</f>
        <v>0</v>
      </c>
      <c r="AG113" s="17">
        <f>IF('Eurostat EB TJ'!AF120=":",0,'Eurostat EB TJ'!AF120)</f>
        <v>31.274000000000001</v>
      </c>
      <c r="AH113" s="17">
        <f>IF('Eurostat EB TJ'!AG120=":",0,'Eurostat EB TJ'!AG120)</f>
        <v>0</v>
      </c>
      <c r="AI113" s="17">
        <f>IF('Eurostat EB TJ'!AH120=":",0,'Eurostat EB TJ'!AH120)</f>
        <v>0</v>
      </c>
      <c r="AJ113" s="17">
        <f>IF('Eurostat EB TJ'!AI120=":",0,'Eurostat EB TJ'!AI120)</f>
        <v>0</v>
      </c>
      <c r="AK113" s="17">
        <f>IF('Eurostat EB TJ'!AJ120=":",0,'Eurostat EB TJ'!AJ120)</f>
        <v>0</v>
      </c>
      <c r="AL113" s="17">
        <f>IF('Eurostat EB TJ'!AK120=":",0,'Eurostat EB TJ'!AK120)</f>
        <v>0</v>
      </c>
      <c r="AM113" s="17">
        <f>IF('Eurostat EB TJ'!AL120=":",0,'Eurostat EB TJ'!AL120)</f>
        <v>0.129</v>
      </c>
      <c r="AN113" s="17">
        <f>IF('Eurostat EB TJ'!AM120=":",0,'Eurostat EB TJ'!AM120)</f>
        <v>76.832999999999998</v>
      </c>
      <c r="AO113" s="17">
        <f>IF('Eurostat EB TJ'!AN120=":",0,'Eurostat EB TJ'!AN120)</f>
        <v>0</v>
      </c>
      <c r="AP113" s="17">
        <f>IF('Eurostat EB TJ'!AO120=":",0,'Eurostat EB TJ'!AO120)</f>
        <v>0</v>
      </c>
      <c r="AQ113" s="17">
        <f>IF('Eurostat EB TJ'!AP120=":",0,'Eurostat EB TJ'!AP120)</f>
        <v>0</v>
      </c>
      <c r="AR113" s="17">
        <f>IF('Eurostat EB TJ'!AQ120=":",0,'Eurostat EB TJ'!AQ120)</f>
        <v>0</v>
      </c>
      <c r="AS113" s="17">
        <f>IF('Eurostat EB TJ'!AR120=":",0,'Eurostat EB TJ'!AR120)</f>
        <v>0</v>
      </c>
      <c r="AT113" s="17">
        <f>IF('Eurostat EB TJ'!AS120=":",0,'Eurostat EB TJ'!AS120)</f>
        <v>0</v>
      </c>
      <c r="AU113" s="17">
        <f>IF('Eurostat EB TJ'!AT120=":",0,'Eurostat EB TJ'!AT120)</f>
        <v>9.5000000000000001E-2</v>
      </c>
      <c r="AV113" s="17">
        <f>IF('Eurostat EB TJ'!AU120=":",0,'Eurostat EB TJ'!AU120)</f>
        <v>0</v>
      </c>
      <c r="AW113" s="17">
        <f>IF('Eurostat EB TJ'!AV120=":",0,'Eurostat EB TJ'!AV120)</f>
        <v>0</v>
      </c>
      <c r="AX113" s="17">
        <f>IF('Eurostat EB TJ'!AW120=":",0,'Eurostat EB TJ'!AW120)</f>
        <v>0</v>
      </c>
      <c r="AY113" s="17">
        <f>IF('Eurostat EB TJ'!AX120=":",0,'Eurostat EB TJ'!AX120)</f>
        <v>0</v>
      </c>
      <c r="AZ113" s="17">
        <f>IF('Eurostat EB TJ'!AY120=":",0,'Eurostat EB TJ'!AY120)</f>
        <v>0</v>
      </c>
      <c r="BA113" s="17">
        <f>IF('Eurostat EB TJ'!AZ120=":",0,'Eurostat EB TJ'!AZ120)</f>
        <v>0</v>
      </c>
      <c r="BB113" s="17">
        <f>IF('Eurostat EB TJ'!BA120=":",0,'Eurostat EB TJ'!BA120)</f>
        <v>0</v>
      </c>
      <c r="BC113" s="17">
        <f>IF('Eurostat EB TJ'!BB120=":",0,'Eurostat EB TJ'!BB120)</f>
        <v>0</v>
      </c>
      <c r="BD113" s="17">
        <f>IF('Eurostat EB TJ'!BC120=":",0,'Eurostat EB TJ'!BC120)</f>
        <v>0</v>
      </c>
      <c r="BE113" s="17">
        <f>IF('Eurostat EB TJ'!BD120=":",0,'Eurostat EB TJ'!BD120)</f>
        <v>0</v>
      </c>
      <c r="BF113" s="17">
        <f>IF('Eurostat EB TJ'!BE120=":",0,'Eurostat EB TJ'!BE120)</f>
        <v>0</v>
      </c>
      <c r="BG113" s="17">
        <f>IF('Eurostat EB TJ'!BF120=":",0,'Eurostat EB TJ'!BF120)</f>
        <v>0</v>
      </c>
      <c r="BH113" s="17">
        <f>IF('Eurostat EB TJ'!BG120=":",0,'Eurostat EB TJ'!BG120)</f>
        <v>0</v>
      </c>
      <c r="BI113" s="17">
        <f>IF('Eurostat EB TJ'!BH120=":",0,'Eurostat EB TJ'!BH120)</f>
        <v>0</v>
      </c>
      <c r="BJ113" s="17">
        <f>IF('Eurostat EB TJ'!BI120=":",0,'Eurostat EB TJ'!BI120)</f>
        <v>0</v>
      </c>
      <c r="BK113" s="17">
        <f>IF('Eurostat EB TJ'!BJ120=":",0,'Eurostat EB TJ'!BJ120)</f>
        <v>0</v>
      </c>
      <c r="BL113" s="17">
        <f>IF('Eurostat EB TJ'!BK120=":",0,'Eurostat EB TJ'!BK120)</f>
        <v>0</v>
      </c>
      <c r="BM113" s="17">
        <f>IF('Eurostat EB TJ'!BL120=":",0,'Eurostat EB TJ'!BL120)</f>
        <v>0</v>
      </c>
      <c r="BN113" s="17">
        <f>IF('Eurostat EB TJ'!BM120=":",0,'Eurostat EB TJ'!BM120)</f>
        <v>0</v>
      </c>
      <c r="BO113" s="17">
        <f>IF('Eurostat EB TJ'!BN120=":",0,'Eurostat EB TJ'!BN120)</f>
        <v>0</v>
      </c>
      <c r="BP113" s="17">
        <f>IF('Eurostat EB TJ'!BO120=":",0,'Eurostat EB TJ'!BO120)</f>
        <v>0</v>
      </c>
      <c r="BQ113" s="17">
        <f>IF('Eurostat EB TJ'!BP120=":",0,'Eurostat EB TJ'!BP120)</f>
        <v>0</v>
      </c>
      <c r="BR113" s="17">
        <f>IF('Eurostat EB TJ'!BQ120=":",0,'Eurostat EB TJ'!BQ120)</f>
        <v>0</v>
      </c>
      <c r="BS113" s="17">
        <f>IF('Eurostat EB TJ'!BR120=":",0,'Eurostat EB TJ'!BR120)</f>
        <v>3897.1660000000002</v>
      </c>
      <c r="BT113" s="17">
        <f>IF('Eurostat EB TJ'!BS120=":",0,'Eurostat EB TJ'!BS120)</f>
        <v>0.39800000000000002</v>
      </c>
      <c r="BU113" s="17">
        <f>IF('Eurostat EB TJ'!BT120=":",0,'Eurostat EB TJ'!BT120)</f>
        <v>429.012</v>
      </c>
      <c r="BV113" s="17">
        <f>IF('Eurostat EB TJ'!BU120=":",0,'Eurostat EB TJ'!BU120)</f>
        <v>19131.202000000001</v>
      </c>
    </row>
    <row r="114" spans="1:74" x14ac:dyDescent="0.2">
      <c r="A114" s="56" t="s">
        <v>292</v>
      </c>
      <c r="B114" s="57"/>
      <c r="C114" s="57">
        <f>IF('Eurostat EB TJ'!B121=":",0,'Eurostat EB TJ'!B121)</f>
        <v>3403.297</v>
      </c>
      <c r="D114" s="57">
        <f>IF('Eurostat EB TJ'!C121=":",0,'Eurostat EB TJ'!C121)</f>
        <v>0</v>
      </c>
      <c r="E114" s="57">
        <f>IF('Eurostat EB TJ'!D121=":",0,'Eurostat EB TJ'!D121)</f>
        <v>0</v>
      </c>
      <c r="F114" s="57">
        <f>IF('Eurostat EB TJ'!E121=":",0,'Eurostat EB TJ'!E121)</f>
        <v>0</v>
      </c>
      <c r="G114" s="57">
        <f>IF('Eurostat EB TJ'!F121=":",0,'Eurostat EB TJ'!F121)</f>
        <v>0</v>
      </c>
      <c r="H114" s="57">
        <f>IF('Eurostat EB TJ'!G121=":",0,'Eurostat EB TJ'!G121)</f>
        <v>0</v>
      </c>
      <c r="I114" s="57">
        <f>IF('Eurostat EB TJ'!H121=":",0,'Eurostat EB TJ'!H121)</f>
        <v>0</v>
      </c>
      <c r="J114" s="57">
        <f>IF('Eurostat EB TJ'!I121=":",0,'Eurostat EB TJ'!I121)</f>
        <v>0</v>
      </c>
      <c r="K114" s="57">
        <f>IF('Eurostat EB TJ'!J121=":",0,'Eurostat EB TJ'!J121)</f>
        <v>0</v>
      </c>
      <c r="L114" s="57">
        <f>IF('Eurostat EB TJ'!K121=":",0,'Eurostat EB TJ'!K121)</f>
        <v>0</v>
      </c>
      <c r="M114" s="57">
        <f>IF('Eurostat EB TJ'!L121=":",0,'Eurostat EB TJ'!L121)</f>
        <v>0</v>
      </c>
      <c r="N114" s="57">
        <f>IF('Eurostat EB TJ'!M121=":",0,'Eurostat EB TJ'!M121)</f>
        <v>0</v>
      </c>
      <c r="O114" s="57">
        <f>IF('Eurostat EB TJ'!N121=":",0,'Eurostat EB TJ'!N121)</f>
        <v>0</v>
      </c>
      <c r="P114" s="57">
        <f>IF('Eurostat EB TJ'!O121=":",0,'Eurostat EB TJ'!O121)</f>
        <v>0</v>
      </c>
      <c r="Q114" s="57">
        <f>IF('Eurostat EB TJ'!P121=":",0,'Eurostat EB TJ'!P121)</f>
        <v>0</v>
      </c>
      <c r="R114" s="57">
        <f>IF('Eurostat EB TJ'!Q121=":",0,'Eurostat EB TJ'!Q121)</f>
        <v>0</v>
      </c>
      <c r="S114" s="57">
        <f>IF('Eurostat EB TJ'!R121=":",0,'Eurostat EB TJ'!R121)</f>
        <v>0</v>
      </c>
      <c r="T114" s="57">
        <f>IF('Eurostat EB TJ'!S121=":",0,'Eurostat EB TJ'!S121)</f>
        <v>0</v>
      </c>
      <c r="U114" s="57">
        <f>IF('Eurostat EB TJ'!T121=":",0,'Eurostat EB TJ'!T121)</f>
        <v>0</v>
      </c>
      <c r="V114" s="57">
        <f>IF('Eurostat EB TJ'!U121=":",0,'Eurostat EB TJ'!U121)</f>
        <v>0</v>
      </c>
      <c r="W114" s="57">
        <f>IF('Eurostat EB TJ'!V121=":",0,'Eurostat EB TJ'!V121)</f>
        <v>0</v>
      </c>
      <c r="X114" s="57">
        <f>IF('Eurostat EB TJ'!W121=":",0,'Eurostat EB TJ'!W121)</f>
        <v>1493.05</v>
      </c>
      <c r="Y114" s="57">
        <f>IF('Eurostat EB TJ'!X121=":",0,'Eurostat EB TJ'!X121)</f>
        <v>18.882999999999999</v>
      </c>
      <c r="Z114" s="57">
        <f>IF('Eurostat EB TJ'!Y121=":",0,'Eurostat EB TJ'!Y121)</f>
        <v>0</v>
      </c>
      <c r="AA114" s="57">
        <f>IF('Eurostat EB TJ'!Z121=":",0,'Eurostat EB TJ'!Z121)</f>
        <v>0</v>
      </c>
      <c r="AB114" s="57">
        <f>IF('Eurostat EB TJ'!AA121=":",0,'Eurostat EB TJ'!AA121)</f>
        <v>0</v>
      </c>
      <c r="AC114" s="57">
        <f>IF('Eurostat EB TJ'!AB121=":",0,'Eurostat EB TJ'!AB121)</f>
        <v>0</v>
      </c>
      <c r="AD114" s="57">
        <f>IF('Eurostat EB TJ'!AC121=":",0,'Eurostat EB TJ'!AC121)</f>
        <v>0</v>
      </c>
      <c r="AE114" s="57">
        <f>IF('Eurostat EB TJ'!AD121=":",0,'Eurostat EB TJ'!AD121)</f>
        <v>0</v>
      </c>
      <c r="AF114" s="57">
        <f>IF('Eurostat EB TJ'!AE121=":",0,'Eurostat EB TJ'!AE121)</f>
        <v>0</v>
      </c>
      <c r="AG114" s="57">
        <f>IF('Eurostat EB TJ'!AF121=":",0,'Eurostat EB TJ'!AF121)</f>
        <v>18.71</v>
      </c>
      <c r="AH114" s="57">
        <f>IF('Eurostat EB TJ'!AG121=":",0,'Eurostat EB TJ'!AG121)</f>
        <v>0</v>
      </c>
      <c r="AI114" s="57">
        <f>IF('Eurostat EB TJ'!AH121=":",0,'Eurostat EB TJ'!AH121)</f>
        <v>0</v>
      </c>
      <c r="AJ114" s="57">
        <f>IF('Eurostat EB TJ'!AI121=":",0,'Eurostat EB TJ'!AI121)</f>
        <v>0</v>
      </c>
      <c r="AK114" s="57">
        <f>IF('Eurostat EB TJ'!AJ121=":",0,'Eurostat EB TJ'!AJ121)</f>
        <v>0</v>
      </c>
      <c r="AL114" s="57">
        <f>IF('Eurostat EB TJ'!AK121=":",0,'Eurostat EB TJ'!AK121)</f>
        <v>0</v>
      </c>
      <c r="AM114" s="57">
        <f>IF('Eurostat EB TJ'!AL121=":",0,'Eurostat EB TJ'!AL121)</f>
        <v>0</v>
      </c>
      <c r="AN114" s="57">
        <f>IF('Eurostat EB TJ'!AM121=":",0,'Eurostat EB TJ'!AM121)</f>
        <v>0.17299999999999999</v>
      </c>
      <c r="AO114" s="57">
        <f>IF('Eurostat EB TJ'!AN121=":",0,'Eurostat EB TJ'!AN121)</f>
        <v>0</v>
      </c>
      <c r="AP114" s="57">
        <f>IF('Eurostat EB TJ'!AO121=":",0,'Eurostat EB TJ'!AO121)</f>
        <v>0</v>
      </c>
      <c r="AQ114" s="57">
        <f>IF('Eurostat EB TJ'!AP121=":",0,'Eurostat EB TJ'!AP121)</f>
        <v>0</v>
      </c>
      <c r="AR114" s="57">
        <f>IF('Eurostat EB TJ'!AQ121=":",0,'Eurostat EB TJ'!AQ121)</f>
        <v>0</v>
      </c>
      <c r="AS114" s="57">
        <f>IF('Eurostat EB TJ'!AR121=":",0,'Eurostat EB TJ'!AR121)</f>
        <v>0</v>
      </c>
      <c r="AT114" s="57">
        <f>IF('Eurostat EB TJ'!AS121=":",0,'Eurostat EB TJ'!AS121)</f>
        <v>0</v>
      </c>
      <c r="AU114" s="57">
        <f>IF('Eurostat EB TJ'!AT121=":",0,'Eurostat EB TJ'!AT121)</f>
        <v>0</v>
      </c>
      <c r="AV114" s="57">
        <f>IF('Eurostat EB TJ'!AU121=":",0,'Eurostat EB TJ'!AU121)</f>
        <v>0</v>
      </c>
      <c r="AW114" s="57">
        <f>IF('Eurostat EB TJ'!AV121=":",0,'Eurostat EB TJ'!AV121)</f>
        <v>0</v>
      </c>
      <c r="AX114" s="57">
        <f>IF('Eurostat EB TJ'!AW121=":",0,'Eurostat EB TJ'!AW121)</f>
        <v>0</v>
      </c>
      <c r="AY114" s="57">
        <f>IF('Eurostat EB TJ'!AX121=":",0,'Eurostat EB TJ'!AX121)</f>
        <v>0</v>
      </c>
      <c r="AZ114" s="57">
        <f>IF('Eurostat EB TJ'!AY121=":",0,'Eurostat EB TJ'!AY121)</f>
        <v>0</v>
      </c>
      <c r="BA114" s="57">
        <f>IF('Eurostat EB TJ'!AZ121=":",0,'Eurostat EB TJ'!AZ121)</f>
        <v>0</v>
      </c>
      <c r="BB114" s="57">
        <f>IF('Eurostat EB TJ'!BA121=":",0,'Eurostat EB TJ'!BA121)</f>
        <v>0</v>
      </c>
      <c r="BC114" s="57">
        <f>IF('Eurostat EB TJ'!BB121=":",0,'Eurostat EB TJ'!BB121)</f>
        <v>0</v>
      </c>
      <c r="BD114" s="57">
        <f>IF('Eurostat EB TJ'!BC121=":",0,'Eurostat EB TJ'!BC121)</f>
        <v>0</v>
      </c>
      <c r="BE114" s="57">
        <f>IF('Eurostat EB TJ'!BD121=":",0,'Eurostat EB TJ'!BD121)</f>
        <v>0</v>
      </c>
      <c r="BF114" s="57">
        <f>IF('Eurostat EB TJ'!BE121=":",0,'Eurostat EB TJ'!BE121)</f>
        <v>0</v>
      </c>
      <c r="BG114" s="57">
        <f>IF('Eurostat EB TJ'!BF121=":",0,'Eurostat EB TJ'!BF121)</f>
        <v>0</v>
      </c>
      <c r="BH114" s="57">
        <f>IF('Eurostat EB TJ'!BG121=":",0,'Eurostat EB TJ'!BG121)</f>
        <v>0</v>
      </c>
      <c r="BI114" s="57">
        <f>IF('Eurostat EB TJ'!BH121=":",0,'Eurostat EB TJ'!BH121)</f>
        <v>0</v>
      </c>
      <c r="BJ114" s="57">
        <f>IF('Eurostat EB TJ'!BI121=":",0,'Eurostat EB TJ'!BI121)</f>
        <v>0</v>
      </c>
      <c r="BK114" s="57">
        <f>IF('Eurostat EB TJ'!BJ121=":",0,'Eurostat EB TJ'!BJ121)</f>
        <v>0</v>
      </c>
      <c r="BL114" s="57">
        <f>IF('Eurostat EB TJ'!BK121=":",0,'Eurostat EB TJ'!BK121)</f>
        <v>0</v>
      </c>
      <c r="BM114" s="57">
        <f>IF('Eurostat EB TJ'!BL121=":",0,'Eurostat EB TJ'!BL121)</f>
        <v>0</v>
      </c>
      <c r="BN114" s="57">
        <f>IF('Eurostat EB TJ'!BM121=":",0,'Eurostat EB TJ'!BM121)</f>
        <v>0</v>
      </c>
      <c r="BO114" s="57">
        <f>IF('Eurostat EB TJ'!BN121=":",0,'Eurostat EB TJ'!BN121)</f>
        <v>0</v>
      </c>
      <c r="BP114" s="57">
        <f>IF('Eurostat EB TJ'!BO121=":",0,'Eurostat EB TJ'!BO121)</f>
        <v>0</v>
      </c>
      <c r="BQ114" s="57">
        <f>IF('Eurostat EB TJ'!BP121=":",0,'Eurostat EB TJ'!BP121)</f>
        <v>0</v>
      </c>
      <c r="BR114" s="57">
        <f>IF('Eurostat EB TJ'!BQ121=":",0,'Eurostat EB TJ'!BQ121)</f>
        <v>0</v>
      </c>
      <c r="BS114" s="57">
        <f>IF('Eurostat EB TJ'!BR121=":",0,'Eurostat EB TJ'!BR121)</f>
        <v>1873.31</v>
      </c>
      <c r="BT114" s="57">
        <f>IF('Eurostat EB TJ'!BS121=":",0,'Eurostat EB TJ'!BS121)</f>
        <v>18.053999999999998</v>
      </c>
      <c r="BU114" s="57">
        <f>IF('Eurostat EB TJ'!BT121=":",0,'Eurostat EB TJ'!BT121)</f>
        <v>143.97</v>
      </c>
      <c r="BV114" s="57">
        <f>IF('Eurostat EB TJ'!BU121=":",0,'Eurostat EB TJ'!BU121)</f>
        <v>2428.2179999999998</v>
      </c>
    </row>
    <row r="115" spans="1:74" x14ac:dyDescent="0.2">
      <c r="A115" s="56" t="s">
        <v>293</v>
      </c>
      <c r="B115" s="17"/>
      <c r="C115" s="17">
        <f>IF('Eurostat EB TJ'!B122=":",0,'Eurostat EB TJ'!B122)</f>
        <v>19007.415000000001</v>
      </c>
      <c r="D115" s="17">
        <f>IF('Eurostat EB TJ'!C122=":",0,'Eurostat EB TJ'!C122)</f>
        <v>0</v>
      </c>
      <c r="E115" s="17">
        <f>IF('Eurostat EB TJ'!D122=":",0,'Eurostat EB TJ'!D122)</f>
        <v>0</v>
      </c>
      <c r="F115" s="17">
        <f>IF('Eurostat EB TJ'!E122=":",0,'Eurostat EB TJ'!E122)</f>
        <v>0</v>
      </c>
      <c r="G115" s="17">
        <f>IF('Eurostat EB TJ'!F122=":",0,'Eurostat EB TJ'!F122)</f>
        <v>0</v>
      </c>
      <c r="H115" s="17">
        <f>IF('Eurostat EB TJ'!G122=":",0,'Eurostat EB TJ'!G122)</f>
        <v>0</v>
      </c>
      <c r="I115" s="17">
        <f>IF('Eurostat EB TJ'!H122=":",0,'Eurostat EB TJ'!H122)</f>
        <v>0</v>
      </c>
      <c r="J115" s="17">
        <f>IF('Eurostat EB TJ'!I122=":",0,'Eurostat EB TJ'!I122)</f>
        <v>0</v>
      </c>
      <c r="K115" s="17">
        <f>IF('Eurostat EB TJ'!J122=":",0,'Eurostat EB TJ'!J122)</f>
        <v>0</v>
      </c>
      <c r="L115" s="17">
        <f>IF('Eurostat EB TJ'!K122=":",0,'Eurostat EB TJ'!K122)</f>
        <v>0</v>
      </c>
      <c r="M115" s="17">
        <f>IF('Eurostat EB TJ'!L122=":",0,'Eurostat EB TJ'!L122)</f>
        <v>0</v>
      </c>
      <c r="N115" s="17">
        <f>IF('Eurostat EB TJ'!M122=":",0,'Eurostat EB TJ'!M122)</f>
        <v>0</v>
      </c>
      <c r="O115" s="17">
        <f>IF('Eurostat EB TJ'!N122=":",0,'Eurostat EB TJ'!N122)</f>
        <v>0</v>
      </c>
      <c r="P115" s="17">
        <f>IF('Eurostat EB TJ'!O122=":",0,'Eurostat EB TJ'!O122)</f>
        <v>0</v>
      </c>
      <c r="Q115" s="17">
        <f>IF('Eurostat EB TJ'!P122=":",0,'Eurostat EB TJ'!P122)</f>
        <v>0</v>
      </c>
      <c r="R115" s="17">
        <f>IF('Eurostat EB TJ'!Q122=":",0,'Eurostat EB TJ'!Q122)</f>
        <v>0</v>
      </c>
      <c r="S115" s="17">
        <f>IF('Eurostat EB TJ'!R122=":",0,'Eurostat EB TJ'!R122)</f>
        <v>0</v>
      </c>
      <c r="T115" s="17">
        <f>IF('Eurostat EB TJ'!S122=":",0,'Eurostat EB TJ'!S122)</f>
        <v>0</v>
      </c>
      <c r="U115" s="17">
        <f>IF('Eurostat EB TJ'!T122=":",0,'Eurostat EB TJ'!T122)</f>
        <v>0</v>
      </c>
      <c r="V115" s="17">
        <f>IF('Eurostat EB TJ'!U122=":",0,'Eurostat EB TJ'!U122)</f>
        <v>0</v>
      </c>
      <c r="W115" s="17">
        <f>IF('Eurostat EB TJ'!V122=":",0,'Eurostat EB TJ'!V122)</f>
        <v>0</v>
      </c>
      <c r="X115" s="17">
        <f>IF('Eurostat EB TJ'!W122=":",0,'Eurostat EB TJ'!W122)</f>
        <v>7683.8440000000001</v>
      </c>
      <c r="Y115" s="17">
        <f>IF('Eurostat EB TJ'!X122=":",0,'Eurostat EB TJ'!X122)</f>
        <v>172.458</v>
      </c>
      <c r="Z115" s="17">
        <f>IF('Eurostat EB TJ'!Y122=":",0,'Eurostat EB TJ'!Y122)</f>
        <v>0</v>
      </c>
      <c r="AA115" s="17">
        <f>IF('Eurostat EB TJ'!Z122=":",0,'Eurostat EB TJ'!Z122)</f>
        <v>0</v>
      </c>
      <c r="AB115" s="17">
        <f>IF('Eurostat EB TJ'!AA122=":",0,'Eurostat EB TJ'!AA122)</f>
        <v>0</v>
      </c>
      <c r="AC115" s="17">
        <f>IF('Eurostat EB TJ'!AB122=":",0,'Eurostat EB TJ'!AB122)</f>
        <v>0</v>
      </c>
      <c r="AD115" s="17">
        <f>IF('Eurostat EB TJ'!AC122=":",0,'Eurostat EB TJ'!AC122)</f>
        <v>0</v>
      </c>
      <c r="AE115" s="17">
        <f>IF('Eurostat EB TJ'!AD122=":",0,'Eurostat EB TJ'!AD122)</f>
        <v>0</v>
      </c>
      <c r="AF115" s="17">
        <f>IF('Eurostat EB TJ'!AE122=":",0,'Eurostat EB TJ'!AE122)</f>
        <v>0</v>
      </c>
      <c r="AG115" s="17">
        <f>IF('Eurostat EB TJ'!AF122=":",0,'Eurostat EB TJ'!AF122)</f>
        <v>93.641000000000005</v>
      </c>
      <c r="AH115" s="17">
        <f>IF('Eurostat EB TJ'!AG122=":",0,'Eurostat EB TJ'!AG122)</f>
        <v>0</v>
      </c>
      <c r="AI115" s="17">
        <f>IF('Eurostat EB TJ'!AH122=":",0,'Eurostat EB TJ'!AH122)</f>
        <v>0</v>
      </c>
      <c r="AJ115" s="17">
        <f>IF('Eurostat EB TJ'!AI122=":",0,'Eurostat EB TJ'!AI122)</f>
        <v>0</v>
      </c>
      <c r="AK115" s="17">
        <f>IF('Eurostat EB TJ'!AJ122=":",0,'Eurostat EB TJ'!AJ122)</f>
        <v>0</v>
      </c>
      <c r="AL115" s="17">
        <f>IF('Eurostat EB TJ'!AK122=":",0,'Eurostat EB TJ'!AK122)</f>
        <v>0</v>
      </c>
      <c r="AM115" s="17">
        <f>IF('Eurostat EB TJ'!AL122=":",0,'Eurostat EB TJ'!AL122)</f>
        <v>1.7669999999999999</v>
      </c>
      <c r="AN115" s="17">
        <f>IF('Eurostat EB TJ'!AM122=":",0,'Eurostat EB TJ'!AM122)</f>
        <v>77.049000000000007</v>
      </c>
      <c r="AO115" s="17">
        <f>IF('Eurostat EB TJ'!AN122=":",0,'Eurostat EB TJ'!AN122)</f>
        <v>0</v>
      </c>
      <c r="AP115" s="17">
        <f>IF('Eurostat EB TJ'!AO122=":",0,'Eurostat EB TJ'!AO122)</f>
        <v>0</v>
      </c>
      <c r="AQ115" s="17">
        <f>IF('Eurostat EB TJ'!AP122=":",0,'Eurostat EB TJ'!AP122)</f>
        <v>0</v>
      </c>
      <c r="AR115" s="17">
        <f>IF('Eurostat EB TJ'!AQ122=":",0,'Eurostat EB TJ'!AQ122)</f>
        <v>0</v>
      </c>
      <c r="AS115" s="17">
        <f>IF('Eurostat EB TJ'!AR122=":",0,'Eurostat EB TJ'!AR122)</f>
        <v>0</v>
      </c>
      <c r="AT115" s="17">
        <f>IF('Eurostat EB TJ'!AS122=":",0,'Eurostat EB TJ'!AS122)</f>
        <v>0</v>
      </c>
      <c r="AU115" s="17">
        <f>IF('Eurostat EB TJ'!AT122=":",0,'Eurostat EB TJ'!AT122)</f>
        <v>0</v>
      </c>
      <c r="AV115" s="17">
        <f>IF('Eurostat EB TJ'!AU122=":",0,'Eurostat EB TJ'!AU122)</f>
        <v>0</v>
      </c>
      <c r="AW115" s="17">
        <f>IF('Eurostat EB TJ'!AV122=":",0,'Eurostat EB TJ'!AV122)</f>
        <v>0</v>
      </c>
      <c r="AX115" s="17">
        <f>IF('Eurostat EB TJ'!AW122=":",0,'Eurostat EB TJ'!AW122)</f>
        <v>0</v>
      </c>
      <c r="AY115" s="17">
        <f>IF('Eurostat EB TJ'!AX122=":",0,'Eurostat EB TJ'!AX122)</f>
        <v>0</v>
      </c>
      <c r="AZ115" s="17">
        <f>IF('Eurostat EB TJ'!AY122=":",0,'Eurostat EB TJ'!AY122)</f>
        <v>0</v>
      </c>
      <c r="BA115" s="17">
        <f>IF('Eurostat EB TJ'!AZ122=":",0,'Eurostat EB TJ'!AZ122)</f>
        <v>0</v>
      </c>
      <c r="BB115" s="17">
        <f>IF('Eurostat EB TJ'!BA122=":",0,'Eurostat EB TJ'!BA122)</f>
        <v>0</v>
      </c>
      <c r="BC115" s="17">
        <f>IF('Eurostat EB TJ'!BB122=":",0,'Eurostat EB TJ'!BB122)</f>
        <v>0</v>
      </c>
      <c r="BD115" s="17">
        <f>IF('Eurostat EB TJ'!BC122=":",0,'Eurostat EB TJ'!BC122)</f>
        <v>0</v>
      </c>
      <c r="BE115" s="17">
        <f>IF('Eurostat EB TJ'!BD122=":",0,'Eurostat EB TJ'!BD122)</f>
        <v>0</v>
      </c>
      <c r="BF115" s="17">
        <f>IF('Eurostat EB TJ'!BE122=":",0,'Eurostat EB TJ'!BE122)</f>
        <v>0</v>
      </c>
      <c r="BG115" s="17">
        <f>IF('Eurostat EB TJ'!BF122=":",0,'Eurostat EB TJ'!BF122)</f>
        <v>0</v>
      </c>
      <c r="BH115" s="17">
        <f>IF('Eurostat EB TJ'!BG122=":",0,'Eurostat EB TJ'!BG122)</f>
        <v>0</v>
      </c>
      <c r="BI115" s="17">
        <f>IF('Eurostat EB TJ'!BH122=":",0,'Eurostat EB TJ'!BH122)</f>
        <v>0</v>
      </c>
      <c r="BJ115" s="17">
        <f>IF('Eurostat EB TJ'!BI122=":",0,'Eurostat EB TJ'!BI122)</f>
        <v>0</v>
      </c>
      <c r="BK115" s="17">
        <f>IF('Eurostat EB TJ'!BJ122=":",0,'Eurostat EB TJ'!BJ122)</f>
        <v>0</v>
      </c>
      <c r="BL115" s="17">
        <f>IF('Eurostat EB TJ'!BK122=":",0,'Eurostat EB TJ'!BK122)</f>
        <v>0</v>
      </c>
      <c r="BM115" s="17">
        <f>IF('Eurostat EB TJ'!BL122=":",0,'Eurostat EB TJ'!BL122)</f>
        <v>0</v>
      </c>
      <c r="BN115" s="17">
        <f>IF('Eurostat EB TJ'!BM122=":",0,'Eurostat EB TJ'!BM122)</f>
        <v>0</v>
      </c>
      <c r="BO115" s="17">
        <f>IF('Eurostat EB TJ'!BN122=":",0,'Eurostat EB TJ'!BN122)</f>
        <v>0</v>
      </c>
      <c r="BP115" s="17">
        <f>IF('Eurostat EB TJ'!BO122=":",0,'Eurostat EB TJ'!BO122)</f>
        <v>0</v>
      </c>
      <c r="BQ115" s="17">
        <f>IF('Eurostat EB TJ'!BP122=":",0,'Eurostat EB TJ'!BP122)</f>
        <v>0</v>
      </c>
      <c r="BR115" s="17">
        <f>IF('Eurostat EB TJ'!BQ122=":",0,'Eurostat EB TJ'!BQ122)</f>
        <v>0</v>
      </c>
      <c r="BS115" s="17">
        <f>IF('Eurostat EB TJ'!BR122=":",0,'Eurostat EB TJ'!BR122)</f>
        <v>11080.249</v>
      </c>
      <c r="BT115" s="17">
        <f>IF('Eurostat EB TJ'!BS122=":",0,'Eurostat EB TJ'!BS122)</f>
        <v>70.864999999999995</v>
      </c>
      <c r="BU115" s="17">
        <f>IF('Eurostat EB TJ'!BT122=":",0,'Eurostat EB TJ'!BT122)</f>
        <v>831.91800000000001</v>
      </c>
      <c r="BV115" s="17">
        <f>IF('Eurostat EB TJ'!BU122=":",0,'Eurostat EB TJ'!BU122)</f>
        <v>13262.754000000001</v>
      </c>
    </row>
    <row r="116" spans="1:74" x14ac:dyDescent="0.2">
      <c r="A116" s="56" t="s">
        <v>294</v>
      </c>
      <c r="B116" s="57"/>
      <c r="C116" s="57">
        <f>IF('Eurostat EB TJ'!B123=":",0,'Eurostat EB TJ'!B123)</f>
        <v>4442.1030000000001</v>
      </c>
      <c r="D116" s="57">
        <f>IF('Eurostat EB TJ'!C123=":",0,'Eurostat EB TJ'!C123)</f>
        <v>0</v>
      </c>
      <c r="E116" s="57">
        <f>IF('Eurostat EB TJ'!D123=":",0,'Eurostat EB TJ'!D123)</f>
        <v>0</v>
      </c>
      <c r="F116" s="57">
        <f>IF('Eurostat EB TJ'!E123=":",0,'Eurostat EB TJ'!E123)</f>
        <v>0</v>
      </c>
      <c r="G116" s="57">
        <f>IF('Eurostat EB TJ'!F123=":",0,'Eurostat EB TJ'!F123)</f>
        <v>0</v>
      </c>
      <c r="H116" s="57">
        <f>IF('Eurostat EB TJ'!G123=":",0,'Eurostat EB TJ'!G123)</f>
        <v>0</v>
      </c>
      <c r="I116" s="57">
        <f>IF('Eurostat EB TJ'!H123=":",0,'Eurostat EB TJ'!H123)</f>
        <v>0</v>
      </c>
      <c r="J116" s="57">
        <f>IF('Eurostat EB TJ'!I123=":",0,'Eurostat EB TJ'!I123)</f>
        <v>0</v>
      </c>
      <c r="K116" s="57">
        <f>IF('Eurostat EB TJ'!J123=":",0,'Eurostat EB TJ'!J123)</f>
        <v>0</v>
      </c>
      <c r="L116" s="57">
        <f>IF('Eurostat EB TJ'!K123=":",0,'Eurostat EB TJ'!K123)</f>
        <v>0</v>
      </c>
      <c r="M116" s="57">
        <f>IF('Eurostat EB TJ'!L123=":",0,'Eurostat EB TJ'!L123)</f>
        <v>0</v>
      </c>
      <c r="N116" s="57">
        <f>IF('Eurostat EB TJ'!M123=":",0,'Eurostat EB TJ'!M123)</f>
        <v>0</v>
      </c>
      <c r="O116" s="57">
        <f>IF('Eurostat EB TJ'!N123=":",0,'Eurostat EB TJ'!N123)</f>
        <v>0</v>
      </c>
      <c r="P116" s="57">
        <f>IF('Eurostat EB TJ'!O123=":",0,'Eurostat EB TJ'!O123)</f>
        <v>0</v>
      </c>
      <c r="Q116" s="57">
        <f>IF('Eurostat EB TJ'!P123=":",0,'Eurostat EB TJ'!P123)</f>
        <v>0</v>
      </c>
      <c r="R116" s="57">
        <f>IF('Eurostat EB TJ'!Q123=":",0,'Eurostat EB TJ'!Q123)</f>
        <v>0</v>
      </c>
      <c r="S116" s="57">
        <f>IF('Eurostat EB TJ'!R123=":",0,'Eurostat EB TJ'!R123)</f>
        <v>0</v>
      </c>
      <c r="T116" s="57">
        <f>IF('Eurostat EB TJ'!S123=":",0,'Eurostat EB TJ'!S123)</f>
        <v>0</v>
      </c>
      <c r="U116" s="57">
        <f>IF('Eurostat EB TJ'!T123=":",0,'Eurostat EB TJ'!T123)</f>
        <v>0</v>
      </c>
      <c r="V116" s="57">
        <f>IF('Eurostat EB TJ'!U123=":",0,'Eurostat EB TJ'!U123)</f>
        <v>0</v>
      </c>
      <c r="W116" s="57">
        <f>IF('Eurostat EB TJ'!V123=":",0,'Eurostat EB TJ'!V123)</f>
        <v>0</v>
      </c>
      <c r="X116" s="57">
        <f>IF('Eurostat EB TJ'!W123=":",0,'Eurostat EB TJ'!W123)</f>
        <v>1581.3979999999999</v>
      </c>
      <c r="Y116" s="57">
        <f>IF('Eurostat EB TJ'!X123=":",0,'Eurostat EB TJ'!X123)</f>
        <v>98.8</v>
      </c>
      <c r="Z116" s="57">
        <f>IF('Eurostat EB TJ'!Y123=":",0,'Eurostat EB TJ'!Y123)</f>
        <v>0</v>
      </c>
      <c r="AA116" s="57">
        <f>IF('Eurostat EB TJ'!Z123=":",0,'Eurostat EB TJ'!Z123)</f>
        <v>0</v>
      </c>
      <c r="AB116" s="57">
        <f>IF('Eurostat EB TJ'!AA123=":",0,'Eurostat EB TJ'!AA123)</f>
        <v>0</v>
      </c>
      <c r="AC116" s="57">
        <f>IF('Eurostat EB TJ'!AB123=":",0,'Eurostat EB TJ'!AB123)</f>
        <v>0</v>
      </c>
      <c r="AD116" s="57">
        <f>IF('Eurostat EB TJ'!AC123=":",0,'Eurostat EB TJ'!AC123)</f>
        <v>0</v>
      </c>
      <c r="AE116" s="57">
        <f>IF('Eurostat EB TJ'!AD123=":",0,'Eurostat EB TJ'!AD123)</f>
        <v>0</v>
      </c>
      <c r="AF116" s="57">
        <f>IF('Eurostat EB TJ'!AE123=":",0,'Eurostat EB TJ'!AE123)</f>
        <v>0</v>
      </c>
      <c r="AG116" s="57">
        <f>IF('Eurostat EB TJ'!AF123=":",0,'Eurostat EB TJ'!AF123)</f>
        <v>3.073</v>
      </c>
      <c r="AH116" s="57">
        <f>IF('Eurostat EB TJ'!AG123=":",0,'Eurostat EB TJ'!AG123)</f>
        <v>0</v>
      </c>
      <c r="AI116" s="57">
        <f>IF('Eurostat EB TJ'!AH123=":",0,'Eurostat EB TJ'!AH123)</f>
        <v>0</v>
      </c>
      <c r="AJ116" s="57">
        <f>IF('Eurostat EB TJ'!AI123=":",0,'Eurostat EB TJ'!AI123)</f>
        <v>0</v>
      </c>
      <c r="AK116" s="57">
        <f>IF('Eurostat EB TJ'!AJ123=":",0,'Eurostat EB TJ'!AJ123)</f>
        <v>0</v>
      </c>
      <c r="AL116" s="57">
        <f>IF('Eurostat EB TJ'!AK123=":",0,'Eurostat EB TJ'!AK123)</f>
        <v>0</v>
      </c>
      <c r="AM116" s="57">
        <f>IF('Eurostat EB TJ'!AL123=":",0,'Eurostat EB TJ'!AL123)</f>
        <v>0</v>
      </c>
      <c r="AN116" s="57">
        <f>IF('Eurostat EB TJ'!AM123=":",0,'Eurostat EB TJ'!AM123)</f>
        <v>94.606999999999999</v>
      </c>
      <c r="AO116" s="57">
        <f>IF('Eurostat EB TJ'!AN123=":",0,'Eurostat EB TJ'!AN123)</f>
        <v>0</v>
      </c>
      <c r="AP116" s="57">
        <f>IF('Eurostat EB TJ'!AO123=":",0,'Eurostat EB TJ'!AO123)</f>
        <v>0</v>
      </c>
      <c r="AQ116" s="57">
        <f>IF('Eurostat EB TJ'!AP123=":",0,'Eurostat EB TJ'!AP123)</f>
        <v>0</v>
      </c>
      <c r="AR116" s="57">
        <f>IF('Eurostat EB TJ'!AQ123=":",0,'Eurostat EB TJ'!AQ123)</f>
        <v>0</v>
      </c>
      <c r="AS116" s="57">
        <f>IF('Eurostat EB TJ'!AR123=":",0,'Eurostat EB TJ'!AR123)</f>
        <v>0</v>
      </c>
      <c r="AT116" s="57">
        <f>IF('Eurostat EB TJ'!AS123=":",0,'Eurostat EB TJ'!AS123)</f>
        <v>0</v>
      </c>
      <c r="AU116" s="57">
        <f>IF('Eurostat EB TJ'!AT123=":",0,'Eurostat EB TJ'!AT123)</f>
        <v>1.1200000000000001</v>
      </c>
      <c r="AV116" s="57">
        <f>IF('Eurostat EB TJ'!AU123=":",0,'Eurostat EB TJ'!AU123)</f>
        <v>0</v>
      </c>
      <c r="AW116" s="57">
        <f>IF('Eurostat EB TJ'!AV123=":",0,'Eurostat EB TJ'!AV123)</f>
        <v>0</v>
      </c>
      <c r="AX116" s="57">
        <f>IF('Eurostat EB TJ'!AW123=":",0,'Eurostat EB TJ'!AW123)</f>
        <v>0</v>
      </c>
      <c r="AY116" s="57">
        <f>IF('Eurostat EB TJ'!AX123=":",0,'Eurostat EB TJ'!AX123)</f>
        <v>0</v>
      </c>
      <c r="AZ116" s="57">
        <f>IF('Eurostat EB TJ'!AY123=":",0,'Eurostat EB TJ'!AY123)</f>
        <v>0</v>
      </c>
      <c r="BA116" s="57">
        <f>IF('Eurostat EB TJ'!AZ123=":",0,'Eurostat EB TJ'!AZ123)</f>
        <v>0</v>
      </c>
      <c r="BB116" s="57">
        <f>IF('Eurostat EB TJ'!BA123=":",0,'Eurostat EB TJ'!BA123)</f>
        <v>0</v>
      </c>
      <c r="BC116" s="57">
        <f>IF('Eurostat EB TJ'!BB123=":",0,'Eurostat EB TJ'!BB123)</f>
        <v>0</v>
      </c>
      <c r="BD116" s="57">
        <f>IF('Eurostat EB TJ'!BC123=":",0,'Eurostat EB TJ'!BC123)</f>
        <v>0</v>
      </c>
      <c r="BE116" s="57">
        <f>IF('Eurostat EB TJ'!BD123=":",0,'Eurostat EB TJ'!BD123)</f>
        <v>0</v>
      </c>
      <c r="BF116" s="57">
        <f>IF('Eurostat EB TJ'!BE123=":",0,'Eurostat EB TJ'!BE123)</f>
        <v>0</v>
      </c>
      <c r="BG116" s="57">
        <f>IF('Eurostat EB TJ'!BF123=":",0,'Eurostat EB TJ'!BF123)</f>
        <v>0</v>
      </c>
      <c r="BH116" s="57">
        <f>IF('Eurostat EB TJ'!BG123=":",0,'Eurostat EB TJ'!BG123)</f>
        <v>0</v>
      </c>
      <c r="BI116" s="57">
        <f>IF('Eurostat EB TJ'!BH123=":",0,'Eurostat EB TJ'!BH123)</f>
        <v>0</v>
      </c>
      <c r="BJ116" s="57">
        <f>IF('Eurostat EB TJ'!BI123=":",0,'Eurostat EB TJ'!BI123)</f>
        <v>0</v>
      </c>
      <c r="BK116" s="57">
        <f>IF('Eurostat EB TJ'!BJ123=":",0,'Eurostat EB TJ'!BJ123)</f>
        <v>0</v>
      </c>
      <c r="BL116" s="57">
        <f>IF('Eurostat EB TJ'!BK123=":",0,'Eurostat EB TJ'!BK123)</f>
        <v>0</v>
      </c>
      <c r="BM116" s="57">
        <f>IF('Eurostat EB TJ'!BL123=":",0,'Eurostat EB TJ'!BL123)</f>
        <v>0</v>
      </c>
      <c r="BN116" s="57">
        <f>IF('Eurostat EB TJ'!BM123=":",0,'Eurostat EB TJ'!BM123)</f>
        <v>0</v>
      </c>
      <c r="BO116" s="57">
        <f>IF('Eurostat EB TJ'!BN123=":",0,'Eurostat EB TJ'!BN123)</f>
        <v>0</v>
      </c>
      <c r="BP116" s="57">
        <f>IF('Eurostat EB TJ'!BO123=":",0,'Eurostat EB TJ'!BO123)</f>
        <v>0</v>
      </c>
      <c r="BQ116" s="57">
        <f>IF('Eurostat EB TJ'!BP123=":",0,'Eurostat EB TJ'!BP123)</f>
        <v>0</v>
      </c>
      <c r="BR116" s="57">
        <f>IF('Eurostat EB TJ'!BQ123=":",0,'Eurostat EB TJ'!BQ123)</f>
        <v>0</v>
      </c>
      <c r="BS116" s="57">
        <f>IF('Eurostat EB TJ'!BR123=":",0,'Eurostat EB TJ'!BR123)</f>
        <v>894.95600000000002</v>
      </c>
      <c r="BT116" s="57">
        <f>IF('Eurostat EB TJ'!BS123=":",0,'Eurostat EB TJ'!BS123)</f>
        <v>1866.9480000000001</v>
      </c>
      <c r="BU116" s="57">
        <f>IF('Eurostat EB TJ'!BT123=":",0,'Eurostat EB TJ'!BT123)</f>
        <v>485.61</v>
      </c>
      <c r="BV116" s="57">
        <f>IF('Eurostat EB TJ'!BU123=":",0,'Eurostat EB TJ'!BU123)</f>
        <v>3399.4760000000001</v>
      </c>
    </row>
    <row r="117" spans="1:74" x14ac:dyDescent="0.2">
      <c r="A117" s="56" t="s">
        <v>295</v>
      </c>
      <c r="B117" s="17"/>
      <c r="C117" s="17">
        <f>IF('Eurostat EB TJ'!B124=":",0,'Eurostat EB TJ'!B124)</f>
        <v>77915.429999999993</v>
      </c>
      <c r="D117" s="17">
        <f>IF('Eurostat EB TJ'!C124=":",0,'Eurostat EB TJ'!C124)</f>
        <v>294.52499999999998</v>
      </c>
      <c r="E117" s="17">
        <f>IF('Eurostat EB TJ'!D124=":",0,'Eurostat EB TJ'!D124)</f>
        <v>0</v>
      </c>
      <c r="F117" s="17">
        <f>IF('Eurostat EB TJ'!E124=":",0,'Eurostat EB TJ'!E124)</f>
        <v>0</v>
      </c>
      <c r="G117" s="17">
        <f>IF('Eurostat EB TJ'!F124=":",0,'Eurostat EB TJ'!F124)</f>
        <v>294.52499999999998</v>
      </c>
      <c r="H117" s="17">
        <f>IF('Eurostat EB TJ'!G124=":",0,'Eurostat EB TJ'!G124)</f>
        <v>0</v>
      </c>
      <c r="I117" s="17">
        <f>IF('Eurostat EB TJ'!H124=":",0,'Eurostat EB TJ'!H124)</f>
        <v>0</v>
      </c>
      <c r="J117" s="17">
        <f>IF('Eurostat EB TJ'!I124=":",0,'Eurostat EB TJ'!I124)</f>
        <v>0</v>
      </c>
      <c r="K117" s="17">
        <f>IF('Eurostat EB TJ'!J124=":",0,'Eurostat EB TJ'!J124)</f>
        <v>0</v>
      </c>
      <c r="L117" s="17">
        <f>IF('Eurostat EB TJ'!K124=":",0,'Eurostat EB TJ'!K124)</f>
        <v>0</v>
      </c>
      <c r="M117" s="17">
        <f>IF('Eurostat EB TJ'!L124=":",0,'Eurostat EB TJ'!L124)</f>
        <v>0</v>
      </c>
      <c r="N117" s="17">
        <f>IF('Eurostat EB TJ'!M124=":",0,'Eurostat EB TJ'!M124)</f>
        <v>0</v>
      </c>
      <c r="O117" s="17">
        <f>IF('Eurostat EB TJ'!N124=":",0,'Eurostat EB TJ'!N124)</f>
        <v>0</v>
      </c>
      <c r="P117" s="17">
        <f>IF('Eurostat EB TJ'!O124=":",0,'Eurostat EB TJ'!O124)</f>
        <v>0</v>
      </c>
      <c r="Q117" s="17">
        <f>IF('Eurostat EB TJ'!P124=":",0,'Eurostat EB TJ'!P124)</f>
        <v>0</v>
      </c>
      <c r="R117" s="17">
        <f>IF('Eurostat EB TJ'!Q124=":",0,'Eurostat EB TJ'!Q124)</f>
        <v>0</v>
      </c>
      <c r="S117" s="17">
        <f>IF('Eurostat EB TJ'!R124=":",0,'Eurostat EB TJ'!R124)</f>
        <v>0</v>
      </c>
      <c r="T117" s="17">
        <f>IF('Eurostat EB TJ'!S124=":",0,'Eurostat EB TJ'!S124)</f>
        <v>0</v>
      </c>
      <c r="U117" s="17">
        <f>IF('Eurostat EB TJ'!T124=":",0,'Eurostat EB TJ'!T124)</f>
        <v>0</v>
      </c>
      <c r="V117" s="17">
        <f>IF('Eurostat EB TJ'!U124=":",0,'Eurostat EB TJ'!U124)</f>
        <v>0</v>
      </c>
      <c r="W117" s="17">
        <f>IF('Eurostat EB TJ'!V124=":",0,'Eurostat EB TJ'!V124)</f>
        <v>0</v>
      </c>
      <c r="X117" s="17">
        <f>IF('Eurostat EB TJ'!W124=":",0,'Eurostat EB TJ'!W124)</f>
        <v>50801.394999999997</v>
      </c>
      <c r="Y117" s="17">
        <f>IF('Eurostat EB TJ'!X124=":",0,'Eurostat EB TJ'!X124)</f>
        <v>70.350999999999999</v>
      </c>
      <c r="Z117" s="17">
        <f>IF('Eurostat EB TJ'!Y124=":",0,'Eurostat EB TJ'!Y124)</f>
        <v>0</v>
      </c>
      <c r="AA117" s="17">
        <f>IF('Eurostat EB TJ'!Z124=":",0,'Eurostat EB TJ'!Z124)</f>
        <v>0</v>
      </c>
      <c r="AB117" s="17">
        <f>IF('Eurostat EB TJ'!AA124=":",0,'Eurostat EB TJ'!AA124)</f>
        <v>0</v>
      </c>
      <c r="AC117" s="17">
        <f>IF('Eurostat EB TJ'!AB124=":",0,'Eurostat EB TJ'!AB124)</f>
        <v>0</v>
      </c>
      <c r="AD117" s="17">
        <f>IF('Eurostat EB TJ'!AC124=":",0,'Eurostat EB TJ'!AC124)</f>
        <v>0</v>
      </c>
      <c r="AE117" s="17">
        <f>IF('Eurostat EB TJ'!AD124=":",0,'Eurostat EB TJ'!AD124)</f>
        <v>0</v>
      </c>
      <c r="AF117" s="17">
        <f>IF('Eurostat EB TJ'!AE124=":",0,'Eurostat EB TJ'!AE124)</f>
        <v>0</v>
      </c>
      <c r="AG117" s="17">
        <f>IF('Eurostat EB TJ'!AF124=":",0,'Eurostat EB TJ'!AF124)</f>
        <v>31.228999999999999</v>
      </c>
      <c r="AH117" s="17">
        <f>IF('Eurostat EB TJ'!AG124=":",0,'Eurostat EB TJ'!AG124)</f>
        <v>0</v>
      </c>
      <c r="AI117" s="17">
        <f>IF('Eurostat EB TJ'!AH124=":",0,'Eurostat EB TJ'!AH124)</f>
        <v>0</v>
      </c>
      <c r="AJ117" s="17">
        <f>IF('Eurostat EB TJ'!AI124=":",0,'Eurostat EB TJ'!AI124)</f>
        <v>0</v>
      </c>
      <c r="AK117" s="17">
        <f>IF('Eurostat EB TJ'!AJ124=":",0,'Eurostat EB TJ'!AJ124)</f>
        <v>0</v>
      </c>
      <c r="AL117" s="17">
        <f>IF('Eurostat EB TJ'!AK124=":",0,'Eurostat EB TJ'!AK124)</f>
        <v>0</v>
      </c>
      <c r="AM117" s="17">
        <f>IF('Eurostat EB TJ'!AL124=":",0,'Eurostat EB TJ'!AL124)</f>
        <v>0</v>
      </c>
      <c r="AN117" s="17">
        <f>IF('Eurostat EB TJ'!AM124=":",0,'Eurostat EB TJ'!AM124)</f>
        <v>38.956000000000003</v>
      </c>
      <c r="AO117" s="17">
        <f>IF('Eurostat EB TJ'!AN124=":",0,'Eurostat EB TJ'!AN124)</f>
        <v>0</v>
      </c>
      <c r="AP117" s="17">
        <f>IF('Eurostat EB TJ'!AO124=":",0,'Eurostat EB TJ'!AO124)</f>
        <v>0</v>
      </c>
      <c r="AQ117" s="17">
        <f>IF('Eurostat EB TJ'!AP124=":",0,'Eurostat EB TJ'!AP124)</f>
        <v>0</v>
      </c>
      <c r="AR117" s="17">
        <f>IF('Eurostat EB TJ'!AQ124=":",0,'Eurostat EB TJ'!AQ124)</f>
        <v>0</v>
      </c>
      <c r="AS117" s="17">
        <f>IF('Eurostat EB TJ'!AR124=":",0,'Eurostat EB TJ'!AR124)</f>
        <v>0</v>
      </c>
      <c r="AT117" s="17">
        <f>IF('Eurostat EB TJ'!AS124=":",0,'Eurostat EB TJ'!AS124)</f>
        <v>0</v>
      </c>
      <c r="AU117" s="17">
        <f>IF('Eurostat EB TJ'!AT124=":",0,'Eurostat EB TJ'!AT124)</f>
        <v>0.16700000000000001</v>
      </c>
      <c r="AV117" s="17">
        <f>IF('Eurostat EB TJ'!AU124=":",0,'Eurostat EB TJ'!AU124)</f>
        <v>1291.2470000000001</v>
      </c>
      <c r="AW117" s="17">
        <f>IF('Eurostat EB TJ'!AV124=":",0,'Eurostat EB TJ'!AV124)</f>
        <v>0</v>
      </c>
      <c r="AX117" s="17">
        <f>IF('Eurostat EB TJ'!AW124=":",0,'Eurostat EB TJ'!AW124)</f>
        <v>0</v>
      </c>
      <c r="AY117" s="17">
        <f>IF('Eurostat EB TJ'!AX124=":",0,'Eurostat EB TJ'!AX124)</f>
        <v>0</v>
      </c>
      <c r="AZ117" s="17">
        <f>IF('Eurostat EB TJ'!AY124=":",0,'Eurostat EB TJ'!AY124)</f>
        <v>0</v>
      </c>
      <c r="BA117" s="17">
        <f>IF('Eurostat EB TJ'!AZ124=":",0,'Eurostat EB TJ'!AZ124)</f>
        <v>0</v>
      </c>
      <c r="BB117" s="17">
        <f>IF('Eurostat EB TJ'!BA124=":",0,'Eurostat EB TJ'!BA124)</f>
        <v>0</v>
      </c>
      <c r="BC117" s="17">
        <f>IF('Eurostat EB TJ'!BB124=":",0,'Eurostat EB TJ'!BB124)</f>
        <v>0</v>
      </c>
      <c r="BD117" s="17">
        <f>IF('Eurostat EB TJ'!BC124=":",0,'Eurostat EB TJ'!BC124)</f>
        <v>0</v>
      </c>
      <c r="BE117" s="17">
        <f>IF('Eurostat EB TJ'!BD124=":",0,'Eurostat EB TJ'!BD124)</f>
        <v>0</v>
      </c>
      <c r="BF117" s="17">
        <f>IF('Eurostat EB TJ'!BE124=":",0,'Eurostat EB TJ'!BE124)</f>
        <v>0</v>
      </c>
      <c r="BG117" s="17">
        <f>IF('Eurostat EB TJ'!BF124=":",0,'Eurostat EB TJ'!BF124)</f>
        <v>0</v>
      </c>
      <c r="BH117" s="17">
        <f>IF('Eurostat EB TJ'!BG124=":",0,'Eurostat EB TJ'!BG124)</f>
        <v>0</v>
      </c>
      <c r="BI117" s="17">
        <f>IF('Eurostat EB TJ'!BH124=":",0,'Eurostat EB TJ'!BH124)</f>
        <v>0</v>
      </c>
      <c r="BJ117" s="17">
        <f>IF('Eurostat EB TJ'!BI124=":",0,'Eurostat EB TJ'!BI124)</f>
        <v>0</v>
      </c>
      <c r="BK117" s="17">
        <f>IF('Eurostat EB TJ'!BJ124=":",0,'Eurostat EB TJ'!BJ124)</f>
        <v>0</v>
      </c>
      <c r="BL117" s="17">
        <f>IF('Eurostat EB TJ'!BK124=":",0,'Eurostat EB TJ'!BK124)</f>
        <v>51.48</v>
      </c>
      <c r="BM117" s="17">
        <f>IF('Eurostat EB TJ'!BL124=":",0,'Eurostat EB TJ'!BL124)</f>
        <v>1239.7670000000001</v>
      </c>
      <c r="BN117" s="17">
        <f>IF('Eurostat EB TJ'!BM124=":",0,'Eurostat EB TJ'!BM124)</f>
        <v>0</v>
      </c>
      <c r="BO117" s="17">
        <f>IF('Eurostat EB TJ'!BN124=":",0,'Eurostat EB TJ'!BN124)</f>
        <v>0</v>
      </c>
      <c r="BP117" s="17">
        <f>IF('Eurostat EB TJ'!BO124=":",0,'Eurostat EB TJ'!BO124)</f>
        <v>0</v>
      </c>
      <c r="BQ117" s="17">
        <f>IF('Eurostat EB TJ'!BP124=":",0,'Eurostat EB TJ'!BP124)</f>
        <v>0</v>
      </c>
      <c r="BR117" s="17">
        <f>IF('Eurostat EB TJ'!BQ124=":",0,'Eurostat EB TJ'!BQ124)</f>
        <v>0</v>
      </c>
      <c r="BS117" s="17">
        <f>IF('Eurostat EB TJ'!BR124=":",0,'Eurostat EB TJ'!BR124)</f>
        <v>24213.146000000001</v>
      </c>
      <c r="BT117" s="17">
        <f>IF('Eurostat EB TJ'!BS124=":",0,'Eurostat EB TJ'!BS124)</f>
        <v>1244.7650000000001</v>
      </c>
      <c r="BU117" s="17">
        <f>IF('Eurostat EB TJ'!BT124=":",0,'Eurostat EB TJ'!BT124)</f>
        <v>3696.8180000000002</v>
      </c>
      <c r="BV117" s="17">
        <f>IF('Eurostat EB TJ'!BU124=":",0,'Eurostat EB TJ'!BU124)</f>
        <v>63389.207999999999</v>
      </c>
    </row>
    <row r="118" spans="1:74" x14ac:dyDescent="0.2">
      <c r="A118" s="56" t="s">
        <v>296</v>
      </c>
      <c r="B118" s="57"/>
      <c r="C118" s="57">
        <f>IF('Eurostat EB TJ'!B125=":",0,'Eurostat EB TJ'!B125)</f>
        <v>16575.885999999999</v>
      </c>
      <c r="D118" s="57">
        <f>IF('Eurostat EB TJ'!C125=":",0,'Eurostat EB TJ'!C125)</f>
        <v>0</v>
      </c>
      <c r="E118" s="57">
        <f>IF('Eurostat EB TJ'!D125=":",0,'Eurostat EB TJ'!D125)</f>
        <v>0</v>
      </c>
      <c r="F118" s="57">
        <f>IF('Eurostat EB TJ'!E125=":",0,'Eurostat EB TJ'!E125)</f>
        <v>0</v>
      </c>
      <c r="G118" s="57">
        <f>IF('Eurostat EB TJ'!F125=":",0,'Eurostat EB TJ'!F125)</f>
        <v>0</v>
      </c>
      <c r="H118" s="57">
        <f>IF('Eurostat EB TJ'!G125=":",0,'Eurostat EB TJ'!G125)</f>
        <v>0</v>
      </c>
      <c r="I118" s="57">
        <f>IF('Eurostat EB TJ'!H125=":",0,'Eurostat EB TJ'!H125)</f>
        <v>0</v>
      </c>
      <c r="J118" s="57">
        <f>IF('Eurostat EB TJ'!I125=":",0,'Eurostat EB TJ'!I125)</f>
        <v>0</v>
      </c>
      <c r="K118" s="57">
        <f>IF('Eurostat EB TJ'!J125=":",0,'Eurostat EB TJ'!J125)</f>
        <v>0</v>
      </c>
      <c r="L118" s="57">
        <f>IF('Eurostat EB TJ'!K125=":",0,'Eurostat EB TJ'!K125)</f>
        <v>0</v>
      </c>
      <c r="M118" s="57">
        <f>IF('Eurostat EB TJ'!L125=":",0,'Eurostat EB TJ'!L125)</f>
        <v>0</v>
      </c>
      <c r="N118" s="57">
        <f>IF('Eurostat EB TJ'!M125=":",0,'Eurostat EB TJ'!M125)</f>
        <v>0</v>
      </c>
      <c r="O118" s="57">
        <f>IF('Eurostat EB TJ'!N125=":",0,'Eurostat EB TJ'!N125)</f>
        <v>0</v>
      </c>
      <c r="P118" s="57">
        <f>IF('Eurostat EB TJ'!O125=":",0,'Eurostat EB TJ'!O125)</f>
        <v>0</v>
      </c>
      <c r="Q118" s="57">
        <f>IF('Eurostat EB TJ'!P125=":",0,'Eurostat EB TJ'!P125)</f>
        <v>0</v>
      </c>
      <c r="R118" s="57">
        <f>IF('Eurostat EB TJ'!Q125=":",0,'Eurostat EB TJ'!Q125)</f>
        <v>0</v>
      </c>
      <c r="S118" s="57">
        <f>IF('Eurostat EB TJ'!R125=":",0,'Eurostat EB TJ'!R125)</f>
        <v>0</v>
      </c>
      <c r="T118" s="57">
        <f>IF('Eurostat EB TJ'!S125=":",0,'Eurostat EB TJ'!S125)</f>
        <v>0</v>
      </c>
      <c r="U118" s="57">
        <f>IF('Eurostat EB TJ'!T125=":",0,'Eurostat EB TJ'!T125)</f>
        <v>0</v>
      </c>
      <c r="V118" s="57">
        <f>IF('Eurostat EB TJ'!U125=":",0,'Eurostat EB TJ'!U125)</f>
        <v>0</v>
      </c>
      <c r="W118" s="57">
        <f>IF('Eurostat EB TJ'!V125=":",0,'Eurostat EB TJ'!V125)</f>
        <v>0</v>
      </c>
      <c r="X118" s="57">
        <f>IF('Eurostat EB TJ'!W125=":",0,'Eurostat EB TJ'!W125)</f>
        <v>9934.5470000000005</v>
      </c>
      <c r="Y118" s="57">
        <f>IF('Eurostat EB TJ'!X125=":",0,'Eurostat EB TJ'!X125)</f>
        <v>50.548999999999999</v>
      </c>
      <c r="Z118" s="57">
        <f>IF('Eurostat EB TJ'!Y125=":",0,'Eurostat EB TJ'!Y125)</f>
        <v>0</v>
      </c>
      <c r="AA118" s="57">
        <f>IF('Eurostat EB TJ'!Z125=":",0,'Eurostat EB TJ'!Z125)</f>
        <v>0</v>
      </c>
      <c r="AB118" s="57">
        <f>IF('Eurostat EB TJ'!AA125=":",0,'Eurostat EB TJ'!AA125)</f>
        <v>0</v>
      </c>
      <c r="AC118" s="57">
        <f>IF('Eurostat EB TJ'!AB125=":",0,'Eurostat EB TJ'!AB125)</f>
        <v>0</v>
      </c>
      <c r="AD118" s="57">
        <f>IF('Eurostat EB TJ'!AC125=":",0,'Eurostat EB TJ'!AC125)</f>
        <v>0</v>
      </c>
      <c r="AE118" s="57">
        <f>IF('Eurostat EB TJ'!AD125=":",0,'Eurostat EB TJ'!AD125)</f>
        <v>0</v>
      </c>
      <c r="AF118" s="57">
        <f>IF('Eurostat EB TJ'!AE125=":",0,'Eurostat EB TJ'!AE125)</f>
        <v>0</v>
      </c>
      <c r="AG118" s="57">
        <f>IF('Eurostat EB TJ'!AF125=":",0,'Eurostat EB TJ'!AF125)</f>
        <v>43.656999999999996</v>
      </c>
      <c r="AH118" s="57">
        <f>IF('Eurostat EB TJ'!AG125=":",0,'Eurostat EB TJ'!AG125)</f>
        <v>0</v>
      </c>
      <c r="AI118" s="57">
        <f>IF('Eurostat EB TJ'!AH125=":",0,'Eurostat EB TJ'!AH125)</f>
        <v>0</v>
      </c>
      <c r="AJ118" s="57">
        <f>IF('Eurostat EB TJ'!AI125=":",0,'Eurostat EB TJ'!AI125)</f>
        <v>0</v>
      </c>
      <c r="AK118" s="57">
        <f>IF('Eurostat EB TJ'!AJ125=":",0,'Eurostat EB TJ'!AJ125)</f>
        <v>0</v>
      </c>
      <c r="AL118" s="57">
        <f>IF('Eurostat EB TJ'!AK125=":",0,'Eurostat EB TJ'!AK125)</f>
        <v>0</v>
      </c>
      <c r="AM118" s="57">
        <f>IF('Eurostat EB TJ'!AL125=":",0,'Eurostat EB TJ'!AL125)</f>
        <v>0</v>
      </c>
      <c r="AN118" s="57">
        <f>IF('Eurostat EB TJ'!AM125=":",0,'Eurostat EB TJ'!AM125)</f>
        <v>6.7729999999999997</v>
      </c>
      <c r="AO118" s="57">
        <f>IF('Eurostat EB TJ'!AN125=":",0,'Eurostat EB TJ'!AN125)</f>
        <v>0</v>
      </c>
      <c r="AP118" s="57">
        <f>IF('Eurostat EB TJ'!AO125=":",0,'Eurostat EB TJ'!AO125)</f>
        <v>0</v>
      </c>
      <c r="AQ118" s="57">
        <f>IF('Eurostat EB TJ'!AP125=":",0,'Eurostat EB TJ'!AP125)</f>
        <v>0</v>
      </c>
      <c r="AR118" s="57">
        <f>IF('Eurostat EB TJ'!AQ125=":",0,'Eurostat EB TJ'!AQ125)</f>
        <v>0</v>
      </c>
      <c r="AS118" s="57">
        <f>IF('Eurostat EB TJ'!AR125=":",0,'Eurostat EB TJ'!AR125)</f>
        <v>0</v>
      </c>
      <c r="AT118" s="57">
        <f>IF('Eurostat EB TJ'!AS125=":",0,'Eurostat EB TJ'!AS125)</f>
        <v>0</v>
      </c>
      <c r="AU118" s="57">
        <f>IF('Eurostat EB TJ'!AT125=":",0,'Eurostat EB TJ'!AT125)</f>
        <v>0.11899999999999999</v>
      </c>
      <c r="AV118" s="57">
        <f>IF('Eurostat EB TJ'!AU125=":",0,'Eurostat EB TJ'!AU125)</f>
        <v>392.61700000000002</v>
      </c>
      <c r="AW118" s="57">
        <f>IF('Eurostat EB TJ'!AV125=":",0,'Eurostat EB TJ'!AV125)</f>
        <v>0</v>
      </c>
      <c r="AX118" s="57">
        <f>IF('Eurostat EB TJ'!AW125=":",0,'Eurostat EB TJ'!AW125)</f>
        <v>0</v>
      </c>
      <c r="AY118" s="57">
        <f>IF('Eurostat EB TJ'!AX125=":",0,'Eurostat EB TJ'!AX125)</f>
        <v>0</v>
      </c>
      <c r="AZ118" s="57">
        <f>IF('Eurostat EB TJ'!AY125=":",0,'Eurostat EB TJ'!AY125)</f>
        <v>0</v>
      </c>
      <c r="BA118" s="57">
        <f>IF('Eurostat EB TJ'!AZ125=":",0,'Eurostat EB TJ'!AZ125)</f>
        <v>0</v>
      </c>
      <c r="BB118" s="57">
        <f>IF('Eurostat EB TJ'!BA125=":",0,'Eurostat EB TJ'!BA125)</f>
        <v>0</v>
      </c>
      <c r="BC118" s="57">
        <f>IF('Eurostat EB TJ'!BB125=":",0,'Eurostat EB TJ'!BB125)</f>
        <v>0</v>
      </c>
      <c r="BD118" s="57">
        <f>IF('Eurostat EB TJ'!BC125=":",0,'Eurostat EB TJ'!BC125)</f>
        <v>0</v>
      </c>
      <c r="BE118" s="57">
        <f>IF('Eurostat EB TJ'!BD125=":",0,'Eurostat EB TJ'!BD125)</f>
        <v>0</v>
      </c>
      <c r="BF118" s="57">
        <f>IF('Eurostat EB TJ'!BE125=":",0,'Eurostat EB TJ'!BE125)</f>
        <v>0</v>
      </c>
      <c r="BG118" s="57">
        <f>IF('Eurostat EB TJ'!BF125=":",0,'Eurostat EB TJ'!BF125)</f>
        <v>0</v>
      </c>
      <c r="BH118" s="57">
        <f>IF('Eurostat EB TJ'!BG125=":",0,'Eurostat EB TJ'!BG125)</f>
        <v>0</v>
      </c>
      <c r="BI118" s="57">
        <f>IF('Eurostat EB TJ'!BH125=":",0,'Eurostat EB TJ'!BH125)</f>
        <v>0</v>
      </c>
      <c r="BJ118" s="57">
        <f>IF('Eurostat EB TJ'!BI125=":",0,'Eurostat EB TJ'!BI125)</f>
        <v>0</v>
      </c>
      <c r="BK118" s="57">
        <f>IF('Eurostat EB TJ'!BJ125=":",0,'Eurostat EB TJ'!BJ125)</f>
        <v>0</v>
      </c>
      <c r="BL118" s="57">
        <f>IF('Eurostat EB TJ'!BK125=":",0,'Eurostat EB TJ'!BK125)</f>
        <v>0</v>
      </c>
      <c r="BM118" s="57">
        <f>IF('Eurostat EB TJ'!BL125=":",0,'Eurostat EB TJ'!BL125)</f>
        <v>392.61700000000002</v>
      </c>
      <c r="BN118" s="57">
        <f>IF('Eurostat EB TJ'!BM125=":",0,'Eurostat EB TJ'!BM125)</f>
        <v>186.16900000000001</v>
      </c>
      <c r="BO118" s="57">
        <f>IF('Eurostat EB TJ'!BN125=":",0,'Eurostat EB TJ'!BN125)</f>
        <v>0</v>
      </c>
      <c r="BP118" s="57">
        <f>IF('Eurostat EB TJ'!BO125=":",0,'Eurostat EB TJ'!BO125)</f>
        <v>0</v>
      </c>
      <c r="BQ118" s="57">
        <f>IF('Eurostat EB TJ'!BP125=":",0,'Eurostat EB TJ'!BP125)</f>
        <v>186.16900000000001</v>
      </c>
      <c r="BR118" s="57">
        <f>IF('Eurostat EB TJ'!BQ125=":",0,'Eurostat EB TJ'!BQ125)</f>
        <v>0</v>
      </c>
      <c r="BS118" s="57">
        <f>IF('Eurostat EB TJ'!BR125=":",0,'Eurostat EB TJ'!BR125)</f>
        <v>5855.3059999999996</v>
      </c>
      <c r="BT118" s="57">
        <f>IF('Eurostat EB TJ'!BS125=":",0,'Eurostat EB TJ'!BS125)</f>
        <v>156.697</v>
      </c>
      <c r="BU118" s="57">
        <f>IF('Eurostat EB TJ'!BT125=":",0,'Eurostat EB TJ'!BT125)</f>
        <v>918.58500000000004</v>
      </c>
      <c r="BV118" s="57">
        <f>IF('Eurostat EB TJ'!BU125=":",0,'Eurostat EB TJ'!BU125)</f>
        <v>13050.92</v>
      </c>
    </row>
    <row r="119" spans="1:74" x14ac:dyDescent="0.2">
      <c r="A119" s="56" t="s">
        <v>297</v>
      </c>
      <c r="B119" s="17"/>
      <c r="C119" s="17">
        <f>IF('Eurostat EB TJ'!B126=":",0,'Eurostat EB TJ'!B126)</f>
        <v>2709.49</v>
      </c>
      <c r="D119" s="17">
        <f>IF('Eurostat EB TJ'!C126=":",0,'Eurostat EB TJ'!C126)</f>
        <v>0</v>
      </c>
      <c r="E119" s="17">
        <f>IF('Eurostat EB TJ'!D126=":",0,'Eurostat EB TJ'!D126)</f>
        <v>0</v>
      </c>
      <c r="F119" s="17">
        <f>IF('Eurostat EB TJ'!E126=":",0,'Eurostat EB TJ'!E126)</f>
        <v>0</v>
      </c>
      <c r="G119" s="17">
        <f>IF('Eurostat EB TJ'!F126=":",0,'Eurostat EB TJ'!F126)</f>
        <v>0</v>
      </c>
      <c r="H119" s="17">
        <f>IF('Eurostat EB TJ'!G126=":",0,'Eurostat EB TJ'!G126)</f>
        <v>0</v>
      </c>
      <c r="I119" s="17">
        <f>IF('Eurostat EB TJ'!H126=":",0,'Eurostat EB TJ'!H126)</f>
        <v>0</v>
      </c>
      <c r="J119" s="17">
        <f>IF('Eurostat EB TJ'!I126=":",0,'Eurostat EB TJ'!I126)</f>
        <v>0</v>
      </c>
      <c r="K119" s="17">
        <f>IF('Eurostat EB TJ'!J126=":",0,'Eurostat EB TJ'!J126)</f>
        <v>0</v>
      </c>
      <c r="L119" s="17">
        <f>IF('Eurostat EB TJ'!K126=":",0,'Eurostat EB TJ'!K126)</f>
        <v>0</v>
      </c>
      <c r="M119" s="17">
        <f>IF('Eurostat EB TJ'!L126=":",0,'Eurostat EB TJ'!L126)</f>
        <v>0</v>
      </c>
      <c r="N119" s="17">
        <f>IF('Eurostat EB TJ'!M126=":",0,'Eurostat EB TJ'!M126)</f>
        <v>0</v>
      </c>
      <c r="O119" s="17">
        <f>IF('Eurostat EB TJ'!N126=":",0,'Eurostat EB TJ'!N126)</f>
        <v>0</v>
      </c>
      <c r="P119" s="17">
        <f>IF('Eurostat EB TJ'!O126=":",0,'Eurostat EB TJ'!O126)</f>
        <v>0</v>
      </c>
      <c r="Q119" s="17">
        <f>IF('Eurostat EB TJ'!P126=":",0,'Eurostat EB TJ'!P126)</f>
        <v>0</v>
      </c>
      <c r="R119" s="17">
        <f>IF('Eurostat EB TJ'!Q126=":",0,'Eurostat EB TJ'!Q126)</f>
        <v>0</v>
      </c>
      <c r="S119" s="17">
        <f>IF('Eurostat EB TJ'!R126=":",0,'Eurostat EB TJ'!R126)</f>
        <v>0</v>
      </c>
      <c r="T119" s="17">
        <f>IF('Eurostat EB TJ'!S126=":",0,'Eurostat EB TJ'!S126)</f>
        <v>0</v>
      </c>
      <c r="U119" s="17">
        <f>IF('Eurostat EB TJ'!T126=":",0,'Eurostat EB TJ'!T126)</f>
        <v>0</v>
      </c>
      <c r="V119" s="17">
        <f>IF('Eurostat EB TJ'!U126=":",0,'Eurostat EB TJ'!U126)</f>
        <v>0</v>
      </c>
      <c r="W119" s="17">
        <f>IF('Eurostat EB TJ'!V126=":",0,'Eurostat EB TJ'!V126)</f>
        <v>0</v>
      </c>
      <c r="X119" s="17">
        <f>IF('Eurostat EB TJ'!W126=":",0,'Eurostat EB TJ'!W126)</f>
        <v>687.13499999999999</v>
      </c>
      <c r="Y119" s="17">
        <f>IF('Eurostat EB TJ'!X126=":",0,'Eurostat EB TJ'!X126)</f>
        <v>26.370999999999999</v>
      </c>
      <c r="Z119" s="17">
        <f>IF('Eurostat EB TJ'!Y126=":",0,'Eurostat EB TJ'!Y126)</f>
        <v>0</v>
      </c>
      <c r="AA119" s="17">
        <f>IF('Eurostat EB TJ'!Z126=":",0,'Eurostat EB TJ'!Z126)</f>
        <v>0</v>
      </c>
      <c r="AB119" s="17">
        <f>IF('Eurostat EB TJ'!AA126=":",0,'Eurostat EB TJ'!AA126)</f>
        <v>0</v>
      </c>
      <c r="AC119" s="17">
        <f>IF('Eurostat EB TJ'!AB126=":",0,'Eurostat EB TJ'!AB126)</f>
        <v>0</v>
      </c>
      <c r="AD119" s="17">
        <f>IF('Eurostat EB TJ'!AC126=":",0,'Eurostat EB TJ'!AC126)</f>
        <v>0</v>
      </c>
      <c r="AE119" s="17">
        <f>IF('Eurostat EB TJ'!AD126=":",0,'Eurostat EB TJ'!AD126)</f>
        <v>0</v>
      </c>
      <c r="AF119" s="17">
        <f>IF('Eurostat EB TJ'!AE126=":",0,'Eurostat EB TJ'!AE126)</f>
        <v>0</v>
      </c>
      <c r="AG119" s="17">
        <f>IF('Eurostat EB TJ'!AF126=":",0,'Eurostat EB TJ'!AF126)</f>
        <v>2.169</v>
      </c>
      <c r="AH119" s="17">
        <f>IF('Eurostat EB TJ'!AG126=":",0,'Eurostat EB TJ'!AG126)</f>
        <v>0</v>
      </c>
      <c r="AI119" s="17">
        <f>IF('Eurostat EB TJ'!AH126=":",0,'Eurostat EB TJ'!AH126)</f>
        <v>0</v>
      </c>
      <c r="AJ119" s="17">
        <f>IF('Eurostat EB TJ'!AI126=":",0,'Eurostat EB TJ'!AI126)</f>
        <v>0</v>
      </c>
      <c r="AK119" s="17">
        <f>IF('Eurostat EB TJ'!AJ126=":",0,'Eurostat EB TJ'!AJ126)</f>
        <v>0</v>
      </c>
      <c r="AL119" s="17">
        <f>IF('Eurostat EB TJ'!AK126=":",0,'Eurostat EB TJ'!AK126)</f>
        <v>0</v>
      </c>
      <c r="AM119" s="17">
        <f>IF('Eurostat EB TJ'!AL126=":",0,'Eurostat EB TJ'!AL126)</f>
        <v>0</v>
      </c>
      <c r="AN119" s="17">
        <f>IF('Eurostat EB TJ'!AM126=":",0,'Eurostat EB TJ'!AM126)</f>
        <v>24.202000000000002</v>
      </c>
      <c r="AO119" s="17">
        <f>IF('Eurostat EB TJ'!AN126=":",0,'Eurostat EB TJ'!AN126)</f>
        <v>0</v>
      </c>
      <c r="AP119" s="17">
        <f>IF('Eurostat EB TJ'!AO126=":",0,'Eurostat EB TJ'!AO126)</f>
        <v>0</v>
      </c>
      <c r="AQ119" s="17">
        <f>IF('Eurostat EB TJ'!AP126=":",0,'Eurostat EB TJ'!AP126)</f>
        <v>0</v>
      </c>
      <c r="AR119" s="17">
        <f>IF('Eurostat EB TJ'!AQ126=":",0,'Eurostat EB TJ'!AQ126)</f>
        <v>0</v>
      </c>
      <c r="AS119" s="17">
        <f>IF('Eurostat EB TJ'!AR126=":",0,'Eurostat EB TJ'!AR126)</f>
        <v>0</v>
      </c>
      <c r="AT119" s="17">
        <f>IF('Eurostat EB TJ'!AS126=":",0,'Eurostat EB TJ'!AS126)</f>
        <v>0</v>
      </c>
      <c r="AU119" s="17">
        <f>IF('Eurostat EB TJ'!AT126=":",0,'Eurostat EB TJ'!AT126)</f>
        <v>0</v>
      </c>
      <c r="AV119" s="17">
        <f>IF('Eurostat EB TJ'!AU126=":",0,'Eurostat EB TJ'!AU126)</f>
        <v>881.14800000000002</v>
      </c>
      <c r="AW119" s="17">
        <f>IF('Eurostat EB TJ'!AV126=":",0,'Eurostat EB TJ'!AV126)</f>
        <v>0</v>
      </c>
      <c r="AX119" s="17">
        <f>IF('Eurostat EB TJ'!AW126=":",0,'Eurostat EB TJ'!AW126)</f>
        <v>0</v>
      </c>
      <c r="AY119" s="17">
        <f>IF('Eurostat EB TJ'!AX126=":",0,'Eurostat EB TJ'!AX126)</f>
        <v>0</v>
      </c>
      <c r="AZ119" s="17">
        <f>IF('Eurostat EB TJ'!AY126=":",0,'Eurostat EB TJ'!AY126)</f>
        <v>0</v>
      </c>
      <c r="BA119" s="17">
        <f>IF('Eurostat EB TJ'!AZ126=":",0,'Eurostat EB TJ'!AZ126)</f>
        <v>0</v>
      </c>
      <c r="BB119" s="17">
        <f>IF('Eurostat EB TJ'!BA126=":",0,'Eurostat EB TJ'!BA126)</f>
        <v>0</v>
      </c>
      <c r="BC119" s="17">
        <f>IF('Eurostat EB TJ'!BB126=":",0,'Eurostat EB TJ'!BB126)</f>
        <v>0</v>
      </c>
      <c r="BD119" s="17">
        <f>IF('Eurostat EB TJ'!BC126=":",0,'Eurostat EB TJ'!BC126)</f>
        <v>881.14800000000002</v>
      </c>
      <c r="BE119" s="17">
        <f>IF('Eurostat EB TJ'!BD126=":",0,'Eurostat EB TJ'!BD126)</f>
        <v>0</v>
      </c>
      <c r="BF119" s="17">
        <f>IF('Eurostat EB TJ'!BE126=":",0,'Eurostat EB TJ'!BE126)</f>
        <v>0</v>
      </c>
      <c r="BG119" s="17">
        <f>IF('Eurostat EB TJ'!BF126=":",0,'Eurostat EB TJ'!BF126)</f>
        <v>0</v>
      </c>
      <c r="BH119" s="17">
        <f>IF('Eurostat EB TJ'!BG126=":",0,'Eurostat EB TJ'!BG126)</f>
        <v>0</v>
      </c>
      <c r="BI119" s="17">
        <f>IF('Eurostat EB TJ'!BH126=":",0,'Eurostat EB TJ'!BH126)</f>
        <v>0</v>
      </c>
      <c r="BJ119" s="17">
        <f>IF('Eurostat EB TJ'!BI126=":",0,'Eurostat EB TJ'!BI126)</f>
        <v>0</v>
      </c>
      <c r="BK119" s="17">
        <f>IF('Eurostat EB TJ'!BJ126=":",0,'Eurostat EB TJ'!BJ126)</f>
        <v>0</v>
      </c>
      <c r="BL119" s="17">
        <f>IF('Eurostat EB TJ'!BK126=":",0,'Eurostat EB TJ'!BK126)</f>
        <v>0</v>
      </c>
      <c r="BM119" s="17">
        <f>IF('Eurostat EB TJ'!BL126=":",0,'Eurostat EB TJ'!BL126)</f>
        <v>0</v>
      </c>
      <c r="BN119" s="17">
        <f>IF('Eurostat EB TJ'!BM126=":",0,'Eurostat EB TJ'!BM126)</f>
        <v>0</v>
      </c>
      <c r="BO119" s="17">
        <f>IF('Eurostat EB TJ'!BN126=":",0,'Eurostat EB TJ'!BN126)</f>
        <v>0</v>
      </c>
      <c r="BP119" s="17">
        <f>IF('Eurostat EB TJ'!BO126=":",0,'Eurostat EB TJ'!BO126)</f>
        <v>0</v>
      </c>
      <c r="BQ119" s="17">
        <f>IF('Eurostat EB TJ'!BP126=":",0,'Eurostat EB TJ'!BP126)</f>
        <v>0</v>
      </c>
      <c r="BR119" s="17">
        <f>IF('Eurostat EB TJ'!BQ126=":",0,'Eurostat EB TJ'!BQ126)</f>
        <v>0</v>
      </c>
      <c r="BS119" s="17">
        <f>IF('Eurostat EB TJ'!BR126=":",0,'Eurostat EB TJ'!BR126)</f>
        <v>1108.0039999999999</v>
      </c>
      <c r="BT119" s="17">
        <f>IF('Eurostat EB TJ'!BS126=":",0,'Eurostat EB TJ'!BS126)</f>
        <v>6.8319999999999999</v>
      </c>
      <c r="BU119" s="17">
        <f>IF('Eurostat EB TJ'!BT126=":",0,'Eurostat EB TJ'!BT126)</f>
        <v>963.45</v>
      </c>
      <c r="BV119" s="17">
        <f>IF('Eurostat EB TJ'!BU126=":",0,'Eurostat EB TJ'!BU126)</f>
        <v>1254.797</v>
      </c>
    </row>
    <row r="120" spans="1:74" x14ac:dyDescent="0.2">
      <c r="A120" s="56" t="s">
        <v>298</v>
      </c>
      <c r="B120" s="57"/>
      <c r="C120" s="57">
        <f>IF('Eurostat EB TJ'!B127=":",0,'Eurostat EB TJ'!B127)</f>
        <v>28750.002</v>
      </c>
      <c r="D120" s="57">
        <f>IF('Eurostat EB TJ'!C127=":",0,'Eurostat EB TJ'!C127)</f>
        <v>0</v>
      </c>
      <c r="E120" s="57">
        <f>IF('Eurostat EB TJ'!D127=":",0,'Eurostat EB TJ'!D127)</f>
        <v>0</v>
      </c>
      <c r="F120" s="57">
        <f>IF('Eurostat EB TJ'!E127=":",0,'Eurostat EB TJ'!E127)</f>
        <v>0</v>
      </c>
      <c r="G120" s="57">
        <f>IF('Eurostat EB TJ'!F127=":",0,'Eurostat EB TJ'!F127)</f>
        <v>0</v>
      </c>
      <c r="H120" s="57">
        <f>IF('Eurostat EB TJ'!G127=":",0,'Eurostat EB TJ'!G127)</f>
        <v>0</v>
      </c>
      <c r="I120" s="57">
        <f>IF('Eurostat EB TJ'!H127=":",0,'Eurostat EB TJ'!H127)</f>
        <v>0</v>
      </c>
      <c r="J120" s="57">
        <f>IF('Eurostat EB TJ'!I127=":",0,'Eurostat EB TJ'!I127)</f>
        <v>0</v>
      </c>
      <c r="K120" s="57">
        <f>IF('Eurostat EB TJ'!J127=":",0,'Eurostat EB TJ'!J127)</f>
        <v>0</v>
      </c>
      <c r="L120" s="57">
        <f>IF('Eurostat EB TJ'!K127=":",0,'Eurostat EB TJ'!K127)</f>
        <v>0</v>
      </c>
      <c r="M120" s="57">
        <f>IF('Eurostat EB TJ'!L127=":",0,'Eurostat EB TJ'!L127)</f>
        <v>0</v>
      </c>
      <c r="N120" s="57">
        <f>IF('Eurostat EB TJ'!M127=":",0,'Eurostat EB TJ'!M127)</f>
        <v>0</v>
      </c>
      <c r="O120" s="57">
        <f>IF('Eurostat EB TJ'!N127=":",0,'Eurostat EB TJ'!N127)</f>
        <v>0</v>
      </c>
      <c r="P120" s="57">
        <f>IF('Eurostat EB TJ'!O127=":",0,'Eurostat EB TJ'!O127)</f>
        <v>0</v>
      </c>
      <c r="Q120" s="57">
        <f>IF('Eurostat EB TJ'!P127=":",0,'Eurostat EB TJ'!P127)</f>
        <v>0</v>
      </c>
      <c r="R120" s="57">
        <f>IF('Eurostat EB TJ'!Q127=":",0,'Eurostat EB TJ'!Q127)</f>
        <v>0</v>
      </c>
      <c r="S120" s="57">
        <f>IF('Eurostat EB TJ'!R127=":",0,'Eurostat EB TJ'!R127)</f>
        <v>0</v>
      </c>
      <c r="T120" s="57">
        <f>IF('Eurostat EB TJ'!S127=":",0,'Eurostat EB TJ'!S127)</f>
        <v>0</v>
      </c>
      <c r="U120" s="57">
        <f>IF('Eurostat EB TJ'!T127=":",0,'Eurostat EB TJ'!T127)</f>
        <v>0</v>
      </c>
      <c r="V120" s="57">
        <f>IF('Eurostat EB TJ'!U127=":",0,'Eurostat EB TJ'!U127)</f>
        <v>0</v>
      </c>
      <c r="W120" s="57">
        <f>IF('Eurostat EB TJ'!V127=":",0,'Eurostat EB TJ'!V127)</f>
        <v>0</v>
      </c>
      <c r="X120" s="57">
        <f>IF('Eurostat EB TJ'!W127=":",0,'Eurostat EB TJ'!W127)</f>
        <v>2405.913</v>
      </c>
      <c r="Y120" s="57">
        <f>IF('Eurostat EB TJ'!X127=":",0,'Eurostat EB TJ'!X127)</f>
        <v>20459.717000000001</v>
      </c>
      <c r="Z120" s="57">
        <f>IF('Eurostat EB TJ'!Y127=":",0,'Eurostat EB TJ'!Y127)</f>
        <v>0</v>
      </c>
      <c r="AA120" s="57">
        <f>IF('Eurostat EB TJ'!Z127=":",0,'Eurostat EB TJ'!Z127)</f>
        <v>0</v>
      </c>
      <c r="AB120" s="57">
        <f>IF('Eurostat EB TJ'!AA127=":",0,'Eurostat EB TJ'!AA127)</f>
        <v>0</v>
      </c>
      <c r="AC120" s="57">
        <f>IF('Eurostat EB TJ'!AB127=":",0,'Eurostat EB TJ'!AB127)</f>
        <v>0</v>
      </c>
      <c r="AD120" s="57">
        <f>IF('Eurostat EB TJ'!AC127=":",0,'Eurostat EB TJ'!AC127)</f>
        <v>0</v>
      </c>
      <c r="AE120" s="57">
        <f>IF('Eurostat EB TJ'!AD127=":",0,'Eurostat EB TJ'!AD127)</f>
        <v>0</v>
      </c>
      <c r="AF120" s="57">
        <f>IF('Eurostat EB TJ'!AE127=":",0,'Eurostat EB TJ'!AE127)</f>
        <v>0</v>
      </c>
      <c r="AG120" s="57">
        <f>IF('Eurostat EB TJ'!AF127=":",0,'Eurostat EB TJ'!AF127)</f>
        <v>134.13399999999999</v>
      </c>
      <c r="AH120" s="57">
        <f>IF('Eurostat EB TJ'!AG127=":",0,'Eurostat EB TJ'!AG127)</f>
        <v>0</v>
      </c>
      <c r="AI120" s="57">
        <f>IF('Eurostat EB TJ'!AH127=":",0,'Eurostat EB TJ'!AH127)</f>
        <v>0</v>
      </c>
      <c r="AJ120" s="57">
        <f>IF('Eurostat EB TJ'!AI127=":",0,'Eurostat EB TJ'!AI127)</f>
        <v>259.90699999999998</v>
      </c>
      <c r="AK120" s="57">
        <f>IF('Eurostat EB TJ'!AJ127=":",0,'Eurostat EB TJ'!AJ127)</f>
        <v>0</v>
      </c>
      <c r="AL120" s="57">
        <f>IF('Eurostat EB TJ'!AK127=":",0,'Eurostat EB TJ'!AK127)</f>
        <v>0</v>
      </c>
      <c r="AM120" s="57">
        <f>IF('Eurostat EB TJ'!AL127=":",0,'Eurostat EB TJ'!AL127)</f>
        <v>0</v>
      </c>
      <c r="AN120" s="57">
        <f>IF('Eurostat EB TJ'!AM127=":",0,'Eurostat EB TJ'!AM127)</f>
        <v>20065.674999999999</v>
      </c>
      <c r="AO120" s="57">
        <f>IF('Eurostat EB TJ'!AN127=":",0,'Eurostat EB TJ'!AN127)</f>
        <v>0</v>
      </c>
      <c r="AP120" s="57">
        <f>IF('Eurostat EB TJ'!AO127=":",0,'Eurostat EB TJ'!AO127)</f>
        <v>0</v>
      </c>
      <c r="AQ120" s="57">
        <f>IF('Eurostat EB TJ'!AP127=":",0,'Eurostat EB TJ'!AP127)</f>
        <v>0</v>
      </c>
      <c r="AR120" s="57">
        <f>IF('Eurostat EB TJ'!AQ127=":",0,'Eurostat EB TJ'!AQ127)</f>
        <v>0</v>
      </c>
      <c r="AS120" s="57">
        <f>IF('Eurostat EB TJ'!AR127=":",0,'Eurostat EB TJ'!AR127)</f>
        <v>0</v>
      </c>
      <c r="AT120" s="57">
        <f>IF('Eurostat EB TJ'!AS127=":",0,'Eurostat EB TJ'!AS127)</f>
        <v>0</v>
      </c>
      <c r="AU120" s="57">
        <f>IF('Eurostat EB TJ'!AT127=":",0,'Eurostat EB TJ'!AT127)</f>
        <v>0</v>
      </c>
      <c r="AV120" s="57">
        <f>IF('Eurostat EB TJ'!AU127=":",0,'Eurostat EB TJ'!AU127)</f>
        <v>1826.787</v>
      </c>
      <c r="AW120" s="57">
        <f>IF('Eurostat EB TJ'!AV127=":",0,'Eurostat EB TJ'!AV127)</f>
        <v>0</v>
      </c>
      <c r="AX120" s="57">
        <f>IF('Eurostat EB TJ'!AW127=":",0,'Eurostat EB TJ'!AW127)</f>
        <v>0</v>
      </c>
      <c r="AY120" s="57">
        <f>IF('Eurostat EB TJ'!AX127=":",0,'Eurostat EB TJ'!AX127)</f>
        <v>0</v>
      </c>
      <c r="AZ120" s="57">
        <f>IF('Eurostat EB TJ'!AY127=":",0,'Eurostat EB TJ'!AY127)</f>
        <v>0</v>
      </c>
      <c r="BA120" s="57">
        <f>IF('Eurostat EB TJ'!AZ127=":",0,'Eurostat EB TJ'!AZ127)</f>
        <v>0</v>
      </c>
      <c r="BB120" s="57">
        <f>IF('Eurostat EB TJ'!BA127=":",0,'Eurostat EB TJ'!BA127)</f>
        <v>0</v>
      </c>
      <c r="BC120" s="57">
        <f>IF('Eurostat EB TJ'!BB127=":",0,'Eurostat EB TJ'!BB127)</f>
        <v>0</v>
      </c>
      <c r="BD120" s="57">
        <f>IF('Eurostat EB TJ'!BC127=":",0,'Eurostat EB TJ'!BC127)</f>
        <v>412.36500000000001</v>
      </c>
      <c r="BE120" s="57">
        <f>IF('Eurostat EB TJ'!BD127=":",0,'Eurostat EB TJ'!BD127)</f>
        <v>0</v>
      </c>
      <c r="BF120" s="57">
        <f>IF('Eurostat EB TJ'!BE127=":",0,'Eurostat EB TJ'!BE127)</f>
        <v>0</v>
      </c>
      <c r="BG120" s="57">
        <f>IF('Eurostat EB TJ'!BF127=":",0,'Eurostat EB TJ'!BF127)</f>
        <v>0</v>
      </c>
      <c r="BH120" s="57">
        <f>IF('Eurostat EB TJ'!BG127=":",0,'Eurostat EB TJ'!BG127)</f>
        <v>0</v>
      </c>
      <c r="BI120" s="57">
        <f>IF('Eurostat EB TJ'!BH127=":",0,'Eurostat EB TJ'!BH127)</f>
        <v>1414.422</v>
      </c>
      <c r="BJ120" s="57">
        <f>IF('Eurostat EB TJ'!BI127=":",0,'Eurostat EB TJ'!BI127)</f>
        <v>0</v>
      </c>
      <c r="BK120" s="57">
        <f>IF('Eurostat EB TJ'!BJ127=":",0,'Eurostat EB TJ'!BJ127)</f>
        <v>0</v>
      </c>
      <c r="BL120" s="57">
        <f>IF('Eurostat EB TJ'!BK127=":",0,'Eurostat EB TJ'!BK127)</f>
        <v>0</v>
      </c>
      <c r="BM120" s="57">
        <f>IF('Eurostat EB TJ'!BL127=":",0,'Eurostat EB TJ'!BL127)</f>
        <v>0</v>
      </c>
      <c r="BN120" s="57">
        <f>IF('Eurostat EB TJ'!BM127=":",0,'Eurostat EB TJ'!BM127)</f>
        <v>0</v>
      </c>
      <c r="BO120" s="57">
        <f>IF('Eurostat EB TJ'!BN127=":",0,'Eurostat EB TJ'!BN127)</f>
        <v>0</v>
      </c>
      <c r="BP120" s="57">
        <f>IF('Eurostat EB TJ'!BO127=":",0,'Eurostat EB TJ'!BO127)</f>
        <v>0</v>
      </c>
      <c r="BQ120" s="57">
        <f>IF('Eurostat EB TJ'!BP127=":",0,'Eurostat EB TJ'!BP127)</f>
        <v>0</v>
      </c>
      <c r="BR120" s="57">
        <f>IF('Eurostat EB TJ'!BQ127=":",0,'Eurostat EB TJ'!BQ127)</f>
        <v>0</v>
      </c>
      <c r="BS120" s="57">
        <f>IF('Eurostat EB TJ'!BR127=":",0,'Eurostat EB TJ'!BR127)</f>
        <v>4057.585</v>
      </c>
      <c r="BT120" s="57">
        <f>IF('Eurostat EB TJ'!BS127=":",0,'Eurostat EB TJ'!BS127)</f>
        <v>0</v>
      </c>
      <c r="BU120" s="57">
        <f>IF('Eurostat EB TJ'!BT127=":",0,'Eurostat EB TJ'!BT127)</f>
        <v>2121.5610000000001</v>
      </c>
      <c r="BV120" s="57">
        <f>IF('Eurostat EB TJ'!BU127=":",0,'Eurostat EB TJ'!BU127)</f>
        <v>24831.63</v>
      </c>
    </row>
    <row r="121" spans="1:74" x14ac:dyDescent="0.2">
      <c r="A121" s="56" t="s">
        <v>299</v>
      </c>
      <c r="B121" s="17"/>
      <c r="C121" s="17">
        <f>IF('Eurostat EB TJ'!B128=":",0,'Eurostat EB TJ'!B128)</f>
        <v>3956.89</v>
      </c>
      <c r="D121" s="17">
        <f>IF('Eurostat EB TJ'!C128=":",0,'Eurostat EB TJ'!C128)</f>
        <v>0</v>
      </c>
      <c r="E121" s="17">
        <f>IF('Eurostat EB TJ'!D128=":",0,'Eurostat EB TJ'!D128)</f>
        <v>0</v>
      </c>
      <c r="F121" s="17">
        <f>IF('Eurostat EB TJ'!E128=":",0,'Eurostat EB TJ'!E128)</f>
        <v>0</v>
      </c>
      <c r="G121" s="17">
        <f>IF('Eurostat EB TJ'!F128=":",0,'Eurostat EB TJ'!F128)</f>
        <v>0</v>
      </c>
      <c r="H121" s="17">
        <f>IF('Eurostat EB TJ'!G128=":",0,'Eurostat EB TJ'!G128)</f>
        <v>0</v>
      </c>
      <c r="I121" s="17">
        <f>IF('Eurostat EB TJ'!H128=":",0,'Eurostat EB TJ'!H128)</f>
        <v>0</v>
      </c>
      <c r="J121" s="17">
        <f>IF('Eurostat EB TJ'!I128=":",0,'Eurostat EB TJ'!I128)</f>
        <v>0</v>
      </c>
      <c r="K121" s="17">
        <f>IF('Eurostat EB TJ'!J128=":",0,'Eurostat EB TJ'!J128)</f>
        <v>0</v>
      </c>
      <c r="L121" s="17">
        <f>IF('Eurostat EB TJ'!K128=":",0,'Eurostat EB TJ'!K128)</f>
        <v>0</v>
      </c>
      <c r="M121" s="17">
        <f>IF('Eurostat EB TJ'!L128=":",0,'Eurostat EB TJ'!L128)</f>
        <v>0</v>
      </c>
      <c r="N121" s="17">
        <f>IF('Eurostat EB TJ'!M128=":",0,'Eurostat EB TJ'!M128)</f>
        <v>0</v>
      </c>
      <c r="O121" s="17">
        <f>IF('Eurostat EB TJ'!N128=":",0,'Eurostat EB TJ'!N128)</f>
        <v>0</v>
      </c>
      <c r="P121" s="17">
        <f>IF('Eurostat EB TJ'!O128=":",0,'Eurostat EB TJ'!O128)</f>
        <v>0</v>
      </c>
      <c r="Q121" s="17">
        <f>IF('Eurostat EB TJ'!P128=":",0,'Eurostat EB TJ'!P128)</f>
        <v>0</v>
      </c>
      <c r="R121" s="17">
        <f>IF('Eurostat EB TJ'!Q128=":",0,'Eurostat EB TJ'!Q128)</f>
        <v>0</v>
      </c>
      <c r="S121" s="17">
        <f>IF('Eurostat EB TJ'!R128=":",0,'Eurostat EB TJ'!R128)</f>
        <v>0</v>
      </c>
      <c r="T121" s="17">
        <f>IF('Eurostat EB TJ'!S128=":",0,'Eurostat EB TJ'!S128)</f>
        <v>0</v>
      </c>
      <c r="U121" s="17">
        <f>IF('Eurostat EB TJ'!T128=":",0,'Eurostat EB TJ'!T128)</f>
        <v>0</v>
      </c>
      <c r="V121" s="17">
        <f>IF('Eurostat EB TJ'!U128=":",0,'Eurostat EB TJ'!U128)</f>
        <v>0</v>
      </c>
      <c r="W121" s="17">
        <f>IF('Eurostat EB TJ'!V128=":",0,'Eurostat EB TJ'!V128)</f>
        <v>0</v>
      </c>
      <c r="X121" s="17">
        <f>IF('Eurostat EB TJ'!W128=":",0,'Eurostat EB TJ'!W128)</f>
        <v>2135.3560000000002</v>
      </c>
      <c r="Y121" s="17">
        <f>IF('Eurostat EB TJ'!X128=":",0,'Eurostat EB TJ'!X128)</f>
        <v>24.765999999999998</v>
      </c>
      <c r="Z121" s="17">
        <f>IF('Eurostat EB TJ'!Y128=":",0,'Eurostat EB TJ'!Y128)</f>
        <v>0</v>
      </c>
      <c r="AA121" s="17">
        <f>IF('Eurostat EB TJ'!Z128=":",0,'Eurostat EB TJ'!Z128)</f>
        <v>0</v>
      </c>
      <c r="AB121" s="17">
        <f>IF('Eurostat EB TJ'!AA128=":",0,'Eurostat EB TJ'!AA128)</f>
        <v>0</v>
      </c>
      <c r="AC121" s="17">
        <f>IF('Eurostat EB TJ'!AB128=":",0,'Eurostat EB TJ'!AB128)</f>
        <v>0</v>
      </c>
      <c r="AD121" s="17">
        <f>IF('Eurostat EB TJ'!AC128=":",0,'Eurostat EB TJ'!AC128)</f>
        <v>0</v>
      </c>
      <c r="AE121" s="17">
        <f>IF('Eurostat EB TJ'!AD128=":",0,'Eurostat EB TJ'!AD128)</f>
        <v>0</v>
      </c>
      <c r="AF121" s="17">
        <f>IF('Eurostat EB TJ'!AE128=":",0,'Eurostat EB TJ'!AE128)</f>
        <v>0</v>
      </c>
      <c r="AG121" s="17">
        <f>IF('Eurostat EB TJ'!AF128=":",0,'Eurostat EB TJ'!AF128)</f>
        <v>24.765999999999998</v>
      </c>
      <c r="AH121" s="17">
        <f>IF('Eurostat EB TJ'!AG128=":",0,'Eurostat EB TJ'!AG128)</f>
        <v>0</v>
      </c>
      <c r="AI121" s="17">
        <f>IF('Eurostat EB TJ'!AH128=":",0,'Eurostat EB TJ'!AH128)</f>
        <v>0</v>
      </c>
      <c r="AJ121" s="17">
        <f>IF('Eurostat EB TJ'!AI128=":",0,'Eurostat EB TJ'!AI128)</f>
        <v>0</v>
      </c>
      <c r="AK121" s="17">
        <f>IF('Eurostat EB TJ'!AJ128=":",0,'Eurostat EB TJ'!AJ128)</f>
        <v>0</v>
      </c>
      <c r="AL121" s="17">
        <f>IF('Eurostat EB TJ'!AK128=":",0,'Eurostat EB TJ'!AK128)</f>
        <v>0</v>
      </c>
      <c r="AM121" s="17">
        <f>IF('Eurostat EB TJ'!AL128=":",0,'Eurostat EB TJ'!AL128)</f>
        <v>0</v>
      </c>
      <c r="AN121" s="17">
        <f>IF('Eurostat EB TJ'!AM128=":",0,'Eurostat EB TJ'!AM128)</f>
        <v>0</v>
      </c>
      <c r="AO121" s="17">
        <f>IF('Eurostat EB TJ'!AN128=":",0,'Eurostat EB TJ'!AN128)</f>
        <v>0</v>
      </c>
      <c r="AP121" s="17">
        <f>IF('Eurostat EB TJ'!AO128=":",0,'Eurostat EB TJ'!AO128)</f>
        <v>0</v>
      </c>
      <c r="AQ121" s="17">
        <f>IF('Eurostat EB TJ'!AP128=":",0,'Eurostat EB TJ'!AP128)</f>
        <v>0</v>
      </c>
      <c r="AR121" s="17">
        <f>IF('Eurostat EB TJ'!AQ128=":",0,'Eurostat EB TJ'!AQ128)</f>
        <v>0</v>
      </c>
      <c r="AS121" s="17">
        <f>IF('Eurostat EB TJ'!AR128=":",0,'Eurostat EB TJ'!AR128)</f>
        <v>0</v>
      </c>
      <c r="AT121" s="17">
        <f>IF('Eurostat EB TJ'!AS128=":",0,'Eurostat EB TJ'!AS128)</f>
        <v>0</v>
      </c>
      <c r="AU121" s="17">
        <f>IF('Eurostat EB TJ'!AT128=":",0,'Eurostat EB TJ'!AT128)</f>
        <v>0</v>
      </c>
      <c r="AV121" s="17">
        <f>IF('Eurostat EB TJ'!AU128=":",0,'Eurostat EB TJ'!AU128)</f>
        <v>0</v>
      </c>
      <c r="AW121" s="17">
        <f>IF('Eurostat EB TJ'!AV128=":",0,'Eurostat EB TJ'!AV128)</f>
        <v>0</v>
      </c>
      <c r="AX121" s="17">
        <f>IF('Eurostat EB TJ'!AW128=":",0,'Eurostat EB TJ'!AW128)</f>
        <v>0</v>
      </c>
      <c r="AY121" s="17">
        <f>IF('Eurostat EB TJ'!AX128=":",0,'Eurostat EB TJ'!AX128)</f>
        <v>0</v>
      </c>
      <c r="AZ121" s="17">
        <f>IF('Eurostat EB TJ'!AY128=":",0,'Eurostat EB TJ'!AY128)</f>
        <v>0</v>
      </c>
      <c r="BA121" s="17">
        <f>IF('Eurostat EB TJ'!AZ128=":",0,'Eurostat EB TJ'!AZ128)</f>
        <v>0</v>
      </c>
      <c r="BB121" s="17">
        <f>IF('Eurostat EB TJ'!BA128=":",0,'Eurostat EB TJ'!BA128)</f>
        <v>0</v>
      </c>
      <c r="BC121" s="17">
        <f>IF('Eurostat EB TJ'!BB128=":",0,'Eurostat EB TJ'!BB128)</f>
        <v>0</v>
      </c>
      <c r="BD121" s="17">
        <f>IF('Eurostat EB TJ'!BC128=":",0,'Eurostat EB TJ'!BC128)</f>
        <v>0</v>
      </c>
      <c r="BE121" s="17">
        <f>IF('Eurostat EB TJ'!BD128=":",0,'Eurostat EB TJ'!BD128)</f>
        <v>0</v>
      </c>
      <c r="BF121" s="17">
        <f>IF('Eurostat EB TJ'!BE128=":",0,'Eurostat EB TJ'!BE128)</f>
        <v>0</v>
      </c>
      <c r="BG121" s="17">
        <f>IF('Eurostat EB TJ'!BF128=":",0,'Eurostat EB TJ'!BF128)</f>
        <v>0</v>
      </c>
      <c r="BH121" s="17">
        <f>IF('Eurostat EB TJ'!BG128=":",0,'Eurostat EB TJ'!BG128)</f>
        <v>0</v>
      </c>
      <c r="BI121" s="17">
        <f>IF('Eurostat EB TJ'!BH128=":",0,'Eurostat EB TJ'!BH128)</f>
        <v>0</v>
      </c>
      <c r="BJ121" s="17">
        <f>IF('Eurostat EB TJ'!BI128=":",0,'Eurostat EB TJ'!BI128)</f>
        <v>0</v>
      </c>
      <c r="BK121" s="17">
        <f>IF('Eurostat EB TJ'!BJ128=":",0,'Eurostat EB TJ'!BJ128)</f>
        <v>0</v>
      </c>
      <c r="BL121" s="17">
        <f>IF('Eurostat EB TJ'!BK128=":",0,'Eurostat EB TJ'!BK128)</f>
        <v>0</v>
      </c>
      <c r="BM121" s="17">
        <f>IF('Eurostat EB TJ'!BL128=":",0,'Eurostat EB TJ'!BL128)</f>
        <v>0</v>
      </c>
      <c r="BN121" s="17">
        <f>IF('Eurostat EB TJ'!BM128=":",0,'Eurostat EB TJ'!BM128)</f>
        <v>0</v>
      </c>
      <c r="BO121" s="17">
        <f>IF('Eurostat EB TJ'!BN128=":",0,'Eurostat EB TJ'!BN128)</f>
        <v>0</v>
      </c>
      <c r="BP121" s="17">
        <f>IF('Eurostat EB TJ'!BO128=":",0,'Eurostat EB TJ'!BO128)</f>
        <v>0</v>
      </c>
      <c r="BQ121" s="17">
        <f>IF('Eurostat EB TJ'!BP128=":",0,'Eurostat EB TJ'!BP128)</f>
        <v>0</v>
      </c>
      <c r="BR121" s="17">
        <f>IF('Eurostat EB TJ'!BQ128=":",0,'Eurostat EB TJ'!BQ128)</f>
        <v>0</v>
      </c>
      <c r="BS121" s="17">
        <f>IF('Eurostat EB TJ'!BR128=":",0,'Eurostat EB TJ'!BR128)</f>
        <v>1427.008</v>
      </c>
      <c r="BT121" s="17">
        <f>IF('Eurostat EB TJ'!BS128=":",0,'Eurostat EB TJ'!BS128)</f>
        <v>369.76</v>
      </c>
      <c r="BU121" s="17">
        <f>IF('Eurostat EB TJ'!BT128=":",0,'Eurostat EB TJ'!BT128)</f>
        <v>198.04300000000001</v>
      </c>
      <c r="BV121" s="17">
        <f>IF('Eurostat EB TJ'!BU128=":",0,'Eurostat EB TJ'!BU128)</f>
        <v>3095.0990000000002</v>
      </c>
    </row>
    <row r="122" spans="1:74" x14ac:dyDescent="0.2">
      <c r="A122" s="56" t="s">
        <v>300</v>
      </c>
      <c r="B122" s="57"/>
      <c r="C122" s="57">
        <f>IF('Eurostat EB TJ'!B129=":",0,'Eurostat EB TJ'!B129)</f>
        <v>12905.630999999999</v>
      </c>
      <c r="D122" s="57">
        <f>IF('Eurostat EB TJ'!C129=":",0,'Eurostat EB TJ'!C129)</f>
        <v>0</v>
      </c>
      <c r="E122" s="57">
        <f>IF('Eurostat EB TJ'!D129=":",0,'Eurostat EB TJ'!D129)</f>
        <v>0</v>
      </c>
      <c r="F122" s="57">
        <f>IF('Eurostat EB TJ'!E129=":",0,'Eurostat EB TJ'!E129)</f>
        <v>0</v>
      </c>
      <c r="G122" s="57">
        <f>IF('Eurostat EB TJ'!F129=":",0,'Eurostat EB TJ'!F129)</f>
        <v>0</v>
      </c>
      <c r="H122" s="57">
        <f>IF('Eurostat EB TJ'!G129=":",0,'Eurostat EB TJ'!G129)</f>
        <v>0</v>
      </c>
      <c r="I122" s="57">
        <f>IF('Eurostat EB TJ'!H129=":",0,'Eurostat EB TJ'!H129)</f>
        <v>0</v>
      </c>
      <c r="J122" s="57">
        <f>IF('Eurostat EB TJ'!I129=":",0,'Eurostat EB TJ'!I129)</f>
        <v>0</v>
      </c>
      <c r="K122" s="57">
        <f>IF('Eurostat EB TJ'!J129=":",0,'Eurostat EB TJ'!J129)</f>
        <v>0</v>
      </c>
      <c r="L122" s="57">
        <f>IF('Eurostat EB TJ'!K129=":",0,'Eurostat EB TJ'!K129)</f>
        <v>0</v>
      </c>
      <c r="M122" s="57">
        <f>IF('Eurostat EB TJ'!L129=":",0,'Eurostat EB TJ'!L129)</f>
        <v>0</v>
      </c>
      <c r="N122" s="57">
        <f>IF('Eurostat EB TJ'!M129=":",0,'Eurostat EB TJ'!M129)</f>
        <v>0</v>
      </c>
      <c r="O122" s="57">
        <f>IF('Eurostat EB TJ'!N129=":",0,'Eurostat EB TJ'!N129)</f>
        <v>0</v>
      </c>
      <c r="P122" s="57">
        <f>IF('Eurostat EB TJ'!O129=":",0,'Eurostat EB TJ'!O129)</f>
        <v>0</v>
      </c>
      <c r="Q122" s="57">
        <f>IF('Eurostat EB TJ'!P129=":",0,'Eurostat EB TJ'!P129)</f>
        <v>0</v>
      </c>
      <c r="R122" s="57">
        <f>IF('Eurostat EB TJ'!Q129=":",0,'Eurostat EB TJ'!Q129)</f>
        <v>0</v>
      </c>
      <c r="S122" s="57">
        <f>IF('Eurostat EB TJ'!R129=":",0,'Eurostat EB TJ'!R129)</f>
        <v>0</v>
      </c>
      <c r="T122" s="57">
        <f>IF('Eurostat EB TJ'!S129=":",0,'Eurostat EB TJ'!S129)</f>
        <v>0</v>
      </c>
      <c r="U122" s="57">
        <f>IF('Eurostat EB TJ'!T129=":",0,'Eurostat EB TJ'!T129)</f>
        <v>0</v>
      </c>
      <c r="V122" s="57">
        <f>IF('Eurostat EB TJ'!U129=":",0,'Eurostat EB TJ'!U129)</f>
        <v>0</v>
      </c>
      <c r="W122" s="57">
        <f>IF('Eurostat EB TJ'!V129=":",0,'Eurostat EB TJ'!V129)</f>
        <v>0</v>
      </c>
      <c r="X122" s="57">
        <f>IF('Eurostat EB TJ'!W129=":",0,'Eurostat EB TJ'!W129)</f>
        <v>3479.12</v>
      </c>
      <c r="Y122" s="57">
        <f>IF('Eurostat EB TJ'!X129=":",0,'Eurostat EB TJ'!X129)</f>
        <v>266.68700000000001</v>
      </c>
      <c r="Z122" s="57">
        <f>IF('Eurostat EB TJ'!Y129=":",0,'Eurostat EB TJ'!Y129)</f>
        <v>0</v>
      </c>
      <c r="AA122" s="57">
        <f>IF('Eurostat EB TJ'!Z129=":",0,'Eurostat EB TJ'!Z129)</f>
        <v>0</v>
      </c>
      <c r="AB122" s="57">
        <f>IF('Eurostat EB TJ'!AA129=":",0,'Eurostat EB TJ'!AA129)</f>
        <v>0</v>
      </c>
      <c r="AC122" s="57">
        <f>IF('Eurostat EB TJ'!AB129=":",0,'Eurostat EB TJ'!AB129)</f>
        <v>0</v>
      </c>
      <c r="AD122" s="57">
        <f>IF('Eurostat EB TJ'!AC129=":",0,'Eurostat EB TJ'!AC129)</f>
        <v>0</v>
      </c>
      <c r="AE122" s="57">
        <f>IF('Eurostat EB TJ'!AD129=":",0,'Eurostat EB TJ'!AD129)</f>
        <v>0</v>
      </c>
      <c r="AF122" s="57">
        <f>IF('Eurostat EB TJ'!AE129=":",0,'Eurostat EB TJ'!AE129)</f>
        <v>0</v>
      </c>
      <c r="AG122" s="57">
        <f>IF('Eurostat EB TJ'!AF129=":",0,'Eurostat EB TJ'!AF129)</f>
        <v>263.83999999999997</v>
      </c>
      <c r="AH122" s="57">
        <f>IF('Eurostat EB TJ'!AG129=":",0,'Eurostat EB TJ'!AG129)</f>
        <v>0</v>
      </c>
      <c r="AI122" s="57">
        <f>IF('Eurostat EB TJ'!AH129=":",0,'Eurostat EB TJ'!AH129)</f>
        <v>0</v>
      </c>
      <c r="AJ122" s="57">
        <f>IF('Eurostat EB TJ'!AI129=":",0,'Eurostat EB TJ'!AI129)</f>
        <v>0</v>
      </c>
      <c r="AK122" s="57">
        <f>IF('Eurostat EB TJ'!AJ129=":",0,'Eurostat EB TJ'!AJ129)</f>
        <v>0</v>
      </c>
      <c r="AL122" s="57">
        <f>IF('Eurostat EB TJ'!AK129=":",0,'Eurostat EB TJ'!AK129)</f>
        <v>0</v>
      </c>
      <c r="AM122" s="57">
        <f>IF('Eurostat EB TJ'!AL129=":",0,'Eurostat EB TJ'!AL129)</f>
        <v>0</v>
      </c>
      <c r="AN122" s="57">
        <f>IF('Eurostat EB TJ'!AM129=":",0,'Eurostat EB TJ'!AM129)</f>
        <v>2.847</v>
      </c>
      <c r="AO122" s="57">
        <f>IF('Eurostat EB TJ'!AN129=":",0,'Eurostat EB TJ'!AN129)</f>
        <v>0</v>
      </c>
      <c r="AP122" s="57">
        <f>IF('Eurostat EB TJ'!AO129=":",0,'Eurostat EB TJ'!AO129)</f>
        <v>0</v>
      </c>
      <c r="AQ122" s="57">
        <f>IF('Eurostat EB TJ'!AP129=":",0,'Eurostat EB TJ'!AP129)</f>
        <v>0</v>
      </c>
      <c r="AR122" s="57">
        <f>IF('Eurostat EB TJ'!AQ129=":",0,'Eurostat EB TJ'!AQ129)</f>
        <v>0</v>
      </c>
      <c r="AS122" s="57">
        <f>IF('Eurostat EB TJ'!AR129=":",0,'Eurostat EB TJ'!AR129)</f>
        <v>0</v>
      </c>
      <c r="AT122" s="57">
        <f>IF('Eurostat EB TJ'!AS129=":",0,'Eurostat EB TJ'!AS129)</f>
        <v>0</v>
      </c>
      <c r="AU122" s="57">
        <f>IF('Eurostat EB TJ'!AT129=":",0,'Eurostat EB TJ'!AT129)</f>
        <v>0</v>
      </c>
      <c r="AV122" s="57">
        <f>IF('Eurostat EB TJ'!AU129=":",0,'Eurostat EB TJ'!AU129)</f>
        <v>1846.828</v>
      </c>
      <c r="AW122" s="57">
        <f>IF('Eurostat EB TJ'!AV129=":",0,'Eurostat EB TJ'!AV129)</f>
        <v>0</v>
      </c>
      <c r="AX122" s="57">
        <f>IF('Eurostat EB TJ'!AW129=":",0,'Eurostat EB TJ'!AW129)</f>
        <v>0</v>
      </c>
      <c r="AY122" s="57">
        <f>IF('Eurostat EB TJ'!AX129=":",0,'Eurostat EB TJ'!AX129)</f>
        <v>0</v>
      </c>
      <c r="AZ122" s="57">
        <f>IF('Eurostat EB TJ'!AY129=":",0,'Eurostat EB TJ'!AY129)</f>
        <v>0</v>
      </c>
      <c r="BA122" s="57">
        <f>IF('Eurostat EB TJ'!AZ129=":",0,'Eurostat EB TJ'!AZ129)</f>
        <v>0</v>
      </c>
      <c r="BB122" s="57">
        <f>IF('Eurostat EB TJ'!BA129=":",0,'Eurostat EB TJ'!BA129)</f>
        <v>0</v>
      </c>
      <c r="BC122" s="57">
        <f>IF('Eurostat EB TJ'!BB129=":",0,'Eurostat EB TJ'!BB129)</f>
        <v>0</v>
      </c>
      <c r="BD122" s="57">
        <f>IF('Eurostat EB TJ'!BC129=":",0,'Eurostat EB TJ'!BC129)</f>
        <v>1750.441</v>
      </c>
      <c r="BE122" s="57">
        <f>IF('Eurostat EB TJ'!BD129=":",0,'Eurostat EB TJ'!BD129)</f>
        <v>0</v>
      </c>
      <c r="BF122" s="57">
        <f>IF('Eurostat EB TJ'!BE129=":",0,'Eurostat EB TJ'!BE129)</f>
        <v>0</v>
      </c>
      <c r="BG122" s="57">
        <f>IF('Eurostat EB TJ'!BF129=":",0,'Eurostat EB TJ'!BF129)</f>
        <v>0</v>
      </c>
      <c r="BH122" s="57">
        <f>IF('Eurostat EB TJ'!BG129=":",0,'Eurostat EB TJ'!BG129)</f>
        <v>0</v>
      </c>
      <c r="BI122" s="57">
        <f>IF('Eurostat EB TJ'!BH129=":",0,'Eurostat EB TJ'!BH129)</f>
        <v>0</v>
      </c>
      <c r="BJ122" s="57">
        <f>IF('Eurostat EB TJ'!BI129=":",0,'Eurostat EB TJ'!BI129)</f>
        <v>0</v>
      </c>
      <c r="BK122" s="57">
        <f>IF('Eurostat EB TJ'!BJ129=":",0,'Eurostat EB TJ'!BJ129)</f>
        <v>0</v>
      </c>
      <c r="BL122" s="57">
        <f>IF('Eurostat EB TJ'!BK129=":",0,'Eurostat EB TJ'!BK129)</f>
        <v>0</v>
      </c>
      <c r="BM122" s="57">
        <f>IF('Eurostat EB TJ'!BL129=":",0,'Eurostat EB TJ'!BL129)</f>
        <v>96.387</v>
      </c>
      <c r="BN122" s="57">
        <f>IF('Eurostat EB TJ'!BM129=":",0,'Eurostat EB TJ'!BM129)</f>
        <v>0</v>
      </c>
      <c r="BO122" s="57">
        <f>IF('Eurostat EB TJ'!BN129=":",0,'Eurostat EB TJ'!BN129)</f>
        <v>0</v>
      </c>
      <c r="BP122" s="57">
        <f>IF('Eurostat EB TJ'!BO129=":",0,'Eurostat EB TJ'!BO129)</f>
        <v>0</v>
      </c>
      <c r="BQ122" s="57">
        <f>IF('Eurostat EB TJ'!BP129=":",0,'Eurostat EB TJ'!BP129)</f>
        <v>0</v>
      </c>
      <c r="BR122" s="57">
        <f>IF('Eurostat EB TJ'!BQ129=":",0,'Eurostat EB TJ'!BQ129)</f>
        <v>0</v>
      </c>
      <c r="BS122" s="57">
        <f>IF('Eurostat EB TJ'!BR129=":",0,'Eurostat EB TJ'!BR129)</f>
        <v>6917.1049999999996</v>
      </c>
      <c r="BT122" s="57">
        <f>IF('Eurostat EB TJ'!BS129=":",0,'Eurostat EB TJ'!BS129)</f>
        <v>395.89100000000002</v>
      </c>
      <c r="BU122" s="57">
        <f>IF('Eurostat EB TJ'!BT129=":",0,'Eurostat EB TJ'!BT129)</f>
        <v>2429.87</v>
      </c>
      <c r="BV122" s="57">
        <f>IF('Eurostat EB TJ'!BU129=":",0,'Eurostat EB TJ'!BU129)</f>
        <v>7378.5969999999998</v>
      </c>
    </row>
    <row r="123" spans="1:74" x14ac:dyDescent="0.2">
      <c r="A123" s="56" t="s">
        <v>301</v>
      </c>
      <c r="B123" s="17"/>
      <c r="C123" s="17">
        <f>IF('Eurostat EB TJ'!B130=":",0,'Eurostat EB TJ'!B130)</f>
        <v>397604.27299999999</v>
      </c>
      <c r="D123" s="17">
        <f>IF('Eurostat EB TJ'!C130=":",0,'Eurostat EB TJ'!C130)</f>
        <v>0</v>
      </c>
      <c r="E123" s="17">
        <f>IF('Eurostat EB TJ'!D130=":",0,'Eurostat EB TJ'!D130)</f>
        <v>0</v>
      </c>
      <c r="F123" s="17">
        <f>IF('Eurostat EB TJ'!E130=":",0,'Eurostat EB TJ'!E130)</f>
        <v>0</v>
      </c>
      <c r="G123" s="17">
        <f>IF('Eurostat EB TJ'!F130=":",0,'Eurostat EB TJ'!F130)</f>
        <v>0</v>
      </c>
      <c r="H123" s="17">
        <f>IF('Eurostat EB TJ'!G130=":",0,'Eurostat EB TJ'!G130)</f>
        <v>0</v>
      </c>
      <c r="I123" s="17">
        <f>IF('Eurostat EB TJ'!H130=":",0,'Eurostat EB TJ'!H130)</f>
        <v>0</v>
      </c>
      <c r="J123" s="17">
        <f>IF('Eurostat EB TJ'!I130=":",0,'Eurostat EB TJ'!I130)</f>
        <v>0</v>
      </c>
      <c r="K123" s="17">
        <f>IF('Eurostat EB TJ'!J130=":",0,'Eurostat EB TJ'!J130)</f>
        <v>0</v>
      </c>
      <c r="L123" s="17">
        <f>IF('Eurostat EB TJ'!K130=":",0,'Eurostat EB TJ'!K130)</f>
        <v>0</v>
      </c>
      <c r="M123" s="17">
        <f>IF('Eurostat EB TJ'!L130=":",0,'Eurostat EB TJ'!L130)</f>
        <v>0</v>
      </c>
      <c r="N123" s="17">
        <f>IF('Eurostat EB TJ'!M130=":",0,'Eurostat EB TJ'!M130)</f>
        <v>0</v>
      </c>
      <c r="O123" s="17">
        <f>IF('Eurostat EB TJ'!N130=":",0,'Eurostat EB TJ'!N130)</f>
        <v>0</v>
      </c>
      <c r="P123" s="17">
        <f>IF('Eurostat EB TJ'!O130=":",0,'Eurostat EB TJ'!O130)</f>
        <v>0</v>
      </c>
      <c r="Q123" s="17">
        <f>IF('Eurostat EB TJ'!P130=":",0,'Eurostat EB TJ'!P130)</f>
        <v>0</v>
      </c>
      <c r="R123" s="17">
        <f>IF('Eurostat EB TJ'!Q130=":",0,'Eurostat EB TJ'!Q130)</f>
        <v>0</v>
      </c>
      <c r="S123" s="17">
        <f>IF('Eurostat EB TJ'!R130=":",0,'Eurostat EB TJ'!R130)</f>
        <v>0</v>
      </c>
      <c r="T123" s="17">
        <f>IF('Eurostat EB TJ'!S130=":",0,'Eurostat EB TJ'!S130)</f>
        <v>0</v>
      </c>
      <c r="U123" s="17">
        <f>IF('Eurostat EB TJ'!T130=":",0,'Eurostat EB TJ'!T130)</f>
        <v>0</v>
      </c>
      <c r="V123" s="17">
        <f>IF('Eurostat EB TJ'!U130=":",0,'Eurostat EB TJ'!U130)</f>
        <v>0</v>
      </c>
      <c r="W123" s="17">
        <f>IF('Eurostat EB TJ'!V130=":",0,'Eurostat EB TJ'!V130)</f>
        <v>0</v>
      </c>
      <c r="X123" s="17">
        <f>IF('Eurostat EB TJ'!W130=":",0,'Eurostat EB TJ'!W130)</f>
        <v>2672.3560000000002</v>
      </c>
      <c r="Y123" s="17">
        <f>IF('Eurostat EB TJ'!X130=":",0,'Eurostat EB TJ'!X130)</f>
        <v>358073.82199999999</v>
      </c>
      <c r="Z123" s="17">
        <f>IF('Eurostat EB TJ'!Y130=":",0,'Eurostat EB TJ'!Y130)</f>
        <v>0</v>
      </c>
      <c r="AA123" s="17">
        <f>IF('Eurostat EB TJ'!Z130=":",0,'Eurostat EB TJ'!Z130)</f>
        <v>0</v>
      </c>
      <c r="AB123" s="17">
        <f>IF('Eurostat EB TJ'!AA130=":",0,'Eurostat EB TJ'!AA130)</f>
        <v>0</v>
      </c>
      <c r="AC123" s="17">
        <f>IF('Eurostat EB TJ'!AB130=":",0,'Eurostat EB TJ'!AB130)</f>
        <v>0</v>
      </c>
      <c r="AD123" s="17">
        <f>IF('Eurostat EB TJ'!AC130=":",0,'Eurostat EB TJ'!AC130)</f>
        <v>0</v>
      </c>
      <c r="AE123" s="17">
        <f>IF('Eurostat EB TJ'!AD130=":",0,'Eurostat EB TJ'!AD130)</f>
        <v>0</v>
      </c>
      <c r="AF123" s="17">
        <f>IF('Eurostat EB TJ'!AE130=":",0,'Eurostat EB TJ'!AE130)</f>
        <v>0</v>
      </c>
      <c r="AG123" s="17">
        <f>IF('Eurostat EB TJ'!AF130=":",0,'Eurostat EB TJ'!AF130)</f>
        <v>4965.326</v>
      </c>
      <c r="AH123" s="17">
        <f>IF('Eurostat EB TJ'!AG130=":",0,'Eurostat EB TJ'!AG130)</f>
        <v>0</v>
      </c>
      <c r="AI123" s="17">
        <f>IF('Eurostat EB TJ'!AH130=":",0,'Eurostat EB TJ'!AH130)</f>
        <v>56.847000000000001</v>
      </c>
      <c r="AJ123" s="17">
        <f>IF('Eurostat EB TJ'!AI130=":",0,'Eurostat EB TJ'!AI130)</f>
        <v>169944.13200000001</v>
      </c>
      <c r="AK123" s="17">
        <f>IF('Eurostat EB TJ'!AJ130=":",0,'Eurostat EB TJ'!AJ130)</f>
        <v>0</v>
      </c>
      <c r="AL123" s="17">
        <f>IF('Eurostat EB TJ'!AK130=":",0,'Eurostat EB TJ'!AK130)</f>
        <v>349.70499999999998</v>
      </c>
      <c r="AM123" s="17">
        <f>IF('Eurostat EB TJ'!AL130=":",0,'Eurostat EB TJ'!AL130)</f>
        <v>0</v>
      </c>
      <c r="AN123" s="17">
        <f>IF('Eurostat EB TJ'!AM130=":",0,'Eurostat EB TJ'!AM130)</f>
        <v>182757.81099999999</v>
      </c>
      <c r="AO123" s="17">
        <f>IF('Eurostat EB TJ'!AN130=":",0,'Eurostat EB TJ'!AN130)</f>
        <v>0</v>
      </c>
      <c r="AP123" s="17">
        <f>IF('Eurostat EB TJ'!AO130=":",0,'Eurostat EB TJ'!AO130)</f>
        <v>0</v>
      </c>
      <c r="AQ123" s="17">
        <f>IF('Eurostat EB TJ'!AP130=":",0,'Eurostat EB TJ'!AP130)</f>
        <v>0</v>
      </c>
      <c r="AR123" s="17">
        <f>IF('Eurostat EB TJ'!AQ130=":",0,'Eurostat EB TJ'!AQ130)</f>
        <v>0</v>
      </c>
      <c r="AS123" s="17">
        <f>IF('Eurostat EB TJ'!AR130=":",0,'Eurostat EB TJ'!AR130)</f>
        <v>0</v>
      </c>
      <c r="AT123" s="17">
        <f>IF('Eurostat EB TJ'!AS130=":",0,'Eurostat EB TJ'!AS130)</f>
        <v>0</v>
      </c>
      <c r="AU123" s="17">
        <f>IF('Eurostat EB TJ'!AT130=":",0,'Eurostat EB TJ'!AT130)</f>
        <v>0</v>
      </c>
      <c r="AV123" s="17">
        <f>IF('Eurostat EB TJ'!AU130=":",0,'Eurostat EB TJ'!AU130)</f>
        <v>22877.916000000001</v>
      </c>
      <c r="AW123" s="17">
        <f>IF('Eurostat EB TJ'!AV130=":",0,'Eurostat EB TJ'!AV130)</f>
        <v>0</v>
      </c>
      <c r="AX123" s="17">
        <f>IF('Eurostat EB TJ'!AW130=":",0,'Eurostat EB TJ'!AW130)</f>
        <v>0</v>
      </c>
      <c r="AY123" s="17">
        <f>IF('Eurostat EB TJ'!AX130=":",0,'Eurostat EB TJ'!AX130)</f>
        <v>0</v>
      </c>
      <c r="AZ123" s="17">
        <f>IF('Eurostat EB TJ'!AY130=":",0,'Eurostat EB TJ'!AY130)</f>
        <v>0</v>
      </c>
      <c r="BA123" s="17">
        <f>IF('Eurostat EB TJ'!AZ130=":",0,'Eurostat EB TJ'!AZ130)</f>
        <v>0</v>
      </c>
      <c r="BB123" s="17">
        <f>IF('Eurostat EB TJ'!BA130=":",0,'Eurostat EB TJ'!BA130)</f>
        <v>0</v>
      </c>
      <c r="BC123" s="17">
        <f>IF('Eurostat EB TJ'!BB130=":",0,'Eurostat EB TJ'!BB130)</f>
        <v>0</v>
      </c>
      <c r="BD123" s="17">
        <f>IF('Eurostat EB TJ'!BC130=":",0,'Eurostat EB TJ'!BC130)</f>
        <v>0</v>
      </c>
      <c r="BE123" s="17">
        <f>IF('Eurostat EB TJ'!BD130=":",0,'Eurostat EB TJ'!BD130)</f>
        <v>0</v>
      </c>
      <c r="BF123" s="17">
        <f>IF('Eurostat EB TJ'!BE130=":",0,'Eurostat EB TJ'!BE130)</f>
        <v>0</v>
      </c>
      <c r="BG123" s="17">
        <f>IF('Eurostat EB TJ'!BF130=":",0,'Eurostat EB TJ'!BF130)</f>
        <v>10780.532999999999</v>
      </c>
      <c r="BH123" s="17">
        <f>IF('Eurostat EB TJ'!BG130=":",0,'Eurostat EB TJ'!BG130)</f>
        <v>0</v>
      </c>
      <c r="BI123" s="17">
        <f>IF('Eurostat EB TJ'!BH130=":",0,'Eurostat EB TJ'!BH130)</f>
        <v>12097.383</v>
      </c>
      <c r="BJ123" s="17">
        <f>IF('Eurostat EB TJ'!BI130=":",0,'Eurostat EB TJ'!BI130)</f>
        <v>0</v>
      </c>
      <c r="BK123" s="17">
        <f>IF('Eurostat EB TJ'!BJ130=":",0,'Eurostat EB TJ'!BJ130)</f>
        <v>0</v>
      </c>
      <c r="BL123" s="17">
        <f>IF('Eurostat EB TJ'!BK130=":",0,'Eurostat EB TJ'!BK130)</f>
        <v>0</v>
      </c>
      <c r="BM123" s="17">
        <f>IF('Eurostat EB TJ'!BL130=":",0,'Eurostat EB TJ'!BL130)</f>
        <v>0</v>
      </c>
      <c r="BN123" s="17">
        <f>IF('Eurostat EB TJ'!BM130=":",0,'Eurostat EB TJ'!BM130)</f>
        <v>0</v>
      </c>
      <c r="BO123" s="17">
        <f>IF('Eurostat EB TJ'!BN130=":",0,'Eurostat EB TJ'!BN130)</f>
        <v>0</v>
      </c>
      <c r="BP123" s="17">
        <f>IF('Eurostat EB TJ'!BO130=":",0,'Eurostat EB TJ'!BO130)</f>
        <v>0</v>
      </c>
      <c r="BQ123" s="17">
        <f>IF('Eurostat EB TJ'!BP130=":",0,'Eurostat EB TJ'!BP130)</f>
        <v>0</v>
      </c>
      <c r="BR123" s="17">
        <f>IF('Eurostat EB TJ'!BQ130=":",0,'Eurostat EB TJ'!BQ130)</f>
        <v>0</v>
      </c>
      <c r="BS123" s="17">
        <f>IF('Eurostat EB TJ'!BR130=":",0,'Eurostat EB TJ'!BR130)</f>
        <v>13980.179</v>
      </c>
      <c r="BT123" s="17">
        <f>IF('Eurostat EB TJ'!BS130=":",0,'Eurostat EB TJ'!BS130)</f>
        <v>0</v>
      </c>
      <c r="BU123" s="17">
        <f>IF('Eurostat EB TJ'!BT130=":",0,'Eurostat EB TJ'!BT130)</f>
        <v>23836.006000000001</v>
      </c>
      <c r="BV123" s="17">
        <f>IF('Eurostat EB TJ'!BU130=":",0,'Eurostat EB TJ'!BU130)</f>
        <v>367577.45500000002</v>
      </c>
    </row>
    <row r="124" spans="1:74" x14ac:dyDescent="0.2">
      <c r="A124" s="56" t="s">
        <v>302</v>
      </c>
      <c r="B124" s="57"/>
      <c r="C124" s="57">
        <f>IF('Eurostat EB TJ'!B131=":",0,'Eurostat EB TJ'!B131)</f>
        <v>7026.6210000000001</v>
      </c>
      <c r="D124" s="57">
        <f>IF('Eurostat EB TJ'!C131=":",0,'Eurostat EB TJ'!C131)</f>
        <v>0</v>
      </c>
      <c r="E124" s="57">
        <f>IF('Eurostat EB TJ'!D131=":",0,'Eurostat EB TJ'!D131)</f>
        <v>0</v>
      </c>
      <c r="F124" s="57">
        <f>IF('Eurostat EB TJ'!E131=":",0,'Eurostat EB TJ'!E131)</f>
        <v>0</v>
      </c>
      <c r="G124" s="57">
        <f>IF('Eurostat EB TJ'!F131=":",0,'Eurostat EB TJ'!F131)</f>
        <v>0</v>
      </c>
      <c r="H124" s="57">
        <f>IF('Eurostat EB TJ'!G131=":",0,'Eurostat EB TJ'!G131)</f>
        <v>0</v>
      </c>
      <c r="I124" s="57">
        <f>IF('Eurostat EB TJ'!H131=":",0,'Eurostat EB TJ'!H131)</f>
        <v>0</v>
      </c>
      <c r="J124" s="57">
        <f>IF('Eurostat EB TJ'!I131=":",0,'Eurostat EB TJ'!I131)</f>
        <v>0</v>
      </c>
      <c r="K124" s="57">
        <f>IF('Eurostat EB TJ'!J131=":",0,'Eurostat EB TJ'!J131)</f>
        <v>0</v>
      </c>
      <c r="L124" s="57">
        <f>IF('Eurostat EB TJ'!K131=":",0,'Eurostat EB TJ'!K131)</f>
        <v>0</v>
      </c>
      <c r="M124" s="57">
        <f>IF('Eurostat EB TJ'!L131=":",0,'Eurostat EB TJ'!L131)</f>
        <v>0</v>
      </c>
      <c r="N124" s="57">
        <f>IF('Eurostat EB TJ'!M131=":",0,'Eurostat EB TJ'!M131)</f>
        <v>0</v>
      </c>
      <c r="O124" s="57">
        <f>IF('Eurostat EB TJ'!N131=":",0,'Eurostat EB TJ'!N131)</f>
        <v>0</v>
      </c>
      <c r="P124" s="57">
        <f>IF('Eurostat EB TJ'!O131=":",0,'Eurostat EB TJ'!O131)</f>
        <v>0</v>
      </c>
      <c r="Q124" s="57">
        <f>IF('Eurostat EB TJ'!P131=":",0,'Eurostat EB TJ'!P131)</f>
        <v>0</v>
      </c>
      <c r="R124" s="57">
        <f>IF('Eurostat EB TJ'!Q131=":",0,'Eurostat EB TJ'!Q131)</f>
        <v>0</v>
      </c>
      <c r="S124" s="57">
        <f>IF('Eurostat EB TJ'!R131=":",0,'Eurostat EB TJ'!R131)</f>
        <v>0</v>
      </c>
      <c r="T124" s="57">
        <f>IF('Eurostat EB TJ'!S131=":",0,'Eurostat EB TJ'!S131)</f>
        <v>0</v>
      </c>
      <c r="U124" s="57">
        <f>IF('Eurostat EB TJ'!T131=":",0,'Eurostat EB TJ'!T131)</f>
        <v>0</v>
      </c>
      <c r="V124" s="57">
        <f>IF('Eurostat EB TJ'!U131=":",0,'Eurostat EB TJ'!U131)</f>
        <v>0</v>
      </c>
      <c r="W124" s="57">
        <f>IF('Eurostat EB TJ'!V131=":",0,'Eurostat EB TJ'!V131)</f>
        <v>0</v>
      </c>
      <c r="X124" s="57">
        <f>IF('Eurostat EB TJ'!W131=":",0,'Eurostat EB TJ'!W131)</f>
        <v>0</v>
      </c>
      <c r="Y124" s="57">
        <f>IF('Eurostat EB TJ'!X131=":",0,'Eurostat EB TJ'!X131)</f>
        <v>928.64400000000001</v>
      </c>
      <c r="Z124" s="57">
        <f>IF('Eurostat EB TJ'!Y131=":",0,'Eurostat EB TJ'!Y131)</f>
        <v>0</v>
      </c>
      <c r="AA124" s="57">
        <f>IF('Eurostat EB TJ'!Z131=":",0,'Eurostat EB TJ'!Z131)</f>
        <v>0</v>
      </c>
      <c r="AB124" s="57">
        <f>IF('Eurostat EB TJ'!AA131=":",0,'Eurostat EB TJ'!AA131)</f>
        <v>0</v>
      </c>
      <c r="AC124" s="57">
        <f>IF('Eurostat EB TJ'!AB131=":",0,'Eurostat EB TJ'!AB131)</f>
        <v>0</v>
      </c>
      <c r="AD124" s="57">
        <f>IF('Eurostat EB TJ'!AC131=":",0,'Eurostat EB TJ'!AC131)</f>
        <v>0</v>
      </c>
      <c r="AE124" s="57">
        <f>IF('Eurostat EB TJ'!AD131=":",0,'Eurostat EB TJ'!AD131)</f>
        <v>0</v>
      </c>
      <c r="AF124" s="57">
        <f>IF('Eurostat EB TJ'!AE131=":",0,'Eurostat EB TJ'!AE131)</f>
        <v>0</v>
      </c>
      <c r="AG124" s="57">
        <f>IF('Eurostat EB TJ'!AF131=":",0,'Eurostat EB TJ'!AF131)</f>
        <v>0</v>
      </c>
      <c r="AH124" s="57">
        <f>IF('Eurostat EB TJ'!AG131=":",0,'Eurostat EB TJ'!AG131)</f>
        <v>0</v>
      </c>
      <c r="AI124" s="57">
        <f>IF('Eurostat EB TJ'!AH131=":",0,'Eurostat EB TJ'!AH131)</f>
        <v>0</v>
      </c>
      <c r="AJ124" s="57">
        <f>IF('Eurostat EB TJ'!AI131=":",0,'Eurostat EB TJ'!AI131)</f>
        <v>0</v>
      </c>
      <c r="AK124" s="57">
        <f>IF('Eurostat EB TJ'!AJ131=":",0,'Eurostat EB TJ'!AJ131)</f>
        <v>0</v>
      </c>
      <c r="AL124" s="57">
        <f>IF('Eurostat EB TJ'!AK131=":",0,'Eurostat EB TJ'!AK131)</f>
        <v>0</v>
      </c>
      <c r="AM124" s="57">
        <f>IF('Eurostat EB TJ'!AL131=":",0,'Eurostat EB TJ'!AL131)</f>
        <v>0</v>
      </c>
      <c r="AN124" s="57">
        <f>IF('Eurostat EB TJ'!AM131=":",0,'Eurostat EB TJ'!AM131)</f>
        <v>928.64400000000001</v>
      </c>
      <c r="AO124" s="57">
        <f>IF('Eurostat EB TJ'!AN131=":",0,'Eurostat EB TJ'!AN131)</f>
        <v>0</v>
      </c>
      <c r="AP124" s="57">
        <f>IF('Eurostat EB TJ'!AO131=":",0,'Eurostat EB TJ'!AO131)</f>
        <v>0</v>
      </c>
      <c r="AQ124" s="57">
        <f>IF('Eurostat EB TJ'!AP131=":",0,'Eurostat EB TJ'!AP131)</f>
        <v>0</v>
      </c>
      <c r="AR124" s="57">
        <f>IF('Eurostat EB TJ'!AQ131=":",0,'Eurostat EB TJ'!AQ131)</f>
        <v>0</v>
      </c>
      <c r="AS124" s="57">
        <f>IF('Eurostat EB TJ'!AR131=":",0,'Eurostat EB TJ'!AR131)</f>
        <v>0</v>
      </c>
      <c r="AT124" s="57">
        <f>IF('Eurostat EB TJ'!AS131=":",0,'Eurostat EB TJ'!AS131)</f>
        <v>0</v>
      </c>
      <c r="AU124" s="57">
        <f>IF('Eurostat EB TJ'!AT131=":",0,'Eurostat EB TJ'!AT131)</f>
        <v>0</v>
      </c>
      <c r="AV124" s="57">
        <f>IF('Eurostat EB TJ'!AU131=":",0,'Eurostat EB TJ'!AU131)</f>
        <v>65.677000000000007</v>
      </c>
      <c r="AW124" s="57">
        <f>IF('Eurostat EB TJ'!AV131=":",0,'Eurostat EB TJ'!AV131)</f>
        <v>0</v>
      </c>
      <c r="AX124" s="57">
        <f>IF('Eurostat EB TJ'!AW131=":",0,'Eurostat EB TJ'!AW131)</f>
        <v>0</v>
      </c>
      <c r="AY124" s="57">
        <f>IF('Eurostat EB TJ'!AX131=":",0,'Eurostat EB TJ'!AX131)</f>
        <v>0</v>
      </c>
      <c r="AZ124" s="57">
        <f>IF('Eurostat EB TJ'!AY131=":",0,'Eurostat EB TJ'!AY131)</f>
        <v>0</v>
      </c>
      <c r="BA124" s="57">
        <f>IF('Eurostat EB TJ'!AZ131=":",0,'Eurostat EB TJ'!AZ131)</f>
        <v>0</v>
      </c>
      <c r="BB124" s="57">
        <f>IF('Eurostat EB TJ'!BA131=":",0,'Eurostat EB TJ'!BA131)</f>
        <v>0</v>
      </c>
      <c r="BC124" s="57">
        <f>IF('Eurostat EB TJ'!BB131=":",0,'Eurostat EB TJ'!BB131)</f>
        <v>0</v>
      </c>
      <c r="BD124" s="57">
        <f>IF('Eurostat EB TJ'!BC131=":",0,'Eurostat EB TJ'!BC131)</f>
        <v>0</v>
      </c>
      <c r="BE124" s="57">
        <f>IF('Eurostat EB TJ'!BD131=":",0,'Eurostat EB TJ'!BD131)</f>
        <v>0</v>
      </c>
      <c r="BF124" s="57">
        <f>IF('Eurostat EB TJ'!BE131=":",0,'Eurostat EB TJ'!BE131)</f>
        <v>0</v>
      </c>
      <c r="BG124" s="57">
        <f>IF('Eurostat EB TJ'!BF131=":",0,'Eurostat EB TJ'!BF131)</f>
        <v>0</v>
      </c>
      <c r="BH124" s="57">
        <f>IF('Eurostat EB TJ'!BG131=":",0,'Eurostat EB TJ'!BG131)</f>
        <v>0</v>
      </c>
      <c r="BI124" s="57">
        <f>IF('Eurostat EB TJ'!BH131=":",0,'Eurostat EB TJ'!BH131)</f>
        <v>65.677000000000007</v>
      </c>
      <c r="BJ124" s="57">
        <f>IF('Eurostat EB TJ'!BI131=":",0,'Eurostat EB TJ'!BI131)</f>
        <v>0</v>
      </c>
      <c r="BK124" s="57">
        <f>IF('Eurostat EB TJ'!BJ131=":",0,'Eurostat EB TJ'!BJ131)</f>
        <v>0</v>
      </c>
      <c r="BL124" s="57">
        <f>IF('Eurostat EB TJ'!BK131=":",0,'Eurostat EB TJ'!BK131)</f>
        <v>0</v>
      </c>
      <c r="BM124" s="57">
        <f>IF('Eurostat EB TJ'!BL131=":",0,'Eurostat EB TJ'!BL131)</f>
        <v>0</v>
      </c>
      <c r="BN124" s="57">
        <f>IF('Eurostat EB TJ'!BM131=":",0,'Eurostat EB TJ'!BM131)</f>
        <v>0</v>
      </c>
      <c r="BO124" s="57">
        <f>IF('Eurostat EB TJ'!BN131=":",0,'Eurostat EB TJ'!BN131)</f>
        <v>0</v>
      </c>
      <c r="BP124" s="57">
        <f>IF('Eurostat EB TJ'!BO131=":",0,'Eurostat EB TJ'!BO131)</f>
        <v>0</v>
      </c>
      <c r="BQ124" s="57">
        <f>IF('Eurostat EB TJ'!BP131=":",0,'Eurostat EB TJ'!BP131)</f>
        <v>0</v>
      </c>
      <c r="BR124" s="57">
        <f>IF('Eurostat EB TJ'!BQ131=":",0,'Eurostat EB TJ'!BQ131)</f>
        <v>0</v>
      </c>
      <c r="BS124" s="57">
        <f>IF('Eurostat EB TJ'!BR131=":",0,'Eurostat EB TJ'!BR131)</f>
        <v>6032.3</v>
      </c>
      <c r="BT124" s="57">
        <f>IF('Eurostat EB TJ'!BS131=":",0,'Eurostat EB TJ'!BS131)</f>
        <v>0</v>
      </c>
      <c r="BU124" s="57">
        <f>IF('Eurostat EB TJ'!BT131=":",0,'Eurostat EB TJ'!BT131)</f>
        <v>467.27199999999999</v>
      </c>
      <c r="BV124" s="57">
        <f>IF('Eurostat EB TJ'!BU131=":",0,'Eurostat EB TJ'!BU131)</f>
        <v>3888.0790000000002</v>
      </c>
    </row>
    <row r="125" spans="1:74" x14ac:dyDescent="0.2">
      <c r="A125" s="56" t="s">
        <v>303</v>
      </c>
      <c r="B125" s="17"/>
      <c r="C125" s="17">
        <f>IF('Eurostat EB TJ'!B132=":",0,'Eurostat EB TJ'!B132)</f>
        <v>377119.04200000002</v>
      </c>
      <c r="D125" s="17">
        <f>IF('Eurostat EB TJ'!C132=":",0,'Eurostat EB TJ'!C132)</f>
        <v>0</v>
      </c>
      <c r="E125" s="17">
        <f>IF('Eurostat EB TJ'!D132=":",0,'Eurostat EB TJ'!D132)</f>
        <v>0</v>
      </c>
      <c r="F125" s="17">
        <f>IF('Eurostat EB TJ'!E132=":",0,'Eurostat EB TJ'!E132)</f>
        <v>0</v>
      </c>
      <c r="G125" s="17">
        <f>IF('Eurostat EB TJ'!F132=":",0,'Eurostat EB TJ'!F132)</f>
        <v>0</v>
      </c>
      <c r="H125" s="17">
        <f>IF('Eurostat EB TJ'!G132=":",0,'Eurostat EB TJ'!G132)</f>
        <v>0</v>
      </c>
      <c r="I125" s="17">
        <f>IF('Eurostat EB TJ'!H132=":",0,'Eurostat EB TJ'!H132)</f>
        <v>0</v>
      </c>
      <c r="J125" s="17">
        <f>IF('Eurostat EB TJ'!I132=":",0,'Eurostat EB TJ'!I132)</f>
        <v>0</v>
      </c>
      <c r="K125" s="17">
        <f>IF('Eurostat EB TJ'!J132=":",0,'Eurostat EB TJ'!J132)</f>
        <v>0</v>
      </c>
      <c r="L125" s="17">
        <f>IF('Eurostat EB TJ'!K132=":",0,'Eurostat EB TJ'!K132)</f>
        <v>0</v>
      </c>
      <c r="M125" s="17">
        <f>IF('Eurostat EB TJ'!L132=":",0,'Eurostat EB TJ'!L132)</f>
        <v>0</v>
      </c>
      <c r="N125" s="17">
        <f>IF('Eurostat EB TJ'!M132=":",0,'Eurostat EB TJ'!M132)</f>
        <v>0</v>
      </c>
      <c r="O125" s="17">
        <f>IF('Eurostat EB TJ'!N132=":",0,'Eurostat EB TJ'!N132)</f>
        <v>0</v>
      </c>
      <c r="P125" s="17">
        <f>IF('Eurostat EB TJ'!O132=":",0,'Eurostat EB TJ'!O132)</f>
        <v>0</v>
      </c>
      <c r="Q125" s="17">
        <f>IF('Eurostat EB TJ'!P132=":",0,'Eurostat EB TJ'!P132)</f>
        <v>0</v>
      </c>
      <c r="R125" s="17">
        <f>IF('Eurostat EB TJ'!Q132=":",0,'Eurostat EB TJ'!Q132)</f>
        <v>0</v>
      </c>
      <c r="S125" s="17">
        <f>IF('Eurostat EB TJ'!R132=":",0,'Eurostat EB TJ'!R132)</f>
        <v>0</v>
      </c>
      <c r="T125" s="17">
        <f>IF('Eurostat EB TJ'!S132=":",0,'Eurostat EB TJ'!S132)</f>
        <v>0</v>
      </c>
      <c r="U125" s="17">
        <f>IF('Eurostat EB TJ'!T132=":",0,'Eurostat EB TJ'!T132)</f>
        <v>0</v>
      </c>
      <c r="V125" s="17">
        <f>IF('Eurostat EB TJ'!U132=":",0,'Eurostat EB TJ'!U132)</f>
        <v>0</v>
      </c>
      <c r="W125" s="17">
        <f>IF('Eurostat EB TJ'!V132=":",0,'Eurostat EB TJ'!V132)</f>
        <v>0</v>
      </c>
      <c r="X125" s="17">
        <f>IF('Eurostat EB TJ'!W132=":",0,'Eurostat EB TJ'!W132)</f>
        <v>2448.2550000000001</v>
      </c>
      <c r="Y125" s="17">
        <f>IF('Eurostat EB TJ'!X132=":",0,'Eurostat EB TJ'!X132)</f>
        <v>343953.21299999999</v>
      </c>
      <c r="Z125" s="17">
        <f>IF('Eurostat EB TJ'!Y132=":",0,'Eurostat EB TJ'!Y132)</f>
        <v>0</v>
      </c>
      <c r="AA125" s="17">
        <f>IF('Eurostat EB TJ'!Z132=":",0,'Eurostat EB TJ'!Z132)</f>
        <v>0</v>
      </c>
      <c r="AB125" s="17">
        <f>IF('Eurostat EB TJ'!AA132=":",0,'Eurostat EB TJ'!AA132)</f>
        <v>0</v>
      </c>
      <c r="AC125" s="17">
        <f>IF('Eurostat EB TJ'!AB132=":",0,'Eurostat EB TJ'!AB132)</f>
        <v>0</v>
      </c>
      <c r="AD125" s="17">
        <f>IF('Eurostat EB TJ'!AC132=":",0,'Eurostat EB TJ'!AC132)</f>
        <v>0</v>
      </c>
      <c r="AE125" s="17">
        <f>IF('Eurostat EB TJ'!AD132=":",0,'Eurostat EB TJ'!AD132)</f>
        <v>0</v>
      </c>
      <c r="AF125" s="17">
        <f>IF('Eurostat EB TJ'!AE132=":",0,'Eurostat EB TJ'!AE132)</f>
        <v>0</v>
      </c>
      <c r="AG125" s="17">
        <f>IF('Eurostat EB TJ'!AF132=":",0,'Eurostat EB TJ'!AF132)</f>
        <v>4965.326</v>
      </c>
      <c r="AH125" s="17">
        <f>IF('Eurostat EB TJ'!AG132=":",0,'Eurostat EB TJ'!AG132)</f>
        <v>0</v>
      </c>
      <c r="AI125" s="17">
        <f>IF('Eurostat EB TJ'!AH132=":",0,'Eurostat EB TJ'!AH132)</f>
        <v>0</v>
      </c>
      <c r="AJ125" s="17">
        <f>IF('Eurostat EB TJ'!AI132=":",0,'Eurostat EB TJ'!AI132)</f>
        <v>168369.96400000001</v>
      </c>
      <c r="AK125" s="17">
        <f>IF('Eurostat EB TJ'!AJ132=":",0,'Eurostat EB TJ'!AJ132)</f>
        <v>0</v>
      </c>
      <c r="AL125" s="17">
        <f>IF('Eurostat EB TJ'!AK132=":",0,'Eurostat EB TJ'!AK132)</f>
        <v>0</v>
      </c>
      <c r="AM125" s="17">
        <f>IF('Eurostat EB TJ'!AL132=":",0,'Eurostat EB TJ'!AL132)</f>
        <v>0</v>
      </c>
      <c r="AN125" s="17">
        <f>IF('Eurostat EB TJ'!AM132=":",0,'Eurostat EB TJ'!AM132)</f>
        <v>170617.92300000001</v>
      </c>
      <c r="AO125" s="17">
        <f>IF('Eurostat EB TJ'!AN132=":",0,'Eurostat EB TJ'!AN132)</f>
        <v>0</v>
      </c>
      <c r="AP125" s="17">
        <f>IF('Eurostat EB TJ'!AO132=":",0,'Eurostat EB TJ'!AO132)</f>
        <v>0</v>
      </c>
      <c r="AQ125" s="17">
        <f>IF('Eurostat EB TJ'!AP132=":",0,'Eurostat EB TJ'!AP132)</f>
        <v>0</v>
      </c>
      <c r="AR125" s="17">
        <f>IF('Eurostat EB TJ'!AQ132=":",0,'Eurostat EB TJ'!AQ132)</f>
        <v>0</v>
      </c>
      <c r="AS125" s="17">
        <f>IF('Eurostat EB TJ'!AR132=":",0,'Eurostat EB TJ'!AR132)</f>
        <v>0</v>
      </c>
      <c r="AT125" s="17">
        <f>IF('Eurostat EB TJ'!AS132=":",0,'Eurostat EB TJ'!AS132)</f>
        <v>0</v>
      </c>
      <c r="AU125" s="17">
        <f>IF('Eurostat EB TJ'!AT132=":",0,'Eurostat EB TJ'!AT132)</f>
        <v>0</v>
      </c>
      <c r="AV125" s="17">
        <f>IF('Eurostat EB TJ'!AU132=":",0,'Eurostat EB TJ'!AU132)</f>
        <v>22769.696</v>
      </c>
      <c r="AW125" s="17">
        <f>IF('Eurostat EB TJ'!AV132=":",0,'Eurostat EB TJ'!AV132)</f>
        <v>0</v>
      </c>
      <c r="AX125" s="17">
        <f>IF('Eurostat EB TJ'!AW132=":",0,'Eurostat EB TJ'!AW132)</f>
        <v>0</v>
      </c>
      <c r="AY125" s="17">
        <f>IF('Eurostat EB TJ'!AX132=":",0,'Eurostat EB TJ'!AX132)</f>
        <v>0</v>
      </c>
      <c r="AZ125" s="17">
        <f>IF('Eurostat EB TJ'!AY132=":",0,'Eurostat EB TJ'!AY132)</f>
        <v>0</v>
      </c>
      <c r="BA125" s="17">
        <f>IF('Eurostat EB TJ'!AZ132=":",0,'Eurostat EB TJ'!AZ132)</f>
        <v>0</v>
      </c>
      <c r="BB125" s="17">
        <f>IF('Eurostat EB TJ'!BA132=":",0,'Eurostat EB TJ'!BA132)</f>
        <v>0</v>
      </c>
      <c r="BC125" s="17">
        <f>IF('Eurostat EB TJ'!BB132=":",0,'Eurostat EB TJ'!BB132)</f>
        <v>0</v>
      </c>
      <c r="BD125" s="17">
        <f>IF('Eurostat EB TJ'!BC132=":",0,'Eurostat EB TJ'!BC132)</f>
        <v>0</v>
      </c>
      <c r="BE125" s="17">
        <f>IF('Eurostat EB TJ'!BD132=":",0,'Eurostat EB TJ'!BD132)</f>
        <v>0</v>
      </c>
      <c r="BF125" s="17">
        <f>IF('Eurostat EB TJ'!BE132=":",0,'Eurostat EB TJ'!BE132)</f>
        <v>0</v>
      </c>
      <c r="BG125" s="17">
        <f>IF('Eurostat EB TJ'!BF132=":",0,'Eurostat EB TJ'!BF132)</f>
        <v>10780.532999999999</v>
      </c>
      <c r="BH125" s="17">
        <f>IF('Eurostat EB TJ'!BG132=":",0,'Eurostat EB TJ'!BG132)</f>
        <v>0</v>
      </c>
      <c r="BI125" s="17">
        <f>IF('Eurostat EB TJ'!BH132=":",0,'Eurostat EB TJ'!BH132)</f>
        <v>11989.163</v>
      </c>
      <c r="BJ125" s="17">
        <f>IF('Eurostat EB TJ'!BI132=":",0,'Eurostat EB TJ'!BI132)</f>
        <v>0</v>
      </c>
      <c r="BK125" s="17">
        <f>IF('Eurostat EB TJ'!BJ132=":",0,'Eurostat EB TJ'!BJ132)</f>
        <v>0</v>
      </c>
      <c r="BL125" s="17">
        <f>IF('Eurostat EB TJ'!BK132=":",0,'Eurostat EB TJ'!BK132)</f>
        <v>0</v>
      </c>
      <c r="BM125" s="17">
        <f>IF('Eurostat EB TJ'!BL132=":",0,'Eurostat EB TJ'!BL132)</f>
        <v>0</v>
      </c>
      <c r="BN125" s="17">
        <f>IF('Eurostat EB TJ'!BM132=":",0,'Eurostat EB TJ'!BM132)</f>
        <v>0</v>
      </c>
      <c r="BO125" s="17">
        <f>IF('Eurostat EB TJ'!BN132=":",0,'Eurostat EB TJ'!BN132)</f>
        <v>0</v>
      </c>
      <c r="BP125" s="17">
        <f>IF('Eurostat EB TJ'!BO132=":",0,'Eurostat EB TJ'!BO132)</f>
        <v>0</v>
      </c>
      <c r="BQ125" s="17">
        <f>IF('Eurostat EB TJ'!BP132=":",0,'Eurostat EB TJ'!BP132)</f>
        <v>0</v>
      </c>
      <c r="BR125" s="17">
        <f>IF('Eurostat EB TJ'!BQ132=":",0,'Eurostat EB TJ'!BQ132)</f>
        <v>0</v>
      </c>
      <c r="BS125" s="17">
        <f>IF('Eurostat EB TJ'!BR132=":",0,'Eurostat EB TJ'!BR132)</f>
        <v>7947.8779999999997</v>
      </c>
      <c r="BT125" s="17">
        <f>IF('Eurostat EB TJ'!BS132=":",0,'Eurostat EB TJ'!BS132)</f>
        <v>0</v>
      </c>
      <c r="BU125" s="17">
        <f>IF('Eurostat EB TJ'!BT132=":",0,'Eurostat EB TJ'!BT132)</f>
        <v>23323.896000000001</v>
      </c>
      <c r="BV125" s="17">
        <f>IF('Eurostat EB TJ'!BU132=":",0,'Eurostat EB TJ'!BU132)</f>
        <v>350275.60499999998</v>
      </c>
    </row>
    <row r="126" spans="1:74" x14ac:dyDescent="0.2">
      <c r="A126" s="56" t="s">
        <v>304</v>
      </c>
      <c r="B126" s="57"/>
      <c r="C126" s="57">
        <f>IF('Eurostat EB TJ'!B133=":",0,'Eurostat EB TJ'!B133)</f>
        <v>406.553</v>
      </c>
      <c r="D126" s="57">
        <f>IF('Eurostat EB TJ'!C133=":",0,'Eurostat EB TJ'!C133)</f>
        <v>0</v>
      </c>
      <c r="E126" s="57">
        <f>IF('Eurostat EB TJ'!D133=":",0,'Eurostat EB TJ'!D133)</f>
        <v>0</v>
      </c>
      <c r="F126" s="57">
        <f>IF('Eurostat EB TJ'!E133=":",0,'Eurostat EB TJ'!E133)</f>
        <v>0</v>
      </c>
      <c r="G126" s="57">
        <f>IF('Eurostat EB TJ'!F133=":",0,'Eurostat EB TJ'!F133)</f>
        <v>0</v>
      </c>
      <c r="H126" s="57">
        <f>IF('Eurostat EB TJ'!G133=":",0,'Eurostat EB TJ'!G133)</f>
        <v>0</v>
      </c>
      <c r="I126" s="57">
        <f>IF('Eurostat EB TJ'!H133=":",0,'Eurostat EB TJ'!H133)</f>
        <v>0</v>
      </c>
      <c r="J126" s="57">
        <f>IF('Eurostat EB TJ'!I133=":",0,'Eurostat EB TJ'!I133)</f>
        <v>0</v>
      </c>
      <c r="K126" s="57">
        <f>IF('Eurostat EB TJ'!J133=":",0,'Eurostat EB TJ'!J133)</f>
        <v>0</v>
      </c>
      <c r="L126" s="57">
        <f>IF('Eurostat EB TJ'!K133=":",0,'Eurostat EB TJ'!K133)</f>
        <v>0</v>
      </c>
      <c r="M126" s="57">
        <f>IF('Eurostat EB TJ'!L133=":",0,'Eurostat EB TJ'!L133)</f>
        <v>0</v>
      </c>
      <c r="N126" s="57">
        <f>IF('Eurostat EB TJ'!M133=":",0,'Eurostat EB TJ'!M133)</f>
        <v>0</v>
      </c>
      <c r="O126" s="57">
        <f>IF('Eurostat EB TJ'!N133=":",0,'Eurostat EB TJ'!N133)</f>
        <v>0</v>
      </c>
      <c r="P126" s="57">
        <f>IF('Eurostat EB TJ'!O133=":",0,'Eurostat EB TJ'!O133)</f>
        <v>0</v>
      </c>
      <c r="Q126" s="57">
        <f>IF('Eurostat EB TJ'!P133=":",0,'Eurostat EB TJ'!P133)</f>
        <v>0</v>
      </c>
      <c r="R126" s="57">
        <f>IF('Eurostat EB TJ'!Q133=":",0,'Eurostat EB TJ'!Q133)</f>
        <v>0</v>
      </c>
      <c r="S126" s="57">
        <f>IF('Eurostat EB TJ'!R133=":",0,'Eurostat EB TJ'!R133)</f>
        <v>0</v>
      </c>
      <c r="T126" s="57">
        <f>IF('Eurostat EB TJ'!S133=":",0,'Eurostat EB TJ'!S133)</f>
        <v>0</v>
      </c>
      <c r="U126" s="57">
        <f>IF('Eurostat EB TJ'!T133=":",0,'Eurostat EB TJ'!T133)</f>
        <v>0</v>
      </c>
      <c r="V126" s="57">
        <f>IF('Eurostat EB TJ'!U133=":",0,'Eurostat EB TJ'!U133)</f>
        <v>0</v>
      </c>
      <c r="W126" s="57">
        <f>IF('Eurostat EB TJ'!V133=":",0,'Eurostat EB TJ'!V133)</f>
        <v>0</v>
      </c>
      <c r="X126" s="57">
        <f>IF('Eurostat EB TJ'!W133=":",0,'Eurostat EB TJ'!W133)</f>
        <v>0</v>
      </c>
      <c r="Y126" s="57">
        <f>IF('Eurostat EB TJ'!X133=":",0,'Eurostat EB TJ'!X133)</f>
        <v>406.553</v>
      </c>
      <c r="Z126" s="57">
        <f>IF('Eurostat EB TJ'!Y133=":",0,'Eurostat EB TJ'!Y133)</f>
        <v>0</v>
      </c>
      <c r="AA126" s="57">
        <f>IF('Eurostat EB TJ'!Z133=":",0,'Eurostat EB TJ'!Z133)</f>
        <v>0</v>
      </c>
      <c r="AB126" s="57">
        <f>IF('Eurostat EB TJ'!AA133=":",0,'Eurostat EB TJ'!AA133)</f>
        <v>0</v>
      </c>
      <c r="AC126" s="57">
        <f>IF('Eurostat EB TJ'!AB133=":",0,'Eurostat EB TJ'!AB133)</f>
        <v>0</v>
      </c>
      <c r="AD126" s="57">
        <f>IF('Eurostat EB TJ'!AC133=":",0,'Eurostat EB TJ'!AC133)</f>
        <v>0</v>
      </c>
      <c r="AE126" s="57">
        <f>IF('Eurostat EB TJ'!AD133=":",0,'Eurostat EB TJ'!AD133)</f>
        <v>0</v>
      </c>
      <c r="AF126" s="57">
        <f>IF('Eurostat EB TJ'!AE133=":",0,'Eurostat EB TJ'!AE133)</f>
        <v>0</v>
      </c>
      <c r="AG126" s="57">
        <f>IF('Eurostat EB TJ'!AF133=":",0,'Eurostat EB TJ'!AF133)</f>
        <v>0</v>
      </c>
      <c r="AH126" s="57">
        <f>IF('Eurostat EB TJ'!AG133=":",0,'Eurostat EB TJ'!AG133)</f>
        <v>0</v>
      </c>
      <c r="AI126" s="57">
        <f>IF('Eurostat EB TJ'!AH133=":",0,'Eurostat EB TJ'!AH133)</f>
        <v>56.847000000000001</v>
      </c>
      <c r="AJ126" s="57">
        <f>IF('Eurostat EB TJ'!AI133=":",0,'Eurostat EB TJ'!AI133)</f>
        <v>0</v>
      </c>
      <c r="AK126" s="57">
        <f>IF('Eurostat EB TJ'!AJ133=":",0,'Eurostat EB TJ'!AJ133)</f>
        <v>0</v>
      </c>
      <c r="AL126" s="57">
        <f>IF('Eurostat EB TJ'!AK133=":",0,'Eurostat EB TJ'!AK133)</f>
        <v>349.70499999999998</v>
      </c>
      <c r="AM126" s="57">
        <f>IF('Eurostat EB TJ'!AL133=":",0,'Eurostat EB TJ'!AL133)</f>
        <v>0</v>
      </c>
      <c r="AN126" s="57">
        <f>IF('Eurostat EB TJ'!AM133=":",0,'Eurostat EB TJ'!AM133)</f>
        <v>0</v>
      </c>
      <c r="AO126" s="57">
        <f>IF('Eurostat EB TJ'!AN133=":",0,'Eurostat EB TJ'!AN133)</f>
        <v>0</v>
      </c>
      <c r="AP126" s="57">
        <f>IF('Eurostat EB TJ'!AO133=":",0,'Eurostat EB TJ'!AO133)</f>
        <v>0</v>
      </c>
      <c r="AQ126" s="57">
        <f>IF('Eurostat EB TJ'!AP133=":",0,'Eurostat EB TJ'!AP133)</f>
        <v>0</v>
      </c>
      <c r="AR126" s="57">
        <f>IF('Eurostat EB TJ'!AQ133=":",0,'Eurostat EB TJ'!AQ133)</f>
        <v>0</v>
      </c>
      <c r="AS126" s="57">
        <f>IF('Eurostat EB TJ'!AR133=":",0,'Eurostat EB TJ'!AR133)</f>
        <v>0</v>
      </c>
      <c r="AT126" s="57">
        <f>IF('Eurostat EB TJ'!AS133=":",0,'Eurostat EB TJ'!AS133)</f>
        <v>0</v>
      </c>
      <c r="AU126" s="57">
        <f>IF('Eurostat EB TJ'!AT133=":",0,'Eurostat EB TJ'!AT133)</f>
        <v>0</v>
      </c>
      <c r="AV126" s="57">
        <f>IF('Eurostat EB TJ'!AU133=":",0,'Eurostat EB TJ'!AU133)</f>
        <v>0</v>
      </c>
      <c r="AW126" s="57">
        <f>IF('Eurostat EB TJ'!AV133=":",0,'Eurostat EB TJ'!AV133)</f>
        <v>0</v>
      </c>
      <c r="AX126" s="57">
        <f>IF('Eurostat EB TJ'!AW133=":",0,'Eurostat EB TJ'!AW133)</f>
        <v>0</v>
      </c>
      <c r="AY126" s="57">
        <f>IF('Eurostat EB TJ'!AX133=":",0,'Eurostat EB TJ'!AX133)</f>
        <v>0</v>
      </c>
      <c r="AZ126" s="57">
        <f>IF('Eurostat EB TJ'!AY133=":",0,'Eurostat EB TJ'!AY133)</f>
        <v>0</v>
      </c>
      <c r="BA126" s="57">
        <f>IF('Eurostat EB TJ'!AZ133=":",0,'Eurostat EB TJ'!AZ133)</f>
        <v>0</v>
      </c>
      <c r="BB126" s="57">
        <f>IF('Eurostat EB TJ'!BA133=":",0,'Eurostat EB TJ'!BA133)</f>
        <v>0</v>
      </c>
      <c r="BC126" s="57">
        <f>IF('Eurostat EB TJ'!BB133=":",0,'Eurostat EB TJ'!BB133)</f>
        <v>0</v>
      </c>
      <c r="BD126" s="57">
        <f>IF('Eurostat EB TJ'!BC133=":",0,'Eurostat EB TJ'!BC133)</f>
        <v>0</v>
      </c>
      <c r="BE126" s="57">
        <f>IF('Eurostat EB TJ'!BD133=":",0,'Eurostat EB TJ'!BD133)</f>
        <v>0</v>
      </c>
      <c r="BF126" s="57">
        <f>IF('Eurostat EB TJ'!BE133=":",0,'Eurostat EB TJ'!BE133)</f>
        <v>0</v>
      </c>
      <c r="BG126" s="57">
        <f>IF('Eurostat EB TJ'!BF133=":",0,'Eurostat EB TJ'!BF133)</f>
        <v>0</v>
      </c>
      <c r="BH126" s="57">
        <f>IF('Eurostat EB TJ'!BG133=":",0,'Eurostat EB TJ'!BG133)</f>
        <v>0</v>
      </c>
      <c r="BI126" s="57">
        <f>IF('Eurostat EB TJ'!BH133=":",0,'Eurostat EB TJ'!BH133)</f>
        <v>0</v>
      </c>
      <c r="BJ126" s="57">
        <f>IF('Eurostat EB TJ'!BI133=":",0,'Eurostat EB TJ'!BI133)</f>
        <v>0</v>
      </c>
      <c r="BK126" s="57">
        <f>IF('Eurostat EB TJ'!BJ133=":",0,'Eurostat EB TJ'!BJ133)</f>
        <v>0</v>
      </c>
      <c r="BL126" s="57">
        <f>IF('Eurostat EB TJ'!BK133=":",0,'Eurostat EB TJ'!BK133)</f>
        <v>0</v>
      </c>
      <c r="BM126" s="57">
        <f>IF('Eurostat EB TJ'!BL133=":",0,'Eurostat EB TJ'!BL133)</f>
        <v>0</v>
      </c>
      <c r="BN126" s="57">
        <f>IF('Eurostat EB TJ'!BM133=":",0,'Eurostat EB TJ'!BM133)</f>
        <v>0</v>
      </c>
      <c r="BO126" s="57">
        <f>IF('Eurostat EB TJ'!BN133=":",0,'Eurostat EB TJ'!BN133)</f>
        <v>0</v>
      </c>
      <c r="BP126" s="57">
        <f>IF('Eurostat EB TJ'!BO133=":",0,'Eurostat EB TJ'!BO133)</f>
        <v>0</v>
      </c>
      <c r="BQ126" s="57">
        <f>IF('Eurostat EB TJ'!BP133=":",0,'Eurostat EB TJ'!BP133)</f>
        <v>0</v>
      </c>
      <c r="BR126" s="57">
        <f>IF('Eurostat EB TJ'!BQ133=":",0,'Eurostat EB TJ'!BQ133)</f>
        <v>0</v>
      </c>
      <c r="BS126" s="57">
        <f>IF('Eurostat EB TJ'!BR133=":",0,'Eurostat EB TJ'!BR133)</f>
        <v>0</v>
      </c>
      <c r="BT126" s="57">
        <f>IF('Eurostat EB TJ'!BS133=":",0,'Eurostat EB TJ'!BS133)</f>
        <v>0</v>
      </c>
      <c r="BU126" s="57">
        <f>IF('Eurostat EB TJ'!BT133=":",0,'Eurostat EB TJ'!BT133)</f>
        <v>0</v>
      </c>
      <c r="BV126" s="57">
        <f>IF('Eurostat EB TJ'!BU133=":",0,'Eurostat EB TJ'!BU133)</f>
        <v>406.553</v>
      </c>
    </row>
    <row r="127" spans="1:74" x14ac:dyDescent="0.2">
      <c r="A127" s="56" t="s">
        <v>305</v>
      </c>
      <c r="B127" s="17"/>
      <c r="C127" s="17">
        <f>IF('Eurostat EB TJ'!B134=":",0,'Eurostat EB TJ'!B134)</f>
        <v>12827.955</v>
      </c>
      <c r="D127" s="17">
        <f>IF('Eurostat EB TJ'!C134=":",0,'Eurostat EB TJ'!C134)</f>
        <v>0</v>
      </c>
      <c r="E127" s="17">
        <f>IF('Eurostat EB TJ'!D134=":",0,'Eurostat EB TJ'!D134)</f>
        <v>0</v>
      </c>
      <c r="F127" s="17">
        <f>IF('Eurostat EB TJ'!E134=":",0,'Eurostat EB TJ'!E134)</f>
        <v>0</v>
      </c>
      <c r="G127" s="17">
        <f>IF('Eurostat EB TJ'!F134=":",0,'Eurostat EB TJ'!F134)</f>
        <v>0</v>
      </c>
      <c r="H127" s="17">
        <f>IF('Eurostat EB TJ'!G134=":",0,'Eurostat EB TJ'!G134)</f>
        <v>0</v>
      </c>
      <c r="I127" s="17">
        <f>IF('Eurostat EB TJ'!H134=":",0,'Eurostat EB TJ'!H134)</f>
        <v>0</v>
      </c>
      <c r="J127" s="17">
        <f>IF('Eurostat EB TJ'!I134=":",0,'Eurostat EB TJ'!I134)</f>
        <v>0</v>
      </c>
      <c r="K127" s="17">
        <f>IF('Eurostat EB TJ'!J134=":",0,'Eurostat EB TJ'!J134)</f>
        <v>0</v>
      </c>
      <c r="L127" s="17">
        <f>IF('Eurostat EB TJ'!K134=":",0,'Eurostat EB TJ'!K134)</f>
        <v>0</v>
      </c>
      <c r="M127" s="17">
        <f>IF('Eurostat EB TJ'!L134=":",0,'Eurostat EB TJ'!L134)</f>
        <v>0</v>
      </c>
      <c r="N127" s="17">
        <f>IF('Eurostat EB TJ'!M134=":",0,'Eurostat EB TJ'!M134)</f>
        <v>0</v>
      </c>
      <c r="O127" s="17">
        <f>IF('Eurostat EB TJ'!N134=":",0,'Eurostat EB TJ'!N134)</f>
        <v>0</v>
      </c>
      <c r="P127" s="17">
        <f>IF('Eurostat EB TJ'!O134=":",0,'Eurostat EB TJ'!O134)</f>
        <v>0</v>
      </c>
      <c r="Q127" s="17">
        <f>IF('Eurostat EB TJ'!P134=":",0,'Eurostat EB TJ'!P134)</f>
        <v>0</v>
      </c>
      <c r="R127" s="17">
        <f>IF('Eurostat EB TJ'!Q134=":",0,'Eurostat EB TJ'!Q134)</f>
        <v>0</v>
      </c>
      <c r="S127" s="17">
        <f>IF('Eurostat EB TJ'!R134=":",0,'Eurostat EB TJ'!R134)</f>
        <v>0</v>
      </c>
      <c r="T127" s="17">
        <f>IF('Eurostat EB TJ'!S134=":",0,'Eurostat EB TJ'!S134)</f>
        <v>0</v>
      </c>
      <c r="U127" s="17">
        <f>IF('Eurostat EB TJ'!T134=":",0,'Eurostat EB TJ'!T134)</f>
        <v>0</v>
      </c>
      <c r="V127" s="17">
        <f>IF('Eurostat EB TJ'!U134=":",0,'Eurostat EB TJ'!U134)</f>
        <v>0</v>
      </c>
      <c r="W127" s="17">
        <f>IF('Eurostat EB TJ'!V134=":",0,'Eurostat EB TJ'!V134)</f>
        <v>0</v>
      </c>
      <c r="X127" s="17">
        <f>IF('Eurostat EB TJ'!W134=":",0,'Eurostat EB TJ'!W134)</f>
        <v>0</v>
      </c>
      <c r="Y127" s="17">
        <f>IF('Eurostat EB TJ'!X134=":",0,'Eurostat EB TJ'!X134)</f>
        <v>12785.412</v>
      </c>
      <c r="Z127" s="17">
        <f>IF('Eurostat EB TJ'!Y134=":",0,'Eurostat EB TJ'!Y134)</f>
        <v>0</v>
      </c>
      <c r="AA127" s="17">
        <f>IF('Eurostat EB TJ'!Z134=":",0,'Eurostat EB TJ'!Z134)</f>
        <v>0</v>
      </c>
      <c r="AB127" s="17">
        <f>IF('Eurostat EB TJ'!AA134=":",0,'Eurostat EB TJ'!AA134)</f>
        <v>0</v>
      </c>
      <c r="AC127" s="17">
        <f>IF('Eurostat EB TJ'!AB134=":",0,'Eurostat EB TJ'!AB134)</f>
        <v>0</v>
      </c>
      <c r="AD127" s="17">
        <f>IF('Eurostat EB TJ'!AC134=":",0,'Eurostat EB TJ'!AC134)</f>
        <v>0</v>
      </c>
      <c r="AE127" s="17">
        <f>IF('Eurostat EB TJ'!AD134=":",0,'Eurostat EB TJ'!AD134)</f>
        <v>0</v>
      </c>
      <c r="AF127" s="17">
        <f>IF('Eurostat EB TJ'!AE134=":",0,'Eurostat EB TJ'!AE134)</f>
        <v>0</v>
      </c>
      <c r="AG127" s="17">
        <f>IF('Eurostat EB TJ'!AF134=":",0,'Eurostat EB TJ'!AF134)</f>
        <v>0</v>
      </c>
      <c r="AH127" s="17">
        <f>IF('Eurostat EB TJ'!AG134=":",0,'Eurostat EB TJ'!AG134)</f>
        <v>0</v>
      </c>
      <c r="AI127" s="17">
        <f>IF('Eurostat EB TJ'!AH134=":",0,'Eurostat EB TJ'!AH134)</f>
        <v>0</v>
      </c>
      <c r="AJ127" s="17">
        <f>IF('Eurostat EB TJ'!AI134=":",0,'Eurostat EB TJ'!AI134)</f>
        <v>1574.1679999999999</v>
      </c>
      <c r="AK127" s="17">
        <f>IF('Eurostat EB TJ'!AJ134=":",0,'Eurostat EB TJ'!AJ134)</f>
        <v>0</v>
      </c>
      <c r="AL127" s="17">
        <f>IF('Eurostat EB TJ'!AK134=":",0,'Eurostat EB TJ'!AK134)</f>
        <v>0</v>
      </c>
      <c r="AM127" s="17">
        <f>IF('Eurostat EB TJ'!AL134=":",0,'Eurostat EB TJ'!AL134)</f>
        <v>0</v>
      </c>
      <c r="AN127" s="17">
        <f>IF('Eurostat EB TJ'!AM134=":",0,'Eurostat EB TJ'!AM134)</f>
        <v>11211.244000000001</v>
      </c>
      <c r="AO127" s="17">
        <f>IF('Eurostat EB TJ'!AN134=":",0,'Eurostat EB TJ'!AN134)</f>
        <v>0</v>
      </c>
      <c r="AP127" s="17">
        <f>IF('Eurostat EB TJ'!AO134=":",0,'Eurostat EB TJ'!AO134)</f>
        <v>0</v>
      </c>
      <c r="AQ127" s="17">
        <f>IF('Eurostat EB TJ'!AP134=":",0,'Eurostat EB TJ'!AP134)</f>
        <v>0</v>
      </c>
      <c r="AR127" s="17">
        <f>IF('Eurostat EB TJ'!AQ134=":",0,'Eurostat EB TJ'!AQ134)</f>
        <v>0</v>
      </c>
      <c r="AS127" s="17">
        <f>IF('Eurostat EB TJ'!AR134=":",0,'Eurostat EB TJ'!AR134)</f>
        <v>0</v>
      </c>
      <c r="AT127" s="17">
        <f>IF('Eurostat EB TJ'!AS134=":",0,'Eurostat EB TJ'!AS134)</f>
        <v>0</v>
      </c>
      <c r="AU127" s="17">
        <f>IF('Eurostat EB TJ'!AT134=":",0,'Eurostat EB TJ'!AT134)</f>
        <v>0</v>
      </c>
      <c r="AV127" s="17">
        <f>IF('Eurostat EB TJ'!AU134=":",0,'Eurostat EB TJ'!AU134)</f>
        <v>42.542999999999999</v>
      </c>
      <c r="AW127" s="17">
        <f>IF('Eurostat EB TJ'!AV134=":",0,'Eurostat EB TJ'!AV134)</f>
        <v>0</v>
      </c>
      <c r="AX127" s="17">
        <f>IF('Eurostat EB TJ'!AW134=":",0,'Eurostat EB TJ'!AW134)</f>
        <v>0</v>
      </c>
      <c r="AY127" s="17">
        <f>IF('Eurostat EB TJ'!AX134=":",0,'Eurostat EB TJ'!AX134)</f>
        <v>0</v>
      </c>
      <c r="AZ127" s="17">
        <f>IF('Eurostat EB TJ'!AY134=":",0,'Eurostat EB TJ'!AY134)</f>
        <v>0</v>
      </c>
      <c r="BA127" s="17">
        <f>IF('Eurostat EB TJ'!AZ134=":",0,'Eurostat EB TJ'!AZ134)</f>
        <v>0</v>
      </c>
      <c r="BB127" s="17">
        <f>IF('Eurostat EB TJ'!BA134=":",0,'Eurostat EB TJ'!BA134)</f>
        <v>0</v>
      </c>
      <c r="BC127" s="17">
        <f>IF('Eurostat EB TJ'!BB134=":",0,'Eurostat EB TJ'!BB134)</f>
        <v>0</v>
      </c>
      <c r="BD127" s="17">
        <f>IF('Eurostat EB TJ'!BC134=":",0,'Eurostat EB TJ'!BC134)</f>
        <v>0</v>
      </c>
      <c r="BE127" s="17">
        <f>IF('Eurostat EB TJ'!BD134=":",0,'Eurostat EB TJ'!BD134)</f>
        <v>0</v>
      </c>
      <c r="BF127" s="17">
        <f>IF('Eurostat EB TJ'!BE134=":",0,'Eurostat EB TJ'!BE134)</f>
        <v>0</v>
      </c>
      <c r="BG127" s="17">
        <f>IF('Eurostat EB TJ'!BF134=":",0,'Eurostat EB TJ'!BF134)</f>
        <v>0</v>
      </c>
      <c r="BH127" s="17">
        <f>IF('Eurostat EB TJ'!BG134=":",0,'Eurostat EB TJ'!BG134)</f>
        <v>0</v>
      </c>
      <c r="BI127" s="17">
        <f>IF('Eurostat EB TJ'!BH134=":",0,'Eurostat EB TJ'!BH134)</f>
        <v>42.542999999999999</v>
      </c>
      <c r="BJ127" s="17">
        <f>IF('Eurostat EB TJ'!BI134=":",0,'Eurostat EB TJ'!BI134)</f>
        <v>0</v>
      </c>
      <c r="BK127" s="17">
        <f>IF('Eurostat EB TJ'!BJ134=":",0,'Eurostat EB TJ'!BJ134)</f>
        <v>0</v>
      </c>
      <c r="BL127" s="17">
        <f>IF('Eurostat EB TJ'!BK134=":",0,'Eurostat EB TJ'!BK134)</f>
        <v>0</v>
      </c>
      <c r="BM127" s="17">
        <f>IF('Eurostat EB TJ'!BL134=":",0,'Eurostat EB TJ'!BL134)</f>
        <v>0</v>
      </c>
      <c r="BN127" s="17">
        <f>IF('Eurostat EB TJ'!BM134=":",0,'Eurostat EB TJ'!BM134)</f>
        <v>0</v>
      </c>
      <c r="BO127" s="17">
        <f>IF('Eurostat EB TJ'!BN134=":",0,'Eurostat EB TJ'!BN134)</f>
        <v>0</v>
      </c>
      <c r="BP127" s="17">
        <f>IF('Eurostat EB TJ'!BO134=":",0,'Eurostat EB TJ'!BO134)</f>
        <v>0</v>
      </c>
      <c r="BQ127" s="17">
        <f>IF('Eurostat EB TJ'!BP134=":",0,'Eurostat EB TJ'!BP134)</f>
        <v>0</v>
      </c>
      <c r="BR127" s="17">
        <f>IF('Eurostat EB TJ'!BQ134=":",0,'Eurostat EB TJ'!BQ134)</f>
        <v>0</v>
      </c>
      <c r="BS127" s="17">
        <f>IF('Eurostat EB TJ'!BR134=":",0,'Eurostat EB TJ'!BR134)</f>
        <v>0</v>
      </c>
      <c r="BT127" s="17">
        <f>IF('Eurostat EB TJ'!BS134=":",0,'Eurostat EB TJ'!BS134)</f>
        <v>0</v>
      </c>
      <c r="BU127" s="17">
        <f>IF('Eurostat EB TJ'!BT134=":",0,'Eurostat EB TJ'!BT134)</f>
        <v>42.542999999999999</v>
      </c>
      <c r="BV127" s="17">
        <f>IF('Eurostat EB TJ'!BU134=":",0,'Eurostat EB TJ'!BU134)</f>
        <v>12785.412</v>
      </c>
    </row>
    <row r="128" spans="1:74" x14ac:dyDescent="0.2">
      <c r="A128" s="56" t="s">
        <v>306</v>
      </c>
      <c r="B128" s="57"/>
      <c r="C128" s="57">
        <f>IF('Eurostat EB TJ'!B135=":",0,'Eurostat EB TJ'!B135)</f>
        <v>0</v>
      </c>
      <c r="D128" s="57">
        <f>IF('Eurostat EB TJ'!C135=":",0,'Eurostat EB TJ'!C135)</f>
        <v>0</v>
      </c>
      <c r="E128" s="57">
        <f>IF('Eurostat EB TJ'!D135=":",0,'Eurostat EB TJ'!D135)</f>
        <v>0</v>
      </c>
      <c r="F128" s="57">
        <f>IF('Eurostat EB TJ'!E135=":",0,'Eurostat EB TJ'!E135)</f>
        <v>0</v>
      </c>
      <c r="G128" s="57">
        <f>IF('Eurostat EB TJ'!F135=":",0,'Eurostat EB TJ'!F135)</f>
        <v>0</v>
      </c>
      <c r="H128" s="57">
        <f>IF('Eurostat EB TJ'!G135=":",0,'Eurostat EB TJ'!G135)</f>
        <v>0</v>
      </c>
      <c r="I128" s="57">
        <f>IF('Eurostat EB TJ'!H135=":",0,'Eurostat EB TJ'!H135)</f>
        <v>0</v>
      </c>
      <c r="J128" s="57">
        <f>IF('Eurostat EB TJ'!I135=":",0,'Eurostat EB TJ'!I135)</f>
        <v>0</v>
      </c>
      <c r="K128" s="57">
        <f>IF('Eurostat EB TJ'!J135=":",0,'Eurostat EB TJ'!J135)</f>
        <v>0</v>
      </c>
      <c r="L128" s="57">
        <f>IF('Eurostat EB TJ'!K135=":",0,'Eurostat EB TJ'!K135)</f>
        <v>0</v>
      </c>
      <c r="M128" s="57">
        <f>IF('Eurostat EB TJ'!L135=":",0,'Eurostat EB TJ'!L135)</f>
        <v>0</v>
      </c>
      <c r="N128" s="57">
        <f>IF('Eurostat EB TJ'!M135=":",0,'Eurostat EB TJ'!M135)</f>
        <v>0</v>
      </c>
      <c r="O128" s="57">
        <f>IF('Eurostat EB TJ'!N135=":",0,'Eurostat EB TJ'!N135)</f>
        <v>0</v>
      </c>
      <c r="P128" s="57">
        <f>IF('Eurostat EB TJ'!O135=":",0,'Eurostat EB TJ'!O135)</f>
        <v>0</v>
      </c>
      <c r="Q128" s="57">
        <f>IF('Eurostat EB TJ'!P135=":",0,'Eurostat EB TJ'!P135)</f>
        <v>0</v>
      </c>
      <c r="R128" s="57">
        <f>IF('Eurostat EB TJ'!Q135=":",0,'Eurostat EB TJ'!Q135)</f>
        <v>0</v>
      </c>
      <c r="S128" s="57">
        <f>IF('Eurostat EB TJ'!R135=":",0,'Eurostat EB TJ'!R135)</f>
        <v>0</v>
      </c>
      <c r="T128" s="57">
        <f>IF('Eurostat EB TJ'!S135=":",0,'Eurostat EB TJ'!S135)</f>
        <v>0</v>
      </c>
      <c r="U128" s="57">
        <f>IF('Eurostat EB TJ'!T135=":",0,'Eurostat EB TJ'!T135)</f>
        <v>0</v>
      </c>
      <c r="V128" s="57">
        <f>IF('Eurostat EB TJ'!U135=":",0,'Eurostat EB TJ'!U135)</f>
        <v>0</v>
      </c>
      <c r="W128" s="57">
        <f>IF('Eurostat EB TJ'!V135=":",0,'Eurostat EB TJ'!V135)</f>
        <v>0</v>
      </c>
      <c r="X128" s="57">
        <f>IF('Eurostat EB TJ'!W135=":",0,'Eurostat EB TJ'!W135)</f>
        <v>0</v>
      </c>
      <c r="Y128" s="57">
        <f>IF('Eurostat EB TJ'!X135=":",0,'Eurostat EB TJ'!X135)</f>
        <v>0</v>
      </c>
      <c r="Z128" s="57">
        <f>IF('Eurostat EB TJ'!Y135=":",0,'Eurostat EB TJ'!Y135)</f>
        <v>0</v>
      </c>
      <c r="AA128" s="57">
        <f>IF('Eurostat EB TJ'!Z135=":",0,'Eurostat EB TJ'!Z135)</f>
        <v>0</v>
      </c>
      <c r="AB128" s="57">
        <f>IF('Eurostat EB TJ'!AA135=":",0,'Eurostat EB TJ'!AA135)</f>
        <v>0</v>
      </c>
      <c r="AC128" s="57">
        <f>IF('Eurostat EB TJ'!AB135=":",0,'Eurostat EB TJ'!AB135)</f>
        <v>0</v>
      </c>
      <c r="AD128" s="57">
        <f>IF('Eurostat EB TJ'!AC135=":",0,'Eurostat EB TJ'!AC135)</f>
        <v>0</v>
      </c>
      <c r="AE128" s="57">
        <f>IF('Eurostat EB TJ'!AD135=":",0,'Eurostat EB TJ'!AD135)</f>
        <v>0</v>
      </c>
      <c r="AF128" s="57">
        <f>IF('Eurostat EB TJ'!AE135=":",0,'Eurostat EB TJ'!AE135)</f>
        <v>0</v>
      </c>
      <c r="AG128" s="57">
        <f>IF('Eurostat EB TJ'!AF135=":",0,'Eurostat EB TJ'!AF135)</f>
        <v>0</v>
      </c>
      <c r="AH128" s="57">
        <f>IF('Eurostat EB TJ'!AG135=":",0,'Eurostat EB TJ'!AG135)</f>
        <v>0</v>
      </c>
      <c r="AI128" s="57">
        <f>IF('Eurostat EB TJ'!AH135=":",0,'Eurostat EB TJ'!AH135)</f>
        <v>0</v>
      </c>
      <c r="AJ128" s="57">
        <f>IF('Eurostat EB TJ'!AI135=":",0,'Eurostat EB TJ'!AI135)</f>
        <v>0</v>
      </c>
      <c r="AK128" s="57">
        <f>IF('Eurostat EB TJ'!AJ135=":",0,'Eurostat EB TJ'!AJ135)</f>
        <v>0</v>
      </c>
      <c r="AL128" s="57">
        <f>IF('Eurostat EB TJ'!AK135=":",0,'Eurostat EB TJ'!AK135)</f>
        <v>0</v>
      </c>
      <c r="AM128" s="57">
        <f>IF('Eurostat EB TJ'!AL135=":",0,'Eurostat EB TJ'!AL135)</f>
        <v>0</v>
      </c>
      <c r="AN128" s="57">
        <f>IF('Eurostat EB TJ'!AM135=":",0,'Eurostat EB TJ'!AM135)</f>
        <v>0</v>
      </c>
      <c r="AO128" s="57">
        <f>IF('Eurostat EB TJ'!AN135=":",0,'Eurostat EB TJ'!AN135)</f>
        <v>0</v>
      </c>
      <c r="AP128" s="57">
        <f>IF('Eurostat EB TJ'!AO135=":",0,'Eurostat EB TJ'!AO135)</f>
        <v>0</v>
      </c>
      <c r="AQ128" s="57">
        <f>IF('Eurostat EB TJ'!AP135=":",0,'Eurostat EB TJ'!AP135)</f>
        <v>0</v>
      </c>
      <c r="AR128" s="57">
        <f>IF('Eurostat EB TJ'!AQ135=":",0,'Eurostat EB TJ'!AQ135)</f>
        <v>0</v>
      </c>
      <c r="AS128" s="57">
        <f>IF('Eurostat EB TJ'!AR135=":",0,'Eurostat EB TJ'!AR135)</f>
        <v>0</v>
      </c>
      <c r="AT128" s="57">
        <f>IF('Eurostat EB TJ'!AS135=":",0,'Eurostat EB TJ'!AS135)</f>
        <v>0</v>
      </c>
      <c r="AU128" s="57">
        <f>IF('Eurostat EB TJ'!AT135=":",0,'Eurostat EB TJ'!AT135)</f>
        <v>0</v>
      </c>
      <c r="AV128" s="57">
        <f>IF('Eurostat EB TJ'!AU135=":",0,'Eurostat EB TJ'!AU135)</f>
        <v>0</v>
      </c>
      <c r="AW128" s="57">
        <f>IF('Eurostat EB TJ'!AV135=":",0,'Eurostat EB TJ'!AV135)</f>
        <v>0</v>
      </c>
      <c r="AX128" s="57">
        <f>IF('Eurostat EB TJ'!AW135=":",0,'Eurostat EB TJ'!AW135)</f>
        <v>0</v>
      </c>
      <c r="AY128" s="57">
        <f>IF('Eurostat EB TJ'!AX135=":",0,'Eurostat EB TJ'!AX135)</f>
        <v>0</v>
      </c>
      <c r="AZ128" s="57">
        <f>IF('Eurostat EB TJ'!AY135=":",0,'Eurostat EB TJ'!AY135)</f>
        <v>0</v>
      </c>
      <c r="BA128" s="57">
        <f>IF('Eurostat EB TJ'!AZ135=":",0,'Eurostat EB TJ'!AZ135)</f>
        <v>0</v>
      </c>
      <c r="BB128" s="57">
        <f>IF('Eurostat EB TJ'!BA135=":",0,'Eurostat EB TJ'!BA135)</f>
        <v>0</v>
      </c>
      <c r="BC128" s="57">
        <f>IF('Eurostat EB TJ'!BB135=":",0,'Eurostat EB TJ'!BB135)</f>
        <v>0</v>
      </c>
      <c r="BD128" s="57">
        <f>IF('Eurostat EB TJ'!BC135=":",0,'Eurostat EB TJ'!BC135)</f>
        <v>0</v>
      </c>
      <c r="BE128" s="57">
        <f>IF('Eurostat EB TJ'!BD135=":",0,'Eurostat EB TJ'!BD135)</f>
        <v>0</v>
      </c>
      <c r="BF128" s="57">
        <f>IF('Eurostat EB TJ'!BE135=":",0,'Eurostat EB TJ'!BE135)</f>
        <v>0</v>
      </c>
      <c r="BG128" s="57">
        <f>IF('Eurostat EB TJ'!BF135=":",0,'Eurostat EB TJ'!BF135)</f>
        <v>0</v>
      </c>
      <c r="BH128" s="57">
        <f>IF('Eurostat EB TJ'!BG135=":",0,'Eurostat EB TJ'!BG135)</f>
        <v>0</v>
      </c>
      <c r="BI128" s="57">
        <f>IF('Eurostat EB TJ'!BH135=":",0,'Eurostat EB TJ'!BH135)</f>
        <v>0</v>
      </c>
      <c r="BJ128" s="57">
        <f>IF('Eurostat EB TJ'!BI135=":",0,'Eurostat EB TJ'!BI135)</f>
        <v>0</v>
      </c>
      <c r="BK128" s="57">
        <f>IF('Eurostat EB TJ'!BJ135=":",0,'Eurostat EB TJ'!BJ135)</f>
        <v>0</v>
      </c>
      <c r="BL128" s="57">
        <f>IF('Eurostat EB TJ'!BK135=":",0,'Eurostat EB TJ'!BK135)</f>
        <v>0</v>
      </c>
      <c r="BM128" s="57">
        <f>IF('Eurostat EB TJ'!BL135=":",0,'Eurostat EB TJ'!BL135)</f>
        <v>0</v>
      </c>
      <c r="BN128" s="57">
        <f>IF('Eurostat EB TJ'!BM135=":",0,'Eurostat EB TJ'!BM135)</f>
        <v>0</v>
      </c>
      <c r="BO128" s="57">
        <f>IF('Eurostat EB TJ'!BN135=":",0,'Eurostat EB TJ'!BN135)</f>
        <v>0</v>
      </c>
      <c r="BP128" s="57">
        <f>IF('Eurostat EB TJ'!BO135=":",0,'Eurostat EB TJ'!BO135)</f>
        <v>0</v>
      </c>
      <c r="BQ128" s="57">
        <f>IF('Eurostat EB TJ'!BP135=":",0,'Eurostat EB TJ'!BP135)</f>
        <v>0</v>
      </c>
      <c r="BR128" s="57">
        <f>IF('Eurostat EB TJ'!BQ135=":",0,'Eurostat EB TJ'!BQ135)</f>
        <v>0</v>
      </c>
      <c r="BS128" s="57">
        <f>IF('Eurostat EB TJ'!BR135=":",0,'Eurostat EB TJ'!BR135)</f>
        <v>0</v>
      </c>
      <c r="BT128" s="57">
        <f>IF('Eurostat EB TJ'!BS135=":",0,'Eurostat EB TJ'!BS135)</f>
        <v>0</v>
      </c>
      <c r="BU128" s="57">
        <f>IF('Eurostat EB TJ'!BT135=":",0,'Eurostat EB TJ'!BT135)</f>
        <v>0</v>
      </c>
      <c r="BV128" s="57">
        <f>IF('Eurostat EB TJ'!BU135=":",0,'Eurostat EB TJ'!BU135)</f>
        <v>0</v>
      </c>
    </row>
    <row r="129" spans="1:74" x14ac:dyDescent="0.2">
      <c r="A129" s="56" t="s">
        <v>307</v>
      </c>
      <c r="B129" s="17"/>
      <c r="C129" s="17">
        <f>IF('Eurostat EB TJ'!B136=":",0,'Eurostat EB TJ'!B136)</f>
        <v>224.102</v>
      </c>
      <c r="D129" s="17">
        <f>IF('Eurostat EB TJ'!C136=":",0,'Eurostat EB TJ'!C136)</f>
        <v>0</v>
      </c>
      <c r="E129" s="17">
        <f>IF('Eurostat EB TJ'!D136=":",0,'Eurostat EB TJ'!D136)</f>
        <v>0</v>
      </c>
      <c r="F129" s="17">
        <f>IF('Eurostat EB TJ'!E136=":",0,'Eurostat EB TJ'!E136)</f>
        <v>0</v>
      </c>
      <c r="G129" s="17">
        <f>IF('Eurostat EB TJ'!F136=":",0,'Eurostat EB TJ'!F136)</f>
        <v>0</v>
      </c>
      <c r="H129" s="17">
        <f>IF('Eurostat EB TJ'!G136=":",0,'Eurostat EB TJ'!G136)</f>
        <v>0</v>
      </c>
      <c r="I129" s="17">
        <f>IF('Eurostat EB TJ'!H136=":",0,'Eurostat EB TJ'!H136)</f>
        <v>0</v>
      </c>
      <c r="J129" s="17">
        <f>IF('Eurostat EB TJ'!I136=":",0,'Eurostat EB TJ'!I136)</f>
        <v>0</v>
      </c>
      <c r="K129" s="17">
        <f>IF('Eurostat EB TJ'!J136=":",0,'Eurostat EB TJ'!J136)</f>
        <v>0</v>
      </c>
      <c r="L129" s="17">
        <f>IF('Eurostat EB TJ'!K136=":",0,'Eurostat EB TJ'!K136)</f>
        <v>0</v>
      </c>
      <c r="M129" s="17">
        <f>IF('Eurostat EB TJ'!L136=":",0,'Eurostat EB TJ'!L136)</f>
        <v>0</v>
      </c>
      <c r="N129" s="17">
        <f>IF('Eurostat EB TJ'!M136=":",0,'Eurostat EB TJ'!M136)</f>
        <v>0</v>
      </c>
      <c r="O129" s="17">
        <f>IF('Eurostat EB TJ'!N136=":",0,'Eurostat EB TJ'!N136)</f>
        <v>0</v>
      </c>
      <c r="P129" s="17">
        <f>IF('Eurostat EB TJ'!O136=":",0,'Eurostat EB TJ'!O136)</f>
        <v>0</v>
      </c>
      <c r="Q129" s="17">
        <f>IF('Eurostat EB TJ'!P136=":",0,'Eurostat EB TJ'!P136)</f>
        <v>0</v>
      </c>
      <c r="R129" s="17">
        <f>IF('Eurostat EB TJ'!Q136=":",0,'Eurostat EB TJ'!Q136)</f>
        <v>0</v>
      </c>
      <c r="S129" s="17">
        <f>IF('Eurostat EB TJ'!R136=":",0,'Eurostat EB TJ'!R136)</f>
        <v>0</v>
      </c>
      <c r="T129" s="17">
        <f>IF('Eurostat EB TJ'!S136=":",0,'Eurostat EB TJ'!S136)</f>
        <v>0</v>
      </c>
      <c r="U129" s="17">
        <f>IF('Eurostat EB TJ'!T136=":",0,'Eurostat EB TJ'!T136)</f>
        <v>0</v>
      </c>
      <c r="V129" s="17">
        <f>IF('Eurostat EB TJ'!U136=":",0,'Eurostat EB TJ'!U136)</f>
        <v>0</v>
      </c>
      <c r="W129" s="17">
        <f>IF('Eurostat EB TJ'!V136=":",0,'Eurostat EB TJ'!V136)</f>
        <v>0</v>
      </c>
      <c r="X129" s="17">
        <f>IF('Eurostat EB TJ'!W136=":",0,'Eurostat EB TJ'!W136)</f>
        <v>224.102</v>
      </c>
      <c r="Y129" s="17">
        <f>IF('Eurostat EB TJ'!X136=":",0,'Eurostat EB TJ'!X136)</f>
        <v>0</v>
      </c>
      <c r="Z129" s="17">
        <f>IF('Eurostat EB TJ'!Y136=":",0,'Eurostat EB TJ'!Y136)</f>
        <v>0</v>
      </c>
      <c r="AA129" s="17">
        <f>IF('Eurostat EB TJ'!Z136=":",0,'Eurostat EB TJ'!Z136)</f>
        <v>0</v>
      </c>
      <c r="AB129" s="17">
        <f>IF('Eurostat EB TJ'!AA136=":",0,'Eurostat EB TJ'!AA136)</f>
        <v>0</v>
      </c>
      <c r="AC129" s="17">
        <f>IF('Eurostat EB TJ'!AB136=":",0,'Eurostat EB TJ'!AB136)</f>
        <v>0</v>
      </c>
      <c r="AD129" s="17">
        <f>IF('Eurostat EB TJ'!AC136=":",0,'Eurostat EB TJ'!AC136)</f>
        <v>0</v>
      </c>
      <c r="AE129" s="17">
        <f>IF('Eurostat EB TJ'!AD136=":",0,'Eurostat EB TJ'!AD136)</f>
        <v>0</v>
      </c>
      <c r="AF129" s="17">
        <f>IF('Eurostat EB TJ'!AE136=":",0,'Eurostat EB TJ'!AE136)</f>
        <v>0</v>
      </c>
      <c r="AG129" s="17">
        <f>IF('Eurostat EB TJ'!AF136=":",0,'Eurostat EB TJ'!AF136)</f>
        <v>0</v>
      </c>
      <c r="AH129" s="17">
        <f>IF('Eurostat EB TJ'!AG136=":",0,'Eurostat EB TJ'!AG136)</f>
        <v>0</v>
      </c>
      <c r="AI129" s="17">
        <f>IF('Eurostat EB TJ'!AH136=":",0,'Eurostat EB TJ'!AH136)</f>
        <v>0</v>
      </c>
      <c r="AJ129" s="17">
        <f>IF('Eurostat EB TJ'!AI136=":",0,'Eurostat EB TJ'!AI136)</f>
        <v>0</v>
      </c>
      <c r="AK129" s="17">
        <f>IF('Eurostat EB TJ'!AJ136=":",0,'Eurostat EB TJ'!AJ136)</f>
        <v>0</v>
      </c>
      <c r="AL129" s="17">
        <f>IF('Eurostat EB TJ'!AK136=":",0,'Eurostat EB TJ'!AK136)</f>
        <v>0</v>
      </c>
      <c r="AM129" s="17">
        <f>IF('Eurostat EB TJ'!AL136=":",0,'Eurostat EB TJ'!AL136)</f>
        <v>0</v>
      </c>
      <c r="AN129" s="17">
        <f>IF('Eurostat EB TJ'!AM136=":",0,'Eurostat EB TJ'!AM136)</f>
        <v>0</v>
      </c>
      <c r="AO129" s="17">
        <f>IF('Eurostat EB TJ'!AN136=":",0,'Eurostat EB TJ'!AN136)</f>
        <v>0</v>
      </c>
      <c r="AP129" s="17">
        <f>IF('Eurostat EB TJ'!AO136=":",0,'Eurostat EB TJ'!AO136)</f>
        <v>0</v>
      </c>
      <c r="AQ129" s="17">
        <f>IF('Eurostat EB TJ'!AP136=":",0,'Eurostat EB TJ'!AP136)</f>
        <v>0</v>
      </c>
      <c r="AR129" s="17">
        <f>IF('Eurostat EB TJ'!AQ136=":",0,'Eurostat EB TJ'!AQ136)</f>
        <v>0</v>
      </c>
      <c r="AS129" s="17">
        <f>IF('Eurostat EB TJ'!AR136=":",0,'Eurostat EB TJ'!AR136)</f>
        <v>0</v>
      </c>
      <c r="AT129" s="17">
        <f>IF('Eurostat EB TJ'!AS136=":",0,'Eurostat EB TJ'!AS136)</f>
        <v>0</v>
      </c>
      <c r="AU129" s="17">
        <f>IF('Eurostat EB TJ'!AT136=":",0,'Eurostat EB TJ'!AT136)</f>
        <v>0</v>
      </c>
      <c r="AV129" s="17">
        <f>IF('Eurostat EB TJ'!AU136=":",0,'Eurostat EB TJ'!AU136)</f>
        <v>0</v>
      </c>
      <c r="AW129" s="17">
        <f>IF('Eurostat EB TJ'!AV136=":",0,'Eurostat EB TJ'!AV136)</f>
        <v>0</v>
      </c>
      <c r="AX129" s="17">
        <f>IF('Eurostat EB TJ'!AW136=":",0,'Eurostat EB TJ'!AW136)</f>
        <v>0</v>
      </c>
      <c r="AY129" s="17">
        <f>IF('Eurostat EB TJ'!AX136=":",0,'Eurostat EB TJ'!AX136)</f>
        <v>0</v>
      </c>
      <c r="AZ129" s="17">
        <f>IF('Eurostat EB TJ'!AY136=":",0,'Eurostat EB TJ'!AY136)</f>
        <v>0</v>
      </c>
      <c r="BA129" s="17">
        <f>IF('Eurostat EB TJ'!AZ136=":",0,'Eurostat EB TJ'!AZ136)</f>
        <v>0</v>
      </c>
      <c r="BB129" s="17">
        <f>IF('Eurostat EB TJ'!BA136=":",0,'Eurostat EB TJ'!BA136)</f>
        <v>0</v>
      </c>
      <c r="BC129" s="17">
        <f>IF('Eurostat EB TJ'!BB136=":",0,'Eurostat EB TJ'!BB136)</f>
        <v>0</v>
      </c>
      <c r="BD129" s="17">
        <f>IF('Eurostat EB TJ'!BC136=":",0,'Eurostat EB TJ'!BC136)</f>
        <v>0</v>
      </c>
      <c r="BE129" s="17">
        <f>IF('Eurostat EB TJ'!BD136=":",0,'Eurostat EB TJ'!BD136)</f>
        <v>0</v>
      </c>
      <c r="BF129" s="17">
        <f>IF('Eurostat EB TJ'!BE136=":",0,'Eurostat EB TJ'!BE136)</f>
        <v>0</v>
      </c>
      <c r="BG129" s="17">
        <f>IF('Eurostat EB TJ'!BF136=":",0,'Eurostat EB TJ'!BF136)</f>
        <v>0</v>
      </c>
      <c r="BH129" s="17">
        <f>IF('Eurostat EB TJ'!BG136=":",0,'Eurostat EB TJ'!BG136)</f>
        <v>0</v>
      </c>
      <c r="BI129" s="17">
        <f>IF('Eurostat EB TJ'!BH136=":",0,'Eurostat EB TJ'!BH136)</f>
        <v>0</v>
      </c>
      <c r="BJ129" s="17">
        <f>IF('Eurostat EB TJ'!BI136=":",0,'Eurostat EB TJ'!BI136)</f>
        <v>0</v>
      </c>
      <c r="BK129" s="17">
        <f>IF('Eurostat EB TJ'!BJ136=":",0,'Eurostat EB TJ'!BJ136)</f>
        <v>0</v>
      </c>
      <c r="BL129" s="17">
        <f>IF('Eurostat EB TJ'!BK136=":",0,'Eurostat EB TJ'!BK136)</f>
        <v>0</v>
      </c>
      <c r="BM129" s="17">
        <f>IF('Eurostat EB TJ'!BL136=":",0,'Eurostat EB TJ'!BL136)</f>
        <v>0</v>
      </c>
      <c r="BN129" s="17">
        <f>IF('Eurostat EB TJ'!BM136=":",0,'Eurostat EB TJ'!BM136)</f>
        <v>0</v>
      </c>
      <c r="BO129" s="17">
        <f>IF('Eurostat EB TJ'!BN136=":",0,'Eurostat EB TJ'!BN136)</f>
        <v>0</v>
      </c>
      <c r="BP129" s="17">
        <f>IF('Eurostat EB TJ'!BO136=":",0,'Eurostat EB TJ'!BO136)</f>
        <v>0</v>
      </c>
      <c r="BQ129" s="17">
        <f>IF('Eurostat EB TJ'!BP136=":",0,'Eurostat EB TJ'!BP136)</f>
        <v>0</v>
      </c>
      <c r="BR129" s="17">
        <f>IF('Eurostat EB TJ'!BQ136=":",0,'Eurostat EB TJ'!BQ136)</f>
        <v>0</v>
      </c>
      <c r="BS129" s="17">
        <f>IF('Eurostat EB TJ'!BR136=":",0,'Eurostat EB TJ'!BR136)</f>
        <v>0</v>
      </c>
      <c r="BT129" s="17">
        <f>IF('Eurostat EB TJ'!BS136=":",0,'Eurostat EB TJ'!BS136)</f>
        <v>0</v>
      </c>
      <c r="BU129" s="17">
        <f>IF('Eurostat EB TJ'!BT136=":",0,'Eurostat EB TJ'!BT136)</f>
        <v>2.2949999999999999</v>
      </c>
      <c r="BV129" s="17">
        <f>IF('Eurostat EB TJ'!BU136=":",0,'Eurostat EB TJ'!BU136)</f>
        <v>221.80600000000001</v>
      </c>
    </row>
    <row r="130" spans="1:74" x14ac:dyDescent="0.2">
      <c r="A130" s="56" t="s">
        <v>308</v>
      </c>
      <c r="B130" s="57"/>
      <c r="C130" s="57">
        <f>IF('Eurostat EB TJ'!B137=":",0,'Eurostat EB TJ'!B137)</f>
        <v>714019.88399999996</v>
      </c>
      <c r="D130" s="57">
        <f>IF('Eurostat EB TJ'!C137=":",0,'Eurostat EB TJ'!C137)</f>
        <v>315.31099999999998</v>
      </c>
      <c r="E130" s="57">
        <f>IF('Eurostat EB TJ'!D137=":",0,'Eurostat EB TJ'!D137)</f>
        <v>2.4910000000000001</v>
      </c>
      <c r="F130" s="57">
        <f>IF('Eurostat EB TJ'!E137=":",0,'Eurostat EB TJ'!E137)</f>
        <v>0</v>
      </c>
      <c r="G130" s="57">
        <f>IF('Eurostat EB TJ'!F137=":",0,'Eurostat EB TJ'!F137)</f>
        <v>0</v>
      </c>
      <c r="H130" s="57">
        <f>IF('Eurostat EB TJ'!G137=":",0,'Eurostat EB TJ'!G137)</f>
        <v>0</v>
      </c>
      <c r="I130" s="57">
        <f>IF('Eurostat EB TJ'!H137=":",0,'Eurostat EB TJ'!H137)</f>
        <v>312.82</v>
      </c>
      <c r="J130" s="57">
        <f>IF('Eurostat EB TJ'!I137=":",0,'Eurostat EB TJ'!I137)</f>
        <v>0</v>
      </c>
      <c r="K130" s="57">
        <f>IF('Eurostat EB TJ'!J137=":",0,'Eurostat EB TJ'!J137)</f>
        <v>0</v>
      </c>
      <c r="L130" s="57">
        <f>IF('Eurostat EB TJ'!K137=":",0,'Eurostat EB TJ'!K137)</f>
        <v>0</v>
      </c>
      <c r="M130" s="57">
        <f>IF('Eurostat EB TJ'!L137=":",0,'Eurostat EB TJ'!L137)</f>
        <v>0</v>
      </c>
      <c r="N130" s="57">
        <f>IF('Eurostat EB TJ'!M137=":",0,'Eurostat EB TJ'!M137)</f>
        <v>0</v>
      </c>
      <c r="O130" s="57">
        <f>IF('Eurostat EB TJ'!N137=":",0,'Eurostat EB TJ'!N137)</f>
        <v>0</v>
      </c>
      <c r="P130" s="57">
        <f>IF('Eurostat EB TJ'!O137=":",0,'Eurostat EB TJ'!O137)</f>
        <v>0</v>
      </c>
      <c r="Q130" s="57">
        <f>IF('Eurostat EB TJ'!P137=":",0,'Eurostat EB TJ'!P137)</f>
        <v>0</v>
      </c>
      <c r="R130" s="57">
        <f>IF('Eurostat EB TJ'!Q137=":",0,'Eurostat EB TJ'!Q137)</f>
        <v>0</v>
      </c>
      <c r="S130" s="57">
        <f>IF('Eurostat EB TJ'!R137=":",0,'Eurostat EB TJ'!R137)</f>
        <v>0</v>
      </c>
      <c r="T130" s="57">
        <f>IF('Eurostat EB TJ'!S137=":",0,'Eurostat EB TJ'!S137)</f>
        <v>0</v>
      </c>
      <c r="U130" s="57">
        <f>IF('Eurostat EB TJ'!T137=":",0,'Eurostat EB TJ'!T137)</f>
        <v>0</v>
      </c>
      <c r="V130" s="57">
        <f>IF('Eurostat EB TJ'!U137=":",0,'Eurostat EB TJ'!U137)</f>
        <v>0</v>
      </c>
      <c r="W130" s="57">
        <f>IF('Eurostat EB TJ'!V137=":",0,'Eurostat EB TJ'!V137)</f>
        <v>0</v>
      </c>
      <c r="X130" s="57">
        <f>IF('Eurostat EB TJ'!W137=":",0,'Eurostat EB TJ'!W137)</f>
        <v>354512.56099999999</v>
      </c>
      <c r="Y130" s="57">
        <f>IF('Eurostat EB TJ'!X137=":",0,'Eurostat EB TJ'!X137)</f>
        <v>37760.103999999999</v>
      </c>
      <c r="Z130" s="57">
        <f>IF('Eurostat EB TJ'!Y137=":",0,'Eurostat EB TJ'!Y137)</f>
        <v>0</v>
      </c>
      <c r="AA130" s="57">
        <f>IF('Eurostat EB TJ'!Z137=":",0,'Eurostat EB TJ'!Z137)</f>
        <v>0</v>
      </c>
      <c r="AB130" s="57">
        <f>IF('Eurostat EB TJ'!AA137=":",0,'Eurostat EB TJ'!AA137)</f>
        <v>0</v>
      </c>
      <c r="AC130" s="57">
        <f>IF('Eurostat EB TJ'!AB137=":",0,'Eurostat EB TJ'!AB137)</f>
        <v>0</v>
      </c>
      <c r="AD130" s="57">
        <f>IF('Eurostat EB TJ'!AC137=":",0,'Eurostat EB TJ'!AC137)</f>
        <v>0</v>
      </c>
      <c r="AE130" s="57">
        <f>IF('Eurostat EB TJ'!AD137=":",0,'Eurostat EB TJ'!AD137)</f>
        <v>0</v>
      </c>
      <c r="AF130" s="57">
        <f>IF('Eurostat EB TJ'!AE137=":",0,'Eurostat EB TJ'!AE137)</f>
        <v>0</v>
      </c>
      <c r="AG130" s="57">
        <f>IF('Eurostat EB TJ'!AF137=":",0,'Eurostat EB TJ'!AF137)</f>
        <v>3811.806</v>
      </c>
      <c r="AH130" s="57">
        <f>IF('Eurostat EB TJ'!AG137=":",0,'Eurostat EB TJ'!AG137)</f>
        <v>0</v>
      </c>
      <c r="AI130" s="57">
        <f>IF('Eurostat EB TJ'!AH137=":",0,'Eurostat EB TJ'!AH137)</f>
        <v>0</v>
      </c>
      <c r="AJ130" s="57">
        <f>IF('Eurostat EB TJ'!AI137=":",0,'Eurostat EB TJ'!AI137)</f>
        <v>1725.712</v>
      </c>
      <c r="AK130" s="57">
        <f>IF('Eurostat EB TJ'!AJ137=":",0,'Eurostat EB TJ'!AJ137)</f>
        <v>0</v>
      </c>
      <c r="AL130" s="57">
        <f>IF('Eurostat EB TJ'!AK137=":",0,'Eurostat EB TJ'!AK137)</f>
        <v>1588.748</v>
      </c>
      <c r="AM130" s="57">
        <f>IF('Eurostat EB TJ'!AL137=":",0,'Eurostat EB TJ'!AL137)</f>
        <v>216.02099999999999</v>
      </c>
      <c r="AN130" s="57">
        <f>IF('Eurostat EB TJ'!AM137=":",0,'Eurostat EB TJ'!AM137)</f>
        <v>30417.817999999999</v>
      </c>
      <c r="AO130" s="57">
        <f>IF('Eurostat EB TJ'!AN137=":",0,'Eurostat EB TJ'!AN137)</f>
        <v>0</v>
      </c>
      <c r="AP130" s="57">
        <f>IF('Eurostat EB TJ'!AO137=":",0,'Eurostat EB TJ'!AO137)</f>
        <v>0</v>
      </c>
      <c r="AQ130" s="57">
        <f>IF('Eurostat EB TJ'!AP137=":",0,'Eurostat EB TJ'!AP137)</f>
        <v>0</v>
      </c>
      <c r="AR130" s="57">
        <f>IF('Eurostat EB TJ'!AQ137=":",0,'Eurostat EB TJ'!AQ137)</f>
        <v>0</v>
      </c>
      <c r="AS130" s="57">
        <f>IF('Eurostat EB TJ'!AR137=":",0,'Eurostat EB TJ'!AR137)</f>
        <v>0</v>
      </c>
      <c r="AT130" s="57">
        <f>IF('Eurostat EB TJ'!AS137=":",0,'Eurostat EB TJ'!AS137)</f>
        <v>0</v>
      </c>
      <c r="AU130" s="57">
        <f>IF('Eurostat EB TJ'!AT137=":",0,'Eurostat EB TJ'!AT137)</f>
        <v>0</v>
      </c>
      <c r="AV130" s="57">
        <f>IF('Eurostat EB TJ'!AU137=":",0,'Eurostat EB TJ'!AU137)</f>
        <v>62113.192000000003</v>
      </c>
      <c r="AW130" s="57">
        <f>IF('Eurostat EB TJ'!AV137=":",0,'Eurostat EB TJ'!AV137)</f>
        <v>0</v>
      </c>
      <c r="AX130" s="57">
        <f>IF('Eurostat EB TJ'!AW137=":",0,'Eurostat EB TJ'!AW137)</f>
        <v>6797.51</v>
      </c>
      <c r="AY130" s="57">
        <f>IF('Eurostat EB TJ'!AX137=":",0,'Eurostat EB TJ'!AX137)</f>
        <v>0</v>
      </c>
      <c r="AZ130" s="57">
        <f>IF('Eurostat EB TJ'!AY137=":",0,'Eurostat EB TJ'!AY137)</f>
        <v>1176</v>
      </c>
      <c r="BA130" s="57">
        <f>IF('Eurostat EB TJ'!AZ137=":",0,'Eurostat EB TJ'!AZ137)</f>
        <v>0</v>
      </c>
      <c r="BB130" s="57">
        <f>IF('Eurostat EB TJ'!BA137=":",0,'Eurostat EB TJ'!BA137)</f>
        <v>0</v>
      </c>
      <c r="BC130" s="57">
        <f>IF('Eurostat EB TJ'!BB137=":",0,'Eurostat EB TJ'!BB137)</f>
        <v>25524.613000000001</v>
      </c>
      <c r="BD130" s="57">
        <f>IF('Eurostat EB TJ'!BC137=":",0,'Eurostat EB TJ'!BC137)</f>
        <v>22561.508000000002</v>
      </c>
      <c r="BE130" s="57">
        <f>IF('Eurostat EB TJ'!BD137=":",0,'Eurostat EB TJ'!BD137)</f>
        <v>270</v>
      </c>
      <c r="BF130" s="57">
        <f>IF('Eurostat EB TJ'!BE137=":",0,'Eurostat EB TJ'!BE137)</f>
        <v>0</v>
      </c>
      <c r="BG130" s="57">
        <f>IF('Eurostat EB TJ'!BF137=":",0,'Eurostat EB TJ'!BF137)</f>
        <v>0</v>
      </c>
      <c r="BH130" s="57">
        <f>IF('Eurostat EB TJ'!BG137=":",0,'Eurostat EB TJ'!BG137)</f>
        <v>0</v>
      </c>
      <c r="BI130" s="57">
        <f>IF('Eurostat EB TJ'!BH137=":",0,'Eurostat EB TJ'!BH137)</f>
        <v>1218.2550000000001</v>
      </c>
      <c r="BJ130" s="57">
        <f>IF('Eurostat EB TJ'!BI137=":",0,'Eurostat EB TJ'!BI137)</f>
        <v>0</v>
      </c>
      <c r="BK130" s="57">
        <f>IF('Eurostat EB TJ'!BJ137=":",0,'Eurostat EB TJ'!BJ137)</f>
        <v>0</v>
      </c>
      <c r="BL130" s="57">
        <f>IF('Eurostat EB TJ'!BK137=":",0,'Eurostat EB TJ'!BK137)</f>
        <v>257.61599999999999</v>
      </c>
      <c r="BM130" s="57">
        <f>IF('Eurostat EB TJ'!BL137=":",0,'Eurostat EB TJ'!BL137)</f>
        <v>2797.6080000000002</v>
      </c>
      <c r="BN130" s="57">
        <f>IF('Eurostat EB TJ'!BM137=":",0,'Eurostat EB TJ'!BM137)</f>
        <v>38.927</v>
      </c>
      <c r="BO130" s="57">
        <f>IF('Eurostat EB TJ'!BN137=":",0,'Eurostat EB TJ'!BN137)</f>
        <v>1510.0820000000001</v>
      </c>
      <c r="BP130" s="57">
        <f>IF('Eurostat EB TJ'!BO137=":",0,'Eurostat EB TJ'!BO137)</f>
        <v>1339.13</v>
      </c>
      <c r="BQ130" s="57">
        <f>IF('Eurostat EB TJ'!BP137=":",0,'Eurostat EB TJ'!BP137)</f>
        <v>1378.057</v>
      </c>
      <c r="BR130" s="57">
        <f>IF('Eurostat EB TJ'!BQ137=":",0,'Eurostat EB TJ'!BQ137)</f>
        <v>0</v>
      </c>
      <c r="BS130" s="57">
        <f>IF('Eurostat EB TJ'!BR137=":",0,'Eurostat EB TJ'!BR137)</f>
        <v>237106.217</v>
      </c>
      <c r="BT130" s="57">
        <f>IF('Eurostat EB TJ'!BS137=":",0,'Eurostat EB TJ'!BS137)</f>
        <v>20834.442999999999</v>
      </c>
      <c r="BU130" s="57">
        <f>IF('Eurostat EB TJ'!BT137=":",0,'Eurostat EB TJ'!BT137)</f>
        <v>52604.993999999999</v>
      </c>
      <c r="BV130" s="57">
        <f>IF('Eurostat EB TJ'!BU137=":",0,'Eurostat EB TJ'!BU137)</f>
        <v>521126.12099999998</v>
      </c>
    </row>
    <row r="131" spans="1:74" x14ac:dyDescent="0.2">
      <c r="A131" s="56" t="s">
        <v>309</v>
      </c>
      <c r="B131" s="17"/>
      <c r="C131" s="17">
        <f>IF('Eurostat EB TJ'!B138=":",0,'Eurostat EB TJ'!B138)</f>
        <v>257597.804</v>
      </c>
      <c r="D131" s="17">
        <f>IF('Eurostat EB TJ'!C138=":",0,'Eurostat EB TJ'!C138)</f>
        <v>312.82</v>
      </c>
      <c r="E131" s="17">
        <f>IF('Eurostat EB TJ'!D138=":",0,'Eurostat EB TJ'!D138)</f>
        <v>0</v>
      </c>
      <c r="F131" s="17">
        <f>IF('Eurostat EB TJ'!E138=":",0,'Eurostat EB TJ'!E138)</f>
        <v>0</v>
      </c>
      <c r="G131" s="17">
        <f>IF('Eurostat EB TJ'!F138=":",0,'Eurostat EB TJ'!F138)</f>
        <v>0</v>
      </c>
      <c r="H131" s="17">
        <f>IF('Eurostat EB TJ'!G138=":",0,'Eurostat EB TJ'!G138)</f>
        <v>0</v>
      </c>
      <c r="I131" s="17">
        <f>IF('Eurostat EB TJ'!H138=":",0,'Eurostat EB TJ'!H138)</f>
        <v>312.82</v>
      </c>
      <c r="J131" s="17">
        <f>IF('Eurostat EB TJ'!I138=":",0,'Eurostat EB TJ'!I138)</f>
        <v>0</v>
      </c>
      <c r="K131" s="17">
        <f>IF('Eurostat EB TJ'!J138=":",0,'Eurostat EB TJ'!J138)</f>
        <v>0</v>
      </c>
      <c r="L131" s="17">
        <f>IF('Eurostat EB TJ'!K138=":",0,'Eurostat EB TJ'!K138)</f>
        <v>0</v>
      </c>
      <c r="M131" s="17">
        <f>IF('Eurostat EB TJ'!L138=":",0,'Eurostat EB TJ'!L138)</f>
        <v>0</v>
      </c>
      <c r="N131" s="17">
        <f>IF('Eurostat EB TJ'!M138=":",0,'Eurostat EB TJ'!M138)</f>
        <v>0</v>
      </c>
      <c r="O131" s="17">
        <f>IF('Eurostat EB TJ'!N138=":",0,'Eurostat EB TJ'!N138)</f>
        <v>0</v>
      </c>
      <c r="P131" s="17">
        <f>IF('Eurostat EB TJ'!O138=":",0,'Eurostat EB TJ'!O138)</f>
        <v>0</v>
      </c>
      <c r="Q131" s="17">
        <f>IF('Eurostat EB TJ'!P138=":",0,'Eurostat EB TJ'!P138)</f>
        <v>0</v>
      </c>
      <c r="R131" s="17">
        <f>IF('Eurostat EB TJ'!Q138=":",0,'Eurostat EB TJ'!Q138)</f>
        <v>0</v>
      </c>
      <c r="S131" s="17">
        <f>IF('Eurostat EB TJ'!R138=":",0,'Eurostat EB TJ'!R138)</f>
        <v>0</v>
      </c>
      <c r="T131" s="17">
        <f>IF('Eurostat EB TJ'!S138=":",0,'Eurostat EB TJ'!S138)</f>
        <v>0</v>
      </c>
      <c r="U131" s="17">
        <f>IF('Eurostat EB TJ'!T138=":",0,'Eurostat EB TJ'!T138)</f>
        <v>0</v>
      </c>
      <c r="V131" s="17">
        <f>IF('Eurostat EB TJ'!U138=":",0,'Eurostat EB TJ'!U138)</f>
        <v>0</v>
      </c>
      <c r="W131" s="17">
        <f>IF('Eurostat EB TJ'!V138=":",0,'Eurostat EB TJ'!V138)</f>
        <v>0</v>
      </c>
      <c r="X131" s="17">
        <f>IF('Eurostat EB TJ'!W138=":",0,'Eurostat EB TJ'!W138)</f>
        <v>88881.618000000002</v>
      </c>
      <c r="Y131" s="17">
        <f>IF('Eurostat EB TJ'!X138=":",0,'Eurostat EB TJ'!X138)</f>
        <v>8128.4449999999997</v>
      </c>
      <c r="Z131" s="17">
        <f>IF('Eurostat EB TJ'!Y138=":",0,'Eurostat EB TJ'!Y138)</f>
        <v>0</v>
      </c>
      <c r="AA131" s="17">
        <f>IF('Eurostat EB TJ'!Z138=":",0,'Eurostat EB TJ'!Z138)</f>
        <v>0</v>
      </c>
      <c r="AB131" s="17">
        <f>IF('Eurostat EB TJ'!AA138=":",0,'Eurostat EB TJ'!AA138)</f>
        <v>0</v>
      </c>
      <c r="AC131" s="17">
        <f>IF('Eurostat EB TJ'!AB138=":",0,'Eurostat EB TJ'!AB138)</f>
        <v>0</v>
      </c>
      <c r="AD131" s="17">
        <f>IF('Eurostat EB TJ'!AC138=":",0,'Eurostat EB TJ'!AC138)</f>
        <v>0</v>
      </c>
      <c r="AE131" s="17">
        <f>IF('Eurostat EB TJ'!AD138=":",0,'Eurostat EB TJ'!AD138)</f>
        <v>0</v>
      </c>
      <c r="AF131" s="17">
        <f>IF('Eurostat EB TJ'!AE138=":",0,'Eurostat EB TJ'!AE138)</f>
        <v>0</v>
      </c>
      <c r="AG131" s="17">
        <f>IF('Eurostat EB TJ'!AF138=":",0,'Eurostat EB TJ'!AF138)</f>
        <v>1640.029</v>
      </c>
      <c r="AH131" s="17">
        <f>IF('Eurostat EB TJ'!AG138=":",0,'Eurostat EB TJ'!AG138)</f>
        <v>0</v>
      </c>
      <c r="AI131" s="17">
        <f>IF('Eurostat EB TJ'!AH138=":",0,'Eurostat EB TJ'!AH138)</f>
        <v>0</v>
      </c>
      <c r="AJ131" s="17">
        <f>IF('Eurostat EB TJ'!AI138=":",0,'Eurostat EB TJ'!AI138)</f>
        <v>414.26600000000002</v>
      </c>
      <c r="AK131" s="17">
        <f>IF('Eurostat EB TJ'!AJ138=":",0,'Eurostat EB TJ'!AJ138)</f>
        <v>0</v>
      </c>
      <c r="AL131" s="17">
        <f>IF('Eurostat EB TJ'!AK138=":",0,'Eurostat EB TJ'!AK138)</f>
        <v>0</v>
      </c>
      <c r="AM131" s="17">
        <f>IF('Eurostat EB TJ'!AL138=":",0,'Eurostat EB TJ'!AL138)</f>
        <v>0</v>
      </c>
      <c r="AN131" s="17">
        <f>IF('Eurostat EB TJ'!AM138=":",0,'Eurostat EB TJ'!AM138)</f>
        <v>6074.15</v>
      </c>
      <c r="AO131" s="17">
        <f>IF('Eurostat EB TJ'!AN138=":",0,'Eurostat EB TJ'!AN138)</f>
        <v>0</v>
      </c>
      <c r="AP131" s="17">
        <f>IF('Eurostat EB TJ'!AO138=":",0,'Eurostat EB TJ'!AO138)</f>
        <v>0</v>
      </c>
      <c r="AQ131" s="17">
        <f>IF('Eurostat EB TJ'!AP138=":",0,'Eurostat EB TJ'!AP138)</f>
        <v>0</v>
      </c>
      <c r="AR131" s="17">
        <f>IF('Eurostat EB TJ'!AQ138=":",0,'Eurostat EB TJ'!AQ138)</f>
        <v>0</v>
      </c>
      <c r="AS131" s="17">
        <f>IF('Eurostat EB TJ'!AR138=":",0,'Eurostat EB TJ'!AR138)</f>
        <v>0</v>
      </c>
      <c r="AT131" s="17">
        <f>IF('Eurostat EB TJ'!AS138=":",0,'Eurostat EB TJ'!AS138)</f>
        <v>0</v>
      </c>
      <c r="AU131" s="17">
        <f>IF('Eurostat EB TJ'!AT138=":",0,'Eurostat EB TJ'!AT138)</f>
        <v>0</v>
      </c>
      <c r="AV131" s="17">
        <f>IF('Eurostat EB TJ'!AU138=":",0,'Eurostat EB TJ'!AU138)</f>
        <v>16500.64</v>
      </c>
      <c r="AW131" s="17">
        <f>IF('Eurostat EB TJ'!AV138=":",0,'Eurostat EB TJ'!AV138)</f>
        <v>0</v>
      </c>
      <c r="AX131" s="17">
        <f>IF('Eurostat EB TJ'!AW138=":",0,'Eurostat EB TJ'!AW138)</f>
        <v>0</v>
      </c>
      <c r="AY131" s="17">
        <f>IF('Eurostat EB TJ'!AX138=":",0,'Eurostat EB TJ'!AX138)</f>
        <v>0</v>
      </c>
      <c r="AZ131" s="17">
        <f>IF('Eurostat EB TJ'!AY138=":",0,'Eurostat EB TJ'!AY138)</f>
        <v>235</v>
      </c>
      <c r="BA131" s="17">
        <f>IF('Eurostat EB TJ'!AZ138=":",0,'Eurostat EB TJ'!AZ138)</f>
        <v>0</v>
      </c>
      <c r="BB131" s="17">
        <f>IF('Eurostat EB TJ'!BA138=":",0,'Eurostat EB TJ'!BA138)</f>
        <v>0</v>
      </c>
      <c r="BC131" s="17">
        <f>IF('Eurostat EB TJ'!BB138=":",0,'Eurostat EB TJ'!BB138)</f>
        <v>9808.6679999999997</v>
      </c>
      <c r="BD131" s="17">
        <f>IF('Eurostat EB TJ'!BC138=":",0,'Eurostat EB TJ'!BC138)</f>
        <v>3384.3</v>
      </c>
      <c r="BE131" s="17">
        <f>IF('Eurostat EB TJ'!BD138=":",0,'Eurostat EB TJ'!BD138)</f>
        <v>0</v>
      </c>
      <c r="BF131" s="17">
        <f>IF('Eurostat EB TJ'!BE138=":",0,'Eurostat EB TJ'!BE138)</f>
        <v>0</v>
      </c>
      <c r="BG131" s="17">
        <f>IF('Eurostat EB TJ'!BF138=":",0,'Eurostat EB TJ'!BF138)</f>
        <v>0</v>
      </c>
      <c r="BH131" s="17">
        <f>IF('Eurostat EB TJ'!BG138=":",0,'Eurostat EB TJ'!BG138)</f>
        <v>0</v>
      </c>
      <c r="BI131" s="17">
        <f>IF('Eurostat EB TJ'!BH138=":",0,'Eurostat EB TJ'!BH138)</f>
        <v>0</v>
      </c>
      <c r="BJ131" s="17">
        <f>IF('Eurostat EB TJ'!BI138=":",0,'Eurostat EB TJ'!BI138)</f>
        <v>0</v>
      </c>
      <c r="BK131" s="17">
        <f>IF('Eurostat EB TJ'!BJ138=":",0,'Eurostat EB TJ'!BJ138)</f>
        <v>0</v>
      </c>
      <c r="BL131" s="17">
        <f>IF('Eurostat EB TJ'!BK138=":",0,'Eurostat EB TJ'!BK138)</f>
        <v>257.61599999999999</v>
      </c>
      <c r="BM131" s="17">
        <f>IF('Eurostat EB TJ'!BL138=":",0,'Eurostat EB TJ'!BL138)</f>
        <v>1304.9739999999999</v>
      </c>
      <c r="BN131" s="17">
        <f>IF('Eurostat EB TJ'!BM138=":",0,'Eurostat EB TJ'!BM138)</f>
        <v>38.927</v>
      </c>
      <c r="BO131" s="17">
        <f>IF('Eurostat EB TJ'!BN138=":",0,'Eurostat EB TJ'!BN138)</f>
        <v>1510.0820000000001</v>
      </c>
      <c r="BP131" s="17">
        <f>IF('Eurostat EB TJ'!BO138=":",0,'Eurostat EB TJ'!BO138)</f>
        <v>1339.13</v>
      </c>
      <c r="BQ131" s="17">
        <f>IF('Eurostat EB TJ'!BP138=":",0,'Eurostat EB TJ'!BP138)</f>
        <v>1378.057</v>
      </c>
      <c r="BR131" s="17">
        <f>IF('Eurostat EB TJ'!BQ138=":",0,'Eurostat EB TJ'!BQ138)</f>
        <v>0</v>
      </c>
      <c r="BS131" s="17">
        <f>IF('Eurostat EB TJ'!BR138=":",0,'Eurostat EB TJ'!BR138)</f>
        <v>133931.92300000001</v>
      </c>
      <c r="BT131" s="17">
        <f>IF('Eurostat EB TJ'!BS138=":",0,'Eurostat EB TJ'!BS138)</f>
        <v>8464.2999999999993</v>
      </c>
      <c r="BU131" s="17">
        <f>IF('Eurostat EB TJ'!BT138=":",0,'Eurostat EB TJ'!BT138)</f>
        <v>18141.848000000002</v>
      </c>
      <c r="BV131" s="17">
        <f>IF('Eurostat EB TJ'!BU138=":",0,'Eurostat EB TJ'!BU138)</f>
        <v>169374.90400000001</v>
      </c>
    </row>
    <row r="132" spans="1:74" x14ac:dyDescent="0.2">
      <c r="A132" s="56" t="s">
        <v>310</v>
      </c>
      <c r="B132" s="57"/>
      <c r="C132" s="57">
        <f>IF('Eurostat EB TJ'!B139=":",0,'Eurostat EB TJ'!B139)</f>
        <v>322798.72899999999</v>
      </c>
      <c r="D132" s="57">
        <f>IF('Eurostat EB TJ'!C139=":",0,'Eurostat EB TJ'!C139)</f>
        <v>2.4910000000000001</v>
      </c>
      <c r="E132" s="57">
        <f>IF('Eurostat EB TJ'!D139=":",0,'Eurostat EB TJ'!D139)</f>
        <v>2.4910000000000001</v>
      </c>
      <c r="F132" s="57">
        <f>IF('Eurostat EB TJ'!E139=":",0,'Eurostat EB TJ'!E139)</f>
        <v>0</v>
      </c>
      <c r="G132" s="57">
        <f>IF('Eurostat EB TJ'!F139=":",0,'Eurostat EB TJ'!F139)</f>
        <v>0</v>
      </c>
      <c r="H132" s="57">
        <f>IF('Eurostat EB TJ'!G139=":",0,'Eurostat EB TJ'!G139)</f>
        <v>0</v>
      </c>
      <c r="I132" s="57">
        <f>IF('Eurostat EB TJ'!H139=":",0,'Eurostat EB TJ'!H139)</f>
        <v>0</v>
      </c>
      <c r="J132" s="57">
        <f>IF('Eurostat EB TJ'!I139=":",0,'Eurostat EB TJ'!I139)</f>
        <v>0</v>
      </c>
      <c r="K132" s="57">
        <f>IF('Eurostat EB TJ'!J139=":",0,'Eurostat EB TJ'!J139)</f>
        <v>0</v>
      </c>
      <c r="L132" s="57">
        <f>IF('Eurostat EB TJ'!K139=":",0,'Eurostat EB TJ'!K139)</f>
        <v>0</v>
      </c>
      <c r="M132" s="57">
        <f>IF('Eurostat EB TJ'!L139=":",0,'Eurostat EB TJ'!L139)</f>
        <v>0</v>
      </c>
      <c r="N132" s="57">
        <f>IF('Eurostat EB TJ'!M139=":",0,'Eurostat EB TJ'!M139)</f>
        <v>0</v>
      </c>
      <c r="O132" s="57">
        <f>IF('Eurostat EB TJ'!N139=":",0,'Eurostat EB TJ'!N139)</f>
        <v>0</v>
      </c>
      <c r="P132" s="57">
        <f>IF('Eurostat EB TJ'!O139=":",0,'Eurostat EB TJ'!O139)</f>
        <v>0</v>
      </c>
      <c r="Q132" s="57">
        <f>IF('Eurostat EB TJ'!P139=":",0,'Eurostat EB TJ'!P139)</f>
        <v>0</v>
      </c>
      <c r="R132" s="57">
        <f>IF('Eurostat EB TJ'!Q139=":",0,'Eurostat EB TJ'!Q139)</f>
        <v>0</v>
      </c>
      <c r="S132" s="57">
        <f>IF('Eurostat EB TJ'!R139=":",0,'Eurostat EB TJ'!R139)</f>
        <v>0</v>
      </c>
      <c r="T132" s="57">
        <f>IF('Eurostat EB TJ'!S139=":",0,'Eurostat EB TJ'!S139)</f>
        <v>0</v>
      </c>
      <c r="U132" s="57">
        <f>IF('Eurostat EB TJ'!T139=":",0,'Eurostat EB TJ'!T139)</f>
        <v>0</v>
      </c>
      <c r="V132" s="57">
        <f>IF('Eurostat EB TJ'!U139=":",0,'Eurostat EB TJ'!U139)</f>
        <v>0</v>
      </c>
      <c r="W132" s="57">
        <f>IF('Eurostat EB TJ'!V139=":",0,'Eurostat EB TJ'!V139)</f>
        <v>0</v>
      </c>
      <c r="X132" s="57">
        <f>IF('Eurostat EB TJ'!W139=":",0,'Eurostat EB TJ'!W139)</f>
        <v>201182.98499999999</v>
      </c>
      <c r="Y132" s="57">
        <f>IF('Eurostat EB TJ'!X139=":",0,'Eurostat EB TJ'!X139)</f>
        <v>2452.288</v>
      </c>
      <c r="Z132" s="57">
        <f>IF('Eurostat EB TJ'!Y139=":",0,'Eurostat EB TJ'!Y139)</f>
        <v>0</v>
      </c>
      <c r="AA132" s="57">
        <f>IF('Eurostat EB TJ'!Z139=":",0,'Eurostat EB TJ'!Z139)</f>
        <v>0</v>
      </c>
      <c r="AB132" s="57">
        <f>IF('Eurostat EB TJ'!AA139=":",0,'Eurostat EB TJ'!AA139)</f>
        <v>0</v>
      </c>
      <c r="AC132" s="57">
        <f>IF('Eurostat EB TJ'!AB139=":",0,'Eurostat EB TJ'!AB139)</f>
        <v>0</v>
      </c>
      <c r="AD132" s="57">
        <f>IF('Eurostat EB TJ'!AC139=":",0,'Eurostat EB TJ'!AC139)</f>
        <v>0</v>
      </c>
      <c r="AE132" s="57">
        <f>IF('Eurostat EB TJ'!AD139=":",0,'Eurostat EB TJ'!AD139)</f>
        <v>0</v>
      </c>
      <c r="AF132" s="57">
        <f>IF('Eurostat EB TJ'!AE139=":",0,'Eurostat EB TJ'!AE139)</f>
        <v>0</v>
      </c>
      <c r="AG132" s="57">
        <f>IF('Eurostat EB TJ'!AF139=":",0,'Eurostat EB TJ'!AF139)</f>
        <v>971.84199999999998</v>
      </c>
      <c r="AH132" s="57">
        <f>IF('Eurostat EB TJ'!AG139=":",0,'Eurostat EB TJ'!AG139)</f>
        <v>0</v>
      </c>
      <c r="AI132" s="57">
        <f>IF('Eurostat EB TJ'!AH139=":",0,'Eurostat EB TJ'!AH139)</f>
        <v>0</v>
      </c>
      <c r="AJ132" s="57">
        <f>IF('Eurostat EB TJ'!AI139=":",0,'Eurostat EB TJ'!AI139)</f>
        <v>960.197</v>
      </c>
      <c r="AK132" s="57">
        <f>IF('Eurostat EB TJ'!AJ139=":",0,'Eurostat EB TJ'!AJ139)</f>
        <v>0</v>
      </c>
      <c r="AL132" s="57">
        <f>IF('Eurostat EB TJ'!AK139=":",0,'Eurostat EB TJ'!AK139)</f>
        <v>0</v>
      </c>
      <c r="AM132" s="57">
        <f>IF('Eurostat EB TJ'!AL139=":",0,'Eurostat EB TJ'!AL139)</f>
        <v>216.02099999999999</v>
      </c>
      <c r="AN132" s="57">
        <f>IF('Eurostat EB TJ'!AM139=":",0,'Eurostat EB TJ'!AM139)</f>
        <v>304.22699999999998</v>
      </c>
      <c r="AO132" s="57">
        <f>IF('Eurostat EB TJ'!AN139=":",0,'Eurostat EB TJ'!AN139)</f>
        <v>0</v>
      </c>
      <c r="AP132" s="57">
        <f>IF('Eurostat EB TJ'!AO139=":",0,'Eurostat EB TJ'!AO139)</f>
        <v>0</v>
      </c>
      <c r="AQ132" s="57">
        <f>IF('Eurostat EB TJ'!AP139=":",0,'Eurostat EB TJ'!AP139)</f>
        <v>0</v>
      </c>
      <c r="AR132" s="57">
        <f>IF('Eurostat EB TJ'!AQ139=":",0,'Eurostat EB TJ'!AQ139)</f>
        <v>0</v>
      </c>
      <c r="AS132" s="57">
        <f>IF('Eurostat EB TJ'!AR139=":",0,'Eurostat EB TJ'!AR139)</f>
        <v>0</v>
      </c>
      <c r="AT132" s="57">
        <f>IF('Eurostat EB TJ'!AS139=":",0,'Eurostat EB TJ'!AS139)</f>
        <v>0</v>
      </c>
      <c r="AU132" s="57">
        <f>IF('Eurostat EB TJ'!AT139=":",0,'Eurostat EB TJ'!AT139)</f>
        <v>0</v>
      </c>
      <c r="AV132" s="57">
        <f>IF('Eurostat EB TJ'!AU139=":",0,'Eurostat EB TJ'!AU139)</f>
        <v>32489.968000000001</v>
      </c>
      <c r="AW132" s="57">
        <f>IF('Eurostat EB TJ'!AV139=":",0,'Eurostat EB TJ'!AV139)</f>
        <v>0</v>
      </c>
      <c r="AX132" s="57">
        <f>IF('Eurostat EB TJ'!AW139=":",0,'Eurostat EB TJ'!AW139)</f>
        <v>0</v>
      </c>
      <c r="AY132" s="57">
        <f>IF('Eurostat EB TJ'!AX139=":",0,'Eurostat EB TJ'!AX139)</f>
        <v>0</v>
      </c>
      <c r="AZ132" s="57">
        <f>IF('Eurostat EB TJ'!AY139=":",0,'Eurostat EB TJ'!AY139)</f>
        <v>941</v>
      </c>
      <c r="BA132" s="57">
        <f>IF('Eurostat EB TJ'!AZ139=":",0,'Eurostat EB TJ'!AZ139)</f>
        <v>0</v>
      </c>
      <c r="BB132" s="57">
        <f>IF('Eurostat EB TJ'!BA139=":",0,'Eurostat EB TJ'!BA139)</f>
        <v>0</v>
      </c>
      <c r="BC132" s="57">
        <f>IF('Eurostat EB TJ'!BB139=":",0,'Eurostat EB TJ'!BB139)</f>
        <v>15369.34</v>
      </c>
      <c r="BD132" s="57">
        <f>IF('Eurostat EB TJ'!BC139=":",0,'Eurostat EB TJ'!BC139)</f>
        <v>15909.628000000001</v>
      </c>
      <c r="BE132" s="57">
        <f>IF('Eurostat EB TJ'!BD139=":",0,'Eurostat EB TJ'!BD139)</f>
        <v>270</v>
      </c>
      <c r="BF132" s="57">
        <f>IF('Eurostat EB TJ'!BE139=":",0,'Eurostat EB TJ'!BE139)</f>
        <v>0</v>
      </c>
      <c r="BG132" s="57">
        <f>IF('Eurostat EB TJ'!BF139=":",0,'Eurostat EB TJ'!BF139)</f>
        <v>0</v>
      </c>
      <c r="BH132" s="57">
        <f>IF('Eurostat EB TJ'!BG139=":",0,'Eurostat EB TJ'!BG139)</f>
        <v>0</v>
      </c>
      <c r="BI132" s="57">
        <f>IF('Eurostat EB TJ'!BH139=":",0,'Eurostat EB TJ'!BH139)</f>
        <v>0</v>
      </c>
      <c r="BJ132" s="57">
        <f>IF('Eurostat EB TJ'!BI139=":",0,'Eurostat EB TJ'!BI139)</f>
        <v>0</v>
      </c>
      <c r="BK132" s="57">
        <f>IF('Eurostat EB TJ'!BJ139=":",0,'Eurostat EB TJ'!BJ139)</f>
        <v>0</v>
      </c>
      <c r="BL132" s="57">
        <f>IF('Eurostat EB TJ'!BK139=":",0,'Eurostat EB TJ'!BK139)</f>
        <v>0</v>
      </c>
      <c r="BM132" s="57">
        <f>IF('Eurostat EB TJ'!BL139=":",0,'Eurostat EB TJ'!BL139)</f>
        <v>0</v>
      </c>
      <c r="BN132" s="57">
        <f>IF('Eurostat EB TJ'!BM139=":",0,'Eurostat EB TJ'!BM139)</f>
        <v>0</v>
      </c>
      <c r="BO132" s="57">
        <f>IF('Eurostat EB TJ'!BN139=":",0,'Eurostat EB TJ'!BN139)</f>
        <v>0</v>
      </c>
      <c r="BP132" s="57">
        <f>IF('Eurostat EB TJ'!BO139=":",0,'Eurostat EB TJ'!BO139)</f>
        <v>0</v>
      </c>
      <c r="BQ132" s="57">
        <f>IF('Eurostat EB TJ'!BP139=":",0,'Eurostat EB TJ'!BP139)</f>
        <v>0</v>
      </c>
      <c r="BR132" s="57">
        <f>IF('Eurostat EB TJ'!BQ139=":",0,'Eurostat EB TJ'!BQ139)</f>
        <v>0</v>
      </c>
      <c r="BS132" s="57">
        <f>IF('Eurostat EB TJ'!BR139=":",0,'Eurostat EB TJ'!BR139)</f>
        <v>76764.740000000005</v>
      </c>
      <c r="BT132" s="57">
        <f>IF('Eurostat EB TJ'!BS139=":",0,'Eurostat EB TJ'!BS139)</f>
        <v>9906.2569999999996</v>
      </c>
      <c r="BU132" s="57">
        <f>IF('Eurostat EB TJ'!BT139=":",0,'Eurostat EB TJ'!BT139)</f>
        <v>25525.481</v>
      </c>
      <c r="BV132" s="57">
        <f>IF('Eurostat EB TJ'!BU139=":",0,'Eurostat EB TJ'!BU139)</f>
        <v>246116.62100000001</v>
      </c>
    </row>
    <row r="133" spans="1:74" x14ac:dyDescent="0.2">
      <c r="A133" s="56" t="s">
        <v>311</v>
      </c>
      <c r="B133" s="17"/>
      <c r="C133" s="17">
        <f>IF('Eurostat EB TJ'!B140=":",0,'Eurostat EB TJ'!B140)</f>
        <v>124845.48</v>
      </c>
      <c r="D133" s="17">
        <f>IF('Eurostat EB TJ'!C140=":",0,'Eurostat EB TJ'!C140)</f>
        <v>0</v>
      </c>
      <c r="E133" s="17">
        <f>IF('Eurostat EB TJ'!D140=":",0,'Eurostat EB TJ'!D140)</f>
        <v>0</v>
      </c>
      <c r="F133" s="17">
        <f>IF('Eurostat EB TJ'!E140=":",0,'Eurostat EB TJ'!E140)</f>
        <v>0</v>
      </c>
      <c r="G133" s="17">
        <f>IF('Eurostat EB TJ'!F140=":",0,'Eurostat EB TJ'!F140)</f>
        <v>0</v>
      </c>
      <c r="H133" s="17">
        <f>IF('Eurostat EB TJ'!G140=":",0,'Eurostat EB TJ'!G140)</f>
        <v>0</v>
      </c>
      <c r="I133" s="17">
        <f>IF('Eurostat EB TJ'!H140=":",0,'Eurostat EB TJ'!H140)</f>
        <v>0</v>
      </c>
      <c r="J133" s="17">
        <f>IF('Eurostat EB TJ'!I140=":",0,'Eurostat EB TJ'!I140)</f>
        <v>0</v>
      </c>
      <c r="K133" s="17">
        <f>IF('Eurostat EB TJ'!J140=":",0,'Eurostat EB TJ'!J140)</f>
        <v>0</v>
      </c>
      <c r="L133" s="17">
        <f>IF('Eurostat EB TJ'!K140=":",0,'Eurostat EB TJ'!K140)</f>
        <v>0</v>
      </c>
      <c r="M133" s="17">
        <f>IF('Eurostat EB TJ'!L140=":",0,'Eurostat EB TJ'!L140)</f>
        <v>0</v>
      </c>
      <c r="N133" s="17">
        <f>IF('Eurostat EB TJ'!M140=":",0,'Eurostat EB TJ'!M140)</f>
        <v>0</v>
      </c>
      <c r="O133" s="17">
        <f>IF('Eurostat EB TJ'!N140=":",0,'Eurostat EB TJ'!N140)</f>
        <v>0</v>
      </c>
      <c r="P133" s="17">
        <f>IF('Eurostat EB TJ'!O140=":",0,'Eurostat EB TJ'!O140)</f>
        <v>0</v>
      </c>
      <c r="Q133" s="17">
        <f>IF('Eurostat EB TJ'!P140=":",0,'Eurostat EB TJ'!P140)</f>
        <v>0</v>
      </c>
      <c r="R133" s="17">
        <f>IF('Eurostat EB TJ'!Q140=":",0,'Eurostat EB TJ'!Q140)</f>
        <v>0</v>
      </c>
      <c r="S133" s="17">
        <f>IF('Eurostat EB TJ'!R140=":",0,'Eurostat EB TJ'!R140)</f>
        <v>0</v>
      </c>
      <c r="T133" s="17">
        <f>IF('Eurostat EB TJ'!S140=":",0,'Eurostat EB TJ'!S140)</f>
        <v>0</v>
      </c>
      <c r="U133" s="17">
        <f>IF('Eurostat EB TJ'!T140=":",0,'Eurostat EB TJ'!T140)</f>
        <v>0</v>
      </c>
      <c r="V133" s="17">
        <f>IF('Eurostat EB TJ'!U140=":",0,'Eurostat EB TJ'!U140)</f>
        <v>0</v>
      </c>
      <c r="W133" s="17">
        <f>IF('Eurostat EB TJ'!V140=":",0,'Eurostat EB TJ'!V140)</f>
        <v>0</v>
      </c>
      <c r="X133" s="17">
        <f>IF('Eurostat EB TJ'!W140=":",0,'Eurostat EB TJ'!W140)</f>
        <v>64362.03</v>
      </c>
      <c r="Y133" s="17">
        <f>IF('Eurostat EB TJ'!X140=":",0,'Eurostat EB TJ'!X140)</f>
        <v>18834.031999999999</v>
      </c>
      <c r="Z133" s="17">
        <f>IF('Eurostat EB TJ'!Y140=":",0,'Eurostat EB TJ'!Y140)</f>
        <v>0</v>
      </c>
      <c r="AA133" s="17">
        <f>IF('Eurostat EB TJ'!Z140=":",0,'Eurostat EB TJ'!Z140)</f>
        <v>0</v>
      </c>
      <c r="AB133" s="17">
        <f>IF('Eurostat EB TJ'!AA140=":",0,'Eurostat EB TJ'!AA140)</f>
        <v>0</v>
      </c>
      <c r="AC133" s="17">
        <f>IF('Eurostat EB TJ'!AB140=":",0,'Eurostat EB TJ'!AB140)</f>
        <v>0</v>
      </c>
      <c r="AD133" s="17">
        <f>IF('Eurostat EB TJ'!AC140=":",0,'Eurostat EB TJ'!AC140)</f>
        <v>0</v>
      </c>
      <c r="AE133" s="17">
        <f>IF('Eurostat EB TJ'!AD140=":",0,'Eurostat EB TJ'!AD140)</f>
        <v>0</v>
      </c>
      <c r="AF133" s="17">
        <f>IF('Eurostat EB TJ'!AE140=":",0,'Eurostat EB TJ'!AE140)</f>
        <v>0</v>
      </c>
      <c r="AG133" s="17">
        <f>IF('Eurostat EB TJ'!AF140=":",0,'Eurostat EB TJ'!AF140)</f>
        <v>1199.934</v>
      </c>
      <c r="AH133" s="17">
        <f>IF('Eurostat EB TJ'!AG140=":",0,'Eurostat EB TJ'!AG140)</f>
        <v>0</v>
      </c>
      <c r="AI133" s="17">
        <f>IF('Eurostat EB TJ'!AH140=":",0,'Eurostat EB TJ'!AH140)</f>
        <v>0</v>
      </c>
      <c r="AJ133" s="17">
        <f>IF('Eurostat EB TJ'!AI140=":",0,'Eurostat EB TJ'!AI140)</f>
        <v>351.24900000000002</v>
      </c>
      <c r="AK133" s="17">
        <f>IF('Eurostat EB TJ'!AJ140=":",0,'Eurostat EB TJ'!AJ140)</f>
        <v>0</v>
      </c>
      <c r="AL133" s="17">
        <f>IF('Eurostat EB TJ'!AK140=":",0,'Eurostat EB TJ'!AK140)</f>
        <v>0</v>
      </c>
      <c r="AM133" s="17">
        <f>IF('Eurostat EB TJ'!AL140=":",0,'Eurostat EB TJ'!AL140)</f>
        <v>0</v>
      </c>
      <c r="AN133" s="17">
        <f>IF('Eurostat EB TJ'!AM140=":",0,'Eurostat EB TJ'!AM140)</f>
        <v>17282.848999999998</v>
      </c>
      <c r="AO133" s="17">
        <f>IF('Eurostat EB TJ'!AN140=":",0,'Eurostat EB TJ'!AN140)</f>
        <v>0</v>
      </c>
      <c r="AP133" s="17">
        <f>IF('Eurostat EB TJ'!AO140=":",0,'Eurostat EB TJ'!AO140)</f>
        <v>0</v>
      </c>
      <c r="AQ133" s="17">
        <f>IF('Eurostat EB TJ'!AP140=":",0,'Eurostat EB TJ'!AP140)</f>
        <v>0</v>
      </c>
      <c r="AR133" s="17">
        <f>IF('Eurostat EB TJ'!AQ140=":",0,'Eurostat EB TJ'!AQ140)</f>
        <v>0</v>
      </c>
      <c r="AS133" s="17">
        <f>IF('Eurostat EB TJ'!AR140=":",0,'Eurostat EB TJ'!AR140)</f>
        <v>0</v>
      </c>
      <c r="AT133" s="17">
        <f>IF('Eurostat EB TJ'!AS140=":",0,'Eurostat EB TJ'!AS140)</f>
        <v>0</v>
      </c>
      <c r="AU133" s="17">
        <f>IF('Eurostat EB TJ'!AT140=":",0,'Eurostat EB TJ'!AT140)</f>
        <v>0</v>
      </c>
      <c r="AV133" s="17">
        <f>IF('Eurostat EB TJ'!AU140=":",0,'Eurostat EB TJ'!AU140)</f>
        <v>12775.978999999999</v>
      </c>
      <c r="AW133" s="17">
        <f>IF('Eurostat EB TJ'!AV140=":",0,'Eurostat EB TJ'!AV140)</f>
        <v>0</v>
      </c>
      <c r="AX133" s="17">
        <f>IF('Eurostat EB TJ'!AW140=":",0,'Eurostat EB TJ'!AW140)</f>
        <v>6797.51</v>
      </c>
      <c r="AY133" s="17">
        <f>IF('Eurostat EB TJ'!AX140=":",0,'Eurostat EB TJ'!AX140)</f>
        <v>0</v>
      </c>
      <c r="AZ133" s="17">
        <f>IF('Eurostat EB TJ'!AY140=":",0,'Eurostat EB TJ'!AY140)</f>
        <v>0</v>
      </c>
      <c r="BA133" s="17">
        <f>IF('Eurostat EB TJ'!AZ140=":",0,'Eurostat EB TJ'!AZ140)</f>
        <v>0</v>
      </c>
      <c r="BB133" s="17">
        <f>IF('Eurostat EB TJ'!BA140=":",0,'Eurostat EB TJ'!BA140)</f>
        <v>0</v>
      </c>
      <c r="BC133" s="17">
        <f>IF('Eurostat EB TJ'!BB140=":",0,'Eurostat EB TJ'!BB140)</f>
        <v>0</v>
      </c>
      <c r="BD133" s="17">
        <f>IF('Eurostat EB TJ'!BC140=":",0,'Eurostat EB TJ'!BC140)</f>
        <v>3267.58</v>
      </c>
      <c r="BE133" s="17">
        <f>IF('Eurostat EB TJ'!BD140=":",0,'Eurostat EB TJ'!BD140)</f>
        <v>0</v>
      </c>
      <c r="BF133" s="17">
        <f>IF('Eurostat EB TJ'!BE140=":",0,'Eurostat EB TJ'!BE140)</f>
        <v>0</v>
      </c>
      <c r="BG133" s="17">
        <f>IF('Eurostat EB TJ'!BF140=":",0,'Eurostat EB TJ'!BF140)</f>
        <v>0</v>
      </c>
      <c r="BH133" s="17">
        <f>IF('Eurostat EB TJ'!BG140=":",0,'Eurostat EB TJ'!BG140)</f>
        <v>0</v>
      </c>
      <c r="BI133" s="17">
        <f>IF('Eurostat EB TJ'!BH140=":",0,'Eurostat EB TJ'!BH140)</f>
        <v>1218.2550000000001</v>
      </c>
      <c r="BJ133" s="17">
        <f>IF('Eurostat EB TJ'!BI140=":",0,'Eurostat EB TJ'!BI140)</f>
        <v>0</v>
      </c>
      <c r="BK133" s="17">
        <f>IF('Eurostat EB TJ'!BJ140=":",0,'Eurostat EB TJ'!BJ140)</f>
        <v>0</v>
      </c>
      <c r="BL133" s="17">
        <f>IF('Eurostat EB TJ'!BK140=":",0,'Eurostat EB TJ'!BK140)</f>
        <v>0</v>
      </c>
      <c r="BM133" s="17">
        <f>IF('Eurostat EB TJ'!BL140=":",0,'Eurostat EB TJ'!BL140)</f>
        <v>1492.634</v>
      </c>
      <c r="BN133" s="17">
        <f>IF('Eurostat EB TJ'!BM140=":",0,'Eurostat EB TJ'!BM140)</f>
        <v>0</v>
      </c>
      <c r="BO133" s="17">
        <f>IF('Eurostat EB TJ'!BN140=":",0,'Eurostat EB TJ'!BN140)</f>
        <v>0</v>
      </c>
      <c r="BP133" s="17">
        <f>IF('Eurostat EB TJ'!BO140=":",0,'Eurostat EB TJ'!BO140)</f>
        <v>0</v>
      </c>
      <c r="BQ133" s="17">
        <f>IF('Eurostat EB TJ'!BP140=":",0,'Eurostat EB TJ'!BP140)</f>
        <v>0</v>
      </c>
      <c r="BR133" s="17">
        <f>IF('Eurostat EB TJ'!BQ140=":",0,'Eurostat EB TJ'!BQ140)</f>
        <v>0</v>
      </c>
      <c r="BS133" s="17">
        <f>IF('Eurostat EB TJ'!BR140=":",0,'Eurostat EB TJ'!BR140)</f>
        <v>26409.553</v>
      </c>
      <c r="BT133" s="17">
        <f>IF('Eurostat EB TJ'!BS140=":",0,'Eurostat EB TJ'!BS140)</f>
        <v>2463.886</v>
      </c>
      <c r="BU133" s="17">
        <f>IF('Eurostat EB TJ'!BT140=":",0,'Eurostat EB TJ'!BT140)</f>
        <v>8936.7849999999999</v>
      </c>
      <c r="BV133" s="17">
        <f>IF('Eurostat EB TJ'!BU140=":",0,'Eurostat EB TJ'!BU140)</f>
        <v>97204.210999999996</v>
      </c>
    </row>
    <row r="134" spans="1:74" x14ac:dyDescent="0.2">
      <c r="A134" s="56" t="s">
        <v>312</v>
      </c>
      <c r="B134" s="57"/>
      <c r="C134" s="57">
        <f>IF('Eurostat EB TJ'!B141=":",0,'Eurostat EB TJ'!B141)</f>
        <v>4725.7479999999996</v>
      </c>
      <c r="D134" s="57">
        <f>IF('Eurostat EB TJ'!C141=":",0,'Eurostat EB TJ'!C141)</f>
        <v>0</v>
      </c>
      <c r="E134" s="57">
        <f>IF('Eurostat EB TJ'!D141=":",0,'Eurostat EB TJ'!D141)</f>
        <v>0</v>
      </c>
      <c r="F134" s="57">
        <f>IF('Eurostat EB TJ'!E141=":",0,'Eurostat EB TJ'!E141)</f>
        <v>0</v>
      </c>
      <c r="G134" s="57">
        <f>IF('Eurostat EB TJ'!F141=":",0,'Eurostat EB TJ'!F141)</f>
        <v>0</v>
      </c>
      <c r="H134" s="57">
        <f>IF('Eurostat EB TJ'!G141=":",0,'Eurostat EB TJ'!G141)</f>
        <v>0</v>
      </c>
      <c r="I134" s="57">
        <f>IF('Eurostat EB TJ'!H141=":",0,'Eurostat EB TJ'!H141)</f>
        <v>0</v>
      </c>
      <c r="J134" s="57">
        <f>IF('Eurostat EB TJ'!I141=":",0,'Eurostat EB TJ'!I141)</f>
        <v>0</v>
      </c>
      <c r="K134" s="57">
        <f>IF('Eurostat EB TJ'!J141=":",0,'Eurostat EB TJ'!J141)</f>
        <v>0</v>
      </c>
      <c r="L134" s="57">
        <f>IF('Eurostat EB TJ'!K141=":",0,'Eurostat EB TJ'!K141)</f>
        <v>0</v>
      </c>
      <c r="M134" s="57">
        <f>IF('Eurostat EB TJ'!L141=":",0,'Eurostat EB TJ'!L141)</f>
        <v>0</v>
      </c>
      <c r="N134" s="57">
        <f>IF('Eurostat EB TJ'!M141=":",0,'Eurostat EB TJ'!M141)</f>
        <v>0</v>
      </c>
      <c r="O134" s="57">
        <f>IF('Eurostat EB TJ'!N141=":",0,'Eurostat EB TJ'!N141)</f>
        <v>0</v>
      </c>
      <c r="P134" s="57">
        <f>IF('Eurostat EB TJ'!O141=":",0,'Eurostat EB TJ'!O141)</f>
        <v>0</v>
      </c>
      <c r="Q134" s="57">
        <f>IF('Eurostat EB TJ'!P141=":",0,'Eurostat EB TJ'!P141)</f>
        <v>0</v>
      </c>
      <c r="R134" s="57">
        <f>IF('Eurostat EB TJ'!Q141=":",0,'Eurostat EB TJ'!Q141)</f>
        <v>0</v>
      </c>
      <c r="S134" s="57">
        <f>IF('Eurostat EB TJ'!R141=":",0,'Eurostat EB TJ'!R141)</f>
        <v>0</v>
      </c>
      <c r="T134" s="57">
        <f>IF('Eurostat EB TJ'!S141=":",0,'Eurostat EB TJ'!S141)</f>
        <v>0</v>
      </c>
      <c r="U134" s="57">
        <f>IF('Eurostat EB TJ'!T141=":",0,'Eurostat EB TJ'!T141)</f>
        <v>0</v>
      </c>
      <c r="V134" s="57">
        <f>IF('Eurostat EB TJ'!U141=":",0,'Eurostat EB TJ'!U141)</f>
        <v>0</v>
      </c>
      <c r="W134" s="57">
        <f>IF('Eurostat EB TJ'!V141=":",0,'Eurostat EB TJ'!V141)</f>
        <v>0</v>
      </c>
      <c r="X134" s="57">
        <f>IF('Eurostat EB TJ'!W141=":",0,'Eurostat EB TJ'!W141)</f>
        <v>0</v>
      </c>
      <c r="Y134" s="57">
        <f>IF('Eurostat EB TJ'!X141=":",0,'Eurostat EB TJ'!X141)</f>
        <v>4725.7479999999996</v>
      </c>
      <c r="Z134" s="57">
        <f>IF('Eurostat EB TJ'!Y141=":",0,'Eurostat EB TJ'!Y141)</f>
        <v>0</v>
      </c>
      <c r="AA134" s="57">
        <f>IF('Eurostat EB TJ'!Z141=":",0,'Eurostat EB TJ'!Z141)</f>
        <v>0</v>
      </c>
      <c r="AB134" s="57">
        <f>IF('Eurostat EB TJ'!AA141=":",0,'Eurostat EB TJ'!AA141)</f>
        <v>0</v>
      </c>
      <c r="AC134" s="57">
        <f>IF('Eurostat EB TJ'!AB141=":",0,'Eurostat EB TJ'!AB141)</f>
        <v>0</v>
      </c>
      <c r="AD134" s="57">
        <f>IF('Eurostat EB TJ'!AC141=":",0,'Eurostat EB TJ'!AC141)</f>
        <v>0</v>
      </c>
      <c r="AE134" s="57">
        <f>IF('Eurostat EB TJ'!AD141=":",0,'Eurostat EB TJ'!AD141)</f>
        <v>0</v>
      </c>
      <c r="AF134" s="57">
        <f>IF('Eurostat EB TJ'!AE141=":",0,'Eurostat EB TJ'!AE141)</f>
        <v>0</v>
      </c>
      <c r="AG134" s="57">
        <f>IF('Eurostat EB TJ'!AF141=":",0,'Eurostat EB TJ'!AF141)</f>
        <v>0</v>
      </c>
      <c r="AH134" s="57">
        <f>IF('Eurostat EB TJ'!AG141=":",0,'Eurostat EB TJ'!AG141)</f>
        <v>0</v>
      </c>
      <c r="AI134" s="57">
        <f>IF('Eurostat EB TJ'!AH141=":",0,'Eurostat EB TJ'!AH141)</f>
        <v>0</v>
      </c>
      <c r="AJ134" s="57">
        <f>IF('Eurostat EB TJ'!AI141=":",0,'Eurostat EB TJ'!AI141)</f>
        <v>0</v>
      </c>
      <c r="AK134" s="57">
        <f>IF('Eurostat EB TJ'!AJ141=":",0,'Eurostat EB TJ'!AJ141)</f>
        <v>0</v>
      </c>
      <c r="AL134" s="57">
        <f>IF('Eurostat EB TJ'!AK141=":",0,'Eurostat EB TJ'!AK141)</f>
        <v>0</v>
      </c>
      <c r="AM134" s="57">
        <f>IF('Eurostat EB TJ'!AL141=":",0,'Eurostat EB TJ'!AL141)</f>
        <v>0</v>
      </c>
      <c r="AN134" s="57">
        <f>IF('Eurostat EB TJ'!AM141=":",0,'Eurostat EB TJ'!AM141)</f>
        <v>4725.7479999999996</v>
      </c>
      <c r="AO134" s="57">
        <f>IF('Eurostat EB TJ'!AN141=":",0,'Eurostat EB TJ'!AN141)</f>
        <v>0</v>
      </c>
      <c r="AP134" s="57">
        <f>IF('Eurostat EB TJ'!AO141=":",0,'Eurostat EB TJ'!AO141)</f>
        <v>0</v>
      </c>
      <c r="AQ134" s="57">
        <f>IF('Eurostat EB TJ'!AP141=":",0,'Eurostat EB TJ'!AP141)</f>
        <v>0</v>
      </c>
      <c r="AR134" s="57">
        <f>IF('Eurostat EB TJ'!AQ141=":",0,'Eurostat EB TJ'!AQ141)</f>
        <v>0</v>
      </c>
      <c r="AS134" s="57">
        <f>IF('Eurostat EB TJ'!AR141=":",0,'Eurostat EB TJ'!AR141)</f>
        <v>0</v>
      </c>
      <c r="AT134" s="57">
        <f>IF('Eurostat EB TJ'!AS141=":",0,'Eurostat EB TJ'!AS141)</f>
        <v>0</v>
      </c>
      <c r="AU134" s="57">
        <f>IF('Eurostat EB TJ'!AT141=":",0,'Eurostat EB TJ'!AT141)</f>
        <v>0</v>
      </c>
      <c r="AV134" s="57">
        <f>IF('Eurostat EB TJ'!AU141=":",0,'Eurostat EB TJ'!AU141)</f>
        <v>0</v>
      </c>
      <c r="AW134" s="57">
        <f>IF('Eurostat EB TJ'!AV141=":",0,'Eurostat EB TJ'!AV141)</f>
        <v>0</v>
      </c>
      <c r="AX134" s="57">
        <f>IF('Eurostat EB TJ'!AW141=":",0,'Eurostat EB TJ'!AW141)</f>
        <v>0</v>
      </c>
      <c r="AY134" s="57">
        <f>IF('Eurostat EB TJ'!AX141=":",0,'Eurostat EB TJ'!AX141)</f>
        <v>0</v>
      </c>
      <c r="AZ134" s="57">
        <f>IF('Eurostat EB TJ'!AY141=":",0,'Eurostat EB TJ'!AY141)</f>
        <v>0</v>
      </c>
      <c r="BA134" s="57">
        <f>IF('Eurostat EB TJ'!AZ141=":",0,'Eurostat EB TJ'!AZ141)</f>
        <v>0</v>
      </c>
      <c r="BB134" s="57">
        <f>IF('Eurostat EB TJ'!BA141=":",0,'Eurostat EB TJ'!BA141)</f>
        <v>0</v>
      </c>
      <c r="BC134" s="57">
        <f>IF('Eurostat EB TJ'!BB141=":",0,'Eurostat EB TJ'!BB141)</f>
        <v>0</v>
      </c>
      <c r="BD134" s="57">
        <f>IF('Eurostat EB TJ'!BC141=":",0,'Eurostat EB TJ'!BC141)</f>
        <v>0</v>
      </c>
      <c r="BE134" s="57">
        <f>IF('Eurostat EB TJ'!BD141=":",0,'Eurostat EB TJ'!BD141)</f>
        <v>0</v>
      </c>
      <c r="BF134" s="57">
        <f>IF('Eurostat EB TJ'!BE141=":",0,'Eurostat EB TJ'!BE141)</f>
        <v>0</v>
      </c>
      <c r="BG134" s="57">
        <f>IF('Eurostat EB TJ'!BF141=":",0,'Eurostat EB TJ'!BF141)</f>
        <v>0</v>
      </c>
      <c r="BH134" s="57">
        <f>IF('Eurostat EB TJ'!BG141=":",0,'Eurostat EB TJ'!BG141)</f>
        <v>0</v>
      </c>
      <c r="BI134" s="57">
        <f>IF('Eurostat EB TJ'!BH141=":",0,'Eurostat EB TJ'!BH141)</f>
        <v>0</v>
      </c>
      <c r="BJ134" s="57">
        <f>IF('Eurostat EB TJ'!BI141=":",0,'Eurostat EB TJ'!BI141)</f>
        <v>0</v>
      </c>
      <c r="BK134" s="57">
        <f>IF('Eurostat EB TJ'!BJ141=":",0,'Eurostat EB TJ'!BJ141)</f>
        <v>0</v>
      </c>
      <c r="BL134" s="57">
        <f>IF('Eurostat EB TJ'!BK141=":",0,'Eurostat EB TJ'!BK141)</f>
        <v>0</v>
      </c>
      <c r="BM134" s="57">
        <f>IF('Eurostat EB TJ'!BL141=":",0,'Eurostat EB TJ'!BL141)</f>
        <v>0</v>
      </c>
      <c r="BN134" s="57">
        <f>IF('Eurostat EB TJ'!BM141=":",0,'Eurostat EB TJ'!BM141)</f>
        <v>0</v>
      </c>
      <c r="BO134" s="57">
        <f>IF('Eurostat EB TJ'!BN141=":",0,'Eurostat EB TJ'!BN141)</f>
        <v>0</v>
      </c>
      <c r="BP134" s="57">
        <f>IF('Eurostat EB TJ'!BO141=":",0,'Eurostat EB TJ'!BO141)</f>
        <v>0</v>
      </c>
      <c r="BQ134" s="57">
        <f>IF('Eurostat EB TJ'!BP141=":",0,'Eurostat EB TJ'!BP141)</f>
        <v>0</v>
      </c>
      <c r="BR134" s="57">
        <f>IF('Eurostat EB TJ'!BQ141=":",0,'Eurostat EB TJ'!BQ141)</f>
        <v>0</v>
      </c>
      <c r="BS134" s="57">
        <f>IF('Eurostat EB TJ'!BR141=":",0,'Eurostat EB TJ'!BR141)</f>
        <v>0</v>
      </c>
      <c r="BT134" s="57">
        <f>IF('Eurostat EB TJ'!BS141=":",0,'Eurostat EB TJ'!BS141)</f>
        <v>0</v>
      </c>
      <c r="BU134" s="57">
        <f>IF('Eurostat EB TJ'!BT141=":",0,'Eurostat EB TJ'!BT141)</f>
        <v>0</v>
      </c>
      <c r="BV134" s="57">
        <f>IF('Eurostat EB TJ'!BU141=":",0,'Eurostat EB TJ'!BU141)</f>
        <v>4725.7479999999996</v>
      </c>
    </row>
    <row r="135" spans="1:74" x14ac:dyDescent="0.2">
      <c r="A135" s="56" t="s">
        <v>313</v>
      </c>
      <c r="B135" s="17"/>
      <c r="C135" s="17">
        <f>IF('Eurostat EB TJ'!B142=":",0,'Eurostat EB TJ'!B142)</f>
        <v>4052.123</v>
      </c>
      <c r="D135" s="17">
        <f>IF('Eurostat EB TJ'!C142=":",0,'Eurostat EB TJ'!C142)</f>
        <v>0</v>
      </c>
      <c r="E135" s="17">
        <f>IF('Eurostat EB TJ'!D142=":",0,'Eurostat EB TJ'!D142)</f>
        <v>0</v>
      </c>
      <c r="F135" s="17">
        <f>IF('Eurostat EB TJ'!E142=":",0,'Eurostat EB TJ'!E142)</f>
        <v>0</v>
      </c>
      <c r="G135" s="17">
        <f>IF('Eurostat EB TJ'!F142=":",0,'Eurostat EB TJ'!F142)</f>
        <v>0</v>
      </c>
      <c r="H135" s="17">
        <f>IF('Eurostat EB TJ'!G142=":",0,'Eurostat EB TJ'!G142)</f>
        <v>0</v>
      </c>
      <c r="I135" s="17">
        <f>IF('Eurostat EB TJ'!H142=":",0,'Eurostat EB TJ'!H142)</f>
        <v>0</v>
      </c>
      <c r="J135" s="17">
        <f>IF('Eurostat EB TJ'!I142=":",0,'Eurostat EB TJ'!I142)</f>
        <v>0</v>
      </c>
      <c r="K135" s="17">
        <f>IF('Eurostat EB TJ'!J142=":",0,'Eurostat EB TJ'!J142)</f>
        <v>0</v>
      </c>
      <c r="L135" s="17">
        <f>IF('Eurostat EB TJ'!K142=":",0,'Eurostat EB TJ'!K142)</f>
        <v>0</v>
      </c>
      <c r="M135" s="17">
        <f>IF('Eurostat EB TJ'!L142=":",0,'Eurostat EB TJ'!L142)</f>
        <v>0</v>
      </c>
      <c r="N135" s="17">
        <f>IF('Eurostat EB TJ'!M142=":",0,'Eurostat EB TJ'!M142)</f>
        <v>0</v>
      </c>
      <c r="O135" s="17">
        <f>IF('Eurostat EB TJ'!N142=":",0,'Eurostat EB TJ'!N142)</f>
        <v>0</v>
      </c>
      <c r="P135" s="17">
        <f>IF('Eurostat EB TJ'!O142=":",0,'Eurostat EB TJ'!O142)</f>
        <v>0</v>
      </c>
      <c r="Q135" s="17">
        <f>IF('Eurostat EB TJ'!P142=":",0,'Eurostat EB TJ'!P142)</f>
        <v>0</v>
      </c>
      <c r="R135" s="17">
        <f>IF('Eurostat EB TJ'!Q142=":",0,'Eurostat EB TJ'!Q142)</f>
        <v>0</v>
      </c>
      <c r="S135" s="17">
        <f>IF('Eurostat EB TJ'!R142=":",0,'Eurostat EB TJ'!R142)</f>
        <v>0</v>
      </c>
      <c r="T135" s="17">
        <f>IF('Eurostat EB TJ'!S142=":",0,'Eurostat EB TJ'!S142)</f>
        <v>0</v>
      </c>
      <c r="U135" s="17">
        <f>IF('Eurostat EB TJ'!T142=":",0,'Eurostat EB TJ'!T142)</f>
        <v>0</v>
      </c>
      <c r="V135" s="17">
        <f>IF('Eurostat EB TJ'!U142=":",0,'Eurostat EB TJ'!U142)</f>
        <v>0</v>
      </c>
      <c r="W135" s="17">
        <f>IF('Eurostat EB TJ'!V142=":",0,'Eurostat EB TJ'!V142)</f>
        <v>0</v>
      </c>
      <c r="X135" s="17">
        <f>IF('Eurostat EB TJ'!W142=":",0,'Eurostat EB TJ'!W142)</f>
        <v>85.927000000000007</v>
      </c>
      <c r="Y135" s="17">
        <f>IF('Eurostat EB TJ'!X142=":",0,'Eurostat EB TJ'!X142)</f>
        <v>3619.59</v>
      </c>
      <c r="Z135" s="17">
        <f>IF('Eurostat EB TJ'!Y142=":",0,'Eurostat EB TJ'!Y142)</f>
        <v>0</v>
      </c>
      <c r="AA135" s="17">
        <f>IF('Eurostat EB TJ'!Z142=":",0,'Eurostat EB TJ'!Z142)</f>
        <v>0</v>
      </c>
      <c r="AB135" s="17">
        <f>IF('Eurostat EB TJ'!AA142=":",0,'Eurostat EB TJ'!AA142)</f>
        <v>0</v>
      </c>
      <c r="AC135" s="17">
        <f>IF('Eurostat EB TJ'!AB142=":",0,'Eurostat EB TJ'!AB142)</f>
        <v>0</v>
      </c>
      <c r="AD135" s="17">
        <f>IF('Eurostat EB TJ'!AC142=":",0,'Eurostat EB TJ'!AC142)</f>
        <v>0</v>
      </c>
      <c r="AE135" s="17">
        <f>IF('Eurostat EB TJ'!AD142=":",0,'Eurostat EB TJ'!AD142)</f>
        <v>0</v>
      </c>
      <c r="AF135" s="17">
        <f>IF('Eurostat EB TJ'!AE142=":",0,'Eurostat EB TJ'!AE142)</f>
        <v>0</v>
      </c>
      <c r="AG135" s="17">
        <f>IF('Eurostat EB TJ'!AF142=":",0,'Eurostat EB TJ'!AF142)</f>
        <v>0</v>
      </c>
      <c r="AH135" s="17">
        <f>IF('Eurostat EB TJ'!AG142=":",0,'Eurostat EB TJ'!AG142)</f>
        <v>0</v>
      </c>
      <c r="AI135" s="17">
        <f>IF('Eurostat EB TJ'!AH142=":",0,'Eurostat EB TJ'!AH142)</f>
        <v>0</v>
      </c>
      <c r="AJ135" s="17">
        <f>IF('Eurostat EB TJ'!AI142=":",0,'Eurostat EB TJ'!AI142)</f>
        <v>0</v>
      </c>
      <c r="AK135" s="17">
        <f>IF('Eurostat EB TJ'!AJ142=":",0,'Eurostat EB TJ'!AJ142)</f>
        <v>0</v>
      </c>
      <c r="AL135" s="17">
        <f>IF('Eurostat EB TJ'!AK142=":",0,'Eurostat EB TJ'!AK142)</f>
        <v>1588.748</v>
      </c>
      <c r="AM135" s="17">
        <f>IF('Eurostat EB TJ'!AL142=":",0,'Eurostat EB TJ'!AL142)</f>
        <v>0</v>
      </c>
      <c r="AN135" s="17">
        <f>IF('Eurostat EB TJ'!AM142=":",0,'Eurostat EB TJ'!AM142)</f>
        <v>2030.8430000000001</v>
      </c>
      <c r="AO135" s="17">
        <f>IF('Eurostat EB TJ'!AN142=":",0,'Eurostat EB TJ'!AN142)</f>
        <v>0</v>
      </c>
      <c r="AP135" s="17">
        <f>IF('Eurostat EB TJ'!AO142=":",0,'Eurostat EB TJ'!AO142)</f>
        <v>0</v>
      </c>
      <c r="AQ135" s="17">
        <f>IF('Eurostat EB TJ'!AP142=":",0,'Eurostat EB TJ'!AP142)</f>
        <v>0</v>
      </c>
      <c r="AR135" s="17">
        <f>IF('Eurostat EB TJ'!AQ142=":",0,'Eurostat EB TJ'!AQ142)</f>
        <v>0</v>
      </c>
      <c r="AS135" s="17">
        <f>IF('Eurostat EB TJ'!AR142=":",0,'Eurostat EB TJ'!AR142)</f>
        <v>0</v>
      </c>
      <c r="AT135" s="17">
        <f>IF('Eurostat EB TJ'!AS142=":",0,'Eurostat EB TJ'!AS142)</f>
        <v>0</v>
      </c>
      <c r="AU135" s="17">
        <f>IF('Eurostat EB TJ'!AT142=":",0,'Eurostat EB TJ'!AT142)</f>
        <v>0</v>
      </c>
      <c r="AV135" s="17">
        <f>IF('Eurostat EB TJ'!AU142=":",0,'Eurostat EB TJ'!AU142)</f>
        <v>346.60500000000002</v>
      </c>
      <c r="AW135" s="17">
        <f>IF('Eurostat EB TJ'!AV142=":",0,'Eurostat EB TJ'!AV142)</f>
        <v>0</v>
      </c>
      <c r="AX135" s="17">
        <f>IF('Eurostat EB TJ'!AW142=":",0,'Eurostat EB TJ'!AW142)</f>
        <v>0</v>
      </c>
      <c r="AY135" s="17">
        <f>IF('Eurostat EB TJ'!AX142=":",0,'Eurostat EB TJ'!AX142)</f>
        <v>0</v>
      </c>
      <c r="AZ135" s="17">
        <f>IF('Eurostat EB TJ'!AY142=":",0,'Eurostat EB TJ'!AY142)</f>
        <v>0</v>
      </c>
      <c r="BA135" s="17">
        <f>IF('Eurostat EB TJ'!AZ142=":",0,'Eurostat EB TJ'!AZ142)</f>
        <v>0</v>
      </c>
      <c r="BB135" s="17">
        <f>IF('Eurostat EB TJ'!BA142=":",0,'Eurostat EB TJ'!BA142)</f>
        <v>0</v>
      </c>
      <c r="BC135" s="17">
        <f>IF('Eurostat EB TJ'!BB142=":",0,'Eurostat EB TJ'!BB142)</f>
        <v>346.60500000000002</v>
      </c>
      <c r="BD135" s="17">
        <f>IF('Eurostat EB TJ'!BC142=":",0,'Eurostat EB TJ'!BC142)</f>
        <v>0</v>
      </c>
      <c r="BE135" s="17">
        <f>IF('Eurostat EB TJ'!BD142=":",0,'Eurostat EB TJ'!BD142)</f>
        <v>0</v>
      </c>
      <c r="BF135" s="17">
        <f>IF('Eurostat EB TJ'!BE142=":",0,'Eurostat EB TJ'!BE142)</f>
        <v>0</v>
      </c>
      <c r="BG135" s="17">
        <f>IF('Eurostat EB TJ'!BF142=":",0,'Eurostat EB TJ'!BF142)</f>
        <v>0</v>
      </c>
      <c r="BH135" s="17">
        <f>IF('Eurostat EB TJ'!BG142=":",0,'Eurostat EB TJ'!BG142)</f>
        <v>0</v>
      </c>
      <c r="BI135" s="17">
        <f>IF('Eurostat EB TJ'!BH142=":",0,'Eurostat EB TJ'!BH142)</f>
        <v>0</v>
      </c>
      <c r="BJ135" s="17">
        <f>IF('Eurostat EB TJ'!BI142=":",0,'Eurostat EB TJ'!BI142)</f>
        <v>0</v>
      </c>
      <c r="BK135" s="17">
        <f>IF('Eurostat EB TJ'!BJ142=":",0,'Eurostat EB TJ'!BJ142)</f>
        <v>0</v>
      </c>
      <c r="BL135" s="17">
        <f>IF('Eurostat EB TJ'!BK142=":",0,'Eurostat EB TJ'!BK142)</f>
        <v>0</v>
      </c>
      <c r="BM135" s="17">
        <f>IF('Eurostat EB TJ'!BL142=":",0,'Eurostat EB TJ'!BL142)</f>
        <v>0</v>
      </c>
      <c r="BN135" s="17">
        <f>IF('Eurostat EB TJ'!BM142=":",0,'Eurostat EB TJ'!BM142)</f>
        <v>0</v>
      </c>
      <c r="BO135" s="17">
        <f>IF('Eurostat EB TJ'!BN142=":",0,'Eurostat EB TJ'!BN142)</f>
        <v>0</v>
      </c>
      <c r="BP135" s="17">
        <f>IF('Eurostat EB TJ'!BO142=":",0,'Eurostat EB TJ'!BO142)</f>
        <v>0</v>
      </c>
      <c r="BQ135" s="17">
        <f>IF('Eurostat EB TJ'!BP142=":",0,'Eurostat EB TJ'!BP142)</f>
        <v>0</v>
      </c>
      <c r="BR135" s="17">
        <f>IF('Eurostat EB TJ'!BQ142=":",0,'Eurostat EB TJ'!BQ142)</f>
        <v>0</v>
      </c>
      <c r="BS135" s="17">
        <f>IF('Eurostat EB TJ'!BR142=":",0,'Eurostat EB TJ'!BR142)</f>
        <v>0</v>
      </c>
      <c r="BT135" s="17">
        <f>IF('Eurostat EB TJ'!BS142=":",0,'Eurostat EB TJ'!BS142)</f>
        <v>0</v>
      </c>
      <c r="BU135" s="17">
        <f>IF('Eurostat EB TJ'!BT142=":",0,'Eurostat EB TJ'!BT142)</f>
        <v>0.88</v>
      </c>
      <c r="BV135" s="17">
        <f>IF('Eurostat EB TJ'!BU142=":",0,'Eurostat EB TJ'!BU142)</f>
        <v>3704.6379999999999</v>
      </c>
    </row>
    <row r="136" spans="1:74" x14ac:dyDescent="0.2">
      <c r="A136" s="56" t="s">
        <v>112</v>
      </c>
      <c r="B136" s="57"/>
      <c r="C136" s="57">
        <f>IF('Eurostat EB TJ'!B143=":",0,'Eurostat EB TJ'!B143)</f>
        <v>-193.00800000000001</v>
      </c>
      <c r="D136" s="57">
        <f>IF('Eurostat EB TJ'!C143=":",0,'Eurostat EB TJ'!C143)</f>
        <v>176.273</v>
      </c>
      <c r="E136" s="57">
        <f>IF('Eurostat EB TJ'!D143=":",0,'Eurostat EB TJ'!D143)</f>
        <v>0</v>
      </c>
      <c r="F136" s="57">
        <f>IF('Eurostat EB TJ'!E143=":",0,'Eurostat EB TJ'!E143)</f>
        <v>0</v>
      </c>
      <c r="G136" s="57">
        <f>IF('Eurostat EB TJ'!F143=":",0,'Eurostat EB TJ'!F143)</f>
        <v>176.274</v>
      </c>
      <c r="H136" s="57">
        <f>IF('Eurostat EB TJ'!G143=":",0,'Eurostat EB TJ'!G143)</f>
        <v>0</v>
      </c>
      <c r="I136" s="57">
        <f>IF('Eurostat EB TJ'!H143=":",0,'Eurostat EB TJ'!H143)</f>
        <v>0</v>
      </c>
      <c r="J136" s="57">
        <f>IF('Eurostat EB TJ'!I143=":",0,'Eurostat EB TJ'!I143)</f>
        <v>0</v>
      </c>
      <c r="K136" s="57">
        <f>IF('Eurostat EB TJ'!J143=":",0,'Eurostat EB TJ'!J143)</f>
        <v>0</v>
      </c>
      <c r="L136" s="57">
        <f>IF('Eurostat EB TJ'!K143=":",0,'Eurostat EB TJ'!K143)</f>
        <v>0</v>
      </c>
      <c r="M136" s="57">
        <f>IF('Eurostat EB TJ'!L143=":",0,'Eurostat EB TJ'!L143)</f>
        <v>0</v>
      </c>
      <c r="N136" s="57">
        <f>IF('Eurostat EB TJ'!M143=":",0,'Eurostat EB TJ'!M143)</f>
        <v>0</v>
      </c>
      <c r="O136" s="57">
        <f>IF('Eurostat EB TJ'!N143=":",0,'Eurostat EB TJ'!N143)</f>
        <v>1E-3</v>
      </c>
      <c r="P136" s="57">
        <f>IF('Eurostat EB TJ'!O143=":",0,'Eurostat EB TJ'!O143)</f>
        <v>0</v>
      </c>
      <c r="Q136" s="57">
        <f>IF('Eurostat EB TJ'!P143=":",0,'Eurostat EB TJ'!P143)</f>
        <v>0</v>
      </c>
      <c r="R136" s="57">
        <f>IF('Eurostat EB TJ'!Q143=":",0,'Eurostat EB TJ'!Q143)</f>
        <v>1E-3</v>
      </c>
      <c r="S136" s="57">
        <f>IF('Eurostat EB TJ'!R143=":",0,'Eurostat EB TJ'!R143)</f>
        <v>0</v>
      </c>
      <c r="T136" s="57">
        <f>IF('Eurostat EB TJ'!S143=":",0,'Eurostat EB TJ'!S143)</f>
        <v>0</v>
      </c>
      <c r="U136" s="57">
        <f>IF('Eurostat EB TJ'!T143=":",0,'Eurostat EB TJ'!T143)</f>
        <v>0</v>
      </c>
      <c r="V136" s="57">
        <f>IF('Eurostat EB TJ'!U143=":",0,'Eurostat EB TJ'!U143)</f>
        <v>0</v>
      </c>
      <c r="W136" s="57">
        <f>IF('Eurostat EB TJ'!V143=":",0,'Eurostat EB TJ'!V143)</f>
        <v>0</v>
      </c>
      <c r="X136" s="57">
        <f>IF('Eurostat EB TJ'!W143=":",0,'Eurostat EB TJ'!W143)</f>
        <v>-3973.72</v>
      </c>
      <c r="Y136" s="57">
        <f>IF('Eurostat EB TJ'!X143=":",0,'Eurostat EB TJ'!X143)</f>
        <v>2816.0520000000001</v>
      </c>
      <c r="Z136" s="57">
        <f>IF('Eurostat EB TJ'!Y143=":",0,'Eurostat EB TJ'!Y143)</f>
        <v>-84.231999999999999</v>
      </c>
      <c r="AA136" s="57">
        <f>IF('Eurostat EB TJ'!Z143=":",0,'Eurostat EB TJ'!Z143)</f>
        <v>15.173</v>
      </c>
      <c r="AB136" s="57">
        <f>IF('Eurostat EB TJ'!AA143=":",0,'Eurostat EB TJ'!AA143)</f>
        <v>0</v>
      </c>
      <c r="AC136" s="57">
        <f>IF('Eurostat EB TJ'!AB143=":",0,'Eurostat EB TJ'!AB143)</f>
        <v>2872.1750000000002</v>
      </c>
      <c r="AD136" s="57">
        <f>IF('Eurostat EB TJ'!AC143=":",0,'Eurostat EB TJ'!AC143)</f>
        <v>0</v>
      </c>
      <c r="AE136" s="57">
        <f>IF('Eurostat EB TJ'!AD143=":",0,'Eurostat EB TJ'!AD143)</f>
        <v>0</v>
      </c>
      <c r="AF136" s="57">
        <f>IF('Eurostat EB TJ'!AE143=":",0,'Eurostat EB TJ'!AE143)</f>
        <v>0</v>
      </c>
      <c r="AG136" s="57">
        <f>IF('Eurostat EB TJ'!AF143=":",0,'Eurostat EB TJ'!AF143)</f>
        <v>-4.4999999999999998E-2</v>
      </c>
      <c r="AH136" s="57">
        <f>IF('Eurostat EB TJ'!AG143=":",0,'Eurostat EB TJ'!AG143)</f>
        <v>0</v>
      </c>
      <c r="AI136" s="57">
        <f>IF('Eurostat EB TJ'!AH143=":",0,'Eurostat EB TJ'!AH143)</f>
        <v>0</v>
      </c>
      <c r="AJ136" s="57">
        <f>IF('Eurostat EB TJ'!AI143=":",0,'Eurostat EB TJ'!AI143)</f>
        <v>12.907</v>
      </c>
      <c r="AK136" s="57">
        <f>IF('Eurostat EB TJ'!AJ143=":",0,'Eurostat EB TJ'!AJ143)</f>
        <v>0</v>
      </c>
      <c r="AL136" s="57">
        <f>IF('Eurostat EB TJ'!AK143=":",0,'Eurostat EB TJ'!AK143)</f>
        <v>0</v>
      </c>
      <c r="AM136" s="57">
        <f>IF('Eurostat EB TJ'!AL143=":",0,'Eurostat EB TJ'!AL143)</f>
        <v>-4.2999999999999997E-2</v>
      </c>
      <c r="AN136" s="57">
        <f>IF('Eurostat EB TJ'!AM143=":",0,'Eurostat EB TJ'!AM143)</f>
        <v>0.129</v>
      </c>
      <c r="AO136" s="57">
        <f>IF('Eurostat EB TJ'!AN143=":",0,'Eurostat EB TJ'!AN143)</f>
        <v>-4.1000000000000002E-2</v>
      </c>
      <c r="AP136" s="57">
        <f>IF('Eurostat EB TJ'!AO143=":",0,'Eurostat EB TJ'!AO143)</f>
        <v>0</v>
      </c>
      <c r="AQ136" s="57">
        <f>IF('Eurostat EB TJ'!AP143=":",0,'Eurostat EB TJ'!AP143)</f>
        <v>4.1000000000000002E-2</v>
      </c>
      <c r="AR136" s="57">
        <f>IF('Eurostat EB TJ'!AQ143=":",0,'Eurostat EB TJ'!AQ143)</f>
        <v>0</v>
      </c>
      <c r="AS136" s="57">
        <f>IF('Eurostat EB TJ'!AR143=":",0,'Eurostat EB TJ'!AR143)</f>
        <v>-3.5000000000000003E-2</v>
      </c>
      <c r="AT136" s="57">
        <f>IF('Eurostat EB TJ'!AS143=":",0,'Eurostat EB TJ'!AS143)</f>
        <v>0</v>
      </c>
      <c r="AU136" s="57">
        <f>IF('Eurostat EB TJ'!AT143=":",0,'Eurostat EB TJ'!AT143)</f>
        <v>2.4E-2</v>
      </c>
      <c r="AV136" s="57">
        <f>IF('Eurostat EB TJ'!AU143=":",0,'Eurostat EB TJ'!AU143)</f>
        <v>23.585999999999999</v>
      </c>
      <c r="AW136" s="57">
        <f>IF('Eurostat EB TJ'!AV143=":",0,'Eurostat EB TJ'!AV143)</f>
        <v>0</v>
      </c>
      <c r="AX136" s="57">
        <f>IF('Eurostat EB TJ'!AW143=":",0,'Eurostat EB TJ'!AW143)</f>
        <v>0</v>
      </c>
      <c r="AY136" s="57">
        <f>IF('Eurostat EB TJ'!AX143=":",0,'Eurostat EB TJ'!AX143)</f>
        <v>0</v>
      </c>
      <c r="AZ136" s="57">
        <f>IF('Eurostat EB TJ'!AY143=":",0,'Eurostat EB TJ'!AY143)</f>
        <v>0</v>
      </c>
      <c r="BA136" s="57">
        <f>IF('Eurostat EB TJ'!AZ143=":",0,'Eurostat EB TJ'!AZ143)</f>
        <v>0</v>
      </c>
      <c r="BB136" s="57">
        <f>IF('Eurostat EB TJ'!BA143=":",0,'Eurostat EB TJ'!BA143)</f>
        <v>0</v>
      </c>
      <c r="BC136" s="57">
        <f>IF('Eurostat EB TJ'!BB143=":",0,'Eurostat EB TJ'!BB143)</f>
        <v>0</v>
      </c>
      <c r="BD136" s="57">
        <f>IF('Eurostat EB TJ'!BC143=":",0,'Eurostat EB TJ'!BC143)</f>
        <v>8.9999999999999993E-3</v>
      </c>
      <c r="BE136" s="57">
        <f>IF('Eurostat EB TJ'!BD143=":",0,'Eurostat EB TJ'!BD143)</f>
        <v>0</v>
      </c>
      <c r="BF136" s="57">
        <f>IF('Eurostat EB TJ'!BE143=":",0,'Eurostat EB TJ'!BE143)</f>
        <v>0</v>
      </c>
      <c r="BG136" s="57">
        <f>IF('Eurostat EB TJ'!BF143=":",0,'Eurostat EB TJ'!BF143)</f>
        <v>0</v>
      </c>
      <c r="BH136" s="57">
        <f>IF('Eurostat EB TJ'!BG143=":",0,'Eurostat EB TJ'!BG143)</f>
        <v>0</v>
      </c>
      <c r="BI136" s="57">
        <f>IF('Eurostat EB TJ'!BH143=":",0,'Eurostat EB TJ'!BH143)</f>
        <v>0</v>
      </c>
      <c r="BJ136" s="57">
        <f>IF('Eurostat EB TJ'!BI143=":",0,'Eurostat EB TJ'!BI143)</f>
        <v>0</v>
      </c>
      <c r="BK136" s="57">
        <f>IF('Eurostat EB TJ'!BJ143=":",0,'Eurostat EB TJ'!BJ143)</f>
        <v>0</v>
      </c>
      <c r="BL136" s="57">
        <f>IF('Eurostat EB TJ'!BK143=":",0,'Eurostat EB TJ'!BK143)</f>
        <v>0</v>
      </c>
      <c r="BM136" s="57">
        <f>IF('Eurostat EB TJ'!BL143=":",0,'Eurostat EB TJ'!BL143)</f>
        <v>23.577000000000002</v>
      </c>
      <c r="BN136" s="57">
        <f>IF('Eurostat EB TJ'!BM143=":",0,'Eurostat EB TJ'!BM143)</f>
        <v>0</v>
      </c>
      <c r="BO136" s="57">
        <f>IF('Eurostat EB TJ'!BN143=":",0,'Eurostat EB TJ'!BN143)</f>
        <v>0</v>
      </c>
      <c r="BP136" s="57">
        <f>IF('Eurostat EB TJ'!BO143=":",0,'Eurostat EB TJ'!BO143)</f>
        <v>0</v>
      </c>
      <c r="BQ136" s="57">
        <f>IF('Eurostat EB TJ'!BP143=":",0,'Eurostat EB TJ'!BP143)</f>
        <v>0</v>
      </c>
      <c r="BR136" s="57">
        <f>IF('Eurostat EB TJ'!BQ143=":",0,'Eurostat EB TJ'!BQ143)</f>
        <v>0</v>
      </c>
      <c r="BS136" s="57">
        <f>IF('Eurostat EB TJ'!BR143=":",0,'Eurostat EB TJ'!BR143)</f>
        <v>764.798</v>
      </c>
      <c r="BT136" s="57">
        <f>IF('Eurostat EB TJ'!BS143=":",0,'Eurostat EB TJ'!BS143)</f>
        <v>2E-3</v>
      </c>
      <c r="BU136" s="57">
        <f>IF('Eurostat EB TJ'!BT143=":",0,'Eurostat EB TJ'!BT143)</f>
        <v>0</v>
      </c>
      <c r="BV136" s="57">
        <f>IF('Eurostat EB TJ'!BU143=":",0,'Eurostat EB TJ'!BU143)</f>
        <v>0</v>
      </c>
    </row>
    <row r="137" spans="1:74" x14ac:dyDescent="0.2">
      <c r="A137" s="63" t="s">
        <v>113</v>
      </c>
      <c r="B137" s="72" t="s">
        <v>401</v>
      </c>
      <c r="C137" s="72">
        <f>IF('Eurostat EB TJ'!B144=":",0,'Eurostat EB TJ'!B144/Contents!$C$6)</f>
        <v>121330.5861111111</v>
      </c>
      <c r="D137" s="72">
        <f>IF('Eurostat EB TJ'!C144=":",0,'Eurostat EB TJ'!C144/Contents!$C$6)</f>
        <v>8711.7561111111117</v>
      </c>
      <c r="E137" s="72">
        <f>IF('Eurostat EB TJ'!D144=":",0,'Eurostat EB TJ'!D144/Contents!$C$6)</f>
        <v>0</v>
      </c>
      <c r="F137" s="72">
        <f>IF('Eurostat EB TJ'!E144=":",0,'Eurostat EB TJ'!E144/Contents!$C$6)</f>
        <v>0</v>
      </c>
      <c r="G137" s="72">
        <f>IF('Eurostat EB TJ'!F144=":",0,'Eurostat EB TJ'!F144/Contents!$C$6)</f>
        <v>8711.7561111111117</v>
      </c>
      <c r="H137" s="72">
        <f>IF('Eurostat EB TJ'!G144=":",0,'Eurostat EB TJ'!G144/Contents!$C$6)</f>
        <v>0</v>
      </c>
      <c r="I137" s="72">
        <f>IF('Eurostat EB TJ'!H144=":",0,'Eurostat EB TJ'!H144/Contents!$C$6)</f>
        <v>0</v>
      </c>
      <c r="J137" s="72">
        <f>IF('Eurostat EB TJ'!I144=":",0,'Eurostat EB TJ'!I144/Contents!$C$6)</f>
        <v>0</v>
      </c>
      <c r="K137" s="72">
        <f>IF('Eurostat EB TJ'!J144=":",0,'Eurostat EB TJ'!J144/Contents!$C$6)</f>
        <v>0</v>
      </c>
      <c r="L137" s="72">
        <f>IF('Eurostat EB TJ'!K144=":",0,'Eurostat EB TJ'!K144/Contents!$C$6)</f>
        <v>0</v>
      </c>
      <c r="M137" s="72">
        <f>IF('Eurostat EB TJ'!L144=":",0,'Eurostat EB TJ'!L144/Contents!$C$6)</f>
        <v>0</v>
      </c>
      <c r="N137" s="72">
        <f>IF('Eurostat EB TJ'!M144=":",0,'Eurostat EB TJ'!M144/Contents!$C$6)</f>
        <v>0</v>
      </c>
      <c r="O137" s="72">
        <f>IF('Eurostat EB TJ'!N144=":",0,'Eurostat EB TJ'!N144/Contents!$C$6)</f>
        <v>1994.848888888889</v>
      </c>
      <c r="P137" s="72">
        <f>IF('Eurostat EB TJ'!O144=":",0,'Eurostat EB TJ'!O144/Contents!$C$6)</f>
        <v>152.16805555555553</v>
      </c>
      <c r="Q137" s="72">
        <f>IF('Eurostat EB TJ'!P144=":",0,'Eurostat EB TJ'!P144/Contents!$C$6)</f>
        <v>0</v>
      </c>
      <c r="R137" s="72">
        <f>IF('Eurostat EB TJ'!Q144=":",0,'Eurostat EB TJ'!Q144/Contents!$C$6)</f>
        <v>1842.681111111111</v>
      </c>
      <c r="S137" s="72">
        <f>IF('Eurostat EB TJ'!R144=":",0,'Eurostat EB TJ'!R144/Contents!$C$6)</f>
        <v>0</v>
      </c>
      <c r="T137" s="72">
        <f>IF('Eurostat EB TJ'!S144=":",0,'Eurostat EB TJ'!S144/Contents!$C$6)</f>
        <v>0</v>
      </c>
      <c r="U137" s="72">
        <f>IF('Eurostat EB TJ'!T144=":",0,'Eurostat EB TJ'!T144/Contents!$C$6)</f>
        <v>0</v>
      </c>
      <c r="V137" s="72">
        <f>IF('Eurostat EB TJ'!U144=":",0,'Eurostat EB TJ'!U144/Contents!$C$6)</f>
        <v>0</v>
      </c>
      <c r="W137" s="72">
        <f>IF('Eurostat EB TJ'!V144=":",0,'Eurostat EB TJ'!V144/Contents!$C$6)</f>
        <v>0</v>
      </c>
      <c r="X137" s="72">
        <f>IF('Eurostat EB TJ'!W144=":",0,'Eurostat EB TJ'!W144/Contents!$C$6)</f>
        <v>45952.445</v>
      </c>
      <c r="Y137" s="72">
        <f>IF('Eurostat EB TJ'!X144=":",0,'Eurostat EB TJ'!X144/Contents!$C$6)</f>
        <v>1530.2588888888888</v>
      </c>
      <c r="Z137" s="72">
        <f>IF('Eurostat EB TJ'!Y144=":",0,'Eurostat EB TJ'!Y144/Contents!$C$6)</f>
        <v>0</v>
      </c>
      <c r="AA137" s="72">
        <f>IF('Eurostat EB TJ'!Z144=":",0,'Eurostat EB TJ'!Z144/Contents!$C$6)</f>
        <v>0</v>
      </c>
      <c r="AB137" s="72">
        <f>IF('Eurostat EB TJ'!AA144=":",0,'Eurostat EB TJ'!AA144/Contents!$C$6)</f>
        <v>0</v>
      </c>
      <c r="AC137" s="72">
        <f>IF('Eurostat EB TJ'!AB144=":",0,'Eurostat EB TJ'!AB144/Contents!$C$6)</f>
        <v>0</v>
      </c>
      <c r="AD137" s="72">
        <f>IF('Eurostat EB TJ'!AC144=":",0,'Eurostat EB TJ'!AC144/Contents!$C$6)</f>
        <v>0</v>
      </c>
      <c r="AE137" s="72">
        <f>IF('Eurostat EB TJ'!AD144=":",0,'Eurostat EB TJ'!AD144/Contents!$C$6)</f>
        <v>1480.1019444444444</v>
      </c>
      <c r="AF137" s="72">
        <f>IF('Eurostat EB TJ'!AE144=":",0,'Eurostat EB TJ'!AE144/Contents!$C$6)</f>
        <v>0</v>
      </c>
      <c r="AG137" s="72">
        <f>IF('Eurostat EB TJ'!AF144=":",0,'Eurostat EB TJ'!AF144/Contents!$C$6)</f>
        <v>0</v>
      </c>
      <c r="AH137" s="72">
        <f>IF('Eurostat EB TJ'!AG144=":",0,'Eurostat EB TJ'!AG144/Contents!$C$6)</f>
        <v>0</v>
      </c>
      <c r="AI137" s="72">
        <f>IF('Eurostat EB TJ'!AH144=":",0,'Eurostat EB TJ'!AH144/Contents!$C$6)</f>
        <v>0</v>
      </c>
      <c r="AJ137" s="72">
        <f>IF('Eurostat EB TJ'!AI144=":",0,'Eurostat EB TJ'!AI144/Contents!$C$6)</f>
        <v>0</v>
      </c>
      <c r="AK137" s="72">
        <f>IF('Eurostat EB TJ'!AJ144=":",0,'Eurostat EB TJ'!AJ144/Contents!$C$6)</f>
        <v>0</v>
      </c>
      <c r="AL137" s="72">
        <f>IF('Eurostat EB TJ'!AK144=":",0,'Eurostat EB TJ'!AK144/Contents!$C$6)</f>
        <v>0</v>
      </c>
      <c r="AM137" s="72">
        <f>IF('Eurostat EB TJ'!AL144=":",0,'Eurostat EB TJ'!AL144/Contents!$C$6)</f>
        <v>0</v>
      </c>
      <c r="AN137" s="72">
        <f>IF('Eurostat EB TJ'!AM144=":",0,'Eurostat EB TJ'!AM144/Contents!$C$6)</f>
        <v>30.361111111111111</v>
      </c>
      <c r="AO137" s="72">
        <f>IF('Eurostat EB TJ'!AN144=":",0,'Eurostat EB TJ'!AN144/Contents!$C$6)</f>
        <v>0</v>
      </c>
      <c r="AP137" s="72">
        <f>IF('Eurostat EB TJ'!AO144=":",0,'Eurostat EB TJ'!AO144/Contents!$C$6)</f>
        <v>0</v>
      </c>
      <c r="AQ137" s="72">
        <f>IF('Eurostat EB TJ'!AP144=":",0,'Eurostat EB TJ'!AP144/Contents!$C$6)</f>
        <v>0</v>
      </c>
      <c r="AR137" s="72">
        <f>IF('Eurostat EB TJ'!AQ144=":",0,'Eurostat EB TJ'!AQ144/Contents!$C$6)</f>
        <v>0</v>
      </c>
      <c r="AS137" s="72">
        <f>IF('Eurostat EB TJ'!AR144=":",0,'Eurostat EB TJ'!AR144/Contents!$C$6)</f>
        <v>0</v>
      </c>
      <c r="AT137" s="72">
        <f>IF('Eurostat EB TJ'!AS144=":",0,'Eurostat EB TJ'!AS144/Contents!$C$6)</f>
        <v>0</v>
      </c>
      <c r="AU137" s="72">
        <f>IF('Eurostat EB TJ'!AT144=":",0,'Eurostat EB TJ'!AT144/Contents!$C$6)</f>
        <v>19.796111111111113</v>
      </c>
      <c r="AV137" s="72">
        <f>IF('Eurostat EB TJ'!AU144=":",0,'Eurostat EB TJ'!AU144/Contents!$C$6)</f>
        <v>56779.421944444439</v>
      </c>
      <c r="AW137" s="72">
        <f>IF('Eurostat EB TJ'!AV144=":",0,'Eurostat EB TJ'!AV144/Contents!$C$6)</f>
        <v>69.36888888888889</v>
      </c>
      <c r="AX137" s="72">
        <f>IF('Eurostat EB TJ'!AW144=":",0,'Eurostat EB TJ'!AW144/Contents!$C$6)</f>
        <v>0</v>
      </c>
      <c r="AY137" s="72">
        <f>IF('Eurostat EB TJ'!AX144=":",0,'Eurostat EB TJ'!AX144/Contents!$C$6)</f>
        <v>29525.081111111111</v>
      </c>
      <c r="AZ137" s="72">
        <f>IF('Eurostat EB TJ'!AY144=":",0,'Eurostat EB TJ'!AY144/Contents!$C$6)</f>
        <v>0</v>
      </c>
      <c r="BA137" s="72">
        <f>IF('Eurostat EB TJ'!AZ144=":",0,'Eurostat EB TJ'!AZ144/Contents!$C$6)</f>
        <v>19578.188055555554</v>
      </c>
      <c r="BB137" s="72">
        <f>IF('Eurostat EB TJ'!BA144=":",0,'Eurostat EB TJ'!BA144/Contents!$C$6)</f>
        <v>0</v>
      </c>
      <c r="BC137" s="72">
        <f>IF('Eurostat EB TJ'!BB144=":",0,'Eurostat EB TJ'!BB144/Contents!$C$6)</f>
        <v>0</v>
      </c>
      <c r="BD137" s="72">
        <f>IF('Eurostat EB TJ'!BC144=":",0,'Eurostat EB TJ'!BC144/Contents!$C$6)</f>
        <v>4925.8038888888887</v>
      </c>
      <c r="BE137" s="72">
        <f>IF('Eurostat EB TJ'!BD144=":",0,'Eurostat EB TJ'!BD144/Contents!$C$6)</f>
        <v>0</v>
      </c>
      <c r="BF137" s="72">
        <f>IF('Eurostat EB TJ'!BE144=":",0,'Eurostat EB TJ'!BE144/Contents!$C$6)</f>
        <v>0</v>
      </c>
      <c r="BG137" s="72">
        <f>IF('Eurostat EB TJ'!BF144=":",0,'Eurostat EB TJ'!BF144/Contents!$C$6)</f>
        <v>0</v>
      </c>
      <c r="BH137" s="72">
        <f>IF('Eurostat EB TJ'!BG144=":",0,'Eurostat EB TJ'!BG144/Contents!$C$6)</f>
        <v>0</v>
      </c>
      <c r="BI137" s="72">
        <f>IF('Eurostat EB TJ'!BH144=":",0,'Eurostat EB TJ'!BH144/Contents!$C$6)</f>
        <v>0</v>
      </c>
      <c r="BJ137" s="72">
        <f>IF('Eurostat EB TJ'!BI144=":",0,'Eurostat EB TJ'!BI144/Contents!$C$6)</f>
        <v>0</v>
      </c>
      <c r="BK137" s="72">
        <f>IF('Eurostat EB TJ'!BJ144=":",0,'Eurostat EB TJ'!BJ144/Contents!$C$6)</f>
        <v>0</v>
      </c>
      <c r="BL137" s="72">
        <f>IF('Eurostat EB TJ'!BK144=":",0,'Eurostat EB TJ'!BK144/Contents!$C$6)</f>
        <v>0</v>
      </c>
      <c r="BM137" s="72">
        <f>IF('Eurostat EB TJ'!BL144=":",0,'Eurostat EB TJ'!BL144/Contents!$C$6)</f>
        <v>699.48</v>
      </c>
      <c r="BN137" s="72">
        <f>IF('Eurostat EB TJ'!BM144=":",0,'Eurostat EB TJ'!BM144/Contents!$C$6)</f>
        <v>48.751111111111108</v>
      </c>
      <c r="BO137" s="72">
        <f>IF('Eurostat EB TJ'!BN144=":",0,'Eurostat EB TJ'!BN144/Contents!$C$6)</f>
        <v>1981.4999999999998</v>
      </c>
      <c r="BP137" s="72">
        <f>IF('Eurostat EB TJ'!BO144=":",0,'Eurostat EB TJ'!BO144/Contents!$C$6)</f>
        <v>1757.1799999999998</v>
      </c>
      <c r="BQ137" s="72">
        <f>IF('Eurostat EB TJ'!BP144=":",0,'Eurostat EB TJ'!BP144/Contents!$C$6)</f>
        <v>1805.931111111111</v>
      </c>
      <c r="BR137" s="72">
        <f>IF('Eurostat EB TJ'!BQ144=":",0,'Eurostat EB TJ'!BQ144/Contents!$C$6)</f>
        <v>3985.2930555555554</v>
      </c>
      <c r="BS137" s="72">
        <f>IF('Eurostat EB TJ'!BR144=":",0,'Eurostat EB TJ'!BR144/Contents!$C$6)</f>
        <v>0</v>
      </c>
      <c r="BT137" s="72">
        <f>IF('Eurostat EB TJ'!BS144=":",0,'Eurostat EB TJ'!BS144/Contents!$C$6)</f>
        <v>0</v>
      </c>
      <c r="BU137" s="72">
        <f>IF('Eurostat EB TJ'!BT144=":",0,'Eurostat EB TJ'!BT144/Contents!$C$6)</f>
        <v>8077.4705555555556</v>
      </c>
      <c r="BV137" s="72">
        <f>IF('Eurostat EB TJ'!BU144=":",0,'Eurostat EB TJ'!BU144/Contents!$C$6)</f>
        <v>59524.553611111114</v>
      </c>
    </row>
    <row r="138" spans="1:74" x14ac:dyDescent="0.2">
      <c r="A138" s="63" t="s">
        <v>314</v>
      </c>
      <c r="B138" s="65" t="s">
        <v>401</v>
      </c>
      <c r="C138" s="65">
        <f>IF('Eurostat EB TJ'!B145=":",0,'Eurostat EB TJ'!B145/Contents!$C$6)</f>
        <v>64936.043888888889</v>
      </c>
      <c r="D138" s="65">
        <f>IF('Eurostat EB TJ'!C145=":",0,'Eurostat EB TJ'!C145/Contents!$C$6)</f>
        <v>5132.1619444444441</v>
      </c>
      <c r="E138" s="65">
        <f>IF('Eurostat EB TJ'!D145=":",0,'Eurostat EB TJ'!D145/Contents!$C$6)</f>
        <v>0</v>
      </c>
      <c r="F138" s="65">
        <f>IF('Eurostat EB TJ'!E145=":",0,'Eurostat EB TJ'!E145/Contents!$C$6)</f>
        <v>0</v>
      </c>
      <c r="G138" s="65">
        <f>IF('Eurostat EB TJ'!F145=":",0,'Eurostat EB TJ'!F145/Contents!$C$6)</f>
        <v>5132.1619444444441</v>
      </c>
      <c r="H138" s="65">
        <f>IF('Eurostat EB TJ'!G145=":",0,'Eurostat EB TJ'!G145/Contents!$C$6)</f>
        <v>0</v>
      </c>
      <c r="I138" s="65">
        <f>IF('Eurostat EB TJ'!H145=":",0,'Eurostat EB TJ'!H145/Contents!$C$6)</f>
        <v>0</v>
      </c>
      <c r="J138" s="65">
        <f>IF('Eurostat EB TJ'!I145=":",0,'Eurostat EB TJ'!I145/Contents!$C$6)</f>
        <v>0</v>
      </c>
      <c r="K138" s="65">
        <f>IF('Eurostat EB TJ'!J145=":",0,'Eurostat EB TJ'!J145/Contents!$C$6)</f>
        <v>0</v>
      </c>
      <c r="L138" s="65">
        <f>IF('Eurostat EB TJ'!K145=":",0,'Eurostat EB TJ'!K145/Contents!$C$6)</f>
        <v>0</v>
      </c>
      <c r="M138" s="65">
        <f>IF('Eurostat EB TJ'!L145=":",0,'Eurostat EB TJ'!L145/Contents!$C$6)</f>
        <v>0</v>
      </c>
      <c r="N138" s="65">
        <f>IF('Eurostat EB TJ'!M145=":",0,'Eurostat EB TJ'!M145/Contents!$C$6)</f>
        <v>0</v>
      </c>
      <c r="O138" s="65">
        <f>IF('Eurostat EB TJ'!N145=":",0,'Eurostat EB TJ'!N145/Contents!$C$6)</f>
        <v>1725.08</v>
      </c>
      <c r="P138" s="65">
        <f>IF('Eurostat EB TJ'!O145=":",0,'Eurostat EB TJ'!O145/Contents!$C$6)</f>
        <v>139.81305555555556</v>
      </c>
      <c r="Q138" s="65">
        <f>IF('Eurostat EB TJ'!P145=":",0,'Eurostat EB TJ'!P145/Contents!$C$6)</f>
        <v>0</v>
      </c>
      <c r="R138" s="65">
        <f>IF('Eurostat EB TJ'!Q145=":",0,'Eurostat EB TJ'!Q145/Contents!$C$6)</f>
        <v>1585.2669444444446</v>
      </c>
      <c r="S138" s="65">
        <f>IF('Eurostat EB TJ'!R145=":",0,'Eurostat EB TJ'!R145/Contents!$C$6)</f>
        <v>0</v>
      </c>
      <c r="T138" s="65">
        <f>IF('Eurostat EB TJ'!S145=":",0,'Eurostat EB TJ'!S145/Contents!$C$6)</f>
        <v>0</v>
      </c>
      <c r="U138" s="65">
        <f>IF('Eurostat EB TJ'!T145=":",0,'Eurostat EB TJ'!T145/Contents!$C$6)</f>
        <v>0</v>
      </c>
      <c r="V138" s="65">
        <f>IF('Eurostat EB TJ'!U145=":",0,'Eurostat EB TJ'!U145/Contents!$C$6)</f>
        <v>0</v>
      </c>
      <c r="W138" s="65">
        <f>IF('Eurostat EB TJ'!V145=":",0,'Eurostat EB TJ'!V145/Contents!$C$6)</f>
        <v>0</v>
      </c>
      <c r="X138" s="65">
        <f>IF('Eurostat EB TJ'!W145=":",0,'Eurostat EB TJ'!W145/Contents!$C$6)</f>
        <v>20955.511111111111</v>
      </c>
      <c r="Y138" s="65">
        <f>IF('Eurostat EB TJ'!X145=":",0,'Eurostat EB TJ'!X145/Contents!$C$6)</f>
        <v>19.796111111111113</v>
      </c>
      <c r="Z138" s="65">
        <f>IF('Eurostat EB TJ'!Y145=":",0,'Eurostat EB TJ'!Y145/Contents!$C$6)</f>
        <v>0</v>
      </c>
      <c r="AA138" s="65">
        <f>IF('Eurostat EB TJ'!Z145=":",0,'Eurostat EB TJ'!Z145/Contents!$C$6)</f>
        <v>0</v>
      </c>
      <c r="AB138" s="65">
        <f>IF('Eurostat EB TJ'!AA145=":",0,'Eurostat EB TJ'!AA145/Contents!$C$6)</f>
        <v>0</v>
      </c>
      <c r="AC138" s="65">
        <f>IF('Eurostat EB TJ'!AB145=":",0,'Eurostat EB TJ'!AB145/Contents!$C$6)</f>
        <v>0</v>
      </c>
      <c r="AD138" s="65">
        <f>IF('Eurostat EB TJ'!AC145=":",0,'Eurostat EB TJ'!AC145/Contents!$C$6)</f>
        <v>0</v>
      </c>
      <c r="AE138" s="65">
        <f>IF('Eurostat EB TJ'!AD145=":",0,'Eurostat EB TJ'!AD145/Contents!$C$6)</f>
        <v>0</v>
      </c>
      <c r="AF138" s="65">
        <f>IF('Eurostat EB TJ'!AE145=":",0,'Eurostat EB TJ'!AE145/Contents!$C$6)</f>
        <v>0</v>
      </c>
      <c r="AG138" s="65">
        <f>IF('Eurostat EB TJ'!AF145=":",0,'Eurostat EB TJ'!AF145/Contents!$C$6)</f>
        <v>0</v>
      </c>
      <c r="AH138" s="65">
        <f>IF('Eurostat EB TJ'!AG145=":",0,'Eurostat EB TJ'!AG145/Contents!$C$6)</f>
        <v>0</v>
      </c>
      <c r="AI138" s="65">
        <f>IF('Eurostat EB TJ'!AH145=":",0,'Eurostat EB TJ'!AH145/Contents!$C$6)</f>
        <v>0</v>
      </c>
      <c r="AJ138" s="65">
        <f>IF('Eurostat EB TJ'!AI145=":",0,'Eurostat EB TJ'!AI145/Contents!$C$6)</f>
        <v>0</v>
      </c>
      <c r="AK138" s="65">
        <f>IF('Eurostat EB TJ'!AJ145=":",0,'Eurostat EB TJ'!AJ145/Contents!$C$6)</f>
        <v>0</v>
      </c>
      <c r="AL138" s="65">
        <f>IF('Eurostat EB TJ'!AK145=":",0,'Eurostat EB TJ'!AK145/Contents!$C$6)</f>
        <v>0</v>
      </c>
      <c r="AM138" s="65">
        <f>IF('Eurostat EB TJ'!AL145=":",0,'Eurostat EB TJ'!AL145/Contents!$C$6)</f>
        <v>0</v>
      </c>
      <c r="AN138" s="65">
        <f>IF('Eurostat EB TJ'!AM145=":",0,'Eurostat EB TJ'!AM145/Contents!$C$6)</f>
        <v>0</v>
      </c>
      <c r="AO138" s="65">
        <f>IF('Eurostat EB TJ'!AN145=":",0,'Eurostat EB TJ'!AN145/Contents!$C$6)</f>
        <v>0</v>
      </c>
      <c r="AP138" s="65">
        <f>IF('Eurostat EB TJ'!AO145=":",0,'Eurostat EB TJ'!AO145/Contents!$C$6)</f>
        <v>0</v>
      </c>
      <c r="AQ138" s="65">
        <f>IF('Eurostat EB TJ'!AP145=":",0,'Eurostat EB TJ'!AP145/Contents!$C$6)</f>
        <v>0</v>
      </c>
      <c r="AR138" s="65">
        <f>IF('Eurostat EB TJ'!AQ145=":",0,'Eurostat EB TJ'!AQ145/Contents!$C$6)</f>
        <v>0</v>
      </c>
      <c r="AS138" s="65">
        <f>IF('Eurostat EB TJ'!AR145=":",0,'Eurostat EB TJ'!AR145/Contents!$C$6)</f>
        <v>0</v>
      </c>
      <c r="AT138" s="65">
        <f>IF('Eurostat EB TJ'!AS145=":",0,'Eurostat EB TJ'!AS145/Contents!$C$6)</f>
        <v>0</v>
      </c>
      <c r="AU138" s="65">
        <f>IF('Eurostat EB TJ'!AT145=":",0,'Eurostat EB TJ'!AT145/Contents!$C$6)</f>
        <v>19.796111111111113</v>
      </c>
      <c r="AV138" s="65">
        <f>IF('Eurostat EB TJ'!AU145=":",0,'Eurostat EB TJ'!AU145/Contents!$C$6)</f>
        <v>32653.68</v>
      </c>
      <c r="AW138" s="65">
        <f>IF('Eurostat EB TJ'!AV145=":",0,'Eurostat EB TJ'!AV145/Contents!$C$6)</f>
        <v>69.36888888888889</v>
      </c>
      <c r="AX138" s="65">
        <f>IF('Eurostat EB TJ'!AW145=":",0,'Eurostat EB TJ'!AW145/Contents!$C$6)</f>
        <v>0</v>
      </c>
      <c r="AY138" s="65">
        <f>IF('Eurostat EB TJ'!AX145=":",0,'Eurostat EB TJ'!AX145/Contents!$C$6)</f>
        <v>27179.723055555554</v>
      </c>
      <c r="AZ138" s="65">
        <f>IF('Eurostat EB TJ'!AY145=":",0,'Eurostat EB TJ'!AY145/Contents!$C$6)</f>
        <v>0</v>
      </c>
      <c r="BA138" s="65">
        <f>IF('Eurostat EB TJ'!AZ145=":",0,'Eurostat EB TJ'!AZ145/Contents!$C$6)</f>
        <v>4017.9630555555555</v>
      </c>
      <c r="BB138" s="65">
        <f>IF('Eurostat EB TJ'!BA145=":",0,'Eurostat EB TJ'!BA145/Contents!$C$6)</f>
        <v>0</v>
      </c>
      <c r="BC138" s="65">
        <f>IF('Eurostat EB TJ'!BB145=":",0,'Eurostat EB TJ'!BB145/Contents!$C$6)</f>
        <v>0</v>
      </c>
      <c r="BD138" s="65">
        <f>IF('Eurostat EB TJ'!BC145=":",0,'Eurostat EB TJ'!BC145/Contents!$C$6)</f>
        <v>1384.6338888888888</v>
      </c>
      <c r="BE138" s="65">
        <f>IF('Eurostat EB TJ'!BD145=":",0,'Eurostat EB TJ'!BD145/Contents!$C$6)</f>
        <v>0</v>
      </c>
      <c r="BF138" s="65">
        <f>IF('Eurostat EB TJ'!BE145=":",0,'Eurostat EB TJ'!BE145/Contents!$C$6)</f>
        <v>0</v>
      </c>
      <c r="BG138" s="65">
        <f>IF('Eurostat EB TJ'!BF145=":",0,'Eurostat EB TJ'!BF145/Contents!$C$6)</f>
        <v>0</v>
      </c>
      <c r="BH138" s="65">
        <f>IF('Eurostat EB TJ'!BG145=":",0,'Eurostat EB TJ'!BG145/Contents!$C$6)</f>
        <v>0</v>
      </c>
      <c r="BI138" s="65">
        <f>IF('Eurostat EB TJ'!BH145=":",0,'Eurostat EB TJ'!BH145/Contents!$C$6)</f>
        <v>0</v>
      </c>
      <c r="BJ138" s="65">
        <f>IF('Eurostat EB TJ'!BI145=":",0,'Eurostat EB TJ'!BI145/Contents!$C$6)</f>
        <v>0</v>
      </c>
      <c r="BK138" s="65">
        <f>IF('Eurostat EB TJ'!BJ145=":",0,'Eurostat EB TJ'!BJ145/Contents!$C$6)</f>
        <v>0</v>
      </c>
      <c r="BL138" s="65">
        <f>IF('Eurostat EB TJ'!BK145=":",0,'Eurostat EB TJ'!BK145/Contents!$C$6)</f>
        <v>0</v>
      </c>
      <c r="BM138" s="65">
        <f>IF('Eurostat EB TJ'!BL145=":",0,'Eurostat EB TJ'!BL145/Contents!$C$6)</f>
        <v>1.9911111111111111</v>
      </c>
      <c r="BN138" s="65">
        <f>IF('Eurostat EB TJ'!BM145=":",0,'Eurostat EB TJ'!BM145/Contents!$C$6)</f>
        <v>0</v>
      </c>
      <c r="BO138" s="65">
        <f>IF('Eurostat EB TJ'!BN145=":",0,'Eurostat EB TJ'!BN145/Contents!$C$6)</f>
        <v>0</v>
      </c>
      <c r="BP138" s="65">
        <f>IF('Eurostat EB TJ'!BO145=":",0,'Eurostat EB TJ'!BO145/Contents!$C$6)</f>
        <v>0</v>
      </c>
      <c r="BQ138" s="65">
        <f>IF('Eurostat EB TJ'!BP145=":",0,'Eurostat EB TJ'!BP145/Contents!$C$6)</f>
        <v>0</v>
      </c>
      <c r="BR138" s="65">
        <f>IF('Eurostat EB TJ'!BQ145=":",0,'Eurostat EB TJ'!BQ145/Contents!$C$6)</f>
        <v>3985.2930555555554</v>
      </c>
      <c r="BS138" s="65">
        <f>IF('Eurostat EB TJ'!BR145=":",0,'Eurostat EB TJ'!BR145/Contents!$C$6)</f>
        <v>0</v>
      </c>
      <c r="BT138" s="65">
        <f>IF('Eurostat EB TJ'!BS145=":",0,'Eurostat EB TJ'!BS145/Contents!$C$6)</f>
        <v>0</v>
      </c>
      <c r="BU138" s="65">
        <f>IF('Eurostat EB TJ'!BT145=":",0,'Eurostat EB TJ'!BT145/Contents!$C$6)</f>
        <v>1601.2702777777779</v>
      </c>
      <c r="BV138" s="65">
        <f>IF('Eurostat EB TJ'!BU145=":",0,'Eurostat EB TJ'!BU145/Contents!$C$6)</f>
        <v>27617.903611111109</v>
      </c>
    </row>
    <row r="139" spans="1:74" x14ac:dyDescent="0.2">
      <c r="A139" s="63" t="s">
        <v>315</v>
      </c>
      <c r="B139" s="72" t="s">
        <v>401</v>
      </c>
      <c r="C139" s="72">
        <f>IF('Eurostat EB TJ'!B146=":",0,'Eurostat EB TJ'!B146/Contents!$C$6)</f>
        <v>16182.611944444443</v>
      </c>
      <c r="D139" s="72">
        <f>IF('Eurostat EB TJ'!C146=":",0,'Eurostat EB TJ'!C146/Contents!$C$6)</f>
        <v>3579.5938888888891</v>
      </c>
      <c r="E139" s="72">
        <f>IF('Eurostat EB TJ'!D146=":",0,'Eurostat EB TJ'!D146/Contents!$C$6)</f>
        <v>0</v>
      </c>
      <c r="F139" s="72">
        <f>IF('Eurostat EB TJ'!E146=":",0,'Eurostat EB TJ'!E146/Contents!$C$6)</f>
        <v>0</v>
      </c>
      <c r="G139" s="72">
        <f>IF('Eurostat EB TJ'!F146=":",0,'Eurostat EB TJ'!F146/Contents!$C$6)</f>
        <v>3579.5938888888891</v>
      </c>
      <c r="H139" s="72">
        <f>IF('Eurostat EB TJ'!G146=":",0,'Eurostat EB TJ'!G146/Contents!$C$6)</f>
        <v>0</v>
      </c>
      <c r="I139" s="72">
        <f>IF('Eurostat EB TJ'!H146=":",0,'Eurostat EB TJ'!H146/Contents!$C$6)</f>
        <v>0</v>
      </c>
      <c r="J139" s="72">
        <f>IF('Eurostat EB TJ'!I146=":",0,'Eurostat EB TJ'!I146/Contents!$C$6)</f>
        <v>0</v>
      </c>
      <c r="K139" s="72">
        <f>IF('Eurostat EB TJ'!J146=":",0,'Eurostat EB TJ'!J146/Contents!$C$6)</f>
        <v>0</v>
      </c>
      <c r="L139" s="72">
        <f>IF('Eurostat EB TJ'!K146=":",0,'Eurostat EB TJ'!K146/Contents!$C$6)</f>
        <v>0</v>
      </c>
      <c r="M139" s="72">
        <f>IF('Eurostat EB TJ'!L146=":",0,'Eurostat EB TJ'!L146/Contents!$C$6)</f>
        <v>0</v>
      </c>
      <c r="N139" s="72">
        <f>IF('Eurostat EB TJ'!M146=":",0,'Eurostat EB TJ'!M146/Contents!$C$6)</f>
        <v>0</v>
      </c>
      <c r="O139" s="72">
        <f>IF('Eurostat EB TJ'!N146=":",0,'Eurostat EB TJ'!N146/Contents!$C$6)</f>
        <v>190.28</v>
      </c>
      <c r="P139" s="72">
        <f>IF('Eurostat EB TJ'!O146=":",0,'Eurostat EB TJ'!O146/Contents!$C$6)</f>
        <v>6.9444444444444449E-3</v>
      </c>
      <c r="Q139" s="72">
        <f>IF('Eurostat EB TJ'!P146=":",0,'Eurostat EB TJ'!P146/Contents!$C$6)</f>
        <v>0</v>
      </c>
      <c r="R139" s="72">
        <f>IF('Eurostat EB TJ'!Q146=":",0,'Eurostat EB TJ'!Q146/Contents!$C$6)</f>
        <v>190.27305555555554</v>
      </c>
      <c r="S139" s="72">
        <f>IF('Eurostat EB TJ'!R146=":",0,'Eurostat EB TJ'!R146/Contents!$C$6)</f>
        <v>0</v>
      </c>
      <c r="T139" s="72">
        <f>IF('Eurostat EB TJ'!S146=":",0,'Eurostat EB TJ'!S146/Contents!$C$6)</f>
        <v>0</v>
      </c>
      <c r="U139" s="72">
        <f>IF('Eurostat EB TJ'!T146=":",0,'Eurostat EB TJ'!T146/Contents!$C$6)</f>
        <v>0</v>
      </c>
      <c r="V139" s="72">
        <f>IF('Eurostat EB TJ'!U146=":",0,'Eurostat EB TJ'!U146/Contents!$C$6)</f>
        <v>0</v>
      </c>
      <c r="W139" s="72">
        <f>IF('Eurostat EB TJ'!V146=":",0,'Eurostat EB TJ'!V146/Contents!$C$6)</f>
        <v>0</v>
      </c>
      <c r="X139" s="72">
        <f>IF('Eurostat EB TJ'!W146=":",0,'Eurostat EB TJ'!W146/Contents!$C$6)</f>
        <v>9302.1288888888885</v>
      </c>
      <c r="Y139" s="72">
        <f>IF('Eurostat EB TJ'!X146=":",0,'Eurostat EB TJ'!X146/Contents!$C$6)</f>
        <v>23.373888888888889</v>
      </c>
      <c r="Z139" s="72">
        <f>IF('Eurostat EB TJ'!Y146=":",0,'Eurostat EB TJ'!Y146/Contents!$C$6)</f>
        <v>0</v>
      </c>
      <c r="AA139" s="72">
        <f>IF('Eurostat EB TJ'!Z146=":",0,'Eurostat EB TJ'!Z146/Contents!$C$6)</f>
        <v>0</v>
      </c>
      <c r="AB139" s="72">
        <f>IF('Eurostat EB TJ'!AA146=":",0,'Eurostat EB TJ'!AA146/Contents!$C$6)</f>
        <v>0</v>
      </c>
      <c r="AC139" s="72">
        <f>IF('Eurostat EB TJ'!AB146=":",0,'Eurostat EB TJ'!AB146/Contents!$C$6)</f>
        <v>0</v>
      </c>
      <c r="AD139" s="72">
        <f>IF('Eurostat EB TJ'!AC146=":",0,'Eurostat EB TJ'!AC146/Contents!$C$6)</f>
        <v>0</v>
      </c>
      <c r="AE139" s="72">
        <f>IF('Eurostat EB TJ'!AD146=":",0,'Eurostat EB TJ'!AD146/Contents!$C$6)</f>
        <v>0</v>
      </c>
      <c r="AF139" s="72">
        <f>IF('Eurostat EB TJ'!AE146=":",0,'Eurostat EB TJ'!AE146/Contents!$C$6)</f>
        <v>0</v>
      </c>
      <c r="AG139" s="72">
        <f>IF('Eurostat EB TJ'!AF146=":",0,'Eurostat EB TJ'!AF146/Contents!$C$6)</f>
        <v>0</v>
      </c>
      <c r="AH139" s="72">
        <f>IF('Eurostat EB TJ'!AG146=":",0,'Eurostat EB TJ'!AG146/Contents!$C$6)</f>
        <v>0</v>
      </c>
      <c r="AI139" s="72">
        <f>IF('Eurostat EB TJ'!AH146=":",0,'Eurostat EB TJ'!AH146/Contents!$C$6)</f>
        <v>0</v>
      </c>
      <c r="AJ139" s="72">
        <f>IF('Eurostat EB TJ'!AI146=":",0,'Eurostat EB TJ'!AI146/Contents!$C$6)</f>
        <v>0</v>
      </c>
      <c r="AK139" s="72">
        <f>IF('Eurostat EB TJ'!AJ146=":",0,'Eurostat EB TJ'!AJ146/Contents!$C$6)</f>
        <v>0</v>
      </c>
      <c r="AL139" s="72">
        <f>IF('Eurostat EB TJ'!AK146=":",0,'Eurostat EB TJ'!AK146/Contents!$C$6)</f>
        <v>0</v>
      </c>
      <c r="AM139" s="72">
        <f>IF('Eurostat EB TJ'!AL146=":",0,'Eurostat EB TJ'!AL146/Contents!$C$6)</f>
        <v>0</v>
      </c>
      <c r="AN139" s="72">
        <f>IF('Eurostat EB TJ'!AM146=":",0,'Eurostat EB TJ'!AM146/Contents!$C$6)</f>
        <v>23.373888888888889</v>
      </c>
      <c r="AO139" s="72">
        <f>IF('Eurostat EB TJ'!AN146=":",0,'Eurostat EB TJ'!AN146/Contents!$C$6)</f>
        <v>0</v>
      </c>
      <c r="AP139" s="72">
        <f>IF('Eurostat EB TJ'!AO146=":",0,'Eurostat EB TJ'!AO146/Contents!$C$6)</f>
        <v>0</v>
      </c>
      <c r="AQ139" s="72">
        <f>IF('Eurostat EB TJ'!AP146=":",0,'Eurostat EB TJ'!AP146/Contents!$C$6)</f>
        <v>0</v>
      </c>
      <c r="AR139" s="72">
        <f>IF('Eurostat EB TJ'!AQ146=":",0,'Eurostat EB TJ'!AQ146/Contents!$C$6)</f>
        <v>0</v>
      </c>
      <c r="AS139" s="72">
        <f>IF('Eurostat EB TJ'!AR146=":",0,'Eurostat EB TJ'!AR146/Contents!$C$6)</f>
        <v>0</v>
      </c>
      <c r="AT139" s="72">
        <f>IF('Eurostat EB TJ'!AS146=":",0,'Eurostat EB TJ'!AS146/Contents!$C$6)</f>
        <v>0</v>
      </c>
      <c r="AU139" s="72">
        <f>IF('Eurostat EB TJ'!AT146=":",0,'Eurostat EB TJ'!AT146/Contents!$C$6)</f>
        <v>0</v>
      </c>
      <c r="AV139" s="72">
        <f>IF('Eurostat EB TJ'!AU146=":",0,'Eurostat EB TJ'!AU146/Contents!$C$6)</f>
        <v>3056.2880555555557</v>
      </c>
      <c r="AW139" s="72">
        <f>IF('Eurostat EB TJ'!AV146=":",0,'Eurostat EB TJ'!AV146/Contents!$C$6)</f>
        <v>0</v>
      </c>
      <c r="AX139" s="72">
        <f>IF('Eurostat EB TJ'!AW146=":",0,'Eurostat EB TJ'!AW146/Contents!$C$6)</f>
        <v>0</v>
      </c>
      <c r="AY139" s="72">
        <f>IF('Eurostat EB TJ'!AX146=":",0,'Eurostat EB TJ'!AX146/Contents!$C$6)</f>
        <v>0</v>
      </c>
      <c r="AZ139" s="72">
        <f>IF('Eurostat EB TJ'!AY146=":",0,'Eurostat EB TJ'!AY146/Contents!$C$6)</f>
        <v>0</v>
      </c>
      <c r="BA139" s="72">
        <f>IF('Eurostat EB TJ'!AZ146=":",0,'Eurostat EB TJ'!AZ146/Contents!$C$6)</f>
        <v>0</v>
      </c>
      <c r="BB139" s="72">
        <f>IF('Eurostat EB TJ'!BA146=":",0,'Eurostat EB TJ'!BA146/Contents!$C$6)</f>
        <v>0</v>
      </c>
      <c r="BC139" s="72">
        <f>IF('Eurostat EB TJ'!BB146=":",0,'Eurostat EB TJ'!BB146/Contents!$C$6)</f>
        <v>0</v>
      </c>
      <c r="BD139" s="72">
        <f>IF('Eurostat EB TJ'!BC146=":",0,'Eurostat EB TJ'!BC146/Contents!$C$6)</f>
        <v>3029.2219444444445</v>
      </c>
      <c r="BE139" s="72">
        <f>IF('Eurostat EB TJ'!BD146=":",0,'Eurostat EB TJ'!BD146/Contents!$C$6)</f>
        <v>0</v>
      </c>
      <c r="BF139" s="72">
        <f>IF('Eurostat EB TJ'!BE146=":",0,'Eurostat EB TJ'!BE146/Contents!$C$6)</f>
        <v>0</v>
      </c>
      <c r="BG139" s="72">
        <f>IF('Eurostat EB TJ'!BF146=":",0,'Eurostat EB TJ'!BF146/Contents!$C$6)</f>
        <v>0</v>
      </c>
      <c r="BH139" s="72">
        <f>IF('Eurostat EB TJ'!BG146=":",0,'Eurostat EB TJ'!BG146/Contents!$C$6)</f>
        <v>0</v>
      </c>
      <c r="BI139" s="72">
        <f>IF('Eurostat EB TJ'!BH146=":",0,'Eurostat EB TJ'!BH146/Contents!$C$6)</f>
        <v>0</v>
      </c>
      <c r="BJ139" s="72">
        <f>IF('Eurostat EB TJ'!BI146=":",0,'Eurostat EB TJ'!BI146/Contents!$C$6)</f>
        <v>0</v>
      </c>
      <c r="BK139" s="72">
        <f>IF('Eurostat EB TJ'!BJ146=":",0,'Eurostat EB TJ'!BJ146/Contents!$C$6)</f>
        <v>0</v>
      </c>
      <c r="BL139" s="72">
        <f>IF('Eurostat EB TJ'!BK146=":",0,'Eurostat EB TJ'!BK146/Contents!$C$6)</f>
        <v>0</v>
      </c>
      <c r="BM139" s="72">
        <f>IF('Eurostat EB TJ'!BL146=":",0,'Eurostat EB TJ'!BL146/Contents!$C$6)</f>
        <v>27.066111111111113</v>
      </c>
      <c r="BN139" s="72">
        <f>IF('Eurostat EB TJ'!BM146=":",0,'Eurostat EB TJ'!BM146/Contents!$C$6)</f>
        <v>30.946944444444444</v>
      </c>
      <c r="BO139" s="72">
        <f>IF('Eurostat EB TJ'!BN146=":",0,'Eurostat EB TJ'!BN146/Contents!$C$6)</f>
        <v>0</v>
      </c>
      <c r="BP139" s="72">
        <f>IF('Eurostat EB TJ'!BO146=":",0,'Eurostat EB TJ'!BO146/Contents!$C$6)</f>
        <v>0</v>
      </c>
      <c r="BQ139" s="72">
        <f>IF('Eurostat EB TJ'!BP146=":",0,'Eurostat EB TJ'!BP146/Contents!$C$6)</f>
        <v>30.946944444444444</v>
      </c>
      <c r="BR139" s="72">
        <f>IF('Eurostat EB TJ'!BQ146=":",0,'Eurostat EB TJ'!BQ146/Contents!$C$6)</f>
        <v>0</v>
      </c>
      <c r="BS139" s="72">
        <f>IF('Eurostat EB TJ'!BR146=":",0,'Eurostat EB TJ'!BR146/Contents!$C$6)</f>
        <v>0</v>
      </c>
      <c r="BT139" s="72">
        <f>IF('Eurostat EB TJ'!BS146=":",0,'Eurostat EB TJ'!BS146/Contents!$C$6)</f>
        <v>0</v>
      </c>
      <c r="BU139" s="72">
        <f>IF('Eurostat EB TJ'!BT146=":",0,'Eurostat EB TJ'!BT146/Contents!$C$6)</f>
        <v>3151.5688888888885</v>
      </c>
      <c r="BV139" s="72">
        <f>IF('Eurostat EB TJ'!BU146=":",0,'Eurostat EB TJ'!BU146/Contents!$C$6)</f>
        <v>13031.043055555554</v>
      </c>
    </row>
    <row r="140" spans="1:74" x14ac:dyDescent="0.2">
      <c r="A140" s="63" t="s">
        <v>316</v>
      </c>
      <c r="B140" s="65" t="s">
        <v>401</v>
      </c>
      <c r="C140" s="65">
        <f>IF('Eurostat EB TJ'!B147=":",0,'Eurostat EB TJ'!B147/Contents!$C$6)</f>
        <v>18397.34611111111</v>
      </c>
      <c r="D140" s="65">
        <f>IF('Eurostat EB TJ'!C147=":",0,'Eurostat EB TJ'!C147/Contents!$C$6)</f>
        <v>0</v>
      </c>
      <c r="E140" s="65">
        <f>IF('Eurostat EB TJ'!D147=":",0,'Eurostat EB TJ'!D147/Contents!$C$6)</f>
        <v>0</v>
      </c>
      <c r="F140" s="65">
        <f>IF('Eurostat EB TJ'!E147=":",0,'Eurostat EB TJ'!E147/Contents!$C$6)</f>
        <v>0</v>
      </c>
      <c r="G140" s="65">
        <f>IF('Eurostat EB TJ'!F147=":",0,'Eurostat EB TJ'!F147/Contents!$C$6)</f>
        <v>0</v>
      </c>
      <c r="H140" s="65">
        <f>IF('Eurostat EB TJ'!G147=":",0,'Eurostat EB TJ'!G147/Contents!$C$6)</f>
        <v>0</v>
      </c>
      <c r="I140" s="65">
        <f>IF('Eurostat EB TJ'!H147=":",0,'Eurostat EB TJ'!H147/Contents!$C$6)</f>
        <v>0</v>
      </c>
      <c r="J140" s="65">
        <f>IF('Eurostat EB TJ'!I147=":",0,'Eurostat EB TJ'!I147/Contents!$C$6)</f>
        <v>0</v>
      </c>
      <c r="K140" s="65">
        <f>IF('Eurostat EB TJ'!J147=":",0,'Eurostat EB TJ'!J147/Contents!$C$6)</f>
        <v>0</v>
      </c>
      <c r="L140" s="65">
        <f>IF('Eurostat EB TJ'!K147=":",0,'Eurostat EB TJ'!K147/Contents!$C$6)</f>
        <v>0</v>
      </c>
      <c r="M140" s="65">
        <f>IF('Eurostat EB TJ'!L147=":",0,'Eurostat EB TJ'!L147/Contents!$C$6)</f>
        <v>0</v>
      </c>
      <c r="N140" s="65">
        <f>IF('Eurostat EB TJ'!M147=":",0,'Eurostat EB TJ'!M147/Contents!$C$6)</f>
        <v>0</v>
      </c>
      <c r="O140" s="65">
        <f>IF('Eurostat EB TJ'!N147=":",0,'Eurostat EB TJ'!N147/Contents!$C$6)</f>
        <v>0</v>
      </c>
      <c r="P140" s="65">
        <f>IF('Eurostat EB TJ'!O147=":",0,'Eurostat EB TJ'!O147/Contents!$C$6)</f>
        <v>0</v>
      </c>
      <c r="Q140" s="65">
        <f>IF('Eurostat EB TJ'!P147=":",0,'Eurostat EB TJ'!P147/Contents!$C$6)</f>
        <v>0</v>
      </c>
      <c r="R140" s="65">
        <f>IF('Eurostat EB TJ'!Q147=":",0,'Eurostat EB TJ'!Q147/Contents!$C$6)</f>
        <v>0</v>
      </c>
      <c r="S140" s="65">
        <f>IF('Eurostat EB TJ'!R147=":",0,'Eurostat EB TJ'!R147/Contents!$C$6)</f>
        <v>0</v>
      </c>
      <c r="T140" s="65">
        <f>IF('Eurostat EB TJ'!S147=":",0,'Eurostat EB TJ'!S147/Contents!$C$6)</f>
        <v>0</v>
      </c>
      <c r="U140" s="65">
        <f>IF('Eurostat EB TJ'!T147=":",0,'Eurostat EB TJ'!T147/Contents!$C$6)</f>
        <v>0</v>
      </c>
      <c r="V140" s="65">
        <f>IF('Eurostat EB TJ'!U147=":",0,'Eurostat EB TJ'!U147/Contents!$C$6)</f>
        <v>0</v>
      </c>
      <c r="W140" s="65">
        <f>IF('Eurostat EB TJ'!V147=":",0,'Eurostat EB TJ'!V147/Contents!$C$6)</f>
        <v>0</v>
      </c>
      <c r="X140" s="65">
        <f>IF('Eurostat EB TJ'!W147=":",0,'Eurostat EB TJ'!W147/Contents!$C$6)</f>
        <v>360.07111111111112</v>
      </c>
      <c r="Y140" s="65">
        <f>IF('Eurostat EB TJ'!X147=":",0,'Eurostat EB TJ'!X147/Contents!$C$6)</f>
        <v>11.368888888888888</v>
      </c>
      <c r="Z140" s="65">
        <f>IF('Eurostat EB TJ'!Y147=":",0,'Eurostat EB TJ'!Y147/Contents!$C$6)</f>
        <v>0</v>
      </c>
      <c r="AA140" s="65">
        <f>IF('Eurostat EB TJ'!Z147=":",0,'Eurostat EB TJ'!Z147/Contents!$C$6)</f>
        <v>0</v>
      </c>
      <c r="AB140" s="65">
        <f>IF('Eurostat EB TJ'!AA147=":",0,'Eurostat EB TJ'!AA147/Contents!$C$6)</f>
        <v>0</v>
      </c>
      <c r="AC140" s="65">
        <f>IF('Eurostat EB TJ'!AB147=":",0,'Eurostat EB TJ'!AB147/Contents!$C$6)</f>
        <v>0</v>
      </c>
      <c r="AD140" s="65">
        <f>IF('Eurostat EB TJ'!AC147=":",0,'Eurostat EB TJ'!AC147/Contents!$C$6)</f>
        <v>0</v>
      </c>
      <c r="AE140" s="65">
        <f>IF('Eurostat EB TJ'!AD147=":",0,'Eurostat EB TJ'!AD147/Contents!$C$6)</f>
        <v>11.05</v>
      </c>
      <c r="AF140" s="65">
        <f>IF('Eurostat EB TJ'!AE147=":",0,'Eurostat EB TJ'!AE147/Contents!$C$6)</f>
        <v>0</v>
      </c>
      <c r="AG140" s="65">
        <f>IF('Eurostat EB TJ'!AF147=":",0,'Eurostat EB TJ'!AF147/Contents!$C$6)</f>
        <v>0</v>
      </c>
      <c r="AH140" s="65">
        <f>IF('Eurostat EB TJ'!AG147=":",0,'Eurostat EB TJ'!AG147/Contents!$C$6)</f>
        <v>0</v>
      </c>
      <c r="AI140" s="65">
        <f>IF('Eurostat EB TJ'!AH147=":",0,'Eurostat EB TJ'!AH147/Contents!$C$6)</f>
        <v>0</v>
      </c>
      <c r="AJ140" s="65">
        <f>IF('Eurostat EB TJ'!AI147=":",0,'Eurostat EB TJ'!AI147/Contents!$C$6)</f>
        <v>0</v>
      </c>
      <c r="AK140" s="65">
        <f>IF('Eurostat EB TJ'!AJ147=":",0,'Eurostat EB TJ'!AJ147/Contents!$C$6)</f>
        <v>0</v>
      </c>
      <c r="AL140" s="65">
        <f>IF('Eurostat EB TJ'!AK147=":",0,'Eurostat EB TJ'!AK147/Contents!$C$6)</f>
        <v>0</v>
      </c>
      <c r="AM140" s="65">
        <f>IF('Eurostat EB TJ'!AL147=":",0,'Eurostat EB TJ'!AL147/Contents!$C$6)</f>
        <v>0</v>
      </c>
      <c r="AN140" s="65">
        <f>IF('Eurostat EB TJ'!AM147=":",0,'Eurostat EB TJ'!AM147/Contents!$C$6)</f>
        <v>0.31888888888888883</v>
      </c>
      <c r="AO140" s="65">
        <f>IF('Eurostat EB TJ'!AN147=":",0,'Eurostat EB TJ'!AN147/Contents!$C$6)</f>
        <v>0</v>
      </c>
      <c r="AP140" s="65">
        <f>IF('Eurostat EB TJ'!AO147=":",0,'Eurostat EB TJ'!AO147/Contents!$C$6)</f>
        <v>0</v>
      </c>
      <c r="AQ140" s="65">
        <f>IF('Eurostat EB TJ'!AP147=":",0,'Eurostat EB TJ'!AP147/Contents!$C$6)</f>
        <v>0</v>
      </c>
      <c r="AR140" s="65">
        <f>IF('Eurostat EB TJ'!AQ147=":",0,'Eurostat EB TJ'!AQ147/Contents!$C$6)</f>
        <v>0</v>
      </c>
      <c r="AS140" s="65">
        <f>IF('Eurostat EB TJ'!AR147=":",0,'Eurostat EB TJ'!AR147/Contents!$C$6)</f>
        <v>0</v>
      </c>
      <c r="AT140" s="65">
        <f>IF('Eurostat EB TJ'!AS147=":",0,'Eurostat EB TJ'!AS147/Contents!$C$6)</f>
        <v>0</v>
      </c>
      <c r="AU140" s="65">
        <f>IF('Eurostat EB TJ'!AT147=":",0,'Eurostat EB TJ'!AT147/Contents!$C$6)</f>
        <v>0</v>
      </c>
      <c r="AV140" s="65">
        <f>IF('Eurostat EB TJ'!AU147=":",0,'Eurostat EB TJ'!AU147/Contents!$C$6)</f>
        <v>17919.796944444442</v>
      </c>
      <c r="AW140" s="65">
        <f>IF('Eurostat EB TJ'!AV147=":",0,'Eurostat EB TJ'!AV147/Contents!$C$6)</f>
        <v>0</v>
      </c>
      <c r="AX140" s="65">
        <f>IF('Eurostat EB TJ'!AW147=":",0,'Eurostat EB TJ'!AW147/Contents!$C$6)</f>
        <v>0</v>
      </c>
      <c r="AY140" s="65">
        <f>IF('Eurostat EB TJ'!AX147=":",0,'Eurostat EB TJ'!AX147/Contents!$C$6)</f>
        <v>2345.3580555555559</v>
      </c>
      <c r="AZ140" s="65">
        <f>IF('Eurostat EB TJ'!AY147=":",0,'Eurostat EB TJ'!AY147/Contents!$C$6)</f>
        <v>0</v>
      </c>
      <c r="BA140" s="65">
        <f>IF('Eurostat EB TJ'!AZ147=":",0,'Eurostat EB TJ'!AZ147/Contents!$C$6)</f>
        <v>15560.224999999999</v>
      </c>
      <c r="BB140" s="65">
        <f>IF('Eurostat EB TJ'!BA147=":",0,'Eurostat EB TJ'!BA147/Contents!$C$6)</f>
        <v>0</v>
      </c>
      <c r="BC140" s="65">
        <f>IF('Eurostat EB TJ'!BB147=":",0,'Eurostat EB TJ'!BB147/Contents!$C$6)</f>
        <v>0</v>
      </c>
      <c r="BD140" s="65">
        <f>IF('Eurostat EB TJ'!BC147=":",0,'Eurostat EB TJ'!BC147/Contents!$C$6)</f>
        <v>0</v>
      </c>
      <c r="BE140" s="65">
        <f>IF('Eurostat EB TJ'!BD147=":",0,'Eurostat EB TJ'!BD147/Contents!$C$6)</f>
        <v>0</v>
      </c>
      <c r="BF140" s="65">
        <f>IF('Eurostat EB TJ'!BE147=":",0,'Eurostat EB TJ'!BE147/Contents!$C$6)</f>
        <v>0</v>
      </c>
      <c r="BG140" s="65">
        <f>IF('Eurostat EB TJ'!BF147=":",0,'Eurostat EB TJ'!BF147/Contents!$C$6)</f>
        <v>0</v>
      </c>
      <c r="BH140" s="65">
        <f>IF('Eurostat EB TJ'!BG147=":",0,'Eurostat EB TJ'!BG147/Contents!$C$6)</f>
        <v>0</v>
      </c>
      <c r="BI140" s="65">
        <f>IF('Eurostat EB TJ'!BH147=":",0,'Eurostat EB TJ'!BH147/Contents!$C$6)</f>
        <v>0</v>
      </c>
      <c r="BJ140" s="65">
        <f>IF('Eurostat EB TJ'!BI147=":",0,'Eurostat EB TJ'!BI147/Contents!$C$6)</f>
        <v>0</v>
      </c>
      <c r="BK140" s="65">
        <f>IF('Eurostat EB TJ'!BJ147=":",0,'Eurostat EB TJ'!BJ147/Contents!$C$6)</f>
        <v>0</v>
      </c>
      <c r="BL140" s="65">
        <f>IF('Eurostat EB TJ'!BK147=":",0,'Eurostat EB TJ'!BK147/Contents!$C$6)</f>
        <v>0</v>
      </c>
      <c r="BM140" s="65">
        <f>IF('Eurostat EB TJ'!BL147=":",0,'Eurostat EB TJ'!BL147/Contents!$C$6)</f>
        <v>14.213888888888889</v>
      </c>
      <c r="BN140" s="65">
        <f>IF('Eurostat EB TJ'!BM147=":",0,'Eurostat EB TJ'!BM147/Contents!$C$6)</f>
        <v>0</v>
      </c>
      <c r="BO140" s="65">
        <f>IF('Eurostat EB TJ'!BN147=":",0,'Eurostat EB TJ'!BN147/Contents!$C$6)</f>
        <v>0</v>
      </c>
      <c r="BP140" s="65">
        <f>IF('Eurostat EB TJ'!BO147=":",0,'Eurostat EB TJ'!BO147/Contents!$C$6)</f>
        <v>0</v>
      </c>
      <c r="BQ140" s="65">
        <f>IF('Eurostat EB TJ'!BP147=":",0,'Eurostat EB TJ'!BP147/Contents!$C$6)</f>
        <v>0</v>
      </c>
      <c r="BR140" s="65">
        <f>IF('Eurostat EB TJ'!BQ147=":",0,'Eurostat EB TJ'!BQ147/Contents!$C$6)</f>
        <v>0</v>
      </c>
      <c r="BS140" s="65">
        <f>IF('Eurostat EB TJ'!BR147=":",0,'Eurostat EB TJ'!BR147/Contents!$C$6)</f>
        <v>0</v>
      </c>
      <c r="BT140" s="65">
        <f>IF('Eurostat EB TJ'!BS147=":",0,'Eurostat EB TJ'!BS147/Contents!$C$6)</f>
        <v>0</v>
      </c>
      <c r="BU140" s="65">
        <f>IF('Eurostat EB TJ'!BT147=":",0,'Eurostat EB TJ'!BT147/Contents!$C$6)</f>
        <v>17.902222222222221</v>
      </c>
      <c r="BV140" s="65">
        <f>IF('Eurostat EB TJ'!BU147=":",0,'Eurostat EB TJ'!BU147/Contents!$C$6)</f>
        <v>367.7519444444444</v>
      </c>
    </row>
    <row r="141" spans="1:74" x14ac:dyDescent="0.2">
      <c r="A141" s="63" t="s">
        <v>317</v>
      </c>
      <c r="B141" s="72" t="s">
        <v>401</v>
      </c>
      <c r="C141" s="72">
        <f>IF('Eurostat EB TJ'!B148=":",0,'Eurostat EB TJ'!B148/Contents!$C$6)</f>
        <v>21814.583888888887</v>
      </c>
      <c r="D141" s="72">
        <f>IF('Eurostat EB TJ'!C148=":",0,'Eurostat EB TJ'!C148/Contents!$C$6)</f>
        <v>0</v>
      </c>
      <c r="E141" s="72">
        <f>IF('Eurostat EB TJ'!D148=":",0,'Eurostat EB TJ'!D148/Contents!$C$6)</f>
        <v>0</v>
      </c>
      <c r="F141" s="72">
        <f>IF('Eurostat EB TJ'!E148=":",0,'Eurostat EB TJ'!E148/Contents!$C$6)</f>
        <v>0</v>
      </c>
      <c r="G141" s="72">
        <f>IF('Eurostat EB TJ'!F148=":",0,'Eurostat EB TJ'!F148/Contents!$C$6)</f>
        <v>0</v>
      </c>
      <c r="H141" s="72">
        <f>IF('Eurostat EB TJ'!G148=":",0,'Eurostat EB TJ'!G148/Contents!$C$6)</f>
        <v>0</v>
      </c>
      <c r="I141" s="72">
        <f>IF('Eurostat EB TJ'!H148=":",0,'Eurostat EB TJ'!H148/Contents!$C$6)</f>
        <v>0</v>
      </c>
      <c r="J141" s="72">
        <f>IF('Eurostat EB TJ'!I148=":",0,'Eurostat EB TJ'!I148/Contents!$C$6)</f>
        <v>0</v>
      </c>
      <c r="K141" s="72">
        <f>IF('Eurostat EB TJ'!J148=":",0,'Eurostat EB TJ'!J148/Contents!$C$6)</f>
        <v>0</v>
      </c>
      <c r="L141" s="72">
        <f>IF('Eurostat EB TJ'!K148=":",0,'Eurostat EB TJ'!K148/Contents!$C$6)</f>
        <v>0</v>
      </c>
      <c r="M141" s="72">
        <f>IF('Eurostat EB TJ'!L148=":",0,'Eurostat EB TJ'!L148/Contents!$C$6)</f>
        <v>0</v>
      </c>
      <c r="N141" s="72">
        <f>IF('Eurostat EB TJ'!M148=":",0,'Eurostat EB TJ'!M148/Contents!$C$6)</f>
        <v>0</v>
      </c>
      <c r="O141" s="72">
        <f>IF('Eurostat EB TJ'!N148=":",0,'Eurostat EB TJ'!N148/Contents!$C$6)</f>
        <v>79.488888888888894</v>
      </c>
      <c r="P141" s="72">
        <f>IF('Eurostat EB TJ'!O148=":",0,'Eurostat EB TJ'!O148/Contents!$C$6)</f>
        <v>12.348055555555556</v>
      </c>
      <c r="Q141" s="72">
        <f>IF('Eurostat EB TJ'!P148=":",0,'Eurostat EB TJ'!P148/Contents!$C$6)</f>
        <v>0</v>
      </c>
      <c r="R141" s="72">
        <f>IF('Eurostat EB TJ'!Q148=":",0,'Eurostat EB TJ'!Q148/Contents!$C$6)</f>
        <v>67.141111111111115</v>
      </c>
      <c r="S141" s="72">
        <f>IF('Eurostat EB TJ'!R148=":",0,'Eurostat EB TJ'!R148/Contents!$C$6)</f>
        <v>0</v>
      </c>
      <c r="T141" s="72">
        <f>IF('Eurostat EB TJ'!S148=":",0,'Eurostat EB TJ'!S148/Contents!$C$6)</f>
        <v>0</v>
      </c>
      <c r="U141" s="72">
        <f>IF('Eurostat EB TJ'!T148=":",0,'Eurostat EB TJ'!T148/Contents!$C$6)</f>
        <v>0</v>
      </c>
      <c r="V141" s="72">
        <f>IF('Eurostat EB TJ'!U148=":",0,'Eurostat EB TJ'!U148/Contents!$C$6)</f>
        <v>0</v>
      </c>
      <c r="W141" s="72">
        <f>IF('Eurostat EB TJ'!V148=":",0,'Eurostat EB TJ'!V148/Contents!$C$6)</f>
        <v>0</v>
      </c>
      <c r="X141" s="72">
        <f>IF('Eurostat EB TJ'!W148=":",0,'Eurostat EB TJ'!W148/Contents!$C$6)</f>
        <v>15334.733888888888</v>
      </c>
      <c r="Y141" s="72">
        <f>IF('Eurostat EB TJ'!X148=":",0,'Eurostat EB TJ'!X148/Contents!$C$6)</f>
        <v>1475.7199999999998</v>
      </c>
      <c r="Z141" s="72">
        <f>IF('Eurostat EB TJ'!Y148=":",0,'Eurostat EB TJ'!Y148/Contents!$C$6)</f>
        <v>0</v>
      </c>
      <c r="AA141" s="72">
        <f>IF('Eurostat EB TJ'!Z148=":",0,'Eurostat EB TJ'!Z148/Contents!$C$6)</f>
        <v>0</v>
      </c>
      <c r="AB141" s="72">
        <f>IF('Eurostat EB TJ'!AA148=":",0,'Eurostat EB TJ'!AA148/Contents!$C$6)</f>
        <v>0</v>
      </c>
      <c r="AC141" s="72">
        <f>IF('Eurostat EB TJ'!AB148=":",0,'Eurostat EB TJ'!AB148/Contents!$C$6)</f>
        <v>0</v>
      </c>
      <c r="AD141" s="72">
        <f>IF('Eurostat EB TJ'!AC148=":",0,'Eurostat EB TJ'!AC148/Contents!$C$6)</f>
        <v>0</v>
      </c>
      <c r="AE141" s="72">
        <f>IF('Eurostat EB TJ'!AD148=":",0,'Eurostat EB TJ'!AD148/Contents!$C$6)</f>
        <v>1469.0519444444446</v>
      </c>
      <c r="AF141" s="72">
        <f>IF('Eurostat EB TJ'!AE148=":",0,'Eurostat EB TJ'!AE148/Contents!$C$6)</f>
        <v>0</v>
      </c>
      <c r="AG141" s="72">
        <f>IF('Eurostat EB TJ'!AF148=":",0,'Eurostat EB TJ'!AF148/Contents!$C$6)</f>
        <v>0</v>
      </c>
      <c r="AH141" s="72">
        <f>IF('Eurostat EB TJ'!AG148=":",0,'Eurostat EB TJ'!AG148/Contents!$C$6)</f>
        <v>0</v>
      </c>
      <c r="AI141" s="72">
        <f>IF('Eurostat EB TJ'!AH148=":",0,'Eurostat EB TJ'!AH148/Contents!$C$6)</f>
        <v>0</v>
      </c>
      <c r="AJ141" s="72">
        <f>IF('Eurostat EB TJ'!AI148=":",0,'Eurostat EB TJ'!AI148/Contents!$C$6)</f>
        <v>0</v>
      </c>
      <c r="AK141" s="72">
        <f>IF('Eurostat EB TJ'!AJ148=":",0,'Eurostat EB TJ'!AJ148/Contents!$C$6)</f>
        <v>0</v>
      </c>
      <c r="AL141" s="72">
        <f>IF('Eurostat EB TJ'!AK148=":",0,'Eurostat EB TJ'!AK148/Contents!$C$6)</f>
        <v>0</v>
      </c>
      <c r="AM141" s="72">
        <f>IF('Eurostat EB TJ'!AL148=":",0,'Eurostat EB TJ'!AL148/Contents!$C$6)</f>
        <v>0</v>
      </c>
      <c r="AN141" s="72">
        <f>IF('Eurostat EB TJ'!AM148=":",0,'Eurostat EB TJ'!AM148/Contents!$C$6)</f>
        <v>6.6680555555555552</v>
      </c>
      <c r="AO141" s="72">
        <f>IF('Eurostat EB TJ'!AN148=":",0,'Eurostat EB TJ'!AN148/Contents!$C$6)</f>
        <v>0</v>
      </c>
      <c r="AP141" s="72">
        <f>IF('Eurostat EB TJ'!AO148=":",0,'Eurostat EB TJ'!AO148/Contents!$C$6)</f>
        <v>0</v>
      </c>
      <c r="AQ141" s="72">
        <f>IF('Eurostat EB TJ'!AP148=":",0,'Eurostat EB TJ'!AP148/Contents!$C$6)</f>
        <v>0</v>
      </c>
      <c r="AR141" s="72">
        <f>IF('Eurostat EB TJ'!AQ148=":",0,'Eurostat EB TJ'!AQ148/Contents!$C$6)</f>
        <v>0</v>
      </c>
      <c r="AS141" s="72">
        <f>IF('Eurostat EB TJ'!AR148=":",0,'Eurostat EB TJ'!AR148/Contents!$C$6)</f>
        <v>0</v>
      </c>
      <c r="AT141" s="72">
        <f>IF('Eurostat EB TJ'!AS148=":",0,'Eurostat EB TJ'!AS148/Contents!$C$6)</f>
        <v>0</v>
      </c>
      <c r="AU141" s="72">
        <f>IF('Eurostat EB TJ'!AT148=":",0,'Eurostat EB TJ'!AT148/Contents!$C$6)</f>
        <v>0</v>
      </c>
      <c r="AV141" s="72">
        <f>IF('Eurostat EB TJ'!AU148=":",0,'Eurostat EB TJ'!AU148/Contents!$C$6)</f>
        <v>3149.656944444444</v>
      </c>
      <c r="AW141" s="72">
        <f>IF('Eurostat EB TJ'!AV148=":",0,'Eurostat EB TJ'!AV148/Contents!$C$6)</f>
        <v>0</v>
      </c>
      <c r="AX141" s="72">
        <f>IF('Eurostat EB TJ'!AW148=":",0,'Eurostat EB TJ'!AW148/Contents!$C$6)</f>
        <v>0</v>
      </c>
      <c r="AY141" s="72">
        <f>IF('Eurostat EB TJ'!AX148=":",0,'Eurostat EB TJ'!AX148/Contents!$C$6)</f>
        <v>0</v>
      </c>
      <c r="AZ141" s="72">
        <f>IF('Eurostat EB TJ'!AY148=":",0,'Eurostat EB TJ'!AY148/Contents!$C$6)</f>
        <v>0</v>
      </c>
      <c r="BA141" s="72">
        <f>IF('Eurostat EB TJ'!AZ148=":",0,'Eurostat EB TJ'!AZ148/Contents!$C$6)</f>
        <v>0</v>
      </c>
      <c r="BB141" s="72">
        <f>IF('Eurostat EB TJ'!BA148=":",0,'Eurostat EB TJ'!BA148/Contents!$C$6)</f>
        <v>0</v>
      </c>
      <c r="BC141" s="72">
        <f>IF('Eurostat EB TJ'!BB148=":",0,'Eurostat EB TJ'!BB148/Contents!$C$6)</f>
        <v>0</v>
      </c>
      <c r="BD141" s="72">
        <f>IF('Eurostat EB TJ'!BC148=":",0,'Eurostat EB TJ'!BC148/Contents!$C$6)</f>
        <v>511.94805555555553</v>
      </c>
      <c r="BE141" s="72">
        <f>IF('Eurostat EB TJ'!BD148=":",0,'Eurostat EB TJ'!BD148/Contents!$C$6)</f>
        <v>0</v>
      </c>
      <c r="BF141" s="72">
        <f>IF('Eurostat EB TJ'!BE148=":",0,'Eurostat EB TJ'!BE148/Contents!$C$6)</f>
        <v>0</v>
      </c>
      <c r="BG141" s="72">
        <f>IF('Eurostat EB TJ'!BF148=":",0,'Eurostat EB TJ'!BF148/Contents!$C$6)</f>
        <v>0</v>
      </c>
      <c r="BH141" s="72">
        <f>IF('Eurostat EB TJ'!BG148=":",0,'Eurostat EB TJ'!BG148/Contents!$C$6)</f>
        <v>0</v>
      </c>
      <c r="BI141" s="72">
        <f>IF('Eurostat EB TJ'!BH148=":",0,'Eurostat EB TJ'!BH148/Contents!$C$6)</f>
        <v>0</v>
      </c>
      <c r="BJ141" s="72">
        <f>IF('Eurostat EB TJ'!BI148=":",0,'Eurostat EB TJ'!BI148/Contents!$C$6)</f>
        <v>0</v>
      </c>
      <c r="BK141" s="72">
        <f>IF('Eurostat EB TJ'!BJ148=":",0,'Eurostat EB TJ'!BJ148/Contents!$C$6)</f>
        <v>0</v>
      </c>
      <c r="BL141" s="72">
        <f>IF('Eurostat EB TJ'!BK148=":",0,'Eurostat EB TJ'!BK148/Contents!$C$6)</f>
        <v>0</v>
      </c>
      <c r="BM141" s="72">
        <f>IF('Eurostat EB TJ'!BL148=":",0,'Eurostat EB TJ'!BL148/Contents!$C$6)</f>
        <v>656.20888888888885</v>
      </c>
      <c r="BN141" s="72">
        <f>IF('Eurostat EB TJ'!BM148=":",0,'Eurostat EB TJ'!BM148/Contents!$C$6)</f>
        <v>17.803888888888888</v>
      </c>
      <c r="BO141" s="72">
        <f>IF('Eurostat EB TJ'!BN148=":",0,'Eurostat EB TJ'!BN148/Contents!$C$6)</f>
        <v>1981.4999999999998</v>
      </c>
      <c r="BP141" s="72">
        <f>IF('Eurostat EB TJ'!BO148=":",0,'Eurostat EB TJ'!BO148/Contents!$C$6)</f>
        <v>1757.1799999999998</v>
      </c>
      <c r="BQ141" s="72">
        <f>IF('Eurostat EB TJ'!BP148=":",0,'Eurostat EB TJ'!BP148/Contents!$C$6)</f>
        <v>1774.9838888888889</v>
      </c>
      <c r="BR141" s="72">
        <f>IF('Eurostat EB TJ'!BQ148=":",0,'Eurostat EB TJ'!BQ148/Contents!$C$6)</f>
        <v>0</v>
      </c>
      <c r="BS141" s="72">
        <f>IF('Eurostat EB TJ'!BR148=":",0,'Eurostat EB TJ'!BR148/Contents!$C$6)</f>
        <v>0</v>
      </c>
      <c r="BT141" s="72">
        <f>IF('Eurostat EB TJ'!BS148=":",0,'Eurostat EB TJ'!BS148/Contents!$C$6)</f>
        <v>0</v>
      </c>
      <c r="BU141" s="72">
        <f>IF('Eurostat EB TJ'!BT148=":",0,'Eurostat EB TJ'!BT148/Contents!$C$6)</f>
        <v>3306.7291666666665</v>
      </c>
      <c r="BV141" s="72">
        <f>IF('Eurostat EB TJ'!BU148=":",0,'Eurostat EB TJ'!BU148/Contents!$C$6)</f>
        <v>18507.854722222222</v>
      </c>
    </row>
    <row r="142" spans="1:74" x14ac:dyDescent="0.2">
      <c r="A142" s="56" t="s">
        <v>114</v>
      </c>
      <c r="B142" s="57"/>
      <c r="C142" s="57">
        <f>IF('Eurostat EB TJ'!B149=":",0,'Eurostat EB TJ'!B149)</f>
        <v>93299.153999999995</v>
      </c>
      <c r="D142" s="57">
        <f>IF('Eurostat EB TJ'!C149=":",0,'Eurostat EB TJ'!C149)</f>
        <v>749.7</v>
      </c>
      <c r="E142" s="57">
        <f>IF('Eurostat EB TJ'!D149=":",0,'Eurostat EB TJ'!D149)</f>
        <v>0</v>
      </c>
      <c r="F142" s="57">
        <f>IF('Eurostat EB TJ'!E149=":",0,'Eurostat EB TJ'!E149)</f>
        <v>0</v>
      </c>
      <c r="G142" s="57">
        <f>IF('Eurostat EB TJ'!F149=":",0,'Eurostat EB TJ'!F149)</f>
        <v>749.7</v>
      </c>
      <c r="H142" s="57">
        <f>IF('Eurostat EB TJ'!G149=":",0,'Eurostat EB TJ'!G149)</f>
        <v>0</v>
      </c>
      <c r="I142" s="57">
        <f>IF('Eurostat EB TJ'!H149=":",0,'Eurostat EB TJ'!H149)</f>
        <v>0</v>
      </c>
      <c r="J142" s="57">
        <f>IF('Eurostat EB TJ'!I149=":",0,'Eurostat EB TJ'!I149)</f>
        <v>0</v>
      </c>
      <c r="K142" s="57">
        <f>IF('Eurostat EB TJ'!J149=":",0,'Eurostat EB TJ'!J149)</f>
        <v>0</v>
      </c>
      <c r="L142" s="57">
        <f>IF('Eurostat EB TJ'!K149=":",0,'Eurostat EB TJ'!K149)</f>
        <v>0</v>
      </c>
      <c r="M142" s="57">
        <f>IF('Eurostat EB TJ'!L149=":",0,'Eurostat EB TJ'!L149)</f>
        <v>0</v>
      </c>
      <c r="N142" s="57">
        <f>IF('Eurostat EB TJ'!M149=":",0,'Eurostat EB TJ'!M149)</f>
        <v>0</v>
      </c>
      <c r="O142" s="57">
        <f>IF('Eurostat EB TJ'!N149=":",0,'Eurostat EB TJ'!N149)</f>
        <v>342.01</v>
      </c>
      <c r="P142" s="57">
        <f>IF('Eurostat EB TJ'!O149=":",0,'Eurostat EB TJ'!O149)</f>
        <v>24.748000000000001</v>
      </c>
      <c r="Q142" s="57">
        <f>IF('Eurostat EB TJ'!P149=":",0,'Eurostat EB TJ'!P149)</f>
        <v>0</v>
      </c>
      <c r="R142" s="57">
        <f>IF('Eurostat EB TJ'!Q149=":",0,'Eurostat EB TJ'!Q149)</f>
        <v>317.262</v>
      </c>
      <c r="S142" s="57">
        <f>IF('Eurostat EB TJ'!R149=":",0,'Eurostat EB TJ'!R149)</f>
        <v>0</v>
      </c>
      <c r="T142" s="57">
        <f>IF('Eurostat EB TJ'!S149=":",0,'Eurostat EB TJ'!S149)</f>
        <v>0</v>
      </c>
      <c r="U142" s="57">
        <f>IF('Eurostat EB TJ'!T149=":",0,'Eurostat EB TJ'!T149)</f>
        <v>0</v>
      </c>
      <c r="V142" s="57">
        <f>IF('Eurostat EB TJ'!U149=":",0,'Eurostat EB TJ'!U149)</f>
        <v>0</v>
      </c>
      <c r="W142" s="57">
        <f>IF('Eurostat EB TJ'!V149=":",0,'Eurostat EB TJ'!V149)</f>
        <v>0</v>
      </c>
      <c r="X142" s="57">
        <f>IF('Eurostat EB TJ'!W149=":",0,'Eurostat EB TJ'!W149)</f>
        <v>47255.860999999997</v>
      </c>
      <c r="Y142" s="57">
        <f>IF('Eurostat EB TJ'!X149=":",0,'Eurostat EB TJ'!X149)</f>
        <v>9303.3739999999998</v>
      </c>
      <c r="Z142" s="57">
        <f>IF('Eurostat EB TJ'!Y149=":",0,'Eurostat EB TJ'!Y149)</f>
        <v>0</v>
      </c>
      <c r="AA142" s="57">
        <f>IF('Eurostat EB TJ'!Z149=":",0,'Eurostat EB TJ'!Z149)</f>
        <v>0</v>
      </c>
      <c r="AB142" s="57">
        <f>IF('Eurostat EB TJ'!AA149=":",0,'Eurostat EB TJ'!AA149)</f>
        <v>0</v>
      </c>
      <c r="AC142" s="57">
        <f>IF('Eurostat EB TJ'!AB149=":",0,'Eurostat EB TJ'!AB149)</f>
        <v>0</v>
      </c>
      <c r="AD142" s="57">
        <f>IF('Eurostat EB TJ'!AC149=":",0,'Eurostat EB TJ'!AC149)</f>
        <v>0</v>
      </c>
      <c r="AE142" s="57">
        <f>IF('Eurostat EB TJ'!AD149=":",0,'Eurostat EB TJ'!AD149)</f>
        <v>9253.759</v>
      </c>
      <c r="AF142" s="57">
        <f>IF('Eurostat EB TJ'!AE149=":",0,'Eurostat EB TJ'!AE149)</f>
        <v>0</v>
      </c>
      <c r="AG142" s="57">
        <f>IF('Eurostat EB TJ'!AF149=":",0,'Eurostat EB TJ'!AF149)</f>
        <v>0</v>
      </c>
      <c r="AH142" s="57">
        <f>IF('Eurostat EB TJ'!AG149=":",0,'Eurostat EB TJ'!AG149)</f>
        <v>0</v>
      </c>
      <c r="AI142" s="57">
        <f>IF('Eurostat EB TJ'!AH149=":",0,'Eurostat EB TJ'!AH149)</f>
        <v>0</v>
      </c>
      <c r="AJ142" s="57">
        <f>IF('Eurostat EB TJ'!AI149=":",0,'Eurostat EB TJ'!AI149)</f>
        <v>0</v>
      </c>
      <c r="AK142" s="57">
        <f>IF('Eurostat EB TJ'!AJ149=":",0,'Eurostat EB TJ'!AJ149)</f>
        <v>0</v>
      </c>
      <c r="AL142" s="57">
        <f>IF('Eurostat EB TJ'!AK149=":",0,'Eurostat EB TJ'!AK149)</f>
        <v>0</v>
      </c>
      <c r="AM142" s="57">
        <f>IF('Eurostat EB TJ'!AL149=":",0,'Eurostat EB TJ'!AL149)</f>
        <v>0</v>
      </c>
      <c r="AN142" s="57">
        <f>IF('Eurostat EB TJ'!AM149=":",0,'Eurostat EB TJ'!AM149)</f>
        <v>49.578000000000003</v>
      </c>
      <c r="AO142" s="57">
        <f>IF('Eurostat EB TJ'!AN149=":",0,'Eurostat EB TJ'!AN149)</f>
        <v>0</v>
      </c>
      <c r="AP142" s="57">
        <f>IF('Eurostat EB TJ'!AO149=":",0,'Eurostat EB TJ'!AO149)</f>
        <v>0</v>
      </c>
      <c r="AQ142" s="57">
        <f>IF('Eurostat EB TJ'!AP149=":",0,'Eurostat EB TJ'!AP149)</f>
        <v>0</v>
      </c>
      <c r="AR142" s="57">
        <f>IF('Eurostat EB TJ'!AQ149=":",0,'Eurostat EB TJ'!AQ149)</f>
        <v>0</v>
      </c>
      <c r="AS142" s="57">
        <f>IF('Eurostat EB TJ'!AR149=":",0,'Eurostat EB TJ'!AR149)</f>
        <v>0</v>
      </c>
      <c r="AT142" s="57">
        <f>IF('Eurostat EB TJ'!AS149=":",0,'Eurostat EB TJ'!AS149)</f>
        <v>0</v>
      </c>
      <c r="AU142" s="57">
        <f>IF('Eurostat EB TJ'!AT149=":",0,'Eurostat EB TJ'!AT149)</f>
        <v>3.6999999999999998E-2</v>
      </c>
      <c r="AV142" s="57">
        <f>IF('Eurostat EB TJ'!AU149=":",0,'Eurostat EB TJ'!AU149)</f>
        <v>19996.924999999999</v>
      </c>
      <c r="AW142" s="57">
        <f>IF('Eurostat EB TJ'!AV149=":",0,'Eurostat EB TJ'!AV149)</f>
        <v>0</v>
      </c>
      <c r="AX142" s="57">
        <f>IF('Eurostat EB TJ'!AW149=":",0,'Eurostat EB TJ'!AW149)</f>
        <v>0</v>
      </c>
      <c r="AY142" s="57">
        <f>IF('Eurostat EB TJ'!AX149=":",0,'Eurostat EB TJ'!AX149)</f>
        <v>0</v>
      </c>
      <c r="AZ142" s="57">
        <f>IF('Eurostat EB TJ'!AY149=":",0,'Eurostat EB TJ'!AY149)</f>
        <v>0</v>
      </c>
      <c r="BA142" s="57">
        <f>IF('Eurostat EB TJ'!AZ149=":",0,'Eurostat EB TJ'!AZ149)</f>
        <v>0</v>
      </c>
      <c r="BB142" s="57">
        <f>IF('Eurostat EB TJ'!BA149=":",0,'Eurostat EB TJ'!BA149)</f>
        <v>0</v>
      </c>
      <c r="BC142" s="57">
        <f>IF('Eurostat EB TJ'!BB149=":",0,'Eurostat EB TJ'!BB149)</f>
        <v>0</v>
      </c>
      <c r="BD142" s="57">
        <f>IF('Eurostat EB TJ'!BC149=":",0,'Eurostat EB TJ'!BC149)</f>
        <v>11795.485000000001</v>
      </c>
      <c r="BE142" s="57">
        <f>IF('Eurostat EB TJ'!BD149=":",0,'Eurostat EB TJ'!BD149)</f>
        <v>0</v>
      </c>
      <c r="BF142" s="57">
        <f>IF('Eurostat EB TJ'!BE149=":",0,'Eurostat EB TJ'!BE149)</f>
        <v>0</v>
      </c>
      <c r="BG142" s="57">
        <f>IF('Eurostat EB TJ'!BF149=":",0,'Eurostat EB TJ'!BF149)</f>
        <v>0</v>
      </c>
      <c r="BH142" s="57">
        <f>IF('Eurostat EB TJ'!BG149=":",0,'Eurostat EB TJ'!BG149)</f>
        <v>0</v>
      </c>
      <c r="BI142" s="57">
        <f>IF('Eurostat EB TJ'!BH149=":",0,'Eurostat EB TJ'!BH149)</f>
        <v>0</v>
      </c>
      <c r="BJ142" s="57">
        <f>IF('Eurostat EB TJ'!BI149=":",0,'Eurostat EB TJ'!BI149)</f>
        <v>0</v>
      </c>
      <c r="BK142" s="57">
        <f>IF('Eurostat EB TJ'!BJ149=":",0,'Eurostat EB TJ'!BJ149)</f>
        <v>0</v>
      </c>
      <c r="BL142" s="57">
        <f>IF('Eurostat EB TJ'!BK149=":",0,'Eurostat EB TJ'!BK149)</f>
        <v>0</v>
      </c>
      <c r="BM142" s="57">
        <f>IF('Eurostat EB TJ'!BL149=":",0,'Eurostat EB TJ'!BL149)</f>
        <v>265.62299999999999</v>
      </c>
      <c r="BN142" s="57">
        <f>IF('Eurostat EB TJ'!BM149=":",0,'Eurostat EB TJ'!BM149)</f>
        <v>582.75099999999998</v>
      </c>
      <c r="BO142" s="57">
        <f>IF('Eurostat EB TJ'!BN149=":",0,'Eurostat EB TJ'!BN149)</f>
        <v>7935.817</v>
      </c>
      <c r="BP142" s="57">
        <f>IF('Eurostat EB TJ'!BO149=":",0,'Eurostat EB TJ'!BO149)</f>
        <v>7037.4219999999996</v>
      </c>
      <c r="BQ142" s="57">
        <f>IF('Eurostat EB TJ'!BP149=":",0,'Eurostat EB TJ'!BP149)</f>
        <v>7620.1729999999998</v>
      </c>
      <c r="BR142" s="57">
        <f>IF('Eurostat EB TJ'!BQ149=":",0,'Eurostat EB TJ'!BQ149)</f>
        <v>0</v>
      </c>
      <c r="BS142" s="57">
        <f>IF('Eurostat EB TJ'!BR149=":",0,'Eurostat EB TJ'!BR149)</f>
        <v>0</v>
      </c>
      <c r="BT142" s="57">
        <f>IF('Eurostat EB TJ'!BS149=":",0,'Eurostat EB TJ'!BS149)</f>
        <v>0</v>
      </c>
      <c r="BU142" s="57">
        <f>IF('Eurostat EB TJ'!BT149=":",0,'Eurostat EB TJ'!BT149)</f>
        <v>20480.962</v>
      </c>
      <c r="BV142" s="57">
        <f>IF('Eurostat EB TJ'!BU149=":",0,'Eurostat EB TJ'!BU149)</f>
        <v>64787.080999999998</v>
      </c>
    </row>
    <row r="143" spans="1:74" x14ac:dyDescent="0.2">
      <c r="A143" s="56" t="s">
        <v>318</v>
      </c>
      <c r="B143" s="17"/>
      <c r="C143" s="17">
        <f>IF('Eurostat EB TJ'!B150=":",0,'Eurostat EB TJ'!B150)</f>
        <v>31806.674999999999</v>
      </c>
      <c r="D143" s="17">
        <f>IF('Eurostat EB TJ'!C150=":",0,'Eurostat EB TJ'!C150)</f>
        <v>749.7</v>
      </c>
      <c r="E143" s="17">
        <f>IF('Eurostat EB TJ'!D150=":",0,'Eurostat EB TJ'!D150)</f>
        <v>0</v>
      </c>
      <c r="F143" s="17">
        <f>IF('Eurostat EB TJ'!E150=":",0,'Eurostat EB TJ'!E150)</f>
        <v>0</v>
      </c>
      <c r="G143" s="17">
        <f>IF('Eurostat EB TJ'!F150=":",0,'Eurostat EB TJ'!F150)</f>
        <v>749.7</v>
      </c>
      <c r="H143" s="17">
        <f>IF('Eurostat EB TJ'!G150=":",0,'Eurostat EB TJ'!G150)</f>
        <v>0</v>
      </c>
      <c r="I143" s="17">
        <f>IF('Eurostat EB TJ'!H150=":",0,'Eurostat EB TJ'!H150)</f>
        <v>0</v>
      </c>
      <c r="J143" s="17">
        <f>IF('Eurostat EB TJ'!I150=":",0,'Eurostat EB TJ'!I150)</f>
        <v>0</v>
      </c>
      <c r="K143" s="17">
        <f>IF('Eurostat EB TJ'!J150=":",0,'Eurostat EB TJ'!J150)</f>
        <v>0</v>
      </c>
      <c r="L143" s="17">
        <f>IF('Eurostat EB TJ'!K150=":",0,'Eurostat EB TJ'!K150)</f>
        <v>0</v>
      </c>
      <c r="M143" s="17">
        <f>IF('Eurostat EB TJ'!L150=":",0,'Eurostat EB TJ'!L150)</f>
        <v>0</v>
      </c>
      <c r="N143" s="17">
        <f>IF('Eurostat EB TJ'!M150=":",0,'Eurostat EB TJ'!M150)</f>
        <v>0</v>
      </c>
      <c r="O143" s="17">
        <f>IF('Eurostat EB TJ'!N150=":",0,'Eurostat EB TJ'!N150)</f>
        <v>37.170999999999999</v>
      </c>
      <c r="P143" s="17">
        <f>IF('Eurostat EB TJ'!O150=":",0,'Eurostat EB TJ'!O150)</f>
        <v>1E-3</v>
      </c>
      <c r="Q143" s="17">
        <f>IF('Eurostat EB TJ'!P150=":",0,'Eurostat EB TJ'!P150)</f>
        <v>0</v>
      </c>
      <c r="R143" s="17">
        <f>IF('Eurostat EB TJ'!Q150=":",0,'Eurostat EB TJ'!Q150)</f>
        <v>37.17</v>
      </c>
      <c r="S143" s="17">
        <f>IF('Eurostat EB TJ'!R150=":",0,'Eurostat EB TJ'!R150)</f>
        <v>0</v>
      </c>
      <c r="T143" s="17">
        <f>IF('Eurostat EB TJ'!S150=":",0,'Eurostat EB TJ'!S150)</f>
        <v>0</v>
      </c>
      <c r="U143" s="17">
        <f>IF('Eurostat EB TJ'!T150=":",0,'Eurostat EB TJ'!T150)</f>
        <v>0</v>
      </c>
      <c r="V143" s="17">
        <f>IF('Eurostat EB TJ'!U150=":",0,'Eurostat EB TJ'!U150)</f>
        <v>0</v>
      </c>
      <c r="W143" s="17">
        <f>IF('Eurostat EB TJ'!V150=":",0,'Eurostat EB TJ'!V150)</f>
        <v>0</v>
      </c>
      <c r="X143" s="17">
        <f>IF('Eurostat EB TJ'!W150=":",0,'Eurostat EB TJ'!W150)</f>
        <v>25666.042000000001</v>
      </c>
      <c r="Y143" s="17">
        <f>IF('Eurostat EB TJ'!X150=":",0,'Eurostat EB TJ'!X150)</f>
        <v>3.597</v>
      </c>
      <c r="Z143" s="17">
        <f>IF('Eurostat EB TJ'!Y150=":",0,'Eurostat EB TJ'!Y150)</f>
        <v>0</v>
      </c>
      <c r="AA143" s="17">
        <f>IF('Eurostat EB TJ'!Z150=":",0,'Eurostat EB TJ'!Z150)</f>
        <v>0</v>
      </c>
      <c r="AB143" s="17">
        <f>IF('Eurostat EB TJ'!AA150=":",0,'Eurostat EB TJ'!AA150)</f>
        <v>0</v>
      </c>
      <c r="AC143" s="17">
        <f>IF('Eurostat EB TJ'!AB150=":",0,'Eurostat EB TJ'!AB150)</f>
        <v>0</v>
      </c>
      <c r="AD143" s="17">
        <f>IF('Eurostat EB TJ'!AC150=":",0,'Eurostat EB TJ'!AC150)</f>
        <v>0</v>
      </c>
      <c r="AE143" s="17">
        <f>IF('Eurostat EB TJ'!AD150=":",0,'Eurostat EB TJ'!AD150)</f>
        <v>0</v>
      </c>
      <c r="AF143" s="17">
        <f>IF('Eurostat EB TJ'!AE150=":",0,'Eurostat EB TJ'!AE150)</f>
        <v>0</v>
      </c>
      <c r="AG143" s="17">
        <f>IF('Eurostat EB TJ'!AF150=":",0,'Eurostat EB TJ'!AF150)</f>
        <v>0</v>
      </c>
      <c r="AH143" s="17">
        <f>IF('Eurostat EB TJ'!AG150=":",0,'Eurostat EB TJ'!AG150)</f>
        <v>0</v>
      </c>
      <c r="AI143" s="17">
        <f>IF('Eurostat EB TJ'!AH150=":",0,'Eurostat EB TJ'!AH150)</f>
        <v>0</v>
      </c>
      <c r="AJ143" s="17">
        <f>IF('Eurostat EB TJ'!AI150=":",0,'Eurostat EB TJ'!AI150)</f>
        <v>0</v>
      </c>
      <c r="AK143" s="17">
        <f>IF('Eurostat EB TJ'!AJ150=":",0,'Eurostat EB TJ'!AJ150)</f>
        <v>0</v>
      </c>
      <c r="AL143" s="17">
        <f>IF('Eurostat EB TJ'!AK150=":",0,'Eurostat EB TJ'!AK150)</f>
        <v>0</v>
      </c>
      <c r="AM143" s="17">
        <f>IF('Eurostat EB TJ'!AL150=":",0,'Eurostat EB TJ'!AL150)</f>
        <v>0</v>
      </c>
      <c r="AN143" s="17">
        <f>IF('Eurostat EB TJ'!AM150=":",0,'Eurostat EB TJ'!AM150)</f>
        <v>3.597</v>
      </c>
      <c r="AO143" s="17">
        <f>IF('Eurostat EB TJ'!AN150=":",0,'Eurostat EB TJ'!AN150)</f>
        <v>0</v>
      </c>
      <c r="AP143" s="17">
        <f>IF('Eurostat EB TJ'!AO150=":",0,'Eurostat EB TJ'!AO150)</f>
        <v>0</v>
      </c>
      <c r="AQ143" s="17">
        <f>IF('Eurostat EB TJ'!AP150=":",0,'Eurostat EB TJ'!AP150)</f>
        <v>0</v>
      </c>
      <c r="AR143" s="17">
        <f>IF('Eurostat EB TJ'!AQ150=":",0,'Eurostat EB TJ'!AQ150)</f>
        <v>0</v>
      </c>
      <c r="AS143" s="17">
        <f>IF('Eurostat EB TJ'!AR150=":",0,'Eurostat EB TJ'!AR150)</f>
        <v>0</v>
      </c>
      <c r="AT143" s="17">
        <f>IF('Eurostat EB TJ'!AS150=":",0,'Eurostat EB TJ'!AS150)</f>
        <v>0</v>
      </c>
      <c r="AU143" s="17">
        <f>IF('Eurostat EB TJ'!AT150=":",0,'Eurostat EB TJ'!AT150)</f>
        <v>0</v>
      </c>
      <c r="AV143" s="17">
        <f>IF('Eurostat EB TJ'!AU150=":",0,'Eurostat EB TJ'!AU150)</f>
        <v>5346.6549999999997</v>
      </c>
      <c r="AW143" s="17">
        <f>IF('Eurostat EB TJ'!AV150=":",0,'Eurostat EB TJ'!AV150)</f>
        <v>0</v>
      </c>
      <c r="AX143" s="17">
        <f>IF('Eurostat EB TJ'!AW150=":",0,'Eurostat EB TJ'!AW150)</f>
        <v>0</v>
      </c>
      <c r="AY143" s="17">
        <f>IF('Eurostat EB TJ'!AX150=":",0,'Eurostat EB TJ'!AX150)</f>
        <v>0</v>
      </c>
      <c r="AZ143" s="17">
        <f>IF('Eurostat EB TJ'!AY150=":",0,'Eurostat EB TJ'!AY150)</f>
        <v>0</v>
      </c>
      <c r="BA143" s="17">
        <f>IF('Eurostat EB TJ'!AZ150=":",0,'Eurostat EB TJ'!AZ150)</f>
        <v>0</v>
      </c>
      <c r="BB143" s="17">
        <f>IF('Eurostat EB TJ'!BA150=":",0,'Eurostat EB TJ'!BA150)</f>
        <v>0</v>
      </c>
      <c r="BC143" s="17">
        <f>IF('Eurostat EB TJ'!BB150=":",0,'Eurostat EB TJ'!BB150)</f>
        <v>0</v>
      </c>
      <c r="BD143" s="17">
        <f>IF('Eurostat EB TJ'!BC150=":",0,'Eurostat EB TJ'!BC150)</f>
        <v>5269.0519999999997</v>
      </c>
      <c r="BE143" s="17">
        <f>IF('Eurostat EB TJ'!BD150=":",0,'Eurostat EB TJ'!BD150)</f>
        <v>0</v>
      </c>
      <c r="BF143" s="17">
        <f>IF('Eurostat EB TJ'!BE150=":",0,'Eurostat EB TJ'!BE150)</f>
        <v>0</v>
      </c>
      <c r="BG143" s="17">
        <f>IF('Eurostat EB TJ'!BF150=":",0,'Eurostat EB TJ'!BF150)</f>
        <v>0</v>
      </c>
      <c r="BH143" s="17">
        <f>IF('Eurostat EB TJ'!BG150=":",0,'Eurostat EB TJ'!BG150)</f>
        <v>0</v>
      </c>
      <c r="BI143" s="17">
        <f>IF('Eurostat EB TJ'!BH150=":",0,'Eurostat EB TJ'!BH150)</f>
        <v>0</v>
      </c>
      <c r="BJ143" s="17">
        <f>IF('Eurostat EB TJ'!BI150=":",0,'Eurostat EB TJ'!BI150)</f>
        <v>0</v>
      </c>
      <c r="BK143" s="17">
        <f>IF('Eurostat EB TJ'!BJ150=":",0,'Eurostat EB TJ'!BJ150)</f>
        <v>0</v>
      </c>
      <c r="BL143" s="17">
        <f>IF('Eurostat EB TJ'!BK150=":",0,'Eurostat EB TJ'!BK150)</f>
        <v>0</v>
      </c>
      <c r="BM143" s="17">
        <f>IF('Eurostat EB TJ'!BL150=":",0,'Eurostat EB TJ'!BL150)</f>
        <v>77.602999999999994</v>
      </c>
      <c r="BN143" s="17">
        <f>IF('Eurostat EB TJ'!BM150=":",0,'Eurostat EB TJ'!BM150)</f>
        <v>3.51</v>
      </c>
      <c r="BO143" s="17">
        <f>IF('Eurostat EB TJ'!BN150=":",0,'Eurostat EB TJ'!BN150)</f>
        <v>0</v>
      </c>
      <c r="BP143" s="17">
        <f>IF('Eurostat EB TJ'!BO150=":",0,'Eurostat EB TJ'!BO150)</f>
        <v>0</v>
      </c>
      <c r="BQ143" s="17">
        <f>IF('Eurostat EB TJ'!BP150=":",0,'Eurostat EB TJ'!BP150)</f>
        <v>3.51</v>
      </c>
      <c r="BR143" s="17">
        <f>IF('Eurostat EB TJ'!BQ150=":",0,'Eurostat EB TJ'!BQ150)</f>
        <v>0</v>
      </c>
      <c r="BS143" s="17">
        <f>IF('Eurostat EB TJ'!BR150=":",0,'Eurostat EB TJ'!BR150)</f>
        <v>0</v>
      </c>
      <c r="BT143" s="17">
        <f>IF('Eurostat EB TJ'!BS150=":",0,'Eurostat EB TJ'!BS150)</f>
        <v>0</v>
      </c>
      <c r="BU143" s="17">
        <f>IF('Eurostat EB TJ'!BT150=":",0,'Eurostat EB TJ'!BT150)</f>
        <v>5609.55</v>
      </c>
      <c r="BV143" s="17">
        <f>IF('Eurostat EB TJ'!BU150=":",0,'Eurostat EB TJ'!BU150)</f>
        <v>26197.125</v>
      </c>
    </row>
    <row r="144" spans="1:74" x14ac:dyDescent="0.2">
      <c r="A144" s="56" t="s">
        <v>319</v>
      </c>
      <c r="B144" s="57"/>
      <c r="C144" s="57">
        <f>IF('Eurostat EB TJ'!B151=":",0,'Eurostat EB TJ'!B151)</f>
        <v>17195.844000000001</v>
      </c>
      <c r="D144" s="57">
        <f>IF('Eurostat EB TJ'!C151=":",0,'Eurostat EB TJ'!C151)</f>
        <v>0</v>
      </c>
      <c r="E144" s="57">
        <f>IF('Eurostat EB TJ'!D151=":",0,'Eurostat EB TJ'!D151)</f>
        <v>0</v>
      </c>
      <c r="F144" s="57">
        <f>IF('Eurostat EB TJ'!E151=":",0,'Eurostat EB TJ'!E151)</f>
        <v>0</v>
      </c>
      <c r="G144" s="57">
        <f>IF('Eurostat EB TJ'!F151=":",0,'Eurostat EB TJ'!F151)</f>
        <v>0</v>
      </c>
      <c r="H144" s="57">
        <f>IF('Eurostat EB TJ'!G151=":",0,'Eurostat EB TJ'!G151)</f>
        <v>0</v>
      </c>
      <c r="I144" s="57">
        <f>IF('Eurostat EB TJ'!H151=":",0,'Eurostat EB TJ'!H151)</f>
        <v>0</v>
      </c>
      <c r="J144" s="57">
        <f>IF('Eurostat EB TJ'!I151=":",0,'Eurostat EB TJ'!I151)</f>
        <v>0</v>
      </c>
      <c r="K144" s="57">
        <f>IF('Eurostat EB TJ'!J151=":",0,'Eurostat EB TJ'!J151)</f>
        <v>0</v>
      </c>
      <c r="L144" s="57">
        <f>IF('Eurostat EB TJ'!K151=":",0,'Eurostat EB TJ'!K151)</f>
        <v>0</v>
      </c>
      <c r="M144" s="57">
        <f>IF('Eurostat EB TJ'!L151=":",0,'Eurostat EB TJ'!L151)</f>
        <v>0</v>
      </c>
      <c r="N144" s="57">
        <f>IF('Eurostat EB TJ'!M151=":",0,'Eurostat EB TJ'!M151)</f>
        <v>0</v>
      </c>
      <c r="O144" s="57">
        <f>IF('Eurostat EB TJ'!N151=":",0,'Eurostat EB TJ'!N151)</f>
        <v>0</v>
      </c>
      <c r="P144" s="57">
        <f>IF('Eurostat EB TJ'!O151=":",0,'Eurostat EB TJ'!O151)</f>
        <v>0</v>
      </c>
      <c r="Q144" s="57">
        <f>IF('Eurostat EB TJ'!P151=":",0,'Eurostat EB TJ'!P151)</f>
        <v>0</v>
      </c>
      <c r="R144" s="57">
        <f>IF('Eurostat EB TJ'!Q151=":",0,'Eurostat EB TJ'!Q151)</f>
        <v>0</v>
      </c>
      <c r="S144" s="57">
        <f>IF('Eurostat EB TJ'!R151=":",0,'Eurostat EB TJ'!R151)</f>
        <v>0</v>
      </c>
      <c r="T144" s="57">
        <f>IF('Eurostat EB TJ'!S151=":",0,'Eurostat EB TJ'!S151)</f>
        <v>0</v>
      </c>
      <c r="U144" s="57">
        <f>IF('Eurostat EB TJ'!T151=":",0,'Eurostat EB TJ'!T151)</f>
        <v>0</v>
      </c>
      <c r="V144" s="57">
        <f>IF('Eurostat EB TJ'!U151=":",0,'Eurostat EB TJ'!U151)</f>
        <v>0</v>
      </c>
      <c r="W144" s="57">
        <f>IF('Eurostat EB TJ'!V151=":",0,'Eurostat EB TJ'!V151)</f>
        <v>0</v>
      </c>
      <c r="X144" s="57">
        <f>IF('Eurostat EB TJ'!W151=":",0,'Eurostat EB TJ'!W151)</f>
        <v>9958.8259999999991</v>
      </c>
      <c r="Y144" s="57">
        <f>IF('Eurostat EB TJ'!X151=":",0,'Eurostat EB TJ'!X151)</f>
        <v>3468.6970000000001</v>
      </c>
      <c r="Z144" s="57">
        <f>IF('Eurostat EB TJ'!Y151=":",0,'Eurostat EB TJ'!Y151)</f>
        <v>0</v>
      </c>
      <c r="AA144" s="57">
        <f>IF('Eurostat EB TJ'!Z151=":",0,'Eurostat EB TJ'!Z151)</f>
        <v>0</v>
      </c>
      <c r="AB144" s="57">
        <f>IF('Eurostat EB TJ'!AA151=":",0,'Eurostat EB TJ'!AA151)</f>
        <v>0</v>
      </c>
      <c r="AC144" s="57">
        <f>IF('Eurostat EB TJ'!AB151=":",0,'Eurostat EB TJ'!AB151)</f>
        <v>0</v>
      </c>
      <c r="AD144" s="57">
        <f>IF('Eurostat EB TJ'!AC151=":",0,'Eurostat EB TJ'!AC151)</f>
        <v>0</v>
      </c>
      <c r="AE144" s="57">
        <f>IF('Eurostat EB TJ'!AD151=":",0,'Eurostat EB TJ'!AD151)</f>
        <v>3468.66</v>
      </c>
      <c r="AF144" s="57">
        <f>IF('Eurostat EB TJ'!AE151=":",0,'Eurostat EB TJ'!AE151)</f>
        <v>0</v>
      </c>
      <c r="AG144" s="57">
        <f>IF('Eurostat EB TJ'!AF151=":",0,'Eurostat EB TJ'!AF151)</f>
        <v>0</v>
      </c>
      <c r="AH144" s="57">
        <f>IF('Eurostat EB TJ'!AG151=":",0,'Eurostat EB TJ'!AG151)</f>
        <v>0</v>
      </c>
      <c r="AI144" s="57">
        <f>IF('Eurostat EB TJ'!AH151=":",0,'Eurostat EB TJ'!AH151)</f>
        <v>0</v>
      </c>
      <c r="AJ144" s="57">
        <f>IF('Eurostat EB TJ'!AI151=":",0,'Eurostat EB TJ'!AI151)</f>
        <v>0</v>
      </c>
      <c r="AK144" s="57">
        <f>IF('Eurostat EB TJ'!AJ151=":",0,'Eurostat EB TJ'!AJ151)</f>
        <v>0</v>
      </c>
      <c r="AL144" s="57">
        <f>IF('Eurostat EB TJ'!AK151=":",0,'Eurostat EB TJ'!AK151)</f>
        <v>0</v>
      </c>
      <c r="AM144" s="57">
        <f>IF('Eurostat EB TJ'!AL151=":",0,'Eurostat EB TJ'!AL151)</f>
        <v>0</v>
      </c>
      <c r="AN144" s="57">
        <f>IF('Eurostat EB TJ'!AM151=":",0,'Eurostat EB TJ'!AM151)</f>
        <v>0</v>
      </c>
      <c r="AO144" s="57">
        <f>IF('Eurostat EB TJ'!AN151=":",0,'Eurostat EB TJ'!AN151)</f>
        <v>0</v>
      </c>
      <c r="AP144" s="57">
        <f>IF('Eurostat EB TJ'!AO151=":",0,'Eurostat EB TJ'!AO151)</f>
        <v>0</v>
      </c>
      <c r="AQ144" s="57">
        <f>IF('Eurostat EB TJ'!AP151=":",0,'Eurostat EB TJ'!AP151)</f>
        <v>0</v>
      </c>
      <c r="AR144" s="57">
        <f>IF('Eurostat EB TJ'!AQ151=":",0,'Eurostat EB TJ'!AQ151)</f>
        <v>0</v>
      </c>
      <c r="AS144" s="57">
        <f>IF('Eurostat EB TJ'!AR151=":",0,'Eurostat EB TJ'!AR151)</f>
        <v>0</v>
      </c>
      <c r="AT144" s="57">
        <f>IF('Eurostat EB TJ'!AS151=":",0,'Eurostat EB TJ'!AS151)</f>
        <v>0</v>
      </c>
      <c r="AU144" s="57">
        <f>IF('Eurostat EB TJ'!AT151=":",0,'Eurostat EB TJ'!AT151)</f>
        <v>3.6999999999999998E-2</v>
      </c>
      <c r="AV144" s="57">
        <f>IF('Eurostat EB TJ'!AU151=":",0,'Eurostat EB TJ'!AU151)</f>
        <v>3753.6170000000002</v>
      </c>
      <c r="AW144" s="57">
        <f>IF('Eurostat EB TJ'!AV151=":",0,'Eurostat EB TJ'!AV151)</f>
        <v>0</v>
      </c>
      <c r="AX144" s="57">
        <f>IF('Eurostat EB TJ'!AW151=":",0,'Eurostat EB TJ'!AW151)</f>
        <v>0</v>
      </c>
      <c r="AY144" s="57">
        <f>IF('Eurostat EB TJ'!AX151=":",0,'Eurostat EB TJ'!AX151)</f>
        <v>0</v>
      </c>
      <c r="AZ144" s="57">
        <f>IF('Eurostat EB TJ'!AY151=":",0,'Eurostat EB TJ'!AY151)</f>
        <v>0</v>
      </c>
      <c r="BA144" s="57">
        <f>IF('Eurostat EB TJ'!AZ151=":",0,'Eurostat EB TJ'!AZ151)</f>
        <v>0</v>
      </c>
      <c r="BB144" s="57">
        <f>IF('Eurostat EB TJ'!BA151=":",0,'Eurostat EB TJ'!BA151)</f>
        <v>0</v>
      </c>
      <c r="BC144" s="57">
        <f>IF('Eurostat EB TJ'!BB151=":",0,'Eurostat EB TJ'!BB151)</f>
        <v>0</v>
      </c>
      <c r="BD144" s="57">
        <f>IF('Eurostat EB TJ'!BC151=":",0,'Eurostat EB TJ'!BC151)</f>
        <v>3753.6170000000002</v>
      </c>
      <c r="BE144" s="57">
        <f>IF('Eurostat EB TJ'!BD151=":",0,'Eurostat EB TJ'!BD151)</f>
        <v>0</v>
      </c>
      <c r="BF144" s="57">
        <f>IF('Eurostat EB TJ'!BE151=":",0,'Eurostat EB TJ'!BE151)</f>
        <v>0</v>
      </c>
      <c r="BG144" s="57">
        <f>IF('Eurostat EB TJ'!BF151=":",0,'Eurostat EB TJ'!BF151)</f>
        <v>0</v>
      </c>
      <c r="BH144" s="57">
        <f>IF('Eurostat EB TJ'!BG151=":",0,'Eurostat EB TJ'!BG151)</f>
        <v>0</v>
      </c>
      <c r="BI144" s="57">
        <f>IF('Eurostat EB TJ'!BH151=":",0,'Eurostat EB TJ'!BH151)</f>
        <v>0</v>
      </c>
      <c r="BJ144" s="57">
        <f>IF('Eurostat EB TJ'!BI151=":",0,'Eurostat EB TJ'!BI151)</f>
        <v>0</v>
      </c>
      <c r="BK144" s="57">
        <f>IF('Eurostat EB TJ'!BJ151=":",0,'Eurostat EB TJ'!BJ151)</f>
        <v>0</v>
      </c>
      <c r="BL144" s="57">
        <f>IF('Eurostat EB TJ'!BK151=":",0,'Eurostat EB TJ'!BK151)</f>
        <v>0</v>
      </c>
      <c r="BM144" s="57">
        <f>IF('Eurostat EB TJ'!BL151=":",0,'Eurostat EB TJ'!BL151)</f>
        <v>0</v>
      </c>
      <c r="BN144" s="57">
        <f>IF('Eurostat EB TJ'!BM151=":",0,'Eurostat EB TJ'!BM151)</f>
        <v>14.704000000000001</v>
      </c>
      <c r="BO144" s="57">
        <f>IF('Eurostat EB TJ'!BN151=":",0,'Eurostat EB TJ'!BN151)</f>
        <v>0</v>
      </c>
      <c r="BP144" s="57">
        <f>IF('Eurostat EB TJ'!BO151=":",0,'Eurostat EB TJ'!BO151)</f>
        <v>0</v>
      </c>
      <c r="BQ144" s="57">
        <f>IF('Eurostat EB TJ'!BP151=":",0,'Eurostat EB TJ'!BP151)</f>
        <v>14.704000000000001</v>
      </c>
      <c r="BR144" s="57">
        <f>IF('Eurostat EB TJ'!BQ151=":",0,'Eurostat EB TJ'!BQ151)</f>
        <v>0</v>
      </c>
      <c r="BS144" s="57">
        <f>IF('Eurostat EB TJ'!BR151=":",0,'Eurostat EB TJ'!BR151)</f>
        <v>0</v>
      </c>
      <c r="BT144" s="57">
        <f>IF('Eurostat EB TJ'!BS151=":",0,'Eurostat EB TJ'!BS151)</f>
        <v>0</v>
      </c>
      <c r="BU144" s="57">
        <f>IF('Eurostat EB TJ'!BT151=":",0,'Eurostat EB TJ'!BT151)</f>
        <v>3855.6239999999998</v>
      </c>
      <c r="BV144" s="57">
        <f>IF('Eurostat EB TJ'!BU151=":",0,'Eurostat EB TJ'!BU151)</f>
        <v>13340.22</v>
      </c>
    </row>
    <row r="145" spans="1:74" x14ac:dyDescent="0.2">
      <c r="A145" s="56" t="s">
        <v>320</v>
      </c>
      <c r="B145" s="17"/>
      <c r="C145" s="17">
        <f>IF('Eurostat EB TJ'!B152=":",0,'Eurostat EB TJ'!B152)</f>
        <v>33365.031999999999</v>
      </c>
      <c r="D145" s="17">
        <f>IF('Eurostat EB TJ'!C152=":",0,'Eurostat EB TJ'!C152)</f>
        <v>0</v>
      </c>
      <c r="E145" s="17">
        <f>IF('Eurostat EB TJ'!D152=":",0,'Eurostat EB TJ'!D152)</f>
        <v>0</v>
      </c>
      <c r="F145" s="17">
        <f>IF('Eurostat EB TJ'!E152=":",0,'Eurostat EB TJ'!E152)</f>
        <v>0</v>
      </c>
      <c r="G145" s="17">
        <f>IF('Eurostat EB TJ'!F152=":",0,'Eurostat EB TJ'!F152)</f>
        <v>0</v>
      </c>
      <c r="H145" s="17">
        <f>IF('Eurostat EB TJ'!G152=":",0,'Eurostat EB TJ'!G152)</f>
        <v>0</v>
      </c>
      <c r="I145" s="17">
        <f>IF('Eurostat EB TJ'!H152=":",0,'Eurostat EB TJ'!H152)</f>
        <v>0</v>
      </c>
      <c r="J145" s="17">
        <f>IF('Eurostat EB TJ'!I152=":",0,'Eurostat EB TJ'!I152)</f>
        <v>0</v>
      </c>
      <c r="K145" s="17">
        <f>IF('Eurostat EB TJ'!J152=":",0,'Eurostat EB TJ'!J152)</f>
        <v>0</v>
      </c>
      <c r="L145" s="17">
        <f>IF('Eurostat EB TJ'!K152=":",0,'Eurostat EB TJ'!K152)</f>
        <v>0</v>
      </c>
      <c r="M145" s="17">
        <f>IF('Eurostat EB TJ'!L152=":",0,'Eurostat EB TJ'!L152)</f>
        <v>0</v>
      </c>
      <c r="N145" s="17">
        <f>IF('Eurostat EB TJ'!M152=":",0,'Eurostat EB TJ'!M152)</f>
        <v>0</v>
      </c>
      <c r="O145" s="17">
        <f>IF('Eurostat EB TJ'!N152=":",0,'Eurostat EB TJ'!N152)</f>
        <v>304.839</v>
      </c>
      <c r="P145" s="17">
        <f>IF('Eurostat EB TJ'!O152=":",0,'Eurostat EB TJ'!O152)</f>
        <v>24.747</v>
      </c>
      <c r="Q145" s="17">
        <f>IF('Eurostat EB TJ'!P152=":",0,'Eurostat EB TJ'!P152)</f>
        <v>0</v>
      </c>
      <c r="R145" s="17">
        <f>IF('Eurostat EB TJ'!Q152=":",0,'Eurostat EB TJ'!Q152)</f>
        <v>280.09199999999998</v>
      </c>
      <c r="S145" s="17">
        <f>IF('Eurostat EB TJ'!R152=":",0,'Eurostat EB TJ'!R152)</f>
        <v>0</v>
      </c>
      <c r="T145" s="17">
        <f>IF('Eurostat EB TJ'!S152=":",0,'Eurostat EB TJ'!S152)</f>
        <v>0</v>
      </c>
      <c r="U145" s="17">
        <f>IF('Eurostat EB TJ'!T152=":",0,'Eurostat EB TJ'!T152)</f>
        <v>0</v>
      </c>
      <c r="V145" s="17">
        <f>IF('Eurostat EB TJ'!U152=":",0,'Eurostat EB TJ'!U152)</f>
        <v>0</v>
      </c>
      <c r="W145" s="17">
        <f>IF('Eurostat EB TJ'!V152=":",0,'Eurostat EB TJ'!V152)</f>
        <v>0</v>
      </c>
      <c r="X145" s="17">
        <f>IF('Eurostat EB TJ'!W152=":",0,'Eurostat EB TJ'!W152)</f>
        <v>9896.8770000000004</v>
      </c>
      <c r="Y145" s="17">
        <f>IF('Eurostat EB TJ'!X152=":",0,'Eurostat EB TJ'!X152)</f>
        <v>5147.9989999999998</v>
      </c>
      <c r="Z145" s="17">
        <f>IF('Eurostat EB TJ'!Y152=":",0,'Eurostat EB TJ'!Y152)</f>
        <v>0</v>
      </c>
      <c r="AA145" s="17">
        <f>IF('Eurostat EB TJ'!Z152=":",0,'Eurostat EB TJ'!Z152)</f>
        <v>0</v>
      </c>
      <c r="AB145" s="17">
        <f>IF('Eurostat EB TJ'!AA152=":",0,'Eurostat EB TJ'!AA152)</f>
        <v>0</v>
      </c>
      <c r="AC145" s="17">
        <f>IF('Eurostat EB TJ'!AB152=":",0,'Eurostat EB TJ'!AB152)</f>
        <v>0</v>
      </c>
      <c r="AD145" s="17">
        <f>IF('Eurostat EB TJ'!AC152=":",0,'Eurostat EB TJ'!AC152)</f>
        <v>0</v>
      </c>
      <c r="AE145" s="17">
        <f>IF('Eurostat EB TJ'!AD152=":",0,'Eurostat EB TJ'!AD152)</f>
        <v>5102.018</v>
      </c>
      <c r="AF145" s="17">
        <f>IF('Eurostat EB TJ'!AE152=":",0,'Eurostat EB TJ'!AE152)</f>
        <v>0</v>
      </c>
      <c r="AG145" s="17">
        <f>IF('Eurostat EB TJ'!AF152=":",0,'Eurostat EB TJ'!AF152)</f>
        <v>0</v>
      </c>
      <c r="AH145" s="17">
        <f>IF('Eurostat EB TJ'!AG152=":",0,'Eurostat EB TJ'!AG152)</f>
        <v>0</v>
      </c>
      <c r="AI145" s="17">
        <f>IF('Eurostat EB TJ'!AH152=":",0,'Eurostat EB TJ'!AH152)</f>
        <v>0</v>
      </c>
      <c r="AJ145" s="17">
        <f>IF('Eurostat EB TJ'!AI152=":",0,'Eurostat EB TJ'!AI152)</f>
        <v>0</v>
      </c>
      <c r="AK145" s="17">
        <f>IF('Eurostat EB TJ'!AJ152=":",0,'Eurostat EB TJ'!AJ152)</f>
        <v>0</v>
      </c>
      <c r="AL145" s="17">
        <f>IF('Eurostat EB TJ'!AK152=":",0,'Eurostat EB TJ'!AK152)</f>
        <v>0</v>
      </c>
      <c r="AM145" s="17">
        <f>IF('Eurostat EB TJ'!AL152=":",0,'Eurostat EB TJ'!AL152)</f>
        <v>0</v>
      </c>
      <c r="AN145" s="17">
        <f>IF('Eurostat EB TJ'!AM152=":",0,'Eurostat EB TJ'!AM152)</f>
        <v>45.981000000000002</v>
      </c>
      <c r="AO145" s="17">
        <f>IF('Eurostat EB TJ'!AN152=":",0,'Eurostat EB TJ'!AN152)</f>
        <v>0</v>
      </c>
      <c r="AP145" s="17">
        <f>IF('Eurostat EB TJ'!AO152=":",0,'Eurostat EB TJ'!AO152)</f>
        <v>0</v>
      </c>
      <c r="AQ145" s="17">
        <f>IF('Eurostat EB TJ'!AP152=":",0,'Eurostat EB TJ'!AP152)</f>
        <v>0</v>
      </c>
      <c r="AR145" s="17">
        <f>IF('Eurostat EB TJ'!AQ152=":",0,'Eurostat EB TJ'!AQ152)</f>
        <v>0</v>
      </c>
      <c r="AS145" s="17">
        <f>IF('Eurostat EB TJ'!AR152=":",0,'Eurostat EB TJ'!AR152)</f>
        <v>0</v>
      </c>
      <c r="AT145" s="17">
        <f>IF('Eurostat EB TJ'!AS152=":",0,'Eurostat EB TJ'!AS152)</f>
        <v>0</v>
      </c>
      <c r="AU145" s="17">
        <f>IF('Eurostat EB TJ'!AT152=":",0,'Eurostat EB TJ'!AT152)</f>
        <v>0</v>
      </c>
      <c r="AV145" s="17">
        <f>IF('Eurostat EB TJ'!AU152=":",0,'Eurostat EB TJ'!AU152)</f>
        <v>10892.9</v>
      </c>
      <c r="AW145" s="17">
        <f>IF('Eurostat EB TJ'!AV152=":",0,'Eurostat EB TJ'!AV152)</f>
        <v>0</v>
      </c>
      <c r="AX145" s="17">
        <f>IF('Eurostat EB TJ'!AW152=":",0,'Eurostat EB TJ'!AW152)</f>
        <v>0</v>
      </c>
      <c r="AY145" s="17">
        <f>IF('Eurostat EB TJ'!AX152=":",0,'Eurostat EB TJ'!AX152)</f>
        <v>0</v>
      </c>
      <c r="AZ145" s="17">
        <f>IF('Eurostat EB TJ'!AY152=":",0,'Eurostat EB TJ'!AY152)</f>
        <v>0</v>
      </c>
      <c r="BA145" s="17">
        <f>IF('Eurostat EB TJ'!AZ152=":",0,'Eurostat EB TJ'!AZ152)</f>
        <v>0</v>
      </c>
      <c r="BB145" s="17">
        <f>IF('Eurostat EB TJ'!BA152=":",0,'Eurostat EB TJ'!BA152)</f>
        <v>0</v>
      </c>
      <c r="BC145" s="17">
        <f>IF('Eurostat EB TJ'!BB152=":",0,'Eurostat EB TJ'!BB152)</f>
        <v>0</v>
      </c>
      <c r="BD145" s="17">
        <f>IF('Eurostat EB TJ'!BC152=":",0,'Eurostat EB TJ'!BC152)</f>
        <v>2769.346</v>
      </c>
      <c r="BE145" s="17">
        <f>IF('Eurostat EB TJ'!BD152=":",0,'Eurostat EB TJ'!BD152)</f>
        <v>0</v>
      </c>
      <c r="BF145" s="17">
        <f>IF('Eurostat EB TJ'!BE152=":",0,'Eurostat EB TJ'!BE152)</f>
        <v>0</v>
      </c>
      <c r="BG145" s="17">
        <f>IF('Eurostat EB TJ'!BF152=":",0,'Eurostat EB TJ'!BF152)</f>
        <v>0</v>
      </c>
      <c r="BH145" s="17">
        <f>IF('Eurostat EB TJ'!BG152=":",0,'Eurostat EB TJ'!BG152)</f>
        <v>0</v>
      </c>
      <c r="BI145" s="17">
        <f>IF('Eurostat EB TJ'!BH152=":",0,'Eurostat EB TJ'!BH152)</f>
        <v>0</v>
      </c>
      <c r="BJ145" s="17">
        <f>IF('Eurostat EB TJ'!BI152=":",0,'Eurostat EB TJ'!BI152)</f>
        <v>0</v>
      </c>
      <c r="BK145" s="17">
        <f>IF('Eurostat EB TJ'!BJ152=":",0,'Eurostat EB TJ'!BJ152)</f>
        <v>0</v>
      </c>
      <c r="BL145" s="17">
        <f>IF('Eurostat EB TJ'!BK152=":",0,'Eurostat EB TJ'!BK152)</f>
        <v>0</v>
      </c>
      <c r="BM145" s="17">
        <f>IF('Eurostat EB TJ'!BL152=":",0,'Eurostat EB TJ'!BL152)</f>
        <v>187.73699999999999</v>
      </c>
      <c r="BN145" s="17">
        <f>IF('Eurostat EB TJ'!BM152=":",0,'Eurostat EB TJ'!BM152)</f>
        <v>84.995000000000005</v>
      </c>
      <c r="BO145" s="17">
        <f>IF('Eurostat EB TJ'!BN152=":",0,'Eurostat EB TJ'!BN152)</f>
        <v>7935.817</v>
      </c>
      <c r="BP145" s="17">
        <f>IF('Eurostat EB TJ'!BO152=":",0,'Eurostat EB TJ'!BO152)</f>
        <v>7037.4219999999996</v>
      </c>
      <c r="BQ145" s="17">
        <f>IF('Eurostat EB TJ'!BP152=":",0,'Eurostat EB TJ'!BP152)</f>
        <v>7122.4170000000004</v>
      </c>
      <c r="BR145" s="17">
        <f>IF('Eurostat EB TJ'!BQ152=":",0,'Eurostat EB TJ'!BQ152)</f>
        <v>0</v>
      </c>
      <c r="BS145" s="17">
        <f>IF('Eurostat EB TJ'!BR152=":",0,'Eurostat EB TJ'!BR152)</f>
        <v>0</v>
      </c>
      <c r="BT145" s="17">
        <f>IF('Eurostat EB TJ'!BS152=":",0,'Eurostat EB TJ'!BS152)</f>
        <v>0</v>
      </c>
      <c r="BU145" s="17">
        <f>IF('Eurostat EB TJ'!BT152=":",0,'Eurostat EB TJ'!BT152)</f>
        <v>10994.272999999999</v>
      </c>
      <c r="BV145" s="17">
        <f>IF('Eurostat EB TJ'!BU152=":",0,'Eurostat EB TJ'!BU152)</f>
        <v>22370.758999999998</v>
      </c>
    </row>
    <row r="146" spans="1:74" x14ac:dyDescent="0.2">
      <c r="A146" s="56" t="s">
        <v>321</v>
      </c>
      <c r="B146" s="57"/>
      <c r="C146" s="57">
        <f>IF('Eurostat EB TJ'!B153=":",0,'Eurostat EB TJ'!B153)</f>
        <v>10931.602999999999</v>
      </c>
      <c r="D146" s="57">
        <f>IF('Eurostat EB TJ'!C153=":",0,'Eurostat EB TJ'!C153)</f>
        <v>0</v>
      </c>
      <c r="E146" s="57">
        <f>IF('Eurostat EB TJ'!D153=":",0,'Eurostat EB TJ'!D153)</f>
        <v>0</v>
      </c>
      <c r="F146" s="57">
        <f>IF('Eurostat EB TJ'!E153=":",0,'Eurostat EB TJ'!E153)</f>
        <v>0</v>
      </c>
      <c r="G146" s="57">
        <f>IF('Eurostat EB TJ'!F153=":",0,'Eurostat EB TJ'!F153)</f>
        <v>0</v>
      </c>
      <c r="H146" s="57">
        <f>IF('Eurostat EB TJ'!G153=":",0,'Eurostat EB TJ'!G153)</f>
        <v>0</v>
      </c>
      <c r="I146" s="57">
        <f>IF('Eurostat EB TJ'!H153=":",0,'Eurostat EB TJ'!H153)</f>
        <v>0</v>
      </c>
      <c r="J146" s="57">
        <f>IF('Eurostat EB TJ'!I153=":",0,'Eurostat EB TJ'!I153)</f>
        <v>0</v>
      </c>
      <c r="K146" s="57">
        <f>IF('Eurostat EB TJ'!J153=":",0,'Eurostat EB TJ'!J153)</f>
        <v>0</v>
      </c>
      <c r="L146" s="57">
        <f>IF('Eurostat EB TJ'!K153=":",0,'Eurostat EB TJ'!K153)</f>
        <v>0</v>
      </c>
      <c r="M146" s="57">
        <f>IF('Eurostat EB TJ'!L153=":",0,'Eurostat EB TJ'!L153)</f>
        <v>0</v>
      </c>
      <c r="N146" s="57">
        <f>IF('Eurostat EB TJ'!M153=":",0,'Eurostat EB TJ'!M153)</f>
        <v>0</v>
      </c>
      <c r="O146" s="57">
        <f>IF('Eurostat EB TJ'!N153=":",0,'Eurostat EB TJ'!N153)</f>
        <v>0</v>
      </c>
      <c r="P146" s="57">
        <f>IF('Eurostat EB TJ'!O153=":",0,'Eurostat EB TJ'!O153)</f>
        <v>0</v>
      </c>
      <c r="Q146" s="57">
        <f>IF('Eurostat EB TJ'!P153=":",0,'Eurostat EB TJ'!P153)</f>
        <v>0</v>
      </c>
      <c r="R146" s="57">
        <f>IF('Eurostat EB TJ'!Q153=":",0,'Eurostat EB TJ'!Q153)</f>
        <v>0</v>
      </c>
      <c r="S146" s="57">
        <f>IF('Eurostat EB TJ'!R153=":",0,'Eurostat EB TJ'!R153)</f>
        <v>0</v>
      </c>
      <c r="T146" s="57">
        <f>IF('Eurostat EB TJ'!S153=":",0,'Eurostat EB TJ'!S153)</f>
        <v>0</v>
      </c>
      <c r="U146" s="57">
        <f>IF('Eurostat EB TJ'!T153=":",0,'Eurostat EB TJ'!T153)</f>
        <v>0</v>
      </c>
      <c r="V146" s="57">
        <f>IF('Eurostat EB TJ'!U153=":",0,'Eurostat EB TJ'!U153)</f>
        <v>0</v>
      </c>
      <c r="W146" s="57">
        <f>IF('Eurostat EB TJ'!V153=":",0,'Eurostat EB TJ'!V153)</f>
        <v>0</v>
      </c>
      <c r="X146" s="57">
        <f>IF('Eurostat EB TJ'!W153=":",0,'Eurostat EB TJ'!W153)</f>
        <v>1734.116</v>
      </c>
      <c r="Y146" s="57">
        <f>IF('Eurostat EB TJ'!X153=":",0,'Eurostat EB TJ'!X153)</f>
        <v>683.08100000000002</v>
      </c>
      <c r="Z146" s="57">
        <f>IF('Eurostat EB TJ'!Y153=":",0,'Eurostat EB TJ'!Y153)</f>
        <v>0</v>
      </c>
      <c r="AA146" s="57">
        <f>IF('Eurostat EB TJ'!Z153=":",0,'Eurostat EB TJ'!Z153)</f>
        <v>0</v>
      </c>
      <c r="AB146" s="57">
        <f>IF('Eurostat EB TJ'!AA153=":",0,'Eurostat EB TJ'!AA153)</f>
        <v>0</v>
      </c>
      <c r="AC146" s="57">
        <f>IF('Eurostat EB TJ'!AB153=":",0,'Eurostat EB TJ'!AB153)</f>
        <v>0</v>
      </c>
      <c r="AD146" s="57">
        <f>IF('Eurostat EB TJ'!AC153=":",0,'Eurostat EB TJ'!AC153)</f>
        <v>0</v>
      </c>
      <c r="AE146" s="57">
        <f>IF('Eurostat EB TJ'!AD153=":",0,'Eurostat EB TJ'!AD153)</f>
        <v>683.08100000000002</v>
      </c>
      <c r="AF146" s="57">
        <f>IF('Eurostat EB TJ'!AE153=":",0,'Eurostat EB TJ'!AE153)</f>
        <v>0</v>
      </c>
      <c r="AG146" s="57">
        <f>IF('Eurostat EB TJ'!AF153=":",0,'Eurostat EB TJ'!AF153)</f>
        <v>0</v>
      </c>
      <c r="AH146" s="57">
        <f>IF('Eurostat EB TJ'!AG153=":",0,'Eurostat EB TJ'!AG153)</f>
        <v>0</v>
      </c>
      <c r="AI146" s="57">
        <f>IF('Eurostat EB TJ'!AH153=":",0,'Eurostat EB TJ'!AH153)</f>
        <v>0</v>
      </c>
      <c r="AJ146" s="57">
        <f>IF('Eurostat EB TJ'!AI153=":",0,'Eurostat EB TJ'!AI153)</f>
        <v>0</v>
      </c>
      <c r="AK146" s="57">
        <f>IF('Eurostat EB TJ'!AJ153=":",0,'Eurostat EB TJ'!AJ153)</f>
        <v>0</v>
      </c>
      <c r="AL146" s="57">
        <f>IF('Eurostat EB TJ'!AK153=":",0,'Eurostat EB TJ'!AK153)</f>
        <v>0</v>
      </c>
      <c r="AM146" s="57">
        <f>IF('Eurostat EB TJ'!AL153=":",0,'Eurostat EB TJ'!AL153)</f>
        <v>0</v>
      </c>
      <c r="AN146" s="57">
        <f>IF('Eurostat EB TJ'!AM153=":",0,'Eurostat EB TJ'!AM153)</f>
        <v>0</v>
      </c>
      <c r="AO146" s="57">
        <f>IF('Eurostat EB TJ'!AN153=":",0,'Eurostat EB TJ'!AN153)</f>
        <v>0</v>
      </c>
      <c r="AP146" s="57">
        <f>IF('Eurostat EB TJ'!AO153=":",0,'Eurostat EB TJ'!AO153)</f>
        <v>0</v>
      </c>
      <c r="AQ146" s="57">
        <f>IF('Eurostat EB TJ'!AP153=":",0,'Eurostat EB TJ'!AP153)</f>
        <v>0</v>
      </c>
      <c r="AR146" s="57">
        <f>IF('Eurostat EB TJ'!AQ153=":",0,'Eurostat EB TJ'!AQ153)</f>
        <v>0</v>
      </c>
      <c r="AS146" s="57">
        <f>IF('Eurostat EB TJ'!AR153=":",0,'Eurostat EB TJ'!AR153)</f>
        <v>0</v>
      </c>
      <c r="AT146" s="57">
        <f>IF('Eurostat EB TJ'!AS153=":",0,'Eurostat EB TJ'!AS153)</f>
        <v>0</v>
      </c>
      <c r="AU146" s="57">
        <f>IF('Eurostat EB TJ'!AT153=":",0,'Eurostat EB TJ'!AT153)</f>
        <v>0</v>
      </c>
      <c r="AV146" s="57">
        <f>IF('Eurostat EB TJ'!AU153=":",0,'Eurostat EB TJ'!AU153)</f>
        <v>3.7530000000000001</v>
      </c>
      <c r="AW146" s="57">
        <f>IF('Eurostat EB TJ'!AV153=":",0,'Eurostat EB TJ'!AV153)</f>
        <v>0</v>
      </c>
      <c r="AX146" s="57">
        <f>IF('Eurostat EB TJ'!AW153=":",0,'Eurostat EB TJ'!AW153)</f>
        <v>0</v>
      </c>
      <c r="AY146" s="57">
        <f>IF('Eurostat EB TJ'!AX153=":",0,'Eurostat EB TJ'!AX153)</f>
        <v>0</v>
      </c>
      <c r="AZ146" s="57">
        <f>IF('Eurostat EB TJ'!AY153=":",0,'Eurostat EB TJ'!AY153)</f>
        <v>0</v>
      </c>
      <c r="BA146" s="57">
        <f>IF('Eurostat EB TJ'!AZ153=":",0,'Eurostat EB TJ'!AZ153)</f>
        <v>0</v>
      </c>
      <c r="BB146" s="57">
        <f>IF('Eurostat EB TJ'!BA153=":",0,'Eurostat EB TJ'!BA153)</f>
        <v>0</v>
      </c>
      <c r="BC146" s="57">
        <f>IF('Eurostat EB TJ'!BB153=":",0,'Eurostat EB TJ'!BB153)</f>
        <v>0</v>
      </c>
      <c r="BD146" s="57">
        <f>IF('Eurostat EB TJ'!BC153=":",0,'Eurostat EB TJ'!BC153)</f>
        <v>3.47</v>
      </c>
      <c r="BE146" s="57">
        <f>IF('Eurostat EB TJ'!BD153=":",0,'Eurostat EB TJ'!BD153)</f>
        <v>0</v>
      </c>
      <c r="BF146" s="57">
        <f>IF('Eurostat EB TJ'!BE153=":",0,'Eurostat EB TJ'!BE153)</f>
        <v>0</v>
      </c>
      <c r="BG146" s="57">
        <f>IF('Eurostat EB TJ'!BF153=":",0,'Eurostat EB TJ'!BF153)</f>
        <v>0</v>
      </c>
      <c r="BH146" s="57">
        <f>IF('Eurostat EB TJ'!BG153=":",0,'Eurostat EB TJ'!BG153)</f>
        <v>0</v>
      </c>
      <c r="BI146" s="57">
        <f>IF('Eurostat EB TJ'!BH153=":",0,'Eurostat EB TJ'!BH153)</f>
        <v>0</v>
      </c>
      <c r="BJ146" s="57">
        <f>IF('Eurostat EB TJ'!BI153=":",0,'Eurostat EB TJ'!BI153)</f>
        <v>0</v>
      </c>
      <c r="BK146" s="57">
        <f>IF('Eurostat EB TJ'!BJ153=":",0,'Eurostat EB TJ'!BJ153)</f>
        <v>0</v>
      </c>
      <c r="BL146" s="57">
        <f>IF('Eurostat EB TJ'!BK153=":",0,'Eurostat EB TJ'!BK153)</f>
        <v>0</v>
      </c>
      <c r="BM146" s="57">
        <f>IF('Eurostat EB TJ'!BL153=":",0,'Eurostat EB TJ'!BL153)</f>
        <v>0.28299999999999997</v>
      </c>
      <c r="BN146" s="57">
        <f>IF('Eurostat EB TJ'!BM153=":",0,'Eurostat EB TJ'!BM153)</f>
        <v>479.54199999999997</v>
      </c>
      <c r="BO146" s="57">
        <f>IF('Eurostat EB TJ'!BN153=":",0,'Eurostat EB TJ'!BN153)</f>
        <v>0</v>
      </c>
      <c r="BP146" s="57">
        <f>IF('Eurostat EB TJ'!BO153=":",0,'Eurostat EB TJ'!BO153)</f>
        <v>0</v>
      </c>
      <c r="BQ146" s="57">
        <f>IF('Eurostat EB TJ'!BP153=":",0,'Eurostat EB TJ'!BP153)</f>
        <v>479.54199999999997</v>
      </c>
      <c r="BR146" s="57">
        <f>IF('Eurostat EB TJ'!BQ153=":",0,'Eurostat EB TJ'!BQ153)</f>
        <v>0</v>
      </c>
      <c r="BS146" s="57">
        <f>IF('Eurostat EB TJ'!BR153=":",0,'Eurostat EB TJ'!BR153)</f>
        <v>0</v>
      </c>
      <c r="BT146" s="57">
        <f>IF('Eurostat EB TJ'!BS153=":",0,'Eurostat EB TJ'!BS153)</f>
        <v>0</v>
      </c>
      <c r="BU146" s="57">
        <f>IF('Eurostat EB TJ'!BT153=":",0,'Eurostat EB TJ'!BT153)</f>
        <v>21.515000000000001</v>
      </c>
      <c r="BV146" s="57">
        <f>IF('Eurostat EB TJ'!BU153=":",0,'Eurostat EB TJ'!BU153)</f>
        <v>2878.9769999999999</v>
      </c>
    </row>
    <row r="147" spans="1:74" x14ac:dyDescent="0.2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</row>
    <row r="148" spans="1:74" x14ac:dyDescent="0.2">
      <c r="A148" s="19"/>
      <c r="B148" s="19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</row>
    <row r="149" spans="1:74" x14ac:dyDescent="0.2">
      <c r="A149" s="19"/>
      <c r="B149" s="19"/>
      <c r="C149" s="18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9B2B-CADD-BC40-BFB4-B73C01D1EC43}">
  <sheetPr>
    <tabColor rgb="FF92CDDC"/>
  </sheetPr>
  <dimension ref="A1:BN13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V94" sqref="V94"/>
    </sheetView>
  </sheetViews>
  <sheetFormatPr baseColWidth="10" defaultRowHeight="16" x14ac:dyDescent="0.2"/>
  <cols>
    <col min="1" max="1" width="87.33203125" bestFit="1" customWidth="1"/>
    <col min="2" max="2" width="19.6640625" bestFit="1" customWidth="1"/>
    <col min="3" max="3" width="21.1640625" bestFit="1" customWidth="1"/>
    <col min="4" max="4" width="9.6640625" bestFit="1" customWidth="1"/>
    <col min="5" max="5" width="10.33203125" bestFit="1" customWidth="1"/>
    <col min="6" max="6" width="19.5" bestFit="1" customWidth="1"/>
    <col min="7" max="7" width="18" bestFit="1" customWidth="1"/>
    <col min="8" max="8" width="6.6640625" bestFit="1" customWidth="1"/>
    <col min="9" max="9" width="10.1640625" bestFit="1" customWidth="1"/>
    <col min="10" max="10" width="13.5" bestFit="1" customWidth="1"/>
    <col min="11" max="11" width="8.5" bestFit="1" customWidth="1"/>
    <col min="12" max="12" width="7.5" bestFit="1" customWidth="1"/>
    <col min="13" max="13" width="17" bestFit="1" customWidth="1"/>
    <col min="14" max="14" width="13" bestFit="1" customWidth="1"/>
    <col min="15" max="15" width="12.6640625" bestFit="1" customWidth="1"/>
    <col min="16" max="16" width="15.33203125" bestFit="1" customWidth="1"/>
    <col min="17" max="17" width="19.6640625" bestFit="1" customWidth="1"/>
    <col min="18" max="18" width="11" bestFit="1" customWidth="1"/>
    <col min="19" max="19" width="10.6640625" bestFit="1" customWidth="1"/>
    <col min="20" max="20" width="30.83203125" bestFit="1" customWidth="1"/>
    <col min="21" max="21" width="8.33203125" bestFit="1" customWidth="1"/>
    <col min="22" max="22" width="16.6640625" bestFit="1" customWidth="1"/>
    <col min="23" max="23" width="17.33203125" bestFit="1" customWidth="1"/>
    <col min="24" max="24" width="39.33203125" bestFit="1" customWidth="1"/>
    <col min="25" max="25" width="17.33203125" bestFit="1" customWidth="1"/>
    <col min="26" max="26" width="11.33203125" bestFit="1" customWidth="1"/>
    <col min="27" max="27" width="9.6640625" bestFit="1" customWidth="1"/>
    <col min="28" max="28" width="28.33203125" bestFit="1" customWidth="1"/>
    <col min="29" max="29" width="31.33203125" bestFit="1" customWidth="1"/>
    <col min="30" max="30" width="15.1640625" bestFit="1" customWidth="1"/>
    <col min="31" max="31" width="18.83203125" bestFit="1" customWidth="1"/>
    <col min="32" max="32" width="36.6640625" bestFit="1" customWidth="1"/>
    <col min="33" max="33" width="13.6640625" bestFit="1" customWidth="1"/>
    <col min="34" max="34" width="36.33203125" bestFit="1" customWidth="1"/>
    <col min="35" max="35" width="10.1640625" bestFit="1" customWidth="1"/>
    <col min="36" max="36" width="8.1640625" bestFit="1" customWidth="1"/>
    <col min="37" max="37" width="40.83203125" bestFit="1" customWidth="1"/>
    <col min="38" max="38" width="9.5" bestFit="1" customWidth="1"/>
    <col min="39" max="39" width="11" bestFit="1" customWidth="1"/>
    <col min="40" max="40" width="13.33203125" bestFit="1" customWidth="1"/>
    <col min="41" max="41" width="13.83203125" bestFit="1" customWidth="1"/>
    <col min="42" max="42" width="18.83203125" bestFit="1" customWidth="1"/>
    <col min="43" max="43" width="24.83203125" bestFit="1" customWidth="1"/>
    <col min="44" max="44" width="25.5" bestFit="1" customWidth="1"/>
    <col min="45" max="45" width="29.33203125" bestFit="1" customWidth="1"/>
    <col min="46" max="46" width="19" bestFit="1" customWidth="1"/>
    <col min="47" max="47" width="9.6640625" bestFit="1" customWidth="1"/>
    <col min="48" max="48" width="15.5" bestFit="1" customWidth="1"/>
    <col min="49" max="49" width="14.6640625" bestFit="1" customWidth="1"/>
    <col min="50" max="50" width="18" bestFit="1" customWidth="1"/>
    <col min="51" max="51" width="24.83203125" customWidth="1"/>
    <col min="52" max="52" width="8.83203125" bestFit="1" customWidth="1"/>
    <col min="53" max="53" width="34.5" customWidth="1"/>
    <col min="54" max="54" width="29.1640625" customWidth="1"/>
    <col min="55" max="55" width="10.1640625" bestFit="1" customWidth="1"/>
    <col min="56" max="56" width="6.6640625" bestFit="1" customWidth="1"/>
    <col min="57" max="57" width="11" bestFit="1" customWidth="1"/>
    <col min="58" max="58" width="16.83203125" bestFit="1" customWidth="1"/>
    <col min="59" max="59" width="12.33203125" bestFit="1" customWidth="1"/>
    <col min="60" max="60" width="19" bestFit="1" customWidth="1"/>
    <col min="61" max="61" width="5.5" bestFit="1" customWidth="1"/>
    <col min="62" max="62" width="12.5" bestFit="1" customWidth="1"/>
    <col min="63" max="63" width="9.1640625" bestFit="1" customWidth="1"/>
    <col min="64" max="64" width="8.83203125" bestFit="1" customWidth="1"/>
    <col min="65" max="65" width="8" bestFit="1" customWidth="1"/>
    <col min="66" max="66" width="17.6640625" bestFit="1" customWidth="1"/>
  </cols>
  <sheetData>
    <row r="1" spans="1:66" x14ac:dyDescent="0.2">
      <c r="A1" s="66"/>
      <c r="B1" s="66" t="s">
        <v>398</v>
      </c>
      <c r="C1" s="66" t="s">
        <v>398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 t="s">
        <v>397</v>
      </c>
      <c r="S1" s="66"/>
      <c r="T1" s="66" t="s">
        <v>398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 t="s">
        <v>397</v>
      </c>
      <c r="AW1" s="66" t="s">
        <v>397</v>
      </c>
      <c r="AX1" s="66"/>
      <c r="AY1" s="66" t="s">
        <v>399</v>
      </c>
      <c r="AZ1" s="66"/>
      <c r="BA1" s="66" t="s">
        <v>399</v>
      </c>
      <c r="BB1" s="66" t="s">
        <v>399</v>
      </c>
      <c r="BC1" s="66"/>
      <c r="BD1" s="66"/>
      <c r="BE1" s="66"/>
      <c r="BF1" s="66"/>
      <c r="BG1" s="66"/>
      <c r="BH1" s="66"/>
      <c r="BI1" s="66"/>
      <c r="BJ1" s="66" t="s">
        <v>399</v>
      </c>
      <c r="BK1" s="66"/>
      <c r="BL1" s="66"/>
      <c r="BM1" s="66"/>
      <c r="BN1" s="66"/>
    </row>
    <row r="2" spans="1:66" x14ac:dyDescent="0.2">
      <c r="A2" s="52" t="s">
        <v>396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 t="s">
        <v>19</v>
      </c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 t="s">
        <v>58</v>
      </c>
      <c r="AW2" s="52" t="s">
        <v>60</v>
      </c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</row>
    <row r="3" spans="1:66" x14ac:dyDescent="0.2">
      <c r="A3" s="52" t="s">
        <v>396</v>
      </c>
      <c r="B3" s="52"/>
      <c r="C3" s="52"/>
      <c r="D3" s="52" t="s">
        <v>3</v>
      </c>
      <c r="E3" s="52" t="s">
        <v>4</v>
      </c>
      <c r="F3" s="52" t="s">
        <v>5</v>
      </c>
      <c r="G3" s="52" t="s">
        <v>6</v>
      </c>
      <c r="H3" s="52" t="s">
        <v>7</v>
      </c>
      <c r="I3" s="52" t="s">
        <v>8</v>
      </c>
      <c r="J3" s="52" t="s">
        <v>9</v>
      </c>
      <c r="K3" s="52" t="s">
        <v>10</v>
      </c>
      <c r="L3" s="52" t="s">
        <v>11</v>
      </c>
      <c r="M3" s="52" t="s">
        <v>12</v>
      </c>
      <c r="N3" s="52" t="s">
        <v>14</v>
      </c>
      <c r="O3" s="52" t="s">
        <v>15</v>
      </c>
      <c r="P3" s="52" t="s">
        <v>16</v>
      </c>
      <c r="Q3" s="52" t="s">
        <v>17</v>
      </c>
      <c r="R3" s="52" t="s">
        <v>20</v>
      </c>
      <c r="S3" s="52" t="s">
        <v>45</v>
      </c>
      <c r="T3" s="52"/>
      <c r="U3" s="52" t="s">
        <v>23</v>
      </c>
      <c r="V3" s="52" t="s">
        <v>24</v>
      </c>
      <c r="W3" s="52" t="s">
        <v>25</v>
      </c>
      <c r="X3" s="52" t="s">
        <v>26</v>
      </c>
      <c r="Y3" s="52" t="s">
        <v>27</v>
      </c>
      <c r="Z3" s="52" t="s">
        <v>28</v>
      </c>
      <c r="AA3" s="52" t="s">
        <v>29</v>
      </c>
      <c r="AB3" s="52" t="s">
        <v>30</v>
      </c>
      <c r="AC3" s="52" t="s">
        <v>31</v>
      </c>
      <c r="AD3" s="52" t="s">
        <v>32</v>
      </c>
      <c r="AE3" s="52" t="s">
        <v>33</v>
      </c>
      <c r="AF3" s="52" t="s">
        <v>34</v>
      </c>
      <c r="AG3" s="52" t="s">
        <v>35</v>
      </c>
      <c r="AH3" s="52" t="s">
        <v>37</v>
      </c>
      <c r="AI3" s="52" t="s">
        <v>38</v>
      </c>
      <c r="AJ3" s="52" t="s">
        <v>36</v>
      </c>
      <c r="AK3" s="52" t="s">
        <v>39</v>
      </c>
      <c r="AL3" s="52" t="s">
        <v>40</v>
      </c>
      <c r="AM3" s="52" t="s">
        <v>41</v>
      </c>
      <c r="AN3" s="52" t="s">
        <v>43</v>
      </c>
      <c r="AO3" s="52" t="s">
        <v>42</v>
      </c>
      <c r="AP3" s="52" t="s">
        <v>352</v>
      </c>
      <c r="AQ3" s="52" t="s">
        <v>66</v>
      </c>
      <c r="AR3" s="52" t="s">
        <v>56</v>
      </c>
      <c r="AS3" s="52" t="s">
        <v>67</v>
      </c>
      <c r="AT3" s="52" t="s">
        <v>53</v>
      </c>
      <c r="AU3" s="52" t="s">
        <v>55</v>
      </c>
      <c r="AV3" s="52" t="s">
        <v>57</v>
      </c>
      <c r="AW3" s="52" t="s">
        <v>59</v>
      </c>
      <c r="AX3" s="52" t="s">
        <v>63</v>
      </c>
      <c r="AY3" s="52"/>
      <c r="AZ3" s="52" t="s">
        <v>54</v>
      </c>
      <c r="BA3" s="52"/>
      <c r="BB3" s="52"/>
      <c r="BC3" s="52" t="s">
        <v>68</v>
      </c>
      <c r="BD3" s="52" t="s">
        <v>47</v>
      </c>
      <c r="BE3" s="52" t="s">
        <v>52</v>
      </c>
      <c r="BF3" s="52" t="s">
        <v>50</v>
      </c>
      <c r="BG3" s="52" t="s">
        <v>51</v>
      </c>
      <c r="BH3" s="52" t="s">
        <v>48</v>
      </c>
      <c r="BI3" s="52" t="s">
        <v>49</v>
      </c>
      <c r="BJ3" s="52"/>
      <c r="BK3" s="52" t="s">
        <v>70</v>
      </c>
      <c r="BL3" s="52" t="s">
        <v>69</v>
      </c>
      <c r="BM3" s="52" t="s">
        <v>1</v>
      </c>
      <c r="BN3" s="52" t="s">
        <v>72</v>
      </c>
    </row>
    <row r="4" spans="1:66" x14ac:dyDescent="0.2">
      <c r="A4" s="67" t="s">
        <v>395</v>
      </c>
      <c r="B4" s="68" t="s">
        <v>119</v>
      </c>
      <c r="C4" s="68" t="s">
        <v>120</v>
      </c>
      <c r="D4" s="68" t="s">
        <v>3</v>
      </c>
      <c r="E4" s="68" t="s">
        <v>4</v>
      </c>
      <c r="F4" s="68" t="s">
        <v>5</v>
      </c>
      <c r="G4" s="68" t="s">
        <v>6</v>
      </c>
      <c r="H4" s="68" t="s">
        <v>7</v>
      </c>
      <c r="I4" s="68" t="s">
        <v>8</v>
      </c>
      <c r="J4" s="68" t="s">
        <v>9</v>
      </c>
      <c r="K4" s="68" t="s">
        <v>10</v>
      </c>
      <c r="L4" s="68" t="s">
        <v>11</v>
      </c>
      <c r="M4" s="68" t="s">
        <v>121</v>
      </c>
      <c r="N4" s="68" t="s">
        <v>14</v>
      </c>
      <c r="O4" s="68" t="s">
        <v>15</v>
      </c>
      <c r="P4" s="68" t="s">
        <v>16</v>
      </c>
      <c r="Q4" s="68" t="s">
        <v>17</v>
      </c>
      <c r="R4" s="68" t="s">
        <v>19</v>
      </c>
      <c r="S4" s="68" t="s">
        <v>45</v>
      </c>
      <c r="T4" s="68" t="s">
        <v>122</v>
      </c>
      <c r="U4" s="68" t="s">
        <v>23</v>
      </c>
      <c r="V4" s="68" t="s">
        <v>24</v>
      </c>
      <c r="W4" s="68" t="s">
        <v>25</v>
      </c>
      <c r="X4" s="68" t="s">
        <v>123</v>
      </c>
      <c r="Y4" s="68" t="s">
        <v>27</v>
      </c>
      <c r="Z4" s="68" t="s">
        <v>28</v>
      </c>
      <c r="AA4" s="68" t="s">
        <v>29</v>
      </c>
      <c r="AB4" s="68" t="s">
        <v>124</v>
      </c>
      <c r="AC4" s="68" t="s">
        <v>125</v>
      </c>
      <c r="AD4" s="68" t="s">
        <v>32</v>
      </c>
      <c r="AE4" s="68" t="s">
        <v>126</v>
      </c>
      <c r="AF4" s="68" t="s">
        <v>127</v>
      </c>
      <c r="AG4" s="68" t="s">
        <v>35</v>
      </c>
      <c r="AH4" s="68" t="s">
        <v>128</v>
      </c>
      <c r="AI4" s="68" t="s">
        <v>38</v>
      </c>
      <c r="AJ4" s="68" t="s">
        <v>36</v>
      </c>
      <c r="AK4" s="68" t="s">
        <v>129</v>
      </c>
      <c r="AL4" s="68" t="s">
        <v>40</v>
      </c>
      <c r="AM4" s="68" t="s">
        <v>41</v>
      </c>
      <c r="AN4" s="68" t="s">
        <v>43</v>
      </c>
      <c r="AO4" s="68" t="s">
        <v>42</v>
      </c>
      <c r="AP4" s="68" t="s">
        <v>44</v>
      </c>
      <c r="AQ4" s="68" t="s">
        <v>130</v>
      </c>
      <c r="AR4" s="68" t="s">
        <v>131</v>
      </c>
      <c r="AS4" s="68" t="s">
        <v>132</v>
      </c>
      <c r="AT4" s="68" t="s">
        <v>53</v>
      </c>
      <c r="AU4" s="68" t="s">
        <v>55</v>
      </c>
      <c r="AV4" s="68" t="s">
        <v>133</v>
      </c>
      <c r="AW4" s="68" t="s">
        <v>134</v>
      </c>
      <c r="AX4" s="68" t="s">
        <v>63</v>
      </c>
      <c r="AY4" s="68" t="s">
        <v>135</v>
      </c>
      <c r="AZ4" s="68" t="s">
        <v>54</v>
      </c>
      <c r="BA4" s="68" t="s">
        <v>136</v>
      </c>
      <c r="BB4" s="68" t="s">
        <v>137</v>
      </c>
      <c r="BC4" s="68" t="s">
        <v>138</v>
      </c>
      <c r="BD4" s="68" t="s">
        <v>47</v>
      </c>
      <c r="BE4" s="68" t="s">
        <v>52</v>
      </c>
      <c r="BF4" s="68" t="s">
        <v>139</v>
      </c>
      <c r="BG4" s="68" t="s">
        <v>51</v>
      </c>
      <c r="BH4" s="68" t="s">
        <v>140</v>
      </c>
      <c r="BI4" s="68" t="s">
        <v>49</v>
      </c>
      <c r="BJ4" s="68" t="s">
        <v>94</v>
      </c>
      <c r="BK4" s="68" t="s">
        <v>70</v>
      </c>
      <c r="BL4" s="68" t="s">
        <v>69</v>
      </c>
      <c r="BM4" s="68" t="s">
        <v>1</v>
      </c>
      <c r="BN4" s="69" t="s">
        <v>141</v>
      </c>
    </row>
    <row r="5" spans="1:66" x14ac:dyDescent="0.2">
      <c r="A5" s="54" t="s">
        <v>322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</row>
    <row r="6" spans="1:66" x14ac:dyDescent="0.2">
      <c r="A6" s="56" t="s">
        <v>73</v>
      </c>
      <c r="B6" s="65" t="s">
        <v>323</v>
      </c>
      <c r="C6" s="65" t="s">
        <v>323</v>
      </c>
      <c r="D6" s="57">
        <f>INDEX('Eurostat EB TJ GWh'!$A$2:$BV$146,MATCH($A6,'Eurostat EB TJ GWh'!$A$2:$A$146,0),MATCH(D$3,'Eurostat EB TJ GWh'!$A$2:$BV$2,0))</f>
        <v>0</v>
      </c>
      <c r="E6" s="57">
        <f>INDEX('Eurostat EB TJ GWh'!$A$2:$BV$146,MATCH($A6,'Eurostat EB TJ GWh'!$A$2:$A$146,0),MATCH(E$3,'Eurostat EB TJ GWh'!$A$2:$BV$2,0))</f>
        <v>0</v>
      </c>
      <c r="F6" s="57">
        <f>INDEX('Eurostat EB TJ GWh'!$A$2:$BV$146,MATCH($A6,'Eurostat EB TJ GWh'!$A$2:$A$146,0),MATCH(F$3,'Eurostat EB TJ GWh'!$A$2:$BV$2,0))</f>
        <v>0</v>
      </c>
      <c r="G6" s="57">
        <f>INDEX('Eurostat EB TJ GWh'!$A$2:$BV$146,MATCH($A6,'Eurostat EB TJ GWh'!$A$2:$A$146,0),MATCH(G$3,'Eurostat EB TJ GWh'!$A$2:$BV$2,0))</f>
        <v>0</v>
      </c>
      <c r="H6" s="57">
        <f>INDEX('Eurostat EB TJ GWh'!$A$2:$BV$146,MATCH($A6,'Eurostat EB TJ GWh'!$A$2:$A$146,0),MATCH(H$3,'Eurostat EB TJ GWh'!$A$2:$BV$2,0))</f>
        <v>0</v>
      </c>
      <c r="I6" s="57">
        <f>INDEX('Eurostat EB TJ GWh'!$A$2:$BV$146,MATCH($A6,'Eurostat EB TJ GWh'!$A$2:$A$146,0),MATCH(I$3,'Eurostat EB TJ GWh'!$A$2:$BV$2,0))</f>
        <v>0</v>
      </c>
      <c r="J6" s="57">
        <f>INDEX('Eurostat EB TJ GWh'!$A$2:$BV$146,MATCH($A6,'Eurostat EB TJ GWh'!$A$2:$A$146,0),MATCH(J$3,'Eurostat EB TJ GWh'!$A$2:$BV$2,0))</f>
        <v>0</v>
      </c>
      <c r="K6" s="57">
        <f>INDEX('Eurostat EB TJ GWh'!$A$2:$BV$146,MATCH($A6,'Eurostat EB TJ GWh'!$A$2:$A$146,0),MATCH(K$3,'Eurostat EB TJ GWh'!$A$2:$BV$2,0))</f>
        <v>0</v>
      </c>
      <c r="L6" s="57">
        <f>INDEX('Eurostat EB TJ GWh'!$A$2:$BV$146,MATCH($A6,'Eurostat EB TJ GWh'!$A$2:$A$146,0),MATCH(L$3,'Eurostat EB TJ GWh'!$A$2:$BV$2,0))</f>
        <v>0</v>
      </c>
      <c r="M6" s="57">
        <f>INDEX('Eurostat EB TJ GWh'!$A$2:$BV$146,MATCH($A6,'Eurostat EB TJ GWh'!$A$2:$A$146,0),MATCH(M$3,'Eurostat EB TJ GWh'!$A$2:$BV$2,0))</f>
        <v>0</v>
      </c>
      <c r="N6" s="57">
        <f>INDEX('Eurostat EB TJ GWh'!$A$2:$BV$146,MATCH($A6,'Eurostat EB TJ GWh'!$A$2:$A$146,0),MATCH(N$3,'Eurostat EB TJ GWh'!$A$2:$BV$2,0))</f>
        <v>0</v>
      </c>
      <c r="O6" s="57">
        <f>INDEX('Eurostat EB TJ GWh'!$A$2:$BV$146,MATCH($A6,'Eurostat EB TJ GWh'!$A$2:$A$146,0),MATCH(O$3,'Eurostat EB TJ GWh'!$A$2:$BV$2,0))</f>
        <v>0</v>
      </c>
      <c r="P6" s="57">
        <f>INDEX('Eurostat EB TJ GWh'!$A$2:$BV$146,MATCH($A6,'Eurostat EB TJ GWh'!$A$2:$A$146,0),MATCH(P$3,'Eurostat EB TJ GWh'!$A$2:$BV$2,0))</f>
        <v>0</v>
      </c>
      <c r="Q6" s="57">
        <f>INDEX('Eurostat EB TJ GWh'!$A$2:$BV$146,MATCH($A6,'Eurostat EB TJ GWh'!$A$2:$A$146,0),MATCH(Q$3,'Eurostat EB TJ GWh'!$A$2:$BV$2,0))</f>
        <v>0</v>
      </c>
      <c r="R6" s="57">
        <f>INDEX('Eurostat EB TJ GWh'!$A$2:$BV$146,MATCH($A6,'Eurostat EB TJ GWh'!$A$2:$A$146,0),MATCH(R$2,'Eurostat EB TJ GWh'!$A$2:$BV$2,0))+INDEX('Eurostat EB TJ GWh'!$A$2:$BV$146,MATCH($A6,'Eurostat EB TJ GWh'!$A$2:$A$146,0),MATCH(R$3,'Eurostat EB TJ GWh'!$A$2:$BV$2,0))</f>
        <v>0</v>
      </c>
      <c r="S6" s="57">
        <f>INDEX('Eurostat EB TJ GWh'!$A$2:$BV$146,MATCH($A6,'Eurostat EB TJ GWh'!$A$2:$A$146,0),MATCH(S$3,'Eurostat EB TJ GWh'!$A$2:$BV$2,0))</f>
        <v>354715.59399999998</v>
      </c>
      <c r="T6" s="65" t="s">
        <v>323</v>
      </c>
      <c r="U6" s="57">
        <f>INDEX('Eurostat EB TJ GWh'!$A$2:$BV$146,MATCH($A6,'Eurostat EB TJ GWh'!$A$2:$A$146,0),MATCH(U$3,'Eurostat EB TJ GWh'!$A$2:$BV$2,0))</f>
        <v>13646.322</v>
      </c>
      <c r="V6" s="57">
        <f>INDEX('Eurostat EB TJ GWh'!$A$2:$BV$146,MATCH($A6,'Eurostat EB TJ GWh'!$A$2:$A$146,0),MATCH(V$3,'Eurostat EB TJ GWh'!$A$2:$BV$2,0))</f>
        <v>3753.5520000000001</v>
      </c>
      <c r="W6" s="57">
        <f>INDEX('Eurostat EB TJ GWh'!$A$2:$BV$146,MATCH($A6,'Eurostat EB TJ GWh'!$A$2:$A$146,0),MATCH(W$3,'Eurostat EB TJ GWh'!$A$2:$BV$2,0))</f>
        <v>0</v>
      </c>
      <c r="X6" s="57">
        <f>INDEX('Eurostat EB TJ GWh'!$A$2:$BV$146,MATCH($A6,'Eurostat EB TJ GWh'!$A$2:$A$146,0),MATCH(X$3,'Eurostat EB TJ GWh'!$A$2:$BV$2,0))</f>
        <v>10744.539000000001</v>
      </c>
      <c r="Y6" s="57">
        <f>INDEX('Eurostat EB TJ GWh'!$A$2:$BV$146,MATCH($A6,'Eurostat EB TJ GWh'!$A$2:$A$146,0),MATCH(Y$3,'Eurostat EB TJ GWh'!$A$2:$BV$2,0))</f>
        <v>0</v>
      </c>
      <c r="Z6" s="57">
        <f>INDEX('Eurostat EB TJ GWh'!$A$2:$BV$146,MATCH($A6,'Eurostat EB TJ GWh'!$A$2:$A$146,0),MATCH(Z$3,'Eurostat EB TJ GWh'!$A$2:$BV$2,0))</f>
        <v>0</v>
      </c>
      <c r="AA6" s="57">
        <f>INDEX('Eurostat EB TJ GWh'!$A$2:$BV$146,MATCH($A6,'Eurostat EB TJ GWh'!$A$2:$A$146,0),MATCH(AA$3,'Eurostat EB TJ GWh'!$A$2:$BV$2,0))</f>
        <v>0</v>
      </c>
      <c r="AB6" s="57">
        <f>INDEX('Eurostat EB TJ GWh'!$A$2:$BV$146,MATCH($A6,'Eurostat EB TJ GWh'!$A$2:$A$146,0),MATCH(AB$3,'Eurostat EB TJ GWh'!$A$2:$BV$2,0))</f>
        <v>0</v>
      </c>
      <c r="AC6" s="57">
        <f>INDEX('Eurostat EB TJ GWh'!$A$2:$BV$146,MATCH($A6,'Eurostat EB TJ GWh'!$A$2:$A$146,0),MATCH(AC$3,'Eurostat EB TJ GWh'!$A$2:$BV$2,0))</f>
        <v>0</v>
      </c>
      <c r="AD6" s="57">
        <f>INDEX('Eurostat EB TJ GWh'!$A$2:$BV$146,MATCH($A6,'Eurostat EB TJ GWh'!$A$2:$A$146,0),MATCH(AD$3,'Eurostat EB TJ GWh'!$A$2:$BV$2,0))</f>
        <v>0</v>
      </c>
      <c r="AE6" s="57">
        <f>INDEX('Eurostat EB TJ GWh'!$A$2:$BV$146,MATCH($A6,'Eurostat EB TJ GWh'!$A$2:$A$146,0),MATCH(AE$3,'Eurostat EB TJ GWh'!$A$2:$BV$2,0))</f>
        <v>0</v>
      </c>
      <c r="AF6" s="57">
        <f>INDEX('Eurostat EB TJ GWh'!$A$2:$BV$146,MATCH($A6,'Eurostat EB TJ GWh'!$A$2:$A$146,0),MATCH(AF$3,'Eurostat EB TJ GWh'!$A$2:$BV$2,0))</f>
        <v>0</v>
      </c>
      <c r="AG6" s="57">
        <f>INDEX('Eurostat EB TJ GWh'!$A$2:$BV$146,MATCH($A6,'Eurostat EB TJ GWh'!$A$2:$A$146,0),MATCH(AG$3,'Eurostat EB TJ GWh'!$A$2:$BV$2,0))</f>
        <v>0</v>
      </c>
      <c r="AH6" s="57">
        <f>INDEX('Eurostat EB TJ GWh'!$A$2:$BV$146,MATCH($A6,'Eurostat EB TJ GWh'!$A$2:$A$146,0),MATCH(AH$3,'Eurostat EB TJ GWh'!$A$2:$BV$2,0))</f>
        <v>0</v>
      </c>
      <c r="AI6" s="57">
        <f>INDEX('Eurostat EB TJ GWh'!$A$2:$BV$146,MATCH($A6,'Eurostat EB TJ GWh'!$A$2:$A$146,0),MATCH(AI$3,'Eurostat EB TJ GWh'!$A$2:$BV$2,0))</f>
        <v>0</v>
      </c>
      <c r="AJ6" s="57">
        <f>INDEX('Eurostat EB TJ GWh'!$A$2:$BV$146,MATCH($A6,'Eurostat EB TJ GWh'!$A$2:$A$146,0),MATCH(AJ$3,'Eurostat EB TJ GWh'!$A$2:$BV$2,0))</f>
        <v>0</v>
      </c>
      <c r="AK6" s="57">
        <f>INDEX('Eurostat EB TJ GWh'!$A$2:$BV$146,MATCH($A6,'Eurostat EB TJ GWh'!$A$2:$A$146,0),MATCH(AK$3,'Eurostat EB TJ GWh'!$A$2:$BV$2,0))</f>
        <v>0</v>
      </c>
      <c r="AL6" s="57">
        <f>INDEX('Eurostat EB TJ GWh'!$A$2:$BV$146,MATCH($A6,'Eurostat EB TJ GWh'!$A$2:$A$146,0),MATCH(AL$3,'Eurostat EB TJ GWh'!$A$2:$BV$2,0))</f>
        <v>0</v>
      </c>
      <c r="AM6" s="57">
        <f>INDEX('Eurostat EB TJ GWh'!$A$2:$BV$146,MATCH($A6,'Eurostat EB TJ GWh'!$A$2:$A$146,0),MATCH(AM$3,'Eurostat EB TJ GWh'!$A$2:$BV$2,0))</f>
        <v>0</v>
      </c>
      <c r="AN6" s="57">
        <f>INDEX('Eurostat EB TJ GWh'!$A$2:$BV$146,MATCH($A6,'Eurostat EB TJ GWh'!$A$2:$A$146,0),MATCH(AN$3,'Eurostat EB TJ GWh'!$A$2:$BV$2,0))</f>
        <v>0</v>
      </c>
      <c r="AO6" s="57">
        <f>INDEX('Eurostat EB TJ GWh'!$A$2:$BV$146,MATCH($A6,'Eurostat EB TJ GWh'!$A$2:$A$146,0),MATCH(AO$3,'Eurostat EB TJ GWh'!$A$2:$BV$2,0))</f>
        <v>0</v>
      </c>
      <c r="AP6" s="57">
        <f>INDEX('Eurostat EB TJ GWh'!$A$2:$BV$146,MATCH($A6,'Eurostat EB TJ GWh'!$A$2:$A$146,0),MATCH(AP$3,'Eurostat EB TJ GWh'!$A$2:$BV$2,0))</f>
        <v>0</v>
      </c>
      <c r="AQ6" s="57">
        <f>INDEX('Eurostat EB TJ GWh'!$A$2:$BV$146,MATCH($A6,'Eurostat EB TJ GWh'!$A$2:$A$146,0),MATCH(AQ$3,'Eurostat EB TJ GWh'!$A$2:$BV$2,0))</f>
        <v>1876.845</v>
      </c>
      <c r="AR6" s="57">
        <f>INDEX('Eurostat EB TJ GWh'!$A$2:$BV$146,MATCH($A6,'Eurostat EB TJ GWh'!$A$2:$A$146,0),MATCH(AR$3,'Eurostat EB TJ GWh'!$A$2:$BV$2,0))</f>
        <v>32443.485000000001</v>
      </c>
      <c r="AS6" s="57">
        <f>INDEX('Eurostat EB TJ GWh'!$A$2:$BV$146,MATCH($A6,'Eurostat EB TJ GWh'!$A$2:$A$146,0),MATCH(AS$3,'Eurostat EB TJ GWh'!$A$2:$BV$2,0))</f>
        <v>28770.636999999999</v>
      </c>
      <c r="AT6" s="57">
        <f>INDEX('Eurostat EB TJ GWh'!$A$2:$BV$146,MATCH($A6,'Eurostat EB TJ GWh'!$A$2:$A$146,0),MATCH(AT$3,'Eurostat EB TJ GWh'!$A$2:$BV$2,0))</f>
        <v>65069.523000000001</v>
      </c>
      <c r="AU6" s="57">
        <f>INDEX('Eurostat EB TJ GWh'!$A$2:$BV$146,MATCH($A6,'Eurostat EB TJ GWh'!$A$2:$A$146,0),MATCH(AU$3,'Eurostat EB TJ GWh'!$A$2:$BV$2,0))</f>
        <v>18758.186000000002</v>
      </c>
      <c r="AV6" s="57">
        <f>INDEX('Eurostat EB TJ GWh'!$A$2:$BV$146,MATCH($A6,'Eurostat EB TJ GWh'!$A$2:$A$146,0),MATCH(AV$2,'Eurostat EB TJ GWh'!$A$2:$BV$2,0))+INDEX('Eurostat EB TJ GWh'!$A$2:$BV$146,MATCH($A6,'Eurostat EB TJ GWh'!$A$2:$A$146,0),MATCH(AV$3,'Eurostat EB TJ GWh'!$A$2:$BV$2,0))</f>
        <v>0</v>
      </c>
      <c r="AW6" s="57">
        <f>INDEX('Eurostat EB TJ GWh'!$A$2:$BV$146,MATCH($A6,'Eurostat EB TJ GWh'!$A$2:$A$146,0),MATCH(AW$2,'Eurostat EB TJ GWh'!$A$2:$BV$2,0))+INDEX('Eurostat EB TJ GWh'!$A$2:$BV$146,MATCH($A6,'Eurostat EB TJ GWh'!$A$2:$A$146,0),MATCH(AW$3,'Eurostat EB TJ GWh'!$A$2:$BV$2,0))</f>
        <v>79792.506999999998</v>
      </c>
      <c r="AX6" s="57">
        <f>INDEX('Eurostat EB TJ GWh'!$A$2:$BV$146,MATCH($A6,'Eurostat EB TJ GWh'!$A$2:$A$146,0),MATCH(AX$3,'Eurostat EB TJ GWh'!$A$2:$BV$2,0))</f>
        <v>529.77599999999995</v>
      </c>
      <c r="AY6" s="65">
        <v>0</v>
      </c>
      <c r="AZ6" s="57">
        <f>INDEX('Eurostat EB TJ GWh'!$A$2:$BV$146,MATCH($A6,'Eurostat EB TJ GWh'!$A$2:$A$146,0),MATCH(AZ$3,'Eurostat EB TJ GWh'!$A$2:$BV$2,0))</f>
        <v>0</v>
      </c>
      <c r="BA6" s="65">
        <v>0</v>
      </c>
      <c r="BB6" s="65">
        <v>0</v>
      </c>
      <c r="BC6" s="57">
        <f>INDEX('Eurostat EB TJ GWh'!$A$2:$BV$146,MATCH($A6,'Eurostat EB TJ GWh'!$A$2:$A$146,0),MATCH(BC$3,'Eurostat EB TJ GWh'!$A$2:$BV$2,0))</f>
        <v>38959.053</v>
      </c>
      <c r="BD6" s="57">
        <f>INDEX('Eurostat EB TJ GWh'!$A$2:$BV$146,MATCH($A6,'Eurostat EB TJ GWh'!$A$2:$A$146,0),MATCH(BD$3,'Eurostat EB TJ GWh'!$A$2:$BV$2,0))</f>
        <v>249.72800000000001</v>
      </c>
      <c r="BE6" s="57">
        <f>INDEX('Eurostat EB TJ GWh'!$A$2:$BV$146,MATCH($A6,'Eurostat EB TJ GWh'!$A$2:$A$146,0),MATCH(BE$3,'Eurostat EB TJ GWh'!$A$2:$BV$2,0))</f>
        <v>6797.51</v>
      </c>
      <c r="BF6" s="57">
        <f>INDEX('Eurostat EB TJ GWh'!$A$2:$BV$146,MATCH($A6,'Eurostat EB TJ GWh'!$A$2:$A$146,0),MATCH(BF$3,'Eurostat EB TJ GWh'!$A$2:$BV$2,0))</f>
        <v>70481.476999999999</v>
      </c>
      <c r="BG6" s="57">
        <f>INDEX('Eurostat EB TJ GWh'!$A$2:$BV$146,MATCH($A6,'Eurostat EB TJ GWh'!$A$2:$A$146,0),MATCH(BG$3,'Eurostat EB TJ GWh'!$A$2:$BV$2,0))</f>
        <v>1176</v>
      </c>
      <c r="BH6" s="57">
        <f>INDEX('Eurostat EB TJ GWh'!$A$2:$BV$146,MATCH($A6,'Eurostat EB TJ GWh'!$A$2:$A$146,0),MATCH(BH$3,'Eurostat EB TJ GWh'!$A$2:$BV$2,0))</f>
        <v>0</v>
      </c>
      <c r="BI6" s="57">
        <f>INDEX('Eurostat EB TJ GWh'!$A$2:$BV$146,MATCH($A6,'Eurostat EB TJ GWh'!$A$2:$A$146,0),MATCH(BI$3,'Eurostat EB TJ GWh'!$A$2:$BV$2,0))</f>
        <v>106290.292</v>
      </c>
      <c r="BJ6" s="65">
        <v>0</v>
      </c>
      <c r="BK6" s="57">
        <f>INDEX('Eurostat EB TJ GWh'!$A$2:$BV$146,MATCH($A6,'Eurostat EB TJ GWh'!$A$2:$A$146,0),MATCH(BK$3,'Eurostat EB TJ GWh'!$A$2:$BV$2,0))</f>
        <v>0</v>
      </c>
      <c r="BL6" s="57">
        <f>INDEX('Eurostat EB TJ GWh'!$A$2:$BV$146,MATCH($A6,'Eurostat EB TJ GWh'!$A$2:$A$146,0),MATCH(BL$3,'Eurostat EB TJ GWh'!$A$2:$BV$2,0))</f>
        <v>8031.1109999999999</v>
      </c>
      <c r="BM6" s="57">
        <f>INDEX('Eurostat EB TJ GWh'!$A$2:$BV$146,MATCH($A6,'Eurostat EB TJ GWh'!$A$2:$A$146,0),MATCH(BM$3,'Eurostat EB TJ GWh'!$A$2:$BV$2,0))</f>
        <v>867610.75</v>
      </c>
      <c r="BN6" s="57">
        <f>INDEX('Eurostat EB TJ GWh'!$A$2:$BV$146,MATCH($A6,'Eurostat EB TJ GWh'!$A$2:$A$146,0),MATCH(BN$3,'Eurostat EB TJ GWh'!$A$2:$BV$2,0))</f>
        <v>196593.47700000001</v>
      </c>
    </row>
    <row r="7" spans="1:66" x14ac:dyDescent="0.2">
      <c r="A7" s="56" t="s">
        <v>203</v>
      </c>
      <c r="B7" s="65" t="s">
        <v>323</v>
      </c>
      <c r="C7" s="65" t="s">
        <v>323</v>
      </c>
      <c r="D7" s="17">
        <f>INDEX('Eurostat EB TJ GWh'!$A$2:$BV$146,MATCH($A7,'Eurostat EB TJ GWh'!$A$2:$A$146,0),MATCH(D$3,'Eurostat EB TJ GWh'!$A$2:$BV$2,0))</f>
        <v>0</v>
      </c>
      <c r="E7" s="17">
        <f>INDEX('Eurostat EB TJ GWh'!$A$2:$BV$146,MATCH($A7,'Eurostat EB TJ GWh'!$A$2:$A$146,0),MATCH(E$3,'Eurostat EB TJ GWh'!$A$2:$BV$2,0))</f>
        <v>0</v>
      </c>
      <c r="F7" s="17">
        <f>INDEX('Eurostat EB TJ GWh'!$A$2:$BV$146,MATCH($A7,'Eurostat EB TJ GWh'!$A$2:$A$146,0),MATCH(F$3,'Eurostat EB TJ GWh'!$A$2:$BV$2,0))</f>
        <v>0</v>
      </c>
      <c r="G7" s="17">
        <f>INDEX('Eurostat EB TJ GWh'!$A$2:$BV$146,MATCH($A7,'Eurostat EB TJ GWh'!$A$2:$A$146,0),MATCH(G$3,'Eurostat EB TJ GWh'!$A$2:$BV$2,0))</f>
        <v>0</v>
      </c>
      <c r="H7" s="17">
        <f>INDEX('Eurostat EB TJ GWh'!$A$2:$BV$146,MATCH($A7,'Eurostat EB TJ GWh'!$A$2:$A$146,0),MATCH(H$3,'Eurostat EB TJ GWh'!$A$2:$BV$2,0))</f>
        <v>0</v>
      </c>
      <c r="I7" s="17">
        <f>INDEX('Eurostat EB TJ GWh'!$A$2:$BV$146,MATCH($A7,'Eurostat EB TJ GWh'!$A$2:$A$146,0),MATCH(I$3,'Eurostat EB TJ GWh'!$A$2:$BV$2,0))</f>
        <v>0</v>
      </c>
      <c r="J7" s="17">
        <f>INDEX('Eurostat EB TJ GWh'!$A$2:$BV$146,MATCH($A7,'Eurostat EB TJ GWh'!$A$2:$A$146,0),MATCH(J$3,'Eurostat EB TJ GWh'!$A$2:$BV$2,0))</f>
        <v>0</v>
      </c>
      <c r="K7" s="17">
        <f>INDEX('Eurostat EB TJ GWh'!$A$2:$BV$146,MATCH($A7,'Eurostat EB TJ GWh'!$A$2:$A$146,0),MATCH(K$3,'Eurostat EB TJ GWh'!$A$2:$BV$2,0))</f>
        <v>0</v>
      </c>
      <c r="L7" s="17">
        <f>INDEX('Eurostat EB TJ GWh'!$A$2:$BV$146,MATCH($A7,'Eurostat EB TJ GWh'!$A$2:$A$146,0),MATCH(L$3,'Eurostat EB TJ GWh'!$A$2:$BV$2,0))</f>
        <v>0</v>
      </c>
      <c r="M7" s="17">
        <f>INDEX('Eurostat EB TJ GWh'!$A$2:$BV$146,MATCH($A7,'Eurostat EB TJ GWh'!$A$2:$A$146,0),MATCH(M$3,'Eurostat EB TJ GWh'!$A$2:$BV$2,0))</f>
        <v>0</v>
      </c>
      <c r="N7" s="17">
        <f>INDEX('Eurostat EB TJ GWh'!$A$2:$BV$146,MATCH($A7,'Eurostat EB TJ GWh'!$A$2:$A$146,0),MATCH(N$3,'Eurostat EB TJ GWh'!$A$2:$BV$2,0))</f>
        <v>0</v>
      </c>
      <c r="O7" s="17">
        <f>INDEX('Eurostat EB TJ GWh'!$A$2:$BV$146,MATCH($A7,'Eurostat EB TJ GWh'!$A$2:$A$146,0),MATCH(O$3,'Eurostat EB TJ GWh'!$A$2:$BV$2,0))</f>
        <v>0</v>
      </c>
      <c r="P7" s="17">
        <f>INDEX('Eurostat EB TJ GWh'!$A$2:$BV$146,MATCH($A7,'Eurostat EB TJ GWh'!$A$2:$A$146,0),MATCH(P$3,'Eurostat EB TJ GWh'!$A$2:$BV$2,0))</f>
        <v>0</v>
      </c>
      <c r="Q7" s="17">
        <f>INDEX('Eurostat EB TJ GWh'!$A$2:$BV$146,MATCH($A7,'Eurostat EB TJ GWh'!$A$2:$A$146,0),MATCH(Q$3,'Eurostat EB TJ GWh'!$A$2:$BV$2,0))</f>
        <v>0</v>
      </c>
      <c r="R7" s="17">
        <f>INDEX('Eurostat EB TJ GWh'!$A$2:$BV$146,MATCH($A7,'Eurostat EB TJ GWh'!$A$2:$A$146,0),MATCH(R$2,'Eurostat EB TJ GWh'!$A$2:$BV$2,0))+INDEX('Eurostat EB TJ GWh'!$A$2:$BV$146,MATCH($A7,'Eurostat EB TJ GWh'!$A$2:$A$146,0),MATCH(R$3,'Eurostat EB TJ GWh'!$A$2:$BV$2,0))</f>
        <v>0</v>
      </c>
      <c r="S7" s="17">
        <f>INDEX('Eurostat EB TJ GWh'!$A$2:$BV$146,MATCH($A7,'Eurostat EB TJ GWh'!$A$2:$A$146,0),MATCH(S$3,'Eurostat EB TJ GWh'!$A$2:$BV$2,0))</f>
        <v>0</v>
      </c>
      <c r="T7" s="65" t="s">
        <v>323</v>
      </c>
      <c r="U7" s="17">
        <f>INDEX('Eurostat EB TJ GWh'!$A$2:$BV$146,MATCH($A7,'Eurostat EB TJ GWh'!$A$2:$A$146,0),MATCH(U$3,'Eurostat EB TJ GWh'!$A$2:$BV$2,0))</f>
        <v>0</v>
      </c>
      <c r="V7" s="17">
        <f>INDEX('Eurostat EB TJ GWh'!$A$2:$BV$146,MATCH($A7,'Eurostat EB TJ GWh'!$A$2:$A$146,0),MATCH(V$3,'Eurostat EB TJ GWh'!$A$2:$BV$2,0))</f>
        <v>0</v>
      </c>
      <c r="W7" s="17">
        <f>INDEX('Eurostat EB TJ GWh'!$A$2:$BV$146,MATCH($A7,'Eurostat EB TJ GWh'!$A$2:$A$146,0),MATCH(W$3,'Eurostat EB TJ GWh'!$A$2:$BV$2,0))</f>
        <v>0</v>
      </c>
      <c r="X7" s="17">
        <f>INDEX('Eurostat EB TJ GWh'!$A$2:$BV$146,MATCH($A7,'Eurostat EB TJ GWh'!$A$2:$A$146,0),MATCH(X$3,'Eurostat EB TJ GWh'!$A$2:$BV$2,0))</f>
        <v>0</v>
      </c>
      <c r="Y7" s="17">
        <f>INDEX('Eurostat EB TJ GWh'!$A$2:$BV$146,MATCH($A7,'Eurostat EB TJ GWh'!$A$2:$A$146,0),MATCH(Y$3,'Eurostat EB TJ GWh'!$A$2:$BV$2,0))</f>
        <v>0</v>
      </c>
      <c r="Z7" s="17">
        <f>INDEX('Eurostat EB TJ GWh'!$A$2:$BV$146,MATCH($A7,'Eurostat EB TJ GWh'!$A$2:$A$146,0),MATCH(Z$3,'Eurostat EB TJ GWh'!$A$2:$BV$2,0))</f>
        <v>10953.163</v>
      </c>
      <c r="AA7" s="17">
        <f>INDEX('Eurostat EB TJ GWh'!$A$2:$BV$146,MATCH($A7,'Eurostat EB TJ GWh'!$A$2:$A$146,0),MATCH(AA$3,'Eurostat EB TJ GWh'!$A$2:$BV$2,0))</f>
        <v>0</v>
      </c>
      <c r="AB7" s="17">
        <f>INDEX('Eurostat EB TJ GWh'!$A$2:$BV$146,MATCH($A7,'Eurostat EB TJ GWh'!$A$2:$A$146,0),MATCH(AB$3,'Eurostat EB TJ GWh'!$A$2:$BV$2,0))</f>
        <v>0</v>
      </c>
      <c r="AC7" s="17">
        <f>INDEX('Eurostat EB TJ GWh'!$A$2:$BV$146,MATCH($A7,'Eurostat EB TJ GWh'!$A$2:$A$146,0),MATCH(AC$3,'Eurostat EB TJ GWh'!$A$2:$BV$2,0))</f>
        <v>0</v>
      </c>
      <c r="AD7" s="17">
        <f>INDEX('Eurostat EB TJ GWh'!$A$2:$BV$146,MATCH($A7,'Eurostat EB TJ GWh'!$A$2:$A$146,0),MATCH(AD$3,'Eurostat EB TJ GWh'!$A$2:$BV$2,0))</f>
        <v>0</v>
      </c>
      <c r="AE7" s="17">
        <f>INDEX('Eurostat EB TJ GWh'!$A$2:$BV$146,MATCH($A7,'Eurostat EB TJ GWh'!$A$2:$A$146,0),MATCH(AE$3,'Eurostat EB TJ GWh'!$A$2:$BV$2,0))</f>
        <v>0</v>
      </c>
      <c r="AF7" s="17">
        <f>INDEX('Eurostat EB TJ GWh'!$A$2:$BV$146,MATCH($A7,'Eurostat EB TJ GWh'!$A$2:$A$146,0),MATCH(AF$3,'Eurostat EB TJ GWh'!$A$2:$BV$2,0))</f>
        <v>0</v>
      </c>
      <c r="AG7" s="17">
        <f>INDEX('Eurostat EB TJ GWh'!$A$2:$BV$146,MATCH($A7,'Eurostat EB TJ GWh'!$A$2:$A$146,0),MATCH(AG$3,'Eurostat EB TJ GWh'!$A$2:$BV$2,0))</f>
        <v>0</v>
      </c>
      <c r="AH7" s="17">
        <f>INDEX('Eurostat EB TJ GWh'!$A$2:$BV$146,MATCH($A7,'Eurostat EB TJ GWh'!$A$2:$A$146,0),MATCH(AH$3,'Eurostat EB TJ GWh'!$A$2:$BV$2,0))</f>
        <v>0</v>
      </c>
      <c r="AI7" s="17">
        <f>INDEX('Eurostat EB TJ GWh'!$A$2:$BV$146,MATCH($A7,'Eurostat EB TJ GWh'!$A$2:$A$146,0),MATCH(AI$3,'Eurostat EB TJ GWh'!$A$2:$BV$2,0))</f>
        <v>0</v>
      </c>
      <c r="AJ7" s="17">
        <f>INDEX('Eurostat EB TJ GWh'!$A$2:$BV$146,MATCH($A7,'Eurostat EB TJ GWh'!$A$2:$A$146,0),MATCH(AJ$3,'Eurostat EB TJ GWh'!$A$2:$BV$2,0))</f>
        <v>0</v>
      </c>
      <c r="AK7" s="17">
        <f>INDEX('Eurostat EB TJ GWh'!$A$2:$BV$146,MATCH($A7,'Eurostat EB TJ GWh'!$A$2:$A$146,0),MATCH(AK$3,'Eurostat EB TJ GWh'!$A$2:$BV$2,0))</f>
        <v>0</v>
      </c>
      <c r="AL7" s="17">
        <f>INDEX('Eurostat EB TJ GWh'!$A$2:$BV$146,MATCH($A7,'Eurostat EB TJ GWh'!$A$2:$A$146,0),MATCH(AL$3,'Eurostat EB TJ GWh'!$A$2:$BV$2,0))</f>
        <v>0</v>
      </c>
      <c r="AM7" s="17">
        <f>INDEX('Eurostat EB TJ GWh'!$A$2:$BV$146,MATCH($A7,'Eurostat EB TJ GWh'!$A$2:$A$146,0),MATCH(AM$3,'Eurostat EB TJ GWh'!$A$2:$BV$2,0))</f>
        <v>0</v>
      </c>
      <c r="AN7" s="17">
        <f>INDEX('Eurostat EB TJ GWh'!$A$2:$BV$146,MATCH($A7,'Eurostat EB TJ GWh'!$A$2:$A$146,0),MATCH(AN$3,'Eurostat EB TJ GWh'!$A$2:$BV$2,0))</f>
        <v>0</v>
      </c>
      <c r="AO7" s="17">
        <f>INDEX('Eurostat EB TJ GWh'!$A$2:$BV$146,MATCH($A7,'Eurostat EB TJ GWh'!$A$2:$A$146,0),MATCH(AO$3,'Eurostat EB TJ GWh'!$A$2:$BV$2,0))</f>
        <v>0</v>
      </c>
      <c r="AP7" s="17">
        <f>INDEX('Eurostat EB TJ GWh'!$A$2:$BV$146,MATCH($A7,'Eurostat EB TJ GWh'!$A$2:$A$146,0),MATCH(AP$3,'Eurostat EB TJ GWh'!$A$2:$BV$2,0))</f>
        <v>2284.98</v>
      </c>
      <c r="AQ7" s="17">
        <f>INDEX('Eurostat EB TJ GWh'!$A$2:$BV$146,MATCH($A7,'Eurostat EB TJ GWh'!$A$2:$A$146,0),MATCH(AQ$3,'Eurostat EB TJ GWh'!$A$2:$BV$2,0))</f>
        <v>0</v>
      </c>
      <c r="AR7" s="17">
        <f>INDEX('Eurostat EB TJ GWh'!$A$2:$BV$146,MATCH($A7,'Eurostat EB TJ GWh'!$A$2:$A$146,0),MATCH(AR$3,'Eurostat EB TJ GWh'!$A$2:$BV$2,0))</f>
        <v>0</v>
      </c>
      <c r="AS7" s="17">
        <f>INDEX('Eurostat EB TJ GWh'!$A$2:$BV$146,MATCH($A7,'Eurostat EB TJ GWh'!$A$2:$A$146,0),MATCH(AS$3,'Eurostat EB TJ GWh'!$A$2:$BV$2,0))</f>
        <v>0</v>
      </c>
      <c r="AT7" s="17">
        <f>INDEX('Eurostat EB TJ GWh'!$A$2:$BV$146,MATCH($A7,'Eurostat EB TJ GWh'!$A$2:$A$146,0),MATCH(AT$3,'Eurostat EB TJ GWh'!$A$2:$BV$2,0))</f>
        <v>0</v>
      </c>
      <c r="AU7" s="17">
        <f>INDEX('Eurostat EB TJ GWh'!$A$2:$BV$146,MATCH($A7,'Eurostat EB TJ GWh'!$A$2:$A$146,0),MATCH(AU$3,'Eurostat EB TJ GWh'!$A$2:$BV$2,0))</f>
        <v>0</v>
      </c>
      <c r="AV7" s="17">
        <f>INDEX('Eurostat EB TJ GWh'!$A$2:$BV$146,MATCH($A7,'Eurostat EB TJ GWh'!$A$2:$A$146,0),MATCH(AV$2,'Eurostat EB TJ GWh'!$A$2:$BV$2,0))+INDEX('Eurostat EB TJ GWh'!$A$2:$BV$146,MATCH($A7,'Eurostat EB TJ GWh'!$A$2:$A$146,0),MATCH(AV$3,'Eurostat EB TJ GWh'!$A$2:$BV$2,0))</f>
        <v>0</v>
      </c>
      <c r="AW7" s="17">
        <f>INDEX('Eurostat EB TJ GWh'!$A$2:$BV$146,MATCH($A7,'Eurostat EB TJ GWh'!$A$2:$A$146,0),MATCH(AW$2,'Eurostat EB TJ GWh'!$A$2:$BV$2,0))+INDEX('Eurostat EB TJ GWh'!$A$2:$BV$146,MATCH($A7,'Eurostat EB TJ GWh'!$A$2:$A$146,0),MATCH(AW$3,'Eurostat EB TJ GWh'!$A$2:$BV$2,0))</f>
        <v>0</v>
      </c>
      <c r="AX7" s="17">
        <f>INDEX('Eurostat EB TJ GWh'!$A$2:$BV$146,MATCH($A7,'Eurostat EB TJ GWh'!$A$2:$A$146,0),MATCH(AX$3,'Eurostat EB TJ GWh'!$A$2:$BV$2,0))</f>
        <v>0</v>
      </c>
      <c r="AY7" s="72">
        <v>0</v>
      </c>
      <c r="AZ7" s="17">
        <f>INDEX('Eurostat EB TJ GWh'!$A$2:$BV$146,MATCH($A7,'Eurostat EB TJ GWh'!$A$2:$A$146,0),MATCH(AZ$3,'Eurostat EB TJ GWh'!$A$2:$BV$2,0))</f>
        <v>0</v>
      </c>
      <c r="BA7" s="72">
        <v>0</v>
      </c>
      <c r="BB7" s="72">
        <v>0</v>
      </c>
      <c r="BC7" s="17">
        <f>INDEX('Eurostat EB TJ GWh'!$A$2:$BV$146,MATCH($A7,'Eurostat EB TJ GWh'!$A$2:$A$146,0),MATCH(BC$3,'Eurostat EB TJ GWh'!$A$2:$BV$2,0))</f>
        <v>0</v>
      </c>
      <c r="BD7" s="17">
        <f>INDEX('Eurostat EB TJ GWh'!$A$2:$BV$146,MATCH($A7,'Eurostat EB TJ GWh'!$A$2:$A$146,0),MATCH(BD$3,'Eurostat EB TJ GWh'!$A$2:$BV$2,0))</f>
        <v>0</v>
      </c>
      <c r="BE7" s="17">
        <f>INDEX('Eurostat EB TJ GWh'!$A$2:$BV$146,MATCH($A7,'Eurostat EB TJ GWh'!$A$2:$A$146,0),MATCH(BE$3,'Eurostat EB TJ GWh'!$A$2:$BV$2,0))</f>
        <v>0</v>
      </c>
      <c r="BF7" s="17">
        <f>INDEX('Eurostat EB TJ GWh'!$A$2:$BV$146,MATCH($A7,'Eurostat EB TJ GWh'!$A$2:$A$146,0),MATCH(BF$3,'Eurostat EB TJ GWh'!$A$2:$BV$2,0))</f>
        <v>0</v>
      </c>
      <c r="BG7" s="17">
        <f>INDEX('Eurostat EB TJ GWh'!$A$2:$BV$146,MATCH($A7,'Eurostat EB TJ GWh'!$A$2:$A$146,0),MATCH(BG$3,'Eurostat EB TJ GWh'!$A$2:$BV$2,0))</f>
        <v>0</v>
      </c>
      <c r="BH7" s="17">
        <f>INDEX('Eurostat EB TJ GWh'!$A$2:$BV$146,MATCH($A7,'Eurostat EB TJ GWh'!$A$2:$A$146,0),MATCH(BH$3,'Eurostat EB TJ GWh'!$A$2:$BV$2,0))</f>
        <v>0</v>
      </c>
      <c r="BI7" s="17">
        <f>INDEX('Eurostat EB TJ GWh'!$A$2:$BV$146,MATCH($A7,'Eurostat EB TJ GWh'!$A$2:$A$146,0),MATCH(BI$3,'Eurostat EB TJ GWh'!$A$2:$BV$2,0))</f>
        <v>0</v>
      </c>
      <c r="BJ7" s="72">
        <v>0</v>
      </c>
      <c r="BK7" s="17">
        <f>INDEX('Eurostat EB TJ GWh'!$A$2:$BV$146,MATCH($A7,'Eurostat EB TJ GWh'!$A$2:$A$146,0),MATCH(BK$3,'Eurostat EB TJ GWh'!$A$2:$BV$2,0))</f>
        <v>0</v>
      </c>
      <c r="BL7" s="17">
        <f>INDEX('Eurostat EB TJ GWh'!$A$2:$BV$146,MATCH($A7,'Eurostat EB TJ GWh'!$A$2:$A$146,0),MATCH(BL$3,'Eurostat EB TJ GWh'!$A$2:$BV$2,0))</f>
        <v>0</v>
      </c>
      <c r="BM7" s="17">
        <f>INDEX('Eurostat EB TJ GWh'!$A$2:$BV$146,MATCH($A7,'Eurostat EB TJ GWh'!$A$2:$A$146,0),MATCH(BM$3,'Eurostat EB TJ GWh'!$A$2:$BV$2,0))</f>
        <v>13238.144</v>
      </c>
      <c r="BN7" s="17">
        <f>INDEX('Eurostat EB TJ GWh'!$A$2:$BV$146,MATCH($A7,'Eurostat EB TJ GWh'!$A$2:$A$146,0),MATCH(BN$3,'Eurostat EB TJ GWh'!$A$2:$BV$2,0))</f>
        <v>0</v>
      </c>
    </row>
    <row r="8" spans="1:66" x14ac:dyDescent="0.2">
      <c r="A8" s="56" t="s">
        <v>74</v>
      </c>
      <c r="B8" s="65" t="s">
        <v>323</v>
      </c>
      <c r="C8" s="65" t="s">
        <v>323</v>
      </c>
      <c r="D8" s="57">
        <f>INDEX('Eurostat EB TJ GWh'!$A$2:$BV$146,MATCH($A8,'Eurostat EB TJ GWh'!$A$2:$A$146,0),MATCH(D$3,'Eurostat EB TJ GWh'!$A$2:$BV$2,0))</f>
        <v>76.706999999999994</v>
      </c>
      <c r="E8" s="57">
        <f>INDEX('Eurostat EB TJ GWh'!$A$2:$BV$146,MATCH($A8,'Eurostat EB TJ GWh'!$A$2:$A$146,0),MATCH(E$3,'Eurostat EB TJ GWh'!$A$2:$BV$2,0))</f>
        <v>104273.93</v>
      </c>
      <c r="F8" s="57">
        <f>INDEX('Eurostat EB TJ GWh'!$A$2:$BV$146,MATCH($A8,'Eurostat EB TJ GWh'!$A$2:$A$146,0),MATCH(F$3,'Eurostat EB TJ GWh'!$A$2:$BV$2,0))</f>
        <v>70267.929999999993</v>
      </c>
      <c r="G8" s="57">
        <f>INDEX('Eurostat EB TJ GWh'!$A$2:$BV$146,MATCH($A8,'Eurostat EB TJ GWh'!$A$2:$A$146,0),MATCH(G$3,'Eurostat EB TJ GWh'!$A$2:$BV$2,0))</f>
        <v>0</v>
      </c>
      <c r="H8" s="57">
        <f>INDEX('Eurostat EB TJ GWh'!$A$2:$BV$146,MATCH($A8,'Eurostat EB TJ GWh'!$A$2:$A$146,0),MATCH(H$3,'Eurostat EB TJ GWh'!$A$2:$BV$2,0))</f>
        <v>312.82</v>
      </c>
      <c r="I8" s="57">
        <f>INDEX('Eurostat EB TJ GWh'!$A$2:$BV$146,MATCH($A8,'Eurostat EB TJ GWh'!$A$2:$A$146,0),MATCH(I$3,'Eurostat EB TJ GWh'!$A$2:$BV$2,0))</f>
        <v>0</v>
      </c>
      <c r="J8" s="57">
        <f>INDEX('Eurostat EB TJ GWh'!$A$2:$BV$146,MATCH($A8,'Eurostat EB TJ GWh'!$A$2:$A$146,0),MATCH(J$3,'Eurostat EB TJ GWh'!$A$2:$BV$2,0))</f>
        <v>1013.494</v>
      </c>
      <c r="K8" s="57">
        <f>INDEX('Eurostat EB TJ GWh'!$A$2:$BV$146,MATCH($A8,'Eurostat EB TJ GWh'!$A$2:$A$146,0),MATCH(K$3,'Eurostat EB TJ GWh'!$A$2:$BV$2,0))</f>
        <v>0</v>
      </c>
      <c r="L8" s="57">
        <f>INDEX('Eurostat EB TJ GWh'!$A$2:$BV$146,MATCH($A8,'Eurostat EB TJ GWh'!$A$2:$A$146,0),MATCH(L$3,'Eurostat EB TJ GWh'!$A$2:$BV$2,0))</f>
        <v>0</v>
      </c>
      <c r="M8" s="57">
        <f>INDEX('Eurostat EB TJ GWh'!$A$2:$BV$146,MATCH($A8,'Eurostat EB TJ GWh'!$A$2:$A$146,0),MATCH(M$3,'Eurostat EB TJ GWh'!$A$2:$BV$2,0))</f>
        <v>0</v>
      </c>
      <c r="N8" s="57">
        <f>INDEX('Eurostat EB TJ GWh'!$A$2:$BV$146,MATCH($A8,'Eurostat EB TJ GWh'!$A$2:$A$146,0),MATCH(N$3,'Eurostat EB TJ GWh'!$A$2:$BV$2,0))</f>
        <v>0</v>
      </c>
      <c r="O8" s="57">
        <f>INDEX('Eurostat EB TJ GWh'!$A$2:$BV$146,MATCH($A8,'Eurostat EB TJ GWh'!$A$2:$A$146,0),MATCH(O$3,'Eurostat EB TJ GWh'!$A$2:$BV$2,0))</f>
        <v>0</v>
      </c>
      <c r="P8" s="57">
        <f>INDEX('Eurostat EB TJ GWh'!$A$2:$BV$146,MATCH($A8,'Eurostat EB TJ GWh'!$A$2:$A$146,0),MATCH(P$3,'Eurostat EB TJ GWh'!$A$2:$BV$2,0))</f>
        <v>0</v>
      </c>
      <c r="Q8" s="57">
        <f>INDEX('Eurostat EB TJ GWh'!$A$2:$BV$146,MATCH($A8,'Eurostat EB TJ GWh'!$A$2:$A$146,0),MATCH(Q$3,'Eurostat EB TJ GWh'!$A$2:$BV$2,0))</f>
        <v>0</v>
      </c>
      <c r="R8" s="57">
        <f>INDEX('Eurostat EB TJ GWh'!$A$2:$BV$146,MATCH($A8,'Eurostat EB TJ GWh'!$A$2:$A$146,0),MATCH(R$2,'Eurostat EB TJ GWh'!$A$2:$BV$2,0))+INDEX('Eurostat EB TJ GWh'!$A$2:$BV$146,MATCH($A8,'Eurostat EB TJ GWh'!$A$2:$A$146,0),MATCH(R$3,'Eurostat EB TJ GWh'!$A$2:$BV$2,0))</f>
        <v>0</v>
      </c>
      <c r="S8" s="57">
        <f>INDEX('Eurostat EB TJ GWh'!$A$2:$BV$146,MATCH($A8,'Eurostat EB TJ GWh'!$A$2:$A$146,0),MATCH(S$3,'Eurostat EB TJ GWh'!$A$2:$BV$2,0))</f>
        <v>1210080.142</v>
      </c>
      <c r="T8" s="65" t="s">
        <v>323</v>
      </c>
      <c r="U8" s="57">
        <f>INDEX('Eurostat EB TJ GWh'!$A$2:$BV$146,MATCH($A8,'Eurostat EB TJ GWh'!$A$2:$A$146,0),MATCH(U$3,'Eurostat EB TJ GWh'!$A$2:$BV$2,0))</f>
        <v>2294919.9559999998</v>
      </c>
      <c r="V8" s="57">
        <f>INDEX('Eurostat EB TJ GWh'!$A$2:$BV$146,MATCH($A8,'Eurostat EB TJ GWh'!$A$2:$A$146,0),MATCH(V$3,'Eurostat EB TJ GWh'!$A$2:$BV$2,0))</f>
        <v>342371.57</v>
      </c>
      <c r="W8" s="57">
        <f>INDEX('Eurostat EB TJ GWh'!$A$2:$BV$146,MATCH($A8,'Eurostat EB TJ GWh'!$A$2:$A$146,0),MATCH(W$3,'Eurostat EB TJ GWh'!$A$2:$BV$2,0))</f>
        <v>0</v>
      </c>
      <c r="X8" s="57">
        <f>INDEX('Eurostat EB TJ GWh'!$A$2:$BV$146,MATCH($A8,'Eurostat EB TJ GWh'!$A$2:$A$146,0),MATCH(X$3,'Eurostat EB TJ GWh'!$A$2:$BV$2,0))</f>
        <v>49566.112999999998</v>
      </c>
      <c r="Y8" s="57">
        <f>INDEX('Eurostat EB TJ GWh'!$A$2:$BV$146,MATCH($A8,'Eurostat EB TJ GWh'!$A$2:$A$146,0),MATCH(Y$3,'Eurostat EB TJ GWh'!$A$2:$BV$2,0))</f>
        <v>0</v>
      </c>
      <c r="Z8" s="57">
        <f>INDEX('Eurostat EB TJ GWh'!$A$2:$BV$146,MATCH($A8,'Eurostat EB TJ GWh'!$A$2:$A$146,0),MATCH(Z$3,'Eurostat EB TJ GWh'!$A$2:$BV$2,0))</f>
        <v>0</v>
      </c>
      <c r="AA8" s="57">
        <f>INDEX('Eurostat EB TJ GWh'!$A$2:$BV$146,MATCH($A8,'Eurostat EB TJ GWh'!$A$2:$A$146,0),MATCH(AA$3,'Eurostat EB TJ GWh'!$A$2:$BV$2,0))</f>
        <v>0</v>
      </c>
      <c r="AB8" s="57">
        <f>INDEX('Eurostat EB TJ GWh'!$A$2:$BV$146,MATCH($A8,'Eurostat EB TJ GWh'!$A$2:$A$146,0),MATCH(AB$3,'Eurostat EB TJ GWh'!$A$2:$BV$2,0))</f>
        <v>154555.46400000001</v>
      </c>
      <c r="AC8" s="57">
        <f>INDEX('Eurostat EB TJ GWh'!$A$2:$BV$146,MATCH($A8,'Eurostat EB TJ GWh'!$A$2:$A$146,0),MATCH(AC$3,'Eurostat EB TJ GWh'!$A$2:$BV$2,0))</f>
        <v>283288.16499999998</v>
      </c>
      <c r="AD8" s="57">
        <f>INDEX('Eurostat EB TJ GWh'!$A$2:$BV$146,MATCH($A8,'Eurostat EB TJ GWh'!$A$2:$A$146,0),MATCH(AD$3,'Eurostat EB TJ GWh'!$A$2:$BV$2,0))</f>
        <v>15.135999999999999</v>
      </c>
      <c r="AE8" s="57">
        <f>INDEX('Eurostat EB TJ GWh'!$A$2:$BV$146,MATCH($A8,'Eurostat EB TJ GWh'!$A$2:$A$146,0),MATCH(AE$3,'Eurostat EB TJ GWh'!$A$2:$BV$2,0))</f>
        <v>0</v>
      </c>
      <c r="AF8" s="57">
        <f>INDEX('Eurostat EB TJ GWh'!$A$2:$BV$146,MATCH($A8,'Eurostat EB TJ GWh'!$A$2:$A$146,0),MATCH(AF$3,'Eurostat EB TJ GWh'!$A$2:$BV$2,0))</f>
        <v>116138.49400000001</v>
      </c>
      <c r="AG8" s="57">
        <f>INDEX('Eurostat EB TJ GWh'!$A$2:$BV$146,MATCH($A8,'Eurostat EB TJ GWh'!$A$2:$A$146,0),MATCH(AG$3,'Eurostat EB TJ GWh'!$A$2:$BV$2,0))</f>
        <v>26215.852999999999</v>
      </c>
      <c r="AH8" s="57">
        <f>INDEX('Eurostat EB TJ GWh'!$A$2:$BV$146,MATCH($A8,'Eurostat EB TJ GWh'!$A$2:$A$146,0),MATCH(AH$3,'Eurostat EB TJ GWh'!$A$2:$BV$2,0))</f>
        <v>586131.10199999996</v>
      </c>
      <c r="AI8" s="57">
        <f>INDEX('Eurostat EB TJ GWh'!$A$2:$BV$146,MATCH($A8,'Eurostat EB TJ GWh'!$A$2:$A$146,0),MATCH(AI$3,'Eurostat EB TJ GWh'!$A$2:$BV$2,0))</f>
        <v>987993.85800000001</v>
      </c>
      <c r="AJ8" s="57">
        <f>INDEX('Eurostat EB TJ GWh'!$A$2:$BV$146,MATCH($A8,'Eurostat EB TJ GWh'!$A$2:$A$146,0),MATCH(AJ$3,'Eurostat EB TJ GWh'!$A$2:$BV$2,0))</f>
        <v>809282.60400000005</v>
      </c>
      <c r="AK8" s="57">
        <f>INDEX('Eurostat EB TJ GWh'!$A$2:$BV$146,MATCH($A8,'Eurostat EB TJ GWh'!$A$2:$A$146,0),MATCH(AK$3,'Eurostat EB TJ GWh'!$A$2:$BV$2,0))</f>
        <v>91210.987999999998</v>
      </c>
      <c r="AL8" s="57">
        <f>INDEX('Eurostat EB TJ GWh'!$A$2:$BV$146,MATCH($A8,'Eurostat EB TJ GWh'!$A$2:$A$146,0),MATCH(AL$3,'Eurostat EB TJ GWh'!$A$2:$BV$2,0))</f>
        <v>98845.239000000001</v>
      </c>
      <c r="AM8" s="57">
        <f>INDEX('Eurostat EB TJ GWh'!$A$2:$BV$146,MATCH($A8,'Eurostat EB TJ GWh'!$A$2:$A$146,0),MATCH(AM$3,'Eurostat EB TJ GWh'!$A$2:$BV$2,0))</f>
        <v>19370.705000000002</v>
      </c>
      <c r="AN8" s="57">
        <f>INDEX('Eurostat EB TJ GWh'!$A$2:$BV$146,MATCH($A8,'Eurostat EB TJ GWh'!$A$2:$A$146,0),MATCH(AN$3,'Eurostat EB TJ GWh'!$A$2:$BV$2,0))</f>
        <v>8165.1869999999999</v>
      </c>
      <c r="AO8" s="57">
        <f>INDEX('Eurostat EB TJ GWh'!$A$2:$BV$146,MATCH($A8,'Eurostat EB TJ GWh'!$A$2:$A$146,0),MATCH(AO$3,'Eurostat EB TJ GWh'!$A$2:$BV$2,0))</f>
        <v>71527.952000000005</v>
      </c>
      <c r="AP8" s="57">
        <f>INDEX('Eurostat EB TJ GWh'!$A$2:$BV$146,MATCH($A8,'Eurostat EB TJ GWh'!$A$2:$A$146,0),MATCH(AP$3,'Eurostat EB TJ GWh'!$A$2:$BV$2,0))</f>
        <v>34459.199999999997</v>
      </c>
      <c r="AQ8" s="57">
        <f>INDEX('Eurostat EB TJ GWh'!$A$2:$BV$146,MATCH($A8,'Eurostat EB TJ GWh'!$A$2:$A$146,0),MATCH(AQ$3,'Eurostat EB TJ GWh'!$A$2:$BV$2,0))</f>
        <v>0</v>
      </c>
      <c r="AR8" s="57">
        <f>INDEX('Eurostat EB TJ GWh'!$A$2:$BV$146,MATCH($A8,'Eurostat EB TJ GWh'!$A$2:$A$146,0),MATCH(AR$3,'Eurostat EB TJ GWh'!$A$2:$BV$2,0))</f>
        <v>5345.8040000000001</v>
      </c>
      <c r="AS8" s="57">
        <f>INDEX('Eurostat EB TJ GWh'!$A$2:$BV$146,MATCH($A8,'Eurostat EB TJ GWh'!$A$2:$A$146,0),MATCH(AS$3,'Eurostat EB TJ GWh'!$A$2:$BV$2,0))</f>
        <v>4740.6189999999997</v>
      </c>
      <c r="AT8" s="57">
        <f>INDEX('Eurostat EB TJ GWh'!$A$2:$BV$146,MATCH($A8,'Eurostat EB TJ GWh'!$A$2:$A$146,0),MATCH(AT$3,'Eurostat EB TJ GWh'!$A$2:$BV$2,0))</f>
        <v>33247.449999999997</v>
      </c>
      <c r="AU8" s="57">
        <f>INDEX('Eurostat EB TJ GWh'!$A$2:$BV$146,MATCH($A8,'Eurostat EB TJ GWh'!$A$2:$A$146,0),MATCH(AU$3,'Eurostat EB TJ GWh'!$A$2:$BV$2,0))</f>
        <v>0</v>
      </c>
      <c r="AV8" s="57">
        <f>INDEX('Eurostat EB TJ GWh'!$A$2:$BV$146,MATCH($A8,'Eurostat EB TJ GWh'!$A$2:$A$146,0),MATCH(AV$2,'Eurostat EB TJ GWh'!$A$2:$BV$2,0))+INDEX('Eurostat EB TJ GWh'!$A$2:$BV$146,MATCH($A8,'Eurostat EB TJ GWh'!$A$2:$A$146,0),MATCH(AV$3,'Eurostat EB TJ GWh'!$A$2:$BV$2,0))</f>
        <v>14512.148999999999</v>
      </c>
      <c r="AW8" s="57">
        <f>INDEX('Eurostat EB TJ GWh'!$A$2:$BV$146,MATCH($A8,'Eurostat EB TJ GWh'!$A$2:$A$146,0),MATCH(AW$2,'Eurostat EB TJ GWh'!$A$2:$BV$2,0))+INDEX('Eurostat EB TJ GWh'!$A$2:$BV$146,MATCH($A8,'Eurostat EB TJ GWh'!$A$2:$A$146,0),MATCH(AW$3,'Eurostat EB TJ GWh'!$A$2:$BV$2,0))</f>
        <v>0</v>
      </c>
      <c r="AX8" s="57">
        <f>INDEX('Eurostat EB TJ GWh'!$A$2:$BV$146,MATCH($A8,'Eurostat EB TJ GWh'!$A$2:$A$146,0),MATCH(AX$3,'Eurostat EB TJ GWh'!$A$2:$BV$2,0))</f>
        <v>0</v>
      </c>
      <c r="AY8" s="65">
        <v>0</v>
      </c>
      <c r="AZ8" s="57">
        <f>INDEX('Eurostat EB TJ GWh'!$A$2:$BV$146,MATCH($A8,'Eurostat EB TJ GWh'!$A$2:$A$146,0),MATCH(AZ$3,'Eurostat EB TJ GWh'!$A$2:$BV$2,0))</f>
        <v>270</v>
      </c>
      <c r="BA8" s="65">
        <v>0</v>
      </c>
      <c r="BB8" s="65">
        <v>0</v>
      </c>
      <c r="BC8" s="57">
        <f>INDEX('Eurostat EB TJ GWh'!$A$2:$BV$146,MATCH($A8,'Eurostat EB TJ GWh'!$A$2:$A$146,0),MATCH(BC$3,'Eurostat EB TJ GWh'!$A$2:$BV$2,0))</f>
        <v>0</v>
      </c>
      <c r="BD8" s="57">
        <f>INDEX('Eurostat EB TJ GWh'!$A$2:$BV$146,MATCH($A8,'Eurostat EB TJ GWh'!$A$2:$A$146,0),MATCH(BD$3,'Eurostat EB TJ GWh'!$A$2:$BV$2,0))</f>
        <v>0</v>
      </c>
      <c r="BE8" s="57">
        <f>INDEX('Eurostat EB TJ GWh'!$A$2:$BV$146,MATCH($A8,'Eurostat EB TJ GWh'!$A$2:$A$146,0),MATCH(BE$3,'Eurostat EB TJ GWh'!$A$2:$BV$2,0))</f>
        <v>0</v>
      </c>
      <c r="BF8" s="57">
        <f>INDEX('Eurostat EB TJ GWh'!$A$2:$BV$146,MATCH($A8,'Eurostat EB TJ GWh'!$A$2:$A$146,0),MATCH(BF$3,'Eurostat EB TJ GWh'!$A$2:$BV$2,0))</f>
        <v>0</v>
      </c>
      <c r="BG8" s="57">
        <f>INDEX('Eurostat EB TJ GWh'!$A$2:$BV$146,MATCH($A8,'Eurostat EB TJ GWh'!$A$2:$A$146,0),MATCH(BG$3,'Eurostat EB TJ GWh'!$A$2:$BV$2,0))</f>
        <v>0</v>
      </c>
      <c r="BH8" s="57">
        <f>INDEX('Eurostat EB TJ GWh'!$A$2:$BV$146,MATCH($A8,'Eurostat EB TJ GWh'!$A$2:$A$146,0),MATCH(BH$3,'Eurostat EB TJ GWh'!$A$2:$BV$2,0))</f>
        <v>0</v>
      </c>
      <c r="BI8" s="57">
        <f>INDEX('Eurostat EB TJ GWh'!$A$2:$BV$146,MATCH($A8,'Eurostat EB TJ GWh'!$A$2:$A$146,0),MATCH(BI$3,'Eurostat EB TJ GWh'!$A$2:$BV$2,0))</f>
        <v>0</v>
      </c>
      <c r="BJ8" s="65">
        <v>0</v>
      </c>
      <c r="BK8" s="57">
        <f>INDEX('Eurostat EB TJ GWh'!$A$2:$BV$146,MATCH($A8,'Eurostat EB TJ GWh'!$A$2:$A$146,0),MATCH(BK$3,'Eurostat EB TJ GWh'!$A$2:$BV$2,0))</f>
        <v>70367.782000000007</v>
      </c>
      <c r="BL8" s="57">
        <f>INDEX('Eurostat EB TJ GWh'!$A$2:$BV$146,MATCH($A8,'Eurostat EB TJ GWh'!$A$2:$A$146,0),MATCH(BL$3,'Eurostat EB TJ GWh'!$A$2:$BV$2,0))</f>
        <v>0</v>
      </c>
      <c r="BM8" s="57">
        <f>INDEX('Eurostat EB TJ GWh'!$A$2:$BV$146,MATCH($A8,'Eurostat EB TJ GWh'!$A$2:$A$146,0),MATCH(BM$3,'Eurostat EB TJ GWh'!$A$2:$BV$2,0))</f>
        <v>7491212.8370000003</v>
      </c>
      <c r="BN8" s="57">
        <f>INDEX('Eurostat EB TJ GWh'!$A$2:$BV$146,MATCH($A8,'Eurostat EB TJ GWh'!$A$2:$A$146,0),MATCH(BN$3,'Eurostat EB TJ GWh'!$A$2:$BV$2,0))</f>
        <v>73101.232000000004</v>
      </c>
    </row>
    <row r="9" spans="1:66" x14ac:dyDescent="0.2">
      <c r="A9" s="56" t="s">
        <v>75</v>
      </c>
      <c r="B9" s="65" t="s">
        <v>323</v>
      </c>
      <c r="C9" s="65" t="s">
        <v>323</v>
      </c>
      <c r="D9" s="17">
        <f>INDEX('Eurostat EB TJ GWh'!$A$2:$BV$146,MATCH($A9,'Eurostat EB TJ GWh'!$A$2:$A$146,0),MATCH(D$3,'Eurostat EB TJ GWh'!$A$2:$BV$2,0))</f>
        <v>0</v>
      </c>
      <c r="E9" s="17">
        <f>INDEX('Eurostat EB TJ GWh'!$A$2:$BV$146,MATCH($A9,'Eurostat EB TJ GWh'!$A$2:$A$146,0),MATCH(E$3,'Eurostat EB TJ GWh'!$A$2:$BV$2,0))</f>
        <v>0</v>
      </c>
      <c r="F9" s="17">
        <f>INDEX('Eurostat EB TJ GWh'!$A$2:$BV$146,MATCH($A9,'Eurostat EB TJ GWh'!$A$2:$A$146,0),MATCH(F$3,'Eurostat EB TJ GWh'!$A$2:$BV$2,0))</f>
        <v>0</v>
      </c>
      <c r="G9" s="17">
        <f>INDEX('Eurostat EB TJ GWh'!$A$2:$BV$146,MATCH($A9,'Eurostat EB TJ GWh'!$A$2:$A$146,0),MATCH(G$3,'Eurostat EB TJ GWh'!$A$2:$BV$2,0))</f>
        <v>0</v>
      </c>
      <c r="H9" s="17">
        <f>INDEX('Eurostat EB TJ GWh'!$A$2:$BV$146,MATCH($A9,'Eurostat EB TJ GWh'!$A$2:$A$146,0),MATCH(H$3,'Eurostat EB TJ GWh'!$A$2:$BV$2,0))</f>
        <v>0</v>
      </c>
      <c r="I9" s="17">
        <f>INDEX('Eurostat EB TJ GWh'!$A$2:$BV$146,MATCH($A9,'Eurostat EB TJ GWh'!$A$2:$A$146,0),MATCH(I$3,'Eurostat EB TJ GWh'!$A$2:$BV$2,0))</f>
        <v>0</v>
      </c>
      <c r="J9" s="17">
        <f>INDEX('Eurostat EB TJ GWh'!$A$2:$BV$146,MATCH($A9,'Eurostat EB TJ GWh'!$A$2:$A$146,0),MATCH(J$3,'Eurostat EB TJ GWh'!$A$2:$BV$2,0))</f>
        <v>11551.995999999999</v>
      </c>
      <c r="K9" s="17">
        <f>INDEX('Eurostat EB TJ GWh'!$A$2:$BV$146,MATCH($A9,'Eurostat EB TJ GWh'!$A$2:$A$146,0),MATCH(K$3,'Eurostat EB TJ GWh'!$A$2:$BV$2,0))</f>
        <v>0</v>
      </c>
      <c r="L9" s="17">
        <f>INDEX('Eurostat EB TJ GWh'!$A$2:$BV$146,MATCH($A9,'Eurostat EB TJ GWh'!$A$2:$A$146,0),MATCH(L$3,'Eurostat EB TJ GWh'!$A$2:$BV$2,0))</f>
        <v>2256.0639999999999</v>
      </c>
      <c r="M9" s="17">
        <f>INDEX('Eurostat EB TJ GWh'!$A$2:$BV$146,MATCH($A9,'Eurostat EB TJ GWh'!$A$2:$A$146,0),MATCH(M$3,'Eurostat EB TJ GWh'!$A$2:$BV$2,0))</f>
        <v>0</v>
      </c>
      <c r="N9" s="17">
        <f>INDEX('Eurostat EB TJ GWh'!$A$2:$BV$146,MATCH($A9,'Eurostat EB TJ GWh'!$A$2:$A$146,0),MATCH(N$3,'Eurostat EB TJ GWh'!$A$2:$BV$2,0))</f>
        <v>0</v>
      </c>
      <c r="O9" s="17">
        <f>INDEX('Eurostat EB TJ GWh'!$A$2:$BV$146,MATCH($A9,'Eurostat EB TJ GWh'!$A$2:$A$146,0),MATCH(O$3,'Eurostat EB TJ GWh'!$A$2:$BV$2,0))</f>
        <v>0</v>
      </c>
      <c r="P9" s="17">
        <f>INDEX('Eurostat EB TJ GWh'!$A$2:$BV$146,MATCH($A9,'Eurostat EB TJ GWh'!$A$2:$A$146,0),MATCH(P$3,'Eurostat EB TJ GWh'!$A$2:$BV$2,0))</f>
        <v>0</v>
      </c>
      <c r="Q9" s="17">
        <f>INDEX('Eurostat EB TJ GWh'!$A$2:$BV$146,MATCH($A9,'Eurostat EB TJ GWh'!$A$2:$A$146,0),MATCH(Q$3,'Eurostat EB TJ GWh'!$A$2:$BV$2,0))</f>
        <v>0</v>
      </c>
      <c r="R9" s="17">
        <f>INDEX('Eurostat EB TJ GWh'!$A$2:$BV$146,MATCH($A9,'Eurostat EB TJ GWh'!$A$2:$A$146,0),MATCH(R$2,'Eurostat EB TJ GWh'!$A$2:$BV$2,0))+INDEX('Eurostat EB TJ GWh'!$A$2:$BV$146,MATCH($A9,'Eurostat EB TJ GWh'!$A$2:$A$146,0),MATCH(R$3,'Eurostat EB TJ GWh'!$A$2:$BV$2,0))</f>
        <v>0</v>
      </c>
      <c r="S9" s="17">
        <f>INDEX('Eurostat EB TJ GWh'!$A$2:$BV$146,MATCH($A9,'Eurostat EB TJ GWh'!$A$2:$A$146,0),MATCH(S$3,'Eurostat EB TJ GWh'!$A$2:$BV$2,0))</f>
        <v>598477.35</v>
      </c>
      <c r="T9" s="65" t="s">
        <v>323</v>
      </c>
      <c r="U9" s="17">
        <f>INDEX('Eurostat EB TJ GWh'!$A$2:$BV$146,MATCH($A9,'Eurostat EB TJ GWh'!$A$2:$A$146,0),MATCH(U$3,'Eurostat EB TJ GWh'!$A$2:$BV$2,0))</f>
        <v>788.79700000000003</v>
      </c>
      <c r="V9" s="17">
        <f>INDEX('Eurostat EB TJ GWh'!$A$2:$BV$146,MATCH($A9,'Eurostat EB TJ GWh'!$A$2:$A$146,0),MATCH(V$3,'Eurostat EB TJ GWh'!$A$2:$BV$2,0))</f>
        <v>4516.0720000000001</v>
      </c>
      <c r="W9" s="17">
        <f>INDEX('Eurostat EB TJ GWh'!$A$2:$BV$146,MATCH($A9,'Eurostat EB TJ GWh'!$A$2:$A$146,0),MATCH(W$3,'Eurostat EB TJ GWh'!$A$2:$BV$2,0))</f>
        <v>0</v>
      </c>
      <c r="X9" s="17">
        <f>INDEX('Eurostat EB TJ GWh'!$A$2:$BV$146,MATCH($A9,'Eurostat EB TJ GWh'!$A$2:$A$146,0),MATCH(X$3,'Eurostat EB TJ GWh'!$A$2:$BV$2,0))</f>
        <v>41038.536</v>
      </c>
      <c r="Y9" s="17">
        <f>INDEX('Eurostat EB TJ GWh'!$A$2:$BV$146,MATCH($A9,'Eurostat EB TJ GWh'!$A$2:$A$146,0),MATCH(Y$3,'Eurostat EB TJ GWh'!$A$2:$BV$2,0))</f>
        <v>0</v>
      </c>
      <c r="Z9" s="17">
        <f>INDEX('Eurostat EB TJ GWh'!$A$2:$BV$146,MATCH($A9,'Eurostat EB TJ GWh'!$A$2:$A$146,0),MATCH(Z$3,'Eurostat EB TJ GWh'!$A$2:$BV$2,0))</f>
        <v>0</v>
      </c>
      <c r="AA9" s="17">
        <f>INDEX('Eurostat EB TJ GWh'!$A$2:$BV$146,MATCH($A9,'Eurostat EB TJ GWh'!$A$2:$A$146,0),MATCH(AA$3,'Eurostat EB TJ GWh'!$A$2:$BV$2,0))</f>
        <v>0</v>
      </c>
      <c r="AB9" s="17">
        <f>INDEX('Eurostat EB TJ GWh'!$A$2:$BV$146,MATCH($A9,'Eurostat EB TJ GWh'!$A$2:$A$146,0),MATCH(AB$3,'Eurostat EB TJ GWh'!$A$2:$BV$2,0))</f>
        <v>95006.081000000006</v>
      </c>
      <c r="AC9" s="17">
        <f>INDEX('Eurostat EB TJ GWh'!$A$2:$BV$146,MATCH($A9,'Eurostat EB TJ GWh'!$A$2:$A$146,0),MATCH(AC$3,'Eurostat EB TJ GWh'!$A$2:$BV$2,0))</f>
        <v>900051.24399999995</v>
      </c>
      <c r="AD9" s="17">
        <f>INDEX('Eurostat EB TJ GWh'!$A$2:$BV$146,MATCH($A9,'Eurostat EB TJ GWh'!$A$2:$A$146,0),MATCH(AD$3,'Eurostat EB TJ GWh'!$A$2:$BV$2,0))</f>
        <v>2898.34</v>
      </c>
      <c r="AE9" s="17">
        <f>INDEX('Eurostat EB TJ GWh'!$A$2:$BV$146,MATCH($A9,'Eurostat EB TJ GWh'!$A$2:$A$146,0),MATCH(AE$3,'Eurostat EB TJ GWh'!$A$2:$BV$2,0))</f>
        <v>0</v>
      </c>
      <c r="AF9" s="17">
        <f>INDEX('Eurostat EB TJ GWh'!$A$2:$BV$146,MATCH($A9,'Eurostat EB TJ GWh'!$A$2:$A$146,0),MATCH(AF$3,'Eurostat EB TJ GWh'!$A$2:$BV$2,0))</f>
        <v>358648.68400000001</v>
      </c>
      <c r="AG9" s="17">
        <f>INDEX('Eurostat EB TJ GWh'!$A$2:$BV$146,MATCH($A9,'Eurostat EB TJ GWh'!$A$2:$A$146,0),MATCH(AG$3,'Eurostat EB TJ GWh'!$A$2:$BV$2,0))</f>
        <v>36859.535000000003</v>
      </c>
      <c r="AH9" s="17">
        <f>INDEX('Eurostat EB TJ GWh'!$A$2:$BV$146,MATCH($A9,'Eurostat EB TJ GWh'!$A$2:$A$146,0),MATCH(AH$3,'Eurostat EB TJ GWh'!$A$2:$BV$2,0))</f>
        <v>1113094.773</v>
      </c>
      <c r="AI9" s="17">
        <f>INDEX('Eurostat EB TJ GWh'!$A$2:$BV$146,MATCH($A9,'Eurostat EB TJ GWh'!$A$2:$A$146,0),MATCH(AI$3,'Eurostat EB TJ GWh'!$A$2:$BV$2,0))</f>
        <v>930513.51100000006</v>
      </c>
      <c r="AJ9" s="17">
        <f>INDEX('Eurostat EB TJ GWh'!$A$2:$BV$146,MATCH($A9,'Eurostat EB TJ GWh'!$A$2:$A$146,0),MATCH(AJ$3,'Eurostat EB TJ GWh'!$A$2:$BV$2,0))</f>
        <v>586802.53200000001</v>
      </c>
      <c r="AK9" s="17">
        <f>INDEX('Eurostat EB TJ GWh'!$A$2:$BV$146,MATCH($A9,'Eurostat EB TJ GWh'!$A$2:$A$146,0),MATCH(AK$3,'Eurostat EB TJ GWh'!$A$2:$BV$2,0))</f>
        <v>97476.262000000002</v>
      </c>
      <c r="AL9" s="17">
        <f>INDEX('Eurostat EB TJ GWh'!$A$2:$BV$146,MATCH($A9,'Eurostat EB TJ GWh'!$A$2:$A$146,0),MATCH(AL$3,'Eurostat EB TJ GWh'!$A$2:$BV$2,0))</f>
        <v>116913.849</v>
      </c>
      <c r="AM9" s="17">
        <f>INDEX('Eurostat EB TJ GWh'!$A$2:$BV$146,MATCH($A9,'Eurostat EB TJ GWh'!$A$2:$A$146,0),MATCH(AM$3,'Eurostat EB TJ GWh'!$A$2:$BV$2,0))</f>
        <v>52617.432999999997</v>
      </c>
      <c r="AN9" s="17">
        <f>INDEX('Eurostat EB TJ GWh'!$A$2:$BV$146,MATCH($A9,'Eurostat EB TJ GWh'!$A$2:$A$146,0),MATCH(AN$3,'Eurostat EB TJ GWh'!$A$2:$BV$2,0))</f>
        <v>8041.7430000000004</v>
      </c>
      <c r="AO9" s="17">
        <f>INDEX('Eurostat EB TJ GWh'!$A$2:$BV$146,MATCH($A9,'Eurostat EB TJ GWh'!$A$2:$A$146,0),MATCH(AO$3,'Eurostat EB TJ GWh'!$A$2:$BV$2,0))</f>
        <v>59454.565000000002</v>
      </c>
      <c r="AP9" s="17">
        <f>INDEX('Eurostat EB TJ GWh'!$A$2:$BV$146,MATCH($A9,'Eurostat EB TJ GWh'!$A$2:$A$146,0),MATCH(AP$3,'Eurostat EB TJ GWh'!$A$2:$BV$2,0))</f>
        <v>57225.262000000002</v>
      </c>
      <c r="AQ9" s="17">
        <f>INDEX('Eurostat EB TJ GWh'!$A$2:$BV$146,MATCH($A9,'Eurostat EB TJ GWh'!$A$2:$A$146,0),MATCH(AQ$3,'Eurostat EB TJ GWh'!$A$2:$BV$2,0))</f>
        <v>0</v>
      </c>
      <c r="AR9" s="17">
        <f>INDEX('Eurostat EB TJ GWh'!$A$2:$BV$146,MATCH($A9,'Eurostat EB TJ GWh'!$A$2:$A$146,0),MATCH(AR$3,'Eurostat EB TJ GWh'!$A$2:$BV$2,0))</f>
        <v>941.66700000000003</v>
      </c>
      <c r="AS9" s="17">
        <f>INDEX('Eurostat EB TJ GWh'!$A$2:$BV$146,MATCH($A9,'Eurostat EB TJ GWh'!$A$2:$A$146,0),MATCH(AS$3,'Eurostat EB TJ GWh'!$A$2:$BV$2,0))</f>
        <v>835.06299999999999</v>
      </c>
      <c r="AT9" s="17">
        <f>INDEX('Eurostat EB TJ GWh'!$A$2:$BV$146,MATCH($A9,'Eurostat EB TJ GWh'!$A$2:$A$146,0),MATCH(AT$3,'Eurostat EB TJ GWh'!$A$2:$BV$2,0))</f>
        <v>14253.745000000001</v>
      </c>
      <c r="AU9" s="17">
        <f>INDEX('Eurostat EB TJ GWh'!$A$2:$BV$146,MATCH($A9,'Eurostat EB TJ GWh'!$A$2:$A$146,0),MATCH(AU$3,'Eurostat EB TJ GWh'!$A$2:$BV$2,0))</f>
        <v>0</v>
      </c>
      <c r="AV9" s="17">
        <f>INDEX('Eurostat EB TJ GWh'!$A$2:$BV$146,MATCH($A9,'Eurostat EB TJ GWh'!$A$2:$A$146,0),MATCH(AV$2,'Eurostat EB TJ GWh'!$A$2:$BV$2,0))+INDEX('Eurostat EB TJ GWh'!$A$2:$BV$146,MATCH($A9,'Eurostat EB TJ GWh'!$A$2:$A$146,0),MATCH(AV$3,'Eurostat EB TJ GWh'!$A$2:$BV$2,0))</f>
        <v>3586.5450000000001</v>
      </c>
      <c r="AW9" s="17">
        <f>INDEX('Eurostat EB TJ GWh'!$A$2:$BV$146,MATCH($A9,'Eurostat EB TJ GWh'!$A$2:$A$146,0),MATCH(AW$2,'Eurostat EB TJ GWh'!$A$2:$BV$2,0))+INDEX('Eurostat EB TJ GWh'!$A$2:$BV$146,MATCH($A9,'Eurostat EB TJ GWh'!$A$2:$A$146,0),MATCH(AW$3,'Eurostat EB TJ GWh'!$A$2:$BV$2,0))</f>
        <v>64463.71</v>
      </c>
      <c r="AX9" s="17">
        <f>INDEX('Eurostat EB TJ GWh'!$A$2:$BV$146,MATCH($A9,'Eurostat EB TJ GWh'!$A$2:$A$146,0),MATCH(AX$3,'Eurostat EB TJ GWh'!$A$2:$BV$2,0))</f>
        <v>0</v>
      </c>
      <c r="AY9" s="72">
        <v>0</v>
      </c>
      <c r="AZ9" s="17">
        <f>INDEX('Eurostat EB TJ GWh'!$A$2:$BV$146,MATCH($A9,'Eurostat EB TJ GWh'!$A$2:$A$146,0),MATCH(AZ$3,'Eurostat EB TJ GWh'!$A$2:$BV$2,0))</f>
        <v>0</v>
      </c>
      <c r="BA9" s="72">
        <v>0</v>
      </c>
      <c r="BB9" s="72">
        <v>0</v>
      </c>
      <c r="BC9" s="17">
        <f>INDEX('Eurostat EB TJ GWh'!$A$2:$BV$146,MATCH($A9,'Eurostat EB TJ GWh'!$A$2:$A$146,0),MATCH(BC$3,'Eurostat EB TJ GWh'!$A$2:$BV$2,0))</f>
        <v>0</v>
      </c>
      <c r="BD9" s="17">
        <f>INDEX('Eurostat EB TJ GWh'!$A$2:$BV$146,MATCH($A9,'Eurostat EB TJ GWh'!$A$2:$A$146,0),MATCH(BD$3,'Eurostat EB TJ GWh'!$A$2:$BV$2,0))</f>
        <v>0</v>
      </c>
      <c r="BE9" s="17">
        <f>INDEX('Eurostat EB TJ GWh'!$A$2:$BV$146,MATCH($A9,'Eurostat EB TJ GWh'!$A$2:$A$146,0),MATCH(BE$3,'Eurostat EB TJ GWh'!$A$2:$BV$2,0))</f>
        <v>0</v>
      </c>
      <c r="BF9" s="17">
        <f>INDEX('Eurostat EB TJ GWh'!$A$2:$BV$146,MATCH($A9,'Eurostat EB TJ GWh'!$A$2:$A$146,0),MATCH(BF$3,'Eurostat EB TJ GWh'!$A$2:$BV$2,0))</f>
        <v>0</v>
      </c>
      <c r="BG9" s="17">
        <f>INDEX('Eurostat EB TJ GWh'!$A$2:$BV$146,MATCH($A9,'Eurostat EB TJ GWh'!$A$2:$A$146,0),MATCH(BG$3,'Eurostat EB TJ GWh'!$A$2:$BV$2,0))</f>
        <v>0</v>
      </c>
      <c r="BH9" s="17">
        <f>INDEX('Eurostat EB TJ GWh'!$A$2:$BV$146,MATCH($A9,'Eurostat EB TJ GWh'!$A$2:$A$146,0),MATCH(BH$3,'Eurostat EB TJ GWh'!$A$2:$BV$2,0))</f>
        <v>0</v>
      </c>
      <c r="BI9" s="17">
        <f>INDEX('Eurostat EB TJ GWh'!$A$2:$BV$146,MATCH($A9,'Eurostat EB TJ GWh'!$A$2:$A$146,0),MATCH(BI$3,'Eurostat EB TJ GWh'!$A$2:$BV$2,0))</f>
        <v>0</v>
      </c>
      <c r="BJ9" s="72">
        <v>0</v>
      </c>
      <c r="BK9" s="17">
        <f>INDEX('Eurostat EB TJ GWh'!$A$2:$BV$146,MATCH($A9,'Eurostat EB TJ GWh'!$A$2:$A$146,0),MATCH(BK$3,'Eurostat EB TJ GWh'!$A$2:$BV$2,0))</f>
        <v>90742.1</v>
      </c>
      <c r="BL9" s="17">
        <f>INDEX('Eurostat EB TJ GWh'!$A$2:$BV$146,MATCH($A9,'Eurostat EB TJ GWh'!$A$2:$A$146,0),MATCH(BL$3,'Eurostat EB TJ GWh'!$A$2:$BV$2,0))</f>
        <v>0</v>
      </c>
      <c r="BM9" s="17">
        <f>INDEX('Eurostat EB TJ GWh'!$A$2:$BV$146,MATCH($A9,'Eurostat EB TJ GWh'!$A$2:$A$146,0),MATCH(BM$3,'Eurostat EB TJ GWh'!$A$2:$BV$2,0))</f>
        <v>5249055.4579999996</v>
      </c>
      <c r="BN9" s="17">
        <f>INDEX('Eurostat EB TJ GWh'!$A$2:$BV$146,MATCH($A9,'Eurostat EB TJ GWh'!$A$2:$A$146,0),MATCH(BN$3,'Eurostat EB TJ GWh'!$A$2:$BV$2,0))</f>
        <v>95416.884000000005</v>
      </c>
    </row>
    <row r="10" spans="1:66" x14ac:dyDescent="0.2">
      <c r="A10" s="56" t="s">
        <v>76</v>
      </c>
      <c r="B10" s="65" t="s">
        <v>323</v>
      </c>
      <c r="C10" s="65" t="s">
        <v>323</v>
      </c>
      <c r="D10" s="57">
        <f>INDEX('Eurostat EB TJ GWh'!$A$2:$BV$146,MATCH($A10,'Eurostat EB TJ GWh'!$A$2:$A$146,0),MATCH(D$3,'Eurostat EB TJ GWh'!$A$2:$BV$2,0))</f>
        <v>0</v>
      </c>
      <c r="E10" s="57">
        <f>INDEX('Eurostat EB TJ GWh'!$A$2:$BV$146,MATCH($A10,'Eurostat EB TJ GWh'!$A$2:$A$146,0),MATCH(E$3,'Eurostat EB TJ GWh'!$A$2:$BV$2,0))</f>
        <v>-5064.5659999999998</v>
      </c>
      <c r="F10" s="57">
        <f>INDEX('Eurostat EB TJ GWh'!$A$2:$BV$146,MATCH($A10,'Eurostat EB TJ GWh'!$A$2:$A$146,0),MATCH(F$3,'Eurostat EB TJ GWh'!$A$2:$BV$2,0))</f>
        <v>1532.6510000000001</v>
      </c>
      <c r="G10" s="57">
        <f>INDEX('Eurostat EB TJ GWh'!$A$2:$BV$146,MATCH($A10,'Eurostat EB TJ GWh'!$A$2:$A$146,0),MATCH(G$3,'Eurostat EB TJ GWh'!$A$2:$BV$2,0))</f>
        <v>0</v>
      </c>
      <c r="H10" s="57">
        <f>INDEX('Eurostat EB TJ GWh'!$A$2:$BV$146,MATCH($A10,'Eurostat EB TJ GWh'!$A$2:$A$146,0),MATCH(H$3,'Eurostat EB TJ GWh'!$A$2:$BV$2,0))</f>
        <v>0</v>
      </c>
      <c r="I10" s="57">
        <f>INDEX('Eurostat EB TJ GWh'!$A$2:$BV$146,MATCH($A10,'Eurostat EB TJ GWh'!$A$2:$A$146,0),MATCH(I$3,'Eurostat EB TJ GWh'!$A$2:$BV$2,0))</f>
        <v>0</v>
      </c>
      <c r="J10" s="57">
        <f>INDEX('Eurostat EB TJ GWh'!$A$2:$BV$146,MATCH($A10,'Eurostat EB TJ GWh'!$A$2:$A$146,0),MATCH(J$3,'Eurostat EB TJ GWh'!$A$2:$BV$2,0))</f>
        <v>-200.441</v>
      </c>
      <c r="K10" s="57">
        <f>INDEX('Eurostat EB TJ GWh'!$A$2:$BV$146,MATCH($A10,'Eurostat EB TJ GWh'!$A$2:$A$146,0),MATCH(K$3,'Eurostat EB TJ GWh'!$A$2:$BV$2,0))</f>
        <v>0</v>
      </c>
      <c r="L10" s="57">
        <f>INDEX('Eurostat EB TJ GWh'!$A$2:$BV$146,MATCH($A10,'Eurostat EB TJ GWh'!$A$2:$A$146,0),MATCH(L$3,'Eurostat EB TJ GWh'!$A$2:$BV$2,0))</f>
        <v>-39.009</v>
      </c>
      <c r="M10" s="57">
        <f>INDEX('Eurostat EB TJ GWh'!$A$2:$BV$146,MATCH($A10,'Eurostat EB TJ GWh'!$A$2:$A$146,0),MATCH(M$3,'Eurostat EB TJ GWh'!$A$2:$BV$2,0))</f>
        <v>0</v>
      </c>
      <c r="N10" s="57">
        <f>INDEX('Eurostat EB TJ GWh'!$A$2:$BV$146,MATCH($A10,'Eurostat EB TJ GWh'!$A$2:$A$146,0),MATCH(N$3,'Eurostat EB TJ GWh'!$A$2:$BV$2,0))</f>
        <v>0</v>
      </c>
      <c r="O10" s="57">
        <f>INDEX('Eurostat EB TJ GWh'!$A$2:$BV$146,MATCH($A10,'Eurostat EB TJ GWh'!$A$2:$A$146,0),MATCH(O$3,'Eurostat EB TJ GWh'!$A$2:$BV$2,0))</f>
        <v>0</v>
      </c>
      <c r="P10" s="57">
        <f>INDEX('Eurostat EB TJ GWh'!$A$2:$BV$146,MATCH($A10,'Eurostat EB TJ GWh'!$A$2:$A$146,0),MATCH(P$3,'Eurostat EB TJ GWh'!$A$2:$BV$2,0))</f>
        <v>0</v>
      </c>
      <c r="Q10" s="57">
        <f>INDEX('Eurostat EB TJ GWh'!$A$2:$BV$146,MATCH($A10,'Eurostat EB TJ GWh'!$A$2:$A$146,0),MATCH(Q$3,'Eurostat EB TJ GWh'!$A$2:$BV$2,0))</f>
        <v>0</v>
      </c>
      <c r="R10" s="57">
        <f>INDEX('Eurostat EB TJ GWh'!$A$2:$BV$146,MATCH($A10,'Eurostat EB TJ GWh'!$A$2:$A$146,0),MATCH(R$2,'Eurostat EB TJ GWh'!$A$2:$BV$2,0))+INDEX('Eurostat EB TJ GWh'!$A$2:$BV$146,MATCH($A10,'Eurostat EB TJ GWh'!$A$2:$A$146,0),MATCH(R$3,'Eurostat EB TJ GWh'!$A$2:$BV$2,0))</f>
        <v>0</v>
      </c>
      <c r="S10" s="57">
        <f>INDEX('Eurostat EB TJ GWh'!$A$2:$BV$146,MATCH($A10,'Eurostat EB TJ GWh'!$A$2:$A$146,0),MATCH(S$3,'Eurostat EB TJ GWh'!$A$2:$BV$2,0))</f>
        <v>-28875.692999999999</v>
      </c>
      <c r="T10" s="65" t="s">
        <v>323</v>
      </c>
      <c r="U10" s="57">
        <f>INDEX('Eurostat EB TJ GWh'!$A$2:$BV$146,MATCH($A10,'Eurostat EB TJ GWh'!$A$2:$A$146,0),MATCH(U$3,'Eurostat EB TJ GWh'!$A$2:$BV$2,0))</f>
        <v>41615.451999999997</v>
      </c>
      <c r="V10" s="57">
        <f>INDEX('Eurostat EB TJ GWh'!$A$2:$BV$146,MATCH($A10,'Eurostat EB TJ GWh'!$A$2:$A$146,0),MATCH(V$3,'Eurostat EB TJ GWh'!$A$2:$BV$2,0))</f>
        <v>1898.6310000000001</v>
      </c>
      <c r="W10" s="57">
        <f>INDEX('Eurostat EB TJ GWh'!$A$2:$BV$146,MATCH($A10,'Eurostat EB TJ GWh'!$A$2:$A$146,0),MATCH(W$3,'Eurostat EB TJ GWh'!$A$2:$BV$2,0))</f>
        <v>0</v>
      </c>
      <c r="X10" s="57">
        <f>INDEX('Eurostat EB TJ GWh'!$A$2:$BV$146,MATCH($A10,'Eurostat EB TJ GWh'!$A$2:$A$146,0),MATCH(X$3,'Eurostat EB TJ GWh'!$A$2:$BV$2,0))</f>
        <v>5334</v>
      </c>
      <c r="Y10" s="57">
        <f>INDEX('Eurostat EB TJ GWh'!$A$2:$BV$146,MATCH($A10,'Eurostat EB TJ GWh'!$A$2:$A$146,0),MATCH(Y$3,'Eurostat EB TJ GWh'!$A$2:$BV$2,0))</f>
        <v>0</v>
      </c>
      <c r="Z10" s="57">
        <f>INDEX('Eurostat EB TJ GWh'!$A$2:$BV$146,MATCH($A10,'Eurostat EB TJ GWh'!$A$2:$A$146,0),MATCH(Z$3,'Eurostat EB TJ GWh'!$A$2:$BV$2,0))</f>
        <v>0</v>
      </c>
      <c r="AA10" s="57">
        <f>INDEX('Eurostat EB TJ GWh'!$A$2:$BV$146,MATCH($A10,'Eurostat EB TJ GWh'!$A$2:$A$146,0),MATCH(AA$3,'Eurostat EB TJ GWh'!$A$2:$BV$2,0))</f>
        <v>0</v>
      </c>
      <c r="AB10" s="57">
        <f>INDEX('Eurostat EB TJ GWh'!$A$2:$BV$146,MATCH($A10,'Eurostat EB TJ GWh'!$A$2:$A$146,0),MATCH(AB$3,'Eurostat EB TJ GWh'!$A$2:$BV$2,0))</f>
        <v>-726.803</v>
      </c>
      <c r="AC10" s="57">
        <f>INDEX('Eurostat EB TJ GWh'!$A$2:$BV$146,MATCH($A10,'Eurostat EB TJ GWh'!$A$2:$A$146,0),MATCH(AC$3,'Eurostat EB TJ GWh'!$A$2:$BV$2,0))</f>
        <v>20247.456999999999</v>
      </c>
      <c r="AD10" s="57">
        <f>INDEX('Eurostat EB TJ GWh'!$A$2:$BV$146,MATCH($A10,'Eurostat EB TJ GWh'!$A$2:$A$146,0),MATCH(AD$3,'Eurostat EB TJ GWh'!$A$2:$BV$2,0))</f>
        <v>117.523</v>
      </c>
      <c r="AE10" s="57">
        <f>INDEX('Eurostat EB TJ GWh'!$A$2:$BV$146,MATCH($A10,'Eurostat EB TJ GWh'!$A$2:$A$146,0),MATCH(AE$3,'Eurostat EB TJ GWh'!$A$2:$BV$2,0))</f>
        <v>0</v>
      </c>
      <c r="AF10" s="57">
        <f>INDEX('Eurostat EB TJ GWh'!$A$2:$BV$146,MATCH($A10,'Eurostat EB TJ GWh'!$A$2:$A$146,0),MATCH(AF$3,'Eurostat EB TJ GWh'!$A$2:$BV$2,0))</f>
        <v>-6270.9470000000001</v>
      </c>
      <c r="AG10" s="57">
        <f>INDEX('Eurostat EB TJ GWh'!$A$2:$BV$146,MATCH($A10,'Eurostat EB TJ GWh'!$A$2:$A$146,0),MATCH(AG$3,'Eurostat EB TJ GWh'!$A$2:$BV$2,0))</f>
        <v>-536.971</v>
      </c>
      <c r="AH10" s="57">
        <f>INDEX('Eurostat EB TJ GWh'!$A$2:$BV$146,MATCH($A10,'Eurostat EB TJ GWh'!$A$2:$A$146,0),MATCH(AH$3,'Eurostat EB TJ GWh'!$A$2:$BV$2,0))</f>
        <v>10788.423000000001</v>
      </c>
      <c r="AI10" s="57">
        <f>INDEX('Eurostat EB TJ GWh'!$A$2:$BV$146,MATCH($A10,'Eurostat EB TJ GWh'!$A$2:$A$146,0),MATCH(AI$3,'Eurostat EB TJ GWh'!$A$2:$BV$2,0))</f>
        <v>6224.6940000000004</v>
      </c>
      <c r="AJ10" s="57">
        <f>INDEX('Eurostat EB TJ GWh'!$A$2:$BV$146,MATCH($A10,'Eurostat EB TJ GWh'!$A$2:$A$146,0),MATCH(AJ$3,'Eurostat EB TJ GWh'!$A$2:$BV$2,0))</f>
        <v>1729.0039999999999</v>
      </c>
      <c r="AK10" s="57">
        <f>INDEX('Eurostat EB TJ GWh'!$A$2:$BV$146,MATCH($A10,'Eurostat EB TJ GWh'!$A$2:$A$146,0),MATCH(AK$3,'Eurostat EB TJ GWh'!$A$2:$BV$2,0))</f>
        <v>-320.47199999999998</v>
      </c>
      <c r="AL10" s="57">
        <f>INDEX('Eurostat EB TJ GWh'!$A$2:$BV$146,MATCH($A10,'Eurostat EB TJ GWh'!$A$2:$A$146,0),MATCH(AL$3,'Eurostat EB TJ GWh'!$A$2:$BV$2,0))</f>
        <v>-1860.069</v>
      </c>
      <c r="AM10" s="57">
        <f>INDEX('Eurostat EB TJ GWh'!$A$2:$BV$146,MATCH($A10,'Eurostat EB TJ GWh'!$A$2:$A$146,0),MATCH(AM$3,'Eurostat EB TJ GWh'!$A$2:$BV$2,0))</f>
        <v>85.727000000000004</v>
      </c>
      <c r="AN10" s="57">
        <f>INDEX('Eurostat EB TJ GWh'!$A$2:$BV$146,MATCH($A10,'Eurostat EB TJ GWh'!$A$2:$A$146,0),MATCH(AN$3,'Eurostat EB TJ GWh'!$A$2:$BV$2,0))</f>
        <v>278.69900000000001</v>
      </c>
      <c r="AO10" s="57">
        <f>INDEX('Eurostat EB TJ GWh'!$A$2:$BV$146,MATCH($A10,'Eurostat EB TJ GWh'!$A$2:$A$146,0),MATCH(AO$3,'Eurostat EB TJ GWh'!$A$2:$BV$2,0))</f>
        <v>-3297.8620000000001</v>
      </c>
      <c r="AP10" s="57">
        <f>INDEX('Eurostat EB TJ GWh'!$A$2:$BV$146,MATCH($A10,'Eurostat EB TJ GWh'!$A$2:$A$146,0),MATCH(AP$3,'Eurostat EB TJ GWh'!$A$2:$BV$2,0))</f>
        <v>3711.9079999999999</v>
      </c>
      <c r="AQ10" s="57">
        <f>INDEX('Eurostat EB TJ GWh'!$A$2:$BV$146,MATCH($A10,'Eurostat EB TJ GWh'!$A$2:$A$146,0),MATCH(AQ$3,'Eurostat EB TJ GWh'!$A$2:$BV$2,0))</f>
        <v>0</v>
      </c>
      <c r="AR10" s="57">
        <f>INDEX('Eurostat EB TJ GWh'!$A$2:$BV$146,MATCH($A10,'Eurostat EB TJ GWh'!$A$2:$A$146,0),MATCH(AR$3,'Eurostat EB TJ GWh'!$A$2:$BV$2,0))</f>
        <v>0</v>
      </c>
      <c r="AS10" s="57">
        <f>INDEX('Eurostat EB TJ GWh'!$A$2:$BV$146,MATCH($A10,'Eurostat EB TJ GWh'!$A$2:$A$146,0),MATCH(AS$3,'Eurostat EB TJ GWh'!$A$2:$BV$2,0))</f>
        <v>0</v>
      </c>
      <c r="AT10" s="57">
        <f>INDEX('Eurostat EB TJ GWh'!$A$2:$BV$146,MATCH($A10,'Eurostat EB TJ GWh'!$A$2:$A$146,0),MATCH(AT$3,'Eurostat EB TJ GWh'!$A$2:$BV$2,0))</f>
        <v>0</v>
      </c>
      <c r="AU10" s="57">
        <f>INDEX('Eurostat EB TJ GWh'!$A$2:$BV$146,MATCH($A10,'Eurostat EB TJ GWh'!$A$2:$A$146,0),MATCH(AU$3,'Eurostat EB TJ GWh'!$A$2:$BV$2,0))</f>
        <v>0</v>
      </c>
      <c r="AV10" s="57">
        <f>INDEX('Eurostat EB TJ GWh'!$A$2:$BV$146,MATCH($A10,'Eurostat EB TJ GWh'!$A$2:$A$146,0),MATCH(AV$2,'Eurostat EB TJ GWh'!$A$2:$BV$2,0))+INDEX('Eurostat EB TJ GWh'!$A$2:$BV$146,MATCH($A10,'Eurostat EB TJ GWh'!$A$2:$A$146,0),MATCH(AV$3,'Eurostat EB TJ GWh'!$A$2:$BV$2,0))</f>
        <v>222.04499999999999</v>
      </c>
      <c r="AW10" s="57">
        <f>INDEX('Eurostat EB TJ GWh'!$A$2:$BV$146,MATCH($A10,'Eurostat EB TJ GWh'!$A$2:$A$146,0),MATCH(AW$2,'Eurostat EB TJ GWh'!$A$2:$BV$2,0))+INDEX('Eurostat EB TJ GWh'!$A$2:$BV$146,MATCH($A10,'Eurostat EB TJ GWh'!$A$2:$A$146,0),MATCH(AW$3,'Eurostat EB TJ GWh'!$A$2:$BV$2,0))</f>
        <v>13170.717000000001</v>
      </c>
      <c r="AX10" s="57">
        <f>INDEX('Eurostat EB TJ GWh'!$A$2:$BV$146,MATCH($A10,'Eurostat EB TJ GWh'!$A$2:$A$146,0),MATCH(AX$3,'Eurostat EB TJ GWh'!$A$2:$BV$2,0))</f>
        <v>0</v>
      </c>
      <c r="AY10" s="65">
        <v>0</v>
      </c>
      <c r="AZ10" s="57">
        <f>INDEX('Eurostat EB TJ GWh'!$A$2:$BV$146,MATCH($A10,'Eurostat EB TJ GWh'!$A$2:$A$146,0),MATCH(AZ$3,'Eurostat EB TJ GWh'!$A$2:$BV$2,0))</f>
        <v>0</v>
      </c>
      <c r="BA10" s="65">
        <v>0</v>
      </c>
      <c r="BB10" s="65">
        <v>0</v>
      </c>
      <c r="BC10" s="57">
        <f>INDEX('Eurostat EB TJ GWh'!$A$2:$BV$146,MATCH($A10,'Eurostat EB TJ GWh'!$A$2:$A$146,0),MATCH(BC$3,'Eurostat EB TJ GWh'!$A$2:$BV$2,0))</f>
        <v>0</v>
      </c>
      <c r="BD10" s="57">
        <f>INDEX('Eurostat EB TJ GWh'!$A$2:$BV$146,MATCH($A10,'Eurostat EB TJ GWh'!$A$2:$A$146,0),MATCH(BD$3,'Eurostat EB TJ GWh'!$A$2:$BV$2,0))</f>
        <v>0</v>
      </c>
      <c r="BE10" s="57">
        <f>INDEX('Eurostat EB TJ GWh'!$A$2:$BV$146,MATCH($A10,'Eurostat EB TJ GWh'!$A$2:$A$146,0),MATCH(BE$3,'Eurostat EB TJ GWh'!$A$2:$BV$2,0))</f>
        <v>0</v>
      </c>
      <c r="BF10" s="57">
        <f>INDEX('Eurostat EB TJ GWh'!$A$2:$BV$146,MATCH($A10,'Eurostat EB TJ GWh'!$A$2:$A$146,0),MATCH(BF$3,'Eurostat EB TJ GWh'!$A$2:$BV$2,0))</f>
        <v>0</v>
      </c>
      <c r="BG10" s="57">
        <f>INDEX('Eurostat EB TJ GWh'!$A$2:$BV$146,MATCH($A10,'Eurostat EB TJ GWh'!$A$2:$A$146,0),MATCH(BG$3,'Eurostat EB TJ GWh'!$A$2:$BV$2,0))</f>
        <v>0</v>
      </c>
      <c r="BH10" s="57">
        <f>INDEX('Eurostat EB TJ GWh'!$A$2:$BV$146,MATCH($A10,'Eurostat EB TJ GWh'!$A$2:$A$146,0),MATCH(BH$3,'Eurostat EB TJ GWh'!$A$2:$BV$2,0))</f>
        <v>0</v>
      </c>
      <c r="BI10" s="57">
        <f>INDEX('Eurostat EB TJ GWh'!$A$2:$BV$146,MATCH($A10,'Eurostat EB TJ GWh'!$A$2:$A$146,0),MATCH(BI$3,'Eurostat EB TJ GWh'!$A$2:$BV$2,0))</f>
        <v>0</v>
      </c>
      <c r="BJ10" s="65">
        <v>0</v>
      </c>
      <c r="BK10" s="57">
        <f>INDEX('Eurostat EB TJ GWh'!$A$2:$BV$146,MATCH($A10,'Eurostat EB TJ GWh'!$A$2:$A$146,0),MATCH(BK$3,'Eurostat EB TJ GWh'!$A$2:$BV$2,0))</f>
        <v>0</v>
      </c>
      <c r="BL10" s="57">
        <f>INDEX('Eurostat EB TJ GWh'!$A$2:$BV$146,MATCH($A10,'Eurostat EB TJ GWh'!$A$2:$A$146,0),MATCH(BL$3,'Eurostat EB TJ GWh'!$A$2:$BV$2,0))</f>
        <v>0</v>
      </c>
      <c r="BM10" s="57">
        <f>INDEX('Eurostat EB TJ GWh'!$A$2:$BV$146,MATCH($A10,'Eurostat EB TJ GWh'!$A$2:$A$146,0),MATCH(BM$3,'Eurostat EB TJ GWh'!$A$2:$BV$2,0))</f>
        <v>59764.099000000002</v>
      </c>
      <c r="BN10" s="57">
        <f>INDEX('Eurostat EB TJ GWh'!$A$2:$BV$146,MATCH($A10,'Eurostat EB TJ GWh'!$A$2:$A$146,0),MATCH(BN$3,'Eurostat EB TJ GWh'!$A$2:$BV$2,0))</f>
        <v>13096.992</v>
      </c>
    </row>
    <row r="11" spans="1:66" x14ac:dyDescent="0.2">
      <c r="A11" s="56" t="s">
        <v>78</v>
      </c>
      <c r="B11" s="65" t="s">
        <v>323</v>
      </c>
      <c r="C11" s="65" t="s">
        <v>323</v>
      </c>
      <c r="D11" s="17">
        <f>INDEX('Eurostat EB TJ GWh'!$A$2:$BV$146,MATCH($A11,'Eurostat EB TJ GWh'!$A$2:$A$146,0),MATCH(D$3,'Eurostat EB TJ GWh'!$A$2:$BV$2,0))</f>
        <v>0</v>
      </c>
      <c r="E11" s="17">
        <f>INDEX('Eurostat EB TJ GWh'!$A$2:$BV$146,MATCH($A11,'Eurostat EB TJ GWh'!$A$2:$A$146,0),MATCH(E$3,'Eurostat EB TJ GWh'!$A$2:$BV$2,0))</f>
        <v>0</v>
      </c>
      <c r="F11" s="17">
        <f>INDEX('Eurostat EB TJ GWh'!$A$2:$BV$146,MATCH($A11,'Eurostat EB TJ GWh'!$A$2:$A$146,0),MATCH(F$3,'Eurostat EB TJ GWh'!$A$2:$BV$2,0))</f>
        <v>0</v>
      </c>
      <c r="G11" s="17">
        <f>INDEX('Eurostat EB TJ GWh'!$A$2:$BV$146,MATCH($A11,'Eurostat EB TJ GWh'!$A$2:$A$146,0),MATCH(G$3,'Eurostat EB TJ GWh'!$A$2:$BV$2,0))</f>
        <v>0</v>
      </c>
      <c r="H11" s="17">
        <f>INDEX('Eurostat EB TJ GWh'!$A$2:$BV$146,MATCH($A11,'Eurostat EB TJ GWh'!$A$2:$A$146,0),MATCH(H$3,'Eurostat EB TJ GWh'!$A$2:$BV$2,0))</f>
        <v>0</v>
      </c>
      <c r="I11" s="17">
        <f>INDEX('Eurostat EB TJ GWh'!$A$2:$BV$146,MATCH($A11,'Eurostat EB TJ GWh'!$A$2:$A$146,0),MATCH(I$3,'Eurostat EB TJ GWh'!$A$2:$BV$2,0))</f>
        <v>0</v>
      </c>
      <c r="J11" s="17">
        <f>INDEX('Eurostat EB TJ GWh'!$A$2:$BV$146,MATCH($A11,'Eurostat EB TJ GWh'!$A$2:$A$146,0),MATCH(J$3,'Eurostat EB TJ GWh'!$A$2:$BV$2,0))</f>
        <v>0</v>
      </c>
      <c r="K11" s="17">
        <f>INDEX('Eurostat EB TJ GWh'!$A$2:$BV$146,MATCH($A11,'Eurostat EB TJ GWh'!$A$2:$A$146,0),MATCH(K$3,'Eurostat EB TJ GWh'!$A$2:$BV$2,0))</f>
        <v>0</v>
      </c>
      <c r="L11" s="17">
        <f>INDEX('Eurostat EB TJ GWh'!$A$2:$BV$146,MATCH($A11,'Eurostat EB TJ GWh'!$A$2:$A$146,0),MATCH(L$3,'Eurostat EB TJ GWh'!$A$2:$BV$2,0))</f>
        <v>0</v>
      </c>
      <c r="M11" s="17">
        <f>INDEX('Eurostat EB TJ GWh'!$A$2:$BV$146,MATCH($A11,'Eurostat EB TJ GWh'!$A$2:$A$146,0),MATCH(M$3,'Eurostat EB TJ GWh'!$A$2:$BV$2,0))</f>
        <v>0</v>
      </c>
      <c r="N11" s="17">
        <f>INDEX('Eurostat EB TJ GWh'!$A$2:$BV$146,MATCH($A11,'Eurostat EB TJ GWh'!$A$2:$A$146,0),MATCH(N$3,'Eurostat EB TJ GWh'!$A$2:$BV$2,0))</f>
        <v>0</v>
      </c>
      <c r="O11" s="17">
        <f>INDEX('Eurostat EB TJ GWh'!$A$2:$BV$146,MATCH($A11,'Eurostat EB TJ GWh'!$A$2:$A$146,0),MATCH(O$3,'Eurostat EB TJ GWh'!$A$2:$BV$2,0))</f>
        <v>0</v>
      </c>
      <c r="P11" s="17">
        <f>INDEX('Eurostat EB TJ GWh'!$A$2:$BV$146,MATCH($A11,'Eurostat EB TJ GWh'!$A$2:$A$146,0),MATCH(P$3,'Eurostat EB TJ GWh'!$A$2:$BV$2,0))</f>
        <v>0</v>
      </c>
      <c r="Q11" s="17">
        <f>INDEX('Eurostat EB TJ GWh'!$A$2:$BV$146,MATCH($A11,'Eurostat EB TJ GWh'!$A$2:$A$146,0),MATCH(Q$3,'Eurostat EB TJ GWh'!$A$2:$BV$2,0))</f>
        <v>0</v>
      </c>
      <c r="R11" s="17">
        <f>INDEX('Eurostat EB TJ GWh'!$A$2:$BV$146,MATCH($A11,'Eurostat EB TJ GWh'!$A$2:$A$146,0),MATCH(R$2,'Eurostat EB TJ GWh'!$A$2:$BV$2,0))+INDEX('Eurostat EB TJ GWh'!$A$2:$BV$146,MATCH($A11,'Eurostat EB TJ GWh'!$A$2:$A$146,0),MATCH(R$3,'Eurostat EB TJ GWh'!$A$2:$BV$2,0))</f>
        <v>0</v>
      </c>
      <c r="S11" s="17">
        <f>INDEX('Eurostat EB TJ GWh'!$A$2:$BV$146,MATCH($A11,'Eurostat EB TJ GWh'!$A$2:$A$146,0),MATCH(S$3,'Eurostat EB TJ GWh'!$A$2:$BV$2,0))</f>
        <v>8644.0669999999991</v>
      </c>
      <c r="T11" s="65" t="s">
        <v>323</v>
      </c>
      <c r="U11" s="17">
        <f>INDEX('Eurostat EB TJ GWh'!$A$2:$BV$146,MATCH($A11,'Eurostat EB TJ GWh'!$A$2:$A$146,0),MATCH(U$3,'Eurostat EB TJ GWh'!$A$2:$BV$2,0))</f>
        <v>0</v>
      </c>
      <c r="V11" s="17">
        <f>INDEX('Eurostat EB TJ GWh'!$A$2:$BV$146,MATCH($A11,'Eurostat EB TJ GWh'!$A$2:$A$146,0),MATCH(V$3,'Eurostat EB TJ GWh'!$A$2:$BV$2,0))</f>
        <v>0</v>
      </c>
      <c r="W11" s="17">
        <f>INDEX('Eurostat EB TJ GWh'!$A$2:$BV$146,MATCH($A11,'Eurostat EB TJ GWh'!$A$2:$A$146,0),MATCH(W$3,'Eurostat EB TJ GWh'!$A$2:$BV$2,0))</f>
        <v>0</v>
      </c>
      <c r="X11" s="17">
        <f>INDEX('Eurostat EB TJ GWh'!$A$2:$BV$146,MATCH($A11,'Eurostat EB TJ GWh'!$A$2:$A$146,0),MATCH(X$3,'Eurostat EB TJ GWh'!$A$2:$BV$2,0))</f>
        <v>0</v>
      </c>
      <c r="Y11" s="17">
        <f>INDEX('Eurostat EB TJ GWh'!$A$2:$BV$146,MATCH($A11,'Eurostat EB TJ GWh'!$A$2:$A$146,0),MATCH(Y$3,'Eurostat EB TJ GWh'!$A$2:$BV$2,0))</f>
        <v>0</v>
      </c>
      <c r="Z11" s="17">
        <f>INDEX('Eurostat EB TJ GWh'!$A$2:$BV$146,MATCH($A11,'Eurostat EB TJ GWh'!$A$2:$A$146,0),MATCH(Z$3,'Eurostat EB TJ GWh'!$A$2:$BV$2,0))</f>
        <v>0</v>
      </c>
      <c r="AA11" s="17">
        <f>INDEX('Eurostat EB TJ GWh'!$A$2:$BV$146,MATCH($A11,'Eurostat EB TJ GWh'!$A$2:$A$146,0),MATCH(AA$3,'Eurostat EB TJ GWh'!$A$2:$BV$2,0))</f>
        <v>0</v>
      </c>
      <c r="AB11" s="17">
        <f>INDEX('Eurostat EB TJ GWh'!$A$2:$BV$146,MATCH($A11,'Eurostat EB TJ GWh'!$A$2:$A$146,0),MATCH(AB$3,'Eurostat EB TJ GWh'!$A$2:$BV$2,0))</f>
        <v>0</v>
      </c>
      <c r="AC11" s="17">
        <f>INDEX('Eurostat EB TJ GWh'!$A$2:$BV$146,MATCH($A11,'Eurostat EB TJ GWh'!$A$2:$A$146,0),MATCH(AC$3,'Eurostat EB TJ GWh'!$A$2:$BV$2,0))</f>
        <v>0</v>
      </c>
      <c r="AD11" s="17">
        <f>INDEX('Eurostat EB TJ GWh'!$A$2:$BV$146,MATCH($A11,'Eurostat EB TJ GWh'!$A$2:$A$146,0),MATCH(AD$3,'Eurostat EB TJ GWh'!$A$2:$BV$2,0))</f>
        <v>0</v>
      </c>
      <c r="AE11" s="17">
        <f>INDEX('Eurostat EB TJ GWh'!$A$2:$BV$146,MATCH($A11,'Eurostat EB TJ GWh'!$A$2:$A$146,0),MATCH(AE$3,'Eurostat EB TJ GWh'!$A$2:$BV$2,0))</f>
        <v>0</v>
      </c>
      <c r="AF11" s="17">
        <f>INDEX('Eurostat EB TJ GWh'!$A$2:$BV$146,MATCH($A11,'Eurostat EB TJ GWh'!$A$2:$A$146,0),MATCH(AF$3,'Eurostat EB TJ GWh'!$A$2:$BV$2,0))</f>
        <v>0</v>
      </c>
      <c r="AG11" s="17">
        <f>INDEX('Eurostat EB TJ GWh'!$A$2:$BV$146,MATCH($A11,'Eurostat EB TJ GWh'!$A$2:$A$146,0),MATCH(AG$3,'Eurostat EB TJ GWh'!$A$2:$BV$2,0))</f>
        <v>0</v>
      </c>
      <c r="AH11" s="17">
        <f>INDEX('Eurostat EB TJ GWh'!$A$2:$BV$146,MATCH($A11,'Eurostat EB TJ GWh'!$A$2:$A$146,0),MATCH(AH$3,'Eurostat EB TJ GWh'!$A$2:$BV$2,0))</f>
        <v>63394.95</v>
      </c>
      <c r="AI11" s="17">
        <f>INDEX('Eurostat EB TJ GWh'!$A$2:$BV$146,MATCH($A11,'Eurostat EB TJ GWh'!$A$2:$A$146,0),MATCH(AI$3,'Eurostat EB TJ GWh'!$A$2:$BV$2,0))</f>
        <v>357586.375</v>
      </c>
      <c r="AJ11" s="17">
        <f>INDEX('Eurostat EB TJ GWh'!$A$2:$BV$146,MATCH($A11,'Eurostat EB TJ GWh'!$A$2:$A$146,0),MATCH(AJ$3,'Eurostat EB TJ GWh'!$A$2:$BV$2,0))</f>
        <v>0</v>
      </c>
      <c r="AK11" s="17">
        <f>INDEX('Eurostat EB TJ GWh'!$A$2:$BV$146,MATCH($A11,'Eurostat EB TJ GWh'!$A$2:$A$146,0),MATCH(AK$3,'Eurostat EB TJ GWh'!$A$2:$BV$2,0))</f>
        <v>0</v>
      </c>
      <c r="AL11" s="17">
        <f>INDEX('Eurostat EB TJ GWh'!$A$2:$BV$146,MATCH($A11,'Eurostat EB TJ GWh'!$A$2:$A$146,0),MATCH(AL$3,'Eurostat EB TJ GWh'!$A$2:$BV$2,0))</f>
        <v>4744.75</v>
      </c>
      <c r="AM11" s="17">
        <f>INDEX('Eurostat EB TJ GWh'!$A$2:$BV$146,MATCH($A11,'Eurostat EB TJ GWh'!$A$2:$A$146,0),MATCH(AM$3,'Eurostat EB TJ GWh'!$A$2:$BV$2,0))</f>
        <v>0</v>
      </c>
      <c r="AN11" s="17">
        <f>INDEX('Eurostat EB TJ GWh'!$A$2:$BV$146,MATCH($A11,'Eurostat EB TJ GWh'!$A$2:$A$146,0),MATCH(AN$3,'Eurostat EB TJ GWh'!$A$2:$BV$2,0))</f>
        <v>0</v>
      </c>
      <c r="AO11" s="17">
        <f>INDEX('Eurostat EB TJ GWh'!$A$2:$BV$146,MATCH($A11,'Eurostat EB TJ GWh'!$A$2:$A$146,0),MATCH(AO$3,'Eurostat EB TJ GWh'!$A$2:$BV$2,0))</f>
        <v>0</v>
      </c>
      <c r="AP11" s="17">
        <f>INDEX('Eurostat EB TJ GWh'!$A$2:$BV$146,MATCH($A11,'Eurostat EB TJ GWh'!$A$2:$A$146,0),MATCH(AP$3,'Eurostat EB TJ GWh'!$A$2:$BV$2,0))</f>
        <v>0</v>
      </c>
      <c r="AQ11" s="17">
        <f>INDEX('Eurostat EB TJ GWh'!$A$2:$BV$146,MATCH($A11,'Eurostat EB TJ GWh'!$A$2:$A$146,0),MATCH(AQ$3,'Eurostat EB TJ GWh'!$A$2:$BV$2,0))</f>
        <v>0</v>
      </c>
      <c r="AR11" s="17">
        <f>INDEX('Eurostat EB TJ GWh'!$A$2:$BV$146,MATCH($A11,'Eurostat EB TJ GWh'!$A$2:$A$146,0),MATCH(AR$3,'Eurostat EB TJ GWh'!$A$2:$BV$2,0))</f>
        <v>0</v>
      </c>
      <c r="AS11" s="17">
        <f>INDEX('Eurostat EB TJ GWh'!$A$2:$BV$146,MATCH($A11,'Eurostat EB TJ GWh'!$A$2:$A$146,0),MATCH(AS$3,'Eurostat EB TJ GWh'!$A$2:$BV$2,0))</f>
        <v>0</v>
      </c>
      <c r="AT11" s="17">
        <f>INDEX('Eurostat EB TJ GWh'!$A$2:$BV$146,MATCH($A11,'Eurostat EB TJ GWh'!$A$2:$A$146,0),MATCH(AT$3,'Eurostat EB TJ GWh'!$A$2:$BV$2,0))</f>
        <v>0</v>
      </c>
      <c r="AU11" s="17">
        <f>INDEX('Eurostat EB TJ GWh'!$A$2:$BV$146,MATCH($A11,'Eurostat EB TJ GWh'!$A$2:$A$146,0),MATCH(AU$3,'Eurostat EB TJ GWh'!$A$2:$BV$2,0))</f>
        <v>0</v>
      </c>
      <c r="AV11" s="17">
        <f>INDEX('Eurostat EB TJ GWh'!$A$2:$BV$146,MATCH($A11,'Eurostat EB TJ GWh'!$A$2:$A$146,0),MATCH(AV$2,'Eurostat EB TJ GWh'!$A$2:$BV$2,0))+INDEX('Eurostat EB TJ GWh'!$A$2:$BV$146,MATCH($A11,'Eurostat EB TJ GWh'!$A$2:$A$146,0),MATCH(AV$3,'Eurostat EB TJ GWh'!$A$2:$BV$2,0))</f>
        <v>0</v>
      </c>
      <c r="AW11" s="17">
        <f>INDEX('Eurostat EB TJ GWh'!$A$2:$BV$146,MATCH($A11,'Eurostat EB TJ GWh'!$A$2:$A$146,0),MATCH(AW$2,'Eurostat EB TJ GWh'!$A$2:$BV$2,0))+INDEX('Eurostat EB TJ GWh'!$A$2:$BV$146,MATCH($A11,'Eurostat EB TJ GWh'!$A$2:$A$146,0),MATCH(AW$3,'Eurostat EB TJ GWh'!$A$2:$BV$2,0))</f>
        <v>13769.454</v>
      </c>
      <c r="AX11" s="17">
        <f>INDEX('Eurostat EB TJ GWh'!$A$2:$BV$146,MATCH($A11,'Eurostat EB TJ GWh'!$A$2:$A$146,0),MATCH(AX$3,'Eurostat EB TJ GWh'!$A$2:$BV$2,0))</f>
        <v>0</v>
      </c>
      <c r="AY11" s="72">
        <v>0</v>
      </c>
      <c r="AZ11" s="17">
        <f>INDEX('Eurostat EB TJ GWh'!$A$2:$BV$146,MATCH($A11,'Eurostat EB TJ GWh'!$A$2:$A$146,0),MATCH(AZ$3,'Eurostat EB TJ GWh'!$A$2:$BV$2,0))</f>
        <v>0</v>
      </c>
      <c r="BA11" s="72">
        <v>0</v>
      </c>
      <c r="BB11" s="72">
        <v>0</v>
      </c>
      <c r="BC11" s="17">
        <f>INDEX('Eurostat EB TJ GWh'!$A$2:$BV$146,MATCH($A11,'Eurostat EB TJ GWh'!$A$2:$A$146,0),MATCH(BC$3,'Eurostat EB TJ GWh'!$A$2:$BV$2,0))</f>
        <v>0</v>
      </c>
      <c r="BD11" s="17">
        <f>INDEX('Eurostat EB TJ GWh'!$A$2:$BV$146,MATCH($A11,'Eurostat EB TJ GWh'!$A$2:$A$146,0),MATCH(BD$3,'Eurostat EB TJ GWh'!$A$2:$BV$2,0))</f>
        <v>0</v>
      </c>
      <c r="BE11" s="17">
        <f>INDEX('Eurostat EB TJ GWh'!$A$2:$BV$146,MATCH($A11,'Eurostat EB TJ GWh'!$A$2:$A$146,0),MATCH(BE$3,'Eurostat EB TJ GWh'!$A$2:$BV$2,0))</f>
        <v>0</v>
      </c>
      <c r="BF11" s="17">
        <f>INDEX('Eurostat EB TJ GWh'!$A$2:$BV$146,MATCH($A11,'Eurostat EB TJ GWh'!$A$2:$A$146,0),MATCH(BF$3,'Eurostat EB TJ GWh'!$A$2:$BV$2,0))</f>
        <v>0</v>
      </c>
      <c r="BG11" s="17">
        <f>INDEX('Eurostat EB TJ GWh'!$A$2:$BV$146,MATCH($A11,'Eurostat EB TJ GWh'!$A$2:$A$146,0),MATCH(BG$3,'Eurostat EB TJ GWh'!$A$2:$BV$2,0))</f>
        <v>0</v>
      </c>
      <c r="BH11" s="17">
        <f>INDEX('Eurostat EB TJ GWh'!$A$2:$BV$146,MATCH($A11,'Eurostat EB TJ GWh'!$A$2:$A$146,0),MATCH(BH$3,'Eurostat EB TJ GWh'!$A$2:$BV$2,0))</f>
        <v>0</v>
      </c>
      <c r="BI11" s="17">
        <f>INDEX('Eurostat EB TJ GWh'!$A$2:$BV$146,MATCH($A11,'Eurostat EB TJ GWh'!$A$2:$A$146,0),MATCH(BI$3,'Eurostat EB TJ GWh'!$A$2:$BV$2,0))</f>
        <v>0</v>
      </c>
      <c r="BJ11" s="72">
        <v>0</v>
      </c>
      <c r="BK11" s="17">
        <f>INDEX('Eurostat EB TJ GWh'!$A$2:$BV$146,MATCH($A11,'Eurostat EB TJ GWh'!$A$2:$A$146,0),MATCH(BK$3,'Eurostat EB TJ GWh'!$A$2:$BV$2,0))</f>
        <v>0</v>
      </c>
      <c r="BL11" s="17">
        <f>INDEX('Eurostat EB TJ GWh'!$A$2:$BV$146,MATCH($A11,'Eurostat EB TJ GWh'!$A$2:$A$146,0),MATCH(BL$3,'Eurostat EB TJ GWh'!$A$2:$BV$2,0))</f>
        <v>0</v>
      </c>
      <c r="BM11" s="17">
        <f>INDEX('Eurostat EB TJ GWh'!$A$2:$BV$146,MATCH($A11,'Eurostat EB TJ GWh'!$A$2:$A$146,0),MATCH(BM$3,'Eurostat EB TJ GWh'!$A$2:$BV$2,0))</f>
        <v>448139.59600000002</v>
      </c>
      <c r="BN11" s="17">
        <f>INDEX('Eurostat EB TJ GWh'!$A$2:$BV$146,MATCH($A11,'Eurostat EB TJ GWh'!$A$2:$A$146,0),MATCH(BN$3,'Eurostat EB TJ GWh'!$A$2:$BV$2,0))</f>
        <v>13857.994000000001</v>
      </c>
    </row>
    <row r="12" spans="1:66" x14ac:dyDescent="0.2">
      <c r="A12" s="56" t="s">
        <v>80</v>
      </c>
      <c r="B12" s="65" t="s">
        <v>323</v>
      </c>
      <c r="C12" s="65" t="s">
        <v>323</v>
      </c>
      <c r="D12" s="57">
        <f>INDEX('Eurostat EB TJ GWh'!$A$2:$BV$146,MATCH($A12,'Eurostat EB TJ GWh'!$A$2:$A$146,0),MATCH(D$3,'Eurostat EB TJ GWh'!$A$2:$BV$2,0))</f>
        <v>0</v>
      </c>
      <c r="E12" s="57">
        <f>INDEX('Eurostat EB TJ GWh'!$A$2:$BV$146,MATCH($A12,'Eurostat EB TJ GWh'!$A$2:$A$146,0),MATCH(E$3,'Eurostat EB TJ GWh'!$A$2:$BV$2,0))</f>
        <v>0</v>
      </c>
      <c r="F12" s="57">
        <f>INDEX('Eurostat EB TJ GWh'!$A$2:$BV$146,MATCH($A12,'Eurostat EB TJ GWh'!$A$2:$A$146,0),MATCH(F$3,'Eurostat EB TJ GWh'!$A$2:$BV$2,0))</f>
        <v>0</v>
      </c>
      <c r="G12" s="57">
        <f>INDEX('Eurostat EB TJ GWh'!$A$2:$BV$146,MATCH($A12,'Eurostat EB TJ GWh'!$A$2:$A$146,0),MATCH(G$3,'Eurostat EB TJ GWh'!$A$2:$BV$2,0))</f>
        <v>0</v>
      </c>
      <c r="H12" s="57">
        <f>INDEX('Eurostat EB TJ GWh'!$A$2:$BV$146,MATCH($A12,'Eurostat EB TJ GWh'!$A$2:$A$146,0),MATCH(H$3,'Eurostat EB TJ GWh'!$A$2:$BV$2,0))</f>
        <v>0</v>
      </c>
      <c r="I12" s="57">
        <f>INDEX('Eurostat EB TJ GWh'!$A$2:$BV$146,MATCH($A12,'Eurostat EB TJ GWh'!$A$2:$A$146,0),MATCH(I$3,'Eurostat EB TJ GWh'!$A$2:$BV$2,0))</f>
        <v>0</v>
      </c>
      <c r="J12" s="57">
        <f>INDEX('Eurostat EB TJ GWh'!$A$2:$BV$146,MATCH($A12,'Eurostat EB TJ GWh'!$A$2:$A$146,0),MATCH(J$3,'Eurostat EB TJ GWh'!$A$2:$BV$2,0))</f>
        <v>0</v>
      </c>
      <c r="K12" s="57">
        <f>INDEX('Eurostat EB TJ GWh'!$A$2:$BV$146,MATCH($A12,'Eurostat EB TJ GWh'!$A$2:$A$146,0),MATCH(K$3,'Eurostat EB TJ GWh'!$A$2:$BV$2,0))</f>
        <v>0</v>
      </c>
      <c r="L12" s="57">
        <f>INDEX('Eurostat EB TJ GWh'!$A$2:$BV$146,MATCH($A12,'Eurostat EB TJ GWh'!$A$2:$A$146,0),MATCH(L$3,'Eurostat EB TJ GWh'!$A$2:$BV$2,0))</f>
        <v>0</v>
      </c>
      <c r="M12" s="57">
        <f>INDEX('Eurostat EB TJ GWh'!$A$2:$BV$146,MATCH($A12,'Eurostat EB TJ GWh'!$A$2:$A$146,0),MATCH(M$3,'Eurostat EB TJ GWh'!$A$2:$BV$2,0))</f>
        <v>0</v>
      </c>
      <c r="N12" s="57">
        <f>INDEX('Eurostat EB TJ GWh'!$A$2:$BV$146,MATCH($A12,'Eurostat EB TJ GWh'!$A$2:$A$146,0),MATCH(N$3,'Eurostat EB TJ GWh'!$A$2:$BV$2,0))</f>
        <v>0</v>
      </c>
      <c r="O12" s="57">
        <f>INDEX('Eurostat EB TJ GWh'!$A$2:$BV$146,MATCH($A12,'Eurostat EB TJ GWh'!$A$2:$A$146,0),MATCH(O$3,'Eurostat EB TJ GWh'!$A$2:$BV$2,0))</f>
        <v>0</v>
      </c>
      <c r="P12" s="57">
        <f>INDEX('Eurostat EB TJ GWh'!$A$2:$BV$146,MATCH($A12,'Eurostat EB TJ GWh'!$A$2:$A$146,0),MATCH(P$3,'Eurostat EB TJ GWh'!$A$2:$BV$2,0))</f>
        <v>0</v>
      </c>
      <c r="Q12" s="57">
        <f>INDEX('Eurostat EB TJ GWh'!$A$2:$BV$146,MATCH($A12,'Eurostat EB TJ GWh'!$A$2:$A$146,0),MATCH(Q$3,'Eurostat EB TJ GWh'!$A$2:$BV$2,0))</f>
        <v>0</v>
      </c>
      <c r="R12" s="57">
        <f>INDEX('Eurostat EB TJ GWh'!$A$2:$BV$146,MATCH($A12,'Eurostat EB TJ GWh'!$A$2:$A$146,0),MATCH(R$2,'Eurostat EB TJ GWh'!$A$2:$BV$2,0))+INDEX('Eurostat EB TJ GWh'!$A$2:$BV$146,MATCH($A12,'Eurostat EB TJ GWh'!$A$2:$A$146,0),MATCH(R$3,'Eurostat EB TJ GWh'!$A$2:$BV$2,0))</f>
        <v>0</v>
      </c>
      <c r="S12" s="57">
        <f>INDEX('Eurostat EB TJ GWh'!$A$2:$BV$146,MATCH($A12,'Eurostat EB TJ GWh'!$A$2:$A$146,0),MATCH(S$3,'Eurostat EB TJ GWh'!$A$2:$BV$2,0))</f>
        <v>0</v>
      </c>
      <c r="T12" s="65" t="s">
        <v>323</v>
      </c>
      <c r="U12" s="57">
        <f>INDEX('Eurostat EB TJ GWh'!$A$2:$BV$146,MATCH($A12,'Eurostat EB TJ GWh'!$A$2:$A$146,0),MATCH(U$3,'Eurostat EB TJ GWh'!$A$2:$BV$2,0))</f>
        <v>0</v>
      </c>
      <c r="V12" s="57">
        <f>INDEX('Eurostat EB TJ GWh'!$A$2:$BV$146,MATCH($A12,'Eurostat EB TJ GWh'!$A$2:$A$146,0),MATCH(V$3,'Eurostat EB TJ GWh'!$A$2:$BV$2,0))</f>
        <v>0</v>
      </c>
      <c r="W12" s="57">
        <f>INDEX('Eurostat EB TJ GWh'!$A$2:$BV$146,MATCH($A12,'Eurostat EB TJ GWh'!$A$2:$A$146,0),MATCH(W$3,'Eurostat EB TJ GWh'!$A$2:$BV$2,0))</f>
        <v>0</v>
      </c>
      <c r="X12" s="57">
        <f>INDEX('Eurostat EB TJ GWh'!$A$2:$BV$146,MATCH($A12,'Eurostat EB TJ GWh'!$A$2:$A$146,0),MATCH(X$3,'Eurostat EB TJ GWh'!$A$2:$BV$2,0))</f>
        <v>0</v>
      </c>
      <c r="Y12" s="57">
        <f>INDEX('Eurostat EB TJ GWh'!$A$2:$BV$146,MATCH($A12,'Eurostat EB TJ GWh'!$A$2:$A$146,0),MATCH(Y$3,'Eurostat EB TJ GWh'!$A$2:$BV$2,0))</f>
        <v>0</v>
      </c>
      <c r="Z12" s="57">
        <f>INDEX('Eurostat EB TJ GWh'!$A$2:$BV$146,MATCH($A12,'Eurostat EB TJ GWh'!$A$2:$A$146,0),MATCH(Z$3,'Eurostat EB TJ GWh'!$A$2:$BV$2,0))</f>
        <v>0</v>
      </c>
      <c r="AA12" s="57">
        <f>INDEX('Eurostat EB TJ GWh'!$A$2:$BV$146,MATCH($A12,'Eurostat EB TJ GWh'!$A$2:$A$146,0),MATCH(AA$3,'Eurostat EB TJ GWh'!$A$2:$BV$2,0))</f>
        <v>0</v>
      </c>
      <c r="AB12" s="57">
        <f>INDEX('Eurostat EB TJ GWh'!$A$2:$BV$146,MATCH($A12,'Eurostat EB TJ GWh'!$A$2:$A$146,0),MATCH(AB$3,'Eurostat EB TJ GWh'!$A$2:$BV$2,0))</f>
        <v>0</v>
      </c>
      <c r="AC12" s="57">
        <f>INDEX('Eurostat EB TJ GWh'!$A$2:$BV$146,MATCH($A12,'Eurostat EB TJ GWh'!$A$2:$A$146,0),MATCH(AC$3,'Eurostat EB TJ GWh'!$A$2:$BV$2,0))</f>
        <v>0</v>
      </c>
      <c r="AD12" s="57">
        <f>INDEX('Eurostat EB TJ GWh'!$A$2:$BV$146,MATCH($A12,'Eurostat EB TJ GWh'!$A$2:$A$146,0),MATCH(AD$3,'Eurostat EB TJ GWh'!$A$2:$BV$2,0))</f>
        <v>0</v>
      </c>
      <c r="AE12" s="57">
        <f>INDEX('Eurostat EB TJ GWh'!$A$2:$BV$146,MATCH($A12,'Eurostat EB TJ GWh'!$A$2:$A$146,0),MATCH(AE$3,'Eurostat EB TJ GWh'!$A$2:$BV$2,0))</f>
        <v>0</v>
      </c>
      <c r="AF12" s="57">
        <f>INDEX('Eurostat EB TJ GWh'!$A$2:$BV$146,MATCH($A12,'Eurostat EB TJ GWh'!$A$2:$A$146,0),MATCH(AF$3,'Eurostat EB TJ GWh'!$A$2:$BV$2,0))</f>
        <v>139686.82199999999</v>
      </c>
      <c r="AG12" s="57">
        <f>INDEX('Eurostat EB TJ GWh'!$A$2:$BV$146,MATCH($A12,'Eurostat EB TJ GWh'!$A$2:$A$146,0),MATCH(AG$3,'Eurostat EB TJ GWh'!$A$2:$BV$2,0))</f>
        <v>0</v>
      </c>
      <c r="AH12" s="57">
        <f>INDEX('Eurostat EB TJ GWh'!$A$2:$BV$146,MATCH($A12,'Eurostat EB TJ GWh'!$A$2:$A$146,0),MATCH(AH$3,'Eurostat EB TJ GWh'!$A$2:$BV$2,0))</f>
        <v>0</v>
      </c>
      <c r="AI12" s="57">
        <f>INDEX('Eurostat EB TJ GWh'!$A$2:$BV$146,MATCH($A12,'Eurostat EB TJ GWh'!$A$2:$A$146,0),MATCH(AI$3,'Eurostat EB TJ GWh'!$A$2:$BV$2,0))</f>
        <v>0</v>
      </c>
      <c r="AJ12" s="57">
        <f>INDEX('Eurostat EB TJ GWh'!$A$2:$BV$146,MATCH($A12,'Eurostat EB TJ GWh'!$A$2:$A$146,0),MATCH(AJ$3,'Eurostat EB TJ GWh'!$A$2:$BV$2,0))</f>
        <v>0</v>
      </c>
      <c r="AK12" s="57">
        <f>INDEX('Eurostat EB TJ GWh'!$A$2:$BV$146,MATCH($A12,'Eurostat EB TJ GWh'!$A$2:$A$146,0),MATCH(AK$3,'Eurostat EB TJ GWh'!$A$2:$BV$2,0))</f>
        <v>0</v>
      </c>
      <c r="AL12" s="57">
        <f>INDEX('Eurostat EB TJ GWh'!$A$2:$BV$146,MATCH($A12,'Eurostat EB TJ GWh'!$A$2:$A$146,0),MATCH(AL$3,'Eurostat EB TJ GWh'!$A$2:$BV$2,0))</f>
        <v>0</v>
      </c>
      <c r="AM12" s="57">
        <f>INDEX('Eurostat EB TJ GWh'!$A$2:$BV$146,MATCH($A12,'Eurostat EB TJ GWh'!$A$2:$A$146,0),MATCH(AM$3,'Eurostat EB TJ GWh'!$A$2:$BV$2,0))</f>
        <v>0</v>
      </c>
      <c r="AN12" s="57">
        <f>INDEX('Eurostat EB TJ GWh'!$A$2:$BV$146,MATCH($A12,'Eurostat EB TJ GWh'!$A$2:$A$146,0),MATCH(AN$3,'Eurostat EB TJ GWh'!$A$2:$BV$2,0))</f>
        <v>0</v>
      </c>
      <c r="AO12" s="57">
        <f>INDEX('Eurostat EB TJ GWh'!$A$2:$BV$146,MATCH($A12,'Eurostat EB TJ GWh'!$A$2:$A$146,0),MATCH(AO$3,'Eurostat EB TJ GWh'!$A$2:$BV$2,0))</f>
        <v>0</v>
      </c>
      <c r="AP12" s="57">
        <f>INDEX('Eurostat EB TJ GWh'!$A$2:$BV$146,MATCH($A12,'Eurostat EB TJ GWh'!$A$2:$A$146,0),MATCH(AP$3,'Eurostat EB TJ GWh'!$A$2:$BV$2,0))</f>
        <v>0</v>
      </c>
      <c r="AQ12" s="57">
        <f>INDEX('Eurostat EB TJ GWh'!$A$2:$BV$146,MATCH($A12,'Eurostat EB TJ GWh'!$A$2:$A$146,0),MATCH(AQ$3,'Eurostat EB TJ GWh'!$A$2:$BV$2,0))</f>
        <v>0</v>
      </c>
      <c r="AR12" s="57">
        <f>INDEX('Eurostat EB TJ GWh'!$A$2:$BV$146,MATCH($A12,'Eurostat EB TJ GWh'!$A$2:$A$146,0),MATCH(AR$3,'Eurostat EB TJ GWh'!$A$2:$BV$2,0))</f>
        <v>0</v>
      </c>
      <c r="AS12" s="57">
        <f>INDEX('Eurostat EB TJ GWh'!$A$2:$BV$146,MATCH($A12,'Eurostat EB TJ GWh'!$A$2:$A$146,0),MATCH(AS$3,'Eurostat EB TJ GWh'!$A$2:$BV$2,0))</f>
        <v>0</v>
      </c>
      <c r="AT12" s="57">
        <f>INDEX('Eurostat EB TJ GWh'!$A$2:$BV$146,MATCH($A12,'Eurostat EB TJ GWh'!$A$2:$A$146,0),MATCH(AT$3,'Eurostat EB TJ GWh'!$A$2:$BV$2,0))</f>
        <v>0</v>
      </c>
      <c r="AU12" s="57">
        <f>INDEX('Eurostat EB TJ GWh'!$A$2:$BV$146,MATCH($A12,'Eurostat EB TJ GWh'!$A$2:$A$146,0),MATCH(AU$3,'Eurostat EB TJ GWh'!$A$2:$BV$2,0))</f>
        <v>0</v>
      </c>
      <c r="AV12" s="57">
        <f>INDEX('Eurostat EB TJ GWh'!$A$2:$BV$146,MATCH($A12,'Eurostat EB TJ GWh'!$A$2:$A$146,0),MATCH(AV$2,'Eurostat EB TJ GWh'!$A$2:$BV$2,0))+INDEX('Eurostat EB TJ GWh'!$A$2:$BV$146,MATCH($A12,'Eurostat EB TJ GWh'!$A$2:$A$146,0),MATCH(AV$3,'Eurostat EB TJ GWh'!$A$2:$BV$2,0))</f>
        <v>0</v>
      </c>
      <c r="AW12" s="57">
        <f>INDEX('Eurostat EB TJ GWh'!$A$2:$BV$146,MATCH($A12,'Eurostat EB TJ GWh'!$A$2:$A$146,0),MATCH(AW$2,'Eurostat EB TJ GWh'!$A$2:$BV$2,0))+INDEX('Eurostat EB TJ GWh'!$A$2:$BV$146,MATCH($A12,'Eurostat EB TJ GWh'!$A$2:$A$146,0),MATCH(AW$3,'Eurostat EB TJ GWh'!$A$2:$BV$2,0))</f>
        <v>0</v>
      </c>
      <c r="AX12" s="57">
        <f>INDEX('Eurostat EB TJ GWh'!$A$2:$BV$146,MATCH($A12,'Eurostat EB TJ GWh'!$A$2:$A$146,0),MATCH(AX$3,'Eurostat EB TJ GWh'!$A$2:$BV$2,0))</f>
        <v>0</v>
      </c>
      <c r="AY12" s="65">
        <v>0</v>
      </c>
      <c r="AZ12" s="57">
        <f>INDEX('Eurostat EB TJ GWh'!$A$2:$BV$146,MATCH($A12,'Eurostat EB TJ GWh'!$A$2:$A$146,0),MATCH(AZ$3,'Eurostat EB TJ GWh'!$A$2:$BV$2,0))</f>
        <v>0</v>
      </c>
      <c r="BA12" s="65">
        <v>0</v>
      </c>
      <c r="BB12" s="65">
        <v>0</v>
      </c>
      <c r="BC12" s="57">
        <f>INDEX('Eurostat EB TJ GWh'!$A$2:$BV$146,MATCH($A12,'Eurostat EB TJ GWh'!$A$2:$A$146,0),MATCH(BC$3,'Eurostat EB TJ GWh'!$A$2:$BV$2,0))</f>
        <v>0</v>
      </c>
      <c r="BD12" s="57">
        <f>INDEX('Eurostat EB TJ GWh'!$A$2:$BV$146,MATCH($A12,'Eurostat EB TJ GWh'!$A$2:$A$146,0),MATCH(BD$3,'Eurostat EB TJ GWh'!$A$2:$BV$2,0))</f>
        <v>0</v>
      </c>
      <c r="BE12" s="57">
        <f>INDEX('Eurostat EB TJ GWh'!$A$2:$BV$146,MATCH($A12,'Eurostat EB TJ GWh'!$A$2:$A$146,0),MATCH(BE$3,'Eurostat EB TJ GWh'!$A$2:$BV$2,0))</f>
        <v>0</v>
      </c>
      <c r="BF12" s="57">
        <f>INDEX('Eurostat EB TJ GWh'!$A$2:$BV$146,MATCH($A12,'Eurostat EB TJ GWh'!$A$2:$A$146,0),MATCH(BF$3,'Eurostat EB TJ GWh'!$A$2:$BV$2,0))</f>
        <v>0</v>
      </c>
      <c r="BG12" s="57">
        <f>INDEX('Eurostat EB TJ GWh'!$A$2:$BV$146,MATCH($A12,'Eurostat EB TJ GWh'!$A$2:$A$146,0),MATCH(BG$3,'Eurostat EB TJ GWh'!$A$2:$BV$2,0))</f>
        <v>0</v>
      </c>
      <c r="BH12" s="57">
        <f>INDEX('Eurostat EB TJ GWh'!$A$2:$BV$146,MATCH($A12,'Eurostat EB TJ GWh'!$A$2:$A$146,0),MATCH(BH$3,'Eurostat EB TJ GWh'!$A$2:$BV$2,0))</f>
        <v>0</v>
      </c>
      <c r="BI12" s="57">
        <f>INDEX('Eurostat EB TJ GWh'!$A$2:$BV$146,MATCH($A12,'Eurostat EB TJ GWh'!$A$2:$A$146,0),MATCH(BI$3,'Eurostat EB TJ GWh'!$A$2:$BV$2,0))</f>
        <v>0</v>
      </c>
      <c r="BJ12" s="65">
        <v>0</v>
      </c>
      <c r="BK12" s="57">
        <f>INDEX('Eurostat EB TJ GWh'!$A$2:$BV$146,MATCH($A12,'Eurostat EB TJ GWh'!$A$2:$A$146,0),MATCH(BK$3,'Eurostat EB TJ GWh'!$A$2:$BV$2,0))</f>
        <v>0</v>
      </c>
      <c r="BL12" s="57">
        <f>INDEX('Eurostat EB TJ GWh'!$A$2:$BV$146,MATCH($A12,'Eurostat EB TJ GWh'!$A$2:$A$146,0),MATCH(BL$3,'Eurostat EB TJ GWh'!$A$2:$BV$2,0))</f>
        <v>0</v>
      </c>
      <c r="BM12" s="57">
        <f>INDEX('Eurostat EB TJ GWh'!$A$2:$BV$146,MATCH($A12,'Eurostat EB TJ GWh'!$A$2:$A$146,0),MATCH(BM$3,'Eurostat EB TJ GWh'!$A$2:$BV$2,0))</f>
        <v>142333.24600000001</v>
      </c>
      <c r="BN12" s="57">
        <f>INDEX('Eurostat EB TJ GWh'!$A$2:$BV$146,MATCH($A12,'Eurostat EB TJ GWh'!$A$2:$A$146,0),MATCH(BN$3,'Eurostat EB TJ GWh'!$A$2:$BV$2,0))</f>
        <v>2646.424</v>
      </c>
    </row>
    <row r="13" spans="1:66" x14ac:dyDescent="0.2">
      <c r="A13" s="56" t="s">
        <v>81</v>
      </c>
      <c r="B13" s="65" t="s">
        <v>323</v>
      </c>
      <c r="C13" s="65" t="s">
        <v>323</v>
      </c>
      <c r="D13" s="17">
        <f>INDEX('Eurostat EB TJ GWh'!$A$2:$BV$146,MATCH($A13,'Eurostat EB TJ GWh'!$A$2:$A$146,0),MATCH(D$3,'Eurostat EB TJ GWh'!$A$2:$BV$2,0))</f>
        <v>76.706999999999994</v>
      </c>
      <c r="E13" s="17">
        <f>INDEX('Eurostat EB TJ GWh'!$A$2:$BV$146,MATCH($A13,'Eurostat EB TJ GWh'!$A$2:$A$146,0),MATCH(E$3,'Eurostat EB TJ GWh'!$A$2:$BV$2,0))</f>
        <v>99209.364000000001</v>
      </c>
      <c r="F13" s="17">
        <f>INDEX('Eurostat EB TJ GWh'!$A$2:$BV$146,MATCH($A13,'Eurostat EB TJ GWh'!$A$2:$A$146,0),MATCH(F$3,'Eurostat EB TJ GWh'!$A$2:$BV$2,0))</f>
        <v>71800.581000000006</v>
      </c>
      <c r="G13" s="17">
        <f>INDEX('Eurostat EB TJ GWh'!$A$2:$BV$146,MATCH($A13,'Eurostat EB TJ GWh'!$A$2:$A$146,0),MATCH(G$3,'Eurostat EB TJ GWh'!$A$2:$BV$2,0))</f>
        <v>0</v>
      </c>
      <c r="H13" s="17">
        <f>INDEX('Eurostat EB TJ GWh'!$A$2:$BV$146,MATCH($A13,'Eurostat EB TJ GWh'!$A$2:$A$146,0),MATCH(H$3,'Eurostat EB TJ GWh'!$A$2:$BV$2,0))</f>
        <v>312.82</v>
      </c>
      <c r="I13" s="17">
        <f>INDEX('Eurostat EB TJ GWh'!$A$2:$BV$146,MATCH($A13,'Eurostat EB TJ GWh'!$A$2:$A$146,0),MATCH(I$3,'Eurostat EB TJ GWh'!$A$2:$BV$2,0))</f>
        <v>0</v>
      </c>
      <c r="J13" s="17">
        <f>INDEX('Eurostat EB TJ GWh'!$A$2:$BV$146,MATCH($A13,'Eurostat EB TJ GWh'!$A$2:$A$146,0),MATCH(J$3,'Eurostat EB TJ GWh'!$A$2:$BV$2,0))</f>
        <v>-10738.941999999999</v>
      </c>
      <c r="K13" s="17">
        <f>INDEX('Eurostat EB TJ GWh'!$A$2:$BV$146,MATCH($A13,'Eurostat EB TJ GWh'!$A$2:$A$146,0),MATCH(K$3,'Eurostat EB TJ GWh'!$A$2:$BV$2,0))</f>
        <v>0</v>
      </c>
      <c r="L13" s="17">
        <f>INDEX('Eurostat EB TJ GWh'!$A$2:$BV$146,MATCH($A13,'Eurostat EB TJ GWh'!$A$2:$A$146,0),MATCH(L$3,'Eurostat EB TJ GWh'!$A$2:$BV$2,0))</f>
        <v>-2295.0729999999999</v>
      </c>
      <c r="M13" s="17">
        <f>INDEX('Eurostat EB TJ GWh'!$A$2:$BV$146,MATCH($A13,'Eurostat EB TJ GWh'!$A$2:$A$146,0),MATCH(M$3,'Eurostat EB TJ GWh'!$A$2:$BV$2,0))</f>
        <v>0</v>
      </c>
      <c r="N13" s="17">
        <f>INDEX('Eurostat EB TJ GWh'!$A$2:$BV$146,MATCH($A13,'Eurostat EB TJ GWh'!$A$2:$A$146,0),MATCH(N$3,'Eurostat EB TJ GWh'!$A$2:$BV$2,0))</f>
        <v>0</v>
      </c>
      <c r="O13" s="17">
        <f>INDEX('Eurostat EB TJ GWh'!$A$2:$BV$146,MATCH($A13,'Eurostat EB TJ GWh'!$A$2:$A$146,0),MATCH(O$3,'Eurostat EB TJ GWh'!$A$2:$BV$2,0))</f>
        <v>0</v>
      </c>
      <c r="P13" s="17">
        <f>INDEX('Eurostat EB TJ GWh'!$A$2:$BV$146,MATCH($A13,'Eurostat EB TJ GWh'!$A$2:$A$146,0),MATCH(P$3,'Eurostat EB TJ GWh'!$A$2:$BV$2,0))</f>
        <v>0</v>
      </c>
      <c r="Q13" s="17">
        <f>INDEX('Eurostat EB TJ GWh'!$A$2:$BV$146,MATCH($A13,'Eurostat EB TJ GWh'!$A$2:$A$146,0),MATCH(Q$3,'Eurostat EB TJ GWh'!$A$2:$BV$2,0))</f>
        <v>0</v>
      </c>
      <c r="R13" s="17">
        <f>INDEX('Eurostat EB TJ GWh'!$A$2:$BV$146,MATCH($A13,'Eurostat EB TJ GWh'!$A$2:$A$146,0),MATCH(R$2,'Eurostat EB TJ GWh'!$A$2:$BV$2,0))+INDEX('Eurostat EB TJ GWh'!$A$2:$BV$146,MATCH($A13,'Eurostat EB TJ GWh'!$A$2:$A$146,0),MATCH(R$3,'Eurostat EB TJ GWh'!$A$2:$BV$2,0))</f>
        <v>0</v>
      </c>
      <c r="S13" s="17">
        <f>INDEX('Eurostat EB TJ GWh'!$A$2:$BV$146,MATCH($A13,'Eurostat EB TJ GWh'!$A$2:$A$146,0),MATCH(S$3,'Eurostat EB TJ GWh'!$A$2:$BV$2,0))</f>
        <v>928798.62600000005</v>
      </c>
      <c r="T13" s="65" t="s">
        <v>323</v>
      </c>
      <c r="U13" s="17">
        <f>INDEX('Eurostat EB TJ GWh'!$A$2:$BV$146,MATCH($A13,'Eurostat EB TJ GWh'!$A$2:$A$146,0),MATCH(U$3,'Eurostat EB TJ GWh'!$A$2:$BV$2,0))</f>
        <v>2349392.9330000002</v>
      </c>
      <c r="V13" s="17">
        <f>INDEX('Eurostat EB TJ GWh'!$A$2:$BV$146,MATCH($A13,'Eurostat EB TJ GWh'!$A$2:$A$146,0),MATCH(V$3,'Eurostat EB TJ GWh'!$A$2:$BV$2,0))</f>
        <v>343507.68</v>
      </c>
      <c r="W13" s="17">
        <f>INDEX('Eurostat EB TJ GWh'!$A$2:$BV$146,MATCH($A13,'Eurostat EB TJ GWh'!$A$2:$A$146,0),MATCH(W$3,'Eurostat EB TJ GWh'!$A$2:$BV$2,0))</f>
        <v>0</v>
      </c>
      <c r="X13" s="17">
        <f>INDEX('Eurostat EB TJ GWh'!$A$2:$BV$146,MATCH($A13,'Eurostat EB TJ GWh'!$A$2:$A$146,0),MATCH(X$3,'Eurostat EB TJ GWh'!$A$2:$BV$2,0))</f>
        <v>24606.116000000002</v>
      </c>
      <c r="Y13" s="17">
        <f>INDEX('Eurostat EB TJ GWh'!$A$2:$BV$146,MATCH($A13,'Eurostat EB TJ GWh'!$A$2:$A$146,0),MATCH(Y$3,'Eurostat EB TJ GWh'!$A$2:$BV$2,0))</f>
        <v>0</v>
      </c>
      <c r="Z13" s="17">
        <f>INDEX('Eurostat EB TJ GWh'!$A$2:$BV$146,MATCH($A13,'Eurostat EB TJ GWh'!$A$2:$A$146,0),MATCH(Z$3,'Eurostat EB TJ GWh'!$A$2:$BV$2,0))</f>
        <v>10953.163</v>
      </c>
      <c r="AA13" s="17">
        <f>INDEX('Eurostat EB TJ GWh'!$A$2:$BV$146,MATCH($A13,'Eurostat EB TJ GWh'!$A$2:$A$146,0),MATCH(AA$3,'Eurostat EB TJ GWh'!$A$2:$BV$2,0))</f>
        <v>0</v>
      </c>
      <c r="AB13" s="17">
        <f>INDEX('Eurostat EB TJ GWh'!$A$2:$BV$146,MATCH($A13,'Eurostat EB TJ GWh'!$A$2:$A$146,0),MATCH(AB$3,'Eurostat EB TJ GWh'!$A$2:$BV$2,0))</f>
        <v>58822.580999999998</v>
      </c>
      <c r="AC13" s="17">
        <f>INDEX('Eurostat EB TJ GWh'!$A$2:$BV$146,MATCH($A13,'Eurostat EB TJ GWh'!$A$2:$A$146,0),MATCH(AC$3,'Eurostat EB TJ GWh'!$A$2:$BV$2,0))</f>
        <v>-596515.62199999997</v>
      </c>
      <c r="AD13" s="17">
        <f>INDEX('Eurostat EB TJ GWh'!$A$2:$BV$146,MATCH($A13,'Eurostat EB TJ GWh'!$A$2:$A$146,0),MATCH(AD$3,'Eurostat EB TJ GWh'!$A$2:$BV$2,0))</f>
        <v>-2765.681</v>
      </c>
      <c r="AE13" s="17">
        <f>INDEX('Eurostat EB TJ GWh'!$A$2:$BV$146,MATCH($A13,'Eurostat EB TJ GWh'!$A$2:$A$146,0),MATCH(AE$3,'Eurostat EB TJ GWh'!$A$2:$BV$2,0))</f>
        <v>0</v>
      </c>
      <c r="AF13" s="17">
        <f>INDEX('Eurostat EB TJ GWh'!$A$2:$BV$146,MATCH($A13,'Eurostat EB TJ GWh'!$A$2:$A$146,0),MATCH(AF$3,'Eurostat EB TJ GWh'!$A$2:$BV$2,0))</f>
        <v>-388467.95899999997</v>
      </c>
      <c r="AG13" s="17">
        <f>INDEX('Eurostat EB TJ GWh'!$A$2:$BV$146,MATCH($A13,'Eurostat EB TJ GWh'!$A$2:$A$146,0),MATCH(AG$3,'Eurostat EB TJ GWh'!$A$2:$BV$2,0))</f>
        <v>-11180.653</v>
      </c>
      <c r="AH13" s="17">
        <f>INDEX('Eurostat EB TJ GWh'!$A$2:$BV$146,MATCH($A13,'Eurostat EB TJ GWh'!$A$2:$A$146,0),MATCH(AH$3,'Eurostat EB TJ GWh'!$A$2:$BV$2,0))</f>
        <v>-579570.19700000004</v>
      </c>
      <c r="AI13" s="17">
        <f>INDEX('Eurostat EB TJ GWh'!$A$2:$BV$146,MATCH($A13,'Eurostat EB TJ GWh'!$A$2:$A$146,0),MATCH(AI$3,'Eurostat EB TJ GWh'!$A$2:$BV$2,0))</f>
        <v>-293881.33399999997</v>
      </c>
      <c r="AJ13" s="17">
        <f>INDEX('Eurostat EB TJ GWh'!$A$2:$BV$146,MATCH($A13,'Eurostat EB TJ GWh'!$A$2:$A$146,0),MATCH(AJ$3,'Eurostat EB TJ GWh'!$A$2:$BV$2,0))</f>
        <v>224209.076</v>
      </c>
      <c r="AK13" s="17">
        <f>INDEX('Eurostat EB TJ GWh'!$A$2:$BV$146,MATCH($A13,'Eurostat EB TJ GWh'!$A$2:$A$146,0),MATCH(AK$3,'Eurostat EB TJ GWh'!$A$2:$BV$2,0))</f>
        <v>-6585.7460000000001</v>
      </c>
      <c r="AL13" s="17">
        <f>INDEX('Eurostat EB TJ GWh'!$A$2:$BV$146,MATCH($A13,'Eurostat EB TJ GWh'!$A$2:$A$146,0),MATCH(AL$3,'Eurostat EB TJ GWh'!$A$2:$BV$2,0))</f>
        <v>-24673.428</v>
      </c>
      <c r="AM13" s="17">
        <f>INDEX('Eurostat EB TJ GWh'!$A$2:$BV$146,MATCH($A13,'Eurostat EB TJ GWh'!$A$2:$A$146,0),MATCH(AM$3,'Eurostat EB TJ GWh'!$A$2:$BV$2,0))</f>
        <v>-33161.000999999997</v>
      </c>
      <c r="AN13" s="17">
        <f>INDEX('Eurostat EB TJ GWh'!$A$2:$BV$146,MATCH($A13,'Eurostat EB TJ GWh'!$A$2:$A$146,0),MATCH(AN$3,'Eurostat EB TJ GWh'!$A$2:$BV$2,0))</f>
        <v>402.14299999999997</v>
      </c>
      <c r="AO13" s="17">
        <f>INDEX('Eurostat EB TJ GWh'!$A$2:$BV$146,MATCH($A13,'Eurostat EB TJ GWh'!$A$2:$A$146,0),MATCH(AO$3,'Eurostat EB TJ GWh'!$A$2:$BV$2,0))</f>
        <v>8775.5249999999996</v>
      </c>
      <c r="AP13" s="17">
        <f>INDEX('Eurostat EB TJ GWh'!$A$2:$BV$146,MATCH($A13,'Eurostat EB TJ GWh'!$A$2:$A$146,0),MATCH(AP$3,'Eurostat EB TJ GWh'!$A$2:$BV$2,0))</f>
        <v>-16769.172999999999</v>
      </c>
      <c r="AQ13" s="17">
        <f>INDEX('Eurostat EB TJ GWh'!$A$2:$BV$146,MATCH($A13,'Eurostat EB TJ GWh'!$A$2:$A$146,0),MATCH(AQ$3,'Eurostat EB TJ GWh'!$A$2:$BV$2,0))</f>
        <v>1876.845</v>
      </c>
      <c r="AR13" s="17">
        <f>INDEX('Eurostat EB TJ GWh'!$A$2:$BV$146,MATCH($A13,'Eurostat EB TJ GWh'!$A$2:$A$146,0),MATCH(AR$3,'Eurostat EB TJ GWh'!$A$2:$BV$2,0))</f>
        <v>36847.622000000003</v>
      </c>
      <c r="AS13" s="17">
        <f>INDEX('Eurostat EB TJ GWh'!$A$2:$BV$146,MATCH($A13,'Eurostat EB TJ GWh'!$A$2:$A$146,0),MATCH(AS$3,'Eurostat EB TJ GWh'!$A$2:$BV$2,0))</f>
        <v>32676.192999999999</v>
      </c>
      <c r="AT13" s="17">
        <f>INDEX('Eurostat EB TJ GWh'!$A$2:$BV$146,MATCH($A13,'Eurostat EB TJ GWh'!$A$2:$A$146,0),MATCH(AT$3,'Eurostat EB TJ GWh'!$A$2:$BV$2,0))</f>
        <v>84063.228000000003</v>
      </c>
      <c r="AU13" s="17">
        <f>INDEX('Eurostat EB TJ GWh'!$A$2:$BV$146,MATCH($A13,'Eurostat EB TJ GWh'!$A$2:$A$146,0),MATCH(AU$3,'Eurostat EB TJ GWh'!$A$2:$BV$2,0))</f>
        <v>18758.186000000002</v>
      </c>
      <c r="AV13" s="17">
        <f>INDEX('Eurostat EB TJ GWh'!$A$2:$BV$146,MATCH($A13,'Eurostat EB TJ GWh'!$A$2:$A$146,0),MATCH(AV$2,'Eurostat EB TJ GWh'!$A$2:$BV$2,0))+INDEX('Eurostat EB TJ GWh'!$A$2:$BV$146,MATCH($A13,'Eurostat EB TJ GWh'!$A$2:$A$146,0),MATCH(AV$3,'Eurostat EB TJ GWh'!$A$2:$BV$2,0))</f>
        <v>11147.65</v>
      </c>
      <c r="AW13" s="17">
        <f>INDEX('Eurostat EB TJ GWh'!$A$2:$BV$146,MATCH($A13,'Eurostat EB TJ GWh'!$A$2:$A$146,0),MATCH(AW$2,'Eurostat EB TJ GWh'!$A$2:$BV$2,0))+INDEX('Eurostat EB TJ GWh'!$A$2:$BV$146,MATCH($A13,'Eurostat EB TJ GWh'!$A$2:$A$146,0),MATCH(AW$3,'Eurostat EB TJ GWh'!$A$2:$BV$2,0))</f>
        <v>14730.059999999998</v>
      </c>
      <c r="AX13" s="17">
        <f>INDEX('Eurostat EB TJ GWh'!$A$2:$BV$146,MATCH($A13,'Eurostat EB TJ GWh'!$A$2:$A$146,0),MATCH(AX$3,'Eurostat EB TJ GWh'!$A$2:$BV$2,0))</f>
        <v>529.77599999999995</v>
      </c>
      <c r="AY13" s="65">
        <v>0</v>
      </c>
      <c r="AZ13" s="17">
        <f>INDEX('Eurostat EB TJ GWh'!$A$2:$BV$146,MATCH($A13,'Eurostat EB TJ GWh'!$A$2:$A$146,0),MATCH(AZ$3,'Eurostat EB TJ GWh'!$A$2:$BV$2,0))</f>
        <v>270</v>
      </c>
      <c r="BA13" s="65">
        <v>0</v>
      </c>
      <c r="BB13" s="65">
        <v>0</v>
      </c>
      <c r="BC13" s="17">
        <f>INDEX('Eurostat EB TJ GWh'!$A$2:$BV$146,MATCH($A13,'Eurostat EB TJ GWh'!$A$2:$A$146,0),MATCH(BC$3,'Eurostat EB TJ GWh'!$A$2:$BV$2,0))</f>
        <v>38959.053</v>
      </c>
      <c r="BD13" s="17">
        <f>INDEX('Eurostat EB TJ GWh'!$A$2:$BV$146,MATCH($A13,'Eurostat EB TJ GWh'!$A$2:$A$146,0),MATCH(BD$3,'Eurostat EB TJ GWh'!$A$2:$BV$2,0))</f>
        <v>249.72800000000001</v>
      </c>
      <c r="BE13" s="17">
        <f>INDEX('Eurostat EB TJ GWh'!$A$2:$BV$146,MATCH($A13,'Eurostat EB TJ GWh'!$A$2:$A$146,0),MATCH(BE$3,'Eurostat EB TJ GWh'!$A$2:$BV$2,0))</f>
        <v>6797.51</v>
      </c>
      <c r="BF13" s="17">
        <f>INDEX('Eurostat EB TJ GWh'!$A$2:$BV$146,MATCH($A13,'Eurostat EB TJ GWh'!$A$2:$A$146,0),MATCH(BF$3,'Eurostat EB TJ GWh'!$A$2:$BV$2,0))</f>
        <v>70481.476999999999</v>
      </c>
      <c r="BG13" s="17">
        <f>INDEX('Eurostat EB TJ GWh'!$A$2:$BV$146,MATCH($A13,'Eurostat EB TJ GWh'!$A$2:$A$146,0),MATCH(BG$3,'Eurostat EB TJ GWh'!$A$2:$BV$2,0))</f>
        <v>1176</v>
      </c>
      <c r="BH13" s="17">
        <f>INDEX('Eurostat EB TJ GWh'!$A$2:$BV$146,MATCH($A13,'Eurostat EB TJ GWh'!$A$2:$A$146,0),MATCH(BH$3,'Eurostat EB TJ GWh'!$A$2:$BV$2,0))</f>
        <v>0</v>
      </c>
      <c r="BI13" s="17">
        <f>INDEX('Eurostat EB TJ GWh'!$A$2:$BV$146,MATCH($A13,'Eurostat EB TJ GWh'!$A$2:$A$146,0),MATCH(BI$3,'Eurostat EB TJ GWh'!$A$2:$BV$2,0))</f>
        <v>106290.292</v>
      </c>
      <c r="BJ13" s="65">
        <v>0</v>
      </c>
      <c r="BK13" s="17">
        <f>INDEX('Eurostat EB TJ GWh'!$A$2:$BV$146,MATCH($A13,'Eurostat EB TJ GWh'!$A$2:$A$146,0),MATCH(BK$3,'Eurostat EB TJ GWh'!$A$2:$BV$2,0))</f>
        <v>-20374.319</v>
      </c>
      <c r="BL13" s="17">
        <f>INDEX('Eurostat EB TJ GWh'!$A$2:$BV$146,MATCH($A13,'Eurostat EB TJ GWh'!$A$2:$A$146,0),MATCH(BL$3,'Eurostat EB TJ GWh'!$A$2:$BV$2,0))</f>
        <v>8031.1109999999999</v>
      </c>
      <c r="BM13" s="17">
        <f>INDEX('Eurostat EB TJ GWh'!$A$2:$BV$146,MATCH($A13,'Eurostat EB TJ GWh'!$A$2:$A$146,0),MATCH(BM$3,'Eurostat EB TJ GWh'!$A$2:$BV$2,0))</f>
        <v>2592297.5299999998</v>
      </c>
      <c r="BN13" s="17">
        <f>INDEX('Eurostat EB TJ GWh'!$A$2:$BV$146,MATCH($A13,'Eurostat EB TJ GWh'!$A$2:$A$146,0),MATCH(BN$3,'Eurostat EB TJ GWh'!$A$2:$BV$2,0))</f>
        <v>170870.39799999999</v>
      </c>
    </row>
    <row r="14" spans="1:66" x14ac:dyDescent="0.2">
      <c r="A14" s="56" t="s">
        <v>204</v>
      </c>
      <c r="B14" s="65" t="s">
        <v>323</v>
      </c>
      <c r="C14" s="65" t="s">
        <v>323</v>
      </c>
      <c r="D14" s="57">
        <f>INDEX('Eurostat EB TJ GWh'!$A$2:$BV$146,MATCH($A14,'Eurostat EB TJ GWh'!$A$2:$A$146,0),MATCH(D$3,'Eurostat EB TJ GWh'!$A$2:$BV$2,0))</f>
        <v>0</v>
      </c>
      <c r="E14" s="57">
        <f>INDEX('Eurostat EB TJ GWh'!$A$2:$BV$146,MATCH($A14,'Eurostat EB TJ GWh'!$A$2:$A$146,0),MATCH(E$3,'Eurostat EB TJ GWh'!$A$2:$BV$2,0))</f>
        <v>99143.111999999994</v>
      </c>
      <c r="F14" s="57">
        <f>INDEX('Eurostat EB TJ GWh'!$A$2:$BV$146,MATCH($A14,'Eurostat EB TJ GWh'!$A$2:$A$146,0),MATCH(F$3,'Eurostat EB TJ GWh'!$A$2:$BV$2,0))</f>
        <v>71329.782000000007</v>
      </c>
      <c r="G14" s="57">
        <f>INDEX('Eurostat EB TJ GWh'!$A$2:$BV$146,MATCH($A14,'Eurostat EB TJ GWh'!$A$2:$A$146,0),MATCH(G$3,'Eurostat EB TJ GWh'!$A$2:$BV$2,0))</f>
        <v>0</v>
      </c>
      <c r="H14" s="57">
        <f>INDEX('Eurostat EB TJ GWh'!$A$2:$BV$146,MATCH($A14,'Eurostat EB TJ GWh'!$A$2:$A$146,0),MATCH(H$3,'Eurostat EB TJ GWh'!$A$2:$BV$2,0))</f>
        <v>0</v>
      </c>
      <c r="I14" s="57">
        <f>INDEX('Eurostat EB TJ GWh'!$A$2:$BV$146,MATCH($A14,'Eurostat EB TJ GWh'!$A$2:$A$146,0),MATCH(I$3,'Eurostat EB TJ GWh'!$A$2:$BV$2,0))</f>
        <v>0</v>
      </c>
      <c r="J14" s="57">
        <f>INDEX('Eurostat EB TJ GWh'!$A$2:$BV$146,MATCH($A14,'Eurostat EB TJ GWh'!$A$2:$A$146,0),MATCH(J$3,'Eurostat EB TJ GWh'!$A$2:$BV$2,0))</f>
        <v>35544.002999999997</v>
      </c>
      <c r="K14" s="57">
        <f>INDEX('Eurostat EB TJ GWh'!$A$2:$BV$146,MATCH($A14,'Eurostat EB TJ GWh'!$A$2:$A$146,0),MATCH(K$3,'Eurostat EB TJ GWh'!$A$2:$BV$2,0))</f>
        <v>0</v>
      </c>
      <c r="L14" s="57">
        <f>INDEX('Eurostat EB TJ GWh'!$A$2:$BV$146,MATCH($A14,'Eurostat EB TJ GWh'!$A$2:$A$146,0),MATCH(L$3,'Eurostat EB TJ GWh'!$A$2:$BV$2,0))</f>
        <v>0</v>
      </c>
      <c r="M14" s="57">
        <f>INDEX('Eurostat EB TJ GWh'!$A$2:$BV$146,MATCH($A14,'Eurostat EB TJ GWh'!$A$2:$A$146,0),MATCH(M$3,'Eurostat EB TJ GWh'!$A$2:$BV$2,0))</f>
        <v>0</v>
      </c>
      <c r="N14" s="57">
        <f>INDEX('Eurostat EB TJ GWh'!$A$2:$BV$146,MATCH($A14,'Eurostat EB TJ GWh'!$A$2:$A$146,0),MATCH(N$3,'Eurostat EB TJ GWh'!$A$2:$BV$2,0))</f>
        <v>0</v>
      </c>
      <c r="O14" s="57">
        <f>INDEX('Eurostat EB TJ GWh'!$A$2:$BV$146,MATCH($A14,'Eurostat EB TJ GWh'!$A$2:$A$146,0),MATCH(O$3,'Eurostat EB TJ GWh'!$A$2:$BV$2,0))</f>
        <v>1428.5409999999999</v>
      </c>
      <c r="P14" s="57">
        <f>INDEX('Eurostat EB TJ GWh'!$A$2:$BV$146,MATCH($A14,'Eurostat EB TJ GWh'!$A$2:$A$146,0),MATCH(P$3,'Eurostat EB TJ GWh'!$A$2:$BV$2,0))</f>
        <v>16741.504000000001</v>
      </c>
      <c r="Q14" s="57">
        <f>INDEX('Eurostat EB TJ GWh'!$A$2:$BV$146,MATCH($A14,'Eurostat EB TJ GWh'!$A$2:$A$146,0),MATCH(Q$3,'Eurostat EB TJ GWh'!$A$2:$BV$2,0))</f>
        <v>0</v>
      </c>
      <c r="R14" s="57">
        <f>INDEX('Eurostat EB TJ GWh'!$A$2:$BV$146,MATCH($A14,'Eurostat EB TJ GWh'!$A$2:$A$146,0),MATCH(R$2,'Eurostat EB TJ GWh'!$A$2:$BV$2,0))+INDEX('Eurostat EB TJ GWh'!$A$2:$BV$146,MATCH($A14,'Eurostat EB TJ GWh'!$A$2:$A$146,0),MATCH(R$3,'Eurostat EB TJ GWh'!$A$2:$BV$2,0))</f>
        <v>0</v>
      </c>
      <c r="S14" s="57">
        <f>INDEX('Eurostat EB TJ GWh'!$A$2:$BV$146,MATCH($A14,'Eurostat EB TJ GWh'!$A$2:$A$146,0),MATCH(S$3,'Eurostat EB TJ GWh'!$A$2:$BV$2,0))</f>
        <v>311308.08399999997</v>
      </c>
      <c r="T14" s="65" t="s">
        <v>323</v>
      </c>
      <c r="U14" s="57">
        <f>INDEX('Eurostat EB TJ GWh'!$A$2:$BV$146,MATCH($A14,'Eurostat EB TJ GWh'!$A$2:$A$146,0),MATCH(U$3,'Eurostat EB TJ GWh'!$A$2:$BV$2,0))</f>
        <v>2427012.0720000002</v>
      </c>
      <c r="V14" s="57">
        <f>INDEX('Eurostat EB TJ GWh'!$A$2:$BV$146,MATCH($A14,'Eurostat EB TJ GWh'!$A$2:$A$146,0),MATCH(V$3,'Eurostat EB TJ GWh'!$A$2:$BV$2,0))</f>
        <v>423903.73800000001</v>
      </c>
      <c r="W14" s="57">
        <f>INDEX('Eurostat EB TJ GWh'!$A$2:$BV$146,MATCH($A14,'Eurostat EB TJ GWh'!$A$2:$A$146,0),MATCH(W$3,'Eurostat EB TJ GWh'!$A$2:$BV$2,0))</f>
        <v>366286</v>
      </c>
      <c r="X14" s="57">
        <f>INDEX('Eurostat EB TJ GWh'!$A$2:$BV$146,MATCH($A14,'Eurostat EB TJ GWh'!$A$2:$A$146,0),MATCH(X$3,'Eurostat EB TJ GWh'!$A$2:$BV$2,0))</f>
        <v>21733.940999999999</v>
      </c>
      <c r="Y14" s="57">
        <f>INDEX('Eurostat EB TJ GWh'!$A$2:$BV$146,MATCH($A14,'Eurostat EB TJ GWh'!$A$2:$A$146,0),MATCH(Y$3,'Eurostat EB TJ GWh'!$A$2:$BV$2,0))</f>
        <v>0</v>
      </c>
      <c r="Z14" s="57">
        <f>INDEX('Eurostat EB TJ GWh'!$A$2:$BV$146,MATCH($A14,'Eurostat EB TJ GWh'!$A$2:$A$146,0),MATCH(Z$3,'Eurostat EB TJ GWh'!$A$2:$BV$2,0))</f>
        <v>114591.711</v>
      </c>
      <c r="AA14" s="57">
        <f>INDEX('Eurostat EB TJ GWh'!$A$2:$BV$146,MATCH($A14,'Eurostat EB TJ GWh'!$A$2:$A$146,0),MATCH(AA$3,'Eurostat EB TJ GWh'!$A$2:$BV$2,0))</f>
        <v>0</v>
      </c>
      <c r="AB14" s="57">
        <f>INDEX('Eurostat EB TJ GWh'!$A$2:$BV$146,MATCH($A14,'Eurostat EB TJ GWh'!$A$2:$A$146,0),MATCH(AB$3,'Eurostat EB TJ GWh'!$A$2:$BV$2,0))</f>
        <v>48544.434999999998</v>
      </c>
      <c r="AC14" s="57">
        <f>INDEX('Eurostat EB TJ GWh'!$A$2:$BV$146,MATCH($A14,'Eurostat EB TJ GWh'!$A$2:$A$146,0),MATCH(AC$3,'Eurostat EB TJ GWh'!$A$2:$BV$2,0))</f>
        <v>234.137</v>
      </c>
      <c r="AD14" s="57">
        <f>INDEX('Eurostat EB TJ GWh'!$A$2:$BV$146,MATCH($A14,'Eurostat EB TJ GWh'!$A$2:$A$146,0),MATCH(AD$3,'Eurostat EB TJ GWh'!$A$2:$BV$2,0))</f>
        <v>8.7999999999999995E-2</v>
      </c>
      <c r="AE14" s="57">
        <f>INDEX('Eurostat EB TJ GWh'!$A$2:$BV$146,MATCH($A14,'Eurostat EB TJ GWh'!$A$2:$A$146,0),MATCH(AE$3,'Eurostat EB TJ GWh'!$A$2:$BV$2,0))</f>
        <v>0</v>
      </c>
      <c r="AF14" s="57">
        <f>INDEX('Eurostat EB TJ GWh'!$A$2:$BV$146,MATCH($A14,'Eurostat EB TJ GWh'!$A$2:$A$146,0),MATCH(AF$3,'Eurostat EB TJ GWh'!$A$2:$BV$2,0))</f>
        <v>60.075000000000003</v>
      </c>
      <c r="AG14" s="57">
        <f>INDEX('Eurostat EB TJ GWh'!$A$2:$BV$146,MATCH($A14,'Eurostat EB TJ GWh'!$A$2:$A$146,0),MATCH(AG$3,'Eurostat EB TJ GWh'!$A$2:$BV$2,0))</f>
        <v>4483.384</v>
      </c>
      <c r="AH14" s="57">
        <f>INDEX('Eurostat EB TJ GWh'!$A$2:$BV$146,MATCH($A14,'Eurostat EB TJ GWh'!$A$2:$A$146,0),MATCH(AH$3,'Eurostat EB TJ GWh'!$A$2:$BV$2,0))</f>
        <v>42952.313000000002</v>
      </c>
      <c r="AI14" s="57">
        <f>INDEX('Eurostat EB TJ GWh'!$A$2:$BV$146,MATCH($A14,'Eurostat EB TJ GWh'!$A$2:$A$146,0),MATCH(AI$3,'Eurostat EB TJ GWh'!$A$2:$BV$2,0))</f>
        <v>136153.08600000001</v>
      </c>
      <c r="AJ14" s="57">
        <f>INDEX('Eurostat EB TJ GWh'!$A$2:$BV$146,MATCH($A14,'Eurostat EB TJ GWh'!$A$2:$A$146,0),MATCH(AJ$3,'Eurostat EB TJ GWh'!$A$2:$BV$2,0))</f>
        <v>582932.38300000003</v>
      </c>
      <c r="AK14" s="57">
        <f>INDEX('Eurostat EB TJ GWh'!$A$2:$BV$146,MATCH($A14,'Eurostat EB TJ GWh'!$A$2:$A$146,0),MATCH(AK$3,'Eurostat EB TJ GWh'!$A$2:$BV$2,0))</f>
        <v>88997.346999999994</v>
      </c>
      <c r="AL14" s="57">
        <f>INDEX('Eurostat EB TJ GWh'!$A$2:$BV$146,MATCH($A14,'Eurostat EB TJ GWh'!$A$2:$A$146,0),MATCH(AL$3,'Eurostat EB TJ GWh'!$A$2:$BV$2,0))</f>
        <v>13218.579</v>
      </c>
      <c r="AM14" s="57">
        <f>INDEX('Eurostat EB TJ GWh'!$A$2:$BV$146,MATCH($A14,'Eurostat EB TJ GWh'!$A$2:$A$146,0),MATCH(AM$3,'Eurostat EB TJ GWh'!$A$2:$BV$2,0))</f>
        <v>52.207000000000001</v>
      </c>
      <c r="AN14" s="57">
        <f>INDEX('Eurostat EB TJ GWh'!$A$2:$BV$146,MATCH($A14,'Eurostat EB TJ GWh'!$A$2:$A$146,0),MATCH(AN$3,'Eurostat EB TJ GWh'!$A$2:$BV$2,0))</f>
        <v>3.4159999999999999</v>
      </c>
      <c r="AO14" s="57">
        <f>INDEX('Eurostat EB TJ GWh'!$A$2:$BV$146,MATCH($A14,'Eurostat EB TJ GWh'!$A$2:$A$146,0),MATCH(AO$3,'Eurostat EB TJ GWh'!$A$2:$BV$2,0))</f>
        <v>0</v>
      </c>
      <c r="AP14" s="57">
        <f>INDEX('Eurostat EB TJ GWh'!$A$2:$BV$146,MATCH($A14,'Eurostat EB TJ GWh'!$A$2:$A$146,0),MATCH(AP$3,'Eurostat EB TJ GWh'!$A$2:$BV$2,0))</f>
        <v>11464.95</v>
      </c>
      <c r="AQ14" s="57">
        <f>INDEX('Eurostat EB TJ GWh'!$A$2:$BV$146,MATCH($A14,'Eurostat EB TJ GWh'!$A$2:$A$146,0),MATCH(AQ$3,'Eurostat EB TJ GWh'!$A$2:$BV$2,0))</f>
        <v>1245.8309999999999</v>
      </c>
      <c r="AR14" s="57">
        <f>INDEX('Eurostat EB TJ GWh'!$A$2:$BV$146,MATCH($A14,'Eurostat EB TJ GWh'!$A$2:$A$146,0),MATCH(AR$3,'Eurostat EB TJ GWh'!$A$2:$BV$2,0))</f>
        <v>35337.54</v>
      </c>
      <c r="AS14" s="57">
        <f>INDEX('Eurostat EB TJ GWh'!$A$2:$BV$146,MATCH($A14,'Eurostat EB TJ GWh'!$A$2:$A$146,0),MATCH(AS$3,'Eurostat EB TJ GWh'!$A$2:$BV$2,0))</f>
        <v>31337.062999999998</v>
      </c>
      <c r="AT14" s="57">
        <f>INDEX('Eurostat EB TJ GWh'!$A$2:$BV$146,MATCH($A14,'Eurostat EB TJ GWh'!$A$2:$A$146,0),MATCH(AT$3,'Eurostat EB TJ GWh'!$A$2:$BV$2,0))</f>
        <v>58457.756999999998</v>
      </c>
      <c r="AU14" s="57">
        <f>INDEX('Eurostat EB TJ GWh'!$A$2:$BV$146,MATCH($A14,'Eurostat EB TJ GWh'!$A$2:$A$146,0),MATCH(AU$3,'Eurostat EB TJ GWh'!$A$2:$BV$2,0))</f>
        <v>14208.23</v>
      </c>
      <c r="AV14" s="57">
        <f>INDEX('Eurostat EB TJ GWh'!$A$2:$BV$146,MATCH($A14,'Eurostat EB TJ GWh'!$A$2:$A$146,0),MATCH(AV$2,'Eurostat EB TJ GWh'!$A$2:$BV$2,0))+INDEX('Eurostat EB TJ GWh'!$A$2:$BV$146,MATCH($A14,'Eurostat EB TJ GWh'!$A$2:$A$146,0),MATCH(AV$3,'Eurostat EB TJ GWh'!$A$2:$BV$2,0))</f>
        <v>14742.214</v>
      </c>
      <c r="AW14" s="57">
        <f>INDEX('Eurostat EB TJ GWh'!$A$2:$BV$146,MATCH($A14,'Eurostat EB TJ GWh'!$A$2:$A$146,0),MATCH(AW$2,'Eurostat EB TJ GWh'!$A$2:$BV$2,0))+INDEX('Eurostat EB TJ GWh'!$A$2:$BV$146,MATCH($A14,'Eurostat EB TJ GWh'!$A$2:$A$146,0),MATCH(AW$3,'Eurostat EB TJ GWh'!$A$2:$BV$2,0))</f>
        <v>32145.925999999999</v>
      </c>
      <c r="AX14" s="57">
        <f>INDEX('Eurostat EB TJ GWh'!$A$2:$BV$146,MATCH($A14,'Eurostat EB TJ GWh'!$A$2:$A$146,0),MATCH(AX$3,'Eurostat EB TJ GWh'!$A$2:$BV$2,0))</f>
        <v>0</v>
      </c>
      <c r="AY14" s="72">
        <v>0</v>
      </c>
      <c r="AZ14" s="57">
        <f>INDEX('Eurostat EB TJ GWh'!$A$2:$BV$146,MATCH($A14,'Eurostat EB TJ GWh'!$A$2:$A$146,0),MATCH(AZ$3,'Eurostat EB TJ GWh'!$A$2:$BV$2,0))</f>
        <v>0</v>
      </c>
      <c r="BA14" s="72">
        <v>0</v>
      </c>
      <c r="BB14" s="72">
        <v>0</v>
      </c>
      <c r="BC14" s="57">
        <f>INDEX('Eurostat EB TJ GWh'!$A$2:$BV$146,MATCH($A14,'Eurostat EB TJ GWh'!$A$2:$A$146,0),MATCH(BC$3,'Eurostat EB TJ GWh'!$A$2:$BV$2,0))</f>
        <v>38959.053</v>
      </c>
      <c r="BD14" s="57">
        <f>INDEX('Eurostat EB TJ GWh'!$A$2:$BV$146,MATCH($A14,'Eurostat EB TJ GWh'!$A$2:$A$146,0),MATCH(BD$3,'Eurostat EB TJ GWh'!$A$2:$BV$2,0))</f>
        <v>249.72800000000001</v>
      </c>
      <c r="BE14" s="57">
        <f>INDEX('Eurostat EB TJ GWh'!$A$2:$BV$146,MATCH($A14,'Eurostat EB TJ GWh'!$A$2:$A$146,0),MATCH(BE$3,'Eurostat EB TJ GWh'!$A$2:$BV$2,0))</f>
        <v>0</v>
      </c>
      <c r="BF14" s="57">
        <f>INDEX('Eurostat EB TJ GWh'!$A$2:$BV$146,MATCH($A14,'Eurostat EB TJ GWh'!$A$2:$A$146,0),MATCH(BF$3,'Eurostat EB TJ GWh'!$A$2:$BV$2,0))</f>
        <v>70481.476999999999</v>
      </c>
      <c r="BG14" s="57">
        <f>INDEX('Eurostat EB TJ GWh'!$A$2:$BV$146,MATCH($A14,'Eurostat EB TJ GWh'!$A$2:$A$146,0),MATCH(BG$3,'Eurostat EB TJ GWh'!$A$2:$BV$2,0))</f>
        <v>0</v>
      </c>
      <c r="BH14" s="57">
        <f>INDEX('Eurostat EB TJ GWh'!$A$2:$BV$146,MATCH($A14,'Eurostat EB TJ GWh'!$A$2:$A$146,0),MATCH(BH$3,'Eurostat EB TJ GWh'!$A$2:$BV$2,0))</f>
        <v>0</v>
      </c>
      <c r="BI14" s="57">
        <f>INDEX('Eurostat EB TJ GWh'!$A$2:$BV$146,MATCH($A14,'Eurostat EB TJ GWh'!$A$2:$A$146,0),MATCH(BI$3,'Eurostat EB TJ GWh'!$A$2:$BV$2,0))</f>
        <v>106290.292</v>
      </c>
      <c r="BJ14" s="72">
        <v>0</v>
      </c>
      <c r="BK14" s="57">
        <f>INDEX('Eurostat EB TJ GWh'!$A$2:$BV$146,MATCH($A14,'Eurostat EB TJ GWh'!$A$2:$A$146,0),MATCH(BK$3,'Eurostat EB TJ GWh'!$A$2:$BV$2,0))</f>
        <v>362.92</v>
      </c>
      <c r="BL14" s="57">
        <f>INDEX('Eurostat EB TJ GWh'!$A$2:$BV$146,MATCH($A14,'Eurostat EB TJ GWh'!$A$2:$A$146,0),MATCH(BL$3,'Eurostat EB TJ GWh'!$A$2:$BV$2,0))</f>
        <v>13682.036</v>
      </c>
      <c r="BM14" s="57">
        <f>INDEX('Eurostat EB TJ GWh'!$A$2:$BV$146,MATCH($A14,'Eurostat EB TJ GWh'!$A$2:$A$146,0),MATCH(BM$3,'Eurostat EB TJ GWh'!$A$2:$BV$2,0))</f>
        <v>5235618.9589999998</v>
      </c>
      <c r="BN14" s="57">
        <f>INDEX('Eurostat EB TJ GWh'!$A$2:$BV$146,MATCH($A14,'Eurostat EB TJ GWh'!$A$2:$A$146,0),MATCH(BN$3,'Eurostat EB TJ GWh'!$A$2:$BV$2,0))</f>
        <v>161107.99799999999</v>
      </c>
    </row>
    <row r="15" spans="1:66" x14ac:dyDescent="0.2">
      <c r="A15" s="56" t="s">
        <v>205</v>
      </c>
      <c r="B15" s="65" t="s">
        <v>323</v>
      </c>
      <c r="C15" s="65" t="s">
        <v>323</v>
      </c>
      <c r="D15" s="17">
        <f>INDEX('Eurostat EB TJ GWh'!$A$2:$BV$146,MATCH($A15,'Eurostat EB TJ GWh'!$A$2:$A$146,0),MATCH(D$3,'Eurostat EB TJ GWh'!$A$2:$BV$2,0))</f>
        <v>0</v>
      </c>
      <c r="E15" s="17">
        <f>INDEX('Eurostat EB TJ GWh'!$A$2:$BV$146,MATCH($A15,'Eurostat EB TJ GWh'!$A$2:$A$146,0),MATCH(E$3,'Eurostat EB TJ GWh'!$A$2:$BV$2,0))</f>
        <v>0</v>
      </c>
      <c r="F15" s="17">
        <f>INDEX('Eurostat EB TJ GWh'!$A$2:$BV$146,MATCH($A15,'Eurostat EB TJ GWh'!$A$2:$A$146,0),MATCH(F$3,'Eurostat EB TJ GWh'!$A$2:$BV$2,0))</f>
        <v>71329.782000000007</v>
      </c>
      <c r="G15" s="17">
        <f>INDEX('Eurostat EB TJ GWh'!$A$2:$BV$146,MATCH($A15,'Eurostat EB TJ GWh'!$A$2:$A$146,0),MATCH(G$3,'Eurostat EB TJ GWh'!$A$2:$BV$2,0))</f>
        <v>0</v>
      </c>
      <c r="H15" s="17">
        <f>INDEX('Eurostat EB TJ GWh'!$A$2:$BV$146,MATCH($A15,'Eurostat EB TJ GWh'!$A$2:$A$146,0),MATCH(H$3,'Eurostat EB TJ GWh'!$A$2:$BV$2,0))</f>
        <v>0</v>
      </c>
      <c r="I15" s="17">
        <f>INDEX('Eurostat EB TJ GWh'!$A$2:$BV$146,MATCH($A15,'Eurostat EB TJ GWh'!$A$2:$A$146,0),MATCH(I$3,'Eurostat EB TJ GWh'!$A$2:$BV$2,0))</f>
        <v>0</v>
      </c>
      <c r="J15" s="17">
        <f>INDEX('Eurostat EB TJ GWh'!$A$2:$BV$146,MATCH($A15,'Eurostat EB TJ GWh'!$A$2:$A$146,0),MATCH(J$3,'Eurostat EB TJ GWh'!$A$2:$BV$2,0))</f>
        <v>0</v>
      </c>
      <c r="K15" s="17">
        <f>INDEX('Eurostat EB TJ GWh'!$A$2:$BV$146,MATCH($A15,'Eurostat EB TJ GWh'!$A$2:$A$146,0),MATCH(K$3,'Eurostat EB TJ GWh'!$A$2:$BV$2,0))</f>
        <v>0</v>
      </c>
      <c r="L15" s="17">
        <f>INDEX('Eurostat EB TJ GWh'!$A$2:$BV$146,MATCH($A15,'Eurostat EB TJ GWh'!$A$2:$A$146,0),MATCH(L$3,'Eurostat EB TJ GWh'!$A$2:$BV$2,0))</f>
        <v>0</v>
      </c>
      <c r="M15" s="17">
        <f>INDEX('Eurostat EB TJ GWh'!$A$2:$BV$146,MATCH($A15,'Eurostat EB TJ GWh'!$A$2:$A$146,0),MATCH(M$3,'Eurostat EB TJ GWh'!$A$2:$BV$2,0))</f>
        <v>0</v>
      </c>
      <c r="N15" s="17">
        <f>INDEX('Eurostat EB TJ GWh'!$A$2:$BV$146,MATCH($A15,'Eurostat EB TJ GWh'!$A$2:$A$146,0),MATCH(N$3,'Eurostat EB TJ GWh'!$A$2:$BV$2,0))</f>
        <v>0</v>
      </c>
      <c r="O15" s="17">
        <f>INDEX('Eurostat EB TJ GWh'!$A$2:$BV$146,MATCH($A15,'Eurostat EB TJ GWh'!$A$2:$A$146,0),MATCH(O$3,'Eurostat EB TJ GWh'!$A$2:$BV$2,0))</f>
        <v>1428.5409999999999</v>
      </c>
      <c r="P15" s="17">
        <f>INDEX('Eurostat EB TJ GWh'!$A$2:$BV$146,MATCH($A15,'Eurostat EB TJ GWh'!$A$2:$A$146,0),MATCH(P$3,'Eurostat EB TJ GWh'!$A$2:$BV$2,0))</f>
        <v>16741.504000000001</v>
      </c>
      <c r="Q15" s="17">
        <f>INDEX('Eurostat EB TJ GWh'!$A$2:$BV$146,MATCH($A15,'Eurostat EB TJ GWh'!$A$2:$A$146,0),MATCH(Q$3,'Eurostat EB TJ GWh'!$A$2:$BV$2,0))</f>
        <v>0</v>
      </c>
      <c r="R15" s="17">
        <f>INDEX('Eurostat EB TJ GWh'!$A$2:$BV$146,MATCH($A15,'Eurostat EB TJ GWh'!$A$2:$A$146,0),MATCH(R$2,'Eurostat EB TJ GWh'!$A$2:$BV$2,0))+INDEX('Eurostat EB TJ GWh'!$A$2:$BV$146,MATCH($A15,'Eurostat EB TJ GWh'!$A$2:$A$146,0),MATCH(R$3,'Eurostat EB TJ GWh'!$A$2:$BV$2,0))</f>
        <v>0</v>
      </c>
      <c r="S15" s="17">
        <f>INDEX('Eurostat EB TJ GWh'!$A$2:$BV$146,MATCH($A15,'Eurostat EB TJ GWh'!$A$2:$A$146,0),MATCH(S$3,'Eurostat EB TJ GWh'!$A$2:$BV$2,0))</f>
        <v>311308.08399999997</v>
      </c>
      <c r="T15" s="65" t="s">
        <v>323</v>
      </c>
      <c r="U15" s="17">
        <f>INDEX('Eurostat EB TJ GWh'!$A$2:$BV$146,MATCH($A15,'Eurostat EB TJ GWh'!$A$2:$A$146,0),MATCH(U$3,'Eurostat EB TJ GWh'!$A$2:$BV$2,0))</f>
        <v>0</v>
      </c>
      <c r="V15" s="17">
        <f>INDEX('Eurostat EB TJ GWh'!$A$2:$BV$146,MATCH($A15,'Eurostat EB TJ GWh'!$A$2:$A$146,0),MATCH(V$3,'Eurostat EB TJ GWh'!$A$2:$BV$2,0))</f>
        <v>0</v>
      </c>
      <c r="W15" s="17">
        <f>INDEX('Eurostat EB TJ GWh'!$A$2:$BV$146,MATCH($A15,'Eurostat EB TJ GWh'!$A$2:$A$146,0),MATCH(W$3,'Eurostat EB TJ GWh'!$A$2:$BV$2,0))</f>
        <v>0</v>
      </c>
      <c r="X15" s="17">
        <f>INDEX('Eurostat EB TJ GWh'!$A$2:$BV$146,MATCH($A15,'Eurostat EB TJ GWh'!$A$2:$A$146,0),MATCH(X$3,'Eurostat EB TJ GWh'!$A$2:$BV$2,0))</f>
        <v>0</v>
      </c>
      <c r="Y15" s="17">
        <f>INDEX('Eurostat EB TJ GWh'!$A$2:$BV$146,MATCH($A15,'Eurostat EB TJ GWh'!$A$2:$A$146,0),MATCH(Y$3,'Eurostat EB TJ GWh'!$A$2:$BV$2,0))</f>
        <v>0</v>
      </c>
      <c r="Z15" s="17">
        <f>INDEX('Eurostat EB TJ GWh'!$A$2:$BV$146,MATCH($A15,'Eurostat EB TJ GWh'!$A$2:$A$146,0),MATCH(Z$3,'Eurostat EB TJ GWh'!$A$2:$BV$2,0))</f>
        <v>18291.896000000001</v>
      </c>
      <c r="AA15" s="17">
        <f>INDEX('Eurostat EB TJ GWh'!$A$2:$BV$146,MATCH($A15,'Eurostat EB TJ GWh'!$A$2:$A$146,0),MATCH(AA$3,'Eurostat EB TJ GWh'!$A$2:$BV$2,0))</f>
        <v>0</v>
      </c>
      <c r="AB15" s="17">
        <f>INDEX('Eurostat EB TJ GWh'!$A$2:$BV$146,MATCH($A15,'Eurostat EB TJ GWh'!$A$2:$A$146,0),MATCH(AB$3,'Eurostat EB TJ GWh'!$A$2:$BV$2,0))</f>
        <v>0</v>
      </c>
      <c r="AC15" s="17">
        <f>INDEX('Eurostat EB TJ GWh'!$A$2:$BV$146,MATCH($A15,'Eurostat EB TJ GWh'!$A$2:$A$146,0),MATCH(AC$3,'Eurostat EB TJ GWh'!$A$2:$BV$2,0))</f>
        <v>0</v>
      </c>
      <c r="AD15" s="17">
        <f>INDEX('Eurostat EB TJ GWh'!$A$2:$BV$146,MATCH($A15,'Eurostat EB TJ GWh'!$A$2:$A$146,0),MATCH(AD$3,'Eurostat EB TJ GWh'!$A$2:$BV$2,0))</f>
        <v>0</v>
      </c>
      <c r="AE15" s="17">
        <f>INDEX('Eurostat EB TJ GWh'!$A$2:$BV$146,MATCH($A15,'Eurostat EB TJ GWh'!$A$2:$A$146,0),MATCH(AE$3,'Eurostat EB TJ GWh'!$A$2:$BV$2,0))</f>
        <v>0</v>
      </c>
      <c r="AF15" s="17">
        <f>INDEX('Eurostat EB TJ GWh'!$A$2:$BV$146,MATCH($A15,'Eurostat EB TJ GWh'!$A$2:$A$146,0),MATCH(AF$3,'Eurostat EB TJ GWh'!$A$2:$BV$2,0))</f>
        <v>0</v>
      </c>
      <c r="AG15" s="17">
        <f>INDEX('Eurostat EB TJ GWh'!$A$2:$BV$146,MATCH($A15,'Eurostat EB TJ GWh'!$A$2:$A$146,0),MATCH(AG$3,'Eurostat EB TJ GWh'!$A$2:$BV$2,0))</f>
        <v>0</v>
      </c>
      <c r="AH15" s="17">
        <f>INDEX('Eurostat EB TJ GWh'!$A$2:$BV$146,MATCH($A15,'Eurostat EB TJ GWh'!$A$2:$A$146,0),MATCH(AH$3,'Eurostat EB TJ GWh'!$A$2:$BV$2,0))</f>
        <v>356.34100000000001</v>
      </c>
      <c r="AI15" s="17">
        <f>INDEX('Eurostat EB TJ GWh'!$A$2:$BV$146,MATCH($A15,'Eurostat EB TJ GWh'!$A$2:$A$146,0),MATCH(AI$3,'Eurostat EB TJ GWh'!$A$2:$BV$2,0))</f>
        <v>0</v>
      </c>
      <c r="AJ15" s="17">
        <f>INDEX('Eurostat EB TJ GWh'!$A$2:$BV$146,MATCH($A15,'Eurostat EB TJ GWh'!$A$2:$A$146,0),MATCH(AJ$3,'Eurostat EB TJ GWh'!$A$2:$BV$2,0))</f>
        <v>0</v>
      </c>
      <c r="AK15" s="17">
        <f>INDEX('Eurostat EB TJ GWh'!$A$2:$BV$146,MATCH($A15,'Eurostat EB TJ GWh'!$A$2:$A$146,0),MATCH(AK$3,'Eurostat EB TJ GWh'!$A$2:$BV$2,0))</f>
        <v>0</v>
      </c>
      <c r="AL15" s="17">
        <f>INDEX('Eurostat EB TJ GWh'!$A$2:$BV$146,MATCH($A15,'Eurostat EB TJ GWh'!$A$2:$A$146,0),MATCH(AL$3,'Eurostat EB TJ GWh'!$A$2:$BV$2,0))</f>
        <v>0</v>
      </c>
      <c r="AM15" s="17">
        <f>INDEX('Eurostat EB TJ GWh'!$A$2:$BV$146,MATCH($A15,'Eurostat EB TJ GWh'!$A$2:$A$146,0),MATCH(AM$3,'Eurostat EB TJ GWh'!$A$2:$BV$2,0))</f>
        <v>0</v>
      </c>
      <c r="AN15" s="17">
        <f>INDEX('Eurostat EB TJ GWh'!$A$2:$BV$146,MATCH($A15,'Eurostat EB TJ GWh'!$A$2:$A$146,0),MATCH(AN$3,'Eurostat EB TJ GWh'!$A$2:$BV$2,0))</f>
        <v>0</v>
      </c>
      <c r="AO15" s="17">
        <f>INDEX('Eurostat EB TJ GWh'!$A$2:$BV$146,MATCH($A15,'Eurostat EB TJ GWh'!$A$2:$A$146,0),MATCH(AO$3,'Eurostat EB TJ GWh'!$A$2:$BV$2,0))</f>
        <v>0</v>
      </c>
      <c r="AP15" s="17">
        <f>INDEX('Eurostat EB TJ GWh'!$A$2:$BV$146,MATCH($A15,'Eurostat EB TJ GWh'!$A$2:$A$146,0),MATCH(AP$3,'Eurostat EB TJ GWh'!$A$2:$BV$2,0))</f>
        <v>98.965999999999994</v>
      </c>
      <c r="AQ15" s="17">
        <f>INDEX('Eurostat EB TJ GWh'!$A$2:$BV$146,MATCH($A15,'Eurostat EB TJ GWh'!$A$2:$A$146,0),MATCH(AQ$3,'Eurostat EB TJ GWh'!$A$2:$BV$2,0))</f>
        <v>1245.8309999999999</v>
      </c>
      <c r="AR15" s="17">
        <f>INDEX('Eurostat EB TJ GWh'!$A$2:$BV$146,MATCH($A15,'Eurostat EB TJ GWh'!$A$2:$A$146,0),MATCH(AR$3,'Eurostat EB TJ GWh'!$A$2:$BV$2,0))</f>
        <v>35337.54</v>
      </c>
      <c r="AS15" s="17">
        <f>INDEX('Eurostat EB TJ GWh'!$A$2:$BV$146,MATCH($A15,'Eurostat EB TJ GWh'!$A$2:$A$146,0),MATCH(AS$3,'Eurostat EB TJ GWh'!$A$2:$BV$2,0))</f>
        <v>31337.062999999998</v>
      </c>
      <c r="AT15" s="17">
        <f>INDEX('Eurostat EB TJ GWh'!$A$2:$BV$146,MATCH($A15,'Eurostat EB TJ GWh'!$A$2:$A$146,0),MATCH(AT$3,'Eurostat EB TJ GWh'!$A$2:$BV$2,0))</f>
        <v>58457.756999999998</v>
      </c>
      <c r="AU15" s="17">
        <f>INDEX('Eurostat EB TJ GWh'!$A$2:$BV$146,MATCH($A15,'Eurostat EB TJ GWh'!$A$2:$A$146,0),MATCH(AU$3,'Eurostat EB TJ GWh'!$A$2:$BV$2,0))</f>
        <v>4490.0060000000003</v>
      </c>
      <c r="AV15" s="17">
        <f>INDEX('Eurostat EB TJ GWh'!$A$2:$BV$146,MATCH($A15,'Eurostat EB TJ GWh'!$A$2:$A$146,0),MATCH(AV$2,'Eurostat EB TJ GWh'!$A$2:$BV$2,0))+INDEX('Eurostat EB TJ GWh'!$A$2:$BV$146,MATCH($A15,'Eurostat EB TJ GWh'!$A$2:$A$146,0),MATCH(AV$3,'Eurostat EB TJ GWh'!$A$2:$BV$2,0))</f>
        <v>0</v>
      </c>
      <c r="AW15" s="17">
        <f>INDEX('Eurostat EB TJ GWh'!$A$2:$BV$146,MATCH($A15,'Eurostat EB TJ GWh'!$A$2:$A$146,0),MATCH(AW$2,'Eurostat EB TJ GWh'!$A$2:$BV$2,0))+INDEX('Eurostat EB TJ GWh'!$A$2:$BV$146,MATCH($A15,'Eurostat EB TJ GWh'!$A$2:$A$146,0),MATCH(AW$3,'Eurostat EB TJ GWh'!$A$2:$BV$2,0))</f>
        <v>0</v>
      </c>
      <c r="AX15" s="17">
        <f>INDEX('Eurostat EB TJ GWh'!$A$2:$BV$146,MATCH($A15,'Eurostat EB TJ GWh'!$A$2:$A$146,0),MATCH(AX$3,'Eurostat EB TJ GWh'!$A$2:$BV$2,0))</f>
        <v>0</v>
      </c>
      <c r="AY15" s="65">
        <v>0</v>
      </c>
      <c r="AZ15" s="17">
        <f>INDEX('Eurostat EB TJ GWh'!$A$2:$BV$146,MATCH($A15,'Eurostat EB TJ GWh'!$A$2:$A$146,0),MATCH(AZ$3,'Eurostat EB TJ GWh'!$A$2:$BV$2,0))</f>
        <v>0</v>
      </c>
      <c r="BA15" s="65">
        <v>0</v>
      </c>
      <c r="BB15" s="65">
        <v>0</v>
      </c>
      <c r="BC15" s="17">
        <f>INDEX('Eurostat EB TJ GWh'!$A$2:$BV$146,MATCH($A15,'Eurostat EB TJ GWh'!$A$2:$A$146,0),MATCH(BC$3,'Eurostat EB TJ GWh'!$A$2:$BV$2,0))</f>
        <v>38959.053</v>
      </c>
      <c r="BD15" s="17">
        <f>INDEX('Eurostat EB TJ GWh'!$A$2:$BV$146,MATCH($A15,'Eurostat EB TJ GWh'!$A$2:$A$146,0),MATCH(BD$3,'Eurostat EB TJ GWh'!$A$2:$BV$2,0))</f>
        <v>249.72800000000001</v>
      </c>
      <c r="BE15" s="17">
        <f>INDEX('Eurostat EB TJ GWh'!$A$2:$BV$146,MATCH($A15,'Eurostat EB TJ GWh'!$A$2:$A$146,0),MATCH(BE$3,'Eurostat EB TJ GWh'!$A$2:$BV$2,0))</f>
        <v>0</v>
      </c>
      <c r="BF15" s="17">
        <f>INDEX('Eurostat EB TJ GWh'!$A$2:$BV$146,MATCH($A15,'Eurostat EB TJ GWh'!$A$2:$A$146,0),MATCH(BF$3,'Eurostat EB TJ GWh'!$A$2:$BV$2,0))</f>
        <v>70481.476999999999</v>
      </c>
      <c r="BG15" s="17">
        <f>INDEX('Eurostat EB TJ GWh'!$A$2:$BV$146,MATCH($A15,'Eurostat EB TJ GWh'!$A$2:$A$146,0),MATCH(BG$3,'Eurostat EB TJ GWh'!$A$2:$BV$2,0))</f>
        <v>0</v>
      </c>
      <c r="BH15" s="17">
        <f>INDEX('Eurostat EB TJ GWh'!$A$2:$BV$146,MATCH($A15,'Eurostat EB TJ GWh'!$A$2:$A$146,0),MATCH(BH$3,'Eurostat EB TJ GWh'!$A$2:$BV$2,0))</f>
        <v>0</v>
      </c>
      <c r="BI15" s="17">
        <f>INDEX('Eurostat EB TJ GWh'!$A$2:$BV$146,MATCH($A15,'Eurostat EB TJ GWh'!$A$2:$A$146,0),MATCH(BI$3,'Eurostat EB TJ GWh'!$A$2:$BV$2,0))</f>
        <v>106290.292</v>
      </c>
      <c r="BJ15" s="65">
        <v>0</v>
      </c>
      <c r="BK15" s="17">
        <f>INDEX('Eurostat EB TJ GWh'!$A$2:$BV$146,MATCH($A15,'Eurostat EB TJ GWh'!$A$2:$A$146,0),MATCH(BK$3,'Eurostat EB TJ GWh'!$A$2:$BV$2,0))</f>
        <v>362.92</v>
      </c>
      <c r="BL15" s="17">
        <f>INDEX('Eurostat EB TJ GWh'!$A$2:$BV$146,MATCH($A15,'Eurostat EB TJ GWh'!$A$2:$A$146,0),MATCH(BL$3,'Eurostat EB TJ GWh'!$A$2:$BV$2,0))</f>
        <v>13682.036</v>
      </c>
      <c r="BM15" s="17">
        <f>INDEX('Eurostat EB TJ GWh'!$A$2:$BV$146,MATCH($A15,'Eurostat EB TJ GWh'!$A$2:$A$146,0),MATCH(BM$3,'Eurostat EB TJ GWh'!$A$2:$BV$2,0))</f>
        <v>780448.81700000004</v>
      </c>
      <c r="BN15" s="17">
        <f>INDEX('Eurostat EB TJ GWh'!$A$2:$BV$146,MATCH($A15,'Eurostat EB TJ GWh'!$A$2:$A$146,0),MATCH(BN$3,'Eurostat EB TJ GWh'!$A$2:$BV$2,0))</f>
        <v>104501.63400000001</v>
      </c>
    </row>
    <row r="16" spans="1:66" x14ac:dyDescent="0.2">
      <c r="A16" s="56" t="s">
        <v>206</v>
      </c>
      <c r="B16" s="65" t="s">
        <v>323</v>
      </c>
      <c r="C16" s="65" t="s">
        <v>323</v>
      </c>
      <c r="D16" s="57">
        <f>INDEX('Eurostat EB TJ GWh'!$A$2:$BV$146,MATCH($A16,'Eurostat EB TJ GWh'!$A$2:$A$146,0),MATCH(D$3,'Eurostat EB TJ GWh'!$A$2:$BV$2,0))</f>
        <v>0</v>
      </c>
      <c r="E16" s="57">
        <f>INDEX('Eurostat EB TJ GWh'!$A$2:$BV$146,MATCH($A16,'Eurostat EB TJ GWh'!$A$2:$A$146,0),MATCH(E$3,'Eurostat EB TJ GWh'!$A$2:$BV$2,0))</f>
        <v>0</v>
      </c>
      <c r="F16" s="57">
        <f>INDEX('Eurostat EB TJ GWh'!$A$2:$BV$146,MATCH($A16,'Eurostat EB TJ GWh'!$A$2:$A$146,0),MATCH(F$3,'Eurostat EB TJ GWh'!$A$2:$BV$2,0))</f>
        <v>41287.546999999999</v>
      </c>
      <c r="G16" s="57">
        <f>INDEX('Eurostat EB TJ GWh'!$A$2:$BV$146,MATCH($A16,'Eurostat EB TJ GWh'!$A$2:$A$146,0),MATCH(G$3,'Eurostat EB TJ GWh'!$A$2:$BV$2,0))</f>
        <v>0</v>
      </c>
      <c r="H16" s="57">
        <f>INDEX('Eurostat EB TJ GWh'!$A$2:$BV$146,MATCH($A16,'Eurostat EB TJ GWh'!$A$2:$A$146,0),MATCH(H$3,'Eurostat EB TJ GWh'!$A$2:$BV$2,0))</f>
        <v>0</v>
      </c>
      <c r="I16" s="57">
        <f>INDEX('Eurostat EB TJ GWh'!$A$2:$BV$146,MATCH($A16,'Eurostat EB TJ GWh'!$A$2:$A$146,0),MATCH(I$3,'Eurostat EB TJ GWh'!$A$2:$BV$2,0))</f>
        <v>0</v>
      </c>
      <c r="J16" s="57">
        <f>INDEX('Eurostat EB TJ GWh'!$A$2:$BV$146,MATCH($A16,'Eurostat EB TJ GWh'!$A$2:$A$146,0),MATCH(J$3,'Eurostat EB TJ GWh'!$A$2:$BV$2,0))</f>
        <v>0</v>
      </c>
      <c r="K16" s="57">
        <f>INDEX('Eurostat EB TJ GWh'!$A$2:$BV$146,MATCH($A16,'Eurostat EB TJ GWh'!$A$2:$A$146,0),MATCH(K$3,'Eurostat EB TJ GWh'!$A$2:$BV$2,0))</f>
        <v>0</v>
      </c>
      <c r="L16" s="57">
        <f>INDEX('Eurostat EB TJ GWh'!$A$2:$BV$146,MATCH($A16,'Eurostat EB TJ GWh'!$A$2:$A$146,0),MATCH(L$3,'Eurostat EB TJ GWh'!$A$2:$BV$2,0))</f>
        <v>0</v>
      </c>
      <c r="M16" s="57">
        <f>INDEX('Eurostat EB TJ GWh'!$A$2:$BV$146,MATCH($A16,'Eurostat EB TJ GWh'!$A$2:$A$146,0),MATCH(M$3,'Eurostat EB TJ GWh'!$A$2:$BV$2,0))</f>
        <v>0</v>
      </c>
      <c r="N16" s="57">
        <f>INDEX('Eurostat EB TJ GWh'!$A$2:$BV$146,MATCH($A16,'Eurostat EB TJ GWh'!$A$2:$A$146,0),MATCH(N$3,'Eurostat EB TJ GWh'!$A$2:$BV$2,0))</f>
        <v>0</v>
      </c>
      <c r="O16" s="57">
        <f>INDEX('Eurostat EB TJ GWh'!$A$2:$BV$146,MATCH($A16,'Eurostat EB TJ GWh'!$A$2:$A$146,0),MATCH(O$3,'Eurostat EB TJ GWh'!$A$2:$BV$2,0))</f>
        <v>1331.16</v>
      </c>
      <c r="P16" s="57">
        <f>INDEX('Eurostat EB TJ GWh'!$A$2:$BV$146,MATCH($A16,'Eurostat EB TJ GWh'!$A$2:$A$146,0),MATCH(P$3,'Eurostat EB TJ GWh'!$A$2:$BV$2,0))</f>
        <v>14366.821</v>
      </c>
      <c r="Q16" s="57">
        <f>INDEX('Eurostat EB TJ GWh'!$A$2:$BV$146,MATCH($A16,'Eurostat EB TJ GWh'!$A$2:$A$146,0),MATCH(Q$3,'Eurostat EB TJ GWh'!$A$2:$BV$2,0))</f>
        <v>0</v>
      </c>
      <c r="R16" s="57">
        <f>INDEX('Eurostat EB TJ GWh'!$A$2:$BV$146,MATCH($A16,'Eurostat EB TJ GWh'!$A$2:$A$146,0),MATCH(R$2,'Eurostat EB TJ GWh'!$A$2:$BV$2,0))+INDEX('Eurostat EB TJ GWh'!$A$2:$BV$146,MATCH($A16,'Eurostat EB TJ GWh'!$A$2:$A$146,0),MATCH(R$3,'Eurostat EB TJ GWh'!$A$2:$BV$2,0))</f>
        <v>0</v>
      </c>
      <c r="S16" s="57">
        <f>INDEX('Eurostat EB TJ GWh'!$A$2:$BV$146,MATCH($A16,'Eurostat EB TJ GWh'!$A$2:$A$146,0),MATCH(S$3,'Eurostat EB TJ GWh'!$A$2:$BV$2,0))</f>
        <v>137861.11600000001</v>
      </c>
      <c r="T16" s="65" t="s">
        <v>323</v>
      </c>
      <c r="U16" s="57">
        <f>INDEX('Eurostat EB TJ GWh'!$A$2:$BV$146,MATCH($A16,'Eurostat EB TJ GWh'!$A$2:$A$146,0),MATCH(U$3,'Eurostat EB TJ GWh'!$A$2:$BV$2,0))</f>
        <v>0</v>
      </c>
      <c r="V16" s="57">
        <f>INDEX('Eurostat EB TJ GWh'!$A$2:$BV$146,MATCH($A16,'Eurostat EB TJ GWh'!$A$2:$A$146,0),MATCH(V$3,'Eurostat EB TJ GWh'!$A$2:$BV$2,0))</f>
        <v>0</v>
      </c>
      <c r="W16" s="57">
        <f>INDEX('Eurostat EB TJ GWh'!$A$2:$BV$146,MATCH($A16,'Eurostat EB TJ GWh'!$A$2:$A$146,0),MATCH(W$3,'Eurostat EB TJ GWh'!$A$2:$BV$2,0))</f>
        <v>0</v>
      </c>
      <c r="X16" s="57">
        <f>INDEX('Eurostat EB TJ GWh'!$A$2:$BV$146,MATCH($A16,'Eurostat EB TJ GWh'!$A$2:$A$146,0),MATCH(X$3,'Eurostat EB TJ GWh'!$A$2:$BV$2,0))</f>
        <v>0</v>
      </c>
      <c r="Y16" s="57">
        <f>INDEX('Eurostat EB TJ GWh'!$A$2:$BV$146,MATCH($A16,'Eurostat EB TJ GWh'!$A$2:$A$146,0),MATCH(Y$3,'Eurostat EB TJ GWh'!$A$2:$BV$2,0))</f>
        <v>0</v>
      </c>
      <c r="Z16" s="57">
        <f>INDEX('Eurostat EB TJ GWh'!$A$2:$BV$146,MATCH($A16,'Eurostat EB TJ GWh'!$A$2:$A$146,0),MATCH(Z$3,'Eurostat EB TJ GWh'!$A$2:$BV$2,0))</f>
        <v>0</v>
      </c>
      <c r="AA16" s="57">
        <f>INDEX('Eurostat EB TJ GWh'!$A$2:$BV$146,MATCH($A16,'Eurostat EB TJ GWh'!$A$2:$A$146,0),MATCH(AA$3,'Eurostat EB TJ GWh'!$A$2:$BV$2,0))</f>
        <v>0</v>
      </c>
      <c r="AB16" s="57">
        <f>INDEX('Eurostat EB TJ GWh'!$A$2:$BV$146,MATCH($A16,'Eurostat EB TJ GWh'!$A$2:$A$146,0),MATCH(AB$3,'Eurostat EB TJ GWh'!$A$2:$BV$2,0))</f>
        <v>0</v>
      </c>
      <c r="AC16" s="57">
        <f>INDEX('Eurostat EB TJ GWh'!$A$2:$BV$146,MATCH($A16,'Eurostat EB TJ GWh'!$A$2:$A$146,0),MATCH(AC$3,'Eurostat EB TJ GWh'!$A$2:$BV$2,0))</f>
        <v>0</v>
      </c>
      <c r="AD16" s="57">
        <f>INDEX('Eurostat EB TJ GWh'!$A$2:$BV$146,MATCH($A16,'Eurostat EB TJ GWh'!$A$2:$A$146,0),MATCH(AD$3,'Eurostat EB TJ GWh'!$A$2:$BV$2,0))</f>
        <v>0</v>
      </c>
      <c r="AE16" s="57">
        <f>INDEX('Eurostat EB TJ GWh'!$A$2:$BV$146,MATCH($A16,'Eurostat EB TJ GWh'!$A$2:$A$146,0),MATCH(AE$3,'Eurostat EB TJ GWh'!$A$2:$BV$2,0))</f>
        <v>0</v>
      </c>
      <c r="AF16" s="57">
        <f>INDEX('Eurostat EB TJ GWh'!$A$2:$BV$146,MATCH($A16,'Eurostat EB TJ GWh'!$A$2:$A$146,0),MATCH(AF$3,'Eurostat EB TJ GWh'!$A$2:$BV$2,0))</f>
        <v>0</v>
      </c>
      <c r="AG16" s="57">
        <f>INDEX('Eurostat EB TJ GWh'!$A$2:$BV$146,MATCH($A16,'Eurostat EB TJ GWh'!$A$2:$A$146,0),MATCH(AG$3,'Eurostat EB TJ GWh'!$A$2:$BV$2,0))</f>
        <v>0</v>
      </c>
      <c r="AH16" s="57">
        <f>INDEX('Eurostat EB TJ GWh'!$A$2:$BV$146,MATCH($A16,'Eurostat EB TJ GWh'!$A$2:$A$146,0),MATCH(AH$3,'Eurostat EB TJ GWh'!$A$2:$BV$2,0))</f>
        <v>0</v>
      </c>
      <c r="AI16" s="57">
        <f>INDEX('Eurostat EB TJ GWh'!$A$2:$BV$146,MATCH($A16,'Eurostat EB TJ GWh'!$A$2:$A$146,0),MATCH(AI$3,'Eurostat EB TJ GWh'!$A$2:$BV$2,0))</f>
        <v>0</v>
      </c>
      <c r="AJ16" s="57">
        <f>INDEX('Eurostat EB TJ GWh'!$A$2:$BV$146,MATCH($A16,'Eurostat EB TJ GWh'!$A$2:$A$146,0),MATCH(AJ$3,'Eurostat EB TJ GWh'!$A$2:$BV$2,0))</f>
        <v>0</v>
      </c>
      <c r="AK16" s="57">
        <f>INDEX('Eurostat EB TJ GWh'!$A$2:$BV$146,MATCH($A16,'Eurostat EB TJ GWh'!$A$2:$A$146,0),MATCH(AK$3,'Eurostat EB TJ GWh'!$A$2:$BV$2,0))</f>
        <v>0</v>
      </c>
      <c r="AL16" s="57">
        <f>INDEX('Eurostat EB TJ GWh'!$A$2:$BV$146,MATCH($A16,'Eurostat EB TJ GWh'!$A$2:$A$146,0),MATCH(AL$3,'Eurostat EB TJ GWh'!$A$2:$BV$2,0))</f>
        <v>0</v>
      </c>
      <c r="AM16" s="57">
        <f>INDEX('Eurostat EB TJ GWh'!$A$2:$BV$146,MATCH($A16,'Eurostat EB TJ GWh'!$A$2:$A$146,0),MATCH(AM$3,'Eurostat EB TJ GWh'!$A$2:$BV$2,0))</f>
        <v>0</v>
      </c>
      <c r="AN16" s="57">
        <f>INDEX('Eurostat EB TJ GWh'!$A$2:$BV$146,MATCH($A16,'Eurostat EB TJ GWh'!$A$2:$A$146,0),MATCH(AN$3,'Eurostat EB TJ GWh'!$A$2:$BV$2,0))</f>
        <v>0</v>
      </c>
      <c r="AO16" s="57">
        <f>INDEX('Eurostat EB TJ GWh'!$A$2:$BV$146,MATCH($A16,'Eurostat EB TJ GWh'!$A$2:$A$146,0),MATCH(AO$3,'Eurostat EB TJ GWh'!$A$2:$BV$2,0))</f>
        <v>0</v>
      </c>
      <c r="AP16" s="57">
        <f>INDEX('Eurostat EB TJ GWh'!$A$2:$BV$146,MATCH($A16,'Eurostat EB TJ GWh'!$A$2:$A$146,0),MATCH(AP$3,'Eurostat EB TJ GWh'!$A$2:$BV$2,0))</f>
        <v>98.941999999999993</v>
      </c>
      <c r="AQ16" s="57">
        <f>INDEX('Eurostat EB TJ GWh'!$A$2:$BV$146,MATCH($A16,'Eurostat EB TJ GWh'!$A$2:$A$146,0),MATCH(AQ$3,'Eurostat EB TJ GWh'!$A$2:$BV$2,0))</f>
        <v>0</v>
      </c>
      <c r="AR16" s="57">
        <f>INDEX('Eurostat EB TJ GWh'!$A$2:$BV$146,MATCH($A16,'Eurostat EB TJ GWh'!$A$2:$A$146,0),MATCH(AR$3,'Eurostat EB TJ GWh'!$A$2:$BV$2,0))</f>
        <v>0</v>
      </c>
      <c r="AS16" s="57">
        <f>INDEX('Eurostat EB TJ GWh'!$A$2:$BV$146,MATCH($A16,'Eurostat EB TJ GWh'!$A$2:$A$146,0),MATCH(AS$3,'Eurostat EB TJ GWh'!$A$2:$BV$2,0))</f>
        <v>0</v>
      </c>
      <c r="AT16" s="57">
        <f>INDEX('Eurostat EB TJ GWh'!$A$2:$BV$146,MATCH($A16,'Eurostat EB TJ GWh'!$A$2:$A$146,0),MATCH(AT$3,'Eurostat EB TJ GWh'!$A$2:$BV$2,0))</f>
        <v>11921.505999999999</v>
      </c>
      <c r="AU16" s="57">
        <f>INDEX('Eurostat EB TJ GWh'!$A$2:$BV$146,MATCH($A16,'Eurostat EB TJ GWh'!$A$2:$A$146,0),MATCH(AU$3,'Eurostat EB TJ GWh'!$A$2:$BV$2,0))</f>
        <v>22.812999999999999</v>
      </c>
      <c r="AV16" s="57">
        <f>INDEX('Eurostat EB TJ GWh'!$A$2:$BV$146,MATCH($A16,'Eurostat EB TJ GWh'!$A$2:$A$146,0),MATCH(AV$2,'Eurostat EB TJ GWh'!$A$2:$BV$2,0))+INDEX('Eurostat EB TJ GWh'!$A$2:$BV$146,MATCH($A16,'Eurostat EB TJ GWh'!$A$2:$A$146,0),MATCH(AV$3,'Eurostat EB TJ GWh'!$A$2:$BV$2,0))</f>
        <v>0</v>
      </c>
      <c r="AW16" s="57">
        <f>INDEX('Eurostat EB TJ GWh'!$A$2:$BV$146,MATCH($A16,'Eurostat EB TJ GWh'!$A$2:$A$146,0),MATCH(AW$2,'Eurostat EB TJ GWh'!$A$2:$BV$2,0))+INDEX('Eurostat EB TJ GWh'!$A$2:$BV$146,MATCH($A16,'Eurostat EB TJ GWh'!$A$2:$A$146,0),MATCH(AW$3,'Eurostat EB TJ GWh'!$A$2:$BV$2,0))</f>
        <v>0</v>
      </c>
      <c r="AX16" s="57">
        <f>INDEX('Eurostat EB TJ GWh'!$A$2:$BV$146,MATCH($A16,'Eurostat EB TJ GWh'!$A$2:$A$146,0),MATCH(AX$3,'Eurostat EB TJ GWh'!$A$2:$BV$2,0))</f>
        <v>0</v>
      </c>
      <c r="AY16" s="72">
        <v>0</v>
      </c>
      <c r="AZ16" s="57">
        <f>INDEX('Eurostat EB TJ GWh'!$A$2:$BV$146,MATCH($A16,'Eurostat EB TJ GWh'!$A$2:$A$146,0),MATCH(AZ$3,'Eurostat EB TJ GWh'!$A$2:$BV$2,0))</f>
        <v>0</v>
      </c>
      <c r="BA16" s="72">
        <v>0</v>
      </c>
      <c r="BB16" s="72">
        <v>0</v>
      </c>
      <c r="BC16" s="57">
        <f>INDEX('Eurostat EB TJ GWh'!$A$2:$BV$146,MATCH($A16,'Eurostat EB TJ GWh'!$A$2:$A$146,0),MATCH(BC$3,'Eurostat EB TJ GWh'!$A$2:$BV$2,0))</f>
        <v>38959.053</v>
      </c>
      <c r="BD16" s="57">
        <f>INDEX('Eurostat EB TJ GWh'!$A$2:$BV$146,MATCH($A16,'Eurostat EB TJ GWh'!$A$2:$A$146,0),MATCH(BD$3,'Eurostat EB TJ GWh'!$A$2:$BV$2,0))</f>
        <v>249.72800000000001</v>
      </c>
      <c r="BE16" s="57">
        <f>INDEX('Eurostat EB TJ GWh'!$A$2:$BV$146,MATCH($A16,'Eurostat EB TJ GWh'!$A$2:$A$146,0),MATCH(BE$3,'Eurostat EB TJ GWh'!$A$2:$BV$2,0))</f>
        <v>0</v>
      </c>
      <c r="BF16" s="57">
        <f>INDEX('Eurostat EB TJ GWh'!$A$2:$BV$146,MATCH($A16,'Eurostat EB TJ GWh'!$A$2:$A$146,0),MATCH(BF$3,'Eurostat EB TJ GWh'!$A$2:$BV$2,0))</f>
        <v>14464.666999999999</v>
      </c>
      <c r="BG16" s="57">
        <f>INDEX('Eurostat EB TJ GWh'!$A$2:$BV$146,MATCH($A16,'Eurostat EB TJ GWh'!$A$2:$A$146,0),MATCH(BG$3,'Eurostat EB TJ GWh'!$A$2:$BV$2,0))</f>
        <v>0</v>
      </c>
      <c r="BH16" s="57">
        <f>INDEX('Eurostat EB TJ GWh'!$A$2:$BV$146,MATCH($A16,'Eurostat EB TJ GWh'!$A$2:$A$146,0),MATCH(BH$3,'Eurostat EB TJ GWh'!$A$2:$BV$2,0))</f>
        <v>0</v>
      </c>
      <c r="BI16" s="57">
        <f>INDEX('Eurostat EB TJ GWh'!$A$2:$BV$146,MATCH($A16,'Eurostat EB TJ GWh'!$A$2:$A$146,0),MATCH(BI$3,'Eurostat EB TJ GWh'!$A$2:$BV$2,0))</f>
        <v>97847.002999999997</v>
      </c>
      <c r="BJ16" s="72">
        <v>0</v>
      </c>
      <c r="BK16" s="57">
        <f>INDEX('Eurostat EB TJ GWh'!$A$2:$BV$146,MATCH($A16,'Eurostat EB TJ GWh'!$A$2:$A$146,0),MATCH(BK$3,'Eurostat EB TJ GWh'!$A$2:$BV$2,0))</f>
        <v>0</v>
      </c>
      <c r="BL16" s="57">
        <f>INDEX('Eurostat EB TJ GWh'!$A$2:$BV$146,MATCH($A16,'Eurostat EB TJ GWh'!$A$2:$A$146,0),MATCH(BL$3,'Eurostat EB TJ GWh'!$A$2:$BV$2,0))</f>
        <v>0</v>
      </c>
      <c r="BM16" s="57">
        <f>INDEX('Eurostat EB TJ GWh'!$A$2:$BV$146,MATCH($A16,'Eurostat EB TJ GWh'!$A$2:$A$146,0),MATCH(BM$3,'Eurostat EB TJ GWh'!$A$2:$BV$2,0))</f>
        <v>358410.35600000003</v>
      </c>
      <c r="BN16" s="57">
        <f>INDEX('Eurostat EB TJ GWh'!$A$2:$BV$146,MATCH($A16,'Eurostat EB TJ GWh'!$A$2:$A$146,0),MATCH(BN$3,'Eurostat EB TJ GWh'!$A$2:$BV$2,0))</f>
        <v>13356.416999999999</v>
      </c>
    </row>
    <row r="17" spans="1:66" x14ac:dyDescent="0.2">
      <c r="A17" s="56" t="s">
        <v>207</v>
      </c>
      <c r="B17" s="65" t="s">
        <v>323</v>
      </c>
      <c r="C17" s="65" t="s">
        <v>323</v>
      </c>
      <c r="D17" s="17">
        <f>INDEX('Eurostat EB TJ GWh'!$A$2:$BV$146,MATCH($A17,'Eurostat EB TJ GWh'!$A$2:$A$146,0),MATCH(D$3,'Eurostat EB TJ GWh'!$A$2:$BV$2,0))</f>
        <v>0</v>
      </c>
      <c r="E17" s="17">
        <f>INDEX('Eurostat EB TJ GWh'!$A$2:$BV$146,MATCH($A17,'Eurostat EB TJ GWh'!$A$2:$A$146,0),MATCH(E$3,'Eurostat EB TJ GWh'!$A$2:$BV$2,0))</f>
        <v>0</v>
      </c>
      <c r="F17" s="17">
        <f>INDEX('Eurostat EB TJ GWh'!$A$2:$BV$146,MATCH($A17,'Eurostat EB TJ GWh'!$A$2:$A$146,0),MATCH(F$3,'Eurostat EB TJ GWh'!$A$2:$BV$2,0))</f>
        <v>30042.236000000001</v>
      </c>
      <c r="G17" s="17">
        <f>INDEX('Eurostat EB TJ GWh'!$A$2:$BV$146,MATCH($A17,'Eurostat EB TJ GWh'!$A$2:$A$146,0),MATCH(G$3,'Eurostat EB TJ GWh'!$A$2:$BV$2,0))</f>
        <v>0</v>
      </c>
      <c r="H17" s="17">
        <f>INDEX('Eurostat EB TJ GWh'!$A$2:$BV$146,MATCH($A17,'Eurostat EB TJ GWh'!$A$2:$A$146,0),MATCH(H$3,'Eurostat EB TJ GWh'!$A$2:$BV$2,0))</f>
        <v>0</v>
      </c>
      <c r="I17" s="17">
        <f>INDEX('Eurostat EB TJ GWh'!$A$2:$BV$146,MATCH($A17,'Eurostat EB TJ GWh'!$A$2:$A$146,0),MATCH(I$3,'Eurostat EB TJ GWh'!$A$2:$BV$2,0))</f>
        <v>0</v>
      </c>
      <c r="J17" s="17">
        <f>INDEX('Eurostat EB TJ GWh'!$A$2:$BV$146,MATCH($A17,'Eurostat EB TJ GWh'!$A$2:$A$146,0),MATCH(J$3,'Eurostat EB TJ GWh'!$A$2:$BV$2,0))</f>
        <v>0</v>
      </c>
      <c r="K17" s="17">
        <f>INDEX('Eurostat EB TJ GWh'!$A$2:$BV$146,MATCH($A17,'Eurostat EB TJ GWh'!$A$2:$A$146,0),MATCH(K$3,'Eurostat EB TJ GWh'!$A$2:$BV$2,0))</f>
        <v>0</v>
      </c>
      <c r="L17" s="17">
        <f>INDEX('Eurostat EB TJ GWh'!$A$2:$BV$146,MATCH($A17,'Eurostat EB TJ GWh'!$A$2:$A$146,0),MATCH(L$3,'Eurostat EB TJ GWh'!$A$2:$BV$2,0))</f>
        <v>0</v>
      </c>
      <c r="M17" s="17">
        <f>INDEX('Eurostat EB TJ GWh'!$A$2:$BV$146,MATCH($A17,'Eurostat EB TJ GWh'!$A$2:$A$146,0),MATCH(M$3,'Eurostat EB TJ GWh'!$A$2:$BV$2,0))</f>
        <v>0</v>
      </c>
      <c r="N17" s="17">
        <f>INDEX('Eurostat EB TJ GWh'!$A$2:$BV$146,MATCH($A17,'Eurostat EB TJ GWh'!$A$2:$A$146,0),MATCH(N$3,'Eurostat EB TJ GWh'!$A$2:$BV$2,0))</f>
        <v>0</v>
      </c>
      <c r="O17" s="17">
        <f>INDEX('Eurostat EB TJ GWh'!$A$2:$BV$146,MATCH($A17,'Eurostat EB TJ GWh'!$A$2:$A$146,0),MATCH(O$3,'Eurostat EB TJ GWh'!$A$2:$BV$2,0))</f>
        <v>6.4000000000000001E-2</v>
      </c>
      <c r="P17" s="17">
        <f>INDEX('Eurostat EB TJ GWh'!$A$2:$BV$146,MATCH($A17,'Eurostat EB TJ GWh'!$A$2:$A$146,0),MATCH(P$3,'Eurostat EB TJ GWh'!$A$2:$BV$2,0))</f>
        <v>1672.4490000000001</v>
      </c>
      <c r="Q17" s="17">
        <f>INDEX('Eurostat EB TJ GWh'!$A$2:$BV$146,MATCH($A17,'Eurostat EB TJ GWh'!$A$2:$A$146,0),MATCH(Q$3,'Eurostat EB TJ GWh'!$A$2:$BV$2,0))</f>
        <v>0</v>
      </c>
      <c r="R17" s="17">
        <f>INDEX('Eurostat EB TJ GWh'!$A$2:$BV$146,MATCH($A17,'Eurostat EB TJ GWh'!$A$2:$A$146,0),MATCH(R$2,'Eurostat EB TJ GWh'!$A$2:$BV$2,0))+INDEX('Eurostat EB TJ GWh'!$A$2:$BV$146,MATCH($A17,'Eurostat EB TJ GWh'!$A$2:$A$146,0),MATCH(R$3,'Eurostat EB TJ GWh'!$A$2:$BV$2,0))</f>
        <v>0</v>
      </c>
      <c r="S17" s="17">
        <f>INDEX('Eurostat EB TJ GWh'!$A$2:$BV$146,MATCH($A17,'Eurostat EB TJ GWh'!$A$2:$A$146,0),MATCH(S$3,'Eurostat EB TJ GWh'!$A$2:$BV$2,0))</f>
        <v>78425.108999999997</v>
      </c>
      <c r="T17" s="65" t="s">
        <v>323</v>
      </c>
      <c r="U17" s="17">
        <f>INDEX('Eurostat EB TJ GWh'!$A$2:$BV$146,MATCH($A17,'Eurostat EB TJ GWh'!$A$2:$A$146,0),MATCH(U$3,'Eurostat EB TJ GWh'!$A$2:$BV$2,0))</f>
        <v>0</v>
      </c>
      <c r="V17" s="17">
        <f>INDEX('Eurostat EB TJ GWh'!$A$2:$BV$146,MATCH($A17,'Eurostat EB TJ GWh'!$A$2:$A$146,0),MATCH(V$3,'Eurostat EB TJ GWh'!$A$2:$BV$2,0))</f>
        <v>0</v>
      </c>
      <c r="W17" s="17">
        <f>INDEX('Eurostat EB TJ GWh'!$A$2:$BV$146,MATCH($A17,'Eurostat EB TJ GWh'!$A$2:$A$146,0),MATCH(W$3,'Eurostat EB TJ GWh'!$A$2:$BV$2,0))</f>
        <v>0</v>
      </c>
      <c r="X17" s="17">
        <f>INDEX('Eurostat EB TJ GWh'!$A$2:$BV$146,MATCH($A17,'Eurostat EB TJ GWh'!$A$2:$A$146,0),MATCH(X$3,'Eurostat EB TJ GWh'!$A$2:$BV$2,0))</f>
        <v>0</v>
      </c>
      <c r="Y17" s="17">
        <f>INDEX('Eurostat EB TJ GWh'!$A$2:$BV$146,MATCH($A17,'Eurostat EB TJ GWh'!$A$2:$A$146,0),MATCH(Y$3,'Eurostat EB TJ GWh'!$A$2:$BV$2,0))</f>
        <v>0</v>
      </c>
      <c r="Z17" s="17">
        <f>INDEX('Eurostat EB TJ GWh'!$A$2:$BV$146,MATCH($A17,'Eurostat EB TJ GWh'!$A$2:$A$146,0),MATCH(Z$3,'Eurostat EB TJ GWh'!$A$2:$BV$2,0))</f>
        <v>0</v>
      </c>
      <c r="AA17" s="17">
        <f>INDEX('Eurostat EB TJ GWh'!$A$2:$BV$146,MATCH($A17,'Eurostat EB TJ GWh'!$A$2:$A$146,0),MATCH(AA$3,'Eurostat EB TJ GWh'!$A$2:$BV$2,0))</f>
        <v>0</v>
      </c>
      <c r="AB17" s="17">
        <f>INDEX('Eurostat EB TJ GWh'!$A$2:$BV$146,MATCH($A17,'Eurostat EB TJ GWh'!$A$2:$A$146,0),MATCH(AB$3,'Eurostat EB TJ GWh'!$A$2:$BV$2,0))</f>
        <v>0</v>
      </c>
      <c r="AC17" s="17">
        <f>INDEX('Eurostat EB TJ GWh'!$A$2:$BV$146,MATCH($A17,'Eurostat EB TJ GWh'!$A$2:$A$146,0),MATCH(AC$3,'Eurostat EB TJ GWh'!$A$2:$BV$2,0))</f>
        <v>0</v>
      </c>
      <c r="AD17" s="17">
        <f>INDEX('Eurostat EB TJ GWh'!$A$2:$BV$146,MATCH($A17,'Eurostat EB TJ GWh'!$A$2:$A$146,0),MATCH(AD$3,'Eurostat EB TJ GWh'!$A$2:$BV$2,0))</f>
        <v>0</v>
      </c>
      <c r="AE17" s="17">
        <f>INDEX('Eurostat EB TJ GWh'!$A$2:$BV$146,MATCH($A17,'Eurostat EB TJ GWh'!$A$2:$A$146,0),MATCH(AE$3,'Eurostat EB TJ GWh'!$A$2:$BV$2,0))</f>
        <v>0</v>
      </c>
      <c r="AF17" s="17">
        <f>INDEX('Eurostat EB TJ GWh'!$A$2:$BV$146,MATCH($A17,'Eurostat EB TJ GWh'!$A$2:$A$146,0),MATCH(AF$3,'Eurostat EB TJ GWh'!$A$2:$BV$2,0))</f>
        <v>0</v>
      </c>
      <c r="AG17" s="17">
        <f>INDEX('Eurostat EB TJ GWh'!$A$2:$BV$146,MATCH($A17,'Eurostat EB TJ GWh'!$A$2:$A$146,0),MATCH(AG$3,'Eurostat EB TJ GWh'!$A$2:$BV$2,0))</f>
        <v>0</v>
      </c>
      <c r="AH17" s="17">
        <f>INDEX('Eurostat EB TJ GWh'!$A$2:$BV$146,MATCH($A17,'Eurostat EB TJ GWh'!$A$2:$A$146,0),MATCH(AH$3,'Eurostat EB TJ GWh'!$A$2:$BV$2,0))</f>
        <v>202.37200000000001</v>
      </c>
      <c r="AI17" s="17">
        <f>INDEX('Eurostat EB TJ GWh'!$A$2:$BV$146,MATCH($A17,'Eurostat EB TJ GWh'!$A$2:$A$146,0),MATCH(AI$3,'Eurostat EB TJ GWh'!$A$2:$BV$2,0))</f>
        <v>0</v>
      </c>
      <c r="AJ17" s="17">
        <f>INDEX('Eurostat EB TJ GWh'!$A$2:$BV$146,MATCH($A17,'Eurostat EB TJ GWh'!$A$2:$A$146,0),MATCH(AJ$3,'Eurostat EB TJ GWh'!$A$2:$BV$2,0))</f>
        <v>0</v>
      </c>
      <c r="AK17" s="17">
        <f>INDEX('Eurostat EB TJ GWh'!$A$2:$BV$146,MATCH($A17,'Eurostat EB TJ GWh'!$A$2:$A$146,0),MATCH(AK$3,'Eurostat EB TJ GWh'!$A$2:$BV$2,0))</f>
        <v>0</v>
      </c>
      <c r="AL17" s="17">
        <f>INDEX('Eurostat EB TJ GWh'!$A$2:$BV$146,MATCH($A17,'Eurostat EB TJ GWh'!$A$2:$A$146,0),MATCH(AL$3,'Eurostat EB TJ GWh'!$A$2:$BV$2,0))</f>
        <v>0</v>
      </c>
      <c r="AM17" s="17">
        <f>INDEX('Eurostat EB TJ GWh'!$A$2:$BV$146,MATCH($A17,'Eurostat EB TJ GWh'!$A$2:$A$146,0),MATCH(AM$3,'Eurostat EB TJ GWh'!$A$2:$BV$2,0))</f>
        <v>0</v>
      </c>
      <c r="AN17" s="17">
        <f>INDEX('Eurostat EB TJ GWh'!$A$2:$BV$146,MATCH($A17,'Eurostat EB TJ GWh'!$A$2:$A$146,0),MATCH(AN$3,'Eurostat EB TJ GWh'!$A$2:$BV$2,0))</f>
        <v>0</v>
      </c>
      <c r="AO17" s="17">
        <f>INDEX('Eurostat EB TJ GWh'!$A$2:$BV$146,MATCH($A17,'Eurostat EB TJ GWh'!$A$2:$A$146,0),MATCH(AO$3,'Eurostat EB TJ GWh'!$A$2:$BV$2,0))</f>
        <v>0</v>
      </c>
      <c r="AP17" s="17">
        <f>INDEX('Eurostat EB TJ GWh'!$A$2:$BV$146,MATCH($A17,'Eurostat EB TJ GWh'!$A$2:$A$146,0),MATCH(AP$3,'Eurostat EB TJ GWh'!$A$2:$BV$2,0))</f>
        <v>0</v>
      </c>
      <c r="AQ17" s="17">
        <f>INDEX('Eurostat EB TJ GWh'!$A$2:$BV$146,MATCH($A17,'Eurostat EB TJ GWh'!$A$2:$A$146,0),MATCH(AQ$3,'Eurostat EB TJ GWh'!$A$2:$BV$2,0))</f>
        <v>254.44800000000001</v>
      </c>
      <c r="AR17" s="17">
        <f>INDEX('Eurostat EB TJ GWh'!$A$2:$BV$146,MATCH($A17,'Eurostat EB TJ GWh'!$A$2:$A$146,0),MATCH(AR$3,'Eurostat EB TJ GWh'!$A$2:$BV$2,0))</f>
        <v>0</v>
      </c>
      <c r="AS17" s="17">
        <f>INDEX('Eurostat EB TJ GWh'!$A$2:$BV$146,MATCH($A17,'Eurostat EB TJ GWh'!$A$2:$A$146,0),MATCH(AS$3,'Eurostat EB TJ GWh'!$A$2:$BV$2,0))</f>
        <v>0</v>
      </c>
      <c r="AT17" s="17">
        <f>INDEX('Eurostat EB TJ GWh'!$A$2:$BV$146,MATCH($A17,'Eurostat EB TJ GWh'!$A$2:$A$146,0),MATCH(AT$3,'Eurostat EB TJ GWh'!$A$2:$BV$2,0))</f>
        <v>31227.246999999999</v>
      </c>
      <c r="AU17" s="17">
        <f>INDEX('Eurostat EB TJ GWh'!$A$2:$BV$146,MATCH($A17,'Eurostat EB TJ GWh'!$A$2:$A$146,0),MATCH(AU$3,'Eurostat EB TJ GWh'!$A$2:$BV$2,0))</f>
        <v>282.39</v>
      </c>
      <c r="AV17" s="17">
        <f>INDEX('Eurostat EB TJ GWh'!$A$2:$BV$146,MATCH($A17,'Eurostat EB TJ GWh'!$A$2:$A$146,0),MATCH(AV$2,'Eurostat EB TJ GWh'!$A$2:$BV$2,0))+INDEX('Eurostat EB TJ GWh'!$A$2:$BV$146,MATCH($A17,'Eurostat EB TJ GWh'!$A$2:$A$146,0),MATCH(AV$3,'Eurostat EB TJ GWh'!$A$2:$BV$2,0))</f>
        <v>0</v>
      </c>
      <c r="AW17" s="17">
        <f>INDEX('Eurostat EB TJ GWh'!$A$2:$BV$146,MATCH($A17,'Eurostat EB TJ GWh'!$A$2:$A$146,0),MATCH(AW$2,'Eurostat EB TJ GWh'!$A$2:$BV$2,0))+INDEX('Eurostat EB TJ GWh'!$A$2:$BV$146,MATCH($A17,'Eurostat EB TJ GWh'!$A$2:$A$146,0),MATCH(AW$3,'Eurostat EB TJ GWh'!$A$2:$BV$2,0))</f>
        <v>0</v>
      </c>
      <c r="AX17" s="17">
        <f>INDEX('Eurostat EB TJ GWh'!$A$2:$BV$146,MATCH($A17,'Eurostat EB TJ GWh'!$A$2:$A$146,0),MATCH(AX$3,'Eurostat EB TJ GWh'!$A$2:$BV$2,0))</f>
        <v>0</v>
      </c>
      <c r="AY17" s="65">
        <v>0</v>
      </c>
      <c r="AZ17" s="17">
        <f>INDEX('Eurostat EB TJ GWh'!$A$2:$BV$146,MATCH($A17,'Eurostat EB TJ GWh'!$A$2:$A$146,0),MATCH(AZ$3,'Eurostat EB TJ GWh'!$A$2:$BV$2,0))</f>
        <v>0</v>
      </c>
      <c r="BA17" s="65">
        <v>0</v>
      </c>
      <c r="BB17" s="65">
        <v>0</v>
      </c>
      <c r="BC17" s="17">
        <f>INDEX('Eurostat EB TJ GWh'!$A$2:$BV$146,MATCH($A17,'Eurostat EB TJ GWh'!$A$2:$A$146,0),MATCH(BC$3,'Eurostat EB TJ GWh'!$A$2:$BV$2,0))</f>
        <v>0</v>
      </c>
      <c r="BD17" s="17">
        <f>INDEX('Eurostat EB TJ GWh'!$A$2:$BV$146,MATCH($A17,'Eurostat EB TJ GWh'!$A$2:$A$146,0),MATCH(BD$3,'Eurostat EB TJ GWh'!$A$2:$BV$2,0))</f>
        <v>0</v>
      </c>
      <c r="BE17" s="17">
        <f>INDEX('Eurostat EB TJ GWh'!$A$2:$BV$146,MATCH($A17,'Eurostat EB TJ GWh'!$A$2:$A$146,0),MATCH(BE$3,'Eurostat EB TJ GWh'!$A$2:$BV$2,0))</f>
        <v>0</v>
      </c>
      <c r="BF17" s="17">
        <f>INDEX('Eurostat EB TJ GWh'!$A$2:$BV$146,MATCH($A17,'Eurostat EB TJ GWh'!$A$2:$A$146,0),MATCH(BF$3,'Eurostat EB TJ GWh'!$A$2:$BV$2,0))</f>
        <v>0</v>
      </c>
      <c r="BG17" s="17">
        <f>INDEX('Eurostat EB TJ GWh'!$A$2:$BV$146,MATCH($A17,'Eurostat EB TJ GWh'!$A$2:$A$146,0),MATCH(BG$3,'Eurostat EB TJ GWh'!$A$2:$BV$2,0))</f>
        <v>0</v>
      </c>
      <c r="BH17" s="17">
        <f>INDEX('Eurostat EB TJ GWh'!$A$2:$BV$146,MATCH($A17,'Eurostat EB TJ GWh'!$A$2:$A$146,0),MATCH(BH$3,'Eurostat EB TJ GWh'!$A$2:$BV$2,0))</f>
        <v>0</v>
      </c>
      <c r="BI17" s="17">
        <f>INDEX('Eurostat EB TJ GWh'!$A$2:$BV$146,MATCH($A17,'Eurostat EB TJ GWh'!$A$2:$A$146,0),MATCH(BI$3,'Eurostat EB TJ GWh'!$A$2:$BV$2,0))</f>
        <v>0</v>
      </c>
      <c r="BJ17" s="65">
        <v>0</v>
      </c>
      <c r="BK17" s="17">
        <f>INDEX('Eurostat EB TJ GWh'!$A$2:$BV$146,MATCH($A17,'Eurostat EB TJ GWh'!$A$2:$A$146,0),MATCH(BK$3,'Eurostat EB TJ GWh'!$A$2:$BV$2,0))</f>
        <v>0</v>
      </c>
      <c r="BL17" s="17">
        <f>INDEX('Eurostat EB TJ GWh'!$A$2:$BV$146,MATCH($A17,'Eurostat EB TJ GWh'!$A$2:$A$146,0),MATCH(BL$3,'Eurostat EB TJ GWh'!$A$2:$BV$2,0))</f>
        <v>0</v>
      </c>
      <c r="BM17" s="17">
        <f>INDEX('Eurostat EB TJ GWh'!$A$2:$BV$146,MATCH($A17,'Eurostat EB TJ GWh'!$A$2:$A$146,0),MATCH(BM$3,'Eurostat EB TJ GWh'!$A$2:$BV$2,0))</f>
        <v>142106.315</v>
      </c>
      <c r="BN17" s="17">
        <f>INDEX('Eurostat EB TJ GWh'!$A$2:$BV$146,MATCH($A17,'Eurostat EB TJ GWh'!$A$2:$A$146,0),MATCH(BN$3,'Eurostat EB TJ GWh'!$A$2:$BV$2,0))</f>
        <v>32312.937999999998</v>
      </c>
    </row>
    <row r="18" spans="1:66" x14ac:dyDescent="0.2">
      <c r="A18" s="56" t="s">
        <v>208</v>
      </c>
      <c r="B18" s="65" t="s">
        <v>323</v>
      </c>
      <c r="C18" s="65" t="s">
        <v>323</v>
      </c>
      <c r="D18" s="57">
        <f>INDEX('Eurostat EB TJ GWh'!$A$2:$BV$146,MATCH($A18,'Eurostat EB TJ GWh'!$A$2:$A$146,0),MATCH(D$3,'Eurostat EB TJ GWh'!$A$2:$BV$2,0))</f>
        <v>0</v>
      </c>
      <c r="E18" s="57">
        <f>INDEX('Eurostat EB TJ GWh'!$A$2:$BV$146,MATCH($A18,'Eurostat EB TJ GWh'!$A$2:$A$146,0),MATCH(E$3,'Eurostat EB TJ GWh'!$A$2:$BV$2,0))</f>
        <v>0</v>
      </c>
      <c r="F18" s="57">
        <f>INDEX('Eurostat EB TJ GWh'!$A$2:$BV$146,MATCH($A18,'Eurostat EB TJ GWh'!$A$2:$A$146,0),MATCH(F$3,'Eurostat EB TJ GWh'!$A$2:$BV$2,0))</f>
        <v>0</v>
      </c>
      <c r="G18" s="57">
        <f>INDEX('Eurostat EB TJ GWh'!$A$2:$BV$146,MATCH($A18,'Eurostat EB TJ GWh'!$A$2:$A$146,0),MATCH(G$3,'Eurostat EB TJ GWh'!$A$2:$BV$2,0))</f>
        <v>0</v>
      </c>
      <c r="H18" s="57">
        <f>INDEX('Eurostat EB TJ GWh'!$A$2:$BV$146,MATCH($A18,'Eurostat EB TJ GWh'!$A$2:$A$146,0),MATCH(H$3,'Eurostat EB TJ GWh'!$A$2:$BV$2,0))</f>
        <v>0</v>
      </c>
      <c r="I18" s="57">
        <f>INDEX('Eurostat EB TJ GWh'!$A$2:$BV$146,MATCH($A18,'Eurostat EB TJ GWh'!$A$2:$A$146,0),MATCH(I$3,'Eurostat EB TJ GWh'!$A$2:$BV$2,0))</f>
        <v>0</v>
      </c>
      <c r="J18" s="57">
        <f>INDEX('Eurostat EB TJ GWh'!$A$2:$BV$146,MATCH($A18,'Eurostat EB TJ GWh'!$A$2:$A$146,0),MATCH(J$3,'Eurostat EB TJ GWh'!$A$2:$BV$2,0))</f>
        <v>0</v>
      </c>
      <c r="K18" s="57">
        <f>INDEX('Eurostat EB TJ GWh'!$A$2:$BV$146,MATCH($A18,'Eurostat EB TJ GWh'!$A$2:$A$146,0),MATCH(K$3,'Eurostat EB TJ GWh'!$A$2:$BV$2,0))</f>
        <v>0</v>
      </c>
      <c r="L18" s="57">
        <f>INDEX('Eurostat EB TJ GWh'!$A$2:$BV$146,MATCH($A18,'Eurostat EB TJ GWh'!$A$2:$A$146,0),MATCH(L$3,'Eurostat EB TJ GWh'!$A$2:$BV$2,0))</f>
        <v>0</v>
      </c>
      <c r="M18" s="57">
        <f>INDEX('Eurostat EB TJ GWh'!$A$2:$BV$146,MATCH($A18,'Eurostat EB TJ GWh'!$A$2:$A$146,0),MATCH(M$3,'Eurostat EB TJ GWh'!$A$2:$BV$2,0))</f>
        <v>0</v>
      </c>
      <c r="N18" s="57">
        <f>INDEX('Eurostat EB TJ GWh'!$A$2:$BV$146,MATCH($A18,'Eurostat EB TJ GWh'!$A$2:$A$146,0),MATCH(N$3,'Eurostat EB TJ GWh'!$A$2:$BV$2,0))</f>
        <v>0</v>
      </c>
      <c r="O18" s="57">
        <f>INDEX('Eurostat EB TJ GWh'!$A$2:$BV$146,MATCH($A18,'Eurostat EB TJ GWh'!$A$2:$A$146,0),MATCH(O$3,'Eurostat EB TJ GWh'!$A$2:$BV$2,0))</f>
        <v>0</v>
      </c>
      <c r="P18" s="57">
        <f>INDEX('Eurostat EB TJ GWh'!$A$2:$BV$146,MATCH($A18,'Eurostat EB TJ GWh'!$A$2:$A$146,0),MATCH(P$3,'Eurostat EB TJ GWh'!$A$2:$BV$2,0))</f>
        <v>0</v>
      </c>
      <c r="Q18" s="57">
        <f>INDEX('Eurostat EB TJ GWh'!$A$2:$BV$146,MATCH($A18,'Eurostat EB TJ GWh'!$A$2:$A$146,0),MATCH(Q$3,'Eurostat EB TJ GWh'!$A$2:$BV$2,0))</f>
        <v>0</v>
      </c>
      <c r="R18" s="57">
        <f>INDEX('Eurostat EB TJ GWh'!$A$2:$BV$146,MATCH($A18,'Eurostat EB TJ GWh'!$A$2:$A$146,0),MATCH(R$2,'Eurostat EB TJ GWh'!$A$2:$BV$2,0))+INDEX('Eurostat EB TJ GWh'!$A$2:$BV$146,MATCH($A18,'Eurostat EB TJ GWh'!$A$2:$A$146,0),MATCH(R$3,'Eurostat EB TJ GWh'!$A$2:$BV$2,0))</f>
        <v>0</v>
      </c>
      <c r="S18" s="57">
        <f>INDEX('Eurostat EB TJ GWh'!$A$2:$BV$146,MATCH($A18,'Eurostat EB TJ GWh'!$A$2:$A$146,0),MATCH(S$3,'Eurostat EB TJ GWh'!$A$2:$BV$2,0))</f>
        <v>10592.293</v>
      </c>
      <c r="T18" s="65" t="s">
        <v>323</v>
      </c>
      <c r="U18" s="57">
        <f>INDEX('Eurostat EB TJ GWh'!$A$2:$BV$146,MATCH($A18,'Eurostat EB TJ GWh'!$A$2:$A$146,0),MATCH(U$3,'Eurostat EB TJ GWh'!$A$2:$BV$2,0))</f>
        <v>0</v>
      </c>
      <c r="V18" s="57">
        <f>INDEX('Eurostat EB TJ GWh'!$A$2:$BV$146,MATCH($A18,'Eurostat EB TJ GWh'!$A$2:$A$146,0),MATCH(V$3,'Eurostat EB TJ GWh'!$A$2:$BV$2,0))</f>
        <v>0</v>
      </c>
      <c r="W18" s="57">
        <f>INDEX('Eurostat EB TJ GWh'!$A$2:$BV$146,MATCH($A18,'Eurostat EB TJ GWh'!$A$2:$A$146,0),MATCH(W$3,'Eurostat EB TJ GWh'!$A$2:$BV$2,0))</f>
        <v>0</v>
      </c>
      <c r="X18" s="57">
        <f>INDEX('Eurostat EB TJ GWh'!$A$2:$BV$146,MATCH($A18,'Eurostat EB TJ GWh'!$A$2:$A$146,0),MATCH(X$3,'Eurostat EB TJ GWh'!$A$2:$BV$2,0))</f>
        <v>0</v>
      </c>
      <c r="Y18" s="57">
        <f>INDEX('Eurostat EB TJ GWh'!$A$2:$BV$146,MATCH($A18,'Eurostat EB TJ GWh'!$A$2:$A$146,0),MATCH(Y$3,'Eurostat EB TJ GWh'!$A$2:$BV$2,0))</f>
        <v>0</v>
      </c>
      <c r="Z18" s="57">
        <f>INDEX('Eurostat EB TJ GWh'!$A$2:$BV$146,MATCH($A18,'Eurostat EB TJ GWh'!$A$2:$A$146,0),MATCH(Z$3,'Eurostat EB TJ GWh'!$A$2:$BV$2,0))</f>
        <v>3652.7570000000001</v>
      </c>
      <c r="AA18" s="57">
        <f>INDEX('Eurostat EB TJ GWh'!$A$2:$BV$146,MATCH($A18,'Eurostat EB TJ GWh'!$A$2:$A$146,0),MATCH(AA$3,'Eurostat EB TJ GWh'!$A$2:$BV$2,0))</f>
        <v>0</v>
      </c>
      <c r="AB18" s="57">
        <f>INDEX('Eurostat EB TJ GWh'!$A$2:$BV$146,MATCH($A18,'Eurostat EB TJ GWh'!$A$2:$A$146,0),MATCH(AB$3,'Eurostat EB TJ GWh'!$A$2:$BV$2,0))</f>
        <v>0</v>
      </c>
      <c r="AC18" s="57">
        <f>INDEX('Eurostat EB TJ GWh'!$A$2:$BV$146,MATCH($A18,'Eurostat EB TJ GWh'!$A$2:$A$146,0),MATCH(AC$3,'Eurostat EB TJ GWh'!$A$2:$BV$2,0))</f>
        <v>0</v>
      </c>
      <c r="AD18" s="57">
        <f>INDEX('Eurostat EB TJ GWh'!$A$2:$BV$146,MATCH($A18,'Eurostat EB TJ GWh'!$A$2:$A$146,0),MATCH(AD$3,'Eurostat EB TJ GWh'!$A$2:$BV$2,0))</f>
        <v>0</v>
      </c>
      <c r="AE18" s="57">
        <f>INDEX('Eurostat EB TJ GWh'!$A$2:$BV$146,MATCH($A18,'Eurostat EB TJ GWh'!$A$2:$A$146,0),MATCH(AE$3,'Eurostat EB TJ GWh'!$A$2:$BV$2,0))</f>
        <v>0</v>
      </c>
      <c r="AF18" s="57">
        <f>INDEX('Eurostat EB TJ GWh'!$A$2:$BV$146,MATCH($A18,'Eurostat EB TJ GWh'!$A$2:$A$146,0),MATCH(AF$3,'Eurostat EB TJ GWh'!$A$2:$BV$2,0))</f>
        <v>0</v>
      </c>
      <c r="AG18" s="57">
        <f>INDEX('Eurostat EB TJ GWh'!$A$2:$BV$146,MATCH($A18,'Eurostat EB TJ GWh'!$A$2:$A$146,0),MATCH(AG$3,'Eurostat EB TJ GWh'!$A$2:$BV$2,0))</f>
        <v>0</v>
      </c>
      <c r="AH18" s="57">
        <f>INDEX('Eurostat EB TJ GWh'!$A$2:$BV$146,MATCH($A18,'Eurostat EB TJ GWh'!$A$2:$A$146,0),MATCH(AH$3,'Eurostat EB TJ GWh'!$A$2:$BV$2,0))</f>
        <v>0</v>
      </c>
      <c r="AI18" s="57">
        <f>INDEX('Eurostat EB TJ GWh'!$A$2:$BV$146,MATCH($A18,'Eurostat EB TJ GWh'!$A$2:$A$146,0),MATCH(AI$3,'Eurostat EB TJ GWh'!$A$2:$BV$2,0))</f>
        <v>0</v>
      </c>
      <c r="AJ18" s="57">
        <f>INDEX('Eurostat EB TJ GWh'!$A$2:$BV$146,MATCH($A18,'Eurostat EB TJ GWh'!$A$2:$A$146,0),MATCH(AJ$3,'Eurostat EB TJ GWh'!$A$2:$BV$2,0))</f>
        <v>0</v>
      </c>
      <c r="AK18" s="57">
        <f>INDEX('Eurostat EB TJ GWh'!$A$2:$BV$146,MATCH($A18,'Eurostat EB TJ GWh'!$A$2:$A$146,0),MATCH(AK$3,'Eurostat EB TJ GWh'!$A$2:$BV$2,0))</f>
        <v>0</v>
      </c>
      <c r="AL18" s="57">
        <f>INDEX('Eurostat EB TJ GWh'!$A$2:$BV$146,MATCH($A18,'Eurostat EB TJ GWh'!$A$2:$A$146,0),MATCH(AL$3,'Eurostat EB TJ GWh'!$A$2:$BV$2,0))</f>
        <v>0</v>
      </c>
      <c r="AM18" s="57">
        <f>INDEX('Eurostat EB TJ GWh'!$A$2:$BV$146,MATCH($A18,'Eurostat EB TJ GWh'!$A$2:$A$146,0),MATCH(AM$3,'Eurostat EB TJ GWh'!$A$2:$BV$2,0))</f>
        <v>0</v>
      </c>
      <c r="AN18" s="57">
        <f>INDEX('Eurostat EB TJ GWh'!$A$2:$BV$146,MATCH($A18,'Eurostat EB TJ GWh'!$A$2:$A$146,0),MATCH(AN$3,'Eurostat EB TJ GWh'!$A$2:$BV$2,0))</f>
        <v>0</v>
      </c>
      <c r="AO18" s="57">
        <f>INDEX('Eurostat EB TJ GWh'!$A$2:$BV$146,MATCH($A18,'Eurostat EB TJ GWh'!$A$2:$A$146,0),MATCH(AO$3,'Eurostat EB TJ GWh'!$A$2:$BV$2,0))</f>
        <v>0</v>
      </c>
      <c r="AP18" s="57">
        <f>INDEX('Eurostat EB TJ GWh'!$A$2:$BV$146,MATCH($A18,'Eurostat EB TJ GWh'!$A$2:$A$146,0),MATCH(AP$3,'Eurostat EB TJ GWh'!$A$2:$BV$2,0))</f>
        <v>2.4E-2</v>
      </c>
      <c r="AQ18" s="57">
        <f>INDEX('Eurostat EB TJ GWh'!$A$2:$BV$146,MATCH($A18,'Eurostat EB TJ GWh'!$A$2:$A$146,0),MATCH(AQ$3,'Eurostat EB TJ GWh'!$A$2:$BV$2,0))</f>
        <v>15.891999999999999</v>
      </c>
      <c r="AR18" s="57">
        <f>INDEX('Eurostat EB TJ GWh'!$A$2:$BV$146,MATCH($A18,'Eurostat EB TJ GWh'!$A$2:$A$146,0),MATCH(AR$3,'Eurostat EB TJ GWh'!$A$2:$BV$2,0))</f>
        <v>0</v>
      </c>
      <c r="AS18" s="57">
        <f>INDEX('Eurostat EB TJ GWh'!$A$2:$BV$146,MATCH($A18,'Eurostat EB TJ GWh'!$A$2:$A$146,0),MATCH(AS$3,'Eurostat EB TJ GWh'!$A$2:$BV$2,0))</f>
        <v>0</v>
      </c>
      <c r="AT18" s="57">
        <f>INDEX('Eurostat EB TJ GWh'!$A$2:$BV$146,MATCH($A18,'Eurostat EB TJ GWh'!$A$2:$A$146,0),MATCH(AT$3,'Eurostat EB TJ GWh'!$A$2:$BV$2,0))</f>
        <v>4138.8140000000003</v>
      </c>
      <c r="AU18" s="57">
        <f>INDEX('Eurostat EB TJ GWh'!$A$2:$BV$146,MATCH($A18,'Eurostat EB TJ GWh'!$A$2:$A$146,0),MATCH(AU$3,'Eurostat EB TJ GWh'!$A$2:$BV$2,0))</f>
        <v>0</v>
      </c>
      <c r="AV18" s="57">
        <f>INDEX('Eurostat EB TJ GWh'!$A$2:$BV$146,MATCH($A18,'Eurostat EB TJ GWh'!$A$2:$A$146,0),MATCH(AV$2,'Eurostat EB TJ GWh'!$A$2:$BV$2,0))+INDEX('Eurostat EB TJ GWh'!$A$2:$BV$146,MATCH($A18,'Eurostat EB TJ GWh'!$A$2:$A$146,0),MATCH(AV$3,'Eurostat EB TJ GWh'!$A$2:$BV$2,0))</f>
        <v>0</v>
      </c>
      <c r="AW18" s="57">
        <f>INDEX('Eurostat EB TJ GWh'!$A$2:$BV$146,MATCH($A18,'Eurostat EB TJ GWh'!$A$2:$A$146,0),MATCH(AW$2,'Eurostat EB TJ GWh'!$A$2:$BV$2,0))+INDEX('Eurostat EB TJ GWh'!$A$2:$BV$146,MATCH($A18,'Eurostat EB TJ GWh'!$A$2:$A$146,0),MATCH(AW$3,'Eurostat EB TJ GWh'!$A$2:$BV$2,0))</f>
        <v>0</v>
      </c>
      <c r="AX18" s="57">
        <f>INDEX('Eurostat EB TJ GWh'!$A$2:$BV$146,MATCH($A18,'Eurostat EB TJ GWh'!$A$2:$A$146,0),MATCH(AX$3,'Eurostat EB TJ GWh'!$A$2:$BV$2,0))</f>
        <v>0</v>
      </c>
      <c r="AY18" s="72">
        <v>0</v>
      </c>
      <c r="AZ18" s="57">
        <f>INDEX('Eurostat EB TJ GWh'!$A$2:$BV$146,MATCH($A18,'Eurostat EB TJ GWh'!$A$2:$A$146,0),MATCH(AZ$3,'Eurostat EB TJ GWh'!$A$2:$BV$2,0))</f>
        <v>0</v>
      </c>
      <c r="BA18" s="72">
        <v>0</v>
      </c>
      <c r="BB18" s="72">
        <v>0</v>
      </c>
      <c r="BC18" s="57">
        <f>INDEX('Eurostat EB TJ GWh'!$A$2:$BV$146,MATCH($A18,'Eurostat EB TJ GWh'!$A$2:$A$146,0),MATCH(BC$3,'Eurostat EB TJ GWh'!$A$2:$BV$2,0))</f>
        <v>0</v>
      </c>
      <c r="BD18" s="57">
        <f>INDEX('Eurostat EB TJ GWh'!$A$2:$BV$146,MATCH($A18,'Eurostat EB TJ GWh'!$A$2:$A$146,0),MATCH(BD$3,'Eurostat EB TJ GWh'!$A$2:$BV$2,0))</f>
        <v>0</v>
      </c>
      <c r="BE18" s="57">
        <f>INDEX('Eurostat EB TJ GWh'!$A$2:$BV$146,MATCH($A18,'Eurostat EB TJ GWh'!$A$2:$A$146,0),MATCH(BE$3,'Eurostat EB TJ GWh'!$A$2:$BV$2,0))</f>
        <v>0</v>
      </c>
      <c r="BF18" s="57">
        <f>INDEX('Eurostat EB TJ GWh'!$A$2:$BV$146,MATCH($A18,'Eurostat EB TJ GWh'!$A$2:$A$146,0),MATCH(BF$3,'Eurostat EB TJ GWh'!$A$2:$BV$2,0))</f>
        <v>0</v>
      </c>
      <c r="BG18" s="57">
        <f>INDEX('Eurostat EB TJ GWh'!$A$2:$BV$146,MATCH($A18,'Eurostat EB TJ GWh'!$A$2:$A$146,0),MATCH(BG$3,'Eurostat EB TJ GWh'!$A$2:$BV$2,0))</f>
        <v>0</v>
      </c>
      <c r="BH18" s="57">
        <f>INDEX('Eurostat EB TJ GWh'!$A$2:$BV$146,MATCH($A18,'Eurostat EB TJ GWh'!$A$2:$A$146,0),MATCH(BH$3,'Eurostat EB TJ GWh'!$A$2:$BV$2,0))</f>
        <v>0</v>
      </c>
      <c r="BI18" s="57">
        <f>INDEX('Eurostat EB TJ GWh'!$A$2:$BV$146,MATCH($A18,'Eurostat EB TJ GWh'!$A$2:$A$146,0),MATCH(BI$3,'Eurostat EB TJ GWh'!$A$2:$BV$2,0))</f>
        <v>0</v>
      </c>
      <c r="BJ18" s="72">
        <v>0</v>
      </c>
      <c r="BK18" s="57">
        <f>INDEX('Eurostat EB TJ GWh'!$A$2:$BV$146,MATCH($A18,'Eurostat EB TJ GWh'!$A$2:$A$146,0),MATCH(BK$3,'Eurostat EB TJ GWh'!$A$2:$BV$2,0))</f>
        <v>0</v>
      </c>
      <c r="BL18" s="57">
        <f>INDEX('Eurostat EB TJ GWh'!$A$2:$BV$146,MATCH($A18,'Eurostat EB TJ GWh'!$A$2:$A$146,0),MATCH(BL$3,'Eurostat EB TJ GWh'!$A$2:$BV$2,0))</f>
        <v>0</v>
      </c>
      <c r="BM18" s="57">
        <f>INDEX('Eurostat EB TJ GWh'!$A$2:$BV$146,MATCH($A18,'Eurostat EB TJ GWh'!$A$2:$A$146,0),MATCH(BM$3,'Eurostat EB TJ GWh'!$A$2:$BV$2,0))</f>
        <v>18399.78</v>
      </c>
      <c r="BN18" s="57">
        <f>INDEX('Eurostat EB TJ GWh'!$A$2:$BV$146,MATCH($A18,'Eurostat EB TJ GWh'!$A$2:$A$146,0),MATCH(BN$3,'Eurostat EB TJ GWh'!$A$2:$BV$2,0))</f>
        <v>4247.3100000000004</v>
      </c>
    </row>
    <row r="19" spans="1:66" x14ac:dyDescent="0.2">
      <c r="A19" s="56" t="s">
        <v>209</v>
      </c>
      <c r="B19" s="65" t="s">
        <v>323</v>
      </c>
      <c r="C19" s="65" t="s">
        <v>323</v>
      </c>
      <c r="D19" s="17">
        <f>INDEX('Eurostat EB TJ GWh'!$A$2:$BV$146,MATCH($A19,'Eurostat EB TJ GWh'!$A$2:$A$146,0),MATCH(D$3,'Eurostat EB TJ GWh'!$A$2:$BV$2,0))</f>
        <v>0</v>
      </c>
      <c r="E19" s="17">
        <f>INDEX('Eurostat EB TJ GWh'!$A$2:$BV$146,MATCH($A19,'Eurostat EB TJ GWh'!$A$2:$A$146,0),MATCH(E$3,'Eurostat EB TJ GWh'!$A$2:$BV$2,0))</f>
        <v>0</v>
      </c>
      <c r="F19" s="17">
        <f>INDEX('Eurostat EB TJ GWh'!$A$2:$BV$146,MATCH($A19,'Eurostat EB TJ GWh'!$A$2:$A$146,0),MATCH(F$3,'Eurostat EB TJ GWh'!$A$2:$BV$2,0))</f>
        <v>0</v>
      </c>
      <c r="G19" s="17">
        <f>INDEX('Eurostat EB TJ GWh'!$A$2:$BV$146,MATCH($A19,'Eurostat EB TJ GWh'!$A$2:$A$146,0),MATCH(G$3,'Eurostat EB TJ GWh'!$A$2:$BV$2,0))</f>
        <v>0</v>
      </c>
      <c r="H19" s="17">
        <f>INDEX('Eurostat EB TJ GWh'!$A$2:$BV$146,MATCH($A19,'Eurostat EB TJ GWh'!$A$2:$A$146,0),MATCH(H$3,'Eurostat EB TJ GWh'!$A$2:$BV$2,0))</f>
        <v>0</v>
      </c>
      <c r="I19" s="17">
        <f>INDEX('Eurostat EB TJ GWh'!$A$2:$BV$146,MATCH($A19,'Eurostat EB TJ GWh'!$A$2:$A$146,0),MATCH(I$3,'Eurostat EB TJ GWh'!$A$2:$BV$2,0))</f>
        <v>0</v>
      </c>
      <c r="J19" s="17">
        <f>INDEX('Eurostat EB TJ GWh'!$A$2:$BV$146,MATCH($A19,'Eurostat EB TJ GWh'!$A$2:$A$146,0),MATCH(J$3,'Eurostat EB TJ GWh'!$A$2:$BV$2,0))</f>
        <v>0</v>
      </c>
      <c r="K19" s="17">
        <f>INDEX('Eurostat EB TJ GWh'!$A$2:$BV$146,MATCH($A19,'Eurostat EB TJ GWh'!$A$2:$A$146,0),MATCH(K$3,'Eurostat EB TJ GWh'!$A$2:$BV$2,0))</f>
        <v>0</v>
      </c>
      <c r="L19" s="17">
        <f>INDEX('Eurostat EB TJ GWh'!$A$2:$BV$146,MATCH($A19,'Eurostat EB TJ GWh'!$A$2:$A$146,0),MATCH(L$3,'Eurostat EB TJ GWh'!$A$2:$BV$2,0))</f>
        <v>0</v>
      </c>
      <c r="M19" s="17">
        <f>INDEX('Eurostat EB TJ GWh'!$A$2:$BV$146,MATCH($A19,'Eurostat EB TJ GWh'!$A$2:$A$146,0),MATCH(M$3,'Eurostat EB TJ GWh'!$A$2:$BV$2,0))</f>
        <v>0</v>
      </c>
      <c r="N19" s="17">
        <f>INDEX('Eurostat EB TJ GWh'!$A$2:$BV$146,MATCH($A19,'Eurostat EB TJ GWh'!$A$2:$A$146,0),MATCH(N$3,'Eurostat EB TJ GWh'!$A$2:$BV$2,0))</f>
        <v>0</v>
      </c>
      <c r="O19" s="17">
        <f>INDEX('Eurostat EB TJ GWh'!$A$2:$BV$146,MATCH($A19,'Eurostat EB TJ GWh'!$A$2:$A$146,0),MATCH(O$3,'Eurostat EB TJ GWh'!$A$2:$BV$2,0))</f>
        <v>0</v>
      </c>
      <c r="P19" s="17">
        <f>INDEX('Eurostat EB TJ GWh'!$A$2:$BV$146,MATCH($A19,'Eurostat EB TJ GWh'!$A$2:$A$146,0),MATCH(P$3,'Eurostat EB TJ GWh'!$A$2:$BV$2,0))</f>
        <v>0</v>
      </c>
      <c r="Q19" s="17">
        <f>INDEX('Eurostat EB TJ GWh'!$A$2:$BV$146,MATCH($A19,'Eurostat EB TJ GWh'!$A$2:$A$146,0),MATCH(Q$3,'Eurostat EB TJ GWh'!$A$2:$BV$2,0))</f>
        <v>0</v>
      </c>
      <c r="R19" s="17">
        <f>INDEX('Eurostat EB TJ GWh'!$A$2:$BV$146,MATCH($A19,'Eurostat EB TJ GWh'!$A$2:$A$146,0),MATCH(R$2,'Eurostat EB TJ GWh'!$A$2:$BV$2,0))+INDEX('Eurostat EB TJ GWh'!$A$2:$BV$146,MATCH($A19,'Eurostat EB TJ GWh'!$A$2:$A$146,0),MATCH(R$3,'Eurostat EB TJ GWh'!$A$2:$BV$2,0))</f>
        <v>0</v>
      </c>
      <c r="S19" s="17">
        <f>INDEX('Eurostat EB TJ GWh'!$A$2:$BV$146,MATCH($A19,'Eurostat EB TJ GWh'!$A$2:$A$146,0),MATCH(S$3,'Eurostat EB TJ GWh'!$A$2:$BV$2,0))</f>
        <v>2416.8009999999999</v>
      </c>
      <c r="T19" s="65" t="s">
        <v>323</v>
      </c>
      <c r="U19" s="17">
        <f>INDEX('Eurostat EB TJ GWh'!$A$2:$BV$146,MATCH($A19,'Eurostat EB TJ GWh'!$A$2:$A$146,0),MATCH(U$3,'Eurostat EB TJ GWh'!$A$2:$BV$2,0))</f>
        <v>0</v>
      </c>
      <c r="V19" s="17">
        <f>INDEX('Eurostat EB TJ GWh'!$A$2:$BV$146,MATCH($A19,'Eurostat EB TJ GWh'!$A$2:$A$146,0),MATCH(V$3,'Eurostat EB TJ GWh'!$A$2:$BV$2,0))</f>
        <v>0</v>
      </c>
      <c r="W19" s="17">
        <f>INDEX('Eurostat EB TJ GWh'!$A$2:$BV$146,MATCH($A19,'Eurostat EB TJ GWh'!$A$2:$A$146,0),MATCH(W$3,'Eurostat EB TJ GWh'!$A$2:$BV$2,0))</f>
        <v>0</v>
      </c>
      <c r="X19" s="17">
        <f>INDEX('Eurostat EB TJ GWh'!$A$2:$BV$146,MATCH($A19,'Eurostat EB TJ GWh'!$A$2:$A$146,0),MATCH(X$3,'Eurostat EB TJ GWh'!$A$2:$BV$2,0))</f>
        <v>0</v>
      </c>
      <c r="Y19" s="17">
        <f>INDEX('Eurostat EB TJ GWh'!$A$2:$BV$146,MATCH($A19,'Eurostat EB TJ GWh'!$A$2:$A$146,0),MATCH(Y$3,'Eurostat EB TJ GWh'!$A$2:$BV$2,0))</f>
        <v>0</v>
      </c>
      <c r="Z19" s="17">
        <f>INDEX('Eurostat EB TJ GWh'!$A$2:$BV$146,MATCH($A19,'Eurostat EB TJ GWh'!$A$2:$A$146,0),MATCH(Z$3,'Eurostat EB TJ GWh'!$A$2:$BV$2,0))</f>
        <v>621.13099999999997</v>
      </c>
      <c r="AA19" s="17">
        <f>INDEX('Eurostat EB TJ GWh'!$A$2:$BV$146,MATCH($A19,'Eurostat EB TJ GWh'!$A$2:$A$146,0),MATCH(AA$3,'Eurostat EB TJ GWh'!$A$2:$BV$2,0))</f>
        <v>0</v>
      </c>
      <c r="AB19" s="17">
        <f>INDEX('Eurostat EB TJ GWh'!$A$2:$BV$146,MATCH($A19,'Eurostat EB TJ GWh'!$A$2:$A$146,0),MATCH(AB$3,'Eurostat EB TJ GWh'!$A$2:$BV$2,0))</f>
        <v>0</v>
      </c>
      <c r="AC19" s="17">
        <f>INDEX('Eurostat EB TJ GWh'!$A$2:$BV$146,MATCH($A19,'Eurostat EB TJ GWh'!$A$2:$A$146,0),MATCH(AC$3,'Eurostat EB TJ GWh'!$A$2:$BV$2,0))</f>
        <v>0</v>
      </c>
      <c r="AD19" s="17">
        <f>INDEX('Eurostat EB TJ GWh'!$A$2:$BV$146,MATCH($A19,'Eurostat EB TJ GWh'!$A$2:$A$146,0),MATCH(AD$3,'Eurostat EB TJ GWh'!$A$2:$BV$2,0))</f>
        <v>0</v>
      </c>
      <c r="AE19" s="17">
        <f>INDEX('Eurostat EB TJ GWh'!$A$2:$BV$146,MATCH($A19,'Eurostat EB TJ GWh'!$A$2:$A$146,0),MATCH(AE$3,'Eurostat EB TJ GWh'!$A$2:$BV$2,0))</f>
        <v>0</v>
      </c>
      <c r="AF19" s="17">
        <f>INDEX('Eurostat EB TJ GWh'!$A$2:$BV$146,MATCH($A19,'Eurostat EB TJ GWh'!$A$2:$A$146,0),MATCH(AF$3,'Eurostat EB TJ GWh'!$A$2:$BV$2,0))</f>
        <v>0</v>
      </c>
      <c r="AG19" s="17">
        <f>INDEX('Eurostat EB TJ GWh'!$A$2:$BV$146,MATCH($A19,'Eurostat EB TJ GWh'!$A$2:$A$146,0),MATCH(AG$3,'Eurostat EB TJ GWh'!$A$2:$BV$2,0))</f>
        <v>0</v>
      </c>
      <c r="AH19" s="17">
        <f>INDEX('Eurostat EB TJ GWh'!$A$2:$BV$146,MATCH($A19,'Eurostat EB TJ GWh'!$A$2:$A$146,0),MATCH(AH$3,'Eurostat EB TJ GWh'!$A$2:$BV$2,0))</f>
        <v>4.4000000000000004</v>
      </c>
      <c r="AI19" s="17">
        <f>INDEX('Eurostat EB TJ GWh'!$A$2:$BV$146,MATCH($A19,'Eurostat EB TJ GWh'!$A$2:$A$146,0),MATCH(AI$3,'Eurostat EB TJ GWh'!$A$2:$BV$2,0))</f>
        <v>0</v>
      </c>
      <c r="AJ19" s="17">
        <f>INDEX('Eurostat EB TJ GWh'!$A$2:$BV$146,MATCH($A19,'Eurostat EB TJ GWh'!$A$2:$A$146,0),MATCH(AJ$3,'Eurostat EB TJ GWh'!$A$2:$BV$2,0))</f>
        <v>0</v>
      </c>
      <c r="AK19" s="17">
        <f>INDEX('Eurostat EB TJ GWh'!$A$2:$BV$146,MATCH($A19,'Eurostat EB TJ GWh'!$A$2:$A$146,0),MATCH(AK$3,'Eurostat EB TJ GWh'!$A$2:$BV$2,0))</f>
        <v>0</v>
      </c>
      <c r="AL19" s="17">
        <f>INDEX('Eurostat EB TJ GWh'!$A$2:$BV$146,MATCH($A19,'Eurostat EB TJ GWh'!$A$2:$A$146,0),MATCH(AL$3,'Eurostat EB TJ GWh'!$A$2:$BV$2,0))</f>
        <v>0</v>
      </c>
      <c r="AM19" s="17">
        <f>INDEX('Eurostat EB TJ GWh'!$A$2:$BV$146,MATCH($A19,'Eurostat EB TJ GWh'!$A$2:$A$146,0),MATCH(AM$3,'Eurostat EB TJ GWh'!$A$2:$BV$2,0))</f>
        <v>0</v>
      </c>
      <c r="AN19" s="17">
        <f>INDEX('Eurostat EB TJ GWh'!$A$2:$BV$146,MATCH($A19,'Eurostat EB TJ GWh'!$A$2:$A$146,0),MATCH(AN$3,'Eurostat EB TJ GWh'!$A$2:$BV$2,0))</f>
        <v>0</v>
      </c>
      <c r="AO19" s="17">
        <f>INDEX('Eurostat EB TJ GWh'!$A$2:$BV$146,MATCH($A19,'Eurostat EB TJ GWh'!$A$2:$A$146,0),MATCH(AO$3,'Eurostat EB TJ GWh'!$A$2:$BV$2,0))</f>
        <v>0</v>
      </c>
      <c r="AP19" s="17">
        <f>INDEX('Eurostat EB TJ GWh'!$A$2:$BV$146,MATCH($A19,'Eurostat EB TJ GWh'!$A$2:$A$146,0),MATCH(AP$3,'Eurostat EB TJ GWh'!$A$2:$BV$2,0))</f>
        <v>0</v>
      </c>
      <c r="AQ19" s="17">
        <f>INDEX('Eurostat EB TJ GWh'!$A$2:$BV$146,MATCH($A19,'Eurostat EB TJ GWh'!$A$2:$A$146,0),MATCH(AQ$3,'Eurostat EB TJ GWh'!$A$2:$BV$2,0))</f>
        <v>0</v>
      </c>
      <c r="AR19" s="17">
        <f>INDEX('Eurostat EB TJ GWh'!$A$2:$BV$146,MATCH($A19,'Eurostat EB TJ GWh'!$A$2:$A$146,0),MATCH(AR$3,'Eurostat EB TJ GWh'!$A$2:$BV$2,0))</f>
        <v>0</v>
      </c>
      <c r="AS19" s="17">
        <f>INDEX('Eurostat EB TJ GWh'!$A$2:$BV$146,MATCH($A19,'Eurostat EB TJ GWh'!$A$2:$A$146,0),MATCH(AS$3,'Eurostat EB TJ GWh'!$A$2:$BV$2,0))</f>
        <v>0</v>
      </c>
      <c r="AT19" s="17">
        <f>INDEX('Eurostat EB TJ GWh'!$A$2:$BV$146,MATCH($A19,'Eurostat EB TJ GWh'!$A$2:$A$146,0),MATCH(AT$3,'Eurostat EB TJ GWh'!$A$2:$BV$2,0))</f>
        <v>0</v>
      </c>
      <c r="AU19" s="17">
        <f>INDEX('Eurostat EB TJ GWh'!$A$2:$BV$146,MATCH($A19,'Eurostat EB TJ GWh'!$A$2:$A$146,0),MATCH(AU$3,'Eurostat EB TJ GWh'!$A$2:$BV$2,0))</f>
        <v>193.928</v>
      </c>
      <c r="AV19" s="17">
        <f>INDEX('Eurostat EB TJ GWh'!$A$2:$BV$146,MATCH($A19,'Eurostat EB TJ GWh'!$A$2:$A$146,0),MATCH(AV$2,'Eurostat EB TJ GWh'!$A$2:$BV$2,0))+INDEX('Eurostat EB TJ GWh'!$A$2:$BV$146,MATCH($A19,'Eurostat EB TJ GWh'!$A$2:$A$146,0),MATCH(AV$3,'Eurostat EB TJ GWh'!$A$2:$BV$2,0))</f>
        <v>0</v>
      </c>
      <c r="AW19" s="17">
        <f>INDEX('Eurostat EB TJ GWh'!$A$2:$BV$146,MATCH($A19,'Eurostat EB TJ GWh'!$A$2:$A$146,0),MATCH(AW$2,'Eurostat EB TJ GWh'!$A$2:$BV$2,0))+INDEX('Eurostat EB TJ GWh'!$A$2:$BV$146,MATCH($A19,'Eurostat EB TJ GWh'!$A$2:$A$146,0),MATCH(AW$3,'Eurostat EB TJ GWh'!$A$2:$BV$2,0))</f>
        <v>0</v>
      </c>
      <c r="AX19" s="17">
        <f>INDEX('Eurostat EB TJ GWh'!$A$2:$BV$146,MATCH($A19,'Eurostat EB TJ GWh'!$A$2:$A$146,0),MATCH(AX$3,'Eurostat EB TJ GWh'!$A$2:$BV$2,0))</f>
        <v>0</v>
      </c>
      <c r="AY19" s="65">
        <v>0</v>
      </c>
      <c r="AZ19" s="17">
        <f>INDEX('Eurostat EB TJ GWh'!$A$2:$BV$146,MATCH($A19,'Eurostat EB TJ GWh'!$A$2:$A$146,0),MATCH(AZ$3,'Eurostat EB TJ GWh'!$A$2:$BV$2,0))</f>
        <v>0</v>
      </c>
      <c r="BA19" s="65">
        <v>0</v>
      </c>
      <c r="BB19" s="65">
        <v>0</v>
      </c>
      <c r="BC19" s="17">
        <f>INDEX('Eurostat EB TJ GWh'!$A$2:$BV$146,MATCH($A19,'Eurostat EB TJ GWh'!$A$2:$A$146,0),MATCH(BC$3,'Eurostat EB TJ GWh'!$A$2:$BV$2,0))</f>
        <v>0</v>
      </c>
      <c r="BD19" s="17">
        <f>INDEX('Eurostat EB TJ GWh'!$A$2:$BV$146,MATCH($A19,'Eurostat EB TJ GWh'!$A$2:$A$146,0),MATCH(BD$3,'Eurostat EB TJ GWh'!$A$2:$BV$2,0))</f>
        <v>0</v>
      </c>
      <c r="BE19" s="17">
        <f>INDEX('Eurostat EB TJ GWh'!$A$2:$BV$146,MATCH($A19,'Eurostat EB TJ GWh'!$A$2:$A$146,0),MATCH(BE$3,'Eurostat EB TJ GWh'!$A$2:$BV$2,0))</f>
        <v>0</v>
      </c>
      <c r="BF19" s="17">
        <f>INDEX('Eurostat EB TJ GWh'!$A$2:$BV$146,MATCH($A19,'Eurostat EB TJ GWh'!$A$2:$A$146,0),MATCH(BF$3,'Eurostat EB TJ GWh'!$A$2:$BV$2,0))</f>
        <v>56016.81</v>
      </c>
      <c r="BG19" s="17">
        <f>INDEX('Eurostat EB TJ GWh'!$A$2:$BV$146,MATCH($A19,'Eurostat EB TJ GWh'!$A$2:$A$146,0),MATCH(BG$3,'Eurostat EB TJ GWh'!$A$2:$BV$2,0))</f>
        <v>0</v>
      </c>
      <c r="BH19" s="17">
        <f>INDEX('Eurostat EB TJ GWh'!$A$2:$BV$146,MATCH($A19,'Eurostat EB TJ GWh'!$A$2:$A$146,0),MATCH(BH$3,'Eurostat EB TJ GWh'!$A$2:$BV$2,0))</f>
        <v>0</v>
      </c>
      <c r="BI19" s="17">
        <f>INDEX('Eurostat EB TJ GWh'!$A$2:$BV$146,MATCH($A19,'Eurostat EB TJ GWh'!$A$2:$A$146,0),MATCH(BI$3,'Eurostat EB TJ GWh'!$A$2:$BV$2,0))</f>
        <v>8443.2890000000007</v>
      </c>
      <c r="BJ19" s="65">
        <v>0</v>
      </c>
      <c r="BK19" s="17">
        <f>INDEX('Eurostat EB TJ GWh'!$A$2:$BV$146,MATCH($A19,'Eurostat EB TJ GWh'!$A$2:$A$146,0),MATCH(BK$3,'Eurostat EB TJ GWh'!$A$2:$BV$2,0))</f>
        <v>0</v>
      </c>
      <c r="BL19" s="17">
        <f>INDEX('Eurostat EB TJ GWh'!$A$2:$BV$146,MATCH($A19,'Eurostat EB TJ GWh'!$A$2:$A$146,0),MATCH(BL$3,'Eurostat EB TJ GWh'!$A$2:$BV$2,0))</f>
        <v>0</v>
      </c>
      <c r="BM19" s="17">
        <f>INDEX('Eurostat EB TJ GWh'!$A$2:$BV$146,MATCH($A19,'Eurostat EB TJ GWh'!$A$2:$A$146,0),MATCH(BM$3,'Eurostat EB TJ GWh'!$A$2:$BV$2,0))</f>
        <v>67696.36</v>
      </c>
      <c r="BN19" s="17">
        <f>INDEX('Eurostat EB TJ GWh'!$A$2:$BV$146,MATCH($A19,'Eurostat EB TJ GWh'!$A$2:$A$146,0),MATCH(BN$3,'Eurostat EB TJ GWh'!$A$2:$BV$2,0))</f>
        <v>218.68299999999999</v>
      </c>
    </row>
    <row r="20" spans="1:66" x14ac:dyDescent="0.2">
      <c r="A20" s="56" t="s">
        <v>210</v>
      </c>
      <c r="B20" s="65" t="s">
        <v>323</v>
      </c>
      <c r="C20" s="65" t="s">
        <v>323</v>
      </c>
      <c r="D20" s="57">
        <f>INDEX('Eurostat EB TJ GWh'!$A$2:$BV$146,MATCH($A20,'Eurostat EB TJ GWh'!$A$2:$A$146,0),MATCH(D$3,'Eurostat EB TJ GWh'!$A$2:$BV$2,0))</f>
        <v>0</v>
      </c>
      <c r="E20" s="57">
        <f>INDEX('Eurostat EB TJ GWh'!$A$2:$BV$146,MATCH($A20,'Eurostat EB TJ GWh'!$A$2:$A$146,0),MATCH(E$3,'Eurostat EB TJ GWh'!$A$2:$BV$2,0))</f>
        <v>0</v>
      </c>
      <c r="F20" s="57">
        <f>INDEX('Eurostat EB TJ GWh'!$A$2:$BV$146,MATCH($A20,'Eurostat EB TJ GWh'!$A$2:$A$146,0),MATCH(F$3,'Eurostat EB TJ GWh'!$A$2:$BV$2,0))</f>
        <v>0</v>
      </c>
      <c r="G20" s="57">
        <f>INDEX('Eurostat EB TJ GWh'!$A$2:$BV$146,MATCH($A20,'Eurostat EB TJ GWh'!$A$2:$A$146,0),MATCH(G$3,'Eurostat EB TJ GWh'!$A$2:$BV$2,0))</f>
        <v>0</v>
      </c>
      <c r="H20" s="57">
        <f>INDEX('Eurostat EB TJ GWh'!$A$2:$BV$146,MATCH($A20,'Eurostat EB TJ GWh'!$A$2:$A$146,0),MATCH(H$3,'Eurostat EB TJ GWh'!$A$2:$BV$2,0))</f>
        <v>0</v>
      </c>
      <c r="I20" s="57">
        <f>INDEX('Eurostat EB TJ GWh'!$A$2:$BV$146,MATCH($A20,'Eurostat EB TJ GWh'!$A$2:$A$146,0),MATCH(I$3,'Eurostat EB TJ GWh'!$A$2:$BV$2,0))</f>
        <v>0</v>
      </c>
      <c r="J20" s="57">
        <f>INDEX('Eurostat EB TJ GWh'!$A$2:$BV$146,MATCH($A20,'Eurostat EB TJ GWh'!$A$2:$A$146,0),MATCH(J$3,'Eurostat EB TJ GWh'!$A$2:$BV$2,0))</f>
        <v>0</v>
      </c>
      <c r="K20" s="57">
        <f>INDEX('Eurostat EB TJ GWh'!$A$2:$BV$146,MATCH($A20,'Eurostat EB TJ GWh'!$A$2:$A$146,0),MATCH(K$3,'Eurostat EB TJ GWh'!$A$2:$BV$2,0))</f>
        <v>0</v>
      </c>
      <c r="L20" s="57">
        <f>INDEX('Eurostat EB TJ GWh'!$A$2:$BV$146,MATCH($A20,'Eurostat EB TJ GWh'!$A$2:$A$146,0),MATCH(L$3,'Eurostat EB TJ GWh'!$A$2:$BV$2,0))</f>
        <v>0</v>
      </c>
      <c r="M20" s="57">
        <f>INDEX('Eurostat EB TJ GWh'!$A$2:$BV$146,MATCH($A20,'Eurostat EB TJ GWh'!$A$2:$A$146,0),MATCH(M$3,'Eurostat EB TJ GWh'!$A$2:$BV$2,0))</f>
        <v>0</v>
      </c>
      <c r="N20" s="57">
        <f>INDEX('Eurostat EB TJ GWh'!$A$2:$BV$146,MATCH($A20,'Eurostat EB TJ GWh'!$A$2:$A$146,0),MATCH(N$3,'Eurostat EB TJ GWh'!$A$2:$BV$2,0))</f>
        <v>0</v>
      </c>
      <c r="O20" s="57">
        <f>INDEX('Eurostat EB TJ GWh'!$A$2:$BV$146,MATCH($A20,'Eurostat EB TJ GWh'!$A$2:$A$146,0),MATCH(O$3,'Eurostat EB TJ GWh'!$A$2:$BV$2,0))</f>
        <v>97.316999999999993</v>
      </c>
      <c r="P20" s="57">
        <f>INDEX('Eurostat EB TJ GWh'!$A$2:$BV$146,MATCH($A20,'Eurostat EB TJ GWh'!$A$2:$A$146,0),MATCH(P$3,'Eurostat EB TJ GWh'!$A$2:$BV$2,0))</f>
        <v>702.23400000000004</v>
      </c>
      <c r="Q20" s="57">
        <f>INDEX('Eurostat EB TJ GWh'!$A$2:$BV$146,MATCH($A20,'Eurostat EB TJ GWh'!$A$2:$A$146,0),MATCH(Q$3,'Eurostat EB TJ GWh'!$A$2:$BV$2,0))</f>
        <v>0</v>
      </c>
      <c r="R20" s="57">
        <f>INDEX('Eurostat EB TJ GWh'!$A$2:$BV$146,MATCH($A20,'Eurostat EB TJ GWh'!$A$2:$A$146,0),MATCH(R$2,'Eurostat EB TJ GWh'!$A$2:$BV$2,0))+INDEX('Eurostat EB TJ GWh'!$A$2:$BV$146,MATCH($A20,'Eurostat EB TJ GWh'!$A$2:$A$146,0),MATCH(R$3,'Eurostat EB TJ GWh'!$A$2:$BV$2,0))</f>
        <v>0</v>
      </c>
      <c r="S20" s="57">
        <f>INDEX('Eurostat EB TJ GWh'!$A$2:$BV$146,MATCH($A20,'Eurostat EB TJ GWh'!$A$2:$A$146,0),MATCH(S$3,'Eurostat EB TJ GWh'!$A$2:$BV$2,0))</f>
        <v>79593.831999999995</v>
      </c>
      <c r="T20" s="65" t="s">
        <v>323</v>
      </c>
      <c r="U20" s="57">
        <f>INDEX('Eurostat EB TJ GWh'!$A$2:$BV$146,MATCH($A20,'Eurostat EB TJ GWh'!$A$2:$A$146,0),MATCH(U$3,'Eurostat EB TJ GWh'!$A$2:$BV$2,0))</f>
        <v>0</v>
      </c>
      <c r="V20" s="57">
        <f>INDEX('Eurostat EB TJ GWh'!$A$2:$BV$146,MATCH($A20,'Eurostat EB TJ GWh'!$A$2:$A$146,0),MATCH(V$3,'Eurostat EB TJ GWh'!$A$2:$BV$2,0))</f>
        <v>0</v>
      </c>
      <c r="W20" s="57">
        <f>INDEX('Eurostat EB TJ GWh'!$A$2:$BV$146,MATCH($A20,'Eurostat EB TJ GWh'!$A$2:$A$146,0),MATCH(W$3,'Eurostat EB TJ GWh'!$A$2:$BV$2,0))</f>
        <v>0</v>
      </c>
      <c r="X20" s="57">
        <f>INDEX('Eurostat EB TJ GWh'!$A$2:$BV$146,MATCH($A20,'Eurostat EB TJ GWh'!$A$2:$A$146,0),MATCH(X$3,'Eurostat EB TJ GWh'!$A$2:$BV$2,0))</f>
        <v>0</v>
      </c>
      <c r="Y20" s="57">
        <f>INDEX('Eurostat EB TJ GWh'!$A$2:$BV$146,MATCH($A20,'Eurostat EB TJ GWh'!$A$2:$A$146,0),MATCH(Y$3,'Eurostat EB TJ GWh'!$A$2:$BV$2,0))</f>
        <v>0</v>
      </c>
      <c r="Z20" s="57">
        <f>INDEX('Eurostat EB TJ GWh'!$A$2:$BV$146,MATCH($A20,'Eurostat EB TJ GWh'!$A$2:$A$146,0),MATCH(Z$3,'Eurostat EB TJ GWh'!$A$2:$BV$2,0))</f>
        <v>13257.311</v>
      </c>
      <c r="AA20" s="57">
        <f>INDEX('Eurostat EB TJ GWh'!$A$2:$BV$146,MATCH($A20,'Eurostat EB TJ GWh'!$A$2:$A$146,0),MATCH(AA$3,'Eurostat EB TJ GWh'!$A$2:$BV$2,0))</f>
        <v>0</v>
      </c>
      <c r="AB20" s="57">
        <f>INDEX('Eurostat EB TJ GWh'!$A$2:$BV$146,MATCH($A20,'Eurostat EB TJ GWh'!$A$2:$A$146,0),MATCH(AB$3,'Eurostat EB TJ GWh'!$A$2:$BV$2,0))</f>
        <v>0</v>
      </c>
      <c r="AC20" s="57">
        <f>INDEX('Eurostat EB TJ GWh'!$A$2:$BV$146,MATCH($A20,'Eurostat EB TJ GWh'!$A$2:$A$146,0),MATCH(AC$3,'Eurostat EB TJ GWh'!$A$2:$BV$2,0))</f>
        <v>0</v>
      </c>
      <c r="AD20" s="57">
        <f>INDEX('Eurostat EB TJ GWh'!$A$2:$BV$146,MATCH($A20,'Eurostat EB TJ GWh'!$A$2:$A$146,0),MATCH(AD$3,'Eurostat EB TJ GWh'!$A$2:$BV$2,0))</f>
        <v>0</v>
      </c>
      <c r="AE20" s="57">
        <f>INDEX('Eurostat EB TJ GWh'!$A$2:$BV$146,MATCH($A20,'Eurostat EB TJ GWh'!$A$2:$A$146,0),MATCH(AE$3,'Eurostat EB TJ GWh'!$A$2:$BV$2,0))</f>
        <v>0</v>
      </c>
      <c r="AF20" s="57">
        <f>INDEX('Eurostat EB TJ GWh'!$A$2:$BV$146,MATCH($A20,'Eurostat EB TJ GWh'!$A$2:$A$146,0),MATCH(AF$3,'Eurostat EB TJ GWh'!$A$2:$BV$2,0))</f>
        <v>0</v>
      </c>
      <c r="AG20" s="57">
        <f>INDEX('Eurostat EB TJ GWh'!$A$2:$BV$146,MATCH($A20,'Eurostat EB TJ GWh'!$A$2:$A$146,0),MATCH(AG$3,'Eurostat EB TJ GWh'!$A$2:$BV$2,0))</f>
        <v>0</v>
      </c>
      <c r="AH20" s="57">
        <f>INDEX('Eurostat EB TJ GWh'!$A$2:$BV$146,MATCH($A20,'Eurostat EB TJ GWh'!$A$2:$A$146,0),MATCH(AH$3,'Eurostat EB TJ GWh'!$A$2:$BV$2,0))</f>
        <v>149.56800000000001</v>
      </c>
      <c r="AI20" s="57">
        <f>INDEX('Eurostat EB TJ GWh'!$A$2:$BV$146,MATCH($A20,'Eurostat EB TJ GWh'!$A$2:$A$146,0),MATCH(AI$3,'Eurostat EB TJ GWh'!$A$2:$BV$2,0))</f>
        <v>0</v>
      </c>
      <c r="AJ20" s="57">
        <f>INDEX('Eurostat EB TJ GWh'!$A$2:$BV$146,MATCH($A20,'Eurostat EB TJ GWh'!$A$2:$A$146,0),MATCH(AJ$3,'Eurostat EB TJ GWh'!$A$2:$BV$2,0))</f>
        <v>0</v>
      </c>
      <c r="AK20" s="57">
        <f>INDEX('Eurostat EB TJ GWh'!$A$2:$BV$146,MATCH($A20,'Eurostat EB TJ GWh'!$A$2:$A$146,0),MATCH(AK$3,'Eurostat EB TJ GWh'!$A$2:$BV$2,0))</f>
        <v>0</v>
      </c>
      <c r="AL20" s="57">
        <f>INDEX('Eurostat EB TJ GWh'!$A$2:$BV$146,MATCH($A20,'Eurostat EB TJ GWh'!$A$2:$A$146,0),MATCH(AL$3,'Eurostat EB TJ GWh'!$A$2:$BV$2,0))</f>
        <v>0</v>
      </c>
      <c r="AM20" s="57">
        <f>INDEX('Eurostat EB TJ GWh'!$A$2:$BV$146,MATCH($A20,'Eurostat EB TJ GWh'!$A$2:$A$146,0),MATCH(AM$3,'Eurostat EB TJ GWh'!$A$2:$BV$2,0))</f>
        <v>0</v>
      </c>
      <c r="AN20" s="57">
        <f>INDEX('Eurostat EB TJ GWh'!$A$2:$BV$146,MATCH($A20,'Eurostat EB TJ GWh'!$A$2:$A$146,0),MATCH(AN$3,'Eurostat EB TJ GWh'!$A$2:$BV$2,0))</f>
        <v>0</v>
      </c>
      <c r="AO20" s="57">
        <f>INDEX('Eurostat EB TJ GWh'!$A$2:$BV$146,MATCH($A20,'Eurostat EB TJ GWh'!$A$2:$A$146,0),MATCH(AO$3,'Eurostat EB TJ GWh'!$A$2:$BV$2,0))</f>
        <v>0</v>
      </c>
      <c r="AP20" s="57">
        <f>INDEX('Eurostat EB TJ GWh'!$A$2:$BV$146,MATCH($A20,'Eurostat EB TJ GWh'!$A$2:$A$146,0),MATCH(AP$3,'Eurostat EB TJ GWh'!$A$2:$BV$2,0))</f>
        <v>0</v>
      </c>
      <c r="AQ20" s="57">
        <f>INDEX('Eurostat EB TJ GWh'!$A$2:$BV$146,MATCH($A20,'Eurostat EB TJ GWh'!$A$2:$A$146,0),MATCH(AQ$3,'Eurostat EB TJ GWh'!$A$2:$BV$2,0))</f>
        <v>190.51499999999999</v>
      </c>
      <c r="AR20" s="57">
        <f>INDEX('Eurostat EB TJ GWh'!$A$2:$BV$146,MATCH($A20,'Eurostat EB TJ GWh'!$A$2:$A$146,0),MATCH(AR$3,'Eurostat EB TJ GWh'!$A$2:$BV$2,0))</f>
        <v>35337.54</v>
      </c>
      <c r="AS20" s="57">
        <f>INDEX('Eurostat EB TJ GWh'!$A$2:$BV$146,MATCH($A20,'Eurostat EB TJ GWh'!$A$2:$A$146,0),MATCH(AS$3,'Eurostat EB TJ GWh'!$A$2:$BV$2,0))</f>
        <v>31337.062999999998</v>
      </c>
      <c r="AT20" s="57">
        <f>INDEX('Eurostat EB TJ GWh'!$A$2:$BV$146,MATCH($A20,'Eurostat EB TJ GWh'!$A$2:$A$146,0),MATCH(AT$3,'Eurostat EB TJ GWh'!$A$2:$BV$2,0))</f>
        <v>11165.546</v>
      </c>
      <c r="AU20" s="57">
        <f>INDEX('Eurostat EB TJ GWh'!$A$2:$BV$146,MATCH($A20,'Eurostat EB TJ GWh'!$A$2:$A$146,0),MATCH(AU$3,'Eurostat EB TJ GWh'!$A$2:$BV$2,0))</f>
        <v>3990.4960000000001</v>
      </c>
      <c r="AV20" s="57">
        <f>INDEX('Eurostat EB TJ GWh'!$A$2:$BV$146,MATCH($A20,'Eurostat EB TJ GWh'!$A$2:$A$146,0),MATCH(AV$2,'Eurostat EB TJ GWh'!$A$2:$BV$2,0))+INDEX('Eurostat EB TJ GWh'!$A$2:$BV$146,MATCH($A20,'Eurostat EB TJ GWh'!$A$2:$A$146,0),MATCH(AV$3,'Eurostat EB TJ GWh'!$A$2:$BV$2,0))</f>
        <v>0</v>
      </c>
      <c r="AW20" s="57">
        <f>INDEX('Eurostat EB TJ GWh'!$A$2:$BV$146,MATCH($A20,'Eurostat EB TJ GWh'!$A$2:$A$146,0),MATCH(AW$2,'Eurostat EB TJ GWh'!$A$2:$BV$2,0))+INDEX('Eurostat EB TJ GWh'!$A$2:$BV$146,MATCH($A20,'Eurostat EB TJ GWh'!$A$2:$A$146,0),MATCH(AW$3,'Eurostat EB TJ GWh'!$A$2:$BV$2,0))</f>
        <v>0</v>
      </c>
      <c r="AX20" s="57">
        <f>INDEX('Eurostat EB TJ GWh'!$A$2:$BV$146,MATCH($A20,'Eurostat EB TJ GWh'!$A$2:$A$146,0),MATCH(AX$3,'Eurostat EB TJ GWh'!$A$2:$BV$2,0))</f>
        <v>0</v>
      </c>
      <c r="AY20" s="65">
        <v>0</v>
      </c>
      <c r="AZ20" s="57">
        <f>INDEX('Eurostat EB TJ GWh'!$A$2:$BV$146,MATCH($A20,'Eurostat EB TJ GWh'!$A$2:$A$146,0),MATCH(AZ$3,'Eurostat EB TJ GWh'!$A$2:$BV$2,0))</f>
        <v>0</v>
      </c>
      <c r="BA20" s="65">
        <v>0</v>
      </c>
      <c r="BB20" s="65">
        <v>0</v>
      </c>
      <c r="BC20" s="57">
        <f>INDEX('Eurostat EB TJ GWh'!$A$2:$BV$146,MATCH($A20,'Eurostat EB TJ GWh'!$A$2:$A$146,0),MATCH(BC$3,'Eurostat EB TJ GWh'!$A$2:$BV$2,0))</f>
        <v>0</v>
      </c>
      <c r="BD20" s="57">
        <f>INDEX('Eurostat EB TJ GWh'!$A$2:$BV$146,MATCH($A20,'Eurostat EB TJ GWh'!$A$2:$A$146,0),MATCH(BD$3,'Eurostat EB TJ GWh'!$A$2:$BV$2,0))</f>
        <v>0</v>
      </c>
      <c r="BE20" s="57">
        <f>INDEX('Eurostat EB TJ GWh'!$A$2:$BV$146,MATCH($A20,'Eurostat EB TJ GWh'!$A$2:$A$146,0),MATCH(BE$3,'Eurostat EB TJ GWh'!$A$2:$BV$2,0))</f>
        <v>0</v>
      </c>
      <c r="BF20" s="57">
        <f>INDEX('Eurostat EB TJ GWh'!$A$2:$BV$146,MATCH($A20,'Eurostat EB TJ GWh'!$A$2:$A$146,0),MATCH(BF$3,'Eurostat EB TJ GWh'!$A$2:$BV$2,0))</f>
        <v>0</v>
      </c>
      <c r="BG20" s="57">
        <f>INDEX('Eurostat EB TJ GWh'!$A$2:$BV$146,MATCH($A20,'Eurostat EB TJ GWh'!$A$2:$A$146,0),MATCH(BG$3,'Eurostat EB TJ GWh'!$A$2:$BV$2,0))</f>
        <v>0</v>
      </c>
      <c r="BH20" s="57">
        <f>INDEX('Eurostat EB TJ GWh'!$A$2:$BV$146,MATCH($A20,'Eurostat EB TJ GWh'!$A$2:$A$146,0),MATCH(BH$3,'Eurostat EB TJ GWh'!$A$2:$BV$2,0))</f>
        <v>0</v>
      </c>
      <c r="BI20" s="57">
        <f>INDEX('Eurostat EB TJ GWh'!$A$2:$BV$146,MATCH($A20,'Eurostat EB TJ GWh'!$A$2:$A$146,0),MATCH(BI$3,'Eurostat EB TJ GWh'!$A$2:$BV$2,0))</f>
        <v>0</v>
      </c>
      <c r="BJ20" s="65">
        <v>0</v>
      </c>
      <c r="BK20" s="57">
        <f>INDEX('Eurostat EB TJ GWh'!$A$2:$BV$146,MATCH($A20,'Eurostat EB TJ GWh'!$A$2:$A$146,0),MATCH(BK$3,'Eurostat EB TJ GWh'!$A$2:$BV$2,0))</f>
        <v>0</v>
      </c>
      <c r="BL20" s="57">
        <f>INDEX('Eurostat EB TJ GWh'!$A$2:$BV$146,MATCH($A20,'Eurostat EB TJ GWh'!$A$2:$A$146,0),MATCH(BL$3,'Eurostat EB TJ GWh'!$A$2:$BV$2,0))</f>
        <v>0</v>
      </c>
      <c r="BM20" s="57">
        <f>INDEX('Eurostat EB TJ GWh'!$A$2:$BV$146,MATCH($A20,'Eurostat EB TJ GWh'!$A$2:$A$146,0),MATCH(BM$3,'Eurostat EB TJ GWh'!$A$2:$BV$2,0))</f>
        <v>175821.42199999999</v>
      </c>
      <c r="BN20" s="57">
        <f>INDEX('Eurostat EB TJ GWh'!$A$2:$BV$146,MATCH($A20,'Eurostat EB TJ GWh'!$A$2:$A$146,0),MATCH(BN$3,'Eurostat EB TJ GWh'!$A$2:$BV$2,0))</f>
        <v>51308.853999999999</v>
      </c>
    </row>
    <row r="21" spans="1:66" x14ac:dyDescent="0.2">
      <c r="A21" s="56" t="s">
        <v>211</v>
      </c>
      <c r="B21" s="65" t="s">
        <v>323</v>
      </c>
      <c r="C21" s="65" t="s">
        <v>323</v>
      </c>
      <c r="D21" s="17">
        <f>INDEX('Eurostat EB TJ GWh'!$A$2:$BV$146,MATCH($A21,'Eurostat EB TJ GWh'!$A$2:$A$146,0),MATCH(D$3,'Eurostat EB TJ GWh'!$A$2:$BV$2,0))</f>
        <v>0</v>
      </c>
      <c r="E21" s="17">
        <f>INDEX('Eurostat EB TJ GWh'!$A$2:$BV$146,MATCH($A21,'Eurostat EB TJ GWh'!$A$2:$A$146,0),MATCH(E$3,'Eurostat EB TJ GWh'!$A$2:$BV$2,0))</f>
        <v>0</v>
      </c>
      <c r="F21" s="17">
        <f>INDEX('Eurostat EB TJ GWh'!$A$2:$BV$146,MATCH($A21,'Eurostat EB TJ GWh'!$A$2:$A$146,0),MATCH(F$3,'Eurostat EB TJ GWh'!$A$2:$BV$2,0))</f>
        <v>0</v>
      </c>
      <c r="G21" s="17">
        <f>INDEX('Eurostat EB TJ GWh'!$A$2:$BV$146,MATCH($A21,'Eurostat EB TJ GWh'!$A$2:$A$146,0),MATCH(G$3,'Eurostat EB TJ GWh'!$A$2:$BV$2,0))</f>
        <v>0</v>
      </c>
      <c r="H21" s="17">
        <f>INDEX('Eurostat EB TJ GWh'!$A$2:$BV$146,MATCH($A21,'Eurostat EB TJ GWh'!$A$2:$A$146,0),MATCH(H$3,'Eurostat EB TJ GWh'!$A$2:$BV$2,0))</f>
        <v>0</v>
      </c>
      <c r="I21" s="17">
        <f>INDEX('Eurostat EB TJ GWh'!$A$2:$BV$146,MATCH($A21,'Eurostat EB TJ GWh'!$A$2:$A$146,0),MATCH(I$3,'Eurostat EB TJ GWh'!$A$2:$BV$2,0))</f>
        <v>0</v>
      </c>
      <c r="J21" s="17">
        <f>INDEX('Eurostat EB TJ GWh'!$A$2:$BV$146,MATCH($A21,'Eurostat EB TJ GWh'!$A$2:$A$146,0),MATCH(J$3,'Eurostat EB TJ GWh'!$A$2:$BV$2,0))</f>
        <v>0</v>
      </c>
      <c r="K21" s="17">
        <f>INDEX('Eurostat EB TJ GWh'!$A$2:$BV$146,MATCH($A21,'Eurostat EB TJ GWh'!$A$2:$A$146,0),MATCH(K$3,'Eurostat EB TJ GWh'!$A$2:$BV$2,0))</f>
        <v>0</v>
      </c>
      <c r="L21" s="17">
        <f>INDEX('Eurostat EB TJ GWh'!$A$2:$BV$146,MATCH($A21,'Eurostat EB TJ GWh'!$A$2:$A$146,0),MATCH(L$3,'Eurostat EB TJ GWh'!$A$2:$BV$2,0))</f>
        <v>0</v>
      </c>
      <c r="M21" s="17">
        <f>INDEX('Eurostat EB TJ GWh'!$A$2:$BV$146,MATCH($A21,'Eurostat EB TJ GWh'!$A$2:$A$146,0),MATCH(M$3,'Eurostat EB TJ GWh'!$A$2:$BV$2,0))</f>
        <v>0</v>
      </c>
      <c r="N21" s="17">
        <f>INDEX('Eurostat EB TJ GWh'!$A$2:$BV$146,MATCH($A21,'Eurostat EB TJ GWh'!$A$2:$A$146,0),MATCH(N$3,'Eurostat EB TJ GWh'!$A$2:$BV$2,0))</f>
        <v>0</v>
      </c>
      <c r="O21" s="17">
        <f>INDEX('Eurostat EB TJ GWh'!$A$2:$BV$146,MATCH($A21,'Eurostat EB TJ GWh'!$A$2:$A$146,0),MATCH(O$3,'Eurostat EB TJ GWh'!$A$2:$BV$2,0))</f>
        <v>0</v>
      </c>
      <c r="P21" s="17">
        <f>INDEX('Eurostat EB TJ GWh'!$A$2:$BV$146,MATCH($A21,'Eurostat EB TJ GWh'!$A$2:$A$146,0),MATCH(P$3,'Eurostat EB TJ GWh'!$A$2:$BV$2,0))</f>
        <v>0</v>
      </c>
      <c r="Q21" s="17">
        <f>INDEX('Eurostat EB TJ GWh'!$A$2:$BV$146,MATCH($A21,'Eurostat EB TJ GWh'!$A$2:$A$146,0),MATCH(Q$3,'Eurostat EB TJ GWh'!$A$2:$BV$2,0))</f>
        <v>0</v>
      </c>
      <c r="R21" s="17">
        <f>INDEX('Eurostat EB TJ GWh'!$A$2:$BV$146,MATCH($A21,'Eurostat EB TJ GWh'!$A$2:$A$146,0),MATCH(R$2,'Eurostat EB TJ GWh'!$A$2:$BV$2,0))+INDEX('Eurostat EB TJ GWh'!$A$2:$BV$146,MATCH($A21,'Eurostat EB TJ GWh'!$A$2:$A$146,0),MATCH(R$3,'Eurostat EB TJ GWh'!$A$2:$BV$2,0))</f>
        <v>0</v>
      </c>
      <c r="S21" s="17">
        <f>INDEX('Eurostat EB TJ GWh'!$A$2:$BV$146,MATCH($A21,'Eurostat EB TJ GWh'!$A$2:$A$146,0),MATCH(S$3,'Eurostat EB TJ GWh'!$A$2:$BV$2,0))</f>
        <v>2418.933</v>
      </c>
      <c r="T21" s="65" t="s">
        <v>323</v>
      </c>
      <c r="U21" s="17">
        <f>INDEX('Eurostat EB TJ GWh'!$A$2:$BV$146,MATCH($A21,'Eurostat EB TJ GWh'!$A$2:$A$146,0),MATCH(U$3,'Eurostat EB TJ GWh'!$A$2:$BV$2,0))</f>
        <v>0</v>
      </c>
      <c r="V21" s="17">
        <f>INDEX('Eurostat EB TJ GWh'!$A$2:$BV$146,MATCH($A21,'Eurostat EB TJ GWh'!$A$2:$A$146,0),MATCH(V$3,'Eurostat EB TJ GWh'!$A$2:$BV$2,0))</f>
        <v>0</v>
      </c>
      <c r="W21" s="17">
        <f>INDEX('Eurostat EB TJ GWh'!$A$2:$BV$146,MATCH($A21,'Eurostat EB TJ GWh'!$A$2:$A$146,0),MATCH(W$3,'Eurostat EB TJ GWh'!$A$2:$BV$2,0))</f>
        <v>0</v>
      </c>
      <c r="X21" s="17">
        <f>INDEX('Eurostat EB TJ GWh'!$A$2:$BV$146,MATCH($A21,'Eurostat EB TJ GWh'!$A$2:$A$146,0),MATCH(X$3,'Eurostat EB TJ GWh'!$A$2:$BV$2,0))</f>
        <v>0</v>
      </c>
      <c r="Y21" s="17">
        <f>INDEX('Eurostat EB TJ GWh'!$A$2:$BV$146,MATCH($A21,'Eurostat EB TJ GWh'!$A$2:$A$146,0),MATCH(Y$3,'Eurostat EB TJ GWh'!$A$2:$BV$2,0))</f>
        <v>0</v>
      </c>
      <c r="Z21" s="17">
        <f>INDEX('Eurostat EB TJ GWh'!$A$2:$BV$146,MATCH($A21,'Eurostat EB TJ GWh'!$A$2:$A$146,0),MATCH(Z$3,'Eurostat EB TJ GWh'!$A$2:$BV$2,0))</f>
        <v>760.697</v>
      </c>
      <c r="AA21" s="17">
        <f>INDEX('Eurostat EB TJ GWh'!$A$2:$BV$146,MATCH($A21,'Eurostat EB TJ GWh'!$A$2:$A$146,0),MATCH(AA$3,'Eurostat EB TJ GWh'!$A$2:$BV$2,0))</f>
        <v>0</v>
      </c>
      <c r="AB21" s="17">
        <f>INDEX('Eurostat EB TJ GWh'!$A$2:$BV$146,MATCH($A21,'Eurostat EB TJ GWh'!$A$2:$A$146,0),MATCH(AB$3,'Eurostat EB TJ GWh'!$A$2:$BV$2,0))</f>
        <v>0</v>
      </c>
      <c r="AC21" s="17">
        <f>INDEX('Eurostat EB TJ GWh'!$A$2:$BV$146,MATCH($A21,'Eurostat EB TJ GWh'!$A$2:$A$146,0),MATCH(AC$3,'Eurostat EB TJ GWh'!$A$2:$BV$2,0))</f>
        <v>0</v>
      </c>
      <c r="AD21" s="17">
        <f>INDEX('Eurostat EB TJ GWh'!$A$2:$BV$146,MATCH($A21,'Eurostat EB TJ GWh'!$A$2:$A$146,0),MATCH(AD$3,'Eurostat EB TJ GWh'!$A$2:$BV$2,0))</f>
        <v>0</v>
      </c>
      <c r="AE21" s="17">
        <f>INDEX('Eurostat EB TJ GWh'!$A$2:$BV$146,MATCH($A21,'Eurostat EB TJ GWh'!$A$2:$A$146,0),MATCH(AE$3,'Eurostat EB TJ GWh'!$A$2:$BV$2,0))</f>
        <v>0</v>
      </c>
      <c r="AF21" s="17">
        <f>INDEX('Eurostat EB TJ GWh'!$A$2:$BV$146,MATCH($A21,'Eurostat EB TJ GWh'!$A$2:$A$146,0),MATCH(AF$3,'Eurostat EB TJ GWh'!$A$2:$BV$2,0))</f>
        <v>0</v>
      </c>
      <c r="AG21" s="17">
        <f>INDEX('Eurostat EB TJ GWh'!$A$2:$BV$146,MATCH($A21,'Eurostat EB TJ GWh'!$A$2:$A$146,0),MATCH(AG$3,'Eurostat EB TJ GWh'!$A$2:$BV$2,0))</f>
        <v>0</v>
      </c>
      <c r="AH21" s="17">
        <f>INDEX('Eurostat EB TJ GWh'!$A$2:$BV$146,MATCH($A21,'Eurostat EB TJ GWh'!$A$2:$A$146,0),MATCH(AH$3,'Eurostat EB TJ GWh'!$A$2:$BV$2,0))</f>
        <v>0</v>
      </c>
      <c r="AI21" s="17">
        <f>INDEX('Eurostat EB TJ GWh'!$A$2:$BV$146,MATCH($A21,'Eurostat EB TJ GWh'!$A$2:$A$146,0),MATCH(AI$3,'Eurostat EB TJ GWh'!$A$2:$BV$2,0))</f>
        <v>0</v>
      </c>
      <c r="AJ21" s="17">
        <f>INDEX('Eurostat EB TJ GWh'!$A$2:$BV$146,MATCH($A21,'Eurostat EB TJ GWh'!$A$2:$A$146,0),MATCH(AJ$3,'Eurostat EB TJ GWh'!$A$2:$BV$2,0))</f>
        <v>0</v>
      </c>
      <c r="AK21" s="17">
        <f>INDEX('Eurostat EB TJ GWh'!$A$2:$BV$146,MATCH($A21,'Eurostat EB TJ GWh'!$A$2:$A$146,0),MATCH(AK$3,'Eurostat EB TJ GWh'!$A$2:$BV$2,0))</f>
        <v>0</v>
      </c>
      <c r="AL21" s="17">
        <f>INDEX('Eurostat EB TJ GWh'!$A$2:$BV$146,MATCH($A21,'Eurostat EB TJ GWh'!$A$2:$A$146,0),MATCH(AL$3,'Eurostat EB TJ GWh'!$A$2:$BV$2,0))</f>
        <v>0</v>
      </c>
      <c r="AM21" s="17">
        <f>INDEX('Eurostat EB TJ GWh'!$A$2:$BV$146,MATCH($A21,'Eurostat EB TJ GWh'!$A$2:$A$146,0),MATCH(AM$3,'Eurostat EB TJ GWh'!$A$2:$BV$2,0))</f>
        <v>0</v>
      </c>
      <c r="AN21" s="17">
        <f>INDEX('Eurostat EB TJ GWh'!$A$2:$BV$146,MATCH($A21,'Eurostat EB TJ GWh'!$A$2:$A$146,0),MATCH(AN$3,'Eurostat EB TJ GWh'!$A$2:$BV$2,0))</f>
        <v>0</v>
      </c>
      <c r="AO21" s="17">
        <f>INDEX('Eurostat EB TJ GWh'!$A$2:$BV$146,MATCH($A21,'Eurostat EB TJ GWh'!$A$2:$A$146,0),MATCH(AO$3,'Eurostat EB TJ GWh'!$A$2:$BV$2,0))</f>
        <v>0</v>
      </c>
      <c r="AP21" s="17">
        <f>INDEX('Eurostat EB TJ GWh'!$A$2:$BV$146,MATCH($A21,'Eurostat EB TJ GWh'!$A$2:$A$146,0),MATCH(AP$3,'Eurostat EB TJ GWh'!$A$2:$BV$2,0))</f>
        <v>0</v>
      </c>
      <c r="AQ21" s="17">
        <f>INDEX('Eurostat EB TJ GWh'!$A$2:$BV$146,MATCH($A21,'Eurostat EB TJ GWh'!$A$2:$A$146,0),MATCH(AQ$3,'Eurostat EB TJ GWh'!$A$2:$BV$2,0))</f>
        <v>784.976</v>
      </c>
      <c r="AR21" s="17">
        <f>INDEX('Eurostat EB TJ GWh'!$A$2:$BV$146,MATCH($A21,'Eurostat EB TJ GWh'!$A$2:$A$146,0),MATCH(AR$3,'Eurostat EB TJ GWh'!$A$2:$BV$2,0))</f>
        <v>0</v>
      </c>
      <c r="AS21" s="17">
        <f>INDEX('Eurostat EB TJ GWh'!$A$2:$BV$146,MATCH($A21,'Eurostat EB TJ GWh'!$A$2:$A$146,0),MATCH(AS$3,'Eurostat EB TJ GWh'!$A$2:$BV$2,0))</f>
        <v>0</v>
      </c>
      <c r="AT21" s="17">
        <f>INDEX('Eurostat EB TJ GWh'!$A$2:$BV$146,MATCH($A21,'Eurostat EB TJ GWh'!$A$2:$A$146,0),MATCH(AT$3,'Eurostat EB TJ GWh'!$A$2:$BV$2,0))</f>
        <v>4.6440000000000001</v>
      </c>
      <c r="AU21" s="17">
        <f>INDEX('Eurostat EB TJ GWh'!$A$2:$BV$146,MATCH($A21,'Eurostat EB TJ GWh'!$A$2:$A$146,0),MATCH(AU$3,'Eurostat EB TJ GWh'!$A$2:$BV$2,0))</f>
        <v>0.379</v>
      </c>
      <c r="AV21" s="17">
        <f>INDEX('Eurostat EB TJ GWh'!$A$2:$BV$146,MATCH($A21,'Eurostat EB TJ GWh'!$A$2:$A$146,0),MATCH(AV$2,'Eurostat EB TJ GWh'!$A$2:$BV$2,0))+INDEX('Eurostat EB TJ GWh'!$A$2:$BV$146,MATCH($A21,'Eurostat EB TJ GWh'!$A$2:$A$146,0),MATCH(AV$3,'Eurostat EB TJ GWh'!$A$2:$BV$2,0))</f>
        <v>0</v>
      </c>
      <c r="AW21" s="17">
        <f>INDEX('Eurostat EB TJ GWh'!$A$2:$BV$146,MATCH($A21,'Eurostat EB TJ GWh'!$A$2:$A$146,0),MATCH(AW$2,'Eurostat EB TJ GWh'!$A$2:$BV$2,0))+INDEX('Eurostat EB TJ GWh'!$A$2:$BV$146,MATCH($A21,'Eurostat EB TJ GWh'!$A$2:$A$146,0),MATCH(AW$3,'Eurostat EB TJ GWh'!$A$2:$BV$2,0))</f>
        <v>0</v>
      </c>
      <c r="AX21" s="17">
        <f>INDEX('Eurostat EB TJ GWh'!$A$2:$BV$146,MATCH($A21,'Eurostat EB TJ GWh'!$A$2:$A$146,0),MATCH(AX$3,'Eurostat EB TJ GWh'!$A$2:$BV$2,0))</f>
        <v>0</v>
      </c>
      <c r="AY21" s="72">
        <v>0</v>
      </c>
      <c r="AZ21" s="17">
        <f>INDEX('Eurostat EB TJ GWh'!$A$2:$BV$146,MATCH($A21,'Eurostat EB TJ GWh'!$A$2:$A$146,0),MATCH(AZ$3,'Eurostat EB TJ GWh'!$A$2:$BV$2,0))</f>
        <v>0</v>
      </c>
      <c r="BA21" s="72">
        <v>0</v>
      </c>
      <c r="BB21" s="72">
        <v>0</v>
      </c>
      <c r="BC21" s="17">
        <f>INDEX('Eurostat EB TJ GWh'!$A$2:$BV$146,MATCH($A21,'Eurostat EB TJ GWh'!$A$2:$A$146,0),MATCH(BC$3,'Eurostat EB TJ GWh'!$A$2:$BV$2,0))</f>
        <v>0</v>
      </c>
      <c r="BD21" s="17">
        <f>INDEX('Eurostat EB TJ GWh'!$A$2:$BV$146,MATCH($A21,'Eurostat EB TJ GWh'!$A$2:$A$146,0),MATCH(BD$3,'Eurostat EB TJ GWh'!$A$2:$BV$2,0))</f>
        <v>0</v>
      </c>
      <c r="BE21" s="17">
        <f>INDEX('Eurostat EB TJ GWh'!$A$2:$BV$146,MATCH($A21,'Eurostat EB TJ GWh'!$A$2:$A$146,0),MATCH(BE$3,'Eurostat EB TJ GWh'!$A$2:$BV$2,0))</f>
        <v>0</v>
      </c>
      <c r="BF21" s="17">
        <f>INDEX('Eurostat EB TJ GWh'!$A$2:$BV$146,MATCH($A21,'Eurostat EB TJ GWh'!$A$2:$A$146,0),MATCH(BF$3,'Eurostat EB TJ GWh'!$A$2:$BV$2,0))</f>
        <v>0</v>
      </c>
      <c r="BG21" s="17">
        <f>INDEX('Eurostat EB TJ GWh'!$A$2:$BV$146,MATCH($A21,'Eurostat EB TJ GWh'!$A$2:$A$146,0),MATCH(BG$3,'Eurostat EB TJ GWh'!$A$2:$BV$2,0))</f>
        <v>0</v>
      </c>
      <c r="BH21" s="17">
        <f>INDEX('Eurostat EB TJ GWh'!$A$2:$BV$146,MATCH($A21,'Eurostat EB TJ GWh'!$A$2:$A$146,0),MATCH(BH$3,'Eurostat EB TJ GWh'!$A$2:$BV$2,0))</f>
        <v>0</v>
      </c>
      <c r="BI21" s="17">
        <f>INDEX('Eurostat EB TJ GWh'!$A$2:$BV$146,MATCH($A21,'Eurostat EB TJ GWh'!$A$2:$A$146,0),MATCH(BI$3,'Eurostat EB TJ GWh'!$A$2:$BV$2,0))</f>
        <v>0</v>
      </c>
      <c r="BJ21" s="72">
        <v>0</v>
      </c>
      <c r="BK21" s="17">
        <f>INDEX('Eurostat EB TJ GWh'!$A$2:$BV$146,MATCH($A21,'Eurostat EB TJ GWh'!$A$2:$A$146,0),MATCH(BK$3,'Eurostat EB TJ GWh'!$A$2:$BV$2,0))</f>
        <v>0</v>
      </c>
      <c r="BL21" s="17">
        <f>INDEX('Eurostat EB TJ GWh'!$A$2:$BV$146,MATCH($A21,'Eurostat EB TJ GWh'!$A$2:$A$146,0),MATCH(BL$3,'Eurostat EB TJ GWh'!$A$2:$BV$2,0))</f>
        <v>8031.1109999999999</v>
      </c>
      <c r="BM21" s="17">
        <f>INDEX('Eurostat EB TJ GWh'!$A$2:$BV$146,MATCH($A21,'Eurostat EB TJ GWh'!$A$2:$A$146,0),MATCH(BM$3,'Eurostat EB TJ GWh'!$A$2:$BV$2,0))</f>
        <v>12000.74</v>
      </c>
      <c r="BN21" s="17">
        <f>INDEX('Eurostat EB TJ GWh'!$A$2:$BV$146,MATCH($A21,'Eurostat EB TJ GWh'!$A$2:$A$146,0),MATCH(BN$3,'Eurostat EB TJ GWh'!$A$2:$BV$2,0))</f>
        <v>1792.7840000000001</v>
      </c>
    </row>
    <row r="22" spans="1:66" x14ac:dyDescent="0.2">
      <c r="A22" s="56" t="s">
        <v>212</v>
      </c>
      <c r="B22" s="65" t="s">
        <v>323</v>
      </c>
      <c r="C22" s="65" t="s">
        <v>323</v>
      </c>
      <c r="D22" s="57">
        <f>INDEX('Eurostat EB TJ GWh'!$A$2:$BV$146,MATCH($A22,'Eurostat EB TJ GWh'!$A$2:$A$146,0),MATCH(D$3,'Eurostat EB TJ GWh'!$A$2:$BV$2,0))</f>
        <v>0</v>
      </c>
      <c r="E22" s="57">
        <f>INDEX('Eurostat EB TJ GWh'!$A$2:$BV$146,MATCH($A22,'Eurostat EB TJ GWh'!$A$2:$A$146,0),MATCH(E$3,'Eurostat EB TJ GWh'!$A$2:$BV$2,0))</f>
        <v>0</v>
      </c>
      <c r="F22" s="57">
        <f>INDEX('Eurostat EB TJ GWh'!$A$2:$BV$146,MATCH($A22,'Eurostat EB TJ GWh'!$A$2:$A$146,0),MATCH(F$3,'Eurostat EB TJ GWh'!$A$2:$BV$2,0))</f>
        <v>0</v>
      </c>
      <c r="G22" s="57">
        <f>INDEX('Eurostat EB TJ GWh'!$A$2:$BV$146,MATCH($A22,'Eurostat EB TJ GWh'!$A$2:$A$146,0),MATCH(G$3,'Eurostat EB TJ GWh'!$A$2:$BV$2,0))</f>
        <v>0</v>
      </c>
      <c r="H22" s="57">
        <f>INDEX('Eurostat EB TJ GWh'!$A$2:$BV$146,MATCH($A22,'Eurostat EB TJ GWh'!$A$2:$A$146,0),MATCH(H$3,'Eurostat EB TJ GWh'!$A$2:$BV$2,0))</f>
        <v>0</v>
      </c>
      <c r="I22" s="57">
        <f>INDEX('Eurostat EB TJ GWh'!$A$2:$BV$146,MATCH($A22,'Eurostat EB TJ GWh'!$A$2:$A$146,0),MATCH(I$3,'Eurostat EB TJ GWh'!$A$2:$BV$2,0))</f>
        <v>0</v>
      </c>
      <c r="J22" s="57">
        <f>INDEX('Eurostat EB TJ GWh'!$A$2:$BV$146,MATCH($A22,'Eurostat EB TJ GWh'!$A$2:$A$146,0),MATCH(J$3,'Eurostat EB TJ GWh'!$A$2:$BV$2,0))</f>
        <v>0</v>
      </c>
      <c r="K22" s="57">
        <f>INDEX('Eurostat EB TJ GWh'!$A$2:$BV$146,MATCH($A22,'Eurostat EB TJ GWh'!$A$2:$A$146,0),MATCH(K$3,'Eurostat EB TJ GWh'!$A$2:$BV$2,0))</f>
        <v>0</v>
      </c>
      <c r="L22" s="57">
        <f>INDEX('Eurostat EB TJ GWh'!$A$2:$BV$146,MATCH($A22,'Eurostat EB TJ GWh'!$A$2:$A$146,0),MATCH(L$3,'Eurostat EB TJ GWh'!$A$2:$BV$2,0))</f>
        <v>0</v>
      </c>
      <c r="M22" s="57">
        <f>INDEX('Eurostat EB TJ GWh'!$A$2:$BV$146,MATCH($A22,'Eurostat EB TJ GWh'!$A$2:$A$146,0),MATCH(M$3,'Eurostat EB TJ GWh'!$A$2:$BV$2,0))</f>
        <v>0</v>
      </c>
      <c r="N22" s="57">
        <f>INDEX('Eurostat EB TJ GWh'!$A$2:$BV$146,MATCH($A22,'Eurostat EB TJ GWh'!$A$2:$A$146,0),MATCH(N$3,'Eurostat EB TJ GWh'!$A$2:$BV$2,0))</f>
        <v>0</v>
      </c>
      <c r="O22" s="57">
        <f>INDEX('Eurostat EB TJ GWh'!$A$2:$BV$146,MATCH($A22,'Eurostat EB TJ GWh'!$A$2:$A$146,0),MATCH(O$3,'Eurostat EB TJ GWh'!$A$2:$BV$2,0))</f>
        <v>0</v>
      </c>
      <c r="P22" s="57">
        <f>INDEX('Eurostat EB TJ GWh'!$A$2:$BV$146,MATCH($A22,'Eurostat EB TJ GWh'!$A$2:$A$146,0),MATCH(P$3,'Eurostat EB TJ GWh'!$A$2:$BV$2,0))</f>
        <v>0</v>
      </c>
      <c r="Q22" s="57">
        <f>INDEX('Eurostat EB TJ GWh'!$A$2:$BV$146,MATCH($A22,'Eurostat EB TJ GWh'!$A$2:$A$146,0),MATCH(Q$3,'Eurostat EB TJ GWh'!$A$2:$BV$2,0))</f>
        <v>0</v>
      </c>
      <c r="R22" s="57">
        <f>INDEX('Eurostat EB TJ GWh'!$A$2:$BV$146,MATCH($A22,'Eurostat EB TJ GWh'!$A$2:$A$146,0),MATCH(R$2,'Eurostat EB TJ GWh'!$A$2:$BV$2,0))+INDEX('Eurostat EB TJ GWh'!$A$2:$BV$146,MATCH($A22,'Eurostat EB TJ GWh'!$A$2:$A$146,0),MATCH(R$3,'Eurostat EB TJ GWh'!$A$2:$BV$2,0))</f>
        <v>0</v>
      </c>
      <c r="S22" s="57">
        <f>INDEX('Eurostat EB TJ GWh'!$A$2:$BV$146,MATCH($A22,'Eurostat EB TJ GWh'!$A$2:$A$146,0),MATCH(S$3,'Eurostat EB TJ GWh'!$A$2:$BV$2,0))</f>
        <v>0</v>
      </c>
      <c r="T22" s="65" t="s">
        <v>323</v>
      </c>
      <c r="U22" s="57">
        <f>INDEX('Eurostat EB TJ GWh'!$A$2:$BV$146,MATCH($A22,'Eurostat EB TJ GWh'!$A$2:$A$146,0),MATCH(U$3,'Eurostat EB TJ GWh'!$A$2:$BV$2,0))</f>
        <v>0</v>
      </c>
      <c r="V22" s="57">
        <f>INDEX('Eurostat EB TJ GWh'!$A$2:$BV$146,MATCH($A22,'Eurostat EB TJ GWh'!$A$2:$A$146,0),MATCH(V$3,'Eurostat EB TJ GWh'!$A$2:$BV$2,0))</f>
        <v>0</v>
      </c>
      <c r="W22" s="57">
        <f>INDEX('Eurostat EB TJ GWh'!$A$2:$BV$146,MATCH($A22,'Eurostat EB TJ GWh'!$A$2:$A$146,0),MATCH(W$3,'Eurostat EB TJ GWh'!$A$2:$BV$2,0))</f>
        <v>0</v>
      </c>
      <c r="X22" s="57">
        <f>INDEX('Eurostat EB TJ GWh'!$A$2:$BV$146,MATCH($A22,'Eurostat EB TJ GWh'!$A$2:$A$146,0),MATCH(X$3,'Eurostat EB TJ GWh'!$A$2:$BV$2,0))</f>
        <v>0</v>
      </c>
      <c r="Y22" s="57">
        <f>INDEX('Eurostat EB TJ GWh'!$A$2:$BV$146,MATCH($A22,'Eurostat EB TJ GWh'!$A$2:$A$146,0),MATCH(Y$3,'Eurostat EB TJ GWh'!$A$2:$BV$2,0))</f>
        <v>0</v>
      </c>
      <c r="Z22" s="57">
        <f>INDEX('Eurostat EB TJ GWh'!$A$2:$BV$146,MATCH($A22,'Eurostat EB TJ GWh'!$A$2:$A$146,0),MATCH(Z$3,'Eurostat EB TJ GWh'!$A$2:$BV$2,0))</f>
        <v>0</v>
      </c>
      <c r="AA22" s="57">
        <f>INDEX('Eurostat EB TJ GWh'!$A$2:$BV$146,MATCH($A22,'Eurostat EB TJ GWh'!$A$2:$A$146,0),MATCH(AA$3,'Eurostat EB TJ GWh'!$A$2:$BV$2,0))</f>
        <v>0</v>
      </c>
      <c r="AB22" s="57">
        <f>INDEX('Eurostat EB TJ GWh'!$A$2:$BV$146,MATCH($A22,'Eurostat EB TJ GWh'!$A$2:$A$146,0),MATCH(AB$3,'Eurostat EB TJ GWh'!$A$2:$BV$2,0))</f>
        <v>0</v>
      </c>
      <c r="AC22" s="57">
        <f>INDEX('Eurostat EB TJ GWh'!$A$2:$BV$146,MATCH($A22,'Eurostat EB TJ GWh'!$A$2:$A$146,0),MATCH(AC$3,'Eurostat EB TJ GWh'!$A$2:$BV$2,0))</f>
        <v>0</v>
      </c>
      <c r="AD22" s="57">
        <f>INDEX('Eurostat EB TJ GWh'!$A$2:$BV$146,MATCH($A22,'Eurostat EB TJ GWh'!$A$2:$A$146,0),MATCH(AD$3,'Eurostat EB TJ GWh'!$A$2:$BV$2,0))</f>
        <v>0</v>
      </c>
      <c r="AE22" s="57">
        <f>INDEX('Eurostat EB TJ GWh'!$A$2:$BV$146,MATCH($A22,'Eurostat EB TJ GWh'!$A$2:$A$146,0),MATCH(AE$3,'Eurostat EB TJ GWh'!$A$2:$BV$2,0))</f>
        <v>0</v>
      </c>
      <c r="AF22" s="57">
        <f>INDEX('Eurostat EB TJ GWh'!$A$2:$BV$146,MATCH($A22,'Eurostat EB TJ GWh'!$A$2:$A$146,0),MATCH(AF$3,'Eurostat EB TJ GWh'!$A$2:$BV$2,0))</f>
        <v>0</v>
      </c>
      <c r="AG22" s="57">
        <f>INDEX('Eurostat EB TJ GWh'!$A$2:$BV$146,MATCH($A22,'Eurostat EB TJ GWh'!$A$2:$A$146,0),MATCH(AG$3,'Eurostat EB TJ GWh'!$A$2:$BV$2,0))</f>
        <v>0</v>
      </c>
      <c r="AH22" s="57">
        <f>INDEX('Eurostat EB TJ GWh'!$A$2:$BV$146,MATCH($A22,'Eurostat EB TJ GWh'!$A$2:$A$146,0),MATCH(AH$3,'Eurostat EB TJ GWh'!$A$2:$BV$2,0))</f>
        <v>0</v>
      </c>
      <c r="AI22" s="57">
        <f>INDEX('Eurostat EB TJ GWh'!$A$2:$BV$146,MATCH($A22,'Eurostat EB TJ GWh'!$A$2:$A$146,0),MATCH(AI$3,'Eurostat EB TJ GWh'!$A$2:$BV$2,0))</f>
        <v>0</v>
      </c>
      <c r="AJ22" s="57">
        <f>INDEX('Eurostat EB TJ GWh'!$A$2:$BV$146,MATCH($A22,'Eurostat EB TJ GWh'!$A$2:$A$146,0),MATCH(AJ$3,'Eurostat EB TJ GWh'!$A$2:$BV$2,0))</f>
        <v>0</v>
      </c>
      <c r="AK22" s="57">
        <f>INDEX('Eurostat EB TJ GWh'!$A$2:$BV$146,MATCH($A22,'Eurostat EB TJ GWh'!$A$2:$A$146,0),MATCH(AK$3,'Eurostat EB TJ GWh'!$A$2:$BV$2,0))</f>
        <v>0</v>
      </c>
      <c r="AL22" s="57">
        <f>INDEX('Eurostat EB TJ GWh'!$A$2:$BV$146,MATCH($A22,'Eurostat EB TJ GWh'!$A$2:$A$146,0),MATCH(AL$3,'Eurostat EB TJ GWh'!$A$2:$BV$2,0))</f>
        <v>0</v>
      </c>
      <c r="AM22" s="57">
        <f>INDEX('Eurostat EB TJ GWh'!$A$2:$BV$146,MATCH($A22,'Eurostat EB TJ GWh'!$A$2:$A$146,0),MATCH(AM$3,'Eurostat EB TJ GWh'!$A$2:$BV$2,0))</f>
        <v>0</v>
      </c>
      <c r="AN22" s="57">
        <f>INDEX('Eurostat EB TJ GWh'!$A$2:$BV$146,MATCH($A22,'Eurostat EB TJ GWh'!$A$2:$A$146,0),MATCH(AN$3,'Eurostat EB TJ GWh'!$A$2:$BV$2,0))</f>
        <v>0</v>
      </c>
      <c r="AO22" s="57">
        <f>INDEX('Eurostat EB TJ GWh'!$A$2:$BV$146,MATCH($A22,'Eurostat EB TJ GWh'!$A$2:$A$146,0),MATCH(AO$3,'Eurostat EB TJ GWh'!$A$2:$BV$2,0))</f>
        <v>0</v>
      </c>
      <c r="AP22" s="57">
        <f>INDEX('Eurostat EB TJ GWh'!$A$2:$BV$146,MATCH($A22,'Eurostat EB TJ GWh'!$A$2:$A$146,0),MATCH(AP$3,'Eurostat EB TJ GWh'!$A$2:$BV$2,0))</f>
        <v>0</v>
      </c>
      <c r="AQ22" s="57">
        <f>INDEX('Eurostat EB TJ GWh'!$A$2:$BV$146,MATCH($A22,'Eurostat EB TJ GWh'!$A$2:$A$146,0),MATCH(AQ$3,'Eurostat EB TJ GWh'!$A$2:$BV$2,0))</f>
        <v>0</v>
      </c>
      <c r="AR22" s="57">
        <f>INDEX('Eurostat EB TJ GWh'!$A$2:$BV$146,MATCH($A22,'Eurostat EB TJ GWh'!$A$2:$A$146,0),MATCH(AR$3,'Eurostat EB TJ GWh'!$A$2:$BV$2,0))</f>
        <v>0</v>
      </c>
      <c r="AS22" s="57">
        <f>INDEX('Eurostat EB TJ GWh'!$A$2:$BV$146,MATCH($A22,'Eurostat EB TJ GWh'!$A$2:$A$146,0),MATCH(AS$3,'Eurostat EB TJ GWh'!$A$2:$BV$2,0))</f>
        <v>0</v>
      </c>
      <c r="AT22" s="57">
        <f>INDEX('Eurostat EB TJ GWh'!$A$2:$BV$146,MATCH($A22,'Eurostat EB TJ GWh'!$A$2:$A$146,0),MATCH(AT$3,'Eurostat EB TJ GWh'!$A$2:$BV$2,0))</f>
        <v>0</v>
      </c>
      <c r="AU22" s="57">
        <f>INDEX('Eurostat EB TJ GWh'!$A$2:$BV$146,MATCH($A22,'Eurostat EB TJ GWh'!$A$2:$A$146,0),MATCH(AU$3,'Eurostat EB TJ GWh'!$A$2:$BV$2,0))</f>
        <v>0</v>
      </c>
      <c r="AV22" s="57">
        <f>INDEX('Eurostat EB TJ GWh'!$A$2:$BV$146,MATCH($A22,'Eurostat EB TJ GWh'!$A$2:$A$146,0),MATCH(AV$2,'Eurostat EB TJ GWh'!$A$2:$BV$2,0))+INDEX('Eurostat EB TJ GWh'!$A$2:$BV$146,MATCH($A22,'Eurostat EB TJ GWh'!$A$2:$A$146,0),MATCH(AV$3,'Eurostat EB TJ GWh'!$A$2:$BV$2,0))</f>
        <v>0</v>
      </c>
      <c r="AW22" s="57">
        <f>INDEX('Eurostat EB TJ GWh'!$A$2:$BV$146,MATCH($A22,'Eurostat EB TJ GWh'!$A$2:$A$146,0),MATCH(AW$2,'Eurostat EB TJ GWh'!$A$2:$BV$2,0))+INDEX('Eurostat EB TJ GWh'!$A$2:$BV$146,MATCH($A22,'Eurostat EB TJ GWh'!$A$2:$A$146,0),MATCH(AW$3,'Eurostat EB TJ GWh'!$A$2:$BV$2,0))</f>
        <v>0</v>
      </c>
      <c r="AX22" s="57">
        <f>INDEX('Eurostat EB TJ GWh'!$A$2:$BV$146,MATCH($A22,'Eurostat EB TJ GWh'!$A$2:$A$146,0),MATCH(AX$3,'Eurostat EB TJ GWh'!$A$2:$BV$2,0))</f>
        <v>0</v>
      </c>
      <c r="AY22" s="65">
        <v>0</v>
      </c>
      <c r="AZ22" s="57">
        <f>INDEX('Eurostat EB TJ GWh'!$A$2:$BV$146,MATCH($A22,'Eurostat EB TJ GWh'!$A$2:$A$146,0),MATCH(AZ$3,'Eurostat EB TJ GWh'!$A$2:$BV$2,0))</f>
        <v>0</v>
      </c>
      <c r="BA22" s="65">
        <v>0</v>
      </c>
      <c r="BB22" s="65">
        <v>0</v>
      </c>
      <c r="BC22" s="57">
        <f>INDEX('Eurostat EB TJ GWh'!$A$2:$BV$146,MATCH($A22,'Eurostat EB TJ GWh'!$A$2:$A$146,0),MATCH(BC$3,'Eurostat EB TJ GWh'!$A$2:$BV$2,0))</f>
        <v>0</v>
      </c>
      <c r="BD22" s="57">
        <f>INDEX('Eurostat EB TJ GWh'!$A$2:$BV$146,MATCH($A22,'Eurostat EB TJ GWh'!$A$2:$A$146,0),MATCH(BD$3,'Eurostat EB TJ GWh'!$A$2:$BV$2,0))</f>
        <v>0</v>
      </c>
      <c r="BE22" s="57">
        <f>INDEX('Eurostat EB TJ GWh'!$A$2:$BV$146,MATCH($A22,'Eurostat EB TJ GWh'!$A$2:$A$146,0),MATCH(BE$3,'Eurostat EB TJ GWh'!$A$2:$BV$2,0))</f>
        <v>0</v>
      </c>
      <c r="BF22" s="57">
        <f>INDEX('Eurostat EB TJ GWh'!$A$2:$BV$146,MATCH($A22,'Eurostat EB TJ GWh'!$A$2:$A$146,0),MATCH(BF$3,'Eurostat EB TJ GWh'!$A$2:$BV$2,0))</f>
        <v>0</v>
      </c>
      <c r="BG22" s="57">
        <f>INDEX('Eurostat EB TJ GWh'!$A$2:$BV$146,MATCH($A22,'Eurostat EB TJ GWh'!$A$2:$A$146,0),MATCH(BG$3,'Eurostat EB TJ GWh'!$A$2:$BV$2,0))</f>
        <v>0</v>
      </c>
      <c r="BH22" s="57">
        <f>INDEX('Eurostat EB TJ GWh'!$A$2:$BV$146,MATCH($A22,'Eurostat EB TJ GWh'!$A$2:$A$146,0),MATCH(BH$3,'Eurostat EB TJ GWh'!$A$2:$BV$2,0))</f>
        <v>0</v>
      </c>
      <c r="BI22" s="57">
        <f>INDEX('Eurostat EB TJ GWh'!$A$2:$BV$146,MATCH($A22,'Eurostat EB TJ GWh'!$A$2:$A$146,0),MATCH(BI$3,'Eurostat EB TJ GWh'!$A$2:$BV$2,0))</f>
        <v>0</v>
      </c>
      <c r="BJ22" s="65">
        <v>0</v>
      </c>
      <c r="BK22" s="57">
        <f>INDEX('Eurostat EB TJ GWh'!$A$2:$BV$146,MATCH($A22,'Eurostat EB TJ GWh'!$A$2:$A$146,0),MATCH(BK$3,'Eurostat EB TJ GWh'!$A$2:$BV$2,0))</f>
        <v>0</v>
      </c>
      <c r="BL22" s="57">
        <f>INDEX('Eurostat EB TJ GWh'!$A$2:$BV$146,MATCH($A22,'Eurostat EB TJ GWh'!$A$2:$A$146,0),MATCH(BL$3,'Eurostat EB TJ GWh'!$A$2:$BV$2,0))</f>
        <v>0</v>
      </c>
      <c r="BM22" s="57">
        <f>INDEX('Eurostat EB TJ GWh'!$A$2:$BV$146,MATCH($A22,'Eurostat EB TJ GWh'!$A$2:$A$146,0),MATCH(BM$3,'Eurostat EB TJ GWh'!$A$2:$BV$2,0))</f>
        <v>0</v>
      </c>
      <c r="BN22" s="57">
        <f>INDEX('Eurostat EB TJ GWh'!$A$2:$BV$146,MATCH($A22,'Eurostat EB TJ GWh'!$A$2:$A$146,0),MATCH(BN$3,'Eurostat EB TJ GWh'!$A$2:$BV$2,0))</f>
        <v>0</v>
      </c>
    </row>
    <row r="23" spans="1:66" x14ac:dyDescent="0.2">
      <c r="A23" s="56" t="s">
        <v>213</v>
      </c>
      <c r="B23" s="65" t="s">
        <v>323</v>
      </c>
      <c r="C23" s="65" t="s">
        <v>323</v>
      </c>
      <c r="D23" s="17">
        <f>INDEX('Eurostat EB TJ GWh'!$A$2:$BV$146,MATCH($A23,'Eurostat EB TJ GWh'!$A$2:$A$146,0),MATCH(D$3,'Eurostat EB TJ GWh'!$A$2:$BV$2,0))</f>
        <v>0</v>
      </c>
      <c r="E23" s="17">
        <f>INDEX('Eurostat EB TJ GWh'!$A$2:$BV$146,MATCH($A23,'Eurostat EB TJ GWh'!$A$2:$A$146,0),MATCH(E$3,'Eurostat EB TJ GWh'!$A$2:$BV$2,0))</f>
        <v>0</v>
      </c>
      <c r="F23" s="17">
        <f>INDEX('Eurostat EB TJ GWh'!$A$2:$BV$146,MATCH($A23,'Eurostat EB TJ GWh'!$A$2:$A$146,0),MATCH(F$3,'Eurostat EB TJ GWh'!$A$2:$BV$2,0))</f>
        <v>0</v>
      </c>
      <c r="G23" s="17">
        <f>INDEX('Eurostat EB TJ GWh'!$A$2:$BV$146,MATCH($A23,'Eurostat EB TJ GWh'!$A$2:$A$146,0),MATCH(G$3,'Eurostat EB TJ GWh'!$A$2:$BV$2,0))</f>
        <v>0</v>
      </c>
      <c r="H23" s="17">
        <f>INDEX('Eurostat EB TJ GWh'!$A$2:$BV$146,MATCH($A23,'Eurostat EB TJ GWh'!$A$2:$A$146,0),MATCH(H$3,'Eurostat EB TJ GWh'!$A$2:$BV$2,0))</f>
        <v>0</v>
      </c>
      <c r="I23" s="17">
        <f>INDEX('Eurostat EB TJ GWh'!$A$2:$BV$146,MATCH($A23,'Eurostat EB TJ GWh'!$A$2:$A$146,0),MATCH(I$3,'Eurostat EB TJ GWh'!$A$2:$BV$2,0))</f>
        <v>0</v>
      </c>
      <c r="J23" s="17">
        <f>INDEX('Eurostat EB TJ GWh'!$A$2:$BV$146,MATCH($A23,'Eurostat EB TJ GWh'!$A$2:$A$146,0),MATCH(J$3,'Eurostat EB TJ GWh'!$A$2:$BV$2,0))</f>
        <v>0</v>
      </c>
      <c r="K23" s="17">
        <f>INDEX('Eurostat EB TJ GWh'!$A$2:$BV$146,MATCH($A23,'Eurostat EB TJ GWh'!$A$2:$A$146,0),MATCH(K$3,'Eurostat EB TJ GWh'!$A$2:$BV$2,0))</f>
        <v>0</v>
      </c>
      <c r="L23" s="17">
        <f>INDEX('Eurostat EB TJ GWh'!$A$2:$BV$146,MATCH($A23,'Eurostat EB TJ GWh'!$A$2:$A$146,0),MATCH(L$3,'Eurostat EB TJ GWh'!$A$2:$BV$2,0))</f>
        <v>0</v>
      </c>
      <c r="M23" s="17">
        <f>INDEX('Eurostat EB TJ GWh'!$A$2:$BV$146,MATCH($A23,'Eurostat EB TJ GWh'!$A$2:$A$146,0),MATCH(M$3,'Eurostat EB TJ GWh'!$A$2:$BV$2,0))</f>
        <v>0</v>
      </c>
      <c r="N23" s="17">
        <f>INDEX('Eurostat EB TJ GWh'!$A$2:$BV$146,MATCH($A23,'Eurostat EB TJ GWh'!$A$2:$A$146,0),MATCH(N$3,'Eurostat EB TJ GWh'!$A$2:$BV$2,0))</f>
        <v>0</v>
      </c>
      <c r="O23" s="17">
        <f>INDEX('Eurostat EB TJ GWh'!$A$2:$BV$146,MATCH($A23,'Eurostat EB TJ GWh'!$A$2:$A$146,0),MATCH(O$3,'Eurostat EB TJ GWh'!$A$2:$BV$2,0))</f>
        <v>0</v>
      </c>
      <c r="P23" s="17">
        <f>INDEX('Eurostat EB TJ GWh'!$A$2:$BV$146,MATCH($A23,'Eurostat EB TJ GWh'!$A$2:$A$146,0),MATCH(P$3,'Eurostat EB TJ GWh'!$A$2:$BV$2,0))</f>
        <v>0</v>
      </c>
      <c r="Q23" s="17">
        <f>INDEX('Eurostat EB TJ GWh'!$A$2:$BV$146,MATCH($A23,'Eurostat EB TJ GWh'!$A$2:$A$146,0),MATCH(Q$3,'Eurostat EB TJ GWh'!$A$2:$BV$2,0))</f>
        <v>0</v>
      </c>
      <c r="R23" s="17">
        <f>INDEX('Eurostat EB TJ GWh'!$A$2:$BV$146,MATCH($A23,'Eurostat EB TJ GWh'!$A$2:$A$146,0),MATCH(R$2,'Eurostat EB TJ GWh'!$A$2:$BV$2,0))+INDEX('Eurostat EB TJ GWh'!$A$2:$BV$146,MATCH($A23,'Eurostat EB TJ GWh'!$A$2:$A$146,0),MATCH(R$3,'Eurostat EB TJ GWh'!$A$2:$BV$2,0))</f>
        <v>0</v>
      </c>
      <c r="S23" s="17">
        <f>INDEX('Eurostat EB TJ GWh'!$A$2:$BV$146,MATCH($A23,'Eurostat EB TJ GWh'!$A$2:$A$146,0),MATCH(S$3,'Eurostat EB TJ GWh'!$A$2:$BV$2,0))</f>
        <v>0</v>
      </c>
      <c r="T23" s="65" t="s">
        <v>323</v>
      </c>
      <c r="U23" s="17">
        <f>INDEX('Eurostat EB TJ GWh'!$A$2:$BV$146,MATCH($A23,'Eurostat EB TJ GWh'!$A$2:$A$146,0),MATCH(U$3,'Eurostat EB TJ GWh'!$A$2:$BV$2,0))</f>
        <v>0</v>
      </c>
      <c r="V23" s="17">
        <f>INDEX('Eurostat EB TJ GWh'!$A$2:$BV$146,MATCH($A23,'Eurostat EB TJ GWh'!$A$2:$A$146,0),MATCH(V$3,'Eurostat EB TJ GWh'!$A$2:$BV$2,0))</f>
        <v>0</v>
      </c>
      <c r="W23" s="17">
        <f>INDEX('Eurostat EB TJ GWh'!$A$2:$BV$146,MATCH($A23,'Eurostat EB TJ GWh'!$A$2:$A$146,0),MATCH(W$3,'Eurostat EB TJ GWh'!$A$2:$BV$2,0))</f>
        <v>0</v>
      </c>
      <c r="X23" s="17">
        <f>INDEX('Eurostat EB TJ GWh'!$A$2:$BV$146,MATCH($A23,'Eurostat EB TJ GWh'!$A$2:$A$146,0),MATCH(X$3,'Eurostat EB TJ GWh'!$A$2:$BV$2,0))</f>
        <v>0</v>
      </c>
      <c r="Y23" s="17">
        <f>INDEX('Eurostat EB TJ GWh'!$A$2:$BV$146,MATCH($A23,'Eurostat EB TJ GWh'!$A$2:$A$146,0),MATCH(Y$3,'Eurostat EB TJ GWh'!$A$2:$BV$2,0))</f>
        <v>0</v>
      </c>
      <c r="Z23" s="17">
        <f>INDEX('Eurostat EB TJ GWh'!$A$2:$BV$146,MATCH($A23,'Eurostat EB TJ GWh'!$A$2:$A$146,0),MATCH(Z$3,'Eurostat EB TJ GWh'!$A$2:$BV$2,0))</f>
        <v>0</v>
      </c>
      <c r="AA23" s="17">
        <f>INDEX('Eurostat EB TJ GWh'!$A$2:$BV$146,MATCH($A23,'Eurostat EB TJ GWh'!$A$2:$A$146,0),MATCH(AA$3,'Eurostat EB TJ GWh'!$A$2:$BV$2,0))</f>
        <v>0</v>
      </c>
      <c r="AB23" s="17">
        <f>INDEX('Eurostat EB TJ GWh'!$A$2:$BV$146,MATCH($A23,'Eurostat EB TJ GWh'!$A$2:$A$146,0),MATCH(AB$3,'Eurostat EB TJ GWh'!$A$2:$BV$2,0))</f>
        <v>0</v>
      </c>
      <c r="AC23" s="17">
        <f>INDEX('Eurostat EB TJ GWh'!$A$2:$BV$146,MATCH($A23,'Eurostat EB TJ GWh'!$A$2:$A$146,0),MATCH(AC$3,'Eurostat EB TJ GWh'!$A$2:$BV$2,0))</f>
        <v>0</v>
      </c>
      <c r="AD23" s="17">
        <f>INDEX('Eurostat EB TJ GWh'!$A$2:$BV$146,MATCH($A23,'Eurostat EB TJ GWh'!$A$2:$A$146,0),MATCH(AD$3,'Eurostat EB TJ GWh'!$A$2:$BV$2,0))</f>
        <v>0</v>
      </c>
      <c r="AE23" s="17">
        <f>INDEX('Eurostat EB TJ GWh'!$A$2:$BV$146,MATCH($A23,'Eurostat EB TJ GWh'!$A$2:$A$146,0),MATCH(AE$3,'Eurostat EB TJ GWh'!$A$2:$BV$2,0))</f>
        <v>0</v>
      </c>
      <c r="AF23" s="17">
        <f>INDEX('Eurostat EB TJ GWh'!$A$2:$BV$146,MATCH($A23,'Eurostat EB TJ GWh'!$A$2:$A$146,0),MATCH(AF$3,'Eurostat EB TJ GWh'!$A$2:$BV$2,0))</f>
        <v>0</v>
      </c>
      <c r="AG23" s="17">
        <f>INDEX('Eurostat EB TJ GWh'!$A$2:$BV$146,MATCH($A23,'Eurostat EB TJ GWh'!$A$2:$A$146,0),MATCH(AG$3,'Eurostat EB TJ GWh'!$A$2:$BV$2,0))</f>
        <v>0</v>
      </c>
      <c r="AH23" s="17">
        <f>INDEX('Eurostat EB TJ GWh'!$A$2:$BV$146,MATCH($A23,'Eurostat EB TJ GWh'!$A$2:$A$146,0),MATCH(AH$3,'Eurostat EB TJ GWh'!$A$2:$BV$2,0))</f>
        <v>0</v>
      </c>
      <c r="AI23" s="17">
        <f>INDEX('Eurostat EB TJ GWh'!$A$2:$BV$146,MATCH($A23,'Eurostat EB TJ GWh'!$A$2:$A$146,0),MATCH(AI$3,'Eurostat EB TJ GWh'!$A$2:$BV$2,0))</f>
        <v>0</v>
      </c>
      <c r="AJ23" s="17">
        <f>INDEX('Eurostat EB TJ GWh'!$A$2:$BV$146,MATCH($A23,'Eurostat EB TJ GWh'!$A$2:$A$146,0),MATCH(AJ$3,'Eurostat EB TJ GWh'!$A$2:$BV$2,0))</f>
        <v>0</v>
      </c>
      <c r="AK23" s="17">
        <f>INDEX('Eurostat EB TJ GWh'!$A$2:$BV$146,MATCH($A23,'Eurostat EB TJ GWh'!$A$2:$A$146,0),MATCH(AK$3,'Eurostat EB TJ GWh'!$A$2:$BV$2,0))</f>
        <v>0</v>
      </c>
      <c r="AL23" s="17">
        <f>INDEX('Eurostat EB TJ GWh'!$A$2:$BV$146,MATCH($A23,'Eurostat EB TJ GWh'!$A$2:$A$146,0),MATCH(AL$3,'Eurostat EB TJ GWh'!$A$2:$BV$2,0))</f>
        <v>0</v>
      </c>
      <c r="AM23" s="17">
        <f>INDEX('Eurostat EB TJ GWh'!$A$2:$BV$146,MATCH($A23,'Eurostat EB TJ GWh'!$A$2:$A$146,0),MATCH(AM$3,'Eurostat EB TJ GWh'!$A$2:$BV$2,0))</f>
        <v>0</v>
      </c>
      <c r="AN23" s="17">
        <f>INDEX('Eurostat EB TJ GWh'!$A$2:$BV$146,MATCH($A23,'Eurostat EB TJ GWh'!$A$2:$A$146,0),MATCH(AN$3,'Eurostat EB TJ GWh'!$A$2:$BV$2,0))</f>
        <v>0</v>
      </c>
      <c r="AO23" s="17">
        <f>INDEX('Eurostat EB TJ GWh'!$A$2:$BV$146,MATCH($A23,'Eurostat EB TJ GWh'!$A$2:$A$146,0),MATCH(AO$3,'Eurostat EB TJ GWh'!$A$2:$BV$2,0))</f>
        <v>0</v>
      </c>
      <c r="AP23" s="17">
        <f>INDEX('Eurostat EB TJ GWh'!$A$2:$BV$146,MATCH($A23,'Eurostat EB TJ GWh'!$A$2:$A$146,0),MATCH(AP$3,'Eurostat EB TJ GWh'!$A$2:$BV$2,0))</f>
        <v>0</v>
      </c>
      <c r="AQ23" s="17">
        <f>INDEX('Eurostat EB TJ GWh'!$A$2:$BV$146,MATCH($A23,'Eurostat EB TJ GWh'!$A$2:$A$146,0),MATCH(AQ$3,'Eurostat EB TJ GWh'!$A$2:$BV$2,0))</f>
        <v>0</v>
      </c>
      <c r="AR23" s="17">
        <f>INDEX('Eurostat EB TJ GWh'!$A$2:$BV$146,MATCH($A23,'Eurostat EB TJ GWh'!$A$2:$A$146,0),MATCH(AR$3,'Eurostat EB TJ GWh'!$A$2:$BV$2,0))</f>
        <v>0</v>
      </c>
      <c r="AS23" s="17">
        <f>INDEX('Eurostat EB TJ GWh'!$A$2:$BV$146,MATCH($A23,'Eurostat EB TJ GWh'!$A$2:$A$146,0),MATCH(AS$3,'Eurostat EB TJ GWh'!$A$2:$BV$2,0))</f>
        <v>0</v>
      </c>
      <c r="AT23" s="17">
        <f>INDEX('Eurostat EB TJ GWh'!$A$2:$BV$146,MATCH($A23,'Eurostat EB TJ GWh'!$A$2:$A$146,0),MATCH(AT$3,'Eurostat EB TJ GWh'!$A$2:$BV$2,0))</f>
        <v>0</v>
      </c>
      <c r="AU23" s="17">
        <f>INDEX('Eurostat EB TJ GWh'!$A$2:$BV$146,MATCH($A23,'Eurostat EB TJ GWh'!$A$2:$A$146,0),MATCH(AU$3,'Eurostat EB TJ GWh'!$A$2:$BV$2,0))</f>
        <v>0</v>
      </c>
      <c r="AV23" s="17">
        <f>INDEX('Eurostat EB TJ GWh'!$A$2:$BV$146,MATCH($A23,'Eurostat EB TJ GWh'!$A$2:$A$146,0),MATCH(AV$2,'Eurostat EB TJ GWh'!$A$2:$BV$2,0))+INDEX('Eurostat EB TJ GWh'!$A$2:$BV$146,MATCH($A23,'Eurostat EB TJ GWh'!$A$2:$A$146,0),MATCH(AV$3,'Eurostat EB TJ GWh'!$A$2:$BV$2,0))</f>
        <v>0</v>
      </c>
      <c r="AW23" s="17">
        <f>INDEX('Eurostat EB TJ GWh'!$A$2:$BV$146,MATCH($A23,'Eurostat EB TJ GWh'!$A$2:$A$146,0),MATCH(AW$2,'Eurostat EB TJ GWh'!$A$2:$BV$2,0))+INDEX('Eurostat EB TJ GWh'!$A$2:$BV$146,MATCH($A23,'Eurostat EB TJ GWh'!$A$2:$A$146,0),MATCH(AW$3,'Eurostat EB TJ GWh'!$A$2:$BV$2,0))</f>
        <v>0</v>
      </c>
      <c r="AX23" s="17">
        <f>INDEX('Eurostat EB TJ GWh'!$A$2:$BV$146,MATCH($A23,'Eurostat EB TJ GWh'!$A$2:$A$146,0),MATCH(AX$3,'Eurostat EB TJ GWh'!$A$2:$BV$2,0))</f>
        <v>0</v>
      </c>
      <c r="AY23" s="72">
        <v>0</v>
      </c>
      <c r="AZ23" s="17">
        <f>INDEX('Eurostat EB TJ GWh'!$A$2:$BV$146,MATCH($A23,'Eurostat EB TJ GWh'!$A$2:$A$146,0),MATCH(AZ$3,'Eurostat EB TJ GWh'!$A$2:$BV$2,0))</f>
        <v>0</v>
      </c>
      <c r="BA23" s="72">
        <v>0</v>
      </c>
      <c r="BB23" s="72">
        <v>0</v>
      </c>
      <c r="BC23" s="17">
        <f>INDEX('Eurostat EB TJ GWh'!$A$2:$BV$146,MATCH($A23,'Eurostat EB TJ GWh'!$A$2:$A$146,0),MATCH(BC$3,'Eurostat EB TJ GWh'!$A$2:$BV$2,0))</f>
        <v>0</v>
      </c>
      <c r="BD23" s="17">
        <f>INDEX('Eurostat EB TJ GWh'!$A$2:$BV$146,MATCH($A23,'Eurostat EB TJ GWh'!$A$2:$A$146,0),MATCH(BD$3,'Eurostat EB TJ GWh'!$A$2:$BV$2,0))</f>
        <v>0</v>
      </c>
      <c r="BE23" s="17">
        <f>INDEX('Eurostat EB TJ GWh'!$A$2:$BV$146,MATCH($A23,'Eurostat EB TJ GWh'!$A$2:$A$146,0),MATCH(BE$3,'Eurostat EB TJ GWh'!$A$2:$BV$2,0))</f>
        <v>0</v>
      </c>
      <c r="BF23" s="17">
        <f>INDEX('Eurostat EB TJ GWh'!$A$2:$BV$146,MATCH($A23,'Eurostat EB TJ GWh'!$A$2:$A$146,0),MATCH(BF$3,'Eurostat EB TJ GWh'!$A$2:$BV$2,0))</f>
        <v>0</v>
      </c>
      <c r="BG23" s="17">
        <f>INDEX('Eurostat EB TJ GWh'!$A$2:$BV$146,MATCH($A23,'Eurostat EB TJ GWh'!$A$2:$A$146,0),MATCH(BG$3,'Eurostat EB TJ GWh'!$A$2:$BV$2,0))</f>
        <v>0</v>
      </c>
      <c r="BH23" s="17">
        <f>INDEX('Eurostat EB TJ GWh'!$A$2:$BV$146,MATCH($A23,'Eurostat EB TJ GWh'!$A$2:$A$146,0),MATCH(BH$3,'Eurostat EB TJ GWh'!$A$2:$BV$2,0))</f>
        <v>0</v>
      </c>
      <c r="BI23" s="17">
        <f>INDEX('Eurostat EB TJ GWh'!$A$2:$BV$146,MATCH($A23,'Eurostat EB TJ GWh'!$A$2:$A$146,0),MATCH(BI$3,'Eurostat EB TJ GWh'!$A$2:$BV$2,0))</f>
        <v>0</v>
      </c>
      <c r="BJ23" s="72">
        <v>0</v>
      </c>
      <c r="BK23" s="17">
        <f>INDEX('Eurostat EB TJ GWh'!$A$2:$BV$146,MATCH($A23,'Eurostat EB TJ GWh'!$A$2:$A$146,0),MATCH(BK$3,'Eurostat EB TJ GWh'!$A$2:$BV$2,0))</f>
        <v>0</v>
      </c>
      <c r="BL23" s="17">
        <f>INDEX('Eurostat EB TJ GWh'!$A$2:$BV$146,MATCH($A23,'Eurostat EB TJ GWh'!$A$2:$A$146,0),MATCH(BL$3,'Eurostat EB TJ GWh'!$A$2:$BV$2,0))</f>
        <v>0</v>
      </c>
      <c r="BM23" s="17">
        <f>INDEX('Eurostat EB TJ GWh'!$A$2:$BV$146,MATCH($A23,'Eurostat EB TJ GWh'!$A$2:$A$146,0),MATCH(BM$3,'Eurostat EB TJ GWh'!$A$2:$BV$2,0))</f>
        <v>0</v>
      </c>
      <c r="BN23" s="17">
        <f>INDEX('Eurostat EB TJ GWh'!$A$2:$BV$146,MATCH($A23,'Eurostat EB TJ GWh'!$A$2:$A$146,0),MATCH(BN$3,'Eurostat EB TJ GWh'!$A$2:$BV$2,0))</f>
        <v>0</v>
      </c>
    </row>
    <row r="24" spans="1:66" x14ac:dyDescent="0.2">
      <c r="A24" s="56" t="s">
        <v>214</v>
      </c>
      <c r="B24" s="65" t="s">
        <v>323</v>
      </c>
      <c r="C24" s="65" t="s">
        <v>323</v>
      </c>
      <c r="D24" s="57">
        <f>INDEX('Eurostat EB TJ GWh'!$A$2:$BV$146,MATCH($A24,'Eurostat EB TJ GWh'!$A$2:$A$146,0),MATCH(D$3,'Eurostat EB TJ GWh'!$A$2:$BV$2,0))</f>
        <v>0</v>
      </c>
      <c r="E24" s="57">
        <f>INDEX('Eurostat EB TJ GWh'!$A$2:$BV$146,MATCH($A24,'Eurostat EB TJ GWh'!$A$2:$A$146,0),MATCH(E$3,'Eurostat EB TJ GWh'!$A$2:$BV$2,0))</f>
        <v>0</v>
      </c>
      <c r="F24" s="57">
        <f>INDEX('Eurostat EB TJ GWh'!$A$2:$BV$146,MATCH($A24,'Eurostat EB TJ GWh'!$A$2:$A$146,0),MATCH(F$3,'Eurostat EB TJ GWh'!$A$2:$BV$2,0))</f>
        <v>0</v>
      </c>
      <c r="G24" s="57">
        <f>INDEX('Eurostat EB TJ GWh'!$A$2:$BV$146,MATCH($A24,'Eurostat EB TJ GWh'!$A$2:$A$146,0),MATCH(G$3,'Eurostat EB TJ GWh'!$A$2:$BV$2,0))</f>
        <v>0</v>
      </c>
      <c r="H24" s="57">
        <f>INDEX('Eurostat EB TJ GWh'!$A$2:$BV$146,MATCH($A24,'Eurostat EB TJ GWh'!$A$2:$A$146,0),MATCH(H$3,'Eurostat EB TJ GWh'!$A$2:$BV$2,0))</f>
        <v>0</v>
      </c>
      <c r="I24" s="57">
        <f>INDEX('Eurostat EB TJ GWh'!$A$2:$BV$146,MATCH($A24,'Eurostat EB TJ GWh'!$A$2:$A$146,0),MATCH(I$3,'Eurostat EB TJ GWh'!$A$2:$BV$2,0))</f>
        <v>0</v>
      </c>
      <c r="J24" s="57">
        <f>INDEX('Eurostat EB TJ GWh'!$A$2:$BV$146,MATCH($A24,'Eurostat EB TJ GWh'!$A$2:$A$146,0),MATCH(J$3,'Eurostat EB TJ GWh'!$A$2:$BV$2,0))</f>
        <v>0</v>
      </c>
      <c r="K24" s="57">
        <f>INDEX('Eurostat EB TJ GWh'!$A$2:$BV$146,MATCH($A24,'Eurostat EB TJ GWh'!$A$2:$A$146,0),MATCH(K$3,'Eurostat EB TJ GWh'!$A$2:$BV$2,0))</f>
        <v>0</v>
      </c>
      <c r="L24" s="57">
        <f>INDEX('Eurostat EB TJ GWh'!$A$2:$BV$146,MATCH($A24,'Eurostat EB TJ GWh'!$A$2:$A$146,0),MATCH(L$3,'Eurostat EB TJ GWh'!$A$2:$BV$2,0))</f>
        <v>0</v>
      </c>
      <c r="M24" s="57">
        <f>INDEX('Eurostat EB TJ GWh'!$A$2:$BV$146,MATCH($A24,'Eurostat EB TJ GWh'!$A$2:$A$146,0),MATCH(M$3,'Eurostat EB TJ GWh'!$A$2:$BV$2,0))</f>
        <v>0</v>
      </c>
      <c r="N24" s="57">
        <f>INDEX('Eurostat EB TJ GWh'!$A$2:$BV$146,MATCH($A24,'Eurostat EB TJ GWh'!$A$2:$A$146,0),MATCH(N$3,'Eurostat EB TJ GWh'!$A$2:$BV$2,0))</f>
        <v>0</v>
      </c>
      <c r="O24" s="57">
        <f>INDEX('Eurostat EB TJ GWh'!$A$2:$BV$146,MATCH($A24,'Eurostat EB TJ GWh'!$A$2:$A$146,0),MATCH(O$3,'Eurostat EB TJ GWh'!$A$2:$BV$2,0))</f>
        <v>0</v>
      </c>
      <c r="P24" s="57">
        <f>INDEX('Eurostat EB TJ GWh'!$A$2:$BV$146,MATCH($A24,'Eurostat EB TJ GWh'!$A$2:$A$146,0),MATCH(P$3,'Eurostat EB TJ GWh'!$A$2:$BV$2,0))</f>
        <v>0</v>
      </c>
      <c r="Q24" s="57">
        <f>INDEX('Eurostat EB TJ GWh'!$A$2:$BV$146,MATCH($A24,'Eurostat EB TJ GWh'!$A$2:$A$146,0),MATCH(Q$3,'Eurostat EB TJ GWh'!$A$2:$BV$2,0))</f>
        <v>0</v>
      </c>
      <c r="R24" s="57">
        <f>INDEX('Eurostat EB TJ GWh'!$A$2:$BV$146,MATCH($A24,'Eurostat EB TJ GWh'!$A$2:$A$146,0),MATCH(R$2,'Eurostat EB TJ GWh'!$A$2:$BV$2,0))+INDEX('Eurostat EB TJ GWh'!$A$2:$BV$146,MATCH($A24,'Eurostat EB TJ GWh'!$A$2:$A$146,0),MATCH(R$3,'Eurostat EB TJ GWh'!$A$2:$BV$2,0))</f>
        <v>0</v>
      </c>
      <c r="S24" s="57">
        <f>INDEX('Eurostat EB TJ GWh'!$A$2:$BV$146,MATCH($A24,'Eurostat EB TJ GWh'!$A$2:$A$146,0),MATCH(S$3,'Eurostat EB TJ GWh'!$A$2:$BV$2,0))</f>
        <v>0</v>
      </c>
      <c r="T24" s="65" t="s">
        <v>323</v>
      </c>
      <c r="U24" s="57">
        <f>INDEX('Eurostat EB TJ GWh'!$A$2:$BV$146,MATCH($A24,'Eurostat EB TJ GWh'!$A$2:$A$146,0),MATCH(U$3,'Eurostat EB TJ GWh'!$A$2:$BV$2,0))</f>
        <v>0</v>
      </c>
      <c r="V24" s="57">
        <f>INDEX('Eurostat EB TJ GWh'!$A$2:$BV$146,MATCH($A24,'Eurostat EB TJ GWh'!$A$2:$A$146,0),MATCH(V$3,'Eurostat EB TJ GWh'!$A$2:$BV$2,0))</f>
        <v>0</v>
      </c>
      <c r="W24" s="57">
        <f>INDEX('Eurostat EB TJ GWh'!$A$2:$BV$146,MATCH($A24,'Eurostat EB TJ GWh'!$A$2:$A$146,0),MATCH(W$3,'Eurostat EB TJ GWh'!$A$2:$BV$2,0))</f>
        <v>0</v>
      </c>
      <c r="X24" s="57">
        <f>INDEX('Eurostat EB TJ GWh'!$A$2:$BV$146,MATCH($A24,'Eurostat EB TJ GWh'!$A$2:$A$146,0),MATCH(X$3,'Eurostat EB TJ GWh'!$A$2:$BV$2,0))</f>
        <v>0</v>
      </c>
      <c r="Y24" s="57">
        <f>INDEX('Eurostat EB TJ GWh'!$A$2:$BV$146,MATCH($A24,'Eurostat EB TJ GWh'!$A$2:$A$146,0),MATCH(Y$3,'Eurostat EB TJ GWh'!$A$2:$BV$2,0))</f>
        <v>0</v>
      </c>
      <c r="Z24" s="57">
        <f>INDEX('Eurostat EB TJ GWh'!$A$2:$BV$146,MATCH($A24,'Eurostat EB TJ GWh'!$A$2:$A$146,0),MATCH(Z$3,'Eurostat EB TJ GWh'!$A$2:$BV$2,0))</f>
        <v>0</v>
      </c>
      <c r="AA24" s="57">
        <f>INDEX('Eurostat EB TJ GWh'!$A$2:$BV$146,MATCH($A24,'Eurostat EB TJ GWh'!$A$2:$A$146,0),MATCH(AA$3,'Eurostat EB TJ GWh'!$A$2:$BV$2,0))</f>
        <v>0</v>
      </c>
      <c r="AB24" s="57">
        <f>INDEX('Eurostat EB TJ GWh'!$A$2:$BV$146,MATCH($A24,'Eurostat EB TJ GWh'!$A$2:$A$146,0),MATCH(AB$3,'Eurostat EB TJ GWh'!$A$2:$BV$2,0))</f>
        <v>0</v>
      </c>
      <c r="AC24" s="57">
        <f>INDEX('Eurostat EB TJ GWh'!$A$2:$BV$146,MATCH($A24,'Eurostat EB TJ GWh'!$A$2:$A$146,0),MATCH(AC$3,'Eurostat EB TJ GWh'!$A$2:$BV$2,0))</f>
        <v>0</v>
      </c>
      <c r="AD24" s="57">
        <f>INDEX('Eurostat EB TJ GWh'!$A$2:$BV$146,MATCH($A24,'Eurostat EB TJ GWh'!$A$2:$A$146,0),MATCH(AD$3,'Eurostat EB TJ GWh'!$A$2:$BV$2,0))</f>
        <v>0</v>
      </c>
      <c r="AE24" s="57">
        <f>INDEX('Eurostat EB TJ GWh'!$A$2:$BV$146,MATCH($A24,'Eurostat EB TJ GWh'!$A$2:$A$146,0),MATCH(AE$3,'Eurostat EB TJ GWh'!$A$2:$BV$2,0))</f>
        <v>0</v>
      </c>
      <c r="AF24" s="57">
        <f>INDEX('Eurostat EB TJ GWh'!$A$2:$BV$146,MATCH($A24,'Eurostat EB TJ GWh'!$A$2:$A$146,0),MATCH(AF$3,'Eurostat EB TJ GWh'!$A$2:$BV$2,0))</f>
        <v>0</v>
      </c>
      <c r="AG24" s="57">
        <f>INDEX('Eurostat EB TJ GWh'!$A$2:$BV$146,MATCH($A24,'Eurostat EB TJ GWh'!$A$2:$A$146,0),MATCH(AG$3,'Eurostat EB TJ GWh'!$A$2:$BV$2,0))</f>
        <v>0</v>
      </c>
      <c r="AH24" s="57">
        <f>INDEX('Eurostat EB TJ GWh'!$A$2:$BV$146,MATCH($A24,'Eurostat EB TJ GWh'!$A$2:$A$146,0),MATCH(AH$3,'Eurostat EB TJ GWh'!$A$2:$BV$2,0))</f>
        <v>0</v>
      </c>
      <c r="AI24" s="57">
        <f>INDEX('Eurostat EB TJ GWh'!$A$2:$BV$146,MATCH($A24,'Eurostat EB TJ GWh'!$A$2:$A$146,0),MATCH(AI$3,'Eurostat EB TJ GWh'!$A$2:$BV$2,0))</f>
        <v>0</v>
      </c>
      <c r="AJ24" s="57">
        <f>INDEX('Eurostat EB TJ GWh'!$A$2:$BV$146,MATCH($A24,'Eurostat EB TJ GWh'!$A$2:$A$146,0),MATCH(AJ$3,'Eurostat EB TJ GWh'!$A$2:$BV$2,0))</f>
        <v>0</v>
      </c>
      <c r="AK24" s="57">
        <f>INDEX('Eurostat EB TJ GWh'!$A$2:$BV$146,MATCH($A24,'Eurostat EB TJ GWh'!$A$2:$A$146,0),MATCH(AK$3,'Eurostat EB TJ GWh'!$A$2:$BV$2,0))</f>
        <v>0</v>
      </c>
      <c r="AL24" s="57">
        <f>INDEX('Eurostat EB TJ GWh'!$A$2:$BV$146,MATCH($A24,'Eurostat EB TJ GWh'!$A$2:$A$146,0),MATCH(AL$3,'Eurostat EB TJ GWh'!$A$2:$BV$2,0))</f>
        <v>0</v>
      </c>
      <c r="AM24" s="57">
        <f>INDEX('Eurostat EB TJ GWh'!$A$2:$BV$146,MATCH($A24,'Eurostat EB TJ GWh'!$A$2:$A$146,0),MATCH(AM$3,'Eurostat EB TJ GWh'!$A$2:$BV$2,0))</f>
        <v>0</v>
      </c>
      <c r="AN24" s="57">
        <f>INDEX('Eurostat EB TJ GWh'!$A$2:$BV$146,MATCH($A24,'Eurostat EB TJ GWh'!$A$2:$A$146,0),MATCH(AN$3,'Eurostat EB TJ GWh'!$A$2:$BV$2,0))</f>
        <v>0</v>
      </c>
      <c r="AO24" s="57">
        <f>INDEX('Eurostat EB TJ GWh'!$A$2:$BV$146,MATCH($A24,'Eurostat EB TJ GWh'!$A$2:$A$146,0),MATCH(AO$3,'Eurostat EB TJ GWh'!$A$2:$BV$2,0))</f>
        <v>0</v>
      </c>
      <c r="AP24" s="57">
        <f>INDEX('Eurostat EB TJ GWh'!$A$2:$BV$146,MATCH($A24,'Eurostat EB TJ GWh'!$A$2:$A$146,0),MATCH(AP$3,'Eurostat EB TJ GWh'!$A$2:$BV$2,0))</f>
        <v>0</v>
      </c>
      <c r="AQ24" s="57">
        <f>INDEX('Eurostat EB TJ GWh'!$A$2:$BV$146,MATCH($A24,'Eurostat EB TJ GWh'!$A$2:$A$146,0),MATCH(AQ$3,'Eurostat EB TJ GWh'!$A$2:$BV$2,0))</f>
        <v>0</v>
      </c>
      <c r="AR24" s="57">
        <f>INDEX('Eurostat EB TJ GWh'!$A$2:$BV$146,MATCH($A24,'Eurostat EB TJ GWh'!$A$2:$A$146,0),MATCH(AR$3,'Eurostat EB TJ GWh'!$A$2:$BV$2,0))</f>
        <v>0</v>
      </c>
      <c r="AS24" s="57">
        <f>INDEX('Eurostat EB TJ GWh'!$A$2:$BV$146,MATCH($A24,'Eurostat EB TJ GWh'!$A$2:$A$146,0),MATCH(AS$3,'Eurostat EB TJ GWh'!$A$2:$BV$2,0))</f>
        <v>0</v>
      </c>
      <c r="AT24" s="57">
        <f>INDEX('Eurostat EB TJ GWh'!$A$2:$BV$146,MATCH($A24,'Eurostat EB TJ GWh'!$A$2:$A$146,0),MATCH(AT$3,'Eurostat EB TJ GWh'!$A$2:$BV$2,0))</f>
        <v>0</v>
      </c>
      <c r="AU24" s="57">
        <f>INDEX('Eurostat EB TJ GWh'!$A$2:$BV$146,MATCH($A24,'Eurostat EB TJ GWh'!$A$2:$A$146,0),MATCH(AU$3,'Eurostat EB TJ GWh'!$A$2:$BV$2,0))</f>
        <v>0</v>
      </c>
      <c r="AV24" s="57">
        <f>INDEX('Eurostat EB TJ GWh'!$A$2:$BV$146,MATCH($A24,'Eurostat EB TJ GWh'!$A$2:$A$146,0),MATCH(AV$2,'Eurostat EB TJ GWh'!$A$2:$BV$2,0))+INDEX('Eurostat EB TJ GWh'!$A$2:$BV$146,MATCH($A24,'Eurostat EB TJ GWh'!$A$2:$A$146,0),MATCH(AV$3,'Eurostat EB TJ GWh'!$A$2:$BV$2,0))</f>
        <v>0</v>
      </c>
      <c r="AW24" s="57">
        <f>INDEX('Eurostat EB TJ GWh'!$A$2:$BV$146,MATCH($A24,'Eurostat EB TJ GWh'!$A$2:$A$146,0),MATCH(AW$2,'Eurostat EB TJ GWh'!$A$2:$BV$2,0))+INDEX('Eurostat EB TJ GWh'!$A$2:$BV$146,MATCH($A24,'Eurostat EB TJ GWh'!$A$2:$A$146,0),MATCH(AW$3,'Eurostat EB TJ GWh'!$A$2:$BV$2,0))</f>
        <v>0</v>
      </c>
      <c r="AX24" s="57">
        <f>INDEX('Eurostat EB TJ GWh'!$A$2:$BV$146,MATCH($A24,'Eurostat EB TJ GWh'!$A$2:$A$146,0),MATCH(AX$3,'Eurostat EB TJ GWh'!$A$2:$BV$2,0))</f>
        <v>0</v>
      </c>
      <c r="AY24" s="65">
        <v>0</v>
      </c>
      <c r="AZ24" s="57">
        <f>INDEX('Eurostat EB TJ GWh'!$A$2:$BV$146,MATCH($A24,'Eurostat EB TJ GWh'!$A$2:$A$146,0),MATCH(AZ$3,'Eurostat EB TJ GWh'!$A$2:$BV$2,0))</f>
        <v>0</v>
      </c>
      <c r="BA24" s="65">
        <v>0</v>
      </c>
      <c r="BB24" s="65">
        <v>0</v>
      </c>
      <c r="BC24" s="57">
        <f>INDEX('Eurostat EB TJ GWh'!$A$2:$BV$146,MATCH($A24,'Eurostat EB TJ GWh'!$A$2:$A$146,0),MATCH(BC$3,'Eurostat EB TJ GWh'!$A$2:$BV$2,0))</f>
        <v>0</v>
      </c>
      <c r="BD24" s="57">
        <f>INDEX('Eurostat EB TJ GWh'!$A$2:$BV$146,MATCH($A24,'Eurostat EB TJ GWh'!$A$2:$A$146,0),MATCH(BD$3,'Eurostat EB TJ GWh'!$A$2:$BV$2,0))</f>
        <v>0</v>
      </c>
      <c r="BE24" s="57">
        <f>INDEX('Eurostat EB TJ GWh'!$A$2:$BV$146,MATCH($A24,'Eurostat EB TJ GWh'!$A$2:$A$146,0),MATCH(BE$3,'Eurostat EB TJ GWh'!$A$2:$BV$2,0))</f>
        <v>0</v>
      </c>
      <c r="BF24" s="57">
        <f>INDEX('Eurostat EB TJ GWh'!$A$2:$BV$146,MATCH($A24,'Eurostat EB TJ GWh'!$A$2:$A$146,0),MATCH(BF$3,'Eurostat EB TJ GWh'!$A$2:$BV$2,0))</f>
        <v>0</v>
      </c>
      <c r="BG24" s="57">
        <f>INDEX('Eurostat EB TJ GWh'!$A$2:$BV$146,MATCH($A24,'Eurostat EB TJ GWh'!$A$2:$A$146,0),MATCH(BG$3,'Eurostat EB TJ GWh'!$A$2:$BV$2,0))</f>
        <v>0</v>
      </c>
      <c r="BH24" s="57">
        <f>INDEX('Eurostat EB TJ GWh'!$A$2:$BV$146,MATCH($A24,'Eurostat EB TJ GWh'!$A$2:$A$146,0),MATCH(BH$3,'Eurostat EB TJ GWh'!$A$2:$BV$2,0))</f>
        <v>0</v>
      </c>
      <c r="BI24" s="57">
        <f>INDEX('Eurostat EB TJ GWh'!$A$2:$BV$146,MATCH($A24,'Eurostat EB TJ GWh'!$A$2:$A$146,0),MATCH(BI$3,'Eurostat EB TJ GWh'!$A$2:$BV$2,0))</f>
        <v>0</v>
      </c>
      <c r="BJ24" s="65">
        <v>0</v>
      </c>
      <c r="BK24" s="57">
        <f>INDEX('Eurostat EB TJ GWh'!$A$2:$BV$146,MATCH($A24,'Eurostat EB TJ GWh'!$A$2:$A$146,0),MATCH(BK$3,'Eurostat EB TJ GWh'!$A$2:$BV$2,0))</f>
        <v>0</v>
      </c>
      <c r="BL24" s="57">
        <f>INDEX('Eurostat EB TJ GWh'!$A$2:$BV$146,MATCH($A24,'Eurostat EB TJ GWh'!$A$2:$A$146,0),MATCH(BL$3,'Eurostat EB TJ GWh'!$A$2:$BV$2,0))</f>
        <v>0</v>
      </c>
      <c r="BM24" s="57">
        <f>INDEX('Eurostat EB TJ GWh'!$A$2:$BV$146,MATCH($A24,'Eurostat EB TJ GWh'!$A$2:$A$146,0),MATCH(BM$3,'Eurostat EB TJ GWh'!$A$2:$BV$2,0))</f>
        <v>0</v>
      </c>
      <c r="BN24" s="57">
        <f>INDEX('Eurostat EB TJ GWh'!$A$2:$BV$146,MATCH($A24,'Eurostat EB TJ GWh'!$A$2:$A$146,0),MATCH(BN$3,'Eurostat EB TJ GWh'!$A$2:$BV$2,0))</f>
        <v>0</v>
      </c>
    </row>
    <row r="25" spans="1:66" x14ac:dyDescent="0.2">
      <c r="A25" s="56" t="s">
        <v>215</v>
      </c>
      <c r="B25" s="65" t="s">
        <v>323</v>
      </c>
      <c r="C25" s="65" t="s">
        <v>323</v>
      </c>
      <c r="D25" s="17">
        <f>INDEX('Eurostat EB TJ GWh'!$A$2:$BV$146,MATCH($A25,'Eurostat EB TJ GWh'!$A$2:$A$146,0),MATCH(D$3,'Eurostat EB TJ GWh'!$A$2:$BV$2,0))</f>
        <v>0</v>
      </c>
      <c r="E25" s="17">
        <f>INDEX('Eurostat EB TJ GWh'!$A$2:$BV$146,MATCH($A25,'Eurostat EB TJ GWh'!$A$2:$A$146,0),MATCH(E$3,'Eurostat EB TJ GWh'!$A$2:$BV$2,0))</f>
        <v>0</v>
      </c>
      <c r="F25" s="17">
        <f>INDEX('Eurostat EB TJ GWh'!$A$2:$BV$146,MATCH($A25,'Eurostat EB TJ GWh'!$A$2:$A$146,0),MATCH(F$3,'Eurostat EB TJ GWh'!$A$2:$BV$2,0))</f>
        <v>0</v>
      </c>
      <c r="G25" s="17">
        <f>INDEX('Eurostat EB TJ GWh'!$A$2:$BV$146,MATCH($A25,'Eurostat EB TJ GWh'!$A$2:$A$146,0),MATCH(G$3,'Eurostat EB TJ GWh'!$A$2:$BV$2,0))</f>
        <v>0</v>
      </c>
      <c r="H25" s="17">
        <f>INDEX('Eurostat EB TJ GWh'!$A$2:$BV$146,MATCH($A25,'Eurostat EB TJ GWh'!$A$2:$A$146,0),MATCH(H$3,'Eurostat EB TJ GWh'!$A$2:$BV$2,0))</f>
        <v>0</v>
      </c>
      <c r="I25" s="17">
        <f>INDEX('Eurostat EB TJ GWh'!$A$2:$BV$146,MATCH($A25,'Eurostat EB TJ GWh'!$A$2:$A$146,0),MATCH(I$3,'Eurostat EB TJ GWh'!$A$2:$BV$2,0))</f>
        <v>0</v>
      </c>
      <c r="J25" s="17">
        <f>INDEX('Eurostat EB TJ GWh'!$A$2:$BV$146,MATCH($A25,'Eurostat EB TJ GWh'!$A$2:$A$146,0),MATCH(J$3,'Eurostat EB TJ GWh'!$A$2:$BV$2,0))</f>
        <v>0</v>
      </c>
      <c r="K25" s="17">
        <f>INDEX('Eurostat EB TJ GWh'!$A$2:$BV$146,MATCH($A25,'Eurostat EB TJ GWh'!$A$2:$A$146,0),MATCH(K$3,'Eurostat EB TJ GWh'!$A$2:$BV$2,0))</f>
        <v>0</v>
      </c>
      <c r="L25" s="17">
        <f>INDEX('Eurostat EB TJ GWh'!$A$2:$BV$146,MATCH($A25,'Eurostat EB TJ GWh'!$A$2:$A$146,0),MATCH(L$3,'Eurostat EB TJ GWh'!$A$2:$BV$2,0))</f>
        <v>0</v>
      </c>
      <c r="M25" s="17">
        <f>INDEX('Eurostat EB TJ GWh'!$A$2:$BV$146,MATCH($A25,'Eurostat EB TJ GWh'!$A$2:$A$146,0),MATCH(M$3,'Eurostat EB TJ GWh'!$A$2:$BV$2,0))</f>
        <v>0</v>
      </c>
      <c r="N25" s="17">
        <f>INDEX('Eurostat EB TJ GWh'!$A$2:$BV$146,MATCH($A25,'Eurostat EB TJ GWh'!$A$2:$A$146,0),MATCH(N$3,'Eurostat EB TJ GWh'!$A$2:$BV$2,0))</f>
        <v>0</v>
      </c>
      <c r="O25" s="17">
        <f>INDEX('Eurostat EB TJ GWh'!$A$2:$BV$146,MATCH($A25,'Eurostat EB TJ GWh'!$A$2:$A$146,0),MATCH(O$3,'Eurostat EB TJ GWh'!$A$2:$BV$2,0))</f>
        <v>0</v>
      </c>
      <c r="P25" s="17">
        <f>INDEX('Eurostat EB TJ GWh'!$A$2:$BV$146,MATCH($A25,'Eurostat EB TJ GWh'!$A$2:$A$146,0),MATCH(P$3,'Eurostat EB TJ GWh'!$A$2:$BV$2,0))</f>
        <v>0</v>
      </c>
      <c r="Q25" s="17">
        <f>INDEX('Eurostat EB TJ GWh'!$A$2:$BV$146,MATCH($A25,'Eurostat EB TJ GWh'!$A$2:$A$146,0),MATCH(Q$3,'Eurostat EB TJ GWh'!$A$2:$BV$2,0))</f>
        <v>0</v>
      </c>
      <c r="R25" s="17">
        <f>INDEX('Eurostat EB TJ GWh'!$A$2:$BV$146,MATCH($A25,'Eurostat EB TJ GWh'!$A$2:$A$146,0),MATCH(R$2,'Eurostat EB TJ GWh'!$A$2:$BV$2,0))+INDEX('Eurostat EB TJ GWh'!$A$2:$BV$146,MATCH($A25,'Eurostat EB TJ GWh'!$A$2:$A$146,0),MATCH(R$3,'Eurostat EB TJ GWh'!$A$2:$BV$2,0))</f>
        <v>0</v>
      </c>
      <c r="S25" s="17">
        <f>INDEX('Eurostat EB TJ GWh'!$A$2:$BV$146,MATCH($A25,'Eurostat EB TJ GWh'!$A$2:$A$146,0),MATCH(S$3,'Eurostat EB TJ GWh'!$A$2:$BV$2,0))</f>
        <v>0</v>
      </c>
      <c r="T25" s="65" t="s">
        <v>323</v>
      </c>
      <c r="U25" s="17">
        <f>INDEX('Eurostat EB TJ GWh'!$A$2:$BV$146,MATCH($A25,'Eurostat EB TJ GWh'!$A$2:$A$146,0),MATCH(U$3,'Eurostat EB TJ GWh'!$A$2:$BV$2,0))</f>
        <v>0</v>
      </c>
      <c r="V25" s="17">
        <f>INDEX('Eurostat EB TJ GWh'!$A$2:$BV$146,MATCH($A25,'Eurostat EB TJ GWh'!$A$2:$A$146,0),MATCH(V$3,'Eurostat EB TJ GWh'!$A$2:$BV$2,0))</f>
        <v>0</v>
      </c>
      <c r="W25" s="17">
        <f>INDEX('Eurostat EB TJ GWh'!$A$2:$BV$146,MATCH($A25,'Eurostat EB TJ GWh'!$A$2:$A$146,0),MATCH(W$3,'Eurostat EB TJ GWh'!$A$2:$BV$2,0))</f>
        <v>0</v>
      </c>
      <c r="X25" s="17">
        <f>INDEX('Eurostat EB TJ GWh'!$A$2:$BV$146,MATCH($A25,'Eurostat EB TJ GWh'!$A$2:$A$146,0),MATCH(X$3,'Eurostat EB TJ GWh'!$A$2:$BV$2,0))</f>
        <v>0</v>
      </c>
      <c r="Y25" s="17">
        <f>INDEX('Eurostat EB TJ GWh'!$A$2:$BV$146,MATCH($A25,'Eurostat EB TJ GWh'!$A$2:$A$146,0),MATCH(Y$3,'Eurostat EB TJ GWh'!$A$2:$BV$2,0))</f>
        <v>0</v>
      </c>
      <c r="Z25" s="17">
        <f>INDEX('Eurostat EB TJ GWh'!$A$2:$BV$146,MATCH($A25,'Eurostat EB TJ GWh'!$A$2:$A$146,0),MATCH(Z$3,'Eurostat EB TJ GWh'!$A$2:$BV$2,0))</f>
        <v>0</v>
      </c>
      <c r="AA25" s="17">
        <f>INDEX('Eurostat EB TJ GWh'!$A$2:$BV$146,MATCH($A25,'Eurostat EB TJ GWh'!$A$2:$A$146,0),MATCH(AA$3,'Eurostat EB TJ GWh'!$A$2:$BV$2,0))</f>
        <v>0</v>
      </c>
      <c r="AB25" s="17">
        <f>INDEX('Eurostat EB TJ GWh'!$A$2:$BV$146,MATCH($A25,'Eurostat EB TJ GWh'!$A$2:$A$146,0),MATCH(AB$3,'Eurostat EB TJ GWh'!$A$2:$BV$2,0))</f>
        <v>0</v>
      </c>
      <c r="AC25" s="17">
        <f>INDEX('Eurostat EB TJ GWh'!$A$2:$BV$146,MATCH($A25,'Eurostat EB TJ GWh'!$A$2:$A$146,0),MATCH(AC$3,'Eurostat EB TJ GWh'!$A$2:$BV$2,0))</f>
        <v>0</v>
      </c>
      <c r="AD25" s="17">
        <f>INDEX('Eurostat EB TJ GWh'!$A$2:$BV$146,MATCH($A25,'Eurostat EB TJ GWh'!$A$2:$A$146,0),MATCH(AD$3,'Eurostat EB TJ GWh'!$A$2:$BV$2,0))</f>
        <v>0</v>
      </c>
      <c r="AE25" s="17">
        <f>INDEX('Eurostat EB TJ GWh'!$A$2:$BV$146,MATCH($A25,'Eurostat EB TJ GWh'!$A$2:$A$146,0),MATCH(AE$3,'Eurostat EB TJ GWh'!$A$2:$BV$2,0))</f>
        <v>0</v>
      </c>
      <c r="AF25" s="17">
        <f>INDEX('Eurostat EB TJ GWh'!$A$2:$BV$146,MATCH($A25,'Eurostat EB TJ GWh'!$A$2:$A$146,0),MATCH(AF$3,'Eurostat EB TJ GWh'!$A$2:$BV$2,0))</f>
        <v>0</v>
      </c>
      <c r="AG25" s="17">
        <f>INDEX('Eurostat EB TJ GWh'!$A$2:$BV$146,MATCH($A25,'Eurostat EB TJ GWh'!$A$2:$A$146,0),MATCH(AG$3,'Eurostat EB TJ GWh'!$A$2:$BV$2,0))</f>
        <v>0</v>
      </c>
      <c r="AH25" s="17">
        <f>INDEX('Eurostat EB TJ GWh'!$A$2:$BV$146,MATCH($A25,'Eurostat EB TJ GWh'!$A$2:$A$146,0),MATCH(AH$3,'Eurostat EB TJ GWh'!$A$2:$BV$2,0))</f>
        <v>0</v>
      </c>
      <c r="AI25" s="17">
        <f>INDEX('Eurostat EB TJ GWh'!$A$2:$BV$146,MATCH($A25,'Eurostat EB TJ GWh'!$A$2:$A$146,0),MATCH(AI$3,'Eurostat EB TJ GWh'!$A$2:$BV$2,0))</f>
        <v>0</v>
      </c>
      <c r="AJ25" s="17">
        <f>INDEX('Eurostat EB TJ GWh'!$A$2:$BV$146,MATCH($A25,'Eurostat EB TJ GWh'!$A$2:$A$146,0),MATCH(AJ$3,'Eurostat EB TJ GWh'!$A$2:$BV$2,0))</f>
        <v>0</v>
      </c>
      <c r="AK25" s="17">
        <f>INDEX('Eurostat EB TJ GWh'!$A$2:$BV$146,MATCH($A25,'Eurostat EB TJ GWh'!$A$2:$A$146,0),MATCH(AK$3,'Eurostat EB TJ GWh'!$A$2:$BV$2,0))</f>
        <v>0</v>
      </c>
      <c r="AL25" s="17">
        <f>INDEX('Eurostat EB TJ GWh'!$A$2:$BV$146,MATCH($A25,'Eurostat EB TJ GWh'!$A$2:$A$146,0),MATCH(AL$3,'Eurostat EB TJ GWh'!$A$2:$BV$2,0))</f>
        <v>0</v>
      </c>
      <c r="AM25" s="17">
        <f>INDEX('Eurostat EB TJ GWh'!$A$2:$BV$146,MATCH($A25,'Eurostat EB TJ GWh'!$A$2:$A$146,0),MATCH(AM$3,'Eurostat EB TJ GWh'!$A$2:$BV$2,0))</f>
        <v>0</v>
      </c>
      <c r="AN25" s="17">
        <f>INDEX('Eurostat EB TJ GWh'!$A$2:$BV$146,MATCH($A25,'Eurostat EB TJ GWh'!$A$2:$A$146,0),MATCH(AN$3,'Eurostat EB TJ GWh'!$A$2:$BV$2,0))</f>
        <v>0</v>
      </c>
      <c r="AO25" s="17">
        <f>INDEX('Eurostat EB TJ GWh'!$A$2:$BV$146,MATCH($A25,'Eurostat EB TJ GWh'!$A$2:$A$146,0),MATCH(AO$3,'Eurostat EB TJ GWh'!$A$2:$BV$2,0))</f>
        <v>0</v>
      </c>
      <c r="AP25" s="17">
        <f>INDEX('Eurostat EB TJ GWh'!$A$2:$BV$146,MATCH($A25,'Eurostat EB TJ GWh'!$A$2:$A$146,0),MATCH(AP$3,'Eurostat EB TJ GWh'!$A$2:$BV$2,0))</f>
        <v>0</v>
      </c>
      <c r="AQ25" s="17">
        <f>INDEX('Eurostat EB TJ GWh'!$A$2:$BV$146,MATCH($A25,'Eurostat EB TJ GWh'!$A$2:$A$146,0),MATCH(AQ$3,'Eurostat EB TJ GWh'!$A$2:$BV$2,0))</f>
        <v>0</v>
      </c>
      <c r="AR25" s="17">
        <f>INDEX('Eurostat EB TJ GWh'!$A$2:$BV$146,MATCH($A25,'Eurostat EB TJ GWh'!$A$2:$A$146,0),MATCH(AR$3,'Eurostat EB TJ GWh'!$A$2:$BV$2,0))</f>
        <v>0</v>
      </c>
      <c r="AS25" s="17">
        <f>INDEX('Eurostat EB TJ GWh'!$A$2:$BV$146,MATCH($A25,'Eurostat EB TJ GWh'!$A$2:$A$146,0),MATCH(AS$3,'Eurostat EB TJ GWh'!$A$2:$BV$2,0))</f>
        <v>0</v>
      </c>
      <c r="AT25" s="17">
        <f>INDEX('Eurostat EB TJ GWh'!$A$2:$BV$146,MATCH($A25,'Eurostat EB TJ GWh'!$A$2:$A$146,0),MATCH(AT$3,'Eurostat EB TJ GWh'!$A$2:$BV$2,0))</f>
        <v>0</v>
      </c>
      <c r="AU25" s="17">
        <f>INDEX('Eurostat EB TJ GWh'!$A$2:$BV$146,MATCH($A25,'Eurostat EB TJ GWh'!$A$2:$A$146,0),MATCH(AU$3,'Eurostat EB TJ GWh'!$A$2:$BV$2,0))</f>
        <v>0</v>
      </c>
      <c r="AV25" s="17">
        <f>INDEX('Eurostat EB TJ GWh'!$A$2:$BV$146,MATCH($A25,'Eurostat EB TJ GWh'!$A$2:$A$146,0),MATCH(AV$2,'Eurostat EB TJ GWh'!$A$2:$BV$2,0))+INDEX('Eurostat EB TJ GWh'!$A$2:$BV$146,MATCH($A25,'Eurostat EB TJ GWh'!$A$2:$A$146,0),MATCH(AV$3,'Eurostat EB TJ GWh'!$A$2:$BV$2,0))</f>
        <v>0</v>
      </c>
      <c r="AW25" s="17">
        <f>INDEX('Eurostat EB TJ GWh'!$A$2:$BV$146,MATCH($A25,'Eurostat EB TJ GWh'!$A$2:$A$146,0),MATCH(AW$2,'Eurostat EB TJ GWh'!$A$2:$BV$2,0))+INDEX('Eurostat EB TJ GWh'!$A$2:$BV$146,MATCH($A25,'Eurostat EB TJ GWh'!$A$2:$A$146,0),MATCH(AW$3,'Eurostat EB TJ GWh'!$A$2:$BV$2,0))</f>
        <v>0</v>
      </c>
      <c r="AX25" s="17">
        <f>INDEX('Eurostat EB TJ GWh'!$A$2:$BV$146,MATCH($A25,'Eurostat EB TJ GWh'!$A$2:$A$146,0),MATCH(AX$3,'Eurostat EB TJ GWh'!$A$2:$BV$2,0))</f>
        <v>0</v>
      </c>
      <c r="AY25" s="72">
        <v>0</v>
      </c>
      <c r="AZ25" s="17">
        <f>INDEX('Eurostat EB TJ GWh'!$A$2:$BV$146,MATCH($A25,'Eurostat EB TJ GWh'!$A$2:$A$146,0),MATCH(AZ$3,'Eurostat EB TJ GWh'!$A$2:$BV$2,0))</f>
        <v>0</v>
      </c>
      <c r="BA25" s="72">
        <v>0</v>
      </c>
      <c r="BB25" s="72">
        <v>0</v>
      </c>
      <c r="BC25" s="17">
        <f>INDEX('Eurostat EB TJ GWh'!$A$2:$BV$146,MATCH($A25,'Eurostat EB TJ GWh'!$A$2:$A$146,0),MATCH(BC$3,'Eurostat EB TJ GWh'!$A$2:$BV$2,0))</f>
        <v>0</v>
      </c>
      <c r="BD25" s="17">
        <f>INDEX('Eurostat EB TJ GWh'!$A$2:$BV$146,MATCH($A25,'Eurostat EB TJ GWh'!$A$2:$A$146,0),MATCH(BD$3,'Eurostat EB TJ GWh'!$A$2:$BV$2,0))</f>
        <v>0</v>
      </c>
      <c r="BE25" s="17">
        <f>INDEX('Eurostat EB TJ GWh'!$A$2:$BV$146,MATCH($A25,'Eurostat EB TJ GWh'!$A$2:$A$146,0),MATCH(BE$3,'Eurostat EB TJ GWh'!$A$2:$BV$2,0))</f>
        <v>0</v>
      </c>
      <c r="BF25" s="17">
        <f>INDEX('Eurostat EB TJ GWh'!$A$2:$BV$146,MATCH($A25,'Eurostat EB TJ GWh'!$A$2:$A$146,0),MATCH(BF$3,'Eurostat EB TJ GWh'!$A$2:$BV$2,0))</f>
        <v>0</v>
      </c>
      <c r="BG25" s="17">
        <f>INDEX('Eurostat EB TJ GWh'!$A$2:$BV$146,MATCH($A25,'Eurostat EB TJ GWh'!$A$2:$A$146,0),MATCH(BG$3,'Eurostat EB TJ GWh'!$A$2:$BV$2,0))</f>
        <v>0</v>
      </c>
      <c r="BH25" s="17">
        <f>INDEX('Eurostat EB TJ GWh'!$A$2:$BV$146,MATCH($A25,'Eurostat EB TJ GWh'!$A$2:$A$146,0),MATCH(BH$3,'Eurostat EB TJ GWh'!$A$2:$BV$2,0))</f>
        <v>0</v>
      </c>
      <c r="BI25" s="17">
        <f>INDEX('Eurostat EB TJ GWh'!$A$2:$BV$146,MATCH($A25,'Eurostat EB TJ GWh'!$A$2:$A$146,0),MATCH(BI$3,'Eurostat EB TJ GWh'!$A$2:$BV$2,0))</f>
        <v>0</v>
      </c>
      <c r="BJ25" s="72">
        <v>0</v>
      </c>
      <c r="BK25" s="17">
        <f>INDEX('Eurostat EB TJ GWh'!$A$2:$BV$146,MATCH($A25,'Eurostat EB TJ GWh'!$A$2:$A$146,0),MATCH(BK$3,'Eurostat EB TJ GWh'!$A$2:$BV$2,0))</f>
        <v>0</v>
      </c>
      <c r="BL25" s="17">
        <f>INDEX('Eurostat EB TJ GWh'!$A$2:$BV$146,MATCH($A25,'Eurostat EB TJ GWh'!$A$2:$A$146,0),MATCH(BL$3,'Eurostat EB TJ GWh'!$A$2:$BV$2,0))</f>
        <v>5650.9250000000002</v>
      </c>
      <c r="BM25" s="17">
        <f>INDEX('Eurostat EB TJ GWh'!$A$2:$BV$146,MATCH($A25,'Eurostat EB TJ GWh'!$A$2:$A$146,0),MATCH(BM$3,'Eurostat EB TJ GWh'!$A$2:$BV$2,0))</f>
        <v>5650.9250000000002</v>
      </c>
      <c r="BN25" s="17">
        <f>INDEX('Eurostat EB TJ GWh'!$A$2:$BV$146,MATCH($A25,'Eurostat EB TJ GWh'!$A$2:$A$146,0),MATCH(BN$3,'Eurostat EB TJ GWh'!$A$2:$BV$2,0))</f>
        <v>1240.4870000000001</v>
      </c>
    </row>
    <row r="26" spans="1:66" x14ac:dyDescent="0.2">
      <c r="A26" s="56" t="s">
        <v>216</v>
      </c>
      <c r="B26" s="65" t="s">
        <v>323</v>
      </c>
      <c r="C26" s="65" t="s">
        <v>323</v>
      </c>
      <c r="D26" s="57">
        <f>INDEX('Eurostat EB TJ GWh'!$A$2:$BV$146,MATCH($A26,'Eurostat EB TJ GWh'!$A$2:$A$146,0),MATCH(D$3,'Eurostat EB TJ GWh'!$A$2:$BV$2,0))</f>
        <v>0</v>
      </c>
      <c r="E26" s="57">
        <f>INDEX('Eurostat EB TJ GWh'!$A$2:$BV$146,MATCH($A26,'Eurostat EB TJ GWh'!$A$2:$A$146,0),MATCH(E$3,'Eurostat EB TJ GWh'!$A$2:$BV$2,0))</f>
        <v>70878.616999999998</v>
      </c>
      <c r="F26" s="57">
        <f>INDEX('Eurostat EB TJ GWh'!$A$2:$BV$146,MATCH($A26,'Eurostat EB TJ GWh'!$A$2:$A$146,0),MATCH(F$3,'Eurostat EB TJ GWh'!$A$2:$BV$2,0))</f>
        <v>0</v>
      </c>
      <c r="G26" s="57">
        <f>INDEX('Eurostat EB TJ GWh'!$A$2:$BV$146,MATCH($A26,'Eurostat EB TJ GWh'!$A$2:$A$146,0),MATCH(G$3,'Eurostat EB TJ GWh'!$A$2:$BV$2,0))</f>
        <v>0</v>
      </c>
      <c r="H26" s="57">
        <f>INDEX('Eurostat EB TJ GWh'!$A$2:$BV$146,MATCH($A26,'Eurostat EB TJ GWh'!$A$2:$A$146,0),MATCH(H$3,'Eurostat EB TJ GWh'!$A$2:$BV$2,0))</f>
        <v>0</v>
      </c>
      <c r="I26" s="57">
        <f>INDEX('Eurostat EB TJ GWh'!$A$2:$BV$146,MATCH($A26,'Eurostat EB TJ GWh'!$A$2:$A$146,0),MATCH(I$3,'Eurostat EB TJ GWh'!$A$2:$BV$2,0))</f>
        <v>0</v>
      </c>
      <c r="J26" s="57">
        <f>INDEX('Eurostat EB TJ GWh'!$A$2:$BV$146,MATCH($A26,'Eurostat EB TJ GWh'!$A$2:$A$146,0),MATCH(J$3,'Eurostat EB TJ GWh'!$A$2:$BV$2,0))</f>
        <v>0</v>
      </c>
      <c r="K26" s="57">
        <f>INDEX('Eurostat EB TJ GWh'!$A$2:$BV$146,MATCH($A26,'Eurostat EB TJ GWh'!$A$2:$A$146,0),MATCH(K$3,'Eurostat EB TJ GWh'!$A$2:$BV$2,0))</f>
        <v>0</v>
      </c>
      <c r="L26" s="57">
        <f>INDEX('Eurostat EB TJ GWh'!$A$2:$BV$146,MATCH($A26,'Eurostat EB TJ GWh'!$A$2:$A$146,0),MATCH(L$3,'Eurostat EB TJ GWh'!$A$2:$BV$2,0))</f>
        <v>0</v>
      </c>
      <c r="M26" s="57">
        <f>INDEX('Eurostat EB TJ GWh'!$A$2:$BV$146,MATCH($A26,'Eurostat EB TJ GWh'!$A$2:$A$146,0),MATCH(M$3,'Eurostat EB TJ GWh'!$A$2:$BV$2,0))</f>
        <v>0</v>
      </c>
      <c r="N26" s="57">
        <f>INDEX('Eurostat EB TJ GWh'!$A$2:$BV$146,MATCH($A26,'Eurostat EB TJ GWh'!$A$2:$A$146,0),MATCH(N$3,'Eurostat EB TJ GWh'!$A$2:$BV$2,0))</f>
        <v>0</v>
      </c>
      <c r="O26" s="57">
        <f>INDEX('Eurostat EB TJ GWh'!$A$2:$BV$146,MATCH($A26,'Eurostat EB TJ GWh'!$A$2:$A$146,0),MATCH(O$3,'Eurostat EB TJ GWh'!$A$2:$BV$2,0))</f>
        <v>0</v>
      </c>
      <c r="P26" s="57">
        <f>INDEX('Eurostat EB TJ GWh'!$A$2:$BV$146,MATCH($A26,'Eurostat EB TJ GWh'!$A$2:$A$146,0),MATCH(P$3,'Eurostat EB TJ GWh'!$A$2:$BV$2,0))</f>
        <v>0</v>
      </c>
      <c r="Q26" s="57">
        <f>INDEX('Eurostat EB TJ GWh'!$A$2:$BV$146,MATCH($A26,'Eurostat EB TJ GWh'!$A$2:$A$146,0),MATCH(Q$3,'Eurostat EB TJ GWh'!$A$2:$BV$2,0))</f>
        <v>0</v>
      </c>
      <c r="R26" s="57">
        <f>INDEX('Eurostat EB TJ GWh'!$A$2:$BV$146,MATCH($A26,'Eurostat EB TJ GWh'!$A$2:$A$146,0),MATCH(R$2,'Eurostat EB TJ GWh'!$A$2:$BV$2,0))+INDEX('Eurostat EB TJ GWh'!$A$2:$BV$146,MATCH($A26,'Eurostat EB TJ GWh'!$A$2:$A$146,0),MATCH(R$3,'Eurostat EB TJ GWh'!$A$2:$BV$2,0))</f>
        <v>0</v>
      </c>
      <c r="S26" s="57">
        <f>INDEX('Eurostat EB TJ GWh'!$A$2:$BV$146,MATCH($A26,'Eurostat EB TJ GWh'!$A$2:$A$146,0),MATCH(S$3,'Eurostat EB TJ GWh'!$A$2:$BV$2,0))</f>
        <v>0</v>
      </c>
      <c r="T26" s="65" t="s">
        <v>323</v>
      </c>
      <c r="U26" s="57">
        <f>INDEX('Eurostat EB TJ GWh'!$A$2:$BV$146,MATCH($A26,'Eurostat EB TJ GWh'!$A$2:$A$146,0),MATCH(U$3,'Eurostat EB TJ GWh'!$A$2:$BV$2,0))</f>
        <v>0</v>
      </c>
      <c r="V26" s="57">
        <f>INDEX('Eurostat EB TJ GWh'!$A$2:$BV$146,MATCH($A26,'Eurostat EB TJ GWh'!$A$2:$A$146,0),MATCH(V$3,'Eurostat EB TJ GWh'!$A$2:$BV$2,0))</f>
        <v>0</v>
      </c>
      <c r="W26" s="57">
        <f>INDEX('Eurostat EB TJ GWh'!$A$2:$BV$146,MATCH($A26,'Eurostat EB TJ GWh'!$A$2:$A$146,0),MATCH(W$3,'Eurostat EB TJ GWh'!$A$2:$BV$2,0))</f>
        <v>0</v>
      </c>
      <c r="X26" s="57">
        <f>INDEX('Eurostat EB TJ GWh'!$A$2:$BV$146,MATCH($A26,'Eurostat EB TJ GWh'!$A$2:$A$146,0),MATCH(X$3,'Eurostat EB TJ GWh'!$A$2:$BV$2,0))</f>
        <v>0</v>
      </c>
      <c r="Y26" s="57">
        <f>INDEX('Eurostat EB TJ GWh'!$A$2:$BV$146,MATCH($A26,'Eurostat EB TJ GWh'!$A$2:$A$146,0),MATCH(Y$3,'Eurostat EB TJ GWh'!$A$2:$BV$2,0))</f>
        <v>0</v>
      </c>
      <c r="Z26" s="57">
        <f>INDEX('Eurostat EB TJ GWh'!$A$2:$BV$146,MATCH($A26,'Eurostat EB TJ GWh'!$A$2:$A$146,0),MATCH(Z$3,'Eurostat EB TJ GWh'!$A$2:$BV$2,0))</f>
        <v>0</v>
      </c>
      <c r="AA26" s="57">
        <f>INDEX('Eurostat EB TJ GWh'!$A$2:$BV$146,MATCH($A26,'Eurostat EB TJ GWh'!$A$2:$A$146,0),MATCH(AA$3,'Eurostat EB TJ GWh'!$A$2:$BV$2,0))</f>
        <v>0</v>
      </c>
      <c r="AB26" s="57">
        <f>INDEX('Eurostat EB TJ GWh'!$A$2:$BV$146,MATCH($A26,'Eurostat EB TJ GWh'!$A$2:$A$146,0),MATCH(AB$3,'Eurostat EB TJ GWh'!$A$2:$BV$2,0))</f>
        <v>0</v>
      </c>
      <c r="AC26" s="57">
        <f>INDEX('Eurostat EB TJ GWh'!$A$2:$BV$146,MATCH($A26,'Eurostat EB TJ GWh'!$A$2:$A$146,0),MATCH(AC$3,'Eurostat EB TJ GWh'!$A$2:$BV$2,0))</f>
        <v>0</v>
      </c>
      <c r="AD26" s="57">
        <f>INDEX('Eurostat EB TJ GWh'!$A$2:$BV$146,MATCH($A26,'Eurostat EB TJ GWh'!$A$2:$A$146,0),MATCH(AD$3,'Eurostat EB TJ GWh'!$A$2:$BV$2,0))</f>
        <v>0</v>
      </c>
      <c r="AE26" s="57">
        <f>INDEX('Eurostat EB TJ GWh'!$A$2:$BV$146,MATCH($A26,'Eurostat EB TJ GWh'!$A$2:$A$146,0),MATCH(AE$3,'Eurostat EB TJ GWh'!$A$2:$BV$2,0))</f>
        <v>0</v>
      </c>
      <c r="AF26" s="57">
        <f>INDEX('Eurostat EB TJ GWh'!$A$2:$BV$146,MATCH($A26,'Eurostat EB TJ GWh'!$A$2:$A$146,0),MATCH(AF$3,'Eurostat EB TJ GWh'!$A$2:$BV$2,0))</f>
        <v>0</v>
      </c>
      <c r="AG26" s="57">
        <f>INDEX('Eurostat EB TJ GWh'!$A$2:$BV$146,MATCH($A26,'Eurostat EB TJ GWh'!$A$2:$A$146,0),MATCH(AG$3,'Eurostat EB TJ GWh'!$A$2:$BV$2,0))</f>
        <v>0</v>
      </c>
      <c r="AH26" s="57">
        <f>INDEX('Eurostat EB TJ GWh'!$A$2:$BV$146,MATCH($A26,'Eurostat EB TJ GWh'!$A$2:$A$146,0),MATCH(AH$3,'Eurostat EB TJ GWh'!$A$2:$BV$2,0))</f>
        <v>0</v>
      </c>
      <c r="AI26" s="57">
        <f>INDEX('Eurostat EB TJ GWh'!$A$2:$BV$146,MATCH($A26,'Eurostat EB TJ GWh'!$A$2:$A$146,0),MATCH(AI$3,'Eurostat EB TJ GWh'!$A$2:$BV$2,0))</f>
        <v>0</v>
      </c>
      <c r="AJ26" s="57">
        <f>INDEX('Eurostat EB TJ GWh'!$A$2:$BV$146,MATCH($A26,'Eurostat EB TJ GWh'!$A$2:$A$146,0),MATCH(AJ$3,'Eurostat EB TJ GWh'!$A$2:$BV$2,0))</f>
        <v>0</v>
      </c>
      <c r="AK26" s="57">
        <f>INDEX('Eurostat EB TJ GWh'!$A$2:$BV$146,MATCH($A26,'Eurostat EB TJ GWh'!$A$2:$A$146,0),MATCH(AK$3,'Eurostat EB TJ GWh'!$A$2:$BV$2,0))</f>
        <v>0</v>
      </c>
      <c r="AL26" s="57">
        <f>INDEX('Eurostat EB TJ GWh'!$A$2:$BV$146,MATCH($A26,'Eurostat EB TJ GWh'!$A$2:$A$146,0),MATCH(AL$3,'Eurostat EB TJ GWh'!$A$2:$BV$2,0))</f>
        <v>0</v>
      </c>
      <c r="AM26" s="57">
        <f>INDEX('Eurostat EB TJ GWh'!$A$2:$BV$146,MATCH($A26,'Eurostat EB TJ GWh'!$A$2:$A$146,0),MATCH(AM$3,'Eurostat EB TJ GWh'!$A$2:$BV$2,0))</f>
        <v>0</v>
      </c>
      <c r="AN26" s="57">
        <f>INDEX('Eurostat EB TJ GWh'!$A$2:$BV$146,MATCH($A26,'Eurostat EB TJ GWh'!$A$2:$A$146,0),MATCH(AN$3,'Eurostat EB TJ GWh'!$A$2:$BV$2,0))</f>
        <v>0</v>
      </c>
      <c r="AO26" s="57">
        <f>INDEX('Eurostat EB TJ GWh'!$A$2:$BV$146,MATCH($A26,'Eurostat EB TJ GWh'!$A$2:$A$146,0),MATCH(AO$3,'Eurostat EB TJ GWh'!$A$2:$BV$2,0))</f>
        <v>0</v>
      </c>
      <c r="AP26" s="57">
        <f>INDEX('Eurostat EB TJ GWh'!$A$2:$BV$146,MATCH($A26,'Eurostat EB TJ GWh'!$A$2:$A$146,0),MATCH(AP$3,'Eurostat EB TJ GWh'!$A$2:$BV$2,0))</f>
        <v>0</v>
      </c>
      <c r="AQ26" s="57">
        <f>INDEX('Eurostat EB TJ GWh'!$A$2:$BV$146,MATCH($A26,'Eurostat EB TJ GWh'!$A$2:$A$146,0),MATCH(AQ$3,'Eurostat EB TJ GWh'!$A$2:$BV$2,0))</f>
        <v>0</v>
      </c>
      <c r="AR26" s="57">
        <f>INDEX('Eurostat EB TJ GWh'!$A$2:$BV$146,MATCH($A26,'Eurostat EB TJ GWh'!$A$2:$A$146,0),MATCH(AR$3,'Eurostat EB TJ GWh'!$A$2:$BV$2,0))</f>
        <v>0</v>
      </c>
      <c r="AS26" s="57">
        <f>INDEX('Eurostat EB TJ GWh'!$A$2:$BV$146,MATCH($A26,'Eurostat EB TJ GWh'!$A$2:$A$146,0),MATCH(AS$3,'Eurostat EB TJ GWh'!$A$2:$BV$2,0))</f>
        <v>0</v>
      </c>
      <c r="AT26" s="57">
        <f>INDEX('Eurostat EB TJ GWh'!$A$2:$BV$146,MATCH($A26,'Eurostat EB TJ GWh'!$A$2:$A$146,0),MATCH(AT$3,'Eurostat EB TJ GWh'!$A$2:$BV$2,0))</f>
        <v>0</v>
      </c>
      <c r="AU26" s="57">
        <f>INDEX('Eurostat EB TJ GWh'!$A$2:$BV$146,MATCH($A26,'Eurostat EB TJ GWh'!$A$2:$A$146,0),MATCH(AU$3,'Eurostat EB TJ GWh'!$A$2:$BV$2,0))</f>
        <v>0</v>
      </c>
      <c r="AV26" s="57">
        <f>INDEX('Eurostat EB TJ GWh'!$A$2:$BV$146,MATCH($A26,'Eurostat EB TJ GWh'!$A$2:$A$146,0),MATCH(AV$2,'Eurostat EB TJ GWh'!$A$2:$BV$2,0))+INDEX('Eurostat EB TJ GWh'!$A$2:$BV$146,MATCH($A26,'Eurostat EB TJ GWh'!$A$2:$A$146,0),MATCH(AV$3,'Eurostat EB TJ GWh'!$A$2:$BV$2,0))</f>
        <v>0</v>
      </c>
      <c r="AW26" s="57">
        <f>INDEX('Eurostat EB TJ GWh'!$A$2:$BV$146,MATCH($A26,'Eurostat EB TJ GWh'!$A$2:$A$146,0),MATCH(AW$2,'Eurostat EB TJ GWh'!$A$2:$BV$2,0))+INDEX('Eurostat EB TJ GWh'!$A$2:$BV$146,MATCH($A26,'Eurostat EB TJ GWh'!$A$2:$A$146,0),MATCH(AW$3,'Eurostat EB TJ GWh'!$A$2:$BV$2,0))</f>
        <v>0</v>
      </c>
      <c r="AX26" s="57">
        <f>INDEX('Eurostat EB TJ GWh'!$A$2:$BV$146,MATCH($A26,'Eurostat EB TJ GWh'!$A$2:$A$146,0),MATCH(AX$3,'Eurostat EB TJ GWh'!$A$2:$BV$2,0))</f>
        <v>0</v>
      </c>
      <c r="AY26" s="65">
        <v>0</v>
      </c>
      <c r="AZ26" s="57">
        <f>INDEX('Eurostat EB TJ GWh'!$A$2:$BV$146,MATCH($A26,'Eurostat EB TJ GWh'!$A$2:$A$146,0),MATCH(AZ$3,'Eurostat EB TJ GWh'!$A$2:$BV$2,0))</f>
        <v>0</v>
      </c>
      <c r="BA26" s="65">
        <v>0</v>
      </c>
      <c r="BB26" s="65">
        <v>0</v>
      </c>
      <c r="BC26" s="57">
        <f>INDEX('Eurostat EB TJ GWh'!$A$2:$BV$146,MATCH($A26,'Eurostat EB TJ GWh'!$A$2:$A$146,0),MATCH(BC$3,'Eurostat EB TJ GWh'!$A$2:$BV$2,0))</f>
        <v>0</v>
      </c>
      <c r="BD26" s="57">
        <f>INDEX('Eurostat EB TJ GWh'!$A$2:$BV$146,MATCH($A26,'Eurostat EB TJ GWh'!$A$2:$A$146,0),MATCH(BD$3,'Eurostat EB TJ GWh'!$A$2:$BV$2,0))</f>
        <v>0</v>
      </c>
      <c r="BE26" s="57">
        <f>INDEX('Eurostat EB TJ GWh'!$A$2:$BV$146,MATCH($A26,'Eurostat EB TJ GWh'!$A$2:$A$146,0),MATCH(BE$3,'Eurostat EB TJ GWh'!$A$2:$BV$2,0))</f>
        <v>0</v>
      </c>
      <c r="BF26" s="57">
        <f>INDEX('Eurostat EB TJ GWh'!$A$2:$BV$146,MATCH($A26,'Eurostat EB TJ GWh'!$A$2:$A$146,0),MATCH(BF$3,'Eurostat EB TJ GWh'!$A$2:$BV$2,0))</f>
        <v>0</v>
      </c>
      <c r="BG26" s="57">
        <f>INDEX('Eurostat EB TJ GWh'!$A$2:$BV$146,MATCH($A26,'Eurostat EB TJ GWh'!$A$2:$A$146,0),MATCH(BG$3,'Eurostat EB TJ GWh'!$A$2:$BV$2,0))</f>
        <v>0</v>
      </c>
      <c r="BH26" s="57">
        <f>INDEX('Eurostat EB TJ GWh'!$A$2:$BV$146,MATCH($A26,'Eurostat EB TJ GWh'!$A$2:$A$146,0),MATCH(BH$3,'Eurostat EB TJ GWh'!$A$2:$BV$2,0))</f>
        <v>0</v>
      </c>
      <c r="BI26" s="57">
        <f>INDEX('Eurostat EB TJ GWh'!$A$2:$BV$146,MATCH($A26,'Eurostat EB TJ GWh'!$A$2:$A$146,0),MATCH(BI$3,'Eurostat EB TJ GWh'!$A$2:$BV$2,0))</f>
        <v>0</v>
      </c>
      <c r="BJ26" s="65">
        <v>0</v>
      </c>
      <c r="BK26" s="57">
        <f>INDEX('Eurostat EB TJ GWh'!$A$2:$BV$146,MATCH($A26,'Eurostat EB TJ GWh'!$A$2:$A$146,0),MATCH(BK$3,'Eurostat EB TJ GWh'!$A$2:$BV$2,0))</f>
        <v>0</v>
      </c>
      <c r="BL26" s="57">
        <f>INDEX('Eurostat EB TJ GWh'!$A$2:$BV$146,MATCH($A26,'Eurostat EB TJ GWh'!$A$2:$A$146,0),MATCH(BL$3,'Eurostat EB TJ GWh'!$A$2:$BV$2,0))</f>
        <v>0</v>
      </c>
      <c r="BM26" s="57">
        <f>INDEX('Eurostat EB TJ GWh'!$A$2:$BV$146,MATCH($A26,'Eurostat EB TJ GWh'!$A$2:$A$146,0),MATCH(BM$3,'Eurostat EB TJ GWh'!$A$2:$BV$2,0))</f>
        <v>70878.616999999998</v>
      </c>
      <c r="BN26" s="57">
        <f>INDEX('Eurostat EB TJ GWh'!$A$2:$BV$146,MATCH($A26,'Eurostat EB TJ GWh'!$A$2:$A$146,0),MATCH(BN$3,'Eurostat EB TJ GWh'!$A$2:$BV$2,0))</f>
        <v>0</v>
      </c>
    </row>
    <row r="27" spans="1:66" x14ac:dyDescent="0.2">
      <c r="A27" s="56" t="s">
        <v>217</v>
      </c>
      <c r="B27" s="65" t="s">
        <v>323</v>
      </c>
      <c r="C27" s="65" t="s">
        <v>323</v>
      </c>
      <c r="D27" s="17">
        <f>INDEX('Eurostat EB TJ GWh'!$A$2:$BV$146,MATCH($A27,'Eurostat EB TJ GWh'!$A$2:$A$146,0),MATCH(D$3,'Eurostat EB TJ GWh'!$A$2:$BV$2,0))</f>
        <v>0</v>
      </c>
      <c r="E27" s="17">
        <f>INDEX('Eurostat EB TJ GWh'!$A$2:$BV$146,MATCH($A27,'Eurostat EB TJ GWh'!$A$2:$A$146,0),MATCH(E$3,'Eurostat EB TJ GWh'!$A$2:$BV$2,0))</f>
        <v>28264.494999999999</v>
      </c>
      <c r="F27" s="17">
        <f>INDEX('Eurostat EB TJ GWh'!$A$2:$BV$146,MATCH($A27,'Eurostat EB TJ GWh'!$A$2:$A$146,0),MATCH(F$3,'Eurostat EB TJ GWh'!$A$2:$BV$2,0))</f>
        <v>0</v>
      </c>
      <c r="G27" s="17">
        <f>INDEX('Eurostat EB TJ GWh'!$A$2:$BV$146,MATCH($A27,'Eurostat EB TJ GWh'!$A$2:$A$146,0),MATCH(G$3,'Eurostat EB TJ GWh'!$A$2:$BV$2,0))</f>
        <v>0</v>
      </c>
      <c r="H27" s="17">
        <f>INDEX('Eurostat EB TJ GWh'!$A$2:$BV$146,MATCH($A27,'Eurostat EB TJ GWh'!$A$2:$A$146,0),MATCH(H$3,'Eurostat EB TJ GWh'!$A$2:$BV$2,0))</f>
        <v>0</v>
      </c>
      <c r="I27" s="17">
        <f>INDEX('Eurostat EB TJ GWh'!$A$2:$BV$146,MATCH($A27,'Eurostat EB TJ GWh'!$A$2:$A$146,0),MATCH(I$3,'Eurostat EB TJ GWh'!$A$2:$BV$2,0))</f>
        <v>0</v>
      </c>
      <c r="J27" s="17">
        <f>INDEX('Eurostat EB TJ GWh'!$A$2:$BV$146,MATCH($A27,'Eurostat EB TJ GWh'!$A$2:$A$146,0),MATCH(J$3,'Eurostat EB TJ GWh'!$A$2:$BV$2,0))</f>
        <v>35544.002999999997</v>
      </c>
      <c r="K27" s="17">
        <f>INDEX('Eurostat EB TJ GWh'!$A$2:$BV$146,MATCH($A27,'Eurostat EB TJ GWh'!$A$2:$A$146,0),MATCH(K$3,'Eurostat EB TJ GWh'!$A$2:$BV$2,0))</f>
        <v>0</v>
      </c>
      <c r="L27" s="17">
        <f>INDEX('Eurostat EB TJ GWh'!$A$2:$BV$146,MATCH($A27,'Eurostat EB TJ GWh'!$A$2:$A$146,0),MATCH(L$3,'Eurostat EB TJ GWh'!$A$2:$BV$2,0))</f>
        <v>0</v>
      </c>
      <c r="M27" s="17">
        <f>INDEX('Eurostat EB TJ GWh'!$A$2:$BV$146,MATCH($A27,'Eurostat EB TJ GWh'!$A$2:$A$146,0),MATCH(M$3,'Eurostat EB TJ GWh'!$A$2:$BV$2,0))</f>
        <v>0</v>
      </c>
      <c r="N27" s="17">
        <f>INDEX('Eurostat EB TJ GWh'!$A$2:$BV$146,MATCH($A27,'Eurostat EB TJ GWh'!$A$2:$A$146,0),MATCH(N$3,'Eurostat EB TJ GWh'!$A$2:$BV$2,0))</f>
        <v>0</v>
      </c>
      <c r="O27" s="17">
        <f>INDEX('Eurostat EB TJ GWh'!$A$2:$BV$146,MATCH($A27,'Eurostat EB TJ GWh'!$A$2:$A$146,0),MATCH(O$3,'Eurostat EB TJ GWh'!$A$2:$BV$2,0))</f>
        <v>0</v>
      </c>
      <c r="P27" s="17">
        <f>INDEX('Eurostat EB TJ GWh'!$A$2:$BV$146,MATCH($A27,'Eurostat EB TJ GWh'!$A$2:$A$146,0),MATCH(P$3,'Eurostat EB TJ GWh'!$A$2:$BV$2,0))</f>
        <v>0</v>
      </c>
      <c r="Q27" s="17">
        <f>INDEX('Eurostat EB TJ GWh'!$A$2:$BV$146,MATCH($A27,'Eurostat EB TJ GWh'!$A$2:$A$146,0),MATCH(Q$3,'Eurostat EB TJ GWh'!$A$2:$BV$2,0))</f>
        <v>0</v>
      </c>
      <c r="R27" s="17">
        <f>INDEX('Eurostat EB TJ GWh'!$A$2:$BV$146,MATCH($A27,'Eurostat EB TJ GWh'!$A$2:$A$146,0),MATCH(R$2,'Eurostat EB TJ GWh'!$A$2:$BV$2,0))+INDEX('Eurostat EB TJ GWh'!$A$2:$BV$146,MATCH($A27,'Eurostat EB TJ GWh'!$A$2:$A$146,0),MATCH(R$3,'Eurostat EB TJ GWh'!$A$2:$BV$2,0))</f>
        <v>0</v>
      </c>
      <c r="S27" s="17">
        <f>INDEX('Eurostat EB TJ GWh'!$A$2:$BV$146,MATCH($A27,'Eurostat EB TJ GWh'!$A$2:$A$146,0),MATCH(S$3,'Eurostat EB TJ GWh'!$A$2:$BV$2,0))</f>
        <v>0</v>
      </c>
      <c r="T27" s="65" t="s">
        <v>323</v>
      </c>
      <c r="U27" s="17">
        <f>INDEX('Eurostat EB TJ GWh'!$A$2:$BV$146,MATCH($A27,'Eurostat EB TJ GWh'!$A$2:$A$146,0),MATCH(U$3,'Eurostat EB TJ GWh'!$A$2:$BV$2,0))</f>
        <v>0</v>
      </c>
      <c r="V27" s="17">
        <f>INDEX('Eurostat EB TJ GWh'!$A$2:$BV$146,MATCH($A27,'Eurostat EB TJ GWh'!$A$2:$A$146,0),MATCH(V$3,'Eurostat EB TJ GWh'!$A$2:$BV$2,0))</f>
        <v>0</v>
      </c>
      <c r="W27" s="17">
        <f>INDEX('Eurostat EB TJ GWh'!$A$2:$BV$146,MATCH($A27,'Eurostat EB TJ GWh'!$A$2:$A$146,0),MATCH(W$3,'Eurostat EB TJ GWh'!$A$2:$BV$2,0))</f>
        <v>0</v>
      </c>
      <c r="X27" s="17">
        <f>INDEX('Eurostat EB TJ GWh'!$A$2:$BV$146,MATCH($A27,'Eurostat EB TJ GWh'!$A$2:$A$146,0),MATCH(X$3,'Eurostat EB TJ GWh'!$A$2:$BV$2,0))</f>
        <v>0</v>
      </c>
      <c r="Y27" s="17">
        <f>INDEX('Eurostat EB TJ GWh'!$A$2:$BV$146,MATCH($A27,'Eurostat EB TJ GWh'!$A$2:$A$146,0),MATCH(Y$3,'Eurostat EB TJ GWh'!$A$2:$BV$2,0))</f>
        <v>0</v>
      </c>
      <c r="Z27" s="17">
        <f>INDEX('Eurostat EB TJ GWh'!$A$2:$BV$146,MATCH($A27,'Eurostat EB TJ GWh'!$A$2:$A$146,0),MATCH(Z$3,'Eurostat EB TJ GWh'!$A$2:$BV$2,0))</f>
        <v>0</v>
      </c>
      <c r="AA27" s="17">
        <f>INDEX('Eurostat EB TJ GWh'!$A$2:$BV$146,MATCH($A27,'Eurostat EB TJ GWh'!$A$2:$A$146,0),MATCH(AA$3,'Eurostat EB TJ GWh'!$A$2:$BV$2,0))</f>
        <v>0</v>
      </c>
      <c r="AB27" s="17">
        <f>INDEX('Eurostat EB TJ GWh'!$A$2:$BV$146,MATCH($A27,'Eurostat EB TJ GWh'!$A$2:$A$146,0),MATCH(AB$3,'Eurostat EB TJ GWh'!$A$2:$BV$2,0))</f>
        <v>0</v>
      </c>
      <c r="AC27" s="17">
        <f>INDEX('Eurostat EB TJ GWh'!$A$2:$BV$146,MATCH($A27,'Eurostat EB TJ GWh'!$A$2:$A$146,0),MATCH(AC$3,'Eurostat EB TJ GWh'!$A$2:$BV$2,0))</f>
        <v>0</v>
      </c>
      <c r="AD27" s="17">
        <f>INDEX('Eurostat EB TJ GWh'!$A$2:$BV$146,MATCH($A27,'Eurostat EB TJ GWh'!$A$2:$A$146,0),MATCH(AD$3,'Eurostat EB TJ GWh'!$A$2:$BV$2,0))</f>
        <v>0</v>
      </c>
      <c r="AE27" s="17">
        <f>INDEX('Eurostat EB TJ GWh'!$A$2:$BV$146,MATCH($A27,'Eurostat EB TJ GWh'!$A$2:$A$146,0),MATCH(AE$3,'Eurostat EB TJ GWh'!$A$2:$BV$2,0))</f>
        <v>0</v>
      </c>
      <c r="AF27" s="17">
        <f>INDEX('Eurostat EB TJ GWh'!$A$2:$BV$146,MATCH($A27,'Eurostat EB TJ GWh'!$A$2:$A$146,0),MATCH(AF$3,'Eurostat EB TJ GWh'!$A$2:$BV$2,0))</f>
        <v>0</v>
      </c>
      <c r="AG27" s="17">
        <f>INDEX('Eurostat EB TJ GWh'!$A$2:$BV$146,MATCH($A27,'Eurostat EB TJ GWh'!$A$2:$A$146,0),MATCH(AG$3,'Eurostat EB TJ GWh'!$A$2:$BV$2,0))</f>
        <v>0</v>
      </c>
      <c r="AH27" s="17">
        <f>INDEX('Eurostat EB TJ GWh'!$A$2:$BV$146,MATCH($A27,'Eurostat EB TJ GWh'!$A$2:$A$146,0),MATCH(AH$3,'Eurostat EB TJ GWh'!$A$2:$BV$2,0))</f>
        <v>0</v>
      </c>
      <c r="AI27" s="17">
        <f>INDEX('Eurostat EB TJ GWh'!$A$2:$BV$146,MATCH($A27,'Eurostat EB TJ GWh'!$A$2:$A$146,0),MATCH(AI$3,'Eurostat EB TJ GWh'!$A$2:$BV$2,0))</f>
        <v>0</v>
      </c>
      <c r="AJ27" s="17">
        <f>INDEX('Eurostat EB TJ GWh'!$A$2:$BV$146,MATCH($A27,'Eurostat EB TJ GWh'!$A$2:$A$146,0),MATCH(AJ$3,'Eurostat EB TJ GWh'!$A$2:$BV$2,0))</f>
        <v>0</v>
      </c>
      <c r="AK27" s="17">
        <f>INDEX('Eurostat EB TJ GWh'!$A$2:$BV$146,MATCH($A27,'Eurostat EB TJ GWh'!$A$2:$A$146,0),MATCH(AK$3,'Eurostat EB TJ GWh'!$A$2:$BV$2,0))</f>
        <v>0</v>
      </c>
      <c r="AL27" s="17">
        <f>INDEX('Eurostat EB TJ GWh'!$A$2:$BV$146,MATCH($A27,'Eurostat EB TJ GWh'!$A$2:$A$146,0),MATCH(AL$3,'Eurostat EB TJ GWh'!$A$2:$BV$2,0))</f>
        <v>0</v>
      </c>
      <c r="AM27" s="17">
        <f>INDEX('Eurostat EB TJ GWh'!$A$2:$BV$146,MATCH($A27,'Eurostat EB TJ GWh'!$A$2:$A$146,0),MATCH(AM$3,'Eurostat EB TJ GWh'!$A$2:$BV$2,0))</f>
        <v>0</v>
      </c>
      <c r="AN27" s="17">
        <f>INDEX('Eurostat EB TJ GWh'!$A$2:$BV$146,MATCH($A27,'Eurostat EB TJ GWh'!$A$2:$A$146,0),MATCH(AN$3,'Eurostat EB TJ GWh'!$A$2:$BV$2,0))</f>
        <v>0</v>
      </c>
      <c r="AO27" s="17">
        <f>INDEX('Eurostat EB TJ GWh'!$A$2:$BV$146,MATCH($A27,'Eurostat EB TJ GWh'!$A$2:$A$146,0),MATCH(AO$3,'Eurostat EB TJ GWh'!$A$2:$BV$2,0))</f>
        <v>0</v>
      </c>
      <c r="AP27" s="17">
        <f>INDEX('Eurostat EB TJ GWh'!$A$2:$BV$146,MATCH($A27,'Eurostat EB TJ GWh'!$A$2:$A$146,0),MATCH(AP$3,'Eurostat EB TJ GWh'!$A$2:$BV$2,0))</f>
        <v>0</v>
      </c>
      <c r="AQ27" s="17">
        <f>INDEX('Eurostat EB TJ GWh'!$A$2:$BV$146,MATCH($A27,'Eurostat EB TJ GWh'!$A$2:$A$146,0),MATCH(AQ$3,'Eurostat EB TJ GWh'!$A$2:$BV$2,0))</f>
        <v>0</v>
      </c>
      <c r="AR27" s="17">
        <f>INDEX('Eurostat EB TJ GWh'!$A$2:$BV$146,MATCH($A27,'Eurostat EB TJ GWh'!$A$2:$A$146,0),MATCH(AR$3,'Eurostat EB TJ GWh'!$A$2:$BV$2,0))</f>
        <v>0</v>
      </c>
      <c r="AS27" s="17">
        <f>INDEX('Eurostat EB TJ GWh'!$A$2:$BV$146,MATCH($A27,'Eurostat EB TJ GWh'!$A$2:$A$146,0),MATCH(AS$3,'Eurostat EB TJ GWh'!$A$2:$BV$2,0))</f>
        <v>0</v>
      </c>
      <c r="AT27" s="17">
        <f>INDEX('Eurostat EB TJ GWh'!$A$2:$BV$146,MATCH($A27,'Eurostat EB TJ GWh'!$A$2:$A$146,0),MATCH(AT$3,'Eurostat EB TJ GWh'!$A$2:$BV$2,0))</f>
        <v>0</v>
      </c>
      <c r="AU27" s="17">
        <f>INDEX('Eurostat EB TJ GWh'!$A$2:$BV$146,MATCH($A27,'Eurostat EB TJ GWh'!$A$2:$A$146,0),MATCH(AU$3,'Eurostat EB TJ GWh'!$A$2:$BV$2,0))</f>
        <v>0</v>
      </c>
      <c r="AV27" s="17">
        <f>INDEX('Eurostat EB TJ GWh'!$A$2:$BV$146,MATCH($A27,'Eurostat EB TJ GWh'!$A$2:$A$146,0),MATCH(AV$2,'Eurostat EB TJ GWh'!$A$2:$BV$2,0))+INDEX('Eurostat EB TJ GWh'!$A$2:$BV$146,MATCH($A27,'Eurostat EB TJ GWh'!$A$2:$A$146,0),MATCH(AV$3,'Eurostat EB TJ GWh'!$A$2:$BV$2,0))</f>
        <v>0</v>
      </c>
      <c r="AW27" s="17">
        <f>INDEX('Eurostat EB TJ GWh'!$A$2:$BV$146,MATCH($A27,'Eurostat EB TJ GWh'!$A$2:$A$146,0),MATCH(AW$2,'Eurostat EB TJ GWh'!$A$2:$BV$2,0))+INDEX('Eurostat EB TJ GWh'!$A$2:$BV$146,MATCH($A27,'Eurostat EB TJ GWh'!$A$2:$A$146,0),MATCH(AW$3,'Eurostat EB TJ GWh'!$A$2:$BV$2,0))</f>
        <v>0</v>
      </c>
      <c r="AX27" s="17">
        <f>INDEX('Eurostat EB TJ GWh'!$A$2:$BV$146,MATCH($A27,'Eurostat EB TJ GWh'!$A$2:$A$146,0),MATCH(AX$3,'Eurostat EB TJ GWh'!$A$2:$BV$2,0))</f>
        <v>0</v>
      </c>
      <c r="AY27" s="65">
        <v>0</v>
      </c>
      <c r="AZ27" s="17">
        <f>INDEX('Eurostat EB TJ GWh'!$A$2:$BV$146,MATCH($A27,'Eurostat EB TJ GWh'!$A$2:$A$146,0),MATCH(AZ$3,'Eurostat EB TJ GWh'!$A$2:$BV$2,0))</f>
        <v>0</v>
      </c>
      <c r="BA27" s="65">
        <v>0</v>
      </c>
      <c r="BB27" s="65">
        <v>0</v>
      </c>
      <c r="BC27" s="17">
        <f>INDEX('Eurostat EB TJ GWh'!$A$2:$BV$146,MATCH($A27,'Eurostat EB TJ GWh'!$A$2:$A$146,0),MATCH(BC$3,'Eurostat EB TJ GWh'!$A$2:$BV$2,0))</f>
        <v>0</v>
      </c>
      <c r="BD27" s="17">
        <f>INDEX('Eurostat EB TJ GWh'!$A$2:$BV$146,MATCH($A27,'Eurostat EB TJ GWh'!$A$2:$A$146,0),MATCH(BD$3,'Eurostat EB TJ GWh'!$A$2:$BV$2,0))</f>
        <v>0</v>
      </c>
      <c r="BE27" s="17">
        <f>INDEX('Eurostat EB TJ GWh'!$A$2:$BV$146,MATCH($A27,'Eurostat EB TJ GWh'!$A$2:$A$146,0),MATCH(BE$3,'Eurostat EB TJ GWh'!$A$2:$BV$2,0))</f>
        <v>0</v>
      </c>
      <c r="BF27" s="17">
        <f>INDEX('Eurostat EB TJ GWh'!$A$2:$BV$146,MATCH($A27,'Eurostat EB TJ GWh'!$A$2:$A$146,0),MATCH(BF$3,'Eurostat EB TJ GWh'!$A$2:$BV$2,0))</f>
        <v>0</v>
      </c>
      <c r="BG27" s="17">
        <f>INDEX('Eurostat EB TJ GWh'!$A$2:$BV$146,MATCH($A27,'Eurostat EB TJ GWh'!$A$2:$A$146,0),MATCH(BG$3,'Eurostat EB TJ GWh'!$A$2:$BV$2,0))</f>
        <v>0</v>
      </c>
      <c r="BH27" s="17">
        <f>INDEX('Eurostat EB TJ GWh'!$A$2:$BV$146,MATCH($A27,'Eurostat EB TJ GWh'!$A$2:$A$146,0),MATCH(BH$3,'Eurostat EB TJ GWh'!$A$2:$BV$2,0))</f>
        <v>0</v>
      </c>
      <c r="BI27" s="17">
        <f>INDEX('Eurostat EB TJ GWh'!$A$2:$BV$146,MATCH($A27,'Eurostat EB TJ GWh'!$A$2:$A$146,0),MATCH(BI$3,'Eurostat EB TJ GWh'!$A$2:$BV$2,0))</f>
        <v>0</v>
      </c>
      <c r="BJ27" s="65">
        <v>0</v>
      </c>
      <c r="BK27" s="17">
        <f>INDEX('Eurostat EB TJ GWh'!$A$2:$BV$146,MATCH($A27,'Eurostat EB TJ GWh'!$A$2:$A$146,0),MATCH(BK$3,'Eurostat EB TJ GWh'!$A$2:$BV$2,0))</f>
        <v>0</v>
      </c>
      <c r="BL27" s="17">
        <f>INDEX('Eurostat EB TJ GWh'!$A$2:$BV$146,MATCH($A27,'Eurostat EB TJ GWh'!$A$2:$A$146,0),MATCH(BL$3,'Eurostat EB TJ GWh'!$A$2:$BV$2,0))</f>
        <v>0</v>
      </c>
      <c r="BM27" s="17">
        <f>INDEX('Eurostat EB TJ GWh'!$A$2:$BV$146,MATCH($A27,'Eurostat EB TJ GWh'!$A$2:$A$146,0),MATCH(BM$3,'Eurostat EB TJ GWh'!$A$2:$BV$2,0))</f>
        <v>63808.498</v>
      </c>
      <c r="BN27" s="17">
        <f>INDEX('Eurostat EB TJ GWh'!$A$2:$BV$146,MATCH($A27,'Eurostat EB TJ GWh'!$A$2:$A$146,0),MATCH(BN$3,'Eurostat EB TJ GWh'!$A$2:$BV$2,0))</f>
        <v>0</v>
      </c>
    </row>
    <row r="28" spans="1:66" x14ac:dyDescent="0.2">
      <c r="A28" s="56" t="s">
        <v>218</v>
      </c>
      <c r="B28" s="65" t="s">
        <v>323</v>
      </c>
      <c r="C28" s="65" t="s">
        <v>323</v>
      </c>
      <c r="D28" s="57">
        <f>INDEX('Eurostat EB TJ GWh'!$A$2:$BV$146,MATCH($A28,'Eurostat EB TJ GWh'!$A$2:$A$146,0),MATCH(D$3,'Eurostat EB TJ GWh'!$A$2:$BV$2,0))</f>
        <v>0</v>
      </c>
      <c r="E28" s="57">
        <f>INDEX('Eurostat EB TJ GWh'!$A$2:$BV$146,MATCH($A28,'Eurostat EB TJ GWh'!$A$2:$A$146,0),MATCH(E$3,'Eurostat EB TJ GWh'!$A$2:$BV$2,0))</f>
        <v>0</v>
      </c>
      <c r="F28" s="57">
        <f>INDEX('Eurostat EB TJ GWh'!$A$2:$BV$146,MATCH($A28,'Eurostat EB TJ GWh'!$A$2:$A$146,0),MATCH(F$3,'Eurostat EB TJ GWh'!$A$2:$BV$2,0))</f>
        <v>0</v>
      </c>
      <c r="G28" s="57">
        <f>INDEX('Eurostat EB TJ GWh'!$A$2:$BV$146,MATCH($A28,'Eurostat EB TJ GWh'!$A$2:$A$146,0),MATCH(G$3,'Eurostat EB TJ GWh'!$A$2:$BV$2,0))</f>
        <v>0</v>
      </c>
      <c r="H28" s="57">
        <f>INDEX('Eurostat EB TJ GWh'!$A$2:$BV$146,MATCH($A28,'Eurostat EB TJ GWh'!$A$2:$A$146,0),MATCH(H$3,'Eurostat EB TJ GWh'!$A$2:$BV$2,0))</f>
        <v>0</v>
      </c>
      <c r="I28" s="57">
        <f>INDEX('Eurostat EB TJ GWh'!$A$2:$BV$146,MATCH($A28,'Eurostat EB TJ GWh'!$A$2:$A$146,0),MATCH(I$3,'Eurostat EB TJ GWh'!$A$2:$BV$2,0))</f>
        <v>0</v>
      </c>
      <c r="J28" s="57">
        <f>INDEX('Eurostat EB TJ GWh'!$A$2:$BV$146,MATCH($A28,'Eurostat EB TJ GWh'!$A$2:$A$146,0),MATCH(J$3,'Eurostat EB TJ GWh'!$A$2:$BV$2,0))</f>
        <v>0</v>
      </c>
      <c r="K28" s="57">
        <f>INDEX('Eurostat EB TJ GWh'!$A$2:$BV$146,MATCH($A28,'Eurostat EB TJ GWh'!$A$2:$A$146,0),MATCH(K$3,'Eurostat EB TJ GWh'!$A$2:$BV$2,0))</f>
        <v>0</v>
      </c>
      <c r="L28" s="57">
        <f>INDEX('Eurostat EB TJ GWh'!$A$2:$BV$146,MATCH($A28,'Eurostat EB TJ GWh'!$A$2:$A$146,0),MATCH(L$3,'Eurostat EB TJ GWh'!$A$2:$BV$2,0))</f>
        <v>0</v>
      </c>
      <c r="M28" s="57">
        <f>INDEX('Eurostat EB TJ GWh'!$A$2:$BV$146,MATCH($A28,'Eurostat EB TJ GWh'!$A$2:$A$146,0),MATCH(M$3,'Eurostat EB TJ GWh'!$A$2:$BV$2,0))</f>
        <v>0</v>
      </c>
      <c r="N28" s="57">
        <f>INDEX('Eurostat EB TJ GWh'!$A$2:$BV$146,MATCH($A28,'Eurostat EB TJ GWh'!$A$2:$A$146,0),MATCH(N$3,'Eurostat EB TJ GWh'!$A$2:$BV$2,0))</f>
        <v>0</v>
      </c>
      <c r="O28" s="57">
        <f>INDEX('Eurostat EB TJ GWh'!$A$2:$BV$146,MATCH($A28,'Eurostat EB TJ GWh'!$A$2:$A$146,0),MATCH(O$3,'Eurostat EB TJ GWh'!$A$2:$BV$2,0))</f>
        <v>0</v>
      </c>
      <c r="P28" s="57">
        <f>INDEX('Eurostat EB TJ GWh'!$A$2:$BV$146,MATCH($A28,'Eurostat EB TJ GWh'!$A$2:$A$146,0),MATCH(P$3,'Eurostat EB TJ GWh'!$A$2:$BV$2,0))</f>
        <v>0</v>
      </c>
      <c r="Q28" s="57">
        <f>INDEX('Eurostat EB TJ GWh'!$A$2:$BV$146,MATCH($A28,'Eurostat EB TJ GWh'!$A$2:$A$146,0),MATCH(Q$3,'Eurostat EB TJ GWh'!$A$2:$BV$2,0))</f>
        <v>0</v>
      </c>
      <c r="R28" s="57">
        <f>INDEX('Eurostat EB TJ GWh'!$A$2:$BV$146,MATCH($A28,'Eurostat EB TJ GWh'!$A$2:$A$146,0),MATCH(R$2,'Eurostat EB TJ GWh'!$A$2:$BV$2,0))+INDEX('Eurostat EB TJ GWh'!$A$2:$BV$146,MATCH($A28,'Eurostat EB TJ GWh'!$A$2:$A$146,0),MATCH(R$3,'Eurostat EB TJ GWh'!$A$2:$BV$2,0))</f>
        <v>0</v>
      </c>
      <c r="S28" s="57">
        <f>INDEX('Eurostat EB TJ GWh'!$A$2:$BV$146,MATCH($A28,'Eurostat EB TJ GWh'!$A$2:$A$146,0),MATCH(S$3,'Eurostat EB TJ GWh'!$A$2:$BV$2,0))</f>
        <v>0</v>
      </c>
      <c r="T28" s="65" t="s">
        <v>323</v>
      </c>
      <c r="U28" s="57">
        <f>INDEX('Eurostat EB TJ GWh'!$A$2:$BV$146,MATCH($A28,'Eurostat EB TJ GWh'!$A$2:$A$146,0),MATCH(U$3,'Eurostat EB TJ GWh'!$A$2:$BV$2,0))</f>
        <v>0</v>
      </c>
      <c r="V28" s="57">
        <f>INDEX('Eurostat EB TJ GWh'!$A$2:$BV$146,MATCH($A28,'Eurostat EB TJ GWh'!$A$2:$A$146,0),MATCH(V$3,'Eurostat EB TJ GWh'!$A$2:$BV$2,0))</f>
        <v>0</v>
      </c>
      <c r="W28" s="57">
        <f>INDEX('Eurostat EB TJ GWh'!$A$2:$BV$146,MATCH($A28,'Eurostat EB TJ GWh'!$A$2:$A$146,0),MATCH(W$3,'Eurostat EB TJ GWh'!$A$2:$BV$2,0))</f>
        <v>0</v>
      </c>
      <c r="X28" s="57">
        <f>INDEX('Eurostat EB TJ GWh'!$A$2:$BV$146,MATCH($A28,'Eurostat EB TJ GWh'!$A$2:$A$146,0),MATCH(X$3,'Eurostat EB TJ GWh'!$A$2:$BV$2,0))</f>
        <v>0</v>
      </c>
      <c r="Y28" s="57">
        <f>INDEX('Eurostat EB TJ GWh'!$A$2:$BV$146,MATCH($A28,'Eurostat EB TJ GWh'!$A$2:$A$146,0),MATCH(Y$3,'Eurostat EB TJ GWh'!$A$2:$BV$2,0))</f>
        <v>0</v>
      </c>
      <c r="Z28" s="57">
        <f>INDEX('Eurostat EB TJ GWh'!$A$2:$BV$146,MATCH($A28,'Eurostat EB TJ GWh'!$A$2:$A$146,0),MATCH(Z$3,'Eurostat EB TJ GWh'!$A$2:$BV$2,0))</f>
        <v>0</v>
      </c>
      <c r="AA28" s="57">
        <f>INDEX('Eurostat EB TJ GWh'!$A$2:$BV$146,MATCH($A28,'Eurostat EB TJ GWh'!$A$2:$A$146,0),MATCH(AA$3,'Eurostat EB TJ GWh'!$A$2:$BV$2,0))</f>
        <v>0</v>
      </c>
      <c r="AB28" s="57">
        <f>INDEX('Eurostat EB TJ GWh'!$A$2:$BV$146,MATCH($A28,'Eurostat EB TJ GWh'!$A$2:$A$146,0),MATCH(AB$3,'Eurostat EB TJ GWh'!$A$2:$BV$2,0))</f>
        <v>0</v>
      </c>
      <c r="AC28" s="57">
        <f>INDEX('Eurostat EB TJ GWh'!$A$2:$BV$146,MATCH($A28,'Eurostat EB TJ GWh'!$A$2:$A$146,0),MATCH(AC$3,'Eurostat EB TJ GWh'!$A$2:$BV$2,0))</f>
        <v>0</v>
      </c>
      <c r="AD28" s="57">
        <f>INDEX('Eurostat EB TJ GWh'!$A$2:$BV$146,MATCH($A28,'Eurostat EB TJ GWh'!$A$2:$A$146,0),MATCH(AD$3,'Eurostat EB TJ GWh'!$A$2:$BV$2,0))</f>
        <v>0</v>
      </c>
      <c r="AE28" s="57">
        <f>INDEX('Eurostat EB TJ GWh'!$A$2:$BV$146,MATCH($A28,'Eurostat EB TJ GWh'!$A$2:$A$146,0),MATCH(AE$3,'Eurostat EB TJ GWh'!$A$2:$BV$2,0))</f>
        <v>0</v>
      </c>
      <c r="AF28" s="57">
        <f>INDEX('Eurostat EB TJ GWh'!$A$2:$BV$146,MATCH($A28,'Eurostat EB TJ GWh'!$A$2:$A$146,0),MATCH(AF$3,'Eurostat EB TJ GWh'!$A$2:$BV$2,0))</f>
        <v>0</v>
      </c>
      <c r="AG28" s="57">
        <f>INDEX('Eurostat EB TJ GWh'!$A$2:$BV$146,MATCH($A28,'Eurostat EB TJ GWh'!$A$2:$A$146,0),MATCH(AG$3,'Eurostat EB TJ GWh'!$A$2:$BV$2,0))</f>
        <v>0</v>
      </c>
      <c r="AH28" s="57">
        <f>INDEX('Eurostat EB TJ GWh'!$A$2:$BV$146,MATCH($A28,'Eurostat EB TJ GWh'!$A$2:$A$146,0),MATCH(AH$3,'Eurostat EB TJ GWh'!$A$2:$BV$2,0))</f>
        <v>0</v>
      </c>
      <c r="AI28" s="57">
        <f>INDEX('Eurostat EB TJ GWh'!$A$2:$BV$146,MATCH($A28,'Eurostat EB TJ GWh'!$A$2:$A$146,0),MATCH(AI$3,'Eurostat EB TJ GWh'!$A$2:$BV$2,0))</f>
        <v>0</v>
      </c>
      <c r="AJ28" s="57">
        <f>INDEX('Eurostat EB TJ GWh'!$A$2:$BV$146,MATCH($A28,'Eurostat EB TJ GWh'!$A$2:$A$146,0),MATCH(AJ$3,'Eurostat EB TJ GWh'!$A$2:$BV$2,0))</f>
        <v>0</v>
      </c>
      <c r="AK28" s="57">
        <f>INDEX('Eurostat EB TJ GWh'!$A$2:$BV$146,MATCH($A28,'Eurostat EB TJ GWh'!$A$2:$A$146,0),MATCH(AK$3,'Eurostat EB TJ GWh'!$A$2:$BV$2,0))</f>
        <v>0</v>
      </c>
      <c r="AL28" s="57">
        <f>INDEX('Eurostat EB TJ GWh'!$A$2:$BV$146,MATCH($A28,'Eurostat EB TJ GWh'!$A$2:$A$146,0),MATCH(AL$3,'Eurostat EB TJ GWh'!$A$2:$BV$2,0))</f>
        <v>0</v>
      </c>
      <c r="AM28" s="57">
        <f>INDEX('Eurostat EB TJ GWh'!$A$2:$BV$146,MATCH($A28,'Eurostat EB TJ GWh'!$A$2:$A$146,0),MATCH(AM$3,'Eurostat EB TJ GWh'!$A$2:$BV$2,0))</f>
        <v>0</v>
      </c>
      <c r="AN28" s="57">
        <f>INDEX('Eurostat EB TJ GWh'!$A$2:$BV$146,MATCH($A28,'Eurostat EB TJ GWh'!$A$2:$A$146,0),MATCH(AN$3,'Eurostat EB TJ GWh'!$A$2:$BV$2,0))</f>
        <v>0</v>
      </c>
      <c r="AO28" s="57">
        <f>INDEX('Eurostat EB TJ GWh'!$A$2:$BV$146,MATCH($A28,'Eurostat EB TJ GWh'!$A$2:$A$146,0),MATCH(AO$3,'Eurostat EB TJ GWh'!$A$2:$BV$2,0))</f>
        <v>0</v>
      </c>
      <c r="AP28" s="57">
        <f>INDEX('Eurostat EB TJ GWh'!$A$2:$BV$146,MATCH($A28,'Eurostat EB TJ GWh'!$A$2:$A$146,0),MATCH(AP$3,'Eurostat EB TJ GWh'!$A$2:$BV$2,0))</f>
        <v>0</v>
      </c>
      <c r="AQ28" s="57">
        <f>INDEX('Eurostat EB TJ GWh'!$A$2:$BV$146,MATCH($A28,'Eurostat EB TJ GWh'!$A$2:$A$146,0),MATCH(AQ$3,'Eurostat EB TJ GWh'!$A$2:$BV$2,0))</f>
        <v>0</v>
      </c>
      <c r="AR28" s="57">
        <f>INDEX('Eurostat EB TJ GWh'!$A$2:$BV$146,MATCH($A28,'Eurostat EB TJ GWh'!$A$2:$A$146,0),MATCH(AR$3,'Eurostat EB TJ GWh'!$A$2:$BV$2,0))</f>
        <v>0</v>
      </c>
      <c r="AS28" s="57">
        <f>INDEX('Eurostat EB TJ GWh'!$A$2:$BV$146,MATCH($A28,'Eurostat EB TJ GWh'!$A$2:$A$146,0),MATCH(AS$3,'Eurostat EB TJ GWh'!$A$2:$BV$2,0))</f>
        <v>0</v>
      </c>
      <c r="AT28" s="57">
        <f>INDEX('Eurostat EB TJ GWh'!$A$2:$BV$146,MATCH($A28,'Eurostat EB TJ GWh'!$A$2:$A$146,0),MATCH(AT$3,'Eurostat EB TJ GWh'!$A$2:$BV$2,0))</f>
        <v>0</v>
      </c>
      <c r="AU28" s="57">
        <f>INDEX('Eurostat EB TJ GWh'!$A$2:$BV$146,MATCH($A28,'Eurostat EB TJ GWh'!$A$2:$A$146,0),MATCH(AU$3,'Eurostat EB TJ GWh'!$A$2:$BV$2,0))</f>
        <v>0</v>
      </c>
      <c r="AV28" s="57">
        <f>INDEX('Eurostat EB TJ GWh'!$A$2:$BV$146,MATCH($A28,'Eurostat EB TJ GWh'!$A$2:$A$146,0),MATCH(AV$2,'Eurostat EB TJ GWh'!$A$2:$BV$2,0))+INDEX('Eurostat EB TJ GWh'!$A$2:$BV$146,MATCH($A28,'Eurostat EB TJ GWh'!$A$2:$A$146,0),MATCH(AV$3,'Eurostat EB TJ GWh'!$A$2:$BV$2,0))</f>
        <v>0</v>
      </c>
      <c r="AW28" s="57">
        <f>INDEX('Eurostat EB TJ GWh'!$A$2:$BV$146,MATCH($A28,'Eurostat EB TJ GWh'!$A$2:$A$146,0),MATCH(AW$2,'Eurostat EB TJ GWh'!$A$2:$BV$2,0))+INDEX('Eurostat EB TJ GWh'!$A$2:$BV$146,MATCH($A28,'Eurostat EB TJ GWh'!$A$2:$A$146,0),MATCH(AW$3,'Eurostat EB TJ GWh'!$A$2:$BV$2,0))</f>
        <v>0</v>
      </c>
      <c r="AX28" s="57">
        <f>INDEX('Eurostat EB TJ GWh'!$A$2:$BV$146,MATCH($A28,'Eurostat EB TJ GWh'!$A$2:$A$146,0),MATCH(AX$3,'Eurostat EB TJ GWh'!$A$2:$BV$2,0))</f>
        <v>0</v>
      </c>
      <c r="AY28" s="72">
        <v>0</v>
      </c>
      <c r="AZ28" s="57">
        <f>INDEX('Eurostat EB TJ GWh'!$A$2:$BV$146,MATCH($A28,'Eurostat EB TJ GWh'!$A$2:$A$146,0),MATCH(AZ$3,'Eurostat EB TJ GWh'!$A$2:$BV$2,0))</f>
        <v>0</v>
      </c>
      <c r="BA28" s="72">
        <v>0</v>
      </c>
      <c r="BB28" s="72">
        <v>0</v>
      </c>
      <c r="BC28" s="57">
        <f>INDEX('Eurostat EB TJ GWh'!$A$2:$BV$146,MATCH($A28,'Eurostat EB TJ GWh'!$A$2:$A$146,0),MATCH(BC$3,'Eurostat EB TJ GWh'!$A$2:$BV$2,0))</f>
        <v>0</v>
      </c>
      <c r="BD28" s="57">
        <f>INDEX('Eurostat EB TJ GWh'!$A$2:$BV$146,MATCH($A28,'Eurostat EB TJ GWh'!$A$2:$A$146,0),MATCH(BD$3,'Eurostat EB TJ GWh'!$A$2:$BV$2,0))</f>
        <v>0</v>
      </c>
      <c r="BE28" s="57">
        <f>INDEX('Eurostat EB TJ GWh'!$A$2:$BV$146,MATCH($A28,'Eurostat EB TJ GWh'!$A$2:$A$146,0),MATCH(BE$3,'Eurostat EB TJ GWh'!$A$2:$BV$2,0))</f>
        <v>0</v>
      </c>
      <c r="BF28" s="57">
        <f>INDEX('Eurostat EB TJ GWh'!$A$2:$BV$146,MATCH($A28,'Eurostat EB TJ GWh'!$A$2:$A$146,0),MATCH(BF$3,'Eurostat EB TJ GWh'!$A$2:$BV$2,0))</f>
        <v>0</v>
      </c>
      <c r="BG28" s="57">
        <f>INDEX('Eurostat EB TJ GWh'!$A$2:$BV$146,MATCH($A28,'Eurostat EB TJ GWh'!$A$2:$A$146,0),MATCH(BG$3,'Eurostat EB TJ GWh'!$A$2:$BV$2,0))</f>
        <v>0</v>
      </c>
      <c r="BH28" s="57">
        <f>INDEX('Eurostat EB TJ GWh'!$A$2:$BV$146,MATCH($A28,'Eurostat EB TJ GWh'!$A$2:$A$146,0),MATCH(BH$3,'Eurostat EB TJ GWh'!$A$2:$BV$2,0))</f>
        <v>0</v>
      </c>
      <c r="BI28" s="57">
        <f>INDEX('Eurostat EB TJ GWh'!$A$2:$BV$146,MATCH($A28,'Eurostat EB TJ GWh'!$A$2:$A$146,0),MATCH(BI$3,'Eurostat EB TJ GWh'!$A$2:$BV$2,0))</f>
        <v>0</v>
      </c>
      <c r="BJ28" s="72">
        <v>0</v>
      </c>
      <c r="BK28" s="57">
        <f>INDEX('Eurostat EB TJ GWh'!$A$2:$BV$146,MATCH($A28,'Eurostat EB TJ GWh'!$A$2:$A$146,0),MATCH(BK$3,'Eurostat EB TJ GWh'!$A$2:$BV$2,0))</f>
        <v>0</v>
      </c>
      <c r="BL28" s="57">
        <f>INDEX('Eurostat EB TJ GWh'!$A$2:$BV$146,MATCH($A28,'Eurostat EB TJ GWh'!$A$2:$A$146,0),MATCH(BL$3,'Eurostat EB TJ GWh'!$A$2:$BV$2,0))</f>
        <v>0</v>
      </c>
      <c r="BM28" s="57">
        <f>INDEX('Eurostat EB TJ GWh'!$A$2:$BV$146,MATCH($A28,'Eurostat EB TJ GWh'!$A$2:$A$146,0),MATCH(BM$3,'Eurostat EB TJ GWh'!$A$2:$BV$2,0))</f>
        <v>0</v>
      </c>
      <c r="BN28" s="57">
        <f>INDEX('Eurostat EB TJ GWh'!$A$2:$BV$146,MATCH($A28,'Eurostat EB TJ GWh'!$A$2:$A$146,0),MATCH(BN$3,'Eurostat EB TJ GWh'!$A$2:$BV$2,0))</f>
        <v>0</v>
      </c>
    </row>
    <row r="29" spans="1:66" x14ac:dyDescent="0.2">
      <c r="A29" s="56" t="s">
        <v>219</v>
      </c>
      <c r="B29" s="65" t="s">
        <v>323</v>
      </c>
      <c r="C29" s="65" t="s">
        <v>323</v>
      </c>
      <c r="D29" s="17">
        <f>INDEX('Eurostat EB TJ GWh'!$A$2:$BV$146,MATCH($A29,'Eurostat EB TJ GWh'!$A$2:$A$146,0),MATCH(D$3,'Eurostat EB TJ GWh'!$A$2:$BV$2,0))</f>
        <v>0</v>
      </c>
      <c r="E29" s="17">
        <f>INDEX('Eurostat EB TJ GWh'!$A$2:$BV$146,MATCH($A29,'Eurostat EB TJ GWh'!$A$2:$A$146,0),MATCH(E$3,'Eurostat EB TJ GWh'!$A$2:$BV$2,0))</f>
        <v>0</v>
      </c>
      <c r="F29" s="17">
        <f>INDEX('Eurostat EB TJ GWh'!$A$2:$BV$146,MATCH($A29,'Eurostat EB TJ GWh'!$A$2:$A$146,0),MATCH(F$3,'Eurostat EB TJ GWh'!$A$2:$BV$2,0))</f>
        <v>0</v>
      </c>
      <c r="G29" s="17">
        <f>INDEX('Eurostat EB TJ GWh'!$A$2:$BV$146,MATCH($A29,'Eurostat EB TJ GWh'!$A$2:$A$146,0),MATCH(G$3,'Eurostat EB TJ GWh'!$A$2:$BV$2,0))</f>
        <v>0</v>
      </c>
      <c r="H29" s="17">
        <f>INDEX('Eurostat EB TJ GWh'!$A$2:$BV$146,MATCH($A29,'Eurostat EB TJ GWh'!$A$2:$A$146,0),MATCH(H$3,'Eurostat EB TJ GWh'!$A$2:$BV$2,0))</f>
        <v>0</v>
      </c>
      <c r="I29" s="17">
        <f>INDEX('Eurostat EB TJ GWh'!$A$2:$BV$146,MATCH($A29,'Eurostat EB TJ GWh'!$A$2:$A$146,0),MATCH(I$3,'Eurostat EB TJ GWh'!$A$2:$BV$2,0))</f>
        <v>0</v>
      </c>
      <c r="J29" s="17">
        <f>INDEX('Eurostat EB TJ GWh'!$A$2:$BV$146,MATCH($A29,'Eurostat EB TJ GWh'!$A$2:$A$146,0),MATCH(J$3,'Eurostat EB TJ GWh'!$A$2:$BV$2,0))</f>
        <v>0</v>
      </c>
      <c r="K29" s="17">
        <f>INDEX('Eurostat EB TJ GWh'!$A$2:$BV$146,MATCH($A29,'Eurostat EB TJ GWh'!$A$2:$A$146,0),MATCH(K$3,'Eurostat EB TJ GWh'!$A$2:$BV$2,0))</f>
        <v>0</v>
      </c>
      <c r="L29" s="17">
        <f>INDEX('Eurostat EB TJ GWh'!$A$2:$BV$146,MATCH($A29,'Eurostat EB TJ GWh'!$A$2:$A$146,0),MATCH(L$3,'Eurostat EB TJ GWh'!$A$2:$BV$2,0))</f>
        <v>0</v>
      </c>
      <c r="M29" s="17">
        <f>INDEX('Eurostat EB TJ GWh'!$A$2:$BV$146,MATCH($A29,'Eurostat EB TJ GWh'!$A$2:$A$146,0),MATCH(M$3,'Eurostat EB TJ GWh'!$A$2:$BV$2,0))</f>
        <v>0</v>
      </c>
      <c r="N29" s="17">
        <f>INDEX('Eurostat EB TJ GWh'!$A$2:$BV$146,MATCH($A29,'Eurostat EB TJ GWh'!$A$2:$A$146,0),MATCH(N$3,'Eurostat EB TJ GWh'!$A$2:$BV$2,0))</f>
        <v>0</v>
      </c>
      <c r="O29" s="17">
        <f>INDEX('Eurostat EB TJ GWh'!$A$2:$BV$146,MATCH($A29,'Eurostat EB TJ GWh'!$A$2:$A$146,0),MATCH(O$3,'Eurostat EB TJ GWh'!$A$2:$BV$2,0))</f>
        <v>0</v>
      </c>
      <c r="P29" s="17">
        <f>INDEX('Eurostat EB TJ GWh'!$A$2:$BV$146,MATCH($A29,'Eurostat EB TJ GWh'!$A$2:$A$146,0),MATCH(P$3,'Eurostat EB TJ GWh'!$A$2:$BV$2,0))</f>
        <v>0</v>
      </c>
      <c r="Q29" s="17">
        <f>INDEX('Eurostat EB TJ GWh'!$A$2:$BV$146,MATCH($A29,'Eurostat EB TJ GWh'!$A$2:$A$146,0),MATCH(Q$3,'Eurostat EB TJ GWh'!$A$2:$BV$2,0))</f>
        <v>0</v>
      </c>
      <c r="R29" s="17">
        <f>INDEX('Eurostat EB TJ GWh'!$A$2:$BV$146,MATCH($A29,'Eurostat EB TJ GWh'!$A$2:$A$146,0),MATCH(R$2,'Eurostat EB TJ GWh'!$A$2:$BV$2,0))+INDEX('Eurostat EB TJ GWh'!$A$2:$BV$146,MATCH($A29,'Eurostat EB TJ GWh'!$A$2:$A$146,0),MATCH(R$3,'Eurostat EB TJ GWh'!$A$2:$BV$2,0))</f>
        <v>0</v>
      </c>
      <c r="S29" s="17">
        <f>INDEX('Eurostat EB TJ GWh'!$A$2:$BV$146,MATCH($A29,'Eurostat EB TJ GWh'!$A$2:$A$146,0),MATCH(S$3,'Eurostat EB TJ GWh'!$A$2:$BV$2,0))</f>
        <v>0</v>
      </c>
      <c r="T29" s="65" t="s">
        <v>323</v>
      </c>
      <c r="U29" s="17">
        <f>INDEX('Eurostat EB TJ GWh'!$A$2:$BV$146,MATCH($A29,'Eurostat EB TJ GWh'!$A$2:$A$146,0),MATCH(U$3,'Eurostat EB TJ GWh'!$A$2:$BV$2,0))</f>
        <v>2427012.0720000002</v>
      </c>
      <c r="V29" s="17">
        <f>INDEX('Eurostat EB TJ GWh'!$A$2:$BV$146,MATCH($A29,'Eurostat EB TJ GWh'!$A$2:$A$146,0),MATCH(V$3,'Eurostat EB TJ GWh'!$A$2:$BV$2,0))</f>
        <v>423903.73800000001</v>
      </c>
      <c r="W29" s="17">
        <f>INDEX('Eurostat EB TJ GWh'!$A$2:$BV$146,MATCH($A29,'Eurostat EB TJ GWh'!$A$2:$A$146,0),MATCH(W$3,'Eurostat EB TJ GWh'!$A$2:$BV$2,0))</f>
        <v>366286</v>
      </c>
      <c r="X29" s="17">
        <f>INDEX('Eurostat EB TJ GWh'!$A$2:$BV$146,MATCH($A29,'Eurostat EB TJ GWh'!$A$2:$A$146,0),MATCH(X$3,'Eurostat EB TJ GWh'!$A$2:$BV$2,0))</f>
        <v>21733.940999999999</v>
      </c>
      <c r="Y29" s="17">
        <f>INDEX('Eurostat EB TJ GWh'!$A$2:$BV$146,MATCH($A29,'Eurostat EB TJ GWh'!$A$2:$A$146,0),MATCH(Y$3,'Eurostat EB TJ GWh'!$A$2:$BV$2,0))</f>
        <v>0</v>
      </c>
      <c r="Z29" s="17">
        <f>INDEX('Eurostat EB TJ GWh'!$A$2:$BV$146,MATCH($A29,'Eurostat EB TJ GWh'!$A$2:$A$146,0),MATCH(Z$3,'Eurostat EB TJ GWh'!$A$2:$BV$2,0))</f>
        <v>94685.631999999998</v>
      </c>
      <c r="AA29" s="17">
        <f>INDEX('Eurostat EB TJ GWh'!$A$2:$BV$146,MATCH($A29,'Eurostat EB TJ GWh'!$A$2:$A$146,0),MATCH(AA$3,'Eurostat EB TJ GWh'!$A$2:$BV$2,0))</f>
        <v>0</v>
      </c>
      <c r="AB29" s="17">
        <f>INDEX('Eurostat EB TJ GWh'!$A$2:$BV$146,MATCH($A29,'Eurostat EB TJ GWh'!$A$2:$A$146,0),MATCH(AB$3,'Eurostat EB TJ GWh'!$A$2:$BV$2,0))</f>
        <v>48544.434999999998</v>
      </c>
      <c r="AC29" s="17">
        <f>INDEX('Eurostat EB TJ GWh'!$A$2:$BV$146,MATCH($A29,'Eurostat EB TJ GWh'!$A$2:$A$146,0),MATCH(AC$3,'Eurostat EB TJ GWh'!$A$2:$BV$2,0))</f>
        <v>234.137</v>
      </c>
      <c r="AD29" s="17">
        <f>INDEX('Eurostat EB TJ GWh'!$A$2:$BV$146,MATCH($A29,'Eurostat EB TJ GWh'!$A$2:$A$146,0),MATCH(AD$3,'Eurostat EB TJ GWh'!$A$2:$BV$2,0))</f>
        <v>8.7999999999999995E-2</v>
      </c>
      <c r="AE29" s="17">
        <f>INDEX('Eurostat EB TJ GWh'!$A$2:$BV$146,MATCH($A29,'Eurostat EB TJ GWh'!$A$2:$A$146,0),MATCH(AE$3,'Eurostat EB TJ GWh'!$A$2:$BV$2,0))</f>
        <v>0</v>
      </c>
      <c r="AF29" s="17">
        <f>INDEX('Eurostat EB TJ GWh'!$A$2:$BV$146,MATCH($A29,'Eurostat EB TJ GWh'!$A$2:$A$146,0),MATCH(AF$3,'Eurostat EB TJ GWh'!$A$2:$BV$2,0))</f>
        <v>60.075000000000003</v>
      </c>
      <c r="AG29" s="17">
        <f>INDEX('Eurostat EB TJ GWh'!$A$2:$BV$146,MATCH($A29,'Eurostat EB TJ GWh'!$A$2:$A$146,0),MATCH(AG$3,'Eurostat EB TJ GWh'!$A$2:$BV$2,0))</f>
        <v>4483.384</v>
      </c>
      <c r="AH29" s="17">
        <f>INDEX('Eurostat EB TJ GWh'!$A$2:$BV$146,MATCH($A29,'Eurostat EB TJ GWh'!$A$2:$A$146,0),MATCH(AH$3,'Eurostat EB TJ GWh'!$A$2:$BV$2,0))</f>
        <v>42595.970999999998</v>
      </c>
      <c r="AI29" s="17">
        <f>INDEX('Eurostat EB TJ GWh'!$A$2:$BV$146,MATCH($A29,'Eurostat EB TJ GWh'!$A$2:$A$146,0),MATCH(AI$3,'Eurostat EB TJ GWh'!$A$2:$BV$2,0))</f>
        <v>136153.08600000001</v>
      </c>
      <c r="AJ29" s="17">
        <f>INDEX('Eurostat EB TJ GWh'!$A$2:$BV$146,MATCH($A29,'Eurostat EB TJ GWh'!$A$2:$A$146,0),MATCH(AJ$3,'Eurostat EB TJ GWh'!$A$2:$BV$2,0))</f>
        <v>582932.38300000003</v>
      </c>
      <c r="AK29" s="17">
        <f>INDEX('Eurostat EB TJ GWh'!$A$2:$BV$146,MATCH($A29,'Eurostat EB TJ GWh'!$A$2:$A$146,0),MATCH(AK$3,'Eurostat EB TJ GWh'!$A$2:$BV$2,0))</f>
        <v>88997.346999999994</v>
      </c>
      <c r="AL29" s="17">
        <f>INDEX('Eurostat EB TJ GWh'!$A$2:$BV$146,MATCH($A29,'Eurostat EB TJ GWh'!$A$2:$A$146,0),MATCH(AL$3,'Eurostat EB TJ GWh'!$A$2:$BV$2,0))</f>
        <v>13218.579</v>
      </c>
      <c r="AM29" s="17">
        <f>INDEX('Eurostat EB TJ GWh'!$A$2:$BV$146,MATCH($A29,'Eurostat EB TJ GWh'!$A$2:$A$146,0),MATCH(AM$3,'Eurostat EB TJ GWh'!$A$2:$BV$2,0))</f>
        <v>52.207000000000001</v>
      </c>
      <c r="AN29" s="17">
        <f>INDEX('Eurostat EB TJ GWh'!$A$2:$BV$146,MATCH($A29,'Eurostat EB TJ GWh'!$A$2:$A$146,0),MATCH(AN$3,'Eurostat EB TJ GWh'!$A$2:$BV$2,0))</f>
        <v>3.4159999999999999</v>
      </c>
      <c r="AO29" s="17">
        <f>INDEX('Eurostat EB TJ GWh'!$A$2:$BV$146,MATCH($A29,'Eurostat EB TJ GWh'!$A$2:$A$146,0),MATCH(AO$3,'Eurostat EB TJ GWh'!$A$2:$BV$2,0))</f>
        <v>0</v>
      </c>
      <c r="AP29" s="17">
        <f>INDEX('Eurostat EB TJ GWh'!$A$2:$BV$146,MATCH($A29,'Eurostat EB TJ GWh'!$A$2:$A$146,0),MATCH(AP$3,'Eurostat EB TJ GWh'!$A$2:$BV$2,0))</f>
        <v>11365.985000000001</v>
      </c>
      <c r="AQ29" s="17">
        <f>INDEX('Eurostat EB TJ GWh'!$A$2:$BV$146,MATCH($A29,'Eurostat EB TJ GWh'!$A$2:$A$146,0),MATCH(AQ$3,'Eurostat EB TJ GWh'!$A$2:$BV$2,0))</f>
        <v>0</v>
      </c>
      <c r="AR29" s="17">
        <f>INDEX('Eurostat EB TJ GWh'!$A$2:$BV$146,MATCH($A29,'Eurostat EB TJ GWh'!$A$2:$A$146,0),MATCH(AR$3,'Eurostat EB TJ GWh'!$A$2:$BV$2,0))</f>
        <v>0</v>
      </c>
      <c r="AS29" s="17">
        <f>INDEX('Eurostat EB TJ GWh'!$A$2:$BV$146,MATCH($A29,'Eurostat EB TJ GWh'!$A$2:$A$146,0),MATCH(AS$3,'Eurostat EB TJ GWh'!$A$2:$BV$2,0))</f>
        <v>0</v>
      </c>
      <c r="AT29" s="17">
        <f>INDEX('Eurostat EB TJ GWh'!$A$2:$BV$146,MATCH($A29,'Eurostat EB TJ GWh'!$A$2:$A$146,0),MATCH(AT$3,'Eurostat EB TJ GWh'!$A$2:$BV$2,0))</f>
        <v>0</v>
      </c>
      <c r="AU29" s="17">
        <f>INDEX('Eurostat EB TJ GWh'!$A$2:$BV$146,MATCH($A29,'Eurostat EB TJ GWh'!$A$2:$A$146,0),MATCH(AU$3,'Eurostat EB TJ GWh'!$A$2:$BV$2,0))</f>
        <v>0</v>
      </c>
      <c r="AV29" s="17">
        <f>INDEX('Eurostat EB TJ GWh'!$A$2:$BV$146,MATCH($A29,'Eurostat EB TJ GWh'!$A$2:$A$146,0),MATCH(AV$2,'Eurostat EB TJ GWh'!$A$2:$BV$2,0))+INDEX('Eurostat EB TJ GWh'!$A$2:$BV$146,MATCH($A29,'Eurostat EB TJ GWh'!$A$2:$A$146,0),MATCH(AV$3,'Eurostat EB TJ GWh'!$A$2:$BV$2,0))</f>
        <v>8.0190000000000001</v>
      </c>
      <c r="AW29" s="17">
        <f>INDEX('Eurostat EB TJ GWh'!$A$2:$BV$146,MATCH($A29,'Eurostat EB TJ GWh'!$A$2:$A$146,0),MATCH(AW$2,'Eurostat EB TJ GWh'!$A$2:$BV$2,0))+INDEX('Eurostat EB TJ GWh'!$A$2:$BV$146,MATCH($A29,'Eurostat EB TJ GWh'!$A$2:$A$146,0),MATCH(AW$3,'Eurostat EB TJ GWh'!$A$2:$BV$2,0))</f>
        <v>0</v>
      </c>
      <c r="AX29" s="17">
        <f>INDEX('Eurostat EB TJ GWh'!$A$2:$BV$146,MATCH($A29,'Eurostat EB TJ GWh'!$A$2:$A$146,0),MATCH(AX$3,'Eurostat EB TJ GWh'!$A$2:$BV$2,0))</f>
        <v>0</v>
      </c>
      <c r="AY29" s="65">
        <v>0</v>
      </c>
      <c r="AZ29" s="17">
        <f>INDEX('Eurostat EB TJ GWh'!$A$2:$BV$146,MATCH($A29,'Eurostat EB TJ GWh'!$A$2:$A$146,0),MATCH(AZ$3,'Eurostat EB TJ GWh'!$A$2:$BV$2,0))</f>
        <v>0</v>
      </c>
      <c r="BA29" s="65">
        <v>0</v>
      </c>
      <c r="BB29" s="65">
        <v>0</v>
      </c>
      <c r="BC29" s="17">
        <f>INDEX('Eurostat EB TJ GWh'!$A$2:$BV$146,MATCH($A29,'Eurostat EB TJ GWh'!$A$2:$A$146,0),MATCH(BC$3,'Eurostat EB TJ GWh'!$A$2:$BV$2,0))</f>
        <v>0</v>
      </c>
      <c r="BD29" s="17">
        <f>INDEX('Eurostat EB TJ GWh'!$A$2:$BV$146,MATCH($A29,'Eurostat EB TJ GWh'!$A$2:$A$146,0),MATCH(BD$3,'Eurostat EB TJ GWh'!$A$2:$BV$2,0))</f>
        <v>0</v>
      </c>
      <c r="BE29" s="17">
        <f>INDEX('Eurostat EB TJ GWh'!$A$2:$BV$146,MATCH($A29,'Eurostat EB TJ GWh'!$A$2:$A$146,0),MATCH(BE$3,'Eurostat EB TJ GWh'!$A$2:$BV$2,0))</f>
        <v>0</v>
      </c>
      <c r="BF29" s="17">
        <f>INDEX('Eurostat EB TJ GWh'!$A$2:$BV$146,MATCH($A29,'Eurostat EB TJ GWh'!$A$2:$A$146,0),MATCH(BF$3,'Eurostat EB TJ GWh'!$A$2:$BV$2,0))</f>
        <v>0</v>
      </c>
      <c r="BG29" s="17">
        <f>INDEX('Eurostat EB TJ GWh'!$A$2:$BV$146,MATCH($A29,'Eurostat EB TJ GWh'!$A$2:$A$146,0),MATCH(BG$3,'Eurostat EB TJ GWh'!$A$2:$BV$2,0))</f>
        <v>0</v>
      </c>
      <c r="BH29" s="17">
        <f>INDEX('Eurostat EB TJ GWh'!$A$2:$BV$146,MATCH($A29,'Eurostat EB TJ GWh'!$A$2:$A$146,0),MATCH(BH$3,'Eurostat EB TJ GWh'!$A$2:$BV$2,0))</f>
        <v>0</v>
      </c>
      <c r="BI29" s="17">
        <f>INDEX('Eurostat EB TJ GWh'!$A$2:$BV$146,MATCH($A29,'Eurostat EB TJ GWh'!$A$2:$A$146,0),MATCH(BI$3,'Eurostat EB TJ GWh'!$A$2:$BV$2,0))</f>
        <v>0</v>
      </c>
      <c r="BJ29" s="65">
        <v>0</v>
      </c>
      <c r="BK29" s="17">
        <f>INDEX('Eurostat EB TJ GWh'!$A$2:$BV$146,MATCH($A29,'Eurostat EB TJ GWh'!$A$2:$A$146,0),MATCH(BK$3,'Eurostat EB TJ GWh'!$A$2:$BV$2,0))</f>
        <v>0</v>
      </c>
      <c r="BL29" s="17">
        <f>INDEX('Eurostat EB TJ GWh'!$A$2:$BV$146,MATCH($A29,'Eurostat EB TJ GWh'!$A$2:$A$146,0),MATCH(BL$3,'Eurostat EB TJ GWh'!$A$2:$BV$2,0))</f>
        <v>0</v>
      </c>
      <c r="BM29" s="17">
        <f>INDEX('Eurostat EB TJ GWh'!$A$2:$BV$146,MATCH($A29,'Eurostat EB TJ GWh'!$A$2:$A$146,0),MATCH(BM$3,'Eurostat EB TJ GWh'!$A$2:$BV$2,0))</f>
        <v>4262270.4989999998</v>
      </c>
      <c r="BN29" s="17">
        <f>INDEX('Eurostat EB TJ GWh'!$A$2:$BV$146,MATCH($A29,'Eurostat EB TJ GWh'!$A$2:$A$146,0),MATCH(BN$3,'Eurostat EB TJ GWh'!$A$2:$BV$2,0))</f>
        <v>8.0190000000000001</v>
      </c>
    </row>
    <row r="30" spans="1:66" x14ac:dyDescent="0.2">
      <c r="A30" s="56" t="s">
        <v>220</v>
      </c>
      <c r="B30" s="65" t="s">
        <v>323</v>
      </c>
      <c r="C30" s="65" t="s">
        <v>323</v>
      </c>
      <c r="D30" s="57">
        <f>INDEX('Eurostat EB TJ GWh'!$A$2:$BV$146,MATCH($A30,'Eurostat EB TJ GWh'!$A$2:$A$146,0),MATCH(D$3,'Eurostat EB TJ GWh'!$A$2:$BV$2,0))</f>
        <v>0</v>
      </c>
      <c r="E30" s="57">
        <f>INDEX('Eurostat EB TJ GWh'!$A$2:$BV$146,MATCH($A30,'Eurostat EB TJ GWh'!$A$2:$A$146,0),MATCH(E$3,'Eurostat EB TJ GWh'!$A$2:$BV$2,0))</f>
        <v>0</v>
      </c>
      <c r="F30" s="57">
        <f>INDEX('Eurostat EB TJ GWh'!$A$2:$BV$146,MATCH($A30,'Eurostat EB TJ GWh'!$A$2:$A$146,0),MATCH(F$3,'Eurostat EB TJ GWh'!$A$2:$BV$2,0))</f>
        <v>0</v>
      </c>
      <c r="G30" s="57">
        <f>INDEX('Eurostat EB TJ GWh'!$A$2:$BV$146,MATCH($A30,'Eurostat EB TJ GWh'!$A$2:$A$146,0),MATCH(G$3,'Eurostat EB TJ GWh'!$A$2:$BV$2,0))</f>
        <v>0</v>
      </c>
      <c r="H30" s="57">
        <f>INDEX('Eurostat EB TJ GWh'!$A$2:$BV$146,MATCH($A30,'Eurostat EB TJ GWh'!$A$2:$A$146,0),MATCH(H$3,'Eurostat EB TJ GWh'!$A$2:$BV$2,0))</f>
        <v>0</v>
      </c>
      <c r="I30" s="57">
        <f>INDEX('Eurostat EB TJ GWh'!$A$2:$BV$146,MATCH($A30,'Eurostat EB TJ GWh'!$A$2:$A$146,0),MATCH(I$3,'Eurostat EB TJ GWh'!$A$2:$BV$2,0))</f>
        <v>0</v>
      </c>
      <c r="J30" s="57">
        <f>INDEX('Eurostat EB TJ GWh'!$A$2:$BV$146,MATCH($A30,'Eurostat EB TJ GWh'!$A$2:$A$146,0),MATCH(J$3,'Eurostat EB TJ GWh'!$A$2:$BV$2,0))</f>
        <v>0</v>
      </c>
      <c r="K30" s="57">
        <f>INDEX('Eurostat EB TJ GWh'!$A$2:$BV$146,MATCH($A30,'Eurostat EB TJ GWh'!$A$2:$A$146,0),MATCH(K$3,'Eurostat EB TJ GWh'!$A$2:$BV$2,0))</f>
        <v>0</v>
      </c>
      <c r="L30" s="57">
        <f>INDEX('Eurostat EB TJ GWh'!$A$2:$BV$146,MATCH($A30,'Eurostat EB TJ GWh'!$A$2:$A$146,0),MATCH(L$3,'Eurostat EB TJ GWh'!$A$2:$BV$2,0))</f>
        <v>0</v>
      </c>
      <c r="M30" s="57">
        <f>INDEX('Eurostat EB TJ GWh'!$A$2:$BV$146,MATCH($A30,'Eurostat EB TJ GWh'!$A$2:$A$146,0),MATCH(M$3,'Eurostat EB TJ GWh'!$A$2:$BV$2,0))</f>
        <v>0</v>
      </c>
      <c r="N30" s="57">
        <f>INDEX('Eurostat EB TJ GWh'!$A$2:$BV$146,MATCH($A30,'Eurostat EB TJ GWh'!$A$2:$A$146,0),MATCH(N$3,'Eurostat EB TJ GWh'!$A$2:$BV$2,0))</f>
        <v>0</v>
      </c>
      <c r="O30" s="57">
        <f>INDEX('Eurostat EB TJ GWh'!$A$2:$BV$146,MATCH($A30,'Eurostat EB TJ GWh'!$A$2:$A$146,0),MATCH(O$3,'Eurostat EB TJ GWh'!$A$2:$BV$2,0))</f>
        <v>0</v>
      </c>
      <c r="P30" s="57">
        <f>INDEX('Eurostat EB TJ GWh'!$A$2:$BV$146,MATCH($A30,'Eurostat EB TJ GWh'!$A$2:$A$146,0),MATCH(P$3,'Eurostat EB TJ GWh'!$A$2:$BV$2,0))</f>
        <v>0</v>
      </c>
      <c r="Q30" s="57">
        <f>INDEX('Eurostat EB TJ GWh'!$A$2:$BV$146,MATCH($A30,'Eurostat EB TJ GWh'!$A$2:$A$146,0),MATCH(Q$3,'Eurostat EB TJ GWh'!$A$2:$BV$2,0))</f>
        <v>0</v>
      </c>
      <c r="R30" s="57">
        <f>INDEX('Eurostat EB TJ GWh'!$A$2:$BV$146,MATCH($A30,'Eurostat EB TJ GWh'!$A$2:$A$146,0),MATCH(R$2,'Eurostat EB TJ GWh'!$A$2:$BV$2,0))+INDEX('Eurostat EB TJ GWh'!$A$2:$BV$146,MATCH($A30,'Eurostat EB TJ GWh'!$A$2:$A$146,0),MATCH(R$3,'Eurostat EB TJ GWh'!$A$2:$BV$2,0))</f>
        <v>0</v>
      </c>
      <c r="S30" s="57">
        <f>INDEX('Eurostat EB TJ GWh'!$A$2:$BV$146,MATCH($A30,'Eurostat EB TJ GWh'!$A$2:$A$146,0),MATCH(S$3,'Eurostat EB TJ GWh'!$A$2:$BV$2,0))</f>
        <v>0</v>
      </c>
      <c r="T30" s="65" t="s">
        <v>323</v>
      </c>
      <c r="U30" s="57">
        <f>INDEX('Eurostat EB TJ GWh'!$A$2:$BV$146,MATCH($A30,'Eurostat EB TJ GWh'!$A$2:$A$146,0),MATCH(U$3,'Eurostat EB TJ GWh'!$A$2:$BV$2,0))</f>
        <v>2271942.2579999999</v>
      </c>
      <c r="V30" s="57">
        <f>INDEX('Eurostat EB TJ GWh'!$A$2:$BV$146,MATCH($A30,'Eurostat EB TJ GWh'!$A$2:$A$146,0),MATCH(V$3,'Eurostat EB TJ GWh'!$A$2:$BV$2,0))</f>
        <v>149793.533</v>
      </c>
      <c r="W30" s="57">
        <f>INDEX('Eurostat EB TJ GWh'!$A$2:$BV$146,MATCH($A30,'Eurostat EB TJ GWh'!$A$2:$A$146,0),MATCH(W$3,'Eurostat EB TJ GWh'!$A$2:$BV$2,0))</f>
        <v>218821.62400000001</v>
      </c>
      <c r="X30" s="57">
        <f>INDEX('Eurostat EB TJ GWh'!$A$2:$BV$146,MATCH($A30,'Eurostat EB TJ GWh'!$A$2:$A$146,0),MATCH(X$3,'Eurostat EB TJ GWh'!$A$2:$BV$2,0))</f>
        <v>1858.636</v>
      </c>
      <c r="Y30" s="57">
        <f>INDEX('Eurostat EB TJ GWh'!$A$2:$BV$146,MATCH($A30,'Eurostat EB TJ GWh'!$A$2:$A$146,0),MATCH(Y$3,'Eurostat EB TJ GWh'!$A$2:$BV$2,0))</f>
        <v>0</v>
      </c>
      <c r="Z30" s="57">
        <f>INDEX('Eurostat EB TJ GWh'!$A$2:$BV$146,MATCH($A30,'Eurostat EB TJ GWh'!$A$2:$A$146,0),MATCH(Z$3,'Eurostat EB TJ GWh'!$A$2:$BV$2,0))</f>
        <v>0</v>
      </c>
      <c r="AA30" s="57">
        <f>INDEX('Eurostat EB TJ GWh'!$A$2:$BV$146,MATCH($A30,'Eurostat EB TJ GWh'!$A$2:$A$146,0),MATCH(AA$3,'Eurostat EB TJ GWh'!$A$2:$BV$2,0))</f>
        <v>0</v>
      </c>
      <c r="AB30" s="57">
        <f>INDEX('Eurostat EB TJ GWh'!$A$2:$BV$146,MATCH($A30,'Eurostat EB TJ GWh'!$A$2:$A$146,0),MATCH(AB$3,'Eurostat EB TJ GWh'!$A$2:$BV$2,0))</f>
        <v>0</v>
      </c>
      <c r="AC30" s="57">
        <f>INDEX('Eurostat EB TJ GWh'!$A$2:$BV$146,MATCH($A30,'Eurostat EB TJ GWh'!$A$2:$A$146,0),MATCH(AC$3,'Eurostat EB TJ GWh'!$A$2:$BV$2,0))</f>
        <v>0</v>
      </c>
      <c r="AD30" s="57">
        <f>INDEX('Eurostat EB TJ GWh'!$A$2:$BV$146,MATCH($A30,'Eurostat EB TJ GWh'!$A$2:$A$146,0),MATCH(AD$3,'Eurostat EB TJ GWh'!$A$2:$BV$2,0))</f>
        <v>0</v>
      </c>
      <c r="AE30" s="57">
        <f>INDEX('Eurostat EB TJ GWh'!$A$2:$BV$146,MATCH($A30,'Eurostat EB TJ GWh'!$A$2:$A$146,0),MATCH(AE$3,'Eurostat EB TJ GWh'!$A$2:$BV$2,0))</f>
        <v>0</v>
      </c>
      <c r="AF30" s="57">
        <f>INDEX('Eurostat EB TJ GWh'!$A$2:$BV$146,MATCH($A30,'Eurostat EB TJ GWh'!$A$2:$A$146,0),MATCH(AF$3,'Eurostat EB TJ GWh'!$A$2:$BV$2,0))</f>
        <v>0</v>
      </c>
      <c r="AG30" s="57">
        <f>INDEX('Eurostat EB TJ GWh'!$A$2:$BV$146,MATCH($A30,'Eurostat EB TJ GWh'!$A$2:$A$146,0),MATCH(AG$3,'Eurostat EB TJ GWh'!$A$2:$BV$2,0))</f>
        <v>0</v>
      </c>
      <c r="AH30" s="57">
        <f>INDEX('Eurostat EB TJ GWh'!$A$2:$BV$146,MATCH($A30,'Eurostat EB TJ GWh'!$A$2:$A$146,0),MATCH(AH$3,'Eurostat EB TJ GWh'!$A$2:$BV$2,0))</f>
        <v>0</v>
      </c>
      <c r="AI30" s="57">
        <f>INDEX('Eurostat EB TJ GWh'!$A$2:$BV$146,MATCH($A30,'Eurostat EB TJ GWh'!$A$2:$A$146,0),MATCH(AI$3,'Eurostat EB TJ GWh'!$A$2:$BV$2,0))</f>
        <v>0</v>
      </c>
      <c r="AJ30" s="57">
        <f>INDEX('Eurostat EB TJ GWh'!$A$2:$BV$146,MATCH($A30,'Eurostat EB TJ GWh'!$A$2:$A$146,0),MATCH(AJ$3,'Eurostat EB TJ GWh'!$A$2:$BV$2,0))</f>
        <v>0</v>
      </c>
      <c r="AK30" s="57">
        <f>INDEX('Eurostat EB TJ GWh'!$A$2:$BV$146,MATCH($A30,'Eurostat EB TJ GWh'!$A$2:$A$146,0),MATCH(AK$3,'Eurostat EB TJ GWh'!$A$2:$BV$2,0))</f>
        <v>0</v>
      </c>
      <c r="AL30" s="57">
        <f>INDEX('Eurostat EB TJ GWh'!$A$2:$BV$146,MATCH($A30,'Eurostat EB TJ GWh'!$A$2:$A$146,0),MATCH(AL$3,'Eurostat EB TJ GWh'!$A$2:$BV$2,0))</f>
        <v>0</v>
      </c>
      <c r="AM30" s="57">
        <f>INDEX('Eurostat EB TJ GWh'!$A$2:$BV$146,MATCH($A30,'Eurostat EB TJ GWh'!$A$2:$A$146,0),MATCH(AM$3,'Eurostat EB TJ GWh'!$A$2:$BV$2,0))</f>
        <v>0</v>
      </c>
      <c r="AN30" s="57">
        <f>INDEX('Eurostat EB TJ GWh'!$A$2:$BV$146,MATCH($A30,'Eurostat EB TJ GWh'!$A$2:$A$146,0),MATCH(AN$3,'Eurostat EB TJ GWh'!$A$2:$BV$2,0))</f>
        <v>0</v>
      </c>
      <c r="AO30" s="57">
        <f>INDEX('Eurostat EB TJ GWh'!$A$2:$BV$146,MATCH($A30,'Eurostat EB TJ GWh'!$A$2:$A$146,0),MATCH(AO$3,'Eurostat EB TJ GWh'!$A$2:$BV$2,0))</f>
        <v>0</v>
      </c>
      <c r="AP30" s="57">
        <f>INDEX('Eurostat EB TJ GWh'!$A$2:$BV$146,MATCH($A30,'Eurostat EB TJ GWh'!$A$2:$A$146,0),MATCH(AP$3,'Eurostat EB TJ GWh'!$A$2:$BV$2,0))</f>
        <v>0</v>
      </c>
      <c r="AQ30" s="57">
        <f>INDEX('Eurostat EB TJ GWh'!$A$2:$BV$146,MATCH($A30,'Eurostat EB TJ GWh'!$A$2:$A$146,0),MATCH(AQ$3,'Eurostat EB TJ GWh'!$A$2:$BV$2,0))</f>
        <v>0</v>
      </c>
      <c r="AR30" s="57">
        <f>INDEX('Eurostat EB TJ GWh'!$A$2:$BV$146,MATCH($A30,'Eurostat EB TJ GWh'!$A$2:$A$146,0),MATCH(AR$3,'Eurostat EB TJ GWh'!$A$2:$BV$2,0))</f>
        <v>0</v>
      </c>
      <c r="AS30" s="57">
        <f>INDEX('Eurostat EB TJ GWh'!$A$2:$BV$146,MATCH($A30,'Eurostat EB TJ GWh'!$A$2:$A$146,0),MATCH(AS$3,'Eurostat EB TJ GWh'!$A$2:$BV$2,0))</f>
        <v>0</v>
      </c>
      <c r="AT30" s="57">
        <f>INDEX('Eurostat EB TJ GWh'!$A$2:$BV$146,MATCH($A30,'Eurostat EB TJ GWh'!$A$2:$A$146,0),MATCH(AT$3,'Eurostat EB TJ GWh'!$A$2:$BV$2,0))</f>
        <v>0</v>
      </c>
      <c r="AU30" s="57">
        <f>INDEX('Eurostat EB TJ GWh'!$A$2:$BV$146,MATCH($A30,'Eurostat EB TJ GWh'!$A$2:$A$146,0),MATCH(AU$3,'Eurostat EB TJ GWh'!$A$2:$BV$2,0))</f>
        <v>0</v>
      </c>
      <c r="AV30" s="57">
        <f>INDEX('Eurostat EB TJ GWh'!$A$2:$BV$146,MATCH($A30,'Eurostat EB TJ GWh'!$A$2:$A$146,0),MATCH(AV$2,'Eurostat EB TJ GWh'!$A$2:$BV$2,0))+INDEX('Eurostat EB TJ GWh'!$A$2:$BV$146,MATCH($A30,'Eurostat EB TJ GWh'!$A$2:$A$146,0),MATCH(AV$3,'Eurostat EB TJ GWh'!$A$2:$BV$2,0))</f>
        <v>0</v>
      </c>
      <c r="AW30" s="57">
        <f>INDEX('Eurostat EB TJ GWh'!$A$2:$BV$146,MATCH($A30,'Eurostat EB TJ GWh'!$A$2:$A$146,0),MATCH(AW$2,'Eurostat EB TJ GWh'!$A$2:$BV$2,0))+INDEX('Eurostat EB TJ GWh'!$A$2:$BV$146,MATCH($A30,'Eurostat EB TJ GWh'!$A$2:$A$146,0),MATCH(AW$3,'Eurostat EB TJ GWh'!$A$2:$BV$2,0))</f>
        <v>0</v>
      </c>
      <c r="AX30" s="57">
        <f>INDEX('Eurostat EB TJ GWh'!$A$2:$BV$146,MATCH($A30,'Eurostat EB TJ GWh'!$A$2:$A$146,0),MATCH(AX$3,'Eurostat EB TJ GWh'!$A$2:$BV$2,0))</f>
        <v>0</v>
      </c>
      <c r="AY30" s="72">
        <v>0</v>
      </c>
      <c r="AZ30" s="57">
        <f>INDEX('Eurostat EB TJ GWh'!$A$2:$BV$146,MATCH($A30,'Eurostat EB TJ GWh'!$A$2:$A$146,0),MATCH(AZ$3,'Eurostat EB TJ GWh'!$A$2:$BV$2,0))</f>
        <v>0</v>
      </c>
      <c r="BA30" s="72">
        <v>0</v>
      </c>
      <c r="BB30" s="72">
        <v>0</v>
      </c>
      <c r="BC30" s="57">
        <f>INDEX('Eurostat EB TJ GWh'!$A$2:$BV$146,MATCH($A30,'Eurostat EB TJ GWh'!$A$2:$A$146,0),MATCH(BC$3,'Eurostat EB TJ GWh'!$A$2:$BV$2,0))</f>
        <v>0</v>
      </c>
      <c r="BD30" s="57">
        <f>INDEX('Eurostat EB TJ GWh'!$A$2:$BV$146,MATCH($A30,'Eurostat EB TJ GWh'!$A$2:$A$146,0),MATCH(BD$3,'Eurostat EB TJ GWh'!$A$2:$BV$2,0))</f>
        <v>0</v>
      </c>
      <c r="BE30" s="57">
        <f>INDEX('Eurostat EB TJ GWh'!$A$2:$BV$146,MATCH($A30,'Eurostat EB TJ GWh'!$A$2:$A$146,0),MATCH(BE$3,'Eurostat EB TJ GWh'!$A$2:$BV$2,0))</f>
        <v>0</v>
      </c>
      <c r="BF30" s="57">
        <f>INDEX('Eurostat EB TJ GWh'!$A$2:$BV$146,MATCH($A30,'Eurostat EB TJ GWh'!$A$2:$A$146,0),MATCH(BF$3,'Eurostat EB TJ GWh'!$A$2:$BV$2,0))</f>
        <v>0</v>
      </c>
      <c r="BG30" s="57">
        <f>INDEX('Eurostat EB TJ GWh'!$A$2:$BV$146,MATCH($A30,'Eurostat EB TJ GWh'!$A$2:$A$146,0),MATCH(BG$3,'Eurostat EB TJ GWh'!$A$2:$BV$2,0))</f>
        <v>0</v>
      </c>
      <c r="BH30" s="57">
        <f>INDEX('Eurostat EB TJ GWh'!$A$2:$BV$146,MATCH($A30,'Eurostat EB TJ GWh'!$A$2:$A$146,0),MATCH(BH$3,'Eurostat EB TJ GWh'!$A$2:$BV$2,0))</f>
        <v>0</v>
      </c>
      <c r="BI30" s="57">
        <f>INDEX('Eurostat EB TJ GWh'!$A$2:$BV$146,MATCH($A30,'Eurostat EB TJ GWh'!$A$2:$A$146,0),MATCH(BI$3,'Eurostat EB TJ GWh'!$A$2:$BV$2,0))</f>
        <v>0</v>
      </c>
      <c r="BJ30" s="72">
        <v>0</v>
      </c>
      <c r="BK30" s="57">
        <f>INDEX('Eurostat EB TJ GWh'!$A$2:$BV$146,MATCH($A30,'Eurostat EB TJ GWh'!$A$2:$A$146,0),MATCH(BK$3,'Eurostat EB TJ GWh'!$A$2:$BV$2,0))</f>
        <v>0</v>
      </c>
      <c r="BL30" s="57">
        <f>INDEX('Eurostat EB TJ GWh'!$A$2:$BV$146,MATCH($A30,'Eurostat EB TJ GWh'!$A$2:$A$146,0),MATCH(BL$3,'Eurostat EB TJ GWh'!$A$2:$BV$2,0))</f>
        <v>0</v>
      </c>
      <c r="BM30" s="57">
        <f>INDEX('Eurostat EB TJ GWh'!$A$2:$BV$146,MATCH($A30,'Eurostat EB TJ GWh'!$A$2:$A$146,0),MATCH(BM$3,'Eurostat EB TJ GWh'!$A$2:$BV$2,0))</f>
        <v>2642416.0520000001</v>
      </c>
      <c r="BN30" s="57">
        <f>INDEX('Eurostat EB TJ GWh'!$A$2:$BV$146,MATCH($A30,'Eurostat EB TJ GWh'!$A$2:$A$146,0),MATCH(BN$3,'Eurostat EB TJ GWh'!$A$2:$BV$2,0))</f>
        <v>0</v>
      </c>
    </row>
    <row r="31" spans="1:66" x14ac:dyDescent="0.2">
      <c r="A31" s="56" t="s">
        <v>221</v>
      </c>
      <c r="B31" s="65" t="s">
        <v>323</v>
      </c>
      <c r="C31" s="65" t="s">
        <v>323</v>
      </c>
      <c r="D31" s="17">
        <f>INDEX('Eurostat EB TJ GWh'!$A$2:$BV$146,MATCH($A31,'Eurostat EB TJ GWh'!$A$2:$A$146,0),MATCH(D$3,'Eurostat EB TJ GWh'!$A$2:$BV$2,0))</f>
        <v>0</v>
      </c>
      <c r="E31" s="17">
        <f>INDEX('Eurostat EB TJ GWh'!$A$2:$BV$146,MATCH($A31,'Eurostat EB TJ GWh'!$A$2:$A$146,0),MATCH(E$3,'Eurostat EB TJ GWh'!$A$2:$BV$2,0))</f>
        <v>0</v>
      </c>
      <c r="F31" s="17">
        <f>INDEX('Eurostat EB TJ GWh'!$A$2:$BV$146,MATCH($A31,'Eurostat EB TJ GWh'!$A$2:$A$146,0),MATCH(F$3,'Eurostat EB TJ GWh'!$A$2:$BV$2,0))</f>
        <v>0</v>
      </c>
      <c r="G31" s="17">
        <f>INDEX('Eurostat EB TJ GWh'!$A$2:$BV$146,MATCH($A31,'Eurostat EB TJ GWh'!$A$2:$A$146,0),MATCH(G$3,'Eurostat EB TJ GWh'!$A$2:$BV$2,0))</f>
        <v>0</v>
      </c>
      <c r="H31" s="17">
        <f>INDEX('Eurostat EB TJ GWh'!$A$2:$BV$146,MATCH($A31,'Eurostat EB TJ GWh'!$A$2:$A$146,0),MATCH(H$3,'Eurostat EB TJ GWh'!$A$2:$BV$2,0))</f>
        <v>0</v>
      </c>
      <c r="I31" s="17">
        <f>INDEX('Eurostat EB TJ GWh'!$A$2:$BV$146,MATCH($A31,'Eurostat EB TJ GWh'!$A$2:$A$146,0),MATCH(I$3,'Eurostat EB TJ GWh'!$A$2:$BV$2,0))</f>
        <v>0</v>
      </c>
      <c r="J31" s="17">
        <f>INDEX('Eurostat EB TJ GWh'!$A$2:$BV$146,MATCH($A31,'Eurostat EB TJ GWh'!$A$2:$A$146,0),MATCH(J$3,'Eurostat EB TJ GWh'!$A$2:$BV$2,0))</f>
        <v>0</v>
      </c>
      <c r="K31" s="17">
        <f>INDEX('Eurostat EB TJ GWh'!$A$2:$BV$146,MATCH($A31,'Eurostat EB TJ GWh'!$A$2:$A$146,0),MATCH(K$3,'Eurostat EB TJ GWh'!$A$2:$BV$2,0))</f>
        <v>0</v>
      </c>
      <c r="L31" s="17">
        <f>INDEX('Eurostat EB TJ GWh'!$A$2:$BV$146,MATCH($A31,'Eurostat EB TJ GWh'!$A$2:$A$146,0),MATCH(L$3,'Eurostat EB TJ GWh'!$A$2:$BV$2,0))</f>
        <v>0</v>
      </c>
      <c r="M31" s="17">
        <f>INDEX('Eurostat EB TJ GWh'!$A$2:$BV$146,MATCH($A31,'Eurostat EB TJ GWh'!$A$2:$A$146,0),MATCH(M$3,'Eurostat EB TJ GWh'!$A$2:$BV$2,0))</f>
        <v>0</v>
      </c>
      <c r="N31" s="17">
        <f>INDEX('Eurostat EB TJ GWh'!$A$2:$BV$146,MATCH($A31,'Eurostat EB TJ GWh'!$A$2:$A$146,0),MATCH(N$3,'Eurostat EB TJ GWh'!$A$2:$BV$2,0))</f>
        <v>0</v>
      </c>
      <c r="O31" s="17">
        <f>INDEX('Eurostat EB TJ GWh'!$A$2:$BV$146,MATCH($A31,'Eurostat EB TJ GWh'!$A$2:$A$146,0),MATCH(O$3,'Eurostat EB TJ GWh'!$A$2:$BV$2,0))</f>
        <v>0</v>
      </c>
      <c r="P31" s="17">
        <f>INDEX('Eurostat EB TJ GWh'!$A$2:$BV$146,MATCH($A31,'Eurostat EB TJ GWh'!$A$2:$A$146,0),MATCH(P$3,'Eurostat EB TJ GWh'!$A$2:$BV$2,0))</f>
        <v>0</v>
      </c>
      <c r="Q31" s="17">
        <f>INDEX('Eurostat EB TJ GWh'!$A$2:$BV$146,MATCH($A31,'Eurostat EB TJ GWh'!$A$2:$A$146,0),MATCH(Q$3,'Eurostat EB TJ GWh'!$A$2:$BV$2,0))</f>
        <v>0</v>
      </c>
      <c r="R31" s="17">
        <f>INDEX('Eurostat EB TJ GWh'!$A$2:$BV$146,MATCH($A31,'Eurostat EB TJ GWh'!$A$2:$A$146,0),MATCH(R$2,'Eurostat EB TJ GWh'!$A$2:$BV$2,0))+INDEX('Eurostat EB TJ GWh'!$A$2:$BV$146,MATCH($A31,'Eurostat EB TJ GWh'!$A$2:$A$146,0),MATCH(R$3,'Eurostat EB TJ GWh'!$A$2:$BV$2,0))</f>
        <v>0</v>
      </c>
      <c r="S31" s="17">
        <f>INDEX('Eurostat EB TJ GWh'!$A$2:$BV$146,MATCH($A31,'Eurostat EB TJ GWh'!$A$2:$A$146,0),MATCH(S$3,'Eurostat EB TJ GWh'!$A$2:$BV$2,0))</f>
        <v>0</v>
      </c>
      <c r="T31" s="65" t="s">
        <v>323</v>
      </c>
      <c r="U31" s="17">
        <f>INDEX('Eurostat EB TJ GWh'!$A$2:$BV$146,MATCH($A31,'Eurostat EB TJ GWh'!$A$2:$A$146,0),MATCH(U$3,'Eurostat EB TJ GWh'!$A$2:$BV$2,0))</f>
        <v>0</v>
      </c>
      <c r="V31" s="17">
        <f>INDEX('Eurostat EB TJ GWh'!$A$2:$BV$146,MATCH($A31,'Eurostat EB TJ GWh'!$A$2:$A$146,0),MATCH(V$3,'Eurostat EB TJ GWh'!$A$2:$BV$2,0))</f>
        <v>0</v>
      </c>
      <c r="W31" s="17">
        <f>INDEX('Eurostat EB TJ GWh'!$A$2:$BV$146,MATCH($A31,'Eurostat EB TJ GWh'!$A$2:$A$146,0),MATCH(W$3,'Eurostat EB TJ GWh'!$A$2:$BV$2,0))</f>
        <v>0</v>
      </c>
      <c r="X31" s="17">
        <f>INDEX('Eurostat EB TJ GWh'!$A$2:$BV$146,MATCH($A31,'Eurostat EB TJ GWh'!$A$2:$A$146,0),MATCH(X$3,'Eurostat EB TJ GWh'!$A$2:$BV$2,0))</f>
        <v>0</v>
      </c>
      <c r="Y31" s="17">
        <f>INDEX('Eurostat EB TJ GWh'!$A$2:$BV$146,MATCH($A31,'Eurostat EB TJ GWh'!$A$2:$A$146,0),MATCH(Y$3,'Eurostat EB TJ GWh'!$A$2:$BV$2,0))</f>
        <v>0</v>
      </c>
      <c r="Z31" s="17">
        <f>INDEX('Eurostat EB TJ GWh'!$A$2:$BV$146,MATCH($A31,'Eurostat EB TJ GWh'!$A$2:$A$146,0),MATCH(Z$3,'Eurostat EB TJ GWh'!$A$2:$BV$2,0))</f>
        <v>94685.631999999998</v>
      </c>
      <c r="AA31" s="17">
        <f>INDEX('Eurostat EB TJ GWh'!$A$2:$BV$146,MATCH($A31,'Eurostat EB TJ GWh'!$A$2:$A$146,0),MATCH(AA$3,'Eurostat EB TJ GWh'!$A$2:$BV$2,0))</f>
        <v>0</v>
      </c>
      <c r="AB31" s="17">
        <f>INDEX('Eurostat EB TJ GWh'!$A$2:$BV$146,MATCH($A31,'Eurostat EB TJ GWh'!$A$2:$A$146,0),MATCH(AB$3,'Eurostat EB TJ GWh'!$A$2:$BV$2,0))</f>
        <v>7161.4620000000004</v>
      </c>
      <c r="AC31" s="17">
        <f>INDEX('Eurostat EB TJ GWh'!$A$2:$BV$146,MATCH($A31,'Eurostat EB TJ GWh'!$A$2:$A$146,0),MATCH(AC$3,'Eurostat EB TJ GWh'!$A$2:$BV$2,0))</f>
        <v>-12.863</v>
      </c>
      <c r="AD31" s="17">
        <f>INDEX('Eurostat EB TJ GWh'!$A$2:$BV$146,MATCH($A31,'Eurostat EB TJ GWh'!$A$2:$A$146,0),MATCH(AD$3,'Eurostat EB TJ GWh'!$A$2:$BV$2,0))</f>
        <v>0</v>
      </c>
      <c r="AE31" s="17">
        <f>INDEX('Eurostat EB TJ GWh'!$A$2:$BV$146,MATCH($A31,'Eurostat EB TJ GWh'!$A$2:$A$146,0),MATCH(AE$3,'Eurostat EB TJ GWh'!$A$2:$BV$2,0))</f>
        <v>0</v>
      </c>
      <c r="AF31" s="17">
        <f>INDEX('Eurostat EB TJ GWh'!$A$2:$BV$146,MATCH($A31,'Eurostat EB TJ GWh'!$A$2:$A$146,0),MATCH(AF$3,'Eurostat EB TJ GWh'!$A$2:$BV$2,0))</f>
        <v>0</v>
      </c>
      <c r="AG31" s="17">
        <f>INDEX('Eurostat EB TJ GWh'!$A$2:$BV$146,MATCH($A31,'Eurostat EB TJ GWh'!$A$2:$A$146,0),MATCH(AG$3,'Eurostat EB TJ GWh'!$A$2:$BV$2,0))</f>
        <v>24.097999999999999</v>
      </c>
      <c r="AH31" s="17">
        <f>INDEX('Eurostat EB TJ GWh'!$A$2:$BV$146,MATCH($A31,'Eurostat EB TJ GWh'!$A$2:$A$146,0),MATCH(AH$3,'Eurostat EB TJ GWh'!$A$2:$BV$2,0))</f>
        <v>817.55700000000002</v>
      </c>
      <c r="AI31" s="17">
        <f>INDEX('Eurostat EB TJ GWh'!$A$2:$BV$146,MATCH($A31,'Eurostat EB TJ GWh'!$A$2:$A$146,0),MATCH(AI$3,'Eurostat EB TJ GWh'!$A$2:$BV$2,0))</f>
        <v>0</v>
      </c>
      <c r="AJ31" s="17">
        <f>INDEX('Eurostat EB TJ GWh'!$A$2:$BV$146,MATCH($A31,'Eurostat EB TJ GWh'!$A$2:$A$146,0),MATCH(AJ$3,'Eurostat EB TJ GWh'!$A$2:$BV$2,0))</f>
        <v>19239.823</v>
      </c>
      <c r="AK31" s="17">
        <f>INDEX('Eurostat EB TJ GWh'!$A$2:$BV$146,MATCH($A31,'Eurostat EB TJ GWh'!$A$2:$A$146,0),MATCH(AK$3,'Eurostat EB TJ GWh'!$A$2:$BV$2,0))</f>
        <v>28222.131000000001</v>
      </c>
      <c r="AL31" s="17">
        <f>INDEX('Eurostat EB TJ GWh'!$A$2:$BV$146,MATCH($A31,'Eurostat EB TJ GWh'!$A$2:$A$146,0),MATCH(AL$3,'Eurostat EB TJ GWh'!$A$2:$BV$2,0))</f>
        <v>0</v>
      </c>
      <c r="AM31" s="17">
        <f>INDEX('Eurostat EB TJ GWh'!$A$2:$BV$146,MATCH($A31,'Eurostat EB TJ GWh'!$A$2:$A$146,0),MATCH(AM$3,'Eurostat EB TJ GWh'!$A$2:$BV$2,0))</f>
        <v>0</v>
      </c>
      <c r="AN31" s="17">
        <f>INDEX('Eurostat EB TJ GWh'!$A$2:$BV$146,MATCH($A31,'Eurostat EB TJ GWh'!$A$2:$A$146,0),MATCH(AN$3,'Eurostat EB TJ GWh'!$A$2:$BV$2,0))</f>
        <v>3.4159999999999999</v>
      </c>
      <c r="AO31" s="17">
        <f>INDEX('Eurostat EB TJ GWh'!$A$2:$BV$146,MATCH($A31,'Eurostat EB TJ GWh'!$A$2:$A$146,0),MATCH(AO$3,'Eurostat EB TJ GWh'!$A$2:$BV$2,0))</f>
        <v>0</v>
      </c>
      <c r="AP31" s="17">
        <f>INDEX('Eurostat EB TJ GWh'!$A$2:$BV$146,MATCH($A31,'Eurostat EB TJ GWh'!$A$2:$A$146,0),MATCH(AP$3,'Eurostat EB TJ GWh'!$A$2:$BV$2,0))</f>
        <v>4112.4880000000003</v>
      </c>
      <c r="AQ31" s="17">
        <f>INDEX('Eurostat EB TJ GWh'!$A$2:$BV$146,MATCH($A31,'Eurostat EB TJ GWh'!$A$2:$A$146,0),MATCH(AQ$3,'Eurostat EB TJ GWh'!$A$2:$BV$2,0))</f>
        <v>0</v>
      </c>
      <c r="AR31" s="17">
        <f>INDEX('Eurostat EB TJ GWh'!$A$2:$BV$146,MATCH($A31,'Eurostat EB TJ GWh'!$A$2:$A$146,0),MATCH(AR$3,'Eurostat EB TJ GWh'!$A$2:$BV$2,0))</f>
        <v>0</v>
      </c>
      <c r="AS31" s="17">
        <f>INDEX('Eurostat EB TJ GWh'!$A$2:$BV$146,MATCH($A31,'Eurostat EB TJ GWh'!$A$2:$A$146,0),MATCH(AS$3,'Eurostat EB TJ GWh'!$A$2:$BV$2,0))</f>
        <v>0</v>
      </c>
      <c r="AT31" s="17">
        <f>INDEX('Eurostat EB TJ GWh'!$A$2:$BV$146,MATCH($A31,'Eurostat EB TJ GWh'!$A$2:$A$146,0),MATCH(AT$3,'Eurostat EB TJ GWh'!$A$2:$BV$2,0))</f>
        <v>0</v>
      </c>
      <c r="AU31" s="17">
        <f>INDEX('Eurostat EB TJ GWh'!$A$2:$BV$146,MATCH($A31,'Eurostat EB TJ GWh'!$A$2:$A$146,0),MATCH(AU$3,'Eurostat EB TJ GWh'!$A$2:$BV$2,0))</f>
        <v>0</v>
      </c>
      <c r="AV31" s="17">
        <f>INDEX('Eurostat EB TJ GWh'!$A$2:$BV$146,MATCH($A31,'Eurostat EB TJ GWh'!$A$2:$A$146,0),MATCH(AV$2,'Eurostat EB TJ GWh'!$A$2:$BV$2,0))+INDEX('Eurostat EB TJ GWh'!$A$2:$BV$146,MATCH($A31,'Eurostat EB TJ GWh'!$A$2:$A$146,0),MATCH(AV$3,'Eurostat EB TJ GWh'!$A$2:$BV$2,0))</f>
        <v>8.0190000000000001</v>
      </c>
      <c r="AW31" s="17">
        <f>INDEX('Eurostat EB TJ GWh'!$A$2:$BV$146,MATCH($A31,'Eurostat EB TJ GWh'!$A$2:$A$146,0),MATCH(AW$2,'Eurostat EB TJ GWh'!$A$2:$BV$2,0))+INDEX('Eurostat EB TJ GWh'!$A$2:$BV$146,MATCH($A31,'Eurostat EB TJ GWh'!$A$2:$A$146,0),MATCH(AW$3,'Eurostat EB TJ GWh'!$A$2:$BV$2,0))</f>
        <v>0</v>
      </c>
      <c r="AX31" s="17">
        <f>INDEX('Eurostat EB TJ GWh'!$A$2:$BV$146,MATCH($A31,'Eurostat EB TJ GWh'!$A$2:$A$146,0),MATCH(AX$3,'Eurostat EB TJ GWh'!$A$2:$BV$2,0))</f>
        <v>0</v>
      </c>
      <c r="AY31" s="65">
        <v>0</v>
      </c>
      <c r="AZ31" s="17">
        <f>INDEX('Eurostat EB TJ GWh'!$A$2:$BV$146,MATCH($A31,'Eurostat EB TJ GWh'!$A$2:$A$146,0),MATCH(AZ$3,'Eurostat EB TJ GWh'!$A$2:$BV$2,0))</f>
        <v>0</v>
      </c>
      <c r="BA31" s="65">
        <v>0</v>
      </c>
      <c r="BB31" s="65">
        <v>0</v>
      </c>
      <c r="BC31" s="17">
        <f>INDEX('Eurostat EB TJ GWh'!$A$2:$BV$146,MATCH($A31,'Eurostat EB TJ GWh'!$A$2:$A$146,0),MATCH(BC$3,'Eurostat EB TJ GWh'!$A$2:$BV$2,0))</f>
        <v>0</v>
      </c>
      <c r="BD31" s="17">
        <f>INDEX('Eurostat EB TJ GWh'!$A$2:$BV$146,MATCH($A31,'Eurostat EB TJ GWh'!$A$2:$A$146,0),MATCH(BD$3,'Eurostat EB TJ GWh'!$A$2:$BV$2,0))</f>
        <v>0</v>
      </c>
      <c r="BE31" s="17">
        <f>INDEX('Eurostat EB TJ GWh'!$A$2:$BV$146,MATCH($A31,'Eurostat EB TJ GWh'!$A$2:$A$146,0),MATCH(BE$3,'Eurostat EB TJ GWh'!$A$2:$BV$2,0))</f>
        <v>0</v>
      </c>
      <c r="BF31" s="17">
        <f>INDEX('Eurostat EB TJ GWh'!$A$2:$BV$146,MATCH($A31,'Eurostat EB TJ GWh'!$A$2:$A$146,0),MATCH(BF$3,'Eurostat EB TJ GWh'!$A$2:$BV$2,0))</f>
        <v>0</v>
      </c>
      <c r="BG31" s="17">
        <f>INDEX('Eurostat EB TJ GWh'!$A$2:$BV$146,MATCH($A31,'Eurostat EB TJ GWh'!$A$2:$A$146,0),MATCH(BG$3,'Eurostat EB TJ GWh'!$A$2:$BV$2,0))</f>
        <v>0</v>
      </c>
      <c r="BH31" s="17">
        <f>INDEX('Eurostat EB TJ GWh'!$A$2:$BV$146,MATCH($A31,'Eurostat EB TJ GWh'!$A$2:$A$146,0),MATCH(BH$3,'Eurostat EB TJ GWh'!$A$2:$BV$2,0))</f>
        <v>0</v>
      </c>
      <c r="BI31" s="17">
        <f>INDEX('Eurostat EB TJ GWh'!$A$2:$BV$146,MATCH($A31,'Eurostat EB TJ GWh'!$A$2:$A$146,0),MATCH(BI$3,'Eurostat EB TJ GWh'!$A$2:$BV$2,0))</f>
        <v>0</v>
      </c>
      <c r="BJ31" s="65">
        <v>0</v>
      </c>
      <c r="BK31" s="17">
        <f>INDEX('Eurostat EB TJ GWh'!$A$2:$BV$146,MATCH($A31,'Eurostat EB TJ GWh'!$A$2:$A$146,0),MATCH(BK$3,'Eurostat EB TJ GWh'!$A$2:$BV$2,0))</f>
        <v>0</v>
      </c>
      <c r="BL31" s="17">
        <f>INDEX('Eurostat EB TJ GWh'!$A$2:$BV$146,MATCH($A31,'Eurostat EB TJ GWh'!$A$2:$A$146,0),MATCH(BL$3,'Eurostat EB TJ GWh'!$A$2:$BV$2,0))</f>
        <v>0</v>
      </c>
      <c r="BM31" s="17">
        <f>INDEX('Eurostat EB TJ GWh'!$A$2:$BV$146,MATCH($A31,'Eurostat EB TJ GWh'!$A$2:$A$146,0),MATCH(BM$3,'Eurostat EB TJ GWh'!$A$2:$BV$2,0))</f>
        <v>154261.76300000001</v>
      </c>
      <c r="BN31" s="17">
        <f>INDEX('Eurostat EB TJ GWh'!$A$2:$BV$146,MATCH($A31,'Eurostat EB TJ GWh'!$A$2:$A$146,0),MATCH(BN$3,'Eurostat EB TJ GWh'!$A$2:$BV$2,0))</f>
        <v>8.0190000000000001</v>
      </c>
    </row>
    <row r="32" spans="1:66" x14ac:dyDescent="0.2">
      <c r="A32" s="56" t="s">
        <v>222</v>
      </c>
      <c r="B32" s="65" t="s">
        <v>323</v>
      </c>
      <c r="C32" s="65" t="s">
        <v>323</v>
      </c>
      <c r="D32" s="57">
        <f>INDEX('Eurostat EB TJ GWh'!$A$2:$BV$146,MATCH($A32,'Eurostat EB TJ GWh'!$A$2:$A$146,0),MATCH(D$3,'Eurostat EB TJ GWh'!$A$2:$BV$2,0))</f>
        <v>0</v>
      </c>
      <c r="E32" s="57">
        <f>INDEX('Eurostat EB TJ GWh'!$A$2:$BV$146,MATCH($A32,'Eurostat EB TJ GWh'!$A$2:$A$146,0),MATCH(E$3,'Eurostat EB TJ GWh'!$A$2:$BV$2,0))</f>
        <v>0</v>
      </c>
      <c r="F32" s="57">
        <f>INDEX('Eurostat EB TJ GWh'!$A$2:$BV$146,MATCH($A32,'Eurostat EB TJ GWh'!$A$2:$A$146,0),MATCH(F$3,'Eurostat EB TJ GWh'!$A$2:$BV$2,0))</f>
        <v>0</v>
      </c>
      <c r="G32" s="57">
        <f>INDEX('Eurostat EB TJ GWh'!$A$2:$BV$146,MATCH($A32,'Eurostat EB TJ GWh'!$A$2:$A$146,0),MATCH(G$3,'Eurostat EB TJ GWh'!$A$2:$BV$2,0))</f>
        <v>0</v>
      </c>
      <c r="H32" s="57">
        <f>INDEX('Eurostat EB TJ GWh'!$A$2:$BV$146,MATCH($A32,'Eurostat EB TJ GWh'!$A$2:$A$146,0),MATCH(H$3,'Eurostat EB TJ GWh'!$A$2:$BV$2,0))</f>
        <v>0</v>
      </c>
      <c r="I32" s="57">
        <f>INDEX('Eurostat EB TJ GWh'!$A$2:$BV$146,MATCH($A32,'Eurostat EB TJ GWh'!$A$2:$A$146,0),MATCH(I$3,'Eurostat EB TJ GWh'!$A$2:$BV$2,0))</f>
        <v>0</v>
      </c>
      <c r="J32" s="57">
        <f>INDEX('Eurostat EB TJ GWh'!$A$2:$BV$146,MATCH($A32,'Eurostat EB TJ GWh'!$A$2:$A$146,0),MATCH(J$3,'Eurostat EB TJ GWh'!$A$2:$BV$2,0))</f>
        <v>0</v>
      </c>
      <c r="K32" s="57">
        <f>INDEX('Eurostat EB TJ GWh'!$A$2:$BV$146,MATCH($A32,'Eurostat EB TJ GWh'!$A$2:$A$146,0),MATCH(K$3,'Eurostat EB TJ GWh'!$A$2:$BV$2,0))</f>
        <v>0</v>
      </c>
      <c r="L32" s="57">
        <f>INDEX('Eurostat EB TJ GWh'!$A$2:$BV$146,MATCH($A32,'Eurostat EB TJ GWh'!$A$2:$A$146,0),MATCH(L$3,'Eurostat EB TJ GWh'!$A$2:$BV$2,0))</f>
        <v>0</v>
      </c>
      <c r="M32" s="57">
        <f>INDEX('Eurostat EB TJ GWh'!$A$2:$BV$146,MATCH($A32,'Eurostat EB TJ GWh'!$A$2:$A$146,0),MATCH(M$3,'Eurostat EB TJ GWh'!$A$2:$BV$2,0))</f>
        <v>0</v>
      </c>
      <c r="N32" s="57">
        <f>INDEX('Eurostat EB TJ GWh'!$A$2:$BV$146,MATCH($A32,'Eurostat EB TJ GWh'!$A$2:$A$146,0),MATCH(N$3,'Eurostat EB TJ GWh'!$A$2:$BV$2,0))</f>
        <v>0</v>
      </c>
      <c r="O32" s="57">
        <f>INDEX('Eurostat EB TJ GWh'!$A$2:$BV$146,MATCH($A32,'Eurostat EB TJ GWh'!$A$2:$A$146,0),MATCH(O$3,'Eurostat EB TJ GWh'!$A$2:$BV$2,0))</f>
        <v>0</v>
      </c>
      <c r="P32" s="57">
        <f>INDEX('Eurostat EB TJ GWh'!$A$2:$BV$146,MATCH($A32,'Eurostat EB TJ GWh'!$A$2:$A$146,0),MATCH(P$3,'Eurostat EB TJ GWh'!$A$2:$BV$2,0))</f>
        <v>0</v>
      </c>
      <c r="Q32" s="57">
        <f>INDEX('Eurostat EB TJ GWh'!$A$2:$BV$146,MATCH($A32,'Eurostat EB TJ GWh'!$A$2:$A$146,0),MATCH(Q$3,'Eurostat EB TJ GWh'!$A$2:$BV$2,0))</f>
        <v>0</v>
      </c>
      <c r="R32" s="57">
        <f>INDEX('Eurostat EB TJ GWh'!$A$2:$BV$146,MATCH($A32,'Eurostat EB TJ GWh'!$A$2:$A$146,0),MATCH(R$2,'Eurostat EB TJ GWh'!$A$2:$BV$2,0))+INDEX('Eurostat EB TJ GWh'!$A$2:$BV$146,MATCH($A32,'Eurostat EB TJ GWh'!$A$2:$A$146,0),MATCH(R$3,'Eurostat EB TJ GWh'!$A$2:$BV$2,0))</f>
        <v>0</v>
      </c>
      <c r="S32" s="57">
        <f>INDEX('Eurostat EB TJ GWh'!$A$2:$BV$146,MATCH($A32,'Eurostat EB TJ GWh'!$A$2:$A$146,0),MATCH(S$3,'Eurostat EB TJ GWh'!$A$2:$BV$2,0))</f>
        <v>0</v>
      </c>
      <c r="T32" s="65" t="s">
        <v>323</v>
      </c>
      <c r="U32" s="57">
        <f>INDEX('Eurostat EB TJ GWh'!$A$2:$BV$146,MATCH($A32,'Eurostat EB TJ GWh'!$A$2:$A$146,0),MATCH(U$3,'Eurostat EB TJ GWh'!$A$2:$BV$2,0))</f>
        <v>0</v>
      </c>
      <c r="V32" s="57">
        <f>INDEX('Eurostat EB TJ GWh'!$A$2:$BV$146,MATCH($A32,'Eurostat EB TJ GWh'!$A$2:$A$146,0),MATCH(V$3,'Eurostat EB TJ GWh'!$A$2:$BV$2,0))</f>
        <v>0</v>
      </c>
      <c r="W32" s="57">
        <f>INDEX('Eurostat EB TJ GWh'!$A$2:$BV$146,MATCH($A32,'Eurostat EB TJ GWh'!$A$2:$A$146,0),MATCH(W$3,'Eurostat EB TJ GWh'!$A$2:$BV$2,0))</f>
        <v>0</v>
      </c>
      <c r="X32" s="57">
        <f>INDEX('Eurostat EB TJ GWh'!$A$2:$BV$146,MATCH($A32,'Eurostat EB TJ GWh'!$A$2:$A$146,0),MATCH(X$3,'Eurostat EB TJ GWh'!$A$2:$BV$2,0))</f>
        <v>0</v>
      </c>
      <c r="Y32" s="57">
        <f>INDEX('Eurostat EB TJ GWh'!$A$2:$BV$146,MATCH($A32,'Eurostat EB TJ GWh'!$A$2:$A$146,0),MATCH(Y$3,'Eurostat EB TJ GWh'!$A$2:$BV$2,0))</f>
        <v>0</v>
      </c>
      <c r="Z32" s="57">
        <f>INDEX('Eurostat EB TJ GWh'!$A$2:$BV$146,MATCH($A32,'Eurostat EB TJ GWh'!$A$2:$A$146,0),MATCH(Z$3,'Eurostat EB TJ GWh'!$A$2:$BV$2,0))</f>
        <v>0</v>
      </c>
      <c r="AA32" s="57">
        <f>INDEX('Eurostat EB TJ GWh'!$A$2:$BV$146,MATCH($A32,'Eurostat EB TJ GWh'!$A$2:$A$146,0),MATCH(AA$3,'Eurostat EB TJ GWh'!$A$2:$BV$2,0))</f>
        <v>0</v>
      </c>
      <c r="AB32" s="57">
        <f>INDEX('Eurostat EB TJ GWh'!$A$2:$BV$146,MATCH($A32,'Eurostat EB TJ GWh'!$A$2:$A$146,0),MATCH(AB$3,'Eurostat EB TJ GWh'!$A$2:$BV$2,0))</f>
        <v>0</v>
      </c>
      <c r="AC32" s="57">
        <f>INDEX('Eurostat EB TJ GWh'!$A$2:$BV$146,MATCH($A32,'Eurostat EB TJ GWh'!$A$2:$A$146,0),MATCH(AC$3,'Eurostat EB TJ GWh'!$A$2:$BV$2,0))</f>
        <v>247</v>
      </c>
      <c r="AD32" s="57">
        <f>INDEX('Eurostat EB TJ GWh'!$A$2:$BV$146,MATCH($A32,'Eurostat EB TJ GWh'!$A$2:$A$146,0),MATCH(AD$3,'Eurostat EB TJ GWh'!$A$2:$BV$2,0))</f>
        <v>8.7999999999999995E-2</v>
      </c>
      <c r="AE32" s="57">
        <f>INDEX('Eurostat EB TJ GWh'!$A$2:$BV$146,MATCH($A32,'Eurostat EB TJ GWh'!$A$2:$A$146,0),MATCH(AE$3,'Eurostat EB TJ GWh'!$A$2:$BV$2,0))</f>
        <v>0</v>
      </c>
      <c r="AF32" s="57">
        <f>INDEX('Eurostat EB TJ GWh'!$A$2:$BV$146,MATCH($A32,'Eurostat EB TJ GWh'!$A$2:$A$146,0),MATCH(AF$3,'Eurostat EB TJ GWh'!$A$2:$BV$2,0))</f>
        <v>60.075000000000003</v>
      </c>
      <c r="AG32" s="57">
        <f>INDEX('Eurostat EB TJ GWh'!$A$2:$BV$146,MATCH($A32,'Eurostat EB TJ GWh'!$A$2:$A$146,0),MATCH(AG$3,'Eurostat EB TJ GWh'!$A$2:$BV$2,0))</f>
        <v>3249.5909999999999</v>
      </c>
      <c r="AH32" s="57">
        <f>INDEX('Eurostat EB TJ GWh'!$A$2:$BV$146,MATCH($A32,'Eurostat EB TJ GWh'!$A$2:$A$146,0),MATCH(AH$3,'Eurostat EB TJ GWh'!$A$2:$BV$2,0))</f>
        <v>41346.705999999998</v>
      </c>
      <c r="AI32" s="57">
        <f>INDEX('Eurostat EB TJ GWh'!$A$2:$BV$146,MATCH($A32,'Eurostat EB TJ GWh'!$A$2:$A$146,0),MATCH(AI$3,'Eurostat EB TJ GWh'!$A$2:$BV$2,0))</f>
        <v>136153.08600000001</v>
      </c>
      <c r="AJ32" s="57">
        <f>INDEX('Eurostat EB TJ GWh'!$A$2:$BV$146,MATCH($A32,'Eurostat EB TJ GWh'!$A$2:$A$146,0),MATCH(AJ$3,'Eurostat EB TJ GWh'!$A$2:$BV$2,0))</f>
        <v>14768.814</v>
      </c>
      <c r="AK32" s="57">
        <f>INDEX('Eurostat EB TJ GWh'!$A$2:$BV$146,MATCH($A32,'Eurostat EB TJ GWh'!$A$2:$A$146,0),MATCH(AK$3,'Eurostat EB TJ GWh'!$A$2:$BV$2,0))</f>
        <v>4640.2439999999997</v>
      </c>
      <c r="AL32" s="57">
        <f>INDEX('Eurostat EB TJ GWh'!$A$2:$BV$146,MATCH($A32,'Eurostat EB TJ GWh'!$A$2:$A$146,0),MATCH(AL$3,'Eurostat EB TJ GWh'!$A$2:$BV$2,0))</f>
        <v>5359.915</v>
      </c>
      <c r="AM32" s="57">
        <f>INDEX('Eurostat EB TJ GWh'!$A$2:$BV$146,MATCH($A32,'Eurostat EB TJ GWh'!$A$2:$A$146,0),MATCH(AM$3,'Eurostat EB TJ GWh'!$A$2:$BV$2,0))</f>
        <v>13.911</v>
      </c>
      <c r="AN32" s="57">
        <f>INDEX('Eurostat EB TJ GWh'!$A$2:$BV$146,MATCH($A32,'Eurostat EB TJ GWh'!$A$2:$A$146,0),MATCH(AN$3,'Eurostat EB TJ GWh'!$A$2:$BV$2,0))</f>
        <v>0</v>
      </c>
      <c r="AO32" s="57">
        <f>INDEX('Eurostat EB TJ GWh'!$A$2:$BV$146,MATCH($A32,'Eurostat EB TJ GWh'!$A$2:$A$146,0),MATCH(AO$3,'Eurostat EB TJ GWh'!$A$2:$BV$2,0))</f>
        <v>0</v>
      </c>
      <c r="AP32" s="57">
        <f>INDEX('Eurostat EB TJ GWh'!$A$2:$BV$146,MATCH($A32,'Eurostat EB TJ GWh'!$A$2:$A$146,0),MATCH(AP$3,'Eurostat EB TJ GWh'!$A$2:$BV$2,0))</f>
        <v>7207.5870000000004</v>
      </c>
      <c r="AQ32" s="57">
        <f>INDEX('Eurostat EB TJ GWh'!$A$2:$BV$146,MATCH($A32,'Eurostat EB TJ GWh'!$A$2:$A$146,0),MATCH(AQ$3,'Eurostat EB TJ GWh'!$A$2:$BV$2,0))</f>
        <v>0</v>
      </c>
      <c r="AR32" s="57">
        <f>INDEX('Eurostat EB TJ GWh'!$A$2:$BV$146,MATCH($A32,'Eurostat EB TJ GWh'!$A$2:$A$146,0),MATCH(AR$3,'Eurostat EB TJ GWh'!$A$2:$BV$2,0))</f>
        <v>0</v>
      </c>
      <c r="AS32" s="57">
        <f>INDEX('Eurostat EB TJ GWh'!$A$2:$BV$146,MATCH($A32,'Eurostat EB TJ GWh'!$A$2:$A$146,0),MATCH(AS$3,'Eurostat EB TJ GWh'!$A$2:$BV$2,0))</f>
        <v>0</v>
      </c>
      <c r="AT32" s="57">
        <f>INDEX('Eurostat EB TJ GWh'!$A$2:$BV$146,MATCH($A32,'Eurostat EB TJ GWh'!$A$2:$A$146,0),MATCH(AT$3,'Eurostat EB TJ GWh'!$A$2:$BV$2,0))</f>
        <v>0</v>
      </c>
      <c r="AU32" s="57">
        <f>INDEX('Eurostat EB TJ GWh'!$A$2:$BV$146,MATCH($A32,'Eurostat EB TJ GWh'!$A$2:$A$146,0),MATCH(AU$3,'Eurostat EB TJ GWh'!$A$2:$BV$2,0))</f>
        <v>0</v>
      </c>
      <c r="AV32" s="57">
        <f>INDEX('Eurostat EB TJ GWh'!$A$2:$BV$146,MATCH($A32,'Eurostat EB TJ GWh'!$A$2:$A$146,0),MATCH(AV$2,'Eurostat EB TJ GWh'!$A$2:$BV$2,0))+INDEX('Eurostat EB TJ GWh'!$A$2:$BV$146,MATCH($A32,'Eurostat EB TJ GWh'!$A$2:$A$146,0),MATCH(AV$3,'Eurostat EB TJ GWh'!$A$2:$BV$2,0))</f>
        <v>0</v>
      </c>
      <c r="AW32" s="57">
        <f>INDEX('Eurostat EB TJ GWh'!$A$2:$BV$146,MATCH($A32,'Eurostat EB TJ GWh'!$A$2:$A$146,0),MATCH(AW$2,'Eurostat EB TJ GWh'!$A$2:$BV$2,0))+INDEX('Eurostat EB TJ GWh'!$A$2:$BV$146,MATCH($A32,'Eurostat EB TJ GWh'!$A$2:$A$146,0),MATCH(AW$3,'Eurostat EB TJ GWh'!$A$2:$BV$2,0))</f>
        <v>0</v>
      </c>
      <c r="AX32" s="57">
        <f>INDEX('Eurostat EB TJ GWh'!$A$2:$BV$146,MATCH($A32,'Eurostat EB TJ GWh'!$A$2:$A$146,0),MATCH(AX$3,'Eurostat EB TJ GWh'!$A$2:$BV$2,0))</f>
        <v>0</v>
      </c>
      <c r="AY32" s="72">
        <v>0</v>
      </c>
      <c r="AZ32" s="57">
        <f>INDEX('Eurostat EB TJ GWh'!$A$2:$BV$146,MATCH($A32,'Eurostat EB TJ GWh'!$A$2:$A$146,0),MATCH(AZ$3,'Eurostat EB TJ GWh'!$A$2:$BV$2,0))</f>
        <v>0</v>
      </c>
      <c r="BA32" s="72">
        <v>0</v>
      </c>
      <c r="BB32" s="72">
        <v>0</v>
      </c>
      <c r="BC32" s="57">
        <f>INDEX('Eurostat EB TJ GWh'!$A$2:$BV$146,MATCH($A32,'Eurostat EB TJ GWh'!$A$2:$A$146,0),MATCH(BC$3,'Eurostat EB TJ GWh'!$A$2:$BV$2,0))</f>
        <v>0</v>
      </c>
      <c r="BD32" s="57">
        <f>INDEX('Eurostat EB TJ GWh'!$A$2:$BV$146,MATCH($A32,'Eurostat EB TJ GWh'!$A$2:$A$146,0),MATCH(BD$3,'Eurostat EB TJ GWh'!$A$2:$BV$2,0))</f>
        <v>0</v>
      </c>
      <c r="BE32" s="57">
        <f>INDEX('Eurostat EB TJ GWh'!$A$2:$BV$146,MATCH($A32,'Eurostat EB TJ GWh'!$A$2:$A$146,0),MATCH(BE$3,'Eurostat EB TJ GWh'!$A$2:$BV$2,0))</f>
        <v>0</v>
      </c>
      <c r="BF32" s="57">
        <f>INDEX('Eurostat EB TJ GWh'!$A$2:$BV$146,MATCH($A32,'Eurostat EB TJ GWh'!$A$2:$A$146,0),MATCH(BF$3,'Eurostat EB TJ GWh'!$A$2:$BV$2,0))</f>
        <v>0</v>
      </c>
      <c r="BG32" s="57">
        <f>INDEX('Eurostat EB TJ GWh'!$A$2:$BV$146,MATCH($A32,'Eurostat EB TJ GWh'!$A$2:$A$146,0),MATCH(BG$3,'Eurostat EB TJ GWh'!$A$2:$BV$2,0))</f>
        <v>0</v>
      </c>
      <c r="BH32" s="57">
        <f>INDEX('Eurostat EB TJ GWh'!$A$2:$BV$146,MATCH($A32,'Eurostat EB TJ GWh'!$A$2:$A$146,0),MATCH(BH$3,'Eurostat EB TJ GWh'!$A$2:$BV$2,0))</f>
        <v>0</v>
      </c>
      <c r="BI32" s="57">
        <f>INDEX('Eurostat EB TJ GWh'!$A$2:$BV$146,MATCH($A32,'Eurostat EB TJ GWh'!$A$2:$A$146,0),MATCH(BI$3,'Eurostat EB TJ GWh'!$A$2:$BV$2,0))</f>
        <v>0</v>
      </c>
      <c r="BJ32" s="72">
        <v>0</v>
      </c>
      <c r="BK32" s="57">
        <f>INDEX('Eurostat EB TJ GWh'!$A$2:$BV$146,MATCH($A32,'Eurostat EB TJ GWh'!$A$2:$A$146,0),MATCH(BK$3,'Eurostat EB TJ GWh'!$A$2:$BV$2,0))</f>
        <v>0</v>
      </c>
      <c r="BL32" s="57">
        <f>INDEX('Eurostat EB TJ GWh'!$A$2:$BV$146,MATCH($A32,'Eurostat EB TJ GWh'!$A$2:$A$146,0),MATCH(BL$3,'Eurostat EB TJ GWh'!$A$2:$BV$2,0))</f>
        <v>0</v>
      </c>
      <c r="BM32" s="57">
        <f>INDEX('Eurostat EB TJ GWh'!$A$2:$BV$146,MATCH($A32,'Eurostat EB TJ GWh'!$A$2:$A$146,0),MATCH(BM$3,'Eurostat EB TJ GWh'!$A$2:$BV$2,0))</f>
        <v>213047.01800000001</v>
      </c>
      <c r="BN32" s="57">
        <f>INDEX('Eurostat EB TJ GWh'!$A$2:$BV$146,MATCH($A32,'Eurostat EB TJ GWh'!$A$2:$A$146,0),MATCH(BN$3,'Eurostat EB TJ GWh'!$A$2:$BV$2,0))</f>
        <v>0</v>
      </c>
    </row>
    <row r="33" spans="1:66" x14ac:dyDescent="0.2">
      <c r="A33" s="56" t="s">
        <v>223</v>
      </c>
      <c r="B33" s="65" t="s">
        <v>323</v>
      </c>
      <c r="C33" s="65" t="s">
        <v>323</v>
      </c>
      <c r="D33" s="17">
        <f>INDEX('Eurostat EB TJ GWh'!$A$2:$BV$146,MATCH($A33,'Eurostat EB TJ GWh'!$A$2:$A$146,0),MATCH(D$3,'Eurostat EB TJ GWh'!$A$2:$BV$2,0))</f>
        <v>0</v>
      </c>
      <c r="E33" s="17">
        <f>INDEX('Eurostat EB TJ GWh'!$A$2:$BV$146,MATCH($A33,'Eurostat EB TJ GWh'!$A$2:$A$146,0),MATCH(E$3,'Eurostat EB TJ GWh'!$A$2:$BV$2,0))</f>
        <v>0</v>
      </c>
      <c r="F33" s="17">
        <f>INDEX('Eurostat EB TJ GWh'!$A$2:$BV$146,MATCH($A33,'Eurostat EB TJ GWh'!$A$2:$A$146,0),MATCH(F$3,'Eurostat EB TJ GWh'!$A$2:$BV$2,0))</f>
        <v>0</v>
      </c>
      <c r="G33" s="17">
        <f>INDEX('Eurostat EB TJ GWh'!$A$2:$BV$146,MATCH($A33,'Eurostat EB TJ GWh'!$A$2:$A$146,0),MATCH(G$3,'Eurostat EB TJ GWh'!$A$2:$BV$2,0))</f>
        <v>0</v>
      </c>
      <c r="H33" s="17">
        <f>INDEX('Eurostat EB TJ GWh'!$A$2:$BV$146,MATCH($A33,'Eurostat EB TJ GWh'!$A$2:$A$146,0),MATCH(H$3,'Eurostat EB TJ GWh'!$A$2:$BV$2,0))</f>
        <v>0</v>
      </c>
      <c r="I33" s="17">
        <f>INDEX('Eurostat EB TJ GWh'!$A$2:$BV$146,MATCH($A33,'Eurostat EB TJ GWh'!$A$2:$A$146,0),MATCH(I$3,'Eurostat EB TJ GWh'!$A$2:$BV$2,0))</f>
        <v>0</v>
      </c>
      <c r="J33" s="17">
        <f>INDEX('Eurostat EB TJ GWh'!$A$2:$BV$146,MATCH($A33,'Eurostat EB TJ GWh'!$A$2:$A$146,0),MATCH(J$3,'Eurostat EB TJ GWh'!$A$2:$BV$2,0))</f>
        <v>0</v>
      </c>
      <c r="K33" s="17">
        <f>INDEX('Eurostat EB TJ GWh'!$A$2:$BV$146,MATCH($A33,'Eurostat EB TJ GWh'!$A$2:$A$146,0),MATCH(K$3,'Eurostat EB TJ GWh'!$A$2:$BV$2,0))</f>
        <v>0</v>
      </c>
      <c r="L33" s="17">
        <f>INDEX('Eurostat EB TJ GWh'!$A$2:$BV$146,MATCH($A33,'Eurostat EB TJ GWh'!$A$2:$A$146,0),MATCH(L$3,'Eurostat EB TJ GWh'!$A$2:$BV$2,0))</f>
        <v>0</v>
      </c>
      <c r="M33" s="17">
        <f>INDEX('Eurostat EB TJ GWh'!$A$2:$BV$146,MATCH($A33,'Eurostat EB TJ GWh'!$A$2:$A$146,0),MATCH(M$3,'Eurostat EB TJ GWh'!$A$2:$BV$2,0))</f>
        <v>0</v>
      </c>
      <c r="N33" s="17">
        <f>INDEX('Eurostat EB TJ GWh'!$A$2:$BV$146,MATCH($A33,'Eurostat EB TJ GWh'!$A$2:$A$146,0),MATCH(N$3,'Eurostat EB TJ GWh'!$A$2:$BV$2,0))</f>
        <v>0</v>
      </c>
      <c r="O33" s="17">
        <f>INDEX('Eurostat EB TJ GWh'!$A$2:$BV$146,MATCH($A33,'Eurostat EB TJ GWh'!$A$2:$A$146,0),MATCH(O$3,'Eurostat EB TJ GWh'!$A$2:$BV$2,0))</f>
        <v>0</v>
      </c>
      <c r="P33" s="17">
        <f>INDEX('Eurostat EB TJ GWh'!$A$2:$BV$146,MATCH($A33,'Eurostat EB TJ GWh'!$A$2:$A$146,0),MATCH(P$3,'Eurostat EB TJ GWh'!$A$2:$BV$2,0))</f>
        <v>0</v>
      </c>
      <c r="Q33" s="17">
        <f>INDEX('Eurostat EB TJ GWh'!$A$2:$BV$146,MATCH($A33,'Eurostat EB TJ GWh'!$A$2:$A$146,0),MATCH(Q$3,'Eurostat EB TJ GWh'!$A$2:$BV$2,0))</f>
        <v>0</v>
      </c>
      <c r="R33" s="17">
        <f>INDEX('Eurostat EB TJ GWh'!$A$2:$BV$146,MATCH($A33,'Eurostat EB TJ GWh'!$A$2:$A$146,0),MATCH(R$2,'Eurostat EB TJ GWh'!$A$2:$BV$2,0))+INDEX('Eurostat EB TJ GWh'!$A$2:$BV$146,MATCH($A33,'Eurostat EB TJ GWh'!$A$2:$A$146,0),MATCH(R$3,'Eurostat EB TJ GWh'!$A$2:$BV$2,0))</f>
        <v>0</v>
      </c>
      <c r="S33" s="17">
        <f>INDEX('Eurostat EB TJ GWh'!$A$2:$BV$146,MATCH($A33,'Eurostat EB TJ GWh'!$A$2:$A$146,0),MATCH(S$3,'Eurostat EB TJ GWh'!$A$2:$BV$2,0))</f>
        <v>0</v>
      </c>
      <c r="T33" s="65" t="s">
        <v>323</v>
      </c>
      <c r="U33" s="17">
        <f>INDEX('Eurostat EB TJ GWh'!$A$2:$BV$146,MATCH($A33,'Eurostat EB TJ GWh'!$A$2:$A$146,0),MATCH(U$3,'Eurostat EB TJ GWh'!$A$2:$BV$2,0))</f>
        <v>77534.907000000007</v>
      </c>
      <c r="V33" s="17">
        <f>INDEX('Eurostat EB TJ GWh'!$A$2:$BV$146,MATCH($A33,'Eurostat EB TJ GWh'!$A$2:$A$146,0),MATCH(V$3,'Eurostat EB TJ GWh'!$A$2:$BV$2,0))</f>
        <v>31624.531999999999</v>
      </c>
      <c r="W33" s="17">
        <f>INDEX('Eurostat EB TJ GWh'!$A$2:$BV$146,MATCH($A33,'Eurostat EB TJ GWh'!$A$2:$A$146,0),MATCH(W$3,'Eurostat EB TJ GWh'!$A$2:$BV$2,0))</f>
        <v>0</v>
      </c>
      <c r="X33" s="17">
        <f>INDEX('Eurostat EB TJ GWh'!$A$2:$BV$146,MATCH($A33,'Eurostat EB TJ GWh'!$A$2:$A$146,0),MATCH(X$3,'Eurostat EB TJ GWh'!$A$2:$BV$2,0))</f>
        <v>0</v>
      </c>
      <c r="Y33" s="17">
        <f>INDEX('Eurostat EB TJ GWh'!$A$2:$BV$146,MATCH($A33,'Eurostat EB TJ GWh'!$A$2:$A$146,0),MATCH(Y$3,'Eurostat EB TJ GWh'!$A$2:$BV$2,0))</f>
        <v>0</v>
      </c>
      <c r="Z33" s="17">
        <f>INDEX('Eurostat EB TJ GWh'!$A$2:$BV$146,MATCH($A33,'Eurostat EB TJ GWh'!$A$2:$A$146,0),MATCH(Z$3,'Eurostat EB TJ GWh'!$A$2:$BV$2,0))</f>
        <v>0</v>
      </c>
      <c r="AA33" s="17">
        <f>INDEX('Eurostat EB TJ GWh'!$A$2:$BV$146,MATCH($A33,'Eurostat EB TJ GWh'!$A$2:$A$146,0),MATCH(AA$3,'Eurostat EB TJ GWh'!$A$2:$BV$2,0))</f>
        <v>0</v>
      </c>
      <c r="AB33" s="17">
        <f>INDEX('Eurostat EB TJ GWh'!$A$2:$BV$146,MATCH($A33,'Eurostat EB TJ GWh'!$A$2:$A$146,0),MATCH(AB$3,'Eurostat EB TJ GWh'!$A$2:$BV$2,0))</f>
        <v>11285.284</v>
      </c>
      <c r="AC33" s="17">
        <f>INDEX('Eurostat EB TJ GWh'!$A$2:$BV$146,MATCH($A33,'Eurostat EB TJ GWh'!$A$2:$A$146,0),MATCH(AC$3,'Eurostat EB TJ GWh'!$A$2:$BV$2,0))</f>
        <v>0</v>
      </c>
      <c r="AD33" s="17">
        <f>INDEX('Eurostat EB TJ GWh'!$A$2:$BV$146,MATCH($A33,'Eurostat EB TJ GWh'!$A$2:$A$146,0),MATCH(AD$3,'Eurostat EB TJ GWh'!$A$2:$BV$2,0))</f>
        <v>0</v>
      </c>
      <c r="AE33" s="17">
        <f>INDEX('Eurostat EB TJ GWh'!$A$2:$BV$146,MATCH($A33,'Eurostat EB TJ GWh'!$A$2:$A$146,0),MATCH(AE$3,'Eurostat EB TJ GWh'!$A$2:$BV$2,0))</f>
        <v>0</v>
      </c>
      <c r="AF33" s="17">
        <f>INDEX('Eurostat EB TJ GWh'!$A$2:$BV$146,MATCH($A33,'Eurostat EB TJ GWh'!$A$2:$A$146,0),MATCH(AF$3,'Eurostat EB TJ GWh'!$A$2:$BV$2,0))</f>
        <v>0</v>
      </c>
      <c r="AG33" s="17">
        <f>INDEX('Eurostat EB TJ GWh'!$A$2:$BV$146,MATCH($A33,'Eurostat EB TJ GWh'!$A$2:$A$146,0),MATCH(AG$3,'Eurostat EB TJ GWh'!$A$2:$BV$2,0))</f>
        <v>761.31299999999999</v>
      </c>
      <c r="AH33" s="17">
        <f>INDEX('Eurostat EB TJ GWh'!$A$2:$BV$146,MATCH($A33,'Eurostat EB TJ GWh'!$A$2:$A$146,0),MATCH(AH$3,'Eurostat EB TJ GWh'!$A$2:$BV$2,0))</f>
        <v>420.96600000000001</v>
      </c>
      <c r="AI33" s="17">
        <f>INDEX('Eurostat EB TJ GWh'!$A$2:$BV$146,MATCH($A33,'Eurostat EB TJ GWh'!$A$2:$A$146,0),MATCH(AI$3,'Eurostat EB TJ GWh'!$A$2:$BV$2,0))</f>
        <v>0</v>
      </c>
      <c r="AJ33" s="17">
        <f>INDEX('Eurostat EB TJ GWh'!$A$2:$BV$146,MATCH($A33,'Eurostat EB TJ GWh'!$A$2:$A$146,0),MATCH(AJ$3,'Eurostat EB TJ GWh'!$A$2:$BV$2,0))</f>
        <v>472393.57199999999</v>
      </c>
      <c r="AK33" s="17">
        <f>INDEX('Eurostat EB TJ GWh'!$A$2:$BV$146,MATCH($A33,'Eurostat EB TJ GWh'!$A$2:$A$146,0),MATCH(AK$3,'Eurostat EB TJ GWh'!$A$2:$BV$2,0))</f>
        <v>56134.972999999998</v>
      </c>
      <c r="AL33" s="17">
        <f>INDEX('Eurostat EB TJ GWh'!$A$2:$BV$146,MATCH($A33,'Eurostat EB TJ GWh'!$A$2:$A$146,0),MATCH(AL$3,'Eurostat EB TJ GWh'!$A$2:$BV$2,0))</f>
        <v>7819.5820000000003</v>
      </c>
      <c r="AM33" s="17">
        <f>INDEX('Eurostat EB TJ GWh'!$A$2:$BV$146,MATCH($A33,'Eurostat EB TJ GWh'!$A$2:$A$146,0),MATCH(AM$3,'Eurostat EB TJ GWh'!$A$2:$BV$2,0))</f>
        <v>38.296999999999997</v>
      </c>
      <c r="AN33" s="17">
        <f>INDEX('Eurostat EB TJ GWh'!$A$2:$BV$146,MATCH($A33,'Eurostat EB TJ GWh'!$A$2:$A$146,0),MATCH(AN$3,'Eurostat EB TJ GWh'!$A$2:$BV$2,0))</f>
        <v>0</v>
      </c>
      <c r="AO33" s="17">
        <f>INDEX('Eurostat EB TJ GWh'!$A$2:$BV$146,MATCH($A33,'Eurostat EB TJ GWh'!$A$2:$A$146,0),MATCH(AO$3,'Eurostat EB TJ GWh'!$A$2:$BV$2,0))</f>
        <v>0</v>
      </c>
      <c r="AP33" s="17">
        <f>INDEX('Eurostat EB TJ GWh'!$A$2:$BV$146,MATCH($A33,'Eurostat EB TJ GWh'!$A$2:$A$146,0),MATCH(AP$3,'Eurostat EB TJ GWh'!$A$2:$BV$2,0))</f>
        <v>0</v>
      </c>
      <c r="AQ33" s="17">
        <f>INDEX('Eurostat EB TJ GWh'!$A$2:$BV$146,MATCH($A33,'Eurostat EB TJ GWh'!$A$2:$A$146,0),MATCH(AQ$3,'Eurostat EB TJ GWh'!$A$2:$BV$2,0))</f>
        <v>0</v>
      </c>
      <c r="AR33" s="17">
        <f>INDEX('Eurostat EB TJ GWh'!$A$2:$BV$146,MATCH($A33,'Eurostat EB TJ GWh'!$A$2:$A$146,0),MATCH(AR$3,'Eurostat EB TJ GWh'!$A$2:$BV$2,0))</f>
        <v>0</v>
      </c>
      <c r="AS33" s="17">
        <f>INDEX('Eurostat EB TJ GWh'!$A$2:$BV$146,MATCH($A33,'Eurostat EB TJ GWh'!$A$2:$A$146,0),MATCH(AS$3,'Eurostat EB TJ GWh'!$A$2:$BV$2,0))</f>
        <v>0</v>
      </c>
      <c r="AT33" s="17">
        <f>INDEX('Eurostat EB TJ GWh'!$A$2:$BV$146,MATCH($A33,'Eurostat EB TJ GWh'!$A$2:$A$146,0),MATCH(AT$3,'Eurostat EB TJ GWh'!$A$2:$BV$2,0))</f>
        <v>0</v>
      </c>
      <c r="AU33" s="17">
        <f>INDEX('Eurostat EB TJ GWh'!$A$2:$BV$146,MATCH($A33,'Eurostat EB TJ GWh'!$A$2:$A$146,0),MATCH(AU$3,'Eurostat EB TJ GWh'!$A$2:$BV$2,0))</f>
        <v>0</v>
      </c>
      <c r="AV33" s="17">
        <f>INDEX('Eurostat EB TJ GWh'!$A$2:$BV$146,MATCH($A33,'Eurostat EB TJ GWh'!$A$2:$A$146,0),MATCH(AV$2,'Eurostat EB TJ GWh'!$A$2:$BV$2,0))+INDEX('Eurostat EB TJ GWh'!$A$2:$BV$146,MATCH($A33,'Eurostat EB TJ GWh'!$A$2:$A$146,0),MATCH(AV$3,'Eurostat EB TJ GWh'!$A$2:$BV$2,0))</f>
        <v>0</v>
      </c>
      <c r="AW33" s="17">
        <f>INDEX('Eurostat EB TJ GWh'!$A$2:$BV$146,MATCH($A33,'Eurostat EB TJ GWh'!$A$2:$A$146,0),MATCH(AW$2,'Eurostat EB TJ GWh'!$A$2:$BV$2,0))+INDEX('Eurostat EB TJ GWh'!$A$2:$BV$146,MATCH($A33,'Eurostat EB TJ GWh'!$A$2:$A$146,0),MATCH(AW$3,'Eurostat EB TJ GWh'!$A$2:$BV$2,0))</f>
        <v>0</v>
      </c>
      <c r="AX33" s="17">
        <f>INDEX('Eurostat EB TJ GWh'!$A$2:$BV$146,MATCH($A33,'Eurostat EB TJ GWh'!$A$2:$A$146,0),MATCH(AX$3,'Eurostat EB TJ GWh'!$A$2:$BV$2,0))</f>
        <v>0</v>
      </c>
      <c r="AY33" s="65">
        <v>0</v>
      </c>
      <c r="AZ33" s="17">
        <f>INDEX('Eurostat EB TJ GWh'!$A$2:$BV$146,MATCH($A33,'Eurostat EB TJ GWh'!$A$2:$A$146,0),MATCH(AZ$3,'Eurostat EB TJ GWh'!$A$2:$BV$2,0))</f>
        <v>0</v>
      </c>
      <c r="BA33" s="65">
        <v>0</v>
      </c>
      <c r="BB33" s="65">
        <v>0</v>
      </c>
      <c r="BC33" s="17">
        <f>INDEX('Eurostat EB TJ GWh'!$A$2:$BV$146,MATCH($A33,'Eurostat EB TJ GWh'!$A$2:$A$146,0),MATCH(BC$3,'Eurostat EB TJ GWh'!$A$2:$BV$2,0))</f>
        <v>0</v>
      </c>
      <c r="BD33" s="17">
        <f>INDEX('Eurostat EB TJ GWh'!$A$2:$BV$146,MATCH($A33,'Eurostat EB TJ GWh'!$A$2:$A$146,0),MATCH(BD$3,'Eurostat EB TJ GWh'!$A$2:$BV$2,0))</f>
        <v>0</v>
      </c>
      <c r="BE33" s="17">
        <f>INDEX('Eurostat EB TJ GWh'!$A$2:$BV$146,MATCH($A33,'Eurostat EB TJ GWh'!$A$2:$A$146,0),MATCH(BE$3,'Eurostat EB TJ GWh'!$A$2:$BV$2,0))</f>
        <v>0</v>
      </c>
      <c r="BF33" s="17">
        <f>INDEX('Eurostat EB TJ GWh'!$A$2:$BV$146,MATCH($A33,'Eurostat EB TJ GWh'!$A$2:$A$146,0),MATCH(BF$3,'Eurostat EB TJ GWh'!$A$2:$BV$2,0))</f>
        <v>0</v>
      </c>
      <c r="BG33" s="17">
        <f>INDEX('Eurostat EB TJ GWh'!$A$2:$BV$146,MATCH($A33,'Eurostat EB TJ GWh'!$A$2:$A$146,0),MATCH(BG$3,'Eurostat EB TJ GWh'!$A$2:$BV$2,0))</f>
        <v>0</v>
      </c>
      <c r="BH33" s="17">
        <f>INDEX('Eurostat EB TJ GWh'!$A$2:$BV$146,MATCH($A33,'Eurostat EB TJ GWh'!$A$2:$A$146,0),MATCH(BH$3,'Eurostat EB TJ GWh'!$A$2:$BV$2,0))</f>
        <v>0</v>
      </c>
      <c r="BI33" s="17">
        <f>INDEX('Eurostat EB TJ GWh'!$A$2:$BV$146,MATCH($A33,'Eurostat EB TJ GWh'!$A$2:$A$146,0),MATCH(BI$3,'Eurostat EB TJ GWh'!$A$2:$BV$2,0))</f>
        <v>0</v>
      </c>
      <c r="BJ33" s="65">
        <v>0</v>
      </c>
      <c r="BK33" s="17">
        <f>INDEX('Eurostat EB TJ GWh'!$A$2:$BV$146,MATCH($A33,'Eurostat EB TJ GWh'!$A$2:$A$146,0),MATCH(BK$3,'Eurostat EB TJ GWh'!$A$2:$BV$2,0))</f>
        <v>0</v>
      </c>
      <c r="BL33" s="17">
        <f>INDEX('Eurostat EB TJ GWh'!$A$2:$BV$146,MATCH($A33,'Eurostat EB TJ GWh'!$A$2:$A$146,0),MATCH(BL$3,'Eurostat EB TJ GWh'!$A$2:$BV$2,0))</f>
        <v>0</v>
      </c>
      <c r="BM33" s="17">
        <f>INDEX('Eurostat EB TJ GWh'!$A$2:$BV$146,MATCH($A33,'Eurostat EB TJ GWh'!$A$2:$A$146,0),MATCH(BM$3,'Eurostat EB TJ GWh'!$A$2:$BV$2,0))</f>
        <v>658013.42500000005</v>
      </c>
      <c r="BN33" s="17">
        <f>INDEX('Eurostat EB TJ GWh'!$A$2:$BV$146,MATCH($A33,'Eurostat EB TJ GWh'!$A$2:$A$146,0),MATCH(BN$3,'Eurostat EB TJ GWh'!$A$2:$BV$2,0))</f>
        <v>0</v>
      </c>
    </row>
    <row r="34" spans="1:66" x14ac:dyDescent="0.2">
      <c r="A34" s="56" t="s">
        <v>224</v>
      </c>
      <c r="B34" s="65" t="s">
        <v>323</v>
      </c>
      <c r="C34" s="65" t="s">
        <v>323</v>
      </c>
      <c r="D34" s="57">
        <f>INDEX('Eurostat EB TJ GWh'!$A$2:$BV$146,MATCH($A34,'Eurostat EB TJ GWh'!$A$2:$A$146,0),MATCH(D$3,'Eurostat EB TJ GWh'!$A$2:$BV$2,0))</f>
        <v>0</v>
      </c>
      <c r="E34" s="57">
        <f>INDEX('Eurostat EB TJ GWh'!$A$2:$BV$146,MATCH($A34,'Eurostat EB TJ GWh'!$A$2:$A$146,0),MATCH(E$3,'Eurostat EB TJ GWh'!$A$2:$BV$2,0))</f>
        <v>0</v>
      </c>
      <c r="F34" s="57">
        <f>INDEX('Eurostat EB TJ GWh'!$A$2:$BV$146,MATCH($A34,'Eurostat EB TJ GWh'!$A$2:$A$146,0),MATCH(F$3,'Eurostat EB TJ GWh'!$A$2:$BV$2,0))</f>
        <v>0</v>
      </c>
      <c r="G34" s="57">
        <f>INDEX('Eurostat EB TJ GWh'!$A$2:$BV$146,MATCH($A34,'Eurostat EB TJ GWh'!$A$2:$A$146,0),MATCH(G$3,'Eurostat EB TJ GWh'!$A$2:$BV$2,0))</f>
        <v>0</v>
      </c>
      <c r="H34" s="57">
        <f>INDEX('Eurostat EB TJ GWh'!$A$2:$BV$146,MATCH($A34,'Eurostat EB TJ GWh'!$A$2:$A$146,0),MATCH(H$3,'Eurostat EB TJ GWh'!$A$2:$BV$2,0))</f>
        <v>0</v>
      </c>
      <c r="I34" s="57">
        <f>INDEX('Eurostat EB TJ GWh'!$A$2:$BV$146,MATCH($A34,'Eurostat EB TJ GWh'!$A$2:$A$146,0),MATCH(I$3,'Eurostat EB TJ GWh'!$A$2:$BV$2,0))</f>
        <v>0</v>
      </c>
      <c r="J34" s="57">
        <f>INDEX('Eurostat EB TJ GWh'!$A$2:$BV$146,MATCH($A34,'Eurostat EB TJ GWh'!$A$2:$A$146,0),MATCH(J$3,'Eurostat EB TJ GWh'!$A$2:$BV$2,0))</f>
        <v>0</v>
      </c>
      <c r="K34" s="57">
        <f>INDEX('Eurostat EB TJ GWh'!$A$2:$BV$146,MATCH($A34,'Eurostat EB TJ GWh'!$A$2:$A$146,0),MATCH(K$3,'Eurostat EB TJ GWh'!$A$2:$BV$2,0))</f>
        <v>0</v>
      </c>
      <c r="L34" s="57">
        <f>INDEX('Eurostat EB TJ GWh'!$A$2:$BV$146,MATCH($A34,'Eurostat EB TJ GWh'!$A$2:$A$146,0),MATCH(L$3,'Eurostat EB TJ GWh'!$A$2:$BV$2,0))</f>
        <v>0</v>
      </c>
      <c r="M34" s="57">
        <f>INDEX('Eurostat EB TJ GWh'!$A$2:$BV$146,MATCH($A34,'Eurostat EB TJ GWh'!$A$2:$A$146,0),MATCH(M$3,'Eurostat EB TJ GWh'!$A$2:$BV$2,0))</f>
        <v>0</v>
      </c>
      <c r="N34" s="57">
        <f>INDEX('Eurostat EB TJ GWh'!$A$2:$BV$146,MATCH($A34,'Eurostat EB TJ GWh'!$A$2:$A$146,0),MATCH(N$3,'Eurostat EB TJ GWh'!$A$2:$BV$2,0))</f>
        <v>0</v>
      </c>
      <c r="O34" s="57">
        <f>INDEX('Eurostat EB TJ GWh'!$A$2:$BV$146,MATCH($A34,'Eurostat EB TJ GWh'!$A$2:$A$146,0),MATCH(O$3,'Eurostat EB TJ GWh'!$A$2:$BV$2,0))</f>
        <v>0</v>
      </c>
      <c r="P34" s="57">
        <f>INDEX('Eurostat EB TJ GWh'!$A$2:$BV$146,MATCH($A34,'Eurostat EB TJ GWh'!$A$2:$A$146,0),MATCH(P$3,'Eurostat EB TJ GWh'!$A$2:$BV$2,0))</f>
        <v>0</v>
      </c>
      <c r="Q34" s="57">
        <f>INDEX('Eurostat EB TJ GWh'!$A$2:$BV$146,MATCH($A34,'Eurostat EB TJ GWh'!$A$2:$A$146,0),MATCH(Q$3,'Eurostat EB TJ GWh'!$A$2:$BV$2,0))</f>
        <v>0</v>
      </c>
      <c r="R34" s="57">
        <f>INDEX('Eurostat EB TJ GWh'!$A$2:$BV$146,MATCH($A34,'Eurostat EB TJ GWh'!$A$2:$A$146,0),MATCH(R$2,'Eurostat EB TJ GWh'!$A$2:$BV$2,0))+INDEX('Eurostat EB TJ GWh'!$A$2:$BV$146,MATCH($A34,'Eurostat EB TJ GWh'!$A$2:$A$146,0),MATCH(R$3,'Eurostat EB TJ GWh'!$A$2:$BV$2,0))</f>
        <v>0</v>
      </c>
      <c r="S34" s="57">
        <f>INDEX('Eurostat EB TJ GWh'!$A$2:$BV$146,MATCH($A34,'Eurostat EB TJ GWh'!$A$2:$A$146,0),MATCH(S$3,'Eurostat EB TJ GWh'!$A$2:$BV$2,0))</f>
        <v>0</v>
      </c>
      <c r="T34" s="65" t="s">
        <v>323</v>
      </c>
      <c r="U34" s="57">
        <f>INDEX('Eurostat EB TJ GWh'!$A$2:$BV$146,MATCH($A34,'Eurostat EB TJ GWh'!$A$2:$A$146,0),MATCH(U$3,'Eurostat EB TJ GWh'!$A$2:$BV$2,0))</f>
        <v>77534.907000000007</v>
      </c>
      <c r="V34" s="57">
        <f>INDEX('Eurostat EB TJ GWh'!$A$2:$BV$146,MATCH($A34,'Eurostat EB TJ GWh'!$A$2:$A$146,0),MATCH(V$3,'Eurostat EB TJ GWh'!$A$2:$BV$2,0))</f>
        <v>193698.97500000001</v>
      </c>
      <c r="W34" s="57">
        <f>INDEX('Eurostat EB TJ GWh'!$A$2:$BV$146,MATCH($A34,'Eurostat EB TJ GWh'!$A$2:$A$146,0),MATCH(W$3,'Eurostat EB TJ GWh'!$A$2:$BV$2,0))</f>
        <v>147464.37599999999</v>
      </c>
      <c r="X34" s="57">
        <f>INDEX('Eurostat EB TJ GWh'!$A$2:$BV$146,MATCH($A34,'Eurostat EB TJ GWh'!$A$2:$A$146,0),MATCH(X$3,'Eurostat EB TJ GWh'!$A$2:$BV$2,0))</f>
        <v>19875.305</v>
      </c>
      <c r="Y34" s="57">
        <f>INDEX('Eurostat EB TJ GWh'!$A$2:$BV$146,MATCH($A34,'Eurostat EB TJ GWh'!$A$2:$A$146,0),MATCH(Y$3,'Eurostat EB TJ GWh'!$A$2:$BV$2,0))</f>
        <v>0</v>
      </c>
      <c r="Z34" s="57">
        <f>INDEX('Eurostat EB TJ GWh'!$A$2:$BV$146,MATCH($A34,'Eurostat EB TJ GWh'!$A$2:$A$146,0),MATCH(Z$3,'Eurostat EB TJ GWh'!$A$2:$BV$2,0))</f>
        <v>0</v>
      </c>
      <c r="AA34" s="57">
        <f>INDEX('Eurostat EB TJ GWh'!$A$2:$BV$146,MATCH($A34,'Eurostat EB TJ GWh'!$A$2:$A$146,0),MATCH(AA$3,'Eurostat EB TJ GWh'!$A$2:$BV$2,0))</f>
        <v>0</v>
      </c>
      <c r="AB34" s="57">
        <f>INDEX('Eurostat EB TJ GWh'!$A$2:$BV$146,MATCH($A34,'Eurostat EB TJ GWh'!$A$2:$A$146,0),MATCH(AB$3,'Eurostat EB TJ GWh'!$A$2:$BV$2,0))</f>
        <v>0</v>
      </c>
      <c r="AC34" s="57">
        <f>INDEX('Eurostat EB TJ GWh'!$A$2:$BV$146,MATCH($A34,'Eurostat EB TJ GWh'!$A$2:$A$146,0),MATCH(AC$3,'Eurostat EB TJ GWh'!$A$2:$BV$2,0))</f>
        <v>0</v>
      </c>
      <c r="AD34" s="57">
        <f>INDEX('Eurostat EB TJ GWh'!$A$2:$BV$146,MATCH($A34,'Eurostat EB TJ GWh'!$A$2:$A$146,0),MATCH(AD$3,'Eurostat EB TJ GWh'!$A$2:$BV$2,0))</f>
        <v>0</v>
      </c>
      <c r="AE34" s="57">
        <f>INDEX('Eurostat EB TJ GWh'!$A$2:$BV$146,MATCH($A34,'Eurostat EB TJ GWh'!$A$2:$A$146,0),MATCH(AE$3,'Eurostat EB TJ GWh'!$A$2:$BV$2,0))</f>
        <v>0</v>
      </c>
      <c r="AF34" s="57">
        <f>INDEX('Eurostat EB TJ GWh'!$A$2:$BV$146,MATCH($A34,'Eurostat EB TJ GWh'!$A$2:$A$146,0),MATCH(AF$3,'Eurostat EB TJ GWh'!$A$2:$BV$2,0))</f>
        <v>0</v>
      </c>
      <c r="AG34" s="57">
        <f>INDEX('Eurostat EB TJ GWh'!$A$2:$BV$146,MATCH($A34,'Eurostat EB TJ GWh'!$A$2:$A$146,0),MATCH(AG$3,'Eurostat EB TJ GWh'!$A$2:$BV$2,0))</f>
        <v>0</v>
      </c>
      <c r="AH34" s="57">
        <f>INDEX('Eurostat EB TJ GWh'!$A$2:$BV$146,MATCH($A34,'Eurostat EB TJ GWh'!$A$2:$A$146,0),MATCH(AH$3,'Eurostat EB TJ GWh'!$A$2:$BV$2,0))</f>
        <v>0</v>
      </c>
      <c r="AI34" s="57">
        <f>INDEX('Eurostat EB TJ GWh'!$A$2:$BV$146,MATCH($A34,'Eurostat EB TJ GWh'!$A$2:$A$146,0),MATCH(AI$3,'Eurostat EB TJ GWh'!$A$2:$BV$2,0))</f>
        <v>0</v>
      </c>
      <c r="AJ34" s="57">
        <f>INDEX('Eurostat EB TJ GWh'!$A$2:$BV$146,MATCH($A34,'Eurostat EB TJ GWh'!$A$2:$A$146,0),MATCH(AJ$3,'Eurostat EB TJ GWh'!$A$2:$BV$2,0))</f>
        <v>0</v>
      </c>
      <c r="AK34" s="57">
        <f>INDEX('Eurostat EB TJ GWh'!$A$2:$BV$146,MATCH($A34,'Eurostat EB TJ GWh'!$A$2:$A$146,0),MATCH(AK$3,'Eurostat EB TJ GWh'!$A$2:$BV$2,0))</f>
        <v>0</v>
      </c>
      <c r="AL34" s="57">
        <f>INDEX('Eurostat EB TJ GWh'!$A$2:$BV$146,MATCH($A34,'Eurostat EB TJ GWh'!$A$2:$A$146,0),MATCH(AL$3,'Eurostat EB TJ GWh'!$A$2:$BV$2,0))</f>
        <v>0</v>
      </c>
      <c r="AM34" s="57">
        <f>INDEX('Eurostat EB TJ GWh'!$A$2:$BV$146,MATCH($A34,'Eurostat EB TJ GWh'!$A$2:$A$146,0),MATCH(AM$3,'Eurostat EB TJ GWh'!$A$2:$BV$2,0))</f>
        <v>0</v>
      </c>
      <c r="AN34" s="57">
        <f>INDEX('Eurostat EB TJ GWh'!$A$2:$BV$146,MATCH($A34,'Eurostat EB TJ GWh'!$A$2:$A$146,0),MATCH(AN$3,'Eurostat EB TJ GWh'!$A$2:$BV$2,0))</f>
        <v>0</v>
      </c>
      <c r="AO34" s="57">
        <f>INDEX('Eurostat EB TJ GWh'!$A$2:$BV$146,MATCH($A34,'Eurostat EB TJ GWh'!$A$2:$A$146,0),MATCH(AO$3,'Eurostat EB TJ GWh'!$A$2:$BV$2,0))</f>
        <v>0</v>
      </c>
      <c r="AP34" s="57">
        <f>INDEX('Eurostat EB TJ GWh'!$A$2:$BV$146,MATCH($A34,'Eurostat EB TJ GWh'!$A$2:$A$146,0),MATCH(AP$3,'Eurostat EB TJ GWh'!$A$2:$BV$2,0))</f>
        <v>0</v>
      </c>
      <c r="AQ34" s="57">
        <f>INDEX('Eurostat EB TJ GWh'!$A$2:$BV$146,MATCH($A34,'Eurostat EB TJ GWh'!$A$2:$A$146,0),MATCH(AQ$3,'Eurostat EB TJ GWh'!$A$2:$BV$2,0))</f>
        <v>0</v>
      </c>
      <c r="AR34" s="57">
        <f>INDEX('Eurostat EB TJ GWh'!$A$2:$BV$146,MATCH($A34,'Eurostat EB TJ GWh'!$A$2:$A$146,0),MATCH(AR$3,'Eurostat EB TJ GWh'!$A$2:$BV$2,0))</f>
        <v>0</v>
      </c>
      <c r="AS34" s="57">
        <f>INDEX('Eurostat EB TJ GWh'!$A$2:$BV$146,MATCH($A34,'Eurostat EB TJ GWh'!$A$2:$A$146,0),MATCH(AS$3,'Eurostat EB TJ GWh'!$A$2:$BV$2,0))</f>
        <v>0</v>
      </c>
      <c r="AT34" s="57">
        <f>INDEX('Eurostat EB TJ GWh'!$A$2:$BV$146,MATCH($A34,'Eurostat EB TJ GWh'!$A$2:$A$146,0),MATCH(AT$3,'Eurostat EB TJ GWh'!$A$2:$BV$2,0))</f>
        <v>0</v>
      </c>
      <c r="AU34" s="57">
        <f>INDEX('Eurostat EB TJ GWh'!$A$2:$BV$146,MATCH($A34,'Eurostat EB TJ GWh'!$A$2:$A$146,0),MATCH(AU$3,'Eurostat EB TJ GWh'!$A$2:$BV$2,0))</f>
        <v>0</v>
      </c>
      <c r="AV34" s="57">
        <f>INDEX('Eurostat EB TJ GWh'!$A$2:$BV$146,MATCH($A34,'Eurostat EB TJ GWh'!$A$2:$A$146,0),MATCH(AV$2,'Eurostat EB TJ GWh'!$A$2:$BV$2,0))+INDEX('Eurostat EB TJ GWh'!$A$2:$BV$146,MATCH($A34,'Eurostat EB TJ GWh'!$A$2:$A$146,0),MATCH(AV$3,'Eurostat EB TJ GWh'!$A$2:$BV$2,0))</f>
        <v>0</v>
      </c>
      <c r="AW34" s="57">
        <f>INDEX('Eurostat EB TJ GWh'!$A$2:$BV$146,MATCH($A34,'Eurostat EB TJ GWh'!$A$2:$A$146,0),MATCH(AW$2,'Eurostat EB TJ GWh'!$A$2:$BV$2,0))+INDEX('Eurostat EB TJ GWh'!$A$2:$BV$146,MATCH($A34,'Eurostat EB TJ GWh'!$A$2:$A$146,0),MATCH(AW$3,'Eurostat EB TJ GWh'!$A$2:$BV$2,0))</f>
        <v>0</v>
      </c>
      <c r="AX34" s="57">
        <f>INDEX('Eurostat EB TJ GWh'!$A$2:$BV$146,MATCH($A34,'Eurostat EB TJ GWh'!$A$2:$A$146,0),MATCH(AX$3,'Eurostat EB TJ GWh'!$A$2:$BV$2,0))</f>
        <v>0</v>
      </c>
      <c r="AY34" s="65">
        <v>0</v>
      </c>
      <c r="AZ34" s="57">
        <f>INDEX('Eurostat EB TJ GWh'!$A$2:$BV$146,MATCH($A34,'Eurostat EB TJ GWh'!$A$2:$A$146,0),MATCH(AZ$3,'Eurostat EB TJ GWh'!$A$2:$BV$2,0))</f>
        <v>0</v>
      </c>
      <c r="BA34" s="65">
        <v>0</v>
      </c>
      <c r="BB34" s="65">
        <v>0</v>
      </c>
      <c r="BC34" s="57">
        <f>INDEX('Eurostat EB TJ GWh'!$A$2:$BV$146,MATCH($A34,'Eurostat EB TJ GWh'!$A$2:$A$146,0),MATCH(BC$3,'Eurostat EB TJ GWh'!$A$2:$BV$2,0))</f>
        <v>0</v>
      </c>
      <c r="BD34" s="57">
        <f>INDEX('Eurostat EB TJ GWh'!$A$2:$BV$146,MATCH($A34,'Eurostat EB TJ GWh'!$A$2:$A$146,0),MATCH(BD$3,'Eurostat EB TJ GWh'!$A$2:$BV$2,0))</f>
        <v>0</v>
      </c>
      <c r="BE34" s="57">
        <f>INDEX('Eurostat EB TJ GWh'!$A$2:$BV$146,MATCH($A34,'Eurostat EB TJ GWh'!$A$2:$A$146,0),MATCH(BE$3,'Eurostat EB TJ GWh'!$A$2:$BV$2,0))</f>
        <v>0</v>
      </c>
      <c r="BF34" s="57">
        <f>INDEX('Eurostat EB TJ GWh'!$A$2:$BV$146,MATCH($A34,'Eurostat EB TJ GWh'!$A$2:$A$146,0),MATCH(BF$3,'Eurostat EB TJ GWh'!$A$2:$BV$2,0))</f>
        <v>0</v>
      </c>
      <c r="BG34" s="57">
        <f>INDEX('Eurostat EB TJ GWh'!$A$2:$BV$146,MATCH($A34,'Eurostat EB TJ GWh'!$A$2:$A$146,0),MATCH(BG$3,'Eurostat EB TJ GWh'!$A$2:$BV$2,0))</f>
        <v>0</v>
      </c>
      <c r="BH34" s="57">
        <f>INDEX('Eurostat EB TJ GWh'!$A$2:$BV$146,MATCH($A34,'Eurostat EB TJ GWh'!$A$2:$A$146,0),MATCH(BH$3,'Eurostat EB TJ GWh'!$A$2:$BV$2,0))</f>
        <v>0</v>
      </c>
      <c r="BI34" s="57">
        <f>INDEX('Eurostat EB TJ GWh'!$A$2:$BV$146,MATCH($A34,'Eurostat EB TJ GWh'!$A$2:$A$146,0),MATCH(BI$3,'Eurostat EB TJ GWh'!$A$2:$BV$2,0))</f>
        <v>0</v>
      </c>
      <c r="BJ34" s="65">
        <v>0</v>
      </c>
      <c r="BK34" s="57">
        <f>INDEX('Eurostat EB TJ GWh'!$A$2:$BV$146,MATCH($A34,'Eurostat EB TJ GWh'!$A$2:$A$146,0),MATCH(BK$3,'Eurostat EB TJ GWh'!$A$2:$BV$2,0))</f>
        <v>0</v>
      </c>
      <c r="BL34" s="57">
        <f>INDEX('Eurostat EB TJ GWh'!$A$2:$BV$146,MATCH($A34,'Eurostat EB TJ GWh'!$A$2:$A$146,0),MATCH(BL$3,'Eurostat EB TJ GWh'!$A$2:$BV$2,0))</f>
        <v>0</v>
      </c>
      <c r="BM34" s="57">
        <f>INDEX('Eurostat EB TJ GWh'!$A$2:$BV$146,MATCH($A34,'Eurostat EB TJ GWh'!$A$2:$A$146,0),MATCH(BM$3,'Eurostat EB TJ GWh'!$A$2:$BV$2,0))</f>
        <v>438573.56300000002</v>
      </c>
      <c r="BN34" s="57">
        <f>INDEX('Eurostat EB TJ GWh'!$A$2:$BV$146,MATCH($A34,'Eurostat EB TJ GWh'!$A$2:$A$146,0),MATCH(BN$3,'Eurostat EB TJ GWh'!$A$2:$BV$2,0))</f>
        <v>0</v>
      </c>
    </row>
    <row r="35" spans="1:66" x14ac:dyDescent="0.2">
      <c r="A35" s="56" t="s">
        <v>225</v>
      </c>
      <c r="B35" s="65" t="s">
        <v>323</v>
      </c>
      <c r="C35" s="65" t="s">
        <v>323</v>
      </c>
      <c r="D35" s="17">
        <f>INDEX('Eurostat EB TJ GWh'!$A$2:$BV$146,MATCH($A35,'Eurostat EB TJ GWh'!$A$2:$A$146,0),MATCH(D$3,'Eurostat EB TJ GWh'!$A$2:$BV$2,0))</f>
        <v>0</v>
      </c>
      <c r="E35" s="17">
        <f>INDEX('Eurostat EB TJ GWh'!$A$2:$BV$146,MATCH($A35,'Eurostat EB TJ GWh'!$A$2:$A$146,0),MATCH(E$3,'Eurostat EB TJ GWh'!$A$2:$BV$2,0))</f>
        <v>0</v>
      </c>
      <c r="F35" s="17">
        <f>INDEX('Eurostat EB TJ GWh'!$A$2:$BV$146,MATCH($A35,'Eurostat EB TJ GWh'!$A$2:$A$146,0),MATCH(F$3,'Eurostat EB TJ GWh'!$A$2:$BV$2,0))</f>
        <v>0</v>
      </c>
      <c r="G35" s="17">
        <f>INDEX('Eurostat EB TJ GWh'!$A$2:$BV$146,MATCH($A35,'Eurostat EB TJ GWh'!$A$2:$A$146,0),MATCH(G$3,'Eurostat EB TJ GWh'!$A$2:$BV$2,0))</f>
        <v>0</v>
      </c>
      <c r="H35" s="17">
        <f>INDEX('Eurostat EB TJ GWh'!$A$2:$BV$146,MATCH($A35,'Eurostat EB TJ GWh'!$A$2:$A$146,0),MATCH(H$3,'Eurostat EB TJ GWh'!$A$2:$BV$2,0))</f>
        <v>0</v>
      </c>
      <c r="I35" s="17">
        <f>INDEX('Eurostat EB TJ GWh'!$A$2:$BV$146,MATCH($A35,'Eurostat EB TJ GWh'!$A$2:$A$146,0),MATCH(I$3,'Eurostat EB TJ GWh'!$A$2:$BV$2,0))</f>
        <v>0</v>
      </c>
      <c r="J35" s="17">
        <f>INDEX('Eurostat EB TJ GWh'!$A$2:$BV$146,MATCH($A35,'Eurostat EB TJ GWh'!$A$2:$A$146,0),MATCH(J$3,'Eurostat EB TJ GWh'!$A$2:$BV$2,0))</f>
        <v>0</v>
      </c>
      <c r="K35" s="17">
        <f>INDEX('Eurostat EB TJ GWh'!$A$2:$BV$146,MATCH($A35,'Eurostat EB TJ GWh'!$A$2:$A$146,0),MATCH(K$3,'Eurostat EB TJ GWh'!$A$2:$BV$2,0))</f>
        <v>0</v>
      </c>
      <c r="L35" s="17">
        <f>INDEX('Eurostat EB TJ GWh'!$A$2:$BV$146,MATCH($A35,'Eurostat EB TJ GWh'!$A$2:$A$146,0),MATCH(L$3,'Eurostat EB TJ GWh'!$A$2:$BV$2,0))</f>
        <v>0</v>
      </c>
      <c r="M35" s="17">
        <f>INDEX('Eurostat EB TJ GWh'!$A$2:$BV$146,MATCH($A35,'Eurostat EB TJ GWh'!$A$2:$A$146,0),MATCH(M$3,'Eurostat EB TJ GWh'!$A$2:$BV$2,0))</f>
        <v>0</v>
      </c>
      <c r="N35" s="17">
        <f>INDEX('Eurostat EB TJ GWh'!$A$2:$BV$146,MATCH($A35,'Eurostat EB TJ GWh'!$A$2:$A$146,0),MATCH(N$3,'Eurostat EB TJ GWh'!$A$2:$BV$2,0))</f>
        <v>0</v>
      </c>
      <c r="O35" s="17">
        <f>INDEX('Eurostat EB TJ GWh'!$A$2:$BV$146,MATCH($A35,'Eurostat EB TJ GWh'!$A$2:$A$146,0),MATCH(O$3,'Eurostat EB TJ GWh'!$A$2:$BV$2,0))</f>
        <v>0</v>
      </c>
      <c r="P35" s="17">
        <f>INDEX('Eurostat EB TJ GWh'!$A$2:$BV$146,MATCH($A35,'Eurostat EB TJ GWh'!$A$2:$A$146,0),MATCH(P$3,'Eurostat EB TJ GWh'!$A$2:$BV$2,0))</f>
        <v>0</v>
      </c>
      <c r="Q35" s="17">
        <f>INDEX('Eurostat EB TJ GWh'!$A$2:$BV$146,MATCH($A35,'Eurostat EB TJ GWh'!$A$2:$A$146,0),MATCH(Q$3,'Eurostat EB TJ GWh'!$A$2:$BV$2,0))</f>
        <v>0</v>
      </c>
      <c r="R35" s="17">
        <f>INDEX('Eurostat EB TJ GWh'!$A$2:$BV$146,MATCH($A35,'Eurostat EB TJ GWh'!$A$2:$A$146,0),MATCH(R$2,'Eurostat EB TJ GWh'!$A$2:$BV$2,0))+INDEX('Eurostat EB TJ GWh'!$A$2:$BV$146,MATCH($A35,'Eurostat EB TJ GWh'!$A$2:$A$146,0),MATCH(R$3,'Eurostat EB TJ GWh'!$A$2:$BV$2,0))</f>
        <v>0</v>
      </c>
      <c r="S35" s="17">
        <f>INDEX('Eurostat EB TJ GWh'!$A$2:$BV$146,MATCH($A35,'Eurostat EB TJ GWh'!$A$2:$A$146,0),MATCH(S$3,'Eurostat EB TJ GWh'!$A$2:$BV$2,0))</f>
        <v>0</v>
      </c>
      <c r="T35" s="65" t="s">
        <v>323</v>
      </c>
      <c r="U35" s="17">
        <f>INDEX('Eurostat EB TJ GWh'!$A$2:$BV$146,MATCH($A35,'Eurostat EB TJ GWh'!$A$2:$A$146,0),MATCH(U$3,'Eurostat EB TJ GWh'!$A$2:$BV$2,0))</f>
        <v>0</v>
      </c>
      <c r="V35" s="17">
        <f>INDEX('Eurostat EB TJ GWh'!$A$2:$BV$146,MATCH($A35,'Eurostat EB TJ GWh'!$A$2:$A$146,0),MATCH(V$3,'Eurostat EB TJ GWh'!$A$2:$BV$2,0))</f>
        <v>48786.699000000001</v>
      </c>
      <c r="W35" s="17">
        <f>INDEX('Eurostat EB TJ GWh'!$A$2:$BV$146,MATCH($A35,'Eurostat EB TJ GWh'!$A$2:$A$146,0),MATCH(W$3,'Eurostat EB TJ GWh'!$A$2:$BV$2,0))</f>
        <v>0</v>
      </c>
      <c r="X35" s="17">
        <f>INDEX('Eurostat EB TJ GWh'!$A$2:$BV$146,MATCH($A35,'Eurostat EB TJ GWh'!$A$2:$A$146,0),MATCH(X$3,'Eurostat EB TJ GWh'!$A$2:$BV$2,0))</f>
        <v>0</v>
      </c>
      <c r="Y35" s="17">
        <f>INDEX('Eurostat EB TJ GWh'!$A$2:$BV$146,MATCH($A35,'Eurostat EB TJ GWh'!$A$2:$A$146,0),MATCH(Y$3,'Eurostat EB TJ GWh'!$A$2:$BV$2,0))</f>
        <v>0</v>
      </c>
      <c r="Z35" s="17">
        <f>INDEX('Eurostat EB TJ GWh'!$A$2:$BV$146,MATCH($A35,'Eurostat EB TJ GWh'!$A$2:$A$146,0),MATCH(Z$3,'Eurostat EB TJ GWh'!$A$2:$BV$2,0))</f>
        <v>0</v>
      </c>
      <c r="AA35" s="17">
        <f>INDEX('Eurostat EB TJ GWh'!$A$2:$BV$146,MATCH($A35,'Eurostat EB TJ GWh'!$A$2:$A$146,0),MATCH(AA$3,'Eurostat EB TJ GWh'!$A$2:$BV$2,0))</f>
        <v>0</v>
      </c>
      <c r="AB35" s="17">
        <f>INDEX('Eurostat EB TJ GWh'!$A$2:$BV$146,MATCH($A35,'Eurostat EB TJ GWh'!$A$2:$A$146,0),MATCH(AB$3,'Eurostat EB TJ GWh'!$A$2:$BV$2,0))</f>
        <v>30097.69</v>
      </c>
      <c r="AC35" s="17">
        <f>INDEX('Eurostat EB TJ GWh'!$A$2:$BV$146,MATCH($A35,'Eurostat EB TJ GWh'!$A$2:$A$146,0),MATCH(AC$3,'Eurostat EB TJ GWh'!$A$2:$BV$2,0))</f>
        <v>0</v>
      </c>
      <c r="AD35" s="17">
        <f>INDEX('Eurostat EB TJ GWh'!$A$2:$BV$146,MATCH($A35,'Eurostat EB TJ GWh'!$A$2:$A$146,0),MATCH(AD$3,'Eurostat EB TJ GWh'!$A$2:$BV$2,0))</f>
        <v>0</v>
      </c>
      <c r="AE35" s="17">
        <f>INDEX('Eurostat EB TJ GWh'!$A$2:$BV$146,MATCH($A35,'Eurostat EB TJ GWh'!$A$2:$A$146,0),MATCH(AE$3,'Eurostat EB TJ GWh'!$A$2:$BV$2,0))</f>
        <v>0</v>
      </c>
      <c r="AF35" s="17">
        <f>INDEX('Eurostat EB TJ GWh'!$A$2:$BV$146,MATCH($A35,'Eurostat EB TJ GWh'!$A$2:$A$146,0),MATCH(AF$3,'Eurostat EB TJ GWh'!$A$2:$BV$2,0))</f>
        <v>0</v>
      </c>
      <c r="AG35" s="17">
        <f>INDEX('Eurostat EB TJ GWh'!$A$2:$BV$146,MATCH($A35,'Eurostat EB TJ GWh'!$A$2:$A$146,0),MATCH(AG$3,'Eurostat EB TJ GWh'!$A$2:$BV$2,0))</f>
        <v>448.38099999999997</v>
      </c>
      <c r="AH35" s="17">
        <f>INDEX('Eurostat EB TJ GWh'!$A$2:$BV$146,MATCH($A35,'Eurostat EB TJ GWh'!$A$2:$A$146,0),MATCH(AH$3,'Eurostat EB TJ GWh'!$A$2:$BV$2,0))</f>
        <v>10.742000000000001</v>
      </c>
      <c r="AI35" s="17">
        <f>INDEX('Eurostat EB TJ GWh'!$A$2:$BV$146,MATCH($A35,'Eurostat EB TJ GWh'!$A$2:$A$146,0),MATCH(AI$3,'Eurostat EB TJ GWh'!$A$2:$BV$2,0))</f>
        <v>0</v>
      </c>
      <c r="AJ35" s="17">
        <f>INDEX('Eurostat EB TJ GWh'!$A$2:$BV$146,MATCH($A35,'Eurostat EB TJ GWh'!$A$2:$A$146,0),MATCH(AJ$3,'Eurostat EB TJ GWh'!$A$2:$BV$2,0))</f>
        <v>76530.175000000003</v>
      </c>
      <c r="AK35" s="17">
        <f>INDEX('Eurostat EB TJ GWh'!$A$2:$BV$146,MATCH($A35,'Eurostat EB TJ GWh'!$A$2:$A$146,0),MATCH(AK$3,'Eurostat EB TJ GWh'!$A$2:$BV$2,0))</f>
        <v>0</v>
      </c>
      <c r="AL35" s="17">
        <f>INDEX('Eurostat EB TJ GWh'!$A$2:$BV$146,MATCH($A35,'Eurostat EB TJ GWh'!$A$2:$A$146,0),MATCH(AL$3,'Eurostat EB TJ GWh'!$A$2:$BV$2,0))</f>
        <v>39.082000000000001</v>
      </c>
      <c r="AM35" s="17">
        <f>INDEX('Eurostat EB TJ GWh'!$A$2:$BV$146,MATCH($A35,'Eurostat EB TJ GWh'!$A$2:$A$146,0),MATCH(AM$3,'Eurostat EB TJ GWh'!$A$2:$BV$2,0))</f>
        <v>0</v>
      </c>
      <c r="AN35" s="17">
        <f>INDEX('Eurostat EB TJ GWh'!$A$2:$BV$146,MATCH($A35,'Eurostat EB TJ GWh'!$A$2:$A$146,0),MATCH(AN$3,'Eurostat EB TJ GWh'!$A$2:$BV$2,0))</f>
        <v>0</v>
      </c>
      <c r="AO35" s="17">
        <f>INDEX('Eurostat EB TJ GWh'!$A$2:$BV$146,MATCH($A35,'Eurostat EB TJ GWh'!$A$2:$A$146,0),MATCH(AO$3,'Eurostat EB TJ GWh'!$A$2:$BV$2,0))</f>
        <v>0</v>
      </c>
      <c r="AP35" s="17">
        <f>INDEX('Eurostat EB TJ GWh'!$A$2:$BV$146,MATCH($A35,'Eurostat EB TJ GWh'!$A$2:$A$146,0),MATCH(AP$3,'Eurostat EB TJ GWh'!$A$2:$BV$2,0))</f>
        <v>45.908999999999999</v>
      </c>
      <c r="AQ35" s="17">
        <f>INDEX('Eurostat EB TJ GWh'!$A$2:$BV$146,MATCH($A35,'Eurostat EB TJ GWh'!$A$2:$A$146,0),MATCH(AQ$3,'Eurostat EB TJ GWh'!$A$2:$BV$2,0))</f>
        <v>0</v>
      </c>
      <c r="AR35" s="17">
        <f>INDEX('Eurostat EB TJ GWh'!$A$2:$BV$146,MATCH($A35,'Eurostat EB TJ GWh'!$A$2:$A$146,0),MATCH(AR$3,'Eurostat EB TJ GWh'!$A$2:$BV$2,0))</f>
        <v>0</v>
      </c>
      <c r="AS35" s="17">
        <f>INDEX('Eurostat EB TJ GWh'!$A$2:$BV$146,MATCH($A35,'Eurostat EB TJ GWh'!$A$2:$A$146,0),MATCH(AS$3,'Eurostat EB TJ GWh'!$A$2:$BV$2,0))</f>
        <v>0</v>
      </c>
      <c r="AT35" s="17">
        <f>INDEX('Eurostat EB TJ GWh'!$A$2:$BV$146,MATCH($A35,'Eurostat EB TJ GWh'!$A$2:$A$146,0),MATCH(AT$3,'Eurostat EB TJ GWh'!$A$2:$BV$2,0))</f>
        <v>0</v>
      </c>
      <c r="AU35" s="17">
        <f>INDEX('Eurostat EB TJ GWh'!$A$2:$BV$146,MATCH($A35,'Eurostat EB TJ GWh'!$A$2:$A$146,0),MATCH(AU$3,'Eurostat EB TJ GWh'!$A$2:$BV$2,0))</f>
        <v>0</v>
      </c>
      <c r="AV35" s="17">
        <f>INDEX('Eurostat EB TJ GWh'!$A$2:$BV$146,MATCH($A35,'Eurostat EB TJ GWh'!$A$2:$A$146,0),MATCH(AV$2,'Eurostat EB TJ GWh'!$A$2:$BV$2,0))+INDEX('Eurostat EB TJ GWh'!$A$2:$BV$146,MATCH($A35,'Eurostat EB TJ GWh'!$A$2:$A$146,0),MATCH(AV$3,'Eurostat EB TJ GWh'!$A$2:$BV$2,0))</f>
        <v>0</v>
      </c>
      <c r="AW35" s="17">
        <f>INDEX('Eurostat EB TJ GWh'!$A$2:$BV$146,MATCH($A35,'Eurostat EB TJ GWh'!$A$2:$A$146,0),MATCH(AW$2,'Eurostat EB TJ GWh'!$A$2:$BV$2,0))+INDEX('Eurostat EB TJ GWh'!$A$2:$BV$146,MATCH($A35,'Eurostat EB TJ GWh'!$A$2:$A$146,0),MATCH(AW$3,'Eurostat EB TJ GWh'!$A$2:$BV$2,0))</f>
        <v>0</v>
      </c>
      <c r="AX35" s="17">
        <f>INDEX('Eurostat EB TJ GWh'!$A$2:$BV$146,MATCH($A35,'Eurostat EB TJ GWh'!$A$2:$A$146,0),MATCH(AX$3,'Eurostat EB TJ GWh'!$A$2:$BV$2,0))</f>
        <v>0</v>
      </c>
      <c r="AY35" s="72">
        <v>0</v>
      </c>
      <c r="AZ35" s="17">
        <f>INDEX('Eurostat EB TJ GWh'!$A$2:$BV$146,MATCH($A35,'Eurostat EB TJ GWh'!$A$2:$A$146,0),MATCH(AZ$3,'Eurostat EB TJ GWh'!$A$2:$BV$2,0))</f>
        <v>0</v>
      </c>
      <c r="BA35" s="72">
        <v>0</v>
      </c>
      <c r="BB35" s="72">
        <v>0</v>
      </c>
      <c r="BC35" s="17">
        <f>INDEX('Eurostat EB TJ GWh'!$A$2:$BV$146,MATCH($A35,'Eurostat EB TJ GWh'!$A$2:$A$146,0),MATCH(BC$3,'Eurostat EB TJ GWh'!$A$2:$BV$2,0))</f>
        <v>0</v>
      </c>
      <c r="BD35" s="17">
        <f>INDEX('Eurostat EB TJ GWh'!$A$2:$BV$146,MATCH($A35,'Eurostat EB TJ GWh'!$A$2:$A$146,0),MATCH(BD$3,'Eurostat EB TJ GWh'!$A$2:$BV$2,0))</f>
        <v>0</v>
      </c>
      <c r="BE35" s="17">
        <f>INDEX('Eurostat EB TJ GWh'!$A$2:$BV$146,MATCH($A35,'Eurostat EB TJ GWh'!$A$2:$A$146,0),MATCH(BE$3,'Eurostat EB TJ GWh'!$A$2:$BV$2,0))</f>
        <v>0</v>
      </c>
      <c r="BF35" s="17">
        <f>INDEX('Eurostat EB TJ GWh'!$A$2:$BV$146,MATCH($A35,'Eurostat EB TJ GWh'!$A$2:$A$146,0),MATCH(BF$3,'Eurostat EB TJ GWh'!$A$2:$BV$2,0))</f>
        <v>0</v>
      </c>
      <c r="BG35" s="17">
        <f>INDEX('Eurostat EB TJ GWh'!$A$2:$BV$146,MATCH($A35,'Eurostat EB TJ GWh'!$A$2:$A$146,0),MATCH(BG$3,'Eurostat EB TJ GWh'!$A$2:$BV$2,0))</f>
        <v>0</v>
      </c>
      <c r="BH35" s="17">
        <f>INDEX('Eurostat EB TJ GWh'!$A$2:$BV$146,MATCH($A35,'Eurostat EB TJ GWh'!$A$2:$A$146,0),MATCH(BH$3,'Eurostat EB TJ GWh'!$A$2:$BV$2,0))</f>
        <v>0</v>
      </c>
      <c r="BI35" s="17">
        <f>INDEX('Eurostat EB TJ GWh'!$A$2:$BV$146,MATCH($A35,'Eurostat EB TJ GWh'!$A$2:$A$146,0),MATCH(BI$3,'Eurostat EB TJ GWh'!$A$2:$BV$2,0))</f>
        <v>0</v>
      </c>
      <c r="BJ35" s="72">
        <v>0</v>
      </c>
      <c r="BK35" s="17">
        <f>INDEX('Eurostat EB TJ GWh'!$A$2:$BV$146,MATCH($A35,'Eurostat EB TJ GWh'!$A$2:$A$146,0),MATCH(BK$3,'Eurostat EB TJ GWh'!$A$2:$BV$2,0))</f>
        <v>0</v>
      </c>
      <c r="BL35" s="17">
        <f>INDEX('Eurostat EB TJ GWh'!$A$2:$BV$146,MATCH($A35,'Eurostat EB TJ GWh'!$A$2:$A$146,0),MATCH(BL$3,'Eurostat EB TJ GWh'!$A$2:$BV$2,0))</f>
        <v>0</v>
      </c>
      <c r="BM35" s="17">
        <f>INDEX('Eurostat EB TJ GWh'!$A$2:$BV$146,MATCH($A35,'Eurostat EB TJ GWh'!$A$2:$A$146,0),MATCH(BM$3,'Eurostat EB TJ GWh'!$A$2:$BV$2,0))</f>
        <v>155958.67800000001</v>
      </c>
      <c r="BN35" s="17">
        <f>INDEX('Eurostat EB TJ GWh'!$A$2:$BV$146,MATCH($A35,'Eurostat EB TJ GWh'!$A$2:$A$146,0),MATCH(BN$3,'Eurostat EB TJ GWh'!$A$2:$BV$2,0))</f>
        <v>0</v>
      </c>
    </row>
    <row r="36" spans="1:66" x14ac:dyDescent="0.2">
      <c r="A36" s="56" t="s">
        <v>226</v>
      </c>
      <c r="B36" s="65" t="s">
        <v>323</v>
      </c>
      <c r="C36" s="65" t="s">
        <v>323</v>
      </c>
      <c r="D36" s="57">
        <f>INDEX('Eurostat EB TJ GWh'!$A$2:$BV$146,MATCH($A36,'Eurostat EB TJ GWh'!$A$2:$A$146,0),MATCH(D$3,'Eurostat EB TJ GWh'!$A$2:$BV$2,0))</f>
        <v>0</v>
      </c>
      <c r="E36" s="57">
        <f>INDEX('Eurostat EB TJ GWh'!$A$2:$BV$146,MATCH($A36,'Eurostat EB TJ GWh'!$A$2:$A$146,0),MATCH(E$3,'Eurostat EB TJ GWh'!$A$2:$BV$2,0))</f>
        <v>0</v>
      </c>
      <c r="F36" s="57">
        <f>INDEX('Eurostat EB TJ GWh'!$A$2:$BV$146,MATCH($A36,'Eurostat EB TJ GWh'!$A$2:$A$146,0),MATCH(F$3,'Eurostat EB TJ GWh'!$A$2:$BV$2,0))</f>
        <v>0</v>
      </c>
      <c r="G36" s="57">
        <f>INDEX('Eurostat EB TJ GWh'!$A$2:$BV$146,MATCH($A36,'Eurostat EB TJ GWh'!$A$2:$A$146,0),MATCH(G$3,'Eurostat EB TJ GWh'!$A$2:$BV$2,0))</f>
        <v>0</v>
      </c>
      <c r="H36" s="57">
        <f>INDEX('Eurostat EB TJ GWh'!$A$2:$BV$146,MATCH($A36,'Eurostat EB TJ GWh'!$A$2:$A$146,0),MATCH(H$3,'Eurostat EB TJ GWh'!$A$2:$BV$2,0))</f>
        <v>0</v>
      </c>
      <c r="I36" s="57">
        <f>INDEX('Eurostat EB TJ GWh'!$A$2:$BV$146,MATCH($A36,'Eurostat EB TJ GWh'!$A$2:$A$146,0),MATCH(I$3,'Eurostat EB TJ GWh'!$A$2:$BV$2,0))</f>
        <v>0</v>
      </c>
      <c r="J36" s="57">
        <f>INDEX('Eurostat EB TJ GWh'!$A$2:$BV$146,MATCH($A36,'Eurostat EB TJ GWh'!$A$2:$A$146,0),MATCH(J$3,'Eurostat EB TJ GWh'!$A$2:$BV$2,0))</f>
        <v>0</v>
      </c>
      <c r="K36" s="57">
        <f>INDEX('Eurostat EB TJ GWh'!$A$2:$BV$146,MATCH($A36,'Eurostat EB TJ GWh'!$A$2:$A$146,0),MATCH(K$3,'Eurostat EB TJ GWh'!$A$2:$BV$2,0))</f>
        <v>0</v>
      </c>
      <c r="L36" s="57">
        <f>INDEX('Eurostat EB TJ GWh'!$A$2:$BV$146,MATCH($A36,'Eurostat EB TJ GWh'!$A$2:$A$146,0),MATCH(L$3,'Eurostat EB TJ GWh'!$A$2:$BV$2,0))</f>
        <v>0</v>
      </c>
      <c r="M36" s="57">
        <f>INDEX('Eurostat EB TJ GWh'!$A$2:$BV$146,MATCH($A36,'Eurostat EB TJ GWh'!$A$2:$A$146,0),MATCH(M$3,'Eurostat EB TJ GWh'!$A$2:$BV$2,0))</f>
        <v>0</v>
      </c>
      <c r="N36" s="57">
        <f>INDEX('Eurostat EB TJ GWh'!$A$2:$BV$146,MATCH($A36,'Eurostat EB TJ GWh'!$A$2:$A$146,0),MATCH(N$3,'Eurostat EB TJ GWh'!$A$2:$BV$2,0))</f>
        <v>0</v>
      </c>
      <c r="O36" s="57">
        <f>INDEX('Eurostat EB TJ GWh'!$A$2:$BV$146,MATCH($A36,'Eurostat EB TJ GWh'!$A$2:$A$146,0),MATCH(O$3,'Eurostat EB TJ GWh'!$A$2:$BV$2,0))</f>
        <v>0</v>
      </c>
      <c r="P36" s="57">
        <f>INDEX('Eurostat EB TJ GWh'!$A$2:$BV$146,MATCH($A36,'Eurostat EB TJ GWh'!$A$2:$A$146,0),MATCH(P$3,'Eurostat EB TJ GWh'!$A$2:$BV$2,0))</f>
        <v>0</v>
      </c>
      <c r="Q36" s="57">
        <f>INDEX('Eurostat EB TJ GWh'!$A$2:$BV$146,MATCH($A36,'Eurostat EB TJ GWh'!$A$2:$A$146,0),MATCH(Q$3,'Eurostat EB TJ GWh'!$A$2:$BV$2,0))</f>
        <v>0</v>
      </c>
      <c r="R36" s="57">
        <f>INDEX('Eurostat EB TJ GWh'!$A$2:$BV$146,MATCH($A36,'Eurostat EB TJ GWh'!$A$2:$A$146,0),MATCH(R$2,'Eurostat EB TJ GWh'!$A$2:$BV$2,0))+INDEX('Eurostat EB TJ GWh'!$A$2:$BV$146,MATCH($A36,'Eurostat EB TJ GWh'!$A$2:$A$146,0),MATCH(R$3,'Eurostat EB TJ GWh'!$A$2:$BV$2,0))</f>
        <v>0</v>
      </c>
      <c r="S36" s="57">
        <f>INDEX('Eurostat EB TJ GWh'!$A$2:$BV$146,MATCH($A36,'Eurostat EB TJ GWh'!$A$2:$A$146,0),MATCH(S$3,'Eurostat EB TJ GWh'!$A$2:$BV$2,0))</f>
        <v>0</v>
      </c>
      <c r="T36" s="65" t="s">
        <v>323</v>
      </c>
      <c r="U36" s="57">
        <f>INDEX('Eurostat EB TJ GWh'!$A$2:$BV$146,MATCH($A36,'Eurostat EB TJ GWh'!$A$2:$A$146,0),MATCH(U$3,'Eurostat EB TJ GWh'!$A$2:$BV$2,0))</f>
        <v>0</v>
      </c>
      <c r="V36" s="57">
        <f>INDEX('Eurostat EB TJ GWh'!$A$2:$BV$146,MATCH($A36,'Eurostat EB TJ GWh'!$A$2:$A$146,0),MATCH(V$3,'Eurostat EB TJ GWh'!$A$2:$BV$2,0))</f>
        <v>0</v>
      </c>
      <c r="W36" s="57">
        <f>INDEX('Eurostat EB TJ GWh'!$A$2:$BV$146,MATCH($A36,'Eurostat EB TJ GWh'!$A$2:$A$146,0),MATCH(W$3,'Eurostat EB TJ GWh'!$A$2:$BV$2,0))</f>
        <v>0</v>
      </c>
      <c r="X36" s="57">
        <f>INDEX('Eurostat EB TJ GWh'!$A$2:$BV$146,MATCH($A36,'Eurostat EB TJ GWh'!$A$2:$A$146,0),MATCH(X$3,'Eurostat EB TJ GWh'!$A$2:$BV$2,0))</f>
        <v>0</v>
      </c>
      <c r="Y36" s="57">
        <f>INDEX('Eurostat EB TJ GWh'!$A$2:$BV$146,MATCH($A36,'Eurostat EB TJ GWh'!$A$2:$A$146,0),MATCH(Y$3,'Eurostat EB TJ GWh'!$A$2:$BV$2,0))</f>
        <v>0</v>
      </c>
      <c r="Z36" s="57">
        <f>INDEX('Eurostat EB TJ GWh'!$A$2:$BV$146,MATCH($A36,'Eurostat EB TJ GWh'!$A$2:$A$146,0),MATCH(Z$3,'Eurostat EB TJ GWh'!$A$2:$BV$2,0))</f>
        <v>0</v>
      </c>
      <c r="AA36" s="57">
        <f>INDEX('Eurostat EB TJ GWh'!$A$2:$BV$146,MATCH($A36,'Eurostat EB TJ GWh'!$A$2:$A$146,0),MATCH(AA$3,'Eurostat EB TJ GWh'!$A$2:$BV$2,0))</f>
        <v>0</v>
      </c>
      <c r="AB36" s="57">
        <f>INDEX('Eurostat EB TJ GWh'!$A$2:$BV$146,MATCH($A36,'Eurostat EB TJ GWh'!$A$2:$A$146,0),MATCH(AB$3,'Eurostat EB TJ GWh'!$A$2:$BV$2,0))</f>
        <v>0</v>
      </c>
      <c r="AC36" s="57">
        <f>INDEX('Eurostat EB TJ GWh'!$A$2:$BV$146,MATCH($A36,'Eurostat EB TJ GWh'!$A$2:$A$146,0),MATCH(AC$3,'Eurostat EB TJ GWh'!$A$2:$BV$2,0))</f>
        <v>0</v>
      </c>
      <c r="AD36" s="57">
        <f>INDEX('Eurostat EB TJ GWh'!$A$2:$BV$146,MATCH($A36,'Eurostat EB TJ GWh'!$A$2:$A$146,0),MATCH(AD$3,'Eurostat EB TJ GWh'!$A$2:$BV$2,0))</f>
        <v>0</v>
      </c>
      <c r="AE36" s="57">
        <f>INDEX('Eurostat EB TJ GWh'!$A$2:$BV$146,MATCH($A36,'Eurostat EB TJ GWh'!$A$2:$A$146,0),MATCH(AE$3,'Eurostat EB TJ GWh'!$A$2:$BV$2,0))</f>
        <v>0</v>
      </c>
      <c r="AF36" s="57">
        <f>INDEX('Eurostat EB TJ GWh'!$A$2:$BV$146,MATCH($A36,'Eurostat EB TJ GWh'!$A$2:$A$146,0),MATCH(AF$3,'Eurostat EB TJ GWh'!$A$2:$BV$2,0))</f>
        <v>0</v>
      </c>
      <c r="AG36" s="57">
        <f>INDEX('Eurostat EB TJ GWh'!$A$2:$BV$146,MATCH($A36,'Eurostat EB TJ GWh'!$A$2:$A$146,0),MATCH(AG$3,'Eurostat EB TJ GWh'!$A$2:$BV$2,0))</f>
        <v>0</v>
      </c>
      <c r="AH36" s="57">
        <f>INDEX('Eurostat EB TJ GWh'!$A$2:$BV$146,MATCH($A36,'Eurostat EB TJ GWh'!$A$2:$A$146,0),MATCH(AH$3,'Eurostat EB TJ GWh'!$A$2:$BV$2,0))</f>
        <v>0</v>
      </c>
      <c r="AI36" s="57">
        <f>INDEX('Eurostat EB TJ GWh'!$A$2:$BV$146,MATCH($A36,'Eurostat EB TJ GWh'!$A$2:$A$146,0),MATCH(AI$3,'Eurostat EB TJ GWh'!$A$2:$BV$2,0))</f>
        <v>0</v>
      </c>
      <c r="AJ36" s="57">
        <f>INDEX('Eurostat EB TJ GWh'!$A$2:$BV$146,MATCH($A36,'Eurostat EB TJ GWh'!$A$2:$A$146,0),MATCH(AJ$3,'Eurostat EB TJ GWh'!$A$2:$BV$2,0))</f>
        <v>0</v>
      </c>
      <c r="AK36" s="57">
        <f>INDEX('Eurostat EB TJ GWh'!$A$2:$BV$146,MATCH($A36,'Eurostat EB TJ GWh'!$A$2:$A$146,0),MATCH(AK$3,'Eurostat EB TJ GWh'!$A$2:$BV$2,0))</f>
        <v>0</v>
      </c>
      <c r="AL36" s="57">
        <f>INDEX('Eurostat EB TJ GWh'!$A$2:$BV$146,MATCH($A36,'Eurostat EB TJ GWh'!$A$2:$A$146,0),MATCH(AL$3,'Eurostat EB TJ GWh'!$A$2:$BV$2,0))</f>
        <v>0</v>
      </c>
      <c r="AM36" s="57">
        <f>INDEX('Eurostat EB TJ GWh'!$A$2:$BV$146,MATCH($A36,'Eurostat EB TJ GWh'!$A$2:$A$146,0),MATCH(AM$3,'Eurostat EB TJ GWh'!$A$2:$BV$2,0))</f>
        <v>0</v>
      </c>
      <c r="AN36" s="57">
        <f>INDEX('Eurostat EB TJ GWh'!$A$2:$BV$146,MATCH($A36,'Eurostat EB TJ GWh'!$A$2:$A$146,0),MATCH(AN$3,'Eurostat EB TJ GWh'!$A$2:$BV$2,0))</f>
        <v>0</v>
      </c>
      <c r="AO36" s="57">
        <f>INDEX('Eurostat EB TJ GWh'!$A$2:$BV$146,MATCH($A36,'Eurostat EB TJ GWh'!$A$2:$A$146,0),MATCH(AO$3,'Eurostat EB TJ GWh'!$A$2:$BV$2,0))</f>
        <v>0</v>
      </c>
      <c r="AP36" s="57">
        <f>INDEX('Eurostat EB TJ GWh'!$A$2:$BV$146,MATCH($A36,'Eurostat EB TJ GWh'!$A$2:$A$146,0),MATCH(AP$3,'Eurostat EB TJ GWh'!$A$2:$BV$2,0))</f>
        <v>0</v>
      </c>
      <c r="AQ36" s="57">
        <f>INDEX('Eurostat EB TJ GWh'!$A$2:$BV$146,MATCH($A36,'Eurostat EB TJ GWh'!$A$2:$A$146,0),MATCH(AQ$3,'Eurostat EB TJ GWh'!$A$2:$BV$2,0))</f>
        <v>0</v>
      </c>
      <c r="AR36" s="57">
        <f>INDEX('Eurostat EB TJ GWh'!$A$2:$BV$146,MATCH($A36,'Eurostat EB TJ GWh'!$A$2:$A$146,0),MATCH(AR$3,'Eurostat EB TJ GWh'!$A$2:$BV$2,0))</f>
        <v>0</v>
      </c>
      <c r="AS36" s="57">
        <f>INDEX('Eurostat EB TJ GWh'!$A$2:$BV$146,MATCH($A36,'Eurostat EB TJ GWh'!$A$2:$A$146,0),MATCH(AS$3,'Eurostat EB TJ GWh'!$A$2:$BV$2,0))</f>
        <v>0</v>
      </c>
      <c r="AT36" s="57">
        <f>INDEX('Eurostat EB TJ GWh'!$A$2:$BV$146,MATCH($A36,'Eurostat EB TJ GWh'!$A$2:$A$146,0),MATCH(AT$3,'Eurostat EB TJ GWh'!$A$2:$BV$2,0))</f>
        <v>0</v>
      </c>
      <c r="AU36" s="57">
        <f>INDEX('Eurostat EB TJ GWh'!$A$2:$BV$146,MATCH($A36,'Eurostat EB TJ GWh'!$A$2:$A$146,0),MATCH(AU$3,'Eurostat EB TJ GWh'!$A$2:$BV$2,0))</f>
        <v>0</v>
      </c>
      <c r="AV36" s="57">
        <f>INDEX('Eurostat EB TJ GWh'!$A$2:$BV$146,MATCH($A36,'Eurostat EB TJ GWh'!$A$2:$A$146,0),MATCH(AV$2,'Eurostat EB TJ GWh'!$A$2:$BV$2,0))+INDEX('Eurostat EB TJ GWh'!$A$2:$BV$146,MATCH($A36,'Eurostat EB TJ GWh'!$A$2:$A$146,0),MATCH(AV$3,'Eurostat EB TJ GWh'!$A$2:$BV$2,0))</f>
        <v>0</v>
      </c>
      <c r="AW36" s="57">
        <f>INDEX('Eurostat EB TJ GWh'!$A$2:$BV$146,MATCH($A36,'Eurostat EB TJ GWh'!$A$2:$A$146,0),MATCH(AW$2,'Eurostat EB TJ GWh'!$A$2:$BV$2,0))+INDEX('Eurostat EB TJ GWh'!$A$2:$BV$146,MATCH($A36,'Eurostat EB TJ GWh'!$A$2:$A$146,0),MATCH(AW$3,'Eurostat EB TJ GWh'!$A$2:$BV$2,0))</f>
        <v>0</v>
      </c>
      <c r="AX36" s="57">
        <f>INDEX('Eurostat EB TJ GWh'!$A$2:$BV$146,MATCH($A36,'Eurostat EB TJ GWh'!$A$2:$A$146,0),MATCH(AX$3,'Eurostat EB TJ GWh'!$A$2:$BV$2,0))</f>
        <v>0</v>
      </c>
      <c r="AY36" s="65">
        <v>0</v>
      </c>
      <c r="AZ36" s="57">
        <f>INDEX('Eurostat EB TJ GWh'!$A$2:$BV$146,MATCH($A36,'Eurostat EB TJ GWh'!$A$2:$A$146,0),MATCH(AZ$3,'Eurostat EB TJ GWh'!$A$2:$BV$2,0))</f>
        <v>0</v>
      </c>
      <c r="BA36" s="65">
        <v>0</v>
      </c>
      <c r="BB36" s="65">
        <v>0</v>
      </c>
      <c r="BC36" s="57">
        <f>INDEX('Eurostat EB TJ GWh'!$A$2:$BV$146,MATCH($A36,'Eurostat EB TJ GWh'!$A$2:$A$146,0),MATCH(BC$3,'Eurostat EB TJ GWh'!$A$2:$BV$2,0))</f>
        <v>0</v>
      </c>
      <c r="BD36" s="57">
        <f>INDEX('Eurostat EB TJ GWh'!$A$2:$BV$146,MATCH($A36,'Eurostat EB TJ GWh'!$A$2:$A$146,0),MATCH(BD$3,'Eurostat EB TJ GWh'!$A$2:$BV$2,0))</f>
        <v>0</v>
      </c>
      <c r="BE36" s="57">
        <f>INDEX('Eurostat EB TJ GWh'!$A$2:$BV$146,MATCH($A36,'Eurostat EB TJ GWh'!$A$2:$A$146,0),MATCH(BE$3,'Eurostat EB TJ GWh'!$A$2:$BV$2,0))</f>
        <v>0</v>
      </c>
      <c r="BF36" s="57">
        <f>INDEX('Eurostat EB TJ GWh'!$A$2:$BV$146,MATCH($A36,'Eurostat EB TJ GWh'!$A$2:$A$146,0),MATCH(BF$3,'Eurostat EB TJ GWh'!$A$2:$BV$2,0))</f>
        <v>0</v>
      </c>
      <c r="BG36" s="57">
        <f>INDEX('Eurostat EB TJ GWh'!$A$2:$BV$146,MATCH($A36,'Eurostat EB TJ GWh'!$A$2:$A$146,0),MATCH(BG$3,'Eurostat EB TJ GWh'!$A$2:$BV$2,0))</f>
        <v>0</v>
      </c>
      <c r="BH36" s="57">
        <f>INDEX('Eurostat EB TJ GWh'!$A$2:$BV$146,MATCH($A36,'Eurostat EB TJ GWh'!$A$2:$A$146,0),MATCH(BH$3,'Eurostat EB TJ GWh'!$A$2:$BV$2,0))</f>
        <v>0</v>
      </c>
      <c r="BI36" s="57">
        <f>INDEX('Eurostat EB TJ GWh'!$A$2:$BV$146,MATCH($A36,'Eurostat EB TJ GWh'!$A$2:$A$146,0),MATCH(BI$3,'Eurostat EB TJ GWh'!$A$2:$BV$2,0))</f>
        <v>0</v>
      </c>
      <c r="BJ36" s="65">
        <v>0</v>
      </c>
      <c r="BK36" s="57">
        <f>INDEX('Eurostat EB TJ GWh'!$A$2:$BV$146,MATCH($A36,'Eurostat EB TJ GWh'!$A$2:$A$146,0),MATCH(BK$3,'Eurostat EB TJ GWh'!$A$2:$BV$2,0))</f>
        <v>0</v>
      </c>
      <c r="BL36" s="57">
        <f>INDEX('Eurostat EB TJ GWh'!$A$2:$BV$146,MATCH($A36,'Eurostat EB TJ GWh'!$A$2:$A$146,0),MATCH(BL$3,'Eurostat EB TJ GWh'!$A$2:$BV$2,0))</f>
        <v>0</v>
      </c>
      <c r="BM36" s="57">
        <f>INDEX('Eurostat EB TJ GWh'!$A$2:$BV$146,MATCH($A36,'Eurostat EB TJ GWh'!$A$2:$A$146,0),MATCH(BM$3,'Eurostat EB TJ GWh'!$A$2:$BV$2,0))</f>
        <v>0</v>
      </c>
      <c r="BN36" s="57">
        <f>INDEX('Eurostat EB TJ GWh'!$A$2:$BV$146,MATCH($A36,'Eurostat EB TJ GWh'!$A$2:$A$146,0),MATCH(BN$3,'Eurostat EB TJ GWh'!$A$2:$BV$2,0))</f>
        <v>0</v>
      </c>
    </row>
    <row r="37" spans="1:66" x14ac:dyDescent="0.2">
      <c r="A37" s="56" t="s">
        <v>227</v>
      </c>
      <c r="B37" s="65" t="s">
        <v>323</v>
      </c>
      <c r="C37" s="65" t="s">
        <v>323</v>
      </c>
      <c r="D37" s="17">
        <f>INDEX('Eurostat EB TJ GWh'!$A$2:$BV$146,MATCH($A37,'Eurostat EB TJ GWh'!$A$2:$A$146,0),MATCH(D$3,'Eurostat EB TJ GWh'!$A$2:$BV$2,0))</f>
        <v>0</v>
      </c>
      <c r="E37" s="17">
        <f>INDEX('Eurostat EB TJ GWh'!$A$2:$BV$146,MATCH($A37,'Eurostat EB TJ GWh'!$A$2:$A$146,0),MATCH(E$3,'Eurostat EB TJ GWh'!$A$2:$BV$2,0))</f>
        <v>0</v>
      </c>
      <c r="F37" s="17">
        <f>INDEX('Eurostat EB TJ GWh'!$A$2:$BV$146,MATCH($A37,'Eurostat EB TJ GWh'!$A$2:$A$146,0),MATCH(F$3,'Eurostat EB TJ GWh'!$A$2:$BV$2,0))</f>
        <v>0</v>
      </c>
      <c r="G37" s="17">
        <f>INDEX('Eurostat EB TJ GWh'!$A$2:$BV$146,MATCH($A37,'Eurostat EB TJ GWh'!$A$2:$A$146,0),MATCH(G$3,'Eurostat EB TJ GWh'!$A$2:$BV$2,0))</f>
        <v>0</v>
      </c>
      <c r="H37" s="17">
        <f>INDEX('Eurostat EB TJ GWh'!$A$2:$BV$146,MATCH($A37,'Eurostat EB TJ GWh'!$A$2:$A$146,0),MATCH(H$3,'Eurostat EB TJ GWh'!$A$2:$BV$2,0))</f>
        <v>0</v>
      </c>
      <c r="I37" s="17">
        <f>INDEX('Eurostat EB TJ GWh'!$A$2:$BV$146,MATCH($A37,'Eurostat EB TJ GWh'!$A$2:$A$146,0),MATCH(I$3,'Eurostat EB TJ GWh'!$A$2:$BV$2,0))</f>
        <v>0</v>
      </c>
      <c r="J37" s="17">
        <f>INDEX('Eurostat EB TJ GWh'!$A$2:$BV$146,MATCH($A37,'Eurostat EB TJ GWh'!$A$2:$A$146,0),MATCH(J$3,'Eurostat EB TJ GWh'!$A$2:$BV$2,0))</f>
        <v>0</v>
      </c>
      <c r="K37" s="17">
        <f>INDEX('Eurostat EB TJ GWh'!$A$2:$BV$146,MATCH($A37,'Eurostat EB TJ GWh'!$A$2:$A$146,0),MATCH(K$3,'Eurostat EB TJ GWh'!$A$2:$BV$2,0))</f>
        <v>0</v>
      </c>
      <c r="L37" s="17">
        <f>INDEX('Eurostat EB TJ GWh'!$A$2:$BV$146,MATCH($A37,'Eurostat EB TJ GWh'!$A$2:$A$146,0),MATCH(L$3,'Eurostat EB TJ GWh'!$A$2:$BV$2,0))</f>
        <v>0</v>
      </c>
      <c r="M37" s="17">
        <f>INDEX('Eurostat EB TJ GWh'!$A$2:$BV$146,MATCH($A37,'Eurostat EB TJ GWh'!$A$2:$A$146,0),MATCH(M$3,'Eurostat EB TJ GWh'!$A$2:$BV$2,0))</f>
        <v>0</v>
      </c>
      <c r="N37" s="17">
        <f>INDEX('Eurostat EB TJ GWh'!$A$2:$BV$146,MATCH($A37,'Eurostat EB TJ GWh'!$A$2:$A$146,0),MATCH(N$3,'Eurostat EB TJ GWh'!$A$2:$BV$2,0))</f>
        <v>0</v>
      </c>
      <c r="O37" s="17">
        <f>INDEX('Eurostat EB TJ GWh'!$A$2:$BV$146,MATCH($A37,'Eurostat EB TJ GWh'!$A$2:$A$146,0),MATCH(O$3,'Eurostat EB TJ GWh'!$A$2:$BV$2,0))</f>
        <v>0</v>
      </c>
      <c r="P37" s="17">
        <f>INDEX('Eurostat EB TJ GWh'!$A$2:$BV$146,MATCH($A37,'Eurostat EB TJ GWh'!$A$2:$A$146,0),MATCH(P$3,'Eurostat EB TJ GWh'!$A$2:$BV$2,0))</f>
        <v>0</v>
      </c>
      <c r="Q37" s="17">
        <f>INDEX('Eurostat EB TJ GWh'!$A$2:$BV$146,MATCH($A37,'Eurostat EB TJ GWh'!$A$2:$A$146,0),MATCH(Q$3,'Eurostat EB TJ GWh'!$A$2:$BV$2,0))</f>
        <v>0</v>
      </c>
      <c r="R37" s="17">
        <f>INDEX('Eurostat EB TJ GWh'!$A$2:$BV$146,MATCH($A37,'Eurostat EB TJ GWh'!$A$2:$A$146,0),MATCH(R$2,'Eurostat EB TJ GWh'!$A$2:$BV$2,0))+INDEX('Eurostat EB TJ GWh'!$A$2:$BV$146,MATCH($A37,'Eurostat EB TJ GWh'!$A$2:$A$146,0),MATCH(R$3,'Eurostat EB TJ GWh'!$A$2:$BV$2,0))</f>
        <v>0</v>
      </c>
      <c r="S37" s="17">
        <f>INDEX('Eurostat EB TJ GWh'!$A$2:$BV$146,MATCH($A37,'Eurostat EB TJ GWh'!$A$2:$A$146,0),MATCH(S$3,'Eurostat EB TJ GWh'!$A$2:$BV$2,0))</f>
        <v>0</v>
      </c>
      <c r="T37" s="65" t="s">
        <v>323</v>
      </c>
      <c r="U37" s="17">
        <f>INDEX('Eurostat EB TJ GWh'!$A$2:$BV$146,MATCH($A37,'Eurostat EB TJ GWh'!$A$2:$A$146,0),MATCH(U$3,'Eurostat EB TJ GWh'!$A$2:$BV$2,0))</f>
        <v>0</v>
      </c>
      <c r="V37" s="17">
        <f>INDEX('Eurostat EB TJ GWh'!$A$2:$BV$146,MATCH($A37,'Eurostat EB TJ GWh'!$A$2:$A$146,0),MATCH(V$3,'Eurostat EB TJ GWh'!$A$2:$BV$2,0))</f>
        <v>0</v>
      </c>
      <c r="W37" s="17">
        <f>INDEX('Eurostat EB TJ GWh'!$A$2:$BV$146,MATCH($A37,'Eurostat EB TJ GWh'!$A$2:$A$146,0),MATCH(W$3,'Eurostat EB TJ GWh'!$A$2:$BV$2,0))</f>
        <v>0</v>
      </c>
      <c r="X37" s="17">
        <f>INDEX('Eurostat EB TJ GWh'!$A$2:$BV$146,MATCH($A37,'Eurostat EB TJ GWh'!$A$2:$A$146,0),MATCH(X$3,'Eurostat EB TJ GWh'!$A$2:$BV$2,0))</f>
        <v>0</v>
      </c>
      <c r="Y37" s="17">
        <f>INDEX('Eurostat EB TJ GWh'!$A$2:$BV$146,MATCH($A37,'Eurostat EB TJ GWh'!$A$2:$A$146,0),MATCH(Y$3,'Eurostat EB TJ GWh'!$A$2:$BV$2,0))</f>
        <v>0</v>
      </c>
      <c r="Z37" s="17">
        <f>INDEX('Eurostat EB TJ GWh'!$A$2:$BV$146,MATCH($A37,'Eurostat EB TJ GWh'!$A$2:$A$146,0),MATCH(Z$3,'Eurostat EB TJ GWh'!$A$2:$BV$2,0))</f>
        <v>0</v>
      </c>
      <c r="AA37" s="17">
        <f>INDEX('Eurostat EB TJ GWh'!$A$2:$BV$146,MATCH($A37,'Eurostat EB TJ GWh'!$A$2:$A$146,0),MATCH(AA$3,'Eurostat EB TJ GWh'!$A$2:$BV$2,0))</f>
        <v>0</v>
      </c>
      <c r="AB37" s="17">
        <f>INDEX('Eurostat EB TJ GWh'!$A$2:$BV$146,MATCH($A37,'Eurostat EB TJ GWh'!$A$2:$A$146,0),MATCH(AB$3,'Eurostat EB TJ GWh'!$A$2:$BV$2,0))</f>
        <v>0</v>
      </c>
      <c r="AC37" s="17">
        <f>INDEX('Eurostat EB TJ GWh'!$A$2:$BV$146,MATCH($A37,'Eurostat EB TJ GWh'!$A$2:$A$146,0),MATCH(AC$3,'Eurostat EB TJ GWh'!$A$2:$BV$2,0))</f>
        <v>0</v>
      </c>
      <c r="AD37" s="17">
        <f>INDEX('Eurostat EB TJ GWh'!$A$2:$BV$146,MATCH($A37,'Eurostat EB TJ GWh'!$A$2:$A$146,0),MATCH(AD$3,'Eurostat EB TJ GWh'!$A$2:$BV$2,0))</f>
        <v>0</v>
      </c>
      <c r="AE37" s="17">
        <f>INDEX('Eurostat EB TJ GWh'!$A$2:$BV$146,MATCH($A37,'Eurostat EB TJ GWh'!$A$2:$A$146,0),MATCH(AE$3,'Eurostat EB TJ GWh'!$A$2:$BV$2,0))</f>
        <v>0</v>
      </c>
      <c r="AF37" s="17">
        <f>INDEX('Eurostat EB TJ GWh'!$A$2:$BV$146,MATCH($A37,'Eurostat EB TJ GWh'!$A$2:$A$146,0),MATCH(AF$3,'Eurostat EB TJ GWh'!$A$2:$BV$2,0))</f>
        <v>0</v>
      </c>
      <c r="AG37" s="17">
        <f>INDEX('Eurostat EB TJ GWh'!$A$2:$BV$146,MATCH($A37,'Eurostat EB TJ GWh'!$A$2:$A$146,0),MATCH(AG$3,'Eurostat EB TJ GWh'!$A$2:$BV$2,0))</f>
        <v>0</v>
      </c>
      <c r="AH37" s="17">
        <f>INDEX('Eurostat EB TJ GWh'!$A$2:$BV$146,MATCH($A37,'Eurostat EB TJ GWh'!$A$2:$A$146,0),MATCH(AH$3,'Eurostat EB TJ GWh'!$A$2:$BV$2,0))</f>
        <v>0</v>
      </c>
      <c r="AI37" s="17">
        <f>INDEX('Eurostat EB TJ GWh'!$A$2:$BV$146,MATCH($A37,'Eurostat EB TJ GWh'!$A$2:$A$146,0),MATCH(AI$3,'Eurostat EB TJ GWh'!$A$2:$BV$2,0))</f>
        <v>0</v>
      </c>
      <c r="AJ37" s="17">
        <f>INDEX('Eurostat EB TJ GWh'!$A$2:$BV$146,MATCH($A37,'Eurostat EB TJ GWh'!$A$2:$A$146,0),MATCH(AJ$3,'Eurostat EB TJ GWh'!$A$2:$BV$2,0))</f>
        <v>0</v>
      </c>
      <c r="AK37" s="17">
        <f>INDEX('Eurostat EB TJ GWh'!$A$2:$BV$146,MATCH($A37,'Eurostat EB TJ GWh'!$A$2:$A$146,0),MATCH(AK$3,'Eurostat EB TJ GWh'!$A$2:$BV$2,0))</f>
        <v>0</v>
      </c>
      <c r="AL37" s="17">
        <f>INDEX('Eurostat EB TJ GWh'!$A$2:$BV$146,MATCH($A37,'Eurostat EB TJ GWh'!$A$2:$A$146,0),MATCH(AL$3,'Eurostat EB TJ GWh'!$A$2:$BV$2,0))</f>
        <v>0</v>
      </c>
      <c r="AM37" s="17">
        <f>INDEX('Eurostat EB TJ GWh'!$A$2:$BV$146,MATCH($A37,'Eurostat EB TJ GWh'!$A$2:$A$146,0),MATCH(AM$3,'Eurostat EB TJ GWh'!$A$2:$BV$2,0))</f>
        <v>0</v>
      </c>
      <c r="AN37" s="17">
        <f>INDEX('Eurostat EB TJ GWh'!$A$2:$BV$146,MATCH($A37,'Eurostat EB TJ GWh'!$A$2:$A$146,0),MATCH(AN$3,'Eurostat EB TJ GWh'!$A$2:$BV$2,0))</f>
        <v>0</v>
      </c>
      <c r="AO37" s="17">
        <f>INDEX('Eurostat EB TJ GWh'!$A$2:$BV$146,MATCH($A37,'Eurostat EB TJ GWh'!$A$2:$A$146,0),MATCH(AO$3,'Eurostat EB TJ GWh'!$A$2:$BV$2,0))</f>
        <v>0</v>
      </c>
      <c r="AP37" s="17">
        <f>INDEX('Eurostat EB TJ GWh'!$A$2:$BV$146,MATCH($A37,'Eurostat EB TJ GWh'!$A$2:$A$146,0),MATCH(AP$3,'Eurostat EB TJ GWh'!$A$2:$BV$2,0))</f>
        <v>0</v>
      </c>
      <c r="AQ37" s="17">
        <f>INDEX('Eurostat EB TJ GWh'!$A$2:$BV$146,MATCH($A37,'Eurostat EB TJ GWh'!$A$2:$A$146,0),MATCH(AQ$3,'Eurostat EB TJ GWh'!$A$2:$BV$2,0))</f>
        <v>0</v>
      </c>
      <c r="AR37" s="17">
        <f>INDEX('Eurostat EB TJ GWh'!$A$2:$BV$146,MATCH($A37,'Eurostat EB TJ GWh'!$A$2:$A$146,0),MATCH(AR$3,'Eurostat EB TJ GWh'!$A$2:$BV$2,0))</f>
        <v>0</v>
      </c>
      <c r="AS37" s="17">
        <f>INDEX('Eurostat EB TJ GWh'!$A$2:$BV$146,MATCH($A37,'Eurostat EB TJ GWh'!$A$2:$A$146,0),MATCH(AS$3,'Eurostat EB TJ GWh'!$A$2:$BV$2,0))</f>
        <v>0</v>
      </c>
      <c r="AT37" s="17">
        <f>INDEX('Eurostat EB TJ GWh'!$A$2:$BV$146,MATCH($A37,'Eurostat EB TJ GWh'!$A$2:$A$146,0),MATCH(AT$3,'Eurostat EB TJ GWh'!$A$2:$BV$2,0))</f>
        <v>0</v>
      </c>
      <c r="AU37" s="17">
        <f>INDEX('Eurostat EB TJ GWh'!$A$2:$BV$146,MATCH($A37,'Eurostat EB TJ GWh'!$A$2:$A$146,0),MATCH(AU$3,'Eurostat EB TJ GWh'!$A$2:$BV$2,0))</f>
        <v>0</v>
      </c>
      <c r="AV37" s="17">
        <f>INDEX('Eurostat EB TJ GWh'!$A$2:$BV$146,MATCH($A37,'Eurostat EB TJ GWh'!$A$2:$A$146,0),MATCH(AV$2,'Eurostat EB TJ GWh'!$A$2:$BV$2,0))+INDEX('Eurostat EB TJ GWh'!$A$2:$BV$146,MATCH($A37,'Eurostat EB TJ GWh'!$A$2:$A$146,0),MATCH(AV$3,'Eurostat EB TJ GWh'!$A$2:$BV$2,0))</f>
        <v>0</v>
      </c>
      <c r="AW37" s="17">
        <f>INDEX('Eurostat EB TJ GWh'!$A$2:$BV$146,MATCH($A37,'Eurostat EB TJ GWh'!$A$2:$A$146,0),MATCH(AW$2,'Eurostat EB TJ GWh'!$A$2:$BV$2,0))+INDEX('Eurostat EB TJ GWh'!$A$2:$BV$146,MATCH($A37,'Eurostat EB TJ GWh'!$A$2:$A$146,0),MATCH(AW$3,'Eurostat EB TJ GWh'!$A$2:$BV$2,0))</f>
        <v>0</v>
      </c>
      <c r="AX37" s="17">
        <f>INDEX('Eurostat EB TJ GWh'!$A$2:$BV$146,MATCH($A37,'Eurostat EB TJ GWh'!$A$2:$A$146,0),MATCH(AX$3,'Eurostat EB TJ GWh'!$A$2:$BV$2,0))</f>
        <v>0</v>
      </c>
      <c r="AY37" s="72">
        <v>0</v>
      </c>
      <c r="AZ37" s="17">
        <f>INDEX('Eurostat EB TJ GWh'!$A$2:$BV$146,MATCH($A37,'Eurostat EB TJ GWh'!$A$2:$A$146,0),MATCH(AZ$3,'Eurostat EB TJ GWh'!$A$2:$BV$2,0))</f>
        <v>0</v>
      </c>
      <c r="BA37" s="72">
        <v>0</v>
      </c>
      <c r="BB37" s="72">
        <v>0</v>
      </c>
      <c r="BC37" s="17">
        <f>INDEX('Eurostat EB TJ GWh'!$A$2:$BV$146,MATCH($A37,'Eurostat EB TJ GWh'!$A$2:$A$146,0),MATCH(BC$3,'Eurostat EB TJ GWh'!$A$2:$BV$2,0))</f>
        <v>0</v>
      </c>
      <c r="BD37" s="17">
        <f>INDEX('Eurostat EB TJ GWh'!$A$2:$BV$146,MATCH($A37,'Eurostat EB TJ GWh'!$A$2:$A$146,0),MATCH(BD$3,'Eurostat EB TJ GWh'!$A$2:$BV$2,0))</f>
        <v>0</v>
      </c>
      <c r="BE37" s="17">
        <f>INDEX('Eurostat EB TJ GWh'!$A$2:$BV$146,MATCH($A37,'Eurostat EB TJ GWh'!$A$2:$A$146,0),MATCH(BE$3,'Eurostat EB TJ GWh'!$A$2:$BV$2,0))</f>
        <v>0</v>
      </c>
      <c r="BF37" s="17">
        <f>INDEX('Eurostat EB TJ GWh'!$A$2:$BV$146,MATCH($A37,'Eurostat EB TJ GWh'!$A$2:$A$146,0),MATCH(BF$3,'Eurostat EB TJ GWh'!$A$2:$BV$2,0))</f>
        <v>0</v>
      </c>
      <c r="BG37" s="17">
        <f>INDEX('Eurostat EB TJ GWh'!$A$2:$BV$146,MATCH($A37,'Eurostat EB TJ GWh'!$A$2:$A$146,0),MATCH(BG$3,'Eurostat EB TJ GWh'!$A$2:$BV$2,0))</f>
        <v>0</v>
      </c>
      <c r="BH37" s="17">
        <f>INDEX('Eurostat EB TJ GWh'!$A$2:$BV$146,MATCH($A37,'Eurostat EB TJ GWh'!$A$2:$A$146,0),MATCH(BH$3,'Eurostat EB TJ GWh'!$A$2:$BV$2,0))</f>
        <v>0</v>
      </c>
      <c r="BI37" s="17">
        <f>INDEX('Eurostat EB TJ GWh'!$A$2:$BV$146,MATCH($A37,'Eurostat EB TJ GWh'!$A$2:$A$146,0),MATCH(BI$3,'Eurostat EB TJ GWh'!$A$2:$BV$2,0))</f>
        <v>0</v>
      </c>
      <c r="BJ37" s="72">
        <v>0</v>
      </c>
      <c r="BK37" s="17">
        <f>INDEX('Eurostat EB TJ GWh'!$A$2:$BV$146,MATCH($A37,'Eurostat EB TJ GWh'!$A$2:$A$146,0),MATCH(BK$3,'Eurostat EB TJ GWh'!$A$2:$BV$2,0))</f>
        <v>0</v>
      </c>
      <c r="BL37" s="17">
        <f>INDEX('Eurostat EB TJ GWh'!$A$2:$BV$146,MATCH($A37,'Eurostat EB TJ GWh'!$A$2:$A$146,0),MATCH(BL$3,'Eurostat EB TJ GWh'!$A$2:$BV$2,0))</f>
        <v>0</v>
      </c>
      <c r="BM37" s="17">
        <f>INDEX('Eurostat EB TJ GWh'!$A$2:$BV$146,MATCH($A37,'Eurostat EB TJ GWh'!$A$2:$A$146,0),MATCH(BM$3,'Eurostat EB TJ GWh'!$A$2:$BV$2,0))</f>
        <v>0</v>
      </c>
      <c r="BN37" s="17">
        <f>INDEX('Eurostat EB TJ GWh'!$A$2:$BV$146,MATCH($A37,'Eurostat EB TJ GWh'!$A$2:$A$146,0),MATCH(BN$3,'Eurostat EB TJ GWh'!$A$2:$BV$2,0))</f>
        <v>0</v>
      </c>
    </row>
    <row r="38" spans="1:66" x14ac:dyDescent="0.2">
      <c r="A38" s="56" t="s">
        <v>228</v>
      </c>
      <c r="B38" s="65" t="s">
        <v>323</v>
      </c>
      <c r="C38" s="65" t="s">
        <v>323</v>
      </c>
      <c r="D38" s="57">
        <f>INDEX('Eurostat EB TJ GWh'!$A$2:$BV$146,MATCH($A38,'Eurostat EB TJ GWh'!$A$2:$A$146,0),MATCH(D$3,'Eurostat EB TJ GWh'!$A$2:$BV$2,0))</f>
        <v>0</v>
      </c>
      <c r="E38" s="57">
        <f>INDEX('Eurostat EB TJ GWh'!$A$2:$BV$146,MATCH($A38,'Eurostat EB TJ GWh'!$A$2:$A$146,0),MATCH(E$3,'Eurostat EB TJ GWh'!$A$2:$BV$2,0))</f>
        <v>0</v>
      </c>
      <c r="F38" s="57">
        <f>INDEX('Eurostat EB TJ GWh'!$A$2:$BV$146,MATCH($A38,'Eurostat EB TJ GWh'!$A$2:$A$146,0),MATCH(F$3,'Eurostat EB TJ GWh'!$A$2:$BV$2,0))</f>
        <v>0</v>
      </c>
      <c r="G38" s="57">
        <f>INDEX('Eurostat EB TJ GWh'!$A$2:$BV$146,MATCH($A38,'Eurostat EB TJ GWh'!$A$2:$A$146,0),MATCH(G$3,'Eurostat EB TJ GWh'!$A$2:$BV$2,0))</f>
        <v>0</v>
      </c>
      <c r="H38" s="57">
        <f>INDEX('Eurostat EB TJ GWh'!$A$2:$BV$146,MATCH($A38,'Eurostat EB TJ GWh'!$A$2:$A$146,0),MATCH(H$3,'Eurostat EB TJ GWh'!$A$2:$BV$2,0))</f>
        <v>0</v>
      </c>
      <c r="I38" s="57">
        <f>INDEX('Eurostat EB TJ GWh'!$A$2:$BV$146,MATCH($A38,'Eurostat EB TJ GWh'!$A$2:$A$146,0),MATCH(I$3,'Eurostat EB TJ GWh'!$A$2:$BV$2,0))</f>
        <v>0</v>
      </c>
      <c r="J38" s="57">
        <f>INDEX('Eurostat EB TJ GWh'!$A$2:$BV$146,MATCH($A38,'Eurostat EB TJ GWh'!$A$2:$A$146,0),MATCH(J$3,'Eurostat EB TJ GWh'!$A$2:$BV$2,0))</f>
        <v>0</v>
      </c>
      <c r="K38" s="57">
        <f>INDEX('Eurostat EB TJ GWh'!$A$2:$BV$146,MATCH($A38,'Eurostat EB TJ GWh'!$A$2:$A$146,0),MATCH(K$3,'Eurostat EB TJ GWh'!$A$2:$BV$2,0))</f>
        <v>0</v>
      </c>
      <c r="L38" s="57">
        <f>INDEX('Eurostat EB TJ GWh'!$A$2:$BV$146,MATCH($A38,'Eurostat EB TJ GWh'!$A$2:$A$146,0),MATCH(L$3,'Eurostat EB TJ GWh'!$A$2:$BV$2,0))</f>
        <v>0</v>
      </c>
      <c r="M38" s="57">
        <f>INDEX('Eurostat EB TJ GWh'!$A$2:$BV$146,MATCH($A38,'Eurostat EB TJ GWh'!$A$2:$A$146,0),MATCH(M$3,'Eurostat EB TJ GWh'!$A$2:$BV$2,0))</f>
        <v>0</v>
      </c>
      <c r="N38" s="57">
        <f>INDEX('Eurostat EB TJ GWh'!$A$2:$BV$146,MATCH($A38,'Eurostat EB TJ GWh'!$A$2:$A$146,0),MATCH(N$3,'Eurostat EB TJ GWh'!$A$2:$BV$2,0))</f>
        <v>0</v>
      </c>
      <c r="O38" s="57">
        <f>INDEX('Eurostat EB TJ GWh'!$A$2:$BV$146,MATCH($A38,'Eurostat EB TJ GWh'!$A$2:$A$146,0),MATCH(O$3,'Eurostat EB TJ GWh'!$A$2:$BV$2,0))</f>
        <v>0</v>
      </c>
      <c r="P38" s="57">
        <f>INDEX('Eurostat EB TJ GWh'!$A$2:$BV$146,MATCH($A38,'Eurostat EB TJ GWh'!$A$2:$A$146,0),MATCH(P$3,'Eurostat EB TJ GWh'!$A$2:$BV$2,0))</f>
        <v>0</v>
      </c>
      <c r="Q38" s="57">
        <f>INDEX('Eurostat EB TJ GWh'!$A$2:$BV$146,MATCH($A38,'Eurostat EB TJ GWh'!$A$2:$A$146,0),MATCH(Q$3,'Eurostat EB TJ GWh'!$A$2:$BV$2,0))</f>
        <v>0</v>
      </c>
      <c r="R38" s="57">
        <f>INDEX('Eurostat EB TJ GWh'!$A$2:$BV$146,MATCH($A38,'Eurostat EB TJ GWh'!$A$2:$A$146,0),MATCH(R$2,'Eurostat EB TJ GWh'!$A$2:$BV$2,0))+INDEX('Eurostat EB TJ GWh'!$A$2:$BV$146,MATCH($A38,'Eurostat EB TJ GWh'!$A$2:$A$146,0),MATCH(R$3,'Eurostat EB TJ GWh'!$A$2:$BV$2,0))</f>
        <v>0</v>
      </c>
      <c r="S38" s="57">
        <f>INDEX('Eurostat EB TJ GWh'!$A$2:$BV$146,MATCH($A38,'Eurostat EB TJ GWh'!$A$2:$A$146,0),MATCH(S$3,'Eurostat EB TJ GWh'!$A$2:$BV$2,0))</f>
        <v>0</v>
      </c>
      <c r="T38" s="65" t="s">
        <v>323</v>
      </c>
      <c r="U38" s="57">
        <f>INDEX('Eurostat EB TJ GWh'!$A$2:$BV$146,MATCH($A38,'Eurostat EB TJ GWh'!$A$2:$A$146,0),MATCH(U$3,'Eurostat EB TJ GWh'!$A$2:$BV$2,0))</f>
        <v>0</v>
      </c>
      <c r="V38" s="57">
        <f>INDEX('Eurostat EB TJ GWh'!$A$2:$BV$146,MATCH($A38,'Eurostat EB TJ GWh'!$A$2:$A$146,0),MATCH(V$3,'Eurostat EB TJ GWh'!$A$2:$BV$2,0))</f>
        <v>0</v>
      </c>
      <c r="W38" s="57">
        <f>INDEX('Eurostat EB TJ GWh'!$A$2:$BV$146,MATCH($A38,'Eurostat EB TJ GWh'!$A$2:$A$146,0),MATCH(W$3,'Eurostat EB TJ GWh'!$A$2:$BV$2,0))</f>
        <v>0</v>
      </c>
      <c r="X38" s="57">
        <f>INDEX('Eurostat EB TJ GWh'!$A$2:$BV$146,MATCH($A38,'Eurostat EB TJ GWh'!$A$2:$A$146,0),MATCH(X$3,'Eurostat EB TJ GWh'!$A$2:$BV$2,0))</f>
        <v>0</v>
      </c>
      <c r="Y38" s="57">
        <f>INDEX('Eurostat EB TJ GWh'!$A$2:$BV$146,MATCH($A38,'Eurostat EB TJ GWh'!$A$2:$A$146,0),MATCH(Y$3,'Eurostat EB TJ GWh'!$A$2:$BV$2,0))</f>
        <v>0</v>
      </c>
      <c r="Z38" s="57">
        <f>INDEX('Eurostat EB TJ GWh'!$A$2:$BV$146,MATCH($A38,'Eurostat EB TJ GWh'!$A$2:$A$146,0),MATCH(Z$3,'Eurostat EB TJ GWh'!$A$2:$BV$2,0))</f>
        <v>0</v>
      </c>
      <c r="AA38" s="57">
        <f>INDEX('Eurostat EB TJ GWh'!$A$2:$BV$146,MATCH($A38,'Eurostat EB TJ GWh'!$A$2:$A$146,0),MATCH(AA$3,'Eurostat EB TJ GWh'!$A$2:$BV$2,0))</f>
        <v>0</v>
      </c>
      <c r="AB38" s="57">
        <f>INDEX('Eurostat EB TJ GWh'!$A$2:$BV$146,MATCH($A38,'Eurostat EB TJ GWh'!$A$2:$A$146,0),MATCH(AB$3,'Eurostat EB TJ GWh'!$A$2:$BV$2,0))</f>
        <v>0</v>
      </c>
      <c r="AC38" s="57">
        <f>INDEX('Eurostat EB TJ GWh'!$A$2:$BV$146,MATCH($A38,'Eurostat EB TJ GWh'!$A$2:$A$146,0),MATCH(AC$3,'Eurostat EB TJ GWh'!$A$2:$BV$2,0))</f>
        <v>0</v>
      </c>
      <c r="AD38" s="57">
        <f>INDEX('Eurostat EB TJ GWh'!$A$2:$BV$146,MATCH($A38,'Eurostat EB TJ GWh'!$A$2:$A$146,0),MATCH(AD$3,'Eurostat EB TJ GWh'!$A$2:$BV$2,0))</f>
        <v>0</v>
      </c>
      <c r="AE38" s="57">
        <f>INDEX('Eurostat EB TJ GWh'!$A$2:$BV$146,MATCH($A38,'Eurostat EB TJ GWh'!$A$2:$A$146,0),MATCH(AE$3,'Eurostat EB TJ GWh'!$A$2:$BV$2,0))</f>
        <v>0</v>
      </c>
      <c r="AF38" s="57">
        <f>INDEX('Eurostat EB TJ GWh'!$A$2:$BV$146,MATCH($A38,'Eurostat EB TJ GWh'!$A$2:$A$146,0),MATCH(AF$3,'Eurostat EB TJ GWh'!$A$2:$BV$2,0))</f>
        <v>0</v>
      </c>
      <c r="AG38" s="57">
        <f>INDEX('Eurostat EB TJ GWh'!$A$2:$BV$146,MATCH($A38,'Eurostat EB TJ GWh'!$A$2:$A$146,0),MATCH(AG$3,'Eurostat EB TJ GWh'!$A$2:$BV$2,0))</f>
        <v>0</v>
      </c>
      <c r="AH38" s="57">
        <f>INDEX('Eurostat EB TJ GWh'!$A$2:$BV$146,MATCH($A38,'Eurostat EB TJ GWh'!$A$2:$A$146,0),MATCH(AH$3,'Eurostat EB TJ GWh'!$A$2:$BV$2,0))</f>
        <v>0</v>
      </c>
      <c r="AI38" s="57">
        <f>INDEX('Eurostat EB TJ GWh'!$A$2:$BV$146,MATCH($A38,'Eurostat EB TJ GWh'!$A$2:$A$146,0),MATCH(AI$3,'Eurostat EB TJ GWh'!$A$2:$BV$2,0))</f>
        <v>0</v>
      </c>
      <c r="AJ38" s="57">
        <f>INDEX('Eurostat EB TJ GWh'!$A$2:$BV$146,MATCH($A38,'Eurostat EB TJ GWh'!$A$2:$A$146,0),MATCH(AJ$3,'Eurostat EB TJ GWh'!$A$2:$BV$2,0))</f>
        <v>0</v>
      </c>
      <c r="AK38" s="57">
        <f>INDEX('Eurostat EB TJ GWh'!$A$2:$BV$146,MATCH($A38,'Eurostat EB TJ GWh'!$A$2:$A$146,0),MATCH(AK$3,'Eurostat EB TJ GWh'!$A$2:$BV$2,0))</f>
        <v>0</v>
      </c>
      <c r="AL38" s="57">
        <f>INDEX('Eurostat EB TJ GWh'!$A$2:$BV$146,MATCH($A38,'Eurostat EB TJ GWh'!$A$2:$A$146,0),MATCH(AL$3,'Eurostat EB TJ GWh'!$A$2:$BV$2,0))</f>
        <v>0</v>
      </c>
      <c r="AM38" s="57">
        <f>INDEX('Eurostat EB TJ GWh'!$A$2:$BV$146,MATCH($A38,'Eurostat EB TJ GWh'!$A$2:$A$146,0),MATCH(AM$3,'Eurostat EB TJ GWh'!$A$2:$BV$2,0))</f>
        <v>0</v>
      </c>
      <c r="AN38" s="57">
        <f>INDEX('Eurostat EB TJ GWh'!$A$2:$BV$146,MATCH($A38,'Eurostat EB TJ GWh'!$A$2:$A$146,0),MATCH(AN$3,'Eurostat EB TJ GWh'!$A$2:$BV$2,0))</f>
        <v>0</v>
      </c>
      <c r="AO38" s="57">
        <f>INDEX('Eurostat EB TJ GWh'!$A$2:$BV$146,MATCH($A38,'Eurostat EB TJ GWh'!$A$2:$A$146,0),MATCH(AO$3,'Eurostat EB TJ GWh'!$A$2:$BV$2,0))</f>
        <v>0</v>
      </c>
      <c r="AP38" s="57">
        <f>INDEX('Eurostat EB TJ GWh'!$A$2:$BV$146,MATCH($A38,'Eurostat EB TJ GWh'!$A$2:$A$146,0),MATCH(AP$3,'Eurostat EB TJ GWh'!$A$2:$BV$2,0))</f>
        <v>0</v>
      </c>
      <c r="AQ38" s="57">
        <f>INDEX('Eurostat EB TJ GWh'!$A$2:$BV$146,MATCH($A38,'Eurostat EB TJ GWh'!$A$2:$A$146,0),MATCH(AQ$3,'Eurostat EB TJ GWh'!$A$2:$BV$2,0))</f>
        <v>0</v>
      </c>
      <c r="AR38" s="57">
        <f>INDEX('Eurostat EB TJ GWh'!$A$2:$BV$146,MATCH($A38,'Eurostat EB TJ GWh'!$A$2:$A$146,0),MATCH(AR$3,'Eurostat EB TJ GWh'!$A$2:$BV$2,0))</f>
        <v>0</v>
      </c>
      <c r="AS38" s="57">
        <f>INDEX('Eurostat EB TJ GWh'!$A$2:$BV$146,MATCH($A38,'Eurostat EB TJ GWh'!$A$2:$A$146,0),MATCH(AS$3,'Eurostat EB TJ GWh'!$A$2:$BV$2,0))</f>
        <v>0</v>
      </c>
      <c r="AT38" s="57">
        <f>INDEX('Eurostat EB TJ GWh'!$A$2:$BV$146,MATCH($A38,'Eurostat EB TJ GWh'!$A$2:$A$146,0),MATCH(AT$3,'Eurostat EB TJ GWh'!$A$2:$BV$2,0))</f>
        <v>0</v>
      </c>
      <c r="AU38" s="57">
        <f>INDEX('Eurostat EB TJ GWh'!$A$2:$BV$146,MATCH($A38,'Eurostat EB TJ GWh'!$A$2:$A$146,0),MATCH(AU$3,'Eurostat EB TJ GWh'!$A$2:$BV$2,0))</f>
        <v>0</v>
      </c>
      <c r="AV38" s="57">
        <f>INDEX('Eurostat EB TJ GWh'!$A$2:$BV$146,MATCH($A38,'Eurostat EB TJ GWh'!$A$2:$A$146,0),MATCH(AV$2,'Eurostat EB TJ GWh'!$A$2:$BV$2,0))+INDEX('Eurostat EB TJ GWh'!$A$2:$BV$146,MATCH($A38,'Eurostat EB TJ GWh'!$A$2:$A$146,0),MATCH(AV$3,'Eurostat EB TJ GWh'!$A$2:$BV$2,0))</f>
        <v>0</v>
      </c>
      <c r="AW38" s="57">
        <f>INDEX('Eurostat EB TJ GWh'!$A$2:$BV$146,MATCH($A38,'Eurostat EB TJ GWh'!$A$2:$A$146,0),MATCH(AW$2,'Eurostat EB TJ GWh'!$A$2:$BV$2,0))+INDEX('Eurostat EB TJ GWh'!$A$2:$BV$146,MATCH($A38,'Eurostat EB TJ GWh'!$A$2:$A$146,0),MATCH(AW$3,'Eurostat EB TJ GWh'!$A$2:$BV$2,0))</f>
        <v>0</v>
      </c>
      <c r="AX38" s="57">
        <f>INDEX('Eurostat EB TJ GWh'!$A$2:$BV$146,MATCH($A38,'Eurostat EB TJ GWh'!$A$2:$A$146,0),MATCH(AX$3,'Eurostat EB TJ GWh'!$A$2:$BV$2,0))</f>
        <v>0</v>
      </c>
      <c r="AY38" s="65">
        <v>0</v>
      </c>
      <c r="AZ38" s="57">
        <f>INDEX('Eurostat EB TJ GWh'!$A$2:$BV$146,MATCH($A38,'Eurostat EB TJ GWh'!$A$2:$A$146,0),MATCH(AZ$3,'Eurostat EB TJ GWh'!$A$2:$BV$2,0))</f>
        <v>0</v>
      </c>
      <c r="BA38" s="65">
        <v>0</v>
      </c>
      <c r="BB38" s="65">
        <v>0</v>
      </c>
      <c r="BC38" s="57">
        <f>INDEX('Eurostat EB TJ GWh'!$A$2:$BV$146,MATCH($A38,'Eurostat EB TJ GWh'!$A$2:$A$146,0),MATCH(BC$3,'Eurostat EB TJ GWh'!$A$2:$BV$2,0))</f>
        <v>0</v>
      </c>
      <c r="BD38" s="57">
        <f>INDEX('Eurostat EB TJ GWh'!$A$2:$BV$146,MATCH($A38,'Eurostat EB TJ GWh'!$A$2:$A$146,0),MATCH(BD$3,'Eurostat EB TJ GWh'!$A$2:$BV$2,0))</f>
        <v>0</v>
      </c>
      <c r="BE38" s="57">
        <f>INDEX('Eurostat EB TJ GWh'!$A$2:$BV$146,MATCH($A38,'Eurostat EB TJ GWh'!$A$2:$A$146,0),MATCH(BE$3,'Eurostat EB TJ GWh'!$A$2:$BV$2,0))</f>
        <v>0</v>
      </c>
      <c r="BF38" s="57">
        <f>INDEX('Eurostat EB TJ GWh'!$A$2:$BV$146,MATCH($A38,'Eurostat EB TJ GWh'!$A$2:$A$146,0),MATCH(BF$3,'Eurostat EB TJ GWh'!$A$2:$BV$2,0))</f>
        <v>0</v>
      </c>
      <c r="BG38" s="57">
        <f>INDEX('Eurostat EB TJ GWh'!$A$2:$BV$146,MATCH($A38,'Eurostat EB TJ GWh'!$A$2:$A$146,0),MATCH(BG$3,'Eurostat EB TJ GWh'!$A$2:$BV$2,0))</f>
        <v>0</v>
      </c>
      <c r="BH38" s="57">
        <f>INDEX('Eurostat EB TJ GWh'!$A$2:$BV$146,MATCH($A38,'Eurostat EB TJ GWh'!$A$2:$A$146,0),MATCH(BH$3,'Eurostat EB TJ GWh'!$A$2:$BV$2,0))</f>
        <v>0</v>
      </c>
      <c r="BI38" s="57">
        <f>INDEX('Eurostat EB TJ GWh'!$A$2:$BV$146,MATCH($A38,'Eurostat EB TJ GWh'!$A$2:$A$146,0),MATCH(BI$3,'Eurostat EB TJ GWh'!$A$2:$BV$2,0))</f>
        <v>0</v>
      </c>
      <c r="BJ38" s="65">
        <v>0</v>
      </c>
      <c r="BK38" s="57">
        <f>INDEX('Eurostat EB TJ GWh'!$A$2:$BV$146,MATCH($A38,'Eurostat EB TJ GWh'!$A$2:$A$146,0),MATCH(BK$3,'Eurostat EB TJ GWh'!$A$2:$BV$2,0))</f>
        <v>0</v>
      </c>
      <c r="BL38" s="57">
        <f>INDEX('Eurostat EB TJ GWh'!$A$2:$BV$146,MATCH($A38,'Eurostat EB TJ GWh'!$A$2:$A$146,0),MATCH(BL$3,'Eurostat EB TJ GWh'!$A$2:$BV$2,0))</f>
        <v>0</v>
      </c>
      <c r="BM38" s="57">
        <f>INDEX('Eurostat EB TJ GWh'!$A$2:$BV$146,MATCH($A38,'Eurostat EB TJ GWh'!$A$2:$A$146,0),MATCH(BM$3,'Eurostat EB TJ GWh'!$A$2:$BV$2,0))</f>
        <v>0</v>
      </c>
      <c r="BN38" s="57">
        <f>INDEX('Eurostat EB TJ GWh'!$A$2:$BV$146,MATCH($A38,'Eurostat EB TJ GWh'!$A$2:$A$146,0),MATCH(BN$3,'Eurostat EB TJ GWh'!$A$2:$BV$2,0))</f>
        <v>0</v>
      </c>
    </row>
    <row r="39" spans="1:66" x14ac:dyDescent="0.2">
      <c r="A39" s="56" t="s">
        <v>391</v>
      </c>
      <c r="B39" s="65" t="s">
        <v>323</v>
      </c>
      <c r="C39" s="65" t="s">
        <v>323</v>
      </c>
      <c r="D39" s="17">
        <f>INDEX('Eurostat EB TJ GWh'!$A$2:$BV$146,MATCH($A39,'Eurostat EB TJ GWh'!$A$2:$A$146,0),MATCH(D$3,'Eurostat EB TJ GWh'!$A$2:$BV$2,0))</f>
        <v>0</v>
      </c>
      <c r="E39" s="17">
        <f>INDEX('Eurostat EB TJ GWh'!$A$2:$BV$146,MATCH($A39,'Eurostat EB TJ GWh'!$A$2:$A$146,0),MATCH(E$3,'Eurostat EB TJ GWh'!$A$2:$BV$2,0))</f>
        <v>0</v>
      </c>
      <c r="F39" s="17">
        <f>INDEX('Eurostat EB TJ GWh'!$A$2:$BV$146,MATCH($A39,'Eurostat EB TJ GWh'!$A$2:$A$146,0),MATCH(F$3,'Eurostat EB TJ GWh'!$A$2:$BV$2,0))</f>
        <v>0</v>
      </c>
      <c r="G39" s="17">
        <f>INDEX('Eurostat EB TJ GWh'!$A$2:$BV$146,MATCH($A39,'Eurostat EB TJ GWh'!$A$2:$A$146,0),MATCH(G$3,'Eurostat EB TJ GWh'!$A$2:$BV$2,0))</f>
        <v>0</v>
      </c>
      <c r="H39" s="17">
        <f>INDEX('Eurostat EB TJ GWh'!$A$2:$BV$146,MATCH($A39,'Eurostat EB TJ GWh'!$A$2:$A$146,0),MATCH(H$3,'Eurostat EB TJ GWh'!$A$2:$BV$2,0))</f>
        <v>0</v>
      </c>
      <c r="I39" s="17">
        <f>INDEX('Eurostat EB TJ GWh'!$A$2:$BV$146,MATCH($A39,'Eurostat EB TJ GWh'!$A$2:$A$146,0),MATCH(I$3,'Eurostat EB TJ GWh'!$A$2:$BV$2,0))</f>
        <v>0</v>
      </c>
      <c r="J39" s="17">
        <f>INDEX('Eurostat EB TJ GWh'!$A$2:$BV$146,MATCH($A39,'Eurostat EB TJ GWh'!$A$2:$A$146,0),MATCH(J$3,'Eurostat EB TJ GWh'!$A$2:$BV$2,0))</f>
        <v>0</v>
      </c>
      <c r="K39" s="17">
        <f>INDEX('Eurostat EB TJ GWh'!$A$2:$BV$146,MATCH($A39,'Eurostat EB TJ GWh'!$A$2:$A$146,0),MATCH(K$3,'Eurostat EB TJ GWh'!$A$2:$BV$2,0))</f>
        <v>0</v>
      </c>
      <c r="L39" s="17">
        <f>INDEX('Eurostat EB TJ GWh'!$A$2:$BV$146,MATCH($A39,'Eurostat EB TJ GWh'!$A$2:$A$146,0),MATCH(L$3,'Eurostat EB TJ GWh'!$A$2:$BV$2,0))</f>
        <v>0</v>
      </c>
      <c r="M39" s="17">
        <f>INDEX('Eurostat EB TJ GWh'!$A$2:$BV$146,MATCH($A39,'Eurostat EB TJ GWh'!$A$2:$A$146,0),MATCH(M$3,'Eurostat EB TJ GWh'!$A$2:$BV$2,0))</f>
        <v>0</v>
      </c>
      <c r="N39" s="17">
        <f>INDEX('Eurostat EB TJ GWh'!$A$2:$BV$146,MATCH($A39,'Eurostat EB TJ GWh'!$A$2:$A$146,0),MATCH(N$3,'Eurostat EB TJ GWh'!$A$2:$BV$2,0))</f>
        <v>0</v>
      </c>
      <c r="O39" s="17">
        <f>INDEX('Eurostat EB TJ GWh'!$A$2:$BV$146,MATCH($A39,'Eurostat EB TJ GWh'!$A$2:$A$146,0),MATCH(O$3,'Eurostat EB TJ GWh'!$A$2:$BV$2,0))</f>
        <v>0</v>
      </c>
      <c r="P39" s="17">
        <f>INDEX('Eurostat EB TJ GWh'!$A$2:$BV$146,MATCH($A39,'Eurostat EB TJ GWh'!$A$2:$A$146,0),MATCH(P$3,'Eurostat EB TJ GWh'!$A$2:$BV$2,0))</f>
        <v>0</v>
      </c>
      <c r="Q39" s="17">
        <f>INDEX('Eurostat EB TJ GWh'!$A$2:$BV$146,MATCH($A39,'Eurostat EB TJ GWh'!$A$2:$A$146,0),MATCH(Q$3,'Eurostat EB TJ GWh'!$A$2:$BV$2,0))</f>
        <v>0</v>
      </c>
      <c r="R39" s="17">
        <f>INDEX('Eurostat EB TJ GWh'!$A$2:$BV$146,MATCH($A39,'Eurostat EB TJ GWh'!$A$2:$A$146,0),MATCH(R$2,'Eurostat EB TJ GWh'!$A$2:$BV$2,0))+INDEX('Eurostat EB TJ GWh'!$A$2:$BV$146,MATCH($A39,'Eurostat EB TJ GWh'!$A$2:$A$146,0),MATCH(R$3,'Eurostat EB TJ GWh'!$A$2:$BV$2,0))</f>
        <v>0</v>
      </c>
      <c r="S39" s="17">
        <f>INDEX('Eurostat EB TJ GWh'!$A$2:$BV$146,MATCH($A39,'Eurostat EB TJ GWh'!$A$2:$A$146,0),MATCH(S$3,'Eurostat EB TJ GWh'!$A$2:$BV$2,0))</f>
        <v>0</v>
      </c>
      <c r="T39" s="65" t="s">
        <v>323</v>
      </c>
      <c r="U39" s="17">
        <f>INDEX('Eurostat EB TJ GWh'!$A$2:$BV$146,MATCH($A39,'Eurostat EB TJ GWh'!$A$2:$A$146,0),MATCH(U$3,'Eurostat EB TJ GWh'!$A$2:$BV$2,0))</f>
        <v>0</v>
      </c>
      <c r="V39" s="17">
        <f>INDEX('Eurostat EB TJ GWh'!$A$2:$BV$146,MATCH($A39,'Eurostat EB TJ GWh'!$A$2:$A$146,0),MATCH(V$3,'Eurostat EB TJ GWh'!$A$2:$BV$2,0))</f>
        <v>0</v>
      </c>
      <c r="W39" s="17">
        <f>INDEX('Eurostat EB TJ GWh'!$A$2:$BV$146,MATCH($A39,'Eurostat EB TJ GWh'!$A$2:$A$146,0),MATCH(W$3,'Eurostat EB TJ GWh'!$A$2:$BV$2,0))</f>
        <v>0</v>
      </c>
      <c r="X39" s="17">
        <f>INDEX('Eurostat EB TJ GWh'!$A$2:$BV$146,MATCH($A39,'Eurostat EB TJ GWh'!$A$2:$A$146,0),MATCH(X$3,'Eurostat EB TJ GWh'!$A$2:$BV$2,0))</f>
        <v>0</v>
      </c>
      <c r="Y39" s="17">
        <f>INDEX('Eurostat EB TJ GWh'!$A$2:$BV$146,MATCH($A39,'Eurostat EB TJ GWh'!$A$2:$A$146,0),MATCH(Y$3,'Eurostat EB TJ GWh'!$A$2:$BV$2,0))</f>
        <v>0</v>
      </c>
      <c r="Z39" s="17">
        <f>INDEX('Eurostat EB TJ GWh'!$A$2:$BV$146,MATCH($A39,'Eurostat EB TJ GWh'!$A$2:$A$146,0),MATCH(Z$3,'Eurostat EB TJ GWh'!$A$2:$BV$2,0))</f>
        <v>1614.182</v>
      </c>
      <c r="AA39" s="17">
        <f>INDEX('Eurostat EB TJ GWh'!$A$2:$BV$146,MATCH($A39,'Eurostat EB TJ GWh'!$A$2:$A$146,0),MATCH(AA$3,'Eurostat EB TJ GWh'!$A$2:$BV$2,0))</f>
        <v>0</v>
      </c>
      <c r="AB39" s="17">
        <f>INDEX('Eurostat EB TJ GWh'!$A$2:$BV$146,MATCH($A39,'Eurostat EB TJ GWh'!$A$2:$A$146,0),MATCH(AB$3,'Eurostat EB TJ GWh'!$A$2:$BV$2,0))</f>
        <v>0</v>
      </c>
      <c r="AC39" s="17">
        <f>INDEX('Eurostat EB TJ GWh'!$A$2:$BV$146,MATCH($A39,'Eurostat EB TJ GWh'!$A$2:$A$146,0),MATCH(AC$3,'Eurostat EB TJ GWh'!$A$2:$BV$2,0))</f>
        <v>0</v>
      </c>
      <c r="AD39" s="17">
        <f>INDEX('Eurostat EB TJ GWh'!$A$2:$BV$146,MATCH($A39,'Eurostat EB TJ GWh'!$A$2:$A$146,0),MATCH(AD$3,'Eurostat EB TJ GWh'!$A$2:$BV$2,0))</f>
        <v>0</v>
      </c>
      <c r="AE39" s="17">
        <f>INDEX('Eurostat EB TJ GWh'!$A$2:$BV$146,MATCH($A39,'Eurostat EB TJ GWh'!$A$2:$A$146,0),MATCH(AE$3,'Eurostat EB TJ GWh'!$A$2:$BV$2,0))</f>
        <v>0</v>
      </c>
      <c r="AF39" s="17">
        <f>INDEX('Eurostat EB TJ GWh'!$A$2:$BV$146,MATCH($A39,'Eurostat EB TJ GWh'!$A$2:$A$146,0),MATCH(AF$3,'Eurostat EB TJ GWh'!$A$2:$BV$2,0))</f>
        <v>0</v>
      </c>
      <c r="AG39" s="17">
        <f>INDEX('Eurostat EB TJ GWh'!$A$2:$BV$146,MATCH($A39,'Eurostat EB TJ GWh'!$A$2:$A$146,0),MATCH(AG$3,'Eurostat EB TJ GWh'!$A$2:$BV$2,0))</f>
        <v>0</v>
      </c>
      <c r="AH39" s="17">
        <f>INDEX('Eurostat EB TJ GWh'!$A$2:$BV$146,MATCH($A39,'Eurostat EB TJ GWh'!$A$2:$A$146,0),MATCH(AH$3,'Eurostat EB TJ GWh'!$A$2:$BV$2,0))</f>
        <v>0</v>
      </c>
      <c r="AI39" s="17">
        <f>INDEX('Eurostat EB TJ GWh'!$A$2:$BV$146,MATCH($A39,'Eurostat EB TJ GWh'!$A$2:$A$146,0),MATCH(AI$3,'Eurostat EB TJ GWh'!$A$2:$BV$2,0))</f>
        <v>0</v>
      </c>
      <c r="AJ39" s="17">
        <f>INDEX('Eurostat EB TJ GWh'!$A$2:$BV$146,MATCH($A39,'Eurostat EB TJ GWh'!$A$2:$A$146,0),MATCH(AJ$3,'Eurostat EB TJ GWh'!$A$2:$BV$2,0))</f>
        <v>0</v>
      </c>
      <c r="AK39" s="17">
        <f>INDEX('Eurostat EB TJ GWh'!$A$2:$BV$146,MATCH($A39,'Eurostat EB TJ GWh'!$A$2:$A$146,0),MATCH(AK$3,'Eurostat EB TJ GWh'!$A$2:$BV$2,0))</f>
        <v>0</v>
      </c>
      <c r="AL39" s="17">
        <f>INDEX('Eurostat EB TJ GWh'!$A$2:$BV$146,MATCH($A39,'Eurostat EB TJ GWh'!$A$2:$A$146,0),MATCH(AL$3,'Eurostat EB TJ GWh'!$A$2:$BV$2,0))</f>
        <v>0</v>
      </c>
      <c r="AM39" s="17">
        <f>INDEX('Eurostat EB TJ GWh'!$A$2:$BV$146,MATCH($A39,'Eurostat EB TJ GWh'!$A$2:$A$146,0),MATCH(AM$3,'Eurostat EB TJ GWh'!$A$2:$BV$2,0))</f>
        <v>0</v>
      </c>
      <c r="AN39" s="17">
        <f>INDEX('Eurostat EB TJ GWh'!$A$2:$BV$146,MATCH($A39,'Eurostat EB TJ GWh'!$A$2:$A$146,0),MATCH(AN$3,'Eurostat EB TJ GWh'!$A$2:$BV$2,0))</f>
        <v>0</v>
      </c>
      <c r="AO39" s="17">
        <f>INDEX('Eurostat EB TJ GWh'!$A$2:$BV$146,MATCH($A39,'Eurostat EB TJ GWh'!$A$2:$A$146,0),MATCH(AO$3,'Eurostat EB TJ GWh'!$A$2:$BV$2,0))</f>
        <v>0</v>
      </c>
      <c r="AP39" s="17">
        <f>INDEX('Eurostat EB TJ GWh'!$A$2:$BV$146,MATCH($A39,'Eurostat EB TJ GWh'!$A$2:$A$146,0),MATCH(AP$3,'Eurostat EB TJ GWh'!$A$2:$BV$2,0))</f>
        <v>0</v>
      </c>
      <c r="AQ39" s="17">
        <f>INDEX('Eurostat EB TJ GWh'!$A$2:$BV$146,MATCH($A39,'Eurostat EB TJ GWh'!$A$2:$A$146,0),MATCH(AQ$3,'Eurostat EB TJ GWh'!$A$2:$BV$2,0))</f>
        <v>0</v>
      </c>
      <c r="AR39" s="17">
        <f>INDEX('Eurostat EB TJ GWh'!$A$2:$BV$146,MATCH($A39,'Eurostat EB TJ GWh'!$A$2:$A$146,0),MATCH(AR$3,'Eurostat EB TJ GWh'!$A$2:$BV$2,0))</f>
        <v>0</v>
      </c>
      <c r="AS39" s="17">
        <f>INDEX('Eurostat EB TJ GWh'!$A$2:$BV$146,MATCH($A39,'Eurostat EB TJ GWh'!$A$2:$A$146,0),MATCH(AS$3,'Eurostat EB TJ GWh'!$A$2:$BV$2,0))</f>
        <v>0</v>
      </c>
      <c r="AT39" s="17">
        <f>INDEX('Eurostat EB TJ GWh'!$A$2:$BV$146,MATCH($A39,'Eurostat EB TJ GWh'!$A$2:$A$146,0),MATCH(AT$3,'Eurostat EB TJ GWh'!$A$2:$BV$2,0))</f>
        <v>0</v>
      </c>
      <c r="AU39" s="17">
        <f>INDEX('Eurostat EB TJ GWh'!$A$2:$BV$146,MATCH($A39,'Eurostat EB TJ GWh'!$A$2:$A$146,0),MATCH(AU$3,'Eurostat EB TJ GWh'!$A$2:$BV$2,0))</f>
        <v>9718.2240000000002</v>
      </c>
      <c r="AV39" s="17">
        <f>INDEX('Eurostat EB TJ GWh'!$A$2:$BV$146,MATCH($A39,'Eurostat EB TJ GWh'!$A$2:$A$146,0),MATCH(AV$2,'Eurostat EB TJ GWh'!$A$2:$BV$2,0))+INDEX('Eurostat EB TJ GWh'!$A$2:$BV$146,MATCH($A39,'Eurostat EB TJ GWh'!$A$2:$A$146,0),MATCH(AV$3,'Eurostat EB TJ GWh'!$A$2:$BV$2,0))</f>
        <v>0</v>
      </c>
      <c r="AW39" s="17">
        <f>INDEX('Eurostat EB TJ GWh'!$A$2:$BV$146,MATCH($A39,'Eurostat EB TJ GWh'!$A$2:$A$146,0),MATCH(AW$2,'Eurostat EB TJ GWh'!$A$2:$BV$2,0))+INDEX('Eurostat EB TJ GWh'!$A$2:$BV$146,MATCH($A39,'Eurostat EB TJ GWh'!$A$2:$A$146,0),MATCH(AW$3,'Eurostat EB TJ GWh'!$A$2:$BV$2,0))</f>
        <v>0</v>
      </c>
      <c r="AX39" s="17">
        <f>INDEX('Eurostat EB TJ GWh'!$A$2:$BV$146,MATCH($A39,'Eurostat EB TJ GWh'!$A$2:$A$146,0),MATCH(AX$3,'Eurostat EB TJ GWh'!$A$2:$BV$2,0))</f>
        <v>0</v>
      </c>
      <c r="AY39" s="72">
        <v>0</v>
      </c>
      <c r="AZ39" s="17">
        <f>INDEX('Eurostat EB TJ GWh'!$A$2:$BV$146,MATCH($A39,'Eurostat EB TJ GWh'!$A$2:$A$146,0),MATCH(AZ$3,'Eurostat EB TJ GWh'!$A$2:$BV$2,0))</f>
        <v>0</v>
      </c>
      <c r="BA39" s="72">
        <v>0</v>
      </c>
      <c r="BB39" s="72">
        <v>0</v>
      </c>
      <c r="BC39" s="17">
        <f>INDEX('Eurostat EB TJ GWh'!$A$2:$BV$146,MATCH($A39,'Eurostat EB TJ GWh'!$A$2:$A$146,0),MATCH(BC$3,'Eurostat EB TJ GWh'!$A$2:$BV$2,0))</f>
        <v>0</v>
      </c>
      <c r="BD39" s="17">
        <f>INDEX('Eurostat EB TJ GWh'!$A$2:$BV$146,MATCH($A39,'Eurostat EB TJ GWh'!$A$2:$A$146,0),MATCH(BD$3,'Eurostat EB TJ GWh'!$A$2:$BV$2,0))</f>
        <v>0</v>
      </c>
      <c r="BE39" s="17">
        <f>INDEX('Eurostat EB TJ GWh'!$A$2:$BV$146,MATCH($A39,'Eurostat EB TJ GWh'!$A$2:$A$146,0),MATCH(BE$3,'Eurostat EB TJ GWh'!$A$2:$BV$2,0))</f>
        <v>0</v>
      </c>
      <c r="BF39" s="17">
        <f>INDEX('Eurostat EB TJ GWh'!$A$2:$BV$146,MATCH($A39,'Eurostat EB TJ GWh'!$A$2:$A$146,0),MATCH(BF$3,'Eurostat EB TJ GWh'!$A$2:$BV$2,0))</f>
        <v>0</v>
      </c>
      <c r="BG39" s="17">
        <f>INDEX('Eurostat EB TJ GWh'!$A$2:$BV$146,MATCH($A39,'Eurostat EB TJ GWh'!$A$2:$A$146,0),MATCH(BG$3,'Eurostat EB TJ GWh'!$A$2:$BV$2,0))</f>
        <v>0</v>
      </c>
      <c r="BH39" s="17">
        <f>INDEX('Eurostat EB TJ GWh'!$A$2:$BV$146,MATCH($A39,'Eurostat EB TJ GWh'!$A$2:$A$146,0),MATCH(BH$3,'Eurostat EB TJ GWh'!$A$2:$BV$2,0))</f>
        <v>0</v>
      </c>
      <c r="BI39" s="17">
        <f>INDEX('Eurostat EB TJ GWh'!$A$2:$BV$146,MATCH($A39,'Eurostat EB TJ GWh'!$A$2:$A$146,0),MATCH(BI$3,'Eurostat EB TJ GWh'!$A$2:$BV$2,0))</f>
        <v>0</v>
      </c>
      <c r="BJ39" s="72">
        <v>0</v>
      </c>
      <c r="BK39" s="17">
        <f>INDEX('Eurostat EB TJ GWh'!$A$2:$BV$146,MATCH($A39,'Eurostat EB TJ GWh'!$A$2:$A$146,0),MATCH(BK$3,'Eurostat EB TJ GWh'!$A$2:$BV$2,0))</f>
        <v>0</v>
      </c>
      <c r="BL39" s="17">
        <f>INDEX('Eurostat EB TJ GWh'!$A$2:$BV$146,MATCH($A39,'Eurostat EB TJ GWh'!$A$2:$A$146,0),MATCH(BL$3,'Eurostat EB TJ GWh'!$A$2:$BV$2,0))</f>
        <v>0</v>
      </c>
      <c r="BM39" s="17">
        <f>INDEX('Eurostat EB TJ GWh'!$A$2:$BV$146,MATCH($A39,'Eurostat EB TJ GWh'!$A$2:$A$146,0),MATCH(BM$3,'Eurostat EB TJ GWh'!$A$2:$BV$2,0))</f>
        <v>11332.406000000001</v>
      </c>
      <c r="BN39" s="17">
        <f>INDEX('Eurostat EB TJ GWh'!$A$2:$BV$146,MATCH($A39,'Eurostat EB TJ GWh'!$A$2:$A$146,0),MATCH(BN$3,'Eurostat EB TJ GWh'!$A$2:$BV$2,0))</f>
        <v>9718.2240000000002</v>
      </c>
    </row>
    <row r="40" spans="1:66" x14ac:dyDescent="0.2">
      <c r="A40" s="56" t="s">
        <v>229</v>
      </c>
      <c r="B40" s="65" t="s">
        <v>323</v>
      </c>
      <c r="C40" s="65" t="s">
        <v>323</v>
      </c>
      <c r="D40" s="57">
        <f>INDEX('Eurostat EB TJ GWh'!$A$2:$BV$146,MATCH($A40,'Eurostat EB TJ GWh'!$A$2:$A$146,0),MATCH(D$3,'Eurostat EB TJ GWh'!$A$2:$BV$2,0))</f>
        <v>0</v>
      </c>
      <c r="E40" s="57">
        <f>INDEX('Eurostat EB TJ GWh'!$A$2:$BV$146,MATCH($A40,'Eurostat EB TJ GWh'!$A$2:$A$146,0),MATCH(E$3,'Eurostat EB TJ GWh'!$A$2:$BV$2,0))</f>
        <v>0</v>
      </c>
      <c r="F40" s="57">
        <f>INDEX('Eurostat EB TJ GWh'!$A$2:$BV$146,MATCH($A40,'Eurostat EB TJ GWh'!$A$2:$A$146,0),MATCH(F$3,'Eurostat EB TJ GWh'!$A$2:$BV$2,0))</f>
        <v>0</v>
      </c>
      <c r="G40" s="57">
        <f>INDEX('Eurostat EB TJ GWh'!$A$2:$BV$146,MATCH($A40,'Eurostat EB TJ GWh'!$A$2:$A$146,0),MATCH(G$3,'Eurostat EB TJ GWh'!$A$2:$BV$2,0))</f>
        <v>0</v>
      </c>
      <c r="H40" s="57">
        <f>INDEX('Eurostat EB TJ GWh'!$A$2:$BV$146,MATCH($A40,'Eurostat EB TJ GWh'!$A$2:$A$146,0),MATCH(H$3,'Eurostat EB TJ GWh'!$A$2:$BV$2,0))</f>
        <v>0</v>
      </c>
      <c r="I40" s="57">
        <f>INDEX('Eurostat EB TJ GWh'!$A$2:$BV$146,MATCH($A40,'Eurostat EB TJ GWh'!$A$2:$A$146,0),MATCH(I$3,'Eurostat EB TJ GWh'!$A$2:$BV$2,0))</f>
        <v>0</v>
      </c>
      <c r="J40" s="57">
        <f>INDEX('Eurostat EB TJ GWh'!$A$2:$BV$146,MATCH($A40,'Eurostat EB TJ GWh'!$A$2:$A$146,0),MATCH(J$3,'Eurostat EB TJ GWh'!$A$2:$BV$2,0))</f>
        <v>0</v>
      </c>
      <c r="K40" s="57">
        <f>INDEX('Eurostat EB TJ GWh'!$A$2:$BV$146,MATCH($A40,'Eurostat EB TJ GWh'!$A$2:$A$146,0),MATCH(K$3,'Eurostat EB TJ GWh'!$A$2:$BV$2,0))</f>
        <v>0</v>
      </c>
      <c r="L40" s="57">
        <f>INDEX('Eurostat EB TJ GWh'!$A$2:$BV$146,MATCH($A40,'Eurostat EB TJ GWh'!$A$2:$A$146,0),MATCH(L$3,'Eurostat EB TJ GWh'!$A$2:$BV$2,0))</f>
        <v>0</v>
      </c>
      <c r="M40" s="57">
        <f>INDEX('Eurostat EB TJ GWh'!$A$2:$BV$146,MATCH($A40,'Eurostat EB TJ GWh'!$A$2:$A$146,0),MATCH(M$3,'Eurostat EB TJ GWh'!$A$2:$BV$2,0))</f>
        <v>0</v>
      </c>
      <c r="N40" s="57">
        <f>INDEX('Eurostat EB TJ GWh'!$A$2:$BV$146,MATCH($A40,'Eurostat EB TJ GWh'!$A$2:$A$146,0),MATCH(N$3,'Eurostat EB TJ GWh'!$A$2:$BV$2,0))</f>
        <v>0</v>
      </c>
      <c r="O40" s="57">
        <f>INDEX('Eurostat EB TJ GWh'!$A$2:$BV$146,MATCH($A40,'Eurostat EB TJ GWh'!$A$2:$A$146,0),MATCH(O$3,'Eurostat EB TJ GWh'!$A$2:$BV$2,0))</f>
        <v>0</v>
      </c>
      <c r="P40" s="57">
        <f>INDEX('Eurostat EB TJ GWh'!$A$2:$BV$146,MATCH($A40,'Eurostat EB TJ GWh'!$A$2:$A$146,0),MATCH(P$3,'Eurostat EB TJ GWh'!$A$2:$BV$2,0))</f>
        <v>0</v>
      </c>
      <c r="Q40" s="57">
        <f>INDEX('Eurostat EB TJ GWh'!$A$2:$BV$146,MATCH($A40,'Eurostat EB TJ GWh'!$A$2:$A$146,0),MATCH(Q$3,'Eurostat EB TJ GWh'!$A$2:$BV$2,0))</f>
        <v>0</v>
      </c>
      <c r="R40" s="57">
        <f>INDEX('Eurostat EB TJ GWh'!$A$2:$BV$146,MATCH($A40,'Eurostat EB TJ GWh'!$A$2:$A$146,0),MATCH(R$2,'Eurostat EB TJ GWh'!$A$2:$BV$2,0))+INDEX('Eurostat EB TJ GWh'!$A$2:$BV$146,MATCH($A40,'Eurostat EB TJ GWh'!$A$2:$A$146,0),MATCH(R$3,'Eurostat EB TJ GWh'!$A$2:$BV$2,0))</f>
        <v>0</v>
      </c>
      <c r="S40" s="57">
        <f>INDEX('Eurostat EB TJ GWh'!$A$2:$BV$146,MATCH($A40,'Eurostat EB TJ GWh'!$A$2:$A$146,0),MATCH(S$3,'Eurostat EB TJ GWh'!$A$2:$BV$2,0))</f>
        <v>0</v>
      </c>
      <c r="T40" s="65" t="s">
        <v>323</v>
      </c>
      <c r="U40" s="57">
        <f>INDEX('Eurostat EB TJ GWh'!$A$2:$BV$146,MATCH($A40,'Eurostat EB TJ GWh'!$A$2:$A$146,0),MATCH(U$3,'Eurostat EB TJ GWh'!$A$2:$BV$2,0))</f>
        <v>0</v>
      </c>
      <c r="V40" s="57">
        <f>INDEX('Eurostat EB TJ GWh'!$A$2:$BV$146,MATCH($A40,'Eurostat EB TJ GWh'!$A$2:$A$146,0),MATCH(V$3,'Eurostat EB TJ GWh'!$A$2:$BV$2,0))</f>
        <v>0</v>
      </c>
      <c r="W40" s="57">
        <f>INDEX('Eurostat EB TJ GWh'!$A$2:$BV$146,MATCH($A40,'Eurostat EB TJ GWh'!$A$2:$A$146,0),MATCH(W$3,'Eurostat EB TJ GWh'!$A$2:$BV$2,0))</f>
        <v>0</v>
      </c>
      <c r="X40" s="57">
        <f>INDEX('Eurostat EB TJ GWh'!$A$2:$BV$146,MATCH($A40,'Eurostat EB TJ GWh'!$A$2:$A$146,0),MATCH(X$3,'Eurostat EB TJ GWh'!$A$2:$BV$2,0))</f>
        <v>0</v>
      </c>
      <c r="Y40" s="57">
        <f>INDEX('Eurostat EB TJ GWh'!$A$2:$BV$146,MATCH($A40,'Eurostat EB TJ GWh'!$A$2:$A$146,0),MATCH(Y$3,'Eurostat EB TJ GWh'!$A$2:$BV$2,0))</f>
        <v>0</v>
      </c>
      <c r="Z40" s="57">
        <f>INDEX('Eurostat EB TJ GWh'!$A$2:$BV$146,MATCH($A40,'Eurostat EB TJ GWh'!$A$2:$A$146,0),MATCH(Z$3,'Eurostat EB TJ GWh'!$A$2:$BV$2,0))</f>
        <v>0</v>
      </c>
      <c r="AA40" s="57">
        <f>INDEX('Eurostat EB TJ GWh'!$A$2:$BV$146,MATCH($A40,'Eurostat EB TJ GWh'!$A$2:$A$146,0),MATCH(AA$3,'Eurostat EB TJ GWh'!$A$2:$BV$2,0))</f>
        <v>0</v>
      </c>
      <c r="AB40" s="57">
        <f>INDEX('Eurostat EB TJ GWh'!$A$2:$BV$146,MATCH($A40,'Eurostat EB TJ GWh'!$A$2:$A$146,0),MATCH(AB$3,'Eurostat EB TJ GWh'!$A$2:$BV$2,0))</f>
        <v>0</v>
      </c>
      <c r="AC40" s="57">
        <f>INDEX('Eurostat EB TJ GWh'!$A$2:$BV$146,MATCH($A40,'Eurostat EB TJ GWh'!$A$2:$A$146,0),MATCH(AC$3,'Eurostat EB TJ GWh'!$A$2:$BV$2,0))</f>
        <v>0</v>
      </c>
      <c r="AD40" s="57">
        <f>INDEX('Eurostat EB TJ GWh'!$A$2:$BV$146,MATCH($A40,'Eurostat EB TJ GWh'!$A$2:$A$146,0),MATCH(AD$3,'Eurostat EB TJ GWh'!$A$2:$BV$2,0))</f>
        <v>0</v>
      </c>
      <c r="AE40" s="57">
        <f>INDEX('Eurostat EB TJ GWh'!$A$2:$BV$146,MATCH($A40,'Eurostat EB TJ GWh'!$A$2:$A$146,0),MATCH(AE$3,'Eurostat EB TJ GWh'!$A$2:$BV$2,0))</f>
        <v>0</v>
      </c>
      <c r="AF40" s="57">
        <f>INDEX('Eurostat EB TJ GWh'!$A$2:$BV$146,MATCH($A40,'Eurostat EB TJ GWh'!$A$2:$A$146,0),MATCH(AF$3,'Eurostat EB TJ GWh'!$A$2:$BV$2,0))</f>
        <v>0</v>
      </c>
      <c r="AG40" s="57">
        <f>INDEX('Eurostat EB TJ GWh'!$A$2:$BV$146,MATCH($A40,'Eurostat EB TJ GWh'!$A$2:$A$146,0),MATCH(AG$3,'Eurostat EB TJ GWh'!$A$2:$BV$2,0))</f>
        <v>0</v>
      </c>
      <c r="AH40" s="57">
        <f>INDEX('Eurostat EB TJ GWh'!$A$2:$BV$146,MATCH($A40,'Eurostat EB TJ GWh'!$A$2:$A$146,0),MATCH(AH$3,'Eurostat EB TJ GWh'!$A$2:$BV$2,0))</f>
        <v>0</v>
      </c>
      <c r="AI40" s="57">
        <f>INDEX('Eurostat EB TJ GWh'!$A$2:$BV$146,MATCH($A40,'Eurostat EB TJ GWh'!$A$2:$A$146,0),MATCH(AI$3,'Eurostat EB TJ GWh'!$A$2:$BV$2,0))</f>
        <v>0</v>
      </c>
      <c r="AJ40" s="57">
        <f>INDEX('Eurostat EB TJ GWh'!$A$2:$BV$146,MATCH($A40,'Eurostat EB TJ GWh'!$A$2:$A$146,0),MATCH(AJ$3,'Eurostat EB TJ GWh'!$A$2:$BV$2,0))</f>
        <v>0</v>
      </c>
      <c r="AK40" s="57">
        <f>INDEX('Eurostat EB TJ GWh'!$A$2:$BV$146,MATCH($A40,'Eurostat EB TJ GWh'!$A$2:$A$146,0),MATCH(AK$3,'Eurostat EB TJ GWh'!$A$2:$BV$2,0))</f>
        <v>0</v>
      </c>
      <c r="AL40" s="57">
        <f>INDEX('Eurostat EB TJ GWh'!$A$2:$BV$146,MATCH($A40,'Eurostat EB TJ GWh'!$A$2:$A$146,0),MATCH(AL$3,'Eurostat EB TJ GWh'!$A$2:$BV$2,0))</f>
        <v>0</v>
      </c>
      <c r="AM40" s="57">
        <f>INDEX('Eurostat EB TJ GWh'!$A$2:$BV$146,MATCH($A40,'Eurostat EB TJ GWh'!$A$2:$A$146,0),MATCH(AM$3,'Eurostat EB TJ GWh'!$A$2:$BV$2,0))</f>
        <v>0</v>
      </c>
      <c r="AN40" s="57">
        <f>INDEX('Eurostat EB TJ GWh'!$A$2:$BV$146,MATCH($A40,'Eurostat EB TJ GWh'!$A$2:$A$146,0),MATCH(AN$3,'Eurostat EB TJ GWh'!$A$2:$BV$2,0))</f>
        <v>0</v>
      </c>
      <c r="AO40" s="57">
        <f>INDEX('Eurostat EB TJ GWh'!$A$2:$BV$146,MATCH($A40,'Eurostat EB TJ GWh'!$A$2:$A$146,0),MATCH(AO$3,'Eurostat EB TJ GWh'!$A$2:$BV$2,0))</f>
        <v>0</v>
      </c>
      <c r="AP40" s="57">
        <f>INDEX('Eurostat EB TJ GWh'!$A$2:$BV$146,MATCH($A40,'Eurostat EB TJ GWh'!$A$2:$A$146,0),MATCH(AP$3,'Eurostat EB TJ GWh'!$A$2:$BV$2,0))</f>
        <v>0</v>
      </c>
      <c r="AQ40" s="57">
        <f>INDEX('Eurostat EB TJ GWh'!$A$2:$BV$146,MATCH($A40,'Eurostat EB TJ GWh'!$A$2:$A$146,0),MATCH(AQ$3,'Eurostat EB TJ GWh'!$A$2:$BV$2,0))</f>
        <v>0</v>
      </c>
      <c r="AR40" s="57">
        <f>INDEX('Eurostat EB TJ GWh'!$A$2:$BV$146,MATCH($A40,'Eurostat EB TJ GWh'!$A$2:$A$146,0),MATCH(AR$3,'Eurostat EB TJ GWh'!$A$2:$BV$2,0))</f>
        <v>0</v>
      </c>
      <c r="AS40" s="57">
        <f>INDEX('Eurostat EB TJ GWh'!$A$2:$BV$146,MATCH($A40,'Eurostat EB TJ GWh'!$A$2:$A$146,0),MATCH(AS$3,'Eurostat EB TJ GWh'!$A$2:$BV$2,0))</f>
        <v>0</v>
      </c>
      <c r="AT40" s="57">
        <f>INDEX('Eurostat EB TJ GWh'!$A$2:$BV$146,MATCH($A40,'Eurostat EB TJ GWh'!$A$2:$A$146,0),MATCH(AT$3,'Eurostat EB TJ GWh'!$A$2:$BV$2,0))</f>
        <v>0</v>
      </c>
      <c r="AU40" s="57">
        <f>INDEX('Eurostat EB TJ GWh'!$A$2:$BV$146,MATCH($A40,'Eurostat EB TJ GWh'!$A$2:$A$146,0),MATCH(AU$3,'Eurostat EB TJ GWh'!$A$2:$BV$2,0))</f>
        <v>0</v>
      </c>
      <c r="AV40" s="57">
        <f>INDEX('Eurostat EB TJ GWh'!$A$2:$BV$146,MATCH($A40,'Eurostat EB TJ GWh'!$A$2:$A$146,0),MATCH(AV$2,'Eurostat EB TJ GWh'!$A$2:$BV$2,0))+INDEX('Eurostat EB TJ GWh'!$A$2:$BV$146,MATCH($A40,'Eurostat EB TJ GWh'!$A$2:$A$146,0),MATCH(AV$3,'Eurostat EB TJ GWh'!$A$2:$BV$2,0))</f>
        <v>14734.195</v>
      </c>
      <c r="AW40" s="57">
        <f>INDEX('Eurostat EB TJ GWh'!$A$2:$BV$146,MATCH($A40,'Eurostat EB TJ GWh'!$A$2:$A$146,0),MATCH(AW$2,'Eurostat EB TJ GWh'!$A$2:$BV$2,0))+INDEX('Eurostat EB TJ GWh'!$A$2:$BV$146,MATCH($A40,'Eurostat EB TJ GWh'!$A$2:$A$146,0),MATCH(AW$3,'Eurostat EB TJ GWh'!$A$2:$BV$2,0))</f>
        <v>32145.925999999999</v>
      </c>
      <c r="AX40" s="57">
        <f>INDEX('Eurostat EB TJ GWh'!$A$2:$BV$146,MATCH($A40,'Eurostat EB TJ GWh'!$A$2:$A$146,0),MATCH(AX$3,'Eurostat EB TJ GWh'!$A$2:$BV$2,0))</f>
        <v>0</v>
      </c>
      <c r="AY40" s="65">
        <v>0</v>
      </c>
      <c r="AZ40" s="57">
        <f>INDEX('Eurostat EB TJ GWh'!$A$2:$BV$146,MATCH($A40,'Eurostat EB TJ GWh'!$A$2:$A$146,0),MATCH(AZ$3,'Eurostat EB TJ GWh'!$A$2:$BV$2,0))</f>
        <v>0</v>
      </c>
      <c r="BA40" s="65">
        <v>0</v>
      </c>
      <c r="BB40" s="65">
        <v>0</v>
      </c>
      <c r="BC40" s="57">
        <f>INDEX('Eurostat EB TJ GWh'!$A$2:$BV$146,MATCH($A40,'Eurostat EB TJ GWh'!$A$2:$A$146,0),MATCH(BC$3,'Eurostat EB TJ GWh'!$A$2:$BV$2,0))</f>
        <v>0</v>
      </c>
      <c r="BD40" s="57">
        <f>INDEX('Eurostat EB TJ GWh'!$A$2:$BV$146,MATCH($A40,'Eurostat EB TJ GWh'!$A$2:$A$146,0),MATCH(BD$3,'Eurostat EB TJ GWh'!$A$2:$BV$2,0))</f>
        <v>0</v>
      </c>
      <c r="BE40" s="57">
        <f>INDEX('Eurostat EB TJ GWh'!$A$2:$BV$146,MATCH($A40,'Eurostat EB TJ GWh'!$A$2:$A$146,0),MATCH(BE$3,'Eurostat EB TJ GWh'!$A$2:$BV$2,0))</f>
        <v>0</v>
      </c>
      <c r="BF40" s="57">
        <f>INDEX('Eurostat EB TJ GWh'!$A$2:$BV$146,MATCH($A40,'Eurostat EB TJ GWh'!$A$2:$A$146,0),MATCH(BF$3,'Eurostat EB TJ GWh'!$A$2:$BV$2,0))</f>
        <v>0</v>
      </c>
      <c r="BG40" s="57">
        <f>INDEX('Eurostat EB TJ GWh'!$A$2:$BV$146,MATCH($A40,'Eurostat EB TJ GWh'!$A$2:$A$146,0),MATCH(BG$3,'Eurostat EB TJ GWh'!$A$2:$BV$2,0))</f>
        <v>0</v>
      </c>
      <c r="BH40" s="57">
        <f>INDEX('Eurostat EB TJ GWh'!$A$2:$BV$146,MATCH($A40,'Eurostat EB TJ GWh'!$A$2:$A$146,0),MATCH(BH$3,'Eurostat EB TJ GWh'!$A$2:$BV$2,0))</f>
        <v>0</v>
      </c>
      <c r="BI40" s="57">
        <f>INDEX('Eurostat EB TJ GWh'!$A$2:$BV$146,MATCH($A40,'Eurostat EB TJ GWh'!$A$2:$A$146,0),MATCH(BI$3,'Eurostat EB TJ GWh'!$A$2:$BV$2,0))</f>
        <v>0</v>
      </c>
      <c r="BJ40" s="65">
        <v>0</v>
      </c>
      <c r="BK40" s="57">
        <f>INDEX('Eurostat EB TJ GWh'!$A$2:$BV$146,MATCH($A40,'Eurostat EB TJ GWh'!$A$2:$A$146,0),MATCH(BK$3,'Eurostat EB TJ GWh'!$A$2:$BV$2,0))</f>
        <v>0</v>
      </c>
      <c r="BL40" s="57">
        <f>INDEX('Eurostat EB TJ GWh'!$A$2:$BV$146,MATCH($A40,'Eurostat EB TJ GWh'!$A$2:$A$146,0),MATCH(BL$3,'Eurostat EB TJ GWh'!$A$2:$BV$2,0))</f>
        <v>0</v>
      </c>
      <c r="BM40" s="57">
        <f>INDEX('Eurostat EB TJ GWh'!$A$2:$BV$146,MATCH($A40,'Eurostat EB TJ GWh'!$A$2:$A$146,0),MATCH(BM$3,'Eurostat EB TJ GWh'!$A$2:$BV$2,0))</f>
        <v>46880.120999999999</v>
      </c>
      <c r="BN40" s="57">
        <f>INDEX('Eurostat EB TJ GWh'!$A$2:$BV$146,MATCH($A40,'Eurostat EB TJ GWh'!$A$2:$A$146,0),MATCH(BN$3,'Eurostat EB TJ GWh'!$A$2:$BV$2,0))</f>
        <v>46880.120999999999</v>
      </c>
    </row>
    <row r="41" spans="1:66" x14ac:dyDescent="0.2">
      <c r="A41" s="56" t="s">
        <v>230</v>
      </c>
      <c r="B41" s="65" t="s">
        <v>323</v>
      </c>
      <c r="C41" s="65" t="s">
        <v>323</v>
      </c>
      <c r="D41" s="17">
        <f>INDEX('Eurostat EB TJ GWh'!$A$2:$BV$146,MATCH($A41,'Eurostat EB TJ GWh'!$A$2:$A$146,0),MATCH(D$3,'Eurostat EB TJ GWh'!$A$2:$BV$2,0))</f>
        <v>0</v>
      </c>
      <c r="E41" s="17">
        <f>INDEX('Eurostat EB TJ GWh'!$A$2:$BV$146,MATCH($A41,'Eurostat EB TJ GWh'!$A$2:$A$146,0),MATCH(E$3,'Eurostat EB TJ GWh'!$A$2:$BV$2,0))</f>
        <v>0</v>
      </c>
      <c r="F41" s="17">
        <f>INDEX('Eurostat EB TJ GWh'!$A$2:$BV$146,MATCH($A41,'Eurostat EB TJ GWh'!$A$2:$A$146,0),MATCH(F$3,'Eurostat EB TJ GWh'!$A$2:$BV$2,0))</f>
        <v>0</v>
      </c>
      <c r="G41" s="17">
        <f>INDEX('Eurostat EB TJ GWh'!$A$2:$BV$146,MATCH($A41,'Eurostat EB TJ GWh'!$A$2:$A$146,0),MATCH(G$3,'Eurostat EB TJ GWh'!$A$2:$BV$2,0))</f>
        <v>0</v>
      </c>
      <c r="H41" s="17">
        <f>INDEX('Eurostat EB TJ GWh'!$A$2:$BV$146,MATCH($A41,'Eurostat EB TJ GWh'!$A$2:$A$146,0),MATCH(H$3,'Eurostat EB TJ GWh'!$A$2:$BV$2,0))</f>
        <v>0</v>
      </c>
      <c r="I41" s="17">
        <f>INDEX('Eurostat EB TJ GWh'!$A$2:$BV$146,MATCH($A41,'Eurostat EB TJ GWh'!$A$2:$A$146,0),MATCH(I$3,'Eurostat EB TJ GWh'!$A$2:$BV$2,0))</f>
        <v>0</v>
      </c>
      <c r="J41" s="17">
        <f>INDEX('Eurostat EB TJ GWh'!$A$2:$BV$146,MATCH($A41,'Eurostat EB TJ GWh'!$A$2:$A$146,0),MATCH(J$3,'Eurostat EB TJ GWh'!$A$2:$BV$2,0))</f>
        <v>0</v>
      </c>
      <c r="K41" s="17">
        <f>INDEX('Eurostat EB TJ GWh'!$A$2:$BV$146,MATCH($A41,'Eurostat EB TJ GWh'!$A$2:$A$146,0),MATCH(K$3,'Eurostat EB TJ GWh'!$A$2:$BV$2,0))</f>
        <v>0</v>
      </c>
      <c r="L41" s="17">
        <f>INDEX('Eurostat EB TJ GWh'!$A$2:$BV$146,MATCH($A41,'Eurostat EB TJ GWh'!$A$2:$A$146,0),MATCH(L$3,'Eurostat EB TJ GWh'!$A$2:$BV$2,0))</f>
        <v>0</v>
      </c>
      <c r="M41" s="17">
        <f>INDEX('Eurostat EB TJ GWh'!$A$2:$BV$146,MATCH($A41,'Eurostat EB TJ GWh'!$A$2:$A$146,0),MATCH(M$3,'Eurostat EB TJ GWh'!$A$2:$BV$2,0))</f>
        <v>0</v>
      </c>
      <c r="N41" s="17">
        <f>INDEX('Eurostat EB TJ GWh'!$A$2:$BV$146,MATCH($A41,'Eurostat EB TJ GWh'!$A$2:$A$146,0),MATCH(N$3,'Eurostat EB TJ GWh'!$A$2:$BV$2,0))</f>
        <v>0</v>
      </c>
      <c r="O41" s="17">
        <f>INDEX('Eurostat EB TJ GWh'!$A$2:$BV$146,MATCH($A41,'Eurostat EB TJ GWh'!$A$2:$A$146,0),MATCH(O$3,'Eurostat EB TJ GWh'!$A$2:$BV$2,0))</f>
        <v>0</v>
      </c>
      <c r="P41" s="17">
        <f>INDEX('Eurostat EB TJ GWh'!$A$2:$BV$146,MATCH($A41,'Eurostat EB TJ GWh'!$A$2:$A$146,0),MATCH(P$3,'Eurostat EB TJ GWh'!$A$2:$BV$2,0))</f>
        <v>0</v>
      </c>
      <c r="Q41" s="17">
        <f>INDEX('Eurostat EB TJ GWh'!$A$2:$BV$146,MATCH($A41,'Eurostat EB TJ GWh'!$A$2:$A$146,0),MATCH(Q$3,'Eurostat EB TJ GWh'!$A$2:$BV$2,0))</f>
        <v>0</v>
      </c>
      <c r="R41" s="17">
        <f>INDEX('Eurostat EB TJ GWh'!$A$2:$BV$146,MATCH($A41,'Eurostat EB TJ GWh'!$A$2:$A$146,0),MATCH(R$2,'Eurostat EB TJ GWh'!$A$2:$BV$2,0))+INDEX('Eurostat EB TJ GWh'!$A$2:$BV$146,MATCH($A41,'Eurostat EB TJ GWh'!$A$2:$A$146,0),MATCH(R$3,'Eurostat EB TJ GWh'!$A$2:$BV$2,0))</f>
        <v>0</v>
      </c>
      <c r="S41" s="17">
        <f>INDEX('Eurostat EB TJ GWh'!$A$2:$BV$146,MATCH($A41,'Eurostat EB TJ GWh'!$A$2:$A$146,0),MATCH(S$3,'Eurostat EB TJ GWh'!$A$2:$BV$2,0))</f>
        <v>0</v>
      </c>
      <c r="T41" s="65" t="s">
        <v>323</v>
      </c>
      <c r="U41" s="17">
        <f>INDEX('Eurostat EB TJ GWh'!$A$2:$BV$146,MATCH($A41,'Eurostat EB TJ GWh'!$A$2:$A$146,0),MATCH(U$3,'Eurostat EB TJ GWh'!$A$2:$BV$2,0))</f>
        <v>0</v>
      </c>
      <c r="V41" s="17">
        <f>INDEX('Eurostat EB TJ GWh'!$A$2:$BV$146,MATCH($A41,'Eurostat EB TJ GWh'!$A$2:$A$146,0),MATCH(V$3,'Eurostat EB TJ GWh'!$A$2:$BV$2,0))</f>
        <v>0</v>
      </c>
      <c r="W41" s="17">
        <f>INDEX('Eurostat EB TJ GWh'!$A$2:$BV$146,MATCH($A41,'Eurostat EB TJ GWh'!$A$2:$A$146,0),MATCH(W$3,'Eurostat EB TJ GWh'!$A$2:$BV$2,0))</f>
        <v>0</v>
      </c>
      <c r="X41" s="17">
        <f>INDEX('Eurostat EB TJ GWh'!$A$2:$BV$146,MATCH($A41,'Eurostat EB TJ GWh'!$A$2:$A$146,0),MATCH(X$3,'Eurostat EB TJ GWh'!$A$2:$BV$2,0))</f>
        <v>0</v>
      </c>
      <c r="Y41" s="17">
        <f>INDEX('Eurostat EB TJ GWh'!$A$2:$BV$146,MATCH($A41,'Eurostat EB TJ GWh'!$A$2:$A$146,0),MATCH(Y$3,'Eurostat EB TJ GWh'!$A$2:$BV$2,0))</f>
        <v>0</v>
      </c>
      <c r="Z41" s="17">
        <f>INDEX('Eurostat EB TJ GWh'!$A$2:$BV$146,MATCH($A41,'Eurostat EB TJ GWh'!$A$2:$A$146,0),MATCH(Z$3,'Eurostat EB TJ GWh'!$A$2:$BV$2,0))</f>
        <v>0</v>
      </c>
      <c r="AA41" s="17">
        <f>INDEX('Eurostat EB TJ GWh'!$A$2:$BV$146,MATCH($A41,'Eurostat EB TJ GWh'!$A$2:$A$146,0),MATCH(AA$3,'Eurostat EB TJ GWh'!$A$2:$BV$2,0))</f>
        <v>0</v>
      </c>
      <c r="AB41" s="17">
        <f>INDEX('Eurostat EB TJ GWh'!$A$2:$BV$146,MATCH($A41,'Eurostat EB TJ GWh'!$A$2:$A$146,0),MATCH(AB$3,'Eurostat EB TJ GWh'!$A$2:$BV$2,0))</f>
        <v>0</v>
      </c>
      <c r="AC41" s="17">
        <f>INDEX('Eurostat EB TJ GWh'!$A$2:$BV$146,MATCH($A41,'Eurostat EB TJ GWh'!$A$2:$A$146,0),MATCH(AC$3,'Eurostat EB TJ GWh'!$A$2:$BV$2,0))</f>
        <v>0</v>
      </c>
      <c r="AD41" s="17">
        <f>INDEX('Eurostat EB TJ GWh'!$A$2:$BV$146,MATCH($A41,'Eurostat EB TJ GWh'!$A$2:$A$146,0),MATCH(AD$3,'Eurostat EB TJ GWh'!$A$2:$BV$2,0))</f>
        <v>0</v>
      </c>
      <c r="AE41" s="17">
        <f>INDEX('Eurostat EB TJ GWh'!$A$2:$BV$146,MATCH($A41,'Eurostat EB TJ GWh'!$A$2:$A$146,0),MATCH(AE$3,'Eurostat EB TJ GWh'!$A$2:$BV$2,0))</f>
        <v>0</v>
      </c>
      <c r="AF41" s="17">
        <f>INDEX('Eurostat EB TJ GWh'!$A$2:$BV$146,MATCH($A41,'Eurostat EB TJ GWh'!$A$2:$A$146,0),MATCH(AF$3,'Eurostat EB TJ GWh'!$A$2:$BV$2,0))</f>
        <v>0</v>
      </c>
      <c r="AG41" s="17">
        <f>INDEX('Eurostat EB TJ GWh'!$A$2:$BV$146,MATCH($A41,'Eurostat EB TJ GWh'!$A$2:$A$146,0),MATCH(AG$3,'Eurostat EB TJ GWh'!$A$2:$BV$2,0))</f>
        <v>0</v>
      </c>
      <c r="AH41" s="17">
        <f>INDEX('Eurostat EB TJ GWh'!$A$2:$BV$146,MATCH($A41,'Eurostat EB TJ GWh'!$A$2:$A$146,0),MATCH(AH$3,'Eurostat EB TJ GWh'!$A$2:$BV$2,0))</f>
        <v>0</v>
      </c>
      <c r="AI41" s="17">
        <f>INDEX('Eurostat EB TJ GWh'!$A$2:$BV$146,MATCH($A41,'Eurostat EB TJ GWh'!$A$2:$A$146,0),MATCH(AI$3,'Eurostat EB TJ GWh'!$A$2:$BV$2,0))</f>
        <v>0</v>
      </c>
      <c r="AJ41" s="17">
        <f>INDEX('Eurostat EB TJ GWh'!$A$2:$BV$146,MATCH($A41,'Eurostat EB TJ GWh'!$A$2:$A$146,0),MATCH(AJ$3,'Eurostat EB TJ GWh'!$A$2:$BV$2,0))</f>
        <v>0</v>
      </c>
      <c r="AK41" s="17">
        <f>INDEX('Eurostat EB TJ GWh'!$A$2:$BV$146,MATCH($A41,'Eurostat EB TJ GWh'!$A$2:$A$146,0),MATCH(AK$3,'Eurostat EB TJ GWh'!$A$2:$BV$2,0))</f>
        <v>0</v>
      </c>
      <c r="AL41" s="17">
        <f>INDEX('Eurostat EB TJ GWh'!$A$2:$BV$146,MATCH($A41,'Eurostat EB TJ GWh'!$A$2:$A$146,0),MATCH(AL$3,'Eurostat EB TJ GWh'!$A$2:$BV$2,0))</f>
        <v>0</v>
      </c>
      <c r="AM41" s="17">
        <f>INDEX('Eurostat EB TJ GWh'!$A$2:$BV$146,MATCH($A41,'Eurostat EB TJ GWh'!$A$2:$A$146,0),MATCH(AM$3,'Eurostat EB TJ GWh'!$A$2:$BV$2,0))</f>
        <v>0</v>
      </c>
      <c r="AN41" s="17">
        <f>INDEX('Eurostat EB TJ GWh'!$A$2:$BV$146,MATCH($A41,'Eurostat EB TJ GWh'!$A$2:$A$146,0),MATCH(AN$3,'Eurostat EB TJ GWh'!$A$2:$BV$2,0))</f>
        <v>0</v>
      </c>
      <c r="AO41" s="17">
        <f>INDEX('Eurostat EB TJ GWh'!$A$2:$BV$146,MATCH($A41,'Eurostat EB TJ GWh'!$A$2:$A$146,0),MATCH(AO$3,'Eurostat EB TJ GWh'!$A$2:$BV$2,0))</f>
        <v>0</v>
      </c>
      <c r="AP41" s="17">
        <f>INDEX('Eurostat EB TJ GWh'!$A$2:$BV$146,MATCH($A41,'Eurostat EB TJ GWh'!$A$2:$A$146,0),MATCH(AP$3,'Eurostat EB TJ GWh'!$A$2:$BV$2,0))</f>
        <v>0</v>
      </c>
      <c r="AQ41" s="17">
        <f>INDEX('Eurostat EB TJ GWh'!$A$2:$BV$146,MATCH($A41,'Eurostat EB TJ GWh'!$A$2:$A$146,0),MATCH(AQ$3,'Eurostat EB TJ GWh'!$A$2:$BV$2,0))</f>
        <v>0</v>
      </c>
      <c r="AR41" s="17">
        <f>INDEX('Eurostat EB TJ GWh'!$A$2:$BV$146,MATCH($A41,'Eurostat EB TJ GWh'!$A$2:$A$146,0),MATCH(AR$3,'Eurostat EB TJ GWh'!$A$2:$BV$2,0))</f>
        <v>0</v>
      </c>
      <c r="AS41" s="17">
        <f>INDEX('Eurostat EB TJ GWh'!$A$2:$BV$146,MATCH($A41,'Eurostat EB TJ GWh'!$A$2:$A$146,0),MATCH(AS$3,'Eurostat EB TJ GWh'!$A$2:$BV$2,0))</f>
        <v>0</v>
      </c>
      <c r="AT41" s="17">
        <f>INDEX('Eurostat EB TJ GWh'!$A$2:$BV$146,MATCH($A41,'Eurostat EB TJ GWh'!$A$2:$A$146,0),MATCH(AT$3,'Eurostat EB TJ GWh'!$A$2:$BV$2,0))</f>
        <v>0</v>
      </c>
      <c r="AU41" s="17">
        <f>INDEX('Eurostat EB TJ GWh'!$A$2:$BV$146,MATCH($A41,'Eurostat EB TJ GWh'!$A$2:$A$146,0),MATCH(AU$3,'Eurostat EB TJ GWh'!$A$2:$BV$2,0))</f>
        <v>0</v>
      </c>
      <c r="AV41" s="17">
        <f>INDEX('Eurostat EB TJ GWh'!$A$2:$BV$146,MATCH($A41,'Eurostat EB TJ GWh'!$A$2:$A$146,0),MATCH(AV$2,'Eurostat EB TJ GWh'!$A$2:$BV$2,0))+INDEX('Eurostat EB TJ GWh'!$A$2:$BV$146,MATCH($A41,'Eurostat EB TJ GWh'!$A$2:$A$146,0),MATCH(AV$3,'Eurostat EB TJ GWh'!$A$2:$BV$2,0))</f>
        <v>0</v>
      </c>
      <c r="AW41" s="17">
        <f>INDEX('Eurostat EB TJ GWh'!$A$2:$BV$146,MATCH($A41,'Eurostat EB TJ GWh'!$A$2:$A$146,0),MATCH(AW$2,'Eurostat EB TJ GWh'!$A$2:$BV$2,0))+INDEX('Eurostat EB TJ GWh'!$A$2:$BV$146,MATCH($A41,'Eurostat EB TJ GWh'!$A$2:$A$146,0),MATCH(AW$3,'Eurostat EB TJ GWh'!$A$2:$BV$2,0))</f>
        <v>0</v>
      </c>
      <c r="AX41" s="17">
        <f>INDEX('Eurostat EB TJ GWh'!$A$2:$BV$146,MATCH($A41,'Eurostat EB TJ GWh'!$A$2:$A$146,0),MATCH(AX$3,'Eurostat EB TJ GWh'!$A$2:$BV$2,0))</f>
        <v>0</v>
      </c>
      <c r="AY41" s="65">
        <v>0</v>
      </c>
      <c r="AZ41" s="17">
        <f>INDEX('Eurostat EB TJ GWh'!$A$2:$BV$146,MATCH($A41,'Eurostat EB TJ GWh'!$A$2:$A$146,0),MATCH(AZ$3,'Eurostat EB TJ GWh'!$A$2:$BV$2,0))</f>
        <v>0</v>
      </c>
      <c r="BA41" s="65">
        <v>0</v>
      </c>
      <c r="BB41" s="65">
        <v>0</v>
      </c>
      <c r="BC41" s="17">
        <f>INDEX('Eurostat EB TJ GWh'!$A$2:$BV$146,MATCH($A41,'Eurostat EB TJ GWh'!$A$2:$A$146,0),MATCH(BC$3,'Eurostat EB TJ GWh'!$A$2:$BV$2,0))</f>
        <v>0</v>
      </c>
      <c r="BD41" s="17">
        <f>INDEX('Eurostat EB TJ GWh'!$A$2:$BV$146,MATCH($A41,'Eurostat EB TJ GWh'!$A$2:$A$146,0),MATCH(BD$3,'Eurostat EB TJ GWh'!$A$2:$BV$2,0))</f>
        <v>0</v>
      </c>
      <c r="BE41" s="17">
        <f>INDEX('Eurostat EB TJ GWh'!$A$2:$BV$146,MATCH($A41,'Eurostat EB TJ GWh'!$A$2:$A$146,0),MATCH(BE$3,'Eurostat EB TJ GWh'!$A$2:$BV$2,0))</f>
        <v>0</v>
      </c>
      <c r="BF41" s="17">
        <f>INDEX('Eurostat EB TJ GWh'!$A$2:$BV$146,MATCH($A41,'Eurostat EB TJ GWh'!$A$2:$A$146,0),MATCH(BF$3,'Eurostat EB TJ GWh'!$A$2:$BV$2,0))</f>
        <v>0</v>
      </c>
      <c r="BG41" s="17">
        <f>INDEX('Eurostat EB TJ GWh'!$A$2:$BV$146,MATCH($A41,'Eurostat EB TJ GWh'!$A$2:$A$146,0),MATCH(BG$3,'Eurostat EB TJ GWh'!$A$2:$BV$2,0))</f>
        <v>0</v>
      </c>
      <c r="BH41" s="17">
        <f>INDEX('Eurostat EB TJ GWh'!$A$2:$BV$146,MATCH($A41,'Eurostat EB TJ GWh'!$A$2:$A$146,0),MATCH(BH$3,'Eurostat EB TJ GWh'!$A$2:$BV$2,0))</f>
        <v>0</v>
      </c>
      <c r="BI41" s="17">
        <f>INDEX('Eurostat EB TJ GWh'!$A$2:$BV$146,MATCH($A41,'Eurostat EB TJ GWh'!$A$2:$A$146,0),MATCH(BI$3,'Eurostat EB TJ GWh'!$A$2:$BV$2,0))</f>
        <v>0</v>
      </c>
      <c r="BJ41" s="65">
        <v>0</v>
      </c>
      <c r="BK41" s="17">
        <f>INDEX('Eurostat EB TJ GWh'!$A$2:$BV$146,MATCH($A41,'Eurostat EB TJ GWh'!$A$2:$A$146,0),MATCH(BK$3,'Eurostat EB TJ GWh'!$A$2:$BV$2,0))</f>
        <v>0</v>
      </c>
      <c r="BL41" s="17">
        <f>INDEX('Eurostat EB TJ GWh'!$A$2:$BV$146,MATCH($A41,'Eurostat EB TJ GWh'!$A$2:$A$146,0),MATCH(BL$3,'Eurostat EB TJ GWh'!$A$2:$BV$2,0))</f>
        <v>0</v>
      </c>
      <c r="BM41" s="17">
        <f>INDEX('Eurostat EB TJ GWh'!$A$2:$BV$146,MATCH($A41,'Eurostat EB TJ GWh'!$A$2:$A$146,0),MATCH(BM$3,'Eurostat EB TJ GWh'!$A$2:$BV$2,0))</f>
        <v>0</v>
      </c>
      <c r="BN41" s="17">
        <f>INDEX('Eurostat EB TJ GWh'!$A$2:$BV$146,MATCH($A41,'Eurostat EB TJ GWh'!$A$2:$A$146,0),MATCH(BN$3,'Eurostat EB TJ GWh'!$A$2:$BV$2,0))</f>
        <v>0</v>
      </c>
    </row>
    <row r="42" spans="1:66" x14ac:dyDescent="0.2">
      <c r="A42" s="56" t="s">
        <v>231</v>
      </c>
      <c r="B42" s="65" t="s">
        <v>323</v>
      </c>
      <c r="C42" s="65" t="s">
        <v>323</v>
      </c>
      <c r="D42" s="57">
        <f>INDEX('Eurostat EB TJ GWh'!$A$2:$BV$146,MATCH($A42,'Eurostat EB TJ GWh'!$A$2:$A$146,0),MATCH(D$3,'Eurostat EB TJ GWh'!$A$2:$BV$2,0))</f>
        <v>0</v>
      </c>
      <c r="E42" s="57">
        <f>INDEX('Eurostat EB TJ GWh'!$A$2:$BV$146,MATCH($A42,'Eurostat EB TJ GWh'!$A$2:$A$146,0),MATCH(E$3,'Eurostat EB TJ GWh'!$A$2:$BV$2,0))</f>
        <v>0</v>
      </c>
      <c r="F42" s="57">
        <f>INDEX('Eurostat EB TJ GWh'!$A$2:$BV$146,MATCH($A42,'Eurostat EB TJ GWh'!$A$2:$A$146,0),MATCH(F$3,'Eurostat EB TJ GWh'!$A$2:$BV$2,0))</f>
        <v>0</v>
      </c>
      <c r="G42" s="57">
        <f>INDEX('Eurostat EB TJ GWh'!$A$2:$BV$146,MATCH($A42,'Eurostat EB TJ GWh'!$A$2:$A$146,0),MATCH(G$3,'Eurostat EB TJ GWh'!$A$2:$BV$2,0))</f>
        <v>0</v>
      </c>
      <c r="H42" s="57">
        <f>INDEX('Eurostat EB TJ GWh'!$A$2:$BV$146,MATCH($A42,'Eurostat EB TJ GWh'!$A$2:$A$146,0),MATCH(H$3,'Eurostat EB TJ GWh'!$A$2:$BV$2,0))</f>
        <v>0</v>
      </c>
      <c r="I42" s="57">
        <f>INDEX('Eurostat EB TJ GWh'!$A$2:$BV$146,MATCH($A42,'Eurostat EB TJ GWh'!$A$2:$A$146,0),MATCH(I$3,'Eurostat EB TJ GWh'!$A$2:$BV$2,0))</f>
        <v>0</v>
      </c>
      <c r="J42" s="57">
        <f>INDEX('Eurostat EB TJ GWh'!$A$2:$BV$146,MATCH($A42,'Eurostat EB TJ GWh'!$A$2:$A$146,0),MATCH(J$3,'Eurostat EB TJ GWh'!$A$2:$BV$2,0))</f>
        <v>0</v>
      </c>
      <c r="K42" s="57">
        <f>INDEX('Eurostat EB TJ GWh'!$A$2:$BV$146,MATCH($A42,'Eurostat EB TJ GWh'!$A$2:$A$146,0),MATCH(K$3,'Eurostat EB TJ GWh'!$A$2:$BV$2,0))</f>
        <v>0</v>
      </c>
      <c r="L42" s="57">
        <f>INDEX('Eurostat EB TJ GWh'!$A$2:$BV$146,MATCH($A42,'Eurostat EB TJ GWh'!$A$2:$A$146,0),MATCH(L$3,'Eurostat EB TJ GWh'!$A$2:$BV$2,0))</f>
        <v>0</v>
      </c>
      <c r="M42" s="57">
        <f>INDEX('Eurostat EB TJ GWh'!$A$2:$BV$146,MATCH($A42,'Eurostat EB TJ GWh'!$A$2:$A$146,0),MATCH(M$3,'Eurostat EB TJ GWh'!$A$2:$BV$2,0))</f>
        <v>0</v>
      </c>
      <c r="N42" s="57">
        <f>INDEX('Eurostat EB TJ GWh'!$A$2:$BV$146,MATCH($A42,'Eurostat EB TJ GWh'!$A$2:$A$146,0),MATCH(N$3,'Eurostat EB TJ GWh'!$A$2:$BV$2,0))</f>
        <v>0</v>
      </c>
      <c r="O42" s="57">
        <f>INDEX('Eurostat EB TJ GWh'!$A$2:$BV$146,MATCH($A42,'Eurostat EB TJ GWh'!$A$2:$A$146,0),MATCH(O$3,'Eurostat EB TJ GWh'!$A$2:$BV$2,0))</f>
        <v>0</v>
      </c>
      <c r="P42" s="57">
        <f>INDEX('Eurostat EB TJ GWh'!$A$2:$BV$146,MATCH($A42,'Eurostat EB TJ GWh'!$A$2:$A$146,0),MATCH(P$3,'Eurostat EB TJ GWh'!$A$2:$BV$2,0))</f>
        <v>0</v>
      </c>
      <c r="Q42" s="57">
        <f>INDEX('Eurostat EB TJ GWh'!$A$2:$BV$146,MATCH($A42,'Eurostat EB TJ GWh'!$A$2:$A$146,0),MATCH(Q$3,'Eurostat EB TJ GWh'!$A$2:$BV$2,0))</f>
        <v>0</v>
      </c>
      <c r="R42" s="57">
        <f>INDEX('Eurostat EB TJ GWh'!$A$2:$BV$146,MATCH($A42,'Eurostat EB TJ GWh'!$A$2:$A$146,0),MATCH(R$2,'Eurostat EB TJ GWh'!$A$2:$BV$2,0))+INDEX('Eurostat EB TJ GWh'!$A$2:$BV$146,MATCH($A42,'Eurostat EB TJ GWh'!$A$2:$A$146,0),MATCH(R$3,'Eurostat EB TJ GWh'!$A$2:$BV$2,0))</f>
        <v>0</v>
      </c>
      <c r="S42" s="57">
        <f>INDEX('Eurostat EB TJ GWh'!$A$2:$BV$146,MATCH($A42,'Eurostat EB TJ GWh'!$A$2:$A$146,0),MATCH(S$3,'Eurostat EB TJ GWh'!$A$2:$BV$2,0))</f>
        <v>0</v>
      </c>
      <c r="T42" s="65" t="s">
        <v>323</v>
      </c>
      <c r="U42" s="57">
        <f>INDEX('Eurostat EB TJ GWh'!$A$2:$BV$146,MATCH($A42,'Eurostat EB TJ GWh'!$A$2:$A$146,0),MATCH(U$3,'Eurostat EB TJ GWh'!$A$2:$BV$2,0))</f>
        <v>0</v>
      </c>
      <c r="V42" s="57">
        <f>INDEX('Eurostat EB TJ GWh'!$A$2:$BV$146,MATCH($A42,'Eurostat EB TJ GWh'!$A$2:$A$146,0),MATCH(V$3,'Eurostat EB TJ GWh'!$A$2:$BV$2,0))</f>
        <v>0</v>
      </c>
      <c r="W42" s="57">
        <f>INDEX('Eurostat EB TJ GWh'!$A$2:$BV$146,MATCH($A42,'Eurostat EB TJ GWh'!$A$2:$A$146,0),MATCH(W$3,'Eurostat EB TJ GWh'!$A$2:$BV$2,0))</f>
        <v>0</v>
      </c>
      <c r="X42" s="57">
        <f>INDEX('Eurostat EB TJ GWh'!$A$2:$BV$146,MATCH($A42,'Eurostat EB TJ GWh'!$A$2:$A$146,0),MATCH(X$3,'Eurostat EB TJ GWh'!$A$2:$BV$2,0))</f>
        <v>0</v>
      </c>
      <c r="Y42" s="57">
        <f>INDEX('Eurostat EB TJ GWh'!$A$2:$BV$146,MATCH($A42,'Eurostat EB TJ GWh'!$A$2:$A$146,0),MATCH(Y$3,'Eurostat EB TJ GWh'!$A$2:$BV$2,0))</f>
        <v>0</v>
      </c>
      <c r="Z42" s="57">
        <f>INDEX('Eurostat EB TJ GWh'!$A$2:$BV$146,MATCH($A42,'Eurostat EB TJ GWh'!$A$2:$A$146,0),MATCH(Z$3,'Eurostat EB TJ GWh'!$A$2:$BV$2,0))</f>
        <v>0</v>
      </c>
      <c r="AA42" s="57">
        <f>INDEX('Eurostat EB TJ GWh'!$A$2:$BV$146,MATCH($A42,'Eurostat EB TJ GWh'!$A$2:$A$146,0),MATCH(AA$3,'Eurostat EB TJ GWh'!$A$2:$BV$2,0))</f>
        <v>0</v>
      </c>
      <c r="AB42" s="57">
        <f>INDEX('Eurostat EB TJ GWh'!$A$2:$BV$146,MATCH($A42,'Eurostat EB TJ GWh'!$A$2:$A$146,0),MATCH(AB$3,'Eurostat EB TJ GWh'!$A$2:$BV$2,0))</f>
        <v>0</v>
      </c>
      <c r="AC42" s="57">
        <f>INDEX('Eurostat EB TJ GWh'!$A$2:$BV$146,MATCH($A42,'Eurostat EB TJ GWh'!$A$2:$A$146,0),MATCH(AC$3,'Eurostat EB TJ GWh'!$A$2:$BV$2,0))</f>
        <v>0</v>
      </c>
      <c r="AD42" s="57">
        <f>INDEX('Eurostat EB TJ GWh'!$A$2:$BV$146,MATCH($A42,'Eurostat EB TJ GWh'!$A$2:$A$146,0),MATCH(AD$3,'Eurostat EB TJ GWh'!$A$2:$BV$2,0))</f>
        <v>0</v>
      </c>
      <c r="AE42" s="57">
        <f>INDEX('Eurostat EB TJ GWh'!$A$2:$BV$146,MATCH($A42,'Eurostat EB TJ GWh'!$A$2:$A$146,0),MATCH(AE$3,'Eurostat EB TJ GWh'!$A$2:$BV$2,0))</f>
        <v>0</v>
      </c>
      <c r="AF42" s="57">
        <f>INDEX('Eurostat EB TJ GWh'!$A$2:$BV$146,MATCH($A42,'Eurostat EB TJ GWh'!$A$2:$A$146,0),MATCH(AF$3,'Eurostat EB TJ GWh'!$A$2:$BV$2,0))</f>
        <v>0</v>
      </c>
      <c r="AG42" s="57">
        <f>INDEX('Eurostat EB TJ GWh'!$A$2:$BV$146,MATCH($A42,'Eurostat EB TJ GWh'!$A$2:$A$146,0),MATCH(AG$3,'Eurostat EB TJ GWh'!$A$2:$BV$2,0))</f>
        <v>0</v>
      </c>
      <c r="AH42" s="57">
        <f>INDEX('Eurostat EB TJ GWh'!$A$2:$BV$146,MATCH($A42,'Eurostat EB TJ GWh'!$A$2:$A$146,0),MATCH(AH$3,'Eurostat EB TJ GWh'!$A$2:$BV$2,0))</f>
        <v>0</v>
      </c>
      <c r="AI42" s="57">
        <f>INDEX('Eurostat EB TJ GWh'!$A$2:$BV$146,MATCH($A42,'Eurostat EB TJ GWh'!$A$2:$A$146,0),MATCH(AI$3,'Eurostat EB TJ GWh'!$A$2:$BV$2,0))</f>
        <v>0</v>
      </c>
      <c r="AJ42" s="57">
        <f>INDEX('Eurostat EB TJ GWh'!$A$2:$BV$146,MATCH($A42,'Eurostat EB TJ GWh'!$A$2:$A$146,0),MATCH(AJ$3,'Eurostat EB TJ GWh'!$A$2:$BV$2,0))</f>
        <v>0</v>
      </c>
      <c r="AK42" s="57">
        <f>INDEX('Eurostat EB TJ GWh'!$A$2:$BV$146,MATCH($A42,'Eurostat EB TJ GWh'!$A$2:$A$146,0),MATCH(AK$3,'Eurostat EB TJ GWh'!$A$2:$BV$2,0))</f>
        <v>0</v>
      </c>
      <c r="AL42" s="57">
        <f>INDEX('Eurostat EB TJ GWh'!$A$2:$BV$146,MATCH($A42,'Eurostat EB TJ GWh'!$A$2:$A$146,0),MATCH(AL$3,'Eurostat EB TJ GWh'!$A$2:$BV$2,0))</f>
        <v>0</v>
      </c>
      <c r="AM42" s="57">
        <f>INDEX('Eurostat EB TJ GWh'!$A$2:$BV$146,MATCH($A42,'Eurostat EB TJ GWh'!$A$2:$A$146,0),MATCH(AM$3,'Eurostat EB TJ GWh'!$A$2:$BV$2,0))</f>
        <v>0</v>
      </c>
      <c r="AN42" s="57">
        <f>INDEX('Eurostat EB TJ GWh'!$A$2:$BV$146,MATCH($A42,'Eurostat EB TJ GWh'!$A$2:$A$146,0),MATCH(AN$3,'Eurostat EB TJ GWh'!$A$2:$BV$2,0))</f>
        <v>0</v>
      </c>
      <c r="AO42" s="57">
        <f>INDEX('Eurostat EB TJ GWh'!$A$2:$BV$146,MATCH($A42,'Eurostat EB TJ GWh'!$A$2:$A$146,0),MATCH(AO$3,'Eurostat EB TJ GWh'!$A$2:$BV$2,0))</f>
        <v>0</v>
      </c>
      <c r="AP42" s="57">
        <f>INDEX('Eurostat EB TJ GWh'!$A$2:$BV$146,MATCH($A42,'Eurostat EB TJ GWh'!$A$2:$A$146,0),MATCH(AP$3,'Eurostat EB TJ GWh'!$A$2:$BV$2,0))</f>
        <v>0</v>
      </c>
      <c r="AQ42" s="57">
        <f>INDEX('Eurostat EB TJ GWh'!$A$2:$BV$146,MATCH($A42,'Eurostat EB TJ GWh'!$A$2:$A$146,0),MATCH(AQ$3,'Eurostat EB TJ GWh'!$A$2:$BV$2,0))</f>
        <v>0</v>
      </c>
      <c r="AR42" s="57">
        <f>INDEX('Eurostat EB TJ GWh'!$A$2:$BV$146,MATCH($A42,'Eurostat EB TJ GWh'!$A$2:$A$146,0),MATCH(AR$3,'Eurostat EB TJ GWh'!$A$2:$BV$2,0))</f>
        <v>0</v>
      </c>
      <c r="AS42" s="57">
        <f>INDEX('Eurostat EB TJ GWh'!$A$2:$BV$146,MATCH($A42,'Eurostat EB TJ GWh'!$A$2:$A$146,0),MATCH(AS$3,'Eurostat EB TJ GWh'!$A$2:$BV$2,0))</f>
        <v>0</v>
      </c>
      <c r="AT42" s="57">
        <f>INDEX('Eurostat EB TJ GWh'!$A$2:$BV$146,MATCH($A42,'Eurostat EB TJ GWh'!$A$2:$A$146,0),MATCH(AT$3,'Eurostat EB TJ GWh'!$A$2:$BV$2,0))</f>
        <v>0</v>
      </c>
      <c r="AU42" s="57">
        <f>INDEX('Eurostat EB TJ GWh'!$A$2:$BV$146,MATCH($A42,'Eurostat EB TJ GWh'!$A$2:$A$146,0),MATCH(AU$3,'Eurostat EB TJ GWh'!$A$2:$BV$2,0))</f>
        <v>0</v>
      </c>
      <c r="AV42" s="57">
        <f>INDEX('Eurostat EB TJ GWh'!$A$2:$BV$146,MATCH($A42,'Eurostat EB TJ GWh'!$A$2:$A$146,0),MATCH(AV$2,'Eurostat EB TJ GWh'!$A$2:$BV$2,0))+INDEX('Eurostat EB TJ GWh'!$A$2:$BV$146,MATCH($A42,'Eurostat EB TJ GWh'!$A$2:$A$146,0),MATCH(AV$3,'Eurostat EB TJ GWh'!$A$2:$BV$2,0))</f>
        <v>0</v>
      </c>
      <c r="AW42" s="57">
        <f>INDEX('Eurostat EB TJ GWh'!$A$2:$BV$146,MATCH($A42,'Eurostat EB TJ GWh'!$A$2:$A$146,0),MATCH(AW$2,'Eurostat EB TJ GWh'!$A$2:$BV$2,0))+INDEX('Eurostat EB TJ GWh'!$A$2:$BV$146,MATCH($A42,'Eurostat EB TJ GWh'!$A$2:$A$146,0),MATCH(AW$3,'Eurostat EB TJ GWh'!$A$2:$BV$2,0))</f>
        <v>0</v>
      </c>
      <c r="AX42" s="57">
        <f>INDEX('Eurostat EB TJ GWh'!$A$2:$BV$146,MATCH($A42,'Eurostat EB TJ GWh'!$A$2:$A$146,0),MATCH(AX$3,'Eurostat EB TJ GWh'!$A$2:$BV$2,0))</f>
        <v>0</v>
      </c>
      <c r="AY42" s="72">
        <v>0</v>
      </c>
      <c r="AZ42" s="57">
        <f>INDEX('Eurostat EB TJ GWh'!$A$2:$BV$146,MATCH($A42,'Eurostat EB TJ GWh'!$A$2:$A$146,0),MATCH(AZ$3,'Eurostat EB TJ GWh'!$A$2:$BV$2,0))</f>
        <v>0</v>
      </c>
      <c r="BA42" s="72">
        <v>0</v>
      </c>
      <c r="BB42" s="72">
        <v>0</v>
      </c>
      <c r="BC42" s="57">
        <f>INDEX('Eurostat EB TJ GWh'!$A$2:$BV$146,MATCH($A42,'Eurostat EB TJ GWh'!$A$2:$A$146,0),MATCH(BC$3,'Eurostat EB TJ GWh'!$A$2:$BV$2,0))</f>
        <v>0</v>
      </c>
      <c r="BD42" s="57">
        <f>INDEX('Eurostat EB TJ GWh'!$A$2:$BV$146,MATCH($A42,'Eurostat EB TJ GWh'!$A$2:$A$146,0),MATCH(BD$3,'Eurostat EB TJ GWh'!$A$2:$BV$2,0))</f>
        <v>0</v>
      </c>
      <c r="BE42" s="57">
        <f>INDEX('Eurostat EB TJ GWh'!$A$2:$BV$146,MATCH($A42,'Eurostat EB TJ GWh'!$A$2:$A$146,0),MATCH(BE$3,'Eurostat EB TJ GWh'!$A$2:$BV$2,0))</f>
        <v>0</v>
      </c>
      <c r="BF42" s="57">
        <f>INDEX('Eurostat EB TJ GWh'!$A$2:$BV$146,MATCH($A42,'Eurostat EB TJ GWh'!$A$2:$A$146,0),MATCH(BF$3,'Eurostat EB TJ GWh'!$A$2:$BV$2,0))</f>
        <v>0</v>
      </c>
      <c r="BG42" s="57">
        <f>INDEX('Eurostat EB TJ GWh'!$A$2:$BV$146,MATCH($A42,'Eurostat EB TJ GWh'!$A$2:$A$146,0),MATCH(BG$3,'Eurostat EB TJ GWh'!$A$2:$BV$2,0))</f>
        <v>0</v>
      </c>
      <c r="BH42" s="57">
        <f>INDEX('Eurostat EB TJ GWh'!$A$2:$BV$146,MATCH($A42,'Eurostat EB TJ GWh'!$A$2:$A$146,0),MATCH(BH$3,'Eurostat EB TJ GWh'!$A$2:$BV$2,0))</f>
        <v>0</v>
      </c>
      <c r="BI42" s="57">
        <f>INDEX('Eurostat EB TJ GWh'!$A$2:$BV$146,MATCH($A42,'Eurostat EB TJ GWh'!$A$2:$A$146,0),MATCH(BI$3,'Eurostat EB TJ GWh'!$A$2:$BV$2,0))</f>
        <v>0</v>
      </c>
      <c r="BJ42" s="72">
        <v>0</v>
      </c>
      <c r="BK42" s="57">
        <f>INDEX('Eurostat EB TJ GWh'!$A$2:$BV$146,MATCH($A42,'Eurostat EB TJ GWh'!$A$2:$A$146,0),MATCH(BK$3,'Eurostat EB TJ GWh'!$A$2:$BV$2,0))</f>
        <v>0</v>
      </c>
      <c r="BL42" s="57">
        <f>INDEX('Eurostat EB TJ GWh'!$A$2:$BV$146,MATCH($A42,'Eurostat EB TJ GWh'!$A$2:$A$146,0),MATCH(BL$3,'Eurostat EB TJ GWh'!$A$2:$BV$2,0))</f>
        <v>0</v>
      </c>
      <c r="BM42" s="57">
        <f>INDEX('Eurostat EB TJ GWh'!$A$2:$BV$146,MATCH($A42,'Eurostat EB TJ GWh'!$A$2:$A$146,0),MATCH(BM$3,'Eurostat EB TJ GWh'!$A$2:$BV$2,0))</f>
        <v>0</v>
      </c>
      <c r="BN42" s="57">
        <f>INDEX('Eurostat EB TJ GWh'!$A$2:$BV$146,MATCH($A42,'Eurostat EB TJ GWh'!$A$2:$A$146,0),MATCH(BN$3,'Eurostat EB TJ GWh'!$A$2:$BV$2,0))</f>
        <v>0</v>
      </c>
    </row>
    <row r="43" spans="1:66" x14ac:dyDescent="0.2">
      <c r="A43" s="56" t="s">
        <v>232</v>
      </c>
      <c r="B43" s="65" t="s">
        <v>323</v>
      </c>
      <c r="C43" s="65" t="s">
        <v>323</v>
      </c>
      <c r="D43" s="17">
        <f>INDEX('Eurostat EB TJ GWh'!$A$2:$BV$146,MATCH($A43,'Eurostat EB TJ GWh'!$A$2:$A$146,0),MATCH(D$3,'Eurostat EB TJ GWh'!$A$2:$BV$2,0))</f>
        <v>0</v>
      </c>
      <c r="E43" s="17">
        <f>INDEX('Eurostat EB TJ GWh'!$A$2:$BV$146,MATCH($A43,'Eurostat EB TJ GWh'!$A$2:$A$146,0),MATCH(E$3,'Eurostat EB TJ GWh'!$A$2:$BV$2,0))</f>
        <v>0</v>
      </c>
      <c r="F43" s="17">
        <f>INDEX('Eurostat EB TJ GWh'!$A$2:$BV$146,MATCH($A43,'Eurostat EB TJ GWh'!$A$2:$A$146,0),MATCH(F$3,'Eurostat EB TJ GWh'!$A$2:$BV$2,0))</f>
        <v>0</v>
      </c>
      <c r="G43" s="17">
        <f>INDEX('Eurostat EB TJ GWh'!$A$2:$BV$146,MATCH($A43,'Eurostat EB TJ GWh'!$A$2:$A$146,0),MATCH(G$3,'Eurostat EB TJ GWh'!$A$2:$BV$2,0))</f>
        <v>0</v>
      </c>
      <c r="H43" s="17">
        <f>INDEX('Eurostat EB TJ GWh'!$A$2:$BV$146,MATCH($A43,'Eurostat EB TJ GWh'!$A$2:$A$146,0),MATCH(H$3,'Eurostat EB TJ GWh'!$A$2:$BV$2,0))</f>
        <v>0</v>
      </c>
      <c r="I43" s="17">
        <f>INDEX('Eurostat EB TJ GWh'!$A$2:$BV$146,MATCH($A43,'Eurostat EB TJ GWh'!$A$2:$A$146,0),MATCH(I$3,'Eurostat EB TJ GWh'!$A$2:$BV$2,0))</f>
        <v>0</v>
      </c>
      <c r="J43" s="17">
        <f>INDEX('Eurostat EB TJ GWh'!$A$2:$BV$146,MATCH($A43,'Eurostat EB TJ GWh'!$A$2:$A$146,0),MATCH(J$3,'Eurostat EB TJ GWh'!$A$2:$BV$2,0))</f>
        <v>0</v>
      </c>
      <c r="K43" s="17">
        <f>INDEX('Eurostat EB TJ GWh'!$A$2:$BV$146,MATCH($A43,'Eurostat EB TJ GWh'!$A$2:$A$146,0),MATCH(K$3,'Eurostat EB TJ GWh'!$A$2:$BV$2,0))</f>
        <v>0</v>
      </c>
      <c r="L43" s="17">
        <f>INDEX('Eurostat EB TJ GWh'!$A$2:$BV$146,MATCH($A43,'Eurostat EB TJ GWh'!$A$2:$A$146,0),MATCH(L$3,'Eurostat EB TJ GWh'!$A$2:$BV$2,0))</f>
        <v>0</v>
      </c>
      <c r="M43" s="17">
        <f>INDEX('Eurostat EB TJ GWh'!$A$2:$BV$146,MATCH($A43,'Eurostat EB TJ GWh'!$A$2:$A$146,0),MATCH(M$3,'Eurostat EB TJ GWh'!$A$2:$BV$2,0))</f>
        <v>0</v>
      </c>
      <c r="N43" s="17">
        <f>INDEX('Eurostat EB TJ GWh'!$A$2:$BV$146,MATCH($A43,'Eurostat EB TJ GWh'!$A$2:$A$146,0),MATCH(N$3,'Eurostat EB TJ GWh'!$A$2:$BV$2,0))</f>
        <v>0</v>
      </c>
      <c r="O43" s="17">
        <f>INDEX('Eurostat EB TJ GWh'!$A$2:$BV$146,MATCH($A43,'Eurostat EB TJ GWh'!$A$2:$A$146,0),MATCH(O$3,'Eurostat EB TJ GWh'!$A$2:$BV$2,0))</f>
        <v>0</v>
      </c>
      <c r="P43" s="17">
        <f>INDEX('Eurostat EB TJ GWh'!$A$2:$BV$146,MATCH($A43,'Eurostat EB TJ GWh'!$A$2:$A$146,0),MATCH(P$3,'Eurostat EB TJ GWh'!$A$2:$BV$2,0))</f>
        <v>0</v>
      </c>
      <c r="Q43" s="17">
        <f>INDEX('Eurostat EB TJ GWh'!$A$2:$BV$146,MATCH($A43,'Eurostat EB TJ GWh'!$A$2:$A$146,0),MATCH(Q$3,'Eurostat EB TJ GWh'!$A$2:$BV$2,0))</f>
        <v>0</v>
      </c>
      <c r="R43" s="17">
        <f>INDEX('Eurostat EB TJ GWh'!$A$2:$BV$146,MATCH($A43,'Eurostat EB TJ GWh'!$A$2:$A$146,0),MATCH(R$2,'Eurostat EB TJ GWh'!$A$2:$BV$2,0))+INDEX('Eurostat EB TJ GWh'!$A$2:$BV$146,MATCH($A43,'Eurostat EB TJ GWh'!$A$2:$A$146,0),MATCH(R$3,'Eurostat EB TJ GWh'!$A$2:$BV$2,0))</f>
        <v>0</v>
      </c>
      <c r="S43" s="17">
        <f>INDEX('Eurostat EB TJ GWh'!$A$2:$BV$146,MATCH($A43,'Eurostat EB TJ GWh'!$A$2:$A$146,0),MATCH(S$3,'Eurostat EB TJ GWh'!$A$2:$BV$2,0))</f>
        <v>0</v>
      </c>
      <c r="T43" s="65" t="s">
        <v>323</v>
      </c>
      <c r="U43" s="17">
        <f>INDEX('Eurostat EB TJ GWh'!$A$2:$BV$146,MATCH($A43,'Eurostat EB TJ GWh'!$A$2:$A$146,0),MATCH(U$3,'Eurostat EB TJ GWh'!$A$2:$BV$2,0))</f>
        <v>0</v>
      </c>
      <c r="V43" s="17">
        <f>INDEX('Eurostat EB TJ GWh'!$A$2:$BV$146,MATCH($A43,'Eurostat EB TJ GWh'!$A$2:$A$146,0),MATCH(V$3,'Eurostat EB TJ GWh'!$A$2:$BV$2,0))</f>
        <v>0</v>
      </c>
      <c r="W43" s="17">
        <f>INDEX('Eurostat EB TJ GWh'!$A$2:$BV$146,MATCH($A43,'Eurostat EB TJ GWh'!$A$2:$A$146,0),MATCH(W$3,'Eurostat EB TJ GWh'!$A$2:$BV$2,0))</f>
        <v>0</v>
      </c>
      <c r="X43" s="17">
        <f>INDEX('Eurostat EB TJ GWh'!$A$2:$BV$146,MATCH($A43,'Eurostat EB TJ GWh'!$A$2:$A$146,0),MATCH(X$3,'Eurostat EB TJ GWh'!$A$2:$BV$2,0))</f>
        <v>0</v>
      </c>
      <c r="Y43" s="17">
        <f>INDEX('Eurostat EB TJ GWh'!$A$2:$BV$146,MATCH($A43,'Eurostat EB TJ GWh'!$A$2:$A$146,0),MATCH(Y$3,'Eurostat EB TJ GWh'!$A$2:$BV$2,0))</f>
        <v>0</v>
      </c>
      <c r="Z43" s="17">
        <f>INDEX('Eurostat EB TJ GWh'!$A$2:$BV$146,MATCH($A43,'Eurostat EB TJ GWh'!$A$2:$A$146,0),MATCH(Z$3,'Eurostat EB TJ GWh'!$A$2:$BV$2,0))</f>
        <v>0</v>
      </c>
      <c r="AA43" s="17">
        <f>INDEX('Eurostat EB TJ GWh'!$A$2:$BV$146,MATCH($A43,'Eurostat EB TJ GWh'!$A$2:$A$146,0),MATCH(AA$3,'Eurostat EB TJ GWh'!$A$2:$BV$2,0))</f>
        <v>0</v>
      </c>
      <c r="AB43" s="17">
        <f>INDEX('Eurostat EB TJ GWh'!$A$2:$BV$146,MATCH($A43,'Eurostat EB TJ GWh'!$A$2:$A$146,0),MATCH(AB$3,'Eurostat EB TJ GWh'!$A$2:$BV$2,0))</f>
        <v>0</v>
      </c>
      <c r="AC43" s="17">
        <f>INDEX('Eurostat EB TJ GWh'!$A$2:$BV$146,MATCH($A43,'Eurostat EB TJ GWh'!$A$2:$A$146,0),MATCH(AC$3,'Eurostat EB TJ GWh'!$A$2:$BV$2,0))</f>
        <v>0</v>
      </c>
      <c r="AD43" s="17">
        <f>INDEX('Eurostat EB TJ GWh'!$A$2:$BV$146,MATCH($A43,'Eurostat EB TJ GWh'!$A$2:$A$146,0),MATCH(AD$3,'Eurostat EB TJ GWh'!$A$2:$BV$2,0))</f>
        <v>0</v>
      </c>
      <c r="AE43" s="17">
        <f>INDEX('Eurostat EB TJ GWh'!$A$2:$BV$146,MATCH($A43,'Eurostat EB TJ GWh'!$A$2:$A$146,0),MATCH(AE$3,'Eurostat EB TJ GWh'!$A$2:$BV$2,0))</f>
        <v>0</v>
      </c>
      <c r="AF43" s="17">
        <f>INDEX('Eurostat EB TJ GWh'!$A$2:$BV$146,MATCH($A43,'Eurostat EB TJ GWh'!$A$2:$A$146,0),MATCH(AF$3,'Eurostat EB TJ GWh'!$A$2:$BV$2,0))</f>
        <v>0</v>
      </c>
      <c r="AG43" s="17">
        <f>INDEX('Eurostat EB TJ GWh'!$A$2:$BV$146,MATCH($A43,'Eurostat EB TJ GWh'!$A$2:$A$146,0),MATCH(AG$3,'Eurostat EB TJ GWh'!$A$2:$BV$2,0))</f>
        <v>0</v>
      </c>
      <c r="AH43" s="17">
        <f>INDEX('Eurostat EB TJ GWh'!$A$2:$BV$146,MATCH($A43,'Eurostat EB TJ GWh'!$A$2:$A$146,0),MATCH(AH$3,'Eurostat EB TJ GWh'!$A$2:$BV$2,0))</f>
        <v>0</v>
      </c>
      <c r="AI43" s="17">
        <f>INDEX('Eurostat EB TJ GWh'!$A$2:$BV$146,MATCH($A43,'Eurostat EB TJ GWh'!$A$2:$A$146,0),MATCH(AI$3,'Eurostat EB TJ GWh'!$A$2:$BV$2,0))</f>
        <v>0</v>
      </c>
      <c r="AJ43" s="17">
        <f>INDEX('Eurostat EB TJ GWh'!$A$2:$BV$146,MATCH($A43,'Eurostat EB TJ GWh'!$A$2:$A$146,0),MATCH(AJ$3,'Eurostat EB TJ GWh'!$A$2:$BV$2,0))</f>
        <v>0</v>
      </c>
      <c r="AK43" s="17">
        <f>INDEX('Eurostat EB TJ GWh'!$A$2:$BV$146,MATCH($A43,'Eurostat EB TJ GWh'!$A$2:$A$146,0),MATCH(AK$3,'Eurostat EB TJ GWh'!$A$2:$BV$2,0))</f>
        <v>0</v>
      </c>
      <c r="AL43" s="17">
        <f>INDEX('Eurostat EB TJ GWh'!$A$2:$BV$146,MATCH($A43,'Eurostat EB TJ GWh'!$A$2:$A$146,0),MATCH(AL$3,'Eurostat EB TJ GWh'!$A$2:$BV$2,0))</f>
        <v>0</v>
      </c>
      <c r="AM43" s="17">
        <f>INDEX('Eurostat EB TJ GWh'!$A$2:$BV$146,MATCH($A43,'Eurostat EB TJ GWh'!$A$2:$A$146,0),MATCH(AM$3,'Eurostat EB TJ GWh'!$A$2:$BV$2,0))</f>
        <v>0</v>
      </c>
      <c r="AN43" s="17">
        <f>INDEX('Eurostat EB TJ GWh'!$A$2:$BV$146,MATCH($A43,'Eurostat EB TJ GWh'!$A$2:$A$146,0),MATCH(AN$3,'Eurostat EB TJ GWh'!$A$2:$BV$2,0))</f>
        <v>0</v>
      </c>
      <c r="AO43" s="17">
        <f>INDEX('Eurostat EB TJ GWh'!$A$2:$BV$146,MATCH($A43,'Eurostat EB TJ GWh'!$A$2:$A$146,0),MATCH(AO$3,'Eurostat EB TJ GWh'!$A$2:$BV$2,0))</f>
        <v>0</v>
      </c>
      <c r="AP43" s="17">
        <f>INDEX('Eurostat EB TJ GWh'!$A$2:$BV$146,MATCH($A43,'Eurostat EB TJ GWh'!$A$2:$A$146,0),MATCH(AP$3,'Eurostat EB TJ GWh'!$A$2:$BV$2,0))</f>
        <v>0</v>
      </c>
      <c r="AQ43" s="17">
        <f>INDEX('Eurostat EB TJ GWh'!$A$2:$BV$146,MATCH($A43,'Eurostat EB TJ GWh'!$A$2:$A$146,0),MATCH(AQ$3,'Eurostat EB TJ GWh'!$A$2:$BV$2,0))</f>
        <v>0</v>
      </c>
      <c r="AR43" s="17">
        <f>INDEX('Eurostat EB TJ GWh'!$A$2:$BV$146,MATCH($A43,'Eurostat EB TJ GWh'!$A$2:$A$146,0),MATCH(AR$3,'Eurostat EB TJ GWh'!$A$2:$BV$2,0))</f>
        <v>0</v>
      </c>
      <c r="AS43" s="17">
        <f>INDEX('Eurostat EB TJ GWh'!$A$2:$BV$146,MATCH($A43,'Eurostat EB TJ GWh'!$A$2:$A$146,0),MATCH(AS$3,'Eurostat EB TJ GWh'!$A$2:$BV$2,0))</f>
        <v>0</v>
      </c>
      <c r="AT43" s="17">
        <f>INDEX('Eurostat EB TJ GWh'!$A$2:$BV$146,MATCH($A43,'Eurostat EB TJ GWh'!$A$2:$A$146,0),MATCH(AT$3,'Eurostat EB TJ GWh'!$A$2:$BV$2,0))</f>
        <v>0</v>
      </c>
      <c r="AU43" s="17">
        <f>INDEX('Eurostat EB TJ GWh'!$A$2:$BV$146,MATCH($A43,'Eurostat EB TJ GWh'!$A$2:$A$146,0),MATCH(AU$3,'Eurostat EB TJ GWh'!$A$2:$BV$2,0))</f>
        <v>0</v>
      </c>
      <c r="AV43" s="17">
        <f>INDEX('Eurostat EB TJ GWh'!$A$2:$BV$146,MATCH($A43,'Eurostat EB TJ GWh'!$A$2:$A$146,0),MATCH(AV$2,'Eurostat EB TJ GWh'!$A$2:$BV$2,0))+INDEX('Eurostat EB TJ GWh'!$A$2:$BV$146,MATCH($A43,'Eurostat EB TJ GWh'!$A$2:$A$146,0),MATCH(AV$3,'Eurostat EB TJ GWh'!$A$2:$BV$2,0))</f>
        <v>0</v>
      </c>
      <c r="AW43" s="17">
        <f>INDEX('Eurostat EB TJ GWh'!$A$2:$BV$146,MATCH($A43,'Eurostat EB TJ GWh'!$A$2:$A$146,0),MATCH(AW$2,'Eurostat EB TJ GWh'!$A$2:$BV$2,0))+INDEX('Eurostat EB TJ GWh'!$A$2:$BV$146,MATCH($A43,'Eurostat EB TJ GWh'!$A$2:$A$146,0),MATCH(AW$3,'Eurostat EB TJ GWh'!$A$2:$BV$2,0))</f>
        <v>0</v>
      </c>
      <c r="AX43" s="17">
        <f>INDEX('Eurostat EB TJ GWh'!$A$2:$BV$146,MATCH($A43,'Eurostat EB TJ GWh'!$A$2:$A$146,0),MATCH(AX$3,'Eurostat EB TJ GWh'!$A$2:$BV$2,0))</f>
        <v>0</v>
      </c>
      <c r="AY43" s="65">
        <v>0</v>
      </c>
      <c r="AZ43" s="17">
        <f>INDEX('Eurostat EB TJ GWh'!$A$2:$BV$146,MATCH($A43,'Eurostat EB TJ GWh'!$A$2:$A$146,0),MATCH(AZ$3,'Eurostat EB TJ GWh'!$A$2:$BV$2,0))</f>
        <v>0</v>
      </c>
      <c r="BA43" s="65">
        <v>0</v>
      </c>
      <c r="BB43" s="65">
        <v>0</v>
      </c>
      <c r="BC43" s="17">
        <f>INDEX('Eurostat EB TJ GWh'!$A$2:$BV$146,MATCH($A43,'Eurostat EB TJ GWh'!$A$2:$A$146,0),MATCH(BC$3,'Eurostat EB TJ GWh'!$A$2:$BV$2,0))</f>
        <v>0</v>
      </c>
      <c r="BD43" s="17">
        <f>INDEX('Eurostat EB TJ GWh'!$A$2:$BV$146,MATCH($A43,'Eurostat EB TJ GWh'!$A$2:$A$146,0),MATCH(BD$3,'Eurostat EB TJ GWh'!$A$2:$BV$2,0))</f>
        <v>0</v>
      </c>
      <c r="BE43" s="17">
        <f>INDEX('Eurostat EB TJ GWh'!$A$2:$BV$146,MATCH($A43,'Eurostat EB TJ GWh'!$A$2:$A$146,0),MATCH(BE$3,'Eurostat EB TJ GWh'!$A$2:$BV$2,0))</f>
        <v>0</v>
      </c>
      <c r="BF43" s="17">
        <f>INDEX('Eurostat EB TJ GWh'!$A$2:$BV$146,MATCH($A43,'Eurostat EB TJ GWh'!$A$2:$A$146,0),MATCH(BF$3,'Eurostat EB TJ GWh'!$A$2:$BV$2,0))</f>
        <v>0</v>
      </c>
      <c r="BG43" s="17">
        <f>INDEX('Eurostat EB TJ GWh'!$A$2:$BV$146,MATCH($A43,'Eurostat EB TJ GWh'!$A$2:$A$146,0),MATCH(BG$3,'Eurostat EB TJ GWh'!$A$2:$BV$2,0))</f>
        <v>0</v>
      </c>
      <c r="BH43" s="17">
        <f>INDEX('Eurostat EB TJ GWh'!$A$2:$BV$146,MATCH($A43,'Eurostat EB TJ GWh'!$A$2:$A$146,0),MATCH(BH$3,'Eurostat EB TJ GWh'!$A$2:$BV$2,0))</f>
        <v>0</v>
      </c>
      <c r="BI43" s="17">
        <f>INDEX('Eurostat EB TJ GWh'!$A$2:$BV$146,MATCH($A43,'Eurostat EB TJ GWh'!$A$2:$A$146,0),MATCH(BI$3,'Eurostat EB TJ GWh'!$A$2:$BV$2,0))</f>
        <v>0</v>
      </c>
      <c r="BJ43" s="65">
        <v>0</v>
      </c>
      <c r="BK43" s="17">
        <f>INDEX('Eurostat EB TJ GWh'!$A$2:$BV$146,MATCH($A43,'Eurostat EB TJ GWh'!$A$2:$A$146,0),MATCH(BK$3,'Eurostat EB TJ GWh'!$A$2:$BV$2,0))</f>
        <v>0</v>
      </c>
      <c r="BL43" s="17">
        <f>INDEX('Eurostat EB TJ GWh'!$A$2:$BV$146,MATCH($A43,'Eurostat EB TJ GWh'!$A$2:$A$146,0),MATCH(BL$3,'Eurostat EB TJ GWh'!$A$2:$BV$2,0))</f>
        <v>0</v>
      </c>
      <c r="BM43" s="17">
        <f>INDEX('Eurostat EB TJ GWh'!$A$2:$BV$146,MATCH($A43,'Eurostat EB TJ GWh'!$A$2:$A$146,0),MATCH(BM$3,'Eurostat EB TJ GWh'!$A$2:$BV$2,0))</f>
        <v>0</v>
      </c>
      <c r="BN43" s="17">
        <f>INDEX('Eurostat EB TJ GWh'!$A$2:$BV$146,MATCH($A43,'Eurostat EB TJ GWh'!$A$2:$A$146,0),MATCH(BN$3,'Eurostat EB TJ GWh'!$A$2:$BV$2,0))</f>
        <v>0</v>
      </c>
    </row>
    <row r="44" spans="1:66" x14ac:dyDescent="0.2">
      <c r="A44" s="56" t="s">
        <v>93</v>
      </c>
      <c r="B44" s="65" t="s">
        <v>323</v>
      </c>
      <c r="C44" s="65" t="s">
        <v>323</v>
      </c>
      <c r="D44" s="57">
        <f>INDEX('Eurostat EB TJ GWh'!$A$2:$BV$146,MATCH($A44,'Eurostat EB TJ GWh'!$A$2:$A$146,0),MATCH(D$3,'Eurostat EB TJ GWh'!$A$2:$BV$2,0))</f>
        <v>0</v>
      </c>
      <c r="E44" s="57">
        <f>INDEX('Eurostat EB TJ GWh'!$A$2:$BV$146,MATCH($A44,'Eurostat EB TJ GWh'!$A$2:$A$146,0),MATCH(E$3,'Eurostat EB TJ GWh'!$A$2:$BV$2,0))</f>
        <v>0</v>
      </c>
      <c r="F44" s="57">
        <f>INDEX('Eurostat EB TJ GWh'!$A$2:$BV$146,MATCH($A44,'Eurostat EB TJ GWh'!$A$2:$A$146,0),MATCH(F$3,'Eurostat EB TJ GWh'!$A$2:$BV$2,0))</f>
        <v>0</v>
      </c>
      <c r="G44" s="57">
        <f>INDEX('Eurostat EB TJ GWh'!$A$2:$BV$146,MATCH($A44,'Eurostat EB TJ GWh'!$A$2:$A$146,0),MATCH(G$3,'Eurostat EB TJ GWh'!$A$2:$BV$2,0))</f>
        <v>0</v>
      </c>
      <c r="H44" s="57">
        <f>INDEX('Eurostat EB TJ GWh'!$A$2:$BV$146,MATCH($A44,'Eurostat EB TJ GWh'!$A$2:$A$146,0),MATCH(H$3,'Eurostat EB TJ GWh'!$A$2:$BV$2,0))</f>
        <v>0</v>
      </c>
      <c r="I44" s="57">
        <f>INDEX('Eurostat EB TJ GWh'!$A$2:$BV$146,MATCH($A44,'Eurostat EB TJ GWh'!$A$2:$A$146,0),MATCH(I$3,'Eurostat EB TJ GWh'!$A$2:$BV$2,0))</f>
        <v>0</v>
      </c>
      <c r="J44" s="57">
        <f>INDEX('Eurostat EB TJ GWh'!$A$2:$BV$146,MATCH($A44,'Eurostat EB TJ GWh'!$A$2:$A$146,0),MATCH(J$3,'Eurostat EB TJ GWh'!$A$2:$BV$2,0))</f>
        <v>50186.705000000002</v>
      </c>
      <c r="K44" s="57">
        <f>INDEX('Eurostat EB TJ GWh'!$A$2:$BV$146,MATCH($A44,'Eurostat EB TJ GWh'!$A$2:$A$146,0),MATCH(K$3,'Eurostat EB TJ GWh'!$A$2:$BV$2,0))</f>
        <v>0</v>
      </c>
      <c r="L44" s="57">
        <f>INDEX('Eurostat EB TJ GWh'!$A$2:$BV$146,MATCH($A44,'Eurostat EB TJ GWh'!$A$2:$A$146,0),MATCH(L$3,'Eurostat EB TJ GWh'!$A$2:$BV$2,0))</f>
        <v>3213.06</v>
      </c>
      <c r="M44" s="57">
        <f>INDEX('Eurostat EB TJ GWh'!$A$2:$BV$146,MATCH($A44,'Eurostat EB TJ GWh'!$A$2:$A$146,0),MATCH(M$3,'Eurostat EB TJ GWh'!$A$2:$BV$2,0))</f>
        <v>0</v>
      </c>
      <c r="N44" s="57">
        <f>INDEX('Eurostat EB TJ GWh'!$A$2:$BV$146,MATCH($A44,'Eurostat EB TJ GWh'!$A$2:$A$146,0),MATCH(N$3,'Eurostat EB TJ GWh'!$A$2:$BV$2,0))</f>
        <v>0</v>
      </c>
      <c r="O44" s="57">
        <f>INDEX('Eurostat EB TJ GWh'!$A$2:$BV$146,MATCH($A44,'Eurostat EB TJ GWh'!$A$2:$A$146,0),MATCH(O$3,'Eurostat EB TJ GWh'!$A$2:$BV$2,0))</f>
        <v>15016.271000000001</v>
      </c>
      <c r="P44" s="57">
        <f>INDEX('Eurostat EB TJ GWh'!$A$2:$BV$146,MATCH($A44,'Eurostat EB TJ GWh'!$A$2:$A$146,0),MATCH(P$3,'Eurostat EB TJ GWh'!$A$2:$BV$2,0))</f>
        <v>27131.519</v>
      </c>
      <c r="Q44" s="57">
        <f>INDEX('Eurostat EB TJ GWh'!$A$2:$BV$146,MATCH($A44,'Eurostat EB TJ GWh'!$A$2:$A$146,0),MATCH(Q$3,'Eurostat EB TJ GWh'!$A$2:$BV$2,0))</f>
        <v>0</v>
      </c>
      <c r="R44" s="57">
        <f>INDEX('Eurostat EB TJ GWh'!$A$2:$BV$146,MATCH($A44,'Eurostat EB TJ GWh'!$A$2:$A$146,0),MATCH(R$2,'Eurostat EB TJ GWh'!$A$2:$BV$2,0))+INDEX('Eurostat EB TJ GWh'!$A$2:$BV$146,MATCH($A44,'Eurostat EB TJ GWh'!$A$2:$A$146,0),MATCH(R$3,'Eurostat EB TJ GWh'!$A$2:$BV$2,0))</f>
        <v>0</v>
      </c>
      <c r="S44" s="57">
        <f>INDEX('Eurostat EB TJ GWh'!$A$2:$BV$146,MATCH($A44,'Eurostat EB TJ GWh'!$A$2:$A$146,0),MATCH(S$3,'Eurostat EB TJ GWh'!$A$2:$BV$2,0))</f>
        <v>11333.489</v>
      </c>
      <c r="T44" s="65" t="s">
        <v>323</v>
      </c>
      <c r="U44" s="57">
        <f>INDEX('Eurostat EB TJ GWh'!$A$2:$BV$146,MATCH($A44,'Eurostat EB TJ GWh'!$A$2:$A$146,0),MATCH(U$3,'Eurostat EB TJ GWh'!$A$2:$BV$2,0))</f>
        <v>77534.907000000007</v>
      </c>
      <c r="V44" s="57">
        <f>INDEX('Eurostat EB TJ GWh'!$A$2:$BV$146,MATCH($A44,'Eurostat EB TJ GWh'!$A$2:$A$146,0),MATCH(V$3,'Eurostat EB TJ GWh'!$A$2:$BV$2,0))</f>
        <v>193698.97500000001</v>
      </c>
      <c r="W44" s="57">
        <f>INDEX('Eurostat EB TJ GWh'!$A$2:$BV$146,MATCH($A44,'Eurostat EB TJ GWh'!$A$2:$A$146,0),MATCH(W$3,'Eurostat EB TJ GWh'!$A$2:$BV$2,0))</f>
        <v>366286</v>
      </c>
      <c r="X44" s="57">
        <f>INDEX('Eurostat EB TJ GWh'!$A$2:$BV$146,MATCH($A44,'Eurostat EB TJ GWh'!$A$2:$A$146,0),MATCH(X$3,'Eurostat EB TJ GWh'!$A$2:$BV$2,0))</f>
        <v>0</v>
      </c>
      <c r="Y44" s="57">
        <f>INDEX('Eurostat EB TJ GWh'!$A$2:$BV$146,MATCH($A44,'Eurostat EB TJ GWh'!$A$2:$A$146,0),MATCH(Y$3,'Eurostat EB TJ GWh'!$A$2:$BV$2,0))</f>
        <v>0</v>
      </c>
      <c r="Z44" s="57">
        <f>INDEX('Eurostat EB TJ GWh'!$A$2:$BV$146,MATCH($A44,'Eurostat EB TJ GWh'!$A$2:$A$146,0),MATCH(Z$3,'Eurostat EB TJ GWh'!$A$2:$BV$2,0))</f>
        <v>296327.21299999999</v>
      </c>
      <c r="AA44" s="57">
        <f>INDEX('Eurostat EB TJ GWh'!$A$2:$BV$146,MATCH($A44,'Eurostat EB TJ GWh'!$A$2:$A$146,0),MATCH(AA$3,'Eurostat EB TJ GWh'!$A$2:$BV$2,0))</f>
        <v>0</v>
      </c>
      <c r="AB44" s="57">
        <f>INDEX('Eurostat EB TJ GWh'!$A$2:$BV$146,MATCH($A44,'Eurostat EB TJ GWh'!$A$2:$A$146,0),MATCH(AB$3,'Eurostat EB TJ GWh'!$A$2:$BV$2,0))</f>
        <v>72539.956000000006</v>
      </c>
      <c r="AC44" s="57">
        <f>INDEX('Eurostat EB TJ GWh'!$A$2:$BV$146,MATCH($A44,'Eurostat EB TJ GWh'!$A$2:$A$146,0),MATCH(AC$3,'Eurostat EB TJ GWh'!$A$2:$BV$2,0))</f>
        <v>768692.41700000002</v>
      </c>
      <c r="AD44" s="57">
        <f>INDEX('Eurostat EB TJ GWh'!$A$2:$BV$146,MATCH($A44,'Eurostat EB TJ GWh'!$A$2:$A$146,0),MATCH(AD$3,'Eurostat EB TJ GWh'!$A$2:$BV$2,0))</f>
        <v>2822.6170000000002</v>
      </c>
      <c r="AE44" s="57">
        <f>INDEX('Eurostat EB TJ GWh'!$A$2:$BV$146,MATCH($A44,'Eurostat EB TJ GWh'!$A$2:$A$146,0),MATCH(AE$3,'Eurostat EB TJ GWh'!$A$2:$BV$2,0))</f>
        <v>0</v>
      </c>
      <c r="AF44" s="57">
        <f>INDEX('Eurostat EB TJ GWh'!$A$2:$BV$146,MATCH($A44,'Eurostat EB TJ GWh'!$A$2:$A$146,0),MATCH(AF$3,'Eurostat EB TJ GWh'!$A$2:$BV$2,0))</f>
        <v>390466.48700000002</v>
      </c>
      <c r="AG44" s="57">
        <f>INDEX('Eurostat EB TJ GWh'!$A$2:$BV$146,MATCH($A44,'Eurostat EB TJ GWh'!$A$2:$A$146,0),MATCH(AG$3,'Eurostat EB TJ GWh'!$A$2:$BV$2,0))</f>
        <v>17238.868999999999</v>
      </c>
      <c r="AH44" s="57">
        <f>INDEX('Eurostat EB TJ GWh'!$A$2:$BV$146,MATCH($A44,'Eurostat EB TJ GWh'!$A$2:$A$146,0),MATCH(AH$3,'Eurostat EB TJ GWh'!$A$2:$BV$2,0))</f>
        <v>856335.598</v>
      </c>
      <c r="AI44" s="57">
        <f>INDEX('Eurostat EB TJ GWh'!$A$2:$BV$146,MATCH($A44,'Eurostat EB TJ GWh'!$A$2:$A$146,0),MATCH(AI$3,'Eurostat EB TJ GWh'!$A$2:$BV$2,0))</f>
        <v>430034.38</v>
      </c>
      <c r="AJ44" s="57">
        <f>INDEX('Eurostat EB TJ GWh'!$A$2:$BV$146,MATCH($A44,'Eurostat EB TJ GWh'!$A$2:$A$146,0),MATCH(AJ$3,'Eurostat EB TJ GWh'!$A$2:$BV$2,0))</f>
        <v>522616.924</v>
      </c>
      <c r="AK44" s="57">
        <f>INDEX('Eurostat EB TJ GWh'!$A$2:$BV$146,MATCH($A44,'Eurostat EB TJ GWh'!$A$2:$A$146,0),MATCH(AK$3,'Eurostat EB TJ GWh'!$A$2:$BV$2,0))</f>
        <v>96344.52</v>
      </c>
      <c r="AL44" s="57">
        <f>INDEX('Eurostat EB TJ GWh'!$A$2:$BV$146,MATCH($A44,'Eurostat EB TJ GWh'!$A$2:$A$146,0),MATCH(AL$3,'Eurostat EB TJ GWh'!$A$2:$BV$2,0))</f>
        <v>44182.722999999998</v>
      </c>
      <c r="AM44" s="57">
        <f>INDEX('Eurostat EB TJ GWh'!$A$2:$BV$146,MATCH($A44,'Eurostat EB TJ GWh'!$A$2:$A$146,0),MATCH(AM$3,'Eurostat EB TJ GWh'!$A$2:$BV$2,0))</f>
        <v>37052.463000000003</v>
      </c>
      <c r="AN44" s="57">
        <f>INDEX('Eurostat EB TJ GWh'!$A$2:$BV$146,MATCH($A44,'Eurostat EB TJ GWh'!$A$2:$A$146,0),MATCH(AN$3,'Eurostat EB TJ GWh'!$A$2:$BV$2,0))</f>
        <v>410.98099999999999</v>
      </c>
      <c r="AO44" s="57">
        <f>INDEX('Eurostat EB TJ GWh'!$A$2:$BV$146,MATCH($A44,'Eurostat EB TJ GWh'!$A$2:$A$146,0),MATCH(AO$3,'Eurostat EB TJ GWh'!$A$2:$BV$2,0))</f>
        <v>16671.462</v>
      </c>
      <c r="AP44" s="57">
        <f>INDEX('Eurostat EB TJ GWh'!$A$2:$BV$146,MATCH($A44,'Eurostat EB TJ GWh'!$A$2:$A$146,0),MATCH(AP$3,'Eurostat EB TJ GWh'!$A$2:$BV$2,0))</f>
        <v>34608.697</v>
      </c>
      <c r="AQ44" s="57">
        <f>INDEX('Eurostat EB TJ GWh'!$A$2:$BV$146,MATCH($A44,'Eurostat EB TJ GWh'!$A$2:$A$146,0),MATCH(AQ$3,'Eurostat EB TJ GWh'!$A$2:$BV$2,0))</f>
        <v>0</v>
      </c>
      <c r="AR44" s="57">
        <f>INDEX('Eurostat EB TJ GWh'!$A$2:$BV$146,MATCH($A44,'Eurostat EB TJ GWh'!$A$2:$A$146,0),MATCH(AR$3,'Eurostat EB TJ GWh'!$A$2:$BV$2,0))</f>
        <v>0</v>
      </c>
      <c r="AS44" s="57">
        <f>INDEX('Eurostat EB TJ GWh'!$A$2:$BV$146,MATCH($A44,'Eurostat EB TJ GWh'!$A$2:$A$146,0),MATCH(AS$3,'Eurostat EB TJ GWh'!$A$2:$BV$2,0))</f>
        <v>0</v>
      </c>
      <c r="AT44" s="57">
        <f>INDEX('Eurostat EB TJ GWh'!$A$2:$BV$146,MATCH($A44,'Eurostat EB TJ GWh'!$A$2:$A$146,0),MATCH(AT$3,'Eurostat EB TJ GWh'!$A$2:$BV$2,0))</f>
        <v>0</v>
      </c>
      <c r="AU44" s="57">
        <f>INDEX('Eurostat EB TJ GWh'!$A$2:$BV$146,MATCH($A44,'Eurostat EB TJ GWh'!$A$2:$A$146,0),MATCH(AU$3,'Eurostat EB TJ GWh'!$A$2:$BV$2,0))</f>
        <v>0</v>
      </c>
      <c r="AV44" s="57">
        <f>INDEX('Eurostat EB TJ GWh'!$A$2:$BV$146,MATCH($A44,'Eurostat EB TJ GWh'!$A$2:$A$146,0),MATCH(AV$2,'Eurostat EB TJ GWh'!$A$2:$BV$2,0))+INDEX('Eurostat EB TJ GWh'!$A$2:$BV$146,MATCH($A44,'Eurostat EB TJ GWh'!$A$2:$A$146,0),MATCH(AV$3,'Eurostat EB TJ GWh'!$A$2:$BV$2,0))</f>
        <v>14375.097</v>
      </c>
      <c r="AW44" s="57">
        <f>INDEX('Eurostat EB TJ GWh'!$A$2:$BV$146,MATCH($A44,'Eurostat EB TJ GWh'!$A$2:$A$146,0),MATCH(AW$2,'Eurostat EB TJ GWh'!$A$2:$BV$2,0))+INDEX('Eurostat EB TJ GWh'!$A$2:$BV$146,MATCH($A44,'Eurostat EB TJ GWh'!$A$2:$A$146,0),MATCH(AW$3,'Eurostat EB TJ GWh'!$A$2:$BV$2,0))</f>
        <v>32145.925999999999</v>
      </c>
      <c r="AX44" s="57">
        <f>INDEX('Eurostat EB TJ GWh'!$A$2:$BV$146,MATCH($A44,'Eurostat EB TJ GWh'!$A$2:$A$146,0),MATCH(AX$3,'Eurostat EB TJ GWh'!$A$2:$BV$2,0))</f>
        <v>0</v>
      </c>
      <c r="AY44" s="72">
        <v>0</v>
      </c>
      <c r="AZ44" s="57">
        <f>INDEX('Eurostat EB TJ GWh'!$A$2:$BV$146,MATCH($A44,'Eurostat EB TJ GWh'!$A$2:$A$146,0),MATCH(AZ$3,'Eurostat EB TJ GWh'!$A$2:$BV$2,0))</f>
        <v>0</v>
      </c>
      <c r="BA44" s="72">
        <v>0</v>
      </c>
      <c r="BB44" s="72">
        <v>0</v>
      </c>
      <c r="BC44" s="57">
        <f>INDEX('Eurostat EB TJ GWh'!$A$2:$BV$146,MATCH($A44,'Eurostat EB TJ GWh'!$A$2:$A$146,0),MATCH(BC$3,'Eurostat EB TJ GWh'!$A$2:$BV$2,0))</f>
        <v>0</v>
      </c>
      <c r="BD44" s="57">
        <f>INDEX('Eurostat EB TJ GWh'!$A$2:$BV$146,MATCH($A44,'Eurostat EB TJ GWh'!$A$2:$A$146,0),MATCH(BD$3,'Eurostat EB TJ GWh'!$A$2:$BV$2,0))</f>
        <v>0</v>
      </c>
      <c r="BE44" s="57">
        <f>INDEX('Eurostat EB TJ GWh'!$A$2:$BV$146,MATCH($A44,'Eurostat EB TJ GWh'!$A$2:$A$146,0),MATCH(BE$3,'Eurostat EB TJ GWh'!$A$2:$BV$2,0))</f>
        <v>0</v>
      </c>
      <c r="BF44" s="57">
        <f>INDEX('Eurostat EB TJ GWh'!$A$2:$BV$146,MATCH($A44,'Eurostat EB TJ GWh'!$A$2:$A$146,0),MATCH(BF$3,'Eurostat EB TJ GWh'!$A$2:$BV$2,0))</f>
        <v>0</v>
      </c>
      <c r="BG44" s="57">
        <f>INDEX('Eurostat EB TJ GWh'!$A$2:$BV$146,MATCH($A44,'Eurostat EB TJ GWh'!$A$2:$A$146,0),MATCH(BG$3,'Eurostat EB TJ GWh'!$A$2:$BV$2,0))</f>
        <v>0</v>
      </c>
      <c r="BH44" s="57">
        <f>INDEX('Eurostat EB TJ GWh'!$A$2:$BV$146,MATCH($A44,'Eurostat EB TJ GWh'!$A$2:$A$146,0),MATCH(BH$3,'Eurostat EB TJ GWh'!$A$2:$BV$2,0))</f>
        <v>0</v>
      </c>
      <c r="BI44" s="57">
        <f>INDEX('Eurostat EB TJ GWh'!$A$2:$BV$146,MATCH($A44,'Eurostat EB TJ GWh'!$A$2:$A$146,0),MATCH(BI$3,'Eurostat EB TJ GWh'!$A$2:$BV$2,0))</f>
        <v>0</v>
      </c>
      <c r="BJ44" s="72">
        <v>0</v>
      </c>
      <c r="BK44" s="57">
        <f>INDEX('Eurostat EB TJ GWh'!$A$2:$BV$146,MATCH($A44,'Eurostat EB TJ GWh'!$A$2:$A$146,0),MATCH(BK$3,'Eurostat EB TJ GWh'!$A$2:$BV$2,0))</f>
        <v>436790.11</v>
      </c>
      <c r="BL44" s="57">
        <f>INDEX('Eurostat EB TJ GWh'!$A$2:$BV$146,MATCH($A44,'Eurostat EB TJ GWh'!$A$2:$A$146,0),MATCH(BL$3,'Eurostat EB TJ GWh'!$A$2:$BV$2,0))</f>
        <v>93299.153999999995</v>
      </c>
      <c r="BM44" s="57">
        <f>INDEX('Eurostat EB TJ GWh'!$A$2:$BV$146,MATCH($A44,'Eurostat EB TJ GWh'!$A$2:$A$146,0),MATCH(BM$3,'Eurostat EB TJ GWh'!$A$2:$BV$2,0))</f>
        <v>4907356.5190000003</v>
      </c>
      <c r="BN44" s="57">
        <f>INDEX('Eurostat EB TJ GWh'!$A$2:$BV$146,MATCH($A44,'Eurostat EB TJ GWh'!$A$2:$A$146,0),MATCH(BN$3,'Eurostat EB TJ GWh'!$A$2:$BV$2,0))</f>
        <v>96196.967000000004</v>
      </c>
    </row>
    <row r="45" spans="1:66" x14ac:dyDescent="0.2">
      <c r="A45" s="56" t="s">
        <v>233</v>
      </c>
      <c r="B45" s="65" t="s">
        <v>323</v>
      </c>
      <c r="C45" s="65" t="s">
        <v>323</v>
      </c>
      <c r="D45" s="17">
        <f>INDEX('Eurostat EB TJ GWh'!$A$2:$BV$146,MATCH($A45,'Eurostat EB TJ GWh'!$A$2:$A$146,0),MATCH(D$3,'Eurostat EB TJ GWh'!$A$2:$BV$2,0))</f>
        <v>0</v>
      </c>
      <c r="E45" s="17">
        <f>INDEX('Eurostat EB TJ GWh'!$A$2:$BV$146,MATCH($A45,'Eurostat EB TJ GWh'!$A$2:$A$146,0),MATCH(E$3,'Eurostat EB TJ GWh'!$A$2:$BV$2,0))</f>
        <v>0</v>
      </c>
      <c r="F45" s="17">
        <f>INDEX('Eurostat EB TJ GWh'!$A$2:$BV$146,MATCH($A45,'Eurostat EB TJ GWh'!$A$2:$A$146,0),MATCH(F$3,'Eurostat EB TJ GWh'!$A$2:$BV$2,0))</f>
        <v>0</v>
      </c>
      <c r="G45" s="17">
        <f>INDEX('Eurostat EB TJ GWh'!$A$2:$BV$146,MATCH($A45,'Eurostat EB TJ GWh'!$A$2:$A$146,0),MATCH(G$3,'Eurostat EB TJ GWh'!$A$2:$BV$2,0))</f>
        <v>0</v>
      </c>
      <c r="H45" s="17">
        <f>INDEX('Eurostat EB TJ GWh'!$A$2:$BV$146,MATCH($A45,'Eurostat EB TJ GWh'!$A$2:$A$146,0),MATCH(H$3,'Eurostat EB TJ GWh'!$A$2:$BV$2,0))</f>
        <v>0</v>
      </c>
      <c r="I45" s="17">
        <f>INDEX('Eurostat EB TJ GWh'!$A$2:$BV$146,MATCH($A45,'Eurostat EB TJ GWh'!$A$2:$A$146,0),MATCH(I$3,'Eurostat EB TJ GWh'!$A$2:$BV$2,0))</f>
        <v>0</v>
      </c>
      <c r="J45" s="17">
        <f>INDEX('Eurostat EB TJ GWh'!$A$2:$BV$146,MATCH($A45,'Eurostat EB TJ GWh'!$A$2:$A$146,0),MATCH(J$3,'Eurostat EB TJ GWh'!$A$2:$BV$2,0))</f>
        <v>0</v>
      </c>
      <c r="K45" s="17">
        <f>INDEX('Eurostat EB TJ GWh'!$A$2:$BV$146,MATCH($A45,'Eurostat EB TJ GWh'!$A$2:$A$146,0),MATCH(K$3,'Eurostat EB TJ GWh'!$A$2:$BV$2,0))</f>
        <v>0</v>
      </c>
      <c r="L45" s="17">
        <f>INDEX('Eurostat EB TJ GWh'!$A$2:$BV$146,MATCH($A45,'Eurostat EB TJ GWh'!$A$2:$A$146,0),MATCH(L$3,'Eurostat EB TJ GWh'!$A$2:$BV$2,0))</f>
        <v>0</v>
      </c>
      <c r="M45" s="17">
        <f>INDEX('Eurostat EB TJ GWh'!$A$2:$BV$146,MATCH($A45,'Eurostat EB TJ GWh'!$A$2:$A$146,0),MATCH(M$3,'Eurostat EB TJ GWh'!$A$2:$BV$2,0))</f>
        <v>0</v>
      </c>
      <c r="N45" s="17">
        <f>INDEX('Eurostat EB TJ GWh'!$A$2:$BV$146,MATCH($A45,'Eurostat EB TJ GWh'!$A$2:$A$146,0),MATCH(N$3,'Eurostat EB TJ GWh'!$A$2:$BV$2,0))</f>
        <v>0</v>
      </c>
      <c r="O45" s="17">
        <f>INDEX('Eurostat EB TJ GWh'!$A$2:$BV$146,MATCH($A45,'Eurostat EB TJ GWh'!$A$2:$A$146,0),MATCH(O$3,'Eurostat EB TJ GWh'!$A$2:$BV$2,0))</f>
        <v>0</v>
      </c>
      <c r="P45" s="17">
        <f>INDEX('Eurostat EB TJ GWh'!$A$2:$BV$146,MATCH($A45,'Eurostat EB TJ GWh'!$A$2:$A$146,0),MATCH(P$3,'Eurostat EB TJ GWh'!$A$2:$BV$2,0))</f>
        <v>0</v>
      </c>
      <c r="Q45" s="17">
        <f>INDEX('Eurostat EB TJ GWh'!$A$2:$BV$146,MATCH($A45,'Eurostat EB TJ GWh'!$A$2:$A$146,0),MATCH(Q$3,'Eurostat EB TJ GWh'!$A$2:$BV$2,0))</f>
        <v>0</v>
      </c>
      <c r="R45" s="17">
        <f>INDEX('Eurostat EB TJ GWh'!$A$2:$BV$146,MATCH($A45,'Eurostat EB TJ GWh'!$A$2:$A$146,0),MATCH(R$2,'Eurostat EB TJ GWh'!$A$2:$BV$2,0))+INDEX('Eurostat EB TJ GWh'!$A$2:$BV$146,MATCH($A45,'Eurostat EB TJ GWh'!$A$2:$A$146,0),MATCH(R$3,'Eurostat EB TJ GWh'!$A$2:$BV$2,0))</f>
        <v>0</v>
      </c>
      <c r="S45" s="17">
        <f>INDEX('Eurostat EB TJ GWh'!$A$2:$BV$146,MATCH($A45,'Eurostat EB TJ GWh'!$A$2:$A$146,0),MATCH(S$3,'Eurostat EB TJ GWh'!$A$2:$BV$2,0))</f>
        <v>0</v>
      </c>
      <c r="T45" s="65" t="s">
        <v>323</v>
      </c>
      <c r="U45" s="17">
        <f>INDEX('Eurostat EB TJ GWh'!$A$2:$BV$146,MATCH($A45,'Eurostat EB TJ GWh'!$A$2:$A$146,0),MATCH(U$3,'Eurostat EB TJ GWh'!$A$2:$BV$2,0))</f>
        <v>0</v>
      </c>
      <c r="V45" s="17">
        <f>INDEX('Eurostat EB TJ GWh'!$A$2:$BV$146,MATCH($A45,'Eurostat EB TJ GWh'!$A$2:$A$146,0),MATCH(V$3,'Eurostat EB TJ GWh'!$A$2:$BV$2,0))</f>
        <v>0</v>
      </c>
      <c r="W45" s="17">
        <f>INDEX('Eurostat EB TJ GWh'!$A$2:$BV$146,MATCH($A45,'Eurostat EB TJ GWh'!$A$2:$A$146,0),MATCH(W$3,'Eurostat EB TJ GWh'!$A$2:$BV$2,0))</f>
        <v>0</v>
      </c>
      <c r="X45" s="17">
        <f>INDEX('Eurostat EB TJ GWh'!$A$2:$BV$146,MATCH($A45,'Eurostat EB TJ GWh'!$A$2:$A$146,0),MATCH(X$3,'Eurostat EB TJ GWh'!$A$2:$BV$2,0))</f>
        <v>0</v>
      </c>
      <c r="Y45" s="17">
        <f>INDEX('Eurostat EB TJ GWh'!$A$2:$BV$146,MATCH($A45,'Eurostat EB TJ GWh'!$A$2:$A$146,0),MATCH(Y$3,'Eurostat EB TJ GWh'!$A$2:$BV$2,0))</f>
        <v>0</v>
      </c>
      <c r="Z45" s="17">
        <f>INDEX('Eurostat EB TJ GWh'!$A$2:$BV$146,MATCH($A45,'Eurostat EB TJ GWh'!$A$2:$A$146,0),MATCH(Z$3,'Eurostat EB TJ GWh'!$A$2:$BV$2,0))</f>
        <v>0</v>
      </c>
      <c r="AA45" s="17">
        <f>INDEX('Eurostat EB TJ GWh'!$A$2:$BV$146,MATCH($A45,'Eurostat EB TJ GWh'!$A$2:$A$146,0),MATCH(AA$3,'Eurostat EB TJ GWh'!$A$2:$BV$2,0))</f>
        <v>0</v>
      </c>
      <c r="AB45" s="17">
        <f>INDEX('Eurostat EB TJ GWh'!$A$2:$BV$146,MATCH($A45,'Eurostat EB TJ GWh'!$A$2:$A$146,0),MATCH(AB$3,'Eurostat EB TJ GWh'!$A$2:$BV$2,0))</f>
        <v>0</v>
      </c>
      <c r="AC45" s="17">
        <f>INDEX('Eurostat EB TJ GWh'!$A$2:$BV$146,MATCH($A45,'Eurostat EB TJ GWh'!$A$2:$A$146,0),MATCH(AC$3,'Eurostat EB TJ GWh'!$A$2:$BV$2,0))</f>
        <v>0</v>
      </c>
      <c r="AD45" s="17">
        <f>INDEX('Eurostat EB TJ GWh'!$A$2:$BV$146,MATCH($A45,'Eurostat EB TJ GWh'!$A$2:$A$146,0),MATCH(AD$3,'Eurostat EB TJ GWh'!$A$2:$BV$2,0))</f>
        <v>0</v>
      </c>
      <c r="AE45" s="17">
        <f>INDEX('Eurostat EB TJ GWh'!$A$2:$BV$146,MATCH($A45,'Eurostat EB TJ GWh'!$A$2:$A$146,0),MATCH(AE$3,'Eurostat EB TJ GWh'!$A$2:$BV$2,0))</f>
        <v>0</v>
      </c>
      <c r="AF45" s="17">
        <f>INDEX('Eurostat EB TJ GWh'!$A$2:$BV$146,MATCH($A45,'Eurostat EB TJ GWh'!$A$2:$A$146,0),MATCH(AF$3,'Eurostat EB TJ GWh'!$A$2:$BV$2,0))</f>
        <v>0</v>
      </c>
      <c r="AG45" s="17">
        <f>INDEX('Eurostat EB TJ GWh'!$A$2:$BV$146,MATCH($A45,'Eurostat EB TJ GWh'!$A$2:$A$146,0),MATCH(AG$3,'Eurostat EB TJ GWh'!$A$2:$BV$2,0))</f>
        <v>0</v>
      </c>
      <c r="AH45" s="17">
        <f>INDEX('Eurostat EB TJ GWh'!$A$2:$BV$146,MATCH($A45,'Eurostat EB TJ GWh'!$A$2:$A$146,0),MATCH(AH$3,'Eurostat EB TJ GWh'!$A$2:$BV$2,0))</f>
        <v>0</v>
      </c>
      <c r="AI45" s="17">
        <f>INDEX('Eurostat EB TJ GWh'!$A$2:$BV$146,MATCH($A45,'Eurostat EB TJ GWh'!$A$2:$A$146,0),MATCH(AI$3,'Eurostat EB TJ GWh'!$A$2:$BV$2,0))</f>
        <v>0</v>
      </c>
      <c r="AJ45" s="17">
        <f>INDEX('Eurostat EB TJ GWh'!$A$2:$BV$146,MATCH($A45,'Eurostat EB TJ GWh'!$A$2:$A$146,0),MATCH(AJ$3,'Eurostat EB TJ GWh'!$A$2:$BV$2,0))</f>
        <v>0</v>
      </c>
      <c r="AK45" s="17">
        <f>INDEX('Eurostat EB TJ GWh'!$A$2:$BV$146,MATCH($A45,'Eurostat EB TJ GWh'!$A$2:$A$146,0),MATCH(AK$3,'Eurostat EB TJ GWh'!$A$2:$BV$2,0))</f>
        <v>0</v>
      </c>
      <c r="AL45" s="17">
        <f>INDEX('Eurostat EB TJ GWh'!$A$2:$BV$146,MATCH($A45,'Eurostat EB TJ GWh'!$A$2:$A$146,0),MATCH(AL$3,'Eurostat EB TJ GWh'!$A$2:$BV$2,0))</f>
        <v>0</v>
      </c>
      <c r="AM45" s="17">
        <f>INDEX('Eurostat EB TJ GWh'!$A$2:$BV$146,MATCH($A45,'Eurostat EB TJ GWh'!$A$2:$A$146,0),MATCH(AM$3,'Eurostat EB TJ GWh'!$A$2:$BV$2,0))</f>
        <v>0</v>
      </c>
      <c r="AN45" s="17">
        <f>INDEX('Eurostat EB TJ GWh'!$A$2:$BV$146,MATCH($A45,'Eurostat EB TJ GWh'!$A$2:$A$146,0),MATCH(AN$3,'Eurostat EB TJ GWh'!$A$2:$BV$2,0))</f>
        <v>0</v>
      </c>
      <c r="AO45" s="17">
        <f>INDEX('Eurostat EB TJ GWh'!$A$2:$BV$146,MATCH($A45,'Eurostat EB TJ GWh'!$A$2:$A$146,0),MATCH(AO$3,'Eurostat EB TJ GWh'!$A$2:$BV$2,0))</f>
        <v>0</v>
      </c>
      <c r="AP45" s="17">
        <f>INDEX('Eurostat EB TJ GWh'!$A$2:$BV$146,MATCH($A45,'Eurostat EB TJ GWh'!$A$2:$A$146,0),MATCH(AP$3,'Eurostat EB TJ GWh'!$A$2:$BV$2,0))</f>
        <v>0</v>
      </c>
      <c r="AQ45" s="17">
        <f>INDEX('Eurostat EB TJ GWh'!$A$2:$BV$146,MATCH($A45,'Eurostat EB TJ GWh'!$A$2:$A$146,0),MATCH(AQ$3,'Eurostat EB TJ GWh'!$A$2:$BV$2,0))</f>
        <v>0</v>
      </c>
      <c r="AR45" s="17">
        <f>INDEX('Eurostat EB TJ GWh'!$A$2:$BV$146,MATCH($A45,'Eurostat EB TJ GWh'!$A$2:$A$146,0),MATCH(AR$3,'Eurostat EB TJ GWh'!$A$2:$BV$2,0))</f>
        <v>0</v>
      </c>
      <c r="AS45" s="17">
        <f>INDEX('Eurostat EB TJ GWh'!$A$2:$BV$146,MATCH($A45,'Eurostat EB TJ GWh'!$A$2:$A$146,0),MATCH(AS$3,'Eurostat EB TJ GWh'!$A$2:$BV$2,0))</f>
        <v>0</v>
      </c>
      <c r="AT45" s="17">
        <f>INDEX('Eurostat EB TJ GWh'!$A$2:$BV$146,MATCH($A45,'Eurostat EB TJ GWh'!$A$2:$A$146,0),MATCH(AT$3,'Eurostat EB TJ GWh'!$A$2:$BV$2,0))</f>
        <v>0</v>
      </c>
      <c r="AU45" s="17">
        <f>INDEX('Eurostat EB TJ GWh'!$A$2:$BV$146,MATCH($A45,'Eurostat EB TJ GWh'!$A$2:$A$146,0),MATCH(AU$3,'Eurostat EB TJ GWh'!$A$2:$BV$2,0))</f>
        <v>0</v>
      </c>
      <c r="AV45" s="17">
        <f>INDEX('Eurostat EB TJ GWh'!$A$2:$BV$146,MATCH($A45,'Eurostat EB TJ GWh'!$A$2:$A$146,0),MATCH(AV$2,'Eurostat EB TJ GWh'!$A$2:$BV$2,0))+INDEX('Eurostat EB TJ GWh'!$A$2:$BV$146,MATCH($A45,'Eurostat EB TJ GWh'!$A$2:$A$146,0),MATCH(AV$3,'Eurostat EB TJ GWh'!$A$2:$BV$2,0))</f>
        <v>0</v>
      </c>
      <c r="AW45" s="17">
        <f>INDEX('Eurostat EB TJ GWh'!$A$2:$BV$146,MATCH($A45,'Eurostat EB TJ GWh'!$A$2:$A$146,0),MATCH(AW$2,'Eurostat EB TJ GWh'!$A$2:$BV$2,0))+INDEX('Eurostat EB TJ GWh'!$A$2:$BV$146,MATCH($A45,'Eurostat EB TJ GWh'!$A$2:$A$146,0),MATCH(AW$3,'Eurostat EB TJ GWh'!$A$2:$BV$2,0))</f>
        <v>0</v>
      </c>
      <c r="AX45" s="17">
        <f>INDEX('Eurostat EB TJ GWh'!$A$2:$BV$146,MATCH($A45,'Eurostat EB TJ GWh'!$A$2:$A$146,0),MATCH(AX$3,'Eurostat EB TJ GWh'!$A$2:$BV$2,0))</f>
        <v>0</v>
      </c>
      <c r="AY45" s="65">
        <v>0</v>
      </c>
      <c r="AZ45" s="17">
        <f>INDEX('Eurostat EB TJ GWh'!$A$2:$BV$146,MATCH($A45,'Eurostat EB TJ GWh'!$A$2:$A$146,0),MATCH(AZ$3,'Eurostat EB TJ GWh'!$A$2:$BV$2,0))</f>
        <v>0</v>
      </c>
      <c r="BA45" s="65">
        <v>0</v>
      </c>
      <c r="BB45" s="65">
        <v>0</v>
      </c>
      <c r="BC45" s="17">
        <f>INDEX('Eurostat EB TJ GWh'!$A$2:$BV$146,MATCH($A45,'Eurostat EB TJ GWh'!$A$2:$A$146,0),MATCH(BC$3,'Eurostat EB TJ GWh'!$A$2:$BV$2,0))</f>
        <v>0</v>
      </c>
      <c r="BD45" s="17">
        <f>INDEX('Eurostat EB TJ GWh'!$A$2:$BV$146,MATCH($A45,'Eurostat EB TJ GWh'!$A$2:$A$146,0),MATCH(BD$3,'Eurostat EB TJ GWh'!$A$2:$BV$2,0))</f>
        <v>0</v>
      </c>
      <c r="BE45" s="17">
        <f>INDEX('Eurostat EB TJ GWh'!$A$2:$BV$146,MATCH($A45,'Eurostat EB TJ GWh'!$A$2:$A$146,0),MATCH(BE$3,'Eurostat EB TJ GWh'!$A$2:$BV$2,0))</f>
        <v>0</v>
      </c>
      <c r="BF45" s="17">
        <f>INDEX('Eurostat EB TJ GWh'!$A$2:$BV$146,MATCH($A45,'Eurostat EB TJ GWh'!$A$2:$A$146,0),MATCH(BF$3,'Eurostat EB TJ GWh'!$A$2:$BV$2,0))</f>
        <v>0</v>
      </c>
      <c r="BG45" s="17">
        <f>INDEX('Eurostat EB TJ GWh'!$A$2:$BV$146,MATCH($A45,'Eurostat EB TJ GWh'!$A$2:$A$146,0),MATCH(BG$3,'Eurostat EB TJ GWh'!$A$2:$BV$2,0))</f>
        <v>0</v>
      </c>
      <c r="BH45" s="17">
        <f>INDEX('Eurostat EB TJ GWh'!$A$2:$BV$146,MATCH($A45,'Eurostat EB TJ GWh'!$A$2:$A$146,0),MATCH(BH$3,'Eurostat EB TJ GWh'!$A$2:$BV$2,0))</f>
        <v>0</v>
      </c>
      <c r="BI45" s="17">
        <f>INDEX('Eurostat EB TJ GWh'!$A$2:$BV$146,MATCH($A45,'Eurostat EB TJ GWh'!$A$2:$A$146,0),MATCH(BI$3,'Eurostat EB TJ GWh'!$A$2:$BV$2,0))</f>
        <v>0</v>
      </c>
      <c r="BJ45" s="65">
        <v>0</v>
      </c>
      <c r="BK45" s="17">
        <f>INDEX('Eurostat EB TJ GWh'!$A$2:$BV$146,MATCH($A45,'Eurostat EB TJ GWh'!$A$2:$A$146,0),MATCH(BK$3,'Eurostat EB TJ GWh'!$A$2:$BV$2,0))</f>
        <v>436790.11</v>
      </c>
      <c r="BL45" s="17">
        <f>INDEX('Eurostat EB TJ GWh'!$A$2:$BV$146,MATCH($A45,'Eurostat EB TJ GWh'!$A$2:$A$146,0),MATCH(BL$3,'Eurostat EB TJ GWh'!$A$2:$BV$2,0))</f>
        <v>93299.153999999995</v>
      </c>
      <c r="BM45" s="17">
        <f>INDEX('Eurostat EB TJ GWh'!$A$2:$BV$146,MATCH($A45,'Eurostat EB TJ GWh'!$A$2:$A$146,0),MATCH(BM$3,'Eurostat EB TJ GWh'!$A$2:$BV$2,0))</f>
        <v>530089.26399999997</v>
      </c>
      <c r="BN45" s="17">
        <f>INDEX('Eurostat EB TJ GWh'!$A$2:$BV$146,MATCH($A45,'Eurostat EB TJ GWh'!$A$2:$A$146,0),MATCH(BN$3,'Eurostat EB TJ GWh'!$A$2:$BV$2,0))</f>
        <v>49559.856</v>
      </c>
    </row>
    <row r="46" spans="1:66" x14ac:dyDescent="0.2">
      <c r="A46" s="56" t="s">
        <v>234</v>
      </c>
      <c r="B46" s="65" t="s">
        <v>323</v>
      </c>
      <c r="C46" s="65" t="s">
        <v>323</v>
      </c>
      <c r="D46" s="57">
        <f>INDEX('Eurostat EB TJ GWh'!$A$2:$BV$146,MATCH($A46,'Eurostat EB TJ GWh'!$A$2:$A$146,0),MATCH(D$3,'Eurostat EB TJ GWh'!$A$2:$BV$2,0))</f>
        <v>0</v>
      </c>
      <c r="E46" s="57">
        <f>INDEX('Eurostat EB TJ GWh'!$A$2:$BV$146,MATCH($A46,'Eurostat EB TJ GWh'!$A$2:$A$146,0),MATCH(E$3,'Eurostat EB TJ GWh'!$A$2:$BV$2,0))</f>
        <v>0</v>
      </c>
      <c r="F46" s="57">
        <f>INDEX('Eurostat EB TJ GWh'!$A$2:$BV$146,MATCH($A46,'Eurostat EB TJ GWh'!$A$2:$A$146,0),MATCH(F$3,'Eurostat EB TJ GWh'!$A$2:$BV$2,0))</f>
        <v>0</v>
      </c>
      <c r="G46" s="57">
        <f>INDEX('Eurostat EB TJ GWh'!$A$2:$BV$146,MATCH($A46,'Eurostat EB TJ GWh'!$A$2:$A$146,0),MATCH(G$3,'Eurostat EB TJ GWh'!$A$2:$BV$2,0))</f>
        <v>0</v>
      </c>
      <c r="H46" s="57">
        <f>INDEX('Eurostat EB TJ GWh'!$A$2:$BV$146,MATCH($A46,'Eurostat EB TJ GWh'!$A$2:$A$146,0),MATCH(H$3,'Eurostat EB TJ GWh'!$A$2:$BV$2,0))</f>
        <v>0</v>
      </c>
      <c r="I46" s="57">
        <f>INDEX('Eurostat EB TJ GWh'!$A$2:$BV$146,MATCH($A46,'Eurostat EB TJ GWh'!$A$2:$A$146,0),MATCH(I$3,'Eurostat EB TJ GWh'!$A$2:$BV$2,0))</f>
        <v>0</v>
      </c>
      <c r="J46" s="57">
        <f>INDEX('Eurostat EB TJ GWh'!$A$2:$BV$146,MATCH($A46,'Eurostat EB TJ GWh'!$A$2:$A$146,0),MATCH(J$3,'Eurostat EB TJ GWh'!$A$2:$BV$2,0))</f>
        <v>0</v>
      </c>
      <c r="K46" s="57">
        <f>INDEX('Eurostat EB TJ GWh'!$A$2:$BV$146,MATCH($A46,'Eurostat EB TJ GWh'!$A$2:$A$146,0),MATCH(K$3,'Eurostat EB TJ GWh'!$A$2:$BV$2,0))</f>
        <v>0</v>
      </c>
      <c r="L46" s="57">
        <f>INDEX('Eurostat EB TJ GWh'!$A$2:$BV$146,MATCH($A46,'Eurostat EB TJ GWh'!$A$2:$A$146,0),MATCH(L$3,'Eurostat EB TJ GWh'!$A$2:$BV$2,0))</f>
        <v>0</v>
      </c>
      <c r="M46" s="57">
        <f>INDEX('Eurostat EB TJ GWh'!$A$2:$BV$146,MATCH($A46,'Eurostat EB TJ GWh'!$A$2:$A$146,0),MATCH(M$3,'Eurostat EB TJ GWh'!$A$2:$BV$2,0))</f>
        <v>0</v>
      </c>
      <c r="N46" s="57">
        <f>INDEX('Eurostat EB TJ GWh'!$A$2:$BV$146,MATCH($A46,'Eurostat EB TJ GWh'!$A$2:$A$146,0),MATCH(N$3,'Eurostat EB TJ GWh'!$A$2:$BV$2,0))</f>
        <v>0</v>
      </c>
      <c r="O46" s="57">
        <f>INDEX('Eurostat EB TJ GWh'!$A$2:$BV$146,MATCH($A46,'Eurostat EB TJ GWh'!$A$2:$A$146,0),MATCH(O$3,'Eurostat EB TJ GWh'!$A$2:$BV$2,0))</f>
        <v>0</v>
      </c>
      <c r="P46" s="57">
        <f>INDEX('Eurostat EB TJ GWh'!$A$2:$BV$146,MATCH($A46,'Eurostat EB TJ GWh'!$A$2:$A$146,0),MATCH(P$3,'Eurostat EB TJ GWh'!$A$2:$BV$2,0))</f>
        <v>0</v>
      </c>
      <c r="Q46" s="57">
        <f>INDEX('Eurostat EB TJ GWh'!$A$2:$BV$146,MATCH($A46,'Eurostat EB TJ GWh'!$A$2:$A$146,0),MATCH(Q$3,'Eurostat EB TJ GWh'!$A$2:$BV$2,0))</f>
        <v>0</v>
      </c>
      <c r="R46" s="57">
        <f>INDEX('Eurostat EB TJ GWh'!$A$2:$BV$146,MATCH($A46,'Eurostat EB TJ GWh'!$A$2:$A$146,0),MATCH(R$2,'Eurostat EB TJ GWh'!$A$2:$BV$2,0))+INDEX('Eurostat EB TJ GWh'!$A$2:$BV$146,MATCH($A46,'Eurostat EB TJ GWh'!$A$2:$A$146,0),MATCH(R$3,'Eurostat EB TJ GWh'!$A$2:$BV$2,0))</f>
        <v>0</v>
      </c>
      <c r="S46" s="57">
        <f>INDEX('Eurostat EB TJ GWh'!$A$2:$BV$146,MATCH($A46,'Eurostat EB TJ GWh'!$A$2:$A$146,0),MATCH(S$3,'Eurostat EB TJ GWh'!$A$2:$BV$2,0))</f>
        <v>0</v>
      </c>
      <c r="T46" s="65" t="s">
        <v>323</v>
      </c>
      <c r="U46" s="57">
        <f>INDEX('Eurostat EB TJ GWh'!$A$2:$BV$146,MATCH($A46,'Eurostat EB TJ GWh'!$A$2:$A$146,0),MATCH(U$3,'Eurostat EB TJ GWh'!$A$2:$BV$2,0))</f>
        <v>0</v>
      </c>
      <c r="V46" s="57">
        <f>INDEX('Eurostat EB TJ GWh'!$A$2:$BV$146,MATCH($A46,'Eurostat EB TJ GWh'!$A$2:$A$146,0),MATCH(V$3,'Eurostat EB TJ GWh'!$A$2:$BV$2,0))</f>
        <v>0</v>
      </c>
      <c r="W46" s="57">
        <f>INDEX('Eurostat EB TJ GWh'!$A$2:$BV$146,MATCH($A46,'Eurostat EB TJ GWh'!$A$2:$A$146,0),MATCH(W$3,'Eurostat EB TJ GWh'!$A$2:$BV$2,0))</f>
        <v>0</v>
      </c>
      <c r="X46" s="57">
        <f>INDEX('Eurostat EB TJ GWh'!$A$2:$BV$146,MATCH($A46,'Eurostat EB TJ GWh'!$A$2:$A$146,0),MATCH(X$3,'Eurostat EB TJ GWh'!$A$2:$BV$2,0))</f>
        <v>0</v>
      </c>
      <c r="Y46" s="57">
        <f>INDEX('Eurostat EB TJ GWh'!$A$2:$BV$146,MATCH($A46,'Eurostat EB TJ GWh'!$A$2:$A$146,0),MATCH(Y$3,'Eurostat EB TJ GWh'!$A$2:$BV$2,0))</f>
        <v>0</v>
      </c>
      <c r="Z46" s="57">
        <f>INDEX('Eurostat EB TJ GWh'!$A$2:$BV$146,MATCH($A46,'Eurostat EB TJ GWh'!$A$2:$A$146,0),MATCH(Z$3,'Eurostat EB TJ GWh'!$A$2:$BV$2,0))</f>
        <v>0</v>
      </c>
      <c r="AA46" s="57">
        <f>INDEX('Eurostat EB TJ GWh'!$A$2:$BV$146,MATCH($A46,'Eurostat EB TJ GWh'!$A$2:$A$146,0),MATCH(AA$3,'Eurostat EB TJ GWh'!$A$2:$BV$2,0))</f>
        <v>0</v>
      </c>
      <c r="AB46" s="57">
        <f>INDEX('Eurostat EB TJ GWh'!$A$2:$BV$146,MATCH($A46,'Eurostat EB TJ GWh'!$A$2:$A$146,0),MATCH(AB$3,'Eurostat EB TJ GWh'!$A$2:$BV$2,0))</f>
        <v>0</v>
      </c>
      <c r="AC46" s="57">
        <f>INDEX('Eurostat EB TJ GWh'!$A$2:$BV$146,MATCH($A46,'Eurostat EB TJ GWh'!$A$2:$A$146,0),MATCH(AC$3,'Eurostat EB TJ GWh'!$A$2:$BV$2,0))</f>
        <v>0</v>
      </c>
      <c r="AD46" s="57">
        <f>INDEX('Eurostat EB TJ GWh'!$A$2:$BV$146,MATCH($A46,'Eurostat EB TJ GWh'!$A$2:$A$146,0),MATCH(AD$3,'Eurostat EB TJ GWh'!$A$2:$BV$2,0))</f>
        <v>0</v>
      </c>
      <c r="AE46" s="57">
        <f>INDEX('Eurostat EB TJ GWh'!$A$2:$BV$146,MATCH($A46,'Eurostat EB TJ GWh'!$A$2:$A$146,0),MATCH(AE$3,'Eurostat EB TJ GWh'!$A$2:$BV$2,0))</f>
        <v>0</v>
      </c>
      <c r="AF46" s="57">
        <f>INDEX('Eurostat EB TJ GWh'!$A$2:$BV$146,MATCH($A46,'Eurostat EB TJ GWh'!$A$2:$A$146,0),MATCH(AF$3,'Eurostat EB TJ GWh'!$A$2:$BV$2,0))</f>
        <v>0</v>
      </c>
      <c r="AG46" s="57">
        <f>INDEX('Eurostat EB TJ GWh'!$A$2:$BV$146,MATCH($A46,'Eurostat EB TJ GWh'!$A$2:$A$146,0),MATCH(AG$3,'Eurostat EB TJ GWh'!$A$2:$BV$2,0))</f>
        <v>0</v>
      </c>
      <c r="AH46" s="57">
        <f>INDEX('Eurostat EB TJ GWh'!$A$2:$BV$146,MATCH($A46,'Eurostat EB TJ GWh'!$A$2:$A$146,0),MATCH(AH$3,'Eurostat EB TJ GWh'!$A$2:$BV$2,0))</f>
        <v>0</v>
      </c>
      <c r="AI46" s="57">
        <f>INDEX('Eurostat EB TJ GWh'!$A$2:$BV$146,MATCH($A46,'Eurostat EB TJ GWh'!$A$2:$A$146,0),MATCH(AI$3,'Eurostat EB TJ GWh'!$A$2:$BV$2,0))</f>
        <v>0</v>
      </c>
      <c r="AJ46" s="57">
        <f>INDEX('Eurostat EB TJ GWh'!$A$2:$BV$146,MATCH($A46,'Eurostat EB TJ GWh'!$A$2:$A$146,0),MATCH(AJ$3,'Eurostat EB TJ GWh'!$A$2:$BV$2,0))</f>
        <v>0</v>
      </c>
      <c r="AK46" s="57">
        <f>INDEX('Eurostat EB TJ GWh'!$A$2:$BV$146,MATCH($A46,'Eurostat EB TJ GWh'!$A$2:$A$146,0),MATCH(AK$3,'Eurostat EB TJ GWh'!$A$2:$BV$2,0))</f>
        <v>0</v>
      </c>
      <c r="AL46" s="57">
        <f>INDEX('Eurostat EB TJ GWh'!$A$2:$BV$146,MATCH($A46,'Eurostat EB TJ GWh'!$A$2:$A$146,0),MATCH(AL$3,'Eurostat EB TJ GWh'!$A$2:$BV$2,0))</f>
        <v>0</v>
      </c>
      <c r="AM46" s="57">
        <f>INDEX('Eurostat EB TJ GWh'!$A$2:$BV$146,MATCH($A46,'Eurostat EB TJ GWh'!$A$2:$A$146,0),MATCH(AM$3,'Eurostat EB TJ GWh'!$A$2:$BV$2,0))</f>
        <v>0</v>
      </c>
      <c r="AN46" s="57">
        <f>INDEX('Eurostat EB TJ GWh'!$A$2:$BV$146,MATCH($A46,'Eurostat EB TJ GWh'!$A$2:$A$146,0),MATCH(AN$3,'Eurostat EB TJ GWh'!$A$2:$BV$2,0))</f>
        <v>0</v>
      </c>
      <c r="AO46" s="57">
        <f>INDEX('Eurostat EB TJ GWh'!$A$2:$BV$146,MATCH($A46,'Eurostat EB TJ GWh'!$A$2:$A$146,0),MATCH(AO$3,'Eurostat EB TJ GWh'!$A$2:$BV$2,0))</f>
        <v>0</v>
      </c>
      <c r="AP46" s="57">
        <f>INDEX('Eurostat EB TJ GWh'!$A$2:$BV$146,MATCH($A46,'Eurostat EB TJ GWh'!$A$2:$A$146,0),MATCH(AP$3,'Eurostat EB TJ GWh'!$A$2:$BV$2,0))</f>
        <v>0</v>
      </c>
      <c r="AQ46" s="57">
        <f>INDEX('Eurostat EB TJ GWh'!$A$2:$BV$146,MATCH($A46,'Eurostat EB TJ GWh'!$A$2:$A$146,0),MATCH(AQ$3,'Eurostat EB TJ GWh'!$A$2:$BV$2,0))</f>
        <v>0</v>
      </c>
      <c r="AR46" s="57">
        <f>INDEX('Eurostat EB TJ GWh'!$A$2:$BV$146,MATCH($A46,'Eurostat EB TJ GWh'!$A$2:$A$146,0),MATCH(AR$3,'Eurostat EB TJ GWh'!$A$2:$BV$2,0))</f>
        <v>0</v>
      </c>
      <c r="AS46" s="57">
        <f>INDEX('Eurostat EB TJ GWh'!$A$2:$BV$146,MATCH($A46,'Eurostat EB TJ GWh'!$A$2:$A$146,0),MATCH(AS$3,'Eurostat EB TJ GWh'!$A$2:$BV$2,0))</f>
        <v>0</v>
      </c>
      <c r="AT46" s="57">
        <f>INDEX('Eurostat EB TJ GWh'!$A$2:$BV$146,MATCH($A46,'Eurostat EB TJ GWh'!$A$2:$A$146,0),MATCH(AT$3,'Eurostat EB TJ GWh'!$A$2:$BV$2,0))</f>
        <v>0</v>
      </c>
      <c r="AU46" s="57">
        <f>INDEX('Eurostat EB TJ GWh'!$A$2:$BV$146,MATCH($A46,'Eurostat EB TJ GWh'!$A$2:$A$146,0),MATCH(AU$3,'Eurostat EB TJ GWh'!$A$2:$BV$2,0))</f>
        <v>0</v>
      </c>
      <c r="AV46" s="57">
        <f>INDEX('Eurostat EB TJ GWh'!$A$2:$BV$146,MATCH($A46,'Eurostat EB TJ GWh'!$A$2:$A$146,0),MATCH(AV$2,'Eurostat EB TJ GWh'!$A$2:$BV$2,0))+INDEX('Eurostat EB TJ GWh'!$A$2:$BV$146,MATCH($A46,'Eurostat EB TJ GWh'!$A$2:$A$146,0),MATCH(AV$3,'Eurostat EB TJ GWh'!$A$2:$BV$2,0))</f>
        <v>0</v>
      </c>
      <c r="AW46" s="57">
        <f>INDEX('Eurostat EB TJ GWh'!$A$2:$BV$146,MATCH($A46,'Eurostat EB TJ GWh'!$A$2:$A$146,0),MATCH(AW$2,'Eurostat EB TJ GWh'!$A$2:$BV$2,0))+INDEX('Eurostat EB TJ GWh'!$A$2:$BV$146,MATCH($A46,'Eurostat EB TJ GWh'!$A$2:$A$146,0),MATCH(AW$3,'Eurostat EB TJ GWh'!$A$2:$BV$2,0))</f>
        <v>0</v>
      </c>
      <c r="AX46" s="57">
        <f>INDEX('Eurostat EB TJ GWh'!$A$2:$BV$146,MATCH($A46,'Eurostat EB TJ GWh'!$A$2:$A$146,0),MATCH(AX$3,'Eurostat EB TJ GWh'!$A$2:$BV$2,0))</f>
        <v>0</v>
      </c>
      <c r="AY46" s="72">
        <v>0</v>
      </c>
      <c r="AZ46" s="57">
        <f>INDEX('Eurostat EB TJ GWh'!$A$2:$BV$146,MATCH($A46,'Eurostat EB TJ GWh'!$A$2:$A$146,0),MATCH(AZ$3,'Eurostat EB TJ GWh'!$A$2:$BV$2,0))</f>
        <v>0</v>
      </c>
      <c r="BA46" s="72">
        <v>0</v>
      </c>
      <c r="BB46" s="72">
        <v>0</v>
      </c>
      <c r="BC46" s="57">
        <f>INDEX('Eurostat EB TJ GWh'!$A$2:$BV$146,MATCH($A46,'Eurostat EB TJ GWh'!$A$2:$A$146,0),MATCH(BC$3,'Eurostat EB TJ GWh'!$A$2:$BV$2,0))</f>
        <v>0</v>
      </c>
      <c r="BD46" s="57">
        <f>INDEX('Eurostat EB TJ GWh'!$A$2:$BV$146,MATCH($A46,'Eurostat EB TJ GWh'!$A$2:$A$146,0),MATCH(BD$3,'Eurostat EB TJ GWh'!$A$2:$BV$2,0))</f>
        <v>0</v>
      </c>
      <c r="BE46" s="57">
        <f>INDEX('Eurostat EB TJ GWh'!$A$2:$BV$146,MATCH($A46,'Eurostat EB TJ GWh'!$A$2:$A$146,0),MATCH(BE$3,'Eurostat EB TJ GWh'!$A$2:$BV$2,0))</f>
        <v>0</v>
      </c>
      <c r="BF46" s="57">
        <f>INDEX('Eurostat EB TJ GWh'!$A$2:$BV$146,MATCH($A46,'Eurostat EB TJ GWh'!$A$2:$A$146,0),MATCH(BF$3,'Eurostat EB TJ GWh'!$A$2:$BV$2,0))</f>
        <v>0</v>
      </c>
      <c r="BG46" s="57">
        <f>INDEX('Eurostat EB TJ GWh'!$A$2:$BV$146,MATCH($A46,'Eurostat EB TJ GWh'!$A$2:$A$146,0),MATCH(BG$3,'Eurostat EB TJ GWh'!$A$2:$BV$2,0))</f>
        <v>0</v>
      </c>
      <c r="BH46" s="57">
        <f>INDEX('Eurostat EB TJ GWh'!$A$2:$BV$146,MATCH($A46,'Eurostat EB TJ GWh'!$A$2:$A$146,0),MATCH(BH$3,'Eurostat EB TJ GWh'!$A$2:$BV$2,0))</f>
        <v>0</v>
      </c>
      <c r="BI46" s="57">
        <f>INDEX('Eurostat EB TJ GWh'!$A$2:$BV$146,MATCH($A46,'Eurostat EB TJ GWh'!$A$2:$A$146,0),MATCH(BI$3,'Eurostat EB TJ GWh'!$A$2:$BV$2,0))</f>
        <v>0</v>
      </c>
      <c r="BJ46" s="72">
        <v>0</v>
      </c>
      <c r="BK46" s="57">
        <f>INDEX('Eurostat EB TJ GWh'!$A$2:$BV$146,MATCH($A46,'Eurostat EB TJ GWh'!$A$2:$A$146,0),MATCH(BK$3,'Eurostat EB TJ GWh'!$A$2:$BV$2,0))</f>
        <v>232097.47899999999</v>
      </c>
      <c r="BL46" s="57">
        <f>INDEX('Eurostat EB TJ GWh'!$A$2:$BV$146,MATCH($A46,'Eurostat EB TJ GWh'!$A$2:$A$146,0),MATCH(BL$3,'Eurostat EB TJ GWh'!$A$2:$BV$2,0))</f>
        <v>0</v>
      </c>
      <c r="BM46" s="57">
        <f>INDEX('Eurostat EB TJ GWh'!$A$2:$BV$146,MATCH($A46,'Eurostat EB TJ GWh'!$A$2:$A$146,0),MATCH(BM$3,'Eurostat EB TJ GWh'!$A$2:$BV$2,0))</f>
        <v>232097.47899999999</v>
      </c>
      <c r="BN46" s="57">
        <f>INDEX('Eurostat EB TJ GWh'!$A$2:$BV$146,MATCH($A46,'Eurostat EB TJ GWh'!$A$2:$A$146,0),MATCH(BN$3,'Eurostat EB TJ GWh'!$A$2:$BV$2,0))</f>
        <v>15451.673000000001</v>
      </c>
    </row>
    <row r="47" spans="1:66" x14ac:dyDescent="0.2">
      <c r="A47" s="56" t="s">
        <v>235</v>
      </c>
      <c r="B47" s="65" t="s">
        <v>323</v>
      </c>
      <c r="C47" s="65" t="s">
        <v>323</v>
      </c>
      <c r="D47" s="17">
        <f>INDEX('Eurostat EB TJ GWh'!$A$2:$BV$146,MATCH($A47,'Eurostat EB TJ GWh'!$A$2:$A$146,0),MATCH(D$3,'Eurostat EB TJ GWh'!$A$2:$BV$2,0))</f>
        <v>0</v>
      </c>
      <c r="E47" s="17">
        <f>INDEX('Eurostat EB TJ GWh'!$A$2:$BV$146,MATCH($A47,'Eurostat EB TJ GWh'!$A$2:$A$146,0),MATCH(E$3,'Eurostat EB TJ GWh'!$A$2:$BV$2,0))</f>
        <v>0</v>
      </c>
      <c r="F47" s="17">
        <f>INDEX('Eurostat EB TJ GWh'!$A$2:$BV$146,MATCH($A47,'Eurostat EB TJ GWh'!$A$2:$A$146,0),MATCH(F$3,'Eurostat EB TJ GWh'!$A$2:$BV$2,0))</f>
        <v>0</v>
      </c>
      <c r="G47" s="17">
        <f>INDEX('Eurostat EB TJ GWh'!$A$2:$BV$146,MATCH($A47,'Eurostat EB TJ GWh'!$A$2:$A$146,0),MATCH(G$3,'Eurostat EB TJ GWh'!$A$2:$BV$2,0))</f>
        <v>0</v>
      </c>
      <c r="H47" s="17">
        <f>INDEX('Eurostat EB TJ GWh'!$A$2:$BV$146,MATCH($A47,'Eurostat EB TJ GWh'!$A$2:$A$146,0),MATCH(H$3,'Eurostat EB TJ GWh'!$A$2:$BV$2,0))</f>
        <v>0</v>
      </c>
      <c r="I47" s="17">
        <f>INDEX('Eurostat EB TJ GWh'!$A$2:$BV$146,MATCH($A47,'Eurostat EB TJ GWh'!$A$2:$A$146,0),MATCH(I$3,'Eurostat EB TJ GWh'!$A$2:$BV$2,0))</f>
        <v>0</v>
      </c>
      <c r="J47" s="17">
        <f>INDEX('Eurostat EB TJ GWh'!$A$2:$BV$146,MATCH($A47,'Eurostat EB TJ GWh'!$A$2:$A$146,0),MATCH(J$3,'Eurostat EB TJ GWh'!$A$2:$BV$2,0))</f>
        <v>0</v>
      </c>
      <c r="K47" s="17">
        <f>INDEX('Eurostat EB TJ GWh'!$A$2:$BV$146,MATCH($A47,'Eurostat EB TJ GWh'!$A$2:$A$146,0),MATCH(K$3,'Eurostat EB TJ GWh'!$A$2:$BV$2,0))</f>
        <v>0</v>
      </c>
      <c r="L47" s="17">
        <f>INDEX('Eurostat EB TJ GWh'!$A$2:$BV$146,MATCH($A47,'Eurostat EB TJ GWh'!$A$2:$A$146,0),MATCH(L$3,'Eurostat EB TJ GWh'!$A$2:$BV$2,0))</f>
        <v>0</v>
      </c>
      <c r="M47" s="17">
        <f>INDEX('Eurostat EB TJ GWh'!$A$2:$BV$146,MATCH($A47,'Eurostat EB TJ GWh'!$A$2:$A$146,0),MATCH(M$3,'Eurostat EB TJ GWh'!$A$2:$BV$2,0))</f>
        <v>0</v>
      </c>
      <c r="N47" s="17">
        <f>INDEX('Eurostat EB TJ GWh'!$A$2:$BV$146,MATCH($A47,'Eurostat EB TJ GWh'!$A$2:$A$146,0),MATCH(N$3,'Eurostat EB TJ GWh'!$A$2:$BV$2,0))</f>
        <v>0</v>
      </c>
      <c r="O47" s="17">
        <f>INDEX('Eurostat EB TJ GWh'!$A$2:$BV$146,MATCH($A47,'Eurostat EB TJ GWh'!$A$2:$A$146,0),MATCH(O$3,'Eurostat EB TJ GWh'!$A$2:$BV$2,0))</f>
        <v>0</v>
      </c>
      <c r="P47" s="17">
        <f>INDEX('Eurostat EB TJ GWh'!$A$2:$BV$146,MATCH($A47,'Eurostat EB TJ GWh'!$A$2:$A$146,0),MATCH(P$3,'Eurostat EB TJ GWh'!$A$2:$BV$2,0))</f>
        <v>0</v>
      </c>
      <c r="Q47" s="17">
        <f>INDEX('Eurostat EB TJ GWh'!$A$2:$BV$146,MATCH($A47,'Eurostat EB TJ GWh'!$A$2:$A$146,0),MATCH(Q$3,'Eurostat EB TJ GWh'!$A$2:$BV$2,0))</f>
        <v>0</v>
      </c>
      <c r="R47" s="17">
        <f>INDEX('Eurostat EB TJ GWh'!$A$2:$BV$146,MATCH($A47,'Eurostat EB TJ GWh'!$A$2:$A$146,0),MATCH(R$2,'Eurostat EB TJ GWh'!$A$2:$BV$2,0))+INDEX('Eurostat EB TJ GWh'!$A$2:$BV$146,MATCH($A47,'Eurostat EB TJ GWh'!$A$2:$A$146,0),MATCH(R$3,'Eurostat EB TJ GWh'!$A$2:$BV$2,0))</f>
        <v>0</v>
      </c>
      <c r="S47" s="17">
        <f>INDEX('Eurostat EB TJ GWh'!$A$2:$BV$146,MATCH($A47,'Eurostat EB TJ GWh'!$A$2:$A$146,0),MATCH(S$3,'Eurostat EB TJ GWh'!$A$2:$BV$2,0))</f>
        <v>0</v>
      </c>
      <c r="T47" s="65" t="s">
        <v>323</v>
      </c>
      <c r="U47" s="17">
        <f>INDEX('Eurostat EB TJ GWh'!$A$2:$BV$146,MATCH($A47,'Eurostat EB TJ GWh'!$A$2:$A$146,0),MATCH(U$3,'Eurostat EB TJ GWh'!$A$2:$BV$2,0))</f>
        <v>0</v>
      </c>
      <c r="V47" s="17">
        <f>INDEX('Eurostat EB TJ GWh'!$A$2:$BV$146,MATCH($A47,'Eurostat EB TJ GWh'!$A$2:$A$146,0),MATCH(V$3,'Eurostat EB TJ GWh'!$A$2:$BV$2,0))</f>
        <v>0</v>
      </c>
      <c r="W47" s="17">
        <f>INDEX('Eurostat EB TJ GWh'!$A$2:$BV$146,MATCH($A47,'Eurostat EB TJ GWh'!$A$2:$A$146,0),MATCH(W$3,'Eurostat EB TJ GWh'!$A$2:$BV$2,0))</f>
        <v>0</v>
      </c>
      <c r="X47" s="17">
        <f>INDEX('Eurostat EB TJ GWh'!$A$2:$BV$146,MATCH($A47,'Eurostat EB TJ GWh'!$A$2:$A$146,0),MATCH(X$3,'Eurostat EB TJ GWh'!$A$2:$BV$2,0))</f>
        <v>0</v>
      </c>
      <c r="Y47" s="17">
        <f>INDEX('Eurostat EB TJ GWh'!$A$2:$BV$146,MATCH($A47,'Eurostat EB TJ GWh'!$A$2:$A$146,0),MATCH(Y$3,'Eurostat EB TJ GWh'!$A$2:$BV$2,0))</f>
        <v>0</v>
      </c>
      <c r="Z47" s="17">
        <f>INDEX('Eurostat EB TJ GWh'!$A$2:$BV$146,MATCH($A47,'Eurostat EB TJ GWh'!$A$2:$A$146,0),MATCH(Z$3,'Eurostat EB TJ GWh'!$A$2:$BV$2,0))</f>
        <v>0</v>
      </c>
      <c r="AA47" s="17">
        <f>INDEX('Eurostat EB TJ GWh'!$A$2:$BV$146,MATCH($A47,'Eurostat EB TJ GWh'!$A$2:$A$146,0),MATCH(AA$3,'Eurostat EB TJ GWh'!$A$2:$BV$2,0))</f>
        <v>0</v>
      </c>
      <c r="AB47" s="17">
        <f>INDEX('Eurostat EB TJ GWh'!$A$2:$BV$146,MATCH($A47,'Eurostat EB TJ GWh'!$A$2:$A$146,0),MATCH(AB$3,'Eurostat EB TJ GWh'!$A$2:$BV$2,0))</f>
        <v>0</v>
      </c>
      <c r="AC47" s="17">
        <f>INDEX('Eurostat EB TJ GWh'!$A$2:$BV$146,MATCH($A47,'Eurostat EB TJ GWh'!$A$2:$A$146,0),MATCH(AC$3,'Eurostat EB TJ GWh'!$A$2:$BV$2,0))</f>
        <v>0</v>
      </c>
      <c r="AD47" s="17">
        <f>INDEX('Eurostat EB TJ GWh'!$A$2:$BV$146,MATCH($A47,'Eurostat EB TJ GWh'!$A$2:$A$146,0),MATCH(AD$3,'Eurostat EB TJ GWh'!$A$2:$BV$2,0))</f>
        <v>0</v>
      </c>
      <c r="AE47" s="17">
        <f>INDEX('Eurostat EB TJ GWh'!$A$2:$BV$146,MATCH($A47,'Eurostat EB TJ GWh'!$A$2:$A$146,0),MATCH(AE$3,'Eurostat EB TJ GWh'!$A$2:$BV$2,0))</f>
        <v>0</v>
      </c>
      <c r="AF47" s="17">
        <f>INDEX('Eurostat EB TJ GWh'!$A$2:$BV$146,MATCH($A47,'Eurostat EB TJ GWh'!$A$2:$A$146,0),MATCH(AF$3,'Eurostat EB TJ GWh'!$A$2:$BV$2,0))</f>
        <v>0</v>
      </c>
      <c r="AG47" s="17">
        <f>INDEX('Eurostat EB TJ GWh'!$A$2:$BV$146,MATCH($A47,'Eurostat EB TJ GWh'!$A$2:$A$146,0),MATCH(AG$3,'Eurostat EB TJ GWh'!$A$2:$BV$2,0))</f>
        <v>0</v>
      </c>
      <c r="AH47" s="17">
        <f>INDEX('Eurostat EB TJ GWh'!$A$2:$BV$146,MATCH($A47,'Eurostat EB TJ GWh'!$A$2:$A$146,0),MATCH(AH$3,'Eurostat EB TJ GWh'!$A$2:$BV$2,0))</f>
        <v>0</v>
      </c>
      <c r="AI47" s="17">
        <f>INDEX('Eurostat EB TJ GWh'!$A$2:$BV$146,MATCH($A47,'Eurostat EB TJ GWh'!$A$2:$A$146,0),MATCH(AI$3,'Eurostat EB TJ GWh'!$A$2:$BV$2,0))</f>
        <v>0</v>
      </c>
      <c r="AJ47" s="17">
        <f>INDEX('Eurostat EB TJ GWh'!$A$2:$BV$146,MATCH($A47,'Eurostat EB TJ GWh'!$A$2:$A$146,0),MATCH(AJ$3,'Eurostat EB TJ GWh'!$A$2:$BV$2,0))</f>
        <v>0</v>
      </c>
      <c r="AK47" s="17">
        <f>INDEX('Eurostat EB TJ GWh'!$A$2:$BV$146,MATCH($A47,'Eurostat EB TJ GWh'!$A$2:$A$146,0),MATCH(AK$3,'Eurostat EB TJ GWh'!$A$2:$BV$2,0))</f>
        <v>0</v>
      </c>
      <c r="AL47" s="17">
        <f>INDEX('Eurostat EB TJ GWh'!$A$2:$BV$146,MATCH($A47,'Eurostat EB TJ GWh'!$A$2:$A$146,0),MATCH(AL$3,'Eurostat EB TJ GWh'!$A$2:$BV$2,0))</f>
        <v>0</v>
      </c>
      <c r="AM47" s="17">
        <f>INDEX('Eurostat EB TJ GWh'!$A$2:$BV$146,MATCH($A47,'Eurostat EB TJ GWh'!$A$2:$A$146,0),MATCH(AM$3,'Eurostat EB TJ GWh'!$A$2:$BV$2,0))</f>
        <v>0</v>
      </c>
      <c r="AN47" s="17">
        <f>INDEX('Eurostat EB TJ GWh'!$A$2:$BV$146,MATCH($A47,'Eurostat EB TJ GWh'!$A$2:$A$146,0),MATCH(AN$3,'Eurostat EB TJ GWh'!$A$2:$BV$2,0))</f>
        <v>0</v>
      </c>
      <c r="AO47" s="17">
        <f>INDEX('Eurostat EB TJ GWh'!$A$2:$BV$146,MATCH($A47,'Eurostat EB TJ GWh'!$A$2:$A$146,0),MATCH(AO$3,'Eurostat EB TJ GWh'!$A$2:$BV$2,0))</f>
        <v>0</v>
      </c>
      <c r="AP47" s="17">
        <f>INDEX('Eurostat EB TJ GWh'!$A$2:$BV$146,MATCH($A47,'Eurostat EB TJ GWh'!$A$2:$A$146,0),MATCH(AP$3,'Eurostat EB TJ GWh'!$A$2:$BV$2,0))</f>
        <v>0</v>
      </c>
      <c r="AQ47" s="17">
        <f>INDEX('Eurostat EB TJ GWh'!$A$2:$BV$146,MATCH($A47,'Eurostat EB TJ GWh'!$A$2:$A$146,0),MATCH(AQ$3,'Eurostat EB TJ GWh'!$A$2:$BV$2,0))</f>
        <v>0</v>
      </c>
      <c r="AR47" s="17">
        <f>INDEX('Eurostat EB TJ GWh'!$A$2:$BV$146,MATCH($A47,'Eurostat EB TJ GWh'!$A$2:$A$146,0),MATCH(AR$3,'Eurostat EB TJ GWh'!$A$2:$BV$2,0))</f>
        <v>0</v>
      </c>
      <c r="AS47" s="17">
        <f>INDEX('Eurostat EB TJ GWh'!$A$2:$BV$146,MATCH($A47,'Eurostat EB TJ GWh'!$A$2:$A$146,0),MATCH(AS$3,'Eurostat EB TJ GWh'!$A$2:$BV$2,0))</f>
        <v>0</v>
      </c>
      <c r="AT47" s="17">
        <f>INDEX('Eurostat EB TJ GWh'!$A$2:$BV$146,MATCH($A47,'Eurostat EB TJ GWh'!$A$2:$A$146,0),MATCH(AT$3,'Eurostat EB TJ GWh'!$A$2:$BV$2,0))</f>
        <v>0</v>
      </c>
      <c r="AU47" s="17">
        <f>INDEX('Eurostat EB TJ GWh'!$A$2:$BV$146,MATCH($A47,'Eurostat EB TJ GWh'!$A$2:$A$146,0),MATCH(AU$3,'Eurostat EB TJ GWh'!$A$2:$BV$2,0))</f>
        <v>0</v>
      </c>
      <c r="AV47" s="17">
        <f>INDEX('Eurostat EB TJ GWh'!$A$2:$BV$146,MATCH($A47,'Eurostat EB TJ GWh'!$A$2:$A$146,0),MATCH(AV$2,'Eurostat EB TJ GWh'!$A$2:$BV$2,0))+INDEX('Eurostat EB TJ GWh'!$A$2:$BV$146,MATCH($A47,'Eurostat EB TJ GWh'!$A$2:$A$146,0),MATCH(AV$3,'Eurostat EB TJ GWh'!$A$2:$BV$2,0))</f>
        <v>0</v>
      </c>
      <c r="AW47" s="17">
        <f>INDEX('Eurostat EB TJ GWh'!$A$2:$BV$146,MATCH($A47,'Eurostat EB TJ GWh'!$A$2:$A$146,0),MATCH(AW$2,'Eurostat EB TJ GWh'!$A$2:$BV$2,0))+INDEX('Eurostat EB TJ GWh'!$A$2:$BV$146,MATCH($A47,'Eurostat EB TJ GWh'!$A$2:$A$146,0),MATCH(AW$3,'Eurostat EB TJ GWh'!$A$2:$BV$2,0))</f>
        <v>0</v>
      </c>
      <c r="AX47" s="17">
        <f>INDEX('Eurostat EB TJ GWh'!$A$2:$BV$146,MATCH($A47,'Eurostat EB TJ GWh'!$A$2:$A$146,0),MATCH(AX$3,'Eurostat EB TJ GWh'!$A$2:$BV$2,0))</f>
        <v>0</v>
      </c>
      <c r="AY47" s="65">
        <v>0</v>
      </c>
      <c r="AZ47" s="17">
        <f>INDEX('Eurostat EB TJ GWh'!$A$2:$BV$146,MATCH($A47,'Eurostat EB TJ GWh'!$A$2:$A$146,0),MATCH(AZ$3,'Eurostat EB TJ GWh'!$A$2:$BV$2,0))</f>
        <v>0</v>
      </c>
      <c r="BA47" s="65">
        <v>0</v>
      </c>
      <c r="BB47" s="65">
        <v>0</v>
      </c>
      <c r="BC47" s="17">
        <f>INDEX('Eurostat EB TJ GWh'!$A$2:$BV$146,MATCH($A47,'Eurostat EB TJ GWh'!$A$2:$A$146,0),MATCH(BC$3,'Eurostat EB TJ GWh'!$A$2:$BV$2,0))</f>
        <v>0</v>
      </c>
      <c r="BD47" s="17">
        <f>INDEX('Eurostat EB TJ GWh'!$A$2:$BV$146,MATCH($A47,'Eurostat EB TJ GWh'!$A$2:$A$146,0),MATCH(BD$3,'Eurostat EB TJ GWh'!$A$2:$BV$2,0))</f>
        <v>0</v>
      </c>
      <c r="BE47" s="17">
        <f>INDEX('Eurostat EB TJ GWh'!$A$2:$BV$146,MATCH($A47,'Eurostat EB TJ GWh'!$A$2:$A$146,0),MATCH(BE$3,'Eurostat EB TJ GWh'!$A$2:$BV$2,0))</f>
        <v>0</v>
      </c>
      <c r="BF47" s="17">
        <f>INDEX('Eurostat EB TJ GWh'!$A$2:$BV$146,MATCH($A47,'Eurostat EB TJ GWh'!$A$2:$A$146,0),MATCH(BF$3,'Eurostat EB TJ GWh'!$A$2:$BV$2,0))</f>
        <v>0</v>
      </c>
      <c r="BG47" s="17">
        <f>INDEX('Eurostat EB TJ GWh'!$A$2:$BV$146,MATCH($A47,'Eurostat EB TJ GWh'!$A$2:$A$146,0),MATCH(BG$3,'Eurostat EB TJ GWh'!$A$2:$BV$2,0))</f>
        <v>0</v>
      </c>
      <c r="BH47" s="17">
        <f>INDEX('Eurostat EB TJ GWh'!$A$2:$BV$146,MATCH($A47,'Eurostat EB TJ GWh'!$A$2:$A$146,0),MATCH(BH$3,'Eurostat EB TJ GWh'!$A$2:$BV$2,0))</f>
        <v>0</v>
      </c>
      <c r="BI47" s="17">
        <f>INDEX('Eurostat EB TJ GWh'!$A$2:$BV$146,MATCH($A47,'Eurostat EB TJ GWh'!$A$2:$A$146,0),MATCH(BI$3,'Eurostat EB TJ GWh'!$A$2:$BV$2,0))</f>
        <v>0</v>
      </c>
      <c r="BJ47" s="65">
        <v>0</v>
      </c>
      <c r="BK47" s="17">
        <f>INDEX('Eurostat EB TJ GWh'!$A$2:$BV$146,MATCH($A47,'Eurostat EB TJ GWh'!$A$2:$A$146,0),MATCH(BK$3,'Eurostat EB TJ GWh'!$A$2:$BV$2,0))</f>
        <v>58257.402999999998</v>
      </c>
      <c r="BL47" s="17">
        <f>INDEX('Eurostat EB TJ GWh'!$A$2:$BV$146,MATCH($A47,'Eurostat EB TJ GWh'!$A$2:$A$146,0),MATCH(BL$3,'Eurostat EB TJ GWh'!$A$2:$BV$2,0))</f>
        <v>31806.674999999999</v>
      </c>
      <c r="BM47" s="17">
        <f>INDEX('Eurostat EB TJ GWh'!$A$2:$BV$146,MATCH($A47,'Eurostat EB TJ GWh'!$A$2:$A$146,0),MATCH(BM$3,'Eurostat EB TJ GWh'!$A$2:$BV$2,0))</f>
        <v>90064.077999999994</v>
      </c>
      <c r="BN47" s="17">
        <f>INDEX('Eurostat EB TJ GWh'!$A$2:$BV$146,MATCH($A47,'Eurostat EB TJ GWh'!$A$2:$A$146,0),MATCH(BN$3,'Eurostat EB TJ GWh'!$A$2:$BV$2,0))</f>
        <v>10860.61</v>
      </c>
    </row>
    <row r="48" spans="1:66" x14ac:dyDescent="0.2">
      <c r="A48" s="56" t="s">
        <v>236</v>
      </c>
      <c r="B48" s="65" t="s">
        <v>323</v>
      </c>
      <c r="C48" s="65" t="s">
        <v>323</v>
      </c>
      <c r="D48" s="57">
        <f>INDEX('Eurostat EB TJ GWh'!$A$2:$BV$146,MATCH($A48,'Eurostat EB TJ GWh'!$A$2:$A$146,0),MATCH(D$3,'Eurostat EB TJ GWh'!$A$2:$BV$2,0))</f>
        <v>0</v>
      </c>
      <c r="E48" s="57">
        <f>INDEX('Eurostat EB TJ GWh'!$A$2:$BV$146,MATCH($A48,'Eurostat EB TJ GWh'!$A$2:$A$146,0),MATCH(E$3,'Eurostat EB TJ GWh'!$A$2:$BV$2,0))</f>
        <v>0</v>
      </c>
      <c r="F48" s="57">
        <f>INDEX('Eurostat EB TJ GWh'!$A$2:$BV$146,MATCH($A48,'Eurostat EB TJ GWh'!$A$2:$A$146,0),MATCH(F$3,'Eurostat EB TJ GWh'!$A$2:$BV$2,0))</f>
        <v>0</v>
      </c>
      <c r="G48" s="57">
        <f>INDEX('Eurostat EB TJ GWh'!$A$2:$BV$146,MATCH($A48,'Eurostat EB TJ GWh'!$A$2:$A$146,0),MATCH(G$3,'Eurostat EB TJ GWh'!$A$2:$BV$2,0))</f>
        <v>0</v>
      </c>
      <c r="H48" s="57">
        <f>INDEX('Eurostat EB TJ GWh'!$A$2:$BV$146,MATCH($A48,'Eurostat EB TJ GWh'!$A$2:$A$146,0),MATCH(H$3,'Eurostat EB TJ GWh'!$A$2:$BV$2,0))</f>
        <v>0</v>
      </c>
      <c r="I48" s="57">
        <f>INDEX('Eurostat EB TJ GWh'!$A$2:$BV$146,MATCH($A48,'Eurostat EB TJ GWh'!$A$2:$A$146,0),MATCH(I$3,'Eurostat EB TJ GWh'!$A$2:$BV$2,0))</f>
        <v>0</v>
      </c>
      <c r="J48" s="57">
        <f>INDEX('Eurostat EB TJ GWh'!$A$2:$BV$146,MATCH($A48,'Eurostat EB TJ GWh'!$A$2:$A$146,0),MATCH(J$3,'Eurostat EB TJ GWh'!$A$2:$BV$2,0))</f>
        <v>0</v>
      </c>
      <c r="K48" s="57">
        <f>INDEX('Eurostat EB TJ GWh'!$A$2:$BV$146,MATCH($A48,'Eurostat EB TJ GWh'!$A$2:$A$146,0),MATCH(K$3,'Eurostat EB TJ GWh'!$A$2:$BV$2,0))</f>
        <v>0</v>
      </c>
      <c r="L48" s="57">
        <f>INDEX('Eurostat EB TJ GWh'!$A$2:$BV$146,MATCH($A48,'Eurostat EB TJ GWh'!$A$2:$A$146,0),MATCH(L$3,'Eurostat EB TJ GWh'!$A$2:$BV$2,0))</f>
        <v>0</v>
      </c>
      <c r="M48" s="57">
        <f>INDEX('Eurostat EB TJ GWh'!$A$2:$BV$146,MATCH($A48,'Eurostat EB TJ GWh'!$A$2:$A$146,0),MATCH(M$3,'Eurostat EB TJ GWh'!$A$2:$BV$2,0))</f>
        <v>0</v>
      </c>
      <c r="N48" s="57">
        <f>INDEX('Eurostat EB TJ GWh'!$A$2:$BV$146,MATCH($A48,'Eurostat EB TJ GWh'!$A$2:$A$146,0),MATCH(N$3,'Eurostat EB TJ GWh'!$A$2:$BV$2,0))</f>
        <v>0</v>
      </c>
      <c r="O48" s="57">
        <f>INDEX('Eurostat EB TJ GWh'!$A$2:$BV$146,MATCH($A48,'Eurostat EB TJ GWh'!$A$2:$A$146,0),MATCH(O$3,'Eurostat EB TJ GWh'!$A$2:$BV$2,0))</f>
        <v>0</v>
      </c>
      <c r="P48" s="57">
        <f>INDEX('Eurostat EB TJ GWh'!$A$2:$BV$146,MATCH($A48,'Eurostat EB TJ GWh'!$A$2:$A$146,0),MATCH(P$3,'Eurostat EB TJ GWh'!$A$2:$BV$2,0))</f>
        <v>0</v>
      </c>
      <c r="Q48" s="57">
        <f>INDEX('Eurostat EB TJ GWh'!$A$2:$BV$146,MATCH($A48,'Eurostat EB TJ GWh'!$A$2:$A$146,0),MATCH(Q$3,'Eurostat EB TJ GWh'!$A$2:$BV$2,0))</f>
        <v>0</v>
      </c>
      <c r="R48" s="57">
        <f>INDEX('Eurostat EB TJ GWh'!$A$2:$BV$146,MATCH($A48,'Eurostat EB TJ GWh'!$A$2:$A$146,0),MATCH(R$2,'Eurostat EB TJ GWh'!$A$2:$BV$2,0))+INDEX('Eurostat EB TJ GWh'!$A$2:$BV$146,MATCH($A48,'Eurostat EB TJ GWh'!$A$2:$A$146,0),MATCH(R$3,'Eurostat EB TJ GWh'!$A$2:$BV$2,0))</f>
        <v>0</v>
      </c>
      <c r="S48" s="57">
        <f>INDEX('Eurostat EB TJ GWh'!$A$2:$BV$146,MATCH($A48,'Eurostat EB TJ GWh'!$A$2:$A$146,0),MATCH(S$3,'Eurostat EB TJ GWh'!$A$2:$BV$2,0))</f>
        <v>0</v>
      </c>
      <c r="T48" s="65" t="s">
        <v>323</v>
      </c>
      <c r="U48" s="57">
        <f>INDEX('Eurostat EB TJ GWh'!$A$2:$BV$146,MATCH($A48,'Eurostat EB TJ GWh'!$A$2:$A$146,0),MATCH(U$3,'Eurostat EB TJ GWh'!$A$2:$BV$2,0))</f>
        <v>0</v>
      </c>
      <c r="V48" s="57">
        <f>INDEX('Eurostat EB TJ GWh'!$A$2:$BV$146,MATCH($A48,'Eurostat EB TJ GWh'!$A$2:$A$146,0),MATCH(V$3,'Eurostat EB TJ GWh'!$A$2:$BV$2,0))</f>
        <v>0</v>
      </c>
      <c r="W48" s="57">
        <f>INDEX('Eurostat EB TJ GWh'!$A$2:$BV$146,MATCH($A48,'Eurostat EB TJ GWh'!$A$2:$A$146,0),MATCH(W$3,'Eurostat EB TJ GWh'!$A$2:$BV$2,0))</f>
        <v>0</v>
      </c>
      <c r="X48" s="57">
        <f>INDEX('Eurostat EB TJ GWh'!$A$2:$BV$146,MATCH($A48,'Eurostat EB TJ GWh'!$A$2:$A$146,0),MATCH(X$3,'Eurostat EB TJ GWh'!$A$2:$BV$2,0))</f>
        <v>0</v>
      </c>
      <c r="Y48" s="57">
        <f>INDEX('Eurostat EB TJ GWh'!$A$2:$BV$146,MATCH($A48,'Eurostat EB TJ GWh'!$A$2:$A$146,0),MATCH(Y$3,'Eurostat EB TJ GWh'!$A$2:$BV$2,0))</f>
        <v>0</v>
      </c>
      <c r="Z48" s="57">
        <f>INDEX('Eurostat EB TJ GWh'!$A$2:$BV$146,MATCH($A48,'Eurostat EB TJ GWh'!$A$2:$A$146,0),MATCH(Z$3,'Eurostat EB TJ GWh'!$A$2:$BV$2,0))</f>
        <v>0</v>
      </c>
      <c r="AA48" s="57">
        <f>INDEX('Eurostat EB TJ GWh'!$A$2:$BV$146,MATCH($A48,'Eurostat EB TJ GWh'!$A$2:$A$146,0),MATCH(AA$3,'Eurostat EB TJ GWh'!$A$2:$BV$2,0))</f>
        <v>0</v>
      </c>
      <c r="AB48" s="57">
        <f>INDEX('Eurostat EB TJ GWh'!$A$2:$BV$146,MATCH($A48,'Eurostat EB TJ GWh'!$A$2:$A$146,0),MATCH(AB$3,'Eurostat EB TJ GWh'!$A$2:$BV$2,0))</f>
        <v>0</v>
      </c>
      <c r="AC48" s="57">
        <f>INDEX('Eurostat EB TJ GWh'!$A$2:$BV$146,MATCH($A48,'Eurostat EB TJ GWh'!$A$2:$A$146,0),MATCH(AC$3,'Eurostat EB TJ GWh'!$A$2:$BV$2,0))</f>
        <v>0</v>
      </c>
      <c r="AD48" s="57">
        <f>INDEX('Eurostat EB TJ GWh'!$A$2:$BV$146,MATCH($A48,'Eurostat EB TJ GWh'!$A$2:$A$146,0),MATCH(AD$3,'Eurostat EB TJ GWh'!$A$2:$BV$2,0))</f>
        <v>0</v>
      </c>
      <c r="AE48" s="57">
        <f>INDEX('Eurostat EB TJ GWh'!$A$2:$BV$146,MATCH($A48,'Eurostat EB TJ GWh'!$A$2:$A$146,0),MATCH(AE$3,'Eurostat EB TJ GWh'!$A$2:$BV$2,0))</f>
        <v>0</v>
      </c>
      <c r="AF48" s="57">
        <f>INDEX('Eurostat EB TJ GWh'!$A$2:$BV$146,MATCH($A48,'Eurostat EB TJ GWh'!$A$2:$A$146,0),MATCH(AF$3,'Eurostat EB TJ GWh'!$A$2:$BV$2,0))</f>
        <v>0</v>
      </c>
      <c r="AG48" s="57">
        <f>INDEX('Eurostat EB TJ GWh'!$A$2:$BV$146,MATCH($A48,'Eurostat EB TJ GWh'!$A$2:$A$146,0),MATCH(AG$3,'Eurostat EB TJ GWh'!$A$2:$BV$2,0))</f>
        <v>0</v>
      </c>
      <c r="AH48" s="57">
        <f>INDEX('Eurostat EB TJ GWh'!$A$2:$BV$146,MATCH($A48,'Eurostat EB TJ GWh'!$A$2:$A$146,0),MATCH(AH$3,'Eurostat EB TJ GWh'!$A$2:$BV$2,0))</f>
        <v>0</v>
      </c>
      <c r="AI48" s="57">
        <f>INDEX('Eurostat EB TJ GWh'!$A$2:$BV$146,MATCH($A48,'Eurostat EB TJ GWh'!$A$2:$A$146,0),MATCH(AI$3,'Eurostat EB TJ GWh'!$A$2:$BV$2,0))</f>
        <v>0</v>
      </c>
      <c r="AJ48" s="57">
        <f>INDEX('Eurostat EB TJ GWh'!$A$2:$BV$146,MATCH($A48,'Eurostat EB TJ GWh'!$A$2:$A$146,0),MATCH(AJ$3,'Eurostat EB TJ GWh'!$A$2:$BV$2,0))</f>
        <v>0</v>
      </c>
      <c r="AK48" s="57">
        <f>INDEX('Eurostat EB TJ GWh'!$A$2:$BV$146,MATCH($A48,'Eurostat EB TJ GWh'!$A$2:$A$146,0),MATCH(AK$3,'Eurostat EB TJ GWh'!$A$2:$BV$2,0))</f>
        <v>0</v>
      </c>
      <c r="AL48" s="57">
        <f>INDEX('Eurostat EB TJ GWh'!$A$2:$BV$146,MATCH($A48,'Eurostat EB TJ GWh'!$A$2:$A$146,0),MATCH(AL$3,'Eurostat EB TJ GWh'!$A$2:$BV$2,0))</f>
        <v>0</v>
      </c>
      <c r="AM48" s="57">
        <f>INDEX('Eurostat EB TJ GWh'!$A$2:$BV$146,MATCH($A48,'Eurostat EB TJ GWh'!$A$2:$A$146,0),MATCH(AM$3,'Eurostat EB TJ GWh'!$A$2:$BV$2,0))</f>
        <v>0</v>
      </c>
      <c r="AN48" s="57">
        <f>INDEX('Eurostat EB TJ GWh'!$A$2:$BV$146,MATCH($A48,'Eurostat EB TJ GWh'!$A$2:$A$146,0),MATCH(AN$3,'Eurostat EB TJ GWh'!$A$2:$BV$2,0))</f>
        <v>0</v>
      </c>
      <c r="AO48" s="57">
        <f>INDEX('Eurostat EB TJ GWh'!$A$2:$BV$146,MATCH($A48,'Eurostat EB TJ GWh'!$A$2:$A$146,0),MATCH(AO$3,'Eurostat EB TJ GWh'!$A$2:$BV$2,0))</f>
        <v>0</v>
      </c>
      <c r="AP48" s="57">
        <f>INDEX('Eurostat EB TJ GWh'!$A$2:$BV$146,MATCH($A48,'Eurostat EB TJ GWh'!$A$2:$A$146,0),MATCH(AP$3,'Eurostat EB TJ GWh'!$A$2:$BV$2,0))</f>
        <v>0</v>
      </c>
      <c r="AQ48" s="57">
        <f>INDEX('Eurostat EB TJ GWh'!$A$2:$BV$146,MATCH($A48,'Eurostat EB TJ GWh'!$A$2:$A$146,0),MATCH(AQ$3,'Eurostat EB TJ GWh'!$A$2:$BV$2,0))</f>
        <v>0</v>
      </c>
      <c r="AR48" s="57">
        <f>INDEX('Eurostat EB TJ GWh'!$A$2:$BV$146,MATCH($A48,'Eurostat EB TJ GWh'!$A$2:$A$146,0),MATCH(AR$3,'Eurostat EB TJ GWh'!$A$2:$BV$2,0))</f>
        <v>0</v>
      </c>
      <c r="AS48" s="57">
        <f>INDEX('Eurostat EB TJ GWh'!$A$2:$BV$146,MATCH($A48,'Eurostat EB TJ GWh'!$A$2:$A$146,0),MATCH(AS$3,'Eurostat EB TJ GWh'!$A$2:$BV$2,0))</f>
        <v>0</v>
      </c>
      <c r="AT48" s="57">
        <f>INDEX('Eurostat EB TJ GWh'!$A$2:$BV$146,MATCH($A48,'Eurostat EB TJ GWh'!$A$2:$A$146,0),MATCH(AT$3,'Eurostat EB TJ GWh'!$A$2:$BV$2,0))</f>
        <v>0</v>
      </c>
      <c r="AU48" s="57">
        <f>INDEX('Eurostat EB TJ GWh'!$A$2:$BV$146,MATCH($A48,'Eurostat EB TJ GWh'!$A$2:$A$146,0),MATCH(AU$3,'Eurostat EB TJ GWh'!$A$2:$BV$2,0))</f>
        <v>0</v>
      </c>
      <c r="AV48" s="57">
        <f>INDEX('Eurostat EB TJ GWh'!$A$2:$BV$146,MATCH($A48,'Eurostat EB TJ GWh'!$A$2:$A$146,0),MATCH(AV$2,'Eurostat EB TJ GWh'!$A$2:$BV$2,0))+INDEX('Eurostat EB TJ GWh'!$A$2:$BV$146,MATCH($A48,'Eurostat EB TJ GWh'!$A$2:$A$146,0),MATCH(AV$3,'Eurostat EB TJ GWh'!$A$2:$BV$2,0))</f>
        <v>0</v>
      </c>
      <c r="AW48" s="57">
        <f>INDEX('Eurostat EB TJ GWh'!$A$2:$BV$146,MATCH($A48,'Eurostat EB TJ GWh'!$A$2:$A$146,0),MATCH(AW$2,'Eurostat EB TJ GWh'!$A$2:$BV$2,0))+INDEX('Eurostat EB TJ GWh'!$A$2:$BV$146,MATCH($A48,'Eurostat EB TJ GWh'!$A$2:$A$146,0),MATCH(AW$3,'Eurostat EB TJ GWh'!$A$2:$BV$2,0))</f>
        <v>0</v>
      </c>
      <c r="AX48" s="57">
        <f>INDEX('Eurostat EB TJ GWh'!$A$2:$BV$146,MATCH($A48,'Eurostat EB TJ GWh'!$A$2:$A$146,0),MATCH(AX$3,'Eurostat EB TJ GWh'!$A$2:$BV$2,0))</f>
        <v>0</v>
      </c>
      <c r="AY48" s="65">
        <v>0</v>
      </c>
      <c r="AZ48" s="57">
        <f>INDEX('Eurostat EB TJ GWh'!$A$2:$BV$146,MATCH($A48,'Eurostat EB TJ GWh'!$A$2:$A$146,0),MATCH(AZ$3,'Eurostat EB TJ GWh'!$A$2:$BV$2,0))</f>
        <v>0</v>
      </c>
      <c r="BA48" s="65">
        <v>0</v>
      </c>
      <c r="BB48" s="65">
        <v>0</v>
      </c>
      <c r="BC48" s="57">
        <f>INDEX('Eurostat EB TJ GWh'!$A$2:$BV$146,MATCH($A48,'Eurostat EB TJ GWh'!$A$2:$A$146,0),MATCH(BC$3,'Eurostat EB TJ GWh'!$A$2:$BV$2,0))</f>
        <v>0</v>
      </c>
      <c r="BD48" s="57">
        <f>INDEX('Eurostat EB TJ GWh'!$A$2:$BV$146,MATCH($A48,'Eurostat EB TJ GWh'!$A$2:$A$146,0),MATCH(BD$3,'Eurostat EB TJ GWh'!$A$2:$BV$2,0))</f>
        <v>0</v>
      </c>
      <c r="BE48" s="57">
        <f>INDEX('Eurostat EB TJ GWh'!$A$2:$BV$146,MATCH($A48,'Eurostat EB TJ GWh'!$A$2:$A$146,0),MATCH(BE$3,'Eurostat EB TJ GWh'!$A$2:$BV$2,0))</f>
        <v>0</v>
      </c>
      <c r="BF48" s="57">
        <f>INDEX('Eurostat EB TJ GWh'!$A$2:$BV$146,MATCH($A48,'Eurostat EB TJ GWh'!$A$2:$A$146,0),MATCH(BF$3,'Eurostat EB TJ GWh'!$A$2:$BV$2,0))</f>
        <v>0</v>
      </c>
      <c r="BG48" s="57">
        <f>INDEX('Eurostat EB TJ GWh'!$A$2:$BV$146,MATCH($A48,'Eurostat EB TJ GWh'!$A$2:$A$146,0),MATCH(BG$3,'Eurostat EB TJ GWh'!$A$2:$BV$2,0))</f>
        <v>0</v>
      </c>
      <c r="BH48" s="57">
        <f>INDEX('Eurostat EB TJ GWh'!$A$2:$BV$146,MATCH($A48,'Eurostat EB TJ GWh'!$A$2:$A$146,0),MATCH(BH$3,'Eurostat EB TJ GWh'!$A$2:$BV$2,0))</f>
        <v>0</v>
      </c>
      <c r="BI48" s="57">
        <f>INDEX('Eurostat EB TJ GWh'!$A$2:$BV$146,MATCH($A48,'Eurostat EB TJ GWh'!$A$2:$A$146,0),MATCH(BI$3,'Eurostat EB TJ GWh'!$A$2:$BV$2,0))</f>
        <v>0</v>
      </c>
      <c r="BJ48" s="65">
        <v>0</v>
      </c>
      <c r="BK48" s="57">
        <f>INDEX('Eurostat EB TJ GWh'!$A$2:$BV$146,MATCH($A48,'Eurostat EB TJ GWh'!$A$2:$A$146,0),MATCH(BK$3,'Eurostat EB TJ GWh'!$A$2:$BV$2,0))</f>
        <v>0</v>
      </c>
      <c r="BL48" s="57">
        <f>INDEX('Eurostat EB TJ GWh'!$A$2:$BV$146,MATCH($A48,'Eurostat EB TJ GWh'!$A$2:$A$146,0),MATCH(BL$3,'Eurostat EB TJ GWh'!$A$2:$BV$2,0))</f>
        <v>17195.844000000001</v>
      </c>
      <c r="BM48" s="57">
        <f>INDEX('Eurostat EB TJ GWh'!$A$2:$BV$146,MATCH($A48,'Eurostat EB TJ GWh'!$A$2:$A$146,0),MATCH(BM$3,'Eurostat EB TJ GWh'!$A$2:$BV$2,0))</f>
        <v>17195.844000000001</v>
      </c>
      <c r="BN48" s="57">
        <f>INDEX('Eurostat EB TJ GWh'!$A$2:$BV$146,MATCH($A48,'Eurostat EB TJ GWh'!$A$2:$A$146,0),MATCH(BN$3,'Eurostat EB TJ GWh'!$A$2:$BV$2,0))</f>
        <v>3774.819</v>
      </c>
    </row>
    <row r="49" spans="1:66" x14ac:dyDescent="0.2">
      <c r="A49" s="56" t="s">
        <v>237</v>
      </c>
      <c r="B49" s="65" t="s">
        <v>323</v>
      </c>
      <c r="C49" s="65" t="s">
        <v>323</v>
      </c>
      <c r="D49" s="17">
        <f>INDEX('Eurostat EB TJ GWh'!$A$2:$BV$146,MATCH($A49,'Eurostat EB TJ GWh'!$A$2:$A$146,0),MATCH(D$3,'Eurostat EB TJ GWh'!$A$2:$BV$2,0))</f>
        <v>0</v>
      </c>
      <c r="E49" s="17">
        <f>INDEX('Eurostat EB TJ GWh'!$A$2:$BV$146,MATCH($A49,'Eurostat EB TJ GWh'!$A$2:$A$146,0),MATCH(E$3,'Eurostat EB TJ GWh'!$A$2:$BV$2,0))</f>
        <v>0</v>
      </c>
      <c r="F49" s="17">
        <f>INDEX('Eurostat EB TJ GWh'!$A$2:$BV$146,MATCH($A49,'Eurostat EB TJ GWh'!$A$2:$A$146,0),MATCH(F$3,'Eurostat EB TJ GWh'!$A$2:$BV$2,0))</f>
        <v>0</v>
      </c>
      <c r="G49" s="17">
        <f>INDEX('Eurostat EB TJ GWh'!$A$2:$BV$146,MATCH($A49,'Eurostat EB TJ GWh'!$A$2:$A$146,0),MATCH(G$3,'Eurostat EB TJ GWh'!$A$2:$BV$2,0))</f>
        <v>0</v>
      </c>
      <c r="H49" s="17">
        <f>INDEX('Eurostat EB TJ GWh'!$A$2:$BV$146,MATCH($A49,'Eurostat EB TJ GWh'!$A$2:$A$146,0),MATCH(H$3,'Eurostat EB TJ GWh'!$A$2:$BV$2,0))</f>
        <v>0</v>
      </c>
      <c r="I49" s="17">
        <f>INDEX('Eurostat EB TJ GWh'!$A$2:$BV$146,MATCH($A49,'Eurostat EB TJ GWh'!$A$2:$A$146,0),MATCH(I$3,'Eurostat EB TJ GWh'!$A$2:$BV$2,0))</f>
        <v>0</v>
      </c>
      <c r="J49" s="17">
        <f>INDEX('Eurostat EB TJ GWh'!$A$2:$BV$146,MATCH($A49,'Eurostat EB TJ GWh'!$A$2:$A$146,0),MATCH(J$3,'Eurostat EB TJ GWh'!$A$2:$BV$2,0))</f>
        <v>0</v>
      </c>
      <c r="K49" s="17">
        <f>INDEX('Eurostat EB TJ GWh'!$A$2:$BV$146,MATCH($A49,'Eurostat EB TJ GWh'!$A$2:$A$146,0),MATCH(K$3,'Eurostat EB TJ GWh'!$A$2:$BV$2,0))</f>
        <v>0</v>
      </c>
      <c r="L49" s="17">
        <f>INDEX('Eurostat EB TJ GWh'!$A$2:$BV$146,MATCH($A49,'Eurostat EB TJ GWh'!$A$2:$A$146,0),MATCH(L$3,'Eurostat EB TJ GWh'!$A$2:$BV$2,0))</f>
        <v>0</v>
      </c>
      <c r="M49" s="17">
        <f>INDEX('Eurostat EB TJ GWh'!$A$2:$BV$146,MATCH($A49,'Eurostat EB TJ GWh'!$A$2:$A$146,0),MATCH(M$3,'Eurostat EB TJ GWh'!$A$2:$BV$2,0))</f>
        <v>0</v>
      </c>
      <c r="N49" s="17">
        <f>INDEX('Eurostat EB TJ GWh'!$A$2:$BV$146,MATCH($A49,'Eurostat EB TJ GWh'!$A$2:$A$146,0),MATCH(N$3,'Eurostat EB TJ GWh'!$A$2:$BV$2,0))</f>
        <v>0</v>
      </c>
      <c r="O49" s="17">
        <f>INDEX('Eurostat EB TJ GWh'!$A$2:$BV$146,MATCH($A49,'Eurostat EB TJ GWh'!$A$2:$A$146,0),MATCH(O$3,'Eurostat EB TJ GWh'!$A$2:$BV$2,0))</f>
        <v>0</v>
      </c>
      <c r="P49" s="17">
        <f>INDEX('Eurostat EB TJ GWh'!$A$2:$BV$146,MATCH($A49,'Eurostat EB TJ GWh'!$A$2:$A$146,0),MATCH(P$3,'Eurostat EB TJ GWh'!$A$2:$BV$2,0))</f>
        <v>0</v>
      </c>
      <c r="Q49" s="17">
        <f>INDEX('Eurostat EB TJ GWh'!$A$2:$BV$146,MATCH($A49,'Eurostat EB TJ GWh'!$A$2:$A$146,0),MATCH(Q$3,'Eurostat EB TJ GWh'!$A$2:$BV$2,0))</f>
        <v>0</v>
      </c>
      <c r="R49" s="17">
        <f>INDEX('Eurostat EB TJ GWh'!$A$2:$BV$146,MATCH($A49,'Eurostat EB TJ GWh'!$A$2:$A$146,0),MATCH(R$2,'Eurostat EB TJ GWh'!$A$2:$BV$2,0))+INDEX('Eurostat EB TJ GWh'!$A$2:$BV$146,MATCH($A49,'Eurostat EB TJ GWh'!$A$2:$A$146,0),MATCH(R$3,'Eurostat EB TJ GWh'!$A$2:$BV$2,0))</f>
        <v>0</v>
      </c>
      <c r="S49" s="17">
        <f>INDEX('Eurostat EB TJ GWh'!$A$2:$BV$146,MATCH($A49,'Eurostat EB TJ GWh'!$A$2:$A$146,0),MATCH(S$3,'Eurostat EB TJ GWh'!$A$2:$BV$2,0))</f>
        <v>0</v>
      </c>
      <c r="T49" s="65" t="s">
        <v>323</v>
      </c>
      <c r="U49" s="17">
        <f>INDEX('Eurostat EB TJ GWh'!$A$2:$BV$146,MATCH($A49,'Eurostat EB TJ GWh'!$A$2:$A$146,0),MATCH(U$3,'Eurostat EB TJ GWh'!$A$2:$BV$2,0))</f>
        <v>0</v>
      </c>
      <c r="V49" s="17">
        <f>INDEX('Eurostat EB TJ GWh'!$A$2:$BV$146,MATCH($A49,'Eurostat EB TJ GWh'!$A$2:$A$146,0),MATCH(V$3,'Eurostat EB TJ GWh'!$A$2:$BV$2,0))</f>
        <v>0</v>
      </c>
      <c r="W49" s="17">
        <f>INDEX('Eurostat EB TJ GWh'!$A$2:$BV$146,MATCH($A49,'Eurostat EB TJ GWh'!$A$2:$A$146,0),MATCH(W$3,'Eurostat EB TJ GWh'!$A$2:$BV$2,0))</f>
        <v>0</v>
      </c>
      <c r="X49" s="17">
        <f>INDEX('Eurostat EB TJ GWh'!$A$2:$BV$146,MATCH($A49,'Eurostat EB TJ GWh'!$A$2:$A$146,0),MATCH(X$3,'Eurostat EB TJ GWh'!$A$2:$BV$2,0))</f>
        <v>0</v>
      </c>
      <c r="Y49" s="17">
        <f>INDEX('Eurostat EB TJ GWh'!$A$2:$BV$146,MATCH($A49,'Eurostat EB TJ GWh'!$A$2:$A$146,0),MATCH(Y$3,'Eurostat EB TJ GWh'!$A$2:$BV$2,0))</f>
        <v>0</v>
      </c>
      <c r="Z49" s="17">
        <f>INDEX('Eurostat EB TJ GWh'!$A$2:$BV$146,MATCH($A49,'Eurostat EB TJ GWh'!$A$2:$A$146,0),MATCH(Z$3,'Eurostat EB TJ GWh'!$A$2:$BV$2,0))</f>
        <v>0</v>
      </c>
      <c r="AA49" s="17">
        <f>INDEX('Eurostat EB TJ GWh'!$A$2:$BV$146,MATCH($A49,'Eurostat EB TJ GWh'!$A$2:$A$146,0),MATCH(AA$3,'Eurostat EB TJ GWh'!$A$2:$BV$2,0))</f>
        <v>0</v>
      </c>
      <c r="AB49" s="17">
        <f>INDEX('Eurostat EB TJ GWh'!$A$2:$BV$146,MATCH($A49,'Eurostat EB TJ GWh'!$A$2:$A$146,0),MATCH(AB$3,'Eurostat EB TJ GWh'!$A$2:$BV$2,0))</f>
        <v>0</v>
      </c>
      <c r="AC49" s="17">
        <f>INDEX('Eurostat EB TJ GWh'!$A$2:$BV$146,MATCH($A49,'Eurostat EB TJ GWh'!$A$2:$A$146,0),MATCH(AC$3,'Eurostat EB TJ GWh'!$A$2:$BV$2,0))</f>
        <v>0</v>
      </c>
      <c r="AD49" s="17">
        <f>INDEX('Eurostat EB TJ GWh'!$A$2:$BV$146,MATCH($A49,'Eurostat EB TJ GWh'!$A$2:$A$146,0),MATCH(AD$3,'Eurostat EB TJ GWh'!$A$2:$BV$2,0))</f>
        <v>0</v>
      </c>
      <c r="AE49" s="17">
        <f>INDEX('Eurostat EB TJ GWh'!$A$2:$BV$146,MATCH($A49,'Eurostat EB TJ GWh'!$A$2:$A$146,0),MATCH(AE$3,'Eurostat EB TJ GWh'!$A$2:$BV$2,0))</f>
        <v>0</v>
      </c>
      <c r="AF49" s="17">
        <f>INDEX('Eurostat EB TJ GWh'!$A$2:$BV$146,MATCH($A49,'Eurostat EB TJ GWh'!$A$2:$A$146,0),MATCH(AF$3,'Eurostat EB TJ GWh'!$A$2:$BV$2,0))</f>
        <v>0</v>
      </c>
      <c r="AG49" s="17">
        <f>INDEX('Eurostat EB TJ GWh'!$A$2:$BV$146,MATCH($A49,'Eurostat EB TJ GWh'!$A$2:$A$146,0),MATCH(AG$3,'Eurostat EB TJ GWh'!$A$2:$BV$2,0))</f>
        <v>0</v>
      </c>
      <c r="AH49" s="17">
        <f>INDEX('Eurostat EB TJ GWh'!$A$2:$BV$146,MATCH($A49,'Eurostat EB TJ GWh'!$A$2:$A$146,0),MATCH(AH$3,'Eurostat EB TJ GWh'!$A$2:$BV$2,0))</f>
        <v>0</v>
      </c>
      <c r="AI49" s="17">
        <f>INDEX('Eurostat EB TJ GWh'!$A$2:$BV$146,MATCH($A49,'Eurostat EB TJ GWh'!$A$2:$A$146,0),MATCH(AI$3,'Eurostat EB TJ GWh'!$A$2:$BV$2,0))</f>
        <v>0</v>
      </c>
      <c r="AJ49" s="17">
        <f>INDEX('Eurostat EB TJ GWh'!$A$2:$BV$146,MATCH($A49,'Eurostat EB TJ GWh'!$A$2:$A$146,0),MATCH(AJ$3,'Eurostat EB TJ GWh'!$A$2:$BV$2,0))</f>
        <v>0</v>
      </c>
      <c r="AK49" s="17">
        <f>INDEX('Eurostat EB TJ GWh'!$A$2:$BV$146,MATCH($A49,'Eurostat EB TJ GWh'!$A$2:$A$146,0),MATCH(AK$3,'Eurostat EB TJ GWh'!$A$2:$BV$2,0))</f>
        <v>0</v>
      </c>
      <c r="AL49" s="17">
        <f>INDEX('Eurostat EB TJ GWh'!$A$2:$BV$146,MATCH($A49,'Eurostat EB TJ GWh'!$A$2:$A$146,0),MATCH(AL$3,'Eurostat EB TJ GWh'!$A$2:$BV$2,0))</f>
        <v>0</v>
      </c>
      <c r="AM49" s="17">
        <f>INDEX('Eurostat EB TJ GWh'!$A$2:$BV$146,MATCH($A49,'Eurostat EB TJ GWh'!$A$2:$A$146,0),MATCH(AM$3,'Eurostat EB TJ GWh'!$A$2:$BV$2,0))</f>
        <v>0</v>
      </c>
      <c r="AN49" s="17">
        <f>INDEX('Eurostat EB TJ GWh'!$A$2:$BV$146,MATCH($A49,'Eurostat EB TJ GWh'!$A$2:$A$146,0),MATCH(AN$3,'Eurostat EB TJ GWh'!$A$2:$BV$2,0))</f>
        <v>0</v>
      </c>
      <c r="AO49" s="17">
        <f>INDEX('Eurostat EB TJ GWh'!$A$2:$BV$146,MATCH($A49,'Eurostat EB TJ GWh'!$A$2:$A$146,0),MATCH(AO$3,'Eurostat EB TJ GWh'!$A$2:$BV$2,0))</f>
        <v>0</v>
      </c>
      <c r="AP49" s="17">
        <f>INDEX('Eurostat EB TJ GWh'!$A$2:$BV$146,MATCH($A49,'Eurostat EB TJ GWh'!$A$2:$A$146,0),MATCH(AP$3,'Eurostat EB TJ GWh'!$A$2:$BV$2,0))</f>
        <v>0</v>
      </c>
      <c r="AQ49" s="17">
        <f>INDEX('Eurostat EB TJ GWh'!$A$2:$BV$146,MATCH($A49,'Eurostat EB TJ GWh'!$A$2:$A$146,0),MATCH(AQ$3,'Eurostat EB TJ GWh'!$A$2:$BV$2,0))</f>
        <v>0</v>
      </c>
      <c r="AR49" s="17">
        <f>INDEX('Eurostat EB TJ GWh'!$A$2:$BV$146,MATCH($A49,'Eurostat EB TJ GWh'!$A$2:$A$146,0),MATCH(AR$3,'Eurostat EB TJ GWh'!$A$2:$BV$2,0))</f>
        <v>0</v>
      </c>
      <c r="AS49" s="17">
        <f>INDEX('Eurostat EB TJ GWh'!$A$2:$BV$146,MATCH($A49,'Eurostat EB TJ GWh'!$A$2:$A$146,0),MATCH(AS$3,'Eurostat EB TJ GWh'!$A$2:$BV$2,0))</f>
        <v>0</v>
      </c>
      <c r="AT49" s="17">
        <f>INDEX('Eurostat EB TJ GWh'!$A$2:$BV$146,MATCH($A49,'Eurostat EB TJ GWh'!$A$2:$A$146,0),MATCH(AT$3,'Eurostat EB TJ GWh'!$A$2:$BV$2,0))</f>
        <v>0</v>
      </c>
      <c r="AU49" s="17">
        <f>INDEX('Eurostat EB TJ GWh'!$A$2:$BV$146,MATCH($A49,'Eurostat EB TJ GWh'!$A$2:$A$146,0),MATCH(AU$3,'Eurostat EB TJ GWh'!$A$2:$BV$2,0))</f>
        <v>0</v>
      </c>
      <c r="AV49" s="17">
        <f>INDEX('Eurostat EB TJ GWh'!$A$2:$BV$146,MATCH($A49,'Eurostat EB TJ GWh'!$A$2:$A$146,0),MATCH(AV$2,'Eurostat EB TJ GWh'!$A$2:$BV$2,0))+INDEX('Eurostat EB TJ GWh'!$A$2:$BV$146,MATCH($A49,'Eurostat EB TJ GWh'!$A$2:$A$146,0),MATCH(AV$3,'Eurostat EB TJ GWh'!$A$2:$BV$2,0))</f>
        <v>0</v>
      </c>
      <c r="AW49" s="17">
        <f>INDEX('Eurostat EB TJ GWh'!$A$2:$BV$146,MATCH($A49,'Eurostat EB TJ GWh'!$A$2:$A$146,0),MATCH(AW$2,'Eurostat EB TJ GWh'!$A$2:$BV$2,0))+INDEX('Eurostat EB TJ GWh'!$A$2:$BV$146,MATCH($A49,'Eurostat EB TJ GWh'!$A$2:$A$146,0),MATCH(AW$3,'Eurostat EB TJ GWh'!$A$2:$BV$2,0))</f>
        <v>0</v>
      </c>
      <c r="AX49" s="17">
        <f>INDEX('Eurostat EB TJ GWh'!$A$2:$BV$146,MATCH($A49,'Eurostat EB TJ GWh'!$A$2:$A$146,0),MATCH(AX$3,'Eurostat EB TJ GWh'!$A$2:$BV$2,0))</f>
        <v>0</v>
      </c>
      <c r="AY49" s="72">
        <v>0</v>
      </c>
      <c r="AZ49" s="17">
        <f>INDEX('Eurostat EB TJ GWh'!$A$2:$BV$146,MATCH($A49,'Eurostat EB TJ GWh'!$A$2:$A$146,0),MATCH(AZ$3,'Eurostat EB TJ GWh'!$A$2:$BV$2,0))</f>
        <v>0</v>
      </c>
      <c r="BA49" s="72">
        <v>0</v>
      </c>
      <c r="BB49" s="72">
        <v>0</v>
      </c>
      <c r="BC49" s="17">
        <f>INDEX('Eurostat EB TJ GWh'!$A$2:$BV$146,MATCH($A49,'Eurostat EB TJ GWh'!$A$2:$A$146,0),MATCH(BC$3,'Eurostat EB TJ GWh'!$A$2:$BV$2,0))</f>
        <v>0</v>
      </c>
      <c r="BD49" s="17">
        <f>INDEX('Eurostat EB TJ GWh'!$A$2:$BV$146,MATCH($A49,'Eurostat EB TJ GWh'!$A$2:$A$146,0),MATCH(BD$3,'Eurostat EB TJ GWh'!$A$2:$BV$2,0))</f>
        <v>0</v>
      </c>
      <c r="BE49" s="17">
        <f>INDEX('Eurostat EB TJ GWh'!$A$2:$BV$146,MATCH($A49,'Eurostat EB TJ GWh'!$A$2:$A$146,0),MATCH(BE$3,'Eurostat EB TJ GWh'!$A$2:$BV$2,0))</f>
        <v>0</v>
      </c>
      <c r="BF49" s="17">
        <f>INDEX('Eurostat EB TJ GWh'!$A$2:$BV$146,MATCH($A49,'Eurostat EB TJ GWh'!$A$2:$A$146,0),MATCH(BF$3,'Eurostat EB TJ GWh'!$A$2:$BV$2,0))</f>
        <v>0</v>
      </c>
      <c r="BG49" s="17">
        <f>INDEX('Eurostat EB TJ GWh'!$A$2:$BV$146,MATCH($A49,'Eurostat EB TJ GWh'!$A$2:$A$146,0),MATCH(BG$3,'Eurostat EB TJ GWh'!$A$2:$BV$2,0))</f>
        <v>0</v>
      </c>
      <c r="BH49" s="17">
        <f>INDEX('Eurostat EB TJ GWh'!$A$2:$BV$146,MATCH($A49,'Eurostat EB TJ GWh'!$A$2:$A$146,0),MATCH(BH$3,'Eurostat EB TJ GWh'!$A$2:$BV$2,0))</f>
        <v>0</v>
      </c>
      <c r="BI49" s="17">
        <f>INDEX('Eurostat EB TJ GWh'!$A$2:$BV$146,MATCH($A49,'Eurostat EB TJ GWh'!$A$2:$A$146,0),MATCH(BI$3,'Eurostat EB TJ GWh'!$A$2:$BV$2,0))</f>
        <v>0</v>
      </c>
      <c r="BJ49" s="72">
        <v>0</v>
      </c>
      <c r="BK49" s="17">
        <f>INDEX('Eurostat EB TJ GWh'!$A$2:$BV$146,MATCH($A49,'Eurostat EB TJ GWh'!$A$2:$A$146,0),MATCH(BK$3,'Eurostat EB TJ GWh'!$A$2:$BV$2,0))</f>
        <v>65848.452999999994</v>
      </c>
      <c r="BL49" s="17">
        <f>INDEX('Eurostat EB TJ GWh'!$A$2:$BV$146,MATCH($A49,'Eurostat EB TJ GWh'!$A$2:$A$146,0),MATCH(BL$3,'Eurostat EB TJ GWh'!$A$2:$BV$2,0))</f>
        <v>0</v>
      </c>
      <c r="BM49" s="17">
        <f>INDEX('Eurostat EB TJ GWh'!$A$2:$BV$146,MATCH($A49,'Eurostat EB TJ GWh'!$A$2:$A$146,0),MATCH(BM$3,'Eurostat EB TJ GWh'!$A$2:$BV$2,0))</f>
        <v>65848.452999999994</v>
      </c>
      <c r="BN49" s="17">
        <f>INDEX('Eurostat EB TJ GWh'!$A$2:$BV$146,MATCH($A49,'Eurostat EB TJ GWh'!$A$2:$A$146,0),MATCH(BN$3,'Eurostat EB TJ GWh'!$A$2:$BV$2,0))</f>
        <v>4383.799</v>
      </c>
    </row>
    <row r="50" spans="1:66" x14ac:dyDescent="0.2">
      <c r="A50" s="56" t="s">
        <v>238</v>
      </c>
      <c r="B50" s="65" t="s">
        <v>323</v>
      </c>
      <c r="C50" s="65" t="s">
        <v>323</v>
      </c>
      <c r="D50" s="57">
        <f>INDEX('Eurostat EB TJ GWh'!$A$2:$BV$146,MATCH($A50,'Eurostat EB TJ GWh'!$A$2:$A$146,0),MATCH(D$3,'Eurostat EB TJ GWh'!$A$2:$BV$2,0))</f>
        <v>0</v>
      </c>
      <c r="E50" s="57">
        <f>INDEX('Eurostat EB TJ GWh'!$A$2:$BV$146,MATCH($A50,'Eurostat EB TJ GWh'!$A$2:$A$146,0),MATCH(E$3,'Eurostat EB TJ GWh'!$A$2:$BV$2,0))</f>
        <v>0</v>
      </c>
      <c r="F50" s="57">
        <f>INDEX('Eurostat EB TJ GWh'!$A$2:$BV$146,MATCH($A50,'Eurostat EB TJ GWh'!$A$2:$A$146,0),MATCH(F$3,'Eurostat EB TJ GWh'!$A$2:$BV$2,0))</f>
        <v>0</v>
      </c>
      <c r="G50" s="57">
        <f>INDEX('Eurostat EB TJ GWh'!$A$2:$BV$146,MATCH($A50,'Eurostat EB TJ GWh'!$A$2:$A$146,0),MATCH(G$3,'Eurostat EB TJ GWh'!$A$2:$BV$2,0))</f>
        <v>0</v>
      </c>
      <c r="H50" s="57">
        <f>INDEX('Eurostat EB TJ GWh'!$A$2:$BV$146,MATCH($A50,'Eurostat EB TJ GWh'!$A$2:$A$146,0),MATCH(H$3,'Eurostat EB TJ GWh'!$A$2:$BV$2,0))</f>
        <v>0</v>
      </c>
      <c r="I50" s="57">
        <f>INDEX('Eurostat EB TJ GWh'!$A$2:$BV$146,MATCH($A50,'Eurostat EB TJ GWh'!$A$2:$A$146,0),MATCH(I$3,'Eurostat EB TJ GWh'!$A$2:$BV$2,0))</f>
        <v>0</v>
      </c>
      <c r="J50" s="57">
        <f>INDEX('Eurostat EB TJ GWh'!$A$2:$BV$146,MATCH($A50,'Eurostat EB TJ GWh'!$A$2:$A$146,0),MATCH(J$3,'Eurostat EB TJ GWh'!$A$2:$BV$2,0))</f>
        <v>0</v>
      </c>
      <c r="K50" s="57">
        <f>INDEX('Eurostat EB TJ GWh'!$A$2:$BV$146,MATCH($A50,'Eurostat EB TJ GWh'!$A$2:$A$146,0),MATCH(K$3,'Eurostat EB TJ GWh'!$A$2:$BV$2,0))</f>
        <v>0</v>
      </c>
      <c r="L50" s="57">
        <f>INDEX('Eurostat EB TJ GWh'!$A$2:$BV$146,MATCH($A50,'Eurostat EB TJ GWh'!$A$2:$A$146,0),MATCH(L$3,'Eurostat EB TJ GWh'!$A$2:$BV$2,0))</f>
        <v>0</v>
      </c>
      <c r="M50" s="57">
        <f>INDEX('Eurostat EB TJ GWh'!$A$2:$BV$146,MATCH($A50,'Eurostat EB TJ GWh'!$A$2:$A$146,0),MATCH(M$3,'Eurostat EB TJ GWh'!$A$2:$BV$2,0))</f>
        <v>0</v>
      </c>
      <c r="N50" s="57">
        <f>INDEX('Eurostat EB TJ GWh'!$A$2:$BV$146,MATCH($A50,'Eurostat EB TJ GWh'!$A$2:$A$146,0),MATCH(N$3,'Eurostat EB TJ GWh'!$A$2:$BV$2,0))</f>
        <v>0</v>
      </c>
      <c r="O50" s="57">
        <f>INDEX('Eurostat EB TJ GWh'!$A$2:$BV$146,MATCH($A50,'Eurostat EB TJ GWh'!$A$2:$A$146,0),MATCH(O$3,'Eurostat EB TJ GWh'!$A$2:$BV$2,0))</f>
        <v>0</v>
      </c>
      <c r="P50" s="57">
        <f>INDEX('Eurostat EB TJ GWh'!$A$2:$BV$146,MATCH($A50,'Eurostat EB TJ GWh'!$A$2:$A$146,0),MATCH(P$3,'Eurostat EB TJ GWh'!$A$2:$BV$2,0))</f>
        <v>0</v>
      </c>
      <c r="Q50" s="57">
        <f>INDEX('Eurostat EB TJ GWh'!$A$2:$BV$146,MATCH($A50,'Eurostat EB TJ GWh'!$A$2:$A$146,0),MATCH(Q$3,'Eurostat EB TJ GWh'!$A$2:$BV$2,0))</f>
        <v>0</v>
      </c>
      <c r="R50" s="57">
        <f>INDEX('Eurostat EB TJ GWh'!$A$2:$BV$146,MATCH($A50,'Eurostat EB TJ GWh'!$A$2:$A$146,0),MATCH(R$2,'Eurostat EB TJ GWh'!$A$2:$BV$2,0))+INDEX('Eurostat EB TJ GWh'!$A$2:$BV$146,MATCH($A50,'Eurostat EB TJ GWh'!$A$2:$A$146,0),MATCH(R$3,'Eurostat EB TJ GWh'!$A$2:$BV$2,0))</f>
        <v>0</v>
      </c>
      <c r="S50" s="57">
        <f>INDEX('Eurostat EB TJ GWh'!$A$2:$BV$146,MATCH($A50,'Eurostat EB TJ GWh'!$A$2:$A$146,0),MATCH(S$3,'Eurostat EB TJ GWh'!$A$2:$BV$2,0))</f>
        <v>0</v>
      </c>
      <c r="T50" s="65" t="s">
        <v>323</v>
      </c>
      <c r="U50" s="57">
        <f>INDEX('Eurostat EB TJ GWh'!$A$2:$BV$146,MATCH($A50,'Eurostat EB TJ GWh'!$A$2:$A$146,0),MATCH(U$3,'Eurostat EB TJ GWh'!$A$2:$BV$2,0))</f>
        <v>0</v>
      </c>
      <c r="V50" s="57">
        <f>INDEX('Eurostat EB TJ GWh'!$A$2:$BV$146,MATCH($A50,'Eurostat EB TJ GWh'!$A$2:$A$146,0),MATCH(V$3,'Eurostat EB TJ GWh'!$A$2:$BV$2,0))</f>
        <v>0</v>
      </c>
      <c r="W50" s="57">
        <f>INDEX('Eurostat EB TJ GWh'!$A$2:$BV$146,MATCH($A50,'Eurostat EB TJ GWh'!$A$2:$A$146,0),MATCH(W$3,'Eurostat EB TJ GWh'!$A$2:$BV$2,0))</f>
        <v>0</v>
      </c>
      <c r="X50" s="57">
        <f>INDEX('Eurostat EB TJ GWh'!$A$2:$BV$146,MATCH($A50,'Eurostat EB TJ GWh'!$A$2:$A$146,0),MATCH(X$3,'Eurostat EB TJ GWh'!$A$2:$BV$2,0))</f>
        <v>0</v>
      </c>
      <c r="Y50" s="57">
        <f>INDEX('Eurostat EB TJ GWh'!$A$2:$BV$146,MATCH($A50,'Eurostat EB TJ GWh'!$A$2:$A$146,0),MATCH(Y$3,'Eurostat EB TJ GWh'!$A$2:$BV$2,0))</f>
        <v>0</v>
      </c>
      <c r="Z50" s="57">
        <f>INDEX('Eurostat EB TJ GWh'!$A$2:$BV$146,MATCH($A50,'Eurostat EB TJ GWh'!$A$2:$A$146,0),MATCH(Z$3,'Eurostat EB TJ GWh'!$A$2:$BV$2,0))</f>
        <v>0</v>
      </c>
      <c r="AA50" s="57">
        <f>INDEX('Eurostat EB TJ GWh'!$A$2:$BV$146,MATCH($A50,'Eurostat EB TJ GWh'!$A$2:$A$146,0),MATCH(AA$3,'Eurostat EB TJ GWh'!$A$2:$BV$2,0))</f>
        <v>0</v>
      </c>
      <c r="AB50" s="57">
        <f>INDEX('Eurostat EB TJ GWh'!$A$2:$BV$146,MATCH($A50,'Eurostat EB TJ GWh'!$A$2:$A$146,0),MATCH(AB$3,'Eurostat EB TJ GWh'!$A$2:$BV$2,0))</f>
        <v>0</v>
      </c>
      <c r="AC50" s="57">
        <f>INDEX('Eurostat EB TJ GWh'!$A$2:$BV$146,MATCH($A50,'Eurostat EB TJ GWh'!$A$2:$A$146,0),MATCH(AC$3,'Eurostat EB TJ GWh'!$A$2:$BV$2,0))</f>
        <v>0</v>
      </c>
      <c r="AD50" s="57">
        <f>INDEX('Eurostat EB TJ GWh'!$A$2:$BV$146,MATCH($A50,'Eurostat EB TJ GWh'!$A$2:$A$146,0),MATCH(AD$3,'Eurostat EB TJ GWh'!$A$2:$BV$2,0))</f>
        <v>0</v>
      </c>
      <c r="AE50" s="57">
        <f>INDEX('Eurostat EB TJ GWh'!$A$2:$BV$146,MATCH($A50,'Eurostat EB TJ GWh'!$A$2:$A$146,0),MATCH(AE$3,'Eurostat EB TJ GWh'!$A$2:$BV$2,0))</f>
        <v>0</v>
      </c>
      <c r="AF50" s="57">
        <f>INDEX('Eurostat EB TJ GWh'!$A$2:$BV$146,MATCH($A50,'Eurostat EB TJ GWh'!$A$2:$A$146,0),MATCH(AF$3,'Eurostat EB TJ GWh'!$A$2:$BV$2,0))</f>
        <v>0</v>
      </c>
      <c r="AG50" s="57">
        <f>INDEX('Eurostat EB TJ GWh'!$A$2:$BV$146,MATCH($A50,'Eurostat EB TJ GWh'!$A$2:$A$146,0),MATCH(AG$3,'Eurostat EB TJ GWh'!$A$2:$BV$2,0))</f>
        <v>0</v>
      </c>
      <c r="AH50" s="57">
        <f>INDEX('Eurostat EB TJ GWh'!$A$2:$BV$146,MATCH($A50,'Eurostat EB TJ GWh'!$A$2:$A$146,0),MATCH(AH$3,'Eurostat EB TJ GWh'!$A$2:$BV$2,0))</f>
        <v>0</v>
      </c>
      <c r="AI50" s="57">
        <f>INDEX('Eurostat EB TJ GWh'!$A$2:$BV$146,MATCH($A50,'Eurostat EB TJ GWh'!$A$2:$A$146,0),MATCH(AI$3,'Eurostat EB TJ GWh'!$A$2:$BV$2,0))</f>
        <v>0</v>
      </c>
      <c r="AJ50" s="57">
        <f>INDEX('Eurostat EB TJ GWh'!$A$2:$BV$146,MATCH($A50,'Eurostat EB TJ GWh'!$A$2:$A$146,0),MATCH(AJ$3,'Eurostat EB TJ GWh'!$A$2:$BV$2,0))</f>
        <v>0</v>
      </c>
      <c r="AK50" s="57">
        <f>INDEX('Eurostat EB TJ GWh'!$A$2:$BV$146,MATCH($A50,'Eurostat EB TJ GWh'!$A$2:$A$146,0),MATCH(AK$3,'Eurostat EB TJ GWh'!$A$2:$BV$2,0))</f>
        <v>0</v>
      </c>
      <c r="AL50" s="57">
        <f>INDEX('Eurostat EB TJ GWh'!$A$2:$BV$146,MATCH($A50,'Eurostat EB TJ GWh'!$A$2:$A$146,0),MATCH(AL$3,'Eurostat EB TJ GWh'!$A$2:$BV$2,0))</f>
        <v>0</v>
      </c>
      <c r="AM50" s="57">
        <f>INDEX('Eurostat EB TJ GWh'!$A$2:$BV$146,MATCH($A50,'Eurostat EB TJ GWh'!$A$2:$A$146,0),MATCH(AM$3,'Eurostat EB TJ GWh'!$A$2:$BV$2,0))</f>
        <v>0</v>
      </c>
      <c r="AN50" s="57">
        <f>INDEX('Eurostat EB TJ GWh'!$A$2:$BV$146,MATCH($A50,'Eurostat EB TJ GWh'!$A$2:$A$146,0),MATCH(AN$3,'Eurostat EB TJ GWh'!$A$2:$BV$2,0))</f>
        <v>0</v>
      </c>
      <c r="AO50" s="57">
        <f>INDEX('Eurostat EB TJ GWh'!$A$2:$BV$146,MATCH($A50,'Eurostat EB TJ GWh'!$A$2:$A$146,0),MATCH(AO$3,'Eurostat EB TJ GWh'!$A$2:$BV$2,0))</f>
        <v>0</v>
      </c>
      <c r="AP50" s="57">
        <f>INDEX('Eurostat EB TJ GWh'!$A$2:$BV$146,MATCH($A50,'Eurostat EB TJ GWh'!$A$2:$A$146,0),MATCH(AP$3,'Eurostat EB TJ GWh'!$A$2:$BV$2,0))</f>
        <v>0</v>
      </c>
      <c r="AQ50" s="57">
        <f>INDEX('Eurostat EB TJ GWh'!$A$2:$BV$146,MATCH($A50,'Eurostat EB TJ GWh'!$A$2:$A$146,0),MATCH(AQ$3,'Eurostat EB TJ GWh'!$A$2:$BV$2,0))</f>
        <v>0</v>
      </c>
      <c r="AR50" s="57">
        <f>INDEX('Eurostat EB TJ GWh'!$A$2:$BV$146,MATCH($A50,'Eurostat EB TJ GWh'!$A$2:$A$146,0),MATCH(AR$3,'Eurostat EB TJ GWh'!$A$2:$BV$2,0))</f>
        <v>0</v>
      </c>
      <c r="AS50" s="57">
        <f>INDEX('Eurostat EB TJ GWh'!$A$2:$BV$146,MATCH($A50,'Eurostat EB TJ GWh'!$A$2:$A$146,0),MATCH(AS$3,'Eurostat EB TJ GWh'!$A$2:$BV$2,0))</f>
        <v>0</v>
      </c>
      <c r="AT50" s="57">
        <f>INDEX('Eurostat EB TJ GWh'!$A$2:$BV$146,MATCH($A50,'Eurostat EB TJ GWh'!$A$2:$A$146,0),MATCH(AT$3,'Eurostat EB TJ GWh'!$A$2:$BV$2,0))</f>
        <v>0</v>
      </c>
      <c r="AU50" s="57">
        <f>INDEX('Eurostat EB TJ GWh'!$A$2:$BV$146,MATCH($A50,'Eurostat EB TJ GWh'!$A$2:$A$146,0),MATCH(AU$3,'Eurostat EB TJ GWh'!$A$2:$BV$2,0))</f>
        <v>0</v>
      </c>
      <c r="AV50" s="57">
        <f>INDEX('Eurostat EB TJ GWh'!$A$2:$BV$146,MATCH($A50,'Eurostat EB TJ GWh'!$A$2:$A$146,0),MATCH(AV$2,'Eurostat EB TJ GWh'!$A$2:$BV$2,0))+INDEX('Eurostat EB TJ GWh'!$A$2:$BV$146,MATCH($A50,'Eurostat EB TJ GWh'!$A$2:$A$146,0),MATCH(AV$3,'Eurostat EB TJ GWh'!$A$2:$BV$2,0))</f>
        <v>0</v>
      </c>
      <c r="AW50" s="57">
        <f>INDEX('Eurostat EB TJ GWh'!$A$2:$BV$146,MATCH($A50,'Eurostat EB TJ GWh'!$A$2:$A$146,0),MATCH(AW$2,'Eurostat EB TJ GWh'!$A$2:$BV$2,0))+INDEX('Eurostat EB TJ GWh'!$A$2:$BV$146,MATCH($A50,'Eurostat EB TJ GWh'!$A$2:$A$146,0),MATCH(AW$3,'Eurostat EB TJ GWh'!$A$2:$BV$2,0))</f>
        <v>0</v>
      </c>
      <c r="AX50" s="57">
        <f>INDEX('Eurostat EB TJ GWh'!$A$2:$BV$146,MATCH($A50,'Eurostat EB TJ GWh'!$A$2:$A$146,0),MATCH(AX$3,'Eurostat EB TJ GWh'!$A$2:$BV$2,0))</f>
        <v>0</v>
      </c>
      <c r="AY50" s="65">
        <v>0</v>
      </c>
      <c r="AZ50" s="57">
        <f>INDEX('Eurostat EB TJ GWh'!$A$2:$BV$146,MATCH($A50,'Eurostat EB TJ GWh'!$A$2:$A$146,0),MATCH(AZ$3,'Eurostat EB TJ GWh'!$A$2:$BV$2,0))</f>
        <v>0</v>
      </c>
      <c r="BA50" s="65">
        <v>0</v>
      </c>
      <c r="BB50" s="65">
        <v>0</v>
      </c>
      <c r="BC50" s="57">
        <f>INDEX('Eurostat EB TJ GWh'!$A$2:$BV$146,MATCH($A50,'Eurostat EB TJ GWh'!$A$2:$A$146,0),MATCH(BC$3,'Eurostat EB TJ GWh'!$A$2:$BV$2,0))</f>
        <v>0</v>
      </c>
      <c r="BD50" s="57">
        <f>INDEX('Eurostat EB TJ GWh'!$A$2:$BV$146,MATCH($A50,'Eurostat EB TJ GWh'!$A$2:$A$146,0),MATCH(BD$3,'Eurostat EB TJ GWh'!$A$2:$BV$2,0))</f>
        <v>0</v>
      </c>
      <c r="BE50" s="57">
        <f>INDEX('Eurostat EB TJ GWh'!$A$2:$BV$146,MATCH($A50,'Eurostat EB TJ GWh'!$A$2:$A$146,0),MATCH(BE$3,'Eurostat EB TJ GWh'!$A$2:$BV$2,0))</f>
        <v>0</v>
      </c>
      <c r="BF50" s="57">
        <f>INDEX('Eurostat EB TJ GWh'!$A$2:$BV$146,MATCH($A50,'Eurostat EB TJ GWh'!$A$2:$A$146,0),MATCH(BF$3,'Eurostat EB TJ GWh'!$A$2:$BV$2,0))</f>
        <v>0</v>
      </c>
      <c r="BG50" s="57">
        <f>INDEX('Eurostat EB TJ GWh'!$A$2:$BV$146,MATCH($A50,'Eurostat EB TJ GWh'!$A$2:$A$146,0),MATCH(BG$3,'Eurostat EB TJ GWh'!$A$2:$BV$2,0))</f>
        <v>0</v>
      </c>
      <c r="BH50" s="57">
        <f>INDEX('Eurostat EB TJ GWh'!$A$2:$BV$146,MATCH($A50,'Eurostat EB TJ GWh'!$A$2:$A$146,0),MATCH(BH$3,'Eurostat EB TJ GWh'!$A$2:$BV$2,0))</f>
        <v>0</v>
      </c>
      <c r="BI50" s="57">
        <f>INDEX('Eurostat EB TJ GWh'!$A$2:$BV$146,MATCH($A50,'Eurostat EB TJ GWh'!$A$2:$A$146,0),MATCH(BI$3,'Eurostat EB TJ GWh'!$A$2:$BV$2,0))</f>
        <v>0</v>
      </c>
      <c r="BJ50" s="65">
        <v>0</v>
      </c>
      <c r="BK50" s="57">
        <f>INDEX('Eurostat EB TJ GWh'!$A$2:$BV$146,MATCH($A50,'Eurostat EB TJ GWh'!$A$2:$A$146,0),MATCH(BK$3,'Eurostat EB TJ GWh'!$A$2:$BV$2,0))</f>
        <v>78532.501999999993</v>
      </c>
      <c r="BL50" s="57">
        <f>INDEX('Eurostat EB TJ GWh'!$A$2:$BV$146,MATCH($A50,'Eurostat EB TJ GWh'!$A$2:$A$146,0),MATCH(BL$3,'Eurostat EB TJ GWh'!$A$2:$BV$2,0))</f>
        <v>33365.031999999999</v>
      </c>
      <c r="BM50" s="57">
        <f>INDEX('Eurostat EB TJ GWh'!$A$2:$BV$146,MATCH($A50,'Eurostat EB TJ GWh'!$A$2:$A$146,0),MATCH(BM$3,'Eurostat EB TJ GWh'!$A$2:$BV$2,0))</f>
        <v>111897.534</v>
      </c>
      <c r="BN50" s="57">
        <f>INDEX('Eurostat EB TJ GWh'!$A$2:$BV$146,MATCH($A50,'Eurostat EB TJ GWh'!$A$2:$A$146,0),MATCH(BN$3,'Eurostat EB TJ GWh'!$A$2:$BV$2,0))</f>
        <v>12552.495999999999</v>
      </c>
    </row>
    <row r="51" spans="1:66" x14ac:dyDescent="0.2">
      <c r="A51" s="56" t="s">
        <v>239</v>
      </c>
      <c r="B51" s="65" t="s">
        <v>323</v>
      </c>
      <c r="C51" s="65" t="s">
        <v>323</v>
      </c>
      <c r="D51" s="17">
        <f>INDEX('Eurostat EB TJ GWh'!$A$2:$BV$146,MATCH($A51,'Eurostat EB TJ GWh'!$A$2:$A$146,0),MATCH(D$3,'Eurostat EB TJ GWh'!$A$2:$BV$2,0))</f>
        <v>0</v>
      </c>
      <c r="E51" s="17">
        <f>INDEX('Eurostat EB TJ GWh'!$A$2:$BV$146,MATCH($A51,'Eurostat EB TJ GWh'!$A$2:$A$146,0),MATCH(E$3,'Eurostat EB TJ GWh'!$A$2:$BV$2,0))</f>
        <v>0</v>
      </c>
      <c r="F51" s="17">
        <f>INDEX('Eurostat EB TJ GWh'!$A$2:$BV$146,MATCH($A51,'Eurostat EB TJ GWh'!$A$2:$A$146,0),MATCH(F$3,'Eurostat EB TJ GWh'!$A$2:$BV$2,0))</f>
        <v>0</v>
      </c>
      <c r="G51" s="17">
        <f>INDEX('Eurostat EB TJ GWh'!$A$2:$BV$146,MATCH($A51,'Eurostat EB TJ GWh'!$A$2:$A$146,0),MATCH(G$3,'Eurostat EB TJ GWh'!$A$2:$BV$2,0))</f>
        <v>0</v>
      </c>
      <c r="H51" s="17">
        <f>INDEX('Eurostat EB TJ GWh'!$A$2:$BV$146,MATCH($A51,'Eurostat EB TJ GWh'!$A$2:$A$146,0),MATCH(H$3,'Eurostat EB TJ GWh'!$A$2:$BV$2,0))</f>
        <v>0</v>
      </c>
      <c r="I51" s="17">
        <f>INDEX('Eurostat EB TJ GWh'!$A$2:$BV$146,MATCH($A51,'Eurostat EB TJ GWh'!$A$2:$A$146,0),MATCH(I$3,'Eurostat EB TJ GWh'!$A$2:$BV$2,0))</f>
        <v>0</v>
      </c>
      <c r="J51" s="17">
        <f>INDEX('Eurostat EB TJ GWh'!$A$2:$BV$146,MATCH($A51,'Eurostat EB TJ GWh'!$A$2:$A$146,0),MATCH(J$3,'Eurostat EB TJ GWh'!$A$2:$BV$2,0))</f>
        <v>0</v>
      </c>
      <c r="K51" s="17">
        <f>INDEX('Eurostat EB TJ GWh'!$A$2:$BV$146,MATCH($A51,'Eurostat EB TJ GWh'!$A$2:$A$146,0),MATCH(K$3,'Eurostat EB TJ GWh'!$A$2:$BV$2,0))</f>
        <v>0</v>
      </c>
      <c r="L51" s="17">
        <f>INDEX('Eurostat EB TJ GWh'!$A$2:$BV$146,MATCH($A51,'Eurostat EB TJ GWh'!$A$2:$A$146,0),MATCH(L$3,'Eurostat EB TJ GWh'!$A$2:$BV$2,0))</f>
        <v>0</v>
      </c>
      <c r="M51" s="17">
        <f>INDEX('Eurostat EB TJ GWh'!$A$2:$BV$146,MATCH($A51,'Eurostat EB TJ GWh'!$A$2:$A$146,0),MATCH(M$3,'Eurostat EB TJ GWh'!$A$2:$BV$2,0))</f>
        <v>0</v>
      </c>
      <c r="N51" s="17">
        <f>INDEX('Eurostat EB TJ GWh'!$A$2:$BV$146,MATCH($A51,'Eurostat EB TJ GWh'!$A$2:$A$146,0),MATCH(N$3,'Eurostat EB TJ GWh'!$A$2:$BV$2,0))</f>
        <v>0</v>
      </c>
      <c r="O51" s="17">
        <f>INDEX('Eurostat EB TJ GWh'!$A$2:$BV$146,MATCH($A51,'Eurostat EB TJ GWh'!$A$2:$A$146,0),MATCH(O$3,'Eurostat EB TJ GWh'!$A$2:$BV$2,0))</f>
        <v>0</v>
      </c>
      <c r="P51" s="17">
        <f>INDEX('Eurostat EB TJ GWh'!$A$2:$BV$146,MATCH($A51,'Eurostat EB TJ GWh'!$A$2:$A$146,0),MATCH(P$3,'Eurostat EB TJ GWh'!$A$2:$BV$2,0))</f>
        <v>0</v>
      </c>
      <c r="Q51" s="17">
        <f>INDEX('Eurostat EB TJ GWh'!$A$2:$BV$146,MATCH($A51,'Eurostat EB TJ GWh'!$A$2:$A$146,0),MATCH(Q$3,'Eurostat EB TJ GWh'!$A$2:$BV$2,0))</f>
        <v>0</v>
      </c>
      <c r="R51" s="17">
        <f>INDEX('Eurostat EB TJ GWh'!$A$2:$BV$146,MATCH($A51,'Eurostat EB TJ GWh'!$A$2:$A$146,0),MATCH(R$2,'Eurostat EB TJ GWh'!$A$2:$BV$2,0))+INDEX('Eurostat EB TJ GWh'!$A$2:$BV$146,MATCH($A51,'Eurostat EB TJ GWh'!$A$2:$A$146,0),MATCH(R$3,'Eurostat EB TJ GWh'!$A$2:$BV$2,0))</f>
        <v>0</v>
      </c>
      <c r="S51" s="17">
        <f>INDEX('Eurostat EB TJ GWh'!$A$2:$BV$146,MATCH($A51,'Eurostat EB TJ GWh'!$A$2:$A$146,0),MATCH(S$3,'Eurostat EB TJ GWh'!$A$2:$BV$2,0))</f>
        <v>0</v>
      </c>
      <c r="T51" s="65" t="s">
        <v>323</v>
      </c>
      <c r="U51" s="17">
        <f>INDEX('Eurostat EB TJ GWh'!$A$2:$BV$146,MATCH($A51,'Eurostat EB TJ GWh'!$A$2:$A$146,0),MATCH(U$3,'Eurostat EB TJ GWh'!$A$2:$BV$2,0))</f>
        <v>0</v>
      </c>
      <c r="V51" s="17">
        <f>INDEX('Eurostat EB TJ GWh'!$A$2:$BV$146,MATCH($A51,'Eurostat EB TJ GWh'!$A$2:$A$146,0),MATCH(V$3,'Eurostat EB TJ GWh'!$A$2:$BV$2,0))</f>
        <v>0</v>
      </c>
      <c r="W51" s="17">
        <f>INDEX('Eurostat EB TJ GWh'!$A$2:$BV$146,MATCH($A51,'Eurostat EB TJ GWh'!$A$2:$A$146,0),MATCH(W$3,'Eurostat EB TJ GWh'!$A$2:$BV$2,0))</f>
        <v>0</v>
      </c>
      <c r="X51" s="17">
        <f>INDEX('Eurostat EB TJ GWh'!$A$2:$BV$146,MATCH($A51,'Eurostat EB TJ GWh'!$A$2:$A$146,0),MATCH(X$3,'Eurostat EB TJ GWh'!$A$2:$BV$2,0))</f>
        <v>0</v>
      </c>
      <c r="Y51" s="17">
        <f>INDEX('Eurostat EB TJ GWh'!$A$2:$BV$146,MATCH($A51,'Eurostat EB TJ GWh'!$A$2:$A$146,0),MATCH(Y$3,'Eurostat EB TJ GWh'!$A$2:$BV$2,0))</f>
        <v>0</v>
      </c>
      <c r="Z51" s="17">
        <f>INDEX('Eurostat EB TJ GWh'!$A$2:$BV$146,MATCH($A51,'Eurostat EB TJ GWh'!$A$2:$A$146,0),MATCH(Z$3,'Eurostat EB TJ GWh'!$A$2:$BV$2,0))</f>
        <v>0</v>
      </c>
      <c r="AA51" s="17">
        <f>INDEX('Eurostat EB TJ GWh'!$A$2:$BV$146,MATCH($A51,'Eurostat EB TJ GWh'!$A$2:$A$146,0),MATCH(AA$3,'Eurostat EB TJ GWh'!$A$2:$BV$2,0))</f>
        <v>0</v>
      </c>
      <c r="AB51" s="17">
        <f>INDEX('Eurostat EB TJ GWh'!$A$2:$BV$146,MATCH($A51,'Eurostat EB TJ GWh'!$A$2:$A$146,0),MATCH(AB$3,'Eurostat EB TJ GWh'!$A$2:$BV$2,0))</f>
        <v>0</v>
      </c>
      <c r="AC51" s="17">
        <f>INDEX('Eurostat EB TJ GWh'!$A$2:$BV$146,MATCH($A51,'Eurostat EB TJ GWh'!$A$2:$A$146,0),MATCH(AC$3,'Eurostat EB TJ GWh'!$A$2:$BV$2,0))</f>
        <v>0</v>
      </c>
      <c r="AD51" s="17">
        <f>INDEX('Eurostat EB TJ GWh'!$A$2:$BV$146,MATCH($A51,'Eurostat EB TJ GWh'!$A$2:$A$146,0),MATCH(AD$3,'Eurostat EB TJ GWh'!$A$2:$BV$2,0))</f>
        <v>0</v>
      </c>
      <c r="AE51" s="17">
        <f>INDEX('Eurostat EB TJ GWh'!$A$2:$BV$146,MATCH($A51,'Eurostat EB TJ GWh'!$A$2:$A$146,0),MATCH(AE$3,'Eurostat EB TJ GWh'!$A$2:$BV$2,0))</f>
        <v>0</v>
      </c>
      <c r="AF51" s="17">
        <f>INDEX('Eurostat EB TJ GWh'!$A$2:$BV$146,MATCH($A51,'Eurostat EB TJ GWh'!$A$2:$A$146,0),MATCH(AF$3,'Eurostat EB TJ GWh'!$A$2:$BV$2,0))</f>
        <v>0</v>
      </c>
      <c r="AG51" s="17">
        <f>INDEX('Eurostat EB TJ GWh'!$A$2:$BV$146,MATCH($A51,'Eurostat EB TJ GWh'!$A$2:$A$146,0),MATCH(AG$3,'Eurostat EB TJ GWh'!$A$2:$BV$2,0))</f>
        <v>0</v>
      </c>
      <c r="AH51" s="17">
        <f>INDEX('Eurostat EB TJ GWh'!$A$2:$BV$146,MATCH($A51,'Eurostat EB TJ GWh'!$A$2:$A$146,0),MATCH(AH$3,'Eurostat EB TJ GWh'!$A$2:$BV$2,0))</f>
        <v>0</v>
      </c>
      <c r="AI51" s="17">
        <f>INDEX('Eurostat EB TJ GWh'!$A$2:$BV$146,MATCH($A51,'Eurostat EB TJ GWh'!$A$2:$A$146,0),MATCH(AI$3,'Eurostat EB TJ GWh'!$A$2:$BV$2,0))</f>
        <v>0</v>
      </c>
      <c r="AJ51" s="17">
        <f>INDEX('Eurostat EB TJ GWh'!$A$2:$BV$146,MATCH($A51,'Eurostat EB TJ GWh'!$A$2:$A$146,0),MATCH(AJ$3,'Eurostat EB TJ GWh'!$A$2:$BV$2,0))</f>
        <v>0</v>
      </c>
      <c r="AK51" s="17">
        <f>INDEX('Eurostat EB TJ GWh'!$A$2:$BV$146,MATCH($A51,'Eurostat EB TJ GWh'!$A$2:$A$146,0),MATCH(AK$3,'Eurostat EB TJ GWh'!$A$2:$BV$2,0))</f>
        <v>0</v>
      </c>
      <c r="AL51" s="17">
        <f>INDEX('Eurostat EB TJ GWh'!$A$2:$BV$146,MATCH($A51,'Eurostat EB TJ GWh'!$A$2:$A$146,0),MATCH(AL$3,'Eurostat EB TJ GWh'!$A$2:$BV$2,0))</f>
        <v>0</v>
      </c>
      <c r="AM51" s="17">
        <f>INDEX('Eurostat EB TJ GWh'!$A$2:$BV$146,MATCH($A51,'Eurostat EB TJ GWh'!$A$2:$A$146,0),MATCH(AM$3,'Eurostat EB TJ GWh'!$A$2:$BV$2,0))</f>
        <v>0</v>
      </c>
      <c r="AN51" s="17">
        <f>INDEX('Eurostat EB TJ GWh'!$A$2:$BV$146,MATCH($A51,'Eurostat EB TJ GWh'!$A$2:$A$146,0),MATCH(AN$3,'Eurostat EB TJ GWh'!$A$2:$BV$2,0))</f>
        <v>0</v>
      </c>
      <c r="AO51" s="17">
        <f>INDEX('Eurostat EB TJ GWh'!$A$2:$BV$146,MATCH($A51,'Eurostat EB TJ GWh'!$A$2:$A$146,0),MATCH(AO$3,'Eurostat EB TJ GWh'!$A$2:$BV$2,0))</f>
        <v>0</v>
      </c>
      <c r="AP51" s="17">
        <f>INDEX('Eurostat EB TJ GWh'!$A$2:$BV$146,MATCH($A51,'Eurostat EB TJ GWh'!$A$2:$A$146,0),MATCH(AP$3,'Eurostat EB TJ GWh'!$A$2:$BV$2,0))</f>
        <v>0</v>
      </c>
      <c r="AQ51" s="17">
        <f>INDEX('Eurostat EB TJ GWh'!$A$2:$BV$146,MATCH($A51,'Eurostat EB TJ GWh'!$A$2:$A$146,0),MATCH(AQ$3,'Eurostat EB TJ GWh'!$A$2:$BV$2,0))</f>
        <v>0</v>
      </c>
      <c r="AR51" s="17">
        <f>INDEX('Eurostat EB TJ GWh'!$A$2:$BV$146,MATCH($A51,'Eurostat EB TJ GWh'!$A$2:$A$146,0),MATCH(AR$3,'Eurostat EB TJ GWh'!$A$2:$BV$2,0))</f>
        <v>0</v>
      </c>
      <c r="AS51" s="17">
        <f>INDEX('Eurostat EB TJ GWh'!$A$2:$BV$146,MATCH($A51,'Eurostat EB TJ GWh'!$A$2:$A$146,0),MATCH(AS$3,'Eurostat EB TJ GWh'!$A$2:$BV$2,0))</f>
        <v>0</v>
      </c>
      <c r="AT51" s="17">
        <f>INDEX('Eurostat EB TJ GWh'!$A$2:$BV$146,MATCH($A51,'Eurostat EB TJ GWh'!$A$2:$A$146,0),MATCH(AT$3,'Eurostat EB TJ GWh'!$A$2:$BV$2,0))</f>
        <v>0</v>
      </c>
      <c r="AU51" s="17">
        <f>INDEX('Eurostat EB TJ GWh'!$A$2:$BV$146,MATCH($A51,'Eurostat EB TJ GWh'!$A$2:$A$146,0),MATCH(AU$3,'Eurostat EB TJ GWh'!$A$2:$BV$2,0))</f>
        <v>0</v>
      </c>
      <c r="AV51" s="17">
        <f>INDEX('Eurostat EB TJ GWh'!$A$2:$BV$146,MATCH($A51,'Eurostat EB TJ GWh'!$A$2:$A$146,0),MATCH(AV$2,'Eurostat EB TJ GWh'!$A$2:$BV$2,0))+INDEX('Eurostat EB TJ GWh'!$A$2:$BV$146,MATCH($A51,'Eurostat EB TJ GWh'!$A$2:$A$146,0),MATCH(AV$3,'Eurostat EB TJ GWh'!$A$2:$BV$2,0))</f>
        <v>0</v>
      </c>
      <c r="AW51" s="17">
        <f>INDEX('Eurostat EB TJ GWh'!$A$2:$BV$146,MATCH($A51,'Eurostat EB TJ GWh'!$A$2:$A$146,0),MATCH(AW$2,'Eurostat EB TJ GWh'!$A$2:$BV$2,0))+INDEX('Eurostat EB TJ GWh'!$A$2:$BV$146,MATCH($A51,'Eurostat EB TJ GWh'!$A$2:$A$146,0),MATCH(AW$3,'Eurostat EB TJ GWh'!$A$2:$BV$2,0))</f>
        <v>0</v>
      </c>
      <c r="AX51" s="17">
        <f>INDEX('Eurostat EB TJ GWh'!$A$2:$BV$146,MATCH($A51,'Eurostat EB TJ GWh'!$A$2:$A$146,0),MATCH(AX$3,'Eurostat EB TJ GWh'!$A$2:$BV$2,0))</f>
        <v>0</v>
      </c>
      <c r="AY51" s="72">
        <v>0</v>
      </c>
      <c r="AZ51" s="17">
        <f>INDEX('Eurostat EB TJ GWh'!$A$2:$BV$146,MATCH($A51,'Eurostat EB TJ GWh'!$A$2:$A$146,0),MATCH(AZ$3,'Eurostat EB TJ GWh'!$A$2:$BV$2,0))</f>
        <v>0</v>
      </c>
      <c r="BA51" s="72">
        <v>0</v>
      </c>
      <c r="BB51" s="72">
        <v>0</v>
      </c>
      <c r="BC51" s="17">
        <f>INDEX('Eurostat EB TJ GWh'!$A$2:$BV$146,MATCH($A51,'Eurostat EB TJ GWh'!$A$2:$A$146,0),MATCH(BC$3,'Eurostat EB TJ GWh'!$A$2:$BV$2,0))</f>
        <v>0</v>
      </c>
      <c r="BD51" s="17">
        <f>INDEX('Eurostat EB TJ GWh'!$A$2:$BV$146,MATCH($A51,'Eurostat EB TJ GWh'!$A$2:$A$146,0),MATCH(BD$3,'Eurostat EB TJ GWh'!$A$2:$BV$2,0))</f>
        <v>0</v>
      </c>
      <c r="BE51" s="17">
        <f>INDEX('Eurostat EB TJ GWh'!$A$2:$BV$146,MATCH($A51,'Eurostat EB TJ GWh'!$A$2:$A$146,0),MATCH(BE$3,'Eurostat EB TJ GWh'!$A$2:$BV$2,0))</f>
        <v>0</v>
      </c>
      <c r="BF51" s="17">
        <f>INDEX('Eurostat EB TJ GWh'!$A$2:$BV$146,MATCH($A51,'Eurostat EB TJ GWh'!$A$2:$A$146,0),MATCH(BF$3,'Eurostat EB TJ GWh'!$A$2:$BV$2,0))</f>
        <v>0</v>
      </c>
      <c r="BG51" s="17">
        <f>INDEX('Eurostat EB TJ GWh'!$A$2:$BV$146,MATCH($A51,'Eurostat EB TJ GWh'!$A$2:$A$146,0),MATCH(BG$3,'Eurostat EB TJ GWh'!$A$2:$BV$2,0))</f>
        <v>0</v>
      </c>
      <c r="BH51" s="17">
        <f>INDEX('Eurostat EB TJ GWh'!$A$2:$BV$146,MATCH($A51,'Eurostat EB TJ GWh'!$A$2:$A$146,0),MATCH(BH$3,'Eurostat EB TJ GWh'!$A$2:$BV$2,0))</f>
        <v>0</v>
      </c>
      <c r="BI51" s="17">
        <f>INDEX('Eurostat EB TJ GWh'!$A$2:$BV$146,MATCH($A51,'Eurostat EB TJ GWh'!$A$2:$A$146,0),MATCH(BI$3,'Eurostat EB TJ GWh'!$A$2:$BV$2,0))</f>
        <v>0</v>
      </c>
      <c r="BJ51" s="72">
        <v>0</v>
      </c>
      <c r="BK51" s="17">
        <f>INDEX('Eurostat EB TJ GWh'!$A$2:$BV$146,MATCH($A51,'Eurostat EB TJ GWh'!$A$2:$A$146,0),MATCH(BK$3,'Eurostat EB TJ GWh'!$A$2:$BV$2,0))</f>
        <v>0</v>
      </c>
      <c r="BL51" s="17">
        <f>INDEX('Eurostat EB TJ GWh'!$A$2:$BV$146,MATCH($A51,'Eurostat EB TJ GWh'!$A$2:$A$146,0),MATCH(BL$3,'Eurostat EB TJ GWh'!$A$2:$BV$2,0))</f>
        <v>2900.4920000000002</v>
      </c>
      <c r="BM51" s="17">
        <f>INDEX('Eurostat EB TJ GWh'!$A$2:$BV$146,MATCH($A51,'Eurostat EB TJ GWh'!$A$2:$A$146,0),MATCH(BM$3,'Eurostat EB TJ GWh'!$A$2:$BV$2,0))</f>
        <v>2900.4920000000002</v>
      </c>
      <c r="BN51" s="17">
        <f>INDEX('Eurostat EB TJ GWh'!$A$2:$BV$146,MATCH($A51,'Eurostat EB TJ GWh'!$A$2:$A$146,0),MATCH(BN$3,'Eurostat EB TJ GWh'!$A$2:$BV$2,0))</f>
        <v>636.71400000000006</v>
      </c>
    </row>
    <row r="52" spans="1:66" x14ac:dyDescent="0.2">
      <c r="A52" s="56" t="s">
        <v>240</v>
      </c>
      <c r="B52" s="65" t="s">
        <v>323</v>
      </c>
      <c r="C52" s="65" t="s">
        <v>323</v>
      </c>
      <c r="D52" s="57">
        <f>INDEX('Eurostat EB TJ GWh'!$A$2:$BV$146,MATCH($A52,'Eurostat EB TJ GWh'!$A$2:$A$146,0),MATCH(D$3,'Eurostat EB TJ GWh'!$A$2:$BV$2,0))</f>
        <v>0</v>
      </c>
      <c r="E52" s="57">
        <f>INDEX('Eurostat EB TJ GWh'!$A$2:$BV$146,MATCH($A52,'Eurostat EB TJ GWh'!$A$2:$A$146,0),MATCH(E$3,'Eurostat EB TJ GWh'!$A$2:$BV$2,0))</f>
        <v>0</v>
      </c>
      <c r="F52" s="57">
        <f>INDEX('Eurostat EB TJ GWh'!$A$2:$BV$146,MATCH($A52,'Eurostat EB TJ GWh'!$A$2:$A$146,0),MATCH(F$3,'Eurostat EB TJ GWh'!$A$2:$BV$2,0))</f>
        <v>0</v>
      </c>
      <c r="G52" s="57">
        <f>INDEX('Eurostat EB TJ GWh'!$A$2:$BV$146,MATCH($A52,'Eurostat EB TJ GWh'!$A$2:$A$146,0),MATCH(G$3,'Eurostat EB TJ GWh'!$A$2:$BV$2,0))</f>
        <v>0</v>
      </c>
      <c r="H52" s="57">
        <f>INDEX('Eurostat EB TJ GWh'!$A$2:$BV$146,MATCH($A52,'Eurostat EB TJ GWh'!$A$2:$A$146,0),MATCH(H$3,'Eurostat EB TJ GWh'!$A$2:$BV$2,0))</f>
        <v>0</v>
      </c>
      <c r="I52" s="57">
        <f>INDEX('Eurostat EB TJ GWh'!$A$2:$BV$146,MATCH($A52,'Eurostat EB TJ GWh'!$A$2:$A$146,0),MATCH(I$3,'Eurostat EB TJ GWh'!$A$2:$BV$2,0))</f>
        <v>0</v>
      </c>
      <c r="J52" s="57">
        <f>INDEX('Eurostat EB TJ GWh'!$A$2:$BV$146,MATCH($A52,'Eurostat EB TJ GWh'!$A$2:$A$146,0),MATCH(J$3,'Eurostat EB TJ GWh'!$A$2:$BV$2,0))</f>
        <v>0</v>
      </c>
      <c r="K52" s="57">
        <f>INDEX('Eurostat EB TJ GWh'!$A$2:$BV$146,MATCH($A52,'Eurostat EB TJ GWh'!$A$2:$A$146,0),MATCH(K$3,'Eurostat EB TJ GWh'!$A$2:$BV$2,0))</f>
        <v>0</v>
      </c>
      <c r="L52" s="57">
        <f>INDEX('Eurostat EB TJ GWh'!$A$2:$BV$146,MATCH($A52,'Eurostat EB TJ GWh'!$A$2:$A$146,0),MATCH(L$3,'Eurostat EB TJ GWh'!$A$2:$BV$2,0))</f>
        <v>0</v>
      </c>
      <c r="M52" s="57">
        <f>INDEX('Eurostat EB TJ GWh'!$A$2:$BV$146,MATCH($A52,'Eurostat EB TJ GWh'!$A$2:$A$146,0),MATCH(M$3,'Eurostat EB TJ GWh'!$A$2:$BV$2,0))</f>
        <v>0</v>
      </c>
      <c r="N52" s="57">
        <f>INDEX('Eurostat EB TJ GWh'!$A$2:$BV$146,MATCH($A52,'Eurostat EB TJ GWh'!$A$2:$A$146,0),MATCH(N$3,'Eurostat EB TJ GWh'!$A$2:$BV$2,0))</f>
        <v>0</v>
      </c>
      <c r="O52" s="57">
        <f>INDEX('Eurostat EB TJ GWh'!$A$2:$BV$146,MATCH($A52,'Eurostat EB TJ GWh'!$A$2:$A$146,0),MATCH(O$3,'Eurostat EB TJ GWh'!$A$2:$BV$2,0))</f>
        <v>0</v>
      </c>
      <c r="P52" s="57">
        <f>INDEX('Eurostat EB TJ GWh'!$A$2:$BV$146,MATCH($A52,'Eurostat EB TJ GWh'!$A$2:$A$146,0),MATCH(P$3,'Eurostat EB TJ GWh'!$A$2:$BV$2,0))</f>
        <v>0</v>
      </c>
      <c r="Q52" s="57">
        <f>INDEX('Eurostat EB TJ GWh'!$A$2:$BV$146,MATCH($A52,'Eurostat EB TJ GWh'!$A$2:$A$146,0),MATCH(Q$3,'Eurostat EB TJ GWh'!$A$2:$BV$2,0))</f>
        <v>0</v>
      </c>
      <c r="R52" s="57">
        <f>INDEX('Eurostat EB TJ GWh'!$A$2:$BV$146,MATCH($A52,'Eurostat EB TJ GWh'!$A$2:$A$146,0),MATCH(R$2,'Eurostat EB TJ GWh'!$A$2:$BV$2,0))+INDEX('Eurostat EB TJ GWh'!$A$2:$BV$146,MATCH($A52,'Eurostat EB TJ GWh'!$A$2:$A$146,0),MATCH(R$3,'Eurostat EB TJ GWh'!$A$2:$BV$2,0))</f>
        <v>0</v>
      </c>
      <c r="S52" s="57">
        <f>INDEX('Eurostat EB TJ GWh'!$A$2:$BV$146,MATCH($A52,'Eurostat EB TJ GWh'!$A$2:$A$146,0),MATCH(S$3,'Eurostat EB TJ GWh'!$A$2:$BV$2,0))</f>
        <v>0</v>
      </c>
      <c r="T52" s="65" t="s">
        <v>323</v>
      </c>
      <c r="U52" s="57">
        <f>INDEX('Eurostat EB TJ GWh'!$A$2:$BV$146,MATCH($A52,'Eurostat EB TJ GWh'!$A$2:$A$146,0),MATCH(U$3,'Eurostat EB TJ GWh'!$A$2:$BV$2,0))</f>
        <v>0</v>
      </c>
      <c r="V52" s="57">
        <f>INDEX('Eurostat EB TJ GWh'!$A$2:$BV$146,MATCH($A52,'Eurostat EB TJ GWh'!$A$2:$A$146,0),MATCH(V$3,'Eurostat EB TJ GWh'!$A$2:$BV$2,0))</f>
        <v>0</v>
      </c>
      <c r="W52" s="57">
        <f>INDEX('Eurostat EB TJ GWh'!$A$2:$BV$146,MATCH($A52,'Eurostat EB TJ GWh'!$A$2:$A$146,0),MATCH(W$3,'Eurostat EB TJ GWh'!$A$2:$BV$2,0))</f>
        <v>0</v>
      </c>
      <c r="X52" s="57">
        <f>INDEX('Eurostat EB TJ GWh'!$A$2:$BV$146,MATCH($A52,'Eurostat EB TJ GWh'!$A$2:$A$146,0),MATCH(X$3,'Eurostat EB TJ GWh'!$A$2:$BV$2,0))</f>
        <v>0</v>
      </c>
      <c r="Y52" s="57">
        <f>INDEX('Eurostat EB TJ GWh'!$A$2:$BV$146,MATCH($A52,'Eurostat EB TJ GWh'!$A$2:$A$146,0),MATCH(Y$3,'Eurostat EB TJ GWh'!$A$2:$BV$2,0))</f>
        <v>0</v>
      </c>
      <c r="Z52" s="57">
        <f>INDEX('Eurostat EB TJ GWh'!$A$2:$BV$146,MATCH($A52,'Eurostat EB TJ GWh'!$A$2:$A$146,0),MATCH(Z$3,'Eurostat EB TJ GWh'!$A$2:$BV$2,0))</f>
        <v>0</v>
      </c>
      <c r="AA52" s="57">
        <f>INDEX('Eurostat EB TJ GWh'!$A$2:$BV$146,MATCH($A52,'Eurostat EB TJ GWh'!$A$2:$A$146,0),MATCH(AA$3,'Eurostat EB TJ GWh'!$A$2:$BV$2,0))</f>
        <v>0</v>
      </c>
      <c r="AB52" s="57">
        <f>INDEX('Eurostat EB TJ GWh'!$A$2:$BV$146,MATCH($A52,'Eurostat EB TJ GWh'!$A$2:$A$146,0),MATCH(AB$3,'Eurostat EB TJ GWh'!$A$2:$BV$2,0))</f>
        <v>0</v>
      </c>
      <c r="AC52" s="57">
        <f>INDEX('Eurostat EB TJ GWh'!$A$2:$BV$146,MATCH($A52,'Eurostat EB TJ GWh'!$A$2:$A$146,0),MATCH(AC$3,'Eurostat EB TJ GWh'!$A$2:$BV$2,0))</f>
        <v>0</v>
      </c>
      <c r="AD52" s="57">
        <f>INDEX('Eurostat EB TJ GWh'!$A$2:$BV$146,MATCH($A52,'Eurostat EB TJ GWh'!$A$2:$A$146,0),MATCH(AD$3,'Eurostat EB TJ GWh'!$A$2:$BV$2,0))</f>
        <v>0</v>
      </c>
      <c r="AE52" s="57">
        <f>INDEX('Eurostat EB TJ GWh'!$A$2:$BV$146,MATCH($A52,'Eurostat EB TJ GWh'!$A$2:$A$146,0),MATCH(AE$3,'Eurostat EB TJ GWh'!$A$2:$BV$2,0))</f>
        <v>0</v>
      </c>
      <c r="AF52" s="57">
        <f>INDEX('Eurostat EB TJ GWh'!$A$2:$BV$146,MATCH($A52,'Eurostat EB TJ GWh'!$A$2:$A$146,0),MATCH(AF$3,'Eurostat EB TJ GWh'!$A$2:$BV$2,0))</f>
        <v>0</v>
      </c>
      <c r="AG52" s="57">
        <f>INDEX('Eurostat EB TJ GWh'!$A$2:$BV$146,MATCH($A52,'Eurostat EB TJ GWh'!$A$2:$A$146,0),MATCH(AG$3,'Eurostat EB TJ GWh'!$A$2:$BV$2,0))</f>
        <v>0</v>
      </c>
      <c r="AH52" s="57">
        <f>INDEX('Eurostat EB TJ GWh'!$A$2:$BV$146,MATCH($A52,'Eurostat EB TJ GWh'!$A$2:$A$146,0),MATCH(AH$3,'Eurostat EB TJ GWh'!$A$2:$BV$2,0))</f>
        <v>0</v>
      </c>
      <c r="AI52" s="57">
        <f>INDEX('Eurostat EB TJ GWh'!$A$2:$BV$146,MATCH($A52,'Eurostat EB TJ GWh'!$A$2:$A$146,0),MATCH(AI$3,'Eurostat EB TJ GWh'!$A$2:$BV$2,0))</f>
        <v>0</v>
      </c>
      <c r="AJ52" s="57">
        <f>INDEX('Eurostat EB TJ GWh'!$A$2:$BV$146,MATCH($A52,'Eurostat EB TJ GWh'!$A$2:$A$146,0),MATCH(AJ$3,'Eurostat EB TJ GWh'!$A$2:$BV$2,0))</f>
        <v>0</v>
      </c>
      <c r="AK52" s="57">
        <f>INDEX('Eurostat EB TJ GWh'!$A$2:$BV$146,MATCH($A52,'Eurostat EB TJ GWh'!$A$2:$A$146,0),MATCH(AK$3,'Eurostat EB TJ GWh'!$A$2:$BV$2,0))</f>
        <v>0</v>
      </c>
      <c r="AL52" s="57">
        <f>INDEX('Eurostat EB TJ GWh'!$A$2:$BV$146,MATCH($A52,'Eurostat EB TJ GWh'!$A$2:$A$146,0),MATCH(AL$3,'Eurostat EB TJ GWh'!$A$2:$BV$2,0))</f>
        <v>0</v>
      </c>
      <c r="AM52" s="57">
        <f>INDEX('Eurostat EB TJ GWh'!$A$2:$BV$146,MATCH($A52,'Eurostat EB TJ GWh'!$A$2:$A$146,0),MATCH(AM$3,'Eurostat EB TJ GWh'!$A$2:$BV$2,0))</f>
        <v>0</v>
      </c>
      <c r="AN52" s="57">
        <f>INDEX('Eurostat EB TJ GWh'!$A$2:$BV$146,MATCH($A52,'Eurostat EB TJ GWh'!$A$2:$A$146,0),MATCH(AN$3,'Eurostat EB TJ GWh'!$A$2:$BV$2,0))</f>
        <v>0</v>
      </c>
      <c r="AO52" s="57">
        <f>INDEX('Eurostat EB TJ GWh'!$A$2:$BV$146,MATCH($A52,'Eurostat EB TJ GWh'!$A$2:$A$146,0),MATCH(AO$3,'Eurostat EB TJ GWh'!$A$2:$BV$2,0))</f>
        <v>0</v>
      </c>
      <c r="AP52" s="57">
        <f>INDEX('Eurostat EB TJ GWh'!$A$2:$BV$146,MATCH($A52,'Eurostat EB TJ GWh'!$A$2:$A$146,0),MATCH(AP$3,'Eurostat EB TJ GWh'!$A$2:$BV$2,0))</f>
        <v>0</v>
      </c>
      <c r="AQ52" s="57">
        <f>INDEX('Eurostat EB TJ GWh'!$A$2:$BV$146,MATCH($A52,'Eurostat EB TJ GWh'!$A$2:$A$146,0),MATCH(AQ$3,'Eurostat EB TJ GWh'!$A$2:$BV$2,0))</f>
        <v>0</v>
      </c>
      <c r="AR52" s="57">
        <f>INDEX('Eurostat EB TJ GWh'!$A$2:$BV$146,MATCH($A52,'Eurostat EB TJ GWh'!$A$2:$A$146,0),MATCH(AR$3,'Eurostat EB TJ GWh'!$A$2:$BV$2,0))</f>
        <v>0</v>
      </c>
      <c r="AS52" s="57">
        <f>INDEX('Eurostat EB TJ GWh'!$A$2:$BV$146,MATCH($A52,'Eurostat EB TJ GWh'!$A$2:$A$146,0),MATCH(AS$3,'Eurostat EB TJ GWh'!$A$2:$BV$2,0))</f>
        <v>0</v>
      </c>
      <c r="AT52" s="57">
        <f>INDEX('Eurostat EB TJ GWh'!$A$2:$BV$146,MATCH($A52,'Eurostat EB TJ GWh'!$A$2:$A$146,0),MATCH(AT$3,'Eurostat EB TJ GWh'!$A$2:$BV$2,0))</f>
        <v>0</v>
      </c>
      <c r="AU52" s="57">
        <f>INDEX('Eurostat EB TJ GWh'!$A$2:$BV$146,MATCH($A52,'Eurostat EB TJ GWh'!$A$2:$A$146,0),MATCH(AU$3,'Eurostat EB TJ GWh'!$A$2:$BV$2,0))</f>
        <v>0</v>
      </c>
      <c r="AV52" s="57">
        <f>INDEX('Eurostat EB TJ GWh'!$A$2:$BV$146,MATCH($A52,'Eurostat EB TJ GWh'!$A$2:$A$146,0),MATCH(AV$2,'Eurostat EB TJ GWh'!$A$2:$BV$2,0))+INDEX('Eurostat EB TJ GWh'!$A$2:$BV$146,MATCH($A52,'Eurostat EB TJ GWh'!$A$2:$A$146,0),MATCH(AV$3,'Eurostat EB TJ GWh'!$A$2:$BV$2,0))</f>
        <v>0</v>
      </c>
      <c r="AW52" s="57">
        <f>INDEX('Eurostat EB TJ GWh'!$A$2:$BV$146,MATCH($A52,'Eurostat EB TJ GWh'!$A$2:$A$146,0),MATCH(AW$2,'Eurostat EB TJ GWh'!$A$2:$BV$2,0))+INDEX('Eurostat EB TJ GWh'!$A$2:$BV$146,MATCH($A52,'Eurostat EB TJ GWh'!$A$2:$A$146,0),MATCH(AW$3,'Eurostat EB TJ GWh'!$A$2:$BV$2,0))</f>
        <v>0</v>
      </c>
      <c r="AX52" s="57">
        <f>INDEX('Eurostat EB TJ GWh'!$A$2:$BV$146,MATCH($A52,'Eurostat EB TJ GWh'!$A$2:$A$146,0),MATCH(AX$3,'Eurostat EB TJ GWh'!$A$2:$BV$2,0))</f>
        <v>0</v>
      </c>
      <c r="AY52" s="65">
        <v>0</v>
      </c>
      <c r="AZ52" s="57">
        <f>INDEX('Eurostat EB TJ GWh'!$A$2:$BV$146,MATCH($A52,'Eurostat EB TJ GWh'!$A$2:$A$146,0),MATCH(AZ$3,'Eurostat EB TJ GWh'!$A$2:$BV$2,0))</f>
        <v>0</v>
      </c>
      <c r="BA52" s="65">
        <v>0</v>
      </c>
      <c r="BB52" s="65">
        <v>0</v>
      </c>
      <c r="BC52" s="57">
        <f>INDEX('Eurostat EB TJ GWh'!$A$2:$BV$146,MATCH($A52,'Eurostat EB TJ GWh'!$A$2:$A$146,0),MATCH(BC$3,'Eurostat EB TJ GWh'!$A$2:$BV$2,0))</f>
        <v>0</v>
      </c>
      <c r="BD52" s="57">
        <f>INDEX('Eurostat EB TJ GWh'!$A$2:$BV$146,MATCH($A52,'Eurostat EB TJ GWh'!$A$2:$A$146,0),MATCH(BD$3,'Eurostat EB TJ GWh'!$A$2:$BV$2,0))</f>
        <v>0</v>
      </c>
      <c r="BE52" s="57">
        <f>INDEX('Eurostat EB TJ GWh'!$A$2:$BV$146,MATCH($A52,'Eurostat EB TJ GWh'!$A$2:$A$146,0),MATCH(BE$3,'Eurostat EB TJ GWh'!$A$2:$BV$2,0))</f>
        <v>0</v>
      </c>
      <c r="BF52" s="57">
        <f>INDEX('Eurostat EB TJ GWh'!$A$2:$BV$146,MATCH($A52,'Eurostat EB TJ GWh'!$A$2:$A$146,0),MATCH(BF$3,'Eurostat EB TJ GWh'!$A$2:$BV$2,0))</f>
        <v>0</v>
      </c>
      <c r="BG52" s="57">
        <f>INDEX('Eurostat EB TJ GWh'!$A$2:$BV$146,MATCH($A52,'Eurostat EB TJ GWh'!$A$2:$A$146,0),MATCH(BG$3,'Eurostat EB TJ GWh'!$A$2:$BV$2,0))</f>
        <v>0</v>
      </c>
      <c r="BH52" s="57">
        <f>INDEX('Eurostat EB TJ GWh'!$A$2:$BV$146,MATCH($A52,'Eurostat EB TJ GWh'!$A$2:$A$146,0),MATCH(BH$3,'Eurostat EB TJ GWh'!$A$2:$BV$2,0))</f>
        <v>0</v>
      </c>
      <c r="BI52" s="57">
        <f>INDEX('Eurostat EB TJ GWh'!$A$2:$BV$146,MATCH($A52,'Eurostat EB TJ GWh'!$A$2:$A$146,0),MATCH(BI$3,'Eurostat EB TJ GWh'!$A$2:$BV$2,0))</f>
        <v>0</v>
      </c>
      <c r="BJ52" s="65">
        <v>0</v>
      </c>
      <c r="BK52" s="57">
        <f>INDEX('Eurostat EB TJ GWh'!$A$2:$BV$146,MATCH($A52,'Eurostat EB TJ GWh'!$A$2:$A$146,0),MATCH(BK$3,'Eurostat EB TJ GWh'!$A$2:$BV$2,0))</f>
        <v>0</v>
      </c>
      <c r="BL52" s="57">
        <f>INDEX('Eurostat EB TJ GWh'!$A$2:$BV$146,MATCH($A52,'Eurostat EB TJ GWh'!$A$2:$A$146,0),MATCH(BL$3,'Eurostat EB TJ GWh'!$A$2:$BV$2,0))</f>
        <v>0</v>
      </c>
      <c r="BM52" s="57">
        <f>INDEX('Eurostat EB TJ GWh'!$A$2:$BV$146,MATCH($A52,'Eurostat EB TJ GWh'!$A$2:$A$146,0),MATCH(BM$3,'Eurostat EB TJ GWh'!$A$2:$BV$2,0))</f>
        <v>0</v>
      </c>
      <c r="BN52" s="57">
        <f>INDEX('Eurostat EB TJ GWh'!$A$2:$BV$146,MATCH($A52,'Eurostat EB TJ GWh'!$A$2:$A$146,0),MATCH(BN$3,'Eurostat EB TJ GWh'!$A$2:$BV$2,0))</f>
        <v>0</v>
      </c>
    </row>
    <row r="53" spans="1:66" x14ac:dyDescent="0.2">
      <c r="A53" s="56" t="s">
        <v>241</v>
      </c>
      <c r="B53" s="65" t="s">
        <v>323</v>
      </c>
      <c r="C53" s="65" t="s">
        <v>323</v>
      </c>
      <c r="D53" s="17">
        <f>INDEX('Eurostat EB TJ GWh'!$A$2:$BV$146,MATCH($A53,'Eurostat EB TJ GWh'!$A$2:$A$146,0),MATCH(D$3,'Eurostat EB TJ GWh'!$A$2:$BV$2,0))</f>
        <v>0</v>
      </c>
      <c r="E53" s="17">
        <f>INDEX('Eurostat EB TJ GWh'!$A$2:$BV$146,MATCH($A53,'Eurostat EB TJ GWh'!$A$2:$A$146,0),MATCH(E$3,'Eurostat EB TJ GWh'!$A$2:$BV$2,0))</f>
        <v>0</v>
      </c>
      <c r="F53" s="17">
        <f>INDEX('Eurostat EB TJ GWh'!$A$2:$BV$146,MATCH($A53,'Eurostat EB TJ GWh'!$A$2:$A$146,0),MATCH(F$3,'Eurostat EB TJ GWh'!$A$2:$BV$2,0))</f>
        <v>0</v>
      </c>
      <c r="G53" s="17">
        <f>INDEX('Eurostat EB TJ GWh'!$A$2:$BV$146,MATCH($A53,'Eurostat EB TJ GWh'!$A$2:$A$146,0),MATCH(G$3,'Eurostat EB TJ GWh'!$A$2:$BV$2,0))</f>
        <v>0</v>
      </c>
      <c r="H53" s="17">
        <f>INDEX('Eurostat EB TJ GWh'!$A$2:$BV$146,MATCH($A53,'Eurostat EB TJ GWh'!$A$2:$A$146,0),MATCH(H$3,'Eurostat EB TJ GWh'!$A$2:$BV$2,0))</f>
        <v>0</v>
      </c>
      <c r="I53" s="17">
        <f>INDEX('Eurostat EB TJ GWh'!$A$2:$BV$146,MATCH($A53,'Eurostat EB TJ GWh'!$A$2:$A$146,0),MATCH(I$3,'Eurostat EB TJ GWh'!$A$2:$BV$2,0))</f>
        <v>0</v>
      </c>
      <c r="J53" s="17">
        <f>INDEX('Eurostat EB TJ GWh'!$A$2:$BV$146,MATCH($A53,'Eurostat EB TJ GWh'!$A$2:$A$146,0),MATCH(J$3,'Eurostat EB TJ GWh'!$A$2:$BV$2,0))</f>
        <v>0</v>
      </c>
      <c r="K53" s="17">
        <f>INDEX('Eurostat EB TJ GWh'!$A$2:$BV$146,MATCH($A53,'Eurostat EB TJ GWh'!$A$2:$A$146,0),MATCH(K$3,'Eurostat EB TJ GWh'!$A$2:$BV$2,0))</f>
        <v>0</v>
      </c>
      <c r="L53" s="17">
        <f>INDEX('Eurostat EB TJ GWh'!$A$2:$BV$146,MATCH($A53,'Eurostat EB TJ GWh'!$A$2:$A$146,0),MATCH(L$3,'Eurostat EB TJ GWh'!$A$2:$BV$2,0))</f>
        <v>0</v>
      </c>
      <c r="M53" s="17">
        <f>INDEX('Eurostat EB TJ GWh'!$A$2:$BV$146,MATCH($A53,'Eurostat EB TJ GWh'!$A$2:$A$146,0),MATCH(M$3,'Eurostat EB TJ GWh'!$A$2:$BV$2,0))</f>
        <v>0</v>
      </c>
      <c r="N53" s="17">
        <f>INDEX('Eurostat EB TJ GWh'!$A$2:$BV$146,MATCH($A53,'Eurostat EB TJ GWh'!$A$2:$A$146,0),MATCH(N$3,'Eurostat EB TJ GWh'!$A$2:$BV$2,0))</f>
        <v>0</v>
      </c>
      <c r="O53" s="17">
        <f>INDEX('Eurostat EB TJ GWh'!$A$2:$BV$146,MATCH($A53,'Eurostat EB TJ GWh'!$A$2:$A$146,0),MATCH(O$3,'Eurostat EB TJ GWh'!$A$2:$BV$2,0))</f>
        <v>0</v>
      </c>
      <c r="P53" s="17">
        <f>INDEX('Eurostat EB TJ GWh'!$A$2:$BV$146,MATCH($A53,'Eurostat EB TJ GWh'!$A$2:$A$146,0),MATCH(P$3,'Eurostat EB TJ GWh'!$A$2:$BV$2,0))</f>
        <v>0</v>
      </c>
      <c r="Q53" s="17">
        <f>INDEX('Eurostat EB TJ GWh'!$A$2:$BV$146,MATCH($A53,'Eurostat EB TJ GWh'!$A$2:$A$146,0),MATCH(Q$3,'Eurostat EB TJ GWh'!$A$2:$BV$2,0))</f>
        <v>0</v>
      </c>
      <c r="R53" s="17">
        <f>INDEX('Eurostat EB TJ GWh'!$A$2:$BV$146,MATCH($A53,'Eurostat EB TJ GWh'!$A$2:$A$146,0),MATCH(R$2,'Eurostat EB TJ GWh'!$A$2:$BV$2,0))+INDEX('Eurostat EB TJ GWh'!$A$2:$BV$146,MATCH($A53,'Eurostat EB TJ GWh'!$A$2:$A$146,0),MATCH(R$3,'Eurostat EB TJ GWh'!$A$2:$BV$2,0))</f>
        <v>0</v>
      </c>
      <c r="S53" s="17">
        <f>INDEX('Eurostat EB TJ GWh'!$A$2:$BV$146,MATCH($A53,'Eurostat EB TJ GWh'!$A$2:$A$146,0),MATCH(S$3,'Eurostat EB TJ GWh'!$A$2:$BV$2,0))</f>
        <v>0</v>
      </c>
      <c r="T53" s="65" t="s">
        <v>323</v>
      </c>
      <c r="U53" s="17">
        <f>INDEX('Eurostat EB TJ GWh'!$A$2:$BV$146,MATCH($A53,'Eurostat EB TJ GWh'!$A$2:$A$146,0),MATCH(U$3,'Eurostat EB TJ GWh'!$A$2:$BV$2,0))</f>
        <v>0</v>
      </c>
      <c r="V53" s="17">
        <f>INDEX('Eurostat EB TJ GWh'!$A$2:$BV$146,MATCH($A53,'Eurostat EB TJ GWh'!$A$2:$A$146,0),MATCH(V$3,'Eurostat EB TJ GWh'!$A$2:$BV$2,0))</f>
        <v>0</v>
      </c>
      <c r="W53" s="17">
        <f>INDEX('Eurostat EB TJ GWh'!$A$2:$BV$146,MATCH($A53,'Eurostat EB TJ GWh'!$A$2:$A$146,0),MATCH(W$3,'Eurostat EB TJ GWh'!$A$2:$BV$2,0))</f>
        <v>0</v>
      </c>
      <c r="X53" s="17">
        <f>INDEX('Eurostat EB TJ GWh'!$A$2:$BV$146,MATCH($A53,'Eurostat EB TJ GWh'!$A$2:$A$146,0),MATCH(X$3,'Eurostat EB TJ GWh'!$A$2:$BV$2,0))</f>
        <v>0</v>
      </c>
      <c r="Y53" s="17">
        <f>INDEX('Eurostat EB TJ GWh'!$A$2:$BV$146,MATCH($A53,'Eurostat EB TJ GWh'!$A$2:$A$146,0),MATCH(Y$3,'Eurostat EB TJ GWh'!$A$2:$BV$2,0))</f>
        <v>0</v>
      </c>
      <c r="Z53" s="17">
        <f>INDEX('Eurostat EB TJ GWh'!$A$2:$BV$146,MATCH($A53,'Eurostat EB TJ GWh'!$A$2:$A$146,0),MATCH(Z$3,'Eurostat EB TJ GWh'!$A$2:$BV$2,0))</f>
        <v>0</v>
      </c>
      <c r="AA53" s="17">
        <f>INDEX('Eurostat EB TJ GWh'!$A$2:$BV$146,MATCH($A53,'Eurostat EB TJ GWh'!$A$2:$A$146,0),MATCH(AA$3,'Eurostat EB TJ GWh'!$A$2:$BV$2,0))</f>
        <v>0</v>
      </c>
      <c r="AB53" s="17">
        <f>INDEX('Eurostat EB TJ GWh'!$A$2:$BV$146,MATCH($A53,'Eurostat EB TJ GWh'!$A$2:$A$146,0),MATCH(AB$3,'Eurostat EB TJ GWh'!$A$2:$BV$2,0))</f>
        <v>0</v>
      </c>
      <c r="AC53" s="17">
        <f>INDEX('Eurostat EB TJ GWh'!$A$2:$BV$146,MATCH($A53,'Eurostat EB TJ GWh'!$A$2:$A$146,0),MATCH(AC$3,'Eurostat EB TJ GWh'!$A$2:$BV$2,0))</f>
        <v>0</v>
      </c>
      <c r="AD53" s="17">
        <f>INDEX('Eurostat EB TJ GWh'!$A$2:$BV$146,MATCH($A53,'Eurostat EB TJ GWh'!$A$2:$A$146,0),MATCH(AD$3,'Eurostat EB TJ GWh'!$A$2:$BV$2,0))</f>
        <v>0</v>
      </c>
      <c r="AE53" s="17">
        <f>INDEX('Eurostat EB TJ GWh'!$A$2:$BV$146,MATCH($A53,'Eurostat EB TJ GWh'!$A$2:$A$146,0),MATCH(AE$3,'Eurostat EB TJ GWh'!$A$2:$BV$2,0))</f>
        <v>0</v>
      </c>
      <c r="AF53" s="17">
        <f>INDEX('Eurostat EB TJ GWh'!$A$2:$BV$146,MATCH($A53,'Eurostat EB TJ GWh'!$A$2:$A$146,0),MATCH(AF$3,'Eurostat EB TJ GWh'!$A$2:$BV$2,0))</f>
        <v>0</v>
      </c>
      <c r="AG53" s="17">
        <f>INDEX('Eurostat EB TJ GWh'!$A$2:$BV$146,MATCH($A53,'Eurostat EB TJ GWh'!$A$2:$A$146,0),MATCH(AG$3,'Eurostat EB TJ GWh'!$A$2:$BV$2,0))</f>
        <v>0</v>
      </c>
      <c r="AH53" s="17">
        <f>INDEX('Eurostat EB TJ GWh'!$A$2:$BV$146,MATCH($A53,'Eurostat EB TJ GWh'!$A$2:$A$146,0),MATCH(AH$3,'Eurostat EB TJ GWh'!$A$2:$BV$2,0))</f>
        <v>0</v>
      </c>
      <c r="AI53" s="17">
        <f>INDEX('Eurostat EB TJ GWh'!$A$2:$BV$146,MATCH($A53,'Eurostat EB TJ GWh'!$A$2:$A$146,0),MATCH(AI$3,'Eurostat EB TJ GWh'!$A$2:$BV$2,0))</f>
        <v>0</v>
      </c>
      <c r="AJ53" s="17">
        <f>INDEX('Eurostat EB TJ GWh'!$A$2:$BV$146,MATCH($A53,'Eurostat EB TJ GWh'!$A$2:$A$146,0),MATCH(AJ$3,'Eurostat EB TJ GWh'!$A$2:$BV$2,0))</f>
        <v>0</v>
      </c>
      <c r="AK53" s="17">
        <f>INDEX('Eurostat EB TJ GWh'!$A$2:$BV$146,MATCH($A53,'Eurostat EB TJ GWh'!$A$2:$A$146,0),MATCH(AK$3,'Eurostat EB TJ GWh'!$A$2:$BV$2,0))</f>
        <v>0</v>
      </c>
      <c r="AL53" s="17">
        <f>INDEX('Eurostat EB TJ GWh'!$A$2:$BV$146,MATCH($A53,'Eurostat EB TJ GWh'!$A$2:$A$146,0),MATCH(AL$3,'Eurostat EB TJ GWh'!$A$2:$BV$2,0))</f>
        <v>0</v>
      </c>
      <c r="AM53" s="17">
        <f>INDEX('Eurostat EB TJ GWh'!$A$2:$BV$146,MATCH($A53,'Eurostat EB TJ GWh'!$A$2:$A$146,0),MATCH(AM$3,'Eurostat EB TJ GWh'!$A$2:$BV$2,0))</f>
        <v>0</v>
      </c>
      <c r="AN53" s="17">
        <f>INDEX('Eurostat EB TJ GWh'!$A$2:$BV$146,MATCH($A53,'Eurostat EB TJ GWh'!$A$2:$A$146,0),MATCH(AN$3,'Eurostat EB TJ GWh'!$A$2:$BV$2,0))</f>
        <v>0</v>
      </c>
      <c r="AO53" s="17">
        <f>INDEX('Eurostat EB TJ GWh'!$A$2:$BV$146,MATCH($A53,'Eurostat EB TJ GWh'!$A$2:$A$146,0),MATCH(AO$3,'Eurostat EB TJ GWh'!$A$2:$BV$2,0))</f>
        <v>0</v>
      </c>
      <c r="AP53" s="17">
        <f>INDEX('Eurostat EB TJ GWh'!$A$2:$BV$146,MATCH($A53,'Eurostat EB TJ GWh'!$A$2:$A$146,0),MATCH(AP$3,'Eurostat EB TJ GWh'!$A$2:$BV$2,0))</f>
        <v>0</v>
      </c>
      <c r="AQ53" s="17">
        <f>INDEX('Eurostat EB TJ GWh'!$A$2:$BV$146,MATCH($A53,'Eurostat EB TJ GWh'!$A$2:$A$146,0),MATCH(AQ$3,'Eurostat EB TJ GWh'!$A$2:$BV$2,0))</f>
        <v>0</v>
      </c>
      <c r="AR53" s="17">
        <f>INDEX('Eurostat EB TJ GWh'!$A$2:$BV$146,MATCH($A53,'Eurostat EB TJ GWh'!$A$2:$A$146,0),MATCH(AR$3,'Eurostat EB TJ GWh'!$A$2:$BV$2,0))</f>
        <v>0</v>
      </c>
      <c r="AS53" s="17">
        <f>INDEX('Eurostat EB TJ GWh'!$A$2:$BV$146,MATCH($A53,'Eurostat EB TJ GWh'!$A$2:$A$146,0),MATCH(AS$3,'Eurostat EB TJ GWh'!$A$2:$BV$2,0))</f>
        <v>0</v>
      </c>
      <c r="AT53" s="17">
        <f>INDEX('Eurostat EB TJ GWh'!$A$2:$BV$146,MATCH($A53,'Eurostat EB TJ GWh'!$A$2:$A$146,0),MATCH(AT$3,'Eurostat EB TJ GWh'!$A$2:$BV$2,0))</f>
        <v>0</v>
      </c>
      <c r="AU53" s="17">
        <f>INDEX('Eurostat EB TJ GWh'!$A$2:$BV$146,MATCH($A53,'Eurostat EB TJ GWh'!$A$2:$A$146,0),MATCH(AU$3,'Eurostat EB TJ GWh'!$A$2:$BV$2,0))</f>
        <v>0</v>
      </c>
      <c r="AV53" s="17">
        <f>INDEX('Eurostat EB TJ GWh'!$A$2:$BV$146,MATCH($A53,'Eurostat EB TJ GWh'!$A$2:$A$146,0),MATCH(AV$2,'Eurostat EB TJ GWh'!$A$2:$BV$2,0))+INDEX('Eurostat EB TJ GWh'!$A$2:$BV$146,MATCH($A53,'Eurostat EB TJ GWh'!$A$2:$A$146,0),MATCH(AV$3,'Eurostat EB TJ GWh'!$A$2:$BV$2,0))</f>
        <v>0</v>
      </c>
      <c r="AW53" s="17">
        <f>INDEX('Eurostat EB TJ GWh'!$A$2:$BV$146,MATCH($A53,'Eurostat EB TJ GWh'!$A$2:$A$146,0),MATCH(AW$2,'Eurostat EB TJ GWh'!$A$2:$BV$2,0))+INDEX('Eurostat EB TJ GWh'!$A$2:$BV$146,MATCH($A53,'Eurostat EB TJ GWh'!$A$2:$A$146,0),MATCH(AW$3,'Eurostat EB TJ GWh'!$A$2:$BV$2,0))</f>
        <v>0</v>
      </c>
      <c r="AX53" s="17">
        <f>INDEX('Eurostat EB TJ GWh'!$A$2:$BV$146,MATCH($A53,'Eurostat EB TJ GWh'!$A$2:$A$146,0),MATCH(AX$3,'Eurostat EB TJ GWh'!$A$2:$BV$2,0))</f>
        <v>0</v>
      </c>
      <c r="AY53" s="72">
        <v>0</v>
      </c>
      <c r="AZ53" s="17">
        <f>INDEX('Eurostat EB TJ GWh'!$A$2:$BV$146,MATCH($A53,'Eurostat EB TJ GWh'!$A$2:$A$146,0),MATCH(AZ$3,'Eurostat EB TJ GWh'!$A$2:$BV$2,0))</f>
        <v>0</v>
      </c>
      <c r="BA53" s="72">
        <v>0</v>
      </c>
      <c r="BB53" s="72">
        <v>0</v>
      </c>
      <c r="BC53" s="17">
        <f>INDEX('Eurostat EB TJ GWh'!$A$2:$BV$146,MATCH($A53,'Eurostat EB TJ GWh'!$A$2:$A$146,0),MATCH(BC$3,'Eurostat EB TJ GWh'!$A$2:$BV$2,0))</f>
        <v>0</v>
      </c>
      <c r="BD53" s="17">
        <f>INDEX('Eurostat EB TJ GWh'!$A$2:$BV$146,MATCH($A53,'Eurostat EB TJ GWh'!$A$2:$A$146,0),MATCH(BD$3,'Eurostat EB TJ GWh'!$A$2:$BV$2,0))</f>
        <v>0</v>
      </c>
      <c r="BE53" s="17">
        <f>INDEX('Eurostat EB TJ GWh'!$A$2:$BV$146,MATCH($A53,'Eurostat EB TJ GWh'!$A$2:$A$146,0),MATCH(BE$3,'Eurostat EB TJ GWh'!$A$2:$BV$2,0))</f>
        <v>0</v>
      </c>
      <c r="BF53" s="17">
        <f>INDEX('Eurostat EB TJ GWh'!$A$2:$BV$146,MATCH($A53,'Eurostat EB TJ GWh'!$A$2:$A$146,0),MATCH(BF$3,'Eurostat EB TJ GWh'!$A$2:$BV$2,0))</f>
        <v>0</v>
      </c>
      <c r="BG53" s="17">
        <f>INDEX('Eurostat EB TJ GWh'!$A$2:$BV$146,MATCH($A53,'Eurostat EB TJ GWh'!$A$2:$A$146,0),MATCH(BG$3,'Eurostat EB TJ GWh'!$A$2:$BV$2,0))</f>
        <v>0</v>
      </c>
      <c r="BH53" s="17">
        <f>INDEX('Eurostat EB TJ GWh'!$A$2:$BV$146,MATCH($A53,'Eurostat EB TJ GWh'!$A$2:$A$146,0),MATCH(BH$3,'Eurostat EB TJ GWh'!$A$2:$BV$2,0))</f>
        <v>0</v>
      </c>
      <c r="BI53" s="17">
        <f>INDEX('Eurostat EB TJ GWh'!$A$2:$BV$146,MATCH($A53,'Eurostat EB TJ GWh'!$A$2:$A$146,0),MATCH(BI$3,'Eurostat EB TJ GWh'!$A$2:$BV$2,0))</f>
        <v>0</v>
      </c>
      <c r="BJ53" s="72">
        <v>0</v>
      </c>
      <c r="BK53" s="17">
        <f>INDEX('Eurostat EB TJ GWh'!$A$2:$BV$146,MATCH($A53,'Eurostat EB TJ GWh'!$A$2:$A$146,0),MATCH(BK$3,'Eurostat EB TJ GWh'!$A$2:$BV$2,0))</f>
        <v>0</v>
      </c>
      <c r="BL53" s="17">
        <f>INDEX('Eurostat EB TJ GWh'!$A$2:$BV$146,MATCH($A53,'Eurostat EB TJ GWh'!$A$2:$A$146,0),MATCH(BL$3,'Eurostat EB TJ GWh'!$A$2:$BV$2,0))</f>
        <v>0</v>
      </c>
      <c r="BM53" s="17">
        <f>INDEX('Eurostat EB TJ GWh'!$A$2:$BV$146,MATCH($A53,'Eurostat EB TJ GWh'!$A$2:$A$146,0),MATCH(BM$3,'Eurostat EB TJ GWh'!$A$2:$BV$2,0))</f>
        <v>0</v>
      </c>
      <c r="BN53" s="17">
        <f>INDEX('Eurostat EB TJ GWh'!$A$2:$BV$146,MATCH($A53,'Eurostat EB TJ GWh'!$A$2:$A$146,0),MATCH(BN$3,'Eurostat EB TJ GWh'!$A$2:$BV$2,0))</f>
        <v>0</v>
      </c>
    </row>
    <row r="54" spans="1:66" x14ac:dyDescent="0.2">
      <c r="A54" s="56" t="s">
        <v>242</v>
      </c>
      <c r="B54" s="65" t="s">
        <v>323</v>
      </c>
      <c r="C54" s="65" t="s">
        <v>323</v>
      </c>
      <c r="D54" s="57">
        <f>INDEX('Eurostat EB TJ GWh'!$A$2:$BV$146,MATCH($A54,'Eurostat EB TJ GWh'!$A$2:$A$146,0),MATCH(D$3,'Eurostat EB TJ GWh'!$A$2:$BV$2,0))</f>
        <v>0</v>
      </c>
      <c r="E54" s="57">
        <f>INDEX('Eurostat EB TJ GWh'!$A$2:$BV$146,MATCH($A54,'Eurostat EB TJ GWh'!$A$2:$A$146,0),MATCH(E$3,'Eurostat EB TJ GWh'!$A$2:$BV$2,0))</f>
        <v>0</v>
      </c>
      <c r="F54" s="57">
        <f>INDEX('Eurostat EB TJ GWh'!$A$2:$BV$146,MATCH($A54,'Eurostat EB TJ GWh'!$A$2:$A$146,0),MATCH(F$3,'Eurostat EB TJ GWh'!$A$2:$BV$2,0))</f>
        <v>0</v>
      </c>
      <c r="G54" s="57">
        <f>INDEX('Eurostat EB TJ GWh'!$A$2:$BV$146,MATCH($A54,'Eurostat EB TJ GWh'!$A$2:$A$146,0),MATCH(G$3,'Eurostat EB TJ GWh'!$A$2:$BV$2,0))</f>
        <v>0</v>
      </c>
      <c r="H54" s="57">
        <f>INDEX('Eurostat EB TJ GWh'!$A$2:$BV$146,MATCH($A54,'Eurostat EB TJ GWh'!$A$2:$A$146,0),MATCH(H$3,'Eurostat EB TJ GWh'!$A$2:$BV$2,0))</f>
        <v>0</v>
      </c>
      <c r="I54" s="57">
        <f>INDEX('Eurostat EB TJ GWh'!$A$2:$BV$146,MATCH($A54,'Eurostat EB TJ GWh'!$A$2:$A$146,0),MATCH(I$3,'Eurostat EB TJ GWh'!$A$2:$BV$2,0))</f>
        <v>0</v>
      </c>
      <c r="J54" s="57">
        <f>INDEX('Eurostat EB TJ GWh'!$A$2:$BV$146,MATCH($A54,'Eurostat EB TJ GWh'!$A$2:$A$146,0),MATCH(J$3,'Eurostat EB TJ GWh'!$A$2:$BV$2,0))</f>
        <v>0</v>
      </c>
      <c r="K54" s="57">
        <f>INDEX('Eurostat EB TJ GWh'!$A$2:$BV$146,MATCH($A54,'Eurostat EB TJ GWh'!$A$2:$A$146,0),MATCH(K$3,'Eurostat EB TJ GWh'!$A$2:$BV$2,0))</f>
        <v>0</v>
      </c>
      <c r="L54" s="57">
        <f>INDEX('Eurostat EB TJ GWh'!$A$2:$BV$146,MATCH($A54,'Eurostat EB TJ GWh'!$A$2:$A$146,0),MATCH(L$3,'Eurostat EB TJ GWh'!$A$2:$BV$2,0))</f>
        <v>0</v>
      </c>
      <c r="M54" s="57">
        <f>INDEX('Eurostat EB TJ GWh'!$A$2:$BV$146,MATCH($A54,'Eurostat EB TJ GWh'!$A$2:$A$146,0),MATCH(M$3,'Eurostat EB TJ GWh'!$A$2:$BV$2,0))</f>
        <v>0</v>
      </c>
      <c r="N54" s="57">
        <f>INDEX('Eurostat EB TJ GWh'!$A$2:$BV$146,MATCH($A54,'Eurostat EB TJ GWh'!$A$2:$A$146,0),MATCH(N$3,'Eurostat EB TJ GWh'!$A$2:$BV$2,0))</f>
        <v>0</v>
      </c>
      <c r="O54" s="57">
        <f>INDEX('Eurostat EB TJ GWh'!$A$2:$BV$146,MATCH($A54,'Eurostat EB TJ GWh'!$A$2:$A$146,0),MATCH(O$3,'Eurostat EB TJ GWh'!$A$2:$BV$2,0))</f>
        <v>0</v>
      </c>
      <c r="P54" s="57">
        <f>INDEX('Eurostat EB TJ GWh'!$A$2:$BV$146,MATCH($A54,'Eurostat EB TJ GWh'!$A$2:$A$146,0),MATCH(P$3,'Eurostat EB TJ GWh'!$A$2:$BV$2,0))</f>
        <v>0</v>
      </c>
      <c r="Q54" s="57">
        <f>INDEX('Eurostat EB TJ GWh'!$A$2:$BV$146,MATCH($A54,'Eurostat EB TJ GWh'!$A$2:$A$146,0),MATCH(Q$3,'Eurostat EB TJ GWh'!$A$2:$BV$2,0))</f>
        <v>0</v>
      </c>
      <c r="R54" s="57">
        <f>INDEX('Eurostat EB TJ GWh'!$A$2:$BV$146,MATCH($A54,'Eurostat EB TJ GWh'!$A$2:$A$146,0),MATCH(R$2,'Eurostat EB TJ GWh'!$A$2:$BV$2,0))+INDEX('Eurostat EB TJ GWh'!$A$2:$BV$146,MATCH($A54,'Eurostat EB TJ GWh'!$A$2:$A$146,0),MATCH(R$3,'Eurostat EB TJ GWh'!$A$2:$BV$2,0))</f>
        <v>0</v>
      </c>
      <c r="S54" s="57">
        <f>INDEX('Eurostat EB TJ GWh'!$A$2:$BV$146,MATCH($A54,'Eurostat EB TJ GWh'!$A$2:$A$146,0),MATCH(S$3,'Eurostat EB TJ GWh'!$A$2:$BV$2,0))</f>
        <v>0</v>
      </c>
      <c r="T54" s="65" t="s">
        <v>323</v>
      </c>
      <c r="U54" s="57">
        <f>INDEX('Eurostat EB TJ GWh'!$A$2:$BV$146,MATCH($A54,'Eurostat EB TJ GWh'!$A$2:$A$146,0),MATCH(U$3,'Eurostat EB TJ GWh'!$A$2:$BV$2,0))</f>
        <v>0</v>
      </c>
      <c r="V54" s="57">
        <f>INDEX('Eurostat EB TJ GWh'!$A$2:$BV$146,MATCH($A54,'Eurostat EB TJ GWh'!$A$2:$A$146,0),MATCH(V$3,'Eurostat EB TJ GWh'!$A$2:$BV$2,0))</f>
        <v>0</v>
      </c>
      <c r="W54" s="57">
        <f>INDEX('Eurostat EB TJ GWh'!$A$2:$BV$146,MATCH($A54,'Eurostat EB TJ GWh'!$A$2:$A$146,0),MATCH(W$3,'Eurostat EB TJ GWh'!$A$2:$BV$2,0))</f>
        <v>0</v>
      </c>
      <c r="X54" s="57">
        <f>INDEX('Eurostat EB TJ GWh'!$A$2:$BV$146,MATCH($A54,'Eurostat EB TJ GWh'!$A$2:$A$146,0),MATCH(X$3,'Eurostat EB TJ GWh'!$A$2:$BV$2,0))</f>
        <v>0</v>
      </c>
      <c r="Y54" s="57">
        <f>INDEX('Eurostat EB TJ GWh'!$A$2:$BV$146,MATCH($A54,'Eurostat EB TJ GWh'!$A$2:$A$146,0),MATCH(Y$3,'Eurostat EB TJ GWh'!$A$2:$BV$2,0))</f>
        <v>0</v>
      </c>
      <c r="Z54" s="57">
        <f>INDEX('Eurostat EB TJ GWh'!$A$2:$BV$146,MATCH($A54,'Eurostat EB TJ GWh'!$A$2:$A$146,0),MATCH(Z$3,'Eurostat EB TJ GWh'!$A$2:$BV$2,0))</f>
        <v>0</v>
      </c>
      <c r="AA54" s="57">
        <f>INDEX('Eurostat EB TJ GWh'!$A$2:$BV$146,MATCH($A54,'Eurostat EB TJ GWh'!$A$2:$A$146,0),MATCH(AA$3,'Eurostat EB TJ GWh'!$A$2:$BV$2,0))</f>
        <v>0</v>
      </c>
      <c r="AB54" s="57">
        <f>INDEX('Eurostat EB TJ GWh'!$A$2:$BV$146,MATCH($A54,'Eurostat EB TJ GWh'!$A$2:$A$146,0),MATCH(AB$3,'Eurostat EB TJ GWh'!$A$2:$BV$2,0))</f>
        <v>0</v>
      </c>
      <c r="AC54" s="57">
        <f>INDEX('Eurostat EB TJ GWh'!$A$2:$BV$146,MATCH($A54,'Eurostat EB TJ GWh'!$A$2:$A$146,0),MATCH(AC$3,'Eurostat EB TJ GWh'!$A$2:$BV$2,0))</f>
        <v>0</v>
      </c>
      <c r="AD54" s="57">
        <f>INDEX('Eurostat EB TJ GWh'!$A$2:$BV$146,MATCH($A54,'Eurostat EB TJ GWh'!$A$2:$A$146,0),MATCH(AD$3,'Eurostat EB TJ GWh'!$A$2:$BV$2,0))</f>
        <v>0</v>
      </c>
      <c r="AE54" s="57">
        <f>INDEX('Eurostat EB TJ GWh'!$A$2:$BV$146,MATCH($A54,'Eurostat EB TJ GWh'!$A$2:$A$146,0),MATCH(AE$3,'Eurostat EB TJ GWh'!$A$2:$BV$2,0))</f>
        <v>0</v>
      </c>
      <c r="AF54" s="57">
        <f>INDEX('Eurostat EB TJ GWh'!$A$2:$BV$146,MATCH($A54,'Eurostat EB TJ GWh'!$A$2:$A$146,0),MATCH(AF$3,'Eurostat EB TJ GWh'!$A$2:$BV$2,0))</f>
        <v>0</v>
      </c>
      <c r="AG54" s="57">
        <f>INDEX('Eurostat EB TJ GWh'!$A$2:$BV$146,MATCH($A54,'Eurostat EB TJ GWh'!$A$2:$A$146,0),MATCH(AG$3,'Eurostat EB TJ GWh'!$A$2:$BV$2,0))</f>
        <v>0</v>
      </c>
      <c r="AH54" s="57">
        <f>INDEX('Eurostat EB TJ GWh'!$A$2:$BV$146,MATCH($A54,'Eurostat EB TJ GWh'!$A$2:$A$146,0),MATCH(AH$3,'Eurostat EB TJ GWh'!$A$2:$BV$2,0))</f>
        <v>0</v>
      </c>
      <c r="AI54" s="57">
        <f>INDEX('Eurostat EB TJ GWh'!$A$2:$BV$146,MATCH($A54,'Eurostat EB TJ GWh'!$A$2:$A$146,0),MATCH(AI$3,'Eurostat EB TJ GWh'!$A$2:$BV$2,0))</f>
        <v>0</v>
      </c>
      <c r="AJ54" s="57">
        <f>INDEX('Eurostat EB TJ GWh'!$A$2:$BV$146,MATCH($A54,'Eurostat EB TJ GWh'!$A$2:$A$146,0),MATCH(AJ$3,'Eurostat EB TJ GWh'!$A$2:$BV$2,0))</f>
        <v>0</v>
      </c>
      <c r="AK54" s="57">
        <f>INDEX('Eurostat EB TJ GWh'!$A$2:$BV$146,MATCH($A54,'Eurostat EB TJ GWh'!$A$2:$A$146,0),MATCH(AK$3,'Eurostat EB TJ GWh'!$A$2:$BV$2,0))</f>
        <v>0</v>
      </c>
      <c r="AL54" s="57">
        <f>INDEX('Eurostat EB TJ GWh'!$A$2:$BV$146,MATCH($A54,'Eurostat EB TJ GWh'!$A$2:$A$146,0),MATCH(AL$3,'Eurostat EB TJ GWh'!$A$2:$BV$2,0))</f>
        <v>0</v>
      </c>
      <c r="AM54" s="57">
        <f>INDEX('Eurostat EB TJ GWh'!$A$2:$BV$146,MATCH($A54,'Eurostat EB TJ GWh'!$A$2:$A$146,0),MATCH(AM$3,'Eurostat EB TJ GWh'!$A$2:$BV$2,0))</f>
        <v>0</v>
      </c>
      <c r="AN54" s="57">
        <f>INDEX('Eurostat EB TJ GWh'!$A$2:$BV$146,MATCH($A54,'Eurostat EB TJ GWh'!$A$2:$A$146,0),MATCH(AN$3,'Eurostat EB TJ GWh'!$A$2:$BV$2,0))</f>
        <v>0</v>
      </c>
      <c r="AO54" s="57">
        <f>INDEX('Eurostat EB TJ GWh'!$A$2:$BV$146,MATCH($A54,'Eurostat EB TJ GWh'!$A$2:$A$146,0),MATCH(AO$3,'Eurostat EB TJ GWh'!$A$2:$BV$2,0))</f>
        <v>0</v>
      </c>
      <c r="AP54" s="57">
        <f>INDEX('Eurostat EB TJ GWh'!$A$2:$BV$146,MATCH($A54,'Eurostat EB TJ GWh'!$A$2:$A$146,0),MATCH(AP$3,'Eurostat EB TJ GWh'!$A$2:$BV$2,0))</f>
        <v>0</v>
      </c>
      <c r="AQ54" s="57">
        <f>INDEX('Eurostat EB TJ GWh'!$A$2:$BV$146,MATCH($A54,'Eurostat EB TJ GWh'!$A$2:$A$146,0),MATCH(AQ$3,'Eurostat EB TJ GWh'!$A$2:$BV$2,0))</f>
        <v>0</v>
      </c>
      <c r="AR54" s="57">
        <f>INDEX('Eurostat EB TJ GWh'!$A$2:$BV$146,MATCH($A54,'Eurostat EB TJ GWh'!$A$2:$A$146,0),MATCH(AR$3,'Eurostat EB TJ GWh'!$A$2:$BV$2,0))</f>
        <v>0</v>
      </c>
      <c r="AS54" s="57">
        <f>INDEX('Eurostat EB TJ GWh'!$A$2:$BV$146,MATCH($A54,'Eurostat EB TJ GWh'!$A$2:$A$146,0),MATCH(AS$3,'Eurostat EB TJ GWh'!$A$2:$BV$2,0))</f>
        <v>0</v>
      </c>
      <c r="AT54" s="57">
        <f>INDEX('Eurostat EB TJ GWh'!$A$2:$BV$146,MATCH($A54,'Eurostat EB TJ GWh'!$A$2:$A$146,0),MATCH(AT$3,'Eurostat EB TJ GWh'!$A$2:$BV$2,0))</f>
        <v>0</v>
      </c>
      <c r="AU54" s="57">
        <f>INDEX('Eurostat EB TJ GWh'!$A$2:$BV$146,MATCH($A54,'Eurostat EB TJ GWh'!$A$2:$A$146,0),MATCH(AU$3,'Eurostat EB TJ GWh'!$A$2:$BV$2,0))</f>
        <v>0</v>
      </c>
      <c r="AV54" s="57">
        <f>INDEX('Eurostat EB TJ GWh'!$A$2:$BV$146,MATCH($A54,'Eurostat EB TJ GWh'!$A$2:$A$146,0),MATCH(AV$2,'Eurostat EB TJ GWh'!$A$2:$BV$2,0))+INDEX('Eurostat EB TJ GWh'!$A$2:$BV$146,MATCH($A54,'Eurostat EB TJ GWh'!$A$2:$A$146,0),MATCH(AV$3,'Eurostat EB TJ GWh'!$A$2:$BV$2,0))</f>
        <v>0</v>
      </c>
      <c r="AW54" s="57">
        <f>INDEX('Eurostat EB TJ GWh'!$A$2:$BV$146,MATCH($A54,'Eurostat EB TJ GWh'!$A$2:$A$146,0),MATCH(AW$2,'Eurostat EB TJ GWh'!$A$2:$BV$2,0))+INDEX('Eurostat EB TJ GWh'!$A$2:$BV$146,MATCH($A54,'Eurostat EB TJ GWh'!$A$2:$A$146,0),MATCH(AW$3,'Eurostat EB TJ GWh'!$A$2:$BV$2,0))</f>
        <v>0</v>
      </c>
      <c r="AX54" s="57">
        <f>INDEX('Eurostat EB TJ GWh'!$A$2:$BV$146,MATCH($A54,'Eurostat EB TJ GWh'!$A$2:$A$146,0),MATCH(AX$3,'Eurostat EB TJ GWh'!$A$2:$BV$2,0))</f>
        <v>0</v>
      </c>
      <c r="AY54" s="65">
        <v>0</v>
      </c>
      <c r="AZ54" s="57">
        <f>INDEX('Eurostat EB TJ GWh'!$A$2:$BV$146,MATCH($A54,'Eurostat EB TJ GWh'!$A$2:$A$146,0),MATCH(AZ$3,'Eurostat EB TJ GWh'!$A$2:$BV$2,0))</f>
        <v>0</v>
      </c>
      <c r="BA54" s="65">
        <v>0</v>
      </c>
      <c r="BB54" s="65">
        <v>0</v>
      </c>
      <c r="BC54" s="57">
        <f>INDEX('Eurostat EB TJ GWh'!$A$2:$BV$146,MATCH($A54,'Eurostat EB TJ GWh'!$A$2:$A$146,0),MATCH(BC$3,'Eurostat EB TJ GWh'!$A$2:$BV$2,0))</f>
        <v>0</v>
      </c>
      <c r="BD54" s="57">
        <f>INDEX('Eurostat EB TJ GWh'!$A$2:$BV$146,MATCH($A54,'Eurostat EB TJ GWh'!$A$2:$A$146,0),MATCH(BD$3,'Eurostat EB TJ GWh'!$A$2:$BV$2,0))</f>
        <v>0</v>
      </c>
      <c r="BE54" s="57">
        <f>INDEX('Eurostat EB TJ GWh'!$A$2:$BV$146,MATCH($A54,'Eurostat EB TJ GWh'!$A$2:$A$146,0),MATCH(BE$3,'Eurostat EB TJ GWh'!$A$2:$BV$2,0))</f>
        <v>0</v>
      </c>
      <c r="BF54" s="57">
        <f>INDEX('Eurostat EB TJ GWh'!$A$2:$BV$146,MATCH($A54,'Eurostat EB TJ GWh'!$A$2:$A$146,0),MATCH(BF$3,'Eurostat EB TJ GWh'!$A$2:$BV$2,0))</f>
        <v>0</v>
      </c>
      <c r="BG54" s="57">
        <f>INDEX('Eurostat EB TJ GWh'!$A$2:$BV$146,MATCH($A54,'Eurostat EB TJ GWh'!$A$2:$A$146,0),MATCH(BG$3,'Eurostat EB TJ GWh'!$A$2:$BV$2,0))</f>
        <v>0</v>
      </c>
      <c r="BH54" s="57">
        <f>INDEX('Eurostat EB TJ GWh'!$A$2:$BV$146,MATCH($A54,'Eurostat EB TJ GWh'!$A$2:$A$146,0),MATCH(BH$3,'Eurostat EB TJ GWh'!$A$2:$BV$2,0))</f>
        <v>0</v>
      </c>
      <c r="BI54" s="57">
        <f>INDEX('Eurostat EB TJ GWh'!$A$2:$BV$146,MATCH($A54,'Eurostat EB TJ GWh'!$A$2:$A$146,0),MATCH(BI$3,'Eurostat EB TJ GWh'!$A$2:$BV$2,0))</f>
        <v>0</v>
      </c>
      <c r="BJ54" s="65">
        <v>0</v>
      </c>
      <c r="BK54" s="57">
        <f>INDEX('Eurostat EB TJ GWh'!$A$2:$BV$146,MATCH($A54,'Eurostat EB TJ GWh'!$A$2:$A$146,0),MATCH(BK$3,'Eurostat EB TJ GWh'!$A$2:$BV$2,0))</f>
        <v>0</v>
      </c>
      <c r="BL54" s="57">
        <f>INDEX('Eurostat EB TJ GWh'!$A$2:$BV$146,MATCH($A54,'Eurostat EB TJ GWh'!$A$2:$A$146,0),MATCH(BL$3,'Eurostat EB TJ GWh'!$A$2:$BV$2,0))</f>
        <v>0</v>
      </c>
      <c r="BM54" s="57">
        <f>INDEX('Eurostat EB TJ GWh'!$A$2:$BV$146,MATCH($A54,'Eurostat EB TJ GWh'!$A$2:$A$146,0),MATCH(BM$3,'Eurostat EB TJ GWh'!$A$2:$BV$2,0))</f>
        <v>0</v>
      </c>
      <c r="BN54" s="57">
        <f>INDEX('Eurostat EB TJ GWh'!$A$2:$BV$146,MATCH($A54,'Eurostat EB TJ GWh'!$A$2:$A$146,0),MATCH(BN$3,'Eurostat EB TJ GWh'!$A$2:$BV$2,0))</f>
        <v>0</v>
      </c>
    </row>
    <row r="55" spans="1:66" x14ac:dyDescent="0.2">
      <c r="A55" s="56" t="s">
        <v>243</v>
      </c>
      <c r="B55" s="65" t="s">
        <v>323</v>
      </c>
      <c r="C55" s="65" t="s">
        <v>323</v>
      </c>
      <c r="D55" s="17">
        <f>INDEX('Eurostat EB TJ GWh'!$A$2:$BV$146,MATCH($A55,'Eurostat EB TJ GWh'!$A$2:$A$146,0),MATCH(D$3,'Eurostat EB TJ GWh'!$A$2:$BV$2,0))</f>
        <v>0</v>
      </c>
      <c r="E55" s="17">
        <f>INDEX('Eurostat EB TJ GWh'!$A$2:$BV$146,MATCH($A55,'Eurostat EB TJ GWh'!$A$2:$A$146,0),MATCH(E$3,'Eurostat EB TJ GWh'!$A$2:$BV$2,0))</f>
        <v>0</v>
      </c>
      <c r="F55" s="17">
        <f>INDEX('Eurostat EB TJ GWh'!$A$2:$BV$146,MATCH($A55,'Eurostat EB TJ GWh'!$A$2:$A$146,0),MATCH(F$3,'Eurostat EB TJ GWh'!$A$2:$BV$2,0))</f>
        <v>0</v>
      </c>
      <c r="G55" s="17">
        <f>INDEX('Eurostat EB TJ GWh'!$A$2:$BV$146,MATCH($A55,'Eurostat EB TJ GWh'!$A$2:$A$146,0),MATCH(G$3,'Eurostat EB TJ GWh'!$A$2:$BV$2,0))</f>
        <v>0</v>
      </c>
      <c r="H55" s="17">
        <f>INDEX('Eurostat EB TJ GWh'!$A$2:$BV$146,MATCH($A55,'Eurostat EB TJ GWh'!$A$2:$A$146,0),MATCH(H$3,'Eurostat EB TJ GWh'!$A$2:$BV$2,0))</f>
        <v>0</v>
      </c>
      <c r="I55" s="17">
        <f>INDEX('Eurostat EB TJ GWh'!$A$2:$BV$146,MATCH($A55,'Eurostat EB TJ GWh'!$A$2:$A$146,0),MATCH(I$3,'Eurostat EB TJ GWh'!$A$2:$BV$2,0))</f>
        <v>0</v>
      </c>
      <c r="J55" s="17">
        <f>INDEX('Eurostat EB TJ GWh'!$A$2:$BV$146,MATCH($A55,'Eurostat EB TJ GWh'!$A$2:$A$146,0),MATCH(J$3,'Eurostat EB TJ GWh'!$A$2:$BV$2,0))</f>
        <v>0</v>
      </c>
      <c r="K55" s="17">
        <f>INDEX('Eurostat EB TJ GWh'!$A$2:$BV$146,MATCH($A55,'Eurostat EB TJ GWh'!$A$2:$A$146,0),MATCH(K$3,'Eurostat EB TJ GWh'!$A$2:$BV$2,0))</f>
        <v>0</v>
      </c>
      <c r="L55" s="17">
        <f>INDEX('Eurostat EB TJ GWh'!$A$2:$BV$146,MATCH($A55,'Eurostat EB TJ GWh'!$A$2:$A$146,0),MATCH(L$3,'Eurostat EB TJ GWh'!$A$2:$BV$2,0))</f>
        <v>0</v>
      </c>
      <c r="M55" s="17">
        <f>INDEX('Eurostat EB TJ GWh'!$A$2:$BV$146,MATCH($A55,'Eurostat EB TJ GWh'!$A$2:$A$146,0),MATCH(M$3,'Eurostat EB TJ GWh'!$A$2:$BV$2,0))</f>
        <v>0</v>
      </c>
      <c r="N55" s="17">
        <f>INDEX('Eurostat EB TJ GWh'!$A$2:$BV$146,MATCH($A55,'Eurostat EB TJ GWh'!$A$2:$A$146,0),MATCH(N$3,'Eurostat EB TJ GWh'!$A$2:$BV$2,0))</f>
        <v>0</v>
      </c>
      <c r="O55" s="17">
        <f>INDEX('Eurostat EB TJ GWh'!$A$2:$BV$146,MATCH($A55,'Eurostat EB TJ GWh'!$A$2:$A$146,0),MATCH(O$3,'Eurostat EB TJ GWh'!$A$2:$BV$2,0))</f>
        <v>0</v>
      </c>
      <c r="P55" s="17">
        <f>INDEX('Eurostat EB TJ GWh'!$A$2:$BV$146,MATCH($A55,'Eurostat EB TJ GWh'!$A$2:$A$146,0),MATCH(P$3,'Eurostat EB TJ GWh'!$A$2:$BV$2,0))</f>
        <v>0</v>
      </c>
      <c r="Q55" s="17">
        <f>INDEX('Eurostat EB TJ GWh'!$A$2:$BV$146,MATCH($A55,'Eurostat EB TJ GWh'!$A$2:$A$146,0),MATCH(Q$3,'Eurostat EB TJ GWh'!$A$2:$BV$2,0))</f>
        <v>0</v>
      </c>
      <c r="R55" s="17">
        <f>INDEX('Eurostat EB TJ GWh'!$A$2:$BV$146,MATCH($A55,'Eurostat EB TJ GWh'!$A$2:$A$146,0),MATCH(R$2,'Eurostat EB TJ GWh'!$A$2:$BV$2,0))+INDEX('Eurostat EB TJ GWh'!$A$2:$BV$146,MATCH($A55,'Eurostat EB TJ GWh'!$A$2:$A$146,0),MATCH(R$3,'Eurostat EB TJ GWh'!$A$2:$BV$2,0))</f>
        <v>0</v>
      </c>
      <c r="S55" s="17">
        <f>INDEX('Eurostat EB TJ GWh'!$A$2:$BV$146,MATCH($A55,'Eurostat EB TJ GWh'!$A$2:$A$146,0),MATCH(S$3,'Eurostat EB TJ GWh'!$A$2:$BV$2,0))</f>
        <v>0</v>
      </c>
      <c r="T55" s="65" t="s">
        <v>323</v>
      </c>
      <c r="U55" s="17">
        <f>INDEX('Eurostat EB TJ GWh'!$A$2:$BV$146,MATCH($A55,'Eurostat EB TJ GWh'!$A$2:$A$146,0),MATCH(U$3,'Eurostat EB TJ GWh'!$A$2:$BV$2,0))</f>
        <v>0</v>
      </c>
      <c r="V55" s="17">
        <f>INDEX('Eurostat EB TJ GWh'!$A$2:$BV$146,MATCH($A55,'Eurostat EB TJ GWh'!$A$2:$A$146,0),MATCH(V$3,'Eurostat EB TJ GWh'!$A$2:$BV$2,0))</f>
        <v>0</v>
      </c>
      <c r="W55" s="17">
        <f>INDEX('Eurostat EB TJ GWh'!$A$2:$BV$146,MATCH($A55,'Eurostat EB TJ GWh'!$A$2:$A$146,0),MATCH(W$3,'Eurostat EB TJ GWh'!$A$2:$BV$2,0))</f>
        <v>0</v>
      </c>
      <c r="X55" s="17">
        <f>INDEX('Eurostat EB TJ GWh'!$A$2:$BV$146,MATCH($A55,'Eurostat EB TJ GWh'!$A$2:$A$146,0),MATCH(X$3,'Eurostat EB TJ GWh'!$A$2:$BV$2,0))</f>
        <v>0</v>
      </c>
      <c r="Y55" s="17">
        <f>INDEX('Eurostat EB TJ GWh'!$A$2:$BV$146,MATCH($A55,'Eurostat EB TJ GWh'!$A$2:$A$146,0),MATCH(Y$3,'Eurostat EB TJ GWh'!$A$2:$BV$2,0))</f>
        <v>0</v>
      </c>
      <c r="Z55" s="17">
        <f>INDEX('Eurostat EB TJ GWh'!$A$2:$BV$146,MATCH($A55,'Eurostat EB TJ GWh'!$A$2:$A$146,0),MATCH(Z$3,'Eurostat EB TJ GWh'!$A$2:$BV$2,0))</f>
        <v>0</v>
      </c>
      <c r="AA55" s="17">
        <f>INDEX('Eurostat EB TJ GWh'!$A$2:$BV$146,MATCH($A55,'Eurostat EB TJ GWh'!$A$2:$A$146,0),MATCH(AA$3,'Eurostat EB TJ GWh'!$A$2:$BV$2,0))</f>
        <v>0</v>
      </c>
      <c r="AB55" s="17">
        <f>INDEX('Eurostat EB TJ GWh'!$A$2:$BV$146,MATCH($A55,'Eurostat EB TJ GWh'!$A$2:$A$146,0),MATCH(AB$3,'Eurostat EB TJ GWh'!$A$2:$BV$2,0))</f>
        <v>0</v>
      </c>
      <c r="AC55" s="17">
        <f>INDEX('Eurostat EB TJ GWh'!$A$2:$BV$146,MATCH($A55,'Eurostat EB TJ GWh'!$A$2:$A$146,0),MATCH(AC$3,'Eurostat EB TJ GWh'!$A$2:$BV$2,0))</f>
        <v>0</v>
      </c>
      <c r="AD55" s="17">
        <f>INDEX('Eurostat EB TJ GWh'!$A$2:$BV$146,MATCH($A55,'Eurostat EB TJ GWh'!$A$2:$A$146,0),MATCH(AD$3,'Eurostat EB TJ GWh'!$A$2:$BV$2,0))</f>
        <v>0</v>
      </c>
      <c r="AE55" s="17">
        <f>INDEX('Eurostat EB TJ GWh'!$A$2:$BV$146,MATCH($A55,'Eurostat EB TJ GWh'!$A$2:$A$146,0),MATCH(AE$3,'Eurostat EB TJ GWh'!$A$2:$BV$2,0))</f>
        <v>0</v>
      </c>
      <c r="AF55" s="17">
        <f>INDEX('Eurostat EB TJ GWh'!$A$2:$BV$146,MATCH($A55,'Eurostat EB TJ GWh'!$A$2:$A$146,0),MATCH(AF$3,'Eurostat EB TJ GWh'!$A$2:$BV$2,0))</f>
        <v>0</v>
      </c>
      <c r="AG55" s="17">
        <f>INDEX('Eurostat EB TJ GWh'!$A$2:$BV$146,MATCH($A55,'Eurostat EB TJ GWh'!$A$2:$A$146,0),MATCH(AG$3,'Eurostat EB TJ GWh'!$A$2:$BV$2,0))</f>
        <v>0</v>
      </c>
      <c r="AH55" s="17">
        <f>INDEX('Eurostat EB TJ GWh'!$A$2:$BV$146,MATCH($A55,'Eurostat EB TJ GWh'!$A$2:$A$146,0),MATCH(AH$3,'Eurostat EB TJ GWh'!$A$2:$BV$2,0))</f>
        <v>0</v>
      </c>
      <c r="AI55" s="17">
        <f>INDEX('Eurostat EB TJ GWh'!$A$2:$BV$146,MATCH($A55,'Eurostat EB TJ GWh'!$A$2:$A$146,0),MATCH(AI$3,'Eurostat EB TJ GWh'!$A$2:$BV$2,0))</f>
        <v>0</v>
      </c>
      <c r="AJ55" s="17">
        <f>INDEX('Eurostat EB TJ GWh'!$A$2:$BV$146,MATCH($A55,'Eurostat EB TJ GWh'!$A$2:$A$146,0),MATCH(AJ$3,'Eurostat EB TJ GWh'!$A$2:$BV$2,0))</f>
        <v>0</v>
      </c>
      <c r="AK55" s="17">
        <f>INDEX('Eurostat EB TJ GWh'!$A$2:$BV$146,MATCH($A55,'Eurostat EB TJ GWh'!$A$2:$A$146,0),MATCH(AK$3,'Eurostat EB TJ GWh'!$A$2:$BV$2,0))</f>
        <v>0</v>
      </c>
      <c r="AL55" s="17">
        <f>INDEX('Eurostat EB TJ GWh'!$A$2:$BV$146,MATCH($A55,'Eurostat EB TJ GWh'!$A$2:$A$146,0),MATCH(AL$3,'Eurostat EB TJ GWh'!$A$2:$BV$2,0))</f>
        <v>0</v>
      </c>
      <c r="AM55" s="17">
        <f>INDEX('Eurostat EB TJ GWh'!$A$2:$BV$146,MATCH($A55,'Eurostat EB TJ GWh'!$A$2:$A$146,0),MATCH(AM$3,'Eurostat EB TJ GWh'!$A$2:$BV$2,0))</f>
        <v>0</v>
      </c>
      <c r="AN55" s="17">
        <f>INDEX('Eurostat EB TJ GWh'!$A$2:$BV$146,MATCH($A55,'Eurostat EB TJ GWh'!$A$2:$A$146,0),MATCH(AN$3,'Eurostat EB TJ GWh'!$A$2:$BV$2,0))</f>
        <v>0</v>
      </c>
      <c r="AO55" s="17">
        <f>INDEX('Eurostat EB TJ GWh'!$A$2:$BV$146,MATCH($A55,'Eurostat EB TJ GWh'!$A$2:$A$146,0),MATCH(AO$3,'Eurostat EB TJ GWh'!$A$2:$BV$2,0))</f>
        <v>0</v>
      </c>
      <c r="AP55" s="17">
        <f>INDEX('Eurostat EB TJ GWh'!$A$2:$BV$146,MATCH($A55,'Eurostat EB TJ GWh'!$A$2:$A$146,0),MATCH(AP$3,'Eurostat EB TJ GWh'!$A$2:$BV$2,0))</f>
        <v>0</v>
      </c>
      <c r="AQ55" s="17">
        <f>INDEX('Eurostat EB TJ GWh'!$A$2:$BV$146,MATCH($A55,'Eurostat EB TJ GWh'!$A$2:$A$146,0),MATCH(AQ$3,'Eurostat EB TJ GWh'!$A$2:$BV$2,0))</f>
        <v>0</v>
      </c>
      <c r="AR55" s="17">
        <f>INDEX('Eurostat EB TJ GWh'!$A$2:$BV$146,MATCH($A55,'Eurostat EB TJ GWh'!$A$2:$A$146,0),MATCH(AR$3,'Eurostat EB TJ GWh'!$A$2:$BV$2,0))</f>
        <v>0</v>
      </c>
      <c r="AS55" s="17">
        <f>INDEX('Eurostat EB TJ GWh'!$A$2:$BV$146,MATCH($A55,'Eurostat EB TJ GWh'!$A$2:$A$146,0),MATCH(AS$3,'Eurostat EB TJ GWh'!$A$2:$BV$2,0))</f>
        <v>0</v>
      </c>
      <c r="AT55" s="17">
        <f>INDEX('Eurostat EB TJ GWh'!$A$2:$BV$146,MATCH($A55,'Eurostat EB TJ GWh'!$A$2:$A$146,0),MATCH(AT$3,'Eurostat EB TJ GWh'!$A$2:$BV$2,0))</f>
        <v>0</v>
      </c>
      <c r="AU55" s="17">
        <f>INDEX('Eurostat EB TJ GWh'!$A$2:$BV$146,MATCH($A55,'Eurostat EB TJ GWh'!$A$2:$A$146,0),MATCH(AU$3,'Eurostat EB TJ GWh'!$A$2:$BV$2,0))</f>
        <v>0</v>
      </c>
      <c r="AV55" s="17">
        <f>INDEX('Eurostat EB TJ GWh'!$A$2:$BV$146,MATCH($A55,'Eurostat EB TJ GWh'!$A$2:$A$146,0),MATCH(AV$2,'Eurostat EB TJ GWh'!$A$2:$BV$2,0))+INDEX('Eurostat EB TJ GWh'!$A$2:$BV$146,MATCH($A55,'Eurostat EB TJ GWh'!$A$2:$A$146,0),MATCH(AV$3,'Eurostat EB TJ GWh'!$A$2:$BV$2,0))</f>
        <v>0</v>
      </c>
      <c r="AW55" s="17">
        <f>INDEX('Eurostat EB TJ GWh'!$A$2:$BV$146,MATCH($A55,'Eurostat EB TJ GWh'!$A$2:$A$146,0),MATCH(AW$2,'Eurostat EB TJ GWh'!$A$2:$BV$2,0))+INDEX('Eurostat EB TJ GWh'!$A$2:$BV$146,MATCH($A55,'Eurostat EB TJ GWh'!$A$2:$A$146,0),MATCH(AW$3,'Eurostat EB TJ GWh'!$A$2:$BV$2,0))</f>
        <v>0</v>
      </c>
      <c r="AX55" s="17">
        <f>INDEX('Eurostat EB TJ GWh'!$A$2:$BV$146,MATCH($A55,'Eurostat EB TJ GWh'!$A$2:$A$146,0),MATCH(AX$3,'Eurostat EB TJ GWh'!$A$2:$BV$2,0))</f>
        <v>0</v>
      </c>
      <c r="AY55" s="65">
        <v>0</v>
      </c>
      <c r="AZ55" s="17">
        <f>INDEX('Eurostat EB TJ GWh'!$A$2:$BV$146,MATCH($A55,'Eurostat EB TJ GWh'!$A$2:$A$146,0),MATCH(AZ$3,'Eurostat EB TJ GWh'!$A$2:$BV$2,0))</f>
        <v>0</v>
      </c>
      <c r="BA55" s="65">
        <v>0</v>
      </c>
      <c r="BB55" s="65">
        <v>0</v>
      </c>
      <c r="BC55" s="17">
        <f>INDEX('Eurostat EB TJ GWh'!$A$2:$BV$146,MATCH($A55,'Eurostat EB TJ GWh'!$A$2:$A$146,0),MATCH(BC$3,'Eurostat EB TJ GWh'!$A$2:$BV$2,0))</f>
        <v>0</v>
      </c>
      <c r="BD55" s="17">
        <f>INDEX('Eurostat EB TJ GWh'!$A$2:$BV$146,MATCH($A55,'Eurostat EB TJ GWh'!$A$2:$A$146,0),MATCH(BD$3,'Eurostat EB TJ GWh'!$A$2:$BV$2,0))</f>
        <v>0</v>
      </c>
      <c r="BE55" s="17">
        <f>INDEX('Eurostat EB TJ GWh'!$A$2:$BV$146,MATCH($A55,'Eurostat EB TJ GWh'!$A$2:$A$146,0),MATCH(BE$3,'Eurostat EB TJ GWh'!$A$2:$BV$2,0))</f>
        <v>0</v>
      </c>
      <c r="BF55" s="17">
        <f>INDEX('Eurostat EB TJ GWh'!$A$2:$BV$146,MATCH($A55,'Eurostat EB TJ GWh'!$A$2:$A$146,0),MATCH(BF$3,'Eurostat EB TJ GWh'!$A$2:$BV$2,0))</f>
        <v>0</v>
      </c>
      <c r="BG55" s="17">
        <f>INDEX('Eurostat EB TJ GWh'!$A$2:$BV$146,MATCH($A55,'Eurostat EB TJ GWh'!$A$2:$A$146,0),MATCH(BG$3,'Eurostat EB TJ GWh'!$A$2:$BV$2,0))</f>
        <v>0</v>
      </c>
      <c r="BH55" s="17">
        <f>INDEX('Eurostat EB TJ GWh'!$A$2:$BV$146,MATCH($A55,'Eurostat EB TJ GWh'!$A$2:$A$146,0),MATCH(BH$3,'Eurostat EB TJ GWh'!$A$2:$BV$2,0))</f>
        <v>0</v>
      </c>
      <c r="BI55" s="17">
        <f>INDEX('Eurostat EB TJ GWh'!$A$2:$BV$146,MATCH($A55,'Eurostat EB TJ GWh'!$A$2:$A$146,0),MATCH(BI$3,'Eurostat EB TJ GWh'!$A$2:$BV$2,0))</f>
        <v>0</v>
      </c>
      <c r="BJ55" s="65">
        <v>0</v>
      </c>
      <c r="BK55" s="17">
        <f>INDEX('Eurostat EB TJ GWh'!$A$2:$BV$146,MATCH($A55,'Eurostat EB TJ GWh'!$A$2:$A$146,0),MATCH(BK$3,'Eurostat EB TJ GWh'!$A$2:$BV$2,0))</f>
        <v>2054.2719999999999</v>
      </c>
      <c r="BL55" s="17">
        <f>INDEX('Eurostat EB TJ GWh'!$A$2:$BV$146,MATCH($A55,'Eurostat EB TJ GWh'!$A$2:$A$146,0),MATCH(BL$3,'Eurostat EB TJ GWh'!$A$2:$BV$2,0))</f>
        <v>8031.1109999999999</v>
      </c>
      <c r="BM55" s="17">
        <f>INDEX('Eurostat EB TJ GWh'!$A$2:$BV$146,MATCH($A55,'Eurostat EB TJ GWh'!$A$2:$A$146,0),MATCH(BM$3,'Eurostat EB TJ GWh'!$A$2:$BV$2,0))</f>
        <v>10085.383</v>
      </c>
      <c r="BN55" s="17">
        <f>INDEX('Eurostat EB TJ GWh'!$A$2:$BV$146,MATCH($A55,'Eurostat EB TJ GWh'!$A$2:$A$146,0),MATCH(BN$3,'Eurostat EB TJ GWh'!$A$2:$BV$2,0))</f>
        <v>1899.7449999999999</v>
      </c>
    </row>
    <row r="56" spans="1:66" x14ac:dyDescent="0.2">
      <c r="A56" s="56" t="s">
        <v>244</v>
      </c>
      <c r="B56" s="65" t="s">
        <v>323</v>
      </c>
      <c r="C56" s="65" t="s">
        <v>323</v>
      </c>
      <c r="D56" s="57">
        <f>INDEX('Eurostat EB TJ GWh'!$A$2:$BV$146,MATCH($A56,'Eurostat EB TJ GWh'!$A$2:$A$146,0),MATCH(D$3,'Eurostat EB TJ GWh'!$A$2:$BV$2,0))</f>
        <v>0</v>
      </c>
      <c r="E56" s="57">
        <f>INDEX('Eurostat EB TJ GWh'!$A$2:$BV$146,MATCH($A56,'Eurostat EB TJ GWh'!$A$2:$A$146,0),MATCH(E$3,'Eurostat EB TJ GWh'!$A$2:$BV$2,0))</f>
        <v>0</v>
      </c>
      <c r="F56" s="57">
        <f>INDEX('Eurostat EB TJ GWh'!$A$2:$BV$146,MATCH($A56,'Eurostat EB TJ GWh'!$A$2:$A$146,0),MATCH(F$3,'Eurostat EB TJ GWh'!$A$2:$BV$2,0))</f>
        <v>0</v>
      </c>
      <c r="G56" s="57">
        <f>INDEX('Eurostat EB TJ GWh'!$A$2:$BV$146,MATCH($A56,'Eurostat EB TJ GWh'!$A$2:$A$146,0),MATCH(G$3,'Eurostat EB TJ GWh'!$A$2:$BV$2,0))</f>
        <v>0</v>
      </c>
      <c r="H56" s="57">
        <f>INDEX('Eurostat EB TJ GWh'!$A$2:$BV$146,MATCH($A56,'Eurostat EB TJ GWh'!$A$2:$A$146,0),MATCH(H$3,'Eurostat EB TJ GWh'!$A$2:$BV$2,0))</f>
        <v>0</v>
      </c>
      <c r="I56" s="57">
        <f>INDEX('Eurostat EB TJ GWh'!$A$2:$BV$146,MATCH($A56,'Eurostat EB TJ GWh'!$A$2:$A$146,0),MATCH(I$3,'Eurostat EB TJ GWh'!$A$2:$BV$2,0))</f>
        <v>0</v>
      </c>
      <c r="J56" s="57">
        <f>INDEX('Eurostat EB TJ GWh'!$A$2:$BV$146,MATCH($A56,'Eurostat EB TJ GWh'!$A$2:$A$146,0),MATCH(J$3,'Eurostat EB TJ GWh'!$A$2:$BV$2,0))</f>
        <v>50186.705000000002</v>
      </c>
      <c r="K56" s="57">
        <f>INDEX('Eurostat EB TJ GWh'!$A$2:$BV$146,MATCH($A56,'Eurostat EB TJ GWh'!$A$2:$A$146,0),MATCH(K$3,'Eurostat EB TJ GWh'!$A$2:$BV$2,0))</f>
        <v>0</v>
      </c>
      <c r="L56" s="57">
        <f>INDEX('Eurostat EB TJ GWh'!$A$2:$BV$146,MATCH($A56,'Eurostat EB TJ GWh'!$A$2:$A$146,0),MATCH(L$3,'Eurostat EB TJ GWh'!$A$2:$BV$2,0))</f>
        <v>3213.06</v>
      </c>
      <c r="M56" s="57">
        <f>INDEX('Eurostat EB TJ GWh'!$A$2:$BV$146,MATCH($A56,'Eurostat EB TJ GWh'!$A$2:$A$146,0),MATCH(M$3,'Eurostat EB TJ GWh'!$A$2:$BV$2,0))</f>
        <v>0</v>
      </c>
      <c r="N56" s="57">
        <f>INDEX('Eurostat EB TJ GWh'!$A$2:$BV$146,MATCH($A56,'Eurostat EB TJ GWh'!$A$2:$A$146,0),MATCH(N$3,'Eurostat EB TJ GWh'!$A$2:$BV$2,0))</f>
        <v>0</v>
      </c>
      <c r="O56" s="57">
        <f>INDEX('Eurostat EB TJ GWh'!$A$2:$BV$146,MATCH($A56,'Eurostat EB TJ GWh'!$A$2:$A$146,0),MATCH(O$3,'Eurostat EB TJ GWh'!$A$2:$BV$2,0))</f>
        <v>15016.271000000001</v>
      </c>
      <c r="P56" s="57">
        <f>INDEX('Eurostat EB TJ GWh'!$A$2:$BV$146,MATCH($A56,'Eurostat EB TJ GWh'!$A$2:$A$146,0),MATCH(P$3,'Eurostat EB TJ GWh'!$A$2:$BV$2,0))</f>
        <v>0</v>
      </c>
      <c r="Q56" s="57">
        <f>INDEX('Eurostat EB TJ GWh'!$A$2:$BV$146,MATCH($A56,'Eurostat EB TJ GWh'!$A$2:$A$146,0),MATCH(Q$3,'Eurostat EB TJ GWh'!$A$2:$BV$2,0))</f>
        <v>0</v>
      </c>
      <c r="R56" s="57">
        <f>INDEX('Eurostat EB TJ GWh'!$A$2:$BV$146,MATCH($A56,'Eurostat EB TJ GWh'!$A$2:$A$146,0),MATCH(R$2,'Eurostat EB TJ GWh'!$A$2:$BV$2,0))+INDEX('Eurostat EB TJ GWh'!$A$2:$BV$146,MATCH($A56,'Eurostat EB TJ GWh'!$A$2:$A$146,0),MATCH(R$3,'Eurostat EB TJ GWh'!$A$2:$BV$2,0))</f>
        <v>0</v>
      </c>
      <c r="S56" s="57">
        <f>INDEX('Eurostat EB TJ GWh'!$A$2:$BV$146,MATCH($A56,'Eurostat EB TJ GWh'!$A$2:$A$146,0),MATCH(S$3,'Eurostat EB TJ GWh'!$A$2:$BV$2,0))</f>
        <v>0</v>
      </c>
      <c r="T56" s="65" t="s">
        <v>323</v>
      </c>
      <c r="U56" s="57">
        <f>INDEX('Eurostat EB TJ GWh'!$A$2:$BV$146,MATCH($A56,'Eurostat EB TJ GWh'!$A$2:$A$146,0),MATCH(U$3,'Eurostat EB TJ GWh'!$A$2:$BV$2,0))</f>
        <v>0</v>
      </c>
      <c r="V56" s="57">
        <f>INDEX('Eurostat EB TJ GWh'!$A$2:$BV$146,MATCH($A56,'Eurostat EB TJ GWh'!$A$2:$A$146,0),MATCH(V$3,'Eurostat EB TJ GWh'!$A$2:$BV$2,0))</f>
        <v>0</v>
      </c>
      <c r="W56" s="57">
        <f>INDEX('Eurostat EB TJ GWh'!$A$2:$BV$146,MATCH($A56,'Eurostat EB TJ GWh'!$A$2:$A$146,0),MATCH(W$3,'Eurostat EB TJ GWh'!$A$2:$BV$2,0))</f>
        <v>0</v>
      </c>
      <c r="X56" s="57">
        <f>INDEX('Eurostat EB TJ GWh'!$A$2:$BV$146,MATCH($A56,'Eurostat EB TJ GWh'!$A$2:$A$146,0),MATCH(X$3,'Eurostat EB TJ GWh'!$A$2:$BV$2,0))</f>
        <v>0</v>
      </c>
      <c r="Y56" s="57">
        <f>INDEX('Eurostat EB TJ GWh'!$A$2:$BV$146,MATCH($A56,'Eurostat EB TJ GWh'!$A$2:$A$146,0),MATCH(Y$3,'Eurostat EB TJ GWh'!$A$2:$BV$2,0))</f>
        <v>0</v>
      </c>
      <c r="Z56" s="57">
        <f>INDEX('Eurostat EB TJ GWh'!$A$2:$BV$146,MATCH($A56,'Eurostat EB TJ GWh'!$A$2:$A$146,0),MATCH(Z$3,'Eurostat EB TJ GWh'!$A$2:$BV$2,0))</f>
        <v>0</v>
      </c>
      <c r="AA56" s="57">
        <f>INDEX('Eurostat EB TJ GWh'!$A$2:$BV$146,MATCH($A56,'Eurostat EB TJ GWh'!$A$2:$A$146,0),MATCH(AA$3,'Eurostat EB TJ GWh'!$A$2:$BV$2,0))</f>
        <v>0</v>
      </c>
      <c r="AB56" s="57">
        <f>INDEX('Eurostat EB TJ GWh'!$A$2:$BV$146,MATCH($A56,'Eurostat EB TJ GWh'!$A$2:$A$146,0),MATCH(AB$3,'Eurostat EB TJ GWh'!$A$2:$BV$2,0))</f>
        <v>0</v>
      </c>
      <c r="AC56" s="57">
        <f>INDEX('Eurostat EB TJ GWh'!$A$2:$BV$146,MATCH($A56,'Eurostat EB TJ GWh'!$A$2:$A$146,0),MATCH(AC$3,'Eurostat EB TJ GWh'!$A$2:$BV$2,0))</f>
        <v>0</v>
      </c>
      <c r="AD56" s="57">
        <f>INDEX('Eurostat EB TJ GWh'!$A$2:$BV$146,MATCH($A56,'Eurostat EB TJ GWh'!$A$2:$A$146,0),MATCH(AD$3,'Eurostat EB TJ GWh'!$A$2:$BV$2,0))</f>
        <v>0</v>
      </c>
      <c r="AE56" s="57">
        <f>INDEX('Eurostat EB TJ GWh'!$A$2:$BV$146,MATCH($A56,'Eurostat EB TJ GWh'!$A$2:$A$146,0),MATCH(AE$3,'Eurostat EB TJ GWh'!$A$2:$BV$2,0))</f>
        <v>0</v>
      </c>
      <c r="AF56" s="57">
        <f>INDEX('Eurostat EB TJ GWh'!$A$2:$BV$146,MATCH($A56,'Eurostat EB TJ GWh'!$A$2:$A$146,0),MATCH(AF$3,'Eurostat EB TJ GWh'!$A$2:$BV$2,0))</f>
        <v>0</v>
      </c>
      <c r="AG56" s="57">
        <f>INDEX('Eurostat EB TJ GWh'!$A$2:$BV$146,MATCH($A56,'Eurostat EB TJ GWh'!$A$2:$A$146,0),MATCH(AG$3,'Eurostat EB TJ GWh'!$A$2:$BV$2,0))</f>
        <v>0</v>
      </c>
      <c r="AH56" s="57">
        <f>INDEX('Eurostat EB TJ GWh'!$A$2:$BV$146,MATCH($A56,'Eurostat EB TJ GWh'!$A$2:$A$146,0),MATCH(AH$3,'Eurostat EB TJ GWh'!$A$2:$BV$2,0))</f>
        <v>0</v>
      </c>
      <c r="AI56" s="57">
        <f>INDEX('Eurostat EB TJ GWh'!$A$2:$BV$146,MATCH($A56,'Eurostat EB TJ GWh'!$A$2:$A$146,0),MATCH(AI$3,'Eurostat EB TJ GWh'!$A$2:$BV$2,0))</f>
        <v>0</v>
      </c>
      <c r="AJ56" s="57">
        <f>INDEX('Eurostat EB TJ GWh'!$A$2:$BV$146,MATCH($A56,'Eurostat EB TJ GWh'!$A$2:$A$146,0),MATCH(AJ$3,'Eurostat EB TJ GWh'!$A$2:$BV$2,0))</f>
        <v>0</v>
      </c>
      <c r="AK56" s="57">
        <f>INDEX('Eurostat EB TJ GWh'!$A$2:$BV$146,MATCH($A56,'Eurostat EB TJ GWh'!$A$2:$A$146,0),MATCH(AK$3,'Eurostat EB TJ GWh'!$A$2:$BV$2,0))</f>
        <v>0</v>
      </c>
      <c r="AL56" s="57">
        <f>INDEX('Eurostat EB TJ GWh'!$A$2:$BV$146,MATCH($A56,'Eurostat EB TJ GWh'!$A$2:$A$146,0),MATCH(AL$3,'Eurostat EB TJ GWh'!$A$2:$BV$2,0))</f>
        <v>0</v>
      </c>
      <c r="AM56" s="57">
        <f>INDEX('Eurostat EB TJ GWh'!$A$2:$BV$146,MATCH($A56,'Eurostat EB TJ GWh'!$A$2:$A$146,0),MATCH(AM$3,'Eurostat EB TJ GWh'!$A$2:$BV$2,0))</f>
        <v>0</v>
      </c>
      <c r="AN56" s="57">
        <f>INDEX('Eurostat EB TJ GWh'!$A$2:$BV$146,MATCH($A56,'Eurostat EB TJ GWh'!$A$2:$A$146,0),MATCH(AN$3,'Eurostat EB TJ GWh'!$A$2:$BV$2,0))</f>
        <v>0</v>
      </c>
      <c r="AO56" s="57">
        <f>INDEX('Eurostat EB TJ GWh'!$A$2:$BV$146,MATCH($A56,'Eurostat EB TJ GWh'!$A$2:$A$146,0),MATCH(AO$3,'Eurostat EB TJ GWh'!$A$2:$BV$2,0))</f>
        <v>0</v>
      </c>
      <c r="AP56" s="57">
        <f>INDEX('Eurostat EB TJ GWh'!$A$2:$BV$146,MATCH($A56,'Eurostat EB TJ GWh'!$A$2:$A$146,0),MATCH(AP$3,'Eurostat EB TJ GWh'!$A$2:$BV$2,0))</f>
        <v>0</v>
      </c>
      <c r="AQ56" s="57">
        <f>INDEX('Eurostat EB TJ GWh'!$A$2:$BV$146,MATCH($A56,'Eurostat EB TJ GWh'!$A$2:$A$146,0),MATCH(AQ$3,'Eurostat EB TJ GWh'!$A$2:$BV$2,0))</f>
        <v>0</v>
      </c>
      <c r="AR56" s="57">
        <f>INDEX('Eurostat EB TJ GWh'!$A$2:$BV$146,MATCH($A56,'Eurostat EB TJ GWh'!$A$2:$A$146,0),MATCH(AR$3,'Eurostat EB TJ GWh'!$A$2:$BV$2,0))</f>
        <v>0</v>
      </c>
      <c r="AS56" s="57">
        <f>INDEX('Eurostat EB TJ GWh'!$A$2:$BV$146,MATCH($A56,'Eurostat EB TJ GWh'!$A$2:$A$146,0),MATCH(AS$3,'Eurostat EB TJ GWh'!$A$2:$BV$2,0))</f>
        <v>0</v>
      </c>
      <c r="AT56" s="57">
        <f>INDEX('Eurostat EB TJ GWh'!$A$2:$BV$146,MATCH($A56,'Eurostat EB TJ GWh'!$A$2:$A$146,0),MATCH(AT$3,'Eurostat EB TJ GWh'!$A$2:$BV$2,0))</f>
        <v>0</v>
      </c>
      <c r="AU56" s="57">
        <f>INDEX('Eurostat EB TJ GWh'!$A$2:$BV$146,MATCH($A56,'Eurostat EB TJ GWh'!$A$2:$A$146,0),MATCH(AU$3,'Eurostat EB TJ GWh'!$A$2:$BV$2,0))</f>
        <v>0</v>
      </c>
      <c r="AV56" s="57">
        <f>INDEX('Eurostat EB TJ GWh'!$A$2:$BV$146,MATCH($A56,'Eurostat EB TJ GWh'!$A$2:$A$146,0),MATCH(AV$2,'Eurostat EB TJ GWh'!$A$2:$BV$2,0))+INDEX('Eurostat EB TJ GWh'!$A$2:$BV$146,MATCH($A56,'Eurostat EB TJ GWh'!$A$2:$A$146,0),MATCH(AV$3,'Eurostat EB TJ GWh'!$A$2:$BV$2,0))</f>
        <v>0</v>
      </c>
      <c r="AW56" s="57">
        <f>INDEX('Eurostat EB TJ GWh'!$A$2:$BV$146,MATCH($A56,'Eurostat EB TJ GWh'!$A$2:$A$146,0),MATCH(AW$2,'Eurostat EB TJ GWh'!$A$2:$BV$2,0))+INDEX('Eurostat EB TJ GWh'!$A$2:$BV$146,MATCH($A56,'Eurostat EB TJ GWh'!$A$2:$A$146,0),MATCH(AW$3,'Eurostat EB TJ GWh'!$A$2:$BV$2,0))</f>
        <v>0</v>
      </c>
      <c r="AX56" s="57">
        <f>INDEX('Eurostat EB TJ GWh'!$A$2:$BV$146,MATCH($A56,'Eurostat EB TJ GWh'!$A$2:$A$146,0),MATCH(AX$3,'Eurostat EB TJ GWh'!$A$2:$BV$2,0))</f>
        <v>0</v>
      </c>
      <c r="AY56" s="72">
        <v>0</v>
      </c>
      <c r="AZ56" s="57">
        <f>INDEX('Eurostat EB TJ GWh'!$A$2:$BV$146,MATCH($A56,'Eurostat EB TJ GWh'!$A$2:$A$146,0),MATCH(AZ$3,'Eurostat EB TJ GWh'!$A$2:$BV$2,0))</f>
        <v>0</v>
      </c>
      <c r="BA56" s="72">
        <v>0</v>
      </c>
      <c r="BB56" s="72">
        <v>0</v>
      </c>
      <c r="BC56" s="57">
        <f>INDEX('Eurostat EB TJ GWh'!$A$2:$BV$146,MATCH($A56,'Eurostat EB TJ GWh'!$A$2:$A$146,0),MATCH(BC$3,'Eurostat EB TJ GWh'!$A$2:$BV$2,0))</f>
        <v>0</v>
      </c>
      <c r="BD56" s="57">
        <f>INDEX('Eurostat EB TJ GWh'!$A$2:$BV$146,MATCH($A56,'Eurostat EB TJ GWh'!$A$2:$A$146,0),MATCH(BD$3,'Eurostat EB TJ GWh'!$A$2:$BV$2,0))</f>
        <v>0</v>
      </c>
      <c r="BE56" s="57">
        <f>INDEX('Eurostat EB TJ GWh'!$A$2:$BV$146,MATCH($A56,'Eurostat EB TJ GWh'!$A$2:$A$146,0),MATCH(BE$3,'Eurostat EB TJ GWh'!$A$2:$BV$2,0))</f>
        <v>0</v>
      </c>
      <c r="BF56" s="57">
        <f>INDEX('Eurostat EB TJ GWh'!$A$2:$BV$146,MATCH($A56,'Eurostat EB TJ GWh'!$A$2:$A$146,0),MATCH(BF$3,'Eurostat EB TJ GWh'!$A$2:$BV$2,0))</f>
        <v>0</v>
      </c>
      <c r="BG56" s="57">
        <f>INDEX('Eurostat EB TJ GWh'!$A$2:$BV$146,MATCH($A56,'Eurostat EB TJ GWh'!$A$2:$A$146,0),MATCH(BG$3,'Eurostat EB TJ GWh'!$A$2:$BV$2,0))</f>
        <v>0</v>
      </c>
      <c r="BH56" s="57">
        <f>INDEX('Eurostat EB TJ GWh'!$A$2:$BV$146,MATCH($A56,'Eurostat EB TJ GWh'!$A$2:$A$146,0),MATCH(BH$3,'Eurostat EB TJ GWh'!$A$2:$BV$2,0))</f>
        <v>0</v>
      </c>
      <c r="BI56" s="57">
        <f>INDEX('Eurostat EB TJ GWh'!$A$2:$BV$146,MATCH($A56,'Eurostat EB TJ GWh'!$A$2:$A$146,0),MATCH(BI$3,'Eurostat EB TJ GWh'!$A$2:$BV$2,0))</f>
        <v>0</v>
      </c>
      <c r="BJ56" s="72">
        <v>0</v>
      </c>
      <c r="BK56" s="57">
        <f>INDEX('Eurostat EB TJ GWh'!$A$2:$BV$146,MATCH($A56,'Eurostat EB TJ GWh'!$A$2:$A$146,0),MATCH(BK$3,'Eurostat EB TJ GWh'!$A$2:$BV$2,0))</f>
        <v>0</v>
      </c>
      <c r="BL56" s="57">
        <f>INDEX('Eurostat EB TJ GWh'!$A$2:$BV$146,MATCH($A56,'Eurostat EB TJ GWh'!$A$2:$A$146,0),MATCH(BL$3,'Eurostat EB TJ GWh'!$A$2:$BV$2,0))</f>
        <v>0</v>
      </c>
      <c r="BM56" s="57">
        <f>INDEX('Eurostat EB TJ GWh'!$A$2:$BV$146,MATCH($A56,'Eurostat EB TJ GWh'!$A$2:$A$146,0),MATCH(BM$3,'Eurostat EB TJ GWh'!$A$2:$BV$2,0))</f>
        <v>68416.035000000003</v>
      </c>
      <c r="BN56" s="57">
        <f>INDEX('Eurostat EB TJ GWh'!$A$2:$BV$146,MATCH($A56,'Eurostat EB TJ GWh'!$A$2:$A$146,0),MATCH(BN$3,'Eurostat EB TJ GWh'!$A$2:$BV$2,0))</f>
        <v>0</v>
      </c>
    </row>
    <row r="57" spans="1:66" x14ac:dyDescent="0.2">
      <c r="A57" s="56" t="s">
        <v>245</v>
      </c>
      <c r="B57" s="65" t="s">
        <v>323</v>
      </c>
      <c r="C57" s="65" t="s">
        <v>323</v>
      </c>
      <c r="D57" s="17">
        <f>INDEX('Eurostat EB TJ GWh'!$A$2:$BV$146,MATCH($A57,'Eurostat EB TJ GWh'!$A$2:$A$146,0),MATCH(D$3,'Eurostat EB TJ GWh'!$A$2:$BV$2,0))</f>
        <v>0</v>
      </c>
      <c r="E57" s="17">
        <f>INDEX('Eurostat EB TJ GWh'!$A$2:$BV$146,MATCH($A57,'Eurostat EB TJ GWh'!$A$2:$A$146,0),MATCH(E$3,'Eurostat EB TJ GWh'!$A$2:$BV$2,0))</f>
        <v>0</v>
      </c>
      <c r="F57" s="17">
        <f>INDEX('Eurostat EB TJ GWh'!$A$2:$BV$146,MATCH($A57,'Eurostat EB TJ GWh'!$A$2:$A$146,0),MATCH(F$3,'Eurostat EB TJ GWh'!$A$2:$BV$2,0))</f>
        <v>0</v>
      </c>
      <c r="G57" s="17">
        <f>INDEX('Eurostat EB TJ GWh'!$A$2:$BV$146,MATCH($A57,'Eurostat EB TJ GWh'!$A$2:$A$146,0),MATCH(G$3,'Eurostat EB TJ GWh'!$A$2:$BV$2,0))</f>
        <v>0</v>
      </c>
      <c r="H57" s="17">
        <f>INDEX('Eurostat EB TJ GWh'!$A$2:$BV$146,MATCH($A57,'Eurostat EB TJ GWh'!$A$2:$A$146,0),MATCH(H$3,'Eurostat EB TJ GWh'!$A$2:$BV$2,0))</f>
        <v>0</v>
      </c>
      <c r="I57" s="17">
        <f>INDEX('Eurostat EB TJ GWh'!$A$2:$BV$146,MATCH($A57,'Eurostat EB TJ GWh'!$A$2:$A$146,0),MATCH(I$3,'Eurostat EB TJ GWh'!$A$2:$BV$2,0))</f>
        <v>0</v>
      </c>
      <c r="J57" s="17">
        <f>INDEX('Eurostat EB TJ GWh'!$A$2:$BV$146,MATCH($A57,'Eurostat EB TJ GWh'!$A$2:$A$146,0),MATCH(J$3,'Eurostat EB TJ GWh'!$A$2:$BV$2,0))</f>
        <v>0</v>
      </c>
      <c r="K57" s="17">
        <f>INDEX('Eurostat EB TJ GWh'!$A$2:$BV$146,MATCH($A57,'Eurostat EB TJ GWh'!$A$2:$A$146,0),MATCH(K$3,'Eurostat EB TJ GWh'!$A$2:$BV$2,0))</f>
        <v>0</v>
      </c>
      <c r="L57" s="17">
        <f>INDEX('Eurostat EB TJ GWh'!$A$2:$BV$146,MATCH($A57,'Eurostat EB TJ GWh'!$A$2:$A$146,0),MATCH(L$3,'Eurostat EB TJ GWh'!$A$2:$BV$2,0))</f>
        <v>0</v>
      </c>
      <c r="M57" s="17">
        <f>INDEX('Eurostat EB TJ GWh'!$A$2:$BV$146,MATCH($A57,'Eurostat EB TJ GWh'!$A$2:$A$146,0),MATCH(M$3,'Eurostat EB TJ GWh'!$A$2:$BV$2,0))</f>
        <v>0</v>
      </c>
      <c r="N57" s="17">
        <f>INDEX('Eurostat EB TJ GWh'!$A$2:$BV$146,MATCH($A57,'Eurostat EB TJ GWh'!$A$2:$A$146,0),MATCH(N$3,'Eurostat EB TJ GWh'!$A$2:$BV$2,0))</f>
        <v>0</v>
      </c>
      <c r="O57" s="17">
        <f>INDEX('Eurostat EB TJ GWh'!$A$2:$BV$146,MATCH($A57,'Eurostat EB TJ GWh'!$A$2:$A$146,0),MATCH(O$3,'Eurostat EB TJ GWh'!$A$2:$BV$2,0))</f>
        <v>0</v>
      </c>
      <c r="P57" s="17">
        <f>INDEX('Eurostat EB TJ GWh'!$A$2:$BV$146,MATCH($A57,'Eurostat EB TJ GWh'!$A$2:$A$146,0),MATCH(P$3,'Eurostat EB TJ GWh'!$A$2:$BV$2,0))</f>
        <v>27131.519</v>
      </c>
      <c r="Q57" s="17">
        <f>INDEX('Eurostat EB TJ GWh'!$A$2:$BV$146,MATCH($A57,'Eurostat EB TJ GWh'!$A$2:$A$146,0),MATCH(Q$3,'Eurostat EB TJ GWh'!$A$2:$BV$2,0))</f>
        <v>0</v>
      </c>
      <c r="R57" s="17">
        <f>INDEX('Eurostat EB TJ GWh'!$A$2:$BV$146,MATCH($A57,'Eurostat EB TJ GWh'!$A$2:$A$146,0),MATCH(R$2,'Eurostat EB TJ GWh'!$A$2:$BV$2,0))+INDEX('Eurostat EB TJ GWh'!$A$2:$BV$146,MATCH($A57,'Eurostat EB TJ GWh'!$A$2:$A$146,0),MATCH(R$3,'Eurostat EB TJ GWh'!$A$2:$BV$2,0))</f>
        <v>0</v>
      </c>
      <c r="S57" s="17">
        <f>INDEX('Eurostat EB TJ GWh'!$A$2:$BV$146,MATCH($A57,'Eurostat EB TJ GWh'!$A$2:$A$146,0),MATCH(S$3,'Eurostat EB TJ GWh'!$A$2:$BV$2,0))</f>
        <v>0</v>
      </c>
      <c r="T57" s="65" t="s">
        <v>323</v>
      </c>
      <c r="U57" s="17">
        <f>INDEX('Eurostat EB TJ GWh'!$A$2:$BV$146,MATCH($A57,'Eurostat EB TJ GWh'!$A$2:$A$146,0),MATCH(U$3,'Eurostat EB TJ GWh'!$A$2:$BV$2,0))</f>
        <v>0</v>
      </c>
      <c r="V57" s="17">
        <f>INDEX('Eurostat EB TJ GWh'!$A$2:$BV$146,MATCH($A57,'Eurostat EB TJ GWh'!$A$2:$A$146,0),MATCH(V$3,'Eurostat EB TJ GWh'!$A$2:$BV$2,0))</f>
        <v>0</v>
      </c>
      <c r="W57" s="17">
        <f>INDEX('Eurostat EB TJ GWh'!$A$2:$BV$146,MATCH($A57,'Eurostat EB TJ GWh'!$A$2:$A$146,0),MATCH(W$3,'Eurostat EB TJ GWh'!$A$2:$BV$2,0))</f>
        <v>0</v>
      </c>
      <c r="X57" s="17">
        <f>INDEX('Eurostat EB TJ GWh'!$A$2:$BV$146,MATCH($A57,'Eurostat EB TJ GWh'!$A$2:$A$146,0),MATCH(X$3,'Eurostat EB TJ GWh'!$A$2:$BV$2,0))</f>
        <v>0</v>
      </c>
      <c r="Y57" s="17">
        <f>INDEX('Eurostat EB TJ GWh'!$A$2:$BV$146,MATCH($A57,'Eurostat EB TJ GWh'!$A$2:$A$146,0),MATCH(Y$3,'Eurostat EB TJ GWh'!$A$2:$BV$2,0))</f>
        <v>0</v>
      </c>
      <c r="Z57" s="17">
        <f>INDEX('Eurostat EB TJ GWh'!$A$2:$BV$146,MATCH($A57,'Eurostat EB TJ GWh'!$A$2:$A$146,0),MATCH(Z$3,'Eurostat EB TJ GWh'!$A$2:$BV$2,0))</f>
        <v>0</v>
      </c>
      <c r="AA57" s="17">
        <f>INDEX('Eurostat EB TJ GWh'!$A$2:$BV$146,MATCH($A57,'Eurostat EB TJ GWh'!$A$2:$A$146,0),MATCH(AA$3,'Eurostat EB TJ GWh'!$A$2:$BV$2,0))</f>
        <v>0</v>
      </c>
      <c r="AB57" s="17">
        <f>INDEX('Eurostat EB TJ GWh'!$A$2:$BV$146,MATCH($A57,'Eurostat EB TJ GWh'!$A$2:$A$146,0),MATCH(AB$3,'Eurostat EB TJ GWh'!$A$2:$BV$2,0))</f>
        <v>0</v>
      </c>
      <c r="AC57" s="17">
        <f>INDEX('Eurostat EB TJ GWh'!$A$2:$BV$146,MATCH($A57,'Eurostat EB TJ GWh'!$A$2:$A$146,0),MATCH(AC$3,'Eurostat EB TJ GWh'!$A$2:$BV$2,0))</f>
        <v>0</v>
      </c>
      <c r="AD57" s="17">
        <f>INDEX('Eurostat EB TJ GWh'!$A$2:$BV$146,MATCH($A57,'Eurostat EB TJ GWh'!$A$2:$A$146,0),MATCH(AD$3,'Eurostat EB TJ GWh'!$A$2:$BV$2,0))</f>
        <v>0</v>
      </c>
      <c r="AE57" s="17">
        <f>INDEX('Eurostat EB TJ GWh'!$A$2:$BV$146,MATCH($A57,'Eurostat EB TJ GWh'!$A$2:$A$146,0),MATCH(AE$3,'Eurostat EB TJ GWh'!$A$2:$BV$2,0))</f>
        <v>0</v>
      </c>
      <c r="AF57" s="17">
        <f>INDEX('Eurostat EB TJ GWh'!$A$2:$BV$146,MATCH($A57,'Eurostat EB TJ GWh'!$A$2:$A$146,0),MATCH(AF$3,'Eurostat EB TJ GWh'!$A$2:$BV$2,0))</f>
        <v>0</v>
      </c>
      <c r="AG57" s="17">
        <f>INDEX('Eurostat EB TJ GWh'!$A$2:$BV$146,MATCH($A57,'Eurostat EB TJ GWh'!$A$2:$A$146,0),MATCH(AG$3,'Eurostat EB TJ GWh'!$A$2:$BV$2,0))</f>
        <v>0</v>
      </c>
      <c r="AH57" s="17">
        <f>INDEX('Eurostat EB TJ GWh'!$A$2:$BV$146,MATCH($A57,'Eurostat EB TJ GWh'!$A$2:$A$146,0),MATCH(AH$3,'Eurostat EB TJ GWh'!$A$2:$BV$2,0))</f>
        <v>0</v>
      </c>
      <c r="AI57" s="17">
        <f>INDEX('Eurostat EB TJ GWh'!$A$2:$BV$146,MATCH($A57,'Eurostat EB TJ GWh'!$A$2:$A$146,0),MATCH(AI$3,'Eurostat EB TJ GWh'!$A$2:$BV$2,0))</f>
        <v>0</v>
      </c>
      <c r="AJ57" s="17">
        <f>INDEX('Eurostat EB TJ GWh'!$A$2:$BV$146,MATCH($A57,'Eurostat EB TJ GWh'!$A$2:$A$146,0),MATCH(AJ$3,'Eurostat EB TJ GWh'!$A$2:$BV$2,0))</f>
        <v>0</v>
      </c>
      <c r="AK57" s="17">
        <f>INDEX('Eurostat EB TJ GWh'!$A$2:$BV$146,MATCH($A57,'Eurostat EB TJ GWh'!$A$2:$A$146,0),MATCH(AK$3,'Eurostat EB TJ GWh'!$A$2:$BV$2,0))</f>
        <v>0</v>
      </c>
      <c r="AL57" s="17">
        <f>INDEX('Eurostat EB TJ GWh'!$A$2:$BV$146,MATCH($A57,'Eurostat EB TJ GWh'!$A$2:$A$146,0),MATCH(AL$3,'Eurostat EB TJ GWh'!$A$2:$BV$2,0))</f>
        <v>0</v>
      </c>
      <c r="AM57" s="17">
        <f>INDEX('Eurostat EB TJ GWh'!$A$2:$BV$146,MATCH($A57,'Eurostat EB TJ GWh'!$A$2:$A$146,0),MATCH(AM$3,'Eurostat EB TJ GWh'!$A$2:$BV$2,0))</f>
        <v>0</v>
      </c>
      <c r="AN57" s="17">
        <f>INDEX('Eurostat EB TJ GWh'!$A$2:$BV$146,MATCH($A57,'Eurostat EB TJ GWh'!$A$2:$A$146,0),MATCH(AN$3,'Eurostat EB TJ GWh'!$A$2:$BV$2,0))</f>
        <v>0</v>
      </c>
      <c r="AO57" s="17">
        <f>INDEX('Eurostat EB TJ GWh'!$A$2:$BV$146,MATCH($A57,'Eurostat EB TJ GWh'!$A$2:$A$146,0),MATCH(AO$3,'Eurostat EB TJ GWh'!$A$2:$BV$2,0))</f>
        <v>0</v>
      </c>
      <c r="AP57" s="17">
        <f>INDEX('Eurostat EB TJ GWh'!$A$2:$BV$146,MATCH($A57,'Eurostat EB TJ GWh'!$A$2:$A$146,0),MATCH(AP$3,'Eurostat EB TJ GWh'!$A$2:$BV$2,0))</f>
        <v>0</v>
      </c>
      <c r="AQ57" s="17">
        <f>INDEX('Eurostat EB TJ GWh'!$A$2:$BV$146,MATCH($A57,'Eurostat EB TJ GWh'!$A$2:$A$146,0),MATCH(AQ$3,'Eurostat EB TJ GWh'!$A$2:$BV$2,0))</f>
        <v>0</v>
      </c>
      <c r="AR57" s="17">
        <f>INDEX('Eurostat EB TJ GWh'!$A$2:$BV$146,MATCH($A57,'Eurostat EB TJ GWh'!$A$2:$A$146,0),MATCH(AR$3,'Eurostat EB TJ GWh'!$A$2:$BV$2,0))</f>
        <v>0</v>
      </c>
      <c r="AS57" s="17">
        <f>INDEX('Eurostat EB TJ GWh'!$A$2:$BV$146,MATCH($A57,'Eurostat EB TJ GWh'!$A$2:$A$146,0),MATCH(AS$3,'Eurostat EB TJ GWh'!$A$2:$BV$2,0))</f>
        <v>0</v>
      </c>
      <c r="AT57" s="17">
        <f>INDEX('Eurostat EB TJ GWh'!$A$2:$BV$146,MATCH($A57,'Eurostat EB TJ GWh'!$A$2:$A$146,0),MATCH(AT$3,'Eurostat EB TJ GWh'!$A$2:$BV$2,0))</f>
        <v>0</v>
      </c>
      <c r="AU57" s="17">
        <f>INDEX('Eurostat EB TJ GWh'!$A$2:$BV$146,MATCH($A57,'Eurostat EB TJ GWh'!$A$2:$A$146,0),MATCH(AU$3,'Eurostat EB TJ GWh'!$A$2:$BV$2,0))</f>
        <v>0</v>
      </c>
      <c r="AV57" s="17">
        <f>INDEX('Eurostat EB TJ GWh'!$A$2:$BV$146,MATCH($A57,'Eurostat EB TJ GWh'!$A$2:$A$146,0),MATCH(AV$2,'Eurostat EB TJ GWh'!$A$2:$BV$2,0))+INDEX('Eurostat EB TJ GWh'!$A$2:$BV$146,MATCH($A57,'Eurostat EB TJ GWh'!$A$2:$A$146,0),MATCH(AV$3,'Eurostat EB TJ GWh'!$A$2:$BV$2,0))</f>
        <v>0</v>
      </c>
      <c r="AW57" s="17">
        <f>INDEX('Eurostat EB TJ GWh'!$A$2:$BV$146,MATCH($A57,'Eurostat EB TJ GWh'!$A$2:$A$146,0),MATCH(AW$2,'Eurostat EB TJ GWh'!$A$2:$BV$2,0))+INDEX('Eurostat EB TJ GWh'!$A$2:$BV$146,MATCH($A57,'Eurostat EB TJ GWh'!$A$2:$A$146,0),MATCH(AW$3,'Eurostat EB TJ GWh'!$A$2:$BV$2,0))</f>
        <v>0</v>
      </c>
      <c r="AX57" s="17">
        <f>INDEX('Eurostat EB TJ GWh'!$A$2:$BV$146,MATCH($A57,'Eurostat EB TJ GWh'!$A$2:$A$146,0),MATCH(AX$3,'Eurostat EB TJ GWh'!$A$2:$BV$2,0))</f>
        <v>0</v>
      </c>
      <c r="AY57" s="65">
        <v>0</v>
      </c>
      <c r="AZ57" s="17">
        <f>INDEX('Eurostat EB TJ GWh'!$A$2:$BV$146,MATCH($A57,'Eurostat EB TJ GWh'!$A$2:$A$146,0),MATCH(AZ$3,'Eurostat EB TJ GWh'!$A$2:$BV$2,0))</f>
        <v>0</v>
      </c>
      <c r="BA57" s="65">
        <v>0</v>
      </c>
      <c r="BB57" s="65">
        <v>0</v>
      </c>
      <c r="BC57" s="17">
        <f>INDEX('Eurostat EB TJ GWh'!$A$2:$BV$146,MATCH($A57,'Eurostat EB TJ GWh'!$A$2:$A$146,0),MATCH(BC$3,'Eurostat EB TJ GWh'!$A$2:$BV$2,0))</f>
        <v>0</v>
      </c>
      <c r="BD57" s="17">
        <f>INDEX('Eurostat EB TJ GWh'!$A$2:$BV$146,MATCH($A57,'Eurostat EB TJ GWh'!$A$2:$A$146,0),MATCH(BD$3,'Eurostat EB TJ GWh'!$A$2:$BV$2,0))</f>
        <v>0</v>
      </c>
      <c r="BE57" s="17">
        <f>INDEX('Eurostat EB TJ GWh'!$A$2:$BV$146,MATCH($A57,'Eurostat EB TJ GWh'!$A$2:$A$146,0),MATCH(BE$3,'Eurostat EB TJ GWh'!$A$2:$BV$2,0))</f>
        <v>0</v>
      </c>
      <c r="BF57" s="17">
        <f>INDEX('Eurostat EB TJ GWh'!$A$2:$BV$146,MATCH($A57,'Eurostat EB TJ GWh'!$A$2:$A$146,0),MATCH(BF$3,'Eurostat EB TJ GWh'!$A$2:$BV$2,0))</f>
        <v>0</v>
      </c>
      <c r="BG57" s="17">
        <f>INDEX('Eurostat EB TJ GWh'!$A$2:$BV$146,MATCH($A57,'Eurostat EB TJ GWh'!$A$2:$A$146,0),MATCH(BG$3,'Eurostat EB TJ GWh'!$A$2:$BV$2,0))</f>
        <v>0</v>
      </c>
      <c r="BH57" s="17">
        <f>INDEX('Eurostat EB TJ GWh'!$A$2:$BV$146,MATCH($A57,'Eurostat EB TJ GWh'!$A$2:$A$146,0),MATCH(BH$3,'Eurostat EB TJ GWh'!$A$2:$BV$2,0))</f>
        <v>0</v>
      </c>
      <c r="BI57" s="17">
        <f>INDEX('Eurostat EB TJ GWh'!$A$2:$BV$146,MATCH($A57,'Eurostat EB TJ GWh'!$A$2:$A$146,0),MATCH(BI$3,'Eurostat EB TJ GWh'!$A$2:$BV$2,0))</f>
        <v>0</v>
      </c>
      <c r="BJ57" s="65">
        <v>0</v>
      </c>
      <c r="BK57" s="17">
        <f>INDEX('Eurostat EB TJ GWh'!$A$2:$BV$146,MATCH($A57,'Eurostat EB TJ GWh'!$A$2:$A$146,0),MATCH(BK$3,'Eurostat EB TJ GWh'!$A$2:$BV$2,0))</f>
        <v>0</v>
      </c>
      <c r="BL57" s="17">
        <f>INDEX('Eurostat EB TJ GWh'!$A$2:$BV$146,MATCH($A57,'Eurostat EB TJ GWh'!$A$2:$A$146,0),MATCH(BL$3,'Eurostat EB TJ GWh'!$A$2:$BV$2,0))</f>
        <v>0</v>
      </c>
      <c r="BM57" s="17">
        <f>INDEX('Eurostat EB TJ GWh'!$A$2:$BV$146,MATCH($A57,'Eurostat EB TJ GWh'!$A$2:$A$146,0),MATCH(BM$3,'Eurostat EB TJ GWh'!$A$2:$BV$2,0))</f>
        <v>27131.519</v>
      </c>
      <c r="BN57" s="17">
        <f>INDEX('Eurostat EB TJ GWh'!$A$2:$BV$146,MATCH($A57,'Eurostat EB TJ GWh'!$A$2:$A$146,0),MATCH(BN$3,'Eurostat EB TJ GWh'!$A$2:$BV$2,0))</f>
        <v>0</v>
      </c>
    </row>
    <row r="58" spans="1:66" x14ac:dyDescent="0.2">
      <c r="A58" s="56" t="s">
        <v>246</v>
      </c>
      <c r="B58" s="65" t="s">
        <v>323</v>
      </c>
      <c r="C58" s="65" t="s">
        <v>323</v>
      </c>
      <c r="D58" s="57">
        <f>INDEX('Eurostat EB TJ GWh'!$A$2:$BV$146,MATCH($A58,'Eurostat EB TJ GWh'!$A$2:$A$146,0),MATCH(D$3,'Eurostat EB TJ GWh'!$A$2:$BV$2,0))</f>
        <v>0</v>
      </c>
      <c r="E58" s="57">
        <f>INDEX('Eurostat EB TJ GWh'!$A$2:$BV$146,MATCH($A58,'Eurostat EB TJ GWh'!$A$2:$A$146,0),MATCH(E$3,'Eurostat EB TJ GWh'!$A$2:$BV$2,0))</f>
        <v>0</v>
      </c>
      <c r="F58" s="57">
        <f>INDEX('Eurostat EB TJ GWh'!$A$2:$BV$146,MATCH($A58,'Eurostat EB TJ GWh'!$A$2:$A$146,0),MATCH(F$3,'Eurostat EB TJ GWh'!$A$2:$BV$2,0))</f>
        <v>0</v>
      </c>
      <c r="G58" s="57">
        <f>INDEX('Eurostat EB TJ GWh'!$A$2:$BV$146,MATCH($A58,'Eurostat EB TJ GWh'!$A$2:$A$146,0),MATCH(G$3,'Eurostat EB TJ GWh'!$A$2:$BV$2,0))</f>
        <v>0</v>
      </c>
      <c r="H58" s="57">
        <f>INDEX('Eurostat EB TJ GWh'!$A$2:$BV$146,MATCH($A58,'Eurostat EB TJ GWh'!$A$2:$A$146,0),MATCH(H$3,'Eurostat EB TJ GWh'!$A$2:$BV$2,0))</f>
        <v>0</v>
      </c>
      <c r="I58" s="57">
        <f>INDEX('Eurostat EB TJ GWh'!$A$2:$BV$146,MATCH($A58,'Eurostat EB TJ GWh'!$A$2:$A$146,0),MATCH(I$3,'Eurostat EB TJ GWh'!$A$2:$BV$2,0))</f>
        <v>0</v>
      </c>
      <c r="J58" s="57">
        <f>INDEX('Eurostat EB TJ GWh'!$A$2:$BV$146,MATCH($A58,'Eurostat EB TJ GWh'!$A$2:$A$146,0),MATCH(J$3,'Eurostat EB TJ GWh'!$A$2:$BV$2,0))</f>
        <v>0</v>
      </c>
      <c r="K58" s="57">
        <f>INDEX('Eurostat EB TJ GWh'!$A$2:$BV$146,MATCH($A58,'Eurostat EB TJ GWh'!$A$2:$A$146,0),MATCH(K$3,'Eurostat EB TJ GWh'!$A$2:$BV$2,0))</f>
        <v>0</v>
      </c>
      <c r="L58" s="57">
        <f>INDEX('Eurostat EB TJ GWh'!$A$2:$BV$146,MATCH($A58,'Eurostat EB TJ GWh'!$A$2:$A$146,0),MATCH(L$3,'Eurostat EB TJ GWh'!$A$2:$BV$2,0))</f>
        <v>0</v>
      </c>
      <c r="M58" s="57">
        <f>INDEX('Eurostat EB TJ GWh'!$A$2:$BV$146,MATCH($A58,'Eurostat EB TJ GWh'!$A$2:$A$146,0),MATCH(M$3,'Eurostat EB TJ GWh'!$A$2:$BV$2,0))</f>
        <v>0</v>
      </c>
      <c r="N58" s="57">
        <f>INDEX('Eurostat EB TJ GWh'!$A$2:$BV$146,MATCH($A58,'Eurostat EB TJ GWh'!$A$2:$A$146,0),MATCH(N$3,'Eurostat EB TJ GWh'!$A$2:$BV$2,0))</f>
        <v>0</v>
      </c>
      <c r="O58" s="57">
        <f>INDEX('Eurostat EB TJ GWh'!$A$2:$BV$146,MATCH($A58,'Eurostat EB TJ GWh'!$A$2:$A$146,0),MATCH(O$3,'Eurostat EB TJ GWh'!$A$2:$BV$2,0))</f>
        <v>0</v>
      </c>
      <c r="P58" s="57">
        <f>INDEX('Eurostat EB TJ GWh'!$A$2:$BV$146,MATCH($A58,'Eurostat EB TJ GWh'!$A$2:$A$146,0),MATCH(P$3,'Eurostat EB TJ GWh'!$A$2:$BV$2,0))</f>
        <v>0</v>
      </c>
      <c r="Q58" s="57">
        <f>INDEX('Eurostat EB TJ GWh'!$A$2:$BV$146,MATCH($A58,'Eurostat EB TJ GWh'!$A$2:$A$146,0),MATCH(Q$3,'Eurostat EB TJ GWh'!$A$2:$BV$2,0))</f>
        <v>0</v>
      </c>
      <c r="R58" s="57">
        <f>INDEX('Eurostat EB TJ GWh'!$A$2:$BV$146,MATCH($A58,'Eurostat EB TJ GWh'!$A$2:$A$146,0),MATCH(R$2,'Eurostat EB TJ GWh'!$A$2:$BV$2,0))+INDEX('Eurostat EB TJ GWh'!$A$2:$BV$146,MATCH($A58,'Eurostat EB TJ GWh'!$A$2:$A$146,0),MATCH(R$3,'Eurostat EB TJ GWh'!$A$2:$BV$2,0))</f>
        <v>0</v>
      </c>
      <c r="S58" s="57">
        <f>INDEX('Eurostat EB TJ GWh'!$A$2:$BV$146,MATCH($A58,'Eurostat EB TJ GWh'!$A$2:$A$146,0),MATCH(S$3,'Eurostat EB TJ GWh'!$A$2:$BV$2,0))</f>
        <v>0</v>
      </c>
      <c r="T58" s="65" t="s">
        <v>323</v>
      </c>
      <c r="U58" s="57">
        <f>INDEX('Eurostat EB TJ GWh'!$A$2:$BV$146,MATCH($A58,'Eurostat EB TJ GWh'!$A$2:$A$146,0),MATCH(U$3,'Eurostat EB TJ GWh'!$A$2:$BV$2,0))</f>
        <v>0</v>
      </c>
      <c r="V58" s="57">
        <f>INDEX('Eurostat EB TJ GWh'!$A$2:$BV$146,MATCH($A58,'Eurostat EB TJ GWh'!$A$2:$A$146,0),MATCH(V$3,'Eurostat EB TJ GWh'!$A$2:$BV$2,0))</f>
        <v>0</v>
      </c>
      <c r="W58" s="57">
        <f>INDEX('Eurostat EB TJ GWh'!$A$2:$BV$146,MATCH($A58,'Eurostat EB TJ GWh'!$A$2:$A$146,0),MATCH(W$3,'Eurostat EB TJ GWh'!$A$2:$BV$2,0))</f>
        <v>0</v>
      </c>
      <c r="X58" s="57">
        <f>INDEX('Eurostat EB TJ GWh'!$A$2:$BV$146,MATCH($A58,'Eurostat EB TJ GWh'!$A$2:$A$146,0),MATCH(X$3,'Eurostat EB TJ GWh'!$A$2:$BV$2,0))</f>
        <v>0</v>
      </c>
      <c r="Y58" s="57">
        <f>INDEX('Eurostat EB TJ GWh'!$A$2:$BV$146,MATCH($A58,'Eurostat EB TJ GWh'!$A$2:$A$146,0),MATCH(Y$3,'Eurostat EB TJ GWh'!$A$2:$BV$2,0))</f>
        <v>0</v>
      </c>
      <c r="Z58" s="57">
        <f>INDEX('Eurostat EB TJ GWh'!$A$2:$BV$146,MATCH($A58,'Eurostat EB TJ GWh'!$A$2:$A$146,0),MATCH(Z$3,'Eurostat EB TJ GWh'!$A$2:$BV$2,0))</f>
        <v>0</v>
      </c>
      <c r="AA58" s="57">
        <f>INDEX('Eurostat EB TJ GWh'!$A$2:$BV$146,MATCH($A58,'Eurostat EB TJ GWh'!$A$2:$A$146,0),MATCH(AA$3,'Eurostat EB TJ GWh'!$A$2:$BV$2,0))</f>
        <v>0</v>
      </c>
      <c r="AB58" s="57">
        <f>INDEX('Eurostat EB TJ GWh'!$A$2:$BV$146,MATCH($A58,'Eurostat EB TJ GWh'!$A$2:$A$146,0),MATCH(AB$3,'Eurostat EB TJ GWh'!$A$2:$BV$2,0))</f>
        <v>0</v>
      </c>
      <c r="AC58" s="57">
        <f>INDEX('Eurostat EB TJ GWh'!$A$2:$BV$146,MATCH($A58,'Eurostat EB TJ GWh'!$A$2:$A$146,0),MATCH(AC$3,'Eurostat EB TJ GWh'!$A$2:$BV$2,0))</f>
        <v>0</v>
      </c>
      <c r="AD58" s="57">
        <f>INDEX('Eurostat EB TJ GWh'!$A$2:$BV$146,MATCH($A58,'Eurostat EB TJ GWh'!$A$2:$A$146,0),MATCH(AD$3,'Eurostat EB TJ GWh'!$A$2:$BV$2,0))</f>
        <v>0</v>
      </c>
      <c r="AE58" s="57">
        <f>INDEX('Eurostat EB TJ GWh'!$A$2:$BV$146,MATCH($A58,'Eurostat EB TJ GWh'!$A$2:$A$146,0),MATCH(AE$3,'Eurostat EB TJ GWh'!$A$2:$BV$2,0))</f>
        <v>0</v>
      </c>
      <c r="AF58" s="57">
        <f>INDEX('Eurostat EB TJ GWh'!$A$2:$BV$146,MATCH($A58,'Eurostat EB TJ GWh'!$A$2:$A$146,0),MATCH(AF$3,'Eurostat EB TJ GWh'!$A$2:$BV$2,0))</f>
        <v>0</v>
      </c>
      <c r="AG58" s="57">
        <f>INDEX('Eurostat EB TJ GWh'!$A$2:$BV$146,MATCH($A58,'Eurostat EB TJ GWh'!$A$2:$A$146,0),MATCH(AG$3,'Eurostat EB TJ GWh'!$A$2:$BV$2,0))</f>
        <v>0</v>
      </c>
      <c r="AH58" s="57">
        <f>INDEX('Eurostat EB TJ GWh'!$A$2:$BV$146,MATCH($A58,'Eurostat EB TJ GWh'!$A$2:$A$146,0),MATCH(AH$3,'Eurostat EB TJ GWh'!$A$2:$BV$2,0))</f>
        <v>0</v>
      </c>
      <c r="AI58" s="57">
        <f>INDEX('Eurostat EB TJ GWh'!$A$2:$BV$146,MATCH($A58,'Eurostat EB TJ GWh'!$A$2:$A$146,0),MATCH(AI$3,'Eurostat EB TJ GWh'!$A$2:$BV$2,0))</f>
        <v>0</v>
      </c>
      <c r="AJ58" s="57">
        <f>INDEX('Eurostat EB TJ GWh'!$A$2:$BV$146,MATCH($A58,'Eurostat EB TJ GWh'!$A$2:$A$146,0),MATCH(AJ$3,'Eurostat EB TJ GWh'!$A$2:$BV$2,0))</f>
        <v>0</v>
      </c>
      <c r="AK58" s="57">
        <f>INDEX('Eurostat EB TJ GWh'!$A$2:$BV$146,MATCH($A58,'Eurostat EB TJ GWh'!$A$2:$A$146,0),MATCH(AK$3,'Eurostat EB TJ GWh'!$A$2:$BV$2,0))</f>
        <v>0</v>
      </c>
      <c r="AL58" s="57">
        <f>INDEX('Eurostat EB TJ GWh'!$A$2:$BV$146,MATCH($A58,'Eurostat EB TJ GWh'!$A$2:$A$146,0),MATCH(AL$3,'Eurostat EB TJ GWh'!$A$2:$BV$2,0))</f>
        <v>0</v>
      </c>
      <c r="AM58" s="57">
        <f>INDEX('Eurostat EB TJ GWh'!$A$2:$BV$146,MATCH($A58,'Eurostat EB TJ GWh'!$A$2:$A$146,0),MATCH(AM$3,'Eurostat EB TJ GWh'!$A$2:$BV$2,0))</f>
        <v>0</v>
      </c>
      <c r="AN58" s="57">
        <f>INDEX('Eurostat EB TJ GWh'!$A$2:$BV$146,MATCH($A58,'Eurostat EB TJ GWh'!$A$2:$A$146,0),MATCH(AN$3,'Eurostat EB TJ GWh'!$A$2:$BV$2,0))</f>
        <v>0</v>
      </c>
      <c r="AO58" s="57">
        <f>INDEX('Eurostat EB TJ GWh'!$A$2:$BV$146,MATCH($A58,'Eurostat EB TJ GWh'!$A$2:$A$146,0),MATCH(AO$3,'Eurostat EB TJ GWh'!$A$2:$BV$2,0))</f>
        <v>0</v>
      </c>
      <c r="AP58" s="57">
        <f>INDEX('Eurostat EB TJ GWh'!$A$2:$BV$146,MATCH($A58,'Eurostat EB TJ GWh'!$A$2:$A$146,0),MATCH(AP$3,'Eurostat EB TJ GWh'!$A$2:$BV$2,0))</f>
        <v>0</v>
      </c>
      <c r="AQ58" s="57">
        <f>INDEX('Eurostat EB TJ GWh'!$A$2:$BV$146,MATCH($A58,'Eurostat EB TJ GWh'!$A$2:$A$146,0),MATCH(AQ$3,'Eurostat EB TJ GWh'!$A$2:$BV$2,0))</f>
        <v>0</v>
      </c>
      <c r="AR58" s="57">
        <f>INDEX('Eurostat EB TJ GWh'!$A$2:$BV$146,MATCH($A58,'Eurostat EB TJ GWh'!$A$2:$A$146,0),MATCH(AR$3,'Eurostat EB TJ GWh'!$A$2:$BV$2,0))</f>
        <v>0</v>
      </c>
      <c r="AS58" s="57">
        <f>INDEX('Eurostat EB TJ GWh'!$A$2:$BV$146,MATCH($A58,'Eurostat EB TJ GWh'!$A$2:$A$146,0),MATCH(AS$3,'Eurostat EB TJ GWh'!$A$2:$BV$2,0))</f>
        <v>0</v>
      </c>
      <c r="AT58" s="57">
        <f>INDEX('Eurostat EB TJ GWh'!$A$2:$BV$146,MATCH($A58,'Eurostat EB TJ GWh'!$A$2:$A$146,0),MATCH(AT$3,'Eurostat EB TJ GWh'!$A$2:$BV$2,0))</f>
        <v>0</v>
      </c>
      <c r="AU58" s="57">
        <f>INDEX('Eurostat EB TJ GWh'!$A$2:$BV$146,MATCH($A58,'Eurostat EB TJ GWh'!$A$2:$A$146,0),MATCH(AU$3,'Eurostat EB TJ GWh'!$A$2:$BV$2,0))</f>
        <v>0</v>
      </c>
      <c r="AV58" s="57">
        <f>INDEX('Eurostat EB TJ GWh'!$A$2:$BV$146,MATCH($A58,'Eurostat EB TJ GWh'!$A$2:$A$146,0),MATCH(AV$2,'Eurostat EB TJ GWh'!$A$2:$BV$2,0))+INDEX('Eurostat EB TJ GWh'!$A$2:$BV$146,MATCH($A58,'Eurostat EB TJ GWh'!$A$2:$A$146,0),MATCH(AV$3,'Eurostat EB TJ GWh'!$A$2:$BV$2,0))</f>
        <v>0</v>
      </c>
      <c r="AW58" s="57">
        <f>INDEX('Eurostat EB TJ GWh'!$A$2:$BV$146,MATCH($A58,'Eurostat EB TJ GWh'!$A$2:$A$146,0),MATCH(AW$2,'Eurostat EB TJ GWh'!$A$2:$BV$2,0))+INDEX('Eurostat EB TJ GWh'!$A$2:$BV$146,MATCH($A58,'Eurostat EB TJ GWh'!$A$2:$A$146,0),MATCH(AW$3,'Eurostat EB TJ GWh'!$A$2:$BV$2,0))</f>
        <v>0</v>
      </c>
      <c r="AX58" s="57">
        <f>INDEX('Eurostat EB TJ GWh'!$A$2:$BV$146,MATCH($A58,'Eurostat EB TJ GWh'!$A$2:$A$146,0),MATCH(AX$3,'Eurostat EB TJ GWh'!$A$2:$BV$2,0))</f>
        <v>0</v>
      </c>
      <c r="AY58" s="72">
        <v>0</v>
      </c>
      <c r="AZ58" s="57">
        <f>INDEX('Eurostat EB TJ GWh'!$A$2:$BV$146,MATCH($A58,'Eurostat EB TJ GWh'!$A$2:$A$146,0),MATCH(AZ$3,'Eurostat EB TJ GWh'!$A$2:$BV$2,0))</f>
        <v>0</v>
      </c>
      <c r="BA58" s="72">
        <v>0</v>
      </c>
      <c r="BB58" s="72">
        <v>0</v>
      </c>
      <c r="BC58" s="57">
        <f>INDEX('Eurostat EB TJ GWh'!$A$2:$BV$146,MATCH($A58,'Eurostat EB TJ GWh'!$A$2:$A$146,0),MATCH(BC$3,'Eurostat EB TJ GWh'!$A$2:$BV$2,0))</f>
        <v>0</v>
      </c>
      <c r="BD58" s="57">
        <f>INDEX('Eurostat EB TJ GWh'!$A$2:$BV$146,MATCH($A58,'Eurostat EB TJ GWh'!$A$2:$A$146,0),MATCH(BD$3,'Eurostat EB TJ GWh'!$A$2:$BV$2,0))</f>
        <v>0</v>
      </c>
      <c r="BE58" s="57">
        <f>INDEX('Eurostat EB TJ GWh'!$A$2:$BV$146,MATCH($A58,'Eurostat EB TJ GWh'!$A$2:$A$146,0),MATCH(BE$3,'Eurostat EB TJ GWh'!$A$2:$BV$2,0))</f>
        <v>0</v>
      </c>
      <c r="BF58" s="57">
        <f>INDEX('Eurostat EB TJ GWh'!$A$2:$BV$146,MATCH($A58,'Eurostat EB TJ GWh'!$A$2:$A$146,0),MATCH(BF$3,'Eurostat EB TJ GWh'!$A$2:$BV$2,0))</f>
        <v>0</v>
      </c>
      <c r="BG58" s="57">
        <f>INDEX('Eurostat EB TJ GWh'!$A$2:$BV$146,MATCH($A58,'Eurostat EB TJ GWh'!$A$2:$A$146,0),MATCH(BG$3,'Eurostat EB TJ GWh'!$A$2:$BV$2,0))</f>
        <v>0</v>
      </c>
      <c r="BH58" s="57">
        <f>INDEX('Eurostat EB TJ GWh'!$A$2:$BV$146,MATCH($A58,'Eurostat EB TJ GWh'!$A$2:$A$146,0),MATCH(BH$3,'Eurostat EB TJ GWh'!$A$2:$BV$2,0))</f>
        <v>0</v>
      </c>
      <c r="BI58" s="57">
        <f>INDEX('Eurostat EB TJ GWh'!$A$2:$BV$146,MATCH($A58,'Eurostat EB TJ GWh'!$A$2:$A$146,0),MATCH(BI$3,'Eurostat EB TJ GWh'!$A$2:$BV$2,0))</f>
        <v>0</v>
      </c>
      <c r="BJ58" s="72">
        <v>0</v>
      </c>
      <c r="BK58" s="57">
        <f>INDEX('Eurostat EB TJ GWh'!$A$2:$BV$146,MATCH($A58,'Eurostat EB TJ GWh'!$A$2:$A$146,0),MATCH(BK$3,'Eurostat EB TJ GWh'!$A$2:$BV$2,0))</f>
        <v>0</v>
      </c>
      <c r="BL58" s="57">
        <f>INDEX('Eurostat EB TJ GWh'!$A$2:$BV$146,MATCH($A58,'Eurostat EB TJ GWh'!$A$2:$A$146,0),MATCH(BL$3,'Eurostat EB TJ GWh'!$A$2:$BV$2,0))</f>
        <v>0</v>
      </c>
      <c r="BM58" s="57">
        <f>INDEX('Eurostat EB TJ GWh'!$A$2:$BV$146,MATCH($A58,'Eurostat EB TJ GWh'!$A$2:$A$146,0),MATCH(BM$3,'Eurostat EB TJ GWh'!$A$2:$BV$2,0))</f>
        <v>0</v>
      </c>
      <c r="BN58" s="57">
        <f>INDEX('Eurostat EB TJ GWh'!$A$2:$BV$146,MATCH($A58,'Eurostat EB TJ GWh'!$A$2:$A$146,0),MATCH(BN$3,'Eurostat EB TJ GWh'!$A$2:$BV$2,0))</f>
        <v>0</v>
      </c>
    </row>
    <row r="59" spans="1:66" x14ac:dyDescent="0.2">
      <c r="A59" s="56" t="s">
        <v>247</v>
      </c>
      <c r="B59" s="65" t="s">
        <v>323</v>
      </c>
      <c r="C59" s="65" t="s">
        <v>323</v>
      </c>
      <c r="D59" s="17">
        <f>INDEX('Eurostat EB TJ GWh'!$A$2:$BV$146,MATCH($A59,'Eurostat EB TJ GWh'!$A$2:$A$146,0),MATCH(D$3,'Eurostat EB TJ GWh'!$A$2:$BV$2,0))</f>
        <v>0</v>
      </c>
      <c r="E59" s="17">
        <f>INDEX('Eurostat EB TJ GWh'!$A$2:$BV$146,MATCH($A59,'Eurostat EB TJ GWh'!$A$2:$A$146,0),MATCH(E$3,'Eurostat EB TJ GWh'!$A$2:$BV$2,0))</f>
        <v>0</v>
      </c>
      <c r="F59" s="17">
        <f>INDEX('Eurostat EB TJ GWh'!$A$2:$BV$146,MATCH($A59,'Eurostat EB TJ GWh'!$A$2:$A$146,0),MATCH(F$3,'Eurostat EB TJ GWh'!$A$2:$BV$2,0))</f>
        <v>0</v>
      </c>
      <c r="G59" s="17">
        <f>INDEX('Eurostat EB TJ GWh'!$A$2:$BV$146,MATCH($A59,'Eurostat EB TJ GWh'!$A$2:$A$146,0),MATCH(G$3,'Eurostat EB TJ GWh'!$A$2:$BV$2,0))</f>
        <v>0</v>
      </c>
      <c r="H59" s="17">
        <f>INDEX('Eurostat EB TJ GWh'!$A$2:$BV$146,MATCH($A59,'Eurostat EB TJ GWh'!$A$2:$A$146,0),MATCH(H$3,'Eurostat EB TJ GWh'!$A$2:$BV$2,0))</f>
        <v>0</v>
      </c>
      <c r="I59" s="17">
        <f>INDEX('Eurostat EB TJ GWh'!$A$2:$BV$146,MATCH($A59,'Eurostat EB TJ GWh'!$A$2:$A$146,0),MATCH(I$3,'Eurostat EB TJ GWh'!$A$2:$BV$2,0))</f>
        <v>0</v>
      </c>
      <c r="J59" s="17">
        <f>INDEX('Eurostat EB TJ GWh'!$A$2:$BV$146,MATCH($A59,'Eurostat EB TJ GWh'!$A$2:$A$146,0),MATCH(J$3,'Eurostat EB TJ GWh'!$A$2:$BV$2,0))</f>
        <v>0</v>
      </c>
      <c r="K59" s="17">
        <f>INDEX('Eurostat EB TJ GWh'!$A$2:$BV$146,MATCH($A59,'Eurostat EB TJ GWh'!$A$2:$A$146,0),MATCH(K$3,'Eurostat EB TJ GWh'!$A$2:$BV$2,0))</f>
        <v>0</v>
      </c>
      <c r="L59" s="17">
        <f>INDEX('Eurostat EB TJ GWh'!$A$2:$BV$146,MATCH($A59,'Eurostat EB TJ GWh'!$A$2:$A$146,0),MATCH(L$3,'Eurostat EB TJ GWh'!$A$2:$BV$2,0))</f>
        <v>0</v>
      </c>
      <c r="M59" s="17">
        <f>INDEX('Eurostat EB TJ GWh'!$A$2:$BV$146,MATCH($A59,'Eurostat EB TJ GWh'!$A$2:$A$146,0),MATCH(M$3,'Eurostat EB TJ GWh'!$A$2:$BV$2,0))</f>
        <v>0</v>
      </c>
      <c r="N59" s="17">
        <f>INDEX('Eurostat EB TJ GWh'!$A$2:$BV$146,MATCH($A59,'Eurostat EB TJ GWh'!$A$2:$A$146,0),MATCH(N$3,'Eurostat EB TJ GWh'!$A$2:$BV$2,0))</f>
        <v>0</v>
      </c>
      <c r="O59" s="17">
        <f>INDEX('Eurostat EB TJ GWh'!$A$2:$BV$146,MATCH($A59,'Eurostat EB TJ GWh'!$A$2:$A$146,0),MATCH(O$3,'Eurostat EB TJ GWh'!$A$2:$BV$2,0))</f>
        <v>0</v>
      </c>
      <c r="P59" s="17">
        <f>INDEX('Eurostat EB TJ GWh'!$A$2:$BV$146,MATCH($A59,'Eurostat EB TJ GWh'!$A$2:$A$146,0),MATCH(P$3,'Eurostat EB TJ GWh'!$A$2:$BV$2,0))</f>
        <v>0</v>
      </c>
      <c r="Q59" s="17">
        <f>INDEX('Eurostat EB TJ GWh'!$A$2:$BV$146,MATCH($A59,'Eurostat EB TJ GWh'!$A$2:$A$146,0),MATCH(Q$3,'Eurostat EB TJ GWh'!$A$2:$BV$2,0))</f>
        <v>0</v>
      </c>
      <c r="R59" s="17">
        <f>INDEX('Eurostat EB TJ GWh'!$A$2:$BV$146,MATCH($A59,'Eurostat EB TJ GWh'!$A$2:$A$146,0),MATCH(R$2,'Eurostat EB TJ GWh'!$A$2:$BV$2,0))+INDEX('Eurostat EB TJ GWh'!$A$2:$BV$146,MATCH($A59,'Eurostat EB TJ GWh'!$A$2:$A$146,0),MATCH(R$3,'Eurostat EB TJ GWh'!$A$2:$BV$2,0))</f>
        <v>0</v>
      </c>
      <c r="S59" s="17">
        <f>INDEX('Eurostat EB TJ GWh'!$A$2:$BV$146,MATCH($A59,'Eurostat EB TJ GWh'!$A$2:$A$146,0),MATCH(S$3,'Eurostat EB TJ GWh'!$A$2:$BV$2,0))</f>
        <v>0</v>
      </c>
      <c r="T59" s="65" t="s">
        <v>323</v>
      </c>
      <c r="U59" s="17">
        <f>INDEX('Eurostat EB TJ GWh'!$A$2:$BV$146,MATCH($A59,'Eurostat EB TJ GWh'!$A$2:$A$146,0),MATCH(U$3,'Eurostat EB TJ GWh'!$A$2:$BV$2,0))</f>
        <v>77534.907000000007</v>
      </c>
      <c r="V59" s="17">
        <f>INDEX('Eurostat EB TJ GWh'!$A$2:$BV$146,MATCH($A59,'Eurostat EB TJ GWh'!$A$2:$A$146,0),MATCH(V$3,'Eurostat EB TJ GWh'!$A$2:$BV$2,0))</f>
        <v>193698.97500000001</v>
      </c>
      <c r="W59" s="17">
        <f>INDEX('Eurostat EB TJ GWh'!$A$2:$BV$146,MATCH($A59,'Eurostat EB TJ GWh'!$A$2:$A$146,0),MATCH(W$3,'Eurostat EB TJ GWh'!$A$2:$BV$2,0))</f>
        <v>366286</v>
      </c>
      <c r="X59" s="17">
        <f>INDEX('Eurostat EB TJ GWh'!$A$2:$BV$146,MATCH($A59,'Eurostat EB TJ GWh'!$A$2:$A$146,0),MATCH(X$3,'Eurostat EB TJ GWh'!$A$2:$BV$2,0))</f>
        <v>0</v>
      </c>
      <c r="Y59" s="17">
        <f>INDEX('Eurostat EB TJ GWh'!$A$2:$BV$146,MATCH($A59,'Eurostat EB TJ GWh'!$A$2:$A$146,0),MATCH(Y$3,'Eurostat EB TJ GWh'!$A$2:$BV$2,0))</f>
        <v>0</v>
      </c>
      <c r="Z59" s="17">
        <f>INDEX('Eurostat EB TJ GWh'!$A$2:$BV$146,MATCH($A59,'Eurostat EB TJ GWh'!$A$2:$A$146,0),MATCH(Z$3,'Eurostat EB TJ GWh'!$A$2:$BV$2,0))</f>
        <v>296327.21299999999</v>
      </c>
      <c r="AA59" s="17">
        <f>INDEX('Eurostat EB TJ GWh'!$A$2:$BV$146,MATCH($A59,'Eurostat EB TJ GWh'!$A$2:$A$146,0),MATCH(AA$3,'Eurostat EB TJ GWh'!$A$2:$BV$2,0))</f>
        <v>0</v>
      </c>
      <c r="AB59" s="17">
        <f>INDEX('Eurostat EB TJ GWh'!$A$2:$BV$146,MATCH($A59,'Eurostat EB TJ GWh'!$A$2:$A$146,0),MATCH(AB$3,'Eurostat EB TJ GWh'!$A$2:$BV$2,0))</f>
        <v>72539.956000000006</v>
      </c>
      <c r="AC59" s="17">
        <f>INDEX('Eurostat EB TJ GWh'!$A$2:$BV$146,MATCH($A59,'Eurostat EB TJ GWh'!$A$2:$A$146,0),MATCH(AC$3,'Eurostat EB TJ GWh'!$A$2:$BV$2,0))</f>
        <v>768692.41700000002</v>
      </c>
      <c r="AD59" s="17">
        <f>INDEX('Eurostat EB TJ GWh'!$A$2:$BV$146,MATCH($A59,'Eurostat EB TJ GWh'!$A$2:$A$146,0),MATCH(AD$3,'Eurostat EB TJ GWh'!$A$2:$BV$2,0))</f>
        <v>2822.6170000000002</v>
      </c>
      <c r="AE59" s="17">
        <f>INDEX('Eurostat EB TJ GWh'!$A$2:$BV$146,MATCH($A59,'Eurostat EB TJ GWh'!$A$2:$A$146,0),MATCH(AE$3,'Eurostat EB TJ GWh'!$A$2:$BV$2,0))</f>
        <v>0</v>
      </c>
      <c r="AF59" s="17">
        <f>INDEX('Eurostat EB TJ GWh'!$A$2:$BV$146,MATCH($A59,'Eurostat EB TJ GWh'!$A$2:$A$146,0),MATCH(AF$3,'Eurostat EB TJ GWh'!$A$2:$BV$2,0))</f>
        <v>390466.48700000002</v>
      </c>
      <c r="AG59" s="17">
        <f>INDEX('Eurostat EB TJ GWh'!$A$2:$BV$146,MATCH($A59,'Eurostat EB TJ GWh'!$A$2:$A$146,0),MATCH(AG$3,'Eurostat EB TJ GWh'!$A$2:$BV$2,0))</f>
        <v>17238.868999999999</v>
      </c>
      <c r="AH59" s="17">
        <f>INDEX('Eurostat EB TJ GWh'!$A$2:$BV$146,MATCH($A59,'Eurostat EB TJ GWh'!$A$2:$A$146,0),MATCH(AH$3,'Eurostat EB TJ GWh'!$A$2:$BV$2,0))</f>
        <v>856335.598</v>
      </c>
      <c r="AI59" s="17">
        <f>INDEX('Eurostat EB TJ GWh'!$A$2:$BV$146,MATCH($A59,'Eurostat EB TJ GWh'!$A$2:$A$146,0),MATCH(AI$3,'Eurostat EB TJ GWh'!$A$2:$BV$2,0))</f>
        <v>430034.38</v>
      </c>
      <c r="AJ59" s="17">
        <f>INDEX('Eurostat EB TJ GWh'!$A$2:$BV$146,MATCH($A59,'Eurostat EB TJ GWh'!$A$2:$A$146,0),MATCH(AJ$3,'Eurostat EB TJ GWh'!$A$2:$BV$2,0))</f>
        <v>522616.924</v>
      </c>
      <c r="AK59" s="17">
        <f>INDEX('Eurostat EB TJ GWh'!$A$2:$BV$146,MATCH($A59,'Eurostat EB TJ GWh'!$A$2:$A$146,0),MATCH(AK$3,'Eurostat EB TJ GWh'!$A$2:$BV$2,0))</f>
        <v>96344.52</v>
      </c>
      <c r="AL59" s="17">
        <f>INDEX('Eurostat EB TJ GWh'!$A$2:$BV$146,MATCH($A59,'Eurostat EB TJ GWh'!$A$2:$A$146,0),MATCH(AL$3,'Eurostat EB TJ GWh'!$A$2:$BV$2,0))</f>
        <v>44182.722999999998</v>
      </c>
      <c r="AM59" s="17">
        <f>INDEX('Eurostat EB TJ GWh'!$A$2:$BV$146,MATCH($A59,'Eurostat EB TJ GWh'!$A$2:$A$146,0),MATCH(AM$3,'Eurostat EB TJ GWh'!$A$2:$BV$2,0))</f>
        <v>37052.463000000003</v>
      </c>
      <c r="AN59" s="17">
        <f>INDEX('Eurostat EB TJ GWh'!$A$2:$BV$146,MATCH($A59,'Eurostat EB TJ GWh'!$A$2:$A$146,0),MATCH(AN$3,'Eurostat EB TJ GWh'!$A$2:$BV$2,0))</f>
        <v>410.98099999999999</v>
      </c>
      <c r="AO59" s="17">
        <f>INDEX('Eurostat EB TJ GWh'!$A$2:$BV$146,MATCH($A59,'Eurostat EB TJ GWh'!$A$2:$A$146,0),MATCH(AO$3,'Eurostat EB TJ GWh'!$A$2:$BV$2,0))</f>
        <v>16671.462</v>
      </c>
      <c r="AP59" s="17">
        <f>INDEX('Eurostat EB TJ GWh'!$A$2:$BV$146,MATCH($A59,'Eurostat EB TJ GWh'!$A$2:$A$146,0),MATCH(AP$3,'Eurostat EB TJ GWh'!$A$2:$BV$2,0))</f>
        <v>34608.697</v>
      </c>
      <c r="AQ59" s="17">
        <f>INDEX('Eurostat EB TJ GWh'!$A$2:$BV$146,MATCH($A59,'Eurostat EB TJ GWh'!$A$2:$A$146,0),MATCH(AQ$3,'Eurostat EB TJ GWh'!$A$2:$BV$2,0))</f>
        <v>0</v>
      </c>
      <c r="AR59" s="17">
        <f>INDEX('Eurostat EB TJ GWh'!$A$2:$BV$146,MATCH($A59,'Eurostat EB TJ GWh'!$A$2:$A$146,0),MATCH(AR$3,'Eurostat EB TJ GWh'!$A$2:$BV$2,0))</f>
        <v>0</v>
      </c>
      <c r="AS59" s="17">
        <f>INDEX('Eurostat EB TJ GWh'!$A$2:$BV$146,MATCH($A59,'Eurostat EB TJ GWh'!$A$2:$A$146,0),MATCH(AS$3,'Eurostat EB TJ GWh'!$A$2:$BV$2,0))</f>
        <v>0</v>
      </c>
      <c r="AT59" s="17">
        <f>INDEX('Eurostat EB TJ GWh'!$A$2:$BV$146,MATCH($A59,'Eurostat EB TJ GWh'!$A$2:$A$146,0),MATCH(AT$3,'Eurostat EB TJ GWh'!$A$2:$BV$2,0))</f>
        <v>0</v>
      </c>
      <c r="AU59" s="17">
        <f>INDEX('Eurostat EB TJ GWh'!$A$2:$BV$146,MATCH($A59,'Eurostat EB TJ GWh'!$A$2:$A$146,0),MATCH(AU$3,'Eurostat EB TJ GWh'!$A$2:$BV$2,0))</f>
        <v>0</v>
      </c>
      <c r="AV59" s="17">
        <f>INDEX('Eurostat EB TJ GWh'!$A$2:$BV$146,MATCH($A59,'Eurostat EB TJ GWh'!$A$2:$A$146,0),MATCH(AV$2,'Eurostat EB TJ GWh'!$A$2:$BV$2,0))+INDEX('Eurostat EB TJ GWh'!$A$2:$BV$146,MATCH($A59,'Eurostat EB TJ GWh'!$A$2:$A$146,0),MATCH(AV$3,'Eurostat EB TJ GWh'!$A$2:$BV$2,0))</f>
        <v>8.0190000000000001</v>
      </c>
      <c r="AW59" s="17">
        <f>INDEX('Eurostat EB TJ GWh'!$A$2:$BV$146,MATCH($A59,'Eurostat EB TJ GWh'!$A$2:$A$146,0),MATCH(AW$2,'Eurostat EB TJ GWh'!$A$2:$BV$2,0))+INDEX('Eurostat EB TJ GWh'!$A$2:$BV$146,MATCH($A59,'Eurostat EB TJ GWh'!$A$2:$A$146,0),MATCH(AW$3,'Eurostat EB TJ GWh'!$A$2:$BV$2,0))</f>
        <v>0</v>
      </c>
      <c r="AX59" s="17">
        <f>INDEX('Eurostat EB TJ GWh'!$A$2:$BV$146,MATCH($A59,'Eurostat EB TJ GWh'!$A$2:$A$146,0),MATCH(AX$3,'Eurostat EB TJ GWh'!$A$2:$BV$2,0))</f>
        <v>0</v>
      </c>
      <c r="AY59" s="65">
        <v>0</v>
      </c>
      <c r="AZ59" s="17">
        <f>INDEX('Eurostat EB TJ GWh'!$A$2:$BV$146,MATCH($A59,'Eurostat EB TJ GWh'!$A$2:$A$146,0),MATCH(AZ$3,'Eurostat EB TJ GWh'!$A$2:$BV$2,0))</f>
        <v>0</v>
      </c>
      <c r="BA59" s="65">
        <v>0</v>
      </c>
      <c r="BB59" s="65">
        <v>0</v>
      </c>
      <c r="BC59" s="17">
        <f>INDEX('Eurostat EB TJ GWh'!$A$2:$BV$146,MATCH($A59,'Eurostat EB TJ GWh'!$A$2:$A$146,0),MATCH(BC$3,'Eurostat EB TJ GWh'!$A$2:$BV$2,0))</f>
        <v>0</v>
      </c>
      <c r="BD59" s="17">
        <f>INDEX('Eurostat EB TJ GWh'!$A$2:$BV$146,MATCH($A59,'Eurostat EB TJ GWh'!$A$2:$A$146,0),MATCH(BD$3,'Eurostat EB TJ GWh'!$A$2:$BV$2,0))</f>
        <v>0</v>
      </c>
      <c r="BE59" s="17">
        <f>INDEX('Eurostat EB TJ GWh'!$A$2:$BV$146,MATCH($A59,'Eurostat EB TJ GWh'!$A$2:$A$146,0),MATCH(BE$3,'Eurostat EB TJ GWh'!$A$2:$BV$2,0))</f>
        <v>0</v>
      </c>
      <c r="BF59" s="17">
        <f>INDEX('Eurostat EB TJ GWh'!$A$2:$BV$146,MATCH($A59,'Eurostat EB TJ GWh'!$A$2:$A$146,0),MATCH(BF$3,'Eurostat EB TJ GWh'!$A$2:$BV$2,0))</f>
        <v>0</v>
      </c>
      <c r="BG59" s="17">
        <f>INDEX('Eurostat EB TJ GWh'!$A$2:$BV$146,MATCH($A59,'Eurostat EB TJ GWh'!$A$2:$A$146,0),MATCH(BG$3,'Eurostat EB TJ GWh'!$A$2:$BV$2,0))</f>
        <v>0</v>
      </c>
      <c r="BH59" s="17">
        <f>INDEX('Eurostat EB TJ GWh'!$A$2:$BV$146,MATCH($A59,'Eurostat EB TJ GWh'!$A$2:$A$146,0),MATCH(BH$3,'Eurostat EB TJ GWh'!$A$2:$BV$2,0))</f>
        <v>0</v>
      </c>
      <c r="BI59" s="17">
        <f>INDEX('Eurostat EB TJ GWh'!$A$2:$BV$146,MATCH($A59,'Eurostat EB TJ GWh'!$A$2:$A$146,0),MATCH(BI$3,'Eurostat EB TJ GWh'!$A$2:$BV$2,0))</f>
        <v>0</v>
      </c>
      <c r="BJ59" s="65">
        <v>0</v>
      </c>
      <c r="BK59" s="17">
        <f>INDEX('Eurostat EB TJ GWh'!$A$2:$BV$146,MATCH($A59,'Eurostat EB TJ GWh'!$A$2:$A$146,0),MATCH(BK$3,'Eurostat EB TJ GWh'!$A$2:$BV$2,0))</f>
        <v>0</v>
      </c>
      <c r="BL59" s="17">
        <f>INDEX('Eurostat EB TJ GWh'!$A$2:$BV$146,MATCH($A59,'Eurostat EB TJ GWh'!$A$2:$A$146,0),MATCH(BL$3,'Eurostat EB TJ GWh'!$A$2:$BV$2,0))</f>
        <v>0</v>
      </c>
      <c r="BM59" s="17">
        <f>INDEX('Eurostat EB TJ GWh'!$A$2:$BV$146,MATCH($A59,'Eurostat EB TJ GWh'!$A$2:$A$146,0),MATCH(BM$3,'Eurostat EB TJ GWh'!$A$2:$BV$2,0))</f>
        <v>4223873.2079999996</v>
      </c>
      <c r="BN59" s="17">
        <f>INDEX('Eurostat EB TJ GWh'!$A$2:$BV$146,MATCH($A59,'Eurostat EB TJ GWh'!$A$2:$A$146,0),MATCH(BN$3,'Eurostat EB TJ GWh'!$A$2:$BV$2,0))</f>
        <v>8.0190000000000001</v>
      </c>
    </row>
    <row r="60" spans="1:66" x14ac:dyDescent="0.2">
      <c r="A60" s="56" t="s">
        <v>248</v>
      </c>
      <c r="B60" s="65" t="s">
        <v>323</v>
      </c>
      <c r="C60" s="65" t="s">
        <v>323</v>
      </c>
      <c r="D60" s="57">
        <f>INDEX('Eurostat EB TJ GWh'!$A$2:$BV$146,MATCH($A60,'Eurostat EB TJ GWh'!$A$2:$A$146,0),MATCH(D$3,'Eurostat EB TJ GWh'!$A$2:$BV$2,0))</f>
        <v>0</v>
      </c>
      <c r="E60" s="57">
        <f>INDEX('Eurostat EB TJ GWh'!$A$2:$BV$146,MATCH($A60,'Eurostat EB TJ GWh'!$A$2:$A$146,0),MATCH(E$3,'Eurostat EB TJ GWh'!$A$2:$BV$2,0))</f>
        <v>0</v>
      </c>
      <c r="F60" s="57">
        <f>INDEX('Eurostat EB TJ GWh'!$A$2:$BV$146,MATCH($A60,'Eurostat EB TJ GWh'!$A$2:$A$146,0),MATCH(F$3,'Eurostat EB TJ GWh'!$A$2:$BV$2,0))</f>
        <v>0</v>
      </c>
      <c r="G60" s="57">
        <f>INDEX('Eurostat EB TJ GWh'!$A$2:$BV$146,MATCH($A60,'Eurostat EB TJ GWh'!$A$2:$A$146,0),MATCH(G$3,'Eurostat EB TJ GWh'!$A$2:$BV$2,0))</f>
        <v>0</v>
      </c>
      <c r="H60" s="57">
        <f>INDEX('Eurostat EB TJ GWh'!$A$2:$BV$146,MATCH($A60,'Eurostat EB TJ GWh'!$A$2:$A$146,0),MATCH(H$3,'Eurostat EB TJ GWh'!$A$2:$BV$2,0))</f>
        <v>0</v>
      </c>
      <c r="I60" s="57">
        <f>INDEX('Eurostat EB TJ GWh'!$A$2:$BV$146,MATCH($A60,'Eurostat EB TJ GWh'!$A$2:$A$146,0),MATCH(I$3,'Eurostat EB TJ GWh'!$A$2:$BV$2,0))</f>
        <v>0</v>
      </c>
      <c r="J60" s="57">
        <f>INDEX('Eurostat EB TJ GWh'!$A$2:$BV$146,MATCH($A60,'Eurostat EB TJ GWh'!$A$2:$A$146,0),MATCH(J$3,'Eurostat EB TJ GWh'!$A$2:$BV$2,0))</f>
        <v>0</v>
      </c>
      <c r="K60" s="57">
        <f>INDEX('Eurostat EB TJ GWh'!$A$2:$BV$146,MATCH($A60,'Eurostat EB TJ GWh'!$A$2:$A$146,0),MATCH(K$3,'Eurostat EB TJ GWh'!$A$2:$BV$2,0))</f>
        <v>0</v>
      </c>
      <c r="L60" s="57">
        <f>INDEX('Eurostat EB TJ GWh'!$A$2:$BV$146,MATCH($A60,'Eurostat EB TJ GWh'!$A$2:$A$146,0),MATCH(L$3,'Eurostat EB TJ GWh'!$A$2:$BV$2,0))</f>
        <v>0</v>
      </c>
      <c r="M60" s="57">
        <f>INDEX('Eurostat EB TJ GWh'!$A$2:$BV$146,MATCH($A60,'Eurostat EB TJ GWh'!$A$2:$A$146,0),MATCH(M$3,'Eurostat EB TJ GWh'!$A$2:$BV$2,0))</f>
        <v>0</v>
      </c>
      <c r="N60" s="57">
        <f>INDEX('Eurostat EB TJ GWh'!$A$2:$BV$146,MATCH($A60,'Eurostat EB TJ GWh'!$A$2:$A$146,0),MATCH(N$3,'Eurostat EB TJ GWh'!$A$2:$BV$2,0))</f>
        <v>0</v>
      </c>
      <c r="O60" s="57">
        <f>INDEX('Eurostat EB TJ GWh'!$A$2:$BV$146,MATCH($A60,'Eurostat EB TJ GWh'!$A$2:$A$146,0),MATCH(O$3,'Eurostat EB TJ GWh'!$A$2:$BV$2,0))</f>
        <v>0</v>
      </c>
      <c r="P60" s="57">
        <f>INDEX('Eurostat EB TJ GWh'!$A$2:$BV$146,MATCH($A60,'Eurostat EB TJ GWh'!$A$2:$A$146,0),MATCH(P$3,'Eurostat EB TJ GWh'!$A$2:$BV$2,0))</f>
        <v>0</v>
      </c>
      <c r="Q60" s="57">
        <f>INDEX('Eurostat EB TJ GWh'!$A$2:$BV$146,MATCH($A60,'Eurostat EB TJ GWh'!$A$2:$A$146,0),MATCH(Q$3,'Eurostat EB TJ GWh'!$A$2:$BV$2,0))</f>
        <v>0</v>
      </c>
      <c r="R60" s="57">
        <f>INDEX('Eurostat EB TJ GWh'!$A$2:$BV$146,MATCH($A60,'Eurostat EB TJ GWh'!$A$2:$A$146,0),MATCH(R$2,'Eurostat EB TJ GWh'!$A$2:$BV$2,0))+INDEX('Eurostat EB TJ GWh'!$A$2:$BV$146,MATCH($A60,'Eurostat EB TJ GWh'!$A$2:$A$146,0),MATCH(R$3,'Eurostat EB TJ GWh'!$A$2:$BV$2,0))</f>
        <v>0</v>
      </c>
      <c r="S60" s="57">
        <f>INDEX('Eurostat EB TJ GWh'!$A$2:$BV$146,MATCH($A60,'Eurostat EB TJ GWh'!$A$2:$A$146,0),MATCH(S$3,'Eurostat EB TJ GWh'!$A$2:$BV$2,0))</f>
        <v>0</v>
      </c>
      <c r="T60" s="65" t="s">
        <v>323</v>
      </c>
      <c r="U60" s="57">
        <f>INDEX('Eurostat EB TJ GWh'!$A$2:$BV$146,MATCH($A60,'Eurostat EB TJ GWh'!$A$2:$A$146,0),MATCH(U$3,'Eurostat EB TJ GWh'!$A$2:$BV$2,0))</f>
        <v>0</v>
      </c>
      <c r="V60" s="57">
        <f>INDEX('Eurostat EB TJ GWh'!$A$2:$BV$146,MATCH($A60,'Eurostat EB TJ GWh'!$A$2:$A$146,0),MATCH(V$3,'Eurostat EB TJ GWh'!$A$2:$BV$2,0))</f>
        <v>0</v>
      </c>
      <c r="W60" s="57">
        <f>INDEX('Eurostat EB TJ GWh'!$A$2:$BV$146,MATCH($A60,'Eurostat EB TJ GWh'!$A$2:$A$146,0),MATCH(W$3,'Eurostat EB TJ GWh'!$A$2:$BV$2,0))</f>
        <v>0</v>
      </c>
      <c r="X60" s="57">
        <f>INDEX('Eurostat EB TJ GWh'!$A$2:$BV$146,MATCH($A60,'Eurostat EB TJ GWh'!$A$2:$A$146,0),MATCH(X$3,'Eurostat EB TJ GWh'!$A$2:$BV$2,0))</f>
        <v>0</v>
      </c>
      <c r="Y60" s="57">
        <f>INDEX('Eurostat EB TJ GWh'!$A$2:$BV$146,MATCH($A60,'Eurostat EB TJ GWh'!$A$2:$A$146,0),MATCH(Y$3,'Eurostat EB TJ GWh'!$A$2:$BV$2,0))</f>
        <v>0</v>
      </c>
      <c r="Z60" s="57">
        <f>INDEX('Eurostat EB TJ GWh'!$A$2:$BV$146,MATCH($A60,'Eurostat EB TJ GWh'!$A$2:$A$146,0),MATCH(Z$3,'Eurostat EB TJ GWh'!$A$2:$BV$2,0))</f>
        <v>106955.94899999999</v>
      </c>
      <c r="AA60" s="57">
        <f>INDEX('Eurostat EB TJ GWh'!$A$2:$BV$146,MATCH($A60,'Eurostat EB TJ GWh'!$A$2:$A$146,0),MATCH(AA$3,'Eurostat EB TJ GWh'!$A$2:$BV$2,0))</f>
        <v>0</v>
      </c>
      <c r="AB60" s="57">
        <f>INDEX('Eurostat EB TJ GWh'!$A$2:$BV$146,MATCH($A60,'Eurostat EB TJ GWh'!$A$2:$A$146,0),MATCH(AB$3,'Eurostat EB TJ GWh'!$A$2:$BV$2,0))</f>
        <v>58217.031999999999</v>
      </c>
      <c r="AC60" s="57">
        <f>INDEX('Eurostat EB TJ GWh'!$A$2:$BV$146,MATCH($A60,'Eurostat EB TJ GWh'!$A$2:$A$146,0),MATCH(AC$3,'Eurostat EB TJ GWh'!$A$2:$BV$2,0))</f>
        <v>194758.60800000001</v>
      </c>
      <c r="AD60" s="57">
        <f>INDEX('Eurostat EB TJ GWh'!$A$2:$BV$146,MATCH($A60,'Eurostat EB TJ GWh'!$A$2:$A$146,0),MATCH(AD$3,'Eurostat EB TJ GWh'!$A$2:$BV$2,0))</f>
        <v>2822.6170000000002</v>
      </c>
      <c r="AE60" s="57">
        <f>INDEX('Eurostat EB TJ GWh'!$A$2:$BV$146,MATCH($A60,'Eurostat EB TJ GWh'!$A$2:$A$146,0),MATCH(AE$3,'Eurostat EB TJ GWh'!$A$2:$BV$2,0))</f>
        <v>0</v>
      </c>
      <c r="AF60" s="57">
        <f>INDEX('Eurostat EB TJ GWh'!$A$2:$BV$146,MATCH($A60,'Eurostat EB TJ GWh'!$A$2:$A$146,0),MATCH(AF$3,'Eurostat EB TJ GWh'!$A$2:$BV$2,0))</f>
        <v>345850.30800000002</v>
      </c>
      <c r="AG60" s="57">
        <f>INDEX('Eurostat EB TJ GWh'!$A$2:$BV$146,MATCH($A60,'Eurostat EB TJ GWh'!$A$2:$A$146,0),MATCH(AG$3,'Eurostat EB TJ GWh'!$A$2:$BV$2,0))</f>
        <v>17190.671999999999</v>
      </c>
      <c r="AH60" s="57">
        <f>INDEX('Eurostat EB TJ GWh'!$A$2:$BV$146,MATCH($A60,'Eurostat EB TJ GWh'!$A$2:$A$146,0),MATCH(AH$3,'Eurostat EB TJ GWh'!$A$2:$BV$2,0))</f>
        <v>854700.48400000005</v>
      </c>
      <c r="AI60" s="57">
        <f>INDEX('Eurostat EB TJ GWh'!$A$2:$BV$146,MATCH($A60,'Eurostat EB TJ GWh'!$A$2:$A$146,0),MATCH(AI$3,'Eurostat EB TJ GWh'!$A$2:$BV$2,0))</f>
        <v>393140.03</v>
      </c>
      <c r="AJ60" s="57">
        <f>INDEX('Eurostat EB TJ GWh'!$A$2:$BV$146,MATCH($A60,'Eurostat EB TJ GWh'!$A$2:$A$146,0),MATCH(AJ$3,'Eurostat EB TJ GWh'!$A$2:$BV$2,0))</f>
        <v>484137.277</v>
      </c>
      <c r="AK60" s="57">
        <f>INDEX('Eurostat EB TJ GWh'!$A$2:$BV$146,MATCH($A60,'Eurostat EB TJ GWh'!$A$2:$A$146,0),MATCH(AK$3,'Eurostat EB TJ GWh'!$A$2:$BV$2,0))</f>
        <v>39900.258000000002</v>
      </c>
      <c r="AL60" s="57">
        <f>INDEX('Eurostat EB TJ GWh'!$A$2:$BV$146,MATCH($A60,'Eurostat EB TJ GWh'!$A$2:$A$146,0),MATCH(AL$3,'Eurostat EB TJ GWh'!$A$2:$BV$2,0))</f>
        <v>42858.58</v>
      </c>
      <c r="AM60" s="57">
        <f>INDEX('Eurostat EB TJ GWh'!$A$2:$BV$146,MATCH($A60,'Eurostat EB TJ GWh'!$A$2:$A$146,0),MATCH(AM$3,'Eurostat EB TJ GWh'!$A$2:$BV$2,0))</f>
        <v>37052.463000000003</v>
      </c>
      <c r="AN60" s="57">
        <f>INDEX('Eurostat EB TJ GWh'!$A$2:$BV$146,MATCH($A60,'Eurostat EB TJ GWh'!$A$2:$A$146,0),MATCH(AN$3,'Eurostat EB TJ GWh'!$A$2:$BV$2,0))</f>
        <v>0</v>
      </c>
      <c r="AO60" s="57">
        <f>INDEX('Eurostat EB TJ GWh'!$A$2:$BV$146,MATCH($A60,'Eurostat EB TJ GWh'!$A$2:$A$146,0),MATCH(AO$3,'Eurostat EB TJ GWh'!$A$2:$BV$2,0))</f>
        <v>16671.462</v>
      </c>
      <c r="AP60" s="57">
        <f>INDEX('Eurostat EB TJ GWh'!$A$2:$BV$146,MATCH($A60,'Eurostat EB TJ GWh'!$A$2:$A$146,0),MATCH(AP$3,'Eurostat EB TJ GWh'!$A$2:$BV$2,0))</f>
        <v>18235.339</v>
      </c>
      <c r="AQ60" s="57">
        <f>INDEX('Eurostat EB TJ GWh'!$A$2:$BV$146,MATCH($A60,'Eurostat EB TJ GWh'!$A$2:$A$146,0),MATCH(AQ$3,'Eurostat EB TJ GWh'!$A$2:$BV$2,0))</f>
        <v>0</v>
      </c>
      <c r="AR60" s="57">
        <f>INDEX('Eurostat EB TJ GWh'!$A$2:$BV$146,MATCH($A60,'Eurostat EB TJ GWh'!$A$2:$A$146,0),MATCH(AR$3,'Eurostat EB TJ GWh'!$A$2:$BV$2,0))</f>
        <v>0</v>
      </c>
      <c r="AS60" s="57">
        <f>INDEX('Eurostat EB TJ GWh'!$A$2:$BV$146,MATCH($A60,'Eurostat EB TJ GWh'!$A$2:$A$146,0),MATCH(AS$3,'Eurostat EB TJ GWh'!$A$2:$BV$2,0))</f>
        <v>0</v>
      </c>
      <c r="AT60" s="57">
        <f>INDEX('Eurostat EB TJ GWh'!$A$2:$BV$146,MATCH($A60,'Eurostat EB TJ GWh'!$A$2:$A$146,0),MATCH(AT$3,'Eurostat EB TJ GWh'!$A$2:$BV$2,0))</f>
        <v>0</v>
      </c>
      <c r="AU60" s="57">
        <f>INDEX('Eurostat EB TJ GWh'!$A$2:$BV$146,MATCH($A60,'Eurostat EB TJ GWh'!$A$2:$A$146,0),MATCH(AU$3,'Eurostat EB TJ GWh'!$A$2:$BV$2,0))</f>
        <v>0</v>
      </c>
      <c r="AV60" s="57">
        <f>INDEX('Eurostat EB TJ GWh'!$A$2:$BV$146,MATCH($A60,'Eurostat EB TJ GWh'!$A$2:$A$146,0),MATCH(AV$2,'Eurostat EB TJ GWh'!$A$2:$BV$2,0))+INDEX('Eurostat EB TJ GWh'!$A$2:$BV$146,MATCH($A60,'Eurostat EB TJ GWh'!$A$2:$A$146,0),MATCH(AV$3,'Eurostat EB TJ GWh'!$A$2:$BV$2,0))</f>
        <v>0</v>
      </c>
      <c r="AW60" s="57">
        <f>INDEX('Eurostat EB TJ GWh'!$A$2:$BV$146,MATCH($A60,'Eurostat EB TJ GWh'!$A$2:$A$146,0),MATCH(AW$2,'Eurostat EB TJ GWh'!$A$2:$BV$2,0))+INDEX('Eurostat EB TJ GWh'!$A$2:$BV$146,MATCH($A60,'Eurostat EB TJ GWh'!$A$2:$A$146,0),MATCH(AW$3,'Eurostat EB TJ GWh'!$A$2:$BV$2,0))</f>
        <v>0</v>
      </c>
      <c r="AX60" s="57">
        <f>INDEX('Eurostat EB TJ GWh'!$A$2:$BV$146,MATCH($A60,'Eurostat EB TJ GWh'!$A$2:$A$146,0),MATCH(AX$3,'Eurostat EB TJ GWh'!$A$2:$BV$2,0))</f>
        <v>0</v>
      </c>
      <c r="AY60" s="72">
        <v>0</v>
      </c>
      <c r="AZ60" s="57">
        <f>INDEX('Eurostat EB TJ GWh'!$A$2:$BV$146,MATCH($A60,'Eurostat EB TJ GWh'!$A$2:$A$146,0),MATCH(AZ$3,'Eurostat EB TJ GWh'!$A$2:$BV$2,0))</f>
        <v>0</v>
      </c>
      <c r="BA60" s="72">
        <v>0</v>
      </c>
      <c r="BB60" s="72">
        <v>0</v>
      </c>
      <c r="BC60" s="57">
        <f>INDEX('Eurostat EB TJ GWh'!$A$2:$BV$146,MATCH($A60,'Eurostat EB TJ GWh'!$A$2:$A$146,0),MATCH(BC$3,'Eurostat EB TJ GWh'!$A$2:$BV$2,0))</f>
        <v>0</v>
      </c>
      <c r="BD60" s="57">
        <f>INDEX('Eurostat EB TJ GWh'!$A$2:$BV$146,MATCH($A60,'Eurostat EB TJ GWh'!$A$2:$A$146,0),MATCH(BD$3,'Eurostat EB TJ GWh'!$A$2:$BV$2,0))</f>
        <v>0</v>
      </c>
      <c r="BE60" s="57">
        <f>INDEX('Eurostat EB TJ GWh'!$A$2:$BV$146,MATCH($A60,'Eurostat EB TJ GWh'!$A$2:$A$146,0),MATCH(BE$3,'Eurostat EB TJ GWh'!$A$2:$BV$2,0))</f>
        <v>0</v>
      </c>
      <c r="BF60" s="57">
        <f>INDEX('Eurostat EB TJ GWh'!$A$2:$BV$146,MATCH($A60,'Eurostat EB TJ GWh'!$A$2:$A$146,0),MATCH(BF$3,'Eurostat EB TJ GWh'!$A$2:$BV$2,0))</f>
        <v>0</v>
      </c>
      <c r="BG60" s="57">
        <f>INDEX('Eurostat EB TJ GWh'!$A$2:$BV$146,MATCH($A60,'Eurostat EB TJ GWh'!$A$2:$A$146,0),MATCH(BG$3,'Eurostat EB TJ GWh'!$A$2:$BV$2,0))</f>
        <v>0</v>
      </c>
      <c r="BH60" s="57">
        <f>INDEX('Eurostat EB TJ GWh'!$A$2:$BV$146,MATCH($A60,'Eurostat EB TJ GWh'!$A$2:$A$146,0),MATCH(BH$3,'Eurostat EB TJ GWh'!$A$2:$BV$2,0))</f>
        <v>0</v>
      </c>
      <c r="BI60" s="57">
        <f>INDEX('Eurostat EB TJ GWh'!$A$2:$BV$146,MATCH($A60,'Eurostat EB TJ GWh'!$A$2:$A$146,0),MATCH(BI$3,'Eurostat EB TJ GWh'!$A$2:$BV$2,0))</f>
        <v>0</v>
      </c>
      <c r="BJ60" s="72">
        <v>0</v>
      </c>
      <c r="BK60" s="57">
        <f>INDEX('Eurostat EB TJ GWh'!$A$2:$BV$146,MATCH($A60,'Eurostat EB TJ GWh'!$A$2:$A$146,0),MATCH(BK$3,'Eurostat EB TJ GWh'!$A$2:$BV$2,0))</f>
        <v>0</v>
      </c>
      <c r="BL60" s="57">
        <f>INDEX('Eurostat EB TJ GWh'!$A$2:$BV$146,MATCH($A60,'Eurostat EB TJ GWh'!$A$2:$A$146,0),MATCH(BL$3,'Eurostat EB TJ GWh'!$A$2:$BV$2,0))</f>
        <v>0</v>
      </c>
      <c r="BM60" s="57">
        <f>INDEX('Eurostat EB TJ GWh'!$A$2:$BV$146,MATCH($A60,'Eurostat EB TJ GWh'!$A$2:$A$146,0),MATCH(BM$3,'Eurostat EB TJ GWh'!$A$2:$BV$2,0))</f>
        <v>2612491.08</v>
      </c>
      <c r="BN60" s="57">
        <f>INDEX('Eurostat EB TJ GWh'!$A$2:$BV$146,MATCH($A60,'Eurostat EB TJ GWh'!$A$2:$A$146,0),MATCH(BN$3,'Eurostat EB TJ GWh'!$A$2:$BV$2,0))</f>
        <v>0</v>
      </c>
    </row>
    <row r="61" spans="1:66" x14ac:dyDescent="0.2">
      <c r="A61" s="56" t="s">
        <v>249</v>
      </c>
      <c r="B61" s="65" t="s">
        <v>323</v>
      </c>
      <c r="C61" s="65" t="s">
        <v>323</v>
      </c>
      <c r="D61" s="17">
        <f>INDEX('Eurostat EB TJ GWh'!$A$2:$BV$146,MATCH($A61,'Eurostat EB TJ GWh'!$A$2:$A$146,0),MATCH(D$3,'Eurostat EB TJ GWh'!$A$2:$BV$2,0))</f>
        <v>0</v>
      </c>
      <c r="E61" s="17">
        <f>INDEX('Eurostat EB TJ GWh'!$A$2:$BV$146,MATCH($A61,'Eurostat EB TJ GWh'!$A$2:$A$146,0),MATCH(E$3,'Eurostat EB TJ GWh'!$A$2:$BV$2,0))</f>
        <v>0</v>
      </c>
      <c r="F61" s="17">
        <f>INDEX('Eurostat EB TJ GWh'!$A$2:$BV$146,MATCH($A61,'Eurostat EB TJ GWh'!$A$2:$A$146,0),MATCH(F$3,'Eurostat EB TJ GWh'!$A$2:$BV$2,0))</f>
        <v>0</v>
      </c>
      <c r="G61" s="17">
        <f>INDEX('Eurostat EB TJ GWh'!$A$2:$BV$146,MATCH($A61,'Eurostat EB TJ GWh'!$A$2:$A$146,0),MATCH(G$3,'Eurostat EB TJ GWh'!$A$2:$BV$2,0))</f>
        <v>0</v>
      </c>
      <c r="H61" s="17">
        <f>INDEX('Eurostat EB TJ GWh'!$A$2:$BV$146,MATCH($A61,'Eurostat EB TJ GWh'!$A$2:$A$146,0),MATCH(H$3,'Eurostat EB TJ GWh'!$A$2:$BV$2,0))</f>
        <v>0</v>
      </c>
      <c r="I61" s="17">
        <f>INDEX('Eurostat EB TJ GWh'!$A$2:$BV$146,MATCH($A61,'Eurostat EB TJ GWh'!$A$2:$A$146,0),MATCH(I$3,'Eurostat EB TJ GWh'!$A$2:$BV$2,0))</f>
        <v>0</v>
      </c>
      <c r="J61" s="17">
        <f>INDEX('Eurostat EB TJ GWh'!$A$2:$BV$146,MATCH($A61,'Eurostat EB TJ GWh'!$A$2:$A$146,0),MATCH(J$3,'Eurostat EB TJ GWh'!$A$2:$BV$2,0))</f>
        <v>0</v>
      </c>
      <c r="K61" s="17">
        <f>INDEX('Eurostat EB TJ GWh'!$A$2:$BV$146,MATCH($A61,'Eurostat EB TJ GWh'!$A$2:$A$146,0),MATCH(K$3,'Eurostat EB TJ GWh'!$A$2:$BV$2,0))</f>
        <v>0</v>
      </c>
      <c r="L61" s="17">
        <f>INDEX('Eurostat EB TJ GWh'!$A$2:$BV$146,MATCH($A61,'Eurostat EB TJ GWh'!$A$2:$A$146,0),MATCH(L$3,'Eurostat EB TJ GWh'!$A$2:$BV$2,0))</f>
        <v>0</v>
      </c>
      <c r="M61" s="17">
        <f>INDEX('Eurostat EB TJ GWh'!$A$2:$BV$146,MATCH($A61,'Eurostat EB TJ GWh'!$A$2:$A$146,0),MATCH(M$3,'Eurostat EB TJ GWh'!$A$2:$BV$2,0))</f>
        <v>0</v>
      </c>
      <c r="N61" s="17">
        <f>INDEX('Eurostat EB TJ GWh'!$A$2:$BV$146,MATCH($A61,'Eurostat EB TJ GWh'!$A$2:$A$146,0),MATCH(N$3,'Eurostat EB TJ GWh'!$A$2:$BV$2,0))</f>
        <v>0</v>
      </c>
      <c r="O61" s="17">
        <f>INDEX('Eurostat EB TJ GWh'!$A$2:$BV$146,MATCH($A61,'Eurostat EB TJ GWh'!$A$2:$A$146,0),MATCH(O$3,'Eurostat EB TJ GWh'!$A$2:$BV$2,0))</f>
        <v>0</v>
      </c>
      <c r="P61" s="17">
        <f>INDEX('Eurostat EB TJ GWh'!$A$2:$BV$146,MATCH($A61,'Eurostat EB TJ GWh'!$A$2:$A$146,0),MATCH(P$3,'Eurostat EB TJ GWh'!$A$2:$BV$2,0))</f>
        <v>0</v>
      </c>
      <c r="Q61" s="17">
        <f>INDEX('Eurostat EB TJ GWh'!$A$2:$BV$146,MATCH($A61,'Eurostat EB TJ GWh'!$A$2:$A$146,0),MATCH(Q$3,'Eurostat EB TJ GWh'!$A$2:$BV$2,0))</f>
        <v>0</v>
      </c>
      <c r="R61" s="17">
        <f>INDEX('Eurostat EB TJ GWh'!$A$2:$BV$146,MATCH($A61,'Eurostat EB TJ GWh'!$A$2:$A$146,0),MATCH(R$2,'Eurostat EB TJ GWh'!$A$2:$BV$2,0))+INDEX('Eurostat EB TJ GWh'!$A$2:$BV$146,MATCH($A61,'Eurostat EB TJ GWh'!$A$2:$A$146,0),MATCH(R$3,'Eurostat EB TJ GWh'!$A$2:$BV$2,0))</f>
        <v>0</v>
      </c>
      <c r="S61" s="17">
        <f>INDEX('Eurostat EB TJ GWh'!$A$2:$BV$146,MATCH($A61,'Eurostat EB TJ GWh'!$A$2:$A$146,0),MATCH(S$3,'Eurostat EB TJ GWh'!$A$2:$BV$2,0))</f>
        <v>0</v>
      </c>
      <c r="T61" s="65" t="s">
        <v>323</v>
      </c>
      <c r="U61" s="17">
        <f>INDEX('Eurostat EB TJ GWh'!$A$2:$BV$146,MATCH($A61,'Eurostat EB TJ GWh'!$A$2:$A$146,0),MATCH(U$3,'Eurostat EB TJ GWh'!$A$2:$BV$2,0))</f>
        <v>0</v>
      </c>
      <c r="V61" s="17">
        <f>INDEX('Eurostat EB TJ GWh'!$A$2:$BV$146,MATCH($A61,'Eurostat EB TJ GWh'!$A$2:$A$146,0),MATCH(V$3,'Eurostat EB TJ GWh'!$A$2:$BV$2,0))</f>
        <v>0</v>
      </c>
      <c r="W61" s="17">
        <f>INDEX('Eurostat EB TJ GWh'!$A$2:$BV$146,MATCH($A61,'Eurostat EB TJ GWh'!$A$2:$A$146,0),MATCH(W$3,'Eurostat EB TJ GWh'!$A$2:$BV$2,0))</f>
        <v>147464.37599999999</v>
      </c>
      <c r="X61" s="17">
        <f>INDEX('Eurostat EB TJ GWh'!$A$2:$BV$146,MATCH($A61,'Eurostat EB TJ GWh'!$A$2:$A$146,0),MATCH(X$3,'Eurostat EB TJ GWh'!$A$2:$BV$2,0))</f>
        <v>0</v>
      </c>
      <c r="Y61" s="17">
        <f>INDEX('Eurostat EB TJ GWh'!$A$2:$BV$146,MATCH($A61,'Eurostat EB TJ GWh'!$A$2:$A$146,0),MATCH(Y$3,'Eurostat EB TJ GWh'!$A$2:$BV$2,0))</f>
        <v>0</v>
      </c>
      <c r="Z61" s="17">
        <f>INDEX('Eurostat EB TJ GWh'!$A$2:$BV$146,MATCH($A61,'Eurostat EB TJ GWh'!$A$2:$A$146,0),MATCH(Z$3,'Eurostat EB TJ GWh'!$A$2:$BV$2,0))</f>
        <v>0</v>
      </c>
      <c r="AA61" s="17">
        <f>INDEX('Eurostat EB TJ GWh'!$A$2:$BV$146,MATCH($A61,'Eurostat EB TJ GWh'!$A$2:$A$146,0),MATCH(AA$3,'Eurostat EB TJ GWh'!$A$2:$BV$2,0))</f>
        <v>0</v>
      </c>
      <c r="AB61" s="17">
        <f>INDEX('Eurostat EB TJ GWh'!$A$2:$BV$146,MATCH($A61,'Eurostat EB TJ GWh'!$A$2:$A$146,0),MATCH(AB$3,'Eurostat EB TJ GWh'!$A$2:$BV$2,0))</f>
        <v>0</v>
      </c>
      <c r="AC61" s="17">
        <f>INDEX('Eurostat EB TJ GWh'!$A$2:$BV$146,MATCH($A61,'Eurostat EB TJ GWh'!$A$2:$A$146,0),MATCH(AC$3,'Eurostat EB TJ GWh'!$A$2:$BV$2,0))</f>
        <v>0</v>
      </c>
      <c r="AD61" s="17">
        <f>INDEX('Eurostat EB TJ GWh'!$A$2:$BV$146,MATCH($A61,'Eurostat EB TJ GWh'!$A$2:$A$146,0),MATCH(AD$3,'Eurostat EB TJ GWh'!$A$2:$BV$2,0))</f>
        <v>0</v>
      </c>
      <c r="AE61" s="17">
        <f>INDEX('Eurostat EB TJ GWh'!$A$2:$BV$146,MATCH($A61,'Eurostat EB TJ GWh'!$A$2:$A$146,0),MATCH(AE$3,'Eurostat EB TJ GWh'!$A$2:$BV$2,0))</f>
        <v>0</v>
      </c>
      <c r="AF61" s="17">
        <f>INDEX('Eurostat EB TJ GWh'!$A$2:$BV$146,MATCH($A61,'Eurostat EB TJ GWh'!$A$2:$A$146,0),MATCH(AF$3,'Eurostat EB TJ GWh'!$A$2:$BV$2,0))</f>
        <v>0</v>
      </c>
      <c r="AG61" s="17">
        <f>INDEX('Eurostat EB TJ GWh'!$A$2:$BV$146,MATCH($A61,'Eurostat EB TJ GWh'!$A$2:$A$146,0),MATCH(AG$3,'Eurostat EB TJ GWh'!$A$2:$BV$2,0))</f>
        <v>0</v>
      </c>
      <c r="AH61" s="17">
        <f>INDEX('Eurostat EB TJ GWh'!$A$2:$BV$146,MATCH($A61,'Eurostat EB TJ GWh'!$A$2:$A$146,0),MATCH(AH$3,'Eurostat EB TJ GWh'!$A$2:$BV$2,0))</f>
        <v>0</v>
      </c>
      <c r="AI61" s="17">
        <f>INDEX('Eurostat EB TJ GWh'!$A$2:$BV$146,MATCH($A61,'Eurostat EB TJ GWh'!$A$2:$A$146,0),MATCH(AI$3,'Eurostat EB TJ GWh'!$A$2:$BV$2,0))</f>
        <v>0</v>
      </c>
      <c r="AJ61" s="17">
        <f>INDEX('Eurostat EB TJ GWh'!$A$2:$BV$146,MATCH($A61,'Eurostat EB TJ GWh'!$A$2:$A$146,0),MATCH(AJ$3,'Eurostat EB TJ GWh'!$A$2:$BV$2,0))</f>
        <v>0</v>
      </c>
      <c r="AK61" s="17">
        <f>INDEX('Eurostat EB TJ GWh'!$A$2:$BV$146,MATCH($A61,'Eurostat EB TJ GWh'!$A$2:$A$146,0),MATCH(AK$3,'Eurostat EB TJ GWh'!$A$2:$BV$2,0))</f>
        <v>0</v>
      </c>
      <c r="AL61" s="17">
        <f>INDEX('Eurostat EB TJ GWh'!$A$2:$BV$146,MATCH($A61,'Eurostat EB TJ GWh'!$A$2:$A$146,0),MATCH(AL$3,'Eurostat EB TJ GWh'!$A$2:$BV$2,0))</f>
        <v>0</v>
      </c>
      <c r="AM61" s="17">
        <f>INDEX('Eurostat EB TJ GWh'!$A$2:$BV$146,MATCH($A61,'Eurostat EB TJ GWh'!$A$2:$A$146,0),MATCH(AM$3,'Eurostat EB TJ GWh'!$A$2:$BV$2,0))</f>
        <v>0</v>
      </c>
      <c r="AN61" s="17">
        <f>INDEX('Eurostat EB TJ GWh'!$A$2:$BV$146,MATCH($A61,'Eurostat EB TJ GWh'!$A$2:$A$146,0),MATCH(AN$3,'Eurostat EB TJ GWh'!$A$2:$BV$2,0))</f>
        <v>0</v>
      </c>
      <c r="AO61" s="17">
        <f>INDEX('Eurostat EB TJ GWh'!$A$2:$BV$146,MATCH($A61,'Eurostat EB TJ GWh'!$A$2:$A$146,0),MATCH(AO$3,'Eurostat EB TJ GWh'!$A$2:$BV$2,0))</f>
        <v>0</v>
      </c>
      <c r="AP61" s="17">
        <f>INDEX('Eurostat EB TJ GWh'!$A$2:$BV$146,MATCH($A61,'Eurostat EB TJ GWh'!$A$2:$A$146,0),MATCH(AP$3,'Eurostat EB TJ GWh'!$A$2:$BV$2,0))</f>
        <v>0</v>
      </c>
      <c r="AQ61" s="17">
        <f>INDEX('Eurostat EB TJ GWh'!$A$2:$BV$146,MATCH($A61,'Eurostat EB TJ GWh'!$A$2:$A$146,0),MATCH(AQ$3,'Eurostat EB TJ GWh'!$A$2:$BV$2,0))</f>
        <v>0</v>
      </c>
      <c r="AR61" s="17">
        <f>INDEX('Eurostat EB TJ GWh'!$A$2:$BV$146,MATCH($A61,'Eurostat EB TJ GWh'!$A$2:$A$146,0),MATCH(AR$3,'Eurostat EB TJ GWh'!$A$2:$BV$2,0))</f>
        <v>0</v>
      </c>
      <c r="AS61" s="17">
        <f>INDEX('Eurostat EB TJ GWh'!$A$2:$BV$146,MATCH($A61,'Eurostat EB TJ GWh'!$A$2:$A$146,0),MATCH(AS$3,'Eurostat EB TJ GWh'!$A$2:$BV$2,0))</f>
        <v>0</v>
      </c>
      <c r="AT61" s="17">
        <f>INDEX('Eurostat EB TJ GWh'!$A$2:$BV$146,MATCH($A61,'Eurostat EB TJ GWh'!$A$2:$A$146,0),MATCH(AT$3,'Eurostat EB TJ GWh'!$A$2:$BV$2,0))</f>
        <v>0</v>
      </c>
      <c r="AU61" s="17">
        <f>INDEX('Eurostat EB TJ GWh'!$A$2:$BV$146,MATCH($A61,'Eurostat EB TJ GWh'!$A$2:$A$146,0),MATCH(AU$3,'Eurostat EB TJ GWh'!$A$2:$BV$2,0))</f>
        <v>0</v>
      </c>
      <c r="AV61" s="17">
        <f>INDEX('Eurostat EB TJ GWh'!$A$2:$BV$146,MATCH($A61,'Eurostat EB TJ GWh'!$A$2:$A$146,0),MATCH(AV$2,'Eurostat EB TJ GWh'!$A$2:$BV$2,0))+INDEX('Eurostat EB TJ GWh'!$A$2:$BV$146,MATCH($A61,'Eurostat EB TJ GWh'!$A$2:$A$146,0),MATCH(AV$3,'Eurostat EB TJ GWh'!$A$2:$BV$2,0))</f>
        <v>0</v>
      </c>
      <c r="AW61" s="17">
        <f>INDEX('Eurostat EB TJ GWh'!$A$2:$BV$146,MATCH($A61,'Eurostat EB TJ GWh'!$A$2:$A$146,0),MATCH(AW$2,'Eurostat EB TJ GWh'!$A$2:$BV$2,0))+INDEX('Eurostat EB TJ GWh'!$A$2:$BV$146,MATCH($A61,'Eurostat EB TJ GWh'!$A$2:$A$146,0),MATCH(AW$3,'Eurostat EB TJ GWh'!$A$2:$BV$2,0))</f>
        <v>0</v>
      </c>
      <c r="AX61" s="17">
        <f>INDEX('Eurostat EB TJ GWh'!$A$2:$BV$146,MATCH($A61,'Eurostat EB TJ GWh'!$A$2:$A$146,0),MATCH(AX$3,'Eurostat EB TJ GWh'!$A$2:$BV$2,0))</f>
        <v>0</v>
      </c>
      <c r="AY61" s="65">
        <v>0</v>
      </c>
      <c r="AZ61" s="17">
        <f>INDEX('Eurostat EB TJ GWh'!$A$2:$BV$146,MATCH($A61,'Eurostat EB TJ GWh'!$A$2:$A$146,0),MATCH(AZ$3,'Eurostat EB TJ GWh'!$A$2:$BV$2,0))</f>
        <v>0</v>
      </c>
      <c r="BA61" s="65">
        <v>0</v>
      </c>
      <c r="BB61" s="65">
        <v>0</v>
      </c>
      <c r="BC61" s="17">
        <f>INDEX('Eurostat EB TJ GWh'!$A$2:$BV$146,MATCH($A61,'Eurostat EB TJ GWh'!$A$2:$A$146,0),MATCH(BC$3,'Eurostat EB TJ GWh'!$A$2:$BV$2,0))</f>
        <v>0</v>
      </c>
      <c r="BD61" s="17">
        <f>INDEX('Eurostat EB TJ GWh'!$A$2:$BV$146,MATCH($A61,'Eurostat EB TJ GWh'!$A$2:$A$146,0),MATCH(BD$3,'Eurostat EB TJ GWh'!$A$2:$BV$2,0))</f>
        <v>0</v>
      </c>
      <c r="BE61" s="17">
        <f>INDEX('Eurostat EB TJ GWh'!$A$2:$BV$146,MATCH($A61,'Eurostat EB TJ GWh'!$A$2:$A$146,0),MATCH(BE$3,'Eurostat EB TJ GWh'!$A$2:$BV$2,0))</f>
        <v>0</v>
      </c>
      <c r="BF61" s="17">
        <f>INDEX('Eurostat EB TJ GWh'!$A$2:$BV$146,MATCH($A61,'Eurostat EB TJ GWh'!$A$2:$A$146,0),MATCH(BF$3,'Eurostat EB TJ GWh'!$A$2:$BV$2,0))</f>
        <v>0</v>
      </c>
      <c r="BG61" s="17">
        <f>INDEX('Eurostat EB TJ GWh'!$A$2:$BV$146,MATCH($A61,'Eurostat EB TJ GWh'!$A$2:$A$146,0),MATCH(BG$3,'Eurostat EB TJ GWh'!$A$2:$BV$2,0))</f>
        <v>0</v>
      </c>
      <c r="BH61" s="17">
        <f>INDEX('Eurostat EB TJ GWh'!$A$2:$BV$146,MATCH($A61,'Eurostat EB TJ GWh'!$A$2:$A$146,0),MATCH(BH$3,'Eurostat EB TJ GWh'!$A$2:$BV$2,0))</f>
        <v>0</v>
      </c>
      <c r="BI61" s="17">
        <f>INDEX('Eurostat EB TJ GWh'!$A$2:$BV$146,MATCH($A61,'Eurostat EB TJ GWh'!$A$2:$A$146,0),MATCH(BI$3,'Eurostat EB TJ GWh'!$A$2:$BV$2,0))</f>
        <v>0</v>
      </c>
      <c r="BJ61" s="65">
        <v>0</v>
      </c>
      <c r="BK61" s="17">
        <f>INDEX('Eurostat EB TJ GWh'!$A$2:$BV$146,MATCH($A61,'Eurostat EB TJ GWh'!$A$2:$A$146,0),MATCH(BK$3,'Eurostat EB TJ GWh'!$A$2:$BV$2,0))</f>
        <v>0</v>
      </c>
      <c r="BL61" s="17">
        <f>INDEX('Eurostat EB TJ GWh'!$A$2:$BV$146,MATCH($A61,'Eurostat EB TJ GWh'!$A$2:$A$146,0),MATCH(BL$3,'Eurostat EB TJ GWh'!$A$2:$BV$2,0))</f>
        <v>0</v>
      </c>
      <c r="BM61" s="17">
        <f>INDEX('Eurostat EB TJ GWh'!$A$2:$BV$146,MATCH($A61,'Eurostat EB TJ GWh'!$A$2:$A$146,0),MATCH(BM$3,'Eurostat EB TJ GWh'!$A$2:$BV$2,0))</f>
        <v>147464.37599999999</v>
      </c>
      <c r="BN61" s="17">
        <f>INDEX('Eurostat EB TJ GWh'!$A$2:$BV$146,MATCH($A61,'Eurostat EB TJ GWh'!$A$2:$A$146,0),MATCH(BN$3,'Eurostat EB TJ GWh'!$A$2:$BV$2,0))</f>
        <v>0</v>
      </c>
    </row>
    <row r="62" spans="1:66" x14ac:dyDescent="0.2">
      <c r="A62" s="56" t="s">
        <v>250</v>
      </c>
      <c r="B62" s="65" t="s">
        <v>323</v>
      </c>
      <c r="C62" s="65" t="s">
        <v>323</v>
      </c>
      <c r="D62" s="57">
        <f>INDEX('Eurostat EB TJ GWh'!$A$2:$BV$146,MATCH($A62,'Eurostat EB TJ GWh'!$A$2:$A$146,0),MATCH(D$3,'Eurostat EB TJ GWh'!$A$2:$BV$2,0))</f>
        <v>0</v>
      </c>
      <c r="E62" s="57">
        <f>INDEX('Eurostat EB TJ GWh'!$A$2:$BV$146,MATCH($A62,'Eurostat EB TJ GWh'!$A$2:$A$146,0),MATCH(E$3,'Eurostat EB TJ GWh'!$A$2:$BV$2,0))</f>
        <v>0</v>
      </c>
      <c r="F62" s="57">
        <f>INDEX('Eurostat EB TJ GWh'!$A$2:$BV$146,MATCH($A62,'Eurostat EB TJ GWh'!$A$2:$A$146,0),MATCH(F$3,'Eurostat EB TJ GWh'!$A$2:$BV$2,0))</f>
        <v>0</v>
      </c>
      <c r="G62" s="57">
        <f>INDEX('Eurostat EB TJ GWh'!$A$2:$BV$146,MATCH($A62,'Eurostat EB TJ GWh'!$A$2:$A$146,0),MATCH(G$3,'Eurostat EB TJ GWh'!$A$2:$BV$2,0))</f>
        <v>0</v>
      </c>
      <c r="H62" s="57">
        <f>INDEX('Eurostat EB TJ GWh'!$A$2:$BV$146,MATCH($A62,'Eurostat EB TJ GWh'!$A$2:$A$146,0),MATCH(H$3,'Eurostat EB TJ GWh'!$A$2:$BV$2,0))</f>
        <v>0</v>
      </c>
      <c r="I62" s="57">
        <f>INDEX('Eurostat EB TJ GWh'!$A$2:$BV$146,MATCH($A62,'Eurostat EB TJ GWh'!$A$2:$A$146,0),MATCH(I$3,'Eurostat EB TJ GWh'!$A$2:$BV$2,0))</f>
        <v>0</v>
      </c>
      <c r="J62" s="57">
        <f>INDEX('Eurostat EB TJ GWh'!$A$2:$BV$146,MATCH($A62,'Eurostat EB TJ GWh'!$A$2:$A$146,0),MATCH(J$3,'Eurostat EB TJ GWh'!$A$2:$BV$2,0))</f>
        <v>0</v>
      </c>
      <c r="K62" s="57">
        <f>INDEX('Eurostat EB TJ GWh'!$A$2:$BV$146,MATCH($A62,'Eurostat EB TJ GWh'!$A$2:$A$146,0),MATCH(K$3,'Eurostat EB TJ GWh'!$A$2:$BV$2,0))</f>
        <v>0</v>
      </c>
      <c r="L62" s="57">
        <f>INDEX('Eurostat EB TJ GWh'!$A$2:$BV$146,MATCH($A62,'Eurostat EB TJ GWh'!$A$2:$A$146,0),MATCH(L$3,'Eurostat EB TJ GWh'!$A$2:$BV$2,0))</f>
        <v>0</v>
      </c>
      <c r="M62" s="57">
        <f>INDEX('Eurostat EB TJ GWh'!$A$2:$BV$146,MATCH($A62,'Eurostat EB TJ GWh'!$A$2:$A$146,0),MATCH(M$3,'Eurostat EB TJ GWh'!$A$2:$BV$2,0))</f>
        <v>0</v>
      </c>
      <c r="N62" s="57">
        <f>INDEX('Eurostat EB TJ GWh'!$A$2:$BV$146,MATCH($A62,'Eurostat EB TJ GWh'!$A$2:$A$146,0),MATCH(N$3,'Eurostat EB TJ GWh'!$A$2:$BV$2,0))</f>
        <v>0</v>
      </c>
      <c r="O62" s="57">
        <f>INDEX('Eurostat EB TJ GWh'!$A$2:$BV$146,MATCH($A62,'Eurostat EB TJ GWh'!$A$2:$A$146,0),MATCH(O$3,'Eurostat EB TJ GWh'!$A$2:$BV$2,0))</f>
        <v>0</v>
      </c>
      <c r="P62" s="57">
        <f>INDEX('Eurostat EB TJ GWh'!$A$2:$BV$146,MATCH($A62,'Eurostat EB TJ GWh'!$A$2:$A$146,0),MATCH(P$3,'Eurostat EB TJ GWh'!$A$2:$BV$2,0))</f>
        <v>0</v>
      </c>
      <c r="Q62" s="57">
        <f>INDEX('Eurostat EB TJ GWh'!$A$2:$BV$146,MATCH($A62,'Eurostat EB TJ GWh'!$A$2:$A$146,0),MATCH(Q$3,'Eurostat EB TJ GWh'!$A$2:$BV$2,0))</f>
        <v>0</v>
      </c>
      <c r="R62" s="57">
        <f>INDEX('Eurostat EB TJ GWh'!$A$2:$BV$146,MATCH($A62,'Eurostat EB TJ GWh'!$A$2:$A$146,0),MATCH(R$2,'Eurostat EB TJ GWh'!$A$2:$BV$2,0))+INDEX('Eurostat EB TJ GWh'!$A$2:$BV$146,MATCH($A62,'Eurostat EB TJ GWh'!$A$2:$A$146,0),MATCH(R$3,'Eurostat EB TJ GWh'!$A$2:$BV$2,0))</f>
        <v>0</v>
      </c>
      <c r="S62" s="57">
        <f>INDEX('Eurostat EB TJ GWh'!$A$2:$BV$146,MATCH($A62,'Eurostat EB TJ GWh'!$A$2:$A$146,0),MATCH(S$3,'Eurostat EB TJ GWh'!$A$2:$BV$2,0))</f>
        <v>0</v>
      </c>
      <c r="T62" s="65" t="s">
        <v>323</v>
      </c>
      <c r="U62" s="57">
        <f>INDEX('Eurostat EB TJ GWh'!$A$2:$BV$146,MATCH($A62,'Eurostat EB TJ GWh'!$A$2:$A$146,0),MATCH(U$3,'Eurostat EB TJ GWh'!$A$2:$BV$2,0))</f>
        <v>0</v>
      </c>
      <c r="V62" s="57">
        <f>INDEX('Eurostat EB TJ GWh'!$A$2:$BV$146,MATCH($A62,'Eurostat EB TJ GWh'!$A$2:$A$146,0),MATCH(V$3,'Eurostat EB TJ GWh'!$A$2:$BV$2,0))</f>
        <v>0</v>
      </c>
      <c r="W62" s="57">
        <f>INDEX('Eurostat EB TJ GWh'!$A$2:$BV$146,MATCH($A62,'Eurostat EB TJ GWh'!$A$2:$A$146,0),MATCH(W$3,'Eurostat EB TJ GWh'!$A$2:$BV$2,0))</f>
        <v>218821.62400000001</v>
      </c>
      <c r="X62" s="57">
        <f>INDEX('Eurostat EB TJ GWh'!$A$2:$BV$146,MATCH($A62,'Eurostat EB TJ GWh'!$A$2:$A$146,0),MATCH(X$3,'Eurostat EB TJ GWh'!$A$2:$BV$2,0))</f>
        <v>0</v>
      </c>
      <c r="Y62" s="57">
        <f>INDEX('Eurostat EB TJ GWh'!$A$2:$BV$146,MATCH($A62,'Eurostat EB TJ GWh'!$A$2:$A$146,0),MATCH(Y$3,'Eurostat EB TJ GWh'!$A$2:$BV$2,0))</f>
        <v>0</v>
      </c>
      <c r="Z62" s="57">
        <f>INDEX('Eurostat EB TJ GWh'!$A$2:$BV$146,MATCH($A62,'Eurostat EB TJ GWh'!$A$2:$A$146,0),MATCH(Z$3,'Eurostat EB TJ GWh'!$A$2:$BV$2,0))</f>
        <v>0</v>
      </c>
      <c r="AA62" s="57">
        <f>INDEX('Eurostat EB TJ GWh'!$A$2:$BV$146,MATCH($A62,'Eurostat EB TJ GWh'!$A$2:$A$146,0),MATCH(AA$3,'Eurostat EB TJ GWh'!$A$2:$BV$2,0))</f>
        <v>0</v>
      </c>
      <c r="AB62" s="57">
        <f>INDEX('Eurostat EB TJ GWh'!$A$2:$BV$146,MATCH($A62,'Eurostat EB TJ GWh'!$A$2:$A$146,0),MATCH(AB$3,'Eurostat EB TJ GWh'!$A$2:$BV$2,0))</f>
        <v>0</v>
      </c>
      <c r="AC62" s="57">
        <f>INDEX('Eurostat EB TJ GWh'!$A$2:$BV$146,MATCH($A62,'Eurostat EB TJ GWh'!$A$2:$A$146,0),MATCH(AC$3,'Eurostat EB TJ GWh'!$A$2:$BV$2,0))</f>
        <v>0</v>
      </c>
      <c r="AD62" s="57">
        <f>INDEX('Eurostat EB TJ GWh'!$A$2:$BV$146,MATCH($A62,'Eurostat EB TJ GWh'!$A$2:$A$146,0),MATCH(AD$3,'Eurostat EB TJ GWh'!$A$2:$BV$2,0))</f>
        <v>0</v>
      </c>
      <c r="AE62" s="57">
        <f>INDEX('Eurostat EB TJ GWh'!$A$2:$BV$146,MATCH($A62,'Eurostat EB TJ GWh'!$A$2:$A$146,0),MATCH(AE$3,'Eurostat EB TJ GWh'!$A$2:$BV$2,0))</f>
        <v>0</v>
      </c>
      <c r="AF62" s="57">
        <f>INDEX('Eurostat EB TJ GWh'!$A$2:$BV$146,MATCH($A62,'Eurostat EB TJ GWh'!$A$2:$A$146,0),MATCH(AF$3,'Eurostat EB TJ GWh'!$A$2:$BV$2,0))</f>
        <v>0</v>
      </c>
      <c r="AG62" s="57">
        <f>INDEX('Eurostat EB TJ GWh'!$A$2:$BV$146,MATCH($A62,'Eurostat EB TJ GWh'!$A$2:$A$146,0),MATCH(AG$3,'Eurostat EB TJ GWh'!$A$2:$BV$2,0))</f>
        <v>0</v>
      </c>
      <c r="AH62" s="57">
        <f>INDEX('Eurostat EB TJ GWh'!$A$2:$BV$146,MATCH($A62,'Eurostat EB TJ GWh'!$A$2:$A$146,0),MATCH(AH$3,'Eurostat EB TJ GWh'!$A$2:$BV$2,0))</f>
        <v>0</v>
      </c>
      <c r="AI62" s="57">
        <f>INDEX('Eurostat EB TJ GWh'!$A$2:$BV$146,MATCH($A62,'Eurostat EB TJ GWh'!$A$2:$A$146,0),MATCH(AI$3,'Eurostat EB TJ GWh'!$A$2:$BV$2,0))</f>
        <v>0</v>
      </c>
      <c r="AJ62" s="57">
        <f>INDEX('Eurostat EB TJ GWh'!$A$2:$BV$146,MATCH($A62,'Eurostat EB TJ GWh'!$A$2:$A$146,0),MATCH(AJ$3,'Eurostat EB TJ GWh'!$A$2:$BV$2,0))</f>
        <v>0</v>
      </c>
      <c r="AK62" s="57">
        <f>INDEX('Eurostat EB TJ GWh'!$A$2:$BV$146,MATCH($A62,'Eurostat EB TJ GWh'!$A$2:$A$146,0),MATCH(AK$3,'Eurostat EB TJ GWh'!$A$2:$BV$2,0))</f>
        <v>0</v>
      </c>
      <c r="AL62" s="57">
        <f>INDEX('Eurostat EB TJ GWh'!$A$2:$BV$146,MATCH($A62,'Eurostat EB TJ GWh'!$A$2:$A$146,0),MATCH(AL$3,'Eurostat EB TJ GWh'!$A$2:$BV$2,0))</f>
        <v>0</v>
      </c>
      <c r="AM62" s="57">
        <f>INDEX('Eurostat EB TJ GWh'!$A$2:$BV$146,MATCH($A62,'Eurostat EB TJ GWh'!$A$2:$A$146,0),MATCH(AM$3,'Eurostat EB TJ GWh'!$A$2:$BV$2,0))</f>
        <v>0</v>
      </c>
      <c r="AN62" s="57">
        <f>INDEX('Eurostat EB TJ GWh'!$A$2:$BV$146,MATCH($A62,'Eurostat EB TJ GWh'!$A$2:$A$146,0),MATCH(AN$3,'Eurostat EB TJ GWh'!$A$2:$BV$2,0))</f>
        <v>0</v>
      </c>
      <c r="AO62" s="57">
        <f>INDEX('Eurostat EB TJ GWh'!$A$2:$BV$146,MATCH($A62,'Eurostat EB TJ GWh'!$A$2:$A$146,0),MATCH(AO$3,'Eurostat EB TJ GWh'!$A$2:$BV$2,0))</f>
        <v>0</v>
      </c>
      <c r="AP62" s="57">
        <f>INDEX('Eurostat EB TJ GWh'!$A$2:$BV$146,MATCH($A62,'Eurostat EB TJ GWh'!$A$2:$A$146,0),MATCH(AP$3,'Eurostat EB TJ GWh'!$A$2:$BV$2,0))</f>
        <v>0</v>
      </c>
      <c r="AQ62" s="57">
        <f>INDEX('Eurostat EB TJ GWh'!$A$2:$BV$146,MATCH($A62,'Eurostat EB TJ GWh'!$A$2:$A$146,0),MATCH(AQ$3,'Eurostat EB TJ GWh'!$A$2:$BV$2,0))</f>
        <v>0</v>
      </c>
      <c r="AR62" s="57">
        <f>INDEX('Eurostat EB TJ GWh'!$A$2:$BV$146,MATCH($A62,'Eurostat EB TJ GWh'!$A$2:$A$146,0),MATCH(AR$3,'Eurostat EB TJ GWh'!$A$2:$BV$2,0))</f>
        <v>0</v>
      </c>
      <c r="AS62" s="57">
        <f>INDEX('Eurostat EB TJ GWh'!$A$2:$BV$146,MATCH($A62,'Eurostat EB TJ GWh'!$A$2:$A$146,0),MATCH(AS$3,'Eurostat EB TJ GWh'!$A$2:$BV$2,0))</f>
        <v>0</v>
      </c>
      <c r="AT62" s="57">
        <f>INDEX('Eurostat EB TJ GWh'!$A$2:$BV$146,MATCH($A62,'Eurostat EB TJ GWh'!$A$2:$A$146,0),MATCH(AT$3,'Eurostat EB TJ GWh'!$A$2:$BV$2,0))</f>
        <v>0</v>
      </c>
      <c r="AU62" s="57">
        <f>INDEX('Eurostat EB TJ GWh'!$A$2:$BV$146,MATCH($A62,'Eurostat EB TJ GWh'!$A$2:$A$146,0),MATCH(AU$3,'Eurostat EB TJ GWh'!$A$2:$BV$2,0))</f>
        <v>0</v>
      </c>
      <c r="AV62" s="57">
        <f>INDEX('Eurostat EB TJ GWh'!$A$2:$BV$146,MATCH($A62,'Eurostat EB TJ GWh'!$A$2:$A$146,0),MATCH(AV$2,'Eurostat EB TJ GWh'!$A$2:$BV$2,0))+INDEX('Eurostat EB TJ GWh'!$A$2:$BV$146,MATCH($A62,'Eurostat EB TJ GWh'!$A$2:$A$146,0),MATCH(AV$3,'Eurostat EB TJ GWh'!$A$2:$BV$2,0))</f>
        <v>0</v>
      </c>
      <c r="AW62" s="57">
        <f>INDEX('Eurostat EB TJ GWh'!$A$2:$BV$146,MATCH($A62,'Eurostat EB TJ GWh'!$A$2:$A$146,0),MATCH(AW$2,'Eurostat EB TJ GWh'!$A$2:$BV$2,0))+INDEX('Eurostat EB TJ GWh'!$A$2:$BV$146,MATCH($A62,'Eurostat EB TJ GWh'!$A$2:$A$146,0),MATCH(AW$3,'Eurostat EB TJ GWh'!$A$2:$BV$2,0))</f>
        <v>0</v>
      </c>
      <c r="AX62" s="57">
        <f>INDEX('Eurostat EB TJ GWh'!$A$2:$BV$146,MATCH($A62,'Eurostat EB TJ GWh'!$A$2:$A$146,0),MATCH(AX$3,'Eurostat EB TJ GWh'!$A$2:$BV$2,0))</f>
        <v>0</v>
      </c>
      <c r="AY62" s="65">
        <v>0</v>
      </c>
      <c r="AZ62" s="57">
        <f>INDEX('Eurostat EB TJ GWh'!$A$2:$BV$146,MATCH($A62,'Eurostat EB TJ GWh'!$A$2:$A$146,0),MATCH(AZ$3,'Eurostat EB TJ GWh'!$A$2:$BV$2,0))</f>
        <v>0</v>
      </c>
      <c r="BA62" s="65">
        <v>0</v>
      </c>
      <c r="BB62" s="65">
        <v>0</v>
      </c>
      <c r="BC62" s="57">
        <f>INDEX('Eurostat EB TJ GWh'!$A$2:$BV$146,MATCH($A62,'Eurostat EB TJ GWh'!$A$2:$A$146,0),MATCH(BC$3,'Eurostat EB TJ GWh'!$A$2:$BV$2,0))</f>
        <v>0</v>
      </c>
      <c r="BD62" s="57">
        <f>INDEX('Eurostat EB TJ GWh'!$A$2:$BV$146,MATCH($A62,'Eurostat EB TJ GWh'!$A$2:$A$146,0),MATCH(BD$3,'Eurostat EB TJ GWh'!$A$2:$BV$2,0))</f>
        <v>0</v>
      </c>
      <c r="BE62" s="57">
        <f>INDEX('Eurostat EB TJ GWh'!$A$2:$BV$146,MATCH($A62,'Eurostat EB TJ GWh'!$A$2:$A$146,0),MATCH(BE$3,'Eurostat EB TJ GWh'!$A$2:$BV$2,0))</f>
        <v>0</v>
      </c>
      <c r="BF62" s="57">
        <f>INDEX('Eurostat EB TJ GWh'!$A$2:$BV$146,MATCH($A62,'Eurostat EB TJ GWh'!$A$2:$A$146,0),MATCH(BF$3,'Eurostat EB TJ GWh'!$A$2:$BV$2,0))</f>
        <v>0</v>
      </c>
      <c r="BG62" s="57">
        <f>INDEX('Eurostat EB TJ GWh'!$A$2:$BV$146,MATCH($A62,'Eurostat EB TJ GWh'!$A$2:$A$146,0),MATCH(BG$3,'Eurostat EB TJ GWh'!$A$2:$BV$2,0))</f>
        <v>0</v>
      </c>
      <c r="BH62" s="57">
        <f>INDEX('Eurostat EB TJ GWh'!$A$2:$BV$146,MATCH($A62,'Eurostat EB TJ GWh'!$A$2:$A$146,0),MATCH(BH$3,'Eurostat EB TJ GWh'!$A$2:$BV$2,0))</f>
        <v>0</v>
      </c>
      <c r="BI62" s="57">
        <f>INDEX('Eurostat EB TJ GWh'!$A$2:$BV$146,MATCH($A62,'Eurostat EB TJ GWh'!$A$2:$A$146,0),MATCH(BI$3,'Eurostat EB TJ GWh'!$A$2:$BV$2,0))</f>
        <v>0</v>
      </c>
      <c r="BJ62" s="65">
        <v>0</v>
      </c>
      <c r="BK62" s="57">
        <f>INDEX('Eurostat EB TJ GWh'!$A$2:$BV$146,MATCH($A62,'Eurostat EB TJ GWh'!$A$2:$A$146,0),MATCH(BK$3,'Eurostat EB TJ GWh'!$A$2:$BV$2,0))</f>
        <v>0</v>
      </c>
      <c r="BL62" s="57">
        <f>INDEX('Eurostat EB TJ GWh'!$A$2:$BV$146,MATCH($A62,'Eurostat EB TJ GWh'!$A$2:$A$146,0),MATCH(BL$3,'Eurostat EB TJ GWh'!$A$2:$BV$2,0))</f>
        <v>0</v>
      </c>
      <c r="BM62" s="57">
        <f>INDEX('Eurostat EB TJ GWh'!$A$2:$BV$146,MATCH($A62,'Eurostat EB TJ GWh'!$A$2:$A$146,0),MATCH(BM$3,'Eurostat EB TJ GWh'!$A$2:$BV$2,0))</f>
        <v>218821.62400000001</v>
      </c>
      <c r="BN62" s="57">
        <f>INDEX('Eurostat EB TJ GWh'!$A$2:$BV$146,MATCH($A62,'Eurostat EB TJ GWh'!$A$2:$A$146,0),MATCH(BN$3,'Eurostat EB TJ GWh'!$A$2:$BV$2,0))</f>
        <v>0</v>
      </c>
    </row>
    <row r="63" spans="1:66" x14ac:dyDescent="0.2">
      <c r="A63" s="56" t="s">
        <v>251</v>
      </c>
      <c r="B63" s="65" t="s">
        <v>323</v>
      </c>
      <c r="C63" s="65" t="s">
        <v>323</v>
      </c>
      <c r="D63" s="17">
        <f>INDEX('Eurostat EB TJ GWh'!$A$2:$BV$146,MATCH($A63,'Eurostat EB TJ GWh'!$A$2:$A$146,0),MATCH(D$3,'Eurostat EB TJ GWh'!$A$2:$BV$2,0))</f>
        <v>0</v>
      </c>
      <c r="E63" s="17">
        <f>INDEX('Eurostat EB TJ GWh'!$A$2:$BV$146,MATCH($A63,'Eurostat EB TJ GWh'!$A$2:$A$146,0),MATCH(E$3,'Eurostat EB TJ GWh'!$A$2:$BV$2,0))</f>
        <v>0</v>
      </c>
      <c r="F63" s="17">
        <f>INDEX('Eurostat EB TJ GWh'!$A$2:$BV$146,MATCH($A63,'Eurostat EB TJ GWh'!$A$2:$A$146,0),MATCH(F$3,'Eurostat EB TJ GWh'!$A$2:$BV$2,0))</f>
        <v>0</v>
      </c>
      <c r="G63" s="17">
        <f>INDEX('Eurostat EB TJ GWh'!$A$2:$BV$146,MATCH($A63,'Eurostat EB TJ GWh'!$A$2:$A$146,0),MATCH(G$3,'Eurostat EB TJ GWh'!$A$2:$BV$2,0))</f>
        <v>0</v>
      </c>
      <c r="H63" s="17">
        <f>INDEX('Eurostat EB TJ GWh'!$A$2:$BV$146,MATCH($A63,'Eurostat EB TJ GWh'!$A$2:$A$146,0),MATCH(H$3,'Eurostat EB TJ GWh'!$A$2:$BV$2,0))</f>
        <v>0</v>
      </c>
      <c r="I63" s="17">
        <f>INDEX('Eurostat EB TJ GWh'!$A$2:$BV$146,MATCH($A63,'Eurostat EB TJ GWh'!$A$2:$A$146,0),MATCH(I$3,'Eurostat EB TJ GWh'!$A$2:$BV$2,0))</f>
        <v>0</v>
      </c>
      <c r="J63" s="17">
        <f>INDEX('Eurostat EB TJ GWh'!$A$2:$BV$146,MATCH($A63,'Eurostat EB TJ GWh'!$A$2:$A$146,0),MATCH(J$3,'Eurostat EB TJ GWh'!$A$2:$BV$2,0))</f>
        <v>0</v>
      </c>
      <c r="K63" s="17">
        <f>INDEX('Eurostat EB TJ GWh'!$A$2:$BV$146,MATCH($A63,'Eurostat EB TJ GWh'!$A$2:$A$146,0),MATCH(K$3,'Eurostat EB TJ GWh'!$A$2:$BV$2,0))</f>
        <v>0</v>
      </c>
      <c r="L63" s="17">
        <f>INDEX('Eurostat EB TJ GWh'!$A$2:$BV$146,MATCH($A63,'Eurostat EB TJ GWh'!$A$2:$A$146,0),MATCH(L$3,'Eurostat EB TJ GWh'!$A$2:$BV$2,0))</f>
        <v>0</v>
      </c>
      <c r="M63" s="17">
        <f>INDEX('Eurostat EB TJ GWh'!$A$2:$BV$146,MATCH($A63,'Eurostat EB TJ GWh'!$A$2:$A$146,0),MATCH(M$3,'Eurostat EB TJ GWh'!$A$2:$BV$2,0))</f>
        <v>0</v>
      </c>
      <c r="N63" s="17">
        <f>INDEX('Eurostat EB TJ GWh'!$A$2:$BV$146,MATCH($A63,'Eurostat EB TJ GWh'!$A$2:$A$146,0),MATCH(N$3,'Eurostat EB TJ GWh'!$A$2:$BV$2,0))</f>
        <v>0</v>
      </c>
      <c r="O63" s="17">
        <f>INDEX('Eurostat EB TJ GWh'!$A$2:$BV$146,MATCH($A63,'Eurostat EB TJ GWh'!$A$2:$A$146,0),MATCH(O$3,'Eurostat EB TJ GWh'!$A$2:$BV$2,0))</f>
        <v>0</v>
      </c>
      <c r="P63" s="17">
        <f>INDEX('Eurostat EB TJ GWh'!$A$2:$BV$146,MATCH($A63,'Eurostat EB TJ GWh'!$A$2:$A$146,0),MATCH(P$3,'Eurostat EB TJ GWh'!$A$2:$BV$2,0))</f>
        <v>0</v>
      </c>
      <c r="Q63" s="17">
        <f>INDEX('Eurostat EB TJ GWh'!$A$2:$BV$146,MATCH($A63,'Eurostat EB TJ GWh'!$A$2:$A$146,0),MATCH(Q$3,'Eurostat EB TJ GWh'!$A$2:$BV$2,0))</f>
        <v>0</v>
      </c>
      <c r="R63" s="17">
        <f>INDEX('Eurostat EB TJ GWh'!$A$2:$BV$146,MATCH($A63,'Eurostat EB TJ GWh'!$A$2:$A$146,0),MATCH(R$2,'Eurostat EB TJ GWh'!$A$2:$BV$2,0))+INDEX('Eurostat EB TJ GWh'!$A$2:$BV$146,MATCH($A63,'Eurostat EB TJ GWh'!$A$2:$A$146,0),MATCH(R$3,'Eurostat EB TJ GWh'!$A$2:$BV$2,0))</f>
        <v>0</v>
      </c>
      <c r="S63" s="17">
        <f>INDEX('Eurostat EB TJ GWh'!$A$2:$BV$146,MATCH($A63,'Eurostat EB TJ GWh'!$A$2:$A$146,0),MATCH(S$3,'Eurostat EB TJ GWh'!$A$2:$BV$2,0))</f>
        <v>0</v>
      </c>
      <c r="T63" s="65" t="s">
        <v>323</v>
      </c>
      <c r="U63" s="17">
        <f>INDEX('Eurostat EB TJ GWh'!$A$2:$BV$146,MATCH($A63,'Eurostat EB TJ GWh'!$A$2:$A$146,0),MATCH(U$3,'Eurostat EB TJ GWh'!$A$2:$BV$2,0))</f>
        <v>0</v>
      </c>
      <c r="V63" s="17">
        <f>INDEX('Eurostat EB TJ GWh'!$A$2:$BV$146,MATCH($A63,'Eurostat EB TJ GWh'!$A$2:$A$146,0),MATCH(V$3,'Eurostat EB TJ GWh'!$A$2:$BV$2,0))</f>
        <v>0</v>
      </c>
      <c r="W63" s="17">
        <f>INDEX('Eurostat EB TJ GWh'!$A$2:$BV$146,MATCH($A63,'Eurostat EB TJ GWh'!$A$2:$A$146,0),MATCH(W$3,'Eurostat EB TJ GWh'!$A$2:$BV$2,0))</f>
        <v>0</v>
      </c>
      <c r="X63" s="17">
        <f>INDEX('Eurostat EB TJ GWh'!$A$2:$BV$146,MATCH($A63,'Eurostat EB TJ GWh'!$A$2:$A$146,0),MATCH(X$3,'Eurostat EB TJ GWh'!$A$2:$BV$2,0))</f>
        <v>0</v>
      </c>
      <c r="Y63" s="17">
        <f>INDEX('Eurostat EB TJ GWh'!$A$2:$BV$146,MATCH($A63,'Eurostat EB TJ GWh'!$A$2:$A$146,0),MATCH(Y$3,'Eurostat EB TJ GWh'!$A$2:$BV$2,0))</f>
        <v>0</v>
      </c>
      <c r="Z63" s="17">
        <f>INDEX('Eurostat EB TJ GWh'!$A$2:$BV$146,MATCH($A63,'Eurostat EB TJ GWh'!$A$2:$A$146,0),MATCH(Z$3,'Eurostat EB TJ GWh'!$A$2:$BV$2,0))</f>
        <v>0</v>
      </c>
      <c r="AA63" s="17">
        <f>INDEX('Eurostat EB TJ GWh'!$A$2:$BV$146,MATCH($A63,'Eurostat EB TJ GWh'!$A$2:$A$146,0),MATCH(AA$3,'Eurostat EB TJ GWh'!$A$2:$BV$2,0))</f>
        <v>0</v>
      </c>
      <c r="AB63" s="17">
        <f>INDEX('Eurostat EB TJ GWh'!$A$2:$BV$146,MATCH($A63,'Eurostat EB TJ GWh'!$A$2:$A$146,0),MATCH(AB$3,'Eurostat EB TJ GWh'!$A$2:$BV$2,0))</f>
        <v>0</v>
      </c>
      <c r="AC63" s="17">
        <f>INDEX('Eurostat EB TJ GWh'!$A$2:$BV$146,MATCH($A63,'Eurostat EB TJ GWh'!$A$2:$A$146,0),MATCH(AC$3,'Eurostat EB TJ GWh'!$A$2:$BV$2,0))</f>
        <v>552227.174</v>
      </c>
      <c r="AD63" s="17">
        <f>INDEX('Eurostat EB TJ GWh'!$A$2:$BV$146,MATCH($A63,'Eurostat EB TJ GWh'!$A$2:$A$146,0),MATCH(AD$3,'Eurostat EB TJ GWh'!$A$2:$BV$2,0))</f>
        <v>0</v>
      </c>
      <c r="AE63" s="17">
        <f>INDEX('Eurostat EB TJ GWh'!$A$2:$BV$146,MATCH($A63,'Eurostat EB TJ GWh'!$A$2:$A$146,0),MATCH(AE$3,'Eurostat EB TJ GWh'!$A$2:$BV$2,0))</f>
        <v>0</v>
      </c>
      <c r="AF63" s="17">
        <f>INDEX('Eurostat EB TJ GWh'!$A$2:$BV$146,MATCH($A63,'Eurostat EB TJ GWh'!$A$2:$A$146,0),MATCH(AF$3,'Eurostat EB TJ GWh'!$A$2:$BV$2,0))</f>
        <v>44616.178999999996</v>
      </c>
      <c r="AG63" s="17">
        <f>INDEX('Eurostat EB TJ GWh'!$A$2:$BV$146,MATCH($A63,'Eurostat EB TJ GWh'!$A$2:$A$146,0),MATCH(AG$3,'Eurostat EB TJ GWh'!$A$2:$BV$2,0))</f>
        <v>0</v>
      </c>
      <c r="AH63" s="17">
        <f>INDEX('Eurostat EB TJ GWh'!$A$2:$BV$146,MATCH($A63,'Eurostat EB TJ GWh'!$A$2:$A$146,0),MATCH(AH$3,'Eurostat EB TJ GWh'!$A$2:$BV$2,0))</f>
        <v>0</v>
      </c>
      <c r="AI63" s="17">
        <f>INDEX('Eurostat EB TJ GWh'!$A$2:$BV$146,MATCH($A63,'Eurostat EB TJ GWh'!$A$2:$A$146,0),MATCH(AI$3,'Eurostat EB TJ GWh'!$A$2:$BV$2,0))</f>
        <v>36894.35</v>
      </c>
      <c r="AJ63" s="17">
        <f>INDEX('Eurostat EB TJ GWh'!$A$2:$BV$146,MATCH($A63,'Eurostat EB TJ GWh'!$A$2:$A$146,0),MATCH(AJ$3,'Eurostat EB TJ GWh'!$A$2:$BV$2,0))</f>
        <v>0</v>
      </c>
      <c r="AK63" s="17">
        <f>INDEX('Eurostat EB TJ GWh'!$A$2:$BV$146,MATCH($A63,'Eurostat EB TJ GWh'!$A$2:$A$146,0),MATCH(AK$3,'Eurostat EB TJ GWh'!$A$2:$BV$2,0))</f>
        <v>0</v>
      </c>
      <c r="AL63" s="17">
        <f>INDEX('Eurostat EB TJ GWh'!$A$2:$BV$146,MATCH($A63,'Eurostat EB TJ GWh'!$A$2:$A$146,0),MATCH(AL$3,'Eurostat EB TJ GWh'!$A$2:$BV$2,0))</f>
        <v>0</v>
      </c>
      <c r="AM63" s="17">
        <f>INDEX('Eurostat EB TJ GWh'!$A$2:$BV$146,MATCH($A63,'Eurostat EB TJ GWh'!$A$2:$A$146,0),MATCH(AM$3,'Eurostat EB TJ GWh'!$A$2:$BV$2,0))</f>
        <v>0</v>
      </c>
      <c r="AN63" s="17">
        <f>INDEX('Eurostat EB TJ GWh'!$A$2:$BV$146,MATCH($A63,'Eurostat EB TJ GWh'!$A$2:$A$146,0),MATCH(AN$3,'Eurostat EB TJ GWh'!$A$2:$BV$2,0))</f>
        <v>404.15</v>
      </c>
      <c r="AO63" s="17">
        <f>INDEX('Eurostat EB TJ GWh'!$A$2:$BV$146,MATCH($A63,'Eurostat EB TJ GWh'!$A$2:$A$146,0),MATCH(AO$3,'Eurostat EB TJ GWh'!$A$2:$BV$2,0))</f>
        <v>0</v>
      </c>
      <c r="AP63" s="17">
        <f>INDEX('Eurostat EB TJ GWh'!$A$2:$BV$146,MATCH($A63,'Eurostat EB TJ GWh'!$A$2:$A$146,0),MATCH(AP$3,'Eurostat EB TJ GWh'!$A$2:$BV$2,0))</f>
        <v>8148.3810000000003</v>
      </c>
      <c r="AQ63" s="17">
        <f>INDEX('Eurostat EB TJ GWh'!$A$2:$BV$146,MATCH($A63,'Eurostat EB TJ GWh'!$A$2:$A$146,0),MATCH(AQ$3,'Eurostat EB TJ GWh'!$A$2:$BV$2,0))</f>
        <v>0</v>
      </c>
      <c r="AR63" s="17">
        <f>INDEX('Eurostat EB TJ GWh'!$A$2:$BV$146,MATCH($A63,'Eurostat EB TJ GWh'!$A$2:$A$146,0),MATCH(AR$3,'Eurostat EB TJ GWh'!$A$2:$BV$2,0))</f>
        <v>0</v>
      </c>
      <c r="AS63" s="17">
        <f>INDEX('Eurostat EB TJ GWh'!$A$2:$BV$146,MATCH($A63,'Eurostat EB TJ GWh'!$A$2:$A$146,0),MATCH(AS$3,'Eurostat EB TJ GWh'!$A$2:$BV$2,0))</f>
        <v>0</v>
      </c>
      <c r="AT63" s="17">
        <f>INDEX('Eurostat EB TJ GWh'!$A$2:$BV$146,MATCH($A63,'Eurostat EB TJ GWh'!$A$2:$A$146,0),MATCH(AT$3,'Eurostat EB TJ GWh'!$A$2:$BV$2,0))</f>
        <v>0</v>
      </c>
      <c r="AU63" s="17">
        <f>INDEX('Eurostat EB TJ GWh'!$A$2:$BV$146,MATCH($A63,'Eurostat EB TJ GWh'!$A$2:$A$146,0),MATCH(AU$3,'Eurostat EB TJ GWh'!$A$2:$BV$2,0))</f>
        <v>0</v>
      </c>
      <c r="AV63" s="17">
        <f>INDEX('Eurostat EB TJ GWh'!$A$2:$BV$146,MATCH($A63,'Eurostat EB TJ GWh'!$A$2:$A$146,0),MATCH(AV$2,'Eurostat EB TJ GWh'!$A$2:$BV$2,0))+INDEX('Eurostat EB TJ GWh'!$A$2:$BV$146,MATCH($A63,'Eurostat EB TJ GWh'!$A$2:$A$146,0),MATCH(AV$3,'Eurostat EB TJ GWh'!$A$2:$BV$2,0))</f>
        <v>0</v>
      </c>
      <c r="AW63" s="17">
        <f>INDEX('Eurostat EB TJ GWh'!$A$2:$BV$146,MATCH($A63,'Eurostat EB TJ GWh'!$A$2:$A$146,0),MATCH(AW$2,'Eurostat EB TJ GWh'!$A$2:$BV$2,0))+INDEX('Eurostat EB TJ GWh'!$A$2:$BV$146,MATCH($A63,'Eurostat EB TJ GWh'!$A$2:$A$146,0),MATCH(AW$3,'Eurostat EB TJ GWh'!$A$2:$BV$2,0))</f>
        <v>0</v>
      </c>
      <c r="AX63" s="17">
        <f>INDEX('Eurostat EB TJ GWh'!$A$2:$BV$146,MATCH($A63,'Eurostat EB TJ GWh'!$A$2:$A$146,0),MATCH(AX$3,'Eurostat EB TJ GWh'!$A$2:$BV$2,0))</f>
        <v>0</v>
      </c>
      <c r="AY63" s="72">
        <v>0</v>
      </c>
      <c r="AZ63" s="17">
        <f>INDEX('Eurostat EB TJ GWh'!$A$2:$BV$146,MATCH($A63,'Eurostat EB TJ GWh'!$A$2:$A$146,0),MATCH(AZ$3,'Eurostat EB TJ GWh'!$A$2:$BV$2,0))</f>
        <v>0</v>
      </c>
      <c r="BA63" s="72">
        <v>0</v>
      </c>
      <c r="BB63" s="72">
        <v>0</v>
      </c>
      <c r="BC63" s="17">
        <f>INDEX('Eurostat EB TJ GWh'!$A$2:$BV$146,MATCH($A63,'Eurostat EB TJ GWh'!$A$2:$A$146,0),MATCH(BC$3,'Eurostat EB TJ GWh'!$A$2:$BV$2,0))</f>
        <v>0</v>
      </c>
      <c r="BD63" s="17">
        <f>INDEX('Eurostat EB TJ GWh'!$A$2:$BV$146,MATCH($A63,'Eurostat EB TJ GWh'!$A$2:$A$146,0),MATCH(BD$3,'Eurostat EB TJ GWh'!$A$2:$BV$2,0))</f>
        <v>0</v>
      </c>
      <c r="BE63" s="17">
        <f>INDEX('Eurostat EB TJ GWh'!$A$2:$BV$146,MATCH($A63,'Eurostat EB TJ GWh'!$A$2:$A$146,0),MATCH(BE$3,'Eurostat EB TJ GWh'!$A$2:$BV$2,0))</f>
        <v>0</v>
      </c>
      <c r="BF63" s="17">
        <f>INDEX('Eurostat EB TJ GWh'!$A$2:$BV$146,MATCH($A63,'Eurostat EB TJ GWh'!$A$2:$A$146,0),MATCH(BF$3,'Eurostat EB TJ GWh'!$A$2:$BV$2,0))</f>
        <v>0</v>
      </c>
      <c r="BG63" s="17">
        <f>INDEX('Eurostat EB TJ GWh'!$A$2:$BV$146,MATCH($A63,'Eurostat EB TJ GWh'!$A$2:$A$146,0),MATCH(BG$3,'Eurostat EB TJ GWh'!$A$2:$BV$2,0))</f>
        <v>0</v>
      </c>
      <c r="BH63" s="17">
        <f>INDEX('Eurostat EB TJ GWh'!$A$2:$BV$146,MATCH($A63,'Eurostat EB TJ GWh'!$A$2:$A$146,0),MATCH(BH$3,'Eurostat EB TJ GWh'!$A$2:$BV$2,0))</f>
        <v>0</v>
      </c>
      <c r="BI63" s="17">
        <f>INDEX('Eurostat EB TJ GWh'!$A$2:$BV$146,MATCH($A63,'Eurostat EB TJ GWh'!$A$2:$A$146,0),MATCH(BI$3,'Eurostat EB TJ GWh'!$A$2:$BV$2,0))</f>
        <v>0</v>
      </c>
      <c r="BJ63" s="72">
        <v>0</v>
      </c>
      <c r="BK63" s="17">
        <f>INDEX('Eurostat EB TJ GWh'!$A$2:$BV$146,MATCH($A63,'Eurostat EB TJ GWh'!$A$2:$A$146,0),MATCH(BK$3,'Eurostat EB TJ GWh'!$A$2:$BV$2,0))</f>
        <v>0</v>
      </c>
      <c r="BL63" s="17">
        <f>INDEX('Eurostat EB TJ GWh'!$A$2:$BV$146,MATCH($A63,'Eurostat EB TJ GWh'!$A$2:$A$146,0),MATCH(BL$3,'Eurostat EB TJ GWh'!$A$2:$BV$2,0))</f>
        <v>0</v>
      </c>
      <c r="BM63" s="17">
        <f>INDEX('Eurostat EB TJ GWh'!$A$2:$BV$146,MATCH($A63,'Eurostat EB TJ GWh'!$A$2:$A$146,0),MATCH(BM$3,'Eurostat EB TJ GWh'!$A$2:$BV$2,0))</f>
        <v>642290.23400000005</v>
      </c>
      <c r="BN63" s="17">
        <f>INDEX('Eurostat EB TJ GWh'!$A$2:$BV$146,MATCH($A63,'Eurostat EB TJ GWh'!$A$2:$A$146,0),MATCH(BN$3,'Eurostat EB TJ GWh'!$A$2:$BV$2,0))</f>
        <v>0</v>
      </c>
    </row>
    <row r="64" spans="1:66" x14ac:dyDescent="0.2">
      <c r="A64" s="56" t="s">
        <v>252</v>
      </c>
      <c r="B64" s="65" t="s">
        <v>323</v>
      </c>
      <c r="C64" s="65" t="s">
        <v>323</v>
      </c>
      <c r="D64" s="57">
        <f>INDEX('Eurostat EB TJ GWh'!$A$2:$BV$146,MATCH($A64,'Eurostat EB TJ GWh'!$A$2:$A$146,0),MATCH(D$3,'Eurostat EB TJ GWh'!$A$2:$BV$2,0))</f>
        <v>0</v>
      </c>
      <c r="E64" s="57">
        <f>INDEX('Eurostat EB TJ GWh'!$A$2:$BV$146,MATCH($A64,'Eurostat EB TJ GWh'!$A$2:$A$146,0),MATCH(E$3,'Eurostat EB TJ GWh'!$A$2:$BV$2,0))</f>
        <v>0</v>
      </c>
      <c r="F64" s="57">
        <f>INDEX('Eurostat EB TJ GWh'!$A$2:$BV$146,MATCH($A64,'Eurostat EB TJ GWh'!$A$2:$A$146,0),MATCH(F$3,'Eurostat EB TJ GWh'!$A$2:$BV$2,0))</f>
        <v>0</v>
      </c>
      <c r="G64" s="57">
        <f>INDEX('Eurostat EB TJ GWh'!$A$2:$BV$146,MATCH($A64,'Eurostat EB TJ GWh'!$A$2:$A$146,0),MATCH(G$3,'Eurostat EB TJ GWh'!$A$2:$BV$2,0))</f>
        <v>0</v>
      </c>
      <c r="H64" s="57">
        <f>INDEX('Eurostat EB TJ GWh'!$A$2:$BV$146,MATCH($A64,'Eurostat EB TJ GWh'!$A$2:$A$146,0),MATCH(H$3,'Eurostat EB TJ GWh'!$A$2:$BV$2,0))</f>
        <v>0</v>
      </c>
      <c r="I64" s="57">
        <f>INDEX('Eurostat EB TJ GWh'!$A$2:$BV$146,MATCH($A64,'Eurostat EB TJ GWh'!$A$2:$A$146,0),MATCH(I$3,'Eurostat EB TJ GWh'!$A$2:$BV$2,0))</f>
        <v>0</v>
      </c>
      <c r="J64" s="57">
        <f>INDEX('Eurostat EB TJ GWh'!$A$2:$BV$146,MATCH($A64,'Eurostat EB TJ GWh'!$A$2:$A$146,0),MATCH(J$3,'Eurostat EB TJ GWh'!$A$2:$BV$2,0))</f>
        <v>0</v>
      </c>
      <c r="K64" s="57">
        <f>INDEX('Eurostat EB TJ GWh'!$A$2:$BV$146,MATCH($A64,'Eurostat EB TJ GWh'!$A$2:$A$146,0),MATCH(K$3,'Eurostat EB TJ GWh'!$A$2:$BV$2,0))</f>
        <v>0</v>
      </c>
      <c r="L64" s="57">
        <f>INDEX('Eurostat EB TJ GWh'!$A$2:$BV$146,MATCH($A64,'Eurostat EB TJ GWh'!$A$2:$A$146,0),MATCH(L$3,'Eurostat EB TJ GWh'!$A$2:$BV$2,0))</f>
        <v>0</v>
      </c>
      <c r="M64" s="57">
        <f>INDEX('Eurostat EB TJ GWh'!$A$2:$BV$146,MATCH($A64,'Eurostat EB TJ GWh'!$A$2:$A$146,0),MATCH(M$3,'Eurostat EB TJ GWh'!$A$2:$BV$2,0))</f>
        <v>0</v>
      </c>
      <c r="N64" s="57">
        <f>INDEX('Eurostat EB TJ GWh'!$A$2:$BV$146,MATCH($A64,'Eurostat EB TJ GWh'!$A$2:$A$146,0),MATCH(N$3,'Eurostat EB TJ GWh'!$A$2:$BV$2,0))</f>
        <v>0</v>
      </c>
      <c r="O64" s="57">
        <f>INDEX('Eurostat EB TJ GWh'!$A$2:$BV$146,MATCH($A64,'Eurostat EB TJ GWh'!$A$2:$A$146,0),MATCH(O$3,'Eurostat EB TJ GWh'!$A$2:$BV$2,0))</f>
        <v>0</v>
      </c>
      <c r="P64" s="57">
        <f>INDEX('Eurostat EB TJ GWh'!$A$2:$BV$146,MATCH($A64,'Eurostat EB TJ GWh'!$A$2:$A$146,0),MATCH(P$3,'Eurostat EB TJ GWh'!$A$2:$BV$2,0))</f>
        <v>0</v>
      </c>
      <c r="Q64" s="57">
        <f>INDEX('Eurostat EB TJ GWh'!$A$2:$BV$146,MATCH($A64,'Eurostat EB TJ GWh'!$A$2:$A$146,0),MATCH(Q$3,'Eurostat EB TJ GWh'!$A$2:$BV$2,0))</f>
        <v>0</v>
      </c>
      <c r="R64" s="57">
        <f>INDEX('Eurostat EB TJ GWh'!$A$2:$BV$146,MATCH($A64,'Eurostat EB TJ GWh'!$A$2:$A$146,0),MATCH(R$2,'Eurostat EB TJ GWh'!$A$2:$BV$2,0))+INDEX('Eurostat EB TJ GWh'!$A$2:$BV$146,MATCH($A64,'Eurostat EB TJ GWh'!$A$2:$A$146,0),MATCH(R$3,'Eurostat EB TJ GWh'!$A$2:$BV$2,0))</f>
        <v>0</v>
      </c>
      <c r="S64" s="57">
        <f>INDEX('Eurostat EB TJ GWh'!$A$2:$BV$146,MATCH($A64,'Eurostat EB TJ GWh'!$A$2:$A$146,0),MATCH(S$3,'Eurostat EB TJ GWh'!$A$2:$BV$2,0))</f>
        <v>0</v>
      </c>
      <c r="T64" s="65" t="s">
        <v>323</v>
      </c>
      <c r="U64" s="57">
        <f>INDEX('Eurostat EB TJ GWh'!$A$2:$BV$146,MATCH($A64,'Eurostat EB TJ GWh'!$A$2:$A$146,0),MATCH(U$3,'Eurostat EB TJ GWh'!$A$2:$BV$2,0))</f>
        <v>77534.907000000007</v>
      </c>
      <c r="V64" s="57">
        <f>INDEX('Eurostat EB TJ GWh'!$A$2:$BV$146,MATCH($A64,'Eurostat EB TJ GWh'!$A$2:$A$146,0),MATCH(V$3,'Eurostat EB TJ GWh'!$A$2:$BV$2,0))</f>
        <v>193698.97500000001</v>
      </c>
      <c r="W64" s="57">
        <f>INDEX('Eurostat EB TJ GWh'!$A$2:$BV$146,MATCH($A64,'Eurostat EB TJ GWh'!$A$2:$A$146,0),MATCH(W$3,'Eurostat EB TJ GWh'!$A$2:$BV$2,0))</f>
        <v>0</v>
      </c>
      <c r="X64" s="57">
        <f>INDEX('Eurostat EB TJ GWh'!$A$2:$BV$146,MATCH($A64,'Eurostat EB TJ GWh'!$A$2:$A$146,0),MATCH(X$3,'Eurostat EB TJ GWh'!$A$2:$BV$2,0))</f>
        <v>0</v>
      </c>
      <c r="Y64" s="57">
        <f>INDEX('Eurostat EB TJ GWh'!$A$2:$BV$146,MATCH($A64,'Eurostat EB TJ GWh'!$A$2:$A$146,0),MATCH(Y$3,'Eurostat EB TJ GWh'!$A$2:$BV$2,0))</f>
        <v>0</v>
      </c>
      <c r="Z64" s="57">
        <f>INDEX('Eurostat EB TJ GWh'!$A$2:$BV$146,MATCH($A64,'Eurostat EB TJ GWh'!$A$2:$A$146,0),MATCH(Z$3,'Eurostat EB TJ GWh'!$A$2:$BV$2,0))</f>
        <v>94685.631999999998</v>
      </c>
      <c r="AA64" s="57">
        <f>INDEX('Eurostat EB TJ GWh'!$A$2:$BV$146,MATCH($A64,'Eurostat EB TJ GWh'!$A$2:$A$146,0),MATCH(AA$3,'Eurostat EB TJ GWh'!$A$2:$BV$2,0))</f>
        <v>0</v>
      </c>
      <c r="AB64" s="57">
        <f>INDEX('Eurostat EB TJ GWh'!$A$2:$BV$146,MATCH($A64,'Eurostat EB TJ GWh'!$A$2:$A$146,0),MATCH(AB$3,'Eurostat EB TJ GWh'!$A$2:$BV$2,0))</f>
        <v>7161.4620000000004</v>
      </c>
      <c r="AC64" s="57">
        <f>INDEX('Eurostat EB TJ GWh'!$A$2:$BV$146,MATCH($A64,'Eurostat EB TJ GWh'!$A$2:$A$146,0),MATCH(AC$3,'Eurostat EB TJ GWh'!$A$2:$BV$2,0))</f>
        <v>21719.498</v>
      </c>
      <c r="AD64" s="57">
        <f>INDEX('Eurostat EB TJ GWh'!$A$2:$BV$146,MATCH($A64,'Eurostat EB TJ GWh'!$A$2:$A$146,0),MATCH(AD$3,'Eurostat EB TJ GWh'!$A$2:$BV$2,0))</f>
        <v>0</v>
      </c>
      <c r="AE64" s="57">
        <f>INDEX('Eurostat EB TJ GWh'!$A$2:$BV$146,MATCH($A64,'Eurostat EB TJ GWh'!$A$2:$A$146,0),MATCH(AE$3,'Eurostat EB TJ GWh'!$A$2:$BV$2,0))</f>
        <v>0</v>
      </c>
      <c r="AF64" s="57">
        <f>INDEX('Eurostat EB TJ GWh'!$A$2:$BV$146,MATCH($A64,'Eurostat EB TJ GWh'!$A$2:$A$146,0),MATCH(AF$3,'Eurostat EB TJ GWh'!$A$2:$BV$2,0))</f>
        <v>0</v>
      </c>
      <c r="AG64" s="57">
        <f>INDEX('Eurostat EB TJ GWh'!$A$2:$BV$146,MATCH($A64,'Eurostat EB TJ GWh'!$A$2:$A$146,0),MATCH(AG$3,'Eurostat EB TJ GWh'!$A$2:$BV$2,0))</f>
        <v>24.097999999999999</v>
      </c>
      <c r="AH64" s="57">
        <f>INDEX('Eurostat EB TJ GWh'!$A$2:$BV$146,MATCH($A64,'Eurostat EB TJ GWh'!$A$2:$A$146,0),MATCH(AH$3,'Eurostat EB TJ GWh'!$A$2:$BV$2,0))</f>
        <v>817.55700000000002</v>
      </c>
      <c r="AI64" s="57">
        <f>INDEX('Eurostat EB TJ GWh'!$A$2:$BV$146,MATCH($A64,'Eurostat EB TJ GWh'!$A$2:$A$146,0),MATCH(AI$3,'Eurostat EB TJ GWh'!$A$2:$BV$2,0))</f>
        <v>0</v>
      </c>
      <c r="AJ64" s="57">
        <f>INDEX('Eurostat EB TJ GWh'!$A$2:$BV$146,MATCH($A64,'Eurostat EB TJ GWh'!$A$2:$A$146,0),MATCH(AJ$3,'Eurostat EB TJ GWh'!$A$2:$BV$2,0))</f>
        <v>19239.823</v>
      </c>
      <c r="AK64" s="57">
        <f>INDEX('Eurostat EB TJ GWh'!$A$2:$BV$146,MATCH($A64,'Eurostat EB TJ GWh'!$A$2:$A$146,0),MATCH(AK$3,'Eurostat EB TJ GWh'!$A$2:$BV$2,0))</f>
        <v>28222.131000000001</v>
      </c>
      <c r="AL64" s="57">
        <f>INDEX('Eurostat EB TJ GWh'!$A$2:$BV$146,MATCH($A64,'Eurostat EB TJ GWh'!$A$2:$A$146,0),MATCH(AL$3,'Eurostat EB TJ GWh'!$A$2:$BV$2,0))</f>
        <v>1324.143</v>
      </c>
      <c r="AM64" s="57">
        <f>INDEX('Eurostat EB TJ GWh'!$A$2:$BV$146,MATCH($A64,'Eurostat EB TJ GWh'!$A$2:$A$146,0),MATCH(AM$3,'Eurostat EB TJ GWh'!$A$2:$BV$2,0))</f>
        <v>0</v>
      </c>
      <c r="AN64" s="57">
        <f>INDEX('Eurostat EB TJ GWh'!$A$2:$BV$146,MATCH($A64,'Eurostat EB TJ GWh'!$A$2:$A$146,0),MATCH(AN$3,'Eurostat EB TJ GWh'!$A$2:$BV$2,0))</f>
        <v>3.4159999999999999</v>
      </c>
      <c r="AO64" s="57">
        <f>INDEX('Eurostat EB TJ GWh'!$A$2:$BV$146,MATCH($A64,'Eurostat EB TJ GWh'!$A$2:$A$146,0),MATCH(AO$3,'Eurostat EB TJ GWh'!$A$2:$BV$2,0))</f>
        <v>0</v>
      </c>
      <c r="AP64" s="57">
        <f>INDEX('Eurostat EB TJ GWh'!$A$2:$BV$146,MATCH($A64,'Eurostat EB TJ GWh'!$A$2:$A$146,0),MATCH(AP$3,'Eurostat EB TJ GWh'!$A$2:$BV$2,0))</f>
        <v>4112.4880000000003</v>
      </c>
      <c r="AQ64" s="57">
        <f>INDEX('Eurostat EB TJ GWh'!$A$2:$BV$146,MATCH($A64,'Eurostat EB TJ GWh'!$A$2:$A$146,0),MATCH(AQ$3,'Eurostat EB TJ GWh'!$A$2:$BV$2,0))</f>
        <v>0</v>
      </c>
      <c r="AR64" s="57">
        <f>INDEX('Eurostat EB TJ GWh'!$A$2:$BV$146,MATCH($A64,'Eurostat EB TJ GWh'!$A$2:$A$146,0),MATCH(AR$3,'Eurostat EB TJ GWh'!$A$2:$BV$2,0))</f>
        <v>0</v>
      </c>
      <c r="AS64" s="57">
        <f>INDEX('Eurostat EB TJ GWh'!$A$2:$BV$146,MATCH($A64,'Eurostat EB TJ GWh'!$A$2:$A$146,0),MATCH(AS$3,'Eurostat EB TJ GWh'!$A$2:$BV$2,0))</f>
        <v>0</v>
      </c>
      <c r="AT64" s="57">
        <f>INDEX('Eurostat EB TJ GWh'!$A$2:$BV$146,MATCH($A64,'Eurostat EB TJ GWh'!$A$2:$A$146,0),MATCH(AT$3,'Eurostat EB TJ GWh'!$A$2:$BV$2,0))</f>
        <v>0</v>
      </c>
      <c r="AU64" s="57">
        <f>INDEX('Eurostat EB TJ GWh'!$A$2:$BV$146,MATCH($A64,'Eurostat EB TJ GWh'!$A$2:$A$146,0),MATCH(AU$3,'Eurostat EB TJ GWh'!$A$2:$BV$2,0))</f>
        <v>0</v>
      </c>
      <c r="AV64" s="57">
        <f>INDEX('Eurostat EB TJ GWh'!$A$2:$BV$146,MATCH($A64,'Eurostat EB TJ GWh'!$A$2:$A$146,0),MATCH(AV$2,'Eurostat EB TJ GWh'!$A$2:$BV$2,0))+INDEX('Eurostat EB TJ GWh'!$A$2:$BV$146,MATCH($A64,'Eurostat EB TJ GWh'!$A$2:$A$146,0),MATCH(AV$3,'Eurostat EB TJ GWh'!$A$2:$BV$2,0))</f>
        <v>0</v>
      </c>
      <c r="AW64" s="57">
        <f>INDEX('Eurostat EB TJ GWh'!$A$2:$BV$146,MATCH($A64,'Eurostat EB TJ GWh'!$A$2:$A$146,0),MATCH(AW$2,'Eurostat EB TJ GWh'!$A$2:$BV$2,0))+INDEX('Eurostat EB TJ GWh'!$A$2:$BV$146,MATCH($A64,'Eurostat EB TJ GWh'!$A$2:$A$146,0),MATCH(AW$3,'Eurostat EB TJ GWh'!$A$2:$BV$2,0))</f>
        <v>0</v>
      </c>
      <c r="AX64" s="57">
        <f>INDEX('Eurostat EB TJ GWh'!$A$2:$BV$146,MATCH($A64,'Eurostat EB TJ GWh'!$A$2:$A$146,0),MATCH(AX$3,'Eurostat EB TJ GWh'!$A$2:$BV$2,0))</f>
        <v>0</v>
      </c>
      <c r="AY64" s="65">
        <v>0</v>
      </c>
      <c r="AZ64" s="57">
        <f>INDEX('Eurostat EB TJ GWh'!$A$2:$BV$146,MATCH($A64,'Eurostat EB TJ GWh'!$A$2:$A$146,0),MATCH(AZ$3,'Eurostat EB TJ GWh'!$A$2:$BV$2,0))</f>
        <v>0</v>
      </c>
      <c r="BA64" s="65">
        <v>0</v>
      </c>
      <c r="BB64" s="65">
        <v>0</v>
      </c>
      <c r="BC64" s="57">
        <f>INDEX('Eurostat EB TJ GWh'!$A$2:$BV$146,MATCH($A64,'Eurostat EB TJ GWh'!$A$2:$A$146,0),MATCH(BC$3,'Eurostat EB TJ GWh'!$A$2:$BV$2,0))</f>
        <v>0</v>
      </c>
      <c r="BD64" s="57">
        <f>INDEX('Eurostat EB TJ GWh'!$A$2:$BV$146,MATCH($A64,'Eurostat EB TJ GWh'!$A$2:$A$146,0),MATCH(BD$3,'Eurostat EB TJ GWh'!$A$2:$BV$2,0))</f>
        <v>0</v>
      </c>
      <c r="BE64" s="57">
        <f>INDEX('Eurostat EB TJ GWh'!$A$2:$BV$146,MATCH($A64,'Eurostat EB TJ GWh'!$A$2:$A$146,0),MATCH(BE$3,'Eurostat EB TJ GWh'!$A$2:$BV$2,0))</f>
        <v>0</v>
      </c>
      <c r="BF64" s="57">
        <f>INDEX('Eurostat EB TJ GWh'!$A$2:$BV$146,MATCH($A64,'Eurostat EB TJ GWh'!$A$2:$A$146,0),MATCH(BF$3,'Eurostat EB TJ GWh'!$A$2:$BV$2,0))</f>
        <v>0</v>
      </c>
      <c r="BG64" s="57">
        <f>INDEX('Eurostat EB TJ GWh'!$A$2:$BV$146,MATCH($A64,'Eurostat EB TJ GWh'!$A$2:$A$146,0),MATCH(BG$3,'Eurostat EB TJ GWh'!$A$2:$BV$2,0))</f>
        <v>0</v>
      </c>
      <c r="BH64" s="57">
        <f>INDEX('Eurostat EB TJ GWh'!$A$2:$BV$146,MATCH($A64,'Eurostat EB TJ GWh'!$A$2:$A$146,0),MATCH(BH$3,'Eurostat EB TJ GWh'!$A$2:$BV$2,0))</f>
        <v>0</v>
      </c>
      <c r="BI64" s="57">
        <f>INDEX('Eurostat EB TJ GWh'!$A$2:$BV$146,MATCH($A64,'Eurostat EB TJ GWh'!$A$2:$A$146,0),MATCH(BI$3,'Eurostat EB TJ GWh'!$A$2:$BV$2,0))</f>
        <v>0</v>
      </c>
      <c r="BJ64" s="65">
        <v>0</v>
      </c>
      <c r="BK64" s="57">
        <f>INDEX('Eurostat EB TJ GWh'!$A$2:$BV$146,MATCH($A64,'Eurostat EB TJ GWh'!$A$2:$A$146,0),MATCH(BK$3,'Eurostat EB TJ GWh'!$A$2:$BV$2,0))</f>
        <v>0</v>
      </c>
      <c r="BL64" s="57">
        <f>INDEX('Eurostat EB TJ GWh'!$A$2:$BV$146,MATCH($A64,'Eurostat EB TJ GWh'!$A$2:$A$146,0),MATCH(BL$3,'Eurostat EB TJ GWh'!$A$2:$BV$2,0))</f>
        <v>0</v>
      </c>
      <c r="BM64" s="57">
        <f>INDEX('Eurostat EB TJ GWh'!$A$2:$BV$146,MATCH($A64,'Eurostat EB TJ GWh'!$A$2:$A$146,0),MATCH(BM$3,'Eurostat EB TJ GWh'!$A$2:$BV$2,0))</f>
        <v>448544.13099999999</v>
      </c>
      <c r="BN64" s="57">
        <f>INDEX('Eurostat EB TJ GWh'!$A$2:$BV$146,MATCH($A64,'Eurostat EB TJ GWh'!$A$2:$A$146,0),MATCH(BN$3,'Eurostat EB TJ GWh'!$A$2:$BV$2,0))</f>
        <v>0</v>
      </c>
    </row>
    <row r="65" spans="1:66" x14ac:dyDescent="0.2">
      <c r="A65" s="56" t="s">
        <v>253</v>
      </c>
      <c r="B65" s="65" t="s">
        <v>323</v>
      </c>
      <c r="C65" s="65" t="s">
        <v>323</v>
      </c>
      <c r="D65" s="17">
        <f>INDEX('Eurostat EB TJ GWh'!$A$2:$BV$146,MATCH($A65,'Eurostat EB TJ GWh'!$A$2:$A$146,0),MATCH(D$3,'Eurostat EB TJ GWh'!$A$2:$BV$2,0))</f>
        <v>0</v>
      </c>
      <c r="E65" s="17">
        <f>INDEX('Eurostat EB TJ GWh'!$A$2:$BV$146,MATCH($A65,'Eurostat EB TJ GWh'!$A$2:$A$146,0),MATCH(E$3,'Eurostat EB TJ GWh'!$A$2:$BV$2,0))</f>
        <v>0</v>
      </c>
      <c r="F65" s="17">
        <f>INDEX('Eurostat EB TJ GWh'!$A$2:$BV$146,MATCH($A65,'Eurostat EB TJ GWh'!$A$2:$A$146,0),MATCH(F$3,'Eurostat EB TJ GWh'!$A$2:$BV$2,0))</f>
        <v>0</v>
      </c>
      <c r="G65" s="17">
        <f>INDEX('Eurostat EB TJ GWh'!$A$2:$BV$146,MATCH($A65,'Eurostat EB TJ GWh'!$A$2:$A$146,0),MATCH(G$3,'Eurostat EB TJ GWh'!$A$2:$BV$2,0))</f>
        <v>0</v>
      </c>
      <c r="H65" s="17">
        <f>INDEX('Eurostat EB TJ GWh'!$A$2:$BV$146,MATCH($A65,'Eurostat EB TJ GWh'!$A$2:$A$146,0),MATCH(H$3,'Eurostat EB TJ GWh'!$A$2:$BV$2,0))</f>
        <v>0</v>
      </c>
      <c r="I65" s="17">
        <f>INDEX('Eurostat EB TJ GWh'!$A$2:$BV$146,MATCH($A65,'Eurostat EB TJ GWh'!$A$2:$A$146,0),MATCH(I$3,'Eurostat EB TJ GWh'!$A$2:$BV$2,0))</f>
        <v>0</v>
      </c>
      <c r="J65" s="17">
        <f>INDEX('Eurostat EB TJ GWh'!$A$2:$BV$146,MATCH($A65,'Eurostat EB TJ GWh'!$A$2:$A$146,0),MATCH(J$3,'Eurostat EB TJ GWh'!$A$2:$BV$2,0))</f>
        <v>0</v>
      </c>
      <c r="K65" s="17">
        <f>INDEX('Eurostat EB TJ GWh'!$A$2:$BV$146,MATCH($A65,'Eurostat EB TJ GWh'!$A$2:$A$146,0),MATCH(K$3,'Eurostat EB TJ GWh'!$A$2:$BV$2,0))</f>
        <v>0</v>
      </c>
      <c r="L65" s="17">
        <f>INDEX('Eurostat EB TJ GWh'!$A$2:$BV$146,MATCH($A65,'Eurostat EB TJ GWh'!$A$2:$A$146,0),MATCH(L$3,'Eurostat EB TJ GWh'!$A$2:$BV$2,0))</f>
        <v>0</v>
      </c>
      <c r="M65" s="17">
        <f>INDEX('Eurostat EB TJ GWh'!$A$2:$BV$146,MATCH($A65,'Eurostat EB TJ GWh'!$A$2:$A$146,0),MATCH(M$3,'Eurostat EB TJ GWh'!$A$2:$BV$2,0))</f>
        <v>0</v>
      </c>
      <c r="N65" s="17">
        <f>INDEX('Eurostat EB TJ GWh'!$A$2:$BV$146,MATCH($A65,'Eurostat EB TJ GWh'!$A$2:$A$146,0),MATCH(N$3,'Eurostat EB TJ GWh'!$A$2:$BV$2,0))</f>
        <v>0</v>
      </c>
      <c r="O65" s="17">
        <f>INDEX('Eurostat EB TJ GWh'!$A$2:$BV$146,MATCH($A65,'Eurostat EB TJ GWh'!$A$2:$A$146,0),MATCH(O$3,'Eurostat EB TJ GWh'!$A$2:$BV$2,0))</f>
        <v>0</v>
      </c>
      <c r="P65" s="17">
        <f>INDEX('Eurostat EB TJ GWh'!$A$2:$BV$146,MATCH($A65,'Eurostat EB TJ GWh'!$A$2:$A$146,0),MATCH(P$3,'Eurostat EB TJ GWh'!$A$2:$BV$2,0))</f>
        <v>0</v>
      </c>
      <c r="Q65" s="17">
        <f>INDEX('Eurostat EB TJ GWh'!$A$2:$BV$146,MATCH($A65,'Eurostat EB TJ GWh'!$A$2:$A$146,0),MATCH(Q$3,'Eurostat EB TJ GWh'!$A$2:$BV$2,0))</f>
        <v>0</v>
      </c>
      <c r="R65" s="17">
        <f>INDEX('Eurostat EB TJ GWh'!$A$2:$BV$146,MATCH($A65,'Eurostat EB TJ GWh'!$A$2:$A$146,0),MATCH(R$2,'Eurostat EB TJ GWh'!$A$2:$BV$2,0))+INDEX('Eurostat EB TJ GWh'!$A$2:$BV$146,MATCH($A65,'Eurostat EB TJ GWh'!$A$2:$A$146,0),MATCH(R$3,'Eurostat EB TJ GWh'!$A$2:$BV$2,0))</f>
        <v>0</v>
      </c>
      <c r="S65" s="17">
        <f>INDEX('Eurostat EB TJ GWh'!$A$2:$BV$146,MATCH($A65,'Eurostat EB TJ GWh'!$A$2:$A$146,0),MATCH(S$3,'Eurostat EB TJ GWh'!$A$2:$BV$2,0))</f>
        <v>0</v>
      </c>
      <c r="T65" s="65" t="s">
        <v>323</v>
      </c>
      <c r="U65" s="17">
        <f>INDEX('Eurostat EB TJ GWh'!$A$2:$BV$146,MATCH($A65,'Eurostat EB TJ GWh'!$A$2:$A$146,0),MATCH(U$3,'Eurostat EB TJ GWh'!$A$2:$BV$2,0))</f>
        <v>0</v>
      </c>
      <c r="V65" s="17">
        <f>INDEX('Eurostat EB TJ GWh'!$A$2:$BV$146,MATCH($A65,'Eurostat EB TJ GWh'!$A$2:$A$146,0),MATCH(V$3,'Eurostat EB TJ GWh'!$A$2:$BV$2,0))</f>
        <v>0</v>
      </c>
      <c r="W65" s="17">
        <f>INDEX('Eurostat EB TJ GWh'!$A$2:$BV$146,MATCH($A65,'Eurostat EB TJ GWh'!$A$2:$A$146,0),MATCH(W$3,'Eurostat EB TJ GWh'!$A$2:$BV$2,0))</f>
        <v>0</v>
      </c>
      <c r="X65" s="17">
        <f>INDEX('Eurostat EB TJ GWh'!$A$2:$BV$146,MATCH($A65,'Eurostat EB TJ GWh'!$A$2:$A$146,0),MATCH(X$3,'Eurostat EB TJ GWh'!$A$2:$BV$2,0))</f>
        <v>0</v>
      </c>
      <c r="Y65" s="17">
        <f>INDEX('Eurostat EB TJ GWh'!$A$2:$BV$146,MATCH($A65,'Eurostat EB TJ GWh'!$A$2:$A$146,0),MATCH(Y$3,'Eurostat EB TJ GWh'!$A$2:$BV$2,0))</f>
        <v>0</v>
      </c>
      <c r="Z65" s="17">
        <f>INDEX('Eurostat EB TJ GWh'!$A$2:$BV$146,MATCH($A65,'Eurostat EB TJ GWh'!$A$2:$A$146,0),MATCH(Z$3,'Eurostat EB TJ GWh'!$A$2:$BV$2,0))</f>
        <v>94685.631999999998</v>
      </c>
      <c r="AA65" s="17">
        <f>INDEX('Eurostat EB TJ GWh'!$A$2:$BV$146,MATCH($A65,'Eurostat EB TJ GWh'!$A$2:$A$146,0),MATCH(AA$3,'Eurostat EB TJ GWh'!$A$2:$BV$2,0))</f>
        <v>0</v>
      </c>
      <c r="AB65" s="17">
        <f>INDEX('Eurostat EB TJ GWh'!$A$2:$BV$146,MATCH($A65,'Eurostat EB TJ GWh'!$A$2:$A$146,0),MATCH(AB$3,'Eurostat EB TJ GWh'!$A$2:$BV$2,0))</f>
        <v>7161.4620000000004</v>
      </c>
      <c r="AC65" s="17">
        <f>INDEX('Eurostat EB TJ GWh'!$A$2:$BV$146,MATCH($A65,'Eurostat EB TJ GWh'!$A$2:$A$146,0),MATCH(AC$3,'Eurostat EB TJ GWh'!$A$2:$BV$2,0))</f>
        <v>-12.863</v>
      </c>
      <c r="AD65" s="17">
        <f>INDEX('Eurostat EB TJ GWh'!$A$2:$BV$146,MATCH($A65,'Eurostat EB TJ GWh'!$A$2:$A$146,0),MATCH(AD$3,'Eurostat EB TJ GWh'!$A$2:$BV$2,0))</f>
        <v>0</v>
      </c>
      <c r="AE65" s="17">
        <f>INDEX('Eurostat EB TJ GWh'!$A$2:$BV$146,MATCH($A65,'Eurostat EB TJ GWh'!$A$2:$A$146,0),MATCH(AE$3,'Eurostat EB TJ GWh'!$A$2:$BV$2,0))</f>
        <v>0</v>
      </c>
      <c r="AF65" s="17">
        <f>INDEX('Eurostat EB TJ GWh'!$A$2:$BV$146,MATCH($A65,'Eurostat EB TJ GWh'!$A$2:$A$146,0),MATCH(AF$3,'Eurostat EB TJ GWh'!$A$2:$BV$2,0))</f>
        <v>0</v>
      </c>
      <c r="AG65" s="17">
        <f>INDEX('Eurostat EB TJ GWh'!$A$2:$BV$146,MATCH($A65,'Eurostat EB TJ GWh'!$A$2:$A$146,0),MATCH(AG$3,'Eurostat EB TJ GWh'!$A$2:$BV$2,0))</f>
        <v>24.097999999999999</v>
      </c>
      <c r="AH65" s="17">
        <f>INDEX('Eurostat EB TJ GWh'!$A$2:$BV$146,MATCH($A65,'Eurostat EB TJ GWh'!$A$2:$A$146,0),MATCH(AH$3,'Eurostat EB TJ GWh'!$A$2:$BV$2,0))</f>
        <v>817.55700000000002</v>
      </c>
      <c r="AI65" s="17">
        <f>INDEX('Eurostat EB TJ GWh'!$A$2:$BV$146,MATCH($A65,'Eurostat EB TJ GWh'!$A$2:$A$146,0),MATCH(AI$3,'Eurostat EB TJ GWh'!$A$2:$BV$2,0))</f>
        <v>0</v>
      </c>
      <c r="AJ65" s="17">
        <f>INDEX('Eurostat EB TJ GWh'!$A$2:$BV$146,MATCH($A65,'Eurostat EB TJ GWh'!$A$2:$A$146,0),MATCH(AJ$3,'Eurostat EB TJ GWh'!$A$2:$BV$2,0))</f>
        <v>19239.823</v>
      </c>
      <c r="AK65" s="17">
        <f>INDEX('Eurostat EB TJ GWh'!$A$2:$BV$146,MATCH($A65,'Eurostat EB TJ GWh'!$A$2:$A$146,0),MATCH(AK$3,'Eurostat EB TJ GWh'!$A$2:$BV$2,0))</f>
        <v>28222.131000000001</v>
      </c>
      <c r="AL65" s="17">
        <f>INDEX('Eurostat EB TJ GWh'!$A$2:$BV$146,MATCH($A65,'Eurostat EB TJ GWh'!$A$2:$A$146,0),MATCH(AL$3,'Eurostat EB TJ GWh'!$A$2:$BV$2,0))</f>
        <v>0</v>
      </c>
      <c r="AM65" s="17">
        <f>INDEX('Eurostat EB TJ GWh'!$A$2:$BV$146,MATCH($A65,'Eurostat EB TJ GWh'!$A$2:$A$146,0),MATCH(AM$3,'Eurostat EB TJ GWh'!$A$2:$BV$2,0))</f>
        <v>0</v>
      </c>
      <c r="AN65" s="17">
        <f>INDEX('Eurostat EB TJ GWh'!$A$2:$BV$146,MATCH($A65,'Eurostat EB TJ GWh'!$A$2:$A$146,0),MATCH(AN$3,'Eurostat EB TJ GWh'!$A$2:$BV$2,0))</f>
        <v>3.4159999999999999</v>
      </c>
      <c r="AO65" s="17">
        <f>INDEX('Eurostat EB TJ GWh'!$A$2:$BV$146,MATCH($A65,'Eurostat EB TJ GWh'!$A$2:$A$146,0),MATCH(AO$3,'Eurostat EB TJ GWh'!$A$2:$BV$2,0))</f>
        <v>0</v>
      </c>
      <c r="AP65" s="17">
        <f>INDEX('Eurostat EB TJ GWh'!$A$2:$BV$146,MATCH($A65,'Eurostat EB TJ GWh'!$A$2:$A$146,0),MATCH(AP$3,'Eurostat EB TJ GWh'!$A$2:$BV$2,0))</f>
        <v>4112.4880000000003</v>
      </c>
      <c r="AQ65" s="17">
        <f>INDEX('Eurostat EB TJ GWh'!$A$2:$BV$146,MATCH($A65,'Eurostat EB TJ GWh'!$A$2:$A$146,0),MATCH(AQ$3,'Eurostat EB TJ GWh'!$A$2:$BV$2,0))</f>
        <v>0</v>
      </c>
      <c r="AR65" s="17">
        <f>INDEX('Eurostat EB TJ GWh'!$A$2:$BV$146,MATCH($A65,'Eurostat EB TJ GWh'!$A$2:$A$146,0),MATCH(AR$3,'Eurostat EB TJ GWh'!$A$2:$BV$2,0))</f>
        <v>0</v>
      </c>
      <c r="AS65" s="17">
        <f>INDEX('Eurostat EB TJ GWh'!$A$2:$BV$146,MATCH($A65,'Eurostat EB TJ GWh'!$A$2:$A$146,0),MATCH(AS$3,'Eurostat EB TJ GWh'!$A$2:$BV$2,0))</f>
        <v>0</v>
      </c>
      <c r="AT65" s="17">
        <f>INDEX('Eurostat EB TJ GWh'!$A$2:$BV$146,MATCH($A65,'Eurostat EB TJ GWh'!$A$2:$A$146,0),MATCH(AT$3,'Eurostat EB TJ GWh'!$A$2:$BV$2,0))</f>
        <v>0</v>
      </c>
      <c r="AU65" s="17">
        <f>INDEX('Eurostat EB TJ GWh'!$A$2:$BV$146,MATCH($A65,'Eurostat EB TJ GWh'!$A$2:$A$146,0),MATCH(AU$3,'Eurostat EB TJ GWh'!$A$2:$BV$2,0))</f>
        <v>0</v>
      </c>
      <c r="AV65" s="17">
        <f>INDEX('Eurostat EB TJ GWh'!$A$2:$BV$146,MATCH($A65,'Eurostat EB TJ GWh'!$A$2:$A$146,0),MATCH(AV$2,'Eurostat EB TJ GWh'!$A$2:$BV$2,0))+INDEX('Eurostat EB TJ GWh'!$A$2:$BV$146,MATCH($A65,'Eurostat EB TJ GWh'!$A$2:$A$146,0),MATCH(AV$3,'Eurostat EB TJ GWh'!$A$2:$BV$2,0))</f>
        <v>8.0190000000000001</v>
      </c>
      <c r="AW65" s="17">
        <f>INDEX('Eurostat EB TJ GWh'!$A$2:$BV$146,MATCH($A65,'Eurostat EB TJ GWh'!$A$2:$A$146,0),MATCH(AW$2,'Eurostat EB TJ GWh'!$A$2:$BV$2,0))+INDEX('Eurostat EB TJ GWh'!$A$2:$BV$146,MATCH($A65,'Eurostat EB TJ GWh'!$A$2:$A$146,0),MATCH(AW$3,'Eurostat EB TJ GWh'!$A$2:$BV$2,0))</f>
        <v>0</v>
      </c>
      <c r="AX65" s="17">
        <f>INDEX('Eurostat EB TJ GWh'!$A$2:$BV$146,MATCH($A65,'Eurostat EB TJ GWh'!$A$2:$A$146,0),MATCH(AX$3,'Eurostat EB TJ GWh'!$A$2:$BV$2,0))</f>
        <v>0</v>
      </c>
      <c r="AY65" s="72">
        <v>0</v>
      </c>
      <c r="AZ65" s="17">
        <f>INDEX('Eurostat EB TJ GWh'!$A$2:$BV$146,MATCH($A65,'Eurostat EB TJ GWh'!$A$2:$A$146,0),MATCH(AZ$3,'Eurostat EB TJ GWh'!$A$2:$BV$2,0))</f>
        <v>0</v>
      </c>
      <c r="BA65" s="72">
        <v>0</v>
      </c>
      <c r="BB65" s="72">
        <v>0</v>
      </c>
      <c r="BC65" s="17">
        <f>INDEX('Eurostat EB TJ GWh'!$A$2:$BV$146,MATCH($A65,'Eurostat EB TJ GWh'!$A$2:$A$146,0),MATCH(BC$3,'Eurostat EB TJ GWh'!$A$2:$BV$2,0))</f>
        <v>0</v>
      </c>
      <c r="BD65" s="17">
        <f>INDEX('Eurostat EB TJ GWh'!$A$2:$BV$146,MATCH($A65,'Eurostat EB TJ GWh'!$A$2:$A$146,0),MATCH(BD$3,'Eurostat EB TJ GWh'!$A$2:$BV$2,0))</f>
        <v>0</v>
      </c>
      <c r="BE65" s="17">
        <f>INDEX('Eurostat EB TJ GWh'!$A$2:$BV$146,MATCH($A65,'Eurostat EB TJ GWh'!$A$2:$A$146,0),MATCH(BE$3,'Eurostat EB TJ GWh'!$A$2:$BV$2,0))</f>
        <v>0</v>
      </c>
      <c r="BF65" s="17">
        <f>INDEX('Eurostat EB TJ GWh'!$A$2:$BV$146,MATCH($A65,'Eurostat EB TJ GWh'!$A$2:$A$146,0),MATCH(BF$3,'Eurostat EB TJ GWh'!$A$2:$BV$2,0))</f>
        <v>0</v>
      </c>
      <c r="BG65" s="17">
        <f>INDEX('Eurostat EB TJ GWh'!$A$2:$BV$146,MATCH($A65,'Eurostat EB TJ GWh'!$A$2:$A$146,0),MATCH(BG$3,'Eurostat EB TJ GWh'!$A$2:$BV$2,0))</f>
        <v>0</v>
      </c>
      <c r="BH65" s="17">
        <f>INDEX('Eurostat EB TJ GWh'!$A$2:$BV$146,MATCH($A65,'Eurostat EB TJ GWh'!$A$2:$A$146,0),MATCH(BH$3,'Eurostat EB TJ GWh'!$A$2:$BV$2,0))</f>
        <v>0</v>
      </c>
      <c r="BI65" s="17">
        <f>INDEX('Eurostat EB TJ GWh'!$A$2:$BV$146,MATCH($A65,'Eurostat EB TJ GWh'!$A$2:$A$146,0),MATCH(BI$3,'Eurostat EB TJ GWh'!$A$2:$BV$2,0))</f>
        <v>0</v>
      </c>
      <c r="BJ65" s="72">
        <v>0</v>
      </c>
      <c r="BK65" s="17">
        <f>INDEX('Eurostat EB TJ GWh'!$A$2:$BV$146,MATCH($A65,'Eurostat EB TJ GWh'!$A$2:$A$146,0),MATCH(BK$3,'Eurostat EB TJ GWh'!$A$2:$BV$2,0))</f>
        <v>0</v>
      </c>
      <c r="BL65" s="17">
        <f>INDEX('Eurostat EB TJ GWh'!$A$2:$BV$146,MATCH($A65,'Eurostat EB TJ GWh'!$A$2:$A$146,0),MATCH(BL$3,'Eurostat EB TJ GWh'!$A$2:$BV$2,0))</f>
        <v>0</v>
      </c>
      <c r="BM65" s="17">
        <f>INDEX('Eurostat EB TJ GWh'!$A$2:$BV$146,MATCH($A65,'Eurostat EB TJ GWh'!$A$2:$A$146,0),MATCH(BM$3,'Eurostat EB TJ GWh'!$A$2:$BV$2,0))</f>
        <v>154261.76300000001</v>
      </c>
      <c r="BN65" s="17">
        <f>INDEX('Eurostat EB TJ GWh'!$A$2:$BV$146,MATCH($A65,'Eurostat EB TJ GWh'!$A$2:$A$146,0),MATCH(BN$3,'Eurostat EB TJ GWh'!$A$2:$BV$2,0))</f>
        <v>8.0190000000000001</v>
      </c>
    </row>
    <row r="66" spans="1:66" x14ac:dyDescent="0.2">
      <c r="A66" s="56" t="s">
        <v>254</v>
      </c>
      <c r="B66" s="65" t="s">
        <v>323</v>
      </c>
      <c r="C66" s="65" t="s">
        <v>323</v>
      </c>
      <c r="D66" s="57">
        <f>INDEX('Eurostat EB TJ GWh'!$A$2:$BV$146,MATCH($A66,'Eurostat EB TJ GWh'!$A$2:$A$146,0),MATCH(D$3,'Eurostat EB TJ GWh'!$A$2:$BV$2,0))</f>
        <v>0</v>
      </c>
      <c r="E66" s="57">
        <f>INDEX('Eurostat EB TJ GWh'!$A$2:$BV$146,MATCH($A66,'Eurostat EB TJ GWh'!$A$2:$A$146,0),MATCH(E$3,'Eurostat EB TJ GWh'!$A$2:$BV$2,0))</f>
        <v>0</v>
      </c>
      <c r="F66" s="57">
        <f>INDEX('Eurostat EB TJ GWh'!$A$2:$BV$146,MATCH($A66,'Eurostat EB TJ GWh'!$A$2:$A$146,0),MATCH(F$3,'Eurostat EB TJ GWh'!$A$2:$BV$2,0))</f>
        <v>0</v>
      </c>
      <c r="G66" s="57">
        <f>INDEX('Eurostat EB TJ GWh'!$A$2:$BV$146,MATCH($A66,'Eurostat EB TJ GWh'!$A$2:$A$146,0),MATCH(G$3,'Eurostat EB TJ GWh'!$A$2:$BV$2,0))</f>
        <v>0</v>
      </c>
      <c r="H66" s="57">
        <f>INDEX('Eurostat EB TJ GWh'!$A$2:$BV$146,MATCH($A66,'Eurostat EB TJ GWh'!$A$2:$A$146,0),MATCH(H$3,'Eurostat EB TJ GWh'!$A$2:$BV$2,0))</f>
        <v>0</v>
      </c>
      <c r="I66" s="57">
        <f>INDEX('Eurostat EB TJ GWh'!$A$2:$BV$146,MATCH($A66,'Eurostat EB TJ GWh'!$A$2:$A$146,0),MATCH(I$3,'Eurostat EB TJ GWh'!$A$2:$BV$2,0))</f>
        <v>0</v>
      </c>
      <c r="J66" s="57">
        <f>INDEX('Eurostat EB TJ GWh'!$A$2:$BV$146,MATCH($A66,'Eurostat EB TJ GWh'!$A$2:$A$146,0),MATCH(J$3,'Eurostat EB TJ GWh'!$A$2:$BV$2,0))</f>
        <v>0</v>
      </c>
      <c r="K66" s="57">
        <f>INDEX('Eurostat EB TJ GWh'!$A$2:$BV$146,MATCH($A66,'Eurostat EB TJ GWh'!$A$2:$A$146,0),MATCH(K$3,'Eurostat EB TJ GWh'!$A$2:$BV$2,0))</f>
        <v>0</v>
      </c>
      <c r="L66" s="57">
        <f>INDEX('Eurostat EB TJ GWh'!$A$2:$BV$146,MATCH($A66,'Eurostat EB TJ GWh'!$A$2:$A$146,0),MATCH(L$3,'Eurostat EB TJ GWh'!$A$2:$BV$2,0))</f>
        <v>0</v>
      </c>
      <c r="M66" s="57">
        <f>INDEX('Eurostat EB TJ GWh'!$A$2:$BV$146,MATCH($A66,'Eurostat EB TJ GWh'!$A$2:$A$146,0),MATCH(M$3,'Eurostat EB TJ GWh'!$A$2:$BV$2,0))</f>
        <v>0</v>
      </c>
      <c r="N66" s="57">
        <f>INDEX('Eurostat EB TJ GWh'!$A$2:$BV$146,MATCH($A66,'Eurostat EB TJ GWh'!$A$2:$A$146,0),MATCH(N$3,'Eurostat EB TJ GWh'!$A$2:$BV$2,0))</f>
        <v>0</v>
      </c>
      <c r="O66" s="57">
        <f>INDEX('Eurostat EB TJ GWh'!$A$2:$BV$146,MATCH($A66,'Eurostat EB TJ GWh'!$A$2:$A$146,0),MATCH(O$3,'Eurostat EB TJ GWh'!$A$2:$BV$2,0))</f>
        <v>0</v>
      </c>
      <c r="P66" s="57">
        <f>INDEX('Eurostat EB TJ GWh'!$A$2:$BV$146,MATCH($A66,'Eurostat EB TJ GWh'!$A$2:$A$146,0),MATCH(P$3,'Eurostat EB TJ GWh'!$A$2:$BV$2,0))</f>
        <v>0</v>
      </c>
      <c r="Q66" s="57">
        <f>INDEX('Eurostat EB TJ GWh'!$A$2:$BV$146,MATCH($A66,'Eurostat EB TJ GWh'!$A$2:$A$146,0),MATCH(Q$3,'Eurostat EB TJ GWh'!$A$2:$BV$2,0))</f>
        <v>0</v>
      </c>
      <c r="R66" s="57">
        <f>INDEX('Eurostat EB TJ GWh'!$A$2:$BV$146,MATCH($A66,'Eurostat EB TJ GWh'!$A$2:$A$146,0),MATCH(R$2,'Eurostat EB TJ GWh'!$A$2:$BV$2,0))+INDEX('Eurostat EB TJ GWh'!$A$2:$BV$146,MATCH($A66,'Eurostat EB TJ GWh'!$A$2:$A$146,0),MATCH(R$3,'Eurostat EB TJ GWh'!$A$2:$BV$2,0))</f>
        <v>0</v>
      </c>
      <c r="S66" s="57">
        <f>INDEX('Eurostat EB TJ GWh'!$A$2:$BV$146,MATCH($A66,'Eurostat EB TJ GWh'!$A$2:$A$146,0),MATCH(S$3,'Eurostat EB TJ GWh'!$A$2:$BV$2,0))</f>
        <v>0</v>
      </c>
      <c r="T66" s="65" t="s">
        <v>323</v>
      </c>
      <c r="U66" s="57">
        <f>INDEX('Eurostat EB TJ GWh'!$A$2:$BV$146,MATCH($A66,'Eurostat EB TJ GWh'!$A$2:$A$146,0),MATCH(U$3,'Eurostat EB TJ GWh'!$A$2:$BV$2,0))</f>
        <v>0</v>
      </c>
      <c r="V66" s="57">
        <f>INDEX('Eurostat EB TJ GWh'!$A$2:$BV$146,MATCH($A66,'Eurostat EB TJ GWh'!$A$2:$A$146,0),MATCH(V$3,'Eurostat EB TJ GWh'!$A$2:$BV$2,0))</f>
        <v>0</v>
      </c>
      <c r="W66" s="57">
        <f>INDEX('Eurostat EB TJ GWh'!$A$2:$BV$146,MATCH($A66,'Eurostat EB TJ GWh'!$A$2:$A$146,0),MATCH(W$3,'Eurostat EB TJ GWh'!$A$2:$BV$2,0))</f>
        <v>0</v>
      </c>
      <c r="X66" s="57">
        <f>INDEX('Eurostat EB TJ GWh'!$A$2:$BV$146,MATCH($A66,'Eurostat EB TJ GWh'!$A$2:$A$146,0),MATCH(X$3,'Eurostat EB TJ GWh'!$A$2:$BV$2,0))</f>
        <v>0</v>
      </c>
      <c r="Y66" s="57">
        <f>INDEX('Eurostat EB TJ GWh'!$A$2:$BV$146,MATCH($A66,'Eurostat EB TJ GWh'!$A$2:$A$146,0),MATCH(Y$3,'Eurostat EB TJ GWh'!$A$2:$BV$2,0))</f>
        <v>0</v>
      </c>
      <c r="Z66" s="57">
        <f>INDEX('Eurostat EB TJ GWh'!$A$2:$BV$146,MATCH($A66,'Eurostat EB TJ GWh'!$A$2:$A$146,0),MATCH(Z$3,'Eurostat EB TJ GWh'!$A$2:$BV$2,0))</f>
        <v>0</v>
      </c>
      <c r="AA66" s="57">
        <f>INDEX('Eurostat EB TJ GWh'!$A$2:$BV$146,MATCH($A66,'Eurostat EB TJ GWh'!$A$2:$A$146,0),MATCH(AA$3,'Eurostat EB TJ GWh'!$A$2:$BV$2,0))</f>
        <v>0</v>
      </c>
      <c r="AB66" s="57">
        <f>INDEX('Eurostat EB TJ GWh'!$A$2:$BV$146,MATCH($A66,'Eurostat EB TJ GWh'!$A$2:$A$146,0),MATCH(AB$3,'Eurostat EB TJ GWh'!$A$2:$BV$2,0))</f>
        <v>0</v>
      </c>
      <c r="AC66" s="57">
        <f>INDEX('Eurostat EB TJ GWh'!$A$2:$BV$146,MATCH($A66,'Eurostat EB TJ GWh'!$A$2:$A$146,0),MATCH(AC$3,'Eurostat EB TJ GWh'!$A$2:$BV$2,0))</f>
        <v>0</v>
      </c>
      <c r="AD66" s="57">
        <f>INDEX('Eurostat EB TJ GWh'!$A$2:$BV$146,MATCH($A66,'Eurostat EB TJ GWh'!$A$2:$A$146,0),MATCH(AD$3,'Eurostat EB TJ GWh'!$A$2:$BV$2,0))</f>
        <v>0</v>
      </c>
      <c r="AE66" s="57">
        <f>INDEX('Eurostat EB TJ GWh'!$A$2:$BV$146,MATCH($A66,'Eurostat EB TJ GWh'!$A$2:$A$146,0),MATCH(AE$3,'Eurostat EB TJ GWh'!$A$2:$BV$2,0))</f>
        <v>0</v>
      </c>
      <c r="AF66" s="57">
        <f>INDEX('Eurostat EB TJ GWh'!$A$2:$BV$146,MATCH($A66,'Eurostat EB TJ GWh'!$A$2:$A$146,0),MATCH(AF$3,'Eurostat EB TJ GWh'!$A$2:$BV$2,0))</f>
        <v>0</v>
      </c>
      <c r="AG66" s="57">
        <f>INDEX('Eurostat EB TJ GWh'!$A$2:$BV$146,MATCH($A66,'Eurostat EB TJ GWh'!$A$2:$A$146,0),MATCH(AG$3,'Eurostat EB TJ GWh'!$A$2:$BV$2,0))</f>
        <v>0</v>
      </c>
      <c r="AH66" s="57">
        <f>INDEX('Eurostat EB TJ GWh'!$A$2:$BV$146,MATCH($A66,'Eurostat EB TJ GWh'!$A$2:$A$146,0),MATCH(AH$3,'Eurostat EB TJ GWh'!$A$2:$BV$2,0))</f>
        <v>0</v>
      </c>
      <c r="AI66" s="57">
        <f>INDEX('Eurostat EB TJ GWh'!$A$2:$BV$146,MATCH($A66,'Eurostat EB TJ GWh'!$A$2:$A$146,0),MATCH(AI$3,'Eurostat EB TJ GWh'!$A$2:$BV$2,0))</f>
        <v>0</v>
      </c>
      <c r="AJ66" s="57">
        <f>INDEX('Eurostat EB TJ GWh'!$A$2:$BV$146,MATCH($A66,'Eurostat EB TJ GWh'!$A$2:$A$146,0),MATCH(AJ$3,'Eurostat EB TJ GWh'!$A$2:$BV$2,0))</f>
        <v>0</v>
      </c>
      <c r="AK66" s="57">
        <f>INDEX('Eurostat EB TJ GWh'!$A$2:$BV$146,MATCH($A66,'Eurostat EB TJ GWh'!$A$2:$A$146,0),MATCH(AK$3,'Eurostat EB TJ GWh'!$A$2:$BV$2,0))</f>
        <v>0</v>
      </c>
      <c r="AL66" s="57">
        <f>INDEX('Eurostat EB TJ GWh'!$A$2:$BV$146,MATCH($A66,'Eurostat EB TJ GWh'!$A$2:$A$146,0),MATCH(AL$3,'Eurostat EB TJ GWh'!$A$2:$BV$2,0))</f>
        <v>0</v>
      </c>
      <c r="AM66" s="57">
        <f>INDEX('Eurostat EB TJ GWh'!$A$2:$BV$146,MATCH($A66,'Eurostat EB TJ GWh'!$A$2:$A$146,0),MATCH(AM$3,'Eurostat EB TJ GWh'!$A$2:$BV$2,0))</f>
        <v>0</v>
      </c>
      <c r="AN66" s="57">
        <f>INDEX('Eurostat EB TJ GWh'!$A$2:$BV$146,MATCH($A66,'Eurostat EB TJ GWh'!$A$2:$A$146,0),MATCH(AN$3,'Eurostat EB TJ GWh'!$A$2:$BV$2,0))</f>
        <v>0</v>
      </c>
      <c r="AO66" s="57">
        <f>INDEX('Eurostat EB TJ GWh'!$A$2:$BV$146,MATCH($A66,'Eurostat EB TJ GWh'!$A$2:$A$146,0),MATCH(AO$3,'Eurostat EB TJ GWh'!$A$2:$BV$2,0))</f>
        <v>0</v>
      </c>
      <c r="AP66" s="57">
        <f>INDEX('Eurostat EB TJ GWh'!$A$2:$BV$146,MATCH($A66,'Eurostat EB TJ GWh'!$A$2:$A$146,0),MATCH(AP$3,'Eurostat EB TJ GWh'!$A$2:$BV$2,0))</f>
        <v>0</v>
      </c>
      <c r="AQ66" s="57">
        <f>INDEX('Eurostat EB TJ GWh'!$A$2:$BV$146,MATCH($A66,'Eurostat EB TJ GWh'!$A$2:$A$146,0),MATCH(AQ$3,'Eurostat EB TJ GWh'!$A$2:$BV$2,0))</f>
        <v>0</v>
      </c>
      <c r="AR66" s="57">
        <f>INDEX('Eurostat EB TJ GWh'!$A$2:$BV$146,MATCH($A66,'Eurostat EB TJ GWh'!$A$2:$A$146,0),MATCH(AR$3,'Eurostat EB TJ GWh'!$A$2:$BV$2,0))</f>
        <v>0</v>
      </c>
      <c r="AS66" s="57">
        <f>INDEX('Eurostat EB TJ GWh'!$A$2:$BV$146,MATCH($A66,'Eurostat EB TJ GWh'!$A$2:$A$146,0),MATCH(AS$3,'Eurostat EB TJ GWh'!$A$2:$BV$2,0))</f>
        <v>0</v>
      </c>
      <c r="AT66" s="57">
        <f>INDEX('Eurostat EB TJ GWh'!$A$2:$BV$146,MATCH($A66,'Eurostat EB TJ GWh'!$A$2:$A$146,0),MATCH(AT$3,'Eurostat EB TJ GWh'!$A$2:$BV$2,0))</f>
        <v>0</v>
      </c>
      <c r="AU66" s="57">
        <f>INDEX('Eurostat EB TJ GWh'!$A$2:$BV$146,MATCH($A66,'Eurostat EB TJ GWh'!$A$2:$A$146,0),MATCH(AU$3,'Eurostat EB TJ GWh'!$A$2:$BV$2,0))</f>
        <v>0</v>
      </c>
      <c r="AV66" s="57">
        <f>INDEX('Eurostat EB TJ GWh'!$A$2:$BV$146,MATCH($A66,'Eurostat EB TJ GWh'!$A$2:$A$146,0),MATCH(AV$2,'Eurostat EB TJ GWh'!$A$2:$BV$2,0))+INDEX('Eurostat EB TJ GWh'!$A$2:$BV$146,MATCH($A66,'Eurostat EB TJ GWh'!$A$2:$A$146,0),MATCH(AV$3,'Eurostat EB TJ GWh'!$A$2:$BV$2,0))</f>
        <v>0</v>
      </c>
      <c r="AW66" s="57">
        <f>INDEX('Eurostat EB TJ GWh'!$A$2:$BV$146,MATCH($A66,'Eurostat EB TJ GWh'!$A$2:$A$146,0),MATCH(AW$2,'Eurostat EB TJ GWh'!$A$2:$BV$2,0))+INDEX('Eurostat EB TJ GWh'!$A$2:$BV$146,MATCH($A66,'Eurostat EB TJ GWh'!$A$2:$A$146,0),MATCH(AW$3,'Eurostat EB TJ GWh'!$A$2:$BV$2,0))</f>
        <v>0</v>
      </c>
      <c r="AX66" s="57">
        <f>INDEX('Eurostat EB TJ GWh'!$A$2:$BV$146,MATCH($A66,'Eurostat EB TJ GWh'!$A$2:$A$146,0),MATCH(AX$3,'Eurostat EB TJ GWh'!$A$2:$BV$2,0))</f>
        <v>0</v>
      </c>
      <c r="AY66" s="65">
        <v>0</v>
      </c>
      <c r="AZ66" s="57">
        <f>INDEX('Eurostat EB TJ GWh'!$A$2:$BV$146,MATCH($A66,'Eurostat EB TJ GWh'!$A$2:$A$146,0),MATCH(AZ$3,'Eurostat EB TJ GWh'!$A$2:$BV$2,0))</f>
        <v>0</v>
      </c>
      <c r="BA66" s="65">
        <v>0</v>
      </c>
      <c r="BB66" s="65">
        <v>0</v>
      </c>
      <c r="BC66" s="57">
        <f>INDEX('Eurostat EB TJ GWh'!$A$2:$BV$146,MATCH($A66,'Eurostat EB TJ GWh'!$A$2:$A$146,0),MATCH(BC$3,'Eurostat EB TJ GWh'!$A$2:$BV$2,0))</f>
        <v>0</v>
      </c>
      <c r="BD66" s="57">
        <f>INDEX('Eurostat EB TJ GWh'!$A$2:$BV$146,MATCH($A66,'Eurostat EB TJ GWh'!$A$2:$A$146,0),MATCH(BD$3,'Eurostat EB TJ GWh'!$A$2:$BV$2,0))</f>
        <v>0</v>
      </c>
      <c r="BE66" s="57">
        <f>INDEX('Eurostat EB TJ GWh'!$A$2:$BV$146,MATCH($A66,'Eurostat EB TJ GWh'!$A$2:$A$146,0),MATCH(BE$3,'Eurostat EB TJ GWh'!$A$2:$BV$2,0))</f>
        <v>0</v>
      </c>
      <c r="BF66" s="57">
        <f>INDEX('Eurostat EB TJ GWh'!$A$2:$BV$146,MATCH($A66,'Eurostat EB TJ GWh'!$A$2:$A$146,0),MATCH(BF$3,'Eurostat EB TJ GWh'!$A$2:$BV$2,0))</f>
        <v>0</v>
      </c>
      <c r="BG66" s="57">
        <f>INDEX('Eurostat EB TJ GWh'!$A$2:$BV$146,MATCH($A66,'Eurostat EB TJ GWh'!$A$2:$A$146,0),MATCH(BG$3,'Eurostat EB TJ GWh'!$A$2:$BV$2,0))</f>
        <v>0</v>
      </c>
      <c r="BH66" s="57">
        <f>INDEX('Eurostat EB TJ GWh'!$A$2:$BV$146,MATCH($A66,'Eurostat EB TJ GWh'!$A$2:$A$146,0),MATCH(BH$3,'Eurostat EB TJ GWh'!$A$2:$BV$2,0))</f>
        <v>0</v>
      </c>
      <c r="BI66" s="57">
        <f>INDEX('Eurostat EB TJ GWh'!$A$2:$BV$146,MATCH($A66,'Eurostat EB TJ GWh'!$A$2:$A$146,0),MATCH(BI$3,'Eurostat EB TJ GWh'!$A$2:$BV$2,0))</f>
        <v>0</v>
      </c>
      <c r="BJ66" s="65">
        <v>0</v>
      </c>
      <c r="BK66" s="57">
        <f>INDEX('Eurostat EB TJ GWh'!$A$2:$BV$146,MATCH($A66,'Eurostat EB TJ GWh'!$A$2:$A$146,0),MATCH(BK$3,'Eurostat EB TJ GWh'!$A$2:$BV$2,0))</f>
        <v>0</v>
      </c>
      <c r="BL66" s="57">
        <f>INDEX('Eurostat EB TJ GWh'!$A$2:$BV$146,MATCH($A66,'Eurostat EB TJ GWh'!$A$2:$A$146,0),MATCH(BL$3,'Eurostat EB TJ GWh'!$A$2:$BV$2,0))</f>
        <v>0</v>
      </c>
      <c r="BM66" s="57">
        <f>INDEX('Eurostat EB TJ GWh'!$A$2:$BV$146,MATCH($A66,'Eurostat EB TJ GWh'!$A$2:$A$146,0),MATCH(BM$3,'Eurostat EB TJ GWh'!$A$2:$BV$2,0))</f>
        <v>0</v>
      </c>
      <c r="BN66" s="57">
        <f>INDEX('Eurostat EB TJ GWh'!$A$2:$BV$146,MATCH($A66,'Eurostat EB TJ GWh'!$A$2:$A$146,0),MATCH(BN$3,'Eurostat EB TJ GWh'!$A$2:$BV$2,0))</f>
        <v>0</v>
      </c>
    </row>
    <row r="67" spans="1:66" x14ac:dyDescent="0.2">
      <c r="A67" s="56" t="s">
        <v>255</v>
      </c>
      <c r="B67" s="65" t="s">
        <v>323</v>
      </c>
      <c r="C67" s="65" t="s">
        <v>323</v>
      </c>
      <c r="D67" s="17">
        <f>INDEX('Eurostat EB TJ GWh'!$A$2:$BV$146,MATCH($A67,'Eurostat EB TJ GWh'!$A$2:$A$146,0),MATCH(D$3,'Eurostat EB TJ GWh'!$A$2:$BV$2,0))</f>
        <v>0</v>
      </c>
      <c r="E67" s="17">
        <f>INDEX('Eurostat EB TJ GWh'!$A$2:$BV$146,MATCH($A67,'Eurostat EB TJ GWh'!$A$2:$A$146,0),MATCH(E$3,'Eurostat EB TJ GWh'!$A$2:$BV$2,0))</f>
        <v>0</v>
      </c>
      <c r="F67" s="17">
        <f>INDEX('Eurostat EB TJ GWh'!$A$2:$BV$146,MATCH($A67,'Eurostat EB TJ GWh'!$A$2:$A$146,0),MATCH(F$3,'Eurostat EB TJ GWh'!$A$2:$BV$2,0))</f>
        <v>0</v>
      </c>
      <c r="G67" s="17">
        <f>INDEX('Eurostat EB TJ GWh'!$A$2:$BV$146,MATCH($A67,'Eurostat EB TJ GWh'!$A$2:$A$146,0),MATCH(G$3,'Eurostat EB TJ GWh'!$A$2:$BV$2,0))</f>
        <v>0</v>
      </c>
      <c r="H67" s="17">
        <f>INDEX('Eurostat EB TJ GWh'!$A$2:$BV$146,MATCH($A67,'Eurostat EB TJ GWh'!$A$2:$A$146,0),MATCH(H$3,'Eurostat EB TJ GWh'!$A$2:$BV$2,0))</f>
        <v>0</v>
      </c>
      <c r="I67" s="17">
        <f>INDEX('Eurostat EB TJ GWh'!$A$2:$BV$146,MATCH($A67,'Eurostat EB TJ GWh'!$A$2:$A$146,0),MATCH(I$3,'Eurostat EB TJ GWh'!$A$2:$BV$2,0))</f>
        <v>0</v>
      </c>
      <c r="J67" s="17">
        <f>INDEX('Eurostat EB TJ GWh'!$A$2:$BV$146,MATCH($A67,'Eurostat EB TJ GWh'!$A$2:$A$146,0),MATCH(J$3,'Eurostat EB TJ GWh'!$A$2:$BV$2,0))</f>
        <v>0</v>
      </c>
      <c r="K67" s="17">
        <f>INDEX('Eurostat EB TJ GWh'!$A$2:$BV$146,MATCH($A67,'Eurostat EB TJ GWh'!$A$2:$A$146,0),MATCH(K$3,'Eurostat EB TJ GWh'!$A$2:$BV$2,0))</f>
        <v>0</v>
      </c>
      <c r="L67" s="17">
        <f>INDEX('Eurostat EB TJ GWh'!$A$2:$BV$146,MATCH($A67,'Eurostat EB TJ GWh'!$A$2:$A$146,0),MATCH(L$3,'Eurostat EB TJ GWh'!$A$2:$BV$2,0))</f>
        <v>0</v>
      </c>
      <c r="M67" s="17">
        <f>INDEX('Eurostat EB TJ GWh'!$A$2:$BV$146,MATCH($A67,'Eurostat EB TJ GWh'!$A$2:$A$146,0),MATCH(M$3,'Eurostat EB TJ GWh'!$A$2:$BV$2,0))</f>
        <v>0</v>
      </c>
      <c r="N67" s="17">
        <f>INDEX('Eurostat EB TJ GWh'!$A$2:$BV$146,MATCH($A67,'Eurostat EB TJ GWh'!$A$2:$A$146,0),MATCH(N$3,'Eurostat EB TJ GWh'!$A$2:$BV$2,0))</f>
        <v>0</v>
      </c>
      <c r="O67" s="17">
        <f>INDEX('Eurostat EB TJ GWh'!$A$2:$BV$146,MATCH($A67,'Eurostat EB TJ GWh'!$A$2:$A$146,0),MATCH(O$3,'Eurostat EB TJ GWh'!$A$2:$BV$2,0))</f>
        <v>0</v>
      </c>
      <c r="P67" s="17">
        <f>INDEX('Eurostat EB TJ GWh'!$A$2:$BV$146,MATCH($A67,'Eurostat EB TJ GWh'!$A$2:$A$146,0),MATCH(P$3,'Eurostat EB TJ GWh'!$A$2:$BV$2,0))</f>
        <v>0</v>
      </c>
      <c r="Q67" s="17">
        <f>INDEX('Eurostat EB TJ GWh'!$A$2:$BV$146,MATCH($A67,'Eurostat EB TJ GWh'!$A$2:$A$146,0),MATCH(Q$3,'Eurostat EB TJ GWh'!$A$2:$BV$2,0))</f>
        <v>0</v>
      </c>
      <c r="R67" s="17">
        <f>INDEX('Eurostat EB TJ GWh'!$A$2:$BV$146,MATCH($A67,'Eurostat EB TJ GWh'!$A$2:$A$146,0),MATCH(R$2,'Eurostat EB TJ GWh'!$A$2:$BV$2,0))+INDEX('Eurostat EB TJ GWh'!$A$2:$BV$146,MATCH($A67,'Eurostat EB TJ GWh'!$A$2:$A$146,0),MATCH(R$3,'Eurostat EB TJ GWh'!$A$2:$BV$2,0))</f>
        <v>0</v>
      </c>
      <c r="S67" s="17">
        <f>INDEX('Eurostat EB TJ GWh'!$A$2:$BV$146,MATCH($A67,'Eurostat EB TJ GWh'!$A$2:$A$146,0),MATCH(S$3,'Eurostat EB TJ GWh'!$A$2:$BV$2,0))</f>
        <v>0</v>
      </c>
      <c r="T67" s="65" t="s">
        <v>323</v>
      </c>
      <c r="U67" s="17">
        <f>INDEX('Eurostat EB TJ GWh'!$A$2:$BV$146,MATCH($A67,'Eurostat EB TJ GWh'!$A$2:$A$146,0),MATCH(U$3,'Eurostat EB TJ GWh'!$A$2:$BV$2,0))</f>
        <v>0</v>
      </c>
      <c r="V67" s="17">
        <f>INDEX('Eurostat EB TJ GWh'!$A$2:$BV$146,MATCH($A67,'Eurostat EB TJ GWh'!$A$2:$A$146,0),MATCH(V$3,'Eurostat EB TJ GWh'!$A$2:$BV$2,0))</f>
        <v>0</v>
      </c>
      <c r="W67" s="17">
        <f>INDEX('Eurostat EB TJ GWh'!$A$2:$BV$146,MATCH($A67,'Eurostat EB TJ GWh'!$A$2:$A$146,0),MATCH(W$3,'Eurostat EB TJ GWh'!$A$2:$BV$2,0))</f>
        <v>0</v>
      </c>
      <c r="X67" s="17">
        <f>INDEX('Eurostat EB TJ GWh'!$A$2:$BV$146,MATCH($A67,'Eurostat EB TJ GWh'!$A$2:$A$146,0),MATCH(X$3,'Eurostat EB TJ GWh'!$A$2:$BV$2,0))</f>
        <v>0</v>
      </c>
      <c r="Y67" s="17">
        <f>INDEX('Eurostat EB TJ GWh'!$A$2:$BV$146,MATCH($A67,'Eurostat EB TJ GWh'!$A$2:$A$146,0),MATCH(Y$3,'Eurostat EB TJ GWh'!$A$2:$BV$2,0))</f>
        <v>0</v>
      </c>
      <c r="Z67" s="17">
        <f>INDEX('Eurostat EB TJ GWh'!$A$2:$BV$146,MATCH($A67,'Eurostat EB TJ GWh'!$A$2:$A$146,0),MATCH(Z$3,'Eurostat EB TJ GWh'!$A$2:$BV$2,0))</f>
        <v>0</v>
      </c>
      <c r="AA67" s="17">
        <f>INDEX('Eurostat EB TJ GWh'!$A$2:$BV$146,MATCH($A67,'Eurostat EB TJ GWh'!$A$2:$A$146,0),MATCH(AA$3,'Eurostat EB TJ GWh'!$A$2:$BV$2,0))</f>
        <v>0</v>
      </c>
      <c r="AB67" s="17">
        <f>INDEX('Eurostat EB TJ GWh'!$A$2:$BV$146,MATCH($A67,'Eurostat EB TJ GWh'!$A$2:$A$146,0),MATCH(AB$3,'Eurostat EB TJ GWh'!$A$2:$BV$2,0))</f>
        <v>0</v>
      </c>
      <c r="AC67" s="17">
        <f>INDEX('Eurostat EB TJ GWh'!$A$2:$BV$146,MATCH($A67,'Eurostat EB TJ GWh'!$A$2:$A$146,0),MATCH(AC$3,'Eurostat EB TJ GWh'!$A$2:$BV$2,0))</f>
        <v>0</v>
      </c>
      <c r="AD67" s="17">
        <f>INDEX('Eurostat EB TJ GWh'!$A$2:$BV$146,MATCH($A67,'Eurostat EB TJ GWh'!$A$2:$A$146,0),MATCH(AD$3,'Eurostat EB TJ GWh'!$A$2:$BV$2,0))</f>
        <v>0</v>
      </c>
      <c r="AE67" s="17">
        <f>INDEX('Eurostat EB TJ GWh'!$A$2:$BV$146,MATCH($A67,'Eurostat EB TJ GWh'!$A$2:$A$146,0),MATCH(AE$3,'Eurostat EB TJ GWh'!$A$2:$BV$2,0))</f>
        <v>0</v>
      </c>
      <c r="AF67" s="17">
        <f>INDEX('Eurostat EB TJ GWh'!$A$2:$BV$146,MATCH($A67,'Eurostat EB TJ GWh'!$A$2:$A$146,0),MATCH(AF$3,'Eurostat EB TJ GWh'!$A$2:$BV$2,0))</f>
        <v>0</v>
      </c>
      <c r="AG67" s="17">
        <f>INDEX('Eurostat EB TJ GWh'!$A$2:$BV$146,MATCH($A67,'Eurostat EB TJ GWh'!$A$2:$A$146,0),MATCH(AG$3,'Eurostat EB TJ GWh'!$A$2:$BV$2,0))</f>
        <v>0</v>
      </c>
      <c r="AH67" s="17">
        <f>INDEX('Eurostat EB TJ GWh'!$A$2:$BV$146,MATCH($A67,'Eurostat EB TJ GWh'!$A$2:$A$146,0),MATCH(AH$3,'Eurostat EB TJ GWh'!$A$2:$BV$2,0))</f>
        <v>0</v>
      </c>
      <c r="AI67" s="17">
        <f>INDEX('Eurostat EB TJ GWh'!$A$2:$BV$146,MATCH($A67,'Eurostat EB TJ GWh'!$A$2:$A$146,0),MATCH(AI$3,'Eurostat EB TJ GWh'!$A$2:$BV$2,0))</f>
        <v>0</v>
      </c>
      <c r="AJ67" s="17">
        <f>INDEX('Eurostat EB TJ GWh'!$A$2:$BV$146,MATCH($A67,'Eurostat EB TJ GWh'!$A$2:$A$146,0),MATCH(AJ$3,'Eurostat EB TJ GWh'!$A$2:$BV$2,0))</f>
        <v>0</v>
      </c>
      <c r="AK67" s="17">
        <f>INDEX('Eurostat EB TJ GWh'!$A$2:$BV$146,MATCH($A67,'Eurostat EB TJ GWh'!$A$2:$A$146,0),MATCH(AK$3,'Eurostat EB TJ GWh'!$A$2:$BV$2,0))</f>
        <v>0</v>
      </c>
      <c r="AL67" s="17">
        <f>INDEX('Eurostat EB TJ GWh'!$A$2:$BV$146,MATCH($A67,'Eurostat EB TJ GWh'!$A$2:$A$146,0),MATCH(AL$3,'Eurostat EB TJ GWh'!$A$2:$BV$2,0))</f>
        <v>0</v>
      </c>
      <c r="AM67" s="17">
        <f>INDEX('Eurostat EB TJ GWh'!$A$2:$BV$146,MATCH($A67,'Eurostat EB TJ GWh'!$A$2:$A$146,0),MATCH(AM$3,'Eurostat EB TJ GWh'!$A$2:$BV$2,0))</f>
        <v>0</v>
      </c>
      <c r="AN67" s="17">
        <f>INDEX('Eurostat EB TJ GWh'!$A$2:$BV$146,MATCH($A67,'Eurostat EB TJ GWh'!$A$2:$A$146,0),MATCH(AN$3,'Eurostat EB TJ GWh'!$A$2:$BV$2,0))</f>
        <v>0</v>
      </c>
      <c r="AO67" s="17">
        <f>INDEX('Eurostat EB TJ GWh'!$A$2:$BV$146,MATCH($A67,'Eurostat EB TJ GWh'!$A$2:$A$146,0),MATCH(AO$3,'Eurostat EB TJ GWh'!$A$2:$BV$2,0))</f>
        <v>0</v>
      </c>
      <c r="AP67" s="17">
        <f>INDEX('Eurostat EB TJ GWh'!$A$2:$BV$146,MATCH($A67,'Eurostat EB TJ GWh'!$A$2:$A$146,0),MATCH(AP$3,'Eurostat EB TJ GWh'!$A$2:$BV$2,0))</f>
        <v>0</v>
      </c>
      <c r="AQ67" s="17">
        <f>INDEX('Eurostat EB TJ GWh'!$A$2:$BV$146,MATCH($A67,'Eurostat EB TJ GWh'!$A$2:$A$146,0),MATCH(AQ$3,'Eurostat EB TJ GWh'!$A$2:$BV$2,0))</f>
        <v>0</v>
      </c>
      <c r="AR67" s="17">
        <f>INDEX('Eurostat EB TJ GWh'!$A$2:$BV$146,MATCH($A67,'Eurostat EB TJ GWh'!$A$2:$A$146,0),MATCH(AR$3,'Eurostat EB TJ GWh'!$A$2:$BV$2,0))</f>
        <v>0</v>
      </c>
      <c r="AS67" s="17">
        <f>INDEX('Eurostat EB TJ GWh'!$A$2:$BV$146,MATCH($A67,'Eurostat EB TJ GWh'!$A$2:$A$146,0),MATCH(AS$3,'Eurostat EB TJ GWh'!$A$2:$BV$2,0))</f>
        <v>0</v>
      </c>
      <c r="AT67" s="17">
        <f>INDEX('Eurostat EB TJ GWh'!$A$2:$BV$146,MATCH($A67,'Eurostat EB TJ GWh'!$A$2:$A$146,0),MATCH(AT$3,'Eurostat EB TJ GWh'!$A$2:$BV$2,0))</f>
        <v>0</v>
      </c>
      <c r="AU67" s="17">
        <f>INDEX('Eurostat EB TJ GWh'!$A$2:$BV$146,MATCH($A67,'Eurostat EB TJ GWh'!$A$2:$A$146,0),MATCH(AU$3,'Eurostat EB TJ GWh'!$A$2:$BV$2,0))</f>
        <v>0</v>
      </c>
      <c r="AV67" s="17">
        <f>INDEX('Eurostat EB TJ GWh'!$A$2:$BV$146,MATCH($A67,'Eurostat EB TJ GWh'!$A$2:$A$146,0),MATCH(AV$2,'Eurostat EB TJ GWh'!$A$2:$BV$2,0))+INDEX('Eurostat EB TJ GWh'!$A$2:$BV$146,MATCH($A67,'Eurostat EB TJ GWh'!$A$2:$A$146,0),MATCH(AV$3,'Eurostat EB TJ GWh'!$A$2:$BV$2,0))</f>
        <v>0</v>
      </c>
      <c r="AW67" s="17">
        <f>INDEX('Eurostat EB TJ GWh'!$A$2:$BV$146,MATCH($A67,'Eurostat EB TJ GWh'!$A$2:$A$146,0),MATCH(AW$2,'Eurostat EB TJ GWh'!$A$2:$BV$2,0))+INDEX('Eurostat EB TJ GWh'!$A$2:$BV$146,MATCH($A67,'Eurostat EB TJ GWh'!$A$2:$A$146,0),MATCH(AW$3,'Eurostat EB TJ GWh'!$A$2:$BV$2,0))</f>
        <v>0</v>
      </c>
      <c r="AX67" s="17">
        <f>INDEX('Eurostat EB TJ GWh'!$A$2:$BV$146,MATCH($A67,'Eurostat EB TJ GWh'!$A$2:$A$146,0),MATCH(AX$3,'Eurostat EB TJ GWh'!$A$2:$BV$2,0))</f>
        <v>0</v>
      </c>
      <c r="AY67" s="72">
        <v>0</v>
      </c>
      <c r="AZ67" s="17">
        <f>INDEX('Eurostat EB TJ GWh'!$A$2:$BV$146,MATCH($A67,'Eurostat EB TJ GWh'!$A$2:$A$146,0),MATCH(AZ$3,'Eurostat EB TJ GWh'!$A$2:$BV$2,0))</f>
        <v>0</v>
      </c>
      <c r="BA67" s="72">
        <v>0</v>
      </c>
      <c r="BB67" s="72">
        <v>0</v>
      </c>
      <c r="BC67" s="17">
        <f>INDEX('Eurostat EB TJ GWh'!$A$2:$BV$146,MATCH($A67,'Eurostat EB TJ GWh'!$A$2:$A$146,0),MATCH(BC$3,'Eurostat EB TJ GWh'!$A$2:$BV$2,0))</f>
        <v>0</v>
      </c>
      <c r="BD67" s="17">
        <f>INDEX('Eurostat EB TJ GWh'!$A$2:$BV$146,MATCH($A67,'Eurostat EB TJ GWh'!$A$2:$A$146,0),MATCH(BD$3,'Eurostat EB TJ GWh'!$A$2:$BV$2,0))</f>
        <v>0</v>
      </c>
      <c r="BE67" s="17">
        <f>INDEX('Eurostat EB TJ GWh'!$A$2:$BV$146,MATCH($A67,'Eurostat EB TJ GWh'!$A$2:$A$146,0),MATCH(BE$3,'Eurostat EB TJ GWh'!$A$2:$BV$2,0))</f>
        <v>0</v>
      </c>
      <c r="BF67" s="17">
        <f>INDEX('Eurostat EB TJ GWh'!$A$2:$BV$146,MATCH($A67,'Eurostat EB TJ GWh'!$A$2:$A$146,0),MATCH(BF$3,'Eurostat EB TJ GWh'!$A$2:$BV$2,0))</f>
        <v>0</v>
      </c>
      <c r="BG67" s="17">
        <f>INDEX('Eurostat EB TJ GWh'!$A$2:$BV$146,MATCH($A67,'Eurostat EB TJ GWh'!$A$2:$A$146,0),MATCH(BG$3,'Eurostat EB TJ GWh'!$A$2:$BV$2,0))</f>
        <v>0</v>
      </c>
      <c r="BH67" s="17">
        <f>INDEX('Eurostat EB TJ GWh'!$A$2:$BV$146,MATCH($A67,'Eurostat EB TJ GWh'!$A$2:$A$146,0),MATCH(BH$3,'Eurostat EB TJ GWh'!$A$2:$BV$2,0))</f>
        <v>0</v>
      </c>
      <c r="BI67" s="17">
        <f>INDEX('Eurostat EB TJ GWh'!$A$2:$BV$146,MATCH($A67,'Eurostat EB TJ GWh'!$A$2:$A$146,0),MATCH(BI$3,'Eurostat EB TJ GWh'!$A$2:$BV$2,0))</f>
        <v>0</v>
      </c>
      <c r="BJ67" s="72">
        <v>0</v>
      </c>
      <c r="BK67" s="17">
        <f>INDEX('Eurostat EB TJ GWh'!$A$2:$BV$146,MATCH($A67,'Eurostat EB TJ GWh'!$A$2:$A$146,0),MATCH(BK$3,'Eurostat EB TJ GWh'!$A$2:$BV$2,0))</f>
        <v>0</v>
      </c>
      <c r="BL67" s="17">
        <f>INDEX('Eurostat EB TJ GWh'!$A$2:$BV$146,MATCH($A67,'Eurostat EB TJ GWh'!$A$2:$A$146,0),MATCH(BL$3,'Eurostat EB TJ GWh'!$A$2:$BV$2,0))</f>
        <v>0</v>
      </c>
      <c r="BM67" s="17">
        <f>INDEX('Eurostat EB TJ GWh'!$A$2:$BV$146,MATCH($A67,'Eurostat EB TJ GWh'!$A$2:$A$146,0),MATCH(BM$3,'Eurostat EB TJ GWh'!$A$2:$BV$2,0))</f>
        <v>0</v>
      </c>
      <c r="BN67" s="17">
        <f>INDEX('Eurostat EB TJ GWh'!$A$2:$BV$146,MATCH($A67,'Eurostat EB TJ GWh'!$A$2:$A$146,0),MATCH(BN$3,'Eurostat EB TJ GWh'!$A$2:$BV$2,0))</f>
        <v>0</v>
      </c>
    </row>
    <row r="68" spans="1:66" x14ac:dyDescent="0.2">
      <c r="A68" s="56" t="s">
        <v>256</v>
      </c>
      <c r="B68" s="65" t="s">
        <v>323</v>
      </c>
      <c r="C68" s="65" t="s">
        <v>323</v>
      </c>
      <c r="D68" s="57">
        <f>INDEX('Eurostat EB TJ GWh'!$A$2:$BV$146,MATCH($A68,'Eurostat EB TJ GWh'!$A$2:$A$146,0),MATCH(D$3,'Eurostat EB TJ GWh'!$A$2:$BV$2,0))</f>
        <v>0</v>
      </c>
      <c r="E68" s="57">
        <f>INDEX('Eurostat EB TJ GWh'!$A$2:$BV$146,MATCH($A68,'Eurostat EB TJ GWh'!$A$2:$A$146,0),MATCH(E$3,'Eurostat EB TJ GWh'!$A$2:$BV$2,0))</f>
        <v>0</v>
      </c>
      <c r="F68" s="57">
        <f>INDEX('Eurostat EB TJ GWh'!$A$2:$BV$146,MATCH($A68,'Eurostat EB TJ GWh'!$A$2:$A$146,0),MATCH(F$3,'Eurostat EB TJ GWh'!$A$2:$BV$2,0))</f>
        <v>0</v>
      </c>
      <c r="G68" s="57">
        <f>INDEX('Eurostat EB TJ GWh'!$A$2:$BV$146,MATCH($A68,'Eurostat EB TJ GWh'!$A$2:$A$146,0),MATCH(G$3,'Eurostat EB TJ GWh'!$A$2:$BV$2,0))</f>
        <v>0</v>
      </c>
      <c r="H68" s="57">
        <f>INDEX('Eurostat EB TJ GWh'!$A$2:$BV$146,MATCH($A68,'Eurostat EB TJ GWh'!$A$2:$A$146,0),MATCH(H$3,'Eurostat EB TJ GWh'!$A$2:$BV$2,0))</f>
        <v>0</v>
      </c>
      <c r="I68" s="57">
        <f>INDEX('Eurostat EB TJ GWh'!$A$2:$BV$146,MATCH($A68,'Eurostat EB TJ GWh'!$A$2:$A$146,0),MATCH(I$3,'Eurostat EB TJ GWh'!$A$2:$BV$2,0))</f>
        <v>0</v>
      </c>
      <c r="J68" s="57">
        <f>INDEX('Eurostat EB TJ GWh'!$A$2:$BV$146,MATCH($A68,'Eurostat EB TJ GWh'!$A$2:$A$146,0),MATCH(J$3,'Eurostat EB TJ GWh'!$A$2:$BV$2,0))</f>
        <v>0</v>
      </c>
      <c r="K68" s="57">
        <f>INDEX('Eurostat EB TJ GWh'!$A$2:$BV$146,MATCH($A68,'Eurostat EB TJ GWh'!$A$2:$A$146,0),MATCH(K$3,'Eurostat EB TJ GWh'!$A$2:$BV$2,0))</f>
        <v>0</v>
      </c>
      <c r="L68" s="57">
        <f>INDEX('Eurostat EB TJ GWh'!$A$2:$BV$146,MATCH($A68,'Eurostat EB TJ GWh'!$A$2:$A$146,0),MATCH(L$3,'Eurostat EB TJ GWh'!$A$2:$BV$2,0))</f>
        <v>0</v>
      </c>
      <c r="M68" s="57">
        <f>INDEX('Eurostat EB TJ GWh'!$A$2:$BV$146,MATCH($A68,'Eurostat EB TJ GWh'!$A$2:$A$146,0),MATCH(M$3,'Eurostat EB TJ GWh'!$A$2:$BV$2,0))</f>
        <v>0</v>
      </c>
      <c r="N68" s="57">
        <f>INDEX('Eurostat EB TJ GWh'!$A$2:$BV$146,MATCH($A68,'Eurostat EB TJ GWh'!$A$2:$A$146,0),MATCH(N$3,'Eurostat EB TJ GWh'!$A$2:$BV$2,0))</f>
        <v>0</v>
      </c>
      <c r="O68" s="57">
        <f>INDEX('Eurostat EB TJ GWh'!$A$2:$BV$146,MATCH($A68,'Eurostat EB TJ GWh'!$A$2:$A$146,0),MATCH(O$3,'Eurostat EB TJ GWh'!$A$2:$BV$2,0))</f>
        <v>0</v>
      </c>
      <c r="P68" s="57">
        <f>INDEX('Eurostat EB TJ GWh'!$A$2:$BV$146,MATCH($A68,'Eurostat EB TJ GWh'!$A$2:$A$146,0),MATCH(P$3,'Eurostat EB TJ GWh'!$A$2:$BV$2,0))</f>
        <v>0</v>
      </c>
      <c r="Q68" s="57">
        <f>INDEX('Eurostat EB TJ GWh'!$A$2:$BV$146,MATCH($A68,'Eurostat EB TJ GWh'!$A$2:$A$146,0),MATCH(Q$3,'Eurostat EB TJ GWh'!$A$2:$BV$2,0))</f>
        <v>0</v>
      </c>
      <c r="R68" s="57">
        <f>INDEX('Eurostat EB TJ GWh'!$A$2:$BV$146,MATCH($A68,'Eurostat EB TJ GWh'!$A$2:$A$146,0),MATCH(R$2,'Eurostat EB TJ GWh'!$A$2:$BV$2,0))+INDEX('Eurostat EB TJ GWh'!$A$2:$BV$146,MATCH($A68,'Eurostat EB TJ GWh'!$A$2:$A$146,0),MATCH(R$3,'Eurostat EB TJ GWh'!$A$2:$BV$2,0))</f>
        <v>0</v>
      </c>
      <c r="S68" s="57">
        <f>INDEX('Eurostat EB TJ GWh'!$A$2:$BV$146,MATCH($A68,'Eurostat EB TJ GWh'!$A$2:$A$146,0),MATCH(S$3,'Eurostat EB TJ GWh'!$A$2:$BV$2,0))</f>
        <v>0</v>
      </c>
      <c r="T68" s="65" t="s">
        <v>323</v>
      </c>
      <c r="U68" s="57">
        <f>INDEX('Eurostat EB TJ GWh'!$A$2:$BV$146,MATCH($A68,'Eurostat EB TJ GWh'!$A$2:$A$146,0),MATCH(U$3,'Eurostat EB TJ GWh'!$A$2:$BV$2,0))</f>
        <v>0</v>
      </c>
      <c r="V68" s="57">
        <f>INDEX('Eurostat EB TJ GWh'!$A$2:$BV$146,MATCH($A68,'Eurostat EB TJ GWh'!$A$2:$A$146,0),MATCH(V$3,'Eurostat EB TJ GWh'!$A$2:$BV$2,0))</f>
        <v>0</v>
      </c>
      <c r="W68" s="57">
        <f>INDEX('Eurostat EB TJ GWh'!$A$2:$BV$146,MATCH($A68,'Eurostat EB TJ GWh'!$A$2:$A$146,0),MATCH(W$3,'Eurostat EB TJ GWh'!$A$2:$BV$2,0))</f>
        <v>0</v>
      </c>
      <c r="X68" s="57">
        <f>INDEX('Eurostat EB TJ GWh'!$A$2:$BV$146,MATCH($A68,'Eurostat EB TJ GWh'!$A$2:$A$146,0),MATCH(X$3,'Eurostat EB TJ GWh'!$A$2:$BV$2,0))</f>
        <v>0</v>
      </c>
      <c r="Y68" s="57">
        <f>INDEX('Eurostat EB TJ GWh'!$A$2:$BV$146,MATCH($A68,'Eurostat EB TJ GWh'!$A$2:$A$146,0),MATCH(Y$3,'Eurostat EB TJ GWh'!$A$2:$BV$2,0))</f>
        <v>0</v>
      </c>
      <c r="Z68" s="57">
        <f>INDEX('Eurostat EB TJ GWh'!$A$2:$BV$146,MATCH($A68,'Eurostat EB TJ GWh'!$A$2:$A$146,0),MATCH(Z$3,'Eurostat EB TJ GWh'!$A$2:$BV$2,0))</f>
        <v>0</v>
      </c>
      <c r="AA68" s="57">
        <f>INDEX('Eurostat EB TJ GWh'!$A$2:$BV$146,MATCH($A68,'Eurostat EB TJ GWh'!$A$2:$A$146,0),MATCH(AA$3,'Eurostat EB TJ GWh'!$A$2:$BV$2,0))</f>
        <v>0</v>
      </c>
      <c r="AB68" s="57">
        <f>INDEX('Eurostat EB TJ GWh'!$A$2:$BV$146,MATCH($A68,'Eurostat EB TJ GWh'!$A$2:$A$146,0),MATCH(AB$3,'Eurostat EB TJ GWh'!$A$2:$BV$2,0))</f>
        <v>0</v>
      </c>
      <c r="AC68" s="57">
        <f>INDEX('Eurostat EB TJ GWh'!$A$2:$BV$146,MATCH($A68,'Eurostat EB TJ GWh'!$A$2:$A$146,0),MATCH(AC$3,'Eurostat EB TJ GWh'!$A$2:$BV$2,0))</f>
        <v>0</v>
      </c>
      <c r="AD68" s="57">
        <f>INDEX('Eurostat EB TJ GWh'!$A$2:$BV$146,MATCH($A68,'Eurostat EB TJ GWh'!$A$2:$A$146,0),MATCH(AD$3,'Eurostat EB TJ GWh'!$A$2:$BV$2,0))</f>
        <v>0</v>
      </c>
      <c r="AE68" s="57">
        <f>INDEX('Eurostat EB TJ GWh'!$A$2:$BV$146,MATCH($A68,'Eurostat EB TJ GWh'!$A$2:$A$146,0),MATCH(AE$3,'Eurostat EB TJ GWh'!$A$2:$BV$2,0))</f>
        <v>0</v>
      </c>
      <c r="AF68" s="57">
        <f>INDEX('Eurostat EB TJ GWh'!$A$2:$BV$146,MATCH($A68,'Eurostat EB TJ GWh'!$A$2:$A$146,0),MATCH(AF$3,'Eurostat EB TJ GWh'!$A$2:$BV$2,0))</f>
        <v>0</v>
      </c>
      <c r="AG68" s="57">
        <f>INDEX('Eurostat EB TJ GWh'!$A$2:$BV$146,MATCH($A68,'Eurostat EB TJ GWh'!$A$2:$A$146,0),MATCH(AG$3,'Eurostat EB TJ GWh'!$A$2:$BV$2,0))</f>
        <v>0</v>
      </c>
      <c r="AH68" s="57">
        <f>INDEX('Eurostat EB TJ GWh'!$A$2:$BV$146,MATCH($A68,'Eurostat EB TJ GWh'!$A$2:$A$146,0),MATCH(AH$3,'Eurostat EB TJ GWh'!$A$2:$BV$2,0))</f>
        <v>0</v>
      </c>
      <c r="AI68" s="57">
        <f>INDEX('Eurostat EB TJ GWh'!$A$2:$BV$146,MATCH($A68,'Eurostat EB TJ GWh'!$A$2:$A$146,0),MATCH(AI$3,'Eurostat EB TJ GWh'!$A$2:$BV$2,0))</f>
        <v>0</v>
      </c>
      <c r="AJ68" s="57">
        <f>INDEX('Eurostat EB TJ GWh'!$A$2:$BV$146,MATCH($A68,'Eurostat EB TJ GWh'!$A$2:$A$146,0),MATCH(AJ$3,'Eurostat EB TJ GWh'!$A$2:$BV$2,0))</f>
        <v>0</v>
      </c>
      <c r="AK68" s="57">
        <f>INDEX('Eurostat EB TJ GWh'!$A$2:$BV$146,MATCH($A68,'Eurostat EB TJ GWh'!$A$2:$A$146,0),MATCH(AK$3,'Eurostat EB TJ GWh'!$A$2:$BV$2,0))</f>
        <v>0</v>
      </c>
      <c r="AL68" s="57">
        <f>INDEX('Eurostat EB TJ GWh'!$A$2:$BV$146,MATCH($A68,'Eurostat EB TJ GWh'!$A$2:$A$146,0),MATCH(AL$3,'Eurostat EB TJ GWh'!$A$2:$BV$2,0))</f>
        <v>0</v>
      </c>
      <c r="AM68" s="57">
        <f>INDEX('Eurostat EB TJ GWh'!$A$2:$BV$146,MATCH($A68,'Eurostat EB TJ GWh'!$A$2:$A$146,0),MATCH(AM$3,'Eurostat EB TJ GWh'!$A$2:$BV$2,0))</f>
        <v>0</v>
      </c>
      <c r="AN68" s="57">
        <f>INDEX('Eurostat EB TJ GWh'!$A$2:$BV$146,MATCH($A68,'Eurostat EB TJ GWh'!$A$2:$A$146,0),MATCH(AN$3,'Eurostat EB TJ GWh'!$A$2:$BV$2,0))</f>
        <v>0</v>
      </c>
      <c r="AO68" s="57">
        <f>INDEX('Eurostat EB TJ GWh'!$A$2:$BV$146,MATCH($A68,'Eurostat EB TJ GWh'!$A$2:$A$146,0),MATCH(AO$3,'Eurostat EB TJ GWh'!$A$2:$BV$2,0))</f>
        <v>0</v>
      </c>
      <c r="AP68" s="57">
        <f>INDEX('Eurostat EB TJ GWh'!$A$2:$BV$146,MATCH($A68,'Eurostat EB TJ GWh'!$A$2:$A$146,0),MATCH(AP$3,'Eurostat EB TJ GWh'!$A$2:$BV$2,0))</f>
        <v>0</v>
      </c>
      <c r="AQ68" s="57">
        <f>INDEX('Eurostat EB TJ GWh'!$A$2:$BV$146,MATCH($A68,'Eurostat EB TJ GWh'!$A$2:$A$146,0),MATCH(AQ$3,'Eurostat EB TJ GWh'!$A$2:$BV$2,0))</f>
        <v>0</v>
      </c>
      <c r="AR68" s="57">
        <f>INDEX('Eurostat EB TJ GWh'!$A$2:$BV$146,MATCH($A68,'Eurostat EB TJ GWh'!$A$2:$A$146,0),MATCH(AR$3,'Eurostat EB TJ GWh'!$A$2:$BV$2,0))</f>
        <v>0</v>
      </c>
      <c r="AS68" s="57">
        <f>INDEX('Eurostat EB TJ GWh'!$A$2:$BV$146,MATCH($A68,'Eurostat EB TJ GWh'!$A$2:$A$146,0),MATCH(AS$3,'Eurostat EB TJ GWh'!$A$2:$BV$2,0))</f>
        <v>0</v>
      </c>
      <c r="AT68" s="57">
        <f>INDEX('Eurostat EB TJ GWh'!$A$2:$BV$146,MATCH($A68,'Eurostat EB TJ GWh'!$A$2:$A$146,0),MATCH(AT$3,'Eurostat EB TJ GWh'!$A$2:$BV$2,0))</f>
        <v>0</v>
      </c>
      <c r="AU68" s="57">
        <f>INDEX('Eurostat EB TJ GWh'!$A$2:$BV$146,MATCH($A68,'Eurostat EB TJ GWh'!$A$2:$A$146,0),MATCH(AU$3,'Eurostat EB TJ GWh'!$A$2:$BV$2,0))</f>
        <v>0</v>
      </c>
      <c r="AV68" s="57">
        <f>INDEX('Eurostat EB TJ GWh'!$A$2:$BV$146,MATCH($A68,'Eurostat EB TJ GWh'!$A$2:$A$146,0),MATCH(AV$2,'Eurostat EB TJ GWh'!$A$2:$BV$2,0))+INDEX('Eurostat EB TJ GWh'!$A$2:$BV$146,MATCH($A68,'Eurostat EB TJ GWh'!$A$2:$A$146,0),MATCH(AV$3,'Eurostat EB TJ GWh'!$A$2:$BV$2,0))</f>
        <v>0</v>
      </c>
      <c r="AW68" s="57">
        <f>INDEX('Eurostat EB TJ GWh'!$A$2:$BV$146,MATCH($A68,'Eurostat EB TJ GWh'!$A$2:$A$146,0),MATCH(AW$2,'Eurostat EB TJ GWh'!$A$2:$BV$2,0))+INDEX('Eurostat EB TJ GWh'!$A$2:$BV$146,MATCH($A68,'Eurostat EB TJ GWh'!$A$2:$A$146,0),MATCH(AW$3,'Eurostat EB TJ GWh'!$A$2:$BV$2,0))</f>
        <v>0</v>
      </c>
      <c r="AX68" s="57">
        <f>INDEX('Eurostat EB TJ GWh'!$A$2:$BV$146,MATCH($A68,'Eurostat EB TJ GWh'!$A$2:$A$146,0),MATCH(AX$3,'Eurostat EB TJ GWh'!$A$2:$BV$2,0))</f>
        <v>0</v>
      </c>
      <c r="AY68" s="65">
        <v>0</v>
      </c>
      <c r="AZ68" s="57">
        <f>INDEX('Eurostat EB TJ GWh'!$A$2:$BV$146,MATCH($A68,'Eurostat EB TJ GWh'!$A$2:$A$146,0),MATCH(AZ$3,'Eurostat EB TJ GWh'!$A$2:$BV$2,0))</f>
        <v>0</v>
      </c>
      <c r="BA68" s="65">
        <v>0</v>
      </c>
      <c r="BB68" s="65">
        <v>0</v>
      </c>
      <c r="BC68" s="57">
        <f>INDEX('Eurostat EB TJ GWh'!$A$2:$BV$146,MATCH($A68,'Eurostat EB TJ GWh'!$A$2:$A$146,0),MATCH(BC$3,'Eurostat EB TJ GWh'!$A$2:$BV$2,0))</f>
        <v>0</v>
      </c>
      <c r="BD68" s="57">
        <f>INDEX('Eurostat EB TJ GWh'!$A$2:$BV$146,MATCH($A68,'Eurostat EB TJ GWh'!$A$2:$A$146,0),MATCH(BD$3,'Eurostat EB TJ GWh'!$A$2:$BV$2,0))</f>
        <v>0</v>
      </c>
      <c r="BE68" s="57">
        <f>INDEX('Eurostat EB TJ GWh'!$A$2:$BV$146,MATCH($A68,'Eurostat EB TJ GWh'!$A$2:$A$146,0),MATCH(BE$3,'Eurostat EB TJ GWh'!$A$2:$BV$2,0))</f>
        <v>0</v>
      </c>
      <c r="BF68" s="57">
        <f>INDEX('Eurostat EB TJ GWh'!$A$2:$BV$146,MATCH($A68,'Eurostat EB TJ GWh'!$A$2:$A$146,0),MATCH(BF$3,'Eurostat EB TJ GWh'!$A$2:$BV$2,0))</f>
        <v>0</v>
      </c>
      <c r="BG68" s="57">
        <f>INDEX('Eurostat EB TJ GWh'!$A$2:$BV$146,MATCH($A68,'Eurostat EB TJ GWh'!$A$2:$A$146,0),MATCH(BG$3,'Eurostat EB TJ GWh'!$A$2:$BV$2,0))</f>
        <v>0</v>
      </c>
      <c r="BH68" s="57">
        <f>INDEX('Eurostat EB TJ GWh'!$A$2:$BV$146,MATCH($A68,'Eurostat EB TJ GWh'!$A$2:$A$146,0),MATCH(BH$3,'Eurostat EB TJ GWh'!$A$2:$BV$2,0))</f>
        <v>0</v>
      </c>
      <c r="BI68" s="57">
        <f>INDEX('Eurostat EB TJ GWh'!$A$2:$BV$146,MATCH($A68,'Eurostat EB TJ GWh'!$A$2:$A$146,0),MATCH(BI$3,'Eurostat EB TJ GWh'!$A$2:$BV$2,0))</f>
        <v>0</v>
      </c>
      <c r="BJ68" s="65">
        <v>0</v>
      </c>
      <c r="BK68" s="57">
        <f>INDEX('Eurostat EB TJ GWh'!$A$2:$BV$146,MATCH($A68,'Eurostat EB TJ GWh'!$A$2:$A$146,0),MATCH(BK$3,'Eurostat EB TJ GWh'!$A$2:$BV$2,0))</f>
        <v>0</v>
      </c>
      <c r="BL68" s="57">
        <f>INDEX('Eurostat EB TJ GWh'!$A$2:$BV$146,MATCH($A68,'Eurostat EB TJ GWh'!$A$2:$A$146,0),MATCH(BL$3,'Eurostat EB TJ GWh'!$A$2:$BV$2,0))</f>
        <v>0</v>
      </c>
      <c r="BM68" s="57">
        <f>INDEX('Eurostat EB TJ GWh'!$A$2:$BV$146,MATCH($A68,'Eurostat EB TJ GWh'!$A$2:$A$146,0),MATCH(BM$3,'Eurostat EB TJ GWh'!$A$2:$BV$2,0))</f>
        <v>0</v>
      </c>
      <c r="BN68" s="57">
        <f>INDEX('Eurostat EB TJ GWh'!$A$2:$BV$146,MATCH($A68,'Eurostat EB TJ GWh'!$A$2:$A$146,0),MATCH(BN$3,'Eurostat EB TJ GWh'!$A$2:$BV$2,0))</f>
        <v>0</v>
      </c>
    </row>
    <row r="69" spans="1:66" x14ac:dyDescent="0.2">
      <c r="A69" s="56" t="s">
        <v>257</v>
      </c>
      <c r="B69" s="65" t="s">
        <v>323</v>
      </c>
      <c r="C69" s="65" t="s">
        <v>323</v>
      </c>
      <c r="D69" s="17">
        <f>INDEX('Eurostat EB TJ GWh'!$A$2:$BV$146,MATCH($A69,'Eurostat EB TJ GWh'!$A$2:$A$146,0),MATCH(D$3,'Eurostat EB TJ GWh'!$A$2:$BV$2,0))</f>
        <v>0</v>
      </c>
      <c r="E69" s="17">
        <f>INDEX('Eurostat EB TJ GWh'!$A$2:$BV$146,MATCH($A69,'Eurostat EB TJ GWh'!$A$2:$A$146,0),MATCH(E$3,'Eurostat EB TJ GWh'!$A$2:$BV$2,0))</f>
        <v>0</v>
      </c>
      <c r="F69" s="17">
        <f>INDEX('Eurostat EB TJ GWh'!$A$2:$BV$146,MATCH($A69,'Eurostat EB TJ GWh'!$A$2:$A$146,0),MATCH(F$3,'Eurostat EB TJ GWh'!$A$2:$BV$2,0))</f>
        <v>0</v>
      </c>
      <c r="G69" s="17">
        <f>INDEX('Eurostat EB TJ GWh'!$A$2:$BV$146,MATCH($A69,'Eurostat EB TJ GWh'!$A$2:$A$146,0),MATCH(G$3,'Eurostat EB TJ GWh'!$A$2:$BV$2,0))</f>
        <v>0</v>
      </c>
      <c r="H69" s="17">
        <f>INDEX('Eurostat EB TJ GWh'!$A$2:$BV$146,MATCH($A69,'Eurostat EB TJ GWh'!$A$2:$A$146,0),MATCH(H$3,'Eurostat EB TJ GWh'!$A$2:$BV$2,0))</f>
        <v>0</v>
      </c>
      <c r="I69" s="17">
        <f>INDEX('Eurostat EB TJ GWh'!$A$2:$BV$146,MATCH($A69,'Eurostat EB TJ GWh'!$A$2:$A$146,0),MATCH(I$3,'Eurostat EB TJ GWh'!$A$2:$BV$2,0))</f>
        <v>0</v>
      </c>
      <c r="J69" s="17">
        <f>INDEX('Eurostat EB TJ GWh'!$A$2:$BV$146,MATCH($A69,'Eurostat EB TJ GWh'!$A$2:$A$146,0),MATCH(J$3,'Eurostat EB TJ GWh'!$A$2:$BV$2,0))</f>
        <v>0</v>
      </c>
      <c r="K69" s="17">
        <f>INDEX('Eurostat EB TJ GWh'!$A$2:$BV$146,MATCH($A69,'Eurostat EB TJ GWh'!$A$2:$A$146,0),MATCH(K$3,'Eurostat EB TJ GWh'!$A$2:$BV$2,0))</f>
        <v>0</v>
      </c>
      <c r="L69" s="17">
        <f>INDEX('Eurostat EB TJ GWh'!$A$2:$BV$146,MATCH($A69,'Eurostat EB TJ GWh'!$A$2:$A$146,0),MATCH(L$3,'Eurostat EB TJ GWh'!$A$2:$BV$2,0))</f>
        <v>0</v>
      </c>
      <c r="M69" s="17">
        <f>INDEX('Eurostat EB TJ GWh'!$A$2:$BV$146,MATCH($A69,'Eurostat EB TJ GWh'!$A$2:$A$146,0),MATCH(M$3,'Eurostat EB TJ GWh'!$A$2:$BV$2,0))</f>
        <v>0</v>
      </c>
      <c r="N69" s="17">
        <f>INDEX('Eurostat EB TJ GWh'!$A$2:$BV$146,MATCH($A69,'Eurostat EB TJ GWh'!$A$2:$A$146,0),MATCH(N$3,'Eurostat EB TJ GWh'!$A$2:$BV$2,0))</f>
        <v>0</v>
      </c>
      <c r="O69" s="17">
        <f>INDEX('Eurostat EB TJ GWh'!$A$2:$BV$146,MATCH($A69,'Eurostat EB TJ GWh'!$A$2:$A$146,0),MATCH(O$3,'Eurostat EB TJ GWh'!$A$2:$BV$2,0))</f>
        <v>0</v>
      </c>
      <c r="P69" s="17">
        <f>INDEX('Eurostat EB TJ GWh'!$A$2:$BV$146,MATCH($A69,'Eurostat EB TJ GWh'!$A$2:$A$146,0),MATCH(P$3,'Eurostat EB TJ GWh'!$A$2:$BV$2,0))</f>
        <v>0</v>
      </c>
      <c r="Q69" s="17">
        <f>INDEX('Eurostat EB TJ GWh'!$A$2:$BV$146,MATCH($A69,'Eurostat EB TJ GWh'!$A$2:$A$146,0),MATCH(Q$3,'Eurostat EB TJ GWh'!$A$2:$BV$2,0))</f>
        <v>0</v>
      </c>
      <c r="R69" s="17">
        <f>INDEX('Eurostat EB TJ GWh'!$A$2:$BV$146,MATCH($A69,'Eurostat EB TJ GWh'!$A$2:$A$146,0),MATCH(R$2,'Eurostat EB TJ GWh'!$A$2:$BV$2,0))+INDEX('Eurostat EB TJ GWh'!$A$2:$BV$146,MATCH($A69,'Eurostat EB TJ GWh'!$A$2:$A$146,0),MATCH(R$3,'Eurostat EB TJ GWh'!$A$2:$BV$2,0))</f>
        <v>0</v>
      </c>
      <c r="S69" s="17">
        <f>INDEX('Eurostat EB TJ GWh'!$A$2:$BV$146,MATCH($A69,'Eurostat EB TJ GWh'!$A$2:$A$146,0),MATCH(S$3,'Eurostat EB TJ GWh'!$A$2:$BV$2,0))</f>
        <v>11333.489</v>
      </c>
      <c r="T69" s="65" t="s">
        <v>323</v>
      </c>
      <c r="U69" s="17">
        <f>INDEX('Eurostat EB TJ GWh'!$A$2:$BV$146,MATCH($A69,'Eurostat EB TJ GWh'!$A$2:$A$146,0),MATCH(U$3,'Eurostat EB TJ GWh'!$A$2:$BV$2,0))</f>
        <v>0</v>
      </c>
      <c r="V69" s="17">
        <f>INDEX('Eurostat EB TJ GWh'!$A$2:$BV$146,MATCH($A69,'Eurostat EB TJ GWh'!$A$2:$A$146,0),MATCH(V$3,'Eurostat EB TJ GWh'!$A$2:$BV$2,0))</f>
        <v>0</v>
      </c>
      <c r="W69" s="17">
        <f>INDEX('Eurostat EB TJ GWh'!$A$2:$BV$146,MATCH($A69,'Eurostat EB TJ GWh'!$A$2:$A$146,0),MATCH(W$3,'Eurostat EB TJ GWh'!$A$2:$BV$2,0))</f>
        <v>0</v>
      </c>
      <c r="X69" s="17">
        <f>INDEX('Eurostat EB TJ GWh'!$A$2:$BV$146,MATCH($A69,'Eurostat EB TJ GWh'!$A$2:$A$146,0),MATCH(X$3,'Eurostat EB TJ GWh'!$A$2:$BV$2,0))</f>
        <v>0</v>
      </c>
      <c r="Y69" s="17">
        <f>INDEX('Eurostat EB TJ GWh'!$A$2:$BV$146,MATCH($A69,'Eurostat EB TJ GWh'!$A$2:$A$146,0),MATCH(Y$3,'Eurostat EB TJ GWh'!$A$2:$BV$2,0))</f>
        <v>0</v>
      </c>
      <c r="Z69" s="17">
        <f>INDEX('Eurostat EB TJ GWh'!$A$2:$BV$146,MATCH($A69,'Eurostat EB TJ GWh'!$A$2:$A$146,0),MATCH(Z$3,'Eurostat EB TJ GWh'!$A$2:$BV$2,0))</f>
        <v>0</v>
      </c>
      <c r="AA69" s="17">
        <f>INDEX('Eurostat EB TJ GWh'!$A$2:$BV$146,MATCH($A69,'Eurostat EB TJ GWh'!$A$2:$A$146,0),MATCH(AA$3,'Eurostat EB TJ GWh'!$A$2:$BV$2,0))</f>
        <v>0</v>
      </c>
      <c r="AB69" s="17">
        <f>INDEX('Eurostat EB TJ GWh'!$A$2:$BV$146,MATCH($A69,'Eurostat EB TJ GWh'!$A$2:$A$146,0),MATCH(AB$3,'Eurostat EB TJ GWh'!$A$2:$BV$2,0))</f>
        <v>0</v>
      </c>
      <c r="AC69" s="17">
        <f>INDEX('Eurostat EB TJ GWh'!$A$2:$BV$146,MATCH($A69,'Eurostat EB TJ GWh'!$A$2:$A$146,0),MATCH(AC$3,'Eurostat EB TJ GWh'!$A$2:$BV$2,0))</f>
        <v>0</v>
      </c>
      <c r="AD69" s="17">
        <f>INDEX('Eurostat EB TJ GWh'!$A$2:$BV$146,MATCH($A69,'Eurostat EB TJ GWh'!$A$2:$A$146,0),MATCH(AD$3,'Eurostat EB TJ GWh'!$A$2:$BV$2,0))</f>
        <v>0</v>
      </c>
      <c r="AE69" s="17">
        <f>INDEX('Eurostat EB TJ GWh'!$A$2:$BV$146,MATCH($A69,'Eurostat EB TJ GWh'!$A$2:$A$146,0),MATCH(AE$3,'Eurostat EB TJ GWh'!$A$2:$BV$2,0))</f>
        <v>0</v>
      </c>
      <c r="AF69" s="17">
        <f>INDEX('Eurostat EB TJ GWh'!$A$2:$BV$146,MATCH($A69,'Eurostat EB TJ GWh'!$A$2:$A$146,0),MATCH(AF$3,'Eurostat EB TJ GWh'!$A$2:$BV$2,0))</f>
        <v>0</v>
      </c>
      <c r="AG69" s="17">
        <f>INDEX('Eurostat EB TJ GWh'!$A$2:$BV$146,MATCH($A69,'Eurostat EB TJ GWh'!$A$2:$A$146,0),MATCH(AG$3,'Eurostat EB TJ GWh'!$A$2:$BV$2,0))</f>
        <v>0</v>
      </c>
      <c r="AH69" s="17">
        <f>INDEX('Eurostat EB TJ GWh'!$A$2:$BV$146,MATCH($A69,'Eurostat EB TJ GWh'!$A$2:$A$146,0),MATCH(AH$3,'Eurostat EB TJ GWh'!$A$2:$BV$2,0))</f>
        <v>0</v>
      </c>
      <c r="AI69" s="17">
        <f>INDEX('Eurostat EB TJ GWh'!$A$2:$BV$146,MATCH($A69,'Eurostat EB TJ GWh'!$A$2:$A$146,0),MATCH(AI$3,'Eurostat EB TJ GWh'!$A$2:$BV$2,0))</f>
        <v>0</v>
      </c>
      <c r="AJ69" s="17">
        <f>INDEX('Eurostat EB TJ GWh'!$A$2:$BV$146,MATCH($A69,'Eurostat EB TJ GWh'!$A$2:$A$146,0),MATCH(AJ$3,'Eurostat EB TJ GWh'!$A$2:$BV$2,0))</f>
        <v>0</v>
      </c>
      <c r="AK69" s="17">
        <f>INDEX('Eurostat EB TJ GWh'!$A$2:$BV$146,MATCH($A69,'Eurostat EB TJ GWh'!$A$2:$A$146,0),MATCH(AK$3,'Eurostat EB TJ GWh'!$A$2:$BV$2,0))</f>
        <v>0</v>
      </c>
      <c r="AL69" s="17">
        <f>INDEX('Eurostat EB TJ GWh'!$A$2:$BV$146,MATCH($A69,'Eurostat EB TJ GWh'!$A$2:$A$146,0),MATCH(AL$3,'Eurostat EB TJ GWh'!$A$2:$BV$2,0))</f>
        <v>0</v>
      </c>
      <c r="AM69" s="17">
        <f>INDEX('Eurostat EB TJ GWh'!$A$2:$BV$146,MATCH($A69,'Eurostat EB TJ GWh'!$A$2:$A$146,0),MATCH(AM$3,'Eurostat EB TJ GWh'!$A$2:$BV$2,0))</f>
        <v>0</v>
      </c>
      <c r="AN69" s="17">
        <f>INDEX('Eurostat EB TJ GWh'!$A$2:$BV$146,MATCH($A69,'Eurostat EB TJ GWh'!$A$2:$A$146,0),MATCH(AN$3,'Eurostat EB TJ GWh'!$A$2:$BV$2,0))</f>
        <v>0</v>
      </c>
      <c r="AO69" s="17">
        <f>INDEX('Eurostat EB TJ GWh'!$A$2:$BV$146,MATCH($A69,'Eurostat EB TJ GWh'!$A$2:$A$146,0),MATCH(AO$3,'Eurostat EB TJ GWh'!$A$2:$BV$2,0))</f>
        <v>0</v>
      </c>
      <c r="AP69" s="17">
        <f>INDEX('Eurostat EB TJ GWh'!$A$2:$BV$146,MATCH($A69,'Eurostat EB TJ GWh'!$A$2:$A$146,0),MATCH(AP$3,'Eurostat EB TJ GWh'!$A$2:$BV$2,0))</f>
        <v>0</v>
      </c>
      <c r="AQ69" s="17">
        <f>INDEX('Eurostat EB TJ GWh'!$A$2:$BV$146,MATCH($A69,'Eurostat EB TJ GWh'!$A$2:$A$146,0),MATCH(AQ$3,'Eurostat EB TJ GWh'!$A$2:$BV$2,0))</f>
        <v>0</v>
      </c>
      <c r="AR69" s="17">
        <f>INDEX('Eurostat EB TJ GWh'!$A$2:$BV$146,MATCH($A69,'Eurostat EB TJ GWh'!$A$2:$A$146,0),MATCH(AR$3,'Eurostat EB TJ GWh'!$A$2:$BV$2,0))</f>
        <v>0</v>
      </c>
      <c r="AS69" s="17">
        <f>INDEX('Eurostat EB TJ GWh'!$A$2:$BV$146,MATCH($A69,'Eurostat EB TJ GWh'!$A$2:$A$146,0),MATCH(AS$3,'Eurostat EB TJ GWh'!$A$2:$BV$2,0))</f>
        <v>0</v>
      </c>
      <c r="AT69" s="17">
        <f>INDEX('Eurostat EB TJ GWh'!$A$2:$BV$146,MATCH($A69,'Eurostat EB TJ GWh'!$A$2:$A$146,0),MATCH(AT$3,'Eurostat EB TJ GWh'!$A$2:$BV$2,0))</f>
        <v>0</v>
      </c>
      <c r="AU69" s="17">
        <f>INDEX('Eurostat EB TJ GWh'!$A$2:$BV$146,MATCH($A69,'Eurostat EB TJ GWh'!$A$2:$A$146,0),MATCH(AU$3,'Eurostat EB TJ GWh'!$A$2:$BV$2,0))</f>
        <v>0</v>
      </c>
      <c r="AV69" s="17">
        <f>INDEX('Eurostat EB TJ GWh'!$A$2:$BV$146,MATCH($A69,'Eurostat EB TJ GWh'!$A$2:$A$146,0),MATCH(AV$2,'Eurostat EB TJ GWh'!$A$2:$BV$2,0))+INDEX('Eurostat EB TJ GWh'!$A$2:$BV$146,MATCH($A69,'Eurostat EB TJ GWh'!$A$2:$A$146,0),MATCH(AV$3,'Eurostat EB TJ GWh'!$A$2:$BV$2,0))</f>
        <v>0</v>
      </c>
      <c r="AW69" s="17">
        <f>INDEX('Eurostat EB TJ GWh'!$A$2:$BV$146,MATCH($A69,'Eurostat EB TJ GWh'!$A$2:$A$146,0),MATCH(AW$2,'Eurostat EB TJ GWh'!$A$2:$BV$2,0))+INDEX('Eurostat EB TJ GWh'!$A$2:$BV$146,MATCH($A69,'Eurostat EB TJ GWh'!$A$2:$A$146,0),MATCH(AW$3,'Eurostat EB TJ GWh'!$A$2:$BV$2,0))</f>
        <v>0</v>
      </c>
      <c r="AX69" s="17">
        <f>INDEX('Eurostat EB TJ GWh'!$A$2:$BV$146,MATCH($A69,'Eurostat EB TJ GWh'!$A$2:$A$146,0),MATCH(AX$3,'Eurostat EB TJ GWh'!$A$2:$BV$2,0))</f>
        <v>0</v>
      </c>
      <c r="AY69" s="65">
        <v>0</v>
      </c>
      <c r="AZ69" s="17">
        <f>INDEX('Eurostat EB TJ GWh'!$A$2:$BV$146,MATCH($A69,'Eurostat EB TJ GWh'!$A$2:$A$146,0),MATCH(AZ$3,'Eurostat EB TJ GWh'!$A$2:$BV$2,0))</f>
        <v>0</v>
      </c>
      <c r="BA69" s="65">
        <v>0</v>
      </c>
      <c r="BB69" s="65">
        <v>0</v>
      </c>
      <c r="BC69" s="17">
        <f>INDEX('Eurostat EB TJ GWh'!$A$2:$BV$146,MATCH($A69,'Eurostat EB TJ GWh'!$A$2:$A$146,0),MATCH(BC$3,'Eurostat EB TJ GWh'!$A$2:$BV$2,0))</f>
        <v>0</v>
      </c>
      <c r="BD69" s="17">
        <f>INDEX('Eurostat EB TJ GWh'!$A$2:$BV$146,MATCH($A69,'Eurostat EB TJ GWh'!$A$2:$A$146,0),MATCH(BD$3,'Eurostat EB TJ GWh'!$A$2:$BV$2,0))</f>
        <v>0</v>
      </c>
      <c r="BE69" s="17">
        <f>INDEX('Eurostat EB TJ GWh'!$A$2:$BV$146,MATCH($A69,'Eurostat EB TJ GWh'!$A$2:$A$146,0),MATCH(BE$3,'Eurostat EB TJ GWh'!$A$2:$BV$2,0))</f>
        <v>0</v>
      </c>
      <c r="BF69" s="17">
        <f>INDEX('Eurostat EB TJ GWh'!$A$2:$BV$146,MATCH($A69,'Eurostat EB TJ GWh'!$A$2:$A$146,0),MATCH(BF$3,'Eurostat EB TJ GWh'!$A$2:$BV$2,0))</f>
        <v>0</v>
      </c>
      <c r="BG69" s="17">
        <f>INDEX('Eurostat EB TJ GWh'!$A$2:$BV$146,MATCH($A69,'Eurostat EB TJ GWh'!$A$2:$A$146,0),MATCH(BG$3,'Eurostat EB TJ GWh'!$A$2:$BV$2,0))</f>
        <v>0</v>
      </c>
      <c r="BH69" s="17">
        <f>INDEX('Eurostat EB TJ GWh'!$A$2:$BV$146,MATCH($A69,'Eurostat EB TJ GWh'!$A$2:$A$146,0),MATCH(BH$3,'Eurostat EB TJ GWh'!$A$2:$BV$2,0))</f>
        <v>0</v>
      </c>
      <c r="BI69" s="17">
        <f>INDEX('Eurostat EB TJ GWh'!$A$2:$BV$146,MATCH($A69,'Eurostat EB TJ GWh'!$A$2:$A$146,0),MATCH(BI$3,'Eurostat EB TJ GWh'!$A$2:$BV$2,0))</f>
        <v>0</v>
      </c>
      <c r="BJ69" s="65">
        <v>0</v>
      </c>
      <c r="BK69" s="17">
        <f>INDEX('Eurostat EB TJ GWh'!$A$2:$BV$146,MATCH($A69,'Eurostat EB TJ GWh'!$A$2:$A$146,0),MATCH(BK$3,'Eurostat EB TJ GWh'!$A$2:$BV$2,0))</f>
        <v>0</v>
      </c>
      <c r="BL69" s="17">
        <f>INDEX('Eurostat EB TJ GWh'!$A$2:$BV$146,MATCH($A69,'Eurostat EB TJ GWh'!$A$2:$A$146,0),MATCH(BL$3,'Eurostat EB TJ GWh'!$A$2:$BV$2,0))</f>
        <v>0</v>
      </c>
      <c r="BM69" s="17">
        <f>INDEX('Eurostat EB TJ GWh'!$A$2:$BV$146,MATCH($A69,'Eurostat EB TJ GWh'!$A$2:$A$146,0),MATCH(BM$3,'Eurostat EB TJ GWh'!$A$2:$BV$2,0))</f>
        <v>11333.489</v>
      </c>
      <c r="BN69" s="17">
        <f>INDEX('Eurostat EB TJ GWh'!$A$2:$BV$146,MATCH($A69,'Eurostat EB TJ GWh'!$A$2:$A$146,0),MATCH(BN$3,'Eurostat EB TJ GWh'!$A$2:$BV$2,0))</f>
        <v>116.08799999999999</v>
      </c>
    </row>
    <row r="70" spans="1:66" x14ac:dyDescent="0.2">
      <c r="A70" s="56" t="s">
        <v>258</v>
      </c>
      <c r="B70" s="65" t="s">
        <v>323</v>
      </c>
      <c r="C70" s="65" t="s">
        <v>323</v>
      </c>
      <c r="D70" s="57">
        <f>INDEX('Eurostat EB TJ GWh'!$A$2:$BV$146,MATCH($A70,'Eurostat EB TJ GWh'!$A$2:$A$146,0),MATCH(D$3,'Eurostat EB TJ GWh'!$A$2:$BV$2,0))</f>
        <v>0</v>
      </c>
      <c r="E70" s="57">
        <f>INDEX('Eurostat EB TJ GWh'!$A$2:$BV$146,MATCH($A70,'Eurostat EB TJ GWh'!$A$2:$A$146,0),MATCH(E$3,'Eurostat EB TJ GWh'!$A$2:$BV$2,0))</f>
        <v>0</v>
      </c>
      <c r="F70" s="57">
        <f>INDEX('Eurostat EB TJ GWh'!$A$2:$BV$146,MATCH($A70,'Eurostat EB TJ GWh'!$A$2:$A$146,0),MATCH(F$3,'Eurostat EB TJ GWh'!$A$2:$BV$2,0))</f>
        <v>0</v>
      </c>
      <c r="G70" s="57">
        <f>INDEX('Eurostat EB TJ GWh'!$A$2:$BV$146,MATCH($A70,'Eurostat EB TJ GWh'!$A$2:$A$146,0),MATCH(G$3,'Eurostat EB TJ GWh'!$A$2:$BV$2,0))</f>
        <v>0</v>
      </c>
      <c r="H70" s="57">
        <f>INDEX('Eurostat EB TJ GWh'!$A$2:$BV$146,MATCH($A70,'Eurostat EB TJ GWh'!$A$2:$A$146,0),MATCH(H$3,'Eurostat EB TJ GWh'!$A$2:$BV$2,0))</f>
        <v>0</v>
      </c>
      <c r="I70" s="57">
        <f>INDEX('Eurostat EB TJ GWh'!$A$2:$BV$146,MATCH($A70,'Eurostat EB TJ GWh'!$A$2:$A$146,0),MATCH(I$3,'Eurostat EB TJ GWh'!$A$2:$BV$2,0))</f>
        <v>0</v>
      </c>
      <c r="J70" s="57">
        <f>INDEX('Eurostat EB TJ GWh'!$A$2:$BV$146,MATCH($A70,'Eurostat EB TJ GWh'!$A$2:$A$146,0),MATCH(J$3,'Eurostat EB TJ GWh'!$A$2:$BV$2,0))</f>
        <v>0</v>
      </c>
      <c r="K70" s="57">
        <f>INDEX('Eurostat EB TJ GWh'!$A$2:$BV$146,MATCH($A70,'Eurostat EB TJ GWh'!$A$2:$A$146,0),MATCH(K$3,'Eurostat EB TJ GWh'!$A$2:$BV$2,0))</f>
        <v>0</v>
      </c>
      <c r="L70" s="57">
        <f>INDEX('Eurostat EB TJ GWh'!$A$2:$BV$146,MATCH($A70,'Eurostat EB TJ GWh'!$A$2:$A$146,0),MATCH(L$3,'Eurostat EB TJ GWh'!$A$2:$BV$2,0))</f>
        <v>0</v>
      </c>
      <c r="M70" s="57">
        <f>INDEX('Eurostat EB TJ GWh'!$A$2:$BV$146,MATCH($A70,'Eurostat EB TJ GWh'!$A$2:$A$146,0),MATCH(M$3,'Eurostat EB TJ GWh'!$A$2:$BV$2,0))</f>
        <v>0</v>
      </c>
      <c r="N70" s="57">
        <f>INDEX('Eurostat EB TJ GWh'!$A$2:$BV$146,MATCH($A70,'Eurostat EB TJ GWh'!$A$2:$A$146,0),MATCH(N$3,'Eurostat EB TJ GWh'!$A$2:$BV$2,0))</f>
        <v>0</v>
      </c>
      <c r="O70" s="57">
        <f>INDEX('Eurostat EB TJ GWh'!$A$2:$BV$146,MATCH($A70,'Eurostat EB TJ GWh'!$A$2:$A$146,0),MATCH(O$3,'Eurostat EB TJ GWh'!$A$2:$BV$2,0))</f>
        <v>0</v>
      </c>
      <c r="P70" s="57">
        <f>INDEX('Eurostat EB TJ GWh'!$A$2:$BV$146,MATCH($A70,'Eurostat EB TJ GWh'!$A$2:$A$146,0),MATCH(P$3,'Eurostat EB TJ GWh'!$A$2:$BV$2,0))</f>
        <v>0</v>
      </c>
      <c r="Q70" s="57">
        <f>INDEX('Eurostat EB TJ GWh'!$A$2:$BV$146,MATCH($A70,'Eurostat EB TJ GWh'!$A$2:$A$146,0),MATCH(Q$3,'Eurostat EB TJ GWh'!$A$2:$BV$2,0))</f>
        <v>0</v>
      </c>
      <c r="R70" s="57">
        <f>INDEX('Eurostat EB TJ GWh'!$A$2:$BV$146,MATCH($A70,'Eurostat EB TJ GWh'!$A$2:$A$146,0),MATCH(R$2,'Eurostat EB TJ GWh'!$A$2:$BV$2,0))+INDEX('Eurostat EB TJ GWh'!$A$2:$BV$146,MATCH($A70,'Eurostat EB TJ GWh'!$A$2:$A$146,0),MATCH(R$3,'Eurostat EB TJ GWh'!$A$2:$BV$2,0))</f>
        <v>0</v>
      </c>
      <c r="S70" s="57">
        <f>INDEX('Eurostat EB TJ GWh'!$A$2:$BV$146,MATCH($A70,'Eurostat EB TJ GWh'!$A$2:$A$146,0),MATCH(S$3,'Eurostat EB TJ GWh'!$A$2:$BV$2,0))</f>
        <v>0</v>
      </c>
      <c r="T70" s="65" t="s">
        <v>323</v>
      </c>
      <c r="U70" s="57">
        <f>INDEX('Eurostat EB TJ GWh'!$A$2:$BV$146,MATCH($A70,'Eurostat EB TJ GWh'!$A$2:$A$146,0),MATCH(U$3,'Eurostat EB TJ GWh'!$A$2:$BV$2,0))</f>
        <v>0</v>
      </c>
      <c r="V70" s="57">
        <f>INDEX('Eurostat EB TJ GWh'!$A$2:$BV$146,MATCH($A70,'Eurostat EB TJ GWh'!$A$2:$A$146,0),MATCH(V$3,'Eurostat EB TJ GWh'!$A$2:$BV$2,0))</f>
        <v>0</v>
      </c>
      <c r="W70" s="57">
        <f>INDEX('Eurostat EB TJ GWh'!$A$2:$BV$146,MATCH($A70,'Eurostat EB TJ GWh'!$A$2:$A$146,0),MATCH(W$3,'Eurostat EB TJ GWh'!$A$2:$BV$2,0))</f>
        <v>0</v>
      </c>
      <c r="X70" s="57">
        <f>INDEX('Eurostat EB TJ GWh'!$A$2:$BV$146,MATCH($A70,'Eurostat EB TJ GWh'!$A$2:$A$146,0),MATCH(X$3,'Eurostat EB TJ GWh'!$A$2:$BV$2,0))</f>
        <v>0</v>
      </c>
      <c r="Y70" s="57">
        <f>INDEX('Eurostat EB TJ GWh'!$A$2:$BV$146,MATCH($A70,'Eurostat EB TJ GWh'!$A$2:$A$146,0),MATCH(Y$3,'Eurostat EB TJ GWh'!$A$2:$BV$2,0))</f>
        <v>0</v>
      </c>
      <c r="Z70" s="57">
        <f>INDEX('Eurostat EB TJ GWh'!$A$2:$BV$146,MATCH($A70,'Eurostat EB TJ GWh'!$A$2:$A$146,0),MATCH(Z$3,'Eurostat EB TJ GWh'!$A$2:$BV$2,0))</f>
        <v>0</v>
      </c>
      <c r="AA70" s="57">
        <f>INDEX('Eurostat EB TJ GWh'!$A$2:$BV$146,MATCH($A70,'Eurostat EB TJ GWh'!$A$2:$A$146,0),MATCH(AA$3,'Eurostat EB TJ GWh'!$A$2:$BV$2,0))</f>
        <v>0</v>
      </c>
      <c r="AB70" s="57">
        <f>INDEX('Eurostat EB TJ GWh'!$A$2:$BV$146,MATCH($A70,'Eurostat EB TJ GWh'!$A$2:$A$146,0),MATCH(AB$3,'Eurostat EB TJ GWh'!$A$2:$BV$2,0))</f>
        <v>0</v>
      </c>
      <c r="AC70" s="57">
        <f>INDEX('Eurostat EB TJ GWh'!$A$2:$BV$146,MATCH($A70,'Eurostat EB TJ GWh'!$A$2:$A$146,0),MATCH(AC$3,'Eurostat EB TJ GWh'!$A$2:$BV$2,0))</f>
        <v>0</v>
      </c>
      <c r="AD70" s="57">
        <f>INDEX('Eurostat EB TJ GWh'!$A$2:$BV$146,MATCH($A70,'Eurostat EB TJ GWh'!$A$2:$A$146,0),MATCH(AD$3,'Eurostat EB TJ GWh'!$A$2:$BV$2,0))</f>
        <v>0</v>
      </c>
      <c r="AE70" s="57">
        <f>INDEX('Eurostat EB TJ GWh'!$A$2:$BV$146,MATCH($A70,'Eurostat EB TJ GWh'!$A$2:$A$146,0),MATCH(AE$3,'Eurostat EB TJ GWh'!$A$2:$BV$2,0))</f>
        <v>0</v>
      </c>
      <c r="AF70" s="57">
        <f>INDEX('Eurostat EB TJ GWh'!$A$2:$BV$146,MATCH($A70,'Eurostat EB TJ GWh'!$A$2:$A$146,0),MATCH(AF$3,'Eurostat EB TJ GWh'!$A$2:$BV$2,0))</f>
        <v>0</v>
      </c>
      <c r="AG70" s="57">
        <f>INDEX('Eurostat EB TJ GWh'!$A$2:$BV$146,MATCH($A70,'Eurostat EB TJ GWh'!$A$2:$A$146,0),MATCH(AG$3,'Eurostat EB TJ GWh'!$A$2:$BV$2,0))</f>
        <v>0</v>
      </c>
      <c r="AH70" s="57">
        <f>INDEX('Eurostat EB TJ GWh'!$A$2:$BV$146,MATCH($A70,'Eurostat EB TJ GWh'!$A$2:$A$146,0),MATCH(AH$3,'Eurostat EB TJ GWh'!$A$2:$BV$2,0))</f>
        <v>0</v>
      </c>
      <c r="AI70" s="57">
        <f>INDEX('Eurostat EB TJ GWh'!$A$2:$BV$146,MATCH($A70,'Eurostat EB TJ GWh'!$A$2:$A$146,0),MATCH(AI$3,'Eurostat EB TJ GWh'!$A$2:$BV$2,0))</f>
        <v>0</v>
      </c>
      <c r="AJ70" s="57">
        <f>INDEX('Eurostat EB TJ GWh'!$A$2:$BV$146,MATCH($A70,'Eurostat EB TJ GWh'!$A$2:$A$146,0),MATCH(AJ$3,'Eurostat EB TJ GWh'!$A$2:$BV$2,0))</f>
        <v>0</v>
      </c>
      <c r="AK70" s="57">
        <f>INDEX('Eurostat EB TJ GWh'!$A$2:$BV$146,MATCH($A70,'Eurostat EB TJ GWh'!$A$2:$A$146,0),MATCH(AK$3,'Eurostat EB TJ GWh'!$A$2:$BV$2,0))</f>
        <v>0</v>
      </c>
      <c r="AL70" s="57">
        <f>INDEX('Eurostat EB TJ GWh'!$A$2:$BV$146,MATCH($A70,'Eurostat EB TJ GWh'!$A$2:$A$146,0),MATCH(AL$3,'Eurostat EB TJ GWh'!$A$2:$BV$2,0))</f>
        <v>0</v>
      </c>
      <c r="AM70" s="57">
        <f>INDEX('Eurostat EB TJ GWh'!$A$2:$BV$146,MATCH($A70,'Eurostat EB TJ GWh'!$A$2:$A$146,0),MATCH(AM$3,'Eurostat EB TJ GWh'!$A$2:$BV$2,0))</f>
        <v>0</v>
      </c>
      <c r="AN70" s="57">
        <f>INDEX('Eurostat EB TJ GWh'!$A$2:$BV$146,MATCH($A70,'Eurostat EB TJ GWh'!$A$2:$A$146,0),MATCH(AN$3,'Eurostat EB TJ GWh'!$A$2:$BV$2,0))</f>
        <v>0</v>
      </c>
      <c r="AO70" s="57">
        <f>INDEX('Eurostat EB TJ GWh'!$A$2:$BV$146,MATCH($A70,'Eurostat EB TJ GWh'!$A$2:$A$146,0),MATCH(AO$3,'Eurostat EB TJ GWh'!$A$2:$BV$2,0))</f>
        <v>0</v>
      </c>
      <c r="AP70" s="57">
        <f>INDEX('Eurostat EB TJ GWh'!$A$2:$BV$146,MATCH($A70,'Eurostat EB TJ GWh'!$A$2:$A$146,0),MATCH(AP$3,'Eurostat EB TJ GWh'!$A$2:$BV$2,0))</f>
        <v>0</v>
      </c>
      <c r="AQ70" s="57">
        <f>INDEX('Eurostat EB TJ GWh'!$A$2:$BV$146,MATCH($A70,'Eurostat EB TJ GWh'!$A$2:$A$146,0),MATCH(AQ$3,'Eurostat EB TJ GWh'!$A$2:$BV$2,0))</f>
        <v>0</v>
      </c>
      <c r="AR70" s="57">
        <f>INDEX('Eurostat EB TJ GWh'!$A$2:$BV$146,MATCH($A70,'Eurostat EB TJ GWh'!$A$2:$A$146,0),MATCH(AR$3,'Eurostat EB TJ GWh'!$A$2:$BV$2,0))</f>
        <v>0</v>
      </c>
      <c r="AS70" s="57">
        <f>INDEX('Eurostat EB TJ GWh'!$A$2:$BV$146,MATCH($A70,'Eurostat EB TJ GWh'!$A$2:$A$146,0),MATCH(AS$3,'Eurostat EB TJ GWh'!$A$2:$BV$2,0))</f>
        <v>0</v>
      </c>
      <c r="AT70" s="57">
        <f>INDEX('Eurostat EB TJ GWh'!$A$2:$BV$146,MATCH($A70,'Eurostat EB TJ GWh'!$A$2:$A$146,0),MATCH(AT$3,'Eurostat EB TJ GWh'!$A$2:$BV$2,0))</f>
        <v>0</v>
      </c>
      <c r="AU70" s="57">
        <f>INDEX('Eurostat EB TJ GWh'!$A$2:$BV$146,MATCH($A70,'Eurostat EB TJ GWh'!$A$2:$A$146,0),MATCH(AU$3,'Eurostat EB TJ GWh'!$A$2:$BV$2,0))</f>
        <v>0</v>
      </c>
      <c r="AV70" s="57">
        <f>INDEX('Eurostat EB TJ GWh'!$A$2:$BV$146,MATCH($A70,'Eurostat EB TJ GWh'!$A$2:$A$146,0),MATCH(AV$2,'Eurostat EB TJ GWh'!$A$2:$BV$2,0))+INDEX('Eurostat EB TJ GWh'!$A$2:$BV$146,MATCH($A70,'Eurostat EB TJ GWh'!$A$2:$A$146,0),MATCH(AV$3,'Eurostat EB TJ GWh'!$A$2:$BV$2,0))</f>
        <v>14367.078</v>
      </c>
      <c r="AW70" s="57">
        <f>INDEX('Eurostat EB TJ GWh'!$A$2:$BV$146,MATCH($A70,'Eurostat EB TJ GWh'!$A$2:$A$146,0),MATCH(AW$2,'Eurostat EB TJ GWh'!$A$2:$BV$2,0))+INDEX('Eurostat EB TJ GWh'!$A$2:$BV$146,MATCH($A70,'Eurostat EB TJ GWh'!$A$2:$A$146,0),MATCH(AW$3,'Eurostat EB TJ GWh'!$A$2:$BV$2,0))</f>
        <v>32145.925999999999</v>
      </c>
      <c r="AX70" s="57">
        <f>INDEX('Eurostat EB TJ GWh'!$A$2:$BV$146,MATCH($A70,'Eurostat EB TJ GWh'!$A$2:$A$146,0),MATCH(AX$3,'Eurostat EB TJ GWh'!$A$2:$BV$2,0))</f>
        <v>0</v>
      </c>
      <c r="AY70" s="72">
        <v>0</v>
      </c>
      <c r="AZ70" s="57">
        <f>INDEX('Eurostat EB TJ GWh'!$A$2:$BV$146,MATCH($A70,'Eurostat EB TJ GWh'!$A$2:$A$146,0),MATCH(AZ$3,'Eurostat EB TJ GWh'!$A$2:$BV$2,0))</f>
        <v>0</v>
      </c>
      <c r="BA70" s="72">
        <v>0</v>
      </c>
      <c r="BB70" s="72">
        <v>0</v>
      </c>
      <c r="BC70" s="57">
        <f>INDEX('Eurostat EB TJ GWh'!$A$2:$BV$146,MATCH($A70,'Eurostat EB TJ GWh'!$A$2:$A$146,0),MATCH(BC$3,'Eurostat EB TJ GWh'!$A$2:$BV$2,0))</f>
        <v>0</v>
      </c>
      <c r="BD70" s="57">
        <f>INDEX('Eurostat EB TJ GWh'!$A$2:$BV$146,MATCH($A70,'Eurostat EB TJ GWh'!$A$2:$A$146,0),MATCH(BD$3,'Eurostat EB TJ GWh'!$A$2:$BV$2,0))</f>
        <v>0</v>
      </c>
      <c r="BE70" s="57">
        <f>INDEX('Eurostat EB TJ GWh'!$A$2:$BV$146,MATCH($A70,'Eurostat EB TJ GWh'!$A$2:$A$146,0),MATCH(BE$3,'Eurostat EB TJ GWh'!$A$2:$BV$2,0))</f>
        <v>0</v>
      </c>
      <c r="BF70" s="57">
        <f>INDEX('Eurostat EB TJ GWh'!$A$2:$BV$146,MATCH($A70,'Eurostat EB TJ GWh'!$A$2:$A$146,0),MATCH(BF$3,'Eurostat EB TJ GWh'!$A$2:$BV$2,0))</f>
        <v>0</v>
      </c>
      <c r="BG70" s="57">
        <f>INDEX('Eurostat EB TJ GWh'!$A$2:$BV$146,MATCH($A70,'Eurostat EB TJ GWh'!$A$2:$A$146,0),MATCH(BG$3,'Eurostat EB TJ GWh'!$A$2:$BV$2,0))</f>
        <v>0</v>
      </c>
      <c r="BH70" s="57">
        <f>INDEX('Eurostat EB TJ GWh'!$A$2:$BV$146,MATCH($A70,'Eurostat EB TJ GWh'!$A$2:$A$146,0),MATCH(BH$3,'Eurostat EB TJ GWh'!$A$2:$BV$2,0))</f>
        <v>0</v>
      </c>
      <c r="BI70" s="57">
        <f>INDEX('Eurostat EB TJ GWh'!$A$2:$BV$146,MATCH($A70,'Eurostat EB TJ GWh'!$A$2:$A$146,0),MATCH(BI$3,'Eurostat EB TJ GWh'!$A$2:$BV$2,0))</f>
        <v>0</v>
      </c>
      <c r="BJ70" s="72">
        <v>0</v>
      </c>
      <c r="BK70" s="57">
        <f>INDEX('Eurostat EB TJ GWh'!$A$2:$BV$146,MATCH($A70,'Eurostat EB TJ GWh'!$A$2:$A$146,0),MATCH(BK$3,'Eurostat EB TJ GWh'!$A$2:$BV$2,0))</f>
        <v>0</v>
      </c>
      <c r="BL70" s="57">
        <f>INDEX('Eurostat EB TJ GWh'!$A$2:$BV$146,MATCH($A70,'Eurostat EB TJ GWh'!$A$2:$A$146,0),MATCH(BL$3,'Eurostat EB TJ GWh'!$A$2:$BV$2,0))</f>
        <v>0</v>
      </c>
      <c r="BM70" s="57">
        <f>INDEX('Eurostat EB TJ GWh'!$A$2:$BV$146,MATCH($A70,'Eurostat EB TJ GWh'!$A$2:$A$146,0),MATCH(BM$3,'Eurostat EB TJ GWh'!$A$2:$BV$2,0))</f>
        <v>46513.004000000001</v>
      </c>
      <c r="BN70" s="57">
        <f>INDEX('Eurostat EB TJ GWh'!$A$2:$BV$146,MATCH($A70,'Eurostat EB TJ GWh'!$A$2:$A$146,0),MATCH(BN$3,'Eurostat EB TJ GWh'!$A$2:$BV$2,0))</f>
        <v>46513.004000000001</v>
      </c>
    </row>
    <row r="71" spans="1:66" x14ac:dyDescent="0.2">
      <c r="A71" s="56" t="s">
        <v>259</v>
      </c>
      <c r="B71" s="65" t="s">
        <v>323</v>
      </c>
      <c r="C71" s="65" t="s">
        <v>323</v>
      </c>
      <c r="D71" s="17">
        <f>INDEX('Eurostat EB TJ GWh'!$A$2:$BV$146,MATCH($A71,'Eurostat EB TJ GWh'!$A$2:$A$146,0),MATCH(D$3,'Eurostat EB TJ GWh'!$A$2:$BV$2,0))</f>
        <v>0</v>
      </c>
      <c r="E71" s="17">
        <f>INDEX('Eurostat EB TJ GWh'!$A$2:$BV$146,MATCH($A71,'Eurostat EB TJ GWh'!$A$2:$A$146,0),MATCH(E$3,'Eurostat EB TJ GWh'!$A$2:$BV$2,0))</f>
        <v>0</v>
      </c>
      <c r="F71" s="17">
        <f>INDEX('Eurostat EB TJ GWh'!$A$2:$BV$146,MATCH($A71,'Eurostat EB TJ GWh'!$A$2:$A$146,0),MATCH(F$3,'Eurostat EB TJ GWh'!$A$2:$BV$2,0))</f>
        <v>0</v>
      </c>
      <c r="G71" s="17">
        <f>INDEX('Eurostat EB TJ GWh'!$A$2:$BV$146,MATCH($A71,'Eurostat EB TJ GWh'!$A$2:$A$146,0),MATCH(G$3,'Eurostat EB TJ GWh'!$A$2:$BV$2,0))</f>
        <v>0</v>
      </c>
      <c r="H71" s="17">
        <f>INDEX('Eurostat EB TJ GWh'!$A$2:$BV$146,MATCH($A71,'Eurostat EB TJ GWh'!$A$2:$A$146,0),MATCH(H$3,'Eurostat EB TJ GWh'!$A$2:$BV$2,0))</f>
        <v>0</v>
      </c>
      <c r="I71" s="17">
        <f>INDEX('Eurostat EB TJ GWh'!$A$2:$BV$146,MATCH($A71,'Eurostat EB TJ GWh'!$A$2:$A$146,0),MATCH(I$3,'Eurostat EB TJ GWh'!$A$2:$BV$2,0))</f>
        <v>0</v>
      </c>
      <c r="J71" s="17">
        <f>INDEX('Eurostat EB TJ GWh'!$A$2:$BV$146,MATCH($A71,'Eurostat EB TJ GWh'!$A$2:$A$146,0),MATCH(J$3,'Eurostat EB TJ GWh'!$A$2:$BV$2,0))</f>
        <v>0</v>
      </c>
      <c r="K71" s="17">
        <f>INDEX('Eurostat EB TJ GWh'!$A$2:$BV$146,MATCH($A71,'Eurostat EB TJ GWh'!$A$2:$A$146,0),MATCH(K$3,'Eurostat EB TJ GWh'!$A$2:$BV$2,0))</f>
        <v>0</v>
      </c>
      <c r="L71" s="17">
        <f>INDEX('Eurostat EB TJ GWh'!$A$2:$BV$146,MATCH($A71,'Eurostat EB TJ GWh'!$A$2:$A$146,0),MATCH(L$3,'Eurostat EB TJ GWh'!$A$2:$BV$2,0))</f>
        <v>0</v>
      </c>
      <c r="M71" s="17">
        <f>INDEX('Eurostat EB TJ GWh'!$A$2:$BV$146,MATCH($A71,'Eurostat EB TJ GWh'!$A$2:$A$146,0),MATCH(M$3,'Eurostat EB TJ GWh'!$A$2:$BV$2,0))</f>
        <v>0</v>
      </c>
      <c r="N71" s="17">
        <f>INDEX('Eurostat EB TJ GWh'!$A$2:$BV$146,MATCH($A71,'Eurostat EB TJ GWh'!$A$2:$A$146,0),MATCH(N$3,'Eurostat EB TJ GWh'!$A$2:$BV$2,0))</f>
        <v>0</v>
      </c>
      <c r="O71" s="17">
        <f>INDEX('Eurostat EB TJ GWh'!$A$2:$BV$146,MATCH($A71,'Eurostat EB TJ GWh'!$A$2:$A$146,0),MATCH(O$3,'Eurostat EB TJ GWh'!$A$2:$BV$2,0))</f>
        <v>0</v>
      </c>
      <c r="P71" s="17">
        <f>INDEX('Eurostat EB TJ GWh'!$A$2:$BV$146,MATCH($A71,'Eurostat EB TJ GWh'!$A$2:$A$146,0),MATCH(P$3,'Eurostat EB TJ GWh'!$A$2:$BV$2,0))</f>
        <v>0</v>
      </c>
      <c r="Q71" s="17">
        <f>INDEX('Eurostat EB TJ GWh'!$A$2:$BV$146,MATCH($A71,'Eurostat EB TJ GWh'!$A$2:$A$146,0),MATCH(Q$3,'Eurostat EB TJ GWh'!$A$2:$BV$2,0))</f>
        <v>0</v>
      </c>
      <c r="R71" s="17">
        <f>INDEX('Eurostat EB TJ GWh'!$A$2:$BV$146,MATCH($A71,'Eurostat EB TJ GWh'!$A$2:$A$146,0),MATCH(R$2,'Eurostat EB TJ GWh'!$A$2:$BV$2,0))+INDEX('Eurostat EB TJ GWh'!$A$2:$BV$146,MATCH($A71,'Eurostat EB TJ GWh'!$A$2:$A$146,0),MATCH(R$3,'Eurostat EB TJ GWh'!$A$2:$BV$2,0))</f>
        <v>0</v>
      </c>
      <c r="S71" s="17">
        <f>INDEX('Eurostat EB TJ GWh'!$A$2:$BV$146,MATCH($A71,'Eurostat EB TJ GWh'!$A$2:$A$146,0),MATCH(S$3,'Eurostat EB TJ GWh'!$A$2:$BV$2,0))</f>
        <v>0</v>
      </c>
      <c r="T71" s="65" t="s">
        <v>323</v>
      </c>
      <c r="U71" s="17">
        <f>INDEX('Eurostat EB TJ GWh'!$A$2:$BV$146,MATCH($A71,'Eurostat EB TJ GWh'!$A$2:$A$146,0),MATCH(U$3,'Eurostat EB TJ GWh'!$A$2:$BV$2,0))</f>
        <v>0</v>
      </c>
      <c r="V71" s="17">
        <f>INDEX('Eurostat EB TJ GWh'!$A$2:$BV$146,MATCH($A71,'Eurostat EB TJ GWh'!$A$2:$A$146,0),MATCH(V$3,'Eurostat EB TJ GWh'!$A$2:$BV$2,0))</f>
        <v>0</v>
      </c>
      <c r="W71" s="17">
        <f>INDEX('Eurostat EB TJ GWh'!$A$2:$BV$146,MATCH($A71,'Eurostat EB TJ GWh'!$A$2:$A$146,0),MATCH(W$3,'Eurostat EB TJ GWh'!$A$2:$BV$2,0))</f>
        <v>0</v>
      </c>
      <c r="X71" s="17">
        <f>INDEX('Eurostat EB TJ GWh'!$A$2:$BV$146,MATCH($A71,'Eurostat EB TJ GWh'!$A$2:$A$146,0),MATCH(X$3,'Eurostat EB TJ GWh'!$A$2:$BV$2,0))</f>
        <v>0</v>
      </c>
      <c r="Y71" s="17">
        <f>INDEX('Eurostat EB TJ GWh'!$A$2:$BV$146,MATCH($A71,'Eurostat EB TJ GWh'!$A$2:$A$146,0),MATCH(Y$3,'Eurostat EB TJ GWh'!$A$2:$BV$2,0))</f>
        <v>0</v>
      </c>
      <c r="Z71" s="17">
        <f>INDEX('Eurostat EB TJ GWh'!$A$2:$BV$146,MATCH($A71,'Eurostat EB TJ GWh'!$A$2:$A$146,0),MATCH(Z$3,'Eurostat EB TJ GWh'!$A$2:$BV$2,0))</f>
        <v>0</v>
      </c>
      <c r="AA71" s="17">
        <f>INDEX('Eurostat EB TJ GWh'!$A$2:$BV$146,MATCH($A71,'Eurostat EB TJ GWh'!$A$2:$A$146,0),MATCH(AA$3,'Eurostat EB TJ GWh'!$A$2:$BV$2,0))</f>
        <v>0</v>
      </c>
      <c r="AB71" s="17">
        <f>INDEX('Eurostat EB TJ GWh'!$A$2:$BV$146,MATCH($A71,'Eurostat EB TJ GWh'!$A$2:$A$146,0),MATCH(AB$3,'Eurostat EB TJ GWh'!$A$2:$BV$2,0))</f>
        <v>0</v>
      </c>
      <c r="AC71" s="17">
        <f>INDEX('Eurostat EB TJ GWh'!$A$2:$BV$146,MATCH($A71,'Eurostat EB TJ GWh'!$A$2:$A$146,0),MATCH(AC$3,'Eurostat EB TJ GWh'!$A$2:$BV$2,0))</f>
        <v>0</v>
      </c>
      <c r="AD71" s="17">
        <f>INDEX('Eurostat EB TJ GWh'!$A$2:$BV$146,MATCH($A71,'Eurostat EB TJ GWh'!$A$2:$A$146,0),MATCH(AD$3,'Eurostat EB TJ GWh'!$A$2:$BV$2,0))</f>
        <v>0</v>
      </c>
      <c r="AE71" s="17">
        <f>INDEX('Eurostat EB TJ GWh'!$A$2:$BV$146,MATCH($A71,'Eurostat EB TJ GWh'!$A$2:$A$146,0),MATCH(AE$3,'Eurostat EB TJ GWh'!$A$2:$BV$2,0))</f>
        <v>0</v>
      </c>
      <c r="AF71" s="17">
        <f>INDEX('Eurostat EB TJ GWh'!$A$2:$BV$146,MATCH($A71,'Eurostat EB TJ GWh'!$A$2:$A$146,0),MATCH(AF$3,'Eurostat EB TJ GWh'!$A$2:$BV$2,0))</f>
        <v>0</v>
      </c>
      <c r="AG71" s="17">
        <f>INDEX('Eurostat EB TJ GWh'!$A$2:$BV$146,MATCH($A71,'Eurostat EB TJ GWh'!$A$2:$A$146,0),MATCH(AG$3,'Eurostat EB TJ GWh'!$A$2:$BV$2,0))</f>
        <v>0</v>
      </c>
      <c r="AH71" s="17">
        <f>INDEX('Eurostat EB TJ GWh'!$A$2:$BV$146,MATCH($A71,'Eurostat EB TJ GWh'!$A$2:$A$146,0),MATCH(AH$3,'Eurostat EB TJ GWh'!$A$2:$BV$2,0))</f>
        <v>0</v>
      </c>
      <c r="AI71" s="17">
        <f>INDEX('Eurostat EB TJ GWh'!$A$2:$BV$146,MATCH($A71,'Eurostat EB TJ GWh'!$A$2:$A$146,0),MATCH(AI$3,'Eurostat EB TJ GWh'!$A$2:$BV$2,0))</f>
        <v>0</v>
      </c>
      <c r="AJ71" s="17">
        <f>INDEX('Eurostat EB TJ GWh'!$A$2:$BV$146,MATCH($A71,'Eurostat EB TJ GWh'!$A$2:$A$146,0),MATCH(AJ$3,'Eurostat EB TJ GWh'!$A$2:$BV$2,0))</f>
        <v>0</v>
      </c>
      <c r="AK71" s="17">
        <f>INDEX('Eurostat EB TJ GWh'!$A$2:$BV$146,MATCH($A71,'Eurostat EB TJ GWh'!$A$2:$A$146,0),MATCH(AK$3,'Eurostat EB TJ GWh'!$A$2:$BV$2,0))</f>
        <v>0</v>
      </c>
      <c r="AL71" s="17">
        <f>INDEX('Eurostat EB TJ GWh'!$A$2:$BV$146,MATCH($A71,'Eurostat EB TJ GWh'!$A$2:$A$146,0),MATCH(AL$3,'Eurostat EB TJ GWh'!$A$2:$BV$2,0))</f>
        <v>0</v>
      </c>
      <c r="AM71" s="17">
        <f>INDEX('Eurostat EB TJ GWh'!$A$2:$BV$146,MATCH($A71,'Eurostat EB TJ GWh'!$A$2:$A$146,0),MATCH(AM$3,'Eurostat EB TJ GWh'!$A$2:$BV$2,0))</f>
        <v>0</v>
      </c>
      <c r="AN71" s="17">
        <f>INDEX('Eurostat EB TJ GWh'!$A$2:$BV$146,MATCH($A71,'Eurostat EB TJ GWh'!$A$2:$A$146,0),MATCH(AN$3,'Eurostat EB TJ GWh'!$A$2:$BV$2,0))</f>
        <v>0</v>
      </c>
      <c r="AO71" s="17">
        <f>INDEX('Eurostat EB TJ GWh'!$A$2:$BV$146,MATCH($A71,'Eurostat EB TJ GWh'!$A$2:$A$146,0),MATCH(AO$3,'Eurostat EB TJ GWh'!$A$2:$BV$2,0))</f>
        <v>0</v>
      </c>
      <c r="AP71" s="17">
        <f>INDEX('Eurostat EB TJ GWh'!$A$2:$BV$146,MATCH($A71,'Eurostat EB TJ GWh'!$A$2:$A$146,0),MATCH(AP$3,'Eurostat EB TJ GWh'!$A$2:$BV$2,0))</f>
        <v>0</v>
      </c>
      <c r="AQ71" s="17">
        <f>INDEX('Eurostat EB TJ GWh'!$A$2:$BV$146,MATCH($A71,'Eurostat EB TJ GWh'!$A$2:$A$146,0),MATCH(AQ$3,'Eurostat EB TJ GWh'!$A$2:$BV$2,0))</f>
        <v>0</v>
      </c>
      <c r="AR71" s="17">
        <f>INDEX('Eurostat EB TJ GWh'!$A$2:$BV$146,MATCH($A71,'Eurostat EB TJ GWh'!$A$2:$A$146,0),MATCH(AR$3,'Eurostat EB TJ GWh'!$A$2:$BV$2,0))</f>
        <v>0</v>
      </c>
      <c r="AS71" s="17">
        <f>INDEX('Eurostat EB TJ GWh'!$A$2:$BV$146,MATCH($A71,'Eurostat EB TJ GWh'!$A$2:$A$146,0),MATCH(AS$3,'Eurostat EB TJ GWh'!$A$2:$BV$2,0))</f>
        <v>0</v>
      </c>
      <c r="AT71" s="17">
        <f>INDEX('Eurostat EB TJ GWh'!$A$2:$BV$146,MATCH($A71,'Eurostat EB TJ GWh'!$A$2:$A$146,0),MATCH(AT$3,'Eurostat EB TJ GWh'!$A$2:$BV$2,0))</f>
        <v>0</v>
      </c>
      <c r="AU71" s="17">
        <f>INDEX('Eurostat EB TJ GWh'!$A$2:$BV$146,MATCH($A71,'Eurostat EB TJ GWh'!$A$2:$A$146,0),MATCH(AU$3,'Eurostat EB TJ GWh'!$A$2:$BV$2,0))</f>
        <v>0</v>
      </c>
      <c r="AV71" s="17">
        <f>INDEX('Eurostat EB TJ GWh'!$A$2:$BV$146,MATCH($A71,'Eurostat EB TJ GWh'!$A$2:$A$146,0),MATCH(AV$2,'Eurostat EB TJ GWh'!$A$2:$BV$2,0))+INDEX('Eurostat EB TJ GWh'!$A$2:$BV$146,MATCH($A71,'Eurostat EB TJ GWh'!$A$2:$A$146,0),MATCH(AV$3,'Eurostat EB TJ GWh'!$A$2:$BV$2,0))</f>
        <v>0</v>
      </c>
      <c r="AW71" s="17">
        <f>INDEX('Eurostat EB TJ GWh'!$A$2:$BV$146,MATCH($A71,'Eurostat EB TJ GWh'!$A$2:$A$146,0),MATCH(AW$2,'Eurostat EB TJ GWh'!$A$2:$BV$2,0))+INDEX('Eurostat EB TJ GWh'!$A$2:$BV$146,MATCH($A71,'Eurostat EB TJ GWh'!$A$2:$A$146,0),MATCH(AW$3,'Eurostat EB TJ GWh'!$A$2:$BV$2,0))</f>
        <v>0</v>
      </c>
      <c r="AX71" s="17">
        <f>INDEX('Eurostat EB TJ GWh'!$A$2:$BV$146,MATCH($A71,'Eurostat EB TJ GWh'!$A$2:$A$146,0),MATCH(AX$3,'Eurostat EB TJ GWh'!$A$2:$BV$2,0))</f>
        <v>0</v>
      </c>
      <c r="AY71" s="65">
        <v>0</v>
      </c>
      <c r="AZ71" s="17">
        <f>INDEX('Eurostat EB TJ GWh'!$A$2:$BV$146,MATCH($A71,'Eurostat EB TJ GWh'!$A$2:$A$146,0),MATCH(AZ$3,'Eurostat EB TJ GWh'!$A$2:$BV$2,0))</f>
        <v>0</v>
      </c>
      <c r="BA71" s="65">
        <v>0</v>
      </c>
      <c r="BB71" s="65">
        <v>0</v>
      </c>
      <c r="BC71" s="17">
        <f>INDEX('Eurostat EB TJ GWh'!$A$2:$BV$146,MATCH($A71,'Eurostat EB TJ GWh'!$A$2:$A$146,0),MATCH(BC$3,'Eurostat EB TJ GWh'!$A$2:$BV$2,0))</f>
        <v>0</v>
      </c>
      <c r="BD71" s="17">
        <f>INDEX('Eurostat EB TJ GWh'!$A$2:$BV$146,MATCH($A71,'Eurostat EB TJ GWh'!$A$2:$A$146,0),MATCH(BD$3,'Eurostat EB TJ GWh'!$A$2:$BV$2,0))</f>
        <v>0</v>
      </c>
      <c r="BE71" s="17">
        <f>INDEX('Eurostat EB TJ GWh'!$A$2:$BV$146,MATCH($A71,'Eurostat EB TJ GWh'!$A$2:$A$146,0),MATCH(BE$3,'Eurostat EB TJ GWh'!$A$2:$BV$2,0))</f>
        <v>0</v>
      </c>
      <c r="BF71" s="17">
        <f>INDEX('Eurostat EB TJ GWh'!$A$2:$BV$146,MATCH($A71,'Eurostat EB TJ GWh'!$A$2:$A$146,0),MATCH(BF$3,'Eurostat EB TJ GWh'!$A$2:$BV$2,0))</f>
        <v>0</v>
      </c>
      <c r="BG71" s="17">
        <f>INDEX('Eurostat EB TJ GWh'!$A$2:$BV$146,MATCH($A71,'Eurostat EB TJ GWh'!$A$2:$A$146,0),MATCH(BG$3,'Eurostat EB TJ GWh'!$A$2:$BV$2,0))</f>
        <v>0</v>
      </c>
      <c r="BH71" s="17">
        <f>INDEX('Eurostat EB TJ GWh'!$A$2:$BV$146,MATCH($A71,'Eurostat EB TJ GWh'!$A$2:$A$146,0),MATCH(BH$3,'Eurostat EB TJ GWh'!$A$2:$BV$2,0))</f>
        <v>0</v>
      </c>
      <c r="BI71" s="17">
        <f>INDEX('Eurostat EB TJ GWh'!$A$2:$BV$146,MATCH($A71,'Eurostat EB TJ GWh'!$A$2:$A$146,0),MATCH(BI$3,'Eurostat EB TJ GWh'!$A$2:$BV$2,0))</f>
        <v>0</v>
      </c>
      <c r="BJ71" s="65">
        <v>0</v>
      </c>
      <c r="BK71" s="17">
        <f>INDEX('Eurostat EB TJ GWh'!$A$2:$BV$146,MATCH($A71,'Eurostat EB TJ GWh'!$A$2:$A$146,0),MATCH(BK$3,'Eurostat EB TJ GWh'!$A$2:$BV$2,0))</f>
        <v>0</v>
      </c>
      <c r="BL71" s="17">
        <f>INDEX('Eurostat EB TJ GWh'!$A$2:$BV$146,MATCH($A71,'Eurostat EB TJ GWh'!$A$2:$A$146,0),MATCH(BL$3,'Eurostat EB TJ GWh'!$A$2:$BV$2,0))</f>
        <v>0</v>
      </c>
      <c r="BM71" s="17">
        <f>INDEX('Eurostat EB TJ GWh'!$A$2:$BV$146,MATCH($A71,'Eurostat EB TJ GWh'!$A$2:$A$146,0),MATCH(BM$3,'Eurostat EB TJ GWh'!$A$2:$BV$2,0))</f>
        <v>0</v>
      </c>
      <c r="BN71" s="17">
        <f>INDEX('Eurostat EB TJ GWh'!$A$2:$BV$146,MATCH($A71,'Eurostat EB TJ GWh'!$A$2:$A$146,0),MATCH(BN$3,'Eurostat EB TJ GWh'!$A$2:$BV$2,0))</f>
        <v>0</v>
      </c>
    </row>
    <row r="72" spans="1:66" x14ac:dyDescent="0.2">
      <c r="A72" s="56" t="s">
        <v>260</v>
      </c>
      <c r="B72" s="65" t="s">
        <v>323</v>
      </c>
      <c r="C72" s="65" t="s">
        <v>323</v>
      </c>
      <c r="D72" s="57">
        <f>INDEX('Eurostat EB TJ GWh'!$A$2:$BV$146,MATCH($A72,'Eurostat EB TJ GWh'!$A$2:$A$146,0),MATCH(D$3,'Eurostat EB TJ GWh'!$A$2:$BV$2,0))</f>
        <v>0</v>
      </c>
      <c r="E72" s="57">
        <f>INDEX('Eurostat EB TJ GWh'!$A$2:$BV$146,MATCH($A72,'Eurostat EB TJ GWh'!$A$2:$A$146,0),MATCH(E$3,'Eurostat EB TJ GWh'!$A$2:$BV$2,0))</f>
        <v>0</v>
      </c>
      <c r="F72" s="57">
        <f>INDEX('Eurostat EB TJ GWh'!$A$2:$BV$146,MATCH($A72,'Eurostat EB TJ GWh'!$A$2:$A$146,0),MATCH(F$3,'Eurostat EB TJ GWh'!$A$2:$BV$2,0))</f>
        <v>0</v>
      </c>
      <c r="G72" s="57">
        <f>INDEX('Eurostat EB TJ GWh'!$A$2:$BV$146,MATCH($A72,'Eurostat EB TJ GWh'!$A$2:$A$146,0),MATCH(G$3,'Eurostat EB TJ GWh'!$A$2:$BV$2,0))</f>
        <v>0</v>
      </c>
      <c r="H72" s="57">
        <f>INDEX('Eurostat EB TJ GWh'!$A$2:$BV$146,MATCH($A72,'Eurostat EB TJ GWh'!$A$2:$A$146,0),MATCH(H$3,'Eurostat EB TJ GWh'!$A$2:$BV$2,0))</f>
        <v>0</v>
      </c>
      <c r="I72" s="57">
        <f>INDEX('Eurostat EB TJ GWh'!$A$2:$BV$146,MATCH($A72,'Eurostat EB TJ GWh'!$A$2:$A$146,0),MATCH(I$3,'Eurostat EB TJ GWh'!$A$2:$BV$2,0))</f>
        <v>0</v>
      </c>
      <c r="J72" s="57">
        <f>INDEX('Eurostat EB TJ GWh'!$A$2:$BV$146,MATCH($A72,'Eurostat EB TJ GWh'!$A$2:$A$146,0),MATCH(J$3,'Eurostat EB TJ GWh'!$A$2:$BV$2,0))</f>
        <v>0</v>
      </c>
      <c r="K72" s="57">
        <f>INDEX('Eurostat EB TJ GWh'!$A$2:$BV$146,MATCH($A72,'Eurostat EB TJ GWh'!$A$2:$A$146,0),MATCH(K$3,'Eurostat EB TJ GWh'!$A$2:$BV$2,0))</f>
        <v>0</v>
      </c>
      <c r="L72" s="57">
        <f>INDEX('Eurostat EB TJ GWh'!$A$2:$BV$146,MATCH($A72,'Eurostat EB TJ GWh'!$A$2:$A$146,0),MATCH(L$3,'Eurostat EB TJ GWh'!$A$2:$BV$2,0))</f>
        <v>0</v>
      </c>
      <c r="M72" s="57">
        <f>INDEX('Eurostat EB TJ GWh'!$A$2:$BV$146,MATCH($A72,'Eurostat EB TJ GWh'!$A$2:$A$146,0),MATCH(M$3,'Eurostat EB TJ GWh'!$A$2:$BV$2,0))</f>
        <v>0</v>
      </c>
      <c r="N72" s="57">
        <f>INDEX('Eurostat EB TJ GWh'!$A$2:$BV$146,MATCH($A72,'Eurostat EB TJ GWh'!$A$2:$A$146,0),MATCH(N$3,'Eurostat EB TJ GWh'!$A$2:$BV$2,0))</f>
        <v>0</v>
      </c>
      <c r="O72" s="57">
        <f>INDEX('Eurostat EB TJ GWh'!$A$2:$BV$146,MATCH($A72,'Eurostat EB TJ GWh'!$A$2:$A$146,0),MATCH(O$3,'Eurostat EB TJ GWh'!$A$2:$BV$2,0))</f>
        <v>0</v>
      </c>
      <c r="P72" s="57">
        <f>INDEX('Eurostat EB TJ GWh'!$A$2:$BV$146,MATCH($A72,'Eurostat EB TJ GWh'!$A$2:$A$146,0),MATCH(P$3,'Eurostat EB TJ GWh'!$A$2:$BV$2,0))</f>
        <v>0</v>
      </c>
      <c r="Q72" s="57">
        <f>INDEX('Eurostat EB TJ GWh'!$A$2:$BV$146,MATCH($A72,'Eurostat EB TJ GWh'!$A$2:$A$146,0),MATCH(Q$3,'Eurostat EB TJ GWh'!$A$2:$BV$2,0))</f>
        <v>0</v>
      </c>
      <c r="R72" s="57">
        <f>INDEX('Eurostat EB TJ GWh'!$A$2:$BV$146,MATCH($A72,'Eurostat EB TJ GWh'!$A$2:$A$146,0),MATCH(R$2,'Eurostat EB TJ GWh'!$A$2:$BV$2,0))+INDEX('Eurostat EB TJ GWh'!$A$2:$BV$146,MATCH($A72,'Eurostat EB TJ GWh'!$A$2:$A$146,0),MATCH(R$3,'Eurostat EB TJ GWh'!$A$2:$BV$2,0))</f>
        <v>0</v>
      </c>
      <c r="S72" s="57">
        <f>INDEX('Eurostat EB TJ GWh'!$A$2:$BV$146,MATCH($A72,'Eurostat EB TJ GWh'!$A$2:$A$146,0),MATCH(S$3,'Eurostat EB TJ GWh'!$A$2:$BV$2,0))</f>
        <v>0</v>
      </c>
      <c r="T72" s="65" t="s">
        <v>323</v>
      </c>
      <c r="U72" s="57">
        <f>INDEX('Eurostat EB TJ GWh'!$A$2:$BV$146,MATCH($A72,'Eurostat EB TJ GWh'!$A$2:$A$146,0),MATCH(U$3,'Eurostat EB TJ GWh'!$A$2:$BV$2,0))</f>
        <v>0</v>
      </c>
      <c r="V72" s="57">
        <f>INDEX('Eurostat EB TJ GWh'!$A$2:$BV$146,MATCH($A72,'Eurostat EB TJ GWh'!$A$2:$A$146,0),MATCH(V$3,'Eurostat EB TJ GWh'!$A$2:$BV$2,0))</f>
        <v>0</v>
      </c>
      <c r="W72" s="57">
        <f>INDEX('Eurostat EB TJ GWh'!$A$2:$BV$146,MATCH($A72,'Eurostat EB TJ GWh'!$A$2:$A$146,0),MATCH(W$3,'Eurostat EB TJ GWh'!$A$2:$BV$2,0))</f>
        <v>0</v>
      </c>
      <c r="X72" s="57">
        <f>INDEX('Eurostat EB TJ GWh'!$A$2:$BV$146,MATCH($A72,'Eurostat EB TJ GWh'!$A$2:$A$146,0),MATCH(X$3,'Eurostat EB TJ GWh'!$A$2:$BV$2,0))</f>
        <v>0</v>
      </c>
      <c r="Y72" s="57">
        <f>INDEX('Eurostat EB TJ GWh'!$A$2:$BV$146,MATCH($A72,'Eurostat EB TJ GWh'!$A$2:$A$146,0),MATCH(Y$3,'Eurostat EB TJ GWh'!$A$2:$BV$2,0))</f>
        <v>0</v>
      </c>
      <c r="Z72" s="57">
        <f>INDEX('Eurostat EB TJ GWh'!$A$2:$BV$146,MATCH($A72,'Eurostat EB TJ GWh'!$A$2:$A$146,0),MATCH(Z$3,'Eurostat EB TJ GWh'!$A$2:$BV$2,0))</f>
        <v>0</v>
      </c>
      <c r="AA72" s="57">
        <f>INDEX('Eurostat EB TJ GWh'!$A$2:$BV$146,MATCH($A72,'Eurostat EB TJ GWh'!$A$2:$A$146,0),MATCH(AA$3,'Eurostat EB TJ GWh'!$A$2:$BV$2,0))</f>
        <v>0</v>
      </c>
      <c r="AB72" s="57">
        <f>INDEX('Eurostat EB TJ GWh'!$A$2:$BV$146,MATCH($A72,'Eurostat EB TJ GWh'!$A$2:$A$146,0),MATCH(AB$3,'Eurostat EB TJ GWh'!$A$2:$BV$2,0))</f>
        <v>0</v>
      </c>
      <c r="AC72" s="57">
        <f>INDEX('Eurostat EB TJ GWh'!$A$2:$BV$146,MATCH($A72,'Eurostat EB TJ GWh'!$A$2:$A$146,0),MATCH(AC$3,'Eurostat EB TJ GWh'!$A$2:$BV$2,0))</f>
        <v>0</v>
      </c>
      <c r="AD72" s="57">
        <f>INDEX('Eurostat EB TJ GWh'!$A$2:$BV$146,MATCH($A72,'Eurostat EB TJ GWh'!$A$2:$A$146,0),MATCH(AD$3,'Eurostat EB TJ GWh'!$A$2:$BV$2,0))</f>
        <v>0</v>
      </c>
      <c r="AE72" s="57">
        <f>INDEX('Eurostat EB TJ GWh'!$A$2:$BV$146,MATCH($A72,'Eurostat EB TJ GWh'!$A$2:$A$146,0),MATCH(AE$3,'Eurostat EB TJ GWh'!$A$2:$BV$2,0))</f>
        <v>0</v>
      </c>
      <c r="AF72" s="57">
        <f>INDEX('Eurostat EB TJ GWh'!$A$2:$BV$146,MATCH($A72,'Eurostat EB TJ GWh'!$A$2:$A$146,0),MATCH(AF$3,'Eurostat EB TJ GWh'!$A$2:$BV$2,0))</f>
        <v>0</v>
      </c>
      <c r="AG72" s="57">
        <f>INDEX('Eurostat EB TJ GWh'!$A$2:$BV$146,MATCH($A72,'Eurostat EB TJ GWh'!$A$2:$A$146,0),MATCH(AG$3,'Eurostat EB TJ GWh'!$A$2:$BV$2,0))</f>
        <v>0</v>
      </c>
      <c r="AH72" s="57">
        <f>INDEX('Eurostat EB TJ GWh'!$A$2:$BV$146,MATCH($A72,'Eurostat EB TJ GWh'!$A$2:$A$146,0),MATCH(AH$3,'Eurostat EB TJ GWh'!$A$2:$BV$2,0))</f>
        <v>0</v>
      </c>
      <c r="AI72" s="57">
        <f>INDEX('Eurostat EB TJ GWh'!$A$2:$BV$146,MATCH($A72,'Eurostat EB TJ GWh'!$A$2:$A$146,0),MATCH(AI$3,'Eurostat EB TJ GWh'!$A$2:$BV$2,0))</f>
        <v>0</v>
      </c>
      <c r="AJ72" s="57">
        <f>INDEX('Eurostat EB TJ GWh'!$A$2:$BV$146,MATCH($A72,'Eurostat EB TJ GWh'!$A$2:$A$146,0),MATCH(AJ$3,'Eurostat EB TJ GWh'!$A$2:$BV$2,0))</f>
        <v>0</v>
      </c>
      <c r="AK72" s="57">
        <f>INDEX('Eurostat EB TJ GWh'!$A$2:$BV$146,MATCH($A72,'Eurostat EB TJ GWh'!$A$2:$A$146,0),MATCH(AK$3,'Eurostat EB TJ GWh'!$A$2:$BV$2,0))</f>
        <v>0</v>
      </c>
      <c r="AL72" s="57">
        <f>INDEX('Eurostat EB TJ GWh'!$A$2:$BV$146,MATCH($A72,'Eurostat EB TJ GWh'!$A$2:$A$146,0),MATCH(AL$3,'Eurostat EB TJ GWh'!$A$2:$BV$2,0))</f>
        <v>0</v>
      </c>
      <c r="AM72" s="57">
        <f>INDEX('Eurostat EB TJ GWh'!$A$2:$BV$146,MATCH($A72,'Eurostat EB TJ GWh'!$A$2:$A$146,0),MATCH(AM$3,'Eurostat EB TJ GWh'!$A$2:$BV$2,0))</f>
        <v>0</v>
      </c>
      <c r="AN72" s="57">
        <f>INDEX('Eurostat EB TJ GWh'!$A$2:$BV$146,MATCH($A72,'Eurostat EB TJ GWh'!$A$2:$A$146,0),MATCH(AN$3,'Eurostat EB TJ GWh'!$A$2:$BV$2,0))</f>
        <v>0</v>
      </c>
      <c r="AO72" s="57">
        <f>INDEX('Eurostat EB TJ GWh'!$A$2:$BV$146,MATCH($A72,'Eurostat EB TJ GWh'!$A$2:$A$146,0),MATCH(AO$3,'Eurostat EB TJ GWh'!$A$2:$BV$2,0))</f>
        <v>0</v>
      </c>
      <c r="AP72" s="57">
        <f>INDEX('Eurostat EB TJ GWh'!$A$2:$BV$146,MATCH($A72,'Eurostat EB TJ GWh'!$A$2:$A$146,0),MATCH(AP$3,'Eurostat EB TJ GWh'!$A$2:$BV$2,0))</f>
        <v>0</v>
      </c>
      <c r="AQ72" s="57">
        <f>INDEX('Eurostat EB TJ GWh'!$A$2:$BV$146,MATCH($A72,'Eurostat EB TJ GWh'!$A$2:$A$146,0),MATCH(AQ$3,'Eurostat EB TJ GWh'!$A$2:$BV$2,0))</f>
        <v>0</v>
      </c>
      <c r="AR72" s="57">
        <f>INDEX('Eurostat EB TJ GWh'!$A$2:$BV$146,MATCH($A72,'Eurostat EB TJ GWh'!$A$2:$A$146,0),MATCH(AR$3,'Eurostat EB TJ GWh'!$A$2:$BV$2,0))</f>
        <v>0</v>
      </c>
      <c r="AS72" s="57">
        <f>INDEX('Eurostat EB TJ GWh'!$A$2:$BV$146,MATCH($A72,'Eurostat EB TJ GWh'!$A$2:$A$146,0),MATCH(AS$3,'Eurostat EB TJ GWh'!$A$2:$BV$2,0))</f>
        <v>0</v>
      </c>
      <c r="AT72" s="57">
        <f>INDEX('Eurostat EB TJ GWh'!$A$2:$BV$146,MATCH($A72,'Eurostat EB TJ GWh'!$A$2:$A$146,0),MATCH(AT$3,'Eurostat EB TJ GWh'!$A$2:$BV$2,0))</f>
        <v>0</v>
      </c>
      <c r="AU72" s="57">
        <f>INDEX('Eurostat EB TJ GWh'!$A$2:$BV$146,MATCH($A72,'Eurostat EB TJ GWh'!$A$2:$A$146,0),MATCH(AU$3,'Eurostat EB TJ GWh'!$A$2:$BV$2,0))</f>
        <v>0</v>
      </c>
      <c r="AV72" s="57">
        <f>INDEX('Eurostat EB TJ GWh'!$A$2:$BV$146,MATCH($A72,'Eurostat EB TJ GWh'!$A$2:$A$146,0),MATCH(AV$2,'Eurostat EB TJ GWh'!$A$2:$BV$2,0))+INDEX('Eurostat EB TJ GWh'!$A$2:$BV$146,MATCH($A72,'Eurostat EB TJ GWh'!$A$2:$A$146,0),MATCH(AV$3,'Eurostat EB TJ GWh'!$A$2:$BV$2,0))</f>
        <v>0</v>
      </c>
      <c r="AW72" s="57">
        <f>INDEX('Eurostat EB TJ GWh'!$A$2:$BV$146,MATCH($A72,'Eurostat EB TJ GWh'!$A$2:$A$146,0),MATCH(AW$2,'Eurostat EB TJ GWh'!$A$2:$BV$2,0))+INDEX('Eurostat EB TJ GWh'!$A$2:$BV$146,MATCH($A72,'Eurostat EB TJ GWh'!$A$2:$A$146,0),MATCH(AW$3,'Eurostat EB TJ GWh'!$A$2:$BV$2,0))</f>
        <v>0</v>
      </c>
      <c r="AX72" s="57">
        <f>INDEX('Eurostat EB TJ GWh'!$A$2:$BV$146,MATCH($A72,'Eurostat EB TJ GWh'!$A$2:$A$146,0),MATCH(AX$3,'Eurostat EB TJ GWh'!$A$2:$BV$2,0))</f>
        <v>0</v>
      </c>
      <c r="AY72" s="72">
        <v>0</v>
      </c>
      <c r="AZ72" s="57">
        <f>INDEX('Eurostat EB TJ GWh'!$A$2:$BV$146,MATCH($A72,'Eurostat EB TJ GWh'!$A$2:$A$146,0),MATCH(AZ$3,'Eurostat EB TJ GWh'!$A$2:$BV$2,0))</f>
        <v>0</v>
      </c>
      <c r="BA72" s="72">
        <v>0</v>
      </c>
      <c r="BB72" s="72">
        <v>0</v>
      </c>
      <c r="BC72" s="57">
        <f>INDEX('Eurostat EB TJ GWh'!$A$2:$BV$146,MATCH($A72,'Eurostat EB TJ GWh'!$A$2:$A$146,0),MATCH(BC$3,'Eurostat EB TJ GWh'!$A$2:$BV$2,0))</f>
        <v>0</v>
      </c>
      <c r="BD72" s="57">
        <f>INDEX('Eurostat EB TJ GWh'!$A$2:$BV$146,MATCH($A72,'Eurostat EB TJ GWh'!$A$2:$A$146,0),MATCH(BD$3,'Eurostat EB TJ GWh'!$A$2:$BV$2,0))</f>
        <v>0</v>
      </c>
      <c r="BE72" s="57">
        <f>INDEX('Eurostat EB TJ GWh'!$A$2:$BV$146,MATCH($A72,'Eurostat EB TJ GWh'!$A$2:$A$146,0),MATCH(BE$3,'Eurostat EB TJ GWh'!$A$2:$BV$2,0))</f>
        <v>0</v>
      </c>
      <c r="BF72" s="57">
        <f>INDEX('Eurostat EB TJ GWh'!$A$2:$BV$146,MATCH($A72,'Eurostat EB TJ GWh'!$A$2:$A$146,0),MATCH(BF$3,'Eurostat EB TJ GWh'!$A$2:$BV$2,0))</f>
        <v>0</v>
      </c>
      <c r="BG72" s="57">
        <f>INDEX('Eurostat EB TJ GWh'!$A$2:$BV$146,MATCH($A72,'Eurostat EB TJ GWh'!$A$2:$A$146,0),MATCH(BG$3,'Eurostat EB TJ GWh'!$A$2:$BV$2,0))</f>
        <v>0</v>
      </c>
      <c r="BH72" s="57">
        <f>INDEX('Eurostat EB TJ GWh'!$A$2:$BV$146,MATCH($A72,'Eurostat EB TJ GWh'!$A$2:$A$146,0),MATCH(BH$3,'Eurostat EB TJ GWh'!$A$2:$BV$2,0))</f>
        <v>0</v>
      </c>
      <c r="BI72" s="57">
        <f>INDEX('Eurostat EB TJ GWh'!$A$2:$BV$146,MATCH($A72,'Eurostat EB TJ GWh'!$A$2:$A$146,0),MATCH(BI$3,'Eurostat EB TJ GWh'!$A$2:$BV$2,0))</f>
        <v>0</v>
      </c>
      <c r="BJ72" s="72">
        <v>0</v>
      </c>
      <c r="BK72" s="57">
        <f>INDEX('Eurostat EB TJ GWh'!$A$2:$BV$146,MATCH($A72,'Eurostat EB TJ GWh'!$A$2:$A$146,0),MATCH(BK$3,'Eurostat EB TJ GWh'!$A$2:$BV$2,0))</f>
        <v>0</v>
      </c>
      <c r="BL72" s="57">
        <f>INDEX('Eurostat EB TJ GWh'!$A$2:$BV$146,MATCH($A72,'Eurostat EB TJ GWh'!$A$2:$A$146,0),MATCH(BL$3,'Eurostat EB TJ GWh'!$A$2:$BV$2,0))</f>
        <v>0</v>
      </c>
      <c r="BM72" s="57">
        <f>INDEX('Eurostat EB TJ GWh'!$A$2:$BV$146,MATCH($A72,'Eurostat EB TJ GWh'!$A$2:$A$146,0),MATCH(BM$3,'Eurostat EB TJ GWh'!$A$2:$BV$2,0))</f>
        <v>0</v>
      </c>
      <c r="BN72" s="57">
        <f>INDEX('Eurostat EB TJ GWh'!$A$2:$BV$146,MATCH($A72,'Eurostat EB TJ GWh'!$A$2:$A$146,0),MATCH(BN$3,'Eurostat EB TJ GWh'!$A$2:$BV$2,0))</f>
        <v>0</v>
      </c>
    </row>
    <row r="73" spans="1:66" x14ac:dyDescent="0.2">
      <c r="A73" s="56" t="s">
        <v>261</v>
      </c>
      <c r="B73" s="65" t="s">
        <v>323</v>
      </c>
      <c r="C73" s="65" t="s">
        <v>323</v>
      </c>
      <c r="D73" s="17">
        <f>INDEX('Eurostat EB TJ GWh'!$A$2:$BV$146,MATCH($A73,'Eurostat EB TJ GWh'!$A$2:$A$146,0),MATCH(D$3,'Eurostat EB TJ GWh'!$A$2:$BV$2,0))</f>
        <v>0</v>
      </c>
      <c r="E73" s="17">
        <f>INDEX('Eurostat EB TJ GWh'!$A$2:$BV$146,MATCH($A73,'Eurostat EB TJ GWh'!$A$2:$A$146,0),MATCH(E$3,'Eurostat EB TJ GWh'!$A$2:$BV$2,0))</f>
        <v>0</v>
      </c>
      <c r="F73" s="17">
        <f>INDEX('Eurostat EB TJ GWh'!$A$2:$BV$146,MATCH($A73,'Eurostat EB TJ GWh'!$A$2:$A$146,0),MATCH(F$3,'Eurostat EB TJ GWh'!$A$2:$BV$2,0))</f>
        <v>0</v>
      </c>
      <c r="G73" s="17">
        <f>INDEX('Eurostat EB TJ GWh'!$A$2:$BV$146,MATCH($A73,'Eurostat EB TJ GWh'!$A$2:$A$146,0),MATCH(G$3,'Eurostat EB TJ GWh'!$A$2:$BV$2,0))</f>
        <v>0</v>
      </c>
      <c r="H73" s="17">
        <f>INDEX('Eurostat EB TJ GWh'!$A$2:$BV$146,MATCH($A73,'Eurostat EB TJ GWh'!$A$2:$A$146,0),MATCH(H$3,'Eurostat EB TJ GWh'!$A$2:$BV$2,0))</f>
        <v>0</v>
      </c>
      <c r="I73" s="17">
        <f>INDEX('Eurostat EB TJ GWh'!$A$2:$BV$146,MATCH($A73,'Eurostat EB TJ GWh'!$A$2:$A$146,0),MATCH(I$3,'Eurostat EB TJ GWh'!$A$2:$BV$2,0))</f>
        <v>0</v>
      </c>
      <c r="J73" s="17">
        <f>INDEX('Eurostat EB TJ GWh'!$A$2:$BV$146,MATCH($A73,'Eurostat EB TJ GWh'!$A$2:$A$146,0),MATCH(J$3,'Eurostat EB TJ GWh'!$A$2:$BV$2,0))</f>
        <v>0</v>
      </c>
      <c r="K73" s="17">
        <f>INDEX('Eurostat EB TJ GWh'!$A$2:$BV$146,MATCH($A73,'Eurostat EB TJ GWh'!$A$2:$A$146,0),MATCH(K$3,'Eurostat EB TJ GWh'!$A$2:$BV$2,0))</f>
        <v>0</v>
      </c>
      <c r="L73" s="17">
        <f>INDEX('Eurostat EB TJ GWh'!$A$2:$BV$146,MATCH($A73,'Eurostat EB TJ GWh'!$A$2:$A$146,0),MATCH(L$3,'Eurostat EB TJ GWh'!$A$2:$BV$2,0))</f>
        <v>0</v>
      </c>
      <c r="M73" s="17">
        <f>INDEX('Eurostat EB TJ GWh'!$A$2:$BV$146,MATCH($A73,'Eurostat EB TJ GWh'!$A$2:$A$146,0),MATCH(M$3,'Eurostat EB TJ GWh'!$A$2:$BV$2,0))</f>
        <v>0</v>
      </c>
      <c r="N73" s="17">
        <f>INDEX('Eurostat EB TJ GWh'!$A$2:$BV$146,MATCH($A73,'Eurostat EB TJ GWh'!$A$2:$A$146,0),MATCH(N$3,'Eurostat EB TJ GWh'!$A$2:$BV$2,0))</f>
        <v>0</v>
      </c>
      <c r="O73" s="17">
        <f>INDEX('Eurostat EB TJ GWh'!$A$2:$BV$146,MATCH($A73,'Eurostat EB TJ GWh'!$A$2:$A$146,0),MATCH(O$3,'Eurostat EB TJ GWh'!$A$2:$BV$2,0))</f>
        <v>0</v>
      </c>
      <c r="P73" s="17">
        <f>INDEX('Eurostat EB TJ GWh'!$A$2:$BV$146,MATCH($A73,'Eurostat EB TJ GWh'!$A$2:$A$146,0),MATCH(P$3,'Eurostat EB TJ GWh'!$A$2:$BV$2,0))</f>
        <v>0</v>
      </c>
      <c r="Q73" s="17">
        <f>INDEX('Eurostat EB TJ GWh'!$A$2:$BV$146,MATCH($A73,'Eurostat EB TJ GWh'!$A$2:$A$146,0),MATCH(Q$3,'Eurostat EB TJ GWh'!$A$2:$BV$2,0))</f>
        <v>0</v>
      </c>
      <c r="R73" s="17">
        <f>INDEX('Eurostat EB TJ GWh'!$A$2:$BV$146,MATCH($A73,'Eurostat EB TJ GWh'!$A$2:$A$146,0),MATCH(R$2,'Eurostat EB TJ GWh'!$A$2:$BV$2,0))+INDEX('Eurostat EB TJ GWh'!$A$2:$BV$146,MATCH($A73,'Eurostat EB TJ GWh'!$A$2:$A$146,0),MATCH(R$3,'Eurostat EB TJ GWh'!$A$2:$BV$2,0))</f>
        <v>0</v>
      </c>
      <c r="S73" s="17">
        <f>INDEX('Eurostat EB TJ GWh'!$A$2:$BV$146,MATCH($A73,'Eurostat EB TJ GWh'!$A$2:$A$146,0),MATCH(S$3,'Eurostat EB TJ GWh'!$A$2:$BV$2,0))</f>
        <v>0</v>
      </c>
      <c r="T73" s="65" t="s">
        <v>323</v>
      </c>
      <c r="U73" s="17">
        <f>INDEX('Eurostat EB TJ GWh'!$A$2:$BV$146,MATCH($A73,'Eurostat EB TJ GWh'!$A$2:$A$146,0),MATCH(U$3,'Eurostat EB TJ GWh'!$A$2:$BV$2,0))</f>
        <v>0</v>
      </c>
      <c r="V73" s="17">
        <f>INDEX('Eurostat EB TJ GWh'!$A$2:$BV$146,MATCH($A73,'Eurostat EB TJ GWh'!$A$2:$A$146,0),MATCH(V$3,'Eurostat EB TJ GWh'!$A$2:$BV$2,0))</f>
        <v>0</v>
      </c>
      <c r="W73" s="17">
        <f>INDEX('Eurostat EB TJ GWh'!$A$2:$BV$146,MATCH($A73,'Eurostat EB TJ GWh'!$A$2:$A$146,0),MATCH(W$3,'Eurostat EB TJ GWh'!$A$2:$BV$2,0))</f>
        <v>0</v>
      </c>
      <c r="X73" s="17">
        <f>INDEX('Eurostat EB TJ GWh'!$A$2:$BV$146,MATCH($A73,'Eurostat EB TJ GWh'!$A$2:$A$146,0),MATCH(X$3,'Eurostat EB TJ GWh'!$A$2:$BV$2,0))</f>
        <v>0</v>
      </c>
      <c r="Y73" s="17">
        <f>INDEX('Eurostat EB TJ GWh'!$A$2:$BV$146,MATCH($A73,'Eurostat EB TJ GWh'!$A$2:$A$146,0),MATCH(Y$3,'Eurostat EB TJ GWh'!$A$2:$BV$2,0))</f>
        <v>0</v>
      </c>
      <c r="Z73" s="17">
        <f>INDEX('Eurostat EB TJ GWh'!$A$2:$BV$146,MATCH($A73,'Eurostat EB TJ GWh'!$A$2:$A$146,0),MATCH(Z$3,'Eurostat EB TJ GWh'!$A$2:$BV$2,0))</f>
        <v>0</v>
      </c>
      <c r="AA73" s="17">
        <f>INDEX('Eurostat EB TJ GWh'!$A$2:$BV$146,MATCH($A73,'Eurostat EB TJ GWh'!$A$2:$A$146,0),MATCH(AA$3,'Eurostat EB TJ GWh'!$A$2:$BV$2,0))</f>
        <v>0</v>
      </c>
      <c r="AB73" s="17">
        <f>INDEX('Eurostat EB TJ GWh'!$A$2:$BV$146,MATCH($A73,'Eurostat EB TJ GWh'!$A$2:$A$146,0),MATCH(AB$3,'Eurostat EB TJ GWh'!$A$2:$BV$2,0))</f>
        <v>0</v>
      </c>
      <c r="AC73" s="17">
        <f>INDEX('Eurostat EB TJ GWh'!$A$2:$BV$146,MATCH($A73,'Eurostat EB TJ GWh'!$A$2:$A$146,0),MATCH(AC$3,'Eurostat EB TJ GWh'!$A$2:$BV$2,0))</f>
        <v>0</v>
      </c>
      <c r="AD73" s="17">
        <f>INDEX('Eurostat EB TJ GWh'!$A$2:$BV$146,MATCH($A73,'Eurostat EB TJ GWh'!$A$2:$A$146,0),MATCH(AD$3,'Eurostat EB TJ GWh'!$A$2:$BV$2,0))</f>
        <v>0</v>
      </c>
      <c r="AE73" s="17">
        <f>INDEX('Eurostat EB TJ GWh'!$A$2:$BV$146,MATCH($A73,'Eurostat EB TJ GWh'!$A$2:$A$146,0),MATCH(AE$3,'Eurostat EB TJ GWh'!$A$2:$BV$2,0))</f>
        <v>0</v>
      </c>
      <c r="AF73" s="17">
        <f>INDEX('Eurostat EB TJ GWh'!$A$2:$BV$146,MATCH($A73,'Eurostat EB TJ GWh'!$A$2:$A$146,0),MATCH(AF$3,'Eurostat EB TJ GWh'!$A$2:$BV$2,0))</f>
        <v>0</v>
      </c>
      <c r="AG73" s="17">
        <f>INDEX('Eurostat EB TJ GWh'!$A$2:$BV$146,MATCH($A73,'Eurostat EB TJ GWh'!$A$2:$A$146,0),MATCH(AG$3,'Eurostat EB TJ GWh'!$A$2:$BV$2,0))</f>
        <v>0</v>
      </c>
      <c r="AH73" s="17">
        <f>INDEX('Eurostat EB TJ GWh'!$A$2:$BV$146,MATCH($A73,'Eurostat EB TJ GWh'!$A$2:$A$146,0),MATCH(AH$3,'Eurostat EB TJ GWh'!$A$2:$BV$2,0))</f>
        <v>0</v>
      </c>
      <c r="AI73" s="17">
        <f>INDEX('Eurostat EB TJ GWh'!$A$2:$BV$146,MATCH($A73,'Eurostat EB TJ GWh'!$A$2:$A$146,0),MATCH(AI$3,'Eurostat EB TJ GWh'!$A$2:$BV$2,0))</f>
        <v>0</v>
      </c>
      <c r="AJ73" s="17">
        <f>INDEX('Eurostat EB TJ GWh'!$A$2:$BV$146,MATCH($A73,'Eurostat EB TJ GWh'!$A$2:$A$146,0),MATCH(AJ$3,'Eurostat EB TJ GWh'!$A$2:$BV$2,0))</f>
        <v>0</v>
      </c>
      <c r="AK73" s="17">
        <f>INDEX('Eurostat EB TJ GWh'!$A$2:$BV$146,MATCH($A73,'Eurostat EB TJ GWh'!$A$2:$A$146,0),MATCH(AK$3,'Eurostat EB TJ GWh'!$A$2:$BV$2,0))</f>
        <v>0</v>
      </c>
      <c r="AL73" s="17">
        <f>INDEX('Eurostat EB TJ GWh'!$A$2:$BV$146,MATCH($A73,'Eurostat EB TJ GWh'!$A$2:$A$146,0),MATCH(AL$3,'Eurostat EB TJ GWh'!$A$2:$BV$2,0))</f>
        <v>0</v>
      </c>
      <c r="AM73" s="17">
        <f>INDEX('Eurostat EB TJ GWh'!$A$2:$BV$146,MATCH($A73,'Eurostat EB TJ GWh'!$A$2:$A$146,0),MATCH(AM$3,'Eurostat EB TJ GWh'!$A$2:$BV$2,0))</f>
        <v>0</v>
      </c>
      <c r="AN73" s="17">
        <f>INDEX('Eurostat EB TJ GWh'!$A$2:$BV$146,MATCH($A73,'Eurostat EB TJ GWh'!$A$2:$A$146,0),MATCH(AN$3,'Eurostat EB TJ GWh'!$A$2:$BV$2,0))</f>
        <v>0</v>
      </c>
      <c r="AO73" s="17">
        <f>INDEX('Eurostat EB TJ GWh'!$A$2:$BV$146,MATCH($A73,'Eurostat EB TJ GWh'!$A$2:$A$146,0),MATCH(AO$3,'Eurostat EB TJ GWh'!$A$2:$BV$2,0))</f>
        <v>0</v>
      </c>
      <c r="AP73" s="17">
        <f>INDEX('Eurostat EB TJ GWh'!$A$2:$BV$146,MATCH($A73,'Eurostat EB TJ GWh'!$A$2:$A$146,0),MATCH(AP$3,'Eurostat EB TJ GWh'!$A$2:$BV$2,0))</f>
        <v>0</v>
      </c>
      <c r="AQ73" s="17">
        <f>INDEX('Eurostat EB TJ GWh'!$A$2:$BV$146,MATCH($A73,'Eurostat EB TJ GWh'!$A$2:$A$146,0),MATCH(AQ$3,'Eurostat EB TJ GWh'!$A$2:$BV$2,0))</f>
        <v>0</v>
      </c>
      <c r="AR73" s="17">
        <f>INDEX('Eurostat EB TJ GWh'!$A$2:$BV$146,MATCH($A73,'Eurostat EB TJ GWh'!$A$2:$A$146,0),MATCH(AR$3,'Eurostat EB TJ GWh'!$A$2:$BV$2,0))</f>
        <v>0</v>
      </c>
      <c r="AS73" s="17">
        <f>INDEX('Eurostat EB TJ GWh'!$A$2:$BV$146,MATCH($A73,'Eurostat EB TJ GWh'!$A$2:$A$146,0),MATCH(AS$3,'Eurostat EB TJ GWh'!$A$2:$BV$2,0))</f>
        <v>0</v>
      </c>
      <c r="AT73" s="17">
        <f>INDEX('Eurostat EB TJ GWh'!$A$2:$BV$146,MATCH($A73,'Eurostat EB TJ GWh'!$A$2:$A$146,0),MATCH(AT$3,'Eurostat EB TJ GWh'!$A$2:$BV$2,0))</f>
        <v>0</v>
      </c>
      <c r="AU73" s="17">
        <f>INDEX('Eurostat EB TJ GWh'!$A$2:$BV$146,MATCH($A73,'Eurostat EB TJ GWh'!$A$2:$A$146,0),MATCH(AU$3,'Eurostat EB TJ GWh'!$A$2:$BV$2,0))</f>
        <v>0</v>
      </c>
      <c r="AV73" s="17">
        <f>INDEX('Eurostat EB TJ GWh'!$A$2:$BV$146,MATCH($A73,'Eurostat EB TJ GWh'!$A$2:$A$146,0),MATCH(AV$2,'Eurostat EB TJ GWh'!$A$2:$BV$2,0))+INDEX('Eurostat EB TJ GWh'!$A$2:$BV$146,MATCH($A73,'Eurostat EB TJ GWh'!$A$2:$A$146,0),MATCH(AV$3,'Eurostat EB TJ GWh'!$A$2:$BV$2,0))</f>
        <v>0</v>
      </c>
      <c r="AW73" s="17">
        <f>INDEX('Eurostat EB TJ GWh'!$A$2:$BV$146,MATCH($A73,'Eurostat EB TJ GWh'!$A$2:$A$146,0),MATCH(AW$2,'Eurostat EB TJ GWh'!$A$2:$BV$2,0))+INDEX('Eurostat EB TJ GWh'!$A$2:$BV$146,MATCH($A73,'Eurostat EB TJ GWh'!$A$2:$A$146,0),MATCH(AW$3,'Eurostat EB TJ GWh'!$A$2:$BV$2,0))</f>
        <v>0</v>
      </c>
      <c r="AX73" s="17">
        <f>INDEX('Eurostat EB TJ GWh'!$A$2:$BV$146,MATCH($A73,'Eurostat EB TJ GWh'!$A$2:$A$146,0),MATCH(AX$3,'Eurostat EB TJ GWh'!$A$2:$BV$2,0))</f>
        <v>0</v>
      </c>
      <c r="AY73" s="65">
        <v>0</v>
      </c>
      <c r="AZ73" s="17">
        <f>INDEX('Eurostat EB TJ GWh'!$A$2:$BV$146,MATCH($A73,'Eurostat EB TJ GWh'!$A$2:$A$146,0),MATCH(AZ$3,'Eurostat EB TJ GWh'!$A$2:$BV$2,0))</f>
        <v>0</v>
      </c>
      <c r="BA73" s="65">
        <v>0</v>
      </c>
      <c r="BB73" s="65">
        <v>0</v>
      </c>
      <c r="BC73" s="17">
        <f>INDEX('Eurostat EB TJ GWh'!$A$2:$BV$146,MATCH($A73,'Eurostat EB TJ GWh'!$A$2:$A$146,0),MATCH(BC$3,'Eurostat EB TJ GWh'!$A$2:$BV$2,0))</f>
        <v>0</v>
      </c>
      <c r="BD73" s="17">
        <f>INDEX('Eurostat EB TJ GWh'!$A$2:$BV$146,MATCH($A73,'Eurostat EB TJ GWh'!$A$2:$A$146,0),MATCH(BD$3,'Eurostat EB TJ GWh'!$A$2:$BV$2,0))</f>
        <v>0</v>
      </c>
      <c r="BE73" s="17">
        <f>INDEX('Eurostat EB TJ GWh'!$A$2:$BV$146,MATCH($A73,'Eurostat EB TJ GWh'!$A$2:$A$146,0),MATCH(BE$3,'Eurostat EB TJ GWh'!$A$2:$BV$2,0))</f>
        <v>0</v>
      </c>
      <c r="BF73" s="17">
        <f>INDEX('Eurostat EB TJ GWh'!$A$2:$BV$146,MATCH($A73,'Eurostat EB TJ GWh'!$A$2:$A$146,0),MATCH(BF$3,'Eurostat EB TJ GWh'!$A$2:$BV$2,0))</f>
        <v>0</v>
      </c>
      <c r="BG73" s="17">
        <f>INDEX('Eurostat EB TJ GWh'!$A$2:$BV$146,MATCH($A73,'Eurostat EB TJ GWh'!$A$2:$A$146,0),MATCH(BG$3,'Eurostat EB TJ GWh'!$A$2:$BV$2,0))</f>
        <v>0</v>
      </c>
      <c r="BH73" s="17">
        <f>INDEX('Eurostat EB TJ GWh'!$A$2:$BV$146,MATCH($A73,'Eurostat EB TJ GWh'!$A$2:$A$146,0),MATCH(BH$3,'Eurostat EB TJ GWh'!$A$2:$BV$2,0))</f>
        <v>0</v>
      </c>
      <c r="BI73" s="17">
        <f>INDEX('Eurostat EB TJ GWh'!$A$2:$BV$146,MATCH($A73,'Eurostat EB TJ GWh'!$A$2:$A$146,0),MATCH(BI$3,'Eurostat EB TJ GWh'!$A$2:$BV$2,0))</f>
        <v>0</v>
      </c>
      <c r="BJ73" s="65">
        <v>0</v>
      </c>
      <c r="BK73" s="17">
        <f>INDEX('Eurostat EB TJ GWh'!$A$2:$BV$146,MATCH($A73,'Eurostat EB TJ GWh'!$A$2:$A$146,0),MATCH(BK$3,'Eurostat EB TJ GWh'!$A$2:$BV$2,0))</f>
        <v>0</v>
      </c>
      <c r="BL73" s="17">
        <f>INDEX('Eurostat EB TJ GWh'!$A$2:$BV$146,MATCH($A73,'Eurostat EB TJ GWh'!$A$2:$A$146,0),MATCH(BL$3,'Eurostat EB TJ GWh'!$A$2:$BV$2,0))</f>
        <v>0</v>
      </c>
      <c r="BM73" s="17">
        <f>INDEX('Eurostat EB TJ GWh'!$A$2:$BV$146,MATCH($A73,'Eurostat EB TJ GWh'!$A$2:$A$146,0),MATCH(BM$3,'Eurostat EB TJ GWh'!$A$2:$BV$2,0))</f>
        <v>0</v>
      </c>
      <c r="BN73" s="17">
        <f>INDEX('Eurostat EB TJ GWh'!$A$2:$BV$146,MATCH($A73,'Eurostat EB TJ GWh'!$A$2:$A$146,0),MATCH(BN$3,'Eurostat EB TJ GWh'!$A$2:$BV$2,0))</f>
        <v>0</v>
      </c>
    </row>
    <row r="74" spans="1:66" x14ac:dyDescent="0.2">
      <c r="A74" s="56" t="s">
        <v>262</v>
      </c>
      <c r="B74" s="65" t="s">
        <v>323</v>
      </c>
      <c r="C74" s="65" t="s">
        <v>323</v>
      </c>
      <c r="D74" s="57">
        <f>INDEX('Eurostat EB TJ GWh'!$A$2:$BV$146,MATCH($A74,'Eurostat EB TJ GWh'!$A$2:$A$146,0),MATCH(D$3,'Eurostat EB TJ GWh'!$A$2:$BV$2,0))</f>
        <v>0</v>
      </c>
      <c r="E74" s="57">
        <f>INDEX('Eurostat EB TJ GWh'!$A$2:$BV$146,MATCH($A74,'Eurostat EB TJ GWh'!$A$2:$A$146,0),MATCH(E$3,'Eurostat EB TJ GWh'!$A$2:$BV$2,0))</f>
        <v>0</v>
      </c>
      <c r="F74" s="57">
        <f>INDEX('Eurostat EB TJ GWh'!$A$2:$BV$146,MATCH($A74,'Eurostat EB TJ GWh'!$A$2:$A$146,0),MATCH(F$3,'Eurostat EB TJ GWh'!$A$2:$BV$2,0))</f>
        <v>0</v>
      </c>
      <c r="G74" s="57">
        <f>INDEX('Eurostat EB TJ GWh'!$A$2:$BV$146,MATCH($A74,'Eurostat EB TJ GWh'!$A$2:$A$146,0),MATCH(G$3,'Eurostat EB TJ GWh'!$A$2:$BV$2,0))</f>
        <v>0</v>
      </c>
      <c r="H74" s="57">
        <f>INDEX('Eurostat EB TJ GWh'!$A$2:$BV$146,MATCH($A74,'Eurostat EB TJ GWh'!$A$2:$A$146,0),MATCH(H$3,'Eurostat EB TJ GWh'!$A$2:$BV$2,0))</f>
        <v>0</v>
      </c>
      <c r="I74" s="57">
        <f>INDEX('Eurostat EB TJ GWh'!$A$2:$BV$146,MATCH($A74,'Eurostat EB TJ GWh'!$A$2:$A$146,0),MATCH(I$3,'Eurostat EB TJ GWh'!$A$2:$BV$2,0))</f>
        <v>0</v>
      </c>
      <c r="J74" s="57">
        <f>INDEX('Eurostat EB TJ GWh'!$A$2:$BV$146,MATCH($A74,'Eurostat EB TJ GWh'!$A$2:$A$146,0),MATCH(J$3,'Eurostat EB TJ GWh'!$A$2:$BV$2,0))</f>
        <v>0</v>
      </c>
      <c r="K74" s="57">
        <f>INDEX('Eurostat EB TJ GWh'!$A$2:$BV$146,MATCH($A74,'Eurostat EB TJ GWh'!$A$2:$A$146,0),MATCH(K$3,'Eurostat EB TJ GWh'!$A$2:$BV$2,0))</f>
        <v>0</v>
      </c>
      <c r="L74" s="57">
        <f>INDEX('Eurostat EB TJ GWh'!$A$2:$BV$146,MATCH($A74,'Eurostat EB TJ GWh'!$A$2:$A$146,0),MATCH(L$3,'Eurostat EB TJ GWh'!$A$2:$BV$2,0))</f>
        <v>0</v>
      </c>
      <c r="M74" s="57">
        <f>INDEX('Eurostat EB TJ GWh'!$A$2:$BV$146,MATCH($A74,'Eurostat EB TJ GWh'!$A$2:$A$146,0),MATCH(M$3,'Eurostat EB TJ GWh'!$A$2:$BV$2,0))</f>
        <v>0</v>
      </c>
      <c r="N74" s="57">
        <f>INDEX('Eurostat EB TJ GWh'!$A$2:$BV$146,MATCH($A74,'Eurostat EB TJ GWh'!$A$2:$A$146,0),MATCH(N$3,'Eurostat EB TJ GWh'!$A$2:$BV$2,0))</f>
        <v>0</v>
      </c>
      <c r="O74" s="57">
        <f>INDEX('Eurostat EB TJ GWh'!$A$2:$BV$146,MATCH($A74,'Eurostat EB TJ GWh'!$A$2:$A$146,0),MATCH(O$3,'Eurostat EB TJ GWh'!$A$2:$BV$2,0))</f>
        <v>7194.2259999999997</v>
      </c>
      <c r="P74" s="57">
        <f>INDEX('Eurostat EB TJ GWh'!$A$2:$BV$146,MATCH($A74,'Eurostat EB TJ GWh'!$A$2:$A$146,0),MATCH(P$3,'Eurostat EB TJ GWh'!$A$2:$BV$2,0))</f>
        <v>5597.1120000000001</v>
      </c>
      <c r="Q74" s="57">
        <f>INDEX('Eurostat EB TJ GWh'!$A$2:$BV$146,MATCH($A74,'Eurostat EB TJ GWh'!$A$2:$A$146,0),MATCH(Q$3,'Eurostat EB TJ GWh'!$A$2:$BV$2,0))</f>
        <v>0</v>
      </c>
      <c r="R74" s="57">
        <f>INDEX('Eurostat EB TJ GWh'!$A$2:$BV$146,MATCH($A74,'Eurostat EB TJ GWh'!$A$2:$A$146,0),MATCH(R$2,'Eurostat EB TJ GWh'!$A$2:$BV$2,0))+INDEX('Eurostat EB TJ GWh'!$A$2:$BV$146,MATCH($A74,'Eurostat EB TJ GWh'!$A$2:$A$146,0),MATCH(R$3,'Eurostat EB TJ GWh'!$A$2:$BV$2,0))</f>
        <v>0</v>
      </c>
      <c r="S74" s="57">
        <f>INDEX('Eurostat EB TJ GWh'!$A$2:$BV$146,MATCH($A74,'Eurostat EB TJ GWh'!$A$2:$A$146,0),MATCH(S$3,'Eurostat EB TJ GWh'!$A$2:$BV$2,0))</f>
        <v>32451.208999999999</v>
      </c>
      <c r="T74" s="65" t="s">
        <v>323</v>
      </c>
      <c r="U74" s="57">
        <f>INDEX('Eurostat EB TJ GWh'!$A$2:$BV$146,MATCH($A74,'Eurostat EB TJ GWh'!$A$2:$A$146,0),MATCH(U$3,'Eurostat EB TJ GWh'!$A$2:$BV$2,0))</f>
        <v>0</v>
      </c>
      <c r="V74" s="57">
        <f>INDEX('Eurostat EB TJ GWh'!$A$2:$BV$146,MATCH($A74,'Eurostat EB TJ GWh'!$A$2:$A$146,0),MATCH(V$3,'Eurostat EB TJ GWh'!$A$2:$BV$2,0))</f>
        <v>0</v>
      </c>
      <c r="W74" s="57">
        <f>INDEX('Eurostat EB TJ GWh'!$A$2:$BV$146,MATCH($A74,'Eurostat EB TJ GWh'!$A$2:$A$146,0),MATCH(W$3,'Eurostat EB TJ GWh'!$A$2:$BV$2,0))</f>
        <v>0</v>
      </c>
      <c r="X74" s="57">
        <f>INDEX('Eurostat EB TJ GWh'!$A$2:$BV$146,MATCH($A74,'Eurostat EB TJ GWh'!$A$2:$A$146,0),MATCH(X$3,'Eurostat EB TJ GWh'!$A$2:$BV$2,0))</f>
        <v>0</v>
      </c>
      <c r="Y74" s="57">
        <f>INDEX('Eurostat EB TJ GWh'!$A$2:$BV$146,MATCH($A74,'Eurostat EB TJ GWh'!$A$2:$A$146,0),MATCH(Y$3,'Eurostat EB TJ GWh'!$A$2:$BV$2,0))</f>
        <v>0</v>
      </c>
      <c r="Z74" s="57">
        <f>INDEX('Eurostat EB TJ GWh'!$A$2:$BV$146,MATCH($A74,'Eurostat EB TJ GWh'!$A$2:$A$146,0),MATCH(Z$3,'Eurostat EB TJ GWh'!$A$2:$BV$2,0))</f>
        <v>89172.464000000007</v>
      </c>
      <c r="AA74" s="57">
        <f>INDEX('Eurostat EB TJ GWh'!$A$2:$BV$146,MATCH($A74,'Eurostat EB TJ GWh'!$A$2:$A$146,0),MATCH(AA$3,'Eurostat EB TJ GWh'!$A$2:$BV$2,0))</f>
        <v>0</v>
      </c>
      <c r="AB74" s="57">
        <f>INDEX('Eurostat EB TJ GWh'!$A$2:$BV$146,MATCH($A74,'Eurostat EB TJ GWh'!$A$2:$A$146,0),MATCH(AB$3,'Eurostat EB TJ GWh'!$A$2:$BV$2,0))</f>
        <v>4181.308</v>
      </c>
      <c r="AC74" s="57">
        <f>INDEX('Eurostat EB TJ GWh'!$A$2:$BV$146,MATCH($A74,'Eurostat EB TJ GWh'!$A$2:$A$146,0),MATCH(AC$3,'Eurostat EB TJ GWh'!$A$2:$BV$2,0))</f>
        <v>0</v>
      </c>
      <c r="AD74" s="57">
        <f>INDEX('Eurostat EB TJ GWh'!$A$2:$BV$146,MATCH($A74,'Eurostat EB TJ GWh'!$A$2:$A$146,0),MATCH(AD$3,'Eurostat EB TJ GWh'!$A$2:$BV$2,0))</f>
        <v>0</v>
      </c>
      <c r="AE74" s="57">
        <f>INDEX('Eurostat EB TJ GWh'!$A$2:$BV$146,MATCH($A74,'Eurostat EB TJ GWh'!$A$2:$A$146,0),MATCH(AE$3,'Eurostat EB TJ GWh'!$A$2:$BV$2,0))</f>
        <v>0</v>
      </c>
      <c r="AF74" s="57">
        <f>INDEX('Eurostat EB TJ GWh'!$A$2:$BV$146,MATCH($A74,'Eurostat EB TJ GWh'!$A$2:$A$146,0),MATCH(AF$3,'Eurostat EB TJ GWh'!$A$2:$BV$2,0))</f>
        <v>0</v>
      </c>
      <c r="AG74" s="57">
        <f>INDEX('Eurostat EB TJ GWh'!$A$2:$BV$146,MATCH($A74,'Eurostat EB TJ GWh'!$A$2:$A$146,0),MATCH(AG$3,'Eurostat EB TJ GWh'!$A$2:$BV$2,0))</f>
        <v>0</v>
      </c>
      <c r="AH74" s="57">
        <f>INDEX('Eurostat EB TJ GWh'!$A$2:$BV$146,MATCH($A74,'Eurostat EB TJ GWh'!$A$2:$A$146,0),MATCH(AH$3,'Eurostat EB TJ GWh'!$A$2:$BV$2,0))</f>
        <v>8.1969999999999992</v>
      </c>
      <c r="AI74" s="57">
        <f>INDEX('Eurostat EB TJ GWh'!$A$2:$BV$146,MATCH($A74,'Eurostat EB TJ GWh'!$A$2:$A$146,0),MATCH(AI$3,'Eurostat EB TJ GWh'!$A$2:$BV$2,0))</f>
        <v>0</v>
      </c>
      <c r="AJ74" s="57">
        <f>INDEX('Eurostat EB TJ GWh'!$A$2:$BV$146,MATCH($A74,'Eurostat EB TJ GWh'!$A$2:$A$146,0),MATCH(AJ$3,'Eurostat EB TJ GWh'!$A$2:$BV$2,0))</f>
        <v>0</v>
      </c>
      <c r="AK74" s="57">
        <f>INDEX('Eurostat EB TJ GWh'!$A$2:$BV$146,MATCH($A74,'Eurostat EB TJ GWh'!$A$2:$A$146,0),MATCH(AK$3,'Eurostat EB TJ GWh'!$A$2:$BV$2,0))</f>
        <v>0</v>
      </c>
      <c r="AL74" s="57">
        <f>INDEX('Eurostat EB TJ GWh'!$A$2:$BV$146,MATCH($A74,'Eurostat EB TJ GWh'!$A$2:$A$146,0),MATCH(AL$3,'Eurostat EB TJ GWh'!$A$2:$BV$2,0))</f>
        <v>0</v>
      </c>
      <c r="AM74" s="57">
        <f>INDEX('Eurostat EB TJ GWh'!$A$2:$BV$146,MATCH($A74,'Eurostat EB TJ GWh'!$A$2:$A$146,0),MATCH(AM$3,'Eurostat EB TJ GWh'!$A$2:$BV$2,0))</f>
        <v>0</v>
      </c>
      <c r="AN74" s="57">
        <f>INDEX('Eurostat EB TJ GWh'!$A$2:$BV$146,MATCH($A74,'Eurostat EB TJ GWh'!$A$2:$A$146,0),MATCH(AN$3,'Eurostat EB TJ GWh'!$A$2:$BV$2,0))</f>
        <v>0</v>
      </c>
      <c r="AO74" s="57">
        <f>INDEX('Eurostat EB TJ GWh'!$A$2:$BV$146,MATCH($A74,'Eurostat EB TJ GWh'!$A$2:$A$146,0),MATCH(AO$3,'Eurostat EB TJ GWh'!$A$2:$BV$2,0))</f>
        <v>10670.291999999999</v>
      </c>
      <c r="AP74" s="57">
        <f>INDEX('Eurostat EB TJ GWh'!$A$2:$BV$146,MATCH($A74,'Eurostat EB TJ GWh'!$A$2:$A$146,0),MATCH(AP$3,'Eurostat EB TJ GWh'!$A$2:$BV$2,0))</f>
        <v>0</v>
      </c>
      <c r="AQ74" s="57">
        <f>INDEX('Eurostat EB TJ GWh'!$A$2:$BV$146,MATCH($A74,'Eurostat EB TJ GWh'!$A$2:$A$146,0),MATCH(AQ$3,'Eurostat EB TJ GWh'!$A$2:$BV$2,0))</f>
        <v>0</v>
      </c>
      <c r="AR74" s="57">
        <f>INDEX('Eurostat EB TJ GWh'!$A$2:$BV$146,MATCH($A74,'Eurostat EB TJ GWh'!$A$2:$A$146,0),MATCH(AR$3,'Eurostat EB TJ GWh'!$A$2:$BV$2,0))</f>
        <v>0</v>
      </c>
      <c r="AS74" s="57">
        <f>INDEX('Eurostat EB TJ GWh'!$A$2:$BV$146,MATCH($A74,'Eurostat EB TJ GWh'!$A$2:$A$146,0),MATCH(AS$3,'Eurostat EB TJ GWh'!$A$2:$BV$2,0))</f>
        <v>0</v>
      </c>
      <c r="AT74" s="57">
        <f>INDEX('Eurostat EB TJ GWh'!$A$2:$BV$146,MATCH($A74,'Eurostat EB TJ GWh'!$A$2:$A$146,0),MATCH(AT$3,'Eurostat EB TJ GWh'!$A$2:$BV$2,0))</f>
        <v>0</v>
      </c>
      <c r="AU74" s="57">
        <f>INDEX('Eurostat EB TJ GWh'!$A$2:$BV$146,MATCH($A74,'Eurostat EB TJ GWh'!$A$2:$A$146,0),MATCH(AU$3,'Eurostat EB TJ GWh'!$A$2:$BV$2,0))</f>
        <v>0</v>
      </c>
      <c r="AV74" s="57">
        <f>INDEX('Eurostat EB TJ GWh'!$A$2:$BV$146,MATCH($A74,'Eurostat EB TJ GWh'!$A$2:$A$146,0),MATCH(AV$2,'Eurostat EB TJ GWh'!$A$2:$BV$2,0))+INDEX('Eurostat EB TJ GWh'!$A$2:$BV$146,MATCH($A74,'Eurostat EB TJ GWh'!$A$2:$A$146,0),MATCH(AV$3,'Eurostat EB TJ GWh'!$A$2:$BV$2,0))</f>
        <v>0</v>
      </c>
      <c r="AW74" s="57">
        <f>INDEX('Eurostat EB TJ GWh'!$A$2:$BV$146,MATCH($A74,'Eurostat EB TJ GWh'!$A$2:$A$146,0),MATCH(AW$2,'Eurostat EB TJ GWh'!$A$2:$BV$2,0))+INDEX('Eurostat EB TJ GWh'!$A$2:$BV$146,MATCH($A74,'Eurostat EB TJ GWh'!$A$2:$A$146,0),MATCH(AW$3,'Eurostat EB TJ GWh'!$A$2:$BV$2,0))</f>
        <v>0</v>
      </c>
      <c r="AX74" s="57">
        <f>INDEX('Eurostat EB TJ GWh'!$A$2:$BV$146,MATCH($A74,'Eurostat EB TJ GWh'!$A$2:$A$146,0),MATCH(AX$3,'Eurostat EB TJ GWh'!$A$2:$BV$2,0))</f>
        <v>0</v>
      </c>
      <c r="AY74" s="72">
        <v>0</v>
      </c>
      <c r="AZ74" s="57">
        <f>INDEX('Eurostat EB TJ GWh'!$A$2:$BV$146,MATCH($A74,'Eurostat EB TJ GWh'!$A$2:$A$146,0),MATCH(AZ$3,'Eurostat EB TJ GWh'!$A$2:$BV$2,0))</f>
        <v>0</v>
      </c>
      <c r="BA74" s="72">
        <v>0</v>
      </c>
      <c r="BB74" s="72">
        <v>0</v>
      </c>
      <c r="BC74" s="57">
        <f>INDEX('Eurostat EB TJ GWh'!$A$2:$BV$146,MATCH($A74,'Eurostat EB TJ GWh'!$A$2:$A$146,0),MATCH(BC$3,'Eurostat EB TJ GWh'!$A$2:$BV$2,0))</f>
        <v>0</v>
      </c>
      <c r="BD74" s="57">
        <f>INDEX('Eurostat EB TJ GWh'!$A$2:$BV$146,MATCH($A74,'Eurostat EB TJ GWh'!$A$2:$A$146,0),MATCH(BD$3,'Eurostat EB TJ GWh'!$A$2:$BV$2,0))</f>
        <v>0</v>
      </c>
      <c r="BE74" s="57">
        <f>INDEX('Eurostat EB TJ GWh'!$A$2:$BV$146,MATCH($A74,'Eurostat EB TJ GWh'!$A$2:$A$146,0),MATCH(BE$3,'Eurostat EB TJ GWh'!$A$2:$BV$2,0))</f>
        <v>0</v>
      </c>
      <c r="BF74" s="57">
        <f>INDEX('Eurostat EB TJ GWh'!$A$2:$BV$146,MATCH($A74,'Eurostat EB TJ GWh'!$A$2:$A$146,0),MATCH(BF$3,'Eurostat EB TJ GWh'!$A$2:$BV$2,0))</f>
        <v>0</v>
      </c>
      <c r="BG74" s="57">
        <f>INDEX('Eurostat EB TJ GWh'!$A$2:$BV$146,MATCH($A74,'Eurostat EB TJ GWh'!$A$2:$A$146,0),MATCH(BG$3,'Eurostat EB TJ GWh'!$A$2:$BV$2,0))</f>
        <v>0</v>
      </c>
      <c r="BH74" s="57">
        <f>INDEX('Eurostat EB TJ GWh'!$A$2:$BV$146,MATCH($A74,'Eurostat EB TJ GWh'!$A$2:$A$146,0),MATCH(BH$3,'Eurostat EB TJ GWh'!$A$2:$BV$2,0))</f>
        <v>0</v>
      </c>
      <c r="BI74" s="57">
        <f>INDEX('Eurostat EB TJ GWh'!$A$2:$BV$146,MATCH($A74,'Eurostat EB TJ GWh'!$A$2:$A$146,0),MATCH(BI$3,'Eurostat EB TJ GWh'!$A$2:$BV$2,0))</f>
        <v>0</v>
      </c>
      <c r="BJ74" s="72">
        <v>0</v>
      </c>
      <c r="BK74" s="57">
        <f>INDEX('Eurostat EB TJ GWh'!$A$2:$BV$146,MATCH($A74,'Eurostat EB TJ GWh'!$A$2:$A$146,0),MATCH(BK$3,'Eurostat EB TJ GWh'!$A$2:$BV$2,0))</f>
        <v>30941.248</v>
      </c>
      <c r="BL74" s="57">
        <f>INDEX('Eurostat EB TJ GWh'!$A$2:$BV$146,MATCH($A74,'Eurostat EB TJ GWh'!$A$2:$A$146,0),MATCH(BL$3,'Eurostat EB TJ GWh'!$A$2:$BV$2,0))</f>
        <v>11311.2</v>
      </c>
      <c r="BM74" s="57">
        <f>INDEX('Eurostat EB TJ GWh'!$A$2:$BV$146,MATCH($A74,'Eurostat EB TJ GWh'!$A$2:$A$146,0),MATCH(BM$3,'Eurostat EB TJ GWh'!$A$2:$BV$2,0))</f>
        <v>191527.25599999999</v>
      </c>
      <c r="BN74" s="57">
        <f>INDEX('Eurostat EB TJ GWh'!$A$2:$BV$146,MATCH($A74,'Eurostat EB TJ GWh'!$A$2:$A$146,0),MATCH(BN$3,'Eurostat EB TJ GWh'!$A$2:$BV$2,0))</f>
        <v>4875.3059999999996</v>
      </c>
    </row>
    <row r="75" spans="1:66" x14ac:dyDescent="0.2">
      <c r="A75" s="56" t="s">
        <v>263</v>
      </c>
      <c r="B75" s="65" t="s">
        <v>323</v>
      </c>
      <c r="C75" s="65" t="s">
        <v>323</v>
      </c>
      <c r="D75" s="17">
        <f>INDEX('Eurostat EB TJ GWh'!$A$2:$BV$146,MATCH($A75,'Eurostat EB TJ GWh'!$A$2:$A$146,0),MATCH(D$3,'Eurostat EB TJ GWh'!$A$2:$BV$2,0))</f>
        <v>0</v>
      </c>
      <c r="E75" s="17">
        <f>INDEX('Eurostat EB TJ GWh'!$A$2:$BV$146,MATCH($A75,'Eurostat EB TJ GWh'!$A$2:$A$146,0),MATCH(E$3,'Eurostat EB TJ GWh'!$A$2:$BV$2,0))</f>
        <v>0</v>
      </c>
      <c r="F75" s="17">
        <f>INDEX('Eurostat EB TJ GWh'!$A$2:$BV$146,MATCH($A75,'Eurostat EB TJ GWh'!$A$2:$A$146,0),MATCH(F$3,'Eurostat EB TJ GWh'!$A$2:$BV$2,0))</f>
        <v>0</v>
      </c>
      <c r="G75" s="17">
        <f>INDEX('Eurostat EB TJ GWh'!$A$2:$BV$146,MATCH($A75,'Eurostat EB TJ GWh'!$A$2:$A$146,0),MATCH(G$3,'Eurostat EB TJ GWh'!$A$2:$BV$2,0))</f>
        <v>0</v>
      </c>
      <c r="H75" s="17">
        <f>INDEX('Eurostat EB TJ GWh'!$A$2:$BV$146,MATCH($A75,'Eurostat EB TJ GWh'!$A$2:$A$146,0),MATCH(H$3,'Eurostat EB TJ GWh'!$A$2:$BV$2,0))</f>
        <v>0</v>
      </c>
      <c r="I75" s="17">
        <f>INDEX('Eurostat EB TJ GWh'!$A$2:$BV$146,MATCH($A75,'Eurostat EB TJ GWh'!$A$2:$A$146,0),MATCH(I$3,'Eurostat EB TJ GWh'!$A$2:$BV$2,0))</f>
        <v>0</v>
      </c>
      <c r="J75" s="17">
        <f>INDEX('Eurostat EB TJ GWh'!$A$2:$BV$146,MATCH($A75,'Eurostat EB TJ GWh'!$A$2:$A$146,0),MATCH(J$3,'Eurostat EB TJ GWh'!$A$2:$BV$2,0))</f>
        <v>0</v>
      </c>
      <c r="K75" s="17">
        <f>INDEX('Eurostat EB TJ GWh'!$A$2:$BV$146,MATCH($A75,'Eurostat EB TJ GWh'!$A$2:$A$146,0),MATCH(K$3,'Eurostat EB TJ GWh'!$A$2:$BV$2,0))</f>
        <v>0</v>
      </c>
      <c r="L75" s="17">
        <f>INDEX('Eurostat EB TJ GWh'!$A$2:$BV$146,MATCH($A75,'Eurostat EB TJ GWh'!$A$2:$A$146,0),MATCH(L$3,'Eurostat EB TJ GWh'!$A$2:$BV$2,0))</f>
        <v>0</v>
      </c>
      <c r="M75" s="17">
        <f>INDEX('Eurostat EB TJ GWh'!$A$2:$BV$146,MATCH($A75,'Eurostat EB TJ GWh'!$A$2:$A$146,0),MATCH(M$3,'Eurostat EB TJ GWh'!$A$2:$BV$2,0))</f>
        <v>0</v>
      </c>
      <c r="N75" s="17">
        <f>INDEX('Eurostat EB TJ GWh'!$A$2:$BV$146,MATCH($A75,'Eurostat EB TJ GWh'!$A$2:$A$146,0),MATCH(N$3,'Eurostat EB TJ GWh'!$A$2:$BV$2,0))</f>
        <v>0</v>
      </c>
      <c r="O75" s="17">
        <f>INDEX('Eurostat EB TJ GWh'!$A$2:$BV$146,MATCH($A75,'Eurostat EB TJ GWh'!$A$2:$A$146,0),MATCH(O$3,'Eurostat EB TJ GWh'!$A$2:$BV$2,0))</f>
        <v>0</v>
      </c>
      <c r="P75" s="17">
        <f>INDEX('Eurostat EB TJ GWh'!$A$2:$BV$146,MATCH($A75,'Eurostat EB TJ GWh'!$A$2:$A$146,0),MATCH(P$3,'Eurostat EB TJ GWh'!$A$2:$BV$2,0))</f>
        <v>0</v>
      </c>
      <c r="Q75" s="17">
        <f>INDEX('Eurostat EB TJ GWh'!$A$2:$BV$146,MATCH($A75,'Eurostat EB TJ GWh'!$A$2:$A$146,0),MATCH(Q$3,'Eurostat EB TJ GWh'!$A$2:$BV$2,0))</f>
        <v>0</v>
      </c>
      <c r="R75" s="17">
        <f>INDEX('Eurostat EB TJ GWh'!$A$2:$BV$146,MATCH($A75,'Eurostat EB TJ GWh'!$A$2:$A$146,0),MATCH(R$2,'Eurostat EB TJ GWh'!$A$2:$BV$2,0))+INDEX('Eurostat EB TJ GWh'!$A$2:$BV$146,MATCH($A75,'Eurostat EB TJ GWh'!$A$2:$A$146,0),MATCH(R$3,'Eurostat EB TJ GWh'!$A$2:$BV$2,0))</f>
        <v>0</v>
      </c>
      <c r="S75" s="17">
        <f>INDEX('Eurostat EB TJ GWh'!$A$2:$BV$146,MATCH($A75,'Eurostat EB TJ GWh'!$A$2:$A$146,0),MATCH(S$3,'Eurostat EB TJ GWh'!$A$2:$BV$2,0))</f>
        <v>20.163</v>
      </c>
      <c r="T75" s="65" t="s">
        <v>323</v>
      </c>
      <c r="U75" s="17">
        <f>INDEX('Eurostat EB TJ GWh'!$A$2:$BV$146,MATCH($A75,'Eurostat EB TJ GWh'!$A$2:$A$146,0),MATCH(U$3,'Eurostat EB TJ GWh'!$A$2:$BV$2,0))</f>
        <v>0</v>
      </c>
      <c r="V75" s="17">
        <f>INDEX('Eurostat EB TJ GWh'!$A$2:$BV$146,MATCH($A75,'Eurostat EB TJ GWh'!$A$2:$A$146,0),MATCH(V$3,'Eurostat EB TJ GWh'!$A$2:$BV$2,0))</f>
        <v>0</v>
      </c>
      <c r="W75" s="17">
        <f>INDEX('Eurostat EB TJ GWh'!$A$2:$BV$146,MATCH($A75,'Eurostat EB TJ GWh'!$A$2:$A$146,0),MATCH(W$3,'Eurostat EB TJ GWh'!$A$2:$BV$2,0))</f>
        <v>0</v>
      </c>
      <c r="X75" s="17">
        <f>INDEX('Eurostat EB TJ GWh'!$A$2:$BV$146,MATCH($A75,'Eurostat EB TJ GWh'!$A$2:$A$146,0),MATCH(X$3,'Eurostat EB TJ GWh'!$A$2:$BV$2,0))</f>
        <v>0</v>
      </c>
      <c r="Y75" s="17">
        <f>INDEX('Eurostat EB TJ GWh'!$A$2:$BV$146,MATCH($A75,'Eurostat EB TJ GWh'!$A$2:$A$146,0),MATCH(Y$3,'Eurostat EB TJ GWh'!$A$2:$BV$2,0))</f>
        <v>0</v>
      </c>
      <c r="Z75" s="17">
        <f>INDEX('Eurostat EB TJ GWh'!$A$2:$BV$146,MATCH($A75,'Eurostat EB TJ GWh'!$A$2:$A$146,0),MATCH(Z$3,'Eurostat EB TJ GWh'!$A$2:$BV$2,0))</f>
        <v>0</v>
      </c>
      <c r="AA75" s="17">
        <f>INDEX('Eurostat EB TJ GWh'!$A$2:$BV$146,MATCH($A75,'Eurostat EB TJ GWh'!$A$2:$A$146,0),MATCH(AA$3,'Eurostat EB TJ GWh'!$A$2:$BV$2,0))</f>
        <v>0</v>
      </c>
      <c r="AB75" s="17">
        <f>INDEX('Eurostat EB TJ GWh'!$A$2:$BV$146,MATCH($A75,'Eurostat EB TJ GWh'!$A$2:$A$146,0),MATCH(AB$3,'Eurostat EB TJ GWh'!$A$2:$BV$2,0))</f>
        <v>0</v>
      </c>
      <c r="AC75" s="17">
        <f>INDEX('Eurostat EB TJ GWh'!$A$2:$BV$146,MATCH($A75,'Eurostat EB TJ GWh'!$A$2:$A$146,0),MATCH(AC$3,'Eurostat EB TJ GWh'!$A$2:$BV$2,0))</f>
        <v>0</v>
      </c>
      <c r="AD75" s="17">
        <f>INDEX('Eurostat EB TJ GWh'!$A$2:$BV$146,MATCH($A75,'Eurostat EB TJ GWh'!$A$2:$A$146,0),MATCH(AD$3,'Eurostat EB TJ GWh'!$A$2:$BV$2,0))</f>
        <v>0</v>
      </c>
      <c r="AE75" s="17">
        <f>INDEX('Eurostat EB TJ GWh'!$A$2:$BV$146,MATCH($A75,'Eurostat EB TJ GWh'!$A$2:$A$146,0),MATCH(AE$3,'Eurostat EB TJ GWh'!$A$2:$BV$2,0))</f>
        <v>0</v>
      </c>
      <c r="AF75" s="17">
        <f>INDEX('Eurostat EB TJ GWh'!$A$2:$BV$146,MATCH($A75,'Eurostat EB TJ GWh'!$A$2:$A$146,0),MATCH(AF$3,'Eurostat EB TJ GWh'!$A$2:$BV$2,0))</f>
        <v>0</v>
      </c>
      <c r="AG75" s="17">
        <f>INDEX('Eurostat EB TJ GWh'!$A$2:$BV$146,MATCH($A75,'Eurostat EB TJ GWh'!$A$2:$A$146,0),MATCH(AG$3,'Eurostat EB TJ GWh'!$A$2:$BV$2,0))</f>
        <v>0</v>
      </c>
      <c r="AH75" s="17">
        <f>INDEX('Eurostat EB TJ GWh'!$A$2:$BV$146,MATCH($A75,'Eurostat EB TJ GWh'!$A$2:$A$146,0),MATCH(AH$3,'Eurostat EB TJ GWh'!$A$2:$BV$2,0))</f>
        <v>3.6240000000000001</v>
      </c>
      <c r="AI75" s="17">
        <f>INDEX('Eurostat EB TJ GWh'!$A$2:$BV$146,MATCH($A75,'Eurostat EB TJ GWh'!$A$2:$A$146,0),MATCH(AI$3,'Eurostat EB TJ GWh'!$A$2:$BV$2,0))</f>
        <v>0</v>
      </c>
      <c r="AJ75" s="17">
        <f>INDEX('Eurostat EB TJ GWh'!$A$2:$BV$146,MATCH($A75,'Eurostat EB TJ GWh'!$A$2:$A$146,0),MATCH(AJ$3,'Eurostat EB TJ GWh'!$A$2:$BV$2,0))</f>
        <v>0</v>
      </c>
      <c r="AK75" s="17">
        <f>INDEX('Eurostat EB TJ GWh'!$A$2:$BV$146,MATCH($A75,'Eurostat EB TJ GWh'!$A$2:$A$146,0),MATCH(AK$3,'Eurostat EB TJ GWh'!$A$2:$BV$2,0))</f>
        <v>0</v>
      </c>
      <c r="AL75" s="17">
        <f>INDEX('Eurostat EB TJ GWh'!$A$2:$BV$146,MATCH($A75,'Eurostat EB TJ GWh'!$A$2:$A$146,0),MATCH(AL$3,'Eurostat EB TJ GWh'!$A$2:$BV$2,0))</f>
        <v>0</v>
      </c>
      <c r="AM75" s="17">
        <f>INDEX('Eurostat EB TJ GWh'!$A$2:$BV$146,MATCH($A75,'Eurostat EB TJ GWh'!$A$2:$A$146,0),MATCH(AM$3,'Eurostat EB TJ GWh'!$A$2:$BV$2,0))</f>
        <v>0</v>
      </c>
      <c r="AN75" s="17">
        <f>INDEX('Eurostat EB TJ GWh'!$A$2:$BV$146,MATCH($A75,'Eurostat EB TJ GWh'!$A$2:$A$146,0),MATCH(AN$3,'Eurostat EB TJ GWh'!$A$2:$BV$2,0))</f>
        <v>0</v>
      </c>
      <c r="AO75" s="17">
        <f>INDEX('Eurostat EB TJ GWh'!$A$2:$BV$146,MATCH($A75,'Eurostat EB TJ GWh'!$A$2:$A$146,0),MATCH(AO$3,'Eurostat EB TJ GWh'!$A$2:$BV$2,0))</f>
        <v>0</v>
      </c>
      <c r="AP75" s="17">
        <f>INDEX('Eurostat EB TJ GWh'!$A$2:$BV$146,MATCH($A75,'Eurostat EB TJ GWh'!$A$2:$A$146,0),MATCH(AP$3,'Eurostat EB TJ GWh'!$A$2:$BV$2,0))</f>
        <v>0</v>
      </c>
      <c r="AQ75" s="17">
        <f>INDEX('Eurostat EB TJ GWh'!$A$2:$BV$146,MATCH($A75,'Eurostat EB TJ GWh'!$A$2:$A$146,0),MATCH(AQ$3,'Eurostat EB TJ GWh'!$A$2:$BV$2,0))</f>
        <v>0</v>
      </c>
      <c r="AR75" s="17">
        <f>INDEX('Eurostat EB TJ GWh'!$A$2:$BV$146,MATCH($A75,'Eurostat EB TJ GWh'!$A$2:$A$146,0),MATCH(AR$3,'Eurostat EB TJ GWh'!$A$2:$BV$2,0))</f>
        <v>0</v>
      </c>
      <c r="AS75" s="17">
        <f>INDEX('Eurostat EB TJ GWh'!$A$2:$BV$146,MATCH($A75,'Eurostat EB TJ GWh'!$A$2:$A$146,0),MATCH(AS$3,'Eurostat EB TJ GWh'!$A$2:$BV$2,0))</f>
        <v>0</v>
      </c>
      <c r="AT75" s="17">
        <f>INDEX('Eurostat EB TJ GWh'!$A$2:$BV$146,MATCH($A75,'Eurostat EB TJ GWh'!$A$2:$A$146,0),MATCH(AT$3,'Eurostat EB TJ GWh'!$A$2:$BV$2,0))</f>
        <v>0</v>
      </c>
      <c r="AU75" s="17">
        <f>INDEX('Eurostat EB TJ GWh'!$A$2:$BV$146,MATCH($A75,'Eurostat EB TJ GWh'!$A$2:$A$146,0),MATCH(AU$3,'Eurostat EB TJ GWh'!$A$2:$BV$2,0))</f>
        <v>0</v>
      </c>
      <c r="AV75" s="17">
        <f>INDEX('Eurostat EB TJ GWh'!$A$2:$BV$146,MATCH($A75,'Eurostat EB TJ GWh'!$A$2:$A$146,0),MATCH(AV$2,'Eurostat EB TJ GWh'!$A$2:$BV$2,0))+INDEX('Eurostat EB TJ GWh'!$A$2:$BV$146,MATCH($A75,'Eurostat EB TJ GWh'!$A$2:$A$146,0),MATCH(AV$3,'Eurostat EB TJ GWh'!$A$2:$BV$2,0))</f>
        <v>0</v>
      </c>
      <c r="AW75" s="17">
        <f>INDEX('Eurostat EB TJ GWh'!$A$2:$BV$146,MATCH($A75,'Eurostat EB TJ GWh'!$A$2:$A$146,0),MATCH(AW$2,'Eurostat EB TJ GWh'!$A$2:$BV$2,0))+INDEX('Eurostat EB TJ GWh'!$A$2:$BV$146,MATCH($A75,'Eurostat EB TJ GWh'!$A$2:$A$146,0),MATCH(AW$3,'Eurostat EB TJ GWh'!$A$2:$BV$2,0))</f>
        <v>0</v>
      </c>
      <c r="AX75" s="17">
        <f>INDEX('Eurostat EB TJ GWh'!$A$2:$BV$146,MATCH($A75,'Eurostat EB TJ GWh'!$A$2:$A$146,0),MATCH(AX$3,'Eurostat EB TJ GWh'!$A$2:$BV$2,0))</f>
        <v>0</v>
      </c>
      <c r="AY75" s="65">
        <v>0</v>
      </c>
      <c r="AZ75" s="17">
        <f>INDEX('Eurostat EB TJ GWh'!$A$2:$BV$146,MATCH($A75,'Eurostat EB TJ GWh'!$A$2:$A$146,0),MATCH(AZ$3,'Eurostat EB TJ GWh'!$A$2:$BV$2,0))</f>
        <v>0</v>
      </c>
      <c r="BA75" s="65">
        <v>0</v>
      </c>
      <c r="BB75" s="65">
        <v>0</v>
      </c>
      <c r="BC75" s="17">
        <f>INDEX('Eurostat EB TJ GWh'!$A$2:$BV$146,MATCH($A75,'Eurostat EB TJ GWh'!$A$2:$A$146,0),MATCH(BC$3,'Eurostat EB TJ GWh'!$A$2:$BV$2,0))</f>
        <v>0</v>
      </c>
      <c r="BD75" s="17">
        <f>INDEX('Eurostat EB TJ GWh'!$A$2:$BV$146,MATCH($A75,'Eurostat EB TJ GWh'!$A$2:$A$146,0),MATCH(BD$3,'Eurostat EB TJ GWh'!$A$2:$BV$2,0))</f>
        <v>0</v>
      </c>
      <c r="BE75" s="17">
        <f>INDEX('Eurostat EB TJ GWh'!$A$2:$BV$146,MATCH($A75,'Eurostat EB TJ GWh'!$A$2:$A$146,0),MATCH(BE$3,'Eurostat EB TJ GWh'!$A$2:$BV$2,0))</f>
        <v>0</v>
      </c>
      <c r="BF75" s="17">
        <f>INDEX('Eurostat EB TJ GWh'!$A$2:$BV$146,MATCH($A75,'Eurostat EB TJ GWh'!$A$2:$A$146,0),MATCH(BF$3,'Eurostat EB TJ GWh'!$A$2:$BV$2,0))</f>
        <v>0</v>
      </c>
      <c r="BG75" s="17">
        <f>INDEX('Eurostat EB TJ GWh'!$A$2:$BV$146,MATCH($A75,'Eurostat EB TJ GWh'!$A$2:$A$146,0),MATCH(BG$3,'Eurostat EB TJ GWh'!$A$2:$BV$2,0))</f>
        <v>0</v>
      </c>
      <c r="BH75" s="17">
        <f>INDEX('Eurostat EB TJ GWh'!$A$2:$BV$146,MATCH($A75,'Eurostat EB TJ GWh'!$A$2:$A$146,0),MATCH(BH$3,'Eurostat EB TJ GWh'!$A$2:$BV$2,0))</f>
        <v>0</v>
      </c>
      <c r="BI75" s="17">
        <f>INDEX('Eurostat EB TJ GWh'!$A$2:$BV$146,MATCH($A75,'Eurostat EB TJ GWh'!$A$2:$A$146,0),MATCH(BI$3,'Eurostat EB TJ GWh'!$A$2:$BV$2,0))</f>
        <v>0</v>
      </c>
      <c r="BJ75" s="65">
        <v>0</v>
      </c>
      <c r="BK75" s="17">
        <f>INDEX('Eurostat EB TJ GWh'!$A$2:$BV$146,MATCH($A75,'Eurostat EB TJ GWh'!$A$2:$A$146,0),MATCH(BK$3,'Eurostat EB TJ GWh'!$A$2:$BV$2,0))</f>
        <v>13668.019</v>
      </c>
      <c r="BL75" s="17">
        <f>INDEX('Eurostat EB TJ GWh'!$A$2:$BV$146,MATCH($A75,'Eurostat EB TJ GWh'!$A$2:$A$146,0),MATCH(BL$3,'Eurostat EB TJ GWh'!$A$2:$BV$2,0))</f>
        <v>0</v>
      </c>
      <c r="BM75" s="17">
        <f>INDEX('Eurostat EB TJ GWh'!$A$2:$BV$146,MATCH($A75,'Eurostat EB TJ GWh'!$A$2:$A$146,0),MATCH(BM$3,'Eurostat EB TJ GWh'!$A$2:$BV$2,0))</f>
        <v>13691.806</v>
      </c>
      <c r="BN75" s="17">
        <f>INDEX('Eurostat EB TJ GWh'!$A$2:$BV$146,MATCH($A75,'Eurostat EB TJ GWh'!$A$2:$A$146,0),MATCH(BN$3,'Eurostat EB TJ GWh'!$A$2:$BV$2,0))</f>
        <v>910.14200000000005</v>
      </c>
    </row>
    <row r="76" spans="1:66" x14ac:dyDescent="0.2">
      <c r="A76" s="56" t="s">
        <v>264</v>
      </c>
      <c r="B76" s="65" t="s">
        <v>323</v>
      </c>
      <c r="C76" s="65" t="s">
        <v>323</v>
      </c>
      <c r="D76" s="57">
        <f>INDEX('Eurostat EB TJ GWh'!$A$2:$BV$146,MATCH($A76,'Eurostat EB TJ GWh'!$A$2:$A$146,0),MATCH(D$3,'Eurostat EB TJ GWh'!$A$2:$BV$2,0))</f>
        <v>0</v>
      </c>
      <c r="E76" s="57">
        <f>INDEX('Eurostat EB TJ GWh'!$A$2:$BV$146,MATCH($A76,'Eurostat EB TJ GWh'!$A$2:$A$146,0),MATCH(E$3,'Eurostat EB TJ GWh'!$A$2:$BV$2,0))</f>
        <v>0</v>
      </c>
      <c r="F76" s="57">
        <f>INDEX('Eurostat EB TJ GWh'!$A$2:$BV$146,MATCH($A76,'Eurostat EB TJ GWh'!$A$2:$A$146,0),MATCH(F$3,'Eurostat EB TJ GWh'!$A$2:$BV$2,0))</f>
        <v>0</v>
      </c>
      <c r="G76" s="57">
        <f>INDEX('Eurostat EB TJ GWh'!$A$2:$BV$146,MATCH($A76,'Eurostat EB TJ GWh'!$A$2:$A$146,0),MATCH(G$3,'Eurostat EB TJ GWh'!$A$2:$BV$2,0))</f>
        <v>0</v>
      </c>
      <c r="H76" s="57">
        <f>INDEX('Eurostat EB TJ GWh'!$A$2:$BV$146,MATCH($A76,'Eurostat EB TJ GWh'!$A$2:$A$146,0),MATCH(H$3,'Eurostat EB TJ GWh'!$A$2:$BV$2,0))</f>
        <v>0</v>
      </c>
      <c r="I76" s="57">
        <f>INDEX('Eurostat EB TJ GWh'!$A$2:$BV$146,MATCH($A76,'Eurostat EB TJ GWh'!$A$2:$A$146,0),MATCH(I$3,'Eurostat EB TJ GWh'!$A$2:$BV$2,0))</f>
        <v>0</v>
      </c>
      <c r="J76" s="57">
        <f>INDEX('Eurostat EB TJ GWh'!$A$2:$BV$146,MATCH($A76,'Eurostat EB TJ GWh'!$A$2:$A$146,0),MATCH(J$3,'Eurostat EB TJ GWh'!$A$2:$BV$2,0))</f>
        <v>0</v>
      </c>
      <c r="K76" s="57">
        <f>INDEX('Eurostat EB TJ GWh'!$A$2:$BV$146,MATCH($A76,'Eurostat EB TJ GWh'!$A$2:$A$146,0),MATCH(K$3,'Eurostat EB TJ GWh'!$A$2:$BV$2,0))</f>
        <v>0</v>
      </c>
      <c r="L76" s="57">
        <f>INDEX('Eurostat EB TJ GWh'!$A$2:$BV$146,MATCH($A76,'Eurostat EB TJ GWh'!$A$2:$A$146,0),MATCH(L$3,'Eurostat EB TJ GWh'!$A$2:$BV$2,0))</f>
        <v>0</v>
      </c>
      <c r="M76" s="57">
        <f>INDEX('Eurostat EB TJ GWh'!$A$2:$BV$146,MATCH($A76,'Eurostat EB TJ GWh'!$A$2:$A$146,0),MATCH(M$3,'Eurostat EB TJ GWh'!$A$2:$BV$2,0))</f>
        <v>0</v>
      </c>
      <c r="N76" s="57">
        <f>INDEX('Eurostat EB TJ GWh'!$A$2:$BV$146,MATCH($A76,'Eurostat EB TJ GWh'!$A$2:$A$146,0),MATCH(N$3,'Eurostat EB TJ GWh'!$A$2:$BV$2,0))</f>
        <v>0</v>
      </c>
      <c r="O76" s="57">
        <f>INDEX('Eurostat EB TJ GWh'!$A$2:$BV$146,MATCH($A76,'Eurostat EB TJ GWh'!$A$2:$A$146,0),MATCH(O$3,'Eurostat EB TJ GWh'!$A$2:$BV$2,0))</f>
        <v>0</v>
      </c>
      <c r="P76" s="57">
        <f>INDEX('Eurostat EB TJ GWh'!$A$2:$BV$146,MATCH($A76,'Eurostat EB TJ GWh'!$A$2:$A$146,0),MATCH(P$3,'Eurostat EB TJ GWh'!$A$2:$BV$2,0))</f>
        <v>0</v>
      </c>
      <c r="Q76" s="57">
        <f>INDEX('Eurostat EB TJ GWh'!$A$2:$BV$146,MATCH($A76,'Eurostat EB TJ GWh'!$A$2:$A$146,0),MATCH(Q$3,'Eurostat EB TJ GWh'!$A$2:$BV$2,0))</f>
        <v>0</v>
      </c>
      <c r="R76" s="57">
        <f>INDEX('Eurostat EB TJ GWh'!$A$2:$BV$146,MATCH($A76,'Eurostat EB TJ GWh'!$A$2:$A$146,0),MATCH(R$2,'Eurostat EB TJ GWh'!$A$2:$BV$2,0))+INDEX('Eurostat EB TJ GWh'!$A$2:$BV$146,MATCH($A76,'Eurostat EB TJ GWh'!$A$2:$A$146,0),MATCH(R$3,'Eurostat EB TJ GWh'!$A$2:$BV$2,0))</f>
        <v>0</v>
      </c>
      <c r="S76" s="57">
        <f>INDEX('Eurostat EB TJ GWh'!$A$2:$BV$146,MATCH($A76,'Eurostat EB TJ GWh'!$A$2:$A$146,0),MATCH(S$3,'Eurostat EB TJ GWh'!$A$2:$BV$2,0))</f>
        <v>0</v>
      </c>
      <c r="T76" s="65" t="s">
        <v>323</v>
      </c>
      <c r="U76" s="57">
        <f>INDEX('Eurostat EB TJ GWh'!$A$2:$BV$146,MATCH($A76,'Eurostat EB TJ GWh'!$A$2:$A$146,0),MATCH(U$3,'Eurostat EB TJ GWh'!$A$2:$BV$2,0))</f>
        <v>0</v>
      </c>
      <c r="V76" s="57">
        <f>INDEX('Eurostat EB TJ GWh'!$A$2:$BV$146,MATCH($A76,'Eurostat EB TJ GWh'!$A$2:$A$146,0),MATCH(V$3,'Eurostat EB TJ GWh'!$A$2:$BV$2,0))</f>
        <v>0</v>
      </c>
      <c r="W76" s="57">
        <f>INDEX('Eurostat EB TJ GWh'!$A$2:$BV$146,MATCH($A76,'Eurostat EB TJ GWh'!$A$2:$A$146,0),MATCH(W$3,'Eurostat EB TJ GWh'!$A$2:$BV$2,0))</f>
        <v>0</v>
      </c>
      <c r="X76" s="57">
        <f>INDEX('Eurostat EB TJ GWh'!$A$2:$BV$146,MATCH($A76,'Eurostat EB TJ GWh'!$A$2:$A$146,0),MATCH(X$3,'Eurostat EB TJ GWh'!$A$2:$BV$2,0))</f>
        <v>0</v>
      </c>
      <c r="Y76" s="57">
        <f>INDEX('Eurostat EB TJ GWh'!$A$2:$BV$146,MATCH($A76,'Eurostat EB TJ GWh'!$A$2:$A$146,0),MATCH(Y$3,'Eurostat EB TJ GWh'!$A$2:$BV$2,0))</f>
        <v>0</v>
      </c>
      <c r="Z76" s="57">
        <f>INDEX('Eurostat EB TJ GWh'!$A$2:$BV$146,MATCH($A76,'Eurostat EB TJ GWh'!$A$2:$A$146,0),MATCH(Z$3,'Eurostat EB TJ GWh'!$A$2:$BV$2,0))</f>
        <v>0</v>
      </c>
      <c r="AA76" s="57">
        <f>INDEX('Eurostat EB TJ GWh'!$A$2:$BV$146,MATCH($A76,'Eurostat EB TJ GWh'!$A$2:$A$146,0),MATCH(AA$3,'Eurostat EB TJ GWh'!$A$2:$BV$2,0))</f>
        <v>0</v>
      </c>
      <c r="AB76" s="57">
        <f>INDEX('Eurostat EB TJ GWh'!$A$2:$BV$146,MATCH($A76,'Eurostat EB TJ GWh'!$A$2:$A$146,0),MATCH(AB$3,'Eurostat EB TJ GWh'!$A$2:$BV$2,0))</f>
        <v>0</v>
      </c>
      <c r="AC76" s="57">
        <f>INDEX('Eurostat EB TJ GWh'!$A$2:$BV$146,MATCH($A76,'Eurostat EB TJ GWh'!$A$2:$A$146,0),MATCH(AC$3,'Eurostat EB TJ GWh'!$A$2:$BV$2,0))</f>
        <v>0</v>
      </c>
      <c r="AD76" s="57">
        <f>INDEX('Eurostat EB TJ GWh'!$A$2:$BV$146,MATCH($A76,'Eurostat EB TJ GWh'!$A$2:$A$146,0),MATCH(AD$3,'Eurostat EB TJ GWh'!$A$2:$BV$2,0))</f>
        <v>0</v>
      </c>
      <c r="AE76" s="57">
        <f>INDEX('Eurostat EB TJ GWh'!$A$2:$BV$146,MATCH($A76,'Eurostat EB TJ GWh'!$A$2:$A$146,0),MATCH(AE$3,'Eurostat EB TJ GWh'!$A$2:$BV$2,0))</f>
        <v>0</v>
      </c>
      <c r="AF76" s="57">
        <f>INDEX('Eurostat EB TJ GWh'!$A$2:$BV$146,MATCH($A76,'Eurostat EB TJ GWh'!$A$2:$A$146,0),MATCH(AF$3,'Eurostat EB TJ GWh'!$A$2:$BV$2,0))</f>
        <v>0</v>
      </c>
      <c r="AG76" s="57">
        <f>INDEX('Eurostat EB TJ GWh'!$A$2:$BV$146,MATCH($A76,'Eurostat EB TJ GWh'!$A$2:$A$146,0),MATCH(AG$3,'Eurostat EB TJ GWh'!$A$2:$BV$2,0))</f>
        <v>0</v>
      </c>
      <c r="AH76" s="57">
        <f>INDEX('Eurostat EB TJ GWh'!$A$2:$BV$146,MATCH($A76,'Eurostat EB TJ GWh'!$A$2:$A$146,0),MATCH(AH$3,'Eurostat EB TJ GWh'!$A$2:$BV$2,0))</f>
        <v>0</v>
      </c>
      <c r="AI76" s="57">
        <f>INDEX('Eurostat EB TJ GWh'!$A$2:$BV$146,MATCH($A76,'Eurostat EB TJ GWh'!$A$2:$A$146,0),MATCH(AI$3,'Eurostat EB TJ GWh'!$A$2:$BV$2,0))</f>
        <v>0</v>
      </c>
      <c r="AJ76" s="57">
        <f>INDEX('Eurostat EB TJ GWh'!$A$2:$BV$146,MATCH($A76,'Eurostat EB TJ GWh'!$A$2:$A$146,0),MATCH(AJ$3,'Eurostat EB TJ GWh'!$A$2:$BV$2,0))</f>
        <v>0</v>
      </c>
      <c r="AK76" s="57">
        <f>INDEX('Eurostat EB TJ GWh'!$A$2:$BV$146,MATCH($A76,'Eurostat EB TJ GWh'!$A$2:$A$146,0),MATCH(AK$3,'Eurostat EB TJ GWh'!$A$2:$BV$2,0))</f>
        <v>0</v>
      </c>
      <c r="AL76" s="57">
        <f>INDEX('Eurostat EB TJ GWh'!$A$2:$BV$146,MATCH($A76,'Eurostat EB TJ GWh'!$A$2:$A$146,0),MATCH(AL$3,'Eurostat EB TJ GWh'!$A$2:$BV$2,0))</f>
        <v>0</v>
      </c>
      <c r="AM76" s="57">
        <f>INDEX('Eurostat EB TJ GWh'!$A$2:$BV$146,MATCH($A76,'Eurostat EB TJ GWh'!$A$2:$A$146,0),MATCH(AM$3,'Eurostat EB TJ GWh'!$A$2:$BV$2,0))</f>
        <v>0</v>
      </c>
      <c r="AN76" s="57">
        <f>INDEX('Eurostat EB TJ GWh'!$A$2:$BV$146,MATCH($A76,'Eurostat EB TJ GWh'!$A$2:$A$146,0),MATCH(AN$3,'Eurostat EB TJ GWh'!$A$2:$BV$2,0))</f>
        <v>0</v>
      </c>
      <c r="AO76" s="57">
        <f>INDEX('Eurostat EB TJ GWh'!$A$2:$BV$146,MATCH($A76,'Eurostat EB TJ GWh'!$A$2:$A$146,0),MATCH(AO$3,'Eurostat EB TJ GWh'!$A$2:$BV$2,0))</f>
        <v>0</v>
      </c>
      <c r="AP76" s="57">
        <f>INDEX('Eurostat EB TJ GWh'!$A$2:$BV$146,MATCH($A76,'Eurostat EB TJ GWh'!$A$2:$A$146,0),MATCH(AP$3,'Eurostat EB TJ GWh'!$A$2:$BV$2,0))</f>
        <v>0</v>
      </c>
      <c r="AQ76" s="57">
        <f>INDEX('Eurostat EB TJ GWh'!$A$2:$BV$146,MATCH($A76,'Eurostat EB TJ GWh'!$A$2:$A$146,0),MATCH(AQ$3,'Eurostat EB TJ GWh'!$A$2:$BV$2,0))</f>
        <v>0</v>
      </c>
      <c r="AR76" s="57">
        <f>INDEX('Eurostat EB TJ GWh'!$A$2:$BV$146,MATCH($A76,'Eurostat EB TJ GWh'!$A$2:$A$146,0),MATCH(AR$3,'Eurostat EB TJ GWh'!$A$2:$BV$2,0))</f>
        <v>0</v>
      </c>
      <c r="AS76" s="57">
        <f>INDEX('Eurostat EB TJ GWh'!$A$2:$BV$146,MATCH($A76,'Eurostat EB TJ GWh'!$A$2:$A$146,0),MATCH(AS$3,'Eurostat EB TJ GWh'!$A$2:$BV$2,0))</f>
        <v>0</v>
      </c>
      <c r="AT76" s="57">
        <f>INDEX('Eurostat EB TJ GWh'!$A$2:$BV$146,MATCH($A76,'Eurostat EB TJ GWh'!$A$2:$A$146,0),MATCH(AT$3,'Eurostat EB TJ GWh'!$A$2:$BV$2,0))</f>
        <v>0</v>
      </c>
      <c r="AU76" s="57">
        <f>INDEX('Eurostat EB TJ GWh'!$A$2:$BV$146,MATCH($A76,'Eurostat EB TJ GWh'!$A$2:$A$146,0),MATCH(AU$3,'Eurostat EB TJ GWh'!$A$2:$BV$2,0))</f>
        <v>0</v>
      </c>
      <c r="AV76" s="57">
        <f>INDEX('Eurostat EB TJ GWh'!$A$2:$BV$146,MATCH($A76,'Eurostat EB TJ GWh'!$A$2:$A$146,0),MATCH(AV$2,'Eurostat EB TJ GWh'!$A$2:$BV$2,0))+INDEX('Eurostat EB TJ GWh'!$A$2:$BV$146,MATCH($A76,'Eurostat EB TJ GWh'!$A$2:$A$146,0),MATCH(AV$3,'Eurostat EB TJ GWh'!$A$2:$BV$2,0))</f>
        <v>0</v>
      </c>
      <c r="AW76" s="57">
        <f>INDEX('Eurostat EB TJ GWh'!$A$2:$BV$146,MATCH($A76,'Eurostat EB TJ GWh'!$A$2:$A$146,0),MATCH(AW$2,'Eurostat EB TJ GWh'!$A$2:$BV$2,0))+INDEX('Eurostat EB TJ GWh'!$A$2:$BV$146,MATCH($A76,'Eurostat EB TJ GWh'!$A$2:$A$146,0),MATCH(AW$3,'Eurostat EB TJ GWh'!$A$2:$BV$2,0))</f>
        <v>0</v>
      </c>
      <c r="AX76" s="57">
        <f>INDEX('Eurostat EB TJ GWh'!$A$2:$BV$146,MATCH($A76,'Eurostat EB TJ GWh'!$A$2:$A$146,0),MATCH(AX$3,'Eurostat EB TJ GWh'!$A$2:$BV$2,0))</f>
        <v>0</v>
      </c>
      <c r="AY76" s="65">
        <v>0</v>
      </c>
      <c r="AZ76" s="57">
        <f>INDEX('Eurostat EB TJ GWh'!$A$2:$BV$146,MATCH($A76,'Eurostat EB TJ GWh'!$A$2:$A$146,0),MATCH(AZ$3,'Eurostat EB TJ GWh'!$A$2:$BV$2,0))</f>
        <v>0</v>
      </c>
      <c r="BA76" s="65">
        <v>0</v>
      </c>
      <c r="BB76" s="65">
        <v>0</v>
      </c>
      <c r="BC76" s="57">
        <f>INDEX('Eurostat EB TJ GWh'!$A$2:$BV$146,MATCH($A76,'Eurostat EB TJ GWh'!$A$2:$A$146,0),MATCH(BC$3,'Eurostat EB TJ GWh'!$A$2:$BV$2,0))</f>
        <v>0</v>
      </c>
      <c r="BD76" s="57">
        <f>INDEX('Eurostat EB TJ GWh'!$A$2:$BV$146,MATCH($A76,'Eurostat EB TJ GWh'!$A$2:$A$146,0),MATCH(BD$3,'Eurostat EB TJ GWh'!$A$2:$BV$2,0))</f>
        <v>0</v>
      </c>
      <c r="BE76" s="57">
        <f>INDEX('Eurostat EB TJ GWh'!$A$2:$BV$146,MATCH($A76,'Eurostat EB TJ GWh'!$A$2:$A$146,0),MATCH(BE$3,'Eurostat EB TJ GWh'!$A$2:$BV$2,0))</f>
        <v>0</v>
      </c>
      <c r="BF76" s="57">
        <f>INDEX('Eurostat EB TJ GWh'!$A$2:$BV$146,MATCH($A76,'Eurostat EB TJ GWh'!$A$2:$A$146,0),MATCH(BF$3,'Eurostat EB TJ GWh'!$A$2:$BV$2,0))</f>
        <v>0</v>
      </c>
      <c r="BG76" s="57">
        <f>INDEX('Eurostat EB TJ GWh'!$A$2:$BV$146,MATCH($A76,'Eurostat EB TJ GWh'!$A$2:$A$146,0),MATCH(BG$3,'Eurostat EB TJ GWh'!$A$2:$BV$2,0))</f>
        <v>0</v>
      </c>
      <c r="BH76" s="57">
        <f>INDEX('Eurostat EB TJ GWh'!$A$2:$BV$146,MATCH($A76,'Eurostat EB TJ GWh'!$A$2:$A$146,0),MATCH(BH$3,'Eurostat EB TJ GWh'!$A$2:$BV$2,0))</f>
        <v>0</v>
      </c>
      <c r="BI76" s="57">
        <f>INDEX('Eurostat EB TJ GWh'!$A$2:$BV$146,MATCH($A76,'Eurostat EB TJ GWh'!$A$2:$A$146,0),MATCH(BI$3,'Eurostat EB TJ GWh'!$A$2:$BV$2,0))</f>
        <v>0</v>
      </c>
      <c r="BJ76" s="65">
        <v>0</v>
      </c>
      <c r="BK76" s="57">
        <f>INDEX('Eurostat EB TJ GWh'!$A$2:$BV$146,MATCH($A76,'Eurostat EB TJ GWh'!$A$2:$A$146,0),MATCH(BK$3,'Eurostat EB TJ GWh'!$A$2:$BV$2,0))</f>
        <v>0</v>
      </c>
      <c r="BL76" s="57">
        <f>INDEX('Eurostat EB TJ GWh'!$A$2:$BV$146,MATCH($A76,'Eurostat EB TJ GWh'!$A$2:$A$146,0),MATCH(BL$3,'Eurostat EB TJ GWh'!$A$2:$BV$2,0))</f>
        <v>0</v>
      </c>
      <c r="BM76" s="57">
        <f>INDEX('Eurostat EB TJ GWh'!$A$2:$BV$146,MATCH($A76,'Eurostat EB TJ GWh'!$A$2:$A$146,0),MATCH(BM$3,'Eurostat EB TJ GWh'!$A$2:$BV$2,0))</f>
        <v>0</v>
      </c>
      <c r="BN76" s="57">
        <f>INDEX('Eurostat EB TJ GWh'!$A$2:$BV$146,MATCH($A76,'Eurostat EB TJ GWh'!$A$2:$A$146,0),MATCH(BN$3,'Eurostat EB TJ GWh'!$A$2:$BV$2,0))</f>
        <v>0</v>
      </c>
    </row>
    <row r="77" spans="1:66" x14ac:dyDescent="0.2">
      <c r="A77" s="56" t="s">
        <v>265</v>
      </c>
      <c r="B77" s="65" t="s">
        <v>323</v>
      </c>
      <c r="C77" s="65" t="s">
        <v>323</v>
      </c>
      <c r="D77" s="17">
        <f>INDEX('Eurostat EB TJ GWh'!$A$2:$BV$146,MATCH($A77,'Eurostat EB TJ GWh'!$A$2:$A$146,0),MATCH(D$3,'Eurostat EB TJ GWh'!$A$2:$BV$2,0))</f>
        <v>0</v>
      </c>
      <c r="E77" s="17">
        <f>INDEX('Eurostat EB TJ GWh'!$A$2:$BV$146,MATCH($A77,'Eurostat EB TJ GWh'!$A$2:$A$146,0),MATCH(E$3,'Eurostat EB TJ GWh'!$A$2:$BV$2,0))</f>
        <v>0</v>
      </c>
      <c r="F77" s="17">
        <f>INDEX('Eurostat EB TJ GWh'!$A$2:$BV$146,MATCH($A77,'Eurostat EB TJ GWh'!$A$2:$A$146,0),MATCH(F$3,'Eurostat EB TJ GWh'!$A$2:$BV$2,0))</f>
        <v>0</v>
      </c>
      <c r="G77" s="17">
        <f>INDEX('Eurostat EB TJ GWh'!$A$2:$BV$146,MATCH($A77,'Eurostat EB TJ GWh'!$A$2:$A$146,0),MATCH(G$3,'Eurostat EB TJ GWh'!$A$2:$BV$2,0))</f>
        <v>0</v>
      </c>
      <c r="H77" s="17">
        <f>INDEX('Eurostat EB TJ GWh'!$A$2:$BV$146,MATCH($A77,'Eurostat EB TJ GWh'!$A$2:$A$146,0),MATCH(H$3,'Eurostat EB TJ GWh'!$A$2:$BV$2,0))</f>
        <v>0</v>
      </c>
      <c r="I77" s="17">
        <f>INDEX('Eurostat EB TJ GWh'!$A$2:$BV$146,MATCH($A77,'Eurostat EB TJ GWh'!$A$2:$A$146,0),MATCH(I$3,'Eurostat EB TJ GWh'!$A$2:$BV$2,0))</f>
        <v>0</v>
      </c>
      <c r="J77" s="17">
        <f>INDEX('Eurostat EB TJ GWh'!$A$2:$BV$146,MATCH($A77,'Eurostat EB TJ GWh'!$A$2:$A$146,0),MATCH(J$3,'Eurostat EB TJ GWh'!$A$2:$BV$2,0))</f>
        <v>0</v>
      </c>
      <c r="K77" s="17">
        <f>INDEX('Eurostat EB TJ GWh'!$A$2:$BV$146,MATCH($A77,'Eurostat EB TJ GWh'!$A$2:$A$146,0),MATCH(K$3,'Eurostat EB TJ GWh'!$A$2:$BV$2,0))</f>
        <v>0</v>
      </c>
      <c r="L77" s="17">
        <f>INDEX('Eurostat EB TJ GWh'!$A$2:$BV$146,MATCH($A77,'Eurostat EB TJ GWh'!$A$2:$A$146,0),MATCH(L$3,'Eurostat EB TJ GWh'!$A$2:$BV$2,0))</f>
        <v>0</v>
      </c>
      <c r="M77" s="17">
        <f>INDEX('Eurostat EB TJ GWh'!$A$2:$BV$146,MATCH($A77,'Eurostat EB TJ GWh'!$A$2:$A$146,0),MATCH(M$3,'Eurostat EB TJ GWh'!$A$2:$BV$2,0))</f>
        <v>0</v>
      </c>
      <c r="N77" s="17">
        <f>INDEX('Eurostat EB TJ GWh'!$A$2:$BV$146,MATCH($A77,'Eurostat EB TJ GWh'!$A$2:$A$146,0),MATCH(N$3,'Eurostat EB TJ GWh'!$A$2:$BV$2,0))</f>
        <v>0</v>
      </c>
      <c r="O77" s="17">
        <f>INDEX('Eurostat EB TJ GWh'!$A$2:$BV$146,MATCH($A77,'Eurostat EB TJ GWh'!$A$2:$A$146,0),MATCH(O$3,'Eurostat EB TJ GWh'!$A$2:$BV$2,0))</f>
        <v>0</v>
      </c>
      <c r="P77" s="17">
        <f>INDEX('Eurostat EB TJ GWh'!$A$2:$BV$146,MATCH($A77,'Eurostat EB TJ GWh'!$A$2:$A$146,0),MATCH(P$3,'Eurostat EB TJ GWh'!$A$2:$BV$2,0))</f>
        <v>0</v>
      </c>
      <c r="Q77" s="17">
        <f>INDEX('Eurostat EB TJ GWh'!$A$2:$BV$146,MATCH($A77,'Eurostat EB TJ GWh'!$A$2:$A$146,0),MATCH(Q$3,'Eurostat EB TJ GWh'!$A$2:$BV$2,0))</f>
        <v>0</v>
      </c>
      <c r="R77" s="17">
        <f>INDEX('Eurostat EB TJ GWh'!$A$2:$BV$146,MATCH($A77,'Eurostat EB TJ GWh'!$A$2:$A$146,0),MATCH(R$2,'Eurostat EB TJ GWh'!$A$2:$BV$2,0))+INDEX('Eurostat EB TJ GWh'!$A$2:$BV$146,MATCH($A77,'Eurostat EB TJ GWh'!$A$2:$A$146,0),MATCH(R$3,'Eurostat EB TJ GWh'!$A$2:$BV$2,0))</f>
        <v>0</v>
      </c>
      <c r="S77" s="17">
        <f>INDEX('Eurostat EB TJ GWh'!$A$2:$BV$146,MATCH($A77,'Eurostat EB TJ GWh'!$A$2:$A$146,0),MATCH(S$3,'Eurostat EB TJ GWh'!$A$2:$BV$2,0))</f>
        <v>14138.665999999999</v>
      </c>
      <c r="T77" s="65" t="s">
        <v>323</v>
      </c>
      <c r="U77" s="17">
        <f>INDEX('Eurostat EB TJ GWh'!$A$2:$BV$146,MATCH($A77,'Eurostat EB TJ GWh'!$A$2:$A$146,0),MATCH(U$3,'Eurostat EB TJ GWh'!$A$2:$BV$2,0))</f>
        <v>0</v>
      </c>
      <c r="V77" s="17">
        <f>INDEX('Eurostat EB TJ GWh'!$A$2:$BV$146,MATCH($A77,'Eurostat EB TJ GWh'!$A$2:$A$146,0),MATCH(V$3,'Eurostat EB TJ GWh'!$A$2:$BV$2,0))</f>
        <v>0</v>
      </c>
      <c r="W77" s="17">
        <f>INDEX('Eurostat EB TJ GWh'!$A$2:$BV$146,MATCH($A77,'Eurostat EB TJ GWh'!$A$2:$A$146,0),MATCH(W$3,'Eurostat EB TJ GWh'!$A$2:$BV$2,0))</f>
        <v>0</v>
      </c>
      <c r="X77" s="17">
        <f>INDEX('Eurostat EB TJ GWh'!$A$2:$BV$146,MATCH($A77,'Eurostat EB TJ GWh'!$A$2:$A$146,0),MATCH(X$3,'Eurostat EB TJ GWh'!$A$2:$BV$2,0))</f>
        <v>0</v>
      </c>
      <c r="Y77" s="17">
        <f>INDEX('Eurostat EB TJ GWh'!$A$2:$BV$146,MATCH($A77,'Eurostat EB TJ GWh'!$A$2:$A$146,0),MATCH(Y$3,'Eurostat EB TJ GWh'!$A$2:$BV$2,0))</f>
        <v>0</v>
      </c>
      <c r="Z77" s="17">
        <f>INDEX('Eurostat EB TJ GWh'!$A$2:$BV$146,MATCH($A77,'Eurostat EB TJ GWh'!$A$2:$A$146,0),MATCH(Z$3,'Eurostat EB TJ GWh'!$A$2:$BV$2,0))</f>
        <v>0</v>
      </c>
      <c r="AA77" s="17">
        <f>INDEX('Eurostat EB TJ GWh'!$A$2:$BV$146,MATCH($A77,'Eurostat EB TJ GWh'!$A$2:$A$146,0),MATCH(AA$3,'Eurostat EB TJ GWh'!$A$2:$BV$2,0))</f>
        <v>0</v>
      </c>
      <c r="AB77" s="17">
        <f>INDEX('Eurostat EB TJ GWh'!$A$2:$BV$146,MATCH($A77,'Eurostat EB TJ GWh'!$A$2:$A$146,0),MATCH(AB$3,'Eurostat EB TJ GWh'!$A$2:$BV$2,0))</f>
        <v>0</v>
      </c>
      <c r="AC77" s="17">
        <f>INDEX('Eurostat EB TJ GWh'!$A$2:$BV$146,MATCH($A77,'Eurostat EB TJ GWh'!$A$2:$A$146,0),MATCH(AC$3,'Eurostat EB TJ GWh'!$A$2:$BV$2,0))</f>
        <v>0</v>
      </c>
      <c r="AD77" s="17">
        <f>INDEX('Eurostat EB TJ GWh'!$A$2:$BV$146,MATCH($A77,'Eurostat EB TJ GWh'!$A$2:$A$146,0),MATCH(AD$3,'Eurostat EB TJ GWh'!$A$2:$BV$2,0))</f>
        <v>0</v>
      </c>
      <c r="AE77" s="17">
        <f>INDEX('Eurostat EB TJ GWh'!$A$2:$BV$146,MATCH($A77,'Eurostat EB TJ GWh'!$A$2:$A$146,0),MATCH(AE$3,'Eurostat EB TJ GWh'!$A$2:$BV$2,0))</f>
        <v>0</v>
      </c>
      <c r="AF77" s="17">
        <f>INDEX('Eurostat EB TJ GWh'!$A$2:$BV$146,MATCH($A77,'Eurostat EB TJ GWh'!$A$2:$A$146,0),MATCH(AF$3,'Eurostat EB TJ GWh'!$A$2:$BV$2,0))</f>
        <v>0</v>
      </c>
      <c r="AG77" s="17">
        <f>INDEX('Eurostat EB TJ GWh'!$A$2:$BV$146,MATCH($A77,'Eurostat EB TJ GWh'!$A$2:$A$146,0),MATCH(AG$3,'Eurostat EB TJ GWh'!$A$2:$BV$2,0))</f>
        <v>0</v>
      </c>
      <c r="AH77" s="17">
        <f>INDEX('Eurostat EB TJ GWh'!$A$2:$BV$146,MATCH($A77,'Eurostat EB TJ GWh'!$A$2:$A$146,0),MATCH(AH$3,'Eurostat EB TJ GWh'!$A$2:$BV$2,0))</f>
        <v>0</v>
      </c>
      <c r="AI77" s="17">
        <f>INDEX('Eurostat EB TJ GWh'!$A$2:$BV$146,MATCH($A77,'Eurostat EB TJ GWh'!$A$2:$A$146,0),MATCH(AI$3,'Eurostat EB TJ GWh'!$A$2:$BV$2,0))</f>
        <v>0</v>
      </c>
      <c r="AJ77" s="17">
        <f>INDEX('Eurostat EB TJ GWh'!$A$2:$BV$146,MATCH($A77,'Eurostat EB TJ GWh'!$A$2:$A$146,0),MATCH(AJ$3,'Eurostat EB TJ GWh'!$A$2:$BV$2,0))</f>
        <v>0</v>
      </c>
      <c r="AK77" s="17">
        <f>INDEX('Eurostat EB TJ GWh'!$A$2:$BV$146,MATCH($A77,'Eurostat EB TJ GWh'!$A$2:$A$146,0),MATCH(AK$3,'Eurostat EB TJ GWh'!$A$2:$BV$2,0))</f>
        <v>0</v>
      </c>
      <c r="AL77" s="17">
        <f>INDEX('Eurostat EB TJ GWh'!$A$2:$BV$146,MATCH($A77,'Eurostat EB TJ GWh'!$A$2:$A$146,0),MATCH(AL$3,'Eurostat EB TJ GWh'!$A$2:$BV$2,0))</f>
        <v>0</v>
      </c>
      <c r="AM77" s="17">
        <f>INDEX('Eurostat EB TJ GWh'!$A$2:$BV$146,MATCH($A77,'Eurostat EB TJ GWh'!$A$2:$A$146,0),MATCH(AM$3,'Eurostat EB TJ GWh'!$A$2:$BV$2,0))</f>
        <v>0</v>
      </c>
      <c r="AN77" s="17">
        <f>INDEX('Eurostat EB TJ GWh'!$A$2:$BV$146,MATCH($A77,'Eurostat EB TJ GWh'!$A$2:$A$146,0),MATCH(AN$3,'Eurostat EB TJ GWh'!$A$2:$BV$2,0))</f>
        <v>0</v>
      </c>
      <c r="AO77" s="17">
        <f>INDEX('Eurostat EB TJ GWh'!$A$2:$BV$146,MATCH($A77,'Eurostat EB TJ GWh'!$A$2:$A$146,0),MATCH(AO$3,'Eurostat EB TJ GWh'!$A$2:$BV$2,0))</f>
        <v>0</v>
      </c>
      <c r="AP77" s="17">
        <f>INDEX('Eurostat EB TJ GWh'!$A$2:$BV$146,MATCH($A77,'Eurostat EB TJ GWh'!$A$2:$A$146,0),MATCH(AP$3,'Eurostat EB TJ GWh'!$A$2:$BV$2,0))</f>
        <v>0</v>
      </c>
      <c r="AQ77" s="17">
        <f>INDEX('Eurostat EB TJ GWh'!$A$2:$BV$146,MATCH($A77,'Eurostat EB TJ GWh'!$A$2:$A$146,0),MATCH(AQ$3,'Eurostat EB TJ GWh'!$A$2:$BV$2,0))</f>
        <v>0</v>
      </c>
      <c r="AR77" s="17">
        <f>INDEX('Eurostat EB TJ GWh'!$A$2:$BV$146,MATCH($A77,'Eurostat EB TJ GWh'!$A$2:$A$146,0),MATCH(AR$3,'Eurostat EB TJ GWh'!$A$2:$BV$2,0))</f>
        <v>0</v>
      </c>
      <c r="AS77" s="17">
        <f>INDEX('Eurostat EB TJ GWh'!$A$2:$BV$146,MATCH($A77,'Eurostat EB TJ GWh'!$A$2:$A$146,0),MATCH(AS$3,'Eurostat EB TJ GWh'!$A$2:$BV$2,0))</f>
        <v>0</v>
      </c>
      <c r="AT77" s="17">
        <f>INDEX('Eurostat EB TJ GWh'!$A$2:$BV$146,MATCH($A77,'Eurostat EB TJ GWh'!$A$2:$A$146,0),MATCH(AT$3,'Eurostat EB TJ GWh'!$A$2:$BV$2,0))</f>
        <v>0</v>
      </c>
      <c r="AU77" s="17">
        <f>INDEX('Eurostat EB TJ GWh'!$A$2:$BV$146,MATCH($A77,'Eurostat EB TJ GWh'!$A$2:$A$146,0),MATCH(AU$3,'Eurostat EB TJ GWh'!$A$2:$BV$2,0))</f>
        <v>0</v>
      </c>
      <c r="AV77" s="17">
        <f>INDEX('Eurostat EB TJ GWh'!$A$2:$BV$146,MATCH($A77,'Eurostat EB TJ GWh'!$A$2:$A$146,0),MATCH(AV$2,'Eurostat EB TJ GWh'!$A$2:$BV$2,0))+INDEX('Eurostat EB TJ GWh'!$A$2:$BV$146,MATCH($A77,'Eurostat EB TJ GWh'!$A$2:$A$146,0),MATCH(AV$3,'Eurostat EB TJ GWh'!$A$2:$BV$2,0))</f>
        <v>0</v>
      </c>
      <c r="AW77" s="17">
        <f>INDEX('Eurostat EB TJ GWh'!$A$2:$BV$146,MATCH($A77,'Eurostat EB TJ GWh'!$A$2:$A$146,0),MATCH(AW$2,'Eurostat EB TJ GWh'!$A$2:$BV$2,0))+INDEX('Eurostat EB TJ GWh'!$A$2:$BV$146,MATCH($A77,'Eurostat EB TJ GWh'!$A$2:$A$146,0),MATCH(AW$3,'Eurostat EB TJ GWh'!$A$2:$BV$2,0))</f>
        <v>0</v>
      </c>
      <c r="AX77" s="17">
        <f>INDEX('Eurostat EB TJ GWh'!$A$2:$BV$146,MATCH($A77,'Eurostat EB TJ GWh'!$A$2:$A$146,0),MATCH(AX$3,'Eurostat EB TJ GWh'!$A$2:$BV$2,0))</f>
        <v>0</v>
      </c>
      <c r="AY77" s="72">
        <v>0</v>
      </c>
      <c r="AZ77" s="17">
        <f>INDEX('Eurostat EB TJ GWh'!$A$2:$BV$146,MATCH($A77,'Eurostat EB TJ GWh'!$A$2:$A$146,0),MATCH(AZ$3,'Eurostat EB TJ GWh'!$A$2:$BV$2,0))</f>
        <v>0</v>
      </c>
      <c r="BA77" s="72">
        <v>0</v>
      </c>
      <c r="BB77" s="72">
        <v>0</v>
      </c>
      <c r="BC77" s="17">
        <f>INDEX('Eurostat EB TJ GWh'!$A$2:$BV$146,MATCH($A77,'Eurostat EB TJ GWh'!$A$2:$A$146,0),MATCH(BC$3,'Eurostat EB TJ GWh'!$A$2:$BV$2,0))</f>
        <v>0</v>
      </c>
      <c r="BD77" s="17">
        <f>INDEX('Eurostat EB TJ GWh'!$A$2:$BV$146,MATCH($A77,'Eurostat EB TJ GWh'!$A$2:$A$146,0),MATCH(BD$3,'Eurostat EB TJ GWh'!$A$2:$BV$2,0))</f>
        <v>0</v>
      </c>
      <c r="BE77" s="17">
        <f>INDEX('Eurostat EB TJ GWh'!$A$2:$BV$146,MATCH($A77,'Eurostat EB TJ GWh'!$A$2:$A$146,0),MATCH(BE$3,'Eurostat EB TJ GWh'!$A$2:$BV$2,0))</f>
        <v>0</v>
      </c>
      <c r="BF77" s="17">
        <f>INDEX('Eurostat EB TJ GWh'!$A$2:$BV$146,MATCH($A77,'Eurostat EB TJ GWh'!$A$2:$A$146,0),MATCH(BF$3,'Eurostat EB TJ GWh'!$A$2:$BV$2,0))</f>
        <v>0</v>
      </c>
      <c r="BG77" s="17">
        <f>INDEX('Eurostat EB TJ GWh'!$A$2:$BV$146,MATCH($A77,'Eurostat EB TJ GWh'!$A$2:$A$146,0),MATCH(BG$3,'Eurostat EB TJ GWh'!$A$2:$BV$2,0))</f>
        <v>0</v>
      </c>
      <c r="BH77" s="17">
        <f>INDEX('Eurostat EB TJ GWh'!$A$2:$BV$146,MATCH($A77,'Eurostat EB TJ GWh'!$A$2:$A$146,0),MATCH(BH$3,'Eurostat EB TJ GWh'!$A$2:$BV$2,0))</f>
        <v>0</v>
      </c>
      <c r="BI77" s="17">
        <f>INDEX('Eurostat EB TJ GWh'!$A$2:$BV$146,MATCH($A77,'Eurostat EB TJ GWh'!$A$2:$A$146,0),MATCH(BI$3,'Eurostat EB TJ GWh'!$A$2:$BV$2,0))</f>
        <v>0</v>
      </c>
      <c r="BJ77" s="72">
        <v>0</v>
      </c>
      <c r="BK77" s="17">
        <f>INDEX('Eurostat EB TJ GWh'!$A$2:$BV$146,MATCH($A77,'Eurostat EB TJ GWh'!$A$2:$A$146,0),MATCH(BK$3,'Eurostat EB TJ GWh'!$A$2:$BV$2,0))</f>
        <v>5381.9350000000004</v>
      </c>
      <c r="BL77" s="17">
        <f>INDEX('Eurostat EB TJ GWh'!$A$2:$BV$146,MATCH($A77,'Eurostat EB TJ GWh'!$A$2:$A$146,0),MATCH(BL$3,'Eurostat EB TJ GWh'!$A$2:$BV$2,0))</f>
        <v>0</v>
      </c>
      <c r="BM77" s="17">
        <f>INDEX('Eurostat EB TJ GWh'!$A$2:$BV$146,MATCH($A77,'Eurostat EB TJ GWh'!$A$2:$A$146,0),MATCH(BM$3,'Eurostat EB TJ GWh'!$A$2:$BV$2,0))</f>
        <v>19520.600999999999</v>
      </c>
      <c r="BN77" s="17">
        <f>INDEX('Eurostat EB TJ GWh'!$A$2:$BV$146,MATCH($A77,'Eurostat EB TJ GWh'!$A$2:$A$146,0),MATCH(BN$3,'Eurostat EB TJ GWh'!$A$2:$BV$2,0))</f>
        <v>503.11799999999999</v>
      </c>
    </row>
    <row r="78" spans="1:66" x14ac:dyDescent="0.2">
      <c r="A78" s="56" t="s">
        <v>266</v>
      </c>
      <c r="B78" s="65" t="s">
        <v>323</v>
      </c>
      <c r="C78" s="65" t="s">
        <v>323</v>
      </c>
      <c r="D78" s="57">
        <f>INDEX('Eurostat EB TJ GWh'!$A$2:$BV$146,MATCH($A78,'Eurostat EB TJ GWh'!$A$2:$A$146,0),MATCH(D$3,'Eurostat EB TJ GWh'!$A$2:$BV$2,0))</f>
        <v>0</v>
      </c>
      <c r="E78" s="57">
        <f>INDEX('Eurostat EB TJ GWh'!$A$2:$BV$146,MATCH($A78,'Eurostat EB TJ GWh'!$A$2:$A$146,0),MATCH(E$3,'Eurostat EB TJ GWh'!$A$2:$BV$2,0))</f>
        <v>0</v>
      </c>
      <c r="F78" s="57">
        <f>INDEX('Eurostat EB TJ GWh'!$A$2:$BV$146,MATCH($A78,'Eurostat EB TJ GWh'!$A$2:$A$146,0),MATCH(F$3,'Eurostat EB TJ GWh'!$A$2:$BV$2,0))</f>
        <v>0</v>
      </c>
      <c r="G78" s="57">
        <f>INDEX('Eurostat EB TJ GWh'!$A$2:$BV$146,MATCH($A78,'Eurostat EB TJ GWh'!$A$2:$A$146,0),MATCH(G$3,'Eurostat EB TJ GWh'!$A$2:$BV$2,0))</f>
        <v>0</v>
      </c>
      <c r="H78" s="57">
        <f>INDEX('Eurostat EB TJ GWh'!$A$2:$BV$146,MATCH($A78,'Eurostat EB TJ GWh'!$A$2:$A$146,0),MATCH(H$3,'Eurostat EB TJ GWh'!$A$2:$BV$2,0))</f>
        <v>0</v>
      </c>
      <c r="I78" s="57">
        <f>INDEX('Eurostat EB TJ GWh'!$A$2:$BV$146,MATCH($A78,'Eurostat EB TJ GWh'!$A$2:$A$146,0),MATCH(I$3,'Eurostat EB TJ GWh'!$A$2:$BV$2,0))</f>
        <v>0</v>
      </c>
      <c r="J78" s="57">
        <f>INDEX('Eurostat EB TJ GWh'!$A$2:$BV$146,MATCH($A78,'Eurostat EB TJ GWh'!$A$2:$A$146,0),MATCH(J$3,'Eurostat EB TJ GWh'!$A$2:$BV$2,0))</f>
        <v>0</v>
      </c>
      <c r="K78" s="57">
        <f>INDEX('Eurostat EB TJ GWh'!$A$2:$BV$146,MATCH($A78,'Eurostat EB TJ GWh'!$A$2:$A$146,0),MATCH(K$3,'Eurostat EB TJ GWh'!$A$2:$BV$2,0))</f>
        <v>0</v>
      </c>
      <c r="L78" s="57">
        <f>INDEX('Eurostat EB TJ GWh'!$A$2:$BV$146,MATCH($A78,'Eurostat EB TJ GWh'!$A$2:$A$146,0),MATCH(L$3,'Eurostat EB TJ GWh'!$A$2:$BV$2,0))</f>
        <v>0</v>
      </c>
      <c r="M78" s="57">
        <f>INDEX('Eurostat EB TJ GWh'!$A$2:$BV$146,MATCH($A78,'Eurostat EB TJ GWh'!$A$2:$A$146,0),MATCH(M$3,'Eurostat EB TJ GWh'!$A$2:$BV$2,0))</f>
        <v>0</v>
      </c>
      <c r="N78" s="57">
        <f>INDEX('Eurostat EB TJ GWh'!$A$2:$BV$146,MATCH($A78,'Eurostat EB TJ GWh'!$A$2:$A$146,0),MATCH(N$3,'Eurostat EB TJ GWh'!$A$2:$BV$2,0))</f>
        <v>0</v>
      </c>
      <c r="O78" s="57">
        <f>INDEX('Eurostat EB TJ GWh'!$A$2:$BV$146,MATCH($A78,'Eurostat EB TJ GWh'!$A$2:$A$146,0),MATCH(O$3,'Eurostat EB TJ GWh'!$A$2:$BV$2,0))</f>
        <v>0</v>
      </c>
      <c r="P78" s="57">
        <f>INDEX('Eurostat EB TJ GWh'!$A$2:$BV$146,MATCH($A78,'Eurostat EB TJ GWh'!$A$2:$A$146,0),MATCH(P$3,'Eurostat EB TJ GWh'!$A$2:$BV$2,0))</f>
        <v>0</v>
      </c>
      <c r="Q78" s="57">
        <f>INDEX('Eurostat EB TJ GWh'!$A$2:$BV$146,MATCH($A78,'Eurostat EB TJ GWh'!$A$2:$A$146,0),MATCH(Q$3,'Eurostat EB TJ GWh'!$A$2:$BV$2,0))</f>
        <v>0</v>
      </c>
      <c r="R78" s="57">
        <f>INDEX('Eurostat EB TJ GWh'!$A$2:$BV$146,MATCH($A78,'Eurostat EB TJ GWh'!$A$2:$A$146,0),MATCH(R$2,'Eurostat EB TJ GWh'!$A$2:$BV$2,0))+INDEX('Eurostat EB TJ GWh'!$A$2:$BV$146,MATCH($A78,'Eurostat EB TJ GWh'!$A$2:$A$146,0),MATCH(R$3,'Eurostat EB TJ GWh'!$A$2:$BV$2,0))</f>
        <v>0</v>
      </c>
      <c r="S78" s="57">
        <f>INDEX('Eurostat EB TJ GWh'!$A$2:$BV$146,MATCH($A78,'Eurostat EB TJ GWh'!$A$2:$A$146,0),MATCH(S$3,'Eurostat EB TJ GWh'!$A$2:$BV$2,0))</f>
        <v>0</v>
      </c>
      <c r="T78" s="65" t="s">
        <v>323</v>
      </c>
      <c r="U78" s="57">
        <f>INDEX('Eurostat EB TJ GWh'!$A$2:$BV$146,MATCH($A78,'Eurostat EB TJ GWh'!$A$2:$A$146,0),MATCH(U$3,'Eurostat EB TJ GWh'!$A$2:$BV$2,0))</f>
        <v>0</v>
      </c>
      <c r="V78" s="57">
        <f>INDEX('Eurostat EB TJ GWh'!$A$2:$BV$146,MATCH($A78,'Eurostat EB TJ GWh'!$A$2:$A$146,0),MATCH(V$3,'Eurostat EB TJ GWh'!$A$2:$BV$2,0))</f>
        <v>0</v>
      </c>
      <c r="W78" s="57">
        <f>INDEX('Eurostat EB TJ GWh'!$A$2:$BV$146,MATCH($A78,'Eurostat EB TJ GWh'!$A$2:$A$146,0),MATCH(W$3,'Eurostat EB TJ GWh'!$A$2:$BV$2,0))</f>
        <v>0</v>
      </c>
      <c r="X78" s="57">
        <f>INDEX('Eurostat EB TJ GWh'!$A$2:$BV$146,MATCH($A78,'Eurostat EB TJ GWh'!$A$2:$A$146,0),MATCH(X$3,'Eurostat EB TJ GWh'!$A$2:$BV$2,0))</f>
        <v>0</v>
      </c>
      <c r="Y78" s="57">
        <f>INDEX('Eurostat EB TJ GWh'!$A$2:$BV$146,MATCH($A78,'Eurostat EB TJ GWh'!$A$2:$A$146,0),MATCH(Y$3,'Eurostat EB TJ GWh'!$A$2:$BV$2,0))</f>
        <v>0</v>
      </c>
      <c r="Z78" s="57">
        <f>INDEX('Eurostat EB TJ GWh'!$A$2:$BV$146,MATCH($A78,'Eurostat EB TJ GWh'!$A$2:$A$146,0),MATCH(Z$3,'Eurostat EB TJ GWh'!$A$2:$BV$2,0))</f>
        <v>0</v>
      </c>
      <c r="AA78" s="57">
        <f>INDEX('Eurostat EB TJ GWh'!$A$2:$BV$146,MATCH($A78,'Eurostat EB TJ GWh'!$A$2:$A$146,0),MATCH(AA$3,'Eurostat EB TJ GWh'!$A$2:$BV$2,0))</f>
        <v>0</v>
      </c>
      <c r="AB78" s="57">
        <f>INDEX('Eurostat EB TJ GWh'!$A$2:$BV$146,MATCH($A78,'Eurostat EB TJ GWh'!$A$2:$A$146,0),MATCH(AB$3,'Eurostat EB TJ GWh'!$A$2:$BV$2,0))</f>
        <v>0</v>
      </c>
      <c r="AC78" s="57">
        <f>INDEX('Eurostat EB TJ GWh'!$A$2:$BV$146,MATCH($A78,'Eurostat EB TJ GWh'!$A$2:$A$146,0),MATCH(AC$3,'Eurostat EB TJ GWh'!$A$2:$BV$2,0))</f>
        <v>0</v>
      </c>
      <c r="AD78" s="57">
        <f>INDEX('Eurostat EB TJ GWh'!$A$2:$BV$146,MATCH($A78,'Eurostat EB TJ GWh'!$A$2:$A$146,0),MATCH(AD$3,'Eurostat EB TJ GWh'!$A$2:$BV$2,0))</f>
        <v>0</v>
      </c>
      <c r="AE78" s="57">
        <f>INDEX('Eurostat EB TJ GWh'!$A$2:$BV$146,MATCH($A78,'Eurostat EB TJ GWh'!$A$2:$A$146,0),MATCH(AE$3,'Eurostat EB TJ GWh'!$A$2:$BV$2,0))</f>
        <v>0</v>
      </c>
      <c r="AF78" s="57">
        <f>INDEX('Eurostat EB TJ GWh'!$A$2:$BV$146,MATCH($A78,'Eurostat EB TJ GWh'!$A$2:$A$146,0),MATCH(AF$3,'Eurostat EB TJ GWh'!$A$2:$BV$2,0))</f>
        <v>0</v>
      </c>
      <c r="AG78" s="57">
        <f>INDEX('Eurostat EB TJ GWh'!$A$2:$BV$146,MATCH($A78,'Eurostat EB TJ GWh'!$A$2:$A$146,0),MATCH(AG$3,'Eurostat EB TJ GWh'!$A$2:$BV$2,0))</f>
        <v>0</v>
      </c>
      <c r="AH78" s="57">
        <f>INDEX('Eurostat EB TJ GWh'!$A$2:$BV$146,MATCH($A78,'Eurostat EB TJ GWh'!$A$2:$A$146,0),MATCH(AH$3,'Eurostat EB TJ GWh'!$A$2:$BV$2,0))</f>
        <v>0</v>
      </c>
      <c r="AI78" s="57">
        <f>INDEX('Eurostat EB TJ GWh'!$A$2:$BV$146,MATCH($A78,'Eurostat EB TJ GWh'!$A$2:$A$146,0),MATCH(AI$3,'Eurostat EB TJ GWh'!$A$2:$BV$2,0))</f>
        <v>0</v>
      </c>
      <c r="AJ78" s="57">
        <f>INDEX('Eurostat EB TJ GWh'!$A$2:$BV$146,MATCH($A78,'Eurostat EB TJ GWh'!$A$2:$A$146,0),MATCH(AJ$3,'Eurostat EB TJ GWh'!$A$2:$BV$2,0))</f>
        <v>0</v>
      </c>
      <c r="AK78" s="57">
        <f>INDEX('Eurostat EB TJ GWh'!$A$2:$BV$146,MATCH($A78,'Eurostat EB TJ GWh'!$A$2:$A$146,0),MATCH(AK$3,'Eurostat EB TJ GWh'!$A$2:$BV$2,0))</f>
        <v>0</v>
      </c>
      <c r="AL78" s="57">
        <f>INDEX('Eurostat EB TJ GWh'!$A$2:$BV$146,MATCH($A78,'Eurostat EB TJ GWh'!$A$2:$A$146,0),MATCH(AL$3,'Eurostat EB TJ GWh'!$A$2:$BV$2,0))</f>
        <v>0</v>
      </c>
      <c r="AM78" s="57">
        <f>INDEX('Eurostat EB TJ GWh'!$A$2:$BV$146,MATCH($A78,'Eurostat EB TJ GWh'!$A$2:$A$146,0),MATCH(AM$3,'Eurostat EB TJ GWh'!$A$2:$BV$2,0))</f>
        <v>0</v>
      </c>
      <c r="AN78" s="57">
        <f>INDEX('Eurostat EB TJ GWh'!$A$2:$BV$146,MATCH($A78,'Eurostat EB TJ GWh'!$A$2:$A$146,0),MATCH(AN$3,'Eurostat EB TJ GWh'!$A$2:$BV$2,0))</f>
        <v>0</v>
      </c>
      <c r="AO78" s="57">
        <f>INDEX('Eurostat EB TJ GWh'!$A$2:$BV$146,MATCH($A78,'Eurostat EB TJ GWh'!$A$2:$A$146,0),MATCH(AO$3,'Eurostat EB TJ GWh'!$A$2:$BV$2,0))</f>
        <v>0</v>
      </c>
      <c r="AP78" s="57">
        <f>INDEX('Eurostat EB TJ GWh'!$A$2:$BV$146,MATCH($A78,'Eurostat EB TJ GWh'!$A$2:$A$146,0),MATCH(AP$3,'Eurostat EB TJ GWh'!$A$2:$BV$2,0))</f>
        <v>0</v>
      </c>
      <c r="AQ78" s="57">
        <f>INDEX('Eurostat EB TJ GWh'!$A$2:$BV$146,MATCH($A78,'Eurostat EB TJ GWh'!$A$2:$A$146,0),MATCH(AQ$3,'Eurostat EB TJ GWh'!$A$2:$BV$2,0))</f>
        <v>0</v>
      </c>
      <c r="AR78" s="57">
        <f>INDEX('Eurostat EB TJ GWh'!$A$2:$BV$146,MATCH($A78,'Eurostat EB TJ GWh'!$A$2:$A$146,0),MATCH(AR$3,'Eurostat EB TJ GWh'!$A$2:$BV$2,0))</f>
        <v>0</v>
      </c>
      <c r="AS78" s="57">
        <f>INDEX('Eurostat EB TJ GWh'!$A$2:$BV$146,MATCH($A78,'Eurostat EB TJ GWh'!$A$2:$A$146,0),MATCH(AS$3,'Eurostat EB TJ GWh'!$A$2:$BV$2,0))</f>
        <v>0</v>
      </c>
      <c r="AT78" s="57">
        <f>INDEX('Eurostat EB TJ GWh'!$A$2:$BV$146,MATCH($A78,'Eurostat EB TJ GWh'!$A$2:$A$146,0),MATCH(AT$3,'Eurostat EB TJ GWh'!$A$2:$BV$2,0))</f>
        <v>0</v>
      </c>
      <c r="AU78" s="57">
        <f>INDEX('Eurostat EB TJ GWh'!$A$2:$BV$146,MATCH($A78,'Eurostat EB TJ GWh'!$A$2:$A$146,0),MATCH(AU$3,'Eurostat EB TJ GWh'!$A$2:$BV$2,0))</f>
        <v>0</v>
      </c>
      <c r="AV78" s="57">
        <f>INDEX('Eurostat EB TJ GWh'!$A$2:$BV$146,MATCH($A78,'Eurostat EB TJ GWh'!$A$2:$A$146,0),MATCH(AV$2,'Eurostat EB TJ GWh'!$A$2:$BV$2,0))+INDEX('Eurostat EB TJ GWh'!$A$2:$BV$146,MATCH($A78,'Eurostat EB TJ GWh'!$A$2:$A$146,0),MATCH(AV$3,'Eurostat EB TJ GWh'!$A$2:$BV$2,0))</f>
        <v>0</v>
      </c>
      <c r="AW78" s="57">
        <f>INDEX('Eurostat EB TJ GWh'!$A$2:$BV$146,MATCH($A78,'Eurostat EB TJ GWh'!$A$2:$A$146,0),MATCH(AW$2,'Eurostat EB TJ GWh'!$A$2:$BV$2,0))+INDEX('Eurostat EB TJ GWh'!$A$2:$BV$146,MATCH($A78,'Eurostat EB TJ GWh'!$A$2:$A$146,0),MATCH(AW$3,'Eurostat EB TJ GWh'!$A$2:$BV$2,0))</f>
        <v>0</v>
      </c>
      <c r="AX78" s="57">
        <f>INDEX('Eurostat EB TJ GWh'!$A$2:$BV$146,MATCH($A78,'Eurostat EB TJ GWh'!$A$2:$A$146,0),MATCH(AX$3,'Eurostat EB TJ GWh'!$A$2:$BV$2,0))</f>
        <v>0</v>
      </c>
      <c r="AY78" s="65">
        <v>0</v>
      </c>
      <c r="AZ78" s="57">
        <f>INDEX('Eurostat EB TJ GWh'!$A$2:$BV$146,MATCH($A78,'Eurostat EB TJ GWh'!$A$2:$A$146,0),MATCH(AZ$3,'Eurostat EB TJ GWh'!$A$2:$BV$2,0))</f>
        <v>0</v>
      </c>
      <c r="BA78" s="65">
        <v>0</v>
      </c>
      <c r="BB78" s="65">
        <v>0</v>
      </c>
      <c r="BC78" s="57">
        <f>INDEX('Eurostat EB TJ GWh'!$A$2:$BV$146,MATCH($A78,'Eurostat EB TJ GWh'!$A$2:$A$146,0),MATCH(BC$3,'Eurostat EB TJ GWh'!$A$2:$BV$2,0))</f>
        <v>0</v>
      </c>
      <c r="BD78" s="57">
        <f>INDEX('Eurostat EB TJ GWh'!$A$2:$BV$146,MATCH($A78,'Eurostat EB TJ GWh'!$A$2:$A$146,0),MATCH(BD$3,'Eurostat EB TJ GWh'!$A$2:$BV$2,0))</f>
        <v>0</v>
      </c>
      <c r="BE78" s="57">
        <f>INDEX('Eurostat EB TJ GWh'!$A$2:$BV$146,MATCH($A78,'Eurostat EB TJ GWh'!$A$2:$A$146,0),MATCH(BE$3,'Eurostat EB TJ GWh'!$A$2:$BV$2,0))</f>
        <v>0</v>
      </c>
      <c r="BF78" s="57">
        <f>INDEX('Eurostat EB TJ GWh'!$A$2:$BV$146,MATCH($A78,'Eurostat EB TJ GWh'!$A$2:$A$146,0),MATCH(BF$3,'Eurostat EB TJ GWh'!$A$2:$BV$2,0))</f>
        <v>0</v>
      </c>
      <c r="BG78" s="57">
        <f>INDEX('Eurostat EB TJ GWh'!$A$2:$BV$146,MATCH($A78,'Eurostat EB TJ GWh'!$A$2:$A$146,0),MATCH(BG$3,'Eurostat EB TJ GWh'!$A$2:$BV$2,0))</f>
        <v>0</v>
      </c>
      <c r="BH78" s="57">
        <f>INDEX('Eurostat EB TJ GWh'!$A$2:$BV$146,MATCH($A78,'Eurostat EB TJ GWh'!$A$2:$A$146,0),MATCH(BH$3,'Eurostat EB TJ GWh'!$A$2:$BV$2,0))</f>
        <v>0</v>
      </c>
      <c r="BI78" s="57">
        <f>INDEX('Eurostat EB TJ GWh'!$A$2:$BV$146,MATCH($A78,'Eurostat EB TJ GWh'!$A$2:$A$146,0),MATCH(BI$3,'Eurostat EB TJ GWh'!$A$2:$BV$2,0))</f>
        <v>0</v>
      </c>
      <c r="BJ78" s="65">
        <v>0</v>
      </c>
      <c r="BK78" s="57">
        <f>INDEX('Eurostat EB TJ GWh'!$A$2:$BV$146,MATCH($A78,'Eurostat EB TJ GWh'!$A$2:$A$146,0),MATCH(BK$3,'Eurostat EB TJ GWh'!$A$2:$BV$2,0))</f>
        <v>0</v>
      </c>
      <c r="BL78" s="57">
        <f>INDEX('Eurostat EB TJ GWh'!$A$2:$BV$146,MATCH($A78,'Eurostat EB TJ GWh'!$A$2:$A$146,0),MATCH(BL$3,'Eurostat EB TJ GWh'!$A$2:$BV$2,0))</f>
        <v>0</v>
      </c>
      <c r="BM78" s="57">
        <f>INDEX('Eurostat EB TJ GWh'!$A$2:$BV$146,MATCH($A78,'Eurostat EB TJ GWh'!$A$2:$A$146,0),MATCH(BM$3,'Eurostat EB TJ GWh'!$A$2:$BV$2,0))</f>
        <v>0</v>
      </c>
      <c r="BN78" s="57">
        <f>INDEX('Eurostat EB TJ GWh'!$A$2:$BV$146,MATCH($A78,'Eurostat EB TJ GWh'!$A$2:$A$146,0),MATCH(BN$3,'Eurostat EB TJ GWh'!$A$2:$BV$2,0))</f>
        <v>0</v>
      </c>
    </row>
    <row r="79" spans="1:66" x14ac:dyDescent="0.2">
      <c r="A79" s="56" t="s">
        <v>267</v>
      </c>
      <c r="B79" s="65" t="s">
        <v>323</v>
      </c>
      <c r="C79" s="65" t="s">
        <v>323</v>
      </c>
      <c r="D79" s="17">
        <f>INDEX('Eurostat EB TJ GWh'!$A$2:$BV$146,MATCH($A79,'Eurostat EB TJ GWh'!$A$2:$A$146,0),MATCH(D$3,'Eurostat EB TJ GWh'!$A$2:$BV$2,0))</f>
        <v>0</v>
      </c>
      <c r="E79" s="17">
        <f>INDEX('Eurostat EB TJ GWh'!$A$2:$BV$146,MATCH($A79,'Eurostat EB TJ GWh'!$A$2:$A$146,0),MATCH(E$3,'Eurostat EB TJ GWh'!$A$2:$BV$2,0))</f>
        <v>0</v>
      </c>
      <c r="F79" s="17">
        <f>INDEX('Eurostat EB TJ GWh'!$A$2:$BV$146,MATCH($A79,'Eurostat EB TJ GWh'!$A$2:$A$146,0),MATCH(F$3,'Eurostat EB TJ GWh'!$A$2:$BV$2,0))</f>
        <v>0</v>
      </c>
      <c r="G79" s="17">
        <f>INDEX('Eurostat EB TJ GWh'!$A$2:$BV$146,MATCH($A79,'Eurostat EB TJ GWh'!$A$2:$A$146,0),MATCH(G$3,'Eurostat EB TJ GWh'!$A$2:$BV$2,0))</f>
        <v>0</v>
      </c>
      <c r="H79" s="17">
        <f>INDEX('Eurostat EB TJ GWh'!$A$2:$BV$146,MATCH($A79,'Eurostat EB TJ GWh'!$A$2:$A$146,0),MATCH(H$3,'Eurostat EB TJ GWh'!$A$2:$BV$2,0))</f>
        <v>0</v>
      </c>
      <c r="I79" s="17">
        <f>INDEX('Eurostat EB TJ GWh'!$A$2:$BV$146,MATCH($A79,'Eurostat EB TJ GWh'!$A$2:$A$146,0),MATCH(I$3,'Eurostat EB TJ GWh'!$A$2:$BV$2,0))</f>
        <v>0</v>
      </c>
      <c r="J79" s="17">
        <f>INDEX('Eurostat EB TJ GWh'!$A$2:$BV$146,MATCH($A79,'Eurostat EB TJ GWh'!$A$2:$A$146,0),MATCH(J$3,'Eurostat EB TJ GWh'!$A$2:$BV$2,0))</f>
        <v>0</v>
      </c>
      <c r="K79" s="17">
        <f>INDEX('Eurostat EB TJ GWh'!$A$2:$BV$146,MATCH($A79,'Eurostat EB TJ GWh'!$A$2:$A$146,0),MATCH(K$3,'Eurostat EB TJ GWh'!$A$2:$BV$2,0))</f>
        <v>0</v>
      </c>
      <c r="L79" s="17">
        <f>INDEX('Eurostat EB TJ GWh'!$A$2:$BV$146,MATCH($A79,'Eurostat EB TJ GWh'!$A$2:$A$146,0),MATCH(L$3,'Eurostat EB TJ GWh'!$A$2:$BV$2,0))</f>
        <v>0</v>
      </c>
      <c r="M79" s="17">
        <f>INDEX('Eurostat EB TJ GWh'!$A$2:$BV$146,MATCH($A79,'Eurostat EB TJ GWh'!$A$2:$A$146,0),MATCH(M$3,'Eurostat EB TJ GWh'!$A$2:$BV$2,0))</f>
        <v>0</v>
      </c>
      <c r="N79" s="17">
        <f>INDEX('Eurostat EB TJ GWh'!$A$2:$BV$146,MATCH($A79,'Eurostat EB TJ GWh'!$A$2:$A$146,0),MATCH(N$3,'Eurostat EB TJ GWh'!$A$2:$BV$2,0))</f>
        <v>0</v>
      </c>
      <c r="O79" s="17">
        <f>INDEX('Eurostat EB TJ GWh'!$A$2:$BV$146,MATCH($A79,'Eurostat EB TJ GWh'!$A$2:$A$146,0),MATCH(O$3,'Eurostat EB TJ GWh'!$A$2:$BV$2,0))</f>
        <v>6767.5630000000001</v>
      </c>
      <c r="P79" s="17">
        <f>INDEX('Eurostat EB TJ GWh'!$A$2:$BV$146,MATCH($A79,'Eurostat EB TJ GWh'!$A$2:$A$146,0),MATCH(P$3,'Eurostat EB TJ GWh'!$A$2:$BV$2,0))</f>
        <v>159.76900000000001</v>
      </c>
      <c r="Q79" s="17">
        <f>INDEX('Eurostat EB TJ GWh'!$A$2:$BV$146,MATCH($A79,'Eurostat EB TJ GWh'!$A$2:$A$146,0),MATCH(Q$3,'Eurostat EB TJ GWh'!$A$2:$BV$2,0))</f>
        <v>0</v>
      </c>
      <c r="R79" s="17">
        <f>INDEX('Eurostat EB TJ GWh'!$A$2:$BV$146,MATCH($A79,'Eurostat EB TJ GWh'!$A$2:$A$146,0),MATCH(R$2,'Eurostat EB TJ GWh'!$A$2:$BV$2,0))+INDEX('Eurostat EB TJ GWh'!$A$2:$BV$146,MATCH($A79,'Eurostat EB TJ GWh'!$A$2:$A$146,0),MATCH(R$3,'Eurostat EB TJ GWh'!$A$2:$BV$2,0))</f>
        <v>0</v>
      </c>
      <c r="S79" s="17">
        <f>INDEX('Eurostat EB TJ GWh'!$A$2:$BV$146,MATCH($A79,'Eurostat EB TJ GWh'!$A$2:$A$146,0),MATCH(S$3,'Eurostat EB TJ GWh'!$A$2:$BV$2,0))</f>
        <v>0</v>
      </c>
      <c r="T79" s="65" t="s">
        <v>323</v>
      </c>
      <c r="U79" s="17">
        <f>INDEX('Eurostat EB TJ GWh'!$A$2:$BV$146,MATCH($A79,'Eurostat EB TJ GWh'!$A$2:$A$146,0),MATCH(U$3,'Eurostat EB TJ GWh'!$A$2:$BV$2,0))</f>
        <v>0</v>
      </c>
      <c r="V79" s="17">
        <f>INDEX('Eurostat EB TJ GWh'!$A$2:$BV$146,MATCH($A79,'Eurostat EB TJ GWh'!$A$2:$A$146,0),MATCH(V$3,'Eurostat EB TJ GWh'!$A$2:$BV$2,0))</f>
        <v>0</v>
      </c>
      <c r="W79" s="17">
        <f>INDEX('Eurostat EB TJ GWh'!$A$2:$BV$146,MATCH($A79,'Eurostat EB TJ GWh'!$A$2:$A$146,0),MATCH(W$3,'Eurostat EB TJ GWh'!$A$2:$BV$2,0))</f>
        <v>0</v>
      </c>
      <c r="X79" s="17">
        <f>INDEX('Eurostat EB TJ GWh'!$A$2:$BV$146,MATCH($A79,'Eurostat EB TJ GWh'!$A$2:$A$146,0),MATCH(X$3,'Eurostat EB TJ GWh'!$A$2:$BV$2,0))</f>
        <v>0</v>
      </c>
      <c r="Y79" s="17">
        <f>INDEX('Eurostat EB TJ GWh'!$A$2:$BV$146,MATCH($A79,'Eurostat EB TJ GWh'!$A$2:$A$146,0),MATCH(Y$3,'Eurostat EB TJ GWh'!$A$2:$BV$2,0))</f>
        <v>0</v>
      </c>
      <c r="Z79" s="17">
        <f>INDEX('Eurostat EB TJ GWh'!$A$2:$BV$146,MATCH($A79,'Eurostat EB TJ GWh'!$A$2:$A$146,0),MATCH(Z$3,'Eurostat EB TJ GWh'!$A$2:$BV$2,0))</f>
        <v>0</v>
      </c>
      <c r="AA79" s="17">
        <f>INDEX('Eurostat EB TJ GWh'!$A$2:$BV$146,MATCH($A79,'Eurostat EB TJ GWh'!$A$2:$A$146,0),MATCH(AA$3,'Eurostat EB TJ GWh'!$A$2:$BV$2,0))</f>
        <v>0</v>
      </c>
      <c r="AB79" s="17">
        <f>INDEX('Eurostat EB TJ GWh'!$A$2:$BV$146,MATCH($A79,'Eurostat EB TJ GWh'!$A$2:$A$146,0),MATCH(AB$3,'Eurostat EB TJ GWh'!$A$2:$BV$2,0))</f>
        <v>0</v>
      </c>
      <c r="AC79" s="17">
        <f>INDEX('Eurostat EB TJ GWh'!$A$2:$BV$146,MATCH($A79,'Eurostat EB TJ GWh'!$A$2:$A$146,0),MATCH(AC$3,'Eurostat EB TJ GWh'!$A$2:$BV$2,0))</f>
        <v>0</v>
      </c>
      <c r="AD79" s="17">
        <f>INDEX('Eurostat EB TJ GWh'!$A$2:$BV$146,MATCH($A79,'Eurostat EB TJ GWh'!$A$2:$A$146,0),MATCH(AD$3,'Eurostat EB TJ GWh'!$A$2:$BV$2,0))</f>
        <v>0</v>
      </c>
      <c r="AE79" s="17">
        <f>INDEX('Eurostat EB TJ GWh'!$A$2:$BV$146,MATCH($A79,'Eurostat EB TJ GWh'!$A$2:$A$146,0),MATCH(AE$3,'Eurostat EB TJ GWh'!$A$2:$BV$2,0))</f>
        <v>0</v>
      </c>
      <c r="AF79" s="17">
        <f>INDEX('Eurostat EB TJ GWh'!$A$2:$BV$146,MATCH($A79,'Eurostat EB TJ GWh'!$A$2:$A$146,0),MATCH(AF$3,'Eurostat EB TJ GWh'!$A$2:$BV$2,0))</f>
        <v>0</v>
      </c>
      <c r="AG79" s="17">
        <f>INDEX('Eurostat EB TJ GWh'!$A$2:$BV$146,MATCH($A79,'Eurostat EB TJ GWh'!$A$2:$A$146,0),MATCH(AG$3,'Eurostat EB TJ GWh'!$A$2:$BV$2,0))</f>
        <v>0</v>
      </c>
      <c r="AH79" s="17">
        <f>INDEX('Eurostat EB TJ GWh'!$A$2:$BV$146,MATCH($A79,'Eurostat EB TJ GWh'!$A$2:$A$146,0),MATCH(AH$3,'Eurostat EB TJ GWh'!$A$2:$BV$2,0))</f>
        <v>0</v>
      </c>
      <c r="AI79" s="17">
        <f>INDEX('Eurostat EB TJ GWh'!$A$2:$BV$146,MATCH($A79,'Eurostat EB TJ GWh'!$A$2:$A$146,0),MATCH(AI$3,'Eurostat EB TJ GWh'!$A$2:$BV$2,0))</f>
        <v>0</v>
      </c>
      <c r="AJ79" s="17">
        <f>INDEX('Eurostat EB TJ GWh'!$A$2:$BV$146,MATCH($A79,'Eurostat EB TJ GWh'!$A$2:$A$146,0),MATCH(AJ$3,'Eurostat EB TJ GWh'!$A$2:$BV$2,0))</f>
        <v>0</v>
      </c>
      <c r="AK79" s="17">
        <f>INDEX('Eurostat EB TJ GWh'!$A$2:$BV$146,MATCH($A79,'Eurostat EB TJ GWh'!$A$2:$A$146,0),MATCH(AK$3,'Eurostat EB TJ GWh'!$A$2:$BV$2,0))</f>
        <v>0</v>
      </c>
      <c r="AL79" s="17">
        <f>INDEX('Eurostat EB TJ GWh'!$A$2:$BV$146,MATCH($A79,'Eurostat EB TJ GWh'!$A$2:$A$146,0),MATCH(AL$3,'Eurostat EB TJ GWh'!$A$2:$BV$2,0))</f>
        <v>0</v>
      </c>
      <c r="AM79" s="17">
        <f>INDEX('Eurostat EB TJ GWh'!$A$2:$BV$146,MATCH($A79,'Eurostat EB TJ GWh'!$A$2:$A$146,0),MATCH(AM$3,'Eurostat EB TJ GWh'!$A$2:$BV$2,0))</f>
        <v>0</v>
      </c>
      <c r="AN79" s="17">
        <f>INDEX('Eurostat EB TJ GWh'!$A$2:$BV$146,MATCH($A79,'Eurostat EB TJ GWh'!$A$2:$A$146,0),MATCH(AN$3,'Eurostat EB TJ GWh'!$A$2:$BV$2,0))</f>
        <v>0</v>
      </c>
      <c r="AO79" s="17">
        <f>INDEX('Eurostat EB TJ GWh'!$A$2:$BV$146,MATCH($A79,'Eurostat EB TJ GWh'!$A$2:$A$146,0),MATCH(AO$3,'Eurostat EB TJ GWh'!$A$2:$BV$2,0))</f>
        <v>0</v>
      </c>
      <c r="AP79" s="17">
        <f>INDEX('Eurostat EB TJ GWh'!$A$2:$BV$146,MATCH($A79,'Eurostat EB TJ GWh'!$A$2:$A$146,0),MATCH(AP$3,'Eurostat EB TJ GWh'!$A$2:$BV$2,0))</f>
        <v>0</v>
      </c>
      <c r="AQ79" s="17">
        <f>INDEX('Eurostat EB TJ GWh'!$A$2:$BV$146,MATCH($A79,'Eurostat EB TJ GWh'!$A$2:$A$146,0),MATCH(AQ$3,'Eurostat EB TJ GWh'!$A$2:$BV$2,0))</f>
        <v>0</v>
      </c>
      <c r="AR79" s="17">
        <f>INDEX('Eurostat EB TJ GWh'!$A$2:$BV$146,MATCH($A79,'Eurostat EB TJ GWh'!$A$2:$A$146,0),MATCH(AR$3,'Eurostat EB TJ GWh'!$A$2:$BV$2,0))</f>
        <v>0</v>
      </c>
      <c r="AS79" s="17">
        <f>INDEX('Eurostat EB TJ GWh'!$A$2:$BV$146,MATCH($A79,'Eurostat EB TJ GWh'!$A$2:$A$146,0),MATCH(AS$3,'Eurostat EB TJ GWh'!$A$2:$BV$2,0))</f>
        <v>0</v>
      </c>
      <c r="AT79" s="17">
        <f>INDEX('Eurostat EB TJ GWh'!$A$2:$BV$146,MATCH($A79,'Eurostat EB TJ GWh'!$A$2:$A$146,0),MATCH(AT$3,'Eurostat EB TJ GWh'!$A$2:$BV$2,0))</f>
        <v>0</v>
      </c>
      <c r="AU79" s="17">
        <f>INDEX('Eurostat EB TJ GWh'!$A$2:$BV$146,MATCH($A79,'Eurostat EB TJ GWh'!$A$2:$A$146,0),MATCH(AU$3,'Eurostat EB TJ GWh'!$A$2:$BV$2,0))</f>
        <v>0</v>
      </c>
      <c r="AV79" s="17">
        <f>INDEX('Eurostat EB TJ GWh'!$A$2:$BV$146,MATCH($A79,'Eurostat EB TJ GWh'!$A$2:$A$146,0),MATCH(AV$2,'Eurostat EB TJ GWh'!$A$2:$BV$2,0))+INDEX('Eurostat EB TJ GWh'!$A$2:$BV$146,MATCH($A79,'Eurostat EB TJ GWh'!$A$2:$A$146,0),MATCH(AV$3,'Eurostat EB TJ GWh'!$A$2:$BV$2,0))</f>
        <v>0</v>
      </c>
      <c r="AW79" s="17">
        <f>INDEX('Eurostat EB TJ GWh'!$A$2:$BV$146,MATCH($A79,'Eurostat EB TJ GWh'!$A$2:$A$146,0),MATCH(AW$2,'Eurostat EB TJ GWh'!$A$2:$BV$2,0))+INDEX('Eurostat EB TJ GWh'!$A$2:$BV$146,MATCH($A79,'Eurostat EB TJ GWh'!$A$2:$A$146,0),MATCH(AW$3,'Eurostat EB TJ GWh'!$A$2:$BV$2,0))</f>
        <v>0</v>
      </c>
      <c r="AX79" s="17">
        <f>INDEX('Eurostat EB TJ GWh'!$A$2:$BV$146,MATCH($A79,'Eurostat EB TJ GWh'!$A$2:$A$146,0),MATCH(AX$3,'Eurostat EB TJ GWh'!$A$2:$BV$2,0))</f>
        <v>0</v>
      </c>
      <c r="AY79" s="72">
        <v>0</v>
      </c>
      <c r="AZ79" s="17">
        <f>INDEX('Eurostat EB TJ GWh'!$A$2:$BV$146,MATCH($A79,'Eurostat EB TJ GWh'!$A$2:$A$146,0),MATCH(AZ$3,'Eurostat EB TJ GWh'!$A$2:$BV$2,0))</f>
        <v>0</v>
      </c>
      <c r="BA79" s="72">
        <v>0</v>
      </c>
      <c r="BB79" s="72">
        <v>0</v>
      </c>
      <c r="BC79" s="17">
        <f>INDEX('Eurostat EB TJ GWh'!$A$2:$BV$146,MATCH($A79,'Eurostat EB TJ GWh'!$A$2:$A$146,0),MATCH(BC$3,'Eurostat EB TJ GWh'!$A$2:$BV$2,0))</f>
        <v>0</v>
      </c>
      <c r="BD79" s="17">
        <f>INDEX('Eurostat EB TJ GWh'!$A$2:$BV$146,MATCH($A79,'Eurostat EB TJ GWh'!$A$2:$A$146,0),MATCH(BD$3,'Eurostat EB TJ GWh'!$A$2:$BV$2,0))</f>
        <v>0</v>
      </c>
      <c r="BE79" s="17">
        <f>INDEX('Eurostat EB TJ GWh'!$A$2:$BV$146,MATCH($A79,'Eurostat EB TJ GWh'!$A$2:$A$146,0),MATCH(BE$3,'Eurostat EB TJ GWh'!$A$2:$BV$2,0))</f>
        <v>0</v>
      </c>
      <c r="BF79" s="17">
        <f>INDEX('Eurostat EB TJ GWh'!$A$2:$BV$146,MATCH($A79,'Eurostat EB TJ GWh'!$A$2:$A$146,0),MATCH(BF$3,'Eurostat EB TJ GWh'!$A$2:$BV$2,0))</f>
        <v>0</v>
      </c>
      <c r="BG79" s="17">
        <f>INDEX('Eurostat EB TJ GWh'!$A$2:$BV$146,MATCH($A79,'Eurostat EB TJ GWh'!$A$2:$A$146,0),MATCH(BG$3,'Eurostat EB TJ GWh'!$A$2:$BV$2,0))</f>
        <v>0</v>
      </c>
      <c r="BH79" s="17">
        <f>INDEX('Eurostat EB TJ GWh'!$A$2:$BV$146,MATCH($A79,'Eurostat EB TJ GWh'!$A$2:$A$146,0),MATCH(BH$3,'Eurostat EB TJ GWh'!$A$2:$BV$2,0))</f>
        <v>0</v>
      </c>
      <c r="BI79" s="17">
        <f>INDEX('Eurostat EB TJ GWh'!$A$2:$BV$146,MATCH($A79,'Eurostat EB TJ GWh'!$A$2:$A$146,0),MATCH(BI$3,'Eurostat EB TJ GWh'!$A$2:$BV$2,0))</f>
        <v>0</v>
      </c>
      <c r="BJ79" s="72">
        <v>0</v>
      </c>
      <c r="BK79" s="17">
        <f>INDEX('Eurostat EB TJ GWh'!$A$2:$BV$146,MATCH($A79,'Eurostat EB TJ GWh'!$A$2:$A$146,0),MATCH(BK$3,'Eurostat EB TJ GWh'!$A$2:$BV$2,0))</f>
        <v>317.60300000000001</v>
      </c>
      <c r="BL79" s="17">
        <f>INDEX('Eurostat EB TJ GWh'!$A$2:$BV$146,MATCH($A79,'Eurostat EB TJ GWh'!$A$2:$A$146,0),MATCH(BL$3,'Eurostat EB TJ GWh'!$A$2:$BV$2,0))</f>
        <v>948.78499999999997</v>
      </c>
      <c r="BM79" s="17">
        <f>INDEX('Eurostat EB TJ GWh'!$A$2:$BV$146,MATCH($A79,'Eurostat EB TJ GWh'!$A$2:$A$146,0),MATCH(BM$3,'Eurostat EB TJ GWh'!$A$2:$BV$2,0))</f>
        <v>8193.7189999999991</v>
      </c>
      <c r="BN79" s="17">
        <f>INDEX('Eurostat EB TJ GWh'!$A$2:$BV$146,MATCH($A79,'Eurostat EB TJ GWh'!$A$2:$A$146,0),MATCH(BN$3,'Eurostat EB TJ GWh'!$A$2:$BV$2,0))</f>
        <v>229.42099999999999</v>
      </c>
    </row>
    <row r="80" spans="1:66" x14ac:dyDescent="0.2">
      <c r="A80" s="56" t="s">
        <v>268</v>
      </c>
      <c r="B80" s="65" t="s">
        <v>323</v>
      </c>
      <c r="C80" s="65" t="s">
        <v>323</v>
      </c>
      <c r="D80" s="57">
        <f>INDEX('Eurostat EB TJ GWh'!$A$2:$BV$146,MATCH($A80,'Eurostat EB TJ GWh'!$A$2:$A$146,0),MATCH(D$3,'Eurostat EB TJ GWh'!$A$2:$BV$2,0))</f>
        <v>0</v>
      </c>
      <c r="E80" s="57">
        <f>INDEX('Eurostat EB TJ GWh'!$A$2:$BV$146,MATCH($A80,'Eurostat EB TJ GWh'!$A$2:$A$146,0),MATCH(E$3,'Eurostat EB TJ GWh'!$A$2:$BV$2,0))</f>
        <v>0</v>
      </c>
      <c r="F80" s="57">
        <f>INDEX('Eurostat EB TJ GWh'!$A$2:$BV$146,MATCH($A80,'Eurostat EB TJ GWh'!$A$2:$A$146,0),MATCH(F$3,'Eurostat EB TJ GWh'!$A$2:$BV$2,0))</f>
        <v>0</v>
      </c>
      <c r="G80" s="57">
        <f>INDEX('Eurostat EB TJ GWh'!$A$2:$BV$146,MATCH($A80,'Eurostat EB TJ GWh'!$A$2:$A$146,0),MATCH(G$3,'Eurostat EB TJ GWh'!$A$2:$BV$2,0))</f>
        <v>0</v>
      </c>
      <c r="H80" s="57">
        <f>INDEX('Eurostat EB TJ GWh'!$A$2:$BV$146,MATCH($A80,'Eurostat EB TJ GWh'!$A$2:$A$146,0),MATCH(H$3,'Eurostat EB TJ GWh'!$A$2:$BV$2,0))</f>
        <v>0</v>
      </c>
      <c r="I80" s="57">
        <f>INDEX('Eurostat EB TJ GWh'!$A$2:$BV$146,MATCH($A80,'Eurostat EB TJ GWh'!$A$2:$A$146,0),MATCH(I$3,'Eurostat EB TJ GWh'!$A$2:$BV$2,0))</f>
        <v>0</v>
      </c>
      <c r="J80" s="57">
        <f>INDEX('Eurostat EB TJ GWh'!$A$2:$BV$146,MATCH($A80,'Eurostat EB TJ GWh'!$A$2:$A$146,0),MATCH(J$3,'Eurostat EB TJ GWh'!$A$2:$BV$2,0))</f>
        <v>0</v>
      </c>
      <c r="K80" s="57">
        <f>INDEX('Eurostat EB TJ GWh'!$A$2:$BV$146,MATCH($A80,'Eurostat EB TJ GWh'!$A$2:$A$146,0),MATCH(K$3,'Eurostat EB TJ GWh'!$A$2:$BV$2,0))</f>
        <v>0</v>
      </c>
      <c r="L80" s="57">
        <f>INDEX('Eurostat EB TJ GWh'!$A$2:$BV$146,MATCH($A80,'Eurostat EB TJ GWh'!$A$2:$A$146,0),MATCH(L$3,'Eurostat EB TJ GWh'!$A$2:$BV$2,0))</f>
        <v>0</v>
      </c>
      <c r="M80" s="57">
        <f>INDEX('Eurostat EB TJ GWh'!$A$2:$BV$146,MATCH($A80,'Eurostat EB TJ GWh'!$A$2:$A$146,0),MATCH(M$3,'Eurostat EB TJ GWh'!$A$2:$BV$2,0))</f>
        <v>0</v>
      </c>
      <c r="N80" s="57">
        <f>INDEX('Eurostat EB TJ GWh'!$A$2:$BV$146,MATCH($A80,'Eurostat EB TJ GWh'!$A$2:$A$146,0),MATCH(N$3,'Eurostat EB TJ GWh'!$A$2:$BV$2,0))</f>
        <v>0</v>
      </c>
      <c r="O80" s="57">
        <f>INDEX('Eurostat EB TJ GWh'!$A$2:$BV$146,MATCH($A80,'Eurostat EB TJ GWh'!$A$2:$A$146,0),MATCH(O$3,'Eurostat EB TJ GWh'!$A$2:$BV$2,0))</f>
        <v>0</v>
      </c>
      <c r="P80" s="57">
        <f>INDEX('Eurostat EB TJ GWh'!$A$2:$BV$146,MATCH($A80,'Eurostat EB TJ GWh'!$A$2:$A$146,0),MATCH(P$3,'Eurostat EB TJ GWh'!$A$2:$BV$2,0))</f>
        <v>0</v>
      </c>
      <c r="Q80" s="57">
        <f>INDEX('Eurostat EB TJ GWh'!$A$2:$BV$146,MATCH($A80,'Eurostat EB TJ GWh'!$A$2:$A$146,0),MATCH(Q$3,'Eurostat EB TJ GWh'!$A$2:$BV$2,0))</f>
        <v>0</v>
      </c>
      <c r="R80" s="57">
        <f>INDEX('Eurostat EB TJ GWh'!$A$2:$BV$146,MATCH($A80,'Eurostat EB TJ GWh'!$A$2:$A$146,0),MATCH(R$2,'Eurostat EB TJ GWh'!$A$2:$BV$2,0))+INDEX('Eurostat EB TJ GWh'!$A$2:$BV$146,MATCH($A80,'Eurostat EB TJ GWh'!$A$2:$A$146,0),MATCH(R$3,'Eurostat EB TJ GWh'!$A$2:$BV$2,0))</f>
        <v>0</v>
      </c>
      <c r="S80" s="57">
        <f>INDEX('Eurostat EB TJ GWh'!$A$2:$BV$146,MATCH($A80,'Eurostat EB TJ GWh'!$A$2:$A$146,0),MATCH(S$3,'Eurostat EB TJ GWh'!$A$2:$BV$2,0))</f>
        <v>0</v>
      </c>
      <c r="T80" s="65" t="s">
        <v>323</v>
      </c>
      <c r="U80" s="57">
        <f>INDEX('Eurostat EB TJ GWh'!$A$2:$BV$146,MATCH($A80,'Eurostat EB TJ GWh'!$A$2:$A$146,0),MATCH(U$3,'Eurostat EB TJ GWh'!$A$2:$BV$2,0))</f>
        <v>0</v>
      </c>
      <c r="V80" s="57">
        <f>INDEX('Eurostat EB TJ GWh'!$A$2:$BV$146,MATCH($A80,'Eurostat EB TJ GWh'!$A$2:$A$146,0),MATCH(V$3,'Eurostat EB TJ GWh'!$A$2:$BV$2,0))</f>
        <v>0</v>
      </c>
      <c r="W80" s="57">
        <f>INDEX('Eurostat EB TJ GWh'!$A$2:$BV$146,MATCH($A80,'Eurostat EB TJ GWh'!$A$2:$A$146,0),MATCH(W$3,'Eurostat EB TJ GWh'!$A$2:$BV$2,0))</f>
        <v>0</v>
      </c>
      <c r="X80" s="57">
        <f>INDEX('Eurostat EB TJ GWh'!$A$2:$BV$146,MATCH($A80,'Eurostat EB TJ GWh'!$A$2:$A$146,0),MATCH(X$3,'Eurostat EB TJ GWh'!$A$2:$BV$2,0))</f>
        <v>0</v>
      </c>
      <c r="Y80" s="57">
        <f>INDEX('Eurostat EB TJ GWh'!$A$2:$BV$146,MATCH($A80,'Eurostat EB TJ GWh'!$A$2:$A$146,0),MATCH(Y$3,'Eurostat EB TJ GWh'!$A$2:$BV$2,0))</f>
        <v>0</v>
      </c>
      <c r="Z80" s="57">
        <f>INDEX('Eurostat EB TJ GWh'!$A$2:$BV$146,MATCH($A80,'Eurostat EB TJ GWh'!$A$2:$A$146,0),MATCH(Z$3,'Eurostat EB TJ GWh'!$A$2:$BV$2,0))</f>
        <v>0</v>
      </c>
      <c r="AA80" s="57">
        <f>INDEX('Eurostat EB TJ GWh'!$A$2:$BV$146,MATCH($A80,'Eurostat EB TJ GWh'!$A$2:$A$146,0),MATCH(AA$3,'Eurostat EB TJ GWh'!$A$2:$BV$2,0))</f>
        <v>0</v>
      </c>
      <c r="AB80" s="57">
        <f>INDEX('Eurostat EB TJ GWh'!$A$2:$BV$146,MATCH($A80,'Eurostat EB TJ GWh'!$A$2:$A$146,0),MATCH(AB$3,'Eurostat EB TJ GWh'!$A$2:$BV$2,0))</f>
        <v>0</v>
      </c>
      <c r="AC80" s="57">
        <f>INDEX('Eurostat EB TJ GWh'!$A$2:$BV$146,MATCH($A80,'Eurostat EB TJ GWh'!$A$2:$A$146,0),MATCH(AC$3,'Eurostat EB TJ GWh'!$A$2:$BV$2,0))</f>
        <v>0</v>
      </c>
      <c r="AD80" s="57">
        <f>INDEX('Eurostat EB TJ GWh'!$A$2:$BV$146,MATCH($A80,'Eurostat EB TJ GWh'!$A$2:$A$146,0),MATCH(AD$3,'Eurostat EB TJ GWh'!$A$2:$BV$2,0))</f>
        <v>0</v>
      </c>
      <c r="AE80" s="57">
        <f>INDEX('Eurostat EB TJ GWh'!$A$2:$BV$146,MATCH($A80,'Eurostat EB TJ GWh'!$A$2:$A$146,0),MATCH(AE$3,'Eurostat EB TJ GWh'!$A$2:$BV$2,0))</f>
        <v>0</v>
      </c>
      <c r="AF80" s="57">
        <f>INDEX('Eurostat EB TJ GWh'!$A$2:$BV$146,MATCH($A80,'Eurostat EB TJ GWh'!$A$2:$A$146,0),MATCH(AF$3,'Eurostat EB TJ GWh'!$A$2:$BV$2,0))</f>
        <v>0</v>
      </c>
      <c r="AG80" s="57">
        <f>INDEX('Eurostat EB TJ GWh'!$A$2:$BV$146,MATCH($A80,'Eurostat EB TJ GWh'!$A$2:$A$146,0),MATCH(AG$3,'Eurostat EB TJ GWh'!$A$2:$BV$2,0))</f>
        <v>0</v>
      </c>
      <c r="AH80" s="57">
        <f>INDEX('Eurostat EB TJ GWh'!$A$2:$BV$146,MATCH($A80,'Eurostat EB TJ GWh'!$A$2:$A$146,0),MATCH(AH$3,'Eurostat EB TJ GWh'!$A$2:$BV$2,0))</f>
        <v>0</v>
      </c>
      <c r="AI80" s="57">
        <f>INDEX('Eurostat EB TJ GWh'!$A$2:$BV$146,MATCH($A80,'Eurostat EB TJ GWh'!$A$2:$A$146,0),MATCH(AI$3,'Eurostat EB TJ GWh'!$A$2:$BV$2,0))</f>
        <v>0</v>
      </c>
      <c r="AJ80" s="57">
        <f>INDEX('Eurostat EB TJ GWh'!$A$2:$BV$146,MATCH($A80,'Eurostat EB TJ GWh'!$A$2:$A$146,0),MATCH(AJ$3,'Eurostat EB TJ GWh'!$A$2:$BV$2,0))</f>
        <v>0</v>
      </c>
      <c r="AK80" s="57">
        <f>INDEX('Eurostat EB TJ GWh'!$A$2:$BV$146,MATCH($A80,'Eurostat EB TJ GWh'!$A$2:$A$146,0),MATCH(AK$3,'Eurostat EB TJ GWh'!$A$2:$BV$2,0))</f>
        <v>0</v>
      </c>
      <c r="AL80" s="57">
        <f>INDEX('Eurostat EB TJ GWh'!$A$2:$BV$146,MATCH($A80,'Eurostat EB TJ GWh'!$A$2:$A$146,0),MATCH(AL$3,'Eurostat EB TJ GWh'!$A$2:$BV$2,0))</f>
        <v>0</v>
      </c>
      <c r="AM80" s="57">
        <f>INDEX('Eurostat EB TJ GWh'!$A$2:$BV$146,MATCH($A80,'Eurostat EB TJ GWh'!$A$2:$A$146,0),MATCH(AM$3,'Eurostat EB TJ GWh'!$A$2:$BV$2,0))</f>
        <v>0</v>
      </c>
      <c r="AN80" s="57">
        <f>INDEX('Eurostat EB TJ GWh'!$A$2:$BV$146,MATCH($A80,'Eurostat EB TJ GWh'!$A$2:$A$146,0),MATCH(AN$3,'Eurostat EB TJ GWh'!$A$2:$BV$2,0))</f>
        <v>0</v>
      </c>
      <c r="AO80" s="57">
        <f>INDEX('Eurostat EB TJ GWh'!$A$2:$BV$146,MATCH($A80,'Eurostat EB TJ GWh'!$A$2:$A$146,0),MATCH(AO$3,'Eurostat EB TJ GWh'!$A$2:$BV$2,0))</f>
        <v>0</v>
      </c>
      <c r="AP80" s="57">
        <f>INDEX('Eurostat EB TJ GWh'!$A$2:$BV$146,MATCH($A80,'Eurostat EB TJ GWh'!$A$2:$A$146,0),MATCH(AP$3,'Eurostat EB TJ GWh'!$A$2:$BV$2,0))</f>
        <v>0</v>
      </c>
      <c r="AQ80" s="57">
        <f>INDEX('Eurostat EB TJ GWh'!$A$2:$BV$146,MATCH($A80,'Eurostat EB TJ GWh'!$A$2:$A$146,0),MATCH(AQ$3,'Eurostat EB TJ GWh'!$A$2:$BV$2,0))</f>
        <v>0</v>
      </c>
      <c r="AR80" s="57">
        <f>INDEX('Eurostat EB TJ GWh'!$A$2:$BV$146,MATCH($A80,'Eurostat EB TJ GWh'!$A$2:$A$146,0),MATCH(AR$3,'Eurostat EB TJ GWh'!$A$2:$BV$2,0))</f>
        <v>0</v>
      </c>
      <c r="AS80" s="57">
        <f>INDEX('Eurostat EB TJ GWh'!$A$2:$BV$146,MATCH($A80,'Eurostat EB TJ GWh'!$A$2:$A$146,0),MATCH(AS$3,'Eurostat EB TJ GWh'!$A$2:$BV$2,0))</f>
        <v>0</v>
      </c>
      <c r="AT80" s="57">
        <f>INDEX('Eurostat EB TJ GWh'!$A$2:$BV$146,MATCH($A80,'Eurostat EB TJ GWh'!$A$2:$A$146,0),MATCH(AT$3,'Eurostat EB TJ GWh'!$A$2:$BV$2,0))</f>
        <v>0</v>
      </c>
      <c r="AU80" s="57">
        <f>INDEX('Eurostat EB TJ GWh'!$A$2:$BV$146,MATCH($A80,'Eurostat EB TJ GWh'!$A$2:$A$146,0),MATCH(AU$3,'Eurostat EB TJ GWh'!$A$2:$BV$2,0))</f>
        <v>0</v>
      </c>
      <c r="AV80" s="57">
        <f>INDEX('Eurostat EB TJ GWh'!$A$2:$BV$146,MATCH($A80,'Eurostat EB TJ GWh'!$A$2:$A$146,0),MATCH(AV$2,'Eurostat EB TJ GWh'!$A$2:$BV$2,0))+INDEX('Eurostat EB TJ GWh'!$A$2:$BV$146,MATCH($A80,'Eurostat EB TJ GWh'!$A$2:$A$146,0),MATCH(AV$3,'Eurostat EB TJ GWh'!$A$2:$BV$2,0))</f>
        <v>0</v>
      </c>
      <c r="AW80" s="57">
        <f>INDEX('Eurostat EB TJ GWh'!$A$2:$BV$146,MATCH($A80,'Eurostat EB TJ GWh'!$A$2:$A$146,0),MATCH(AW$2,'Eurostat EB TJ GWh'!$A$2:$BV$2,0))+INDEX('Eurostat EB TJ GWh'!$A$2:$BV$146,MATCH($A80,'Eurostat EB TJ GWh'!$A$2:$A$146,0),MATCH(AW$3,'Eurostat EB TJ GWh'!$A$2:$BV$2,0))</f>
        <v>0</v>
      </c>
      <c r="AX80" s="57">
        <f>INDEX('Eurostat EB TJ GWh'!$A$2:$BV$146,MATCH($A80,'Eurostat EB TJ GWh'!$A$2:$A$146,0),MATCH(AX$3,'Eurostat EB TJ GWh'!$A$2:$BV$2,0))</f>
        <v>0</v>
      </c>
      <c r="AY80" s="65">
        <v>0</v>
      </c>
      <c r="AZ80" s="57">
        <f>INDEX('Eurostat EB TJ GWh'!$A$2:$BV$146,MATCH($A80,'Eurostat EB TJ GWh'!$A$2:$A$146,0),MATCH(AZ$3,'Eurostat EB TJ GWh'!$A$2:$BV$2,0))</f>
        <v>0</v>
      </c>
      <c r="BA80" s="65">
        <v>0</v>
      </c>
      <c r="BB80" s="65">
        <v>0</v>
      </c>
      <c r="BC80" s="57">
        <f>INDEX('Eurostat EB TJ GWh'!$A$2:$BV$146,MATCH($A80,'Eurostat EB TJ GWh'!$A$2:$A$146,0),MATCH(BC$3,'Eurostat EB TJ GWh'!$A$2:$BV$2,0))</f>
        <v>0</v>
      </c>
      <c r="BD80" s="57">
        <f>INDEX('Eurostat EB TJ GWh'!$A$2:$BV$146,MATCH($A80,'Eurostat EB TJ GWh'!$A$2:$A$146,0),MATCH(BD$3,'Eurostat EB TJ GWh'!$A$2:$BV$2,0))</f>
        <v>0</v>
      </c>
      <c r="BE80" s="57">
        <f>INDEX('Eurostat EB TJ GWh'!$A$2:$BV$146,MATCH($A80,'Eurostat EB TJ GWh'!$A$2:$A$146,0),MATCH(BE$3,'Eurostat EB TJ GWh'!$A$2:$BV$2,0))</f>
        <v>0</v>
      </c>
      <c r="BF80" s="57">
        <f>INDEX('Eurostat EB TJ GWh'!$A$2:$BV$146,MATCH($A80,'Eurostat EB TJ GWh'!$A$2:$A$146,0),MATCH(BF$3,'Eurostat EB TJ GWh'!$A$2:$BV$2,0))</f>
        <v>0</v>
      </c>
      <c r="BG80" s="57">
        <f>INDEX('Eurostat EB TJ GWh'!$A$2:$BV$146,MATCH($A80,'Eurostat EB TJ GWh'!$A$2:$A$146,0),MATCH(BG$3,'Eurostat EB TJ GWh'!$A$2:$BV$2,0))</f>
        <v>0</v>
      </c>
      <c r="BH80" s="57">
        <f>INDEX('Eurostat EB TJ GWh'!$A$2:$BV$146,MATCH($A80,'Eurostat EB TJ GWh'!$A$2:$A$146,0),MATCH(BH$3,'Eurostat EB TJ GWh'!$A$2:$BV$2,0))</f>
        <v>0</v>
      </c>
      <c r="BI80" s="57">
        <f>INDEX('Eurostat EB TJ GWh'!$A$2:$BV$146,MATCH($A80,'Eurostat EB TJ GWh'!$A$2:$A$146,0),MATCH(BI$3,'Eurostat EB TJ GWh'!$A$2:$BV$2,0))</f>
        <v>0</v>
      </c>
      <c r="BJ80" s="65">
        <v>0</v>
      </c>
      <c r="BK80" s="57">
        <f>INDEX('Eurostat EB TJ GWh'!$A$2:$BV$146,MATCH($A80,'Eurostat EB TJ GWh'!$A$2:$A$146,0),MATCH(BK$3,'Eurostat EB TJ GWh'!$A$2:$BV$2,0))</f>
        <v>0</v>
      </c>
      <c r="BL80" s="57">
        <f>INDEX('Eurostat EB TJ GWh'!$A$2:$BV$146,MATCH($A80,'Eurostat EB TJ GWh'!$A$2:$A$146,0),MATCH(BL$3,'Eurostat EB TJ GWh'!$A$2:$BV$2,0))</f>
        <v>0</v>
      </c>
      <c r="BM80" s="57">
        <f>INDEX('Eurostat EB TJ GWh'!$A$2:$BV$146,MATCH($A80,'Eurostat EB TJ GWh'!$A$2:$A$146,0),MATCH(BM$3,'Eurostat EB TJ GWh'!$A$2:$BV$2,0))</f>
        <v>0</v>
      </c>
      <c r="BN80" s="57">
        <f>INDEX('Eurostat EB TJ GWh'!$A$2:$BV$146,MATCH($A80,'Eurostat EB TJ GWh'!$A$2:$A$146,0),MATCH(BN$3,'Eurostat EB TJ GWh'!$A$2:$BV$2,0))</f>
        <v>0</v>
      </c>
    </row>
    <row r="81" spans="1:66" x14ac:dyDescent="0.2">
      <c r="A81" s="56" t="s">
        <v>269</v>
      </c>
      <c r="B81" s="65" t="s">
        <v>323</v>
      </c>
      <c r="C81" s="65" t="s">
        <v>323</v>
      </c>
      <c r="D81" s="17">
        <f>INDEX('Eurostat EB TJ GWh'!$A$2:$BV$146,MATCH($A81,'Eurostat EB TJ GWh'!$A$2:$A$146,0),MATCH(D$3,'Eurostat EB TJ GWh'!$A$2:$BV$2,0))</f>
        <v>0</v>
      </c>
      <c r="E81" s="17">
        <f>INDEX('Eurostat EB TJ GWh'!$A$2:$BV$146,MATCH($A81,'Eurostat EB TJ GWh'!$A$2:$A$146,0),MATCH(E$3,'Eurostat EB TJ GWh'!$A$2:$BV$2,0))</f>
        <v>0</v>
      </c>
      <c r="F81" s="17">
        <f>INDEX('Eurostat EB TJ GWh'!$A$2:$BV$146,MATCH($A81,'Eurostat EB TJ GWh'!$A$2:$A$146,0),MATCH(F$3,'Eurostat EB TJ GWh'!$A$2:$BV$2,0))</f>
        <v>0</v>
      </c>
      <c r="G81" s="17">
        <f>INDEX('Eurostat EB TJ GWh'!$A$2:$BV$146,MATCH($A81,'Eurostat EB TJ GWh'!$A$2:$A$146,0),MATCH(G$3,'Eurostat EB TJ GWh'!$A$2:$BV$2,0))</f>
        <v>0</v>
      </c>
      <c r="H81" s="17">
        <f>INDEX('Eurostat EB TJ GWh'!$A$2:$BV$146,MATCH($A81,'Eurostat EB TJ GWh'!$A$2:$A$146,0),MATCH(H$3,'Eurostat EB TJ GWh'!$A$2:$BV$2,0))</f>
        <v>0</v>
      </c>
      <c r="I81" s="17">
        <f>INDEX('Eurostat EB TJ GWh'!$A$2:$BV$146,MATCH($A81,'Eurostat EB TJ GWh'!$A$2:$A$146,0),MATCH(I$3,'Eurostat EB TJ GWh'!$A$2:$BV$2,0))</f>
        <v>0</v>
      </c>
      <c r="J81" s="17">
        <f>INDEX('Eurostat EB TJ GWh'!$A$2:$BV$146,MATCH($A81,'Eurostat EB TJ GWh'!$A$2:$A$146,0),MATCH(J$3,'Eurostat EB TJ GWh'!$A$2:$BV$2,0))</f>
        <v>0</v>
      </c>
      <c r="K81" s="17">
        <f>INDEX('Eurostat EB TJ GWh'!$A$2:$BV$146,MATCH($A81,'Eurostat EB TJ GWh'!$A$2:$A$146,0),MATCH(K$3,'Eurostat EB TJ GWh'!$A$2:$BV$2,0))</f>
        <v>0</v>
      </c>
      <c r="L81" s="17">
        <f>INDEX('Eurostat EB TJ GWh'!$A$2:$BV$146,MATCH($A81,'Eurostat EB TJ GWh'!$A$2:$A$146,0),MATCH(L$3,'Eurostat EB TJ GWh'!$A$2:$BV$2,0))</f>
        <v>0</v>
      </c>
      <c r="M81" s="17">
        <f>INDEX('Eurostat EB TJ GWh'!$A$2:$BV$146,MATCH($A81,'Eurostat EB TJ GWh'!$A$2:$A$146,0),MATCH(M$3,'Eurostat EB TJ GWh'!$A$2:$BV$2,0))</f>
        <v>0</v>
      </c>
      <c r="N81" s="17">
        <f>INDEX('Eurostat EB TJ GWh'!$A$2:$BV$146,MATCH($A81,'Eurostat EB TJ GWh'!$A$2:$A$146,0),MATCH(N$3,'Eurostat EB TJ GWh'!$A$2:$BV$2,0))</f>
        <v>0</v>
      </c>
      <c r="O81" s="17">
        <f>INDEX('Eurostat EB TJ GWh'!$A$2:$BV$146,MATCH($A81,'Eurostat EB TJ GWh'!$A$2:$A$146,0),MATCH(O$3,'Eurostat EB TJ GWh'!$A$2:$BV$2,0))</f>
        <v>0</v>
      </c>
      <c r="P81" s="17">
        <f>INDEX('Eurostat EB TJ GWh'!$A$2:$BV$146,MATCH($A81,'Eurostat EB TJ GWh'!$A$2:$A$146,0),MATCH(P$3,'Eurostat EB TJ GWh'!$A$2:$BV$2,0))</f>
        <v>0</v>
      </c>
      <c r="Q81" s="17">
        <f>INDEX('Eurostat EB TJ GWh'!$A$2:$BV$146,MATCH($A81,'Eurostat EB TJ GWh'!$A$2:$A$146,0),MATCH(Q$3,'Eurostat EB TJ GWh'!$A$2:$BV$2,0))</f>
        <v>0</v>
      </c>
      <c r="R81" s="17">
        <f>INDEX('Eurostat EB TJ GWh'!$A$2:$BV$146,MATCH($A81,'Eurostat EB TJ GWh'!$A$2:$A$146,0),MATCH(R$2,'Eurostat EB TJ GWh'!$A$2:$BV$2,0))+INDEX('Eurostat EB TJ GWh'!$A$2:$BV$146,MATCH($A81,'Eurostat EB TJ GWh'!$A$2:$A$146,0),MATCH(R$3,'Eurostat EB TJ GWh'!$A$2:$BV$2,0))</f>
        <v>0</v>
      </c>
      <c r="S81" s="17">
        <f>INDEX('Eurostat EB TJ GWh'!$A$2:$BV$146,MATCH($A81,'Eurostat EB TJ GWh'!$A$2:$A$146,0),MATCH(S$3,'Eurostat EB TJ GWh'!$A$2:$BV$2,0))</f>
        <v>0</v>
      </c>
      <c r="T81" s="65" t="s">
        <v>323</v>
      </c>
      <c r="U81" s="17">
        <f>INDEX('Eurostat EB TJ GWh'!$A$2:$BV$146,MATCH($A81,'Eurostat EB TJ GWh'!$A$2:$A$146,0),MATCH(U$3,'Eurostat EB TJ GWh'!$A$2:$BV$2,0))</f>
        <v>0</v>
      </c>
      <c r="V81" s="17">
        <f>INDEX('Eurostat EB TJ GWh'!$A$2:$BV$146,MATCH($A81,'Eurostat EB TJ GWh'!$A$2:$A$146,0),MATCH(V$3,'Eurostat EB TJ GWh'!$A$2:$BV$2,0))</f>
        <v>0</v>
      </c>
      <c r="W81" s="17">
        <f>INDEX('Eurostat EB TJ GWh'!$A$2:$BV$146,MATCH($A81,'Eurostat EB TJ GWh'!$A$2:$A$146,0),MATCH(W$3,'Eurostat EB TJ GWh'!$A$2:$BV$2,0))</f>
        <v>0</v>
      </c>
      <c r="X81" s="17">
        <f>INDEX('Eurostat EB TJ GWh'!$A$2:$BV$146,MATCH($A81,'Eurostat EB TJ GWh'!$A$2:$A$146,0),MATCH(X$3,'Eurostat EB TJ GWh'!$A$2:$BV$2,0))</f>
        <v>0</v>
      </c>
      <c r="Y81" s="17">
        <f>INDEX('Eurostat EB TJ GWh'!$A$2:$BV$146,MATCH($A81,'Eurostat EB TJ GWh'!$A$2:$A$146,0),MATCH(Y$3,'Eurostat EB TJ GWh'!$A$2:$BV$2,0))</f>
        <v>0</v>
      </c>
      <c r="Z81" s="17">
        <f>INDEX('Eurostat EB TJ GWh'!$A$2:$BV$146,MATCH($A81,'Eurostat EB TJ GWh'!$A$2:$A$146,0),MATCH(Z$3,'Eurostat EB TJ GWh'!$A$2:$BV$2,0))</f>
        <v>0</v>
      </c>
      <c r="AA81" s="17">
        <f>INDEX('Eurostat EB TJ GWh'!$A$2:$BV$146,MATCH($A81,'Eurostat EB TJ GWh'!$A$2:$A$146,0),MATCH(AA$3,'Eurostat EB TJ GWh'!$A$2:$BV$2,0))</f>
        <v>0</v>
      </c>
      <c r="AB81" s="17">
        <f>INDEX('Eurostat EB TJ GWh'!$A$2:$BV$146,MATCH($A81,'Eurostat EB TJ GWh'!$A$2:$A$146,0),MATCH(AB$3,'Eurostat EB TJ GWh'!$A$2:$BV$2,0))</f>
        <v>0</v>
      </c>
      <c r="AC81" s="17">
        <f>INDEX('Eurostat EB TJ GWh'!$A$2:$BV$146,MATCH($A81,'Eurostat EB TJ GWh'!$A$2:$A$146,0),MATCH(AC$3,'Eurostat EB TJ GWh'!$A$2:$BV$2,0))</f>
        <v>0</v>
      </c>
      <c r="AD81" s="17">
        <f>INDEX('Eurostat EB TJ GWh'!$A$2:$BV$146,MATCH($A81,'Eurostat EB TJ GWh'!$A$2:$A$146,0),MATCH(AD$3,'Eurostat EB TJ GWh'!$A$2:$BV$2,0))</f>
        <v>0</v>
      </c>
      <c r="AE81" s="17">
        <f>INDEX('Eurostat EB TJ GWh'!$A$2:$BV$146,MATCH($A81,'Eurostat EB TJ GWh'!$A$2:$A$146,0),MATCH(AE$3,'Eurostat EB TJ GWh'!$A$2:$BV$2,0))</f>
        <v>0</v>
      </c>
      <c r="AF81" s="17">
        <f>INDEX('Eurostat EB TJ GWh'!$A$2:$BV$146,MATCH($A81,'Eurostat EB TJ GWh'!$A$2:$A$146,0),MATCH(AF$3,'Eurostat EB TJ GWh'!$A$2:$BV$2,0))</f>
        <v>0</v>
      </c>
      <c r="AG81" s="17">
        <f>INDEX('Eurostat EB TJ GWh'!$A$2:$BV$146,MATCH($A81,'Eurostat EB TJ GWh'!$A$2:$A$146,0),MATCH(AG$3,'Eurostat EB TJ GWh'!$A$2:$BV$2,0))</f>
        <v>0</v>
      </c>
      <c r="AH81" s="17">
        <f>INDEX('Eurostat EB TJ GWh'!$A$2:$BV$146,MATCH($A81,'Eurostat EB TJ GWh'!$A$2:$A$146,0),MATCH(AH$3,'Eurostat EB TJ GWh'!$A$2:$BV$2,0))</f>
        <v>0</v>
      </c>
      <c r="AI81" s="17">
        <f>INDEX('Eurostat EB TJ GWh'!$A$2:$BV$146,MATCH($A81,'Eurostat EB TJ GWh'!$A$2:$A$146,0),MATCH(AI$3,'Eurostat EB TJ GWh'!$A$2:$BV$2,0))</f>
        <v>0</v>
      </c>
      <c r="AJ81" s="17">
        <f>INDEX('Eurostat EB TJ GWh'!$A$2:$BV$146,MATCH($A81,'Eurostat EB TJ GWh'!$A$2:$A$146,0),MATCH(AJ$3,'Eurostat EB TJ GWh'!$A$2:$BV$2,0))</f>
        <v>0</v>
      </c>
      <c r="AK81" s="17">
        <f>INDEX('Eurostat EB TJ GWh'!$A$2:$BV$146,MATCH($A81,'Eurostat EB TJ GWh'!$A$2:$A$146,0),MATCH(AK$3,'Eurostat EB TJ GWh'!$A$2:$BV$2,0))</f>
        <v>0</v>
      </c>
      <c r="AL81" s="17">
        <f>INDEX('Eurostat EB TJ GWh'!$A$2:$BV$146,MATCH($A81,'Eurostat EB TJ GWh'!$A$2:$A$146,0),MATCH(AL$3,'Eurostat EB TJ GWh'!$A$2:$BV$2,0))</f>
        <v>0</v>
      </c>
      <c r="AM81" s="17">
        <f>INDEX('Eurostat EB TJ GWh'!$A$2:$BV$146,MATCH($A81,'Eurostat EB TJ GWh'!$A$2:$A$146,0),MATCH(AM$3,'Eurostat EB TJ GWh'!$A$2:$BV$2,0))</f>
        <v>0</v>
      </c>
      <c r="AN81" s="17">
        <f>INDEX('Eurostat EB TJ GWh'!$A$2:$BV$146,MATCH($A81,'Eurostat EB TJ GWh'!$A$2:$A$146,0),MATCH(AN$3,'Eurostat EB TJ GWh'!$A$2:$BV$2,0))</f>
        <v>0</v>
      </c>
      <c r="AO81" s="17">
        <f>INDEX('Eurostat EB TJ GWh'!$A$2:$BV$146,MATCH($A81,'Eurostat EB TJ GWh'!$A$2:$A$146,0),MATCH(AO$3,'Eurostat EB TJ GWh'!$A$2:$BV$2,0))</f>
        <v>0</v>
      </c>
      <c r="AP81" s="17">
        <f>INDEX('Eurostat EB TJ GWh'!$A$2:$BV$146,MATCH($A81,'Eurostat EB TJ GWh'!$A$2:$A$146,0),MATCH(AP$3,'Eurostat EB TJ GWh'!$A$2:$BV$2,0))</f>
        <v>0</v>
      </c>
      <c r="AQ81" s="17">
        <f>INDEX('Eurostat EB TJ GWh'!$A$2:$BV$146,MATCH($A81,'Eurostat EB TJ GWh'!$A$2:$A$146,0),MATCH(AQ$3,'Eurostat EB TJ GWh'!$A$2:$BV$2,0))</f>
        <v>0</v>
      </c>
      <c r="AR81" s="17">
        <f>INDEX('Eurostat EB TJ GWh'!$A$2:$BV$146,MATCH($A81,'Eurostat EB TJ GWh'!$A$2:$A$146,0),MATCH(AR$3,'Eurostat EB TJ GWh'!$A$2:$BV$2,0))</f>
        <v>0</v>
      </c>
      <c r="AS81" s="17">
        <f>INDEX('Eurostat EB TJ GWh'!$A$2:$BV$146,MATCH($A81,'Eurostat EB TJ GWh'!$A$2:$A$146,0),MATCH(AS$3,'Eurostat EB TJ GWh'!$A$2:$BV$2,0))</f>
        <v>0</v>
      </c>
      <c r="AT81" s="17">
        <f>INDEX('Eurostat EB TJ GWh'!$A$2:$BV$146,MATCH($A81,'Eurostat EB TJ GWh'!$A$2:$A$146,0),MATCH(AT$3,'Eurostat EB TJ GWh'!$A$2:$BV$2,0))</f>
        <v>0</v>
      </c>
      <c r="AU81" s="17">
        <f>INDEX('Eurostat EB TJ GWh'!$A$2:$BV$146,MATCH($A81,'Eurostat EB TJ GWh'!$A$2:$A$146,0),MATCH(AU$3,'Eurostat EB TJ GWh'!$A$2:$BV$2,0))</f>
        <v>0</v>
      </c>
      <c r="AV81" s="17">
        <f>INDEX('Eurostat EB TJ GWh'!$A$2:$BV$146,MATCH($A81,'Eurostat EB TJ GWh'!$A$2:$A$146,0),MATCH(AV$2,'Eurostat EB TJ GWh'!$A$2:$BV$2,0))+INDEX('Eurostat EB TJ GWh'!$A$2:$BV$146,MATCH($A81,'Eurostat EB TJ GWh'!$A$2:$A$146,0),MATCH(AV$3,'Eurostat EB TJ GWh'!$A$2:$BV$2,0))</f>
        <v>0</v>
      </c>
      <c r="AW81" s="17">
        <f>INDEX('Eurostat EB TJ GWh'!$A$2:$BV$146,MATCH($A81,'Eurostat EB TJ GWh'!$A$2:$A$146,0),MATCH(AW$2,'Eurostat EB TJ GWh'!$A$2:$BV$2,0))+INDEX('Eurostat EB TJ GWh'!$A$2:$BV$146,MATCH($A81,'Eurostat EB TJ GWh'!$A$2:$A$146,0),MATCH(AW$3,'Eurostat EB TJ GWh'!$A$2:$BV$2,0))</f>
        <v>0</v>
      </c>
      <c r="AX81" s="17">
        <f>INDEX('Eurostat EB TJ GWh'!$A$2:$BV$146,MATCH($A81,'Eurostat EB TJ GWh'!$A$2:$A$146,0),MATCH(AX$3,'Eurostat EB TJ GWh'!$A$2:$BV$2,0))</f>
        <v>0</v>
      </c>
      <c r="AY81" s="72">
        <v>0</v>
      </c>
      <c r="AZ81" s="17">
        <f>INDEX('Eurostat EB TJ GWh'!$A$2:$BV$146,MATCH($A81,'Eurostat EB TJ GWh'!$A$2:$A$146,0),MATCH(AZ$3,'Eurostat EB TJ GWh'!$A$2:$BV$2,0))</f>
        <v>0</v>
      </c>
      <c r="BA81" s="72">
        <v>0</v>
      </c>
      <c r="BB81" s="72">
        <v>0</v>
      </c>
      <c r="BC81" s="17">
        <f>INDEX('Eurostat EB TJ GWh'!$A$2:$BV$146,MATCH($A81,'Eurostat EB TJ GWh'!$A$2:$A$146,0),MATCH(BC$3,'Eurostat EB TJ GWh'!$A$2:$BV$2,0))</f>
        <v>0</v>
      </c>
      <c r="BD81" s="17">
        <f>INDEX('Eurostat EB TJ GWh'!$A$2:$BV$146,MATCH($A81,'Eurostat EB TJ GWh'!$A$2:$A$146,0),MATCH(BD$3,'Eurostat EB TJ GWh'!$A$2:$BV$2,0))</f>
        <v>0</v>
      </c>
      <c r="BE81" s="17">
        <f>INDEX('Eurostat EB TJ GWh'!$A$2:$BV$146,MATCH($A81,'Eurostat EB TJ GWh'!$A$2:$A$146,0),MATCH(BE$3,'Eurostat EB TJ GWh'!$A$2:$BV$2,0))</f>
        <v>0</v>
      </c>
      <c r="BF81" s="17">
        <f>INDEX('Eurostat EB TJ GWh'!$A$2:$BV$146,MATCH($A81,'Eurostat EB TJ GWh'!$A$2:$A$146,0),MATCH(BF$3,'Eurostat EB TJ GWh'!$A$2:$BV$2,0))</f>
        <v>0</v>
      </c>
      <c r="BG81" s="17">
        <f>INDEX('Eurostat EB TJ GWh'!$A$2:$BV$146,MATCH($A81,'Eurostat EB TJ GWh'!$A$2:$A$146,0),MATCH(BG$3,'Eurostat EB TJ GWh'!$A$2:$BV$2,0))</f>
        <v>0</v>
      </c>
      <c r="BH81" s="17">
        <f>INDEX('Eurostat EB TJ GWh'!$A$2:$BV$146,MATCH($A81,'Eurostat EB TJ GWh'!$A$2:$A$146,0),MATCH(BH$3,'Eurostat EB TJ GWh'!$A$2:$BV$2,0))</f>
        <v>0</v>
      </c>
      <c r="BI81" s="17">
        <f>INDEX('Eurostat EB TJ GWh'!$A$2:$BV$146,MATCH($A81,'Eurostat EB TJ GWh'!$A$2:$A$146,0),MATCH(BI$3,'Eurostat EB TJ GWh'!$A$2:$BV$2,0))</f>
        <v>0</v>
      </c>
      <c r="BJ81" s="72">
        <v>0</v>
      </c>
      <c r="BK81" s="17">
        <f>INDEX('Eurostat EB TJ GWh'!$A$2:$BV$146,MATCH($A81,'Eurostat EB TJ GWh'!$A$2:$A$146,0),MATCH(BK$3,'Eurostat EB TJ GWh'!$A$2:$BV$2,0))</f>
        <v>0</v>
      </c>
      <c r="BL81" s="17">
        <f>INDEX('Eurostat EB TJ GWh'!$A$2:$BV$146,MATCH($A81,'Eurostat EB TJ GWh'!$A$2:$A$146,0),MATCH(BL$3,'Eurostat EB TJ GWh'!$A$2:$BV$2,0))</f>
        <v>0</v>
      </c>
      <c r="BM81" s="17">
        <f>INDEX('Eurostat EB TJ GWh'!$A$2:$BV$146,MATCH($A81,'Eurostat EB TJ GWh'!$A$2:$A$146,0),MATCH(BM$3,'Eurostat EB TJ GWh'!$A$2:$BV$2,0))</f>
        <v>0</v>
      </c>
      <c r="BN81" s="17">
        <f>INDEX('Eurostat EB TJ GWh'!$A$2:$BV$146,MATCH($A81,'Eurostat EB TJ GWh'!$A$2:$A$146,0),MATCH(BN$3,'Eurostat EB TJ GWh'!$A$2:$BV$2,0))</f>
        <v>0</v>
      </c>
    </row>
    <row r="82" spans="1:66" x14ac:dyDescent="0.2">
      <c r="A82" s="56" t="s">
        <v>270</v>
      </c>
      <c r="B82" s="65" t="s">
        <v>323</v>
      </c>
      <c r="C82" s="65" t="s">
        <v>323</v>
      </c>
      <c r="D82" s="57">
        <f>INDEX('Eurostat EB TJ GWh'!$A$2:$BV$146,MATCH($A82,'Eurostat EB TJ GWh'!$A$2:$A$146,0),MATCH(D$3,'Eurostat EB TJ GWh'!$A$2:$BV$2,0))</f>
        <v>0</v>
      </c>
      <c r="E82" s="57">
        <f>INDEX('Eurostat EB TJ GWh'!$A$2:$BV$146,MATCH($A82,'Eurostat EB TJ GWh'!$A$2:$A$146,0),MATCH(E$3,'Eurostat EB TJ GWh'!$A$2:$BV$2,0))</f>
        <v>0</v>
      </c>
      <c r="F82" s="57">
        <f>INDEX('Eurostat EB TJ GWh'!$A$2:$BV$146,MATCH($A82,'Eurostat EB TJ GWh'!$A$2:$A$146,0),MATCH(F$3,'Eurostat EB TJ GWh'!$A$2:$BV$2,0))</f>
        <v>0</v>
      </c>
      <c r="G82" s="57">
        <f>INDEX('Eurostat EB TJ GWh'!$A$2:$BV$146,MATCH($A82,'Eurostat EB TJ GWh'!$A$2:$A$146,0),MATCH(G$3,'Eurostat EB TJ GWh'!$A$2:$BV$2,0))</f>
        <v>0</v>
      </c>
      <c r="H82" s="57">
        <f>INDEX('Eurostat EB TJ GWh'!$A$2:$BV$146,MATCH($A82,'Eurostat EB TJ GWh'!$A$2:$A$146,0),MATCH(H$3,'Eurostat EB TJ GWh'!$A$2:$BV$2,0))</f>
        <v>0</v>
      </c>
      <c r="I82" s="57">
        <f>INDEX('Eurostat EB TJ GWh'!$A$2:$BV$146,MATCH($A82,'Eurostat EB TJ GWh'!$A$2:$A$146,0),MATCH(I$3,'Eurostat EB TJ GWh'!$A$2:$BV$2,0))</f>
        <v>0</v>
      </c>
      <c r="J82" s="57">
        <f>INDEX('Eurostat EB TJ GWh'!$A$2:$BV$146,MATCH($A82,'Eurostat EB TJ GWh'!$A$2:$A$146,0),MATCH(J$3,'Eurostat EB TJ GWh'!$A$2:$BV$2,0))</f>
        <v>0</v>
      </c>
      <c r="K82" s="57">
        <f>INDEX('Eurostat EB TJ GWh'!$A$2:$BV$146,MATCH($A82,'Eurostat EB TJ GWh'!$A$2:$A$146,0),MATCH(K$3,'Eurostat EB TJ GWh'!$A$2:$BV$2,0))</f>
        <v>0</v>
      </c>
      <c r="L82" s="57">
        <f>INDEX('Eurostat EB TJ GWh'!$A$2:$BV$146,MATCH($A82,'Eurostat EB TJ GWh'!$A$2:$A$146,0),MATCH(L$3,'Eurostat EB TJ GWh'!$A$2:$BV$2,0))</f>
        <v>0</v>
      </c>
      <c r="M82" s="57">
        <f>INDEX('Eurostat EB TJ GWh'!$A$2:$BV$146,MATCH($A82,'Eurostat EB TJ GWh'!$A$2:$A$146,0),MATCH(M$3,'Eurostat EB TJ GWh'!$A$2:$BV$2,0))</f>
        <v>0</v>
      </c>
      <c r="N82" s="57">
        <f>INDEX('Eurostat EB TJ GWh'!$A$2:$BV$146,MATCH($A82,'Eurostat EB TJ GWh'!$A$2:$A$146,0),MATCH(N$3,'Eurostat EB TJ GWh'!$A$2:$BV$2,0))</f>
        <v>0</v>
      </c>
      <c r="O82" s="57">
        <f>INDEX('Eurostat EB TJ GWh'!$A$2:$BV$146,MATCH($A82,'Eurostat EB TJ GWh'!$A$2:$A$146,0),MATCH(O$3,'Eurostat EB TJ GWh'!$A$2:$BV$2,0))</f>
        <v>426.66300000000001</v>
      </c>
      <c r="P82" s="57">
        <f>INDEX('Eurostat EB TJ GWh'!$A$2:$BV$146,MATCH($A82,'Eurostat EB TJ GWh'!$A$2:$A$146,0),MATCH(P$3,'Eurostat EB TJ GWh'!$A$2:$BV$2,0))</f>
        <v>5437.3429999999998</v>
      </c>
      <c r="Q82" s="57">
        <f>INDEX('Eurostat EB TJ GWh'!$A$2:$BV$146,MATCH($A82,'Eurostat EB TJ GWh'!$A$2:$A$146,0),MATCH(Q$3,'Eurostat EB TJ GWh'!$A$2:$BV$2,0))</f>
        <v>0</v>
      </c>
      <c r="R82" s="57">
        <f>INDEX('Eurostat EB TJ GWh'!$A$2:$BV$146,MATCH($A82,'Eurostat EB TJ GWh'!$A$2:$A$146,0),MATCH(R$2,'Eurostat EB TJ GWh'!$A$2:$BV$2,0))+INDEX('Eurostat EB TJ GWh'!$A$2:$BV$146,MATCH($A82,'Eurostat EB TJ GWh'!$A$2:$A$146,0),MATCH(R$3,'Eurostat EB TJ GWh'!$A$2:$BV$2,0))</f>
        <v>0</v>
      </c>
      <c r="S82" s="57">
        <f>INDEX('Eurostat EB TJ GWh'!$A$2:$BV$146,MATCH($A82,'Eurostat EB TJ GWh'!$A$2:$A$146,0),MATCH(S$3,'Eurostat EB TJ GWh'!$A$2:$BV$2,0))</f>
        <v>524.42700000000002</v>
      </c>
      <c r="T82" s="65" t="s">
        <v>323</v>
      </c>
      <c r="U82" s="57">
        <f>INDEX('Eurostat EB TJ GWh'!$A$2:$BV$146,MATCH($A82,'Eurostat EB TJ GWh'!$A$2:$A$146,0),MATCH(U$3,'Eurostat EB TJ GWh'!$A$2:$BV$2,0))</f>
        <v>0</v>
      </c>
      <c r="V82" s="57">
        <f>INDEX('Eurostat EB TJ GWh'!$A$2:$BV$146,MATCH($A82,'Eurostat EB TJ GWh'!$A$2:$A$146,0),MATCH(V$3,'Eurostat EB TJ GWh'!$A$2:$BV$2,0))</f>
        <v>0</v>
      </c>
      <c r="W82" s="57">
        <f>INDEX('Eurostat EB TJ GWh'!$A$2:$BV$146,MATCH($A82,'Eurostat EB TJ GWh'!$A$2:$A$146,0),MATCH(W$3,'Eurostat EB TJ GWh'!$A$2:$BV$2,0))</f>
        <v>0</v>
      </c>
      <c r="X82" s="57">
        <f>INDEX('Eurostat EB TJ GWh'!$A$2:$BV$146,MATCH($A82,'Eurostat EB TJ GWh'!$A$2:$A$146,0),MATCH(X$3,'Eurostat EB TJ GWh'!$A$2:$BV$2,0))</f>
        <v>0</v>
      </c>
      <c r="Y82" s="57">
        <f>INDEX('Eurostat EB TJ GWh'!$A$2:$BV$146,MATCH($A82,'Eurostat EB TJ GWh'!$A$2:$A$146,0),MATCH(Y$3,'Eurostat EB TJ GWh'!$A$2:$BV$2,0))</f>
        <v>0</v>
      </c>
      <c r="Z82" s="57">
        <f>INDEX('Eurostat EB TJ GWh'!$A$2:$BV$146,MATCH($A82,'Eurostat EB TJ GWh'!$A$2:$A$146,0),MATCH(Z$3,'Eurostat EB TJ GWh'!$A$2:$BV$2,0))</f>
        <v>0</v>
      </c>
      <c r="AA82" s="57">
        <f>INDEX('Eurostat EB TJ GWh'!$A$2:$BV$146,MATCH($A82,'Eurostat EB TJ GWh'!$A$2:$A$146,0),MATCH(AA$3,'Eurostat EB TJ GWh'!$A$2:$BV$2,0))</f>
        <v>0</v>
      </c>
      <c r="AB82" s="57">
        <f>INDEX('Eurostat EB TJ GWh'!$A$2:$BV$146,MATCH($A82,'Eurostat EB TJ GWh'!$A$2:$A$146,0),MATCH(AB$3,'Eurostat EB TJ GWh'!$A$2:$BV$2,0))</f>
        <v>0</v>
      </c>
      <c r="AC82" s="57">
        <f>INDEX('Eurostat EB TJ GWh'!$A$2:$BV$146,MATCH($A82,'Eurostat EB TJ GWh'!$A$2:$A$146,0),MATCH(AC$3,'Eurostat EB TJ GWh'!$A$2:$BV$2,0))</f>
        <v>0</v>
      </c>
      <c r="AD82" s="57">
        <f>INDEX('Eurostat EB TJ GWh'!$A$2:$BV$146,MATCH($A82,'Eurostat EB TJ GWh'!$A$2:$A$146,0),MATCH(AD$3,'Eurostat EB TJ GWh'!$A$2:$BV$2,0))</f>
        <v>0</v>
      </c>
      <c r="AE82" s="57">
        <f>INDEX('Eurostat EB TJ GWh'!$A$2:$BV$146,MATCH($A82,'Eurostat EB TJ GWh'!$A$2:$A$146,0),MATCH(AE$3,'Eurostat EB TJ GWh'!$A$2:$BV$2,0))</f>
        <v>0</v>
      </c>
      <c r="AF82" s="57">
        <f>INDEX('Eurostat EB TJ GWh'!$A$2:$BV$146,MATCH($A82,'Eurostat EB TJ GWh'!$A$2:$A$146,0),MATCH(AF$3,'Eurostat EB TJ GWh'!$A$2:$BV$2,0))</f>
        <v>0</v>
      </c>
      <c r="AG82" s="57">
        <f>INDEX('Eurostat EB TJ GWh'!$A$2:$BV$146,MATCH($A82,'Eurostat EB TJ GWh'!$A$2:$A$146,0),MATCH(AG$3,'Eurostat EB TJ GWh'!$A$2:$BV$2,0))</f>
        <v>0</v>
      </c>
      <c r="AH82" s="57">
        <f>INDEX('Eurostat EB TJ GWh'!$A$2:$BV$146,MATCH($A82,'Eurostat EB TJ GWh'!$A$2:$A$146,0),MATCH(AH$3,'Eurostat EB TJ GWh'!$A$2:$BV$2,0))</f>
        <v>0</v>
      </c>
      <c r="AI82" s="57">
        <f>INDEX('Eurostat EB TJ GWh'!$A$2:$BV$146,MATCH($A82,'Eurostat EB TJ GWh'!$A$2:$A$146,0),MATCH(AI$3,'Eurostat EB TJ GWh'!$A$2:$BV$2,0))</f>
        <v>0</v>
      </c>
      <c r="AJ82" s="57">
        <f>INDEX('Eurostat EB TJ GWh'!$A$2:$BV$146,MATCH($A82,'Eurostat EB TJ GWh'!$A$2:$A$146,0),MATCH(AJ$3,'Eurostat EB TJ GWh'!$A$2:$BV$2,0))</f>
        <v>0</v>
      </c>
      <c r="AK82" s="57">
        <f>INDEX('Eurostat EB TJ GWh'!$A$2:$BV$146,MATCH($A82,'Eurostat EB TJ GWh'!$A$2:$A$146,0),MATCH(AK$3,'Eurostat EB TJ GWh'!$A$2:$BV$2,0))</f>
        <v>0</v>
      </c>
      <c r="AL82" s="57">
        <f>INDEX('Eurostat EB TJ GWh'!$A$2:$BV$146,MATCH($A82,'Eurostat EB TJ GWh'!$A$2:$A$146,0),MATCH(AL$3,'Eurostat EB TJ GWh'!$A$2:$BV$2,0))</f>
        <v>0</v>
      </c>
      <c r="AM82" s="57">
        <f>INDEX('Eurostat EB TJ GWh'!$A$2:$BV$146,MATCH($A82,'Eurostat EB TJ GWh'!$A$2:$A$146,0),MATCH(AM$3,'Eurostat EB TJ GWh'!$A$2:$BV$2,0))</f>
        <v>0</v>
      </c>
      <c r="AN82" s="57">
        <f>INDEX('Eurostat EB TJ GWh'!$A$2:$BV$146,MATCH($A82,'Eurostat EB TJ GWh'!$A$2:$A$146,0),MATCH(AN$3,'Eurostat EB TJ GWh'!$A$2:$BV$2,0))</f>
        <v>0</v>
      </c>
      <c r="AO82" s="57">
        <f>INDEX('Eurostat EB TJ GWh'!$A$2:$BV$146,MATCH($A82,'Eurostat EB TJ GWh'!$A$2:$A$146,0),MATCH(AO$3,'Eurostat EB TJ GWh'!$A$2:$BV$2,0))</f>
        <v>0</v>
      </c>
      <c r="AP82" s="57">
        <f>INDEX('Eurostat EB TJ GWh'!$A$2:$BV$146,MATCH($A82,'Eurostat EB TJ GWh'!$A$2:$A$146,0),MATCH(AP$3,'Eurostat EB TJ GWh'!$A$2:$BV$2,0))</f>
        <v>0</v>
      </c>
      <c r="AQ82" s="57">
        <f>INDEX('Eurostat EB TJ GWh'!$A$2:$BV$146,MATCH($A82,'Eurostat EB TJ GWh'!$A$2:$A$146,0),MATCH(AQ$3,'Eurostat EB TJ GWh'!$A$2:$BV$2,0))</f>
        <v>0</v>
      </c>
      <c r="AR82" s="57">
        <f>INDEX('Eurostat EB TJ GWh'!$A$2:$BV$146,MATCH($A82,'Eurostat EB TJ GWh'!$A$2:$A$146,0),MATCH(AR$3,'Eurostat EB TJ GWh'!$A$2:$BV$2,0))</f>
        <v>0</v>
      </c>
      <c r="AS82" s="57">
        <f>INDEX('Eurostat EB TJ GWh'!$A$2:$BV$146,MATCH($A82,'Eurostat EB TJ GWh'!$A$2:$A$146,0),MATCH(AS$3,'Eurostat EB TJ GWh'!$A$2:$BV$2,0))</f>
        <v>0</v>
      </c>
      <c r="AT82" s="57">
        <f>INDEX('Eurostat EB TJ GWh'!$A$2:$BV$146,MATCH($A82,'Eurostat EB TJ GWh'!$A$2:$A$146,0),MATCH(AT$3,'Eurostat EB TJ GWh'!$A$2:$BV$2,0))</f>
        <v>0</v>
      </c>
      <c r="AU82" s="57">
        <f>INDEX('Eurostat EB TJ GWh'!$A$2:$BV$146,MATCH($A82,'Eurostat EB TJ GWh'!$A$2:$A$146,0),MATCH(AU$3,'Eurostat EB TJ GWh'!$A$2:$BV$2,0))</f>
        <v>0</v>
      </c>
      <c r="AV82" s="57">
        <f>INDEX('Eurostat EB TJ GWh'!$A$2:$BV$146,MATCH($A82,'Eurostat EB TJ GWh'!$A$2:$A$146,0),MATCH(AV$2,'Eurostat EB TJ GWh'!$A$2:$BV$2,0))+INDEX('Eurostat EB TJ GWh'!$A$2:$BV$146,MATCH($A82,'Eurostat EB TJ GWh'!$A$2:$A$146,0),MATCH(AV$3,'Eurostat EB TJ GWh'!$A$2:$BV$2,0))</f>
        <v>0</v>
      </c>
      <c r="AW82" s="57">
        <f>INDEX('Eurostat EB TJ GWh'!$A$2:$BV$146,MATCH($A82,'Eurostat EB TJ GWh'!$A$2:$A$146,0),MATCH(AW$2,'Eurostat EB TJ GWh'!$A$2:$BV$2,0))+INDEX('Eurostat EB TJ GWh'!$A$2:$BV$146,MATCH($A82,'Eurostat EB TJ GWh'!$A$2:$A$146,0),MATCH(AW$3,'Eurostat EB TJ GWh'!$A$2:$BV$2,0))</f>
        <v>0</v>
      </c>
      <c r="AX82" s="57">
        <f>INDEX('Eurostat EB TJ GWh'!$A$2:$BV$146,MATCH($A82,'Eurostat EB TJ GWh'!$A$2:$A$146,0),MATCH(AX$3,'Eurostat EB TJ GWh'!$A$2:$BV$2,0))</f>
        <v>0</v>
      </c>
      <c r="AY82" s="65">
        <v>0</v>
      </c>
      <c r="AZ82" s="57">
        <f>INDEX('Eurostat EB TJ GWh'!$A$2:$BV$146,MATCH($A82,'Eurostat EB TJ GWh'!$A$2:$A$146,0),MATCH(AZ$3,'Eurostat EB TJ GWh'!$A$2:$BV$2,0))</f>
        <v>0</v>
      </c>
      <c r="BA82" s="65">
        <v>0</v>
      </c>
      <c r="BB82" s="65">
        <v>0</v>
      </c>
      <c r="BC82" s="57">
        <f>INDEX('Eurostat EB TJ GWh'!$A$2:$BV$146,MATCH($A82,'Eurostat EB TJ GWh'!$A$2:$A$146,0),MATCH(BC$3,'Eurostat EB TJ GWh'!$A$2:$BV$2,0))</f>
        <v>0</v>
      </c>
      <c r="BD82" s="57">
        <f>INDEX('Eurostat EB TJ GWh'!$A$2:$BV$146,MATCH($A82,'Eurostat EB TJ GWh'!$A$2:$A$146,0),MATCH(BD$3,'Eurostat EB TJ GWh'!$A$2:$BV$2,0))</f>
        <v>0</v>
      </c>
      <c r="BE82" s="57">
        <f>INDEX('Eurostat EB TJ GWh'!$A$2:$BV$146,MATCH($A82,'Eurostat EB TJ GWh'!$A$2:$A$146,0),MATCH(BE$3,'Eurostat EB TJ GWh'!$A$2:$BV$2,0))</f>
        <v>0</v>
      </c>
      <c r="BF82" s="57">
        <f>INDEX('Eurostat EB TJ GWh'!$A$2:$BV$146,MATCH($A82,'Eurostat EB TJ GWh'!$A$2:$A$146,0),MATCH(BF$3,'Eurostat EB TJ GWh'!$A$2:$BV$2,0))</f>
        <v>0</v>
      </c>
      <c r="BG82" s="57">
        <f>INDEX('Eurostat EB TJ GWh'!$A$2:$BV$146,MATCH($A82,'Eurostat EB TJ GWh'!$A$2:$A$146,0),MATCH(BG$3,'Eurostat EB TJ GWh'!$A$2:$BV$2,0))</f>
        <v>0</v>
      </c>
      <c r="BH82" s="57">
        <f>INDEX('Eurostat EB TJ GWh'!$A$2:$BV$146,MATCH($A82,'Eurostat EB TJ GWh'!$A$2:$A$146,0),MATCH(BH$3,'Eurostat EB TJ GWh'!$A$2:$BV$2,0))</f>
        <v>0</v>
      </c>
      <c r="BI82" s="57">
        <f>INDEX('Eurostat EB TJ GWh'!$A$2:$BV$146,MATCH($A82,'Eurostat EB TJ GWh'!$A$2:$A$146,0),MATCH(BI$3,'Eurostat EB TJ GWh'!$A$2:$BV$2,0))</f>
        <v>0</v>
      </c>
      <c r="BJ82" s="65">
        <v>0</v>
      </c>
      <c r="BK82" s="57">
        <f>INDEX('Eurostat EB TJ GWh'!$A$2:$BV$146,MATCH($A82,'Eurostat EB TJ GWh'!$A$2:$A$146,0),MATCH(BK$3,'Eurostat EB TJ GWh'!$A$2:$BV$2,0))</f>
        <v>384.97699999999998</v>
      </c>
      <c r="BL82" s="57">
        <f>INDEX('Eurostat EB TJ GWh'!$A$2:$BV$146,MATCH($A82,'Eurostat EB TJ GWh'!$A$2:$A$146,0),MATCH(BL$3,'Eurostat EB TJ GWh'!$A$2:$BV$2,0))</f>
        <v>0</v>
      </c>
      <c r="BM82" s="57">
        <f>INDEX('Eurostat EB TJ GWh'!$A$2:$BV$146,MATCH($A82,'Eurostat EB TJ GWh'!$A$2:$A$146,0),MATCH(BM$3,'Eurostat EB TJ GWh'!$A$2:$BV$2,0))</f>
        <v>6773.41</v>
      </c>
      <c r="BN82" s="57">
        <f>INDEX('Eurostat EB TJ GWh'!$A$2:$BV$146,MATCH($A82,'Eurostat EB TJ GWh'!$A$2:$A$146,0),MATCH(BN$3,'Eurostat EB TJ GWh'!$A$2:$BV$2,0))</f>
        <v>31.001000000000001</v>
      </c>
    </row>
    <row r="83" spans="1:66" x14ac:dyDescent="0.2">
      <c r="A83" s="56" t="s">
        <v>271</v>
      </c>
      <c r="B83" s="65" t="s">
        <v>323</v>
      </c>
      <c r="C83" s="65" t="s">
        <v>323</v>
      </c>
      <c r="D83" s="17">
        <f>INDEX('Eurostat EB TJ GWh'!$A$2:$BV$146,MATCH($A83,'Eurostat EB TJ GWh'!$A$2:$A$146,0),MATCH(D$3,'Eurostat EB TJ GWh'!$A$2:$BV$2,0))</f>
        <v>0</v>
      </c>
      <c r="E83" s="17">
        <f>INDEX('Eurostat EB TJ GWh'!$A$2:$BV$146,MATCH($A83,'Eurostat EB TJ GWh'!$A$2:$A$146,0),MATCH(E$3,'Eurostat EB TJ GWh'!$A$2:$BV$2,0))</f>
        <v>0</v>
      </c>
      <c r="F83" s="17">
        <f>INDEX('Eurostat EB TJ GWh'!$A$2:$BV$146,MATCH($A83,'Eurostat EB TJ GWh'!$A$2:$A$146,0),MATCH(F$3,'Eurostat EB TJ GWh'!$A$2:$BV$2,0))</f>
        <v>0</v>
      </c>
      <c r="G83" s="17">
        <f>INDEX('Eurostat EB TJ GWh'!$A$2:$BV$146,MATCH($A83,'Eurostat EB TJ GWh'!$A$2:$A$146,0),MATCH(G$3,'Eurostat EB TJ GWh'!$A$2:$BV$2,0))</f>
        <v>0</v>
      </c>
      <c r="H83" s="17">
        <f>INDEX('Eurostat EB TJ GWh'!$A$2:$BV$146,MATCH($A83,'Eurostat EB TJ GWh'!$A$2:$A$146,0),MATCH(H$3,'Eurostat EB TJ GWh'!$A$2:$BV$2,0))</f>
        <v>0</v>
      </c>
      <c r="I83" s="17">
        <f>INDEX('Eurostat EB TJ GWh'!$A$2:$BV$146,MATCH($A83,'Eurostat EB TJ GWh'!$A$2:$A$146,0),MATCH(I$3,'Eurostat EB TJ GWh'!$A$2:$BV$2,0))</f>
        <v>0</v>
      </c>
      <c r="J83" s="17">
        <f>INDEX('Eurostat EB TJ GWh'!$A$2:$BV$146,MATCH($A83,'Eurostat EB TJ GWh'!$A$2:$A$146,0),MATCH(J$3,'Eurostat EB TJ GWh'!$A$2:$BV$2,0))</f>
        <v>0</v>
      </c>
      <c r="K83" s="17">
        <f>INDEX('Eurostat EB TJ GWh'!$A$2:$BV$146,MATCH($A83,'Eurostat EB TJ GWh'!$A$2:$A$146,0),MATCH(K$3,'Eurostat EB TJ GWh'!$A$2:$BV$2,0))</f>
        <v>0</v>
      </c>
      <c r="L83" s="17">
        <f>INDEX('Eurostat EB TJ GWh'!$A$2:$BV$146,MATCH($A83,'Eurostat EB TJ GWh'!$A$2:$A$146,0),MATCH(L$3,'Eurostat EB TJ GWh'!$A$2:$BV$2,0))</f>
        <v>0</v>
      </c>
      <c r="M83" s="17">
        <f>INDEX('Eurostat EB TJ GWh'!$A$2:$BV$146,MATCH($A83,'Eurostat EB TJ GWh'!$A$2:$A$146,0),MATCH(M$3,'Eurostat EB TJ GWh'!$A$2:$BV$2,0))</f>
        <v>0</v>
      </c>
      <c r="N83" s="17">
        <f>INDEX('Eurostat EB TJ GWh'!$A$2:$BV$146,MATCH($A83,'Eurostat EB TJ GWh'!$A$2:$A$146,0),MATCH(N$3,'Eurostat EB TJ GWh'!$A$2:$BV$2,0))</f>
        <v>0</v>
      </c>
      <c r="O83" s="17">
        <f>INDEX('Eurostat EB TJ GWh'!$A$2:$BV$146,MATCH($A83,'Eurostat EB TJ GWh'!$A$2:$A$146,0),MATCH(O$3,'Eurostat EB TJ GWh'!$A$2:$BV$2,0))</f>
        <v>0</v>
      </c>
      <c r="P83" s="17">
        <f>INDEX('Eurostat EB TJ GWh'!$A$2:$BV$146,MATCH($A83,'Eurostat EB TJ GWh'!$A$2:$A$146,0),MATCH(P$3,'Eurostat EB TJ GWh'!$A$2:$BV$2,0))</f>
        <v>0</v>
      </c>
      <c r="Q83" s="17">
        <f>INDEX('Eurostat EB TJ GWh'!$A$2:$BV$146,MATCH($A83,'Eurostat EB TJ GWh'!$A$2:$A$146,0),MATCH(Q$3,'Eurostat EB TJ GWh'!$A$2:$BV$2,0))</f>
        <v>0</v>
      </c>
      <c r="R83" s="17">
        <f>INDEX('Eurostat EB TJ GWh'!$A$2:$BV$146,MATCH($A83,'Eurostat EB TJ GWh'!$A$2:$A$146,0),MATCH(R$2,'Eurostat EB TJ GWh'!$A$2:$BV$2,0))+INDEX('Eurostat EB TJ GWh'!$A$2:$BV$146,MATCH($A83,'Eurostat EB TJ GWh'!$A$2:$A$146,0),MATCH(R$3,'Eurostat EB TJ GWh'!$A$2:$BV$2,0))</f>
        <v>0</v>
      </c>
      <c r="S83" s="17">
        <f>INDEX('Eurostat EB TJ GWh'!$A$2:$BV$146,MATCH($A83,'Eurostat EB TJ GWh'!$A$2:$A$146,0),MATCH(S$3,'Eurostat EB TJ GWh'!$A$2:$BV$2,0))</f>
        <v>17101.123</v>
      </c>
      <c r="T83" s="65" t="s">
        <v>323</v>
      </c>
      <c r="U83" s="17">
        <f>INDEX('Eurostat EB TJ GWh'!$A$2:$BV$146,MATCH($A83,'Eurostat EB TJ GWh'!$A$2:$A$146,0),MATCH(U$3,'Eurostat EB TJ GWh'!$A$2:$BV$2,0))</f>
        <v>0</v>
      </c>
      <c r="V83" s="17">
        <f>INDEX('Eurostat EB TJ GWh'!$A$2:$BV$146,MATCH($A83,'Eurostat EB TJ GWh'!$A$2:$A$146,0),MATCH(V$3,'Eurostat EB TJ GWh'!$A$2:$BV$2,0))</f>
        <v>0</v>
      </c>
      <c r="W83" s="17">
        <f>INDEX('Eurostat EB TJ GWh'!$A$2:$BV$146,MATCH($A83,'Eurostat EB TJ GWh'!$A$2:$A$146,0),MATCH(W$3,'Eurostat EB TJ GWh'!$A$2:$BV$2,0))</f>
        <v>0</v>
      </c>
      <c r="X83" s="17">
        <f>INDEX('Eurostat EB TJ GWh'!$A$2:$BV$146,MATCH($A83,'Eurostat EB TJ GWh'!$A$2:$A$146,0),MATCH(X$3,'Eurostat EB TJ GWh'!$A$2:$BV$2,0))</f>
        <v>0</v>
      </c>
      <c r="Y83" s="17">
        <f>INDEX('Eurostat EB TJ GWh'!$A$2:$BV$146,MATCH($A83,'Eurostat EB TJ GWh'!$A$2:$A$146,0),MATCH(Y$3,'Eurostat EB TJ GWh'!$A$2:$BV$2,0))</f>
        <v>0</v>
      </c>
      <c r="Z83" s="17">
        <f>INDEX('Eurostat EB TJ GWh'!$A$2:$BV$146,MATCH($A83,'Eurostat EB TJ GWh'!$A$2:$A$146,0),MATCH(Z$3,'Eurostat EB TJ GWh'!$A$2:$BV$2,0))</f>
        <v>89172.464000000007</v>
      </c>
      <c r="AA83" s="17">
        <f>INDEX('Eurostat EB TJ GWh'!$A$2:$BV$146,MATCH($A83,'Eurostat EB TJ GWh'!$A$2:$A$146,0),MATCH(AA$3,'Eurostat EB TJ GWh'!$A$2:$BV$2,0))</f>
        <v>0</v>
      </c>
      <c r="AB83" s="17">
        <f>INDEX('Eurostat EB TJ GWh'!$A$2:$BV$146,MATCH($A83,'Eurostat EB TJ GWh'!$A$2:$A$146,0),MATCH(AB$3,'Eurostat EB TJ GWh'!$A$2:$BV$2,0))</f>
        <v>4181.308</v>
      </c>
      <c r="AC83" s="17">
        <f>INDEX('Eurostat EB TJ GWh'!$A$2:$BV$146,MATCH($A83,'Eurostat EB TJ GWh'!$A$2:$A$146,0),MATCH(AC$3,'Eurostat EB TJ GWh'!$A$2:$BV$2,0))</f>
        <v>0</v>
      </c>
      <c r="AD83" s="17">
        <f>INDEX('Eurostat EB TJ GWh'!$A$2:$BV$146,MATCH($A83,'Eurostat EB TJ GWh'!$A$2:$A$146,0),MATCH(AD$3,'Eurostat EB TJ GWh'!$A$2:$BV$2,0))</f>
        <v>0</v>
      </c>
      <c r="AE83" s="17">
        <f>INDEX('Eurostat EB TJ GWh'!$A$2:$BV$146,MATCH($A83,'Eurostat EB TJ GWh'!$A$2:$A$146,0),MATCH(AE$3,'Eurostat EB TJ GWh'!$A$2:$BV$2,0))</f>
        <v>0</v>
      </c>
      <c r="AF83" s="17">
        <f>INDEX('Eurostat EB TJ GWh'!$A$2:$BV$146,MATCH($A83,'Eurostat EB TJ GWh'!$A$2:$A$146,0),MATCH(AF$3,'Eurostat EB TJ GWh'!$A$2:$BV$2,0))</f>
        <v>0</v>
      </c>
      <c r="AG83" s="17">
        <f>INDEX('Eurostat EB TJ GWh'!$A$2:$BV$146,MATCH($A83,'Eurostat EB TJ GWh'!$A$2:$A$146,0),MATCH(AG$3,'Eurostat EB TJ GWh'!$A$2:$BV$2,0))</f>
        <v>0</v>
      </c>
      <c r="AH83" s="17">
        <f>INDEX('Eurostat EB TJ GWh'!$A$2:$BV$146,MATCH($A83,'Eurostat EB TJ GWh'!$A$2:$A$146,0),MATCH(AH$3,'Eurostat EB TJ GWh'!$A$2:$BV$2,0))</f>
        <v>4.5730000000000004</v>
      </c>
      <c r="AI83" s="17">
        <f>INDEX('Eurostat EB TJ GWh'!$A$2:$BV$146,MATCH($A83,'Eurostat EB TJ GWh'!$A$2:$A$146,0),MATCH(AI$3,'Eurostat EB TJ GWh'!$A$2:$BV$2,0))</f>
        <v>0</v>
      </c>
      <c r="AJ83" s="17">
        <f>INDEX('Eurostat EB TJ GWh'!$A$2:$BV$146,MATCH($A83,'Eurostat EB TJ GWh'!$A$2:$A$146,0),MATCH(AJ$3,'Eurostat EB TJ GWh'!$A$2:$BV$2,0))</f>
        <v>0</v>
      </c>
      <c r="AK83" s="17">
        <f>INDEX('Eurostat EB TJ GWh'!$A$2:$BV$146,MATCH($A83,'Eurostat EB TJ GWh'!$A$2:$A$146,0),MATCH(AK$3,'Eurostat EB TJ GWh'!$A$2:$BV$2,0))</f>
        <v>0</v>
      </c>
      <c r="AL83" s="17">
        <f>INDEX('Eurostat EB TJ GWh'!$A$2:$BV$146,MATCH($A83,'Eurostat EB TJ GWh'!$A$2:$A$146,0),MATCH(AL$3,'Eurostat EB TJ GWh'!$A$2:$BV$2,0))</f>
        <v>0</v>
      </c>
      <c r="AM83" s="17">
        <f>INDEX('Eurostat EB TJ GWh'!$A$2:$BV$146,MATCH($A83,'Eurostat EB TJ GWh'!$A$2:$A$146,0),MATCH(AM$3,'Eurostat EB TJ GWh'!$A$2:$BV$2,0))</f>
        <v>0</v>
      </c>
      <c r="AN83" s="17">
        <f>INDEX('Eurostat EB TJ GWh'!$A$2:$BV$146,MATCH($A83,'Eurostat EB TJ GWh'!$A$2:$A$146,0),MATCH(AN$3,'Eurostat EB TJ GWh'!$A$2:$BV$2,0))</f>
        <v>0</v>
      </c>
      <c r="AO83" s="17">
        <f>INDEX('Eurostat EB TJ GWh'!$A$2:$BV$146,MATCH($A83,'Eurostat EB TJ GWh'!$A$2:$A$146,0),MATCH(AO$3,'Eurostat EB TJ GWh'!$A$2:$BV$2,0))</f>
        <v>10670.291999999999</v>
      </c>
      <c r="AP83" s="17">
        <f>INDEX('Eurostat EB TJ GWh'!$A$2:$BV$146,MATCH($A83,'Eurostat EB TJ GWh'!$A$2:$A$146,0),MATCH(AP$3,'Eurostat EB TJ GWh'!$A$2:$BV$2,0))</f>
        <v>0</v>
      </c>
      <c r="AQ83" s="17">
        <f>INDEX('Eurostat EB TJ GWh'!$A$2:$BV$146,MATCH($A83,'Eurostat EB TJ GWh'!$A$2:$A$146,0),MATCH(AQ$3,'Eurostat EB TJ GWh'!$A$2:$BV$2,0))</f>
        <v>0</v>
      </c>
      <c r="AR83" s="17">
        <f>INDEX('Eurostat EB TJ GWh'!$A$2:$BV$146,MATCH($A83,'Eurostat EB TJ GWh'!$A$2:$A$146,0),MATCH(AR$3,'Eurostat EB TJ GWh'!$A$2:$BV$2,0))</f>
        <v>0</v>
      </c>
      <c r="AS83" s="17">
        <f>INDEX('Eurostat EB TJ GWh'!$A$2:$BV$146,MATCH($A83,'Eurostat EB TJ GWh'!$A$2:$A$146,0),MATCH(AS$3,'Eurostat EB TJ GWh'!$A$2:$BV$2,0))</f>
        <v>0</v>
      </c>
      <c r="AT83" s="17">
        <f>INDEX('Eurostat EB TJ GWh'!$A$2:$BV$146,MATCH($A83,'Eurostat EB TJ GWh'!$A$2:$A$146,0),MATCH(AT$3,'Eurostat EB TJ GWh'!$A$2:$BV$2,0))</f>
        <v>0</v>
      </c>
      <c r="AU83" s="17">
        <f>INDEX('Eurostat EB TJ GWh'!$A$2:$BV$146,MATCH($A83,'Eurostat EB TJ GWh'!$A$2:$A$146,0),MATCH(AU$3,'Eurostat EB TJ GWh'!$A$2:$BV$2,0))</f>
        <v>0</v>
      </c>
      <c r="AV83" s="17">
        <f>INDEX('Eurostat EB TJ GWh'!$A$2:$BV$146,MATCH($A83,'Eurostat EB TJ GWh'!$A$2:$A$146,0),MATCH(AV$2,'Eurostat EB TJ GWh'!$A$2:$BV$2,0))+INDEX('Eurostat EB TJ GWh'!$A$2:$BV$146,MATCH($A83,'Eurostat EB TJ GWh'!$A$2:$A$146,0),MATCH(AV$3,'Eurostat EB TJ GWh'!$A$2:$BV$2,0))</f>
        <v>0</v>
      </c>
      <c r="AW83" s="17">
        <f>INDEX('Eurostat EB TJ GWh'!$A$2:$BV$146,MATCH($A83,'Eurostat EB TJ GWh'!$A$2:$A$146,0),MATCH(AW$2,'Eurostat EB TJ GWh'!$A$2:$BV$2,0))+INDEX('Eurostat EB TJ GWh'!$A$2:$BV$146,MATCH($A83,'Eurostat EB TJ GWh'!$A$2:$A$146,0),MATCH(AW$3,'Eurostat EB TJ GWh'!$A$2:$BV$2,0))</f>
        <v>0</v>
      </c>
      <c r="AX83" s="17">
        <f>INDEX('Eurostat EB TJ GWh'!$A$2:$BV$146,MATCH($A83,'Eurostat EB TJ GWh'!$A$2:$A$146,0),MATCH(AX$3,'Eurostat EB TJ GWh'!$A$2:$BV$2,0))</f>
        <v>0</v>
      </c>
      <c r="AY83" s="65">
        <v>0</v>
      </c>
      <c r="AZ83" s="17">
        <f>INDEX('Eurostat EB TJ GWh'!$A$2:$BV$146,MATCH($A83,'Eurostat EB TJ GWh'!$A$2:$A$146,0),MATCH(AZ$3,'Eurostat EB TJ GWh'!$A$2:$BV$2,0))</f>
        <v>0</v>
      </c>
      <c r="BA83" s="65">
        <v>0</v>
      </c>
      <c r="BB83" s="65">
        <v>0</v>
      </c>
      <c r="BC83" s="17">
        <f>INDEX('Eurostat EB TJ GWh'!$A$2:$BV$146,MATCH($A83,'Eurostat EB TJ GWh'!$A$2:$A$146,0),MATCH(BC$3,'Eurostat EB TJ GWh'!$A$2:$BV$2,0))</f>
        <v>0</v>
      </c>
      <c r="BD83" s="17">
        <f>INDEX('Eurostat EB TJ GWh'!$A$2:$BV$146,MATCH($A83,'Eurostat EB TJ GWh'!$A$2:$A$146,0),MATCH(BD$3,'Eurostat EB TJ GWh'!$A$2:$BV$2,0))</f>
        <v>0</v>
      </c>
      <c r="BE83" s="17">
        <f>INDEX('Eurostat EB TJ GWh'!$A$2:$BV$146,MATCH($A83,'Eurostat EB TJ GWh'!$A$2:$A$146,0),MATCH(BE$3,'Eurostat EB TJ GWh'!$A$2:$BV$2,0))</f>
        <v>0</v>
      </c>
      <c r="BF83" s="17">
        <f>INDEX('Eurostat EB TJ GWh'!$A$2:$BV$146,MATCH($A83,'Eurostat EB TJ GWh'!$A$2:$A$146,0),MATCH(BF$3,'Eurostat EB TJ GWh'!$A$2:$BV$2,0))</f>
        <v>0</v>
      </c>
      <c r="BG83" s="17">
        <f>INDEX('Eurostat EB TJ GWh'!$A$2:$BV$146,MATCH($A83,'Eurostat EB TJ GWh'!$A$2:$A$146,0),MATCH(BG$3,'Eurostat EB TJ GWh'!$A$2:$BV$2,0))</f>
        <v>0</v>
      </c>
      <c r="BH83" s="17">
        <f>INDEX('Eurostat EB TJ GWh'!$A$2:$BV$146,MATCH($A83,'Eurostat EB TJ GWh'!$A$2:$A$146,0),MATCH(BH$3,'Eurostat EB TJ GWh'!$A$2:$BV$2,0))</f>
        <v>0</v>
      </c>
      <c r="BI83" s="17">
        <f>INDEX('Eurostat EB TJ GWh'!$A$2:$BV$146,MATCH($A83,'Eurostat EB TJ GWh'!$A$2:$A$146,0),MATCH(BI$3,'Eurostat EB TJ GWh'!$A$2:$BV$2,0))</f>
        <v>0</v>
      </c>
      <c r="BJ83" s="65">
        <v>0</v>
      </c>
      <c r="BK83" s="17">
        <f>INDEX('Eurostat EB TJ GWh'!$A$2:$BV$146,MATCH($A83,'Eurostat EB TJ GWh'!$A$2:$A$146,0),MATCH(BK$3,'Eurostat EB TJ GWh'!$A$2:$BV$2,0))</f>
        <v>9573.6059999999998</v>
      </c>
      <c r="BL83" s="17">
        <f>INDEX('Eurostat EB TJ GWh'!$A$2:$BV$146,MATCH($A83,'Eurostat EB TJ GWh'!$A$2:$A$146,0),MATCH(BL$3,'Eurostat EB TJ GWh'!$A$2:$BV$2,0))</f>
        <v>8696.3790000000008</v>
      </c>
      <c r="BM83" s="17">
        <f>INDEX('Eurostat EB TJ GWh'!$A$2:$BV$146,MATCH($A83,'Eurostat EB TJ GWh'!$A$2:$A$146,0),MATCH(BM$3,'Eurostat EB TJ GWh'!$A$2:$BV$2,0))</f>
        <v>139399.74600000001</v>
      </c>
      <c r="BN83" s="17">
        <f>INDEX('Eurostat EB TJ GWh'!$A$2:$BV$146,MATCH($A83,'Eurostat EB TJ GWh'!$A$2:$A$146,0),MATCH(BN$3,'Eurostat EB TJ GWh'!$A$2:$BV$2,0))</f>
        <v>2721.5419999999999</v>
      </c>
    </row>
    <row r="84" spans="1:66" x14ac:dyDescent="0.2">
      <c r="A84" s="56" t="s">
        <v>272</v>
      </c>
      <c r="B84" s="65" t="s">
        <v>323</v>
      </c>
      <c r="C84" s="65" t="s">
        <v>323</v>
      </c>
      <c r="D84" s="57">
        <f>INDEX('Eurostat EB TJ GWh'!$A$2:$BV$146,MATCH($A84,'Eurostat EB TJ GWh'!$A$2:$A$146,0),MATCH(D$3,'Eurostat EB TJ GWh'!$A$2:$BV$2,0))</f>
        <v>0</v>
      </c>
      <c r="E84" s="57">
        <f>INDEX('Eurostat EB TJ GWh'!$A$2:$BV$146,MATCH($A84,'Eurostat EB TJ GWh'!$A$2:$A$146,0),MATCH(E$3,'Eurostat EB TJ GWh'!$A$2:$BV$2,0))</f>
        <v>0</v>
      </c>
      <c r="F84" s="57">
        <f>INDEX('Eurostat EB TJ GWh'!$A$2:$BV$146,MATCH($A84,'Eurostat EB TJ GWh'!$A$2:$A$146,0),MATCH(F$3,'Eurostat EB TJ GWh'!$A$2:$BV$2,0))</f>
        <v>0</v>
      </c>
      <c r="G84" s="57">
        <f>INDEX('Eurostat EB TJ GWh'!$A$2:$BV$146,MATCH($A84,'Eurostat EB TJ GWh'!$A$2:$A$146,0),MATCH(G$3,'Eurostat EB TJ GWh'!$A$2:$BV$2,0))</f>
        <v>0</v>
      </c>
      <c r="H84" s="57">
        <f>INDEX('Eurostat EB TJ GWh'!$A$2:$BV$146,MATCH($A84,'Eurostat EB TJ GWh'!$A$2:$A$146,0),MATCH(H$3,'Eurostat EB TJ GWh'!$A$2:$BV$2,0))</f>
        <v>0</v>
      </c>
      <c r="I84" s="57">
        <f>INDEX('Eurostat EB TJ GWh'!$A$2:$BV$146,MATCH($A84,'Eurostat EB TJ GWh'!$A$2:$A$146,0),MATCH(I$3,'Eurostat EB TJ GWh'!$A$2:$BV$2,0))</f>
        <v>0</v>
      </c>
      <c r="J84" s="57">
        <f>INDEX('Eurostat EB TJ GWh'!$A$2:$BV$146,MATCH($A84,'Eurostat EB TJ GWh'!$A$2:$A$146,0),MATCH(J$3,'Eurostat EB TJ GWh'!$A$2:$BV$2,0))</f>
        <v>0</v>
      </c>
      <c r="K84" s="57">
        <f>INDEX('Eurostat EB TJ GWh'!$A$2:$BV$146,MATCH($A84,'Eurostat EB TJ GWh'!$A$2:$A$146,0),MATCH(K$3,'Eurostat EB TJ GWh'!$A$2:$BV$2,0))</f>
        <v>0</v>
      </c>
      <c r="L84" s="57">
        <f>INDEX('Eurostat EB TJ GWh'!$A$2:$BV$146,MATCH($A84,'Eurostat EB TJ GWh'!$A$2:$A$146,0),MATCH(L$3,'Eurostat EB TJ GWh'!$A$2:$BV$2,0))</f>
        <v>0</v>
      </c>
      <c r="M84" s="57">
        <f>INDEX('Eurostat EB TJ GWh'!$A$2:$BV$146,MATCH($A84,'Eurostat EB TJ GWh'!$A$2:$A$146,0),MATCH(M$3,'Eurostat EB TJ GWh'!$A$2:$BV$2,0))</f>
        <v>0</v>
      </c>
      <c r="N84" s="57">
        <f>INDEX('Eurostat EB TJ GWh'!$A$2:$BV$146,MATCH($A84,'Eurostat EB TJ GWh'!$A$2:$A$146,0),MATCH(N$3,'Eurostat EB TJ GWh'!$A$2:$BV$2,0))</f>
        <v>0</v>
      </c>
      <c r="O84" s="57">
        <f>INDEX('Eurostat EB TJ GWh'!$A$2:$BV$146,MATCH($A84,'Eurostat EB TJ GWh'!$A$2:$A$146,0),MATCH(O$3,'Eurostat EB TJ GWh'!$A$2:$BV$2,0))</f>
        <v>0</v>
      </c>
      <c r="P84" s="57">
        <f>INDEX('Eurostat EB TJ GWh'!$A$2:$BV$146,MATCH($A84,'Eurostat EB TJ GWh'!$A$2:$A$146,0),MATCH(P$3,'Eurostat EB TJ GWh'!$A$2:$BV$2,0))</f>
        <v>0</v>
      </c>
      <c r="Q84" s="57">
        <f>INDEX('Eurostat EB TJ GWh'!$A$2:$BV$146,MATCH($A84,'Eurostat EB TJ GWh'!$A$2:$A$146,0),MATCH(Q$3,'Eurostat EB TJ GWh'!$A$2:$BV$2,0))</f>
        <v>0</v>
      </c>
      <c r="R84" s="57">
        <f>INDEX('Eurostat EB TJ GWh'!$A$2:$BV$146,MATCH($A84,'Eurostat EB TJ GWh'!$A$2:$A$146,0),MATCH(R$2,'Eurostat EB TJ GWh'!$A$2:$BV$2,0))+INDEX('Eurostat EB TJ GWh'!$A$2:$BV$146,MATCH($A84,'Eurostat EB TJ GWh'!$A$2:$A$146,0),MATCH(R$3,'Eurostat EB TJ GWh'!$A$2:$BV$2,0))</f>
        <v>0</v>
      </c>
      <c r="S84" s="57">
        <f>INDEX('Eurostat EB TJ GWh'!$A$2:$BV$146,MATCH($A84,'Eurostat EB TJ GWh'!$A$2:$A$146,0),MATCH(S$3,'Eurostat EB TJ GWh'!$A$2:$BV$2,0))</f>
        <v>0</v>
      </c>
      <c r="T84" s="65" t="s">
        <v>323</v>
      </c>
      <c r="U84" s="57">
        <f>INDEX('Eurostat EB TJ GWh'!$A$2:$BV$146,MATCH($A84,'Eurostat EB TJ GWh'!$A$2:$A$146,0),MATCH(U$3,'Eurostat EB TJ GWh'!$A$2:$BV$2,0))</f>
        <v>0</v>
      </c>
      <c r="V84" s="57">
        <f>INDEX('Eurostat EB TJ GWh'!$A$2:$BV$146,MATCH($A84,'Eurostat EB TJ GWh'!$A$2:$A$146,0),MATCH(V$3,'Eurostat EB TJ GWh'!$A$2:$BV$2,0))</f>
        <v>0</v>
      </c>
      <c r="W84" s="57">
        <f>INDEX('Eurostat EB TJ GWh'!$A$2:$BV$146,MATCH($A84,'Eurostat EB TJ GWh'!$A$2:$A$146,0),MATCH(W$3,'Eurostat EB TJ GWh'!$A$2:$BV$2,0))</f>
        <v>0</v>
      </c>
      <c r="X84" s="57">
        <f>INDEX('Eurostat EB TJ GWh'!$A$2:$BV$146,MATCH($A84,'Eurostat EB TJ GWh'!$A$2:$A$146,0),MATCH(X$3,'Eurostat EB TJ GWh'!$A$2:$BV$2,0))</f>
        <v>0</v>
      </c>
      <c r="Y84" s="57">
        <f>INDEX('Eurostat EB TJ GWh'!$A$2:$BV$146,MATCH($A84,'Eurostat EB TJ GWh'!$A$2:$A$146,0),MATCH(Y$3,'Eurostat EB TJ GWh'!$A$2:$BV$2,0))</f>
        <v>0</v>
      </c>
      <c r="Z84" s="57">
        <f>INDEX('Eurostat EB TJ GWh'!$A$2:$BV$146,MATCH($A84,'Eurostat EB TJ GWh'!$A$2:$A$146,0),MATCH(Z$3,'Eurostat EB TJ GWh'!$A$2:$BV$2,0))</f>
        <v>0</v>
      </c>
      <c r="AA84" s="57">
        <f>INDEX('Eurostat EB TJ GWh'!$A$2:$BV$146,MATCH($A84,'Eurostat EB TJ GWh'!$A$2:$A$146,0),MATCH(AA$3,'Eurostat EB TJ GWh'!$A$2:$BV$2,0))</f>
        <v>0</v>
      </c>
      <c r="AB84" s="57">
        <f>INDEX('Eurostat EB TJ GWh'!$A$2:$BV$146,MATCH($A84,'Eurostat EB TJ GWh'!$A$2:$A$146,0),MATCH(AB$3,'Eurostat EB TJ GWh'!$A$2:$BV$2,0))</f>
        <v>0</v>
      </c>
      <c r="AC84" s="57">
        <f>INDEX('Eurostat EB TJ GWh'!$A$2:$BV$146,MATCH($A84,'Eurostat EB TJ GWh'!$A$2:$A$146,0),MATCH(AC$3,'Eurostat EB TJ GWh'!$A$2:$BV$2,0))</f>
        <v>0</v>
      </c>
      <c r="AD84" s="57">
        <f>INDEX('Eurostat EB TJ GWh'!$A$2:$BV$146,MATCH($A84,'Eurostat EB TJ GWh'!$A$2:$A$146,0),MATCH(AD$3,'Eurostat EB TJ GWh'!$A$2:$BV$2,0))</f>
        <v>0</v>
      </c>
      <c r="AE84" s="57">
        <f>INDEX('Eurostat EB TJ GWh'!$A$2:$BV$146,MATCH($A84,'Eurostat EB TJ GWh'!$A$2:$A$146,0),MATCH(AE$3,'Eurostat EB TJ GWh'!$A$2:$BV$2,0))</f>
        <v>0</v>
      </c>
      <c r="AF84" s="57">
        <f>INDEX('Eurostat EB TJ GWh'!$A$2:$BV$146,MATCH($A84,'Eurostat EB TJ GWh'!$A$2:$A$146,0),MATCH(AF$3,'Eurostat EB TJ GWh'!$A$2:$BV$2,0))</f>
        <v>0</v>
      </c>
      <c r="AG84" s="57">
        <f>INDEX('Eurostat EB TJ GWh'!$A$2:$BV$146,MATCH($A84,'Eurostat EB TJ GWh'!$A$2:$A$146,0),MATCH(AG$3,'Eurostat EB TJ GWh'!$A$2:$BV$2,0))</f>
        <v>0</v>
      </c>
      <c r="AH84" s="57">
        <f>INDEX('Eurostat EB TJ GWh'!$A$2:$BV$146,MATCH($A84,'Eurostat EB TJ GWh'!$A$2:$A$146,0),MATCH(AH$3,'Eurostat EB TJ GWh'!$A$2:$BV$2,0))</f>
        <v>0</v>
      </c>
      <c r="AI84" s="57">
        <f>INDEX('Eurostat EB TJ GWh'!$A$2:$BV$146,MATCH($A84,'Eurostat EB TJ GWh'!$A$2:$A$146,0),MATCH(AI$3,'Eurostat EB TJ GWh'!$A$2:$BV$2,0))</f>
        <v>0</v>
      </c>
      <c r="AJ84" s="57">
        <f>INDEX('Eurostat EB TJ GWh'!$A$2:$BV$146,MATCH($A84,'Eurostat EB TJ GWh'!$A$2:$A$146,0),MATCH(AJ$3,'Eurostat EB TJ GWh'!$A$2:$BV$2,0))</f>
        <v>0</v>
      </c>
      <c r="AK84" s="57">
        <f>INDEX('Eurostat EB TJ GWh'!$A$2:$BV$146,MATCH($A84,'Eurostat EB TJ GWh'!$A$2:$A$146,0),MATCH(AK$3,'Eurostat EB TJ GWh'!$A$2:$BV$2,0))</f>
        <v>0</v>
      </c>
      <c r="AL84" s="57">
        <f>INDEX('Eurostat EB TJ GWh'!$A$2:$BV$146,MATCH($A84,'Eurostat EB TJ GWh'!$A$2:$A$146,0),MATCH(AL$3,'Eurostat EB TJ GWh'!$A$2:$BV$2,0))</f>
        <v>0</v>
      </c>
      <c r="AM84" s="57">
        <f>INDEX('Eurostat EB TJ GWh'!$A$2:$BV$146,MATCH($A84,'Eurostat EB TJ GWh'!$A$2:$A$146,0),MATCH(AM$3,'Eurostat EB TJ GWh'!$A$2:$BV$2,0))</f>
        <v>0</v>
      </c>
      <c r="AN84" s="57">
        <f>INDEX('Eurostat EB TJ GWh'!$A$2:$BV$146,MATCH($A84,'Eurostat EB TJ GWh'!$A$2:$A$146,0),MATCH(AN$3,'Eurostat EB TJ GWh'!$A$2:$BV$2,0))</f>
        <v>0</v>
      </c>
      <c r="AO84" s="57">
        <f>INDEX('Eurostat EB TJ GWh'!$A$2:$BV$146,MATCH($A84,'Eurostat EB TJ GWh'!$A$2:$A$146,0),MATCH(AO$3,'Eurostat EB TJ GWh'!$A$2:$BV$2,0))</f>
        <v>0</v>
      </c>
      <c r="AP84" s="57">
        <f>INDEX('Eurostat EB TJ GWh'!$A$2:$BV$146,MATCH($A84,'Eurostat EB TJ GWh'!$A$2:$A$146,0),MATCH(AP$3,'Eurostat EB TJ GWh'!$A$2:$BV$2,0))</f>
        <v>0</v>
      </c>
      <c r="AQ84" s="57">
        <f>INDEX('Eurostat EB TJ GWh'!$A$2:$BV$146,MATCH($A84,'Eurostat EB TJ GWh'!$A$2:$A$146,0),MATCH(AQ$3,'Eurostat EB TJ GWh'!$A$2:$BV$2,0))</f>
        <v>0</v>
      </c>
      <c r="AR84" s="57">
        <f>INDEX('Eurostat EB TJ GWh'!$A$2:$BV$146,MATCH($A84,'Eurostat EB TJ GWh'!$A$2:$A$146,0),MATCH(AR$3,'Eurostat EB TJ GWh'!$A$2:$BV$2,0))</f>
        <v>0</v>
      </c>
      <c r="AS84" s="57">
        <f>INDEX('Eurostat EB TJ GWh'!$A$2:$BV$146,MATCH($A84,'Eurostat EB TJ GWh'!$A$2:$A$146,0),MATCH(AS$3,'Eurostat EB TJ GWh'!$A$2:$BV$2,0))</f>
        <v>0</v>
      </c>
      <c r="AT84" s="57">
        <f>INDEX('Eurostat EB TJ GWh'!$A$2:$BV$146,MATCH($A84,'Eurostat EB TJ GWh'!$A$2:$A$146,0),MATCH(AT$3,'Eurostat EB TJ GWh'!$A$2:$BV$2,0))</f>
        <v>0</v>
      </c>
      <c r="AU84" s="57">
        <f>INDEX('Eurostat EB TJ GWh'!$A$2:$BV$146,MATCH($A84,'Eurostat EB TJ GWh'!$A$2:$A$146,0),MATCH(AU$3,'Eurostat EB TJ GWh'!$A$2:$BV$2,0))</f>
        <v>0</v>
      </c>
      <c r="AV84" s="57">
        <f>INDEX('Eurostat EB TJ GWh'!$A$2:$BV$146,MATCH($A84,'Eurostat EB TJ GWh'!$A$2:$A$146,0),MATCH(AV$2,'Eurostat EB TJ GWh'!$A$2:$BV$2,0))+INDEX('Eurostat EB TJ GWh'!$A$2:$BV$146,MATCH($A84,'Eurostat EB TJ GWh'!$A$2:$A$146,0),MATCH(AV$3,'Eurostat EB TJ GWh'!$A$2:$BV$2,0))</f>
        <v>0</v>
      </c>
      <c r="AW84" s="57">
        <f>INDEX('Eurostat EB TJ GWh'!$A$2:$BV$146,MATCH($A84,'Eurostat EB TJ GWh'!$A$2:$A$146,0),MATCH(AW$2,'Eurostat EB TJ GWh'!$A$2:$BV$2,0))+INDEX('Eurostat EB TJ GWh'!$A$2:$BV$146,MATCH($A84,'Eurostat EB TJ GWh'!$A$2:$A$146,0),MATCH(AW$3,'Eurostat EB TJ GWh'!$A$2:$BV$2,0))</f>
        <v>0</v>
      </c>
      <c r="AX84" s="57">
        <f>INDEX('Eurostat EB TJ GWh'!$A$2:$BV$146,MATCH($A84,'Eurostat EB TJ GWh'!$A$2:$A$146,0),MATCH(AX$3,'Eurostat EB TJ GWh'!$A$2:$BV$2,0))</f>
        <v>0</v>
      </c>
      <c r="AY84" s="72">
        <v>0</v>
      </c>
      <c r="AZ84" s="57">
        <f>INDEX('Eurostat EB TJ GWh'!$A$2:$BV$146,MATCH($A84,'Eurostat EB TJ GWh'!$A$2:$A$146,0),MATCH(AZ$3,'Eurostat EB TJ GWh'!$A$2:$BV$2,0))</f>
        <v>0</v>
      </c>
      <c r="BA84" s="72">
        <v>0</v>
      </c>
      <c r="BB84" s="72">
        <v>0</v>
      </c>
      <c r="BC84" s="57">
        <f>INDEX('Eurostat EB TJ GWh'!$A$2:$BV$146,MATCH($A84,'Eurostat EB TJ GWh'!$A$2:$A$146,0),MATCH(BC$3,'Eurostat EB TJ GWh'!$A$2:$BV$2,0))</f>
        <v>0</v>
      </c>
      <c r="BD84" s="57">
        <f>INDEX('Eurostat EB TJ GWh'!$A$2:$BV$146,MATCH($A84,'Eurostat EB TJ GWh'!$A$2:$A$146,0),MATCH(BD$3,'Eurostat EB TJ GWh'!$A$2:$BV$2,0))</f>
        <v>0</v>
      </c>
      <c r="BE84" s="57">
        <f>INDEX('Eurostat EB TJ GWh'!$A$2:$BV$146,MATCH($A84,'Eurostat EB TJ GWh'!$A$2:$A$146,0),MATCH(BE$3,'Eurostat EB TJ GWh'!$A$2:$BV$2,0))</f>
        <v>0</v>
      </c>
      <c r="BF84" s="57">
        <f>INDEX('Eurostat EB TJ GWh'!$A$2:$BV$146,MATCH($A84,'Eurostat EB TJ GWh'!$A$2:$A$146,0),MATCH(BF$3,'Eurostat EB TJ GWh'!$A$2:$BV$2,0))</f>
        <v>0</v>
      </c>
      <c r="BG84" s="57">
        <f>INDEX('Eurostat EB TJ GWh'!$A$2:$BV$146,MATCH($A84,'Eurostat EB TJ GWh'!$A$2:$A$146,0),MATCH(BG$3,'Eurostat EB TJ GWh'!$A$2:$BV$2,0))</f>
        <v>0</v>
      </c>
      <c r="BH84" s="57">
        <f>INDEX('Eurostat EB TJ GWh'!$A$2:$BV$146,MATCH($A84,'Eurostat EB TJ GWh'!$A$2:$A$146,0),MATCH(BH$3,'Eurostat EB TJ GWh'!$A$2:$BV$2,0))</f>
        <v>0</v>
      </c>
      <c r="BI84" s="57">
        <f>INDEX('Eurostat EB TJ GWh'!$A$2:$BV$146,MATCH($A84,'Eurostat EB TJ GWh'!$A$2:$A$146,0),MATCH(BI$3,'Eurostat EB TJ GWh'!$A$2:$BV$2,0))</f>
        <v>0</v>
      </c>
      <c r="BJ84" s="72">
        <v>0</v>
      </c>
      <c r="BK84" s="57">
        <f>INDEX('Eurostat EB TJ GWh'!$A$2:$BV$146,MATCH($A84,'Eurostat EB TJ GWh'!$A$2:$A$146,0),MATCH(BK$3,'Eurostat EB TJ GWh'!$A$2:$BV$2,0))</f>
        <v>566.87</v>
      </c>
      <c r="BL84" s="57">
        <f>INDEX('Eurostat EB TJ GWh'!$A$2:$BV$146,MATCH($A84,'Eurostat EB TJ GWh'!$A$2:$A$146,0),MATCH(BL$3,'Eurostat EB TJ GWh'!$A$2:$BV$2,0))</f>
        <v>0</v>
      </c>
      <c r="BM84" s="57">
        <f>INDEX('Eurostat EB TJ GWh'!$A$2:$BV$146,MATCH($A84,'Eurostat EB TJ GWh'!$A$2:$A$146,0),MATCH(BM$3,'Eurostat EB TJ GWh'!$A$2:$BV$2,0))</f>
        <v>566.87</v>
      </c>
      <c r="BN84" s="57">
        <f>INDEX('Eurostat EB TJ GWh'!$A$2:$BV$146,MATCH($A84,'Eurostat EB TJ GWh'!$A$2:$A$146,0),MATCH(BN$3,'Eurostat EB TJ GWh'!$A$2:$BV$2,0))</f>
        <v>37.738999999999997</v>
      </c>
    </row>
    <row r="85" spans="1:66" x14ac:dyDescent="0.2">
      <c r="A85" s="56" t="s">
        <v>273</v>
      </c>
      <c r="B85" s="65" t="s">
        <v>323</v>
      </c>
      <c r="C85" s="65" t="s">
        <v>323</v>
      </c>
      <c r="D85" s="17">
        <f>INDEX('Eurostat EB TJ GWh'!$A$2:$BV$146,MATCH($A85,'Eurostat EB TJ GWh'!$A$2:$A$146,0),MATCH(D$3,'Eurostat EB TJ GWh'!$A$2:$BV$2,0))</f>
        <v>0</v>
      </c>
      <c r="E85" s="17">
        <f>INDEX('Eurostat EB TJ GWh'!$A$2:$BV$146,MATCH($A85,'Eurostat EB TJ GWh'!$A$2:$A$146,0),MATCH(E$3,'Eurostat EB TJ GWh'!$A$2:$BV$2,0))</f>
        <v>0</v>
      </c>
      <c r="F85" s="17">
        <f>INDEX('Eurostat EB TJ GWh'!$A$2:$BV$146,MATCH($A85,'Eurostat EB TJ GWh'!$A$2:$A$146,0),MATCH(F$3,'Eurostat EB TJ GWh'!$A$2:$BV$2,0))</f>
        <v>0</v>
      </c>
      <c r="G85" s="17">
        <f>INDEX('Eurostat EB TJ GWh'!$A$2:$BV$146,MATCH($A85,'Eurostat EB TJ GWh'!$A$2:$A$146,0),MATCH(G$3,'Eurostat EB TJ GWh'!$A$2:$BV$2,0))</f>
        <v>0</v>
      </c>
      <c r="H85" s="17">
        <f>INDEX('Eurostat EB TJ GWh'!$A$2:$BV$146,MATCH($A85,'Eurostat EB TJ GWh'!$A$2:$A$146,0),MATCH(H$3,'Eurostat EB TJ GWh'!$A$2:$BV$2,0))</f>
        <v>0</v>
      </c>
      <c r="I85" s="17">
        <f>INDEX('Eurostat EB TJ GWh'!$A$2:$BV$146,MATCH($A85,'Eurostat EB TJ GWh'!$A$2:$A$146,0),MATCH(I$3,'Eurostat EB TJ GWh'!$A$2:$BV$2,0))</f>
        <v>0</v>
      </c>
      <c r="J85" s="17">
        <f>INDEX('Eurostat EB TJ GWh'!$A$2:$BV$146,MATCH($A85,'Eurostat EB TJ GWh'!$A$2:$A$146,0),MATCH(J$3,'Eurostat EB TJ GWh'!$A$2:$BV$2,0))</f>
        <v>0</v>
      </c>
      <c r="K85" s="17">
        <f>INDEX('Eurostat EB TJ GWh'!$A$2:$BV$146,MATCH($A85,'Eurostat EB TJ GWh'!$A$2:$A$146,0),MATCH(K$3,'Eurostat EB TJ GWh'!$A$2:$BV$2,0))</f>
        <v>0</v>
      </c>
      <c r="L85" s="17">
        <f>INDEX('Eurostat EB TJ GWh'!$A$2:$BV$146,MATCH($A85,'Eurostat EB TJ GWh'!$A$2:$A$146,0),MATCH(L$3,'Eurostat EB TJ GWh'!$A$2:$BV$2,0))</f>
        <v>0</v>
      </c>
      <c r="M85" s="17">
        <f>INDEX('Eurostat EB TJ GWh'!$A$2:$BV$146,MATCH($A85,'Eurostat EB TJ GWh'!$A$2:$A$146,0),MATCH(M$3,'Eurostat EB TJ GWh'!$A$2:$BV$2,0))</f>
        <v>0</v>
      </c>
      <c r="N85" s="17">
        <f>INDEX('Eurostat EB TJ GWh'!$A$2:$BV$146,MATCH($A85,'Eurostat EB TJ GWh'!$A$2:$A$146,0),MATCH(N$3,'Eurostat EB TJ GWh'!$A$2:$BV$2,0))</f>
        <v>0</v>
      </c>
      <c r="O85" s="17">
        <f>INDEX('Eurostat EB TJ GWh'!$A$2:$BV$146,MATCH($A85,'Eurostat EB TJ GWh'!$A$2:$A$146,0),MATCH(O$3,'Eurostat EB TJ GWh'!$A$2:$BV$2,0))</f>
        <v>0</v>
      </c>
      <c r="P85" s="17">
        <f>INDEX('Eurostat EB TJ GWh'!$A$2:$BV$146,MATCH($A85,'Eurostat EB TJ GWh'!$A$2:$A$146,0),MATCH(P$3,'Eurostat EB TJ GWh'!$A$2:$BV$2,0))</f>
        <v>0</v>
      </c>
      <c r="Q85" s="17">
        <f>INDEX('Eurostat EB TJ GWh'!$A$2:$BV$146,MATCH($A85,'Eurostat EB TJ GWh'!$A$2:$A$146,0),MATCH(Q$3,'Eurostat EB TJ GWh'!$A$2:$BV$2,0))</f>
        <v>0</v>
      </c>
      <c r="R85" s="17">
        <f>INDEX('Eurostat EB TJ GWh'!$A$2:$BV$146,MATCH($A85,'Eurostat EB TJ GWh'!$A$2:$A$146,0),MATCH(R$2,'Eurostat EB TJ GWh'!$A$2:$BV$2,0))+INDEX('Eurostat EB TJ GWh'!$A$2:$BV$146,MATCH($A85,'Eurostat EB TJ GWh'!$A$2:$A$146,0),MATCH(R$3,'Eurostat EB TJ GWh'!$A$2:$BV$2,0))</f>
        <v>0</v>
      </c>
      <c r="S85" s="17">
        <f>INDEX('Eurostat EB TJ GWh'!$A$2:$BV$146,MATCH($A85,'Eurostat EB TJ GWh'!$A$2:$A$146,0),MATCH(S$3,'Eurostat EB TJ GWh'!$A$2:$BV$2,0))</f>
        <v>0</v>
      </c>
      <c r="T85" s="65" t="s">
        <v>323</v>
      </c>
      <c r="U85" s="17">
        <f>INDEX('Eurostat EB TJ GWh'!$A$2:$BV$146,MATCH($A85,'Eurostat EB TJ GWh'!$A$2:$A$146,0),MATCH(U$3,'Eurostat EB TJ GWh'!$A$2:$BV$2,0))</f>
        <v>0</v>
      </c>
      <c r="V85" s="17">
        <f>INDEX('Eurostat EB TJ GWh'!$A$2:$BV$146,MATCH($A85,'Eurostat EB TJ GWh'!$A$2:$A$146,0),MATCH(V$3,'Eurostat EB TJ GWh'!$A$2:$BV$2,0))</f>
        <v>0</v>
      </c>
      <c r="W85" s="17">
        <f>INDEX('Eurostat EB TJ GWh'!$A$2:$BV$146,MATCH($A85,'Eurostat EB TJ GWh'!$A$2:$A$146,0),MATCH(W$3,'Eurostat EB TJ GWh'!$A$2:$BV$2,0))</f>
        <v>0</v>
      </c>
      <c r="X85" s="17">
        <f>INDEX('Eurostat EB TJ GWh'!$A$2:$BV$146,MATCH($A85,'Eurostat EB TJ GWh'!$A$2:$A$146,0),MATCH(X$3,'Eurostat EB TJ GWh'!$A$2:$BV$2,0))</f>
        <v>0</v>
      </c>
      <c r="Y85" s="17">
        <f>INDEX('Eurostat EB TJ GWh'!$A$2:$BV$146,MATCH($A85,'Eurostat EB TJ GWh'!$A$2:$A$146,0),MATCH(Y$3,'Eurostat EB TJ GWh'!$A$2:$BV$2,0))</f>
        <v>0</v>
      </c>
      <c r="Z85" s="17">
        <f>INDEX('Eurostat EB TJ GWh'!$A$2:$BV$146,MATCH($A85,'Eurostat EB TJ GWh'!$A$2:$A$146,0),MATCH(Z$3,'Eurostat EB TJ GWh'!$A$2:$BV$2,0))</f>
        <v>0</v>
      </c>
      <c r="AA85" s="17">
        <f>INDEX('Eurostat EB TJ GWh'!$A$2:$BV$146,MATCH($A85,'Eurostat EB TJ GWh'!$A$2:$A$146,0),MATCH(AA$3,'Eurostat EB TJ GWh'!$A$2:$BV$2,0))</f>
        <v>0</v>
      </c>
      <c r="AB85" s="17">
        <f>INDEX('Eurostat EB TJ GWh'!$A$2:$BV$146,MATCH($A85,'Eurostat EB TJ GWh'!$A$2:$A$146,0),MATCH(AB$3,'Eurostat EB TJ GWh'!$A$2:$BV$2,0))</f>
        <v>0</v>
      </c>
      <c r="AC85" s="17">
        <f>INDEX('Eurostat EB TJ GWh'!$A$2:$BV$146,MATCH($A85,'Eurostat EB TJ GWh'!$A$2:$A$146,0),MATCH(AC$3,'Eurostat EB TJ GWh'!$A$2:$BV$2,0))</f>
        <v>0</v>
      </c>
      <c r="AD85" s="17">
        <f>INDEX('Eurostat EB TJ GWh'!$A$2:$BV$146,MATCH($A85,'Eurostat EB TJ GWh'!$A$2:$A$146,0),MATCH(AD$3,'Eurostat EB TJ GWh'!$A$2:$BV$2,0))</f>
        <v>0</v>
      </c>
      <c r="AE85" s="17">
        <f>INDEX('Eurostat EB TJ GWh'!$A$2:$BV$146,MATCH($A85,'Eurostat EB TJ GWh'!$A$2:$A$146,0),MATCH(AE$3,'Eurostat EB TJ GWh'!$A$2:$BV$2,0))</f>
        <v>0</v>
      </c>
      <c r="AF85" s="17">
        <f>INDEX('Eurostat EB TJ GWh'!$A$2:$BV$146,MATCH($A85,'Eurostat EB TJ GWh'!$A$2:$A$146,0),MATCH(AF$3,'Eurostat EB TJ GWh'!$A$2:$BV$2,0))</f>
        <v>0</v>
      </c>
      <c r="AG85" s="17">
        <f>INDEX('Eurostat EB TJ GWh'!$A$2:$BV$146,MATCH($A85,'Eurostat EB TJ GWh'!$A$2:$A$146,0),MATCH(AG$3,'Eurostat EB TJ GWh'!$A$2:$BV$2,0))</f>
        <v>0</v>
      </c>
      <c r="AH85" s="17">
        <f>INDEX('Eurostat EB TJ GWh'!$A$2:$BV$146,MATCH($A85,'Eurostat EB TJ GWh'!$A$2:$A$146,0),MATCH(AH$3,'Eurostat EB TJ GWh'!$A$2:$BV$2,0))</f>
        <v>0</v>
      </c>
      <c r="AI85" s="17">
        <f>INDEX('Eurostat EB TJ GWh'!$A$2:$BV$146,MATCH($A85,'Eurostat EB TJ GWh'!$A$2:$A$146,0),MATCH(AI$3,'Eurostat EB TJ GWh'!$A$2:$BV$2,0))</f>
        <v>0</v>
      </c>
      <c r="AJ85" s="17">
        <f>INDEX('Eurostat EB TJ GWh'!$A$2:$BV$146,MATCH($A85,'Eurostat EB TJ GWh'!$A$2:$A$146,0),MATCH(AJ$3,'Eurostat EB TJ GWh'!$A$2:$BV$2,0))</f>
        <v>0</v>
      </c>
      <c r="AK85" s="17">
        <f>INDEX('Eurostat EB TJ GWh'!$A$2:$BV$146,MATCH($A85,'Eurostat EB TJ GWh'!$A$2:$A$146,0),MATCH(AK$3,'Eurostat EB TJ GWh'!$A$2:$BV$2,0))</f>
        <v>0</v>
      </c>
      <c r="AL85" s="17">
        <f>INDEX('Eurostat EB TJ GWh'!$A$2:$BV$146,MATCH($A85,'Eurostat EB TJ GWh'!$A$2:$A$146,0),MATCH(AL$3,'Eurostat EB TJ GWh'!$A$2:$BV$2,0))</f>
        <v>0</v>
      </c>
      <c r="AM85" s="17">
        <f>INDEX('Eurostat EB TJ GWh'!$A$2:$BV$146,MATCH($A85,'Eurostat EB TJ GWh'!$A$2:$A$146,0),MATCH(AM$3,'Eurostat EB TJ GWh'!$A$2:$BV$2,0))</f>
        <v>0</v>
      </c>
      <c r="AN85" s="17">
        <f>INDEX('Eurostat EB TJ GWh'!$A$2:$BV$146,MATCH($A85,'Eurostat EB TJ GWh'!$A$2:$A$146,0),MATCH(AN$3,'Eurostat EB TJ GWh'!$A$2:$BV$2,0))</f>
        <v>0</v>
      </c>
      <c r="AO85" s="17">
        <f>INDEX('Eurostat EB TJ GWh'!$A$2:$BV$146,MATCH($A85,'Eurostat EB TJ GWh'!$A$2:$A$146,0),MATCH(AO$3,'Eurostat EB TJ GWh'!$A$2:$BV$2,0))</f>
        <v>0</v>
      </c>
      <c r="AP85" s="17">
        <f>INDEX('Eurostat EB TJ GWh'!$A$2:$BV$146,MATCH($A85,'Eurostat EB TJ GWh'!$A$2:$A$146,0),MATCH(AP$3,'Eurostat EB TJ GWh'!$A$2:$BV$2,0))</f>
        <v>0</v>
      </c>
      <c r="AQ85" s="17">
        <f>INDEX('Eurostat EB TJ GWh'!$A$2:$BV$146,MATCH($A85,'Eurostat EB TJ GWh'!$A$2:$A$146,0),MATCH(AQ$3,'Eurostat EB TJ GWh'!$A$2:$BV$2,0))</f>
        <v>0</v>
      </c>
      <c r="AR85" s="17">
        <f>INDEX('Eurostat EB TJ GWh'!$A$2:$BV$146,MATCH($A85,'Eurostat EB TJ GWh'!$A$2:$A$146,0),MATCH(AR$3,'Eurostat EB TJ GWh'!$A$2:$BV$2,0))</f>
        <v>0</v>
      </c>
      <c r="AS85" s="17">
        <f>INDEX('Eurostat EB TJ GWh'!$A$2:$BV$146,MATCH($A85,'Eurostat EB TJ GWh'!$A$2:$A$146,0),MATCH(AS$3,'Eurostat EB TJ GWh'!$A$2:$BV$2,0))</f>
        <v>0</v>
      </c>
      <c r="AT85" s="17">
        <f>INDEX('Eurostat EB TJ GWh'!$A$2:$BV$146,MATCH($A85,'Eurostat EB TJ GWh'!$A$2:$A$146,0),MATCH(AT$3,'Eurostat EB TJ GWh'!$A$2:$BV$2,0))</f>
        <v>0</v>
      </c>
      <c r="AU85" s="17">
        <f>INDEX('Eurostat EB TJ GWh'!$A$2:$BV$146,MATCH($A85,'Eurostat EB TJ GWh'!$A$2:$A$146,0),MATCH(AU$3,'Eurostat EB TJ GWh'!$A$2:$BV$2,0))</f>
        <v>0</v>
      </c>
      <c r="AV85" s="17">
        <f>INDEX('Eurostat EB TJ GWh'!$A$2:$BV$146,MATCH($A85,'Eurostat EB TJ GWh'!$A$2:$A$146,0),MATCH(AV$2,'Eurostat EB TJ GWh'!$A$2:$BV$2,0))+INDEX('Eurostat EB TJ GWh'!$A$2:$BV$146,MATCH($A85,'Eurostat EB TJ GWh'!$A$2:$A$146,0),MATCH(AV$3,'Eurostat EB TJ GWh'!$A$2:$BV$2,0))</f>
        <v>0</v>
      </c>
      <c r="AW85" s="17">
        <f>INDEX('Eurostat EB TJ GWh'!$A$2:$BV$146,MATCH($A85,'Eurostat EB TJ GWh'!$A$2:$A$146,0),MATCH(AW$2,'Eurostat EB TJ GWh'!$A$2:$BV$2,0))+INDEX('Eurostat EB TJ GWh'!$A$2:$BV$146,MATCH($A85,'Eurostat EB TJ GWh'!$A$2:$A$146,0),MATCH(AW$3,'Eurostat EB TJ GWh'!$A$2:$BV$2,0))</f>
        <v>0</v>
      </c>
      <c r="AX85" s="17">
        <f>INDEX('Eurostat EB TJ GWh'!$A$2:$BV$146,MATCH($A85,'Eurostat EB TJ GWh'!$A$2:$A$146,0),MATCH(AX$3,'Eurostat EB TJ GWh'!$A$2:$BV$2,0))</f>
        <v>0</v>
      </c>
      <c r="AY85" s="65">
        <v>0</v>
      </c>
      <c r="AZ85" s="17">
        <f>INDEX('Eurostat EB TJ GWh'!$A$2:$BV$146,MATCH($A85,'Eurostat EB TJ GWh'!$A$2:$A$146,0),MATCH(AZ$3,'Eurostat EB TJ GWh'!$A$2:$BV$2,0))</f>
        <v>0</v>
      </c>
      <c r="BA85" s="65">
        <v>0</v>
      </c>
      <c r="BB85" s="65">
        <v>0</v>
      </c>
      <c r="BC85" s="17">
        <f>INDEX('Eurostat EB TJ GWh'!$A$2:$BV$146,MATCH($A85,'Eurostat EB TJ GWh'!$A$2:$A$146,0),MATCH(BC$3,'Eurostat EB TJ GWh'!$A$2:$BV$2,0))</f>
        <v>0</v>
      </c>
      <c r="BD85" s="17">
        <f>INDEX('Eurostat EB TJ GWh'!$A$2:$BV$146,MATCH($A85,'Eurostat EB TJ GWh'!$A$2:$A$146,0),MATCH(BD$3,'Eurostat EB TJ GWh'!$A$2:$BV$2,0))</f>
        <v>0</v>
      </c>
      <c r="BE85" s="17">
        <f>INDEX('Eurostat EB TJ GWh'!$A$2:$BV$146,MATCH($A85,'Eurostat EB TJ GWh'!$A$2:$A$146,0),MATCH(BE$3,'Eurostat EB TJ GWh'!$A$2:$BV$2,0))</f>
        <v>0</v>
      </c>
      <c r="BF85" s="17">
        <f>INDEX('Eurostat EB TJ GWh'!$A$2:$BV$146,MATCH($A85,'Eurostat EB TJ GWh'!$A$2:$A$146,0),MATCH(BF$3,'Eurostat EB TJ GWh'!$A$2:$BV$2,0))</f>
        <v>0</v>
      </c>
      <c r="BG85" s="17">
        <f>INDEX('Eurostat EB TJ GWh'!$A$2:$BV$146,MATCH($A85,'Eurostat EB TJ GWh'!$A$2:$A$146,0),MATCH(BG$3,'Eurostat EB TJ GWh'!$A$2:$BV$2,0))</f>
        <v>0</v>
      </c>
      <c r="BH85" s="17">
        <f>INDEX('Eurostat EB TJ GWh'!$A$2:$BV$146,MATCH($A85,'Eurostat EB TJ GWh'!$A$2:$A$146,0),MATCH(BH$3,'Eurostat EB TJ GWh'!$A$2:$BV$2,0))</f>
        <v>0</v>
      </c>
      <c r="BI85" s="17">
        <f>INDEX('Eurostat EB TJ GWh'!$A$2:$BV$146,MATCH($A85,'Eurostat EB TJ GWh'!$A$2:$A$146,0),MATCH(BI$3,'Eurostat EB TJ GWh'!$A$2:$BV$2,0))</f>
        <v>0</v>
      </c>
      <c r="BJ85" s="65">
        <v>0</v>
      </c>
      <c r="BK85" s="17">
        <f>INDEX('Eurostat EB TJ GWh'!$A$2:$BV$146,MATCH($A85,'Eurostat EB TJ GWh'!$A$2:$A$146,0),MATCH(BK$3,'Eurostat EB TJ GWh'!$A$2:$BV$2,0))</f>
        <v>0</v>
      </c>
      <c r="BL85" s="17">
        <f>INDEX('Eurostat EB TJ GWh'!$A$2:$BV$146,MATCH($A85,'Eurostat EB TJ GWh'!$A$2:$A$146,0),MATCH(BL$3,'Eurostat EB TJ GWh'!$A$2:$BV$2,0))</f>
        <v>0</v>
      </c>
      <c r="BM85" s="17">
        <f>INDEX('Eurostat EB TJ GWh'!$A$2:$BV$146,MATCH($A85,'Eurostat EB TJ GWh'!$A$2:$A$146,0),MATCH(BM$3,'Eurostat EB TJ GWh'!$A$2:$BV$2,0))</f>
        <v>0</v>
      </c>
      <c r="BN85" s="17">
        <f>INDEX('Eurostat EB TJ GWh'!$A$2:$BV$146,MATCH($A85,'Eurostat EB TJ GWh'!$A$2:$A$146,0),MATCH(BN$3,'Eurostat EB TJ GWh'!$A$2:$BV$2,0))</f>
        <v>0</v>
      </c>
    </row>
    <row r="86" spans="1:66" x14ac:dyDescent="0.2">
      <c r="A86" s="56" t="s">
        <v>274</v>
      </c>
      <c r="B86" s="65" t="s">
        <v>323</v>
      </c>
      <c r="C86" s="65" t="s">
        <v>323</v>
      </c>
      <c r="D86" s="57">
        <f>INDEX('Eurostat EB TJ GWh'!$A$2:$BV$146,MATCH($A86,'Eurostat EB TJ GWh'!$A$2:$A$146,0),MATCH(D$3,'Eurostat EB TJ GWh'!$A$2:$BV$2,0))</f>
        <v>0</v>
      </c>
      <c r="E86" s="57">
        <f>INDEX('Eurostat EB TJ GWh'!$A$2:$BV$146,MATCH($A86,'Eurostat EB TJ GWh'!$A$2:$A$146,0),MATCH(E$3,'Eurostat EB TJ GWh'!$A$2:$BV$2,0))</f>
        <v>0</v>
      </c>
      <c r="F86" s="57">
        <f>INDEX('Eurostat EB TJ GWh'!$A$2:$BV$146,MATCH($A86,'Eurostat EB TJ GWh'!$A$2:$A$146,0),MATCH(F$3,'Eurostat EB TJ GWh'!$A$2:$BV$2,0))</f>
        <v>0</v>
      </c>
      <c r="G86" s="57">
        <f>INDEX('Eurostat EB TJ GWh'!$A$2:$BV$146,MATCH($A86,'Eurostat EB TJ GWh'!$A$2:$A$146,0),MATCH(G$3,'Eurostat EB TJ GWh'!$A$2:$BV$2,0))</f>
        <v>0</v>
      </c>
      <c r="H86" s="57">
        <f>INDEX('Eurostat EB TJ GWh'!$A$2:$BV$146,MATCH($A86,'Eurostat EB TJ GWh'!$A$2:$A$146,0),MATCH(H$3,'Eurostat EB TJ GWh'!$A$2:$BV$2,0))</f>
        <v>0</v>
      </c>
      <c r="I86" s="57">
        <f>INDEX('Eurostat EB TJ GWh'!$A$2:$BV$146,MATCH($A86,'Eurostat EB TJ GWh'!$A$2:$A$146,0),MATCH(I$3,'Eurostat EB TJ GWh'!$A$2:$BV$2,0))</f>
        <v>0</v>
      </c>
      <c r="J86" s="57">
        <f>INDEX('Eurostat EB TJ GWh'!$A$2:$BV$146,MATCH($A86,'Eurostat EB TJ GWh'!$A$2:$A$146,0),MATCH(J$3,'Eurostat EB TJ GWh'!$A$2:$BV$2,0))</f>
        <v>0</v>
      </c>
      <c r="K86" s="57">
        <f>INDEX('Eurostat EB TJ GWh'!$A$2:$BV$146,MATCH($A86,'Eurostat EB TJ GWh'!$A$2:$A$146,0),MATCH(K$3,'Eurostat EB TJ GWh'!$A$2:$BV$2,0))</f>
        <v>0</v>
      </c>
      <c r="L86" s="57">
        <f>INDEX('Eurostat EB TJ GWh'!$A$2:$BV$146,MATCH($A86,'Eurostat EB TJ GWh'!$A$2:$A$146,0),MATCH(L$3,'Eurostat EB TJ GWh'!$A$2:$BV$2,0))</f>
        <v>0</v>
      </c>
      <c r="M86" s="57">
        <f>INDEX('Eurostat EB TJ GWh'!$A$2:$BV$146,MATCH($A86,'Eurostat EB TJ GWh'!$A$2:$A$146,0),MATCH(M$3,'Eurostat EB TJ GWh'!$A$2:$BV$2,0))</f>
        <v>0</v>
      </c>
      <c r="N86" s="57">
        <f>INDEX('Eurostat EB TJ GWh'!$A$2:$BV$146,MATCH($A86,'Eurostat EB TJ GWh'!$A$2:$A$146,0),MATCH(N$3,'Eurostat EB TJ GWh'!$A$2:$BV$2,0))</f>
        <v>0</v>
      </c>
      <c r="O86" s="57">
        <f>INDEX('Eurostat EB TJ GWh'!$A$2:$BV$146,MATCH($A86,'Eurostat EB TJ GWh'!$A$2:$A$146,0),MATCH(O$3,'Eurostat EB TJ GWh'!$A$2:$BV$2,0))</f>
        <v>0</v>
      </c>
      <c r="P86" s="57">
        <f>INDEX('Eurostat EB TJ GWh'!$A$2:$BV$146,MATCH($A86,'Eurostat EB TJ GWh'!$A$2:$A$146,0),MATCH(P$3,'Eurostat EB TJ GWh'!$A$2:$BV$2,0))</f>
        <v>0</v>
      </c>
      <c r="Q86" s="57">
        <f>INDEX('Eurostat EB TJ GWh'!$A$2:$BV$146,MATCH($A86,'Eurostat EB TJ GWh'!$A$2:$A$146,0),MATCH(Q$3,'Eurostat EB TJ GWh'!$A$2:$BV$2,0))</f>
        <v>0</v>
      </c>
      <c r="R86" s="57">
        <f>INDEX('Eurostat EB TJ GWh'!$A$2:$BV$146,MATCH($A86,'Eurostat EB TJ GWh'!$A$2:$A$146,0),MATCH(R$2,'Eurostat EB TJ GWh'!$A$2:$BV$2,0))+INDEX('Eurostat EB TJ GWh'!$A$2:$BV$146,MATCH($A86,'Eurostat EB TJ GWh'!$A$2:$A$146,0),MATCH(R$3,'Eurostat EB TJ GWh'!$A$2:$BV$2,0))</f>
        <v>0</v>
      </c>
      <c r="S86" s="57">
        <f>INDEX('Eurostat EB TJ GWh'!$A$2:$BV$146,MATCH($A86,'Eurostat EB TJ GWh'!$A$2:$A$146,0),MATCH(S$3,'Eurostat EB TJ GWh'!$A$2:$BV$2,0))</f>
        <v>0</v>
      </c>
      <c r="T86" s="65" t="s">
        <v>323</v>
      </c>
      <c r="U86" s="57">
        <f>INDEX('Eurostat EB TJ GWh'!$A$2:$BV$146,MATCH($A86,'Eurostat EB TJ GWh'!$A$2:$A$146,0),MATCH(U$3,'Eurostat EB TJ GWh'!$A$2:$BV$2,0))</f>
        <v>0</v>
      </c>
      <c r="V86" s="57">
        <f>INDEX('Eurostat EB TJ GWh'!$A$2:$BV$146,MATCH($A86,'Eurostat EB TJ GWh'!$A$2:$A$146,0),MATCH(V$3,'Eurostat EB TJ GWh'!$A$2:$BV$2,0))</f>
        <v>0</v>
      </c>
      <c r="W86" s="57">
        <f>INDEX('Eurostat EB TJ GWh'!$A$2:$BV$146,MATCH($A86,'Eurostat EB TJ GWh'!$A$2:$A$146,0),MATCH(W$3,'Eurostat EB TJ GWh'!$A$2:$BV$2,0))</f>
        <v>0</v>
      </c>
      <c r="X86" s="57">
        <f>INDEX('Eurostat EB TJ GWh'!$A$2:$BV$146,MATCH($A86,'Eurostat EB TJ GWh'!$A$2:$A$146,0),MATCH(X$3,'Eurostat EB TJ GWh'!$A$2:$BV$2,0))</f>
        <v>0</v>
      </c>
      <c r="Y86" s="57">
        <f>INDEX('Eurostat EB TJ GWh'!$A$2:$BV$146,MATCH($A86,'Eurostat EB TJ GWh'!$A$2:$A$146,0),MATCH(Y$3,'Eurostat EB TJ GWh'!$A$2:$BV$2,0))</f>
        <v>0</v>
      </c>
      <c r="Z86" s="57">
        <f>INDEX('Eurostat EB TJ GWh'!$A$2:$BV$146,MATCH($A86,'Eurostat EB TJ GWh'!$A$2:$A$146,0),MATCH(Z$3,'Eurostat EB TJ GWh'!$A$2:$BV$2,0))</f>
        <v>0</v>
      </c>
      <c r="AA86" s="57">
        <f>INDEX('Eurostat EB TJ GWh'!$A$2:$BV$146,MATCH($A86,'Eurostat EB TJ GWh'!$A$2:$A$146,0),MATCH(AA$3,'Eurostat EB TJ GWh'!$A$2:$BV$2,0))</f>
        <v>0</v>
      </c>
      <c r="AB86" s="57">
        <f>INDEX('Eurostat EB TJ GWh'!$A$2:$BV$146,MATCH($A86,'Eurostat EB TJ GWh'!$A$2:$A$146,0),MATCH(AB$3,'Eurostat EB TJ GWh'!$A$2:$BV$2,0))</f>
        <v>0</v>
      </c>
      <c r="AC86" s="57">
        <f>INDEX('Eurostat EB TJ GWh'!$A$2:$BV$146,MATCH($A86,'Eurostat EB TJ GWh'!$A$2:$A$146,0),MATCH(AC$3,'Eurostat EB TJ GWh'!$A$2:$BV$2,0))</f>
        <v>0</v>
      </c>
      <c r="AD86" s="57">
        <f>INDEX('Eurostat EB TJ GWh'!$A$2:$BV$146,MATCH($A86,'Eurostat EB TJ GWh'!$A$2:$A$146,0),MATCH(AD$3,'Eurostat EB TJ GWh'!$A$2:$BV$2,0))</f>
        <v>0</v>
      </c>
      <c r="AE86" s="57">
        <f>INDEX('Eurostat EB TJ GWh'!$A$2:$BV$146,MATCH($A86,'Eurostat EB TJ GWh'!$A$2:$A$146,0),MATCH(AE$3,'Eurostat EB TJ GWh'!$A$2:$BV$2,0))</f>
        <v>0</v>
      </c>
      <c r="AF86" s="57">
        <f>INDEX('Eurostat EB TJ GWh'!$A$2:$BV$146,MATCH($A86,'Eurostat EB TJ GWh'!$A$2:$A$146,0),MATCH(AF$3,'Eurostat EB TJ GWh'!$A$2:$BV$2,0))</f>
        <v>0</v>
      </c>
      <c r="AG86" s="57">
        <f>INDEX('Eurostat EB TJ GWh'!$A$2:$BV$146,MATCH($A86,'Eurostat EB TJ GWh'!$A$2:$A$146,0),MATCH(AG$3,'Eurostat EB TJ GWh'!$A$2:$BV$2,0))</f>
        <v>0</v>
      </c>
      <c r="AH86" s="57">
        <f>INDEX('Eurostat EB TJ GWh'!$A$2:$BV$146,MATCH($A86,'Eurostat EB TJ GWh'!$A$2:$A$146,0),MATCH(AH$3,'Eurostat EB TJ GWh'!$A$2:$BV$2,0))</f>
        <v>0</v>
      </c>
      <c r="AI86" s="57">
        <f>INDEX('Eurostat EB TJ GWh'!$A$2:$BV$146,MATCH($A86,'Eurostat EB TJ GWh'!$A$2:$A$146,0),MATCH(AI$3,'Eurostat EB TJ GWh'!$A$2:$BV$2,0))</f>
        <v>0</v>
      </c>
      <c r="AJ86" s="57">
        <f>INDEX('Eurostat EB TJ GWh'!$A$2:$BV$146,MATCH($A86,'Eurostat EB TJ GWh'!$A$2:$A$146,0),MATCH(AJ$3,'Eurostat EB TJ GWh'!$A$2:$BV$2,0))</f>
        <v>0</v>
      </c>
      <c r="AK86" s="57">
        <f>INDEX('Eurostat EB TJ GWh'!$A$2:$BV$146,MATCH($A86,'Eurostat EB TJ GWh'!$A$2:$A$146,0),MATCH(AK$3,'Eurostat EB TJ GWh'!$A$2:$BV$2,0))</f>
        <v>0</v>
      </c>
      <c r="AL86" s="57">
        <f>INDEX('Eurostat EB TJ GWh'!$A$2:$BV$146,MATCH($A86,'Eurostat EB TJ GWh'!$A$2:$A$146,0),MATCH(AL$3,'Eurostat EB TJ GWh'!$A$2:$BV$2,0))</f>
        <v>0</v>
      </c>
      <c r="AM86" s="57">
        <f>INDEX('Eurostat EB TJ GWh'!$A$2:$BV$146,MATCH($A86,'Eurostat EB TJ GWh'!$A$2:$A$146,0),MATCH(AM$3,'Eurostat EB TJ GWh'!$A$2:$BV$2,0))</f>
        <v>0</v>
      </c>
      <c r="AN86" s="57">
        <f>INDEX('Eurostat EB TJ GWh'!$A$2:$BV$146,MATCH($A86,'Eurostat EB TJ GWh'!$A$2:$A$146,0),MATCH(AN$3,'Eurostat EB TJ GWh'!$A$2:$BV$2,0))</f>
        <v>0</v>
      </c>
      <c r="AO86" s="57">
        <f>INDEX('Eurostat EB TJ GWh'!$A$2:$BV$146,MATCH($A86,'Eurostat EB TJ GWh'!$A$2:$A$146,0),MATCH(AO$3,'Eurostat EB TJ GWh'!$A$2:$BV$2,0))</f>
        <v>0</v>
      </c>
      <c r="AP86" s="57">
        <f>INDEX('Eurostat EB TJ GWh'!$A$2:$BV$146,MATCH($A86,'Eurostat EB TJ GWh'!$A$2:$A$146,0),MATCH(AP$3,'Eurostat EB TJ GWh'!$A$2:$BV$2,0))</f>
        <v>0</v>
      </c>
      <c r="AQ86" s="57">
        <f>INDEX('Eurostat EB TJ GWh'!$A$2:$BV$146,MATCH($A86,'Eurostat EB TJ GWh'!$A$2:$A$146,0),MATCH(AQ$3,'Eurostat EB TJ GWh'!$A$2:$BV$2,0))</f>
        <v>0</v>
      </c>
      <c r="AR86" s="57">
        <f>INDEX('Eurostat EB TJ GWh'!$A$2:$BV$146,MATCH($A86,'Eurostat EB TJ GWh'!$A$2:$A$146,0),MATCH(AR$3,'Eurostat EB TJ GWh'!$A$2:$BV$2,0))</f>
        <v>0</v>
      </c>
      <c r="AS86" s="57">
        <f>INDEX('Eurostat EB TJ GWh'!$A$2:$BV$146,MATCH($A86,'Eurostat EB TJ GWh'!$A$2:$A$146,0),MATCH(AS$3,'Eurostat EB TJ GWh'!$A$2:$BV$2,0))</f>
        <v>0</v>
      </c>
      <c r="AT86" s="57">
        <f>INDEX('Eurostat EB TJ GWh'!$A$2:$BV$146,MATCH($A86,'Eurostat EB TJ GWh'!$A$2:$A$146,0),MATCH(AT$3,'Eurostat EB TJ GWh'!$A$2:$BV$2,0))</f>
        <v>0</v>
      </c>
      <c r="AU86" s="57">
        <f>INDEX('Eurostat EB TJ GWh'!$A$2:$BV$146,MATCH($A86,'Eurostat EB TJ GWh'!$A$2:$A$146,0),MATCH(AU$3,'Eurostat EB TJ GWh'!$A$2:$BV$2,0))</f>
        <v>0</v>
      </c>
      <c r="AV86" s="57">
        <f>INDEX('Eurostat EB TJ GWh'!$A$2:$BV$146,MATCH($A86,'Eurostat EB TJ GWh'!$A$2:$A$146,0),MATCH(AV$2,'Eurostat EB TJ GWh'!$A$2:$BV$2,0))+INDEX('Eurostat EB TJ GWh'!$A$2:$BV$146,MATCH($A86,'Eurostat EB TJ GWh'!$A$2:$A$146,0),MATCH(AV$3,'Eurostat EB TJ GWh'!$A$2:$BV$2,0))</f>
        <v>0</v>
      </c>
      <c r="AW86" s="57">
        <f>INDEX('Eurostat EB TJ GWh'!$A$2:$BV$146,MATCH($A86,'Eurostat EB TJ GWh'!$A$2:$A$146,0),MATCH(AW$2,'Eurostat EB TJ GWh'!$A$2:$BV$2,0))+INDEX('Eurostat EB TJ GWh'!$A$2:$BV$146,MATCH($A86,'Eurostat EB TJ GWh'!$A$2:$A$146,0),MATCH(AW$3,'Eurostat EB TJ GWh'!$A$2:$BV$2,0))</f>
        <v>0</v>
      </c>
      <c r="AX86" s="57">
        <f>INDEX('Eurostat EB TJ GWh'!$A$2:$BV$146,MATCH($A86,'Eurostat EB TJ GWh'!$A$2:$A$146,0),MATCH(AX$3,'Eurostat EB TJ GWh'!$A$2:$BV$2,0))</f>
        <v>0</v>
      </c>
      <c r="AY86" s="72">
        <v>0</v>
      </c>
      <c r="AZ86" s="57">
        <f>INDEX('Eurostat EB TJ GWh'!$A$2:$BV$146,MATCH($A86,'Eurostat EB TJ GWh'!$A$2:$A$146,0),MATCH(AZ$3,'Eurostat EB TJ GWh'!$A$2:$BV$2,0))</f>
        <v>0</v>
      </c>
      <c r="BA86" s="72">
        <v>0</v>
      </c>
      <c r="BB86" s="72">
        <v>0</v>
      </c>
      <c r="BC86" s="57">
        <f>INDEX('Eurostat EB TJ GWh'!$A$2:$BV$146,MATCH($A86,'Eurostat EB TJ GWh'!$A$2:$A$146,0),MATCH(BC$3,'Eurostat EB TJ GWh'!$A$2:$BV$2,0))</f>
        <v>0</v>
      </c>
      <c r="BD86" s="57">
        <f>INDEX('Eurostat EB TJ GWh'!$A$2:$BV$146,MATCH($A86,'Eurostat EB TJ GWh'!$A$2:$A$146,0),MATCH(BD$3,'Eurostat EB TJ GWh'!$A$2:$BV$2,0))</f>
        <v>0</v>
      </c>
      <c r="BE86" s="57">
        <f>INDEX('Eurostat EB TJ GWh'!$A$2:$BV$146,MATCH($A86,'Eurostat EB TJ GWh'!$A$2:$A$146,0),MATCH(BE$3,'Eurostat EB TJ GWh'!$A$2:$BV$2,0))</f>
        <v>0</v>
      </c>
      <c r="BF86" s="57">
        <f>INDEX('Eurostat EB TJ GWh'!$A$2:$BV$146,MATCH($A86,'Eurostat EB TJ GWh'!$A$2:$A$146,0),MATCH(BF$3,'Eurostat EB TJ GWh'!$A$2:$BV$2,0))</f>
        <v>0</v>
      </c>
      <c r="BG86" s="57">
        <f>INDEX('Eurostat EB TJ GWh'!$A$2:$BV$146,MATCH($A86,'Eurostat EB TJ GWh'!$A$2:$A$146,0),MATCH(BG$3,'Eurostat EB TJ GWh'!$A$2:$BV$2,0))</f>
        <v>0</v>
      </c>
      <c r="BH86" s="57">
        <f>INDEX('Eurostat EB TJ GWh'!$A$2:$BV$146,MATCH($A86,'Eurostat EB TJ GWh'!$A$2:$A$146,0),MATCH(BH$3,'Eurostat EB TJ GWh'!$A$2:$BV$2,0))</f>
        <v>0</v>
      </c>
      <c r="BI86" s="57">
        <f>INDEX('Eurostat EB TJ GWh'!$A$2:$BV$146,MATCH($A86,'Eurostat EB TJ GWh'!$A$2:$A$146,0),MATCH(BI$3,'Eurostat EB TJ GWh'!$A$2:$BV$2,0))</f>
        <v>0</v>
      </c>
      <c r="BJ86" s="72">
        <v>0</v>
      </c>
      <c r="BK86" s="57">
        <f>INDEX('Eurostat EB TJ GWh'!$A$2:$BV$146,MATCH($A86,'Eurostat EB TJ GWh'!$A$2:$A$146,0),MATCH(BK$3,'Eurostat EB TJ GWh'!$A$2:$BV$2,0))</f>
        <v>0</v>
      </c>
      <c r="BL86" s="57">
        <f>INDEX('Eurostat EB TJ GWh'!$A$2:$BV$146,MATCH($A86,'Eurostat EB TJ GWh'!$A$2:$A$146,0),MATCH(BL$3,'Eurostat EB TJ GWh'!$A$2:$BV$2,0))</f>
        <v>0</v>
      </c>
      <c r="BM86" s="57">
        <f>INDEX('Eurostat EB TJ GWh'!$A$2:$BV$146,MATCH($A86,'Eurostat EB TJ GWh'!$A$2:$A$146,0),MATCH(BM$3,'Eurostat EB TJ GWh'!$A$2:$BV$2,0))</f>
        <v>0</v>
      </c>
      <c r="BN86" s="57">
        <f>INDEX('Eurostat EB TJ GWh'!$A$2:$BV$146,MATCH($A86,'Eurostat EB TJ GWh'!$A$2:$A$146,0),MATCH(BN$3,'Eurostat EB TJ GWh'!$A$2:$BV$2,0))</f>
        <v>0</v>
      </c>
    </row>
    <row r="87" spans="1:66" x14ac:dyDescent="0.2">
      <c r="A87" s="56" t="s">
        <v>275</v>
      </c>
      <c r="B87" s="65" t="s">
        <v>323</v>
      </c>
      <c r="C87" s="65" t="s">
        <v>323</v>
      </c>
      <c r="D87" s="17">
        <f>INDEX('Eurostat EB TJ GWh'!$A$2:$BV$146,MATCH($A87,'Eurostat EB TJ GWh'!$A$2:$A$146,0),MATCH(D$3,'Eurostat EB TJ GWh'!$A$2:$BV$2,0))</f>
        <v>0</v>
      </c>
      <c r="E87" s="17">
        <f>INDEX('Eurostat EB TJ GWh'!$A$2:$BV$146,MATCH($A87,'Eurostat EB TJ GWh'!$A$2:$A$146,0),MATCH(E$3,'Eurostat EB TJ GWh'!$A$2:$BV$2,0))</f>
        <v>0</v>
      </c>
      <c r="F87" s="17">
        <f>INDEX('Eurostat EB TJ GWh'!$A$2:$BV$146,MATCH($A87,'Eurostat EB TJ GWh'!$A$2:$A$146,0),MATCH(F$3,'Eurostat EB TJ GWh'!$A$2:$BV$2,0))</f>
        <v>0</v>
      </c>
      <c r="G87" s="17">
        <f>INDEX('Eurostat EB TJ GWh'!$A$2:$BV$146,MATCH($A87,'Eurostat EB TJ GWh'!$A$2:$A$146,0),MATCH(G$3,'Eurostat EB TJ GWh'!$A$2:$BV$2,0))</f>
        <v>0</v>
      </c>
      <c r="H87" s="17">
        <f>INDEX('Eurostat EB TJ GWh'!$A$2:$BV$146,MATCH($A87,'Eurostat EB TJ GWh'!$A$2:$A$146,0),MATCH(H$3,'Eurostat EB TJ GWh'!$A$2:$BV$2,0))</f>
        <v>0</v>
      </c>
      <c r="I87" s="17">
        <f>INDEX('Eurostat EB TJ GWh'!$A$2:$BV$146,MATCH($A87,'Eurostat EB TJ GWh'!$A$2:$A$146,0),MATCH(I$3,'Eurostat EB TJ GWh'!$A$2:$BV$2,0))</f>
        <v>0</v>
      </c>
      <c r="J87" s="17">
        <f>INDEX('Eurostat EB TJ GWh'!$A$2:$BV$146,MATCH($A87,'Eurostat EB TJ GWh'!$A$2:$A$146,0),MATCH(J$3,'Eurostat EB TJ GWh'!$A$2:$BV$2,0))</f>
        <v>0</v>
      </c>
      <c r="K87" s="17">
        <f>INDEX('Eurostat EB TJ GWh'!$A$2:$BV$146,MATCH($A87,'Eurostat EB TJ GWh'!$A$2:$A$146,0),MATCH(K$3,'Eurostat EB TJ GWh'!$A$2:$BV$2,0))</f>
        <v>0</v>
      </c>
      <c r="L87" s="17">
        <f>INDEX('Eurostat EB TJ GWh'!$A$2:$BV$146,MATCH($A87,'Eurostat EB TJ GWh'!$A$2:$A$146,0),MATCH(L$3,'Eurostat EB TJ GWh'!$A$2:$BV$2,0))</f>
        <v>0</v>
      </c>
      <c r="M87" s="17">
        <f>INDEX('Eurostat EB TJ GWh'!$A$2:$BV$146,MATCH($A87,'Eurostat EB TJ GWh'!$A$2:$A$146,0),MATCH(M$3,'Eurostat EB TJ GWh'!$A$2:$BV$2,0))</f>
        <v>0</v>
      </c>
      <c r="N87" s="17">
        <f>INDEX('Eurostat EB TJ GWh'!$A$2:$BV$146,MATCH($A87,'Eurostat EB TJ GWh'!$A$2:$A$146,0),MATCH(N$3,'Eurostat EB TJ GWh'!$A$2:$BV$2,0))</f>
        <v>0</v>
      </c>
      <c r="O87" s="17">
        <f>INDEX('Eurostat EB TJ GWh'!$A$2:$BV$146,MATCH($A87,'Eurostat EB TJ GWh'!$A$2:$A$146,0),MATCH(O$3,'Eurostat EB TJ GWh'!$A$2:$BV$2,0))</f>
        <v>0</v>
      </c>
      <c r="P87" s="17">
        <f>INDEX('Eurostat EB TJ GWh'!$A$2:$BV$146,MATCH($A87,'Eurostat EB TJ GWh'!$A$2:$A$146,0),MATCH(P$3,'Eurostat EB TJ GWh'!$A$2:$BV$2,0))</f>
        <v>0</v>
      </c>
      <c r="Q87" s="17">
        <f>INDEX('Eurostat EB TJ GWh'!$A$2:$BV$146,MATCH($A87,'Eurostat EB TJ GWh'!$A$2:$A$146,0),MATCH(Q$3,'Eurostat EB TJ GWh'!$A$2:$BV$2,0))</f>
        <v>0</v>
      </c>
      <c r="R87" s="17">
        <f>INDEX('Eurostat EB TJ GWh'!$A$2:$BV$146,MATCH($A87,'Eurostat EB TJ GWh'!$A$2:$A$146,0),MATCH(R$2,'Eurostat EB TJ GWh'!$A$2:$BV$2,0))+INDEX('Eurostat EB TJ GWh'!$A$2:$BV$146,MATCH($A87,'Eurostat EB TJ GWh'!$A$2:$A$146,0),MATCH(R$3,'Eurostat EB TJ GWh'!$A$2:$BV$2,0))</f>
        <v>0</v>
      </c>
      <c r="S87" s="17">
        <f>INDEX('Eurostat EB TJ GWh'!$A$2:$BV$146,MATCH($A87,'Eurostat EB TJ GWh'!$A$2:$A$146,0),MATCH(S$3,'Eurostat EB TJ GWh'!$A$2:$BV$2,0))</f>
        <v>0</v>
      </c>
      <c r="T87" s="65" t="s">
        <v>323</v>
      </c>
      <c r="U87" s="17">
        <f>INDEX('Eurostat EB TJ GWh'!$A$2:$BV$146,MATCH($A87,'Eurostat EB TJ GWh'!$A$2:$A$146,0),MATCH(U$3,'Eurostat EB TJ GWh'!$A$2:$BV$2,0))</f>
        <v>0</v>
      </c>
      <c r="V87" s="17">
        <f>INDEX('Eurostat EB TJ GWh'!$A$2:$BV$146,MATCH($A87,'Eurostat EB TJ GWh'!$A$2:$A$146,0),MATCH(V$3,'Eurostat EB TJ GWh'!$A$2:$BV$2,0))</f>
        <v>0</v>
      </c>
      <c r="W87" s="17">
        <f>INDEX('Eurostat EB TJ GWh'!$A$2:$BV$146,MATCH($A87,'Eurostat EB TJ GWh'!$A$2:$A$146,0),MATCH(W$3,'Eurostat EB TJ GWh'!$A$2:$BV$2,0))</f>
        <v>0</v>
      </c>
      <c r="X87" s="17">
        <f>INDEX('Eurostat EB TJ GWh'!$A$2:$BV$146,MATCH($A87,'Eurostat EB TJ GWh'!$A$2:$A$146,0),MATCH(X$3,'Eurostat EB TJ GWh'!$A$2:$BV$2,0))</f>
        <v>0</v>
      </c>
      <c r="Y87" s="17">
        <f>INDEX('Eurostat EB TJ GWh'!$A$2:$BV$146,MATCH($A87,'Eurostat EB TJ GWh'!$A$2:$A$146,0),MATCH(Y$3,'Eurostat EB TJ GWh'!$A$2:$BV$2,0))</f>
        <v>0</v>
      </c>
      <c r="Z87" s="17">
        <f>INDEX('Eurostat EB TJ GWh'!$A$2:$BV$146,MATCH($A87,'Eurostat EB TJ GWh'!$A$2:$A$146,0),MATCH(Z$3,'Eurostat EB TJ GWh'!$A$2:$BV$2,0))</f>
        <v>0</v>
      </c>
      <c r="AA87" s="17">
        <f>INDEX('Eurostat EB TJ GWh'!$A$2:$BV$146,MATCH($A87,'Eurostat EB TJ GWh'!$A$2:$A$146,0),MATCH(AA$3,'Eurostat EB TJ GWh'!$A$2:$BV$2,0))</f>
        <v>0</v>
      </c>
      <c r="AB87" s="17">
        <f>INDEX('Eurostat EB TJ GWh'!$A$2:$BV$146,MATCH($A87,'Eurostat EB TJ GWh'!$A$2:$A$146,0),MATCH(AB$3,'Eurostat EB TJ GWh'!$A$2:$BV$2,0))</f>
        <v>0</v>
      </c>
      <c r="AC87" s="17">
        <f>INDEX('Eurostat EB TJ GWh'!$A$2:$BV$146,MATCH($A87,'Eurostat EB TJ GWh'!$A$2:$A$146,0),MATCH(AC$3,'Eurostat EB TJ GWh'!$A$2:$BV$2,0))</f>
        <v>0</v>
      </c>
      <c r="AD87" s="17">
        <f>INDEX('Eurostat EB TJ GWh'!$A$2:$BV$146,MATCH($A87,'Eurostat EB TJ GWh'!$A$2:$A$146,0),MATCH(AD$3,'Eurostat EB TJ GWh'!$A$2:$BV$2,0))</f>
        <v>0</v>
      </c>
      <c r="AE87" s="17">
        <f>INDEX('Eurostat EB TJ GWh'!$A$2:$BV$146,MATCH($A87,'Eurostat EB TJ GWh'!$A$2:$A$146,0),MATCH(AE$3,'Eurostat EB TJ GWh'!$A$2:$BV$2,0))</f>
        <v>0</v>
      </c>
      <c r="AF87" s="17">
        <f>INDEX('Eurostat EB TJ GWh'!$A$2:$BV$146,MATCH($A87,'Eurostat EB TJ GWh'!$A$2:$A$146,0),MATCH(AF$3,'Eurostat EB TJ GWh'!$A$2:$BV$2,0))</f>
        <v>0</v>
      </c>
      <c r="AG87" s="17">
        <f>INDEX('Eurostat EB TJ GWh'!$A$2:$BV$146,MATCH($A87,'Eurostat EB TJ GWh'!$A$2:$A$146,0),MATCH(AG$3,'Eurostat EB TJ GWh'!$A$2:$BV$2,0))</f>
        <v>0</v>
      </c>
      <c r="AH87" s="17">
        <f>INDEX('Eurostat EB TJ GWh'!$A$2:$BV$146,MATCH($A87,'Eurostat EB TJ GWh'!$A$2:$A$146,0),MATCH(AH$3,'Eurostat EB TJ GWh'!$A$2:$BV$2,0))</f>
        <v>0</v>
      </c>
      <c r="AI87" s="17">
        <f>INDEX('Eurostat EB TJ GWh'!$A$2:$BV$146,MATCH($A87,'Eurostat EB TJ GWh'!$A$2:$A$146,0),MATCH(AI$3,'Eurostat EB TJ GWh'!$A$2:$BV$2,0))</f>
        <v>0</v>
      </c>
      <c r="AJ87" s="17">
        <f>INDEX('Eurostat EB TJ GWh'!$A$2:$BV$146,MATCH($A87,'Eurostat EB TJ GWh'!$A$2:$A$146,0),MATCH(AJ$3,'Eurostat EB TJ GWh'!$A$2:$BV$2,0))</f>
        <v>0</v>
      </c>
      <c r="AK87" s="17">
        <f>INDEX('Eurostat EB TJ GWh'!$A$2:$BV$146,MATCH($A87,'Eurostat EB TJ GWh'!$A$2:$A$146,0),MATCH(AK$3,'Eurostat EB TJ GWh'!$A$2:$BV$2,0))</f>
        <v>0</v>
      </c>
      <c r="AL87" s="17">
        <f>INDEX('Eurostat EB TJ GWh'!$A$2:$BV$146,MATCH($A87,'Eurostat EB TJ GWh'!$A$2:$A$146,0),MATCH(AL$3,'Eurostat EB TJ GWh'!$A$2:$BV$2,0))</f>
        <v>0</v>
      </c>
      <c r="AM87" s="17">
        <f>INDEX('Eurostat EB TJ GWh'!$A$2:$BV$146,MATCH($A87,'Eurostat EB TJ GWh'!$A$2:$A$146,0),MATCH(AM$3,'Eurostat EB TJ GWh'!$A$2:$BV$2,0))</f>
        <v>0</v>
      </c>
      <c r="AN87" s="17">
        <f>INDEX('Eurostat EB TJ GWh'!$A$2:$BV$146,MATCH($A87,'Eurostat EB TJ GWh'!$A$2:$A$146,0),MATCH(AN$3,'Eurostat EB TJ GWh'!$A$2:$BV$2,0))</f>
        <v>0</v>
      </c>
      <c r="AO87" s="17">
        <f>INDEX('Eurostat EB TJ GWh'!$A$2:$BV$146,MATCH($A87,'Eurostat EB TJ GWh'!$A$2:$A$146,0),MATCH(AO$3,'Eurostat EB TJ GWh'!$A$2:$BV$2,0))</f>
        <v>0</v>
      </c>
      <c r="AP87" s="17">
        <f>INDEX('Eurostat EB TJ GWh'!$A$2:$BV$146,MATCH($A87,'Eurostat EB TJ GWh'!$A$2:$A$146,0),MATCH(AP$3,'Eurostat EB TJ GWh'!$A$2:$BV$2,0))</f>
        <v>0</v>
      </c>
      <c r="AQ87" s="17">
        <f>INDEX('Eurostat EB TJ GWh'!$A$2:$BV$146,MATCH($A87,'Eurostat EB TJ GWh'!$A$2:$A$146,0),MATCH(AQ$3,'Eurostat EB TJ GWh'!$A$2:$BV$2,0))</f>
        <v>0</v>
      </c>
      <c r="AR87" s="17">
        <f>INDEX('Eurostat EB TJ GWh'!$A$2:$BV$146,MATCH($A87,'Eurostat EB TJ GWh'!$A$2:$A$146,0),MATCH(AR$3,'Eurostat EB TJ GWh'!$A$2:$BV$2,0))</f>
        <v>0</v>
      </c>
      <c r="AS87" s="17">
        <f>INDEX('Eurostat EB TJ GWh'!$A$2:$BV$146,MATCH($A87,'Eurostat EB TJ GWh'!$A$2:$A$146,0),MATCH(AS$3,'Eurostat EB TJ GWh'!$A$2:$BV$2,0))</f>
        <v>0</v>
      </c>
      <c r="AT87" s="17">
        <f>INDEX('Eurostat EB TJ GWh'!$A$2:$BV$146,MATCH($A87,'Eurostat EB TJ GWh'!$A$2:$A$146,0),MATCH(AT$3,'Eurostat EB TJ GWh'!$A$2:$BV$2,0))</f>
        <v>0</v>
      </c>
      <c r="AU87" s="17">
        <f>INDEX('Eurostat EB TJ GWh'!$A$2:$BV$146,MATCH($A87,'Eurostat EB TJ GWh'!$A$2:$A$146,0),MATCH(AU$3,'Eurostat EB TJ GWh'!$A$2:$BV$2,0))</f>
        <v>0</v>
      </c>
      <c r="AV87" s="17">
        <f>INDEX('Eurostat EB TJ GWh'!$A$2:$BV$146,MATCH($A87,'Eurostat EB TJ GWh'!$A$2:$A$146,0),MATCH(AV$2,'Eurostat EB TJ GWh'!$A$2:$BV$2,0))+INDEX('Eurostat EB TJ GWh'!$A$2:$BV$146,MATCH($A87,'Eurostat EB TJ GWh'!$A$2:$A$146,0),MATCH(AV$3,'Eurostat EB TJ GWh'!$A$2:$BV$2,0))</f>
        <v>0</v>
      </c>
      <c r="AW87" s="17">
        <f>INDEX('Eurostat EB TJ GWh'!$A$2:$BV$146,MATCH($A87,'Eurostat EB TJ GWh'!$A$2:$A$146,0),MATCH(AW$2,'Eurostat EB TJ GWh'!$A$2:$BV$2,0))+INDEX('Eurostat EB TJ GWh'!$A$2:$BV$146,MATCH($A87,'Eurostat EB TJ GWh'!$A$2:$A$146,0),MATCH(AW$3,'Eurostat EB TJ GWh'!$A$2:$BV$2,0))</f>
        <v>0</v>
      </c>
      <c r="AX87" s="17">
        <f>INDEX('Eurostat EB TJ GWh'!$A$2:$BV$146,MATCH($A87,'Eurostat EB TJ GWh'!$A$2:$A$146,0),MATCH(AX$3,'Eurostat EB TJ GWh'!$A$2:$BV$2,0))</f>
        <v>0</v>
      </c>
      <c r="AY87" s="65">
        <v>0</v>
      </c>
      <c r="AZ87" s="17">
        <f>INDEX('Eurostat EB TJ GWh'!$A$2:$BV$146,MATCH($A87,'Eurostat EB TJ GWh'!$A$2:$A$146,0),MATCH(AZ$3,'Eurostat EB TJ GWh'!$A$2:$BV$2,0))</f>
        <v>0</v>
      </c>
      <c r="BA87" s="65">
        <v>0</v>
      </c>
      <c r="BB87" s="65">
        <v>0</v>
      </c>
      <c r="BC87" s="17">
        <f>INDEX('Eurostat EB TJ GWh'!$A$2:$BV$146,MATCH($A87,'Eurostat EB TJ GWh'!$A$2:$A$146,0),MATCH(BC$3,'Eurostat EB TJ GWh'!$A$2:$BV$2,0))</f>
        <v>0</v>
      </c>
      <c r="BD87" s="17">
        <f>INDEX('Eurostat EB TJ GWh'!$A$2:$BV$146,MATCH($A87,'Eurostat EB TJ GWh'!$A$2:$A$146,0),MATCH(BD$3,'Eurostat EB TJ GWh'!$A$2:$BV$2,0))</f>
        <v>0</v>
      </c>
      <c r="BE87" s="17">
        <f>INDEX('Eurostat EB TJ GWh'!$A$2:$BV$146,MATCH($A87,'Eurostat EB TJ GWh'!$A$2:$A$146,0),MATCH(BE$3,'Eurostat EB TJ GWh'!$A$2:$BV$2,0))</f>
        <v>0</v>
      </c>
      <c r="BF87" s="17">
        <f>INDEX('Eurostat EB TJ GWh'!$A$2:$BV$146,MATCH($A87,'Eurostat EB TJ GWh'!$A$2:$A$146,0),MATCH(BF$3,'Eurostat EB TJ GWh'!$A$2:$BV$2,0))</f>
        <v>0</v>
      </c>
      <c r="BG87" s="17">
        <f>INDEX('Eurostat EB TJ GWh'!$A$2:$BV$146,MATCH($A87,'Eurostat EB TJ GWh'!$A$2:$A$146,0),MATCH(BG$3,'Eurostat EB TJ GWh'!$A$2:$BV$2,0))</f>
        <v>0</v>
      </c>
      <c r="BH87" s="17">
        <f>INDEX('Eurostat EB TJ GWh'!$A$2:$BV$146,MATCH($A87,'Eurostat EB TJ GWh'!$A$2:$A$146,0),MATCH(BH$3,'Eurostat EB TJ GWh'!$A$2:$BV$2,0))</f>
        <v>0</v>
      </c>
      <c r="BI87" s="17">
        <f>INDEX('Eurostat EB TJ GWh'!$A$2:$BV$146,MATCH($A87,'Eurostat EB TJ GWh'!$A$2:$A$146,0),MATCH(BI$3,'Eurostat EB TJ GWh'!$A$2:$BV$2,0))</f>
        <v>0</v>
      </c>
      <c r="BJ87" s="65">
        <v>0</v>
      </c>
      <c r="BK87" s="17">
        <f>INDEX('Eurostat EB TJ GWh'!$A$2:$BV$146,MATCH($A87,'Eurostat EB TJ GWh'!$A$2:$A$146,0),MATCH(BK$3,'Eurostat EB TJ GWh'!$A$2:$BV$2,0))</f>
        <v>0</v>
      </c>
      <c r="BL87" s="17">
        <f>INDEX('Eurostat EB TJ GWh'!$A$2:$BV$146,MATCH($A87,'Eurostat EB TJ GWh'!$A$2:$A$146,0),MATCH(BL$3,'Eurostat EB TJ GWh'!$A$2:$BV$2,0))</f>
        <v>0</v>
      </c>
      <c r="BM87" s="17">
        <f>INDEX('Eurostat EB TJ GWh'!$A$2:$BV$146,MATCH($A87,'Eurostat EB TJ GWh'!$A$2:$A$146,0),MATCH(BM$3,'Eurostat EB TJ GWh'!$A$2:$BV$2,0))</f>
        <v>0</v>
      </c>
      <c r="BN87" s="17">
        <f>INDEX('Eurostat EB TJ GWh'!$A$2:$BV$146,MATCH($A87,'Eurostat EB TJ GWh'!$A$2:$A$146,0),MATCH(BN$3,'Eurostat EB TJ GWh'!$A$2:$BV$2,0))</f>
        <v>0</v>
      </c>
    </row>
    <row r="88" spans="1:66" x14ac:dyDescent="0.2">
      <c r="A88" s="56" t="s">
        <v>276</v>
      </c>
      <c r="B88" s="65" t="s">
        <v>323</v>
      </c>
      <c r="C88" s="65" t="s">
        <v>323</v>
      </c>
      <c r="D88" s="57">
        <f>INDEX('Eurostat EB TJ GWh'!$A$2:$BV$146,MATCH($A88,'Eurostat EB TJ GWh'!$A$2:$A$146,0),MATCH(D$3,'Eurostat EB TJ GWh'!$A$2:$BV$2,0))</f>
        <v>0</v>
      </c>
      <c r="E88" s="57">
        <f>INDEX('Eurostat EB TJ GWh'!$A$2:$BV$146,MATCH($A88,'Eurostat EB TJ GWh'!$A$2:$A$146,0),MATCH(E$3,'Eurostat EB TJ GWh'!$A$2:$BV$2,0))</f>
        <v>0</v>
      </c>
      <c r="F88" s="57">
        <f>INDEX('Eurostat EB TJ GWh'!$A$2:$BV$146,MATCH($A88,'Eurostat EB TJ GWh'!$A$2:$A$146,0),MATCH(F$3,'Eurostat EB TJ GWh'!$A$2:$BV$2,0))</f>
        <v>0</v>
      </c>
      <c r="G88" s="57">
        <f>INDEX('Eurostat EB TJ GWh'!$A$2:$BV$146,MATCH($A88,'Eurostat EB TJ GWh'!$A$2:$A$146,0),MATCH(G$3,'Eurostat EB TJ GWh'!$A$2:$BV$2,0))</f>
        <v>0</v>
      </c>
      <c r="H88" s="57">
        <f>INDEX('Eurostat EB TJ GWh'!$A$2:$BV$146,MATCH($A88,'Eurostat EB TJ GWh'!$A$2:$A$146,0),MATCH(H$3,'Eurostat EB TJ GWh'!$A$2:$BV$2,0))</f>
        <v>0</v>
      </c>
      <c r="I88" s="57">
        <f>INDEX('Eurostat EB TJ GWh'!$A$2:$BV$146,MATCH($A88,'Eurostat EB TJ GWh'!$A$2:$A$146,0),MATCH(I$3,'Eurostat EB TJ GWh'!$A$2:$BV$2,0))</f>
        <v>0</v>
      </c>
      <c r="J88" s="57">
        <f>INDEX('Eurostat EB TJ GWh'!$A$2:$BV$146,MATCH($A88,'Eurostat EB TJ GWh'!$A$2:$A$146,0),MATCH(J$3,'Eurostat EB TJ GWh'!$A$2:$BV$2,0))</f>
        <v>0</v>
      </c>
      <c r="K88" s="57">
        <f>INDEX('Eurostat EB TJ GWh'!$A$2:$BV$146,MATCH($A88,'Eurostat EB TJ GWh'!$A$2:$A$146,0),MATCH(K$3,'Eurostat EB TJ GWh'!$A$2:$BV$2,0))</f>
        <v>0</v>
      </c>
      <c r="L88" s="57">
        <f>INDEX('Eurostat EB TJ GWh'!$A$2:$BV$146,MATCH($A88,'Eurostat EB TJ GWh'!$A$2:$A$146,0),MATCH(L$3,'Eurostat EB TJ GWh'!$A$2:$BV$2,0))</f>
        <v>0</v>
      </c>
      <c r="M88" s="57">
        <f>INDEX('Eurostat EB TJ GWh'!$A$2:$BV$146,MATCH($A88,'Eurostat EB TJ GWh'!$A$2:$A$146,0),MATCH(M$3,'Eurostat EB TJ GWh'!$A$2:$BV$2,0))</f>
        <v>0</v>
      </c>
      <c r="N88" s="57">
        <f>INDEX('Eurostat EB TJ GWh'!$A$2:$BV$146,MATCH($A88,'Eurostat EB TJ GWh'!$A$2:$A$146,0),MATCH(N$3,'Eurostat EB TJ GWh'!$A$2:$BV$2,0))</f>
        <v>0</v>
      </c>
      <c r="O88" s="57">
        <f>INDEX('Eurostat EB TJ GWh'!$A$2:$BV$146,MATCH($A88,'Eurostat EB TJ GWh'!$A$2:$A$146,0),MATCH(O$3,'Eurostat EB TJ GWh'!$A$2:$BV$2,0))</f>
        <v>0</v>
      </c>
      <c r="P88" s="57">
        <f>INDEX('Eurostat EB TJ GWh'!$A$2:$BV$146,MATCH($A88,'Eurostat EB TJ GWh'!$A$2:$A$146,0),MATCH(P$3,'Eurostat EB TJ GWh'!$A$2:$BV$2,0))</f>
        <v>0</v>
      </c>
      <c r="Q88" s="57">
        <f>INDEX('Eurostat EB TJ GWh'!$A$2:$BV$146,MATCH($A88,'Eurostat EB TJ GWh'!$A$2:$A$146,0),MATCH(Q$3,'Eurostat EB TJ GWh'!$A$2:$BV$2,0))</f>
        <v>0</v>
      </c>
      <c r="R88" s="57">
        <f>INDEX('Eurostat EB TJ GWh'!$A$2:$BV$146,MATCH($A88,'Eurostat EB TJ GWh'!$A$2:$A$146,0),MATCH(R$2,'Eurostat EB TJ GWh'!$A$2:$BV$2,0))+INDEX('Eurostat EB TJ GWh'!$A$2:$BV$146,MATCH($A88,'Eurostat EB TJ GWh'!$A$2:$A$146,0),MATCH(R$3,'Eurostat EB TJ GWh'!$A$2:$BV$2,0))</f>
        <v>0</v>
      </c>
      <c r="S88" s="57">
        <f>INDEX('Eurostat EB TJ GWh'!$A$2:$BV$146,MATCH($A88,'Eurostat EB TJ GWh'!$A$2:$A$146,0),MATCH(S$3,'Eurostat EB TJ GWh'!$A$2:$BV$2,0))</f>
        <v>0</v>
      </c>
      <c r="T88" s="65" t="s">
        <v>323</v>
      </c>
      <c r="U88" s="57">
        <f>INDEX('Eurostat EB TJ GWh'!$A$2:$BV$146,MATCH($A88,'Eurostat EB TJ GWh'!$A$2:$A$146,0),MATCH(U$3,'Eurostat EB TJ GWh'!$A$2:$BV$2,0))</f>
        <v>0</v>
      </c>
      <c r="V88" s="57">
        <f>INDEX('Eurostat EB TJ GWh'!$A$2:$BV$146,MATCH($A88,'Eurostat EB TJ GWh'!$A$2:$A$146,0),MATCH(V$3,'Eurostat EB TJ GWh'!$A$2:$BV$2,0))</f>
        <v>0</v>
      </c>
      <c r="W88" s="57">
        <f>INDEX('Eurostat EB TJ GWh'!$A$2:$BV$146,MATCH($A88,'Eurostat EB TJ GWh'!$A$2:$A$146,0),MATCH(W$3,'Eurostat EB TJ GWh'!$A$2:$BV$2,0))</f>
        <v>0</v>
      </c>
      <c r="X88" s="57">
        <f>INDEX('Eurostat EB TJ GWh'!$A$2:$BV$146,MATCH($A88,'Eurostat EB TJ GWh'!$A$2:$A$146,0),MATCH(X$3,'Eurostat EB TJ GWh'!$A$2:$BV$2,0))</f>
        <v>0</v>
      </c>
      <c r="Y88" s="57">
        <f>INDEX('Eurostat EB TJ GWh'!$A$2:$BV$146,MATCH($A88,'Eurostat EB TJ GWh'!$A$2:$A$146,0),MATCH(Y$3,'Eurostat EB TJ GWh'!$A$2:$BV$2,0))</f>
        <v>0</v>
      </c>
      <c r="Z88" s="57">
        <f>INDEX('Eurostat EB TJ GWh'!$A$2:$BV$146,MATCH($A88,'Eurostat EB TJ GWh'!$A$2:$A$146,0),MATCH(Z$3,'Eurostat EB TJ GWh'!$A$2:$BV$2,0))</f>
        <v>0</v>
      </c>
      <c r="AA88" s="57">
        <f>INDEX('Eurostat EB TJ GWh'!$A$2:$BV$146,MATCH($A88,'Eurostat EB TJ GWh'!$A$2:$A$146,0),MATCH(AA$3,'Eurostat EB TJ GWh'!$A$2:$BV$2,0))</f>
        <v>0</v>
      </c>
      <c r="AB88" s="57">
        <f>INDEX('Eurostat EB TJ GWh'!$A$2:$BV$146,MATCH($A88,'Eurostat EB TJ GWh'!$A$2:$A$146,0),MATCH(AB$3,'Eurostat EB TJ GWh'!$A$2:$BV$2,0))</f>
        <v>0</v>
      </c>
      <c r="AC88" s="57">
        <f>INDEX('Eurostat EB TJ GWh'!$A$2:$BV$146,MATCH($A88,'Eurostat EB TJ GWh'!$A$2:$A$146,0),MATCH(AC$3,'Eurostat EB TJ GWh'!$A$2:$BV$2,0))</f>
        <v>0</v>
      </c>
      <c r="AD88" s="57">
        <f>INDEX('Eurostat EB TJ GWh'!$A$2:$BV$146,MATCH($A88,'Eurostat EB TJ GWh'!$A$2:$A$146,0),MATCH(AD$3,'Eurostat EB TJ GWh'!$A$2:$BV$2,0))</f>
        <v>0</v>
      </c>
      <c r="AE88" s="57">
        <f>INDEX('Eurostat EB TJ GWh'!$A$2:$BV$146,MATCH($A88,'Eurostat EB TJ GWh'!$A$2:$A$146,0),MATCH(AE$3,'Eurostat EB TJ GWh'!$A$2:$BV$2,0))</f>
        <v>0</v>
      </c>
      <c r="AF88" s="57">
        <f>INDEX('Eurostat EB TJ GWh'!$A$2:$BV$146,MATCH($A88,'Eurostat EB TJ GWh'!$A$2:$A$146,0),MATCH(AF$3,'Eurostat EB TJ GWh'!$A$2:$BV$2,0))</f>
        <v>0</v>
      </c>
      <c r="AG88" s="57">
        <f>INDEX('Eurostat EB TJ GWh'!$A$2:$BV$146,MATCH($A88,'Eurostat EB TJ GWh'!$A$2:$A$146,0),MATCH(AG$3,'Eurostat EB TJ GWh'!$A$2:$BV$2,0))</f>
        <v>0</v>
      </c>
      <c r="AH88" s="57">
        <f>INDEX('Eurostat EB TJ GWh'!$A$2:$BV$146,MATCH($A88,'Eurostat EB TJ GWh'!$A$2:$A$146,0),MATCH(AH$3,'Eurostat EB TJ GWh'!$A$2:$BV$2,0))</f>
        <v>0</v>
      </c>
      <c r="AI88" s="57">
        <f>INDEX('Eurostat EB TJ GWh'!$A$2:$BV$146,MATCH($A88,'Eurostat EB TJ GWh'!$A$2:$A$146,0),MATCH(AI$3,'Eurostat EB TJ GWh'!$A$2:$BV$2,0))</f>
        <v>0</v>
      </c>
      <c r="AJ88" s="57">
        <f>INDEX('Eurostat EB TJ GWh'!$A$2:$BV$146,MATCH($A88,'Eurostat EB TJ GWh'!$A$2:$A$146,0),MATCH(AJ$3,'Eurostat EB TJ GWh'!$A$2:$BV$2,0))</f>
        <v>0</v>
      </c>
      <c r="AK88" s="57">
        <f>INDEX('Eurostat EB TJ GWh'!$A$2:$BV$146,MATCH($A88,'Eurostat EB TJ GWh'!$A$2:$A$146,0),MATCH(AK$3,'Eurostat EB TJ GWh'!$A$2:$BV$2,0))</f>
        <v>0</v>
      </c>
      <c r="AL88" s="57">
        <f>INDEX('Eurostat EB TJ GWh'!$A$2:$BV$146,MATCH($A88,'Eurostat EB TJ GWh'!$A$2:$A$146,0),MATCH(AL$3,'Eurostat EB TJ GWh'!$A$2:$BV$2,0))</f>
        <v>0</v>
      </c>
      <c r="AM88" s="57">
        <f>INDEX('Eurostat EB TJ GWh'!$A$2:$BV$146,MATCH($A88,'Eurostat EB TJ GWh'!$A$2:$A$146,0),MATCH(AM$3,'Eurostat EB TJ GWh'!$A$2:$BV$2,0))</f>
        <v>0</v>
      </c>
      <c r="AN88" s="57">
        <f>INDEX('Eurostat EB TJ GWh'!$A$2:$BV$146,MATCH($A88,'Eurostat EB TJ GWh'!$A$2:$A$146,0),MATCH(AN$3,'Eurostat EB TJ GWh'!$A$2:$BV$2,0))</f>
        <v>0</v>
      </c>
      <c r="AO88" s="57">
        <f>INDEX('Eurostat EB TJ GWh'!$A$2:$BV$146,MATCH($A88,'Eurostat EB TJ GWh'!$A$2:$A$146,0),MATCH(AO$3,'Eurostat EB TJ GWh'!$A$2:$BV$2,0))</f>
        <v>0</v>
      </c>
      <c r="AP88" s="57">
        <f>INDEX('Eurostat EB TJ GWh'!$A$2:$BV$146,MATCH($A88,'Eurostat EB TJ GWh'!$A$2:$A$146,0),MATCH(AP$3,'Eurostat EB TJ GWh'!$A$2:$BV$2,0))</f>
        <v>0</v>
      </c>
      <c r="AQ88" s="57">
        <f>INDEX('Eurostat EB TJ GWh'!$A$2:$BV$146,MATCH($A88,'Eurostat EB TJ GWh'!$A$2:$A$146,0),MATCH(AQ$3,'Eurostat EB TJ GWh'!$A$2:$BV$2,0))</f>
        <v>0</v>
      </c>
      <c r="AR88" s="57">
        <f>INDEX('Eurostat EB TJ GWh'!$A$2:$BV$146,MATCH($A88,'Eurostat EB TJ GWh'!$A$2:$A$146,0),MATCH(AR$3,'Eurostat EB TJ GWh'!$A$2:$BV$2,0))</f>
        <v>0</v>
      </c>
      <c r="AS88" s="57">
        <f>INDEX('Eurostat EB TJ GWh'!$A$2:$BV$146,MATCH($A88,'Eurostat EB TJ GWh'!$A$2:$A$146,0),MATCH(AS$3,'Eurostat EB TJ GWh'!$A$2:$BV$2,0))</f>
        <v>0</v>
      </c>
      <c r="AT88" s="57">
        <f>INDEX('Eurostat EB TJ GWh'!$A$2:$BV$146,MATCH($A88,'Eurostat EB TJ GWh'!$A$2:$A$146,0),MATCH(AT$3,'Eurostat EB TJ GWh'!$A$2:$BV$2,0))</f>
        <v>0</v>
      </c>
      <c r="AU88" s="57">
        <f>INDEX('Eurostat EB TJ GWh'!$A$2:$BV$146,MATCH($A88,'Eurostat EB TJ GWh'!$A$2:$A$146,0),MATCH(AU$3,'Eurostat EB TJ GWh'!$A$2:$BV$2,0))</f>
        <v>0</v>
      </c>
      <c r="AV88" s="57">
        <f>INDEX('Eurostat EB TJ GWh'!$A$2:$BV$146,MATCH($A88,'Eurostat EB TJ GWh'!$A$2:$A$146,0),MATCH(AV$2,'Eurostat EB TJ GWh'!$A$2:$BV$2,0))+INDEX('Eurostat EB TJ GWh'!$A$2:$BV$146,MATCH($A88,'Eurostat EB TJ GWh'!$A$2:$A$146,0),MATCH(AV$3,'Eurostat EB TJ GWh'!$A$2:$BV$2,0))</f>
        <v>0</v>
      </c>
      <c r="AW88" s="57">
        <f>INDEX('Eurostat EB TJ GWh'!$A$2:$BV$146,MATCH($A88,'Eurostat EB TJ GWh'!$A$2:$A$146,0),MATCH(AW$2,'Eurostat EB TJ GWh'!$A$2:$BV$2,0))+INDEX('Eurostat EB TJ GWh'!$A$2:$BV$146,MATCH($A88,'Eurostat EB TJ GWh'!$A$2:$A$146,0),MATCH(AW$3,'Eurostat EB TJ GWh'!$A$2:$BV$2,0))</f>
        <v>0</v>
      </c>
      <c r="AX88" s="57">
        <f>INDEX('Eurostat EB TJ GWh'!$A$2:$BV$146,MATCH($A88,'Eurostat EB TJ GWh'!$A$2:$A$146,0),MATCH(AX$3,'Eurostat EB TJ GWh'!$A$2:$BV$2,0))</f>
        <v>0</v>
      </c>
      <c r="AY88" s="72">
        <v>0</v>
      </c>
      <c r="AZ88" s="57">
        <f>INDEX('Eurostat EB TJ GWh'!$A$2:$BV$146,MATCH($A88,'Eurostat EB TJ GWh'!$A$2:$A$146,0),MATCH(AZ$3,'Eurostat EB TJ GWh'!$A$2:$BV$2,0))</f>
        <v>0</v>
      </c>
      <c r="BA88" s="72">
        <v>0</v>
      </c>
      <c r="BB88" s="72">
        <v>0</v>
      </c>
      <c r="BC88" s="57">
        <f>INDEX('Eurostat EB TJ GWh'!$A$2:$BV$146,MATCH($A88,'Eurostat EB TJ GWh'!$A$2:$A$146,0),MATCH(BC$3,'Eurostat EB TJ GWh'!$A$2:$BV$2,0))</f>
        <v>0</v>
      </c>
      <c r="BD88" s="57">
        <f>INDEX('Eurostat EB TJ GWh'!$A$2:$BV$146,MATCH($A88,'Eurostat EB TJ GWh'!$A$2:$A$146,0),MATCH(BD$3,'Eurostat EB TJ GWh'!$A$2:$BV$2,0))</f>
        <v>0</v>
      </c>
      <c r="BE88" s="57">
        <f>INDEX('Eurostat EB TJ GWh'!$A$2:$BV$146,MATCH($A88,'Eurostat EB TJ GWh'!$A$2:$A$146,0),MATCH(BE$3,'Eurostat EB TJ GWh'!$A$2:$BV$2,0))</f>
        <v>0</v>
      </c>
      <c r="BF88" s="57">
        <f>INDEX('Eurostat EB TJ GWh'!$A$2:$BV$146,MATCH($A88,'Eurostat EB TJ GWh'!$A$2:$A$146,0),MATCH(BF$3,'Eurostat EB TJ GWh'!$A$2:$BV$2,0))</f>
        <v>0</v>
      </c>
      <c r="BG88" s="57">
        <f>INDEX('Eurostat EB TJ GWh'!$A$2:$BV$146,MATCH($A88,'Eurostat EB TJ GWh'!$A$2:$A$146,0),MATCH(BG$3,'Eurostat EB TJ GWh'!$A$2:$BV$2,0))</f>
        <v>0</v>
      </c>
      <c r="BH88" s="57">
        <f>INDEX('Eurostat EB TJ GWh'!$A$2:$BV$146,MATCH($A88,'Eurostat EB TJ GWh'!$A$2:$A$146,0),MATCH(BH$3,'Eurostat EB TJ GWh'!$A$2:$BV$2,0))</f>
        <v>0</v>
      </c>
      <c r="BI88" s="57">
        <f>INDEX('Eurostat EB TJ GWh'!$A$2:$BV$146,MATCH($A88,'Eurostat EB TJ GWh'!$A$2:$A$146,0),MATCH(BI$3,'Eurostat EB TJ GWh'!$A$2:$BV$2,0))</f>
        <v>0</v>
      </c>
      <c r="BJ88" s="72">
        <v>0</v>
      </c>
      <c r="BK88" s="57">
        <f>INDEX('Eurostat EB TJ GWh'!$A$2:$BV$146,MATCH($A88,'Eurostat EB TJ GWh'!$A$2:$A$146,0),MATCH(BK$3,'Eurostat EB TJ GWh'!$A$2:$BV$2,0))</f>
        <v>0</v>
      </c>
      <c r="BL88" s="57">
        <f>INDEX('Eurostat EB TJ GWh'!$A$2:$BV$146,MATCH($A88,'Eurostat EB TJ GWh'!$A$2:$A$146,0),MATCH(BL$3,'Eurostat EB TJ GWh'!$A$2:$BV$2,0))</f>
        <v>0</v>
      </c>
      <c r="BM88" s="57">
        <f>INDEX('Eurostat EB TJ GWh'!$A$2:$BV$146,MATCH($A88,'Eurostat EB TJ GWh'!$A$2:$A$146,0),MATCH(BM$3,'Eurostat EB TJ GWh'!$A$2:$BV$2,0))</f>
        <v>0</v>
      </c>
      <c r="BN88" s="57">
        <f>INDEX('Eurostat EB TJ GWh'!$A$2:$BV$146,MATCH($A88,'Eurostat EB TJ GWh'!$A$2:$A$146,0),MATCH(BN$3,'Eurostat EB TJ GWh'!$A$2:$BV$2,0))</f>
        <v>0</v>
      </c>
    </row>
    <row r="89" spans="1:66" x14ac:dyDescent="0.2">
      <c r="A89" s="56" t="s">
        <v>277</v>
      </c>
      <c r="B89" s="65" t="s">
        <v>323</v>
      </c>
      <c r="C89" s="65" t="s">
        <v>323</v>
      </c>
      <c r="D89" s="17">
        <f>INDEX('Eurostat EB TJ GWh'!$A$2:$BV$146,MATCH($A89,'Eurostat EB TJ GWh'!$A$2:$A$146,0),MATCH(D$3,'Eurostat EB TJ GWh'!$A$2:$BV$2,0))</f>
        <v>0</v>
      </c>
      <c r="E89" s="17">
        <f>INDEX('Eurostat EB TJ GWh'!$A$2:$BV$146,MATCH($A89,'Eurostat EB TJ GWh'!$A$2:$A$146,0),MATCH(E$3,'Eurostat EB TJ GWh'!$A$2:$BV$2,0))</f>
        <v>0</v>
      </c>
      <c r="F89" s="17">
        <f>INDEX('Eurostat EB TJ GWh'!$A$2:$BV$146,MATCH($A89,'Eurostat EB TJ GWh'!$A$2:$A$146,0),MATCH(F$3,'Eurostat EB TJ GWh'!$A$2:$BV$2,0))</f>
        <v>0</v>
      </c>
      <c r="G89" s="17">
        <f>INDEX('Eurostat EB TJ GWh'!$A$2:$BV$146,MATCH($A89,'Eurostat EB TJ GWh'!$A$2:$A$146,0),MATCH(G$3,'Eurostat EB TJ GWh'!$A$2:$BV$2,0))</f>
        <v>0</v>
      </c>
      <c r="H89" s="17">
        <f>INDEX('Eurostat EB TJ GWh'!$A$2:$BV$146,MATCH($A89,'Eurostat EB TJ GWh'!$A$2:$A$146,0),MATCH(H$3,'Eurostat EB TJ GWh'!$A$2:$BV$2,0))</f>
        <v>0</v>
      </c>
      <c r="I89" s="17">
        <f>INDEX('Eurostat EB TJ GWh'!$A$2:$BV$146,MATCH($A89,'Eurostat EB TJ GWh'!$A$2:$A$146,0),MATCH(I$3,'Eurostat EB TJ GWh'!$A$2:$BV$2,0))</f>
        <v>0</v>
      </c>
      <c r="J89" s="17">
        <f>INDEX('Eurostat EB TJ GWh'!$A$2:$BV$146,MATCH($A89,'Eurostat EB TJ GWh'!$A$2:$A$146,0),MATCH(J$3,'Eurostat EB TJ GWh'!$A$2:$BV$2,0))</f>
        <v>0</v>
      </c>
      <c r="K89" s="17">
        <f>INDEX('Eurostat EB TJ GWh'!$A$2:$BV$146,MATCH($A89,'Eurostat EB TJ GWh'!$A$2:$A$146,0),MATCH(K$3,'Eurostat EB TJ GWh'!$A$2:$BV$2,0))</f>
        <v>0</v>
      </c>
      <c r="L89" s="17">
        <f>INDEX('Eurostat EB TJ GWh'!$A$2:$BV$146,MATCH($A89,'Eurostat EB TJ GWh'!$A$2:$A$146,0),MATCH(L$3,'Eurostat EB TJ GWh'!$A$2:$BV$2,0))</f>
        <v>0</v>
      </c>
      <c r="M89" s="17">
        <f>INDEX('Eurostat EB TJ GWh'!$A$2:$BV$146,MATCH($A89,'Eurostat EB TJ GWh'!$A$2:$A$146,0),MATCH(M$3,'Eurostat EB TJ GWh'!$A$2:$BV$2,0))</f>
        <v>0</v>
      </c>
      <c r="N89" s="17">
        <f>INDEX('Eurostat EB TJ GWh'!$A$2:$BV$146,MATCH($A89,'Eurostat EB TJ GWh'!$A$2:$A$146,0),MATCH(N$3,'Eurostat EB TJ GWh'!$A$2:$BV$2,0))</f>
        <v>0</v>
      </c>
      <c r="O89" s="17">
        <f>INDEX('Eurostat EB TJ GWh'!$A$2:$BV$146,MATCH($A89,'Eurostat EB TJ GWh'!$A$2:$A$146,0),MATCH(O$3,'Eurostat EB TJ GWh'!$A$2:$BV$2,0))</f>
        <v>0</v>
      </c>
      <c r="P89" s="17">
        <f>INDEX('Eurostat EB TJ GWh'!$A$2:$BV$146,MATCH($A89,'Eurostat EB TJ GWh'!$A$2:$A$146,0),MATCH(P$3,'Eurostat EB TJ GWh'!$A$2:$BV$2,0))</f>
        <v>0</v>
      </c>
      <c r="Q89" s="17">
        <f>INDEX('Eurostat EB TJ GWh'!$A$2:$BV$146,MATCH($A89,'Eurostat EB TJ GWh'!$A$2:$A$146,0),MATCH(Q$3,'Eurostat EB TJ GWh'!$A$2:$BV$2,0))</f>
        <v>0</v>
      </c>
      <c r="R89" s="17">
        <f>INDEX('Eurostat EB TJ GWh'!$A$2:$BV$146,MATCH($A89,'Eurostat EB TJ GWh'!$A$2:$A$146,0),MATCH(R$2,'Eurostat EB TJ GWh'!$A$2:$BV$2,0))+INDEX('Eurostat EB TJ GWh'!$A$2:$BV$146,MATCH($A89,'Eurostat EB TJ GWh'!$A$2:$A$146,0),MATCH(R$3,'Eurostat EB TJ GWh'!$A$2:$BV$2,0))</f>
        <v>0</v>
      </c>
      <c r="S89" s="17">
        <f>INDEX('Eurostat EB TJ GWh'!$A$2:$BV$146,MATCH($A89,'Eurostat EB TJ GWh'!$A$2:$A$146,0),MATCH(S$3,'Eurostat EB TJ GWh'!$A$2:$BV$2,0))</f>
        <v>0</v>
      </c>
      <c r="T89" s="65" t="s">
        <v>323</v>
      </c>
      <c r="U89" s="17">
        <f>INDEX('Eurostat EB TJ GWh'!$A$2:$BV$146,MATCH($A89,'Eurostat EB TJ GWh'!$A$2:$A$146,0),MATCH(U$3,'Eurostat EB TJ GWh'!$A$2:$BV$2,0))</f>
        <v>0</v>
      </c>
      <c r="V89" s="17">
        <f>INDEX('Eurostat EB TJ GWh'!$A$2:$BV$146,MATCH($A89,'Eurostat EB TJ GWh'!$A$2:$A$146,0),MATCH(V$3,'Eurostat EB TJ GWh'!$A$2:$BV$2,0))</f>
        <v>0</v>
      </c>
      <c r="W89" s="17">
        <f>INDEX('Eurostat EB TJ GWh'!$A$2:$BV$146,MATCH($A89,'Eurostat EB TJ GWh'!$A$2:$A$146,0),MATCH(W$3,'Eurostat EB TJ GWh'!$A$2:$BV$2,0))</f>
        <v>0</v>
      </c>
      <c r="X89" s="17">
        <f>INDEX('Eurostat EB TJ GWh'!$A$2:$BV$146,MATCH($A89,'Eurostat EB TJ GWh'!$A$2:$A$146,0),MATCH(X$3,'Eurostat EB TJ GWh'!$A$2:$BV$2,0))</f>
        <v>0</v>
      </c>
      <c r="Y89" s="17">
        <f>INDEX('Eurostat EB TJ GWh'!$A$2:$BV$146,MATCH($A89,'Eurostat EB TJ GWh'!$A$2:$A$146,0),MATCH(Y$3,'Eurostat EB TJ GWh'!$A$2:$BV$2,0))</f>
        <v>0</v>
      </c>
      <c r="Z89" s="17">
        <f>INDEX('Eurostat EB TJ GWh'!$A$2:$BV$146,MATCH($A89,'Eurostat EB TJ GWh'!$A$2:$A$146,0),MATCH(Z$3,'Eurostat EB TJ GWh'!$A$2:$BV$2,0))</f>
        <v>0</v>
      </c>
      <c r="AA89" s="17">
        <f>INDEX('Eurostat EB TJ GWh'!$A$2:$BV$146,MATCH($A89,'Eurostat EB TJ GWh'!$A$2:$A$146,0),MATCH(AA$3,'Eurostat EB TJ GWh'!$A$2:$BV$2,0))</f>
        <v>0</v>
      </c>
      <c r="AB89" s="17">
        <f>INDEX('Eurostat EB TJ GWh'!$A$2:$BV$146,MATCH($A89,'Eurostat EB TJ GWh'!$A$2:$A$146,0),MATCH(AB$3,'Eurostat EB TJ GWh'!$A$2:$BV$2,0))</f>
        <v>0</v>
      </c>
      <c r="AC89" s="17">
        <f>INDEX('Eurostat EB TJ GWh'!$A$2:$BV$146,MATCH($A89,'Eurostat EB TJ GWh'!$A$2:$A$146,0),MATCH(AC$3,'Eurostat EB TJ GWh'!$A$2:$BV$2,0))</f>
        <v>0</v>
      </c>
      <c r="AD89" s="17">
        <f>INDEX('Eurostat EB TJ GWh'!$A$2:$BV$146,MATCH($A89,'Eurostat EB TJ GWh'!$A$2:$A$146,0),MATCH(AD$3,'Eurostat EB TJ GWh'!$A$2:$BV$2,0))</f>
        <v>0</v>
      </c>
      <c r="AE89" s="17">
        <f>INDEX('Eurostat EB TJ GWh'!$A$2:$BV$146,MATCH($A89,'Eurostat EB TJ GWh'!$A$2:$A$146,0),MATCH(AE$3,'Eurostat EB TJ GWh'!$A$2:$BV$2,0))</f>
        <v>0</v>
      </c>
      <c r="AF89" s="17">
        <f>INDEX('Eurostat EB TJ GWh'!$A$2:$BV$146,MATCH($A89,'Eurostat EB TJ GWh'!$A$2:$A$146,0),MATCH(AF$3,'Eurostat EB TJ GWh'!$A$2:$BV$2,0))</f>
        <v>0</v>
      </c>
      <c r="AG89" s="17">
        <f>INDEX('Eurostat EB TJ GWh'!$A$2:$BV$146,MATCH($A89,'Eurostat EB TJ GWh'!$A$2:$A$146,0),MATCH(AG$3,'Eurostat EB TJ GWh'!$A$2:$BV$2,0))</f>
        <v>0</v>
      </c>
      <c r="AH89" s="17">
        <f>INDEX('Eurostat EB TJ GWh'!$A$2:$BV$146,MATCH($A89,'Eurostat EB TJ GWh'!$A$2:$A$146,0),MATCH(AH$3,'Eurostat EB TJ GWh'!$A$2:$BV$2,0))</f>
        <v>0</v>
      </c>
      <c r="AI89" s="17">
        <f>INDEX('Eurostat EB TJ GWh'!$A$2:$BV$146,MATCH($A89,'Eurostat EB TJ GWh'!$A$2:$A$146,0),MATCH(AI$3,'Eurostat EB TJ GWh'!$A$2:$BV$2,0))</f>
        <v>0</v>
      </c>
      <c r="AJ89" s="17">
        <f>INDEX('Eurostat EB TJ GWh'!$A$2:$BV$146,MATCH($A89,'Eurostat EB TJ GWh'!$A$2:$A$146,0),MATCH(AJ$3,'Eurostat EB TJ GWh'!$A$2:$BV$2,0))</f>
        <v>0</v>
      </c>
      <c r="AK89" s="17">
        <f>INDEX('Eurostat EB TJ GWh'!$A$2:$BV$146,MATCH($A89,'Eurostat EB TJ GWh'!$A$2:$A$146,0),MATCH(AK$3,'Eurostat EB TJ GWh'!$A$2:$BV$2,0))</f>
        <v>0</v>
      </c>
      <c r="AL89" s="17">
        <f>INDEX('Eurostat EB TJ GWh'!$A$2:$BV$146,MATCH($A89,'Eurostat EB TJ GWh'!$A$2:$A$146,0),MATCH(AL$3,'Eurostat EB TJ GWh'!$A$2:$BV$2,0))</f>
        <v>0</v>
      </c>
      <c r="AM89" s="17">
        <f>INDEX('Eurostat EB TJ GWh'!$A$2:$BV$146,MATCH($A89,'Eurostat EB TJ GWh'!$A$2:$A$146,0),MATCH(AM$3,'Eurostat EB TJ GWh'!$A$2:$BV$2,0))</f>
        <v>0</v>
      </c>
      <c r="AN89" s="17">
        <f>INDEX('Eurostat EB TJ GWh'!$A$2:$BV$146,MATCH($A89,'Eurostat EB TJ GWh'!$A$2:$A$146,0),MATCH(AN$3,'Eurostat EB TJ GWh'!$A$2:$BV$2,0))</f>
        <v>0</v>
      </c>
      <c r="AO89" s="17">
        <f>INDEX('Eurostat EB TJ GWh'!$A$2:$BV$146,MATCH($A89,'Eurostat EB TJ GWh'!$A$2:$A$146,0),MATCH(AO$3,'Eurostat EB TJ GWh'!$A$2:$BV$2,0))</f>
        <v>0</v>
      </c>
      <c r="AP89" s="17">
        <f>INDEX('Eurostat EB TJ GWh'!$A$2:$BV$146,MATCH($A89,'Eurostat EB TJ GWh'!$A$2:$A$146,0),MATCH(AP$3,'Eurostat EB TJ GWh'!$A$2:$BV$2,0))</f>
        <v>0</v>
      </c>
      <c r="AQ89" s="17">
        <f>INDEX('Eurostat EB TJ GWh'!$A$2:$BV$146,MATCH($A89,'Eurostat EB TJ GWh'!$A$2:$A$146,0),MATCH(AQ$3,'Eurostat EB TJ GWh'!$A$2:$BV$2,0))</f>
        <v>0</v>
      </c>
      <c r="AR89" s="17">
        <f>INDEX('Eurostat EB TJ GWh'!$A$2:$BV$146,MATCH($A89,'Eurostat EB TJ GWh'!$A$2:$A$146,0),MATCH(AR$3,'Eurostat EB TJ GWh'!$A$2:$BV$2,0))</f>
        <v>0</v>
      </c>
      <c r="AS89" s="17">
        <f>INDEX('Eurostat EB TJ GWh'!$A$2:$BV$146,MATCH($A89,'Eurostat EB TJ GWh'!$A$2:$A$146,0),MATCH(AS$3,'Eurostat EB TJ GWh'!$A$2:$BV$2,0))</f>
        <v>0</v>
      </c>
      <c r="AT89" s="17">
        <f>INDEX('Eurostat EB TJ GWh'!$A$2:$BV$146,MATCH($A89,'Eurostat EB TJ GWh'!$A$2:$A$146,0),MATCH(AT$3,'Eurostat EB TJ GWh'!$A$2:$BV$2,0))</f>
        <v>0</v>
      </c>
      <c r="AU89" s="17">
        <f>INDEX('Eurostat EB TJ GWh'!$A$2:$BV$146,MATCH($A89,'Eurostat EB TJ GWh'!$A$2:$A$146,0),MATCH(AU$3,'Eurostat EB TJ GWh'!$A$2:$BV$2,0))</f>
        <v>0</v>
      </c>
      <c r="AV89" s="17">
        <f>INDEX('Eurostat EB TJ GWh'!$A$2:$BV$146,MATCH($A89,'Eurostat EB TJ GWh'!$A$2:$A$146,0),MATCH(AV$2,'Eurostat EB TJ GWh'!$A$2:$BV$2,0))+INDEX('Eurostat EB TJ GWh'!$A$2:$BV$146,MATCH($A89,'Eurostat EB TJ GWh'!$A$2:$A$146,0),MATCH(AV$3,'Eurostat EB TJ GWh'!$A$2:$BV$2,0))</f>
        <v>0</v>
      </c>
      <c r="AW89" s="17">
        <f>INDEX('Eurostat EB TJ GWh'!$A$2:$BV$146,MATCH($A89,'Eurostat EB TJ GWh'!$A$2:$A$146,0),MATCH(AW$2,'Eurostat EB TJ GWh'!$A$2:$BV$2,0))+INDEX('Eurostat EB TJ GWh'!$A$2:$BV$146,MATCH($A89,'Eurostat EB TJ GWh'!$A$2:$A$146,0),MATCH(AW$3,'Eurostat EB TJ GWh'!$A$2:$BV$2,0))</f>
        <v>0</v>
      </c>
      <c r="AX89" s="17">
        <f>INDEX('Eurostat EB TJ GWh'!$A$2:$BV$146,MATCH($A89,'Eurostat EB TJ GWh'!$A$2:$A$146,0),MATCH(AX$3,'Eurostat EB TJ GWh'!$A$2:$BV$2,0))</f>
        <v>0</v>
      </c>
      <c r="AY89" s="65">
        <v>0</v>
      </c>
      <c r="AZ89" s="17">
        <f>INDEX('Eurostat EB TJ GWh'!$A$2:$BV$146,MATCH($A89,'Eurostat EB TJ GWh'!$A$2:$A$146,0),MATCH(AZ$3,'Eurostat EB TJ GWh'!$A$2:$BV$2,0))</f>
        <v>0</v>
      </c>
      <c r="BA89" s="65">
        <v>0</v>
      </c>
      <c r="BB89" s="65">
        <v>0</v>
      </c>
      <c r="BC89" s="17">
        <f>INDEX('Eurostat EB TJ GWh'!$A$2:$BV$146,MATCH($A89,'Eurostat EB TJ GWh'!$A$2:$A$146,0),MATCH(BC$3,'Eurostat EB TJ GWh'!$A$2:$BV$2,0))</f>
        <v>0</v>
      </c>
      <c r="BD89" s="17">
        <f>INDEX('Eurostat EB TJ GWh'!$A$2:$BV$146,MATCH($A89,'Eurostat EB TJ GWh'!$A$2:$A$146,0),MATCH(BD$3,'Eurostat EB TJ GWh'!$A$2:$BV$2,0))</f>
        <v>0</v>
      </c>
      <c r="BE89" s="17">
        <f>INDEX('Eurostat EB TJ GWh'!$A$2:$BV$146,MATCH($A89,'Eurostat EB TJ GWh'!$A$2:$A$146,0),MATCH(BE$3,'Eurostat EB TJ GWh'!$A$2:$BV$2,0))</f>
        <v>0</v>
      </c>
      <c r="BF89" s="17">
        <f>INDEX('Eurostat EB TJ GWh'!$A$2:$BV$146,MATCH($A89,'Eurostat EB TJ GWh'!$A$2:$A$146,0),MATCH(BF$3,'Eurostat EB TJ GWh'!$A$2:$BV$2,0))</f>
        <v>0</v>
      </c>
      <c r="BG89" s="17">
        <f>INDEX('Eurostat EB TJ GWh'!$A$2:$BV$146,MATCH($A89,'Eurostat EB TJ GWh'!$A$2:$A$146,0),MATCH(BG$3,'Eurostat EB TJ GWh'!$A$2:$BV$2,0))</f>
        <v>0</v>
      </c>
      <c r="BH89" s="17">
        <f>INDEX('Eurostat EB TJ GWh'!$A$2:$BV$146,MATCH($A89,'Eurostat EB TJ GWh'!$A$2:$A$146,0),MATCH(BH$3,'Eurostat EB TJ GWh'!$A$2:$BV$2,0))</f>
        <v>0</v>
      </c>
      <c r="BI89" s="17">
        <f>INDEX('Eurostat EB TJ GWh'!$A$2:$BV$146,MATCH($A89,'Eurostat EB TJ GWh'!$A$2:$A$146,0),MATCH(BI$3,'Eurostat EB TJ GWh'!$A$2:$BV$2,0))</f>
        <v>0</v>
      </c>
      <c r="BJ89" s="65">
        <v>0</v>
      </c>
      <c r="BK89" s="17">
        <f>INDEX('Eurostat EB TJ GWh'!$A$2:$BV$146,MATCH($A89,'Eurostat EB TJ GWh'!$A$2:$A$146,0),MATCH(BK$3,'Eurostat EB TJ GWh'!$A$2:$BV$2,0))</f>
        <v>0</v>
      </c>
      <c r="BL89" s="17">
        <f>INDEX('Eurostat EB TJ GWh'!$A$2:$BV$146,MATCH($A89,'Eurostat EB TJ GWh'!$A$2:$A$146,0),MATCH(BL$3,'Eurostat EB TJ GWh'!$A$2:$BV$2,0))</f>
        <v>0</v>
      </c>
      <c r="BM89" s="17">
        <f>INDEX('Eurostat EB TJ GWh'!$A$2:$BV$146,MATCH($A89,'Eurostat EB TJ GWh'!$A$2:$A$146,0),MATCH(BM$3,'Eurostat EB TJ GWh'!$A$2:$BV$2,0))</f>
        <v>0</v>
      </c>
      <c r="BN89" s="17">
        <f>INDEX('Eurostat EB TJ GWh'!$A$2:$BV$146,MATCH($A89,'Eurostat EB TJ GWh'!$A$2:$A$146,0),MATCH(BN$3,'Eurostat EB TJ GWh'!$A$2:$BV$2,0))</f>
        <v>0</v>
      </c>
    </row>
    <row r="90" spans="1:66" x14ac:dyDescent="0.2">
      <c r="A90" s="56" t="s">
        <v>278</v>
      </c>
      <c r="B90" s="65" t="s">
        <v>323</v>
      </c>
      <c r="C90" s="65" t="s">
        <v>323</v>
      </c>
      <c r="D90" s="57">
        <f>INDEX('Eurostat EB TJ GWh'!$A$2:$BV$146,MATCH($A90,'Eurostat EB TJ GWh'!$A$2:$A$146,0),MATCH(D$3,'Eurostat EB TJ GWh'!$A$2:$BV$2,0))</f>
        <v>0</v>
      </c>
      <c r="E90" s="57">
        <f>INDEX('Eurostat EB TJ GWh'!$A$2:$BV$146,MATCH($A90,'Eurostat EB TJ GWh'!$A$2:$A$146,0),MATCH(E$3,'Eurostat EB TJ GWh'!$A$2:$BV$2,0))</f>
        <v>0</v>
      </c>
      <c r="F90" s="57">
        <f>INDEX('Eurostat EB TJ GWh'!$A$2:$BV$146,MATCH($A90,'Eurostat EB TJ GWh'!$A$2:$A$146,0),MATCH(F$3,'Eurostat EB TJ GWh'!$A$2:$BV$2,0))</f>
        <v>0</v>
      </c>
      <c r="G90" s="57">
        <f>INDEX('Eurostat EB TJ GWh'!$A$2:$BV$146,MATCH($A90,'Eurostat EB TJ GWh'!$A$2:$A$146,0),MATCH(G$3,'Eurostat EB TJ GWh'!$A$2:$BV$2,0))</f>
        <v>0</v>
      </c>
      <c r="H90" s="57">
        <f>INDEX('Eurostat EB TJ GWh'!$A$2:$BV$146,MATCH($A90,'Eurostat EB TJ GWh'!$A$2:$A$146,0),MATCH(H$3,'Eurostat EB TJ GWh'!$A$2:$BV$2,0))</f>
        <v>0</v>
      </c>
      <c r="I90" s="57">
        <f>INDEX('Eurostat EB TJ GWh'!$A$2:$BV$146,MATCH($A90,'Eurostat EB TJ GWh'!$A$2:$A$146,0),MATCH(I$3,'Eurostat EB TJ GWh'!$A$2:$BV$2,0))</f>
        <v>0</v>
      </c>
      <c r="J90" s="57">
        <f>INDEX('Eurostat EB TJ GWh'!$A$2:$BV$146,MATCH($A90,'Eurostat EB TJ GWh'!$A$2:$A$146,0),MATCH(J$3,'Eurostat EB TJ GWh'!$A$2:$BV$2,0))</f>
        <v>0</v>
      </c>
      <c r="K90" s="57">
        <f>INDEX('Eurostat EB TJ GWh'!$A$2:$BV$146,MATCH($A90,'Eurostat EB TJ GWh'!$A$2:$A$146,0),MATCH(K$3,'Eurostat EB TJ GWh'!$A$2:$BV$2,0))</f>
        <v>0</v>
      </c>
      <c r="L90" s="57">
        <f>INDEX('Eurostat EB TJ GWh'!$A$2:$BV$146,MATCH($A90,'Eurostat EB TJ GWh'!$A$2:$A$146,0),MATCH(L$3,'Eurostat EB TJ GWh'!$A$2:$BV$2,0))</f>
        <v>0</v>
      </c>
      <c r="M90" s="57">
        <f>INDEX('Eurostat EB TJ GWh'!$A$2:$BV$146,MATCH($A90,'Eurostat EB TJ GWh'!$A$2:$A$146,0),MATCH(M$3,'Eurostat EB TJ GWh'!$A$2:$BV$2,0))</f>
        <v>0</v>
      </c>
      <c r="N90" s="57">
        <f>INDEX('Eurostat EB TJ GWh'!$A$2:$BV$146,MATCH($A90,'Eurostat EB TJ GWh'!$A$2:$A$146,0),MATCH(N$3,'Eurostat EB TJ GWh'!$A$2:$BV$2,0))</f>
        <v>0</v>
      </c>
      <c r="O90" s="57">
        <f>INDEX('Eurostat EB TJ GWh'!$A$2:$BV$146,MATCH($A90,'Eurostat EB TJ GWh'!$A$2:$A$146,0),MATCH(O$3,'Eurostat EB TJ GWh'!$A$2:$BV$2,0))</f>
        <v>0</v>
      </c>
      <c r="P90" s="57">
        <f>INDEX('Eurostat EB TJ GWh'!$A$2:$BV$146,MATCH($A90,'Eurostat EB TJ GWh'!$A$2:$A$146,0),MATCH(P$3,'Eurostat EB TJ GWh'!$A$2:$BV$2,0))</f>
        <v>0</v>
      </c>
      <c r="Q90" s="57">
        <f>INDEX('Eurostat EB TJ GWh'!$A$2:$BV$146,MATCH($A90,'Eurostat EB TJ GWh'!$A$2:$A$146,0),MATCH(Q$3,'Eurostat EB TJ GWh'!$A$2:$BV$2,0))</f>
        <v>0</v>
      </c>
      <c r="R90" s="57">
        <f>INDEX('Eurostat EB TJ GWh'!$A$2:$BV$146,MATCH($A90,'Eurostat EB TJ GWh'!$A$2:$A$146,0),MATCH(R$2,'Eurostat EB TJ GWh'!$A$2:$BV$2,0))+INDEX('Eurostat EB TJ GWh'!$A$2:$BV$146,MATCH($A90,'Eurostat EB TJ GWh'!$A$2:$A$146,0),MATCH(R$3,'Eurostat EB TJ GWh'!$A$2:$BV$2,0))</f>
        <v>0</v>
      </c>
      <c r="S90" s="57">
        <f>INDEX('Eurostat EB TJ GWh'!$A$2:$BV$146,MATCH($A90,'Eurostat EB TJ GWh'!$A$2:$A$146,0),MATCH(S$3,'Eurostat EB TJ GWh'!$A$2:$BV$2,0))</f>
        <v>666.83</v>
      </c>
      <c r="T90" s="65" t="s">
        <v>323</v>
      </c>
      <c r="U90" s="57">
        <f>INDEX('Eurostat EB TJ GWh'!$A$2:$BV$146,MATCH($A90,'Eurostat EB TJ GWh'!$A$2:$A$146,0),MATCH(U$3,'Eurostat EB TJ GWh'!$A$2:$BV$2,0))</f>
        <v>0</v>
      </c>
      <c r="V90" s="57">
        <f>INDEX('Eurostat EB TJ GWh'!$A$2:$BV$146,MATCH($A90,'Eurostat EB TJ GWh'!$A$2:$A$146,0),MATCH(V$3,'Eurostat EB TJ GWh'!$A$2:$BV$2,0))</f>
        <v>0</v>
      </c>
      <c r="W90" s="57">
        <f>INDEX('Eurostat EB TJ GWh'!$A$2:$BV$146,MATCH($A90,'Eurostat EB TJ GWh'!$A$2:$A$146,0),MATCH(W$3,'Eurostat EB TJ GWh'!$A$2:$BV$2,0))</f>
        <v>0</v>
      </c>
      <c r="X90" s="57">
        <f>INDEX('Eurostat EB TJ GWh'!$A$2:$BV$146,MATCH($A90,'Eurostat EB TJ GWh'!$A$2:$A$146,0),MATCH(X$3,'Eurostat EB TJ GWh'!$A$2:$BV$2,0))</f>
        <v>0</v>
      </c>
      <c r="Y90" s="57">
        <f>INDEX('Eurostat EB TJ GWh'!$A$2:$BV$146,MATCH($A90,'Eurostat EB TJ GWh'!$A$2:$A$146,0),MATCH(Y$3,'Eurostat EB TJ GWh'!$A$2:$BV$2,0))</f>
        <v>0</v>
      </c>
      <c r="Z90" s="57">
        <f>INDEX('Eurostat EB TJ GWh'!$A$2:$BV$146,MATCH($A90,'Eurostat EB TJ GWh'!$A$2:$A$146,0),MATCH(Z$3,'Eurostat EB TJ GWh'!$A$2:$BV$2,0))</f>
        <v>0</v>
      </c>
      <c r="AA90" s="57">
        <f>INDEX('Eurostat EB TJ GWh'!$A$2:$BV$146,MATCH($A90,'Eurostat EB TJ GWh'!$A$2:$A$146,0),MATCH(AA$3,'Eurostat EB TJ GWh'!$A$2:$BV$2,0))</f>
        <v>0</v>
      </c>
      <c r="AB90" s="57">
        <f>INDEX('Eurostat EB TJ GWh'!$A$2:$BV$146,MATCH($A90,'Eurostat EB TJ GWh'!$A$2:$A$146,0),MATCH(AB$3,'Eurostat EB TJ GWh'!$A$2:$BV$2,0))</f>
        <v>0</v>
      </c>
      <c r="AC90" s="57">
        <f>INDEX('Eurostat EB TJ GWh'!$A$2:$BV$146,MATCH($A90,'Eurostat EB TJ GWh'!$A$2:$A$146,0),MATCH(AC$3,'Eurostat EB TJ GWh'!$A$2:$BV$2,0))</f>
        <v>0</v>
      </c>
      <c r="AD90" s="57">
        <f>INDEX('Eurostat EB TJ GWh'!$A$2:$BV$146,MATCH($A90,'Eurostat EB TJ GWh'!$A$2:$A$146,0),MATCH(AD$3,'Eurostat EB TJ GWh'!$A$2:$BV$2,0))</f>
        <v>0</v>
      </c>
      <c r="AE90" s="57">
        <f>INDEX('Eurostat EB TJ GWh'!$A$2:$BV$146,MATCH($A90,'Eurostat EB TJ GWh'!$A$2:$A$146,0),MATCH(AE$3,'Eurostat EB TJ GWh'!$A$2:$BV$2,0))</f>
        <v>0</v>
      </c>
      <c r="AF90" s="57">
        <f>INDEX('Eurostat EB TJ GWh'!$A$2:$BV$146,MATCH($A90,'Eurostat EB TJ GWh'!$A$2:$A$146,0),MATCH(AF$3,'Eurostat EB TJ GWh'!$A$2:$BV$2,0))</f>
        <v>0</v>
      </c>
      <c r="AG90" s="57">
        <f>INDEX('Eurostat EB TJ GWh'!$A$2:$BV$146,MATCH($A90,'Eurostat EB TJ GWh'!$A$2:$A$146,0),MATCH(AG$3,'Eurostat EB TJ GWh'!$A$2:$BV$2,0))</f>
        <v>0</v>
      </c>
      <c r="AH90" s="57">
        <f>INDEX('Eurostat EB TJ GWh'!$A$2:$BV$146,MATCH($A90,'Eurostat EB TJ GWh'!$A$2:$A$146,0),MATCH(AH$3,'Eurostat EB TJ GWh'!$A$2:$BV$2,0))</f>
        <v>0</v>
      </c>
      <c r="AI90" s="57">
        <f>INDEX('Eurostat EB TJ GWh'!$A$2:$BV$146,MATCH($A90,'Eurostat EB TJ GWh'!$A$2:$A$146,0),MATCH(AI$3,'Eurostat EB TJ GWh'!$A$2:$BV$2,0))</f>
        <v>0</v>
      </c>
      <c r="AJ90" s="57">
        <f>INDEX('Eurostat EB TJ GWh'!$A$2:$BV$146,MATCH($A90,'Eurostat EB TJ GWh'!$A$2:$A$146,0),MATCH(AJ$3,'Eurostat EB TJ GWh'!$A$2:$BV$2,0))</f>
        <v>0</v>
      </c>
      <c r="AK90" s="57">
        <f>INDEX('Eurostat EB TJ GWh'!$A$2:$BV$146,MATCH($A90,'Eurostat EB TJ GWh'!$A$2:$A$146,0),MATCH(AK$3,'Eurostat EB TJ GWh'!$A$2:$BV$2,0))</f>
        <v>0</v>
      </c>
      <c r="AL90" s="57">
        <f>INDEX('Eurostat EB TJ GWh'!$A$2:$BV$146,MATCH($A90,'Eurostat EB TJ GWh'!$A$2:$A$146,0),MATCH(AL$3,'Eurostat EB TJ GWh'!$A$2:$BV$2,0))</f>
        <v>0</v>
      </c>
      <c r="AM90" s="57">
        <f>INDEX('Eurostat EB TJ GWh'!$A$2:$BV$146,MATCH($A90,'Eurostat EB TJ GWh'!$A$2:$A$146,0),MATCH(AM$3,'Eurostat EB TJ GWh'!$A$2:$BV$2,0))</f>
        <v>0</v>
      </c>
      <c r="AN90" s="57">
        <f>INDEX('Eurostat EB TJ GWh'!$A$2:$BV$146,MATCH($A90,'Eurostat EB TJ GWh'!$A$2:$A$146,0),MATCH(AN$3,'Eurostat EB TJ GWh'!$A$2:$BV$2,0))</f>
        <v>0</v>
      </c>
      <c r="AO90" s="57">
        <f>INDEX('Eurostat EB TJ GWh'!$A$2:$BV$146,MATCH($A90,'Eurostat EB TJ GWh'!$A$2:$A$146,0),MATCH(AO$3,'Eurostat EB TJ GWh'!$A$2:$BV$2,0))</f>
        <v>0</v>
      </c>
      <c r="AP90" s="57">
        <f>INDEX('Eurostat EB TJ GWh'!$A$2:$BV$146,MATCH($A90,'Eurostat EB TJ GWh'!$A$2:$A$146,0),MATCH(AP$3,'Eurostat EB TJ GWh'!$A$2:$BV$2,0))</f>
        <v>0</v>
      </c>
      <c r="AQ90" s="57">
        <f>INDEX('Eurostat EB TJ GWh'!$A$2:$BV$146,MATCH($A90,'Eurostat EB TJ GWh'!$A$2:$A$146,0),MATCH(AQ$3,'Eurostat EB TJ GWh'!$A$2:$BV$2,0))</f>
        <v>0</v>
      </c>
      <c r="AR90" s="57">
        <f>INDEX('Eurostat EB TJ GWh'!$A$2:$BV$146,MATCH($A90,'Eurostat EB TJ GWh'!$A$2:$A$146,0),MATCH(AR$3,'Eurostat EB TJ GWh'!$A$2:$BV$2,0))</f>
        <v>0</v>
      </c>
      <c r="AS90" s="57">
        <f>INDEX('Eurostat EB TJ GWh'!$A$2:$BV$146,MATCH($A90,'Eurostat EB TJ GWh'!$A$2:$A$146,0),MATCH(AS$3,'Eurostat EB TJ GWh'!$A$2:$BV$2,0))</f>
        <v>0</v>
      </c>
      <c r="AT90" s="57">
        <f>INDEX('Eurostat EB TJ GWh'!$A$2:$BV$146,MATCH($A90,'Eurostat EB TJ GWh'!$A$2:$A$146,0),MATCH(AT$3,'Eurostat EB TJ GWh'!$A$2:$BV$2,0))</f>
        <v>0</v>
      </c>
      <c r="AU90" s="57">
        <f>INDEX('Eurostat EB TJ GWh'!$A$2:$BV$146,MATCH($A90,'Eurostat EB TJ GWh'!$A$2:$A$146,0),MATCH(AU$3,'Eurostat EB TJ GWh'!$A$2:$BV$2,0))</f>
        <v>0</v>
      </c>
      <c r="AV90" s="57">
        <f>INDEX('Eurostat EB TJ GWh'!$A$2:$BV$146,MATCH($A90,'Eurostat EB TJ GWh'!$A$2:$A$146,0),MATCH(AV$2,'Eurostat EB TJ GWh'!$A$2:$BV$2,0))+INDEX('Eurostat EB TJ GWh'!$A$2:$BV$146,MATCH($A90,'Eurostat EB TJ GWh'!$A$2:$A$146,0),MATCH(AV$3,'Eurostat EB TJ GWh'!$A$2:$BV$2,0))</f>
        <v>0</v>
      </c>
      <c r="AW90" s="57">
        <f>INDEX('Eurostat EB TJ GWh'!$A$2:$BV$146,MATCH($A90,'Eurostat EB TJ GWh'!$A$2:$A$146,0),MATCH(AW$2,'Eurostat EB TJ GWh'!$A$2:$BV$2,0))+INDEX('Eurostat EB TJ GWh'!$A$2:$BV$146,MATCH($A90,'Eurostat EB TJ GWh'!$A$2:$A$146,0),MATCH(AW$3,'Eurostat EB TJ GWh'!$A$2:$BV$2,0))</f>
        <v>0</v>
      </c>
      <c r="AX90" s="57">
        <f>INDEX('Eurostat EB TJ GWh'!$A$2:$BV$146,MATCH($A90,'Eurostat EB TJ GWh'!$A$2:$A$146,0),MATCH(AX$3,'Eurostat EB TJ GWh'!$A$2:$BV$2,0))</f>
        <v>0</v>
      </c>
      <c r="AY90" s="65">
        <v>0</v>
      </c>
      <c r="AZ90" s="57">
        <f>INDEX('Eurostat EB TJ GWh'!$A$2:$BV$146,MATCH($A90,'Eurostat EB TJ GWh'!$A$2:$A$146,0),MATCH(AZ$3,'Eurostat EB TJ GWh'!$A$2:$BV$2,0))</f>
        <v>0</v>
      </c>
      <c r="BA90" s="65">
        <v>0</v>
      </c>
      <c r="BB90" s="65">
        <v>0</v>
      </c>
      <c r="BC90" s="57">
        <f>INDEX('Eurostat EB TJ GWh'!$A$2:$BV$146,MATCH($A90,'Eurostat EB TJ GWh'!$A$2:$A$146,0),MATCH(BC$3,'Eurostat EB TJ GWh'!$A$2:$BV$2,0))</f>
        <v>0</v>
      </c>
      <c r="BD90" s="57">
        <f>INDEX('Eurostat EB TJ GWh'!$A$2:$BV$146,MATCH($A90,'Eurostat EB TJ GWh'!$A$2:$A$146,0),MATCH(BD$3,'Eurostat EB TJ GWh'!$A$2:$BV$2,0))</f>
        <v>0</v>
      </c>
      <c r="BE90" s="57">
        <f>INDEX('Eurostat EB TJ GWh'!$A$2:$BV$146,MATCH($A90,'Eurostat EB TJ GWh'!$A$2:$A$146,0),MATCH(BE$3,'Eurostat EB TJ GWh'!$A$2:$BV$2,0))</f>
        <v>0</v>
      </c>
      <c r="BF90" s="57">
        <f>INDEX('Eurostat EB TJ GWh'!$A$2:$BV$146,MATCH($A90,'Eurostat EB TJ GWh'!$A$2:$A$146,0),MATCH(BF$3,'Eurostat EB TJ GWh'!$A$2:$BV$2,0))</f>
        <v>0</v>
      </c>
      <c r="BG90" s="57">
        <f>INDEX('Eurostat EB TJ GWh'!$A$2:$BV$146,MATCH($A90,'Eurostat EB TJ GWh'!$A$2:$A$146,0),MATCH(BG$3,'Eurostat EB TJ GWh'!$A$2:$BV$2,0))</f>
        <v>0</v>
      </c>
      <c r="BH90" s="57">
        <f>INDEX('Eurostat EB TJ GWh'!$A$2:$BV$146,MATCH($A90,'Eurostat EB TJ GWh'!$A$2:$A$146,0),MATCH(BH$3,'Eurostat EB TJ GWh'!$A$2:$BV$2,0))</f>
        <v>0</v>
      </c>
      <c r="BI90" s="57">
        <f>INDEX('Eurostat EB TJ GWh'!$A$2:$BV$146,MATCH($A90,'Eurostat EB TJ GWh'!$A$2:$A$146,0),MATCH(BI$3,'Eurostat EB TJ GWh'!$A$2:$BV$2,0))</f>
        <v>0</v>
      </c>
      <c r="BJ90" s="65">
        <v>0</v>
      </c>
      <c r="BK90" s="57">
        <f>INDEX('Eurostat EB TJ GWh'!$A$2:$BV$146,MATCH($A90,'Eurostat EB TJ GWh'!$A$2:$A$146,0),MATCH(BK$3,'Eurostat EB TJ GWh'!$A$2:$BV$2,0))</f>
        <v>1048.2370000000001</v>
      </c>
      <c r="BL90" s="57">
        <f>INDEX('Eurostat EB TJ GWh'!$A$2:$BV$146,MATCH($A90,'Eurostat EB TJ GWh'!$A$2:$A$146,0),MATCH(BL$3,'Eurostat EB TJ GWh'!$A$2:$BV$2,0))</f>
        <v>1666.0360000000001</v>
      </c>
      <c r="BM90" s="57">
        <f>INDEX('Eurostat EB TJ GWh'!$A$2:$BV$146,MATCH($A90,'Eurostat EB TJ GWh'!$A$2:$A$146,0),MATCH(BM$3,'Eurostat EB TJ GWh'!$A$2:$BV$2,0))</f>
        <v>3381.1030000000001</v>
      </c>
      <c r="BN90" s="57">
        <f>INDEX('Eurostat EB TJ GWh'!$A$2:$BV$146,MATCH($A90,'Eurostat EB TJ GWh'!$A$2:$A$146,0),MATCH(BN$3,'Eurostat EB TJ GWh'!$A$2:$BV$2,0))</f>
        <v>442.34300000000002</v>
      </c>
    </row>
    <row r="91" spans="1:66" x14ac:dyDescent="0.2">
      <c r="A91" s="56" t="s">
        <v>98</v>
      </c>
      <c r="B91" s="65" t="s">
        <v>323</v>
      </c>
      <c r="C91" s="65" t="s">
        <v>323</v>
      </c>
      <c r="D91" s="17">
        <f>INDEX('Eurostat EB TJ GWh'!$A$2:$BV$146,MATCH($A91,'Eurostat EB TJ GWh'!$A$2:$A$146,0),MATCH(D$3,'Eurostat EB TJ GWh'!$A$2:$BV$2,0))</f>
        <v>0</v>
      </c>
      <c r="E91" s="17">
        <f>INDEX('Eurostat EB TJ GWh'!$A$2:$BV$146,MATCH($A91,'Eurostat EB TJ GWh'!$A$2:$A$146,0),MATCH(E$3,'Eurostat EB TJ GWh'!$A$2:$BV$2,0))</f>
        <v>0</v>
      </c>
      <c r="F91" s="17">
        <f>INDEX('Eurostat EB TJ GWh'!$A$2:$BV$146,MATCH($A91,'Eurostat EB TJ GWh'!$A$2:$A$146,0),MATCH(F$3,'Eurostat EB TJ GWh'!$A$2:$BV$2,0))</f>
        <v>0</v>
      </c>
      <c r="G91" s="17">
        <f>INDEX('Eurostat EB TJ GWh'!$A$2:$BV$146,MATCH($A91,'Eurostat EB TJ GWh'!$A$2:$A$146,0),MATCH(G$3,'Eurostat EB TJ GWh'!$A$2:$BV$2,0))</f>
        <v>0</v>
      </c>
      <c r="H91" s="17">
        <f>INDEX('Eurostat EB TJ GWh'!$A$2:$BV$146,MATCH($A91,'Eurostat EB TJ GWh'!$A$2:$A$146,0),MATCH(H$3,'Eurostat EB TJ GWh'!$A$2:$BV$2,0))</f>
        <v>0</v>
      </c>
      <c r="I91" s="17">
        <f>INDEX('Eurostat EB TJ GWh'!$A$2:$BV$146,MATCH($A91,'Eurostat EB TJ GWh'!$A$2:$A$146,0),MATCH(I$3,'Eurostat EB TJ GWh'!$A$2:$BV$2,0))</f>
        <v>0</v>
      </c>
      <c r="J91" s="17">
        <f>INDEX('Eurostat EB TJ GWh'!$A$2:$BV$146,MATCH($A91,'Eurostat EB TJ GWh'!$A$2:$A$146,0),MATCH(J$3,'Eurostat EB TJ GWh'!$A$2:$BV$2,0))</f>
        <v>0</v>
      </c>
      <c r="K91" s="17">
        <f>INDEX('Eurostat EB TJ GWh'!$A$2:$BV$146,MATCH($A91,'Eurostat EB TJ GWh'!$A$2:$A$146,0),MATCH(K$3,'Eurostat EB TJ GWh'!$A$2:$BV$2,0))</f>
        <v>0</v>
      </c>
      <c r="L91" s="17">
        <f>INDEX('Eurostat EB TJ GWh'!$A$2:$BV$146,MATCH($A91,'Eurostat EB TJ GWh'!$A$2:$A$146,0),MATCH(L$3,'Eurostat EB TJ GWh'!$A$2:$BV$2,0))</f>
        <v>0</v>
      </c>
      <c r="M91" s="17">
        <f>INDEX('Eurostat EB TJ GWh'!$A$2:$BV$146,MATCH($A91,'Eurostat EB TJ GWh'!$A$2:$A$146,0),MATCH(M$3,'Eurostat EB TJ GWh'!$A$2:$BV$2,0))</f>
        <v>0</v>
      </c>
      <c r="N91" s="17">
        <f>INDEX('Eurostat EB TJ GWh'!$A$2:$BV$146,MATCH($A91,'Eurostat EB TJ GWh'!$A$2:$A$146,0),MATCH(N$3,'Eurostat EB TJ GWh'!$A$2:$BV$2,0))</f>
        <v>0</v>
      </c>
      <c r="O91" s="17">
        <f>INDEX('Eurostat EB TJ GWh'!$A$2:$BV$146,MATCH($A91,'Eurostat EB TJ GWh'!$A$2:$A$146,0),MATCH(O$3,'Eurostat EB TJ GWh'!$A$2:$BV$2,0))</f>
        <v>0</v>
      </c>
      <c r="P91" s="17">
        <f>INDEX('Eurostat EB TJ GWh'!$A$2:$BV$146,MATCH($A91,'Eurostat EB TJ GWh'!$A$2:$A$146,0),MATCH(P$3,'Eurostat EB TJ GWh'!$A$2:$BV$2,0))</f>
        <v>0</v>
      </c>
      <c r="Q91" s="17">
        <f>INDEX('Eurostat EB TJ GWh'!$A$2:$BV$146,MATCH($A91,'Eurostat EB TJ GWh'!$A$2:$A$146,0),MATCH(Q$3,'Eurostat EB TJ GWh'!$A$2:$BV$2,0))</f>
        <v>0</v>
      </c>
      <c r="R91" s="17">
        <f>INDEX('Eurostat EB TJ GWh'!$A$2:$BV$146,MATCH($A91,'Eurostat EB TJ GWh'!$A$2:$A$146,0),MATCH(R$2,'Eurostat EB TJ GWh'!$A$2:$BV$2,0))+INDEX('Eurostat EB TJ GWh'!$A$2:$BV$146,MATCH($A91,'Eurostat EB TJ GWh'!$A$2:$A$146,0),MATCH(R$3,'Eurostat EB TJ GWh'!$A$2:$BV$2,0))</f>
        <v>0</v>
      </c>
      <c r="S91" s="17">
        <f>INDEX('Eurostat EB TJ GWh'!$A$2:$BV$146,MATCH($A91,'Eurostat EB TJ GWh'!$A$2:$A$146,0),MATCH(S$3,'Eurostat EB TJ GWh'!$A$2:$BV$2,0))</f>
        <v>47.442999999999998</v>
      </c>
      <c r="T91" s="65" t="s">
        <v>323</v>
      </c>
      <c r="U91" s="17">
        <f>INDEX('Eurostat EB TJ GWh'!$A$2:$BV$146,MATCH($A91,'Eurostat EB TJ GWh'!$A$2:$A$146,0),MATCH(U$3,'Eurostat EB TJ GWh'!$A$2:$BV$2,0))</f>
        <v>0</v>
      </c>
      <c r="V91" s="17">
        <f>INDEX('Eurostat EB TJ GWh'!$A$2:$BV$146,MATCH($A91,'Eurostat EB TJ GWh'!$A$2:$A$146,0),MATCH(V$3,'Eurostat EB TJ GWh'!$A$2:$BV$2,0))</f>
        <v>0</v>
      </c>
      <c r="W91" s="17">
        <f>INDEX('Eurostat EB TJ GWh'!$A$2:$BV$146,MATCH($A91,'Eurostat EB TJ GWh'!$A$2:$A$146,0),MATCH(W$3,'Eurostat EB TJ GWh'!$A$2:$BV$2,0))</f>
        <v>0</v>
      </c>
      <c r="X91" s="17">
        <f>INDEX('Eurostat EB TJ GWh'!$A$2:$BV$146,MATCH($A91,'Eurostat EB TJ GWh'!$A$2:$A$146,0),MATCH(X$3,'Eurostat EB TJ GWh'!$A$2:$BV$2,0))</f>
        <v>0</v>
      </c>
      <c r="Y91" s="17">
        <f>INDEX('Eurostat EB TJ GWh'!$A$2:$BV$146,MATCH($A91,'Eurostat EB TJ GWh'!$A$2:$A$146,0),MATCH(Y$3,'Eurostat EB TJ GWh'!$A$2:$BV$2,0))</f>
        <v>0</v>
      </c>
      <c r="Z91" s="17">
        <f>INDEX('Eurostat EB TJ GWh'!$A$2:$BV$146,MATCH($A91,'Eurostat EB TJ GWh'!$A$2:$A$146,0),MATCH(Z$3,'Eurostat EB TJ GWh'!$A$2:$BV$2,0))</f>
        <v>0</v>
      </c>
      <c r="AA91" s="17">
        <f>INDEX('Eurostat EB TJ GWh'!$A$2:$BV$146,MATCH($A91,'Eurostat EB TJ GWh'!$A$2:$A$146,0),MATCH(AA$3,'Eurostat EB TJ GWh'!$A$2:$BV$2,0))</f>
        <v>0</v>
      </c>
      <c r="AB91" s="17">
        <f>INDEX('Eurostat EB TJ GWh'!$A$2:$BV$146,MATCH($A91,'Eurostat EB TJ GWh'!$A$2:$A$146,0),MATCH(AB$3,'Eurostat EB TJ GWh'!$A$2:$BV$2,0))</f>
        <v>0</v>
      </c>
      <c r="AC91" s="17">
        <f>INDEX('Eurostat EB TJ GWh'!$A$2:$BV$146,MATCH($A91,'Eurostat EB TJ GWh'!$A$2:$A$146,0),MATCH(AC$3,'Eurostat EB TJ GWh'!$A$2:$BV$2,0))</f>
        <v>0</v>
      </c>
      <c r="AD91" s="17">
        <f>INDEX('Eurostat EB TJ GWh'!$A$2:$BV$146,MATCH($A91,'Eurostat EB TJ GWh'!$A$2:$A$146,0),MATCH(AD$3,'Eurostat EB TJ GWh'!$A$2:$BV$2,0))</f>
        <v>0</v>
      </c>
      <c r="AE91" s="17">
        <f>INDEX('Eurostat EB TJ GWh'!$A$2:$BV$146,MATCH($A91,'Eurostat EB TJ GWh'!$A$2:$A$146,0),MATCH(AE$3,'Eurostat EB TJ GWh'!$A$2:$BV$2,0))</f>
        <v>0</v>
      </c>
      <c r="AF91" s="17">
        <f>INDEX('Eurostat EB TJ GWh'!$A$2:$BV$146,MATCH($A91,'Eurostat EB TJ GWh'!$A$2:$A$146,0),MATCH(AF$3,'Eurostat EB TJ GWh'!$A$2:$BV$2,0))</f>
        <v>0</v>
      </c>
      <c r="AG91" s="17">
        <f>INDEX('Eurostat EB TJ GWh'!$A$2:$BV$146,MATCH($A91,'Eurostat EB TJ GWh'!$A$2:$A$146,0),MATCH(AG$3,'Eurostat EB TJ GWh'!$A$2:$BV$2,0))</f>
        <v>0</v>
      </c>
      <c r="AH91" s="17">
        <f>INDEX('Eurostat EB TJ GWh'!$A$2:$BV$146,MATCH($A91,'Eurostat EB TJ GWh'!$A$2:$A$146,0),MATCH(AH$3,'Eurostat EB TJ GWh'!$A$2:$BV$2,0))</f>
        <v>0</v>
      </c>
      <c r="AI91" s="17">
        <f>INDEX('Eurostat EB TJ GWh'!$A$2:$BV$146,MATCH($A91,'Eurostat EB TJ GWh'!$A$2:$A$146,0),MATCH(AI$3,'Eurostat EB TJ GWh'!$A$2:$BV$2,0))</f>
        <v>0</v>
      </c>
      <c r="AJ91" s="17">
        <f>INDEX('Eurostat EB TJ GWh'!$A$2:$BV$146,MATCH($A91,'Eurostat EB TJ GWh'!$A$2:$A$146,0),MATCH(AJ$3,'Eurostat EB TJ GWh'!$A$2:$BV$2,0))</f>
        <v>0</v>
      </c>
      <c r="AK91" s="17">
        <f>INDEX('Eurostat EB TJ GWh'!$A$2:$BV$146,MATCH($A91,'Eurostat EB TJ GWh'!$A$2:$A$146,0),MATCH(AK$3,'Eurostat EB TJ GWh'!$A$2:$BV$2,0))</f>
        <v>0</v>
      </c>
      <c r="AL91" s="17">
        <f>INDEX('Eurostat EB TJ GWh'!$A$2:$BV$146,MATCH($A91,'Eurostat EB TJ GWh'!$A$2:$A$146,0),MATCH(AL$3,'Eurostat EB TJ GWh'!$A$2:$BV$2,0))</f>
        <v>0</v>
      </c>
      <c r="AM91" s="17">
        <f>INDEX('Eurostat EB TJ GWh'!$A$2:$BV$146,MATCH($A91,'Eurostat EB TJ GWh'!$A$2:$A$146,0),MATCH(AM$3,'Eurostat EB TJ GWh'!$A$2:$BV$2,0))</f>
        <v>0</v>
      </c>
      <c r="AN91" s="17">
        <f>INDEX('Eurostat EB TJ GWh'!$A$2:$BV$146,MATCH($A91,'Eurostat EB TJ GWh'!$A$2:$A$146,0),MATCH(AN$3,'Eurostat EB TJ GWh'!$A$2:$BV$2,0))</f>
        <v>0</v>
      </c>
      <c r="AO91" s="17">
        <f>INDEX('Eurostat EB TJ GWh'!$A$2:$BV$146,MATCH($A91,'Eurostat EB TJ GWh'!$A$2:$A$146,0),MATCH(AO$3,'Eurostat EB TJ GWh'!$A$2:$BV$2,0))</f>
        <v>0</v>
      </c>
      <c r="AP91" s="17">
        <f>INDEX('Eurostat EB TJ GWh'!$A$2:$BV$146,MATCH($A91,'Eurostat EB TJ GWh'!$A$2:$A$146,0),MATCH(AP$3,'Eurostat EB TJ GWh'!$A$2:$BV$2,0))</f>
        <v>0</v>
      </c>
      <c r="AQ91" s="17">
        <f>INDEX('Eurostat EB TJ GWh'!$A$2:$BV$146,MATCH($A91,'Eurostat EB TJ GWh'!$A$2:$A$146,0),MATCH(AQ$3,'Eurostat EB TJ GWh'!$A$2:$BV$2,0))</f>
        <v>0</v>
      </c>
      <c r="AR91" s="17">
        <f>INDEX('Eurostat EB TJ GWh'!$A$2:$BV$146,MATCH($A91,'Eurostat EB TJ GWh'!$A$2:$A$146,0),MATCH(AR$3,'Eurostat EB TJ GWh'!$A$2:$BV$2,0))</f>
        <v>0</v>
      </c>
      <c r="AS91" s="17">
        <f>INDEX('Eurostat EB TJ GWh'!$A$2:$BV$146,MATCH($A91,'Eurostat EB TJ GWh'!$A$2:$A$146,0),MATCH(AS$3,'Eurostat EB TJ GWh'!$A$2:$BV$2,0))</f>
        <v>0</v>
      </c>
      <c r="AT91" s="17">
        <f>INDEX('Eurostat EB TJ GWh'!$A$2:$BV$146,MATCH($A91,'Eurostat EB TJ GWh'!$A$2:$A$146,0),MATCH(AT$3,'Eurostat EB TJ GWh'!$A$2:$BV$2,0))</f>
        <v>0</v>
      </c>
      <c r="AU91" s="17">
        <f>INDEX('Eurostat EB TJ GWh'!$A$2:$BV$146,MATCH($A91,'Eurostat EB TJ GWh'!$A$2:$A$146,0),MATCH(AU$3,'Eurostat EB TJ GWh'!$A$2:$BV$2,0))</f>
        <v>0</v>
      </c>
      <c r="AV91" s="17">
        <f>INDEX('Eurostat EB TJ GWh'!$A$2:$BV$146,MATCH($A91,'Eurostat EB TJ GWh'!$A$2:$A$146,0),MATCH(AV$2,'Eurostat EB TJ GWh'!$A$2:$BV$2,0))+INDEX('Eurostat EB TJ GWh'!$A$2:$BV$146,MATCH($A91,'Eurostat EB TJ GWh'!$A$2:$A$146,0),MATCH(AV$3,'Eurostat EB TJ GWh'!$A$2:$BV$2,0))</f>
        <v>0</v>
      </c>
      <c r="AW91" s="17">
        <f>INDEX('Eurostat EB TJ GWh'!$A$2:$BV$146,MATCH($A91,'Eurostat EB TJ GWh'!$A$2:$A$146,0),MATCH(AW$2,'Eurostat EB TJ GWh'!$A$2:$BV$2,0))+INDEX('Eurostat EB TJ GWh'!$A$2:$BV$146,MATCH($A91,'Eurostat EB TJ GWh'!$A$2:$A$146,0),MATCH(AW$3,'Eurostat EB TJ GWh'!$A$2:$BV$2,0))</f>
        <v>0</v>
      </c>
      <c r="AX91" s="17">
        <f>INDEX('Eurostat EB TJ GWh'!$A$2:$BV$146,MATCH($A91,'Eurostat EB TJ GWh'!$A$2:$A$146,0),MATCH(AX$3,'Eurostat EB TJ GWh'!$A$2:$BV$2,0))</f>
        <v>0</v>
      </c>
      <c r="AY91" s="72">
        <v>0</v>
      </c>
      <c r="AZ91" s="17">
        <f>INDEX('Eurostat EB TJ GWh'!$A$2:$BV$146,MATCH($A91,'Eurostat EB TJ GWh'!$A$2:$A$146,0),MATCH(AZ$3,'Eurostat EB TJ GWh'!$A$2:$BV$2,0))</f>
        <v>0</v>
      </c>
      <c r="BA91" s="72">
        <v>0</v>
      </c>
      <c r="BB91" s="72">
        <v>0</v>
      </c>
      <c r="BC91" s="17">
        <f>INDEX('Eurostat EB TJ GWh'!$A$2:$BV$146,MATCH($A91,'Eurostat EB TJ GWh'!$A$2:$A$146,0),MATCH(BC$3,'Eurostat EB TJ GWh'!$A$2:$BV$2,0))</f>
        <v>0</v>
      </c>
      <c r="BD91" s="17">
        <f>INDEX('Eurostat EB TJ GWh'!$A$2:$BV$146,MATCH($A91,'Eurostat EB TJ GWh'!$A$2:$A$146,0),MATCH(BD$3,'Eurostat EB TJ GWh'!$A$2:$BV$2,0))</f>
        <v>0</v>
      </c>
      <c r="BE91" s="17">
        <f>INDEX('Eurostat EB TJ GWh'!$A$2:$BV$146,MATCH($A91,'Eurostat EB TJ GWh'!$A$2:$A$146,0),MATCH(BE$3,'Eurostat EB TJ GWh'!$A$2:$BV$2,0))</f>
        <v>0</v>
      </c>
      <c r="BF91" s="17">
        <f>INDEX('Eurostat EB TJ GWh'!$A$2:$BV$146,MATCH($A91,'Eurostat EB TJ GWh'!$A$2:$A$146,0),MATCH(BF$3,'Eurostat EB TJ GWh'!$A$2:$BV$2,0))</f>
        <v>0</v>
      </c>
      <c r="BG91" s="17">
        <f>INDEX('Eurostat EB TJ GWh'!$A$2:$BV$146,MATCH($A91,'Eurostat EB TJ GWh'!$A$2:$A$146,0),MATCH(BG$3,'Eurostat EB TJ GWh'!$A$2:$BV$2,0))</f>
        <v>0</v>
      </c>
      <c r="BH91" s="17">
        <f>INDEX('Eurostat EB TJ GWh'!$A$2:$BV$146,MATCH($A91,'Eurostat EB TJ GWh'!$A$2:$A$146,0),MATCH(BH$3,'Eurostat EB TJ GWh'!$A$2:$BV$2,0))</f>
        <v>0</v>
      </c>
      <c r="BI91" s="17">
        <f>INDEX('Eurostat EB TJ GWh'!$A$2:$BV$146,MATCH($A91,'Eurostat EB TJ GWh'!$A$2:$A$146,0),MATCH(BI$3,'Eurostat EB TJ GWh'!$A$2:$BV$2,0))</f>
        <v>0</v>
      </c>
      <c r="BJ91" s="72">
        <v>0</v>
      </c>
      <c r="BK91" s="17">
        <f>INDEX('Eurostat EB TJ GWh'!$A$2:$BV$146,MATCH($A91,'Eurostat EB TJ GWh'!$A$2:$A$146,0),MATCH(BK$3,'Eurostat EB TJ GWh'!$A$2:$BV$2,0))</f>
        <v>18101.606</v>
      </c>
      <c r="BL91" s="17">
        <f>INDEX('Eurostat EB TJ GWh'!$A$2:$BV$146,MATCH($A91,'Eurostat EB TJ GWh'!$A$2:$A$146,0),MATCH(BL$3,'Eurostat EB TJ GWh'!$A$2:$BV$2,0))</f>
        <v>7619.5709999999999</v>
      </c>
      <c r="BM91" s="17">
        <f>INDEX('Eurostat EB TJ GWh'!$A$2:$BV$146,MATCH($A91,'Eurostat EB TJ GWh'!$A$2:$A$146,0),MATCH(BM$3,'Eurostat EB TJ GWh'!$A$2:$BV$2,0))</f>
        <v>25768.62</v>
      </c>
      <c r="BN91" s="17">
        <f>INDEX('Eurostat EB TJ GWh'!$A$2:$BV$146,MATCH($A91,'Eurostat EB TJ GWh'!$A$2:$A$146,0),MATCH(BN$3,'Eurostat EB TJ GWh'!$A$2:$BV$2,0))</f>
        <v>2878.2260000000001</v>
      </c>
    </row>
    <row r="92" spans="1:66" x14ac:dyDescent="0.2">
      <c r="A92" s="56" t="s">
        <v>279</v>
      </c>
      <c r="B92" s="65" t="s">
        <v>323</v>
      </c>
      <c r="C92" s="65" t="s">
        <v>323</v>
      </c>
      <c r="D92" s="57">
        <f>INDEX('Eurostat EB TJ GWh'!$A$2:$BV$146,MATCH($A92,'Eurostat EB TJ GWh'!$A$2:$A$146,0),MATCH(D$3,'Eurostat EB TJ GWh'!$A$2:$BV$2,0))</f>
        <v>74.216999999999999</v>
      </c>
      <c r="E92" s="57">
        <f>INDEX('Eurostat EB TJ GWh'!$A$2:$BV$146,MATCH($A92,'Eurostat EB TJ GWh'!$A$2:$A$146,0),MATCH(E$3,'Eurostat EB TJ GWh'!$A$2:$BV$2,0))</f>
        <v>18.925000000000001</v>
      </c>
      <c r="F92" s="57">
        <f>INDEX('Eurostat EB TJ GWh'!$A$2:$BV$146,MATCH($A92,'Eurostat EB TJ GWh'!$A$2:$A$146,0),MATCH(F$3,'Eurostat EB TJ GWh'!$A$2:$BV$2,0))</f>
        <v>0</v>
      </c>
      <c r="G92" s="57">
        <f>INDEX('Eurostat EB TJ GWh'!$A$2:$BV$146,MATCH($A92,'Eurostat EB TJ GWh'!$A$2:$A$146,0),MATCH(G$3,'Eurostat EB TJ GWh'!$A$2:$BV$2,0))</f>
        <v>0</v>
      </c>
      <c r="H92" s="57">
        <f>INDEX('Eurostat EB TJ GWh'!$A$2:$BV$146,MATCH($A92,'Eurostat EB TJ GWh'!$A$2:$A$146,0),MATCH(H$3,'Eurostat EB TJ GWh'!$A$2:$BV$2,0))</f>
        <v>0</v>
      </c>
      <c r="I92" s="57">
        <f>INDEX('Eurostat EB TJ GWh'!$A$2:$BV$146,MATCH($A92,'Eurostat EB TJ GWh'!$A$2:$A$146,0),MATCH(I$3,'Eurostat EB TJ GWh'!$A$2:$BV$2,0))</f>
        <v>0</v>
      </c>
      <c r="J92" s="57">
        <f>INDEX('Eurostat EB TJ GWh'!$A$2:$BV$146,MATCH($A92,'Eurostat EB TJ GWh'!$A$2:$A$146,0),MATCH(J$3,'Eurostat EB TJ GWh'!$A$2:$BV$2,0))</f>
        <v>251.399</v>
      </c>
      <c r="K92" s="57">
        <f>INDEX('Eurostat EB TJ GWh'!$A$2:$BV$146,MATCH($A92,'Eurostat EB TJ GWh'!$A$2:$A$146,0),MATCH(K$3,'Eurostat EB TJ GWh'!$A$2:$BV$2,0))</f>
        <v>0</v>
      </c>
      <c r="L92" s="57">
        <f>INDEX('Eurostat EB TJ GWh'!$A$2:$BV$146,MATCH($A92,'Eurostat EB TJ GWh'!$A$2:$A$146,0),MATCH(L$3,'Eurostat EB TJ GWh'!$A$2:$BV$2,0))</f>
        <v>917.98699999999997</v>
      </c>
      <c r="M92" s="57">
        <f>INDEX('Eurostat EB TJ GWh'!$A$2:$BV$146,MATCH($A92,'Eurostat EB TJ GWh'!$A$2:$A$146,0),MATCH(M$3,'Eurostat EB TJ GWh'!$A$2:$BV$2,0))</f>
        <v>0</v>
      </c>
      <c r="N92" s="57">
        <f>INDEX('Eurostat EB TJ GWh'!$A$2:$BV$146,MATCH($A92,'Eurostat EB TJ GWh'!$A$2:$A$146,0),MATCH(N$3,'Eurostat EB TJ GWh'!$A$2:$BV$2,0))</f>
        <v>0</v>
      </c>
      <c r="O92" s="57">
        <f>INDEX('Eurostat EB TJ GWh'!$A$2:$BV$146,MATCH($A92,'Eurostat EB TJ GWh'!$A$2:$A$146,0),MATCH(O$3,'Eurostat EB TJ GWh'!$A$2:$BV$2,0))</f>
        <v>0</v>
      </c>
      <c r="P92" s="57">
        <f>INDEX('Eurostat EB TJ GWh'!$A$2:$BV$146,MATCH($A92,'Eurostat EB TJ GWh'!$A$2:$A$146,0),MATCH(P$3,'Eurostat EB TJ GWh'!$A$2:$BV$2,0))</f>
        <v>0</v>
      </c>
      <c r="Q92" s="57">
        <f>INDEX('Eurostat EB TJ GWh'!$A$2:$BV$146,MATCH($A92,'Eurostat EB TJ GWh'!$A$2:$A$146,0),MATCH(Q$3,'Eurostat EB TJ GWh'!$A$2:$BV$2,0))</f>
        <v>0</v>
      </c>
      <c r="R92" s="57">
        <f>INDEX('Eurostat EB TJ GWh'!$A$2:$BV$146,MATCH($A92,'Eurostat EB TJ GWh'!$A$2:$A$146,0),MATCH(R$2,'Eurostat EB TJ GWh'!$A$2:$BV$2,0))+INDEX('Eurostat EB TJ GWh'!$A$2:$BV$146,MATCH($A92,'Eurostat EB TJ GWh'!$A$2:$A$146,0),MATCH(R$3,'Eurostat EB TJ GWh'!$A$2:$BV$2,0))</f>
        <v>0</v>
      </c>
      <c r="S92" s="57">
        <f>INDEX('Eurostat EB TJ GWh'!$A$2:$BV$146,MATCH($A92,'Eurostat EB TJ GWh'!$A$2:$A$146,0),MATCH(S$3,'Eurostat EB TJ GWh'!$A$2:$BV$2,0))</f>
        <v>67016.747000000003</v>
      </c>
      <c r="T92" s="65" t="s">
        <v>323</v>
      </c>
      <c r="U92" s="57">
        <f>INDEX('Eurostat EB TJ GWh'!$A$2:$BV$146,MATCH($A92,'Eurostat EB TJ GWh'!$A$2:$A$146,0),MATCH(U$3,'Eurostat EB TJ GWh'!$A$2:$BV$2,0))</f>
        <v>0</v>
      </c>
      <c r="V92" s="57">
        <f>INDEX('Eurostat EB TJ GWh'!$A$2:$BV$146,MATCH($A92,'Eurostat EB TJ GWh'!$A$2:$A$146,0),MATCH(V$3,'Eurostat EB TJ GWh'!$A$2:$BV$2,0))</f>
        <v>113287.74400000001</v>
      </c>
      <c r="W92" s="57">
        <f>INDEX('Eurostat EB TJ GWh'!$A$2:$BV$146,MATCH($A92,'Eurostat EB TJ GWh'!$A$2:$A$146,0),MATCH(W$3,'Eurostat EB TJ GWh'!$A$2:$BV$2,0))</f>
        <v>0</v>
      </c>
      <c r="X92" s="57">
        <f>INDEX('Eurostat EB TJ GWh'!$A$2:$BV$146,MATCH($A92,'Eurostat EB TJ GWh'!$A$2:$A$146,0),MATCH(X$3,'Eurostat EB TJ GWh'!$A$2:$BV$2,0))</f>
        <v>0</v>
      </c>
      <c r="Y92" s="57">
        <f>INDEX('Eurostat EB TJ GWh'!$A$2:$BV$146,MATCH($A92,'Eurostat EB TJ GWh'!$A$2:$A$146,0),MATCH(Y$3,'Eurostat EB TJ GWh'!$A$2:$BV$2,0))</f>
        <v>0</v>
      </c>
      <c r="Z92" s="57">
        <f>INDEX('Eurostat EB TJ GWh'!$A$2:$BV$146,MATCH($A92,'Eurostat EB TJ GWh'!$A$2:$A$146,0),MATCH(Z$3,'Eurostat EB TJ GWh'!$A$2:$BV$2,0))</f>
        <v>0</v>
      </c>
      <c r="AA92" s="57">
        <f>INDEX('Eurostat EB TJ GWh'!$A$2:$BV$146,MATCH($A92,'Eurostat EB TJ GWh'!$A$2:$A$146,0),MATCH(AA$3,'Eurostat EB TJ GWh'!$A$2:$BV$2,0))</f>
        <v>0</v>
      </c>
      <c r="AB92" s="57">
        <f>INDEX('Eurostat EB TJ GWh'!$A$2:$BV$146,MATCH($A92,'Eurostat EB TJ GWh'!$A$2:$A$146,0),MATCH(AB$3,'Eurostat EB TJ GWh'!$A$2:$BV$2,0))</f>
        <v>69129.243000000002</v>
      </c>
      <c r="AC92" s="57">
        <f>INDEX('Eurostat EB TJ GWh'!$A$2:$BV$146,MATCH($A92,'Eurostat EB TJ GWh'!$A$2:$A$146,0),MATCH(AC$3,'Eurostat EB TJ GWh'!$A$2:$BV$2,0))</f>
        <v>0</v>
      </c>
      <c r="AD92" s="57">
        <f>INDEX('Eurostat EB TJ GWh'!$A$2:$BV$146,MATCH($A92,'Eurostat EB TJ GWh'!$A$2:$A$146,0),MATCH(AD$3,'Eurostat EB TJ GWh'!$A$2:$BV$2,0))</f>
        <v>0</v>
      </c>
      <c r="AE92" s="57">
        <f>INDEX('Eurostat EB TJ GWh'!$A$2:$BV$146,MATCH($A92,'Eurostat EB TJ GWh'!$A$2:$A$146,0),MATCH(AE$3,'Eurostat EB TJ GWh'!$A$2:$BV$2,0))</f>
        <v>0</v>
      </c>
      <c r="AF92" s="57">
        <f>INDEX('Eurostat EB TJ GWh'!$A$2:$BV$146,MATCH($A92,'Eurostat EB TJ GWh'!$A$2:$A$146,0),MATCH(AF$3,'Eurostat EB TJ GWh'!$A$2:$BV$2,0))</f>
        <v>0</v>
      </c>
      <c r="AG92" s="57">
        <f>INDEX('Eurostat EB TJ GWh'!$A$2:$BV$146,MATCH($A92,'Eurostat EB TJ GWh'!$A$2:$A$146,0),MATCH(AG$3,'Eurostat EB TJ GWh'!$A$2:$BV$2,0))</f>
        <v>1356.9559999999999</v>
      </c>
      <c r="AH92" s="57">
        <f>INDEX('Eurostat EB TJ GWh'!$A$2:$BV$146,MATCH($A92,'Eurostat EB TJ GWh'!$A$2:$A$146,0),MATCH(AH$3,'Eurostat EB TJ GWh'!$A$2:$BV$2,0))</f>
        <v>24.72</v>
      </c>
      <c r="AI92" s="57">
        <f>INDEX('Eurostat EB TJ GWh'!$A$2:$BV$146,MATCH($A92,'Eurostat EB TJ GWh'!$A$2:$A$146,0),MATCH(AI$3,'Eurostat EB TJ GWh'!$A$2:$BV$2,0))</f>
        <v>0</v>
      </c>
      <c r="AJ92" s="57">
        <f>INDEX('Eurostat EB TJ GWh'!$A$2:$BV$146,MATCH($A92,'Eurostat EB TJ GWh'!$A$2:$A$146,0),MATCH(AJ$3,'Eurostat EB TJ GWh'!$A$2:$BV$2,0))</f>
        <v>163893.617</v>
      </c>
      <c r="AK92" s="57">
        <f>INDEX('Eurostat EB TJ GWh'!$A$2:$BV$146,MATCH($A92,'Eurostat EB TJ GWh'!$A$2:$A$146,0),MATCH(AK$3,'Eurostat EB TJ GWh'!$A$2:$BV$2,0))</f>
        <v>761.42600000000004</v>
      </c>
      <c r="AL92" s="57">
        <f>INDEX('Eurostat EB TJ GWh'!$A$2:$BV$146,MATCH($A92,'Eurostat EB TJ GWh'!$A$2:$A$146,0),MATCH(AL$3,'Eurostat EB TJ GWh'!$A$2:$BV$2,0))</f>
        <v>6290.674</v>
      </c>
      <c r="AM92" s="57">
        <f>INDEX('Eurostat EB TJ GWh'!$A$2:$BV$146,MATCH($A92,'Eurostat EB TJ GWh'!$A$2:$A$146,0),MATCH(AM$3,'Eurostat EB TJ GWh'!$A$2:$BV$2,0))</f>
        <v>3839.2550000000001</v>
      </c>
      <c r="AN92" s="57">
        <f>INDEX('Eurostat EB TJ GWh'!$A$2:$BV$146,MATCH($A92,'Eurostat EB TJ GWh'!$A$2:$A$146,0),MATCH(AN$3,'Eurostat EB TJ GWh'!$A$2:$BV$2,0))</f>
        <v>809.70799999999997</v>
      </c>
      <c r="AO92" s="57">
        <f>INDEX('Eurostat EB TJ GWh'!$A$2:$BV$146,MATCH($A92,'Eurostat EB TJ GWh'!$A$2:$A$146,0),MATCH(AO$3,'Eurostat EB TJ GWh'!$A$2:$BV$2,0))</f>
        <v>14712.534</v>
      </c>
      <c r="AP92" s="57">
        <f>INDEX('Eurostat EB TJ GWh'!$A$2:$BV$146,MATCH($A92,'Eurostat EB TJ GWh'!$A$2:$A$146,0),MATCH(AP$3,'Eurostat EB TJ GWh'!$A$2:$BV$2,0))</f>
        <v>5725.9830000000002</v>
      </c>
      <c r="AQ92" s="57">
        <f>INDEX('Eurostat EB TJ GWh'!$A$2:$BV$146,MATCH($A92,'Eurostat EB TJ GWh'!$A$2:$A$146,0),MATCH(AQ$3,'Eurostat EB TJ GWh'!$A$2:$BV$2,0))</f>
        <v>0</v>
      </c>
      <c r="AR92" s="57">
        <f>INDEX('Eurostat EB TJ GWh'!$A$2:$BV$146,MATCH($A92,'Eurostat EB TJ GWh'!$A$2:$A$146,0),MATCH(AR$3,'Eurostat EB TJ GWh'!$A$2:$BV$2,0))</f>
        <v>0</v>
      </c>
      <c r="AS92" s="57">
        <f>INDEX('Eurostat EB TJ GWh'!$A$2:$BV$146,MATCH($A92,'Eurostat EB TJ GWh'!$A$2:$A$146,0),MATCH(AS$3,'Eurostat EB TJ GWh'!$A$2:$BV$2,0))</f>
        <v>0</v>
      </c>
      <c r="AT92" s="57">
        <f>INDEX('Eurostat EB TJ GWh'!$A$2:$BV$146,MATCH($A92,'Eurostat EB TJ GWh'!$A$2:$A$146,0),MATCH(AT$3,'Eurostat EB TJ GWh'!$A$2:$BV$2,0))</f>
        <v>0</v>
      </c>
      <c r="AU92" s="57">
        <f>INDEX('Eurostat EB TJ GWh'!$A$2:$BV$146,MATCH($A92,'Eurostat EB TJ GWh'!$A$2:$A$146,0),MATCH(AU$3,'Eurostat EB TJ GWh'!$A$2:$BV$2,0))</f>
        <v>0</v>
      </c>
      <c r="AV92" s="57">
        <f>INDEX('Eurostat EB TJ GWh'!$A$2:$BV$146,MATCH($A92,'Eurostat EB TJ GWh'!$A$2:$A$146,0),MATCH(AV$2,'Eurostat EB TJ GWh'!$A$2:$BV$2,0))+INDEX('Eurostat EB TJ GWh'!$A$2:$BV$146,MATCH($A92,'Eurostat EB TJ GWh'!$A$2:$A$146,0),MATCH(AV$3,'Eurostat EB TJ GWh'!$A$2:$BV$2,0))</f>
        <v>0</v>
      </c>
      <c r="AW92" s="57">
        <f>INDEX('Eurostat EB TJ GWh'!$A$2:$BV$146,MATCH($A92,'Eurostat EB TJ GWh'!$A$2:$A$146,0),MATCH(AW$2,'Eurostat EB TJ GWh'!$A$2:$BV$2,0))+INDEX('Eurostat EB TJ GWh'!$A$2:$BV$146,MATCH($A92,'Eurostat EB TJ GWh'!$A$2:$A$146,0),MATCH(AW$3,'Eurostat EB TJ GWh'!$A$2:$BV$2,0))</f>
        <v>0</v>
      </c>
      <c r="AX92" s="57">
        <f>INDEX('Eurostat EB TJ GWh'!$A$2:$BV$146,MATCH($A92,'Eurostat EB TJ GWh'!$A$2:$A$146,0),MATCH(AX$3,'Eurostat EB TJ GWh'!$A$2:$BV$2,0))</f>
        <v>0</v>
      </c>
      <c r="AY92" s="65">
        <v>0</v>
      </c>
      <c r="AZ92" s="57">
        <f>INDEX('Eurostat EB TJ GWh'!$A$2:$BV$146,MATCH($A92,'Eurostat EB TJ GWh'!$A$2:$A$146,0),MATCH(AZ$3,'Eurostat EB TJ GWh'!$A$2:$BV$2,0))</f>
        <v>0</v>
      </c>
      <c r="BA92" s="65">
        <v>0</v>
      </c>
      <c r="BB92" s="65">
        <v>0</v>
      </c>
      <c r="BC92" s="57">
        <f>INDEX('Eurostat EB TJ GWh'!$A$2:$BV$146,MATCH($A92,'Eurostat EB TJ GWh'!$A$2:$A$146,0),MATCH(BC$3,'Eurostat EB TJ GWh'!$A$2:$BV$2,0))</f>
        <v>0</v>
      </c>
      <c r="BD92" s="57">
        <f>INDEX('Eurostat EB TJ GWh'!$A$2:$BV$146,MATCH($A92,'Eurostat EB TJ GWh'!$A$2:$A$146,0),MATCH(BD$3,'Eurostat EB TJ GWh'!$A$2:$BV$2,0))</f>
        <v>0</v>
      </c>
      <c r="BE92" s="57">
        <f>INDEX('Eurostat EB TJ GWh'!$A$2:$BV$146,MATCH($A92,'Eurostat EB TJ GWh'!$A$2:$A$146,0),MATCH(BE$3,'Eurostat EB TJ GWh'!$A$2:$BV$2,0))</f>
        <v>0</v>
      </c>
      <c r="BF92" s="57">
        <f>INDEX('Eurostat EB TJ GWh'!$A$2:$BV$146,MATCH($A92,'Eurostat EB TJ GWh'!$A$2:$A$146,0),MATCH(BF$3,'Eurostat EB TJ GWh'!$A$2:$BV$2,0))</f>
        <v>0</v>
      </c>
      <c r="BG92" s="57">
        <f>INDEX('Eurostat EB TJ GWh'!$A$2:$BV$146,MATCH($A92,'Eurostat EB TJ GWh'!$A$2:$A$146,0),MATCH(BG$3,'Eurostat EB TJ GWh'!$A$2:$BV$2,0))</f>
        <v>0</v>
      </c>
      <c r="BH92" s="57">
        <f>INDEX('Eurostat EB TJ GWh'!$A$2:$BV$146,MATCH($A92,'Eurostat EB TJ GWh'!$A$2:$A$146,0),MATCH(BH$3,'Eurostat EB TJ GWh'!$A$2:$BV$2,0))</f>
        <v>0</v>
      </c>
      <c r="BI92" s="57">
        <f>INDEX('Eurostat EB TJ GWh'!$A$2:$BV$146,MATCH($A92,'Eurostat EB TJ GWh'!$A$2:$A$146,0),MATCH(BI$3,'Eurostat EB TJ GWh'!$A$2:$BV$2,0))</f>
        <v>0</v>
      </c>
      <c r="BJ92" s="65">
        <v>0</v>
      </c>
      <c r="BK92" s="57">
        <f>INDEX('Eurostat EB TJ GWh'!$A$2:$BV$146,MATCH($A92,'Eurostat EB TJ GWh'!$A$2:$A$146,0),MATCH(BK$3,'Eurostat EB TJ GWh'!$A$2:$BV$2,0))</f>
        <v>0</v>
      </c>
      <c r="BL92" s="57">
        <f>INDEX('Eurostat EB TJ GWh'!$A$2:$BV$146,MATCH($A92,'Eurostat EB TJ GWh'!$A$2:$A$146,0),MATCH(BL$3,'Eurostat EB TJ GWh'!$A$2:$BV$2,0))</f>
        <v>0</v>
      </c>
      <c r="BM92" s="57">
        <f>INDEX('Eurostat EB TJ GWh'!$A$2:$BV$146,MATCH($A92,'Eurostat EB TJ GWh'!$A$2:$A$146,0),MATCH(BM$3,'Eurostat EB TJ GWh'!$A$2:$BV$2,0))</f>
        <v>448111.13500000001</v>
      </c>
      <c r="BN92" s="57">
        <f>INDEX('Eurostat EB TJ GWh'!$A$2:$BV$146,MATCH($A92,'Eurostat EB TJ GWh'!$A$2:$A$146,0),MATCH(BN$3,'Eurostat EB TJ GWh'!$A$2:$BV$2,0))</f>
        <v>686.44600000000003</v>
      </c>
    </row>
    <row r="93" spans="1:66" x14ac:dyDescent="0.2">
      <c r="A93" s="56" t="s">
        <v>280</v>
      </c>
      <c r="B93" s="65" t="s">
        <v>323</v>
      </c>
      <c r="C93" s="65" t="s">
        <v>323</v>
      </c>
      <c r="D93" s="17">
        <f>INDEX('Eurostat EB TJ GWh'!$A$2:$BV$146,MATCH($A93,'Eurostat EB TJ GWh'!$A$2:$A$146,0),MATCH(D$3,'Eurostat EB TJ GWh'!$A$2:$BV$2,0))</f>
        <v>74.216999999999999</v>
      </c>
      <c r="E93" s="17">
        <f>INDEX('Eurostat EB TJ GWh'!$A$2:$BV$146,MATCH($A93,'Eurostat EB TJ GWh'!$A$2:$A$146,0),MATCH(E$3,'Eurostat EB TJ GWh'!$A$2:$BV$2,0))</f>
        <v>18.925000000000001</v>
      </c>
      <c r="F93" s="17">
        <f>INDEX('Eurostat EB TJ GWh'!$A$2:$BV$146,MATCH($A93,'Eurostat EB TJ GWh'!$A$2:$A$146,0),MATCH(F$3,'Eurostat EB TJ GWh'!$A$2:$BV$2,0))</f>
        <v>0</v>
      </c>
      <c r="G93" s="17">
        <f>INDEX('Eurostat EB TJ GWh'!$A$2:$BV$146,MATCH($A93,'Eurostat EB TJ GWh'!$A$2:$A$146,0),MATCH(G$3,'Eurostat EB TJ GWh'!$A$2:$BV$2,0))</f>
        <v>0</v>
      </c>
      <c r="H93" s="17">
        <f>INDEX('Eurostat EB TJ GWh'!$A$2:$BV$146,MATCH($A93,'Eurostat EB TJ GWh'!$A$2:$A$146,0),MATCH(H$3,'Eurostat EB TJ GWh'!$A$2:$BV$2,0))</f>
        <v>0</v>
      </c>
      <c r="I93" s="17">
        <f>INDEX('Eurostat EB TJ GWh'!$A$2:$BV$146,MATCH($A93,'Eurostat EB TJ GWh'!$A$2:$A$146,0),MATCH(I$3,'Eurostat EB TJ GWh'!$A$2:$BV$2,0))</f>
        <v>0</v>
      </c>
      <c r="J93" s="17">
        <f>INDEX('Eurostat EB TJ GWh'!$A$2:$BV$146,MATCH($A93,'Eurostat EB TJ GWh'!$A$2:$A$146,0),MATCH(J$3,'Eurostat EB TJ GWh'!$A$2:$BV$2,0))</f>
        <v>251.399</v>
      </c>
      <c r="K93" s="17">
        <f>INDEX('Eurostat EB TJ GWh'!$A$2:$BV$146,MATCH($A93,'Eurostat EB TJ GWh'!$A$2:$A$146,0),MATCH(K$3,'Eurostat EB TJ GWh'!$A$2:$BV$2,0))</f>
        <v>0</v>
      </c>
      <c r="L93" s="17">
        <f>INDEX('Eurostat EB TJ GWh'!$A$2:$BV$146,MATCH($A93,'Eurostat EB TJ GWh'!$A$2:$A$146,0),MATCH(L$3,'Eurostat EB TJ GWh'!$A$2:$BV$2,0))</f>
        <v>917.98699999999997</v>
      </c>
      <c r="M93" s="17">
        <f>INDEX('Eurostat EB TJ GWh'!$A$2:$BV$146,MATCH($A93,'Eurostat EB TJ GWh'!$A$2:$A$146,0),MATCH(M$3,'Eurostat EB TJ GWh'!$A$2:$BV$2,0))</f>
        <v>0</v>
      </c>
      <c r="N93" s="17">
        <f>INDEX('Eurostat EB TJ GWh'!$A$2:$BV$146,MATCH($A93,'Eurostat EB TJ GWh'!$A$2:$A$146,0),MATCH(N$3,'Eurostat EB TJ GWh'!$A$2:$BV$2,0))</f>
        <v>0</v>
      </c>
      <c r="O93" s="17">
        <f>INDEX('Eurostat EB TJ GWh'!$A$2:$BV$146,MATCH($A93,'Eurostat EB TJ GWh'!$A$2:$A$146,0),MATCH(O$3,'Eurostat EB TJ GWh'!$A$2:$BV$2,0))</f>
        <v>0</v>
      </c>
      <c r="P93" s="17">
        <f>INDEX('Eurostat EB TJ GWh'!$A$2:$BV$146,MATCH($A93,'Eurostat EB TJ GWh'!$A$2:$A$146,0),MATCH(P$3,'Eurostat EB TJ GWh'!$A$2:$BV$2,0))</f>
        <v>0</v>
      </c>
      <c r="Q93" s="17">
        <f>INDEX('Eurostat EB TJ GWh'!$A$2:$BV$146,MATCH($A93,'Eurostat EB TJ GWh'!$A$2:$A$146,0),MATCH(Q$3,'Eurostat EB TJ GWh'!$A$2:$BV$2,0))</f>
        <v>0</v>
      </c>
      <c r="R93" s="17">
        <f>INDEX('Eurostat EB TJ GWh'!$A$2:$BV$146,MATCH($A93,'Eurostat EB TJ GWh'!$A$2:$A$146,0),MATCH(R$2,'Eurostat EB TJ GWh'!$A$2:$BV$2,0))+INDEX('Eurostat EB TJ GWh'!$A$2:$BV$146,MATCH($A93,'Eurostat EB TJ GWh'!$A$2:$A$146,0),MATCH(R$3,'Eurostat EB TJ GWh'!$A$2:$BV$2,0))</f>
        <v>0</v>
      </c>
      <c r="S93" s="17">
        <f>INDEX('Eurostat EB TJ GWh'!$A$2:$BV$146,MATCH($A93,'Eurostat EB TJ GWh'!$A$2:$A$146,0),MATCH(S$3,'Eurostat EB TJ GWh'!$A$2:$BV$2,0))</f>
        <v>66978.793000000005</v>
      </c>
      <c r="T93" s="65" t="s">
        <v>323</v>
      </c>
      <c r="U93" s="17">
        <f>INDEX('Eurostat EB TJ GWh'!$A$2:$BV$146,MATCH($A93,'Eurostat EB TJ GWh'!$A$2:$A$146,0),MATCH(U$3,'Eurostat EB TJ GWh'!$A$2:$BV$2,0))</f>
        <v>0</v>
      </c>
      <c r="V93" s="17">
        <f>INDEX('Eurostat EB TJ GWh'!$A$2:$BV$146,MATCH($A93,'Eurostat EB TJ GWh'!$A$2:$A$146,0),MATCH(V$3,'Eurostat EB TJ GWh'!$A$2:$BV$2,0))</f>
        <v>113287.74400000001</v>
      </c>
      <c r="W93" s="17">
        <f>INDEX('Eurostat EB TJ GWh'!$A$2:$BV$146,MATCH($A93,'Eurostat EB TJ GWh'!$A$2:$A$146,0),MATCH(W$3,'Eurostat EB TJ GWh'!$A$2:$BV$2,0))</f>
        <v>0</v>
      </c>
      <c r="X93" s="17">
        <f>INDEX('Eurostat EB TJ GWh'!$A$2:$BV$146,MATCH($A93,'Eurostat EB TJ GWh'!$A$2:$A$146,0),MATCH(X$3,'Eurostat EB TJ GWh'!$A$2:$BV$2,0))</f>
        <v>0</v>
      </c>
      <c r="Y93" s="17">
        <f>INDEX('Eurostat EB TJ GWh'!$A$2:$BV$146,MATCH($A93,'Eurostat EB TJ GWh'!$A$2:$A$146,0),MATCH(Y$3,'Eurostat EB TJ GWh'!$A$2:$BV$2,0))</f>
        <v>0</v>
      </c>
      <c r="Z93" s="17">
        <f>INDEX('Eurostat EB TJ GWh'!$A$2:$BV$146,MATCH($A93,'Eurostat EB TJ GWh'!$A$2:$A$146,0),MATCH(Z$3,'Eurostat EB TJ GWh'!$A$2:$BV$2,0))</f>
        <v>0</v>
      </c>
      <c r="AA93" s="17">
        <f>INDEX('Eurostat EB TJ GWh'!$A$2:$BV$146,MATCH($A93,'Eurostat EB TJ GWh'!$A$2:$A$146,0),MATCH(AA$3,'Eurostat EB TJ GWh'!$A$2:$BV$2,0))</f>
        <v>0</v>
      </c>
      <c r="AB93" s="17">
        <f>INDEX('Eurostat EB TJ GWh'!$A$2:$BV$146,MATCH($A93,'Eurostat EB TJ GWh'!$A$2:$A$146,0),MATCH(AB$3,'Eurostat EB TJ GWh'!$A$2:$BV$2,0))</f>
        <v>69129.243000000002</v>
      </c>
      <c r="AC93" s="17">
        <f>INDEX('Eurostat EB TJ GWh'!$A$2:$BV$146,MATCH($A93,'Eurostat EB TJ GWh'!$A$2:$A$146,0),MATCH(AC$3,'Eurostat EB TJ GWh'!$A$2:$BV$2,0))</f>
        <v>0</v>
      </c>
      <c r="AD93" s="17">
        <f>INDEX('Eurostat EB TJ GWh'!$A$2:$BV$146,MATCH($A93,'Eurostat EB TJ GWh'!$A$2:$A$146,0),MATCH(AD$3,'Eurostat EB TJ GWh'!$A$2:$BV$2,0))</f>
        <v>0</v>
      </c>
      <c r="AE93" s="17">
        <f>INDEX('Eurostat EB TJ GWh'!$A$2:$BV$146,MATCH($A93,'Eurostat EB TJ GWh'!$A$2:$A$146,0),MATCH(AE$3,'Eurostat EB TJ GWh'!$A$2:$BV$2,0))</f>
        <v>0</v>
      </c>
      <c r="AF93" s="17">
        <f>INDEX('Eurostat EB TJ GWh'!$A$2:$BV$146,MATCH($A93,'Eurostat EB TJ GWh'!$A$2:$A$146,0),MATCH(AF$3,'Eurostat EB TJ GWh'!$A$2:$BV$2,0))</f>
        <v>0</v>
      </c>
      <c r="AG93" s="17">
        <f>INDEX('Eurostat EB TJ GWh'!$A$2:$BV$146,MATCH($A93,'Eurostat EB TJ GWh'!$A$2:$A$146,0),MATCH(AG$3,'Eurostat EB TJ GWh'!$A$2:$BV$2,0))</f>
        <v>1332.7719999999999</v>
      </c>
      <c r="AH93" s="17">
        <f>INDEX('Eurostat EB TJ GWh'!$A$2:$BV$146,MATCH($A93,'Eurostat EB TJ GWh'!$A$2:$A$146,0),MATCH(AH$3,'Eurostat EB TJ GWh'!$A$2:$BV$2,0))</f>
        <v>24.72</v>
      </c>
      <c r="AI93" s="17">
        <f>INDEX('Eurostat EB TJ GWh'!$A$2:$BV$146,MATCH($A93,'Eurostat EB TJ GWh'!$A$2:$A$146,0),MATCH(AI$3,'Eurostat EB TJ GWh'!$A$2:$BV$2,0))</f>
        <v>0</v>
      </c>
      <c r="AJ93" s="17">
        <f>INDEX('Eurostat EB TJ GWh'!$A$2:$BV$146,MATCH($A93,'Eurostat EB TJ GWh'!$A$2:$A$146,0),MATCH(AJ$3,'Eurostat EB TJ GWh'!$A$2:$BV$2,0))</f>
        <v>163893.617</v>
      </c>
      <c r="AK93" s="17">
        <f>INDEX('Eurostat EB TJ GWh'!$A$2:$BV$146,MATCH($A93,'Eurostat EB TJ GWh'!$A$2:$A$146,0),MATCH(AK$3,'Eurostat EB TJ GWh'!$A$2:$BV$2,0))</f>
        <v>761.42600000000004</v>
      </c>
      <c r="AL93" s="17">
        <f>INDEX('Eurostat EB TJ GWh'!$A$2:$BV$146,MATCH($A93,'Eurostat EB TJ GWh'!$A$2:$A$146,0),MATCH(AL$3,'Eurostat EB TJ GWh'!$A$2:$BV$2,0))</f>
        <v>2101.1</v>
      </c>
      <c r="AM93" s="17">
        <f>INDEX('Eurostat EB TJ GWh'!$A$2:$BV$146,MATCH($A93,'Eurostat EB TJ GWh'!$A$2:$A$146,0),MATCH(AM$3,'Eurostat EB TJ GWh'!$A$2:$BV$2,0))</f>
        <v>3839.2550000000001</v>
      </c>
      <c r="AN93" s="17">
        <f>INDEX('Eurostat EB TJ GWh'!$A$2:$BV$146,MATCH($A93,'Eurostat EB TJ GWh'!$A$2:$A$146,0),MATCH(AN$3,'Eurostat EB TJ GWh'!$A$2:$BV$2,0))</f>
        <v>809.70799999999997</v>
      </c>
      <c r="AO93" s="17">
        <f>INDEX('Eurostat EB TJ GWh'!$A$2:$BV$146,MATCH($A93,'Eurostat EB TJ GWh'!$A$2:$A$146,0),MATCH(AO$3,'Eurostat EB TJ GWh'!$A$2:$BV$2,0))</f>
        <v>14712.534</v>
      </c>
      <c r="AP93" s="17">
        <f>INDEX('Eurostat EB TJ GWh'!$A$2:$BV$146,MATCH($A93,'Eurostat EB TJ GWh'!$A$2:$A$146,0),MATCH(AP$3,'Eurostat EB TJ GWh'!$A$2:$BV$2,0))</f>
        <v>5725.9830000000002</v>
      </c>
      <c r="AQ93" s="17">
        <f>INDEX('Eurostat EB TJ GWh'!$A$2:$BV$146,MATCH($A93,'Eurostat EB TJ GWh'!$A$2:$A$146,0),MATCH(AQ$3,'Eurostat EB TJ GWh'!$A$2:$BV$2,0))</f>
        <v>0</v>
      </c>
      <c r="AR93" s="17">
        <f>INDEX('Eurostat EB TJ GWh'!$A$2:$BV$146,MATCH($A93,'Eurostat EB TJ GWh'!$A$2:$A$146,0),MATCH(AR$3,'Eurostat EB TJ GWh'!$A$2:$BV$2,0))</f>
        <v>0</v>
      </c>
      <c r="AS93" s="17">
        <f>INDEX('Eurostat EB TJ GWh'!$A$2:$BV$146,MATCH($A93,'Eurostat EB TJ GWh'!$A$2:$A$146,0),MATCH(AS$3,'Eurostat EB TJ GWh'!$A$2:$BV$2,0))</f>
        <v>0</v>
      </c>
      <c r="AT93" s="17">
        <f>INDEX('Eurostat EB TJ GWh'!$A$2:$BV$146,MATCH($A93,'Eurostat EB TJ GWh'!$A$2:$A$146,0),MATCH(AT$3,'Eurostat EB TJ GWh'!$A$2:$BV$2,0))</f>
        <v>0</v>
      </c>
      <c r="AU93" s="17">
        <f>INDEX('Eurostat EB TJ GWh'!$A$2:$BV$146,MATCH($A93,'Eurostat EB TJ GWh'!$A$2:$A$146,0),MATCH(AU$3,'Eurostat EB TJ GWh'!$A$2:$BV$2,0))</f>
        <v>0</v>
      </c>
      <c r="AV93" s="17">
        <f>INDEX('Eurostat EB TJ GWh'!$A$2:$BV$146,MATCH($A93,'Eurostat EB TJ GWh'!$A$2:$A$146,0),MATCH(AV$2,'Eurostat EB TJ GWh'!$A$2:$BV$2,0))+INDEX('Eurostat EB TJ GWh'!$A$2:$BV$146,MATCH($A93,'Eurostat EB TJ GWh'!$A$2:$A$146,0),MATCH(AV$3,'Eurostat EB TJ GWh'!$A$2:$BV$2,0))</f>
        <v>0</v>
      </c>
      <c r="AW93" s="17">
        <f>INDEX('Eurostat EB TJ GWh'!$A$2:$BV$146,MATCH($A93,'Eurostat EB TJ GWh'!$A$2:$A$146,0),MATCH(AW$2,'Eurostat EB TJ GWh'!$A$2:$BV$2,0))+INDEX('Eurostat EB TJ GWh'!$A$2:$BV$146,MATCH($A93,'Eurostat EB TJ GWh'!$A$2:$A$146,0),MATCH(AW$3,'Eurostat EB TJ GWh'!$A$2:$BV$2,0))</f>
        <v>0</v>
      </c>
      <c r="AX93" s="17">
        <f>INDEX('Eurostat EB TJ GWh'!$A$2:$BV$146,MATCH($A93,'Eurostat EB TJ GWh'!$A$2:$A$146,0),MATCH(AX$3,'Eurostat EB TJ GWh'!$A$2:$BV$2,0))</f>
        <v>0</v>
      </c>
      <c r="AY93" s="72">
        <v>0</v>
      </c>
      <c r="AZ93" s="17">
        <f>INDEX('Eurostat EB TJ GWh'!$A$2:$BV$146,MATCH($A93,'Eurostat EB TJ GWh'!$A$2:$A$146,0),MATCH(AZ$3,'Eurostat EB TJ GWh'!$A$2:$BV$2,0))</f>
        <v>0</v>
      </c>
      <c r="BA93" s="72">
        <v>0</v>
      </c>
      <c r="BB93" s="72">
        <v>0</v>
      </c>
      <c r="BC93" s="17">
        <f>INDEX('Eurostat EB TJ GWh'!$A$2:$BV$146,MATCH($A93,'Eurostat EB TJ GWh'!$A$2:$A$146,0),MATCH(BC$3,'Eurostat EB TJ GWh'!$A$2:$BV$2,0))</f>
        <v>0</v>
      </c>
      <c r="BD93" s="17">
        <f>INDEX('Eurostat EB TJ GWh'!$A$2:$BV$146,MATCH($A93,'Eurostat EB TJ GWh'!$A$2:$A$146,0),MATCH(BD$3,'Eurostat EB TJ GWh'!$A$2:$BV$2,0))</f>
        <v>0</v>
      </c>
      <c r="BE93" s="17">
        <f>INDEX('Eurostat EB TJ GWh'!$A$2:$BV$146,MATCH($A93,'Eurostat EB TJ GWh'!$A$2:$A$146,0),MATCH(BE$3,'Eurostat EB TJ GWh'!$A$2:$BV$2,0))</f>
        <v>0</v>
      </c>
      <c r="BF93" s="17">
        <f>INDEX('Eurostat EB TJ GWh'!$A$2:$BV$146,MATCH($A93,'Eurostat EB TJ GWh'!$A$2:$A$146,0),MATCH(BF$3,'Eurostat EB TJ GWh'!$A$2:$BV$2,0))</f>
        <v>0</v>
      </c>
      <c r="BG93" s="17">
        <f>INDEX('Eurostat EB TJ GWh'!$A$2:$BV$146,MATCH($A93,'Eurostat EB TJ GWh'!$A$2:$A$146,0),MATCH(BG$3,'Eurostat EB TJ GWh'!$A$2:$BV$2,0))</f>
        <v>0</v>
      </c>
      <c r="BH93" s="17">
        <f>INDEX('Eurostat EB TJ GWh'!$A$2:$BV$146,MATCH($A93,'Eurostat EB TJ GWh'!$A$2:$A$146,0),MATCH(BH$3,'Eurostat EB TJ GWh'!$A$2:$BV$2,0))</f>
        <v>0</v>
      </c>
      <c r="BI93" s="17">
        <f>INDEX('Eurostat EB TJ GWh'!$A$2:$BV$146,MATCH($A93,'Eurostat EB TJ GWh'!$A$2:$A$146,0),MATCH(BI$3,'Eurostat EB TJ GWh'!$A$2:$BV$2,0))</f>
        <v>0</v>
      </c>
      <c r="BJ93" s="72">
        <v>0</v>
      </c>
      <c r="BK93" s="17">
        <f>INDEX('Eurostat EB TJ GWh'!$A$2:$BV$146,MATCH($A93,'Eurostat EB TJ GWh'!$A$2:$A$146,0),MATCH(BK$3,'Eurostat EB TJ GWh'!$A$2:$BV$2,0))</f>
        <v>0</v>
      </c>
      <c r="BL93" s="17">
        <f>INDEX('Eurostat EB TJ GWh'!$A$2:$BV$146,MATCH($A93,'Eurostat EB TJ GWh'!$A$2:$A$146,0),MATCH(BL$3,'Eurostat EB TJ GWh'!$A$2:$BV$2,0))</f>
        <v>0</v>
      </c>
      <c r="BM93" s="17">
        <f>INDEX('Eurostat EB TJ GWh'!$A$2:$BV$146,MATCH($A93,'Eurostat EB TJ GWh'!$A$2:$A$146,0),MATCH(BM$3,'Eurostat EB TJ GWh'!$A$2:$BV$2,0))</f>
        <v>443859.42300000001</v>
      </c>
      <c r="BN93" s="17">
        <f>INDEX('Eurostat EB TJ GWh'!$A$2:$BV$146,MATCH($A93,'Eurostat EB TJ GWh'!$A$2:$A$146,0),MATCH(BN$3,'Eurostat EB TJ GWh'!$A$2:$BV$2,0))</f>
        <v>686.05700000000002</v>
      </c>
    </row>
    <row r="94" spans="1:66" x14ac:dyDescent="0.2">
      <c r="A94" s="56" t="s">
        <v>355</v>
      </c>
      <c r="B94" s="65" t="s">
        <v>323</v>
      </c>
      <c r="C94" s="65" t="s">
        <v>323</v>
      </c>
      <c r="D94" s="57">
        <f>INDEX('Eurostat EB TJ GWh'!$A$2:$BV$146,MATCH($A94,'Eurostat EB TJ GWh'!$A$2:$A$146,0),MATCH(D$3,'Eurostat EB TJ GWh'!$A$2:$BV$2,0))</f>
        <v>0</v>
      </c>
      <c r="E94" s="57">
        <f>INDEX('Eurostat EB TJ GWh'!$A$2:$BV$146,MATCH($A94,'Eurostat EB TJ GWh'!$A$2:$A$146,0),MATCH(E$3,'Eurostat EB TJ GWh'!$A$2:$BV$2,0))</f>
        <v>0</v>
      </c>
      <c r="F94" s="57">
        <f>INDEX('Eurostat EB TJ GWh'!$A$2:$BV$146,MATCH($A94,'Eurostat EB TJ GWh'!$A$2:$A$146,0),MATCH(F$3,'Eurostat EB TJ GWh'!$A$2:$BV$2,0))</f>
        <v>0</v>
      </c>
      <c r="G94" s="57">
        <f>INDEX('Eurostat EB TJ GWh'!$A$2:$BV$146,MATCH($A94,'Eurostat EB TJ GWh'!$A$2:$A$146,0),MATCH(G$3,'Eurostat EB TJ GWh'!$A$2:$BV$2,0))</f>
        <v>0</v>
      </c>
      <c r="H94" s="57">
        <f>INDEX('Eurostat EB TJ GWh'!$A$2:$BV$146,MATCH($A94,'Eurostat EB TJ GWh'!$A$2:$A$146,0),MATCH(H$3,'Eurostat EB TJ GWh'!$A$2:$BV$2,0))</f>
        <v>0</v>
      </c>
      <c r="I94" s="57">
        <f>INDEX('Eurostat EB TJ GWh'!$A$2:$BV$146,MATCH($A94,'Eurostat EB TJ GWh'!$A$2:$A$146,0),MATCH(I$3,'Eurostat EB TJ GWh'!$A$2:$BV$2,0))</f>
        <v>0</v>
      </c>
      <c r="J94" s="57">
        <f>INDEX('Eurostat EB TJ GWh'!$A$2:$BV$146,MATCH($A94,'Eurostat EB TJ GWh'!$A$2:$A$146,0),MATCH(J$3,'Eurostat EB TJ GWh'!$A$2:$BV$2,0))</f>
        <v>0</v>
      </c>
      <c r="K94" s="57">
        <f>INDEX('Eurostat EB TJ GWh'!$A$2:$BV$146,MATCH($A94,'Eurostat EB TJ GWh'!$A$2:$A$146,0),MATCH(K$3,'Eurostat EB TJ GWh'!$A$2:$BV$2,0))</f>
        <v>0</v>
      </c>
      <c r="L94" s="57">
        <f>INDEX('Eurostat EB TJ GWh'!$A$2:$BV$146,MATCH($A94,'Eurostat EB TJ GWh'!$A$2:$A$146,0),MATCH(L$3,'Eurostat EB TJ GWh'!$A$2:$BV$2,0))</f>
        <v>0</v>
      </c>
      <c r="M94" s="57">
        <f>INDEX('Eurostat EB TJ GWh'!$A$2:$BV$146,MATCH($A94,'Eurostat EB TJ GWh'!$A$2:$A$146,0),MATCH(M$3,'Eurostat EB TJ GWh'!$A$2:$BV$2,0))</f>
        <v>0</v>
      </c>
      <c r="N94" s="57">
        <f>INDEX('Eurostat EB TJ GWh'!$A$2:$BV$146,MATCH($A94,'Eurostat EB TJ GWh'!$A$2:$A$146,0),MATCH(N$3,'Eurostat EB TJ GWh'!$A$2:$BV$2,0))</f>
        <v>0</v>
      </c>
      <c r="O94" s="57">
        <f>INDEX('Eurostat EB TJ GWh'!$A$2:$BV$146,MATCH($A94,'Eurostat EB TJ GWh'!$A$2:$A$146,0),MATCH(O$3,'Eurostat EB TJ GWh'!$A$2:$BV$2,0))</f>
        <v>0</v>
      </c>
      <c r="P94" s="57">
        <f>INDEX('Eurostat EB TJ GWh'!$A$2:$BV$146,MATCH($A94,'Eurostat EB TJ GWh'!$A$2:$A$146,0),MATCH(P$3,'Eurostat EB TJ GWh'!$A$2:$BV$2,0))</f>
        <v>0</v>
      </c>
      <c r="Q94" s="57">
        <f>INDEX('Eurostat EB TJ GWh'!$A$2:$BV$146,MATCH($A94,'Eurostat EB TJ GWh'!$A$2:$A$146,0),MATCH(Q$3,'Eurostat EB TJ GWh'!$A$2:$BV$2,0))</f>
        <v>0</v>
      </c>
      <c r="R94" s="57">
        <f>INDEX('Eurostat EB TJ GWh'!$A$2:$BV$146,MATCH($A94,'Eurostat EB TJ GWh'!$A$2:$A$146,0),MATCH(R$2,'Eurostat EB TJ GWh'!$A$2:$BV$2,0))+INDEX('Eurostat EB TJ GWh'!$A$2:$BV$146,MATCH($A94,'Eurostat EB TJ GWh'!$A$2:$A$146,0),MATCH(R$3,'Eurostat EB TJ GWh'!$A$2:$BV$2,0))</f>
        <v>0</v>
      </c>
      <c r="S94" s="57">
        <f>INDEX('Eurostat EB TJ GWh'!$A$2:$BV$146,MATCH($A94,'Eurostat EB TJ GWh'!$A$2:$A$146,0),MATCH(S$3,'Eurostat EB TJ GWh'!$A$2:$BV$2,0))</f>
        <v>66978.793000000005</v>
      </c>
      <c r="T94" s="65" t="s">
        <v>323</v>
      </c>
      <c r="U94" s="57">
        <f>INDEX('Eurostat EB TJ GWh'!$A$2:$BV$146,MATCH($A94,'Eurostat EB TJ GWh'!$A$2:$A$146,0),MATCH(U$3,'Eurostat EB TJ GWh'!$A$2:$BV$2,0))</f>
        <v>0</v>
      </c>
      <c r="V94" s="57">
        <f>INDEX('Eurostat EB TJ GWh'!$A$2:$BV$146,MATCH($A94,'Eurostat EB TJ GWh'!$A$2:$A$146,0),MATCH(V$3,'Eurostat EB TJ GWh'!$A$2:$BV$2,0))</f>
        <v>113287.74400000001</v>
      </c>
      <c r="W94" s="57">
        <f>INDEX('Eurostat EB TJ GWh'!$A$2:$BV$146,MATCH($A94,'Eurostat EB TJ GWh'!$A$2:$A$146,0),MATCH(W$3,'Eurostat EB TJ GWh'!$A$2:$BV$2,0))</f>
        <v>0</v>
      </c>
      <c r="X94" s="57">
        <f>INDEX('Eurostat EB TJ GWh'!$A$2:$BV$146,MATCH($A94,'Eurostat EB TJ GWh'!$A$2:$A$146,0),MATCH(X$3,'Eurostat EB TJ GWh'!$A$2:$BV$2,0))</f>
        <v>0</v>
      </c>
      <c r="Y94" s="57">
        <f>INDEX('Eurostat EB TJ GWh'!$A$2:$BV$146,MATCH($A94,'Eurostat EB TJ GWh'!$A$2:$A$146,0),MATCH(Y$3,'Eurostat EB TJ GWh'!$A$2:$BV$2,0))</f>
        <v>0</v>
      </c>
      <c r="Z94" s="57">
        <f>INDEX('Eurostat EB TJ GWh'!$A$2:$BV$146,MATCH($A94,'Eurostat EB TJ GWh'!$A$2:$A$146,0),MATCH(Z$3,'Eurostat EB TJ GWh'!$A$2:$BV$2,0))</f>
        <v>0</v>
      </c>
      <c r="AA94" s="57">
        <f>INDEX('Eurostat EB TJ GWh'!$A$2:$BV$146,MATCH($A94,'Eurostat EB TJ GWh'!$A$2:$A$146,0),MATCH(AA$3,'Eurostat EB TJ GWh'!$A$2:$BV$2,0))</f>
        <v>0</v>
      </c>
      <c r="AB94" s="57">
        <f>INDEX('Eurostat EB TJ GWh'!$A$2:$BV$146,MATCH($A94,'Eurostat EB TJ GWh'!$A$2:$A$146,0),MATCH(AB$3,'Eurostat EB TJ GWh'!$A$2:$BV$2,0))</f>
        <v>69129.243000000002</v>
      </c>
      <c r="AC94" s="57">
        <f>INDEX('Eurostat EB TJ GWh'!$A$2:$BV$146,MATCH($A94,'Eurostat EB TJ GWh'!$A$2:$A$146,0),MATCH(AC$3,'Eurostat EB TJ GWh'!$A$2:$BV$2,0))</f>
        <v>0</v>
      </c>
      <c r="AD94" s="57">
        <f>INDEX('Eurostat EB TJ GWh'!$A$2:$BV$146,MATCH($A94,'Eurostat EB TJ GWh'!$A$2:$A$146,0),MATCH(AD$3,'Eurostat EB TJ GWh'!$A$2:$BV$2,0))</f>
        <v>0</v>
      </c>
      <c r="AE94" s="57">
        <f>INDEX('Eurostat EB TJ GWh'!$A$2:$BV$146,MATCH($A94,'Eurostat EB TJ GWh'!$A$2:$A$146,0),MATCH(AE$3,'Eurostat EB TJ GWh'!$A$2:$BV$2,0))</f>
        <v>0</v>
      </c>
      <c r="AF94" s="57">
        <f>INDEX('Eurostat EB TJ GWh'!$A$2:$BV$146,MATCH($A94,'Eurostat EB TJ GWh'!$A$2:$A$146,0),MATCH(AF$3,'Eurostat EB TJ GWh'!$A$2:$BV$2,0))</f>
        <v>0</v>
      </c>
      <c r="AG94" s="57">
        <f>INDEX('Eurostat EB TJ GWh'!$A$2:$BV$146,MATCH($A94,'Eurostat EB TJ GWh'!$A$2:$A$146,0),MATCH(AG$3,'Eurostat EB TJ GWh'!$A$2:$BV$2,0))</f>
        <v>1332.7719999999999</v>
      </c>
      <c r="AH94" s="57">
        <f>INDEX('Eurostat EB TJ GWh'!$A$2:$BV$146,MATCH($A94,'Eurostat EB TJ GWh'!$A$2:$A$146,0),MATCH(AH$3,'Eurostat EB TJ GWh'!$A$2:$BV$2,0))</f>
        <v>24.72</v>
      </c>
      <c r="AI94" s="57">
        <f>INDEX('Eurostat EB TJ GWh'!$A$2:$BV$146,MATCH($A94,'Eurostat EB TJ GWh'!$A$2:$A$146,0),MATCH(AI$3,'Eurostat EB TJ GWh'!$A$2:$BV$2,0))</f>
        <v>0</v>
      </c>
      <c r="AJ94" s="57">
        <f>INDEX('Eurostat EB TJ GWh'!$A$2:$BV$146,MATCH($A94,'Eurostat EB TJ GWh'!$A$2:$A$146,0),MATCH(AJ$3,'Eurostat EB TJ GWh'!$A$2:$BV$2,0))</f>
        <v>163893.617</v>
      </c>
      <c r="AK94" s="57">
        <f>INDEX('Eurostat EB TJ GWh'!$A$2:$BV$146,MATCH($A94,'Eurostat EB TJ GWh'!$A$2:$A$146,0),MATCH(AK$3,'Eurostat EB TJ GWh'!$A$2:$BV$2,0))</f>
        <v>380.71300000000002</v>
      </c>
      <c r="AL94" s="57">
        <f>INDEX('Eurostat EB TJ GWh'!$A$2:$BV$146,MATCH($A94,'Eurostat EB TJ GWh'!$A$2:$A$146,0),MATCH(AL$3,'Eurostat EB TJ GWh'!$A$2:$BV$2,0))</f>
        <v>0</v>
      </c>
      <c r="AM94" s="57">
        <f>INDEX('Eurostat EB TJ GWh'!$A$2:$BV$146,MATCH($A94,'Eurostat EB TJ GWh'!$A$2:$A$146,0),MATCH(AM$3,'Eurostat EB TJ GWh'!$A$2:$BV$2,0))</f>
        <v>0</v>
      </c>
      <c r="AN94" s="57">
        <f>INDEX('Eurostat EB TJ GWh'!$A$2:$BV$146,MATCH($A94,'Eurostat EB TJ GWh'!$A$2:$A$146,0),MATCH(AN$3,'Eurostat EB TJ GWh'!$A$2:$BV$2,0))</f>
        <v>404.85399999999998</v>
      </c>
      <c r="AO94" s="57">
        <f>INDEX('Eurostat EB TJ GWh'!$A$2:$BV$146,MATCH($A94,'Eurostat EB TJ GWh'!$A$2:$A$146,0),MATCH(AO$3,'Eurostat EB TJ GWh'!$A$2:$BV$2,0))</f>
        <v>10901.987693999999</v>
      </c>
      <c r="AP94" s="57">
        <f>INDEX('Eurostat EB TJ GWh'!$A$2:$BV$146,MATCH($A94,'Eurostat EB TJ GWh'!$A$2:$A$146,0),MATCH(AP$3,'Eurostat EB TJ GWh'!$A$2:$BV$2,0))</f>
        <v>5725.9830000000002</v>
      </c>
      <c r="AQ94" s="57">
        <f>INDEX('Eurostat EB TJ GWh'!$A$2:$BV$146,MATCH($A94,'Eurostat EB TJ GWh'!$A$2:$A$146,0),MATCH(AQ$3,'Eurostat EB TJ GWh'!$A$2:$BV$2,0))</f>
        <v>0</v>
      </c>
      <c r="AR94" s="57">
        <f>INDEX('Eurostat EB TJ GWh'!$A$2:$BV$146,MATCH($A94,'Eurostat EB TJ GWh'!$A$2:$A$146,0),MATCH(AR$3,'Eurostat EB TJ GWh'!$A$2:$BV$2,0))</f>
        <v>0</v>
      </c>
      <c r="AS94" s="57">
        <f>INDEX('Eurostat EB TJ GWh'!$A$2:$BV$146,MATCH($A94,'Eurostat EB TJ GWh'!$A$2:$A$146,0),MATCH(AS$3,'Eurostat EB TJ GWh'!$A$2:$BV$2,0))</f>
        <v>0</v>
      </c>
      <c r="AT94" s="57">
        <f>INDEX('Eurostat EB TJ GWh'!$A$2:$BV$146,MATCH($A94,'Eurostat EB TJ GWh'!$A$2:$A$146,0),MATCH(AT$3,'Eurostat EB TJ GWh'!$A$2:$BV$2,0))</f>
        <v>0</v>
      </c>
      <c r="AU94" s="57">
        <f>INDEX('Eurostat EB TJ GWh'!$A$2:$BV$146,MATCH($A94,'Eurostat EB TJ GWh'!$A$2:$A$146,0),MATCH(AU$3,'Eurostat EB TJ GWh'!$A$2:$BV$2,0))</f>
        <v>0</v>
      </c>
      <c r="AV94" s="57">
        <f>INDEX('Eurostat EB TJ GWh'!$A$2:$BV$146,MATCH($A94,'Eurostat EB TJ GWh'!$A$2:$A$146,0),MATCH(AV$2,'Eurostat EB TJ GWh'!$A$2:$BV$2,0))+INDEX('Eurostat EB TJ GWh'!$A$2:$BV$146,MATCH($A94,'Eurostat EB TJ GWh'!$A$2:$A$146,0),MATCH(AV$3,'Eurostat EB TJ GWh'!$A$2:$BV$2,0))</f>
        <v>0</v>
      </c>
      <c r="AW94" s="57">
        <f>INDEX('Eurostat EB TJ GWh'!$A$2:$BV$146,MATCH($A94,'Eurostat EB TJ GWh'!$A$2:$A$146,0),MATCH(AW$2,'Eurostat EB TJ GWh'!$A$2:$BV$2,0))+INDEX('Eurostat EB TJ GWh'!$A$2:$BV$146,MATCH($A94,'Eurostat EB TJ GWh'!$A$2:$A$146,0),MATCH(AW$3,'Eurostat EB TJ GWh'!$A$2:$BV$2,0))</f>
        <v>0</v>
      </c>
      <c r="AX94" s="57">
        <f>INDEX('Eurostat EB TJ GWh'!$A$2:$BV$146,MATCH($A94,'Eurostat EB TJ GWh'!$A$2:$A$146,0),MATCH(AX$3,'Eurostat EB TJ GWh'!$A$2:$BV$2,0))</f>
        <v>0</v>
      </c>
      <c r="AY94" s="72">
        <v>0</v>
      </c>
      <c r="AZ94" s="57">
        <f>INDEX('Eurostat EB TJ GWh'!$A$2:$BV$146,MATCH($A94,'Eurostat EB TJ GWh'!$A$2:$A$146,0),MATCH(AZ$3,'Eurostat EB TJ GWh'!$A$2:$BV$2,0))</f>
        <v>0</v>
      </c>
      <c r="BA94" s="72">
        <v>0</v>
      </c>
      <c r="BB94" s="72">
        <v>0</v>
      </c>
      <c r="BC94" s="57">
        <f>INDEX('Eurostat EB TJ GWh'!$A$2:$BV$146,MATCH($A94,'Eurostat EB TJ GWh'!$A$2:$A$146,0),MATCH(BC$3,'Eurostat EB TJ GWh'!$A$2:$BV$2,0))</f>
        <v>0</v>
      </c>
      <c r="BD94" s="57">
        <f>INDEX('Eurostat EB TJ GWh'!$A$2:$BV$146,MATCH($A94,'Eurostat EB TJ GWh'!$A$2:$A$146,0),MATCH(BD$3,'Eurostat EB TJ GWh'!$A$2:$BV$2,0))</f>
        <v>0</v>
      </c>
      <c r="BE94" s="57">
        <f>INDEX('Eurostat EB TJ GWh'!$A$2:$BV$146,MATCH($A94,'Eurostat EB TJ GWh'!$A$2:$A$146,0),MATCH(BE$3,'Eurostat EB TJ GWh'!$A$2:$BV$2,0))</f>
        <v>0</v>
      </c>
      <c r="BF94" s="57">
        <f>INDEX('Eurostat EB TJ GWh'!$A$2:$BV$146,MATCH($A94,'Eurostat EB TJ GWh'!$A$2:$A$146,0),MATCH(BF$3,'Eurostat EB TJ GWh'!$A$2:$BV$2,0))</f>
        <v>0</v>
      </c>
      <c r="BG94" s="57">
        <f>INDEX('Eurostat EB TJ GWh'!$A$2:$BV$146,MATCH($A94,'Eurostat EB TJ GWh'!$A$2:$A$146,0),MATCH(BG$3,'Eurostat EB TJ GWh'!$A$2:$BV$2,0))</f>
        <v>0</v>
      </c>
      <c r="BH94" s="57">
        <f>INDEX('Eurostat EB TJ GWh'!$A$2:$BV$146,MATCH($A94,'Eurostat EB TJ GWh'!$A$2:$A$146,0),MATCH(BH$3,'Eurostat EB TJ GWh'!$A$2:$BV$2,0))</f>
        <v>0</v>
      </c>
      <c r="BI94" s="57">
        <f>INDEX('Eurostat EB TJ GWh'!$A$2:$BV$146,MATCH($A94,'Eurostat EB TJ GWh'!$A$2:$A$146,0),MATCH(BI$3,'Eurostat EB TJ GWh'!$A$2:$BV$2,0))</f>
        <v>0</v>
      </c>
      <c r="BJ94" s="72">
        <v>0</v>
      </c>
      <c r="BK94" s="57">
        <f>INDEX('Eurostat EB TJ GWh'!$A$2:$BV$146,MATCH($A94,'Eurostat EB TJ GWh'!$A$2:$A$146,0),MATCH(BK$3,'Eurostat EB TJ GWh'!$A$2:$BV$2,0))</f>
        <v>0</v>
      </c>
      <c r="BL94" s="57">
        <f>INDEX('Eurostat EB TJ GWh'!$A$2:$BV$146,MATCH($A94,'Eurostat EB TJ GWh'!$A$2:$A$146,0),MATCH(BL$3,'Eurostat EB TJ GWh'!$A$2:$BV$2,0))</f>
        <v>0</v>
      </c>
      <c r="BM94" s="57">
        <f>INDEX('Eurostat EB TJ GWh'!$A$2:$BV$146,MATCH($A94,'Eurostat EB TJ GWh'!$A$2:$A$146,0),MATCH(BM$3,'Eurostat EB TJ GWh'!$A$2:$BV$2,0))</f>
        <v>796034.36753200006</v>
      </c>
      <c r="BN94" s="57">
        <f>INDEX('Eurostat EB TJ GWh'!$A$2:$BV$146,MATCH($A94,'Eurostat EB TJ GWh'!$A$2:$A$146,0),MATCH(BN$3,'Eurostat EB TJ GWh'!$A$2:$BV$2,0))</f>
        <v>0</v>
      </c>
    </row>
    <row r="95" spans="1:66" x14ac:dyDescent="0.2">
      <c r="A95" s="56" t="s">
        <v>284</v>
      </c>
      <c r="B95" s="65" t="s">
        <v>323</v>
      </c>
      <c r="C95" s="65" t="s">
        <v>323</v>
      </c>
      <c r="D95" s="17">
        <f>INDEX('Eurostat EB TJ GWh'!$A$2:$BV$146,MATCH($A95,'Eurostat EB TJ GWh'!$A$2:$A$146,0),MATCH(D$3,'Eurostat EB TJ GWh'!$A$2:$BV$2,0))</f>
        <v>0</v>
      </c>
      <c r="E95" s="17">
        <f>INDEX('Eurostat EB TJ GWh'!$A$2:$BV$146,MATCH($A95,'Eurostat EB TJ GWh'!$A$2:$A$146,0),MATCH(E$3,'Eurostat EB TJ GWh'!$A$2:$BV$2,0))</f>
        <v>0</v>
      </c>
      <c r="F95" s="17">
        <f>INDEX('Eurostat EB TJ GWh'!$A$2:$BV$146,MATCH($A95,'Eurostat EB TJ GWh'!$A$2:$A$146,0),MATCH(F$3,'Eurostat EB TJ GWh'!$A$2:$BV$2,0))</f>
        <v>0</v>
      </c>
      <c r="G95" s="17">
        <f>INDEX('Eurostat EB TJ GWh'!$A$2:$BV$146,MATCH($A95,'Eurostat EB TJ GWh'!$A$2:$A$146,0),MATCH(G$3,'Eurostat EB TJ GWh'!$A$2:$BV$2,0))</f>
        <v>0</v>
      </c>
      <c r="H95" s="17">
        <f>INDEX('Eurostat EB TJ GWh'!$A$2:$BV$146,MATCH($A95,'Eurostat EB TJ GWh'!$A$2:$A$146,0),MATCH(H$3,'Eurostat EB TJ GWh'!$A$2:$BV$2,0))</f>
        <v>0</v>
      </c>
      <c r="I95" s="17">
        <f>INDEX('Eurostat EB TJ GWh'!$A$2:$BV$146,MATCH($A95,'Eurostat EB TJ GWh'!$A$2:$A$146,0),MATCH(I$3,'Eurostat EB TJ GWh'!$A$2:$BV$2,0))</f>
        <v>0</v>
      </c>
      <c r="J95" s="17">
        <f>INDEX('Eurostat EB TJ GWh'!$A$2:$BV$146,MATCH($A95,'Eurostat EB TJ GWh'!$A$2:$A$146,0),MATCH(J$3,'Eurostat EB TJ GWh'!$A$2:$BV$2,0))</f>
        <v>0</v>
      </c>
      <c r="K95" s="17">
        <f>INDEX('Eurostat EB TJ GWh'!$A$2:$BV$146,MATCH($A95,'Eurostat EB TJ GWh'!$A$2:$A$146,0),MATCH(K$3,'Eurostat EB TJ GWh'!$A$2:$BV$2,0))</f>
        <v>0</v>
      </c>
      <c r="L95" s="17">
        <f>INDEX('Eurostat EB TJ GWh'!$A$2:$BV$146,MATCH($A95,'Eurostat EB TJ GWh'!$A$2:$A$146,0),MATCH(L$3,'Eurostat EB TJ GWh'!$A$2:$BV$2,0))</f>
        <v>0</v>
      </c>
      <c r="M95" s="17">
        <f>INDEX('Eurostat EB TJ GWh'!$A$2:$BV$146,MATCH($A95,'Eurostat EB TJ GWh'!$A$2:$A$146,0),MATCH(M$3,'Eurostat EB TJ GWh'!$A$2:$BV$2,0))</f>
        <v>0</v>
      </c>
      <c r="N95" s="17">
        <f>INDEX('Eurostat EB TJ GWh'!$A$2:$BV$146,MATCH($A95,'Eurostat EB TJ GWh'!$A$2:$A$146,0),MATCH(N$3,'Eurostat EB TJ GWh'!$A$2:$BV$2,0))</f>
        <v>0</v>
      </c>
      <c r="O95" s="17">
        <f>INDEX('Eurostat EB TJ GWh'!$A$2:$BV$146,MATCH($A95,'Eurostat EB TJ GWh'!$A$2:$A$146,0),MATCH(O$3,'Eurostat EB TJ GWh'!$A$2:$BV$2,0))</f>
        <v>0</v>
      </c>
      <c r="P95" s="17">
        <f>INDEX('Eurostat EB TJ GWh'!$A$2:$BV$146,MATCH($A95,'Eurostat EB TJ GWh'!$A$2:$A$146,0),MATCH(P$3,'Eurostat EB TJ GWh'!$A$2:$BV$2,0))</f>
        <v>0</v>
      </c>
      <c r="Q95" s="17">
        <f>INDEX('Eurostat EB TJ GWh'!$A$2:$BV$146,MATCH($A95,'Eurostat EB TJ GWh'!$A$2:$A$146,0),MATCH(Q$3,'Eurostat EB TJ GWh'!$A$2:$BV$2,0))</f>
        <v>0</v>
      </c>
      <c r="R95" s="17">
        <f>INDEX('Eurostat EB TJ GWh'!$A$2:$BV$146,MATCH($A95,'Eurostat EB TJ GWh'!$A$2:$A$146,0),MATCH(R$2,'Eurostat EB TJ GWh'!$A$2:$BV$2,0))+INDEX('Eurostat EB TJ GWh'!$A$2:$BV$146,MATCH($A95,'Eurostat EB TJ GWh'!$A$2:$A$146,0),MATCH(R$3,'Eurostat EB TJ GWh'!$A$2:$BV$2,0))</f>
        <v>0</v>
      </c>
      <c r="S95" s="17">
        <f>INDEX('Eurostat EB TJ GWh'!$A$2:$BV$146,MATCH($A95,'Eurostat EB TJ GWh'!$A$2:$A$146,0),MATCH(S$3,'Eurostat EB TJ GWh'!$A$2:$BV$2,0))</f>
        <v>0</v>
      </c>
      <c r="T95" s="65" t="s">
        <v>323</v>
      </c>
      <c r="U95" s="17">
        <f>INDEX('Eurostat EB TJ GWh'!$A$2:$BV$146,MATCH($A95,'Eurostat EB TJ GWh'!$A$2:$A$146,0),MATCH(U$3,'Eurostat EB TJ GWh'!$A$2:$BV$2,0))</f>
        <v>0</v>
      </c>
      <c r="V95" s="17">
        <f>INDEX('Eurostat EB TJ GWh'!$A$2:$BV$146,MATCH($A95,'Eurostat EB TJ GWh'!$A$2:$A$146,0),MATCH(V$3,'Eurostat EB TJ GWh'!$A$2:$BV$2,0))</f>
        <v>0</v>
      </c>
      <c r="W95" s="17">
        <f>INDEX('Eurostat EB TJ GWh'!$A$2:$BV$146,MATCH($A95,'Eurostat EB TJ GWh'!$A$2:$A$146,0),MATCH(W$3,'Eurostat EB TJ GWh'!$A$2:$BV$2,0))</f>
        <v>0</v>
      </c>
      <c r="X95" s="17">
        <f>INDEX('Eurostat EB TJ GWh'!$A$2:$BV$146,MATCH($A95,'Eurostat EB TJ GWh'!$A$2:$A$146,0),MATCH(X$3,'Eurostat EB TJ GWh'!$A$2:$BV$2,0))</f>
        <v>0</v>
      </c>
      <c r="Y95" s="17">
        <f>INDEX('Eurostat EB TJ GWh'!$A$2:$BV$146,MATCH($A95,'Eurostat EB TJ GWh'!$A$2:$A$146,0),MATCH(Y$3,'Eurostat EB TJ GWh'!$A$2:$BV$2,0))</f>
        <v>0</v>
      </c>
      <c r="Z95" s="17">
        <f>INDEX('Eurostat EB TJ GWh'!$A$2:$BV$146,MATCH($A95,'Eurostat EB TJ GWh'!$A$2:$A$146,0),MATCH(Z$3,'Eurostat EB TJ GWh'!$A$2:$BV$2,0))</f>
        <v>0</v>
      </c>
      <c r="AA95" s="17">
        <f>INDEX('Eurostat EB TJ GWh'!$A$2:$BV$146,MATCH($A95,'Eurostat EB TJ GWh'!$A$2:$A$146,0),MATCH(AA$3,'Eurostat EB TJ GWh'!$A$2:$BV$2,0))</f>
        <v>0</v>
      </c>
      <c r="AB95" s="17">
        <f>INDEX('Eurostat EB TJ GWh'!$A$2:$BV$146,MATCH($A95,'Eurostat EB TJ GWh'!$A$2:$A$146,0),MATCH(AB$3,'Eurostat EB TJ GWh'!$A$2:$BV$2,0))</f>
        <v>0</v>
      </c>
      <c r="AC95" s="17">
        <f>INDEX('Eurostat EB TJ GWh'!$A$2:$BV$146,MATCH($A95,'Eurostat EB TJ GWh'!$A$2:$A$146,0),MATCH(AC$3,'Eurostat EB TJ GWh'!$A$2:$BV$2,0))</f>
        <v>0</v>
      </c>
      <c r="AD95" s="17">
        <f>INDEX('Eurostat EB TJ GWh'!$A$2:$BV$146,MATCH($A95,'Eurostat EB TJ GWh'!$A$2:$A$146,0),MATCH(AD$3,'Eurostat EB TJ GWh'!$A$2:$BV$2,0))</f>
        <v>0</v>
      </c>
      <c r="AE95" s="17">
        <f>INDEX('Eurostat EB TJ GWh'!$A$2:$BV$146,MATCH($A95,'Eurostat EB TJ GWh'!$A$2:$A$146,0),MATCH(AE$3,'Eurostat EB TJ GWh'!$A$2:$BV$2,0))</f>
        <v>0</v>
      </c>
      <c r="AF95" s="17">
        <f>INDEX('Eurostat EB TJ GWh'!$A$2:$BV$146,MATCH($A95,'Eurostat EB TJ GWh'!$A$2:$A$146,0),MATCH(AF$3,'Eurostat EB TJ GWh'!$A$2:$BV$2,0))</f>
        <v>0</v>
      </c>
      <c r="AG95" s="17">
        <f>INDEX('Eurostat EB TJ GWh'!$A$2:$BV$146,MATCH($A95,'Eurostat EB TJ GWh'!$A$2:$A$146,0),MATCH(AG$3,'Eurostat EB TJ GWh'!$A$2:$BV$2,0))</f>
        <v>0</v>
      </c>
      <c r="AH95" s="17">
        <f>INDEX('Eurostat EB TJ GWh'!$A$2:$BV$146,MATCH($A95,'Eurostat EB TJ GWh'!$A$2:$A$146,0),MATCH(AH$3,'Eurostat EB TJ GWh'!$A$2:$BV$2,0))</f>
        <v>0</v>
      </c>
      <c r="AI95" s="17">
        <f>INDEX('Eurostat EB TJ GWh'!$A$2:$BV$146,MATCH($A95,'Eurostat EB TJ GWh'!$A$2:$A$146,0),MATCH(AI$3,'Eurostat EB TJ GWh'!$A$2:$BV$2,0))</f>
        <v>0</v>
      </c>
      <c r="AJ95" s="17">
        <f>INDEX('Eurostat EB TJ GWh'!$A$2:$BV$146,MATCH($A95,'Eurostat EB TJ GWh'!$A$2:$A$146,0),MATCH(AJ$3,'Eurostat EB TJ GWh'!$A$2:$BV$2,0))</f>
        <v>0</v>
      </c>
      <c r="AK95" s="17">
        <f>INDEX('Eurostat EB TJ GWh'!$A$2:$BV$146,MATCH($A95,'Eurostat EB TJ GWh'!$A$2:$A$146,0),MATCH(AK$3,'Eurostat EB TJ GWh'!$A$2:$BV$2,0))</f>
        <v>0</v>
      </c>
      <c r="AL95" s="17">
        <f>INDEX('Eurostat EB TJ GWh'!$A$2:$BV$146,MATCH($A95,'Eurostat EB TJ GWh'!$A$2:$A$146,0),MATCH(AL$3,'Eurostat EB TJ GWh'!$A$2:$BV$2,0))</f>
        <v>2704.9630000000002</v>
      </c>
      <c r="AM95" s="17">
        <f>INDEX('Eurostat EB TJ GWh'!$A$2:$BV$146,MATCH($A95,'Eurostat EB TJ GWh'!$A$2:$A$146,0),MATCH(AM$3,'Eurostat EB TJ GWh'!$A$2:$BV$2,0))</f>
        <v>0</v>
      </c>
      <c r="AN95" s="17">
        <f>INDEX('Eurostat EB TJ GWh'!$A$2:$BV$146,MATCH($A95,'Eurostat EB TJ GWh'!$A$2:$A$146,0),MATCH(AN$3,'Eurostat EB TJ GWh'!$A$2:$BV$2,0))</f>
        <v>0</v>
      </c>
      <c r="AO95" s="17">
        <f>INDEX('Eurostat EB TJ GWh'!$A$2:$BV$146,MATCH($A95,'Eurostat EB TJ GWh'!$A$2:$A$146,0),MATCH(AO$3,'Eurostat EB TJ GWh'!$A$2:$BV$2,0))</f>
        <v>0</v>
      </c>
      <c r="AP95" s="17">
        <f>INDEX('Eurostat EB TJ GWh'!$A$2:$BV$146,MATCH($A95,'Eurostat EB TJ GWh'!$A$2:$A$146,0),MATCH(AP$3,'Eurostat EB TJ GWh'!$A$2:$BV$2,0))</f>
        <v>0</v>
      </c>
      <c r="AQ95" s="17">
        <f>INDEX('Eurostat EB TJ GWh'!$A$2:$BV$146,MATCH($A95,'Eurostat EB TJ GWh'!$A$2:$A$146,0),MATCH(AQ$3,'Eurostat EB TJ GWh'!$A$2:$BV$2,0))</f>
        <v>0</v>
      </c>
      <c r="AR95" s="17">
        <f>INDEX('Eurostat EB TJ GWh'!$A$2:$BV$146,MATCH($A95,'Eurostat EB TJ GWh'!$A$2:$A$146,0),MATCH(AR$3,'Eurostat EB TJ GWh'!$A$2:$BV$2,0))</f>
        <v>0</v>
      </c>
      <c r="AS95" s="17">
        <f>INDEX('Eurostat EB TJ GWh'!$A$2:$BV$146,MATCH($A95,'Eurostat EB TJ GWh'!$A$2:$A$146,0),MATCH(AS$3,'Eurostat EB TJ GWh'!$A$2:$BV$2,0))</f>
        <v>0</v>
      </c>
      <c r="AT95" s="17">
        <f>INDEX('Eurostat EB TJ GWh'!$A$2:$BV$146,MATCH($A95,'Eurostat EB TJ GWh'!$A$2:$A$146,0),MATCH(AT$3,'Eurostat EB TJ GWh'!$A$2:$BV$2,0))</f>
        <v>0</v>
      </c>
      <c r="AU95" s="17">
        <f>INDEX('Eurostat EB TJ GWh'!$A$2:$BV$146,MATCH($A95,'Eurostat EB TJ GWh'!$A$2:$A$146,0),MATCH(AU$3,'Eurostat EB TJ GWh'!$A$2:$BV$2,0))</f>
        <v>0</v>
      </c>
      <c r="AV95" s="17">
        <f>INDEX('Eurostat EB TJ GWh'!$A$2:$BV$146,MATCH($A95,'Eurostat EB TJ GWh'!$A$2:$A$146,0),MATCH(AV$2,'Eurostat EB TJ GWh'!$A$2:$BV$2,0))+INDEX('Eurostat EB TJ GWh'!$A$2:$BV$146,MATCH($A95,'Eurostat EB TJ GWh'!$A$2:$A$146,0),MATCH(AV$3,'Eurostat EB TJ GWh'!$A$2:$BV$2,0))</f>
        <v>0</v>
      </c>
      <c r="AW95" s="17">
        <f>INDEX('Eurostat EB TJ GWh'!$A$2:$BV$146,MATCH($A95,'Eurostat EB TJ GWh'!$A$2:$A$146,0),MATCH(AW$2,'Eurostat EB TJ GWh'!$A$2:$BV$2,0))+INDEX('Eurostat EB TJ GWh'!$A$2:$BV$146,MATCH($A95,'Eurostat EB TJ GWh'!$A$2:$A$146,0),MATCH(AW$3,'Eurostat EB TJ GWh'!$A$2:$BV$2,0))</f>
        <v>0</v>
      </c>
      <c r="AX95" s="17">
        <f>INDEX('Eurostat EB TJ GWh'!$A$2:$BV$146,MATCH($A95,'Eurostat EB TJ GWh'!$A$2:$A$146,0),MATCH(AX$3,'Eurostat EB TJ GWh'!$A$2:$BV$2,0))</f>
        <v>0</v>
      </c>
      <c r="AY95" s="65">
        <v>0</v>
      </c>
      <c r="AZ95" s="17">
        <f>INDEX('Eurostat EB TJ GWh'!$A$2:$BV$146,MATCH($A95,'Eurostat EB TJ GWh'!$A$2:$A$146,0),MATCH(AZ$3,'Eurostat EB TJ GWh'!$A$2:$BV$2,0))</f>
        <v>0</v>
      </c>
      <c r="BA95" s="65">
        <v>0</v>
      </c>
      <c r="BB95" s="65">
        <v>0</v>
      </c>
      <c r="BC95" s="17">
        <f>INDEX('Eurostat EB TJ GWh'!$A$2:$BV$146,MATCH($A95,'Eurostat EB TJ GWh'!$A$2:$A$146,0),MATCH(BC$3,'Eurostat EB TJ GWh'!$A$2:$BV$2,0))</f>
        <v>0</v>
      </c>
      <c r="BD95" s="17">
        <f>INDEX('Eurostat EB TJ GWh'!$A$2:$BV$146,MATCH($A95,'Eurostat EB TJ GWh'!$A$2:$A$146,0),MATCH(BD$3,'Eurostat EB TJ GWh'!$A$2:$BV$2,0))</f>
        <v>0</v>
      </c>
      <c r="BE95" s="17">
        <f>INDEX('Eurostat EB TJ GWh'!$A$2:$BV$146,MATCH($A95,'Eurostat EB TJ GWh'!$A$2:$A$146,0),MATCH(BE$3,'Eurostat EB TJ GWh'!$A$2:$BV$2,0))</f>
        <v>0</v>
      </c>
      <c r="BF95" s="17">
        <f>INDEX('Eurostat EB TJ GWh'!$A$2:$BV$146,MATCH($A95,'Eurostat EB TJ GWh'!$A$2:$A$146,0),MATCH(BF$3,'Eurostat EB TJ GWh'!$A$2:$BV$2,0))</f>
        <v>0</v>
      </c>
      <c r="BG95" s="17">
        <f>INDEX('Eurostat EB TJ GWh'!$A$2:$BV$146,MATCH($A95,'Eurostat EB TJ GWh'!$A$2:$A$146,0),MATCH(BG$3,'Eurostat EB TJ GWh'!$A$2:$BV$2,0))</f>
        <v>0</v>
      </c>
      <c r="BH95" s="17">
        <f>INDEX('Eurostat EB TJ GWh'!$A$2:$BV$146,MATCH($A95,'Eurostat EB TJ GWh'!$A$2:$A$146,0),MATCH(BH$3,'Eurostat EB TJ GWh'!$A$2:$BV$2,0))</f>
        <v>0</v>
      </c>
      <c r="BI95" s="17">
        <f>INDEX('Eurostat EB TJ GWh'!$A$2:$BV$146,MATCH($A95,'Eurostat EB TJ GWh'!$A$2:$A$146,0),MATCH(BI$3,'Eurostat EB TJ GWh'!$A$2:$BV$2,0))</f>
        <v>0</v>
      </c>
      <c r="BJ95" s="65">
        <v>0</v>
      </c>
      <c r="BK95" s="17">
        <f>INDEX('Eurostat EB TJ GWh'!$A$2:$BV$146,MATCH($A95,'Eurostat EB TJ GWh'!$A$2:$A$146,0),MATCH(BK$3,'Eurostat EB TJ GWh'!$A$2:$BV$2,0))</f>
        <v>0</v>
      </c>
      <c r="BL95" s="17">
        <f>INDEX('Eurostat EB TJ GWh'!$A$2:$BV$146,MATCH($A95,'Eurostat EB TJ GWh'!$A$2:$A$146,0),MATCH(BL$3,'Eurostat EB TJ GWh'!$A$2:$BV$2,0))</f>
        <v>0</v>
      </c>
      <c r="BM95" s="17">
        <f>INDEX('Eurostat EB TJ GWh'!$A$2:$BV$146,MATCH($A95,'Eurostat EB TJ GWh'!$A$2:$A$146,0),MATCH(BM$3,'Eurostat EB TJ GWh'!$A$2:$BV$2,0))</f>
        <v>2704.9630000000002</v>
      </c>
      <c r="BN95" s="17">
        <f>INDEX('Eurostat EB TJ GWh'!$A$2:$BV$146,MATCH($A95,'Eurostat EB TJ GWh'!$A$2:$A$146,0),MATCH(BN$3,'Eurostat EB TJ GWh'!$A$2:$BV$2,0))</f>
        <v>0</v>
      </c>
    </row>
    <row r="96" spans="1:66" x14ac:dyDescent="0.2">
      <c r="A96" s="56" t="s">
        <v>285</v>
      </c>
      <c r="B96" s="65" t="s">
        <v>323</v>
      </c>
      <c r="C96" s="65" t="s">
        <v>323</v>
      </c>
      <c r="D96" s="57">
        <f>INDEX('Eurostat EB TJ GWh'!$A$2:$BV$146,MATCH($A96,'Eurostat EB TJ GWh'!$A$2:$A$146,0),MATCH(D$3,'Eurostat EB TJ GWh'!$A$2:$BV$2,0))</f>
        <v>0</v>
      </c>
      <c r="E96" s="57">
        <f>INDEX('Eurostat EB TJ GWh'!$A$2:$BV$146,MATCH($A96,'Eurostat EB TJ GWh'!$A$2:$A$146,0),MATCH(E$3,'Eurostat EB TJ GWh'!$A$2:$BV$2,0))</f>
        <v>0</v>
      </c>
      <c r="F96" s="57">
        <f>INDEX('Eurostat EB TJ GWh'!$A$2:$BV$146,MATCH($A96,'Eurostat EB TJ GWh'!$A$2:$A$146,0),MATCH(F$3,'Eurostat EB TJ GWh'!$A$2:$BV$2,0))</f>
        <v>0</v>
      </c>
      <c r="G96" s="57">
        <f>INDEX('Eurostat EB TJ GWh'!$A$2:$BV$146,MATCH($A96,'Eurostat EB TJ GWh'!$A$2:$A$146,0),MATCH(G$3,'Eurostat EB TJ GWh'!$A$2:$BV$2,0))</f>
        <v>0</v>
      </c>
      <c r="H96" s="57">
        <f>INDEX('Eurostat EB TJ GWh'!$A$2:$BV$146,MATCH($A96,'Eurostat EB TJ GWh'!$A$2:$A$146,0),MATCH(H$3,'Eurostat EB TJ GWh'!$A$2:$BV$2,0))</f>
        <v>0</v>
      </c>
      <c r="I96" s="57">
        <f>INDEX('Eurostat EB TJ GWh'!$A$2:$BV$146,MATCH($A96,'Eurostat EB TJ GWh'!$A$2:$A$146,0),MATCH(I$3,'Eurostat EB TJ GWh'!$A$2:$BV$2,0))</f>
        <v>0</v>
      </c>
      <c r="J96" s="57">
        <f>INDEX('Eurostat EB TJ GWh'!$A$2:$BV$146,MATCH($A96,'Eurostat EB TJ GWh'!$A$2:$A$146,0),MATCH(J$3,'Eurostat EB TJ GWh'!$A$2:$BV$2,0))</f>
        <v>0</v>
      </c>
      <c r="K96" s="57">
        <f>INDEX('Eurostat EB TJ GWh'!$A$2:$BV$146,MATCH($A96,'Eurostat EB TJ GWh'!$A$2:$A$146,0),MATCH(K$3,'Eurostat EB TJ GWh'!$A$2:$BV$2,0))</f>
        <v>0</v>
      </c>
      <c r="L96" s="57">
        <f>INDEX('Eurostat EB TJ GWh'!$A$2:$BV$146,MATCH($A96,'Eurostat EB TJ GWh'!$A$2:$A$146,0),MATCH(L$3,'Eurostat EB TJ GWh'!$A$2:$BV$2,0))</f>
        <v>0</v>
      </c>
      <c r="M96" s="57">
        <f>INDEX('Eurostat EB TJ GWh'!$A$2:$BV$146,MATCH($A96,'Eurostat EB TJ GWh'!$A$2:$A$146,0),MATCH(M$3,'Eurostat EB TJ GWh'!$A$2:$BV$2,0))</f>
        <v>0</v>
      </c>
      <c r="N96" s="57">
        <f>INDEX('Eurostat EB TJ GWh'!$A$2:$BV$146,MATCH($A96,'Eurostat EB TJ GWh'!$A$2:$A$146,0),MATCH(N$3,'Eurostat EB TJ GWh'!$A$2:$BV$2,0))</f>
        <v>0</v>
      </c>
      <c r="O96" s="57">
        <f>INDEX('Eurostat EB TJ GWh'!$A$2:$BV$146,MATCH($A96,'Eurostat EB TJ GWh'!$A$2:$A$146,0),MATCH(O$3,'Eurostat EB TJ GWh'!$A$2:$BV$2,0))</f>
        <v>0</v>
      </c>
      <c r="P96" s="57">
        <f>INDEX('Eurostat EB TJ GWh'!$A$2:$BV$146,MATCH($A96,'Eurostat EB TJ GWh'!$A$2:$A$146,0),MATCH(P$3,'Eurostat EB TJ GWh'!$A$2:$BV$2,0))</f>
        <v>0</v>
      </c>
      <c r="Q96" s="57">
        <f>INDEX('Eurostat EB TJ GWh'!$A$2:$BV$146,MATCH($A96,'Eurostat EB TJ GWh'!$A$2:$A$146,0),MATCH(Q$3,'Eurostat EB TJ GWh'!$A$2:$BV$2,0))</f>
        <v>0</v>
      </c>
      <c r="R96" s="57">
        <f>INDEX('Eurostat EB TJ GWh'!$A$2:$BV$146,MATCH($A96,'Eurostat EB TJ GWh'!$A$2:$A$146,0),MATCH(R$2,'Eurostat EB TJ GWh'!$A$2:$BV$2,0))+INDEX('Eurostat EB TJ GWh'!$A$2:$BV$146,MATCH($A96,'Eurostat EB TJ GWh'!$A$2:$A$146,0),MATCH(R$3,'Eurostat EB TJ GWh'!$A$2:$BV$2,0))</f>
        <v>0</v>
      </c>
      <c r="S96" s="57">
        <f>INDEX('Eurostat EB TJ GWh'!$A$2:$BV$146,MATCH($A96,'Eurostat EB TJ GWh'!$A$2:$A$146,0),MATCH(S$3,'Eurostat EB TJ GWh'!$A$2:$BV$2,0))</f>
        <v>37.954999999999998</v>
      </c>
      <c r="T96" s="65" t="s">
        <v>323</v>
      </c>
      <c r="U96" s="57">
        <f>INDEX('Eurostat EB TJ GWh'!$A$2:$BV$146,MATCH($A96,'Eurostat EB TJ GWh'!$A$2:$A$146,0),MATCH(U$3,'Eurostat EB TJ GWh'!$A$2:$BV$2,0))</f>
        <v>0</v>
      </c>
      <c r="V96" s="57">
        <f>INDEX('Eurostat EB TJ GWh'!$A$2:$BV$146,MATCH($A96,'Eurostat EB TJ GWh'!$A$2:$A$146,0),MATCH(V$3,'Eurostat EB TJ GWh'!$A$2:$BV$2,0))</f>
        <v>0</v>
      </c>
      <c r="W96" s="57">
        <f>INDEX('Eurostat EB TJ GWh'!$A$2:$BV$146,MATCH($A96,'Eurostat EB TJ GWh'!$A$2:$A$146,0),MATCH(W$3,'Eurostat EB TJ GWh'!$A$2:$BV$2,0))</f>
        <v>0</v>
      </c>
      <c r="X96" s="57">
        <f>INDEX('Eurostat EB TJ GWh'!$A$2:$BV$146,MATCH($A96,'Eurostat EB TJ GWh'!$A$2:$A$146,0),MATCH(X$3,'Eurostat EB TJ GWh'!$A$2:$BV$2,0))</f>
        <v>0</v>
      </c>
      <c r="Y96" s="57">
        <f>INDEX('Eurostat EB TJ GWh'!$A$2:$BV$146,MATCH($A96,'Eurostat EB TJ GWh'!$A$2:$A$146,0),MATCH(Y$3,'Eurostat EB TJ GWh'!$A$2:$BV$2,0))</f>
        <v>0</v>
      </c>
      <c r="Z96" s="57">
        <f>INDEX('Eurostat EB TJ GWh'!$A$2:$BV$146,MATCH($A96,'Eurostat EB TJ GWh'!$A$2:$A$146,0),MATCH(Z$3,'Eurostat EB TJ GWh'!$A$2:$BV$2,0))</f>
        <v>0</v>
      </c>
      <c r="AA96" s="57">
        <f>INDEX('Eurostat EB TJ GWh'!$A$2:$BV$146,MATCH($A96,'Eurostat EB TJ GWh'!$A$2:$A$146,0),MATCH(AA$3,'Eurostat EB TJ GWh'!$A$2:$BV$2,0))</f>
        <v>0</v>
      </c>
      <c r="AB96" s="57">
        <f>INDEX('Eurostat EB TJ GWh'!$A$2:$BV$146,MATCH($A96,'Eurostat EB TJ GWh'!$A$2:$A$146,0),MATCH(AB$3,'Eurostat EB TJ GWh'!$A$2:$BV$2,0))</f>
        <v>0</v>
      </c>
      <c r="AC96" s="57">
        <f>INDEX('Eurostat EB TJ GWh'!$A$2:$BV$146,MATCH($A96,'Eurostat EB TJ GWh'!$A$2:$A$146,0),MATCH(AC$3,'Eurostat EB TJ GWh'!$A$2:$BV$2,0))</f>
        <v>0</v>
      </c>
      <c r="AD96" s="57">
        <f>INDEX('Eurostat EB TJ GWh'!$A$2:$BV$146,MATCH($A96,'Eurostat EB TJ GWh'!$A$2:$A$146,0),MATCH(AD$3,'Eurostat EB TJ GWh'!$A$2:$BV$2,0))</f>
        <v>0</v>
      </c>
      <c r="AE96" s="57">
        <f>INDEX('Eurostat EB TJ GWh'!$A$2:$BV$146,MATCH($A96,'Eurostat EB TJ GWh'!$A$2:$A$146,0),MATCH(AE$3,'Eurostat EB TJ GWh'!$A$2:$BV$2,0))</f>
        <v>0</v>
      </c>
      <c r="AF96" s="57">
        <f>INDEX('Eurostat EB TJ GWh'!$A$2:$BV$146,MATCH($A96,'Eurostat EB TJ GWh'!$A$2:$A$146,0),MATCH(AF$3,'Eurostat EB TJ GWh'!$A$2:$BV$2,0))</f>
        <v>0</v>
      </c>
      <c r="AG96" s="57">
        <f>INDEX('Eurostat EB TJ GWh'!$A$2:$BV$146,MATCH($A96,'Eurostat EB TJ GWh'!$A$2:$A$146,0),MATCH(AG$3,'Eurostat EB TJ GWh'!$A$2:$BV$2,0))</f>
        <v>24.184000000000001</v>
      </c>
      <c r="AH96" s="57">
        <f>INDEX('Eurostat EB TJ GWh'!$A$2:$BV$146,MATCH($A96,'Eurostat EB TJ GWh'!$A$2:$A$146,0),MATCH(AH$3,'Eurostat EB TJ GWh'!$A$2:$BV$2,0))</f>
        <v>0</v>
      </c>
      <c r="AI96" s="57">
        <f>INDEX('Eurostat EB TJ GWh'!$A$2:$BV$146,MATCH($A96,'Eurostat EB TJ GWh'!$A$2:$A$146,0),MATCH(AI$3,'Eurostat EB TJ GWh'!$A$2:$BV$2,0))</f>
        <v>0</v>
      </c>
      <c r="AJ96" s="57">
        <f>INDEX('Eurostat EB TJ GWh'!$A$2:$BV$146,MATCH($A96,'Eurostat EB TJ GWh'!$A$2:$A$146,0),MATCH(AJ$3,'Eurostat EB TJ GWh'!$A$2:$BV$2,0))</f>
        <v>0</v>
      </c>
      <c r="AK96" s="57">
        <f>INDEX('Eurostat EB TJ GWh'!$A$2:$BV$146,MATCH($A96,'Eurostat EB TJ GWh'!$A$2:$A$146,0),MATCH(AK$3,'Eurostat EB TJ GWh'!$A$2:$BV$2,0))</f>
        <v>0</v>
      </c>
      <c r="AL96" s="57">
        <f>INDEX('Eurostat EB TJ GWh'!$A$2:$BV$146,MATCH($A96,'Eurostat EB TJ GWh'!$A$2:$A$146,0),MATCH(AL$3,'Eurostat EB TJ GWh'!$A$2:$BV$2,0))</f>
        <v>1484.61</v>
      </c>
      <c r="AM96" s="57">
        <f>INDEX('Eurostat EB TJ GWh'!$A$2:$BV$146,MATCH($A96,'Eurostat EB TJ GWh'!$A$2:$A$146,0),MATCH(AM$3,'Eurostat EB TJ GWh'!$A$2:$BV$2,0))</f>
        <v>0</v>
      </c>
      <c r="AN96" s="57">
        <f>INDEX('Eurostat EB TJ GWh'!$A$2:$BV$146,MATCH($A96,'Eurostat EB TJ GWh'!$A$2:$A$146,0),MATCH(AN$3,'Eurostat EB TJ GWh'!$A$2:$BV$2,0))</f>
        <v>0</v>
      </c>
      <c r="AO96" s="57">
        <f>INDEX('Eurostat EB TJ GWh'!$A$2:$BV$146,MATCH($A96,'Eurostat EB TJ GWh'!$A$2:$A$146,0),MATCH(AO$3,'Eurostat EB TJ GWh'!$A$2:$BV$2,0))</f>
        <v>0</v>
      </c>
      <c r="AP96" s="57">
        <f>INDEX('Eurostat EB TJ GWh'!$A$2:$BV$146,MATCH($A96,'Eurostat EB TJ GWh'!$A$2:$A$146,0),MATCH(AP$3,'Eurostat EB TJ GWh'!$A$2:$BV$2,0))</f>
        <v>0</v>
      </c>
      <c r="AQ96" s="57">
        <f>INDEX('Eurostat EB TJ GWh'!$A$2:$BV$146,MATCH($A96,'Eurostat EB TJ GWh'!$A$2:$A$146,0),MATCH(AQ$3,'Eurostat EB TJ GWh'!$A$2:$BV$2,0))</f>
        <v>0</v>
      </c>
      <c r="AR96" s="57">
        <f>INDEX('Eurostat EB TJ GWh'!$A$2:$BV$146,MATCH($A96,'Eurostat EB TJ GWh'!$A$2:$A$146,0),MATCH(AR$3,'Eurostat EB TJ GWh'!$A$2:$BV$2,0))</f>
        <v>0</v>
      </c>
      <c r="AS96" s="57">
        <f>INDEX('Eurostat EB TJ GWh'!$A$2:$BV$146,MATCH($A96,'Eurostat EB TJ GWh'!$A$2:$A$146,0),MATCH(AS$3,'Eurostat EB TJ GWh'!$A$2:$BV$2,0))</f>
        <v>0</v>
      </c>
      <c r="AT96" s="57">
        <f>INDEX('Eurostat EB TJ GWh'!$A$2:$BV$146,MATCH($A96,'Eurostat EB TJ GWh'!$A$2:$A$146,0),MATCH(AT$3,'Eurostat EB TJ GWh'!$A$2:$BV$2,0))</f>
        <v>0</v>
      </c>
      <c r="AU96" s="57">
        <f>INDEX('Eurostat EB TJ GWh'!$A$2:$BV$146,MATCH($A96,'Eurostat EB TJ GWh'!$A$2:$A$146,0),MATCH(AU$3,'Eurostat EB TJ GWh'!$A$2:$BV$2,0))</f>
        <v>0</v>
      </c>
      <c r="AV96" s="57">
        <f>INDEX('Eurostat EB TJ GWh'!$A$2:$BV$146,MATCH($A96,'Eurostat EB TJ GWh'!$A$2:$A$146,0),MATCH(AV$2,'Eurostat EB TJ GWh'!$A$2:$BV$2,0))+INDEX('Eurostat EB TJ GWh'!$A$2:$BV$146,MATCH($A96,'Eurostat EB TJ GWh'!$A$2:$A$146,0),MATCH(AV$3,'Eurostat EB TJ GWh'!$A$2:$BV$2,0))</f>
        <v>0</v>
      </c>
      <c r="AW96" s="57">
        <f>INDEX('Eurostat EB TJ GWh'!$A$2:$BV$146,MATCH($A96,'Eurostat EB TJ GWh'!$A$2:$A$146,0),MATCH(AW$2,'Eurostat EB TJ GWh'!$A$2:$BV$2,0))+INDEX('Eurostat EB TJ GWh'!$A$2:$BV$146,MATCH($A96,'Eurostat EB TJ GWh'!$A$2:$A$146,0),MATCH(AW$3,'Eurostat EB TJ GWh'!$A$2:$BV$2,0))</f>
        <v>0</v>
      </c>
      <c r="AX96" s="57">
        <f>INDEX('Eurostat EB TJ GWh'!$A$2:$BV$146,MATCH($A96,'Eurostat EB TJ GWh'!$A$2:$A$146,0),MATCH(AX$3,'Eurostat EB TJ GWh'!$A$2:$BV$2,0))</f>
        <v>0</v>
      </c>
      <c r="AY96" s="72">
        <v>0</v>
      </c>
      <c r="AZ96" s="57">
        <f>INDEX('Eurostat EB TJ GWh'!$A$2:$BV$146,MATCH($A96,'Eurostat EB TJ GWh'!$A$2:$A$146,0),MATCH(AZ$3,'Eurostat EB TJ GWh'!$A$2:$BV$2,0))</f>
        <v>0</v>
      </c>
      <c r="BA96" s="72">
        <v>0</v>
      </c>
      <c r="BB96" s="72">
        <v>0</v>
      </c>
      <c r="BC96" s="57">
        <f>INDEX('Eurostat EB TJ GWh'!$A$2:$BV$146,MATCH($A96,'Eurostat EB TJ GWh'!$A$2:$A$146,0),MATCH(BC$3,'Eurostat EB TJ GWh'!$A$2:$BV$2,0))</f>
        <v>0</v>
      </c>
      <c r="BD96" s="57">
        <f>INDEX('Eurostat EB TJ GWh'!$A$2:$BV$146,MATCH($A96,'Eurostat EB TJ GWh'!$A$2:$A$146,0),MATCH(BD$3,'Eurostat EB TJ GWh'!$A$2:$BV$2,0))</f>
        <v>0</v>
      </c>
      <c r="BE96" s="57">
        <f>INDEX('Eurostat EB TJ GWh'!$A$2:$BV$146,MATCH($A96,'Eurostat EB TJ GWh'!$A$2:$A$146,0),MATCH(BE$3,'Eurostat EB TJ GWh'!$A$2:$BV$2,0))</f>
        <v>0</v>
      </c>
      <c r="BF96" s="57">
        <f>INDEX('Eurostat EB TJ GWh'!$A$2:$BV$146,MATCH($A96,'Eurostat EB TJ GWh'!$A$2:$A$146,0),MATCH(BF$3,'Eurostat EB TJ GWh'!$A$2:$BV$2,0))</f>
        <v>0</v>
      </c>
      <c r="BG96" s="57">
        <f>INDEX('Eurostat EB TJ GWh'!$A$2:$BV$146,MATCH($A96,'Eurostat EB TJ GWh'!$A$2:$A$146,0),MATCH(BG$3,'Eurostat EB TJ GWh'!$A$2:$BV$2,0))</f>
        <v>0</v>
      </c>
      <c r="BH96" s="57">
        <f>INDEX('Eurostat EB TJ GWh'!$A$2:$BV$146,MATCH($A96,'Eurostat EB TJ GWh'!$A$2:$A$146,0),MATCH(BH$3,'Eurostat EB TJ GWh'!$A$2:$BV$2,0))</f>
        <v>0</v>
      </c>
      <c r="BI96" s="57">
        <f>INDEX('Eurostat EB TJ GWh'!$A$2:$BV$146,MATCH($A96,'Eurostat EB TJ GWh'!$A$2:$A$146,0),MATCH(BI$3,'Eurostat EB TJ GWh'!$A$2:$BV$2,0))</f>
        <v>0</v>
      </c>
      <c r="BJ96" s="72">
        <v>0</v>
      </c>
      <c r="BK96" s="57">
        <f>INDEX('Eurostat EB TJ GWh'!$A$2:$BV$146,MATCH($A96,'Eurostat EB TJ GWh'!$A$2:$A$146,0),MATCH(BK$3,'Eurostat EB TJ GWh'!$A$2:$BV$2,0))</f>
        <v>0</v>
      </c>
      <c r="BL96" s="57">
        <f>INDEX('Eurostat EB TJ GWh'!$A$2:$BV$146,MATCH($A96,'Eurostat EB TJ GWh'!$A$2:$A$146,0),MATCH(BL$3,'Eurostat EB TJ GWh'!$A$2:$BV$2,0))</f>
        <v>0</v>
      </c>
      <c r="BM96" s="57">
        <f>INDEX('Eurostat EB TJ GWh'!$A$2:$BV$146,MATCH($A96,'Eurostat EB TJ GWh'!$A$2:$A$146,0),MATCH(BM$3,'Eurostat EB TJ GWh'!$A$2:$BV$2,0))</f>
        <v>1546.75</v>
      </c>
      <c r="BN96" s="57">
        <f>INDEX('Eurostat EB TJ GWh'!$A$2:$BV$146,MATCH($A96,'Eurostat EB TJ GWh'!$A$2:$A$146,0),MATCH(BN$3,'Eurostat EB TJ GWh'!$A$2:$BV$2,0))</f>
        <v>0.38900000000000001</v>
      </c>
    </row>
    <row r="97" spans="1:66" x14ac:dyDescent="0.2">
      <c r="A97" s="56" t="s">
        <v>286</v>
      </c>
      <c r="B97" s="65" t="s">
        <v>323</v>
      </c>
      <c r="C97" s="65" t="s">
        <v>323</v>
      </c>
      <c r="D97" s="17">
        <f>INDEX('Eurostat EB TJ GWh'!$A$2:$BV$146,MATCH($A97,'Eurostat EB TJ GWh'!$A$2:$A$146,0),MATCH(D$3,'Eurostat EB TJ GWh'!$A$2:$BV$2,0))</f>
        <v>2.4910000000000001</v>
      </c>
      <c r="E97" s="17">
        <f>INDEX('Eurostat EB TJ GWh'!$A$2:$BV$146,MATCH($A97,'Eurostat EB TJ GWh'!$A$2:$A$146,0),MATCH(E$3,'Eurostat EB TJ GWh'!$A$2:$BV$2,0))</f>
        <v>47.326999999999998</v>
      </c>
      <c r="F97" s="17">
        <f>INDEX('Eurostat EB TJ GWh'!$A$2:$BV$146,MATCH($A97,'Eurostat EB TJ GWh'!$A$2:$A$146,0),MATCH(F$3,'Eurostat EB TJ GWh'!$A$2:$BV$2,0))</f>
        <v>294.52499999999998</v>
      </c>
      <c r="G97" s="17">
        <f>INDEX('Eurostat EB TJ GWh'!$A$2:$BV$146,MATCH($A97,'Eurostat EB TJ GWh'!$A$2:$A$146,0),MATCH(G$3,'Eurostat EB TJ GWh'!$A$2:$BV$2,0))</f>
        <v>0</v>
      </c>
      <c r="H97" s="17">
        <f>INDEX('Eurostat EB TJ GWh'!$A$2:$BV$146,MATCH($A97,'Eurostat EB TJ GWh'!$A$2:$A$146,0),MATCH(H$3,'Eurostat EB TJ GWh'!$A$2:$BV$2,0))</f>
        <v>312.82</v>
      </c>
      <c r="I97" s="17">
        <f>INDEX('Eurostat EB TJ GWh'!$A$2:$BV$146,MATCH($A97,'Eurostat EB TJ GWh'!$A$2:$A$146,0),MATCH(I$3,'Eurostat EB TJ GWh'!$A$2:$BV$2,0))</f>
        <v>0</v>
      </c>
      <c r="J97" s="17">
        <f>INDEX('Eurostat EB TJ GWh'!$A$2:$BV$146,MATCH($A97,'Eurostat EB TJ GWh'!$A$2:$A$146,0),MATCH(J$3,'Eurostat EB TJ GWh'!$A$2:$BV$2,0))</f>
        <v>3652.3609999999999</v>
      </c>
      <c r="K97" s="17">
        <f>INDEX('Eurostat EB TJ GWh'!$A$2:$BV$146,MATCH($A97,'Eurostat EB TJ GWh'!$A$2:$A$146,0),MATCH(K$3,'Eurostat EB TJ GWh'!$A$2:$BV$2,0))</f>
        <v>0</v>
      </c>
      <c r="L97" s="17">
        <f>INDEX('Eurostat EB TJ GWh'!$A$2:$BV$146,MATCH($A97,'Eurostat EB TJ GWh'!$A$2:$A$146,0),MATCH(L$3,'Eurostat EB TJ GWh'!$A$2:$BV$2,0))</f>
        <v>0</v>
      </c>
      <c r="M97" s="17">
        <f>INDEX('Eurostat EB TJ GWh'!$A$2:$BV$146,MATCH($A97,'Eurostat EB TJ GWh'!$A$2:$A$146,0),MATCH(M$3,'Eurostat EB TJ GWh'!$A$2:$BV$2,0))</f>
        <v>0</v>
      </c>
      <c r="N97" s="17">
        <f>INDEX('Eurostat EB TJ GWh'!$A$2:$BV$146,MATCH($A97,'Eurostat EB TJ GWh'!$A$2:$A$146,0),MATCH(N$3,'Eurostat EB TJ GWh'!$A$2:$BV$2,0))</f>
        <v>0</v>
      </c>
      <c r="O97" s="17">
        <f>INDEX('Eurostat EB TJ GWh'!$A$2:$BV$146,MATCH($A97,'Eurostat EB TJ GWh'!$A$2:$A$146,0),MATCH(O$3,'Eurostat EB TJ GWh'!$A$2:$BV$2,0))</f>
        <v>6393.5039999999999</v>
      </c>
      <c r="P97" s="17">
        <f>INDEX('Eurostat EB TJ GWh'!$A$2:$BV$146,MATCH($A97,'Eurostat EB TJ GWh'!$A$2:$A$146,0),MATCH(P$3,'Eurostat EB TJ GWh'!$A$2:$BV$2,0))</f>
        <v>4792.902</v>
      </c>
      <c r="Q97" s="17">
        <f>INDEX('Eurostat EB TJ GWh'!$A$2:$BV$146,MATCH($A97,'Eurostat EB TJ GWh'!$A$2:$A$146,0),MATCH(Q$3,'Eurostat EB TJ GWh'!$A$2:$BV$2,0))</f>
        <v>0</v>
      </c>
      <c r="R97" s="17">
        <f>INDEX('Eurostat EB TJ GWh'!$A$2:$BV$146,MATCH($A97,'Eurostat EB TJ GWh'!$A$2:$A$146,0),MATCH(R$2,'Eurostat EB TJ GWh'!$A$2:$BV$2,0))+INDEX('Eurostat EB TJ GWh'!$A$2:$BV$146,MATCH($A97,'Eurostat EB TJ GWh'!$A$2:$A$146,0),MATCH(R$3,'Eurostat EB TJ GWh'!$A$2:$BV$2,0))</f>
        <v>0</v>
      </c>
      <c r="S97" s="17">
        <f>INDEX('Eurostat EB TJ GWh'!$A$2:$BV$146,MATCH($A97,'Eurostat EB TJ GWh'!$A$2:$A$146,0),MATCH(S$3,'Eurostat EB TJ GWh'!$A$2:$BV$2,0))</f>
        <v>533282.353</v>
      </c>
      <c r="T97" s="65" t="s">
        <v>323</v>
      </c>
      <c r="U97" s="17">
        <f>INDEX('Eurostat EB TJ GWh'!$A$2:$BV$146,MATCH($A97,'Eurostat EB TJ GWh'!$A$2:$A$146,0),MATCH(U$3,'Eurostat EB TJ GWh'!$A$2:$BV$2,0))</f>
        <v>0</v>
      </c>
      <c r="V97" s="17">
        <f>INDEX('Eurostat EB TJ GWh'!$A$2:$BV$146,MATCH($A97,'Eurostat EB TJ GWh'!$A$2:$A$146,0),MATCH(V$3,'Eurostat EB TJ GWh'!$A$2:$BV$2,0))</f>
        <v>0</v>
      </c>
      <c r="W97" s="17">
        <f>INDEX('Eurostat EB TJ GWh'!$A$2:$BV$146,MATCH($A97,'Eurostat EB TJ GWh'!$A$2:$A$146,0),MATCH(W$3,'Eurostat EB TJ GWh'!$A$2:$BV$2,0))</f>
        <v>0</v>
      </c>
      <c r="X97" s="17">
        <f>INDEX('Eurostat EB TJ GWh'!$A$2:$BV$146,MATCH($A97,'Eurostat EB TJ GWh'!$A$2:$A$146,0),MATCH(X$3,'Eurostat EB TJ GWh'!$A$2:$BV$2,0))</f>
        <v>0</v>
      </c>
      <c r="Y97" s="17">
        <f>INDEX('Eurostat EB TJ GWh'!$A$2:$BV$146,MATCH($A97,'Eurostat EB TJ GWh'!$A$2:$A$146,0),MATCH(Y$3,'Eurostat EB TJ GWh'!$A$2:$BV$2,0))</f>
        <v>0</v>
      </c>
      <c r="Z97" s="17">
        <f>INDEX('Eurostat EB TJ GWh'!$A$2:$BV$146,MATCH($A97,'Eurostat EB TJ GWh'!$A$2:$A$146,0),MATCH(Z$3,'Eurostat EB TJ GWh'!$A$2:$BV$2,0))</f>
        <v>103516.201</v>
      </c>
      <c r="AA97" s="17">
        <f>INDEX('Eurostat EB TJ GWh'!$A$2:$BV$146,MATCH($A97,'Eurostat EB TJ GWh'!$A$2:$A$146,0),MATCH(AA$3,'Eurostat EB TJ GWh'!$A$2:$BV$2,0))</f>
        <v>0</v>
      </c>
      <c r="AB97" s="17">
        <f>INDEX('Eurostat EB TJ GWh'!$A$2:$BV$146,MATCH($A97,'Eurostat EB TJ GWh'!$A$2:$A$146,0),MATCH(AB$3,'Eurostat EB TJ GWh'!$A$2:$BV$2,0))</f>
        <v>9507.5949999999993</v>
      </c>
      <c r="AC97" s="17">
        <f>INDEX('Eurostat EB TJ GWh'!$A$2:$BV$146,MATCH($A97,'Eurostat EB TJ GWh'!$A$2:$A$146,0),MATCH(AC$3,'Eurostat EB TJ GWh'!$A$2:$BV$2,0))</f>
        <v>171929.75099999999</v>
      </c>
      <c r="AD97" s="17">
        <f>INDEX('Eurostat EB TJ GWh'!$A$2:$BV$146,MATCH($A97,'Eurostat EB TJ GWh'!$A$2:$A$146,0),MATCH(AD$3,'Eurostat EB TJ GWh'!$A$2:$BV$2,0))</f>
        <v>56.847000000000001</v>
      </c>
      <c r="AE97" s="17">
        <f>INDEX('Eurostat EB TJ GWh'!$A$2:$BV$146,MATCH($A97,'Eurostat EB TJ GWh'!$A$2:$A$146,0),MATCH(AE$3,'Eurostat EB TJ GWh'!$A$2:$BV$2,0))</f>
        <v>0</v>
      </c>
      <c r="AF97" s="17">
        <f>INDEX('Eurostat EB TJ GWh'!$A$2:$BV$146,MATCH($A97,'Eurostat EB TJ GWh'!$A$2:$A$146,0),MATCH(AF$3,'Eurostat EB TJ GWh'!$A$2:$BV$2,0))</f>
        <v>1938.453</v>
      </c>
      <c r="AG97" s="17">
        <f>INDEX('Eurostat EB TJ GWh'!$A$2:$BV$146,MATCH($A97,'Eurostat EB TJ GWh'!$A$2:$A$146,0),MATCH(AG$3,'Eurostat EB TJ GWh'!$A$2:$BV$2,0))</f>
        <v>217.91800000000001</v>
      </c>
      <c r="AH97" s="17">
        <f>INDEX('Eurostat EB TJ GWh'!$A$2:$BV$146,MATCH($A97,'Eurostat EB TJ GWh'!$A$2:$A$146,0),MATCH(AH$3,'Eurostat EB TJ GWh'!$A$2:$BV$2,0))</f>
        <v>233780.04300000001</v>
      </c>
      <c r="AI97" s="17">
        <f>INDEX('Eurostat EB TJ GWh'!$A$2:$BV$146,MATCH($A97,'Eurostat EB TJ GWh'!$A$2:$A$146,0),MATCH(AI$3,'Eurostat EB TJ GWh'!$A$2:$BV$2,0))</f>
        <v>0</v>
      </c>
      <c r="AJ97" s="17">
        <f>INDEX('Eurostat EB TJ GWh'!$A$2:$BV$146,MATCH($A97,'Eurostat EB TJ GWh'!$A$2:$A$146,0),MATCH(AJ$3,'Eurostat EB TJ GWh'!$A$2:$BV$2,0))</f>
        <v>0</v>
      </c>
      <c r="AK97" s="17">
        <f>INDEX('Eurostat EB TJ GWh'!$A$2:$BV$146,MATCH($A97,'Eurostat EB TJ GWh'!$A$2:$A$146,0),MATCH(AK$3,'Eurostat EB TJ GWh'!$A$2:$BV$2,0))</f>
        <v>0</v>
      </c>
      <c r="AL97" s="17">
        <f>INDEX('Eurostat EB TJ GWh'!$A$2:$BV$146,MATCH($A97,'Eurostat EB TJ GWh'!$A$2:$A$146,0),MATCH(AL$3,'Eurostat EB TJ GWh'!$A$2:$BV$2,0))</f>
        <v>0</v>
      </c>
      <c r="AM97" s="17">
        <f>INDEX('Eurostat EB TJ GWh'!$A$2:$BV$146,MATCH($A97,'Eurostat EB TJ GWh'!$A$2:$A$146,0),MATCH(AM$3,'Eurostat EB TJ GWh'!$A$2:$BV$2,0))</f>
        <v>0</v>
      </c>
      <c r="AN97" s="17">
        <f>INDEX('Eurostat EB TJ GWh'!$A$2:$BV$146,MATCH($A97,'Eurostat EB TJ GWh'!$A$2:$A$146,0),MATCH(AN$3,'Eurostat EB TJ GWh'!$A$2:$BV$2,0))</f>
        <v>0</v>
      </c>
      <c r="AO97" s="17">
        <f>INDEX('Eurostat EB TJ GWh'!$A$2:$BV$146,MATCH($A97,'Eurostat EB TJ GWh'!$A$2:$A$146,0),MATCH(AO$3,'Eurostat EB TJ GWh'!$A$2:$BV$2,0))</f>
        <v>64.194999999999993</v>
      </c>
      <c r="AP97" s="17">
        <f>INDEX('Eurostat EB TJ GWh'!$A$2:$BV$146,MATCH($A97,'Eurostat EB TJ GWh'!$A$2:$A$146,0),MATCH(AP$3,'Eurostat EB TJ GWh'!$A$2:$BV$2,0))</f>
        <v>648.56700000000001</v>
      </c>
      <c r="AQ97" s="17">
        <f>INDEX('Eurostat EB TJ GWh'!$A$2:$BV$146,MATCH($A97,'Eurostat EB TJ GWh'!$A$2:$A$146,0),MATCH(AQ$3,'Eurostat EB TJ GWh'!$A$2:$BV$2,0))</f>
        <v>631.01400000000001</v>
      </c>
      <c r="AR97" s="17">
        <f>INDEX('Eurostat EB TJ GWh'!$A$2:$BV$146,MATCH($A97,'Eurostat EB TJ GWh'!$A$2:$A$146,0),MATCH(AR$3,'Eurostat EB TJ GWh'!$A$2:$BV$2,0))</f>
        <v>1510.0820000000001</v>
      </c>
      <c r="AS97" s="17">
        <f>INDEX('Eurostat EB TJ GWh'!$A$2:$BV$146,MATCH($A97,'Eurostat EB TJ GWh'!$A$2:$A$146,0),MATCH(AS$3,'Eurostat EB TJ GWh'!$A$2:$BV$2,0))</f>
        <v>1339.13</v>
      </c>
      <c r="AT97" s="17">
        <f>INDEX('Eurostat EB TJ GWh'!$A$2:$BV$146,MATCH($A97,'Eurostat EB TJ GWh'!$A$2:$A$146,0),MATCH(AT$3,'Eurostat EB TJ GWh'!$A$2:$BV$2,0))</f>
        <v>25605.462</v>
      </c>
      <c r="AU97" s="17">
        <f>INDEX('Eurostat EB TJ GWh'!$A$2:$BV$146,MATCH($A97,'Eurostat EB TJ GWh'!$A$2:$A$146,0),MATCH(AU$3,'Eurostat EB TJ GWh'!$A$2:$BV$2,0))</f>
        <v>4526.3789999999999</v>
      </c>
      <c r="AV97" s="17">
        <f>INDEX('Eurostat EB TJ GWh'!$A$2:$BV$146,MATCH($A97,'Eurostat EB TJ GWh'!$A$2:$A$146,0),MATCH(AV$2,'Eurostat EB TJ GWh'!$A$2:$BV$2,0))+INDEX('Eurostat EB TJ GWh'!$A$2:$BV$146,MATCH($A97,'Eurostat EB TJ GWh'!$A$2:$A$146,0),MATCH(AV$3,'Eurostat EB TJ GWh'!$A$2:$BV$2,0))</f>
        <v>10780.532999999999</v>
      </c>
      <c r="AW97" s="17">
        <f>INDEX('Eurostat EB TJ GWh'!$A$2:$BV$146,MATCH($A97,'Eurostat EB TJ GWh'!$A$2:$A$146,0),MATCH(AW$2,'Eurostat EB TJ GWh'!$A$2:$BV$2,0))+INDEX('Eurostat EB TJ GWh'!$A$2:$BV$146,MATCH($A97,'Eurostat EB TJ GWh'!$A$2:$A$146,0),MATCH(AW$3,'Eurostat EB TJ GWh'!$A$2:$BV$2,0))</f>
        <v>14730.06</v>
      </c>
      <c r="AX97" s="17">
        <f>INDEX('Eurostat EB TJ GWh'!$A$2:$BV$146,MATCH($A97,'Eurostat EB TJ GWh'!$A$2:$A$146,0),MATCH(AX$3,'Eurostat EB TJ GWh'!$A$2:$BV$2,0))</f>
        <v>529.77599999999995</v>
      </c>
      <c r="AY97" s="65">
        <v>0</v>
      </c>
      <c r="AZ97" s="17">
        <f>INDEX('Eurostat EB TJ GWh'!$A$2:$BV$146,MATCH($A97,'Eurostat EB TJ GWh'!$A$2:$A$146,0),MATCH(AZ$3,'Eurostat EB TJ GWh'!$A$2:$BV$2,0))</f>
        <v>270</v>
      </c>
      <c r="BA97" s="65">
        <v>0</v>
      </c>
      <c r="BB97" s="65">
        <v>0</v>
      </c>
      <c r="BC97" s="17">
        <f>INDEX('Eurostat EB TJ GWh'!$A$2:$BV$146,MATCH($A97,'Eurostat EB TJ GWh'!$A$2:$A$146,0),MATCH(BC$3,'Eurostat EB TJ GWh'!$A$2:$BV$2,0))</f>
        <v>0</v>
      </c>
      <c r="BD97" s="17">
        <f>INDEX('Eurostat EB TJ GWh'!$A$2:$BV$146,MATCH($A97,'Eurostat EB TJ GWh'!$A$2:$A$146,0),MATCH(BD$3,'Eurostat EB TJ GWh'!$A$2:$BV$2,0))</f>
        <v>0</v>
      </c>
      <c r="BE97" s="17">
        <f>INDEX('Eurostat EB TJ GWh'!$A$2:$BV$146,MATCH($A97,'Eurostat EB TJ GWh'!$A$2:$A$146,0),MATCH(BE$3,'Eurostat EB TJ GWh'!$A$2:$BV$2,0))</f>
        <v>6797.51</v>
      </c>
      <c r="BF97" s="17">
        <f>INDEX('Eurostat EB TJ GWh'!$A$2:$BV$146,MATCH($A97,'Eurostat EB TJ GWh'!$A$2:$A$146,0),MATCH(BF$3,'Eurostat EB TJ GWh'!$A$2:$BV$2,0))</f>
        <v>0</v>
      </c>
      <c r="BG97" s="17">
        <f>INDEX('Eurostat EB TJ GWh'!$A$2:$BV$146,MATCH($A97,'Eurostat EB TJ GWh'!$A$2:$A$146,0),MATCH(BG$3,'Eurostat EB TJ GWh'!$A$2:$BV$2,0))</f>
        <v>1176</v>
      </c>
      <c r="BH97" s="17">
        <f>INDEX('Eurostat EB TJ GWh'!$A$2:$BV$146,MATCH($A97,'Eurostat EB TJ GWh'!$A$2:$A$146,0),MATCH(BH$3,'Eurostat EB TJ GWh'!$A$2:$BV$2,0))</f>
        <v>0</v>
      </c>
      <c r="BI97" s="17">
        <f>INDEX('Eurostat EB TJ GWh'!$A$2:$BV$146,MATCH($A97,'Eurostat EB TJ GWh'!$A$2:$A$146,0),MATCH(BI$3,'Eurostat EB TJ GWh'!$A$2:$BV$2,0))</f>
        <v>0</v>
      </c>
      <c r="BJ97" s="65">
        <v>0</v>
      </c>
      <c r="BK97" s="17">
        <f>INDEX('Eurostat EB TJ GWh'!$A$2:$BV$146,MATCH($A97,'Eurostat EB TJ GWh'!$A$2:$A$146,0),MATCH(BK$3,'Eurostat EB TJ GWh'!$A$2:$BV$2,0))</f>
        <v>366245.21899999998</v>
      </c>
      <c r="BL97" s="17">
        <f>INDEX('Eurostat EB TJ GWh'!$A$2:$BV$146,MATCH($A97,'Eurostat EB TJ GWh'!$A$2:$A$146,0),MATCH(BL$3,'Eurostat EB TJ GWh'!$A$2:$BV$2,0))</f>
        <v>68717.456000000006</v>
      </c>
      <c r="BM97" s="17">
        <f>INDEX('Eurostat EB TJ GWh'!$A$2:$BV$146,MATCH($A97,'Eurostat EB TJ GWh'!$A$2:$A$146,0),MATCH(BM$3,'Eurostat EB TJ GWh'!$A$2:$BV$2,0))</f>
        <v>1598821.0870000001</v>
      </c>
      <c r="BN97" s="17">
        <f>INDEX('Eurostat EB TJ GWh'!$A$2:$BV$146,MATCH($A97,'Eurostat EB TJ GWh'!$A$2:$A$146,0),MATCH(BN$3,'Eurostat EB TJ GWh'!$A$2:$BV$2,0))</f>
        <v>102881.89200000001</v>
      </c>
    </row>
    <row r="98" spans="1:66" x14ac:dyDescent="0.2">
      <c r="A98" s="56" t="s">
        <v>287</v>
      </c>
      <c r="B98" s="65" t="s">
        <v>323</v>
      </c>
      <c r="C98" s="65" t="s">
        <v>323</v>
      </c>
      <c r="D98" s="57">
        <f>INDEX('Eurostat EB TJ GWh'!$A$2:$BV$146,MATCH($A98,'Eurostat EB TJ GWh'!$A$2:$A$146,0),MATCH(D$3,'Eurostat EB TJ GWh'!$A$2:$BV$2,0))</f>
        <v>0</v>
      </c>
      <c r="E98" s="57">
        <f>INDEX('Eurostat EB TJ GWh'!$A$2:$BV$146,MATCH($A98,'Eurostat EB TJ GWh'!$A$2:$A$146,0),MATCH(E$3,'Eurostat EB TJ GWh'!$A$2:$BV$2,0))</f>
        <v>47.326999999999998</v>
      </c>
      <c r="F98" s="57">
        <f>INDEX('Eurostat EB TJ GWh'!$A$2:$BV$146,MATCH($A98,'Eurostat EB TJ GWh'!$A$2:$A$146,0),MATCH(F$3,'Eurostat EB TJ GWh'!$A$2:$BV$2,0))</f>
        <v>294.52499999999998</v>
      </c>
      <c r="G98" s="57">
        <f>INDEX('Eurostat EB TJ GWh'!$A$2:$BV$146,MATCH($A98,'Eurostat EB TJ GWh'!$A$2:$A$146,0),MATCH(G$3,'Eurostat EB TJ GWh'!$A$2:$BV$2,0))</f>
        <v>0</v>
      </c>
      <c r="H98" s="57">
        <f>INDEX('Eurostat EB TJ GWh'!$A$2:$BV$146,MATCH($A98,'Eurostat EB TJ GWh'!$A$2:$A$146,0),MATCH(H$3,'Eurostat EB TJ GWh'!$A$2:$BV$2,0))</f>
        <v>0</v>
      </c>
      <c r="I98" s="57">
        <f>INDEX('Eurostat EB TJ GWh'!$A$2:$BV$146,MATCH($A98,'Eurostat EB TJ GWh'!$A$2:$A$146,0),MATCH(I$3,'Eurostat EB TJ GWh'!$A$2:$BV$2,0))</f>
        <v>0</v>
      </c>
      <c r="J98" s="57">
        <f>INDEX('Eurostat EB TJ GWh'!$A$2:$BV$146,MATCH($A98,'Eurostat EB TJ GWh'!$A$2:$A$146,0),MATCH(J$3,'Eurostat EB TJ GWh'!$A$2:$BV$2,0))</f>
        <v>3652.3609999999999</v>
      </c>
      <c r="K98" s="57">
        <f>INDEX('Eurostat EB TJ GWh'!$A$2:$BV$146,MATCH($A98,'Eurostat EB TJ GWh'!$A$2:$A$146,0),MATCH(K$3,'Eurostat EB TJ GWh'!$A$2:$BV$2,0))</f>
        <v>0</v>
      </c>
      <c r="L98" s="57">
        <f>INDEX('Eurostat EB TJ GWh'!$A$2:$BV$146,MATCH($A98,'Eurostat EB TJ GWh'!$A$2:$A$146,0),MATCH(L$3,'Eurostat EB TJ GWh'!$A$2:$BV$2,0))</f>
        <v>0</v>
      </c>
      <c r="M98" s="57">
        <f>INDEX('Eurostat EB TJ GWh'!$A$2:$BV$146,MATCH($A98,'Eurostat EB TJ GWh'!$A$2:$A$146,0),MATCH(M$3,'Eurostat EB TJ GWh'!$A$2:$BV$2,0))</f>
        <v>0</v>
      </c>
      <c r="N98" s="57">
        <f>INDEX('Eurostat EB TJ GWh'!$A$2:$BV$146,MATCH($A98,'Eurostat EB TJ GWh'!$A$2:$A$146,0),MATCH(N$3,'Eurostat EB TJ GWh'!$A$2:$BV$2,0))</f>
        <v>0</v>
      </c>
      <c r="O98" s="57">
        <f>INDEX('Eurostat EB TJ GWh'!$A$2:$BV$146,MATCH($A98,'Eurostat EB TJ GWh'!$A$2:$A$146,0),MATCH(O$3,'Eurostat EB TJ GWh'!$A$2:$BV$2,0))</f>
        <v>6393.5039999999999</v>
      </c>
      <c r="P98" s="57">
        <f>INDEX('Eurostat EB TJ GWh'!$A$2:$BV$146,MATCH($A98,'Eurostat EB TJ GWh'!$A$2:$A$146,0),MATCH(P$3,'Eurostat EB TJ GWh'!$A$2:$BV$2,0))</f>
        <v>4792.902</v>
      </c>
      <c r="Q98" s="57">
        <f>INDEX('Eurostat EB TJ GWh'!$A$2:$BV$146,MATCH($A98,'Eurostat EB TJ GWh'!$A$2:$A$146,0),MATCH(Q$3,'Eurostat EB TJ GWh'!$A$2:$BV$2,0))</f>
        <v>0</v>
      </c>
      <c r="R98" s="57">
        <f>INDEX('Eurostat EB TJ GWh'!$A$2:$BV$146,MATCH($A98,'Eurostat EB TJ GWh'!$A$2:$A$146,0),MATCH(R$2,'Eurostat EB TJ GWh'!$A$2:$BV$2,0))+INDEX('Eurostat EB TJ GWh'!$A$2:$BV$146,MATCH($A98,'Eurostat EB TJ GWh'!$A$2:$A$146,0),MATCH(R$3,'Eurostat EB TJ GWh'!$A$2:$BV$2,0))</f>
        <v>0</v>
      </c>
      <c r="S98" s="57">
        <f>INDEX('Eurostat EB TJ GWh'!$A$2:$BV$146,MATCH($A98,'Eurostat EB TJ GWh'!$A$2:$A$146,0),MATCH(S$3,'Eurostat EB TJ GWh'!$A$2:$BV$2,0))</f>
        <v>176097.43599999999</v>
      </c>
      <c r="T98" s="65" t="s">
        <v>323</v>
      </c>
      <c r="U98" s="57">
        <f>INDEX('Eurostat EB TJ GWh'!$A$2:$BV$146,MATCH($A98,'Eurostat EB TJ GWh'!$A$2:$A$146,0),MATCH(U$3,'Eurostat EB TJ GWh'!$A$2:$BV$2,0))</f>
        <v>0</v>
      </c>
      <c r="V98" s="57">
        <f>INDEX('Eurostat EB TJ GWh'!$A$2:$BV$146,MATCH($A98,'Eurostat EB TJ GWh'!$A$2:$A$146,0),MATCH(V$3,'Eurostat EB TJ GWh'!$A$2:$BV$2,0))</f>
        <v>0</v>
      </c>
      <c r="W98" s="57">
        <f>INDEX('Eurostat EB TJ GWh'!$A$2:$BV$146,MATCH($A98,'Eurostat EB TJ GWh'!$A$2:$A$146,0),MATCH(W$3,'Eurostat EB TJ GWh'!$A$2:$BV$2,0))</f>
        <v>0</v>
      </c>
      <c r="X98" s="57">
        <f>INDEX('Eurostat EB TJ GWh'!$A$2:$BV$146,MATCH($A98,'Eurostat EB TJ GWh'!$A$2:$A$146,0),MATCH(X$3,'Eurostat EB TJ GWh'!$A$2:$BV$2,0))</f>
        <v>0</v>
      </c>
      <c r="Y98" s="57">
        <f>INDEX('Eurostat EB TJ GWh'!$A$2:$BV$146,MATCH($A98,'Eurostat EB TJ GWh'!$A$2:$A$146,0),MATCH(Y$3,'Eurostat EB TJ GWh'!$A$2:$BV$2,0))</f>
        <v>0</v>
      </c>
      <c r="Z98" s="57">
        <f>INDEX('Eurostat EB TJ GWh'!$A$2:$BV$146,MATCH($A98,'Eurostat EB TJ GWh'!$A$2:$A$146,0),MATCH(Z$3,'Eurostat EB TJ GWh'!$A$2:$BV$2,0))</f>
        <v>103516.201</v>
      </c>
      <c r="AA98" s="57">
        <f>INDEX('Eurostat EB TJ GWh'!$A$2:$BV$146,MATCH($A98,'Eurostat EB TJ GWh'!$A$2:$A$146,0),MATCH(AA$3,'Eurostat EB TJ GWh'!$A$2:$BV$2,0))</f>
        <v>0</v>
      </c>
      <c r="AB98" s="57">
        <f>INDEX('Eurostat EB TJ GWh'!$A$2:$BV$146,MATCH($A98,'Eurostat EB TJ GWh'!$A$2:$A$146,0),MATCH(AB$3,'Eurostat EB TJ GWh'!$A$2:$BV$2,0))</f>
        <v>730.46299999999997</v>
      </c>
      <c r="AC98" s="57">
        <f>INDEX('Eurostat EB TJ GWh'!$A$2:$BV$146,MATCH($A98,'Eurostat EB TJ GWh'!$A$2:$A$146,0),MATCH(AC$3,'Eurostat EB TJ GWh'!$A$2:$BV$2,0))</f>
        <v>259.90699999999998</v>
      </c>
      <c r="AD98" s="57">
        <f>INDEX('Eurostat EB TJ GWh'!$A$2:$BV$146,MATCH($A98,'Eurostat EB TJ GWh'!$A$2:$A$146,0),MATCH(AD$3,'Eurostat EB TJ GWh'!$A$2:$BV$2,0))</f>
        <v>0</v>
      </c>
      <c r="AE98" s="57">
        <f>INDEX('Eurostat EB TJ GWh'!$A$2:$BV$146,MATCH($A98,'Eurostat EB TJ GWh'!$A$2:$A$146,0),MATCH(AE$3,'Eurostat EB TJ GWh'!$A$2:$BV$2,0))</f>
        <v>0</v>
      </c>
      <c r="AF98" s="57">
        <f>INDEX('Eurostat EB TJ GWh'!$A$2:$BV$146,MATCH($A98,'Eurostat EB TJ GWh'!$A$2:$A$146,0),MATCH(AF$3,'Eurostat EB TJ GWh'!$A$2:$BV$2,0))</f>
        <v>0</v>
      </c>
      <c r="AG98" s="57">
        <f>INDEX('Eurostat EB TJ GWh'!$A$2:$BV$146,MATCH($A98,'Eurostat EB TJ GWh'!$A$2:$A$146,0),MATCH(AG$3,'Eurostat EB TJ GWh'!$A$2:$BV$2,0))</f>
        <v>1.897</v>
      </c>
      <c r="AH98" s="57">
        <f>INDEX('Eurostat EB TJ GWh'!$A$2:$BV$146,MATCH($A98,'Eurostat EB TJ GWh'!$A$2:$A$146,0),MATCH(AH$3,'Eurostat EB TJ GWh'!$A$2:$BV$2,0))</f>
        <v>20604.415000000001</v>
      </c>
      <c r="AI98" s="57">
        <f>INDEX('Eurostat EB TJ GWh'!$A$2:$BV$146,MATCH($A98,'Eurostat EB TJ GWh'!$A$2:$A$146,0),MATCH(AI$3,'Eurostat EB TJ GWh'!$A$2:$BV$2,0))</f>
        <v>0</v>
      </c>
      <c r="AJ98" s="57">
        <f>INDEX('Eurostat EB TJ GWh'!$A$2:$BV$146,MATCH($A98,'Eurostat EB TJ GWh'!$A$2:$A$146,0),MATCH(AJ$3,'Eurostat EB TJ GWh'!$A$2:$BV$2,0))</f>
        <v>0</v>
      </c>
      <c r="AK98" s="57">
        <f>INDEX('Eurostat EB TJ GWh'!$A$2:$BV$146,MATCH($A98,'Eurostat EB TJ GWh'!$A$2:$A$146,0),MATCH(AK$3,'Eurostat EB TJ GWh'!$A$2:$BV$2,0))</f>
        <v>0</v>
      </c>
      <c r="AL98" s="57">
        <f>INDEX('Eurostat EB TJ GWh'!$A$2:$BV$146,MATCH($A98,'Eurostat EB TJ GWh'!$A$2:$A$146,0),MATCH(AL$3,'Eurostat EB TJ GWh'!$A$2:$BV$2,0))</f>
        <v>0</v>
      </c>
      <c r="AM98" s="57">
        <f>INDEX('Eurostat EB TJ GWh'!$A$2:$BV$146,MATCH($A98,'Eurostat EB TJ GWh'!$A$2:$A$146,0),MATCH(AM$3,'Eurostat EB TJ GWh'!$A$2:$BV$2,0))</f>
        <v>0</v>
      </c>
      <c r="AN98" s="57">
        <f>INDEX('Eurostat EB TJ GWh'!$A$2:$BV$146,MATCH($A98,'Eurostat EB TJ GWh'!$A$2:$A$146,0),MATCH(AN$3,'Eurostat EB TJ GWh'!$A$2:$BV$2,0))</f>
        <v>0</v>
      </c>
      <c r="AO98" s="57">
        <f>INDEX('Eurostat EB TJ GWh'!$A$2:$BV$146,MATCH($A98,'Eurostat EB TJ GWh'!$A$2:$A$146,0),MATCH(AO$3,'Eurostat EB TJ GWh'!$A$2:$BV$2,0))</f>
        <v>64.194999999999993</v>
      </c>
      <c r="AP98" s="57">
        <f>INDEX('Eurostat EB TJ GWh'!$A$2:$BV$146,MATCH($A98,'Eurostat EB TJ GWh'!$A$2:$A$146,0),MATCH(AP$3,'Eurostat EB TJ GWh'!$A$2:$BV$2,0))</f>
        <v>648.56700000000001</v>
      </c>
      <c r="AQ98" s="57">
        <f>INDEX('Eurostat EB TJ GWh'!$A$2:$BV$146,MATCH($A98,'Eurostat EB TJ GWh'!$A$2:$A$146,0),MATCH(AQ$3,'Eurostat EB TJ GWh'!$A$2:$BV$2,0))</f>
        <v>592.08699999999999</v>
      </c>
      <c r="AR98" s="57">
        <f>INDEX('Eurostat EB TJ GWh'!$A$2:$BV$146,MATCH($A98,'Eurostat EB TJ GWh'!$A$2:$A$146,0),MATCH(AR$3,'Eurostat EB TJ GWh'!$A$2:$BV$2,0))</f>
        <v>0</v>
      </c>
      <c r="AS98" s="57">
        <f>INDEX('Eurostat EB TJ GWh'!$A$2:$BV$146,MATCH($A98,'Eurostat EB TJ GWh'!$A$2:$A$146,0),MATCH(AS$3,'Eurostat EB TJ GWh'!$A$2:$BV$2,0))</f>
        <v>0</v>
      </c>
      <c r="AT98" s="57">
        <f>INDEX('Eurostat EB TJ GWh'!$A$2:$BV$146,MATCH($A98,'Eurostat EB TJ GWh'!$A$2:$A$146,0),MATCH(AT$3,'Eurostat EB TJ GWh'!$A$2:$BV$2,0))</f>
        <v>3043.9540000000002</v>
      </c>
      <c r="AU98" s="57">
        <f>INDEX('Eurostat EB TJ GWh'!$A$2:$BV$146,MATCH($A98,'Eurostat EB TJ GWh'!$A$2:$A$146,0),MATCH(AU$3,'Eurostat EB TJ GWh'!$A$2:$BV$2,0))</f>
        <v>1728.771</v>
      </c>
      <c r="AV98" s="57">
        <f>INDEX('Eurostat EB TJ GWh'!$A$2:$BV$146,MATCH($A98,'Eurostat EB TJ GWh'!$A$2:$A$146,0),MATCH(AV$2,'Eurostat EB TJ GWh'!$A$2:$BV$2,0))+INDEX('Eurostat EB TJ GWh'!$A$2:$BV$146,MATCH($A98,'Eurostat EB TJ GWh'!$A$2:$A$146,0),MATCH(AV$3,'Eurostat EB TJ GWh'!$A$2:$BV$2,0))</f>
        <v>0</v>
      </c>
      <c r="AW98" s="57">
        <f>INDEX('Eurostat EB TJ GWh'!$A$2:$BV$146,MATCH($A98,'Eurostat EB TJ GWh'!$A$2:$A$146,0),MATCH(AW$2,'Eurostat EB TJ GWh'!$A$2:$BV$2,0))+INDEX('Eurostat EB TJ GWh'!$A$2:$BV$146,MATCH($A98,'Eurostat EB TJ GWh'!$A$2:$A$146,0),MATCH(AW$3,'Eurostat EB TJ GWh'!$A$2:$BV$2,0))</f>
        <v>1414.422</v>
      </c>
      <c r="AX98" s="57">
        <f>INDEX('Eurostat EB TJ GWh'!$A$2:$BV$146,MATCH($A98,'Eurostat EB TJ GWh'!$A$2:$A$146,0),MATCH(AX$3,'Eurostat EB TJ GWh'!$A$2:$BV$2,0))</f>
        <v>272.16000000000003</v>
      </c>
      <c r="AY98" s="65">
        <v>0</v>
      </c>
      <c r="AZ98" s="57">
        <f>INDEX('Eurostat EB TJ GWh'!$A$2:$BV$146,MATCH($A98,'Eurostat EB TJ GWh'!$A$2:$A$146,0),MATCH(AZ$3,'Eurostat EB TJ GWh'!$A$2:$BV$2,0))</f>
        <v>0</v>
      </c>
      <c r="BA98" s="65">
        <v>0</v>
      </c>
      <c r="BB98" s="65">
        <v>0</v>
      </c>
      <c r="BC98" s="57">
        <f>INDEX('Eurostat EB TJ GWh'!$A$2:$BV$146,MATCH($A98,'Eurostat EB TJ GWh'!$A$2:$A$146,0),MATCH(BC$3,'Eurostat EB TJ GWh'!$A$2:$BV$2,0))</f>
        <v>0</v>
      </c>
      <c r="BD98" s="57">
        <f>INDEX('Eurostat EB TJ GWh'!$A$2:$BV$146,MATCH($A98,'Eurostat EB TJ GWh'!$A$2:$A$146,0),MATCH(BD$3,'Eurostat EB TJ GWh'!$A$2:$BV$2,0))</f>
        <v>0</v>
      </c>
      <c r="BE98" s="57">
        <f>INDEX('Eurostat EB TJ GWh'!$A$2:$BV$146,MATCH($A98,'Eurostat EB TJ GWh'!$A$2:$A$146,0),MATCH(BE$3,'Eurostat EB TJ GWh'!$A$2:$BV$2,0))</f>
        <v>0</v>
      </c>
      <c r="BF98" s="57">
        <f>INDEX('Eurostat EB TJ GWh'!$A$2:$BV$146,MATCH($A98,'Eurostat EB TJ GWh'!$A$2:$A$146,0),MATCH(BF$3,'Eurostat EB TJ GWh'!$A$2:$BV$2,0))</f>
        <v>0</v>
      </c>
      <c r="BG98" s="57">
        <f>INDEX('Eurostat EB TJ GWh'!$A$2:$BV$146,MATCH($A98,'Eurostat EB TJ GWh'!$A$2:$A$146,0),MATCH(BG$3,'Eurostat EB TJ GWh'!$A$2:$BV$2,0))</f>
        <v>0</v>
      </c>
      <c r="BH98" s="57">
        <f>INDEX('Eurostat EB TJ GWh'!$A$2:$BV$146,MATCH($A98,'Eurostat EB TJ GWh'!$A$2:$A$146,0),MATCH(BH$3,'Eurostat EB TJ GWh'!$A$2:$BV$2,0))</f>
        <v>0</v>
      </c>
      <c r="BI98" s="57">
        <f>INDEX('Eurostat EB TJ GWh'!$A$2:$BV$146,MATCH($A98,'Eurostat EB TJ GWh'!$A$2:$A$146,0),MATCH(BI$3,'Eurostat EB TJ GWh'!$A$2:$BV$2,0))</f>
        <v>0</v>
      </c>
      <c r="BJ98" s="65">
        <v>0</v>
      </c>
      <c r="BK98" s="57">
        <f>INDEX('Eurostat EB TJ GWh'!$A$2:$BV$146,MATCH($A98,'Eurostat EB TJ GWh'!$A$2:$A$146,0),MATCH(BK$3,'Eurostat EB TJ GWh'!$A$2:$BV$2,0))</f>
        <v>115158.823</v>
      </c>
      <c r="BL98" s="57">
        <f>INDEX('Eurostat EB TJ GWh'!$A$2:$BV$146,MATCH($A98,'Eurostat EB TJ GWh'!$A$2:$A$146,0),MATCH(BL$3,'Eurostat EB TJ GWh'!$A$2:$BV$2,0))</f>
        <v>47883.012999999999</v>
      </c>
      <c r="BM98" s="57">
        <f>INDEX('Eurostat EB TJ GWh'!$A$2:$BV$146,MATCH($A98,'Eurostat EB TJ GWh'!$A$2:$A$146,0),MATCH(BM$3,'Eurostat EB TJ GWh'!$A$2:$BV$2,0))</f>
        <v>487196.93</v>
      </c>
      <c r="BN98" s="57">
        <f>INDEX('Eurostat EB TJ GWh'!$A$2:$BV$146,MATCH($A98,'Eurostat EB TJ GWh'!$A$2:$A$146,0),MATCH(BN$3,'Eurostat EB TJ GWh'!$A$2:$BV$2,0))</f>
        <v>26440.892</v>
      </c>
    </row>
    <row r="99" spans="1:66" x14ac:dyDescent="0.2">
      <c r="A99" s="56" t="s">
        <v>288</v>
      </c>
      <c r="B99" s="65" t="s">
        <v>323</v>
      </c>
      <c r="C99" s="65" t="s">
        <v>323</v>
      </c>
      <c r="D99" s="17">
        <f>INDEX('Eurostat EB TJ GWh'!$A$2:$BV$146,MATCH($A99,'Eurostat EB TJ GWh'!$A$2:$A$146,0),MATCH(D$3,'Eurostat EB TJ GWh'!$A$2:$BV$2,0))</f>
        <v>0</v>
      </c>
      <c r="E99" s="17">
        <f>INDEX('Eurostat EB TJ GWh'!$A$2:$BV$146,MATCH($A99,'Eurostat EB TJ GWh'!$A$2:$A$146,0),MATCH(E$3,'Eurostat EB TJ GWh'!$A$2:$BV$2,0))</f>
        <v>34.386000000000003</v>
      </c>
      <c r="F99" s="17">
        <f>INDEX('Eurostat EB TJ GWh'!$A$2:$BV$146,MATCH($A99,'Eurostat EB TJ GWh'!$A$2:$A$146,0),MATCH(F$3,'Eurostat EB TJ GWh'!$A$2:$BV$2,0))</f>
        <v>0</v>
      </c>
      <c r="G99" s="17">
        <f>INDEX('Eurostat EB TJ GWh'!$A$2:$BV$146,MATCH($A99,'Eurostat EB TJ GWh'!$A$2:$A$146,0),MATCH(G$3,'Eurostat EB TJ GWh'!$A$2:$BV$2,0))</f>
        <v>0</v>
      </c>
      <c r="H99" s="17">
        <f>INDEX('Eurostat EB TJ GWh'!$A$2:$BV$146,MATCH($A99,'Eurostat EB TJ GWh'!$A$2:$A$146,0),MATCH(H$3,'Eurostat EB TJ GWh'!$A$2:$BV$2,0))</f>
        <v>0</v>
      </c>
      <c r="I99" s="17">
        <f>INDEX('Eurostat EB TJ GWh'!$A$2:$BV$146,MATCH($A99,'Eurostat EB TJ GWh'!$A$2:$A$146,0),MATCH(I$3,'Eurostat EB TJ GWh'!$A$2:$BV$2,0))</f>
        <v>0</v>
      </c>
      <c r="J99" s="17">
        <f>INDEX('Eurostat EB TJ GWh'!$A$2:$BV$146,MATCH($A99,'Eurostat EB TJ GWh'!$A$2:$A$146,0),MATCH(J$3,'Eurostat EB TJ GWh'!$A$2:$BV$2,0))</f>
        <v>2930.712</v>
      </c>
      <c r="K99" s="17">
        <f>INDEX('Eurostat EB TJ GWh'!$A$2:$BV$146,MATCH($A99,'Eurostat EB TJ GWh'!$A$2:$A$146,0),MATCH(K$3,'Eurostat EB TJ GWh'!$A$2:$BV$2,0))</f>
        <v>0</v>
      </c>
      <c r="L99" s="17">
        <f>INDEX('Eurostat EB TJ GWh'!$A$2:$BV$146,MATCH($A99,'Eurostat EB TJ GWh'!$A$2:$A$146,0),MATCH(L$3,'Eurostat EB TJ GWh'!$A$2:$BV$2,0))</f>
        <v>0</v>
      </c>
      <c r="M99" s="17">
        <f>INDEX('Eurostat EB TJ GWh'!$A$2:$BV$146,MATCH($A99,'Eurostat EB TJ GWh'!$A$2:$A$146,0),MATCH(M$3,'Eurostat EB TJ GWh'!$A$2:$BV$2,0))</f>
        <v>0</v>
      </c>
      <c r="N99" s="17">
        <f>INDEX('Eurostat EB TJ GWh'!$A$2:$BV$146,MATCH($A99,'Eurostat EB TJ GWh'!$A$2:$A$146,0),MATCH(N$3,'Eurostat EB TJ GWh'!$A$2:$BV$2,0))</f>
        <v>0</v>
      </c>
      <c r="O99" s="17">
        <f>INDEX('Eurostat EB TJ GWh'!$A$2:$BV$146,MATCH($A99,'Eurostat EB TJ GWh'!$A$2:$A$146,0),MATCH(O$3,'Eurostat EB TJ GWh'!$A$2:$BV$2,0))</f>
        <v>6393.5039999999999</v>
      </c>
      <c r="P99" s="17">
        <f>INDEX('Eurostat EB TJ GWh'!$A$2:$BV$146,MATCH($A99,'Eurostat EB TJ GWh'!$A$2:$A$146,0),MATCH(P$3,'Eurostat EB TJ GWh'!$A$2:$BV$2,0))</f>
        <v>4792.902</v>
      </c>
      <c r="Q99" s="17">
        <f>INDEX('Eurostat EB TJ GWh'!$A$2:$BV$146,MATCH($A99,'Eurostat EB TJ GWh'!$A$2:$A$146,0),MATCH(Q$3,'Eurostat EB TJ GWh'!$A$2:$BV$2,0))</f>
        <v>0</v>
      </c>
      <c r="R99" s="17">
        <f>INDEX('Eurostat EB TJ GWh'!$A$2:$BV$146,MATCH($A99,'Eurostat EB TJ GWh'!$A$2:$A$146,0),MATCH(R$2,'Eurostat EB TJ GWh'!$A$2:$BV$2,0))+INDEX('Eurostat EB TJ GWh'!$A$2:$BV$146,MATCH($A99,'Eurostat EB TJ GWh'!$A$2:$A$146,0),MATCH(R$3,'Eurostat EB TJ GWh'!$A$2:$BV$2,0))</f>
        <v>0</v>
      </c>
      <c r="S99" s="17">
        <f>INDEX('Eurostat EB TJ GWh'!$A$2:$BV$146,MATCH($A99,'Eurostat EB TJ GWh'!$A$2:$A$146,0),MATCH(S$3,'Eurostat EB TJ GWh'!$A$2:$BV$2,0))</f>
        <v>7183.5</v>
      </c>
      <c r="T99" s="65" t="s">
        <v>323</v>
      </c>
      <c r="U99" s="17">
        <f>INDEX('Eurostat EB TJ GWh'!$A$2:$BV$146,MATCH($A99,'Eurostat EB TJ GWh'!$A$2:$A$146,0),MATCH(U$3,'Eurostat EB TJ GWh'!$A$2:$BV$2,0))</f>
        <v>0</v>
      </c>
      <c r="V99" s="17">
        <f>INDEX('Eurostat EB TJ GWh'!$A$2:$BV$146,MATCH($A99,'Eurostat EB TJ GWh'!$A$2:$A$146,0),MATCH(V$3,'Eurostat EB TJ GWh'!$A$2:$BV$2,0))</f>
        <v>0</v>
      </c>
      <c r="W99" s="17">
        <f>INDEX('Eurostat EB TJ GWh'!$A$2:$BV$146,MATCH($A99,'Eurostat EB TJ GWh'!$A$2:$A$146,0),MATCH(W$3,'Eurostat EB TJ GWh'!$A$2:$BV$2,0))</f>
        <v>0</v>
      </c>
      <c r="X99" s="17">
        <f>INDEX('Eurostat EB TJ GWh'!$A$2:$BV$146,MATCH($A99,'Eurostat EB TJ GWh'!$A$2:$A$146,0),MATCH(X$3,'Eurostat EB TJ GWh'!$A$2:$BV$2,0))</f>
        <v>0</v>
      </c>
      <c r="Y99" s="17">
        <f>INDEX('Eurostat EB TJ GWh'!$A$2:$BV$146,MATCH($A99,'Eurostat EB TJ GWh'!$A$2:$A$146,0),MATCH(Y$3,'Eurostat EB TJ GWh'!$A$2:$BV$2,0))</f>
        <v>0</v>
      </c>
      <c r="Z99" s="17">
        <f>INDEX('Eurostat EB TJ GWh'!$A$2:$BV$146,MATCH($A99,'Eurostat EB TJ GWh'!$A$2:$A$146,0),MATCH(Z$3,'Eurostat EB TJ GWh'!$A$2:$BV$2,0))</f>
        <v>0</v>
      </c>
      <c r="AA99" s="17">
        <f>INDEX('Eurostat EB TJ GWh'!$A$2:$BV$146,MATCH($A99,'Eurostat EB TJ GWh'!$A$2:$A$146,0),MATCH(AA$3,'Eurostat EB TJ GWh'!$A$2:$BV$2,0))</f>
        <v>0</v>
      </c>
      <c r="AB99" s="17">
        <f>INDEX('Eurostat EB TJ GWh'!$A$2:$BV$146,MATCH($A99,'Eurostat EB TJ GWh'!$A$2:$A$146,0),MATCH(AB$3,'Eurostat EB TJ GWh'!$A$2:$BV$2,0))</f>
        <v>33.308</v>
      </c>
      <c r="AC99" s="17">
        <f>INDEX('Eurostat EB TJ GWh'!$A$2:$BV$146,MATCH($A99,'Eurostat EB TJ GWh'!$A$2:$A$146,0),MATCH(AC$3,'Eurostat EB TJ GWh'!$A$2:$BV$2,0))</f>
        <v>0</v>
      </c>
      <c r="AD99" s="17">
        <f>INDEX('Eurostat EB TJ GWh'!$A$2:$BV$146,MATCH($A99,'Eurostat EB TJ GWh'!$A$2:$A$146,0),MATCH(AD$3,'Eurostat EB TJ GWh'!$A$2:$BV$2,0))</f>
        <v>0</v>
      </c>
      <c r="AE99" s="17">
        <f>INDEX('Eurostat EB TJ GWh'!$A$2:$BV$146,MATCH($A99,'Eurostat EB TJ GWh'!$A$2:$A$146,0),MATCH(AE$3,'Eurostat EB TJ GWh'!$A$2:$BV$2,0))</f>
        <v>0</v>
      </c>
      <c r="AF99" s="17">
        <f>INDEX('Eurostat EB TJ GWh'!$A$2:$BV$146,MATCH($A99,'Eurostat EB TJ GWh'!$A$2:$A$146,0),MATCH(AF$3,'Eurostat EB TJ GWh'!$A$2:$BV$2,0))</f>
        <v>0</v>
      </c>
      <c r="AG99" s="17">
        <f>INDEX('Eurostat EB TJ GWh'!$A$2:$BV$146,MATCH($A99,'Eurostat EB TJ GWh'!$A$2:$A$146,0),MATCH(AG$3,'Eurostat EB TJ GWh'!$A$2:$BV$2,0))</f>
        <v>0</v>
      </c>
      <c r="AH99" s="17">
        <f>INDEX('Eurostat EB TJ GWh'!$A$2:$BV$146,MATCH($A99,'Eurostat EB TJ GWh'!$A$2:$A$146,0),MATCH(AH$3,'Eurostat EB TJ GWh'!$A$2:$BV$2,0))</f>
        <v>104.83199999999999</v>
      </c>
      <c r="AI99" s="17">
        <f>INDEX('Eurostat EB TJ GWh'!$A$2:$BV$146,MATCH($A99,'Eurostat EB TJ GWh'!$A$2:$A$146,0),MATCH(AI$3,'Eurostat EB TJ GWh'!$A$2:$BV$2,0))</f>
        <v>0</v>
      </c>
      <c r="AJ99" s="17">
        <f>INDEX('Eurostat EB TJ GWh'!$A$2:$BV$146,MATCH($A99,'Eurostat EB TJ GWh'!$A$2:$A$146,0),MATCH(AJ$3,'Eurostat EB TJ GWh'!$A$2:$BV$2,0))</f>
        <v>0</v>
      </c>
      <c r="AK99" s="17">
        <f>INDEX('Eurostat EB TJ GWh'!$A$2:$BV$146,MATCH($A99,'Eurostat EB TJ GWh'!$A$2:$A$146,0),MATCH(AK$3,'Eurostat EB TJ GWh'!$A$2:$BV$2,0))</f>
        <v>0</v>
      </c>
      <c r="AL99" s="17">
        <f>INDEX('Eurostat EB TJ GWh'!$A$2:$BV$146,MATCH($A99,'Eurostat EB TJ GWh'!$A$2:$A$146,0),MATCH(AL$3,'Eurostat EB TJ GWh'!$A$2:$BV$2,0))</f>
        <v>0</v>
      </c>
      <c r="AM99" s="17">
        <f>INDEX('Eurostat EB TJ GWh'!$A$2:$BV$146,MATCH($A99,'Eurostat EB TJ GWh'!$A$2:$A$146,0),MATCH(AM$3,'Eurostat EB TJ GWh'!$A$2:$BV$2,0))</f>
        <v>0</v>
      </c>
      <c r="AN99" s="17">
        <f>INDEX('Eurostat EB TJ GWh'!$A$2:$BV$146,MATCH($A99,'Eurostat EB TJ GWh'!$A$2:$A$146,0),MATCH(AN$3,'Eurostat EB TJ GWh'!$A$2:$BV$2,0))</f>
        <v>0</v>
      </c>
      <c r="AO99" s="17">
        <f>INDEX('Eurostat EB TJ GWh'!$A$2:$BV$146,MATCH($A99,'Eurostat EB TJ GWh'!$A$2:$A$146,0),MATCH(AO$3,'Eurostat EB TJ GWh'!$A$2:$BV$2,0))</f>
        <v>64.194999999999993</v>
      </c>
      <c r="AP99" s="17">
        <f>INDEX('Eurostat EB TJ GWh'!$A$2:$BV$146,MATCH($A99,'Eurostat EB TJ GWh'!$A$2:$A$146,0),MATCH(AP$3,'Eurostat EB TJ GWh'!$A$2:$BV$2,0))</f>
        <v>2.2389999999999999</v>
      </c>
      <c r="AQ99" s="17">
        <f>INDEX('Eurostat EB TJ GWh'!$A$2:$BV$146,MATCH($A99,'Eurostat EB TJ GWh'!$A$2:$A$146,0),MATCH(AQ$3,'Eurostat EB TJ GWh'!$A$2:$BV$2,0))</f>
        <v>0</v>
      </c>
      <c r="AR99" s="17">
        <f>INDEX('Eurostat EB TJ GWh'!$A$2:$BV$146,MATCH($A99,'Eurostat EB TJ GWh'!$A$2:$A$146,0),MATCH(AR$3,'Eurostat EB TJ GWh'!$A$2:$BV$2,0))</f>
        <v>0</v>
      </c>
      <c r="AS99" s="17">
        <f>INDEX('Eurostat EB TJ GWh'!$A$2:$BV$146,MATCH($A99,'Eurostat EB TJ GWh'!$A$2:$A$146,0),MATCH(AS$3,'Eurostat EB TJ GWh'!$A$2:$BV$2,0))</f>
        <v>0</v>
      </c>
      <c r="AT99" s="17">
        <f>INDEX('Eurostat EB TJ GWh'!$A$2:$BV$146,MATCH($A99,'Eurostat EB TJ GWh'!$A$2:$A$146,0),MATCH(AT$3,'Eurostat EB TJ GWh'!$A$2:$BV$2,0))</f>
        <v>0</v>
      </c>
      <c r="AU99" s="17">
        <f>INDEX('Eurostat EB TJ GWh'!$A$2:$BV$146,MATCH($A99,'Eurostat EB TJ GWh'!$A$2:$A$146,0),MATCH(AU$3,'Eurostat EB TJ GWh'!$A$2:$BV$2,0))</f>
        <v>0</v>
      </c>
      <c r="AV99" s="17">
        <f>INDEX('Eurostat EB TJ GWh'!$A$2:$BV$146,MATCH($A99,'Eurostat EB TJ GWh'!$A$2:$A$146,0),MATCH(AV$2,'Eurostat EB TJ GWh'!$A$2:$BV$2,0))+INDEX('Eurostat EB TJ GWh'!$A$2:$BV$146,MATCH($A99,'Eurostat EB TJ GWh'!$A$2:$A$146,0),MATCH(AV$3,'Eurostat EB TJ GWh'!$A$2:$BV$2,0))</f>
        <v>0</v>
      </c>
      <c r="AW99" s="17">
        <f>INDEX('Eurostat EB TJ GWh'!$A$2:$BV$146,MATCH($A99,'Eurostat EB TJ GWh'!$A$2:$A$146,0),MATCH(AW$2,'Eurostat EB TJ GWh'!$A$2:$BV$2,0))+INDEX('Eurostat EB TJ GWh'!$A$2:$BV$146,MATCH($A99,'Eurostat EB TJ GWh'!$A$2:$A$146,0),MATCH(AW$3,'Eurostat EB TJ GWh'!$A$2:$BV$2,0))</f>
        <v>0</v>
      </c>
      <c r="AX99" s="17">
        <f>INDEX('Eurostat EB TJ GWh'!$A$2:$BV$146,MATCH($A99,'Eurostat EB TJ GWh'!$A$2:$A$146,0),MATCH(AX$3,'Eurostat EB TJ GWh'!$A$2:$BV$2,0))</f>
        <v>0</v>
      </c>
      <c r="AY99" s="72">
        <v>0</v>
      </c>
      <c r="AZ99" s="17">
        <f>INDEX('Eurostat EB TJ GWh'!$A$2:$BV$146,MATCH($A99,'Eurostat EB TJ GWh'!$A$2:$A$146,0),MATCH(AZ$3,'Eurostat EB TJ GWh'!$A$2:$BV$2,0))</f>
        <v>0</v>
      </c>
      <c r="BA99" s="72">
        <v>0</v>
      </c>
      <c r="BB99" s="72">
        <v>0</v>
      </c>
      <c r="BC99" s="17">
        <f>INDEX('Eurostat EB TJ GWh'!$A$2:$BV$146,MATCH($A99,'Eurostat EB TJ GWh'!$A$2:$A$146,0),MATCH(BC$3,'Eurostat EB TJ GWh'!$A$2:$BV$2,0))</f>
        <v>0</v>
      </c>
      <c r="BD99" s="17">
        <f>INDEX('Eurostat EB TJ GWh'!$A$2:$BV$146,MATCH($A99,'Eurostat EB TJ GWh'!$A$2:$A$146,0),MATCH(BD$3,'Eurostat EB TJ GWh'!$A$2:$BV$2,0))</f>
        <v>0</v>
      </c>
      <c r="BE99" s="17">
        <f>INDEX('Eurostat EB TJ GWh'!$A$2:$BV$146,MATCH($A99,'Eurostat EB TJ GWh'!$A$2:$A$146,0),MATCH(BE$3,'Eurostat EB TJ GWh'!$A$2:$BV$2,0))</f>
        <v>0</v>
      </c>
      <c r="BF99" s="17">
        <f>INDEX('Eurostat EB TJ GWh'!$A$2:$BV$146,MATCH($A99,'Eurostat EB TJ GWh'!$A$2:$A$146,0),MATCH(BF$3,'Eurostat EB TJ GWh'!$A$2:$BV$2,0))</f>
        <v>0</v>
      </c>
      <c r="BG99" s="17">
        <f>INDEX('Eurostat EB TJ GWh'!$A$2:$BV$146,MATCH($A99,'Eurostat EB TJ GWh'!$A$2:$A$146,0),MATCH(BG$3,'Eurostat EB TJ GWh'!$A$2:$BV$2,0))</f>
        <v>0</v>
      </c>
      <c r="BH99" s="17">
        <f>INDEX('Eurostat EB TJ GWh'!$A$2:$BV$146,MATCH($A99,'Eurostat EB TJ GWh'!$A$2:$A$146,0),MATCH(BH$3,'Eurostat EB TJ GWh'!$A$2:$BV$2,0))</f>
        <v>0</v>
      </c>
      <c r="BI99" s="17">
        <f>INDEX('Eurostat EB TJ GWh'!$A$2:$BV$146,MATCH($A99,'Eurostat EB TJ GWh'!$A$2:$A$146,0),MATCH(BI$3,'Eurostat EB TJ GWh'!$A$2:$BV$2,0))</f>
        <v>0</v>
      </c>
      <c r="BJ99" s="72">
        <v>0</v>
      </c>
      <c r="BK99" s="17">
        <f>INDEX('Eurostat EB TJ GWh'!$A$2:$BV$146,MATCH($A99,'Eurostat EB TJ GWh'!$A$2:$A$146,0),MATCH(BK$3,'Eurostat EB TJ GWh'!$A$2:$BV$2,0))</f>
        <v>6857.442</v>
      </c>
      <c r="BL99" s="17">
        <f>INDEX('Eurostat EB TJ GWh'!$A$2:$BV$146,MATCH($A99,'Eurostat EB TJ GWh'!$A$2:$A$146,0),MATCH(BL$3,'Eurostat EB TJ GWh'!$A$2:$BV$2,0))</f>
        <v>48.027000000000001</v>
      </c>
      <c r="BM99" s="17">
        <f>INDEX('Eurostat EB TJ GWh'!$A$2:$BV$146,MATCH($A99,'Eurostat EB TJ GWh'!$A$2:$A$146,0),MATCH(BM$3,'Eurostat EB TJ GWh'!$A$2:$BV$2,0))</f>
        <v>28445.046999999999</v>
      </c>
      <c r="BN99" s="17">
        <f>INDEX('Eurostat EB TJ GWh'!$A$2:$BV$146,MATCH($A99,'Eurostat EB TJ GWh'!$A$2:$A$146,0),MATCH(BN$3,'Eurostat EB TJ GWh'!$A$2:$BV$2,0))</f>
        <v>540.65099999999995</v>
      </c>
    </row>
    <row r="100" spans="1:66" x14ac:dyDescent="0.2">
      <c r="A100" s="56" t="s">
        <v>289</v>
      </c>
      <c r="B100" s="65" t="s">
        <v>323</v>
      </c>
      <c r="C100" s="65" t="s">
        <v>323</v>
      </c>
      <c r="D100" s="57">
        <f>INDEX('Eurostat EB TJ GWh'!$A$2:$BV$146,MATCH($A100,'Eurostat EB TJ GWh'!$A$2:$A$146,0),MATCH(D$3,'Eurostat EB TJ GWh'!$A$2:$BV$2,0))</f>
        <v>0</v>
      </c>
      <c r="E100" s="57">
        <f>INDEX('Eurostat EB TJ GWh'!$A$2:$BV$146,MATCH($A100,'Eurostat EB TJ GWh'!$A$2:$A$146,0),MATCH(E$3,'Eurostat EB TJ GWh'!$A$2:$BV$2,0))</f>
        <v>0</v>
      </c>
      <c r="F100" s="57">
        <f>INDEX('Eurostat EB TJ GWh'!$A$2:$BV$146,MATCH($A100,'Eurostat EB TJ GWh'!$A$2:$A$146,0),MATCH(F$3,'Eurostat EB TJ GWh'!$A$2:$BV$2,0))</f>
        <v>0</v>
      </c>
      <c r="G100" s="57">
        <f>INDEX('Eurostat EB TJ GWh'!$A$2:$BV$146,MATCH($A100,'Eurostat EB TJ GWh'!$A$2:$A$146,0),MATCH(G$3,'Eurostat EB TJ GWh'!$A$2:$BV$2,0))</f>
        <v>0</v>
      </c>
      <c r="H100" s="57">
        <f>INDEX('Eurostat EB TJ GWh'!$A$2:$BV$146,MATCH($A100,'Eurostat EB TJ GWh'!$A$2:$A$146,0),MATCH(H$3,'Eurostat EB TJ GWh'!$A$2:$BV$2,0))</f>
        <v>0</v>
      </c>
      <c r="I100" s="57">
        <f>INDEX('Eurostat EB TJ GWh'!$A$2:$BV$146,MATCH($A100,'Eurostat EB TJ GWh'!$A$2:$A$146,0),MATCH(I$3,'Eurostat EB TJ GWh'!$A$2:$BV$2,0))</f>
        <v>0</v>
      </c>
      <c r="J100" s="57">
        <f>INDEX('Eurostat EB TJ GWh'!$A$2:$BV$146,MATCH($A100,'Eurostat EB TJ GWh'!$A$2:$A$146,0),MATCH(J$3,'Eurostat EB TJ GWh'!$A$2:$BV$2,0))</f>
        <v>0</v>
      </c>
      <c r="K100" s="57">
        <f>INDEX('Eurostat EB TJ GWh'!$A$2:$BV$146,MATCH($A100,'Eurostat EB TJ GWh'!$A$2:$A$146,0),MATCH(K$3,'Eurostat EB TJ GWh'!$A$2:$BV$2,0))</f>
        <v>0</v>
      </c>
      <c r="L100" s="57">
        <f>INDEX('Eurostat EB TJ GWh'!$A$2:$BV$146,MATCH($A100,'Eurostat EB TJ GWh'!$A$2:$A$146,0),MATCH(L$3,'Eurostat EB TJ GWh'!$A$2:$BV$2,0))</f>
        <v>0</v>
      </c>
      <c r="M100" s="57">
        <f>INDEX('Eurostat EB TJ GWh'!$A$2:$BV$146,MATCH($A100,'Eurostat EB TJ GWh'!$A$2:$A$146,0),MATCH(M$3,'Eurostat EB TJ GWh'!$A$2:$BV$2,0))</f>
        <v>0</v>
      </c>
      <c r="N100" s="57">
        <f>INDEX('Eurostat EB TJ GWh'!$A$2:$BV$146,MATCH($A100,'Eurostat EB TJ GWh'!$A$2:$A$146,0),MATCH(N$3,'Eurostat EB TJ GWh'!$A$2:$BV$2,0))</f>
        <v>0</v>
      </c>
      <c r="O100" s="57">
        <f>INDEX('Eurostat EB TJ GWh'!$A$2:$BV$146,MATCH($A100,'Eurostat EB TJ GWh'!$A$2:$A$146,0),MATCH(O$3,'Eurostat EB TJ GWh'!$A$2:$BV$2,0))</f>
        <v>0</v>
      </c>
      <c r="P100" s="57">
        <f>INDEX('Eurostat EB TJ GWh'!$A$2:$BV$146,MATCH($A100,'Eurostat EB TJ GWh'!$A$2:$A$146,0),MATCH(P$3,'Eurostat EB TJ GWh'!$A$2:$BV$2,0))</f>
        <v>0</v>
      </c>
      <c r="Q100" s="57">
        <f>INDEX('Eurostat EB TJ GWh'!$A$2:$BV$146,MATCH($A100,'Eurostat EB TJ GWh'!$A$2:$A$146,0),MATCH(Q$3,'Eurostat EB TJ GWh'!$A$2:$BV$2,0))</f>
        <v>0</v>
      </c>
      <c r="R100" s="57">
        <f>INDEX('Eurostat EB TJ GWh'!$A$2:$BV$146,MATCH($A100,'Eurostat EB TJ GWh'!$A$2:$A$146,0),MATCH(R$2,'Eurostat EB TJ GWh'!$A$2:$BV$2,0))+INDEX('Eurostat EB TJ GWh'!$A$2:$BV$146,MATCH($A100,'Eurostat EB TJ GWh'!$A$2:$A$146,0),MATCH(R$3,'Eurostat EB TJ GWh'!$A$2:$BV$2,0))</f>
        <v>0</v>
      </c>
      <c r="S100" s="57">
        <f>INDEX('Eurostat EB TJ GWh'!$A$2:$BV$146,MATCH($A100,'Eurostat EB TJ GWh'!$A$2:$A$146,0),MATCH(S$3,'Eurostat EB TJ GWh'!$A$2:$BV$2,0))</f>
        <v>70345.629000000001</v>
      </c>
      <c r="T100" s="65" t="s">
        <v>323</v>
      </c>
      <c r="U100" s="57">
        <f>INDEX('Eurostat EB TJ GWh'!$A$2:$BV$146,MATCH($A100,'Eurostat EB TJ GWh'!$A$2:$A$146,0),MATCH(U$3,'Eurostat EB TJ GWh'!$A$2:$BV$2,0))</f>
        <v>0</v>
      </c>
      <c r="V100" s="57">
        <f>INDEX('Eurostat EB TJ GWh'!$A$2:$BV$146,MATCH($A100,'Eurostat EB TJ GWh'!$A$2:$A$146,0),MATCH(V$3,'Eurostat EB TJ GWh'!$A$2:$BV$2,0))</f>
        <v>0</v>
      </c>
      <c r="W100" s="57">
        <f>INDEX('Eurostat EB TJ GWh'!$A$2:$BV$146,MATCH($A100,'Eurostat EB TJ GWh'!$A$2:$A$146,0),MATCH(W$3,'Eurostat EB TJ GWh'!$A$2:$BV$2,0))</f>
        <v>0</v>
      </c>
      <c r="X100" s="57">
        <f>INDEX('Eurostat EB TJ GWh'!$A$2:$BV$146,MATCH($A100,'Eurostat EB TJ GWh'!$A$2:$A$146,0),MATCH(X$3,'Eurostat EB TJ GWh'!$A$2:$BV$2,0))</f>
        <v>0</v>
      </c>
      <c r="Y100" s="57">
        <f>INDEX('Eurostat EB TJ GWh'!$A$2:$BV$146,MATCH($A100,'Eurostat EB TJ GWh'!$A$2:$A$146,0),MATCH(Y$3,'Eurostat EB TJ GWh'!$A$2:$BV$2,0))</f>
        <v>0</v>
      </c>
      <c r="Z100" s="57">
        <f>INDEX('Eurostat EB TJ GWh'!$A$2:$BV$146,MATCH($A100,'Eurostat EB TJ GWh'!$A$2:$A$146,0),MATCH(Z$3,'Eurostat EB TJ GWh'!$A$2:$BV$2,0))</f>
        <v>103516.201</v>
      </c>
      <c r="AA100" s="57">
        <f>INDEX('Eurostat EB TJ GWh'!$A$2:$BV$146,MATCH($A100,'Eurostat EB TJ GWh'!$A$2:$A$146,0),MATCH(AA$3,'Eurostat EB TJ GWh'!$A$2:$BV$2,0))</f>
        <v>0</v>
      </c>
      <c r="AB100" s="57">
        <f>INDEX('Eurostat EB TJ GWh'!$A$2:$BV$146,MATCH($A100,'Eurostat EB TJ GWh'!$A$2:$A$146,0),MATCH(AB$3,'Eurostat EB TJ GWh'!$A$2:$BV$2,0))</f>
        <v>40.945</v>
      </c>
      <c r="AC100" s="57">
        <f>INDEX('Eurostat EB TJ GWh'!$A$2:$BV$146,MATCH($A100,'Eurostat EB TJ GWh'!$A$2:$A$146,0),MATCH(AC$3,'Eurostat EB TJ GWh'!$A$2:$BV$2,0))</f>
        <v>0</v>
      </c>
      <c r="AD100" s="57">
        <f>INDEX('Eurostat EB TJ GWh'!$A$2:$BV$146,MATCH($A100,'Eurostat EB TJ GWh'!$A$2:$A$146,0),MATCH(AD$3,'Eurostat EB TJ GWh'!$A$2:$BV$2,0))</f>
        <v>0</v>
      </c>
      <c r="AE100" s="57">
        <f>INDEX('Eurostat EB TJ GWh'!$A$2:$BV$146,MATCH($A100,'Eurostat EB TJ GWh'!$A$2:$A$146,0),MATCH(AE$3,'Eurostat EB TJ GWh'!$A$2:$BV$2,0))</f>
        <v>0</v>
      </c>
      <c r="AF100" s="57">
        <f>INDEX('Eurostat EB TJ GWh'!$A$2:$BV$146,MATCH($A100,'Eurostat EB TJ GWh'!$A$2:$A$146,0),MATCH(AF$3,'Eurostat EB TJ GWh'!$A$2:$BV$2,0))</f>
        <v>0</v>
      </c>
      <c r="AG100" s="57">
        <f>INDEX('Eurostat EB TJ GWh'!$A$2:$BV$146,MATCH($A100,'Eurostat EB TJ GWh'!$A$2:$A$146,0),MATCH(AG$3,'Eurostat EB TJ GWh'!$A$2:$BV$2,0))</f>
        <v>0</v>
      </c>
      <c r="AH100" s="57">
        <f>INDEX('Eurostat EB TJ GWh'!$A$2:$BV$146,MATCH($A100,'Eurostat EB TJ GWh'!$A$2:$A$146,0),MATCH(AH$3,'Eurostat EB TJ GWh'!$A$2:$BV$2,0))</f>
        <v>75.668999999999997</v>
      </c>
      <c r="AI100" s="57">
        <f>INDEX('Eurostat EB TJ GWh'!$A$2:$BV$146,MATCH($A100,'Eurostat EB TJ GWh'!$A$2:$A$146,0),MATCH(AI$3,'Eurostat EB TJ GWh'!$A$2:$BV$2,0))</f>
        <v>0</v>
      </c>
      <c r="AJ100" s="57">
        <f>INDEX('Eurostat EB TJ GWh'!$A$2:$BV$146,MATCH($A100,'Eurostat EB TJ GWh'!$A$2:$A$146,0),MATCH(AJ$3,'Eurostat EB TJ GWh'!$A$2:$BV$2,0))</f>
        <v>0</v>
      </c>
      <c r="AK100" s="57">
        <f>INDEX('Eurostat EB TJ GWh'!$A$2:$BV$146,MATCH($A100,'Eurostat EB TJ GWh'!$A$2:$A$146,0),MATCH(AK$3,'Eurostat EB TJ GWh'!$A$2:$BV$2,0))</f>
        <v>0</v>
      </c>
      <c r="AL100" s="57">
        <f>INDEX('Eurostat EB TJ GWh'!$A$2:$BV$146,MATCH($A100,'Eurostat EB TJ GWh'!$A$2:$A$146,0),MATCH(AL$3,'Eurostat EB TJ GWh'!$A$2:$BV$2,0))</f>
        <v>0</v>
      </c>
      <c r="AM100" s="57">
        <f>INDEX('Eurostat EB TJ GWh'!$A$2:$BV$146,MATCH($A100,'Eurostat EB TJ GWh'!$A$2:$A$146,0),MATCH(AM$3,'Eurostat EB TJ GWh'!$A$2:$BV$2,0))</f>
        <v>0</v>
      </c>
      <c r="AN100" s="57">
        <f>INDEX('Eurostat EB TJ GWh'!$A$2:$BV$146,MATCH($A100,'Eurostat EB TJ GWh'!$A$2:$A$146,0),MATCH(AN$3,'Eurostat EB TJ GWh'!$A$2:$BV$2,0))</f>
        <v>0</v>
      </c>
      <c r="AO100" s="57">
        <f>INDEX('Eurostat EB TJ GWh'!$A$2:$BV$146,MATCH($A100,'Eurostat EB TJ GWh'!$A$2:$A$146,0),MATCH(AO$3,'Eurostat EB TJ GWh'!$A$2:$BV$2,0))</f>
        <v>0</v>
      </c>
      <c r="AP100" s="57">
        <f>INDEX('Eurostat EB TJ GWh'!$A$2:$BV$146,MATCH($A100,'Eurostat EB TJ GWh'!$A$2:$A$146,0),MATCH(AP$3,'Eurostat EB TJ GWh'!$A$2:$BV$2,0))</f>
        <v>644.82600000000002</v>
      </c>
      <c r="AQ100" s="57">
        <f>INDEX('Eurostat EB TJ GWh'!$A$2:$BV$146,MATCH($A100,'Eurostat EB TJ GWh'!$A$2:$A$146,0),MATCH(AQ$3,'Eurostat EB TJ GWh'!$A$2:$BV$2,0))</f>
        <v>405.91800000000001</v>
      </c>
      <c r="AR100" s="57">
        <f>INDEX('Eurostat EB TJ GWh'!$A$2:$BV$146,MATCH($A100,'Eurostat EB TJ GWh'!$A$2:$A$146,0),MATCH(AR$3,'Eurostat EB TJ GWh'!$A$2:$BV$2,0))</f>
        <v>0</v>
      </c>
      <c r="AS100" s="57">
        <f>INDEX('Eurostat EB TJ GWh'!$A$2:$BV$146,MATCH($A100,'Eurostat EB TJ GWh'!$A$2:$A$146,0),MATCH(AS$3,'Eurostat EB TJ GWh'!$A$2:$BV$2,0))</f>
        <v>0</v>
      </c>
      <c r="AT100" s="57">
        <f>INDEX('Eurostat EB TJ GWh'!$A$2:$BV$146,MATCH($A100,'Eurostat EB TJ GWh'!$A$2:$A$146,0),MATCH(AT$3,'Eurostat EB TJ GWh'!$A$2:$BV$2,0))</f>
        <v>0</v>
      </c>
      <c r="AU100" s="57">
        <f>INDEX('Eurostat EB TJ GWh'!$A$2:$BV$146,MATCH($A100,'Eurostat EB TJ GWh'!$A$2:$A$146,0),MATCH(AU$3,'Eurostat EB TJ GWh'!$A$2:$BV$2,0))</f>
        <v>0</v>
      </c>
      <c r="AV100" s="57">
        <f>INDEX('Eurostat EB TJ GWh'!$A$2:$BV$146,MATCH($A100,'Eurostat EB TJ GWh'!$A$2:$A$146,0),MATCH(AV$2,'Eurostat EB TJ GWh'!$A$2:$BV$2,0))+INDEX('Eurostat EB TJ GWh'!$A$2:$BV$146,MATCH($A100,'Eurostat EB TJ GWh'!$A$2:$A$146,0),MATCH(AV$3,'Eurostat EB TJ GWh'!$A$2:$BV$2,0))</f>
        <v>0</v>
      </c>
      <c r="AW100" s="57">
        <f>INDEX('Eurostat EB TJ GWh'!$A$2:$BV$146,MATCH($A100,'Eurostat EB TJ GWh'!$A$2:$A$146,0),MATCH(AW$2,'Eurostat EB TJ GWh'!$A$2:$BV$2,0))+INDEX('Eurostat EB TJ GWh'!$A$2:$BV$146,MATCH($A100,'Eurostat EB TJ GWh'!$A$2:$A$146,0),MATCH(AW$3,'Eurostat EB TJ GWh'!$A$2:$BV$2,0))</f>
        <v>0</v>
      </c>
      <c r="AX100" s="57">
        <f>INDEX('Eurostat EB TJ GWh'!$A$2:$BV$146,MATCH($A100,'Eurostat EB TJ GWh'!$A$2:$A$146,0),MATCH(AX$3,'Eurostat EB TJ GWh'!$A$2:$BV$2,0))</f>
        <v>220.68</v>
      </c>
      <c r="AY100" s="65">
        <v>0</v>
      </c>
      <c r="AZ100" s="57">
        <f>INDEX('Eurostat EB TJ GWh'!$A$2:$BV$146,MATCH($A100,'Eurostat EB TJ GWh'!$A$2:$A$146,0),MATCH(AZ$3,'Eurostat EB TJ GWh'!$A$2:$BV$2,0))</f>
        <v>0</v>
      </c>
      <c r="BA100" s="65">
        <v>0</v>
      </c>
      <c r="BB100" s="65">
        <v>0</v>
      </c>
      <c r="BC100" s="57">
        <f>INDEX('Eurostat EB TJ GWh'!$A$2:$BV$146,MATCH($A100,'Eurostat EB TJ GWh'!$A$2:$A$146,0),MATCH(BC$3,'Eurostat EB TJ GWh'!$A$2:$BV$2,0))</f>
        <v>0</v>
      </c>
      <c r="BD100" s="57">
        <f>INDEX('Eurostat EB TJ GWh'!$A$2:$BV$146,MATCH($A100,'Eurostat EB TJ GWh'!$A$2:$A$146,0),MATCH(BD$3,'Eurostat EB TJ GWh'!$A$2:$BV$2,0))</f>
        <v>0</v>
      </c>
      <c r="BE100" s="57">
        <f>INDEX('Eurostat EB TJ GWh'!$A$2:$BV$146,MATCH($A100,'Eurostat EB TJ GWh'!$A$2:$A$146,0),MATCH(BE$3,'Eurostat EB TJ GWh'!$A$2:$BV$2,0))</f>
        <v>0</v>
      </c>
      <c r="BF100" s="57">
        <f>INDEX('Eurostat EB TJ GWh'!$A$2:$BV$146,MATCH($A100,'Eurostat EB TJ GWh'!$A$2:$A$146,0),MATCH(BF$3,'Eurostat EB TJ GWh'!$A$2:$BV$2,0))</f>
        <v>0</v>
      </c>
      <c r="BG100" s="57">
        <f>INDEX('Eurostat EB TJ GWh'!$A$2:$BV$146,MATCH($A100,'Eurostat EB TJ GWh'!$A$2:$A$146,0),MATCH(BG$3,'Eurostat EB TJ GWh'!$A$2:$BV$2,0))</f>
        <v>0</v>
      </c>
      <c r="BH100" s="57">
        <f>INDEX('Eurostat EB TJ GWh'!$A$2:$BV$146,MATCH($A100,'Eurostat EB TJ GWh'!$A$2:$A$146,0),MATCH(BH$3,'Eurostat EB TJ GWh'!$A$2:$BV$2,0))</f>
        <v>0</v>
      </c>
      <c r="BI100" s="57">
        <f>INDEX('Eurostat EB TJ GWh'!$A$2:$BV$146,MATCH($A100,'Eurostat EB TJ GWh'!$A$2:$A$146,0),MATCH(BI$3,'Eurostat EB TJ GWh'!$A$2:$BV$2,0))</f>
        <v>0</v>
      </c>
      <c r="BJ100" s="65">
        <v>0</v>
      </c>
      <c r="BK100" s="57">
        <f>INDEX('Eurostat EB TJ GWh'!$A$2:$BV$146,MATCH($A100,'Eurostat EB TJ GWh'!$A$2:$A$146,0),MATCH(BK$3,'Eurostat EB TJ GWh'!$A$2:$BV$2,0))</f>
        <v>43191.173000000003</v>
      </c>
      <c r="BL100" s="57">
        <f>INDEX('Eurostat EB TJ GWh'!$A$2:$BV$146,MATCH($A100,'Eurostat EB TJ GWh'!$A$2:$A$146,0),MATCH(BL$3,'Eurostat EB TJ GWh'!$A$2:$BV$2,0))</f>
        <v>43704.775000000001</v>
      </c>
      <c r="BM100" s="57">
        <f>INDEX('Eurostat EB TJ GWh'!$A$2:$BV$146,MATCH($A100,'Eurostat EB TJ GWh'!$A$2:$A$146,0),MATCH(BM$3,'Eurostat EB TJ GWh'!$A$2:$BV$2,0))</f>
        <v>262145.81599999999</v>
      </c>
      <c r="BN100" s="57">
        <f>INDEX('Eurostat EB TJ GWh'!$A$2:$BV$146,MATCH($A100,'Eurostat EB TJ GWh'!$A$2:$A$146,0),MATCH(BN$3,'Eurostat EB TJ GWh'!$A$2:$BV$2,0))</f>
        <v>13410.675999999999</v>
      </c>
    </row>
    <row r="101" spans="1:66" x14ac:dyDescent="0.2">
      <c r="A101" s="56" t="s">
        <v>290</v>
      </c>
      <c r="B101" s="65" t="s">
        <v>323</v>
      </c>
      <c r="C101" s="65" t="s">
        <v>323</v>
      </c>
      <c r="D101" s="17">
        <f>INDEX('Eurostat EB TJ GWh'!$A$2:$BV$146,MATCH($A101,'Eurostat EB TJ GWh'!$A$2:$A$146,0),MATCH(D$3,'Eurostat EB TJ GWh'!$A$2:$BV$2,0))</f>
        <v>0</v>
      </c>
      <c r="E101" s="17">
        <f>INDEX('Eurostat EB TJ GWh'!$A$2:$BV$146,MATCH($A101,'Eurostat EB TJ GWh'!$A$2:$A$146,0),MATCH(E$3,'Eurostat EB TJ GWh'!$A$2:$BV$2,0))</f>
        <v>0</v>
      </c>
      <c r="F101" s="17">
        <f>INDEX('Eurostat EB TJ GWh'!$A$2:$BV$146,MATCH($A101,'Eurostat EB TJ GWh'!$A$2:$A$146,0),MATCH(F$3,'Eurostat EB TJ GWh'!$A$2:$BV$2,0))</f>
        <v>0</v>
      </c>
      <c r="G101" s="17">
        <f>INDEX('Eurostat EB TJ GWh'!$A$2:$BV$146,MATCH($A101,'Eurostat EB TJ GWh'!$A$2:$A$146,0),MATCH(G$3,'Eurostat EB TJ GWh'!$A$2:$BV$2,0))</f>
        <v>0</v>
      </c>
      <c r="H101" s="17">
        <f>INDEX('Eurostat EB TJ GWh'!$A$2:$BV$146,MATCH($A101,'Eurostat EB TJ GWh'!$A$2:$A$146,0),MATCH(H$3,'Eurostat EB TJ GWh'!$A$2:$BV$2,0))</f>
        <v>0</v>
      </c>
      <c r="I101" s="17">
        <f>INDEX('Eurostat EB TJ GWh'!$A$2:$BV$146,MATCH($A101,'Eurostat EB TJ GWh'!$A$2:$A$146,0),MATCH(I$3,'Eurostat EB TJ GWh'!$A$2:$BV$2,0))</f>
        <v>0</v>
      </c>
      <c r="J101" s="17">
        <f>INDEX('Eurostat EB TJ GWh'!$A$2:$BV$146,MATCH($A101,'Eurostat EB TJ GWh'!$A$2:$A$146,0),MATCH(J$3,'Eurostat EB TJ GWh'!$A$2:$BV$2,0))</f>
        <v>0</v>
      </c>
      <c r="K101" s="17">
        <f>INDEX('Eurostat EB TJ GWh'!$A$2:$BV$146,MATCH($A101,'Eurostat EB TJ GWh'!$A$2:$A$146,0),MATCH(K$3,'Eurostat EB TJ GWh'!$A$2:$BV$2,0))</f>
        <v>0</v>
      </c>
      <c r="L101" s="17">
        <f>INDEX('Eurostat EB TJ GWh'!$A$2:$BV$146,MATCH($A101,'Eurostat EB TJ GWh'!$A$2:$A$146,0),MATCH(L$3,'Eurostat EB TJ GWh'!$A$2:$BV$2,0))</f>
        <v>0</v>
      </c>
      <c r="M101" s="17">
        <f>INDEX('Eurostat EB TJ GWh'!$A$2:$BV$146,MATCH($A101,'Eurostat EB TJ GWh'!$A$2:$A$146,0),MATCH(M$3,'Eurostat EB TJ GWh'!$A$2:$BV$2,0))</f>
        <v>0</v>
      </c>
      <c r="N101" s="17">
        <f>INDEX('Eurostat EB TJ GWh'!$A$2:$BV$146,MATCH($A101,'Eurostat EB TJ GWh'!$A$2:$A$146,0),MATCH(N$3,'Eurostat EB TJ GWh'!$A$2:$BV$2,0))</f>
        <v>0</v>
      </c>
      <c r="O101" s="17">
        <f>INDEX('Eurostat EB TJ GWh'!$A$2:$BV$146,MATCH($A101,'Eurostat EB TJ GWh'!$A$2:$A$146,0),MATCH(O$3,'Eurostat EB TJ GWh'!$A$2:$BV$2,0))</f>
        <v>0</v>
      </c>
      <c r="P101" s="17">
        <f>INDEX('Eurostat EB TJ GWh'!$A$2:$BV$146,MATCH($A101,'Eurostat EB TJ GWh'!$A$2:$A$146,0),MATCH(P$3,'Eurostat EB TJ GWh'!$A$2:$BV$2,0))</f>
        <v>0</v>
      </c>
      <c r="Q101" s="17">
        <f>INDEX('Eurostat EB TJ GWh'!$A$2:$BV$146,MATCH($A101,'Eurostat EB TJ GWh'!$A$2:$A$146,0),MATCH(Q$3,'Eurostat EB TJ GWh'!$A$2:$BV$2,0))</f>
        <v>0</v>
      </c>
      <c r="R101" s="17">
        <f>INDEX('Eurostat EB TJ GWh'!$A$2:$BV$146,MATCH($A101,'Eurostat EB TJ GWh'!$A$2:$A$146,0),MATCH(R$2,'Eurostat EB TJ GWh'!$A$2:$BV$2,0))+INDEX('Eurostat EB TJ GWh'!$A$2:$BV$146,MATCH($A101,'Eurostat EB TJ GWh'!$A$2:$A$146,0),MATCH(R$3,'Eurostat EB TJ GWh'!$A$2:$BV$2,0))</f>
        <v>0</v>
      </c>
      <c r="S101" s="17">
        <f>INDEX('Eurostat EB TJ GWh'!$A$2:$BV$146,MATCH($A101,'Eurostat EB TJ GWh'!$A$2:$A$146,0),MATCH(S$3,'Eurostat EB TJ GWh'!$A$2:$BV$2,0))</f>
        <v>1821.0119999999999</v>
      </c>
      <c r="T101" s="65" t="s">
        <v>323</v>
      </c>
      <c r="U101" s="17">
        <f>INDEX('Eurostat EB TJ GWh'!$A$2:$BV$146,MATCH($A101,'Eurostat EB TJ GWh'!$A$2:$A$146,0),MATCH(U$3,'Eurostat EB TJ GWh'!$A$2:$BV$2,0))</f>
        <v>0</v>
      </c>
      <c r="V101" s="17">
        <f>INDEX('Eurostat EB TJ GWh'!$A$2:$BV$146,MATCH($A101,'Eurostat EB TJ GWh'!$A$2:$A$146,0),MATCH(V$3,'Eurostat EB TJ GWh'!$A$2:$BV$2,0))</f>
        <v>0</v>
      </c>
      <c r="W101" s="17">
        <f>INDEX('Eurostat EB TJ GWh'!$A$2:$BV$146,MATCH($A101,'Eurostat EB TJ GWh'!$A$2:$A$146,0),MATCH(W$3,'Eurostat EB TJ GWh'!$A$2:$BV$2,0))</f>
        <v>0</v>
      </c>
      <c r="X101" s="17">
        <f>INDEX('Eurostat EB TJ GWh'!$A$2:$BV$146,MATCH($A101,'Eurostat EB TJ GWh'!$A$2:$A$146,0),MATCH(X$3,'Eurostat EB TJ GWh'!$A$2:$BV$2,0))</f>
        <v>0</v>
      </c>
      <c r="Y101" s="17">
        <f>INDEX('Eurostat EB TJ GWh'!$A$2:$BV$146,MATCH($A101,'Eurostat EB TJ GWh'!$A$2:$A$146,0),MATCH(Y$3,'Eurostat EB TJ GWh'!$A$2:$BV$2,0))</f>
        <v>0</v>
      </c>
      <c r="Z101" s="17">
        <f>INDEX('Eurostat EB TJ GWh'!$A$2:$BV$146,MATCH($A101,'Eurostat EB TJ GWh'!$A$2:$A$146,0),MATCH(Z$3,'Eurostat EB TJ GWh'!$A$2:$BV$2,0))</f>
        <v>0</v>
      </c>
      <c r="AA101" s="17">
        <f>INDEX('Eurostat EB TJ GWh'!$A$2:$BV$146,MATCH($A101,'Eurostat EB TJ GWh'!$A$2:$A$146,0),MATCH(AA$3,'Eurostat EB TJ GWh'!$A$2:$BV$2,0))</f>
        <v>0</v>
      </c>
      <c r="AB101" s="17">
        <f>INDEX('Eurostat EB TJ GWh'!$A$2:$BV$146,MATCH($A101,'Eurostat EB TJ GWh'!$A$2:$A$146,0),MATCH(AB$3,'Eurostat EB TJ GWh'!$A$2:$BV$2,0))</f>
        <v>9.7170000000000005</v>
      </c>
      <c r="AC101" s="17">
        <f>INDEX('Eurostat EB TJ GWh'!$A$2:$BV$146,MATCH($A101,'Eurostat EB TJ GWh'!$A$2:$A$146,0),MATCH(AC$3,'Eurostat EB TJ GWh'!$A$2:$BV$2,0))</f>
        <v>0</v>
      </c>
      <c r="AD101" s="17">
        <f>INDEX('Eurostat EB TJ GWh'!$A$2:$BV$146,MATCH($A101,'Eurostat EB TJ GWh'!$A$2:$A$146,0),MATCH(AD$3,'Eurostat EB TJ GWh'!$A$2:$BV$2,0))</f>
        <v>0</v>
      </c>
      <c r="AE101" s="17">
        <f>INDEX('Eurostat EB TJ GWh'!$A$2:$BV$146,MATCH($A101,'Eurostat EB TJ GWh'!$A$2:$A$146,0),MATCH(AE$3,'Eurostat EB TJ GWh'!$A$2:$BV$2,0))</f>
        <v>0</v>
      </c>
      <c r="AF101" s="17">
        <f>INDEX('Eurostat EB TJ GWh'!$A$2:$BV$146,MATCH($A101,'Eurostat EB TJ GWh'!$A$2:$A$146,0),MATCH(AF$3,'Eurostat EB TJ GWh'!$A$2:$BV$2,0))</f>
        <v>0</v>
      </c>
      <c r="AG101" s="17">
        <f>INDEX('Eurostat EB TJ GWh'!$A$2:$BV$146,MATCH($A101,'Eurostat EB TJ GWh'!$A$2:$A$146,0),MATCH(AG$3,'Eurostat EB TJ GWh'!$A$2:$BV$2,0))</f>
        <v>0</v>
      </c>
      <c r="AH101" s="17">
        <f>INDEX('Eurostat EB TJ GWh'!$A$2:$BV$146,MATCH($A101,'Eurostat EB TJ GWh'!$A$2:$A$146,0),MATCH(AH$3,'Eurostat EB TJ GWh'!$A$2:$BV$2,0))</f>
        <v>36.798999999999999</v>
      </c>
      <c r="AI101" s="17">
        <f>INDEX('Eurostat EB TJ GWh'!$A$2:$BV$146,MATCH($A101,'Eurostat EB TJ GWh'!$A$2:$A$146,0),MATCH(AI$3,'Eurostat EB TJ GWh'!$A$2:$BV$2,0))</f>
        <v>0</v>
      </c>
      <c r="AJ101" s="17">
        <f>INDEX('Eurostat EB TJ GWh'!$A$2:$BV$146,MATCH($A101,'Eurostat EB TJ GWh'!$A$2:$A$146,0),MATCH(AJ$3,'Eurostat EB TJ GWh'!$A$2:$BV$2,0))</f>
        <v>0</v>
      </c>
      <c r="AK101" s="17">
        <f>INDEX('Eurostat EB TJ GWh'!$A$2:$BV$146,MATCH($A101,'Eurostat EB TJ GWh'!$A$2:$A$146,0),MATCH(AK$3,'Eurostat EB TJ GWh'!$A$2:$BV$2,0))</f>
        <v>0</v>
      </c>
      <c r="AL101" s="17">
        <f>INDEX('Eurostat EB TJ GWh'!$A$2:$BV$146,MATCH($A101,'Eurostat EB TJ GWh'!$A$2:$A$146,0),MATCH(AL$3,'Eurostat EB TJ GWh'!$A$2:$BV$2,0))</f>
        <v>0</v>
      </c>
      <c r="AM101" s="17">
        <f>INDEX('Eurostat EB TJ GWh'!$A$2:$BV$146,MATCH($A101,'Eurostat EB TJ GWh'!$A$2:$A$146,0),MATCH(AM$3,'Eurostat EB TJ GWh'!$A$2:$BV$2,0))</f>
        <v>0</v>
      </c>
      <c r="AN101" s="17">
        <f>INDEX('Eurostat EB TJ GWh'!$A$2:$BV$146,MATCH($A101,'Eurostat EB TJ GWh'!$A$2:$A$146,0),MATCH(AN$3,'Eurostat EB TJ GWh'!$A$2:$BV$2,0))</f>
        <v>0</v>
      </c>
      <c r="AO101" s="17">
        <f>INDEX('Eurostat EB TJ GWh'!$A$2:$BV$146,MATCH($A101,'Eurostat EB TJ GWh'!$A$2:$A$146,0),MATCH(AO$3,'Eurostat EB TJ GWh'!$A$2:$BV$2,0))</f>
        <v>0</v>
      </c>
      <c r="AP101" s="17">
        <f>INDEX('Eurostat EB TJ GWh'!$A$2:$BV$146,MATCH($A101,'Eurostat EB TJ GWh'!$A$2:$A$146,0),MATCH(AP$3,'Eurostat EB TJ GWh'!$A$2:$BV$2,0))</f>
        <v>0</v>
      </c>
      <c r="AQ101" s="17">
        <f>INDEX('Eurostat EB TJ GWh'!$A$2:$BV$146,MATCH($A101,'Eurostat EB TJ GWh'!$A$2:$A$146,0),MATCH(AQ$3,'Eurostat EB TJ GWh'!$A$2:$BV$2,0))</f>
        <v>0</v>
      </c>
      <c r="AR101" s="17">
        <f>INDEX('Eurostat EB TJ GWh'!$A$2:$BV$146,MATCH($A101,'Eurostat EB TJ GWh'!$A$2:$A$146,0),MATCH(AR$3,'Eurostat EB TJ GWh'!$A$2:$BV$2,0))</f>
        <v>0</v>
      </c>
      <c r="AS101" s="17">
        <f>INDEX('Eurostat EB TJ GWh'!$A$2:$BV$146,MATCH($A101,'Eurostat EB TJ GWh'!$A$2:$A$146,0),MATCH(AS$3,'Eurostat EB TJ GWh'!$A$2:$BV$2,0))</f>
        <v>0</v>
      </c>
      <c r="AT101" s="17">
        <f>INDEX('Eurostat EB TJ GWh'!$A$2:$BV$146,MATCH($A101,'Eurostat EB TJ GWh'!$A$2:$A$146,0),MATCH(AT$3,'Eurostat EB TJ GWh'!$A$2:$BV$2,0))</f>
        <v>0</v>
      </c>
      <c r="AU101" s="17">
        <f>INDEX('Eurostat EB TJ GWh'!$A$2:$BV$146,MATCH($A101,'Eurostat EB TJ GWh'!$A$2:$A$146,0),MATCH(AU$3,'Eurostat EB TJ GWh'!$A$2:$BV$2,0))</f>
        <v>0</v>
      </c>
      <c r="AV101" s="17">
        <f>INDEX('Eurostat EB TJ GWh'!$A$2:$BV$146,MATCH($A101,'Eurostat EB TJ GWh'!$A$2:$A$146,0),MATCH(AV$2,'Eurostat EB TJ GWh'!$A$2:$BV$2,0))+INDEX('Eurostat EB TJ GWh'!$A$2:$BV$146,MATCH($A101,'Eurostat EB TJ GWh'!$A$2:$A$146,0),MATCH(AV$3,'Eurostat EB TJ GWh'!$A$2:$BV$2,0))</f>
        <v>0</v>
      </c>
      <c r="AW101" s="17">
        <f>INDEX('Eurostat EB TJ GWh'!$A$2:$BV$146,MATCH($A101,'Eurostat EB TJ GWh'!$A$2:$A$146,0),MATCH(AW$2,'Eurostat EB TJ GWh'!$A$2:$BV$2,0))+INDEX('Eurostat EB TJ GWh'!$A$2:$BV$146,MATCH($A101,'Eurostat EB TJ GWh'!$A$2:$A$146,0),MATCH(AW$3,'Eurostat EB TJ GWh'!$A$2:$BV$2,0))</f>
        <v>0</v>
      </c>
      <c r="AX101" s="17">
        <f>INDEX('Eurostat EB TJ GWh'!$A$2:$BV$146,MATCH($A101,'Eurostat EB TJ GWh'!$A$2:$A$146,0),MATCH(AX$3,'Eurostat EB TJ GWh'!$A$2:$BV$2,0))</f>
        <v>0</v>
      </c>
      <c r="AY101" s="72">
        <v>0</v>
      </c>
      <c r="AZ101" s="17">
        <f>INDEX('Eurostat EB TJ GWh'!$A$2:$BV$146,MATCH($A101,'Eurostat EB TJ GWh'!$A$2:$A$146,0),MATCH(AZ$3,'Eurostat EB TJ GWh'!$A$2:$BV$2,0))</f>
        <v>0</v>
      </c>
      <c r="BA101" s="72">
        <v>0</v>
      </c>
      <c r="BB101" s="72">
        <v>0</v>
      </c>
      <c r="BC101" s="17">
        <f>INDEX('Eurostat EB TJ GWh'!$A$2:$BV$146,MATCH($A101,'Eurostat EB TJ GWh'!$A$2:$A$146,0),MATCH(BC$3,'Eurostat EB TJ GWh'!$A$2:$BV$2,0))</f>
        <v>0</v>
      </c>
      <c r="BD101" s="17">
        <f>INDEX('Eurostat EB TJ GWh'!$A$2:$BV$146,MATCH($A101,'Eurostat EB TJ GWh'!$A$2:$A$146,0),MATCH(BD$3,'Eurostat EB TJ GWh'!$A$2:$BV$2,0))</f>
        <v>0</v>
      </c>
      <c r="BE101" s="17">
        <f>INDEX('Eurostat EB TJ GWh'!$A$2:$BV$146,MATCH($A101,'Eurostat EB TJ GWh'!$A$2:$A$146,0),MATCH(BE$3,'Eurostat EB TJ GWh'!$A$2:$BV$2,0))</f>
        <v>0</v>
      </c>
      <c r="BF101" s="17">
        <f>INDEX('Eurostat EB TJ GWh'!$A$2:$BV$146,MATCH($A101,'Eurostat EB TJ GWh'!$A$2:$A$146,0),MATCH(BF$3,'Eurostat EB TJ GWh'!$A$2:$BV$2,0))</f>
        <v>0</v>
      </c>
      <c r="BG101" s="17">
        <f>INDEX('Eurostat EB TJ GWh'!$A$2:$BV$146,MATCH($A101,'Eurostat EB TJ GWh'!$A$2:$A$146,0),MATCH(BG$3,'Eurostat EB TJ GWh'!$A$2:$BV$2,0))</f>
        <v>0</v>
      </c>
      <c r="BH101" s="17">
        <f>INDEX('Eurostat EB TJ GWh'!$A$2:$BV$146,MATCH($A101,'Eurostat EB TJ GWh'!$A$2:$A$146,0),MATCH(BH$3,'Eurostat EB TJ GWh'!$A$2:$BV$2,0))</f>
        <v>0</v>
      </c>
      <c r="BI101" s="17">
        <f>INDEX('Eurostat EB TJ GWh'!$A$2:$BV$146,MATCH($A101,'Eurostat EB TJ GWh'!$A$2:$A$146,0),MATCH(BI$3,'Eurostat EB TJ GWh'!$A$2:$BV$2,0))</f>
        <v>0</v>
      </c>
      <c r="BJ101" s="72">
        <v>0</v>
      </c>
      <c r="BK101" s="17">
        <f>INDEX('Eurostat EB TJ GWh'!$A$2:$BV$146,MATCH($A101,'Eurostat EB TJ GWh'!$A$2:$A$146,0),MATCH(BK$3,'Eurostat EB TJ GWh'!$A$2:$BV$2,0))</f>
        <v>3786.3719999999998</v>
      </c>
      <c r="BL101" s="17">
        <f>INDEX('Eurostat EB TJ GWh'!$A$2:$BV$146,MATCH($A101,'Eurostat EB TJ GWh'!$A$2:$A$146,0),MATCH(BL$3,'Eurostat EB TJ GWh'!$A$2:$BV$2,0))</f>
        <v>1E-3</v>
      </c>
      <c r="BM101" s="17">
        <f>INDEX('Eurostat EB TJ GWh'!$A$2:$BV$146,MATCH($A101,'Eurostat EB TJ GWh'!$A$2:$A$146,0),MATCH(BM$3,'Eurostat EB TJ GWh'!$A$2:$BV$2,0))</f>
        <v>5653.9009999999998</v>
      </c>
      <c r="BN101" s="17">
        <f>INDEX('Eurostat EB TJ GWh'!$A$2:$BV$146,MATCH($A101,'Eurostat EB TJ GWh'!$A$2:$A$146,0),MATCH(BN$3,'Eurostat EB TJ GWh'!$A$2:$BV$2,0))</f>
        <v>270.72699999999998</v>
      </c>
    </row>
    <row r="102" spans="1:66" x14ac:dyDescent="0.2">
      <c r="A102" s="56" t="s">
        <v>291</v>
      </c>
      <c r="B102" s="65" t="s">
        <v>323</v>
      </c>
      <c r="C102" s="65" t="s">
        <v>323</v>
      </c>
      <c r="D102" s="57">
        <f>INDEX('Eurostat EB TJ GWh'!$A$2:$BV$146,MATCH($A102,'Eurostat EB TJ GWh'!$A$2:$A$146,0),MATCH(D$3,'Eurostat EB TJ GWh'!$A$2:$BV$2,0))</f>
        <v>0</v>
      </c>
      <c r="E102" s="57">
        <f>INDEX('Eurostat EB TJ GWh'!$A$2:$BV$146,MATCH($A102,'Eurostat EB TJ GWh'!$A$2:$A$146,0),MATCH(E$3,'Eurostat EB TJ GWh'!$A$2:$BV$2,0))</f>
        <v>12.941000000000001</v>
      </c>
      <c r="F102" s="57">
        <f>INDEX('Eurostat EB TJ GWh'!$A$2:$BV$146,MATCH($A102,'Eurostat EB TJ GWh'!$A$2:$A$146,0),MATCH(F$3,'Eurostat EB TJ GWh'!$A$2:$BV$2,0))</f>
        <v>0</v>
      </c>
      <c r="G102" s="57">
        <f>INDEX('Eurostat EB TJ GWh'!$A$2:$BV$146,MATCH($A102,'Eurostat EB TJ GWh'!$A$2:$A$146,0),MATCH(G$3,'Eurostat EB TJ GWh'!$A$2:$BV$2,0))</f>
        <v>0</v>
      </c>
      <c r="H102" s="57">
        <f>INDEX('Eurostat EB TJ GWh'!$A$2:$BV$146,MATCH($A102,'Eurostat EB TJ GWh'!$A$2:$A$146,0),MATCH(H$3,'Eurostat EB TJ GWh'!$A$2:$BV$2,0))</f>
        <v>0</v>
      </c>
      <c r="I102" s="57">
        <f>INDEX('Eurostat EB TJ GWh'!$A$2:$BV$146,MATCH($A102,'Eurostat EB TJ GWh'!$A$2:$A$146,0),MATCH(I$3,'Eurostat EB TJ GWh'!$A$2:$BV$2,0))</f>
        <v>0</v>
      </c>
      <c r="J102" s="57">
        <f>INDEX('Eurostat EB TJ GWh'!$A$2:$BV$146,MATCH($A102,'Eurostat EB TJ GWh'!$A$2:$A$146,0),MATCH(J$3,'Eurostat EB TJ GWh'!$A$2:$BV$2,0))</f>
        <v>721.649</v>
      </c>
      <c r="K102" s="57">
        <f>INDEX('Eurostat EB TJ GWh'!$A$2:$BV$146,MATCH($A102,'Eurostat EB TJ GWh'!$A$2:$A$146,0),MATCH(K$3,'Eurostat EB TJ GWh'!$A$2:$BV$2,0))</f>
        <v>0</v>
      </c>
      <c r="L102" s="57">
        <f>INDEX('Eurostat EB TJ GWh'!$A$2:$BV$146,MATCH($A102,'Eurostat EB TJ GWh'!$A$2:$A$146,0),MATCH(L$3,'Eurostat EB TJ GWh'!$A$2:$BV$2,0))</f>
        <v>0</v>
      </c>
      <c r="M102" s="57">
        <f>INDEX('Eurostat EB TJ GWh'!$A$2:$BV$146,MATCH($A102,'Eurostat EB TJ GWh'!$A$2:$A$146,0),MATCH(M$3,'Eurostat EB TJ GWh'!$A$2:$BV$2,0))</f>
        <v>0</v>
      </c>
      <c r="N102" s="57">
        <f>INDEX('Eurostat EB TJ GWh'!$A$2:$BV$146,MATCH($A102,'Eurostat EB TJ GWh'!$A$2:$A$146,0),MATCH(N$3,'Eurostat EB TJ GWh'!$A$2:$BV$2,0))</f>
        <v>0</v>
      </c>
      <c r="O102" s="57">
        <f>INDEX('Eurostat EB TJ GWh'!$A$2:$BV$146,MATCH($A102,'Eurostat EB TJ GWh'!$A$2:$A$146,0),MATCH(O$3,'Eurostat EB TJ GWh'!$A$2:$BV$2,0))</f>
        <v>0</v>
      </c>
      <c r="P102" s="57">
        <f>INDEX('Eurostat EB TJ GWh'!$A$2:$BV$146,MATCH($A102,'Eurostat EB TJ GWh'!$A$2:$A$146,0),MATCH(P$3,'Eurostat EB TJ GWh'!$A$2:$BV$2,0))</f>
        <v>0</v>
      </c>
      <c r="Q102" s="57">
        <f>INDEX('Eurostat EB TJ GWh'!$A$2:$BV$146,MATCH($A102,'Eurostat EB TJ GWh'!$A$2:$A$146,0),MATCH(Q$3,'Eurostat EB TJ GWh'!$A$2:$BV$2,0))</f>
        <v>0</v>
      </c>
      <c r="R102" s="57">
        <f>INDEX('Eurostat EB TJ GWh'!$A$2:$BV$146,MATCH($A102,'Eurostat EB TJ GWh'!$A$2:$A$146,0),MATCH(R$2,'Eurostat EB TJ GWh'!$A$2:$BV$2,0))+INDEX('Eurostat EB TJ GWh'!$A$2:$BV$146,MATCH($A102,'Eurostat EB TJ GWh'!$A$2:$A$146,0),MATCH(R$3,'Eurostat EB TJ GWh'!$A$2:$BV$2,0))</f>
        <v>0</v>
      </c>
      <c r="S102" s="57">
        <f>INDEX('Eurostat EB TJ GWh'!$A$2:$BV$146,MATCH($A102,'Eurostat EB TJ GWh'!$A$2:$A$146,0),MATCH(S$3,'Eurostat EB TJ GWh'!$A$2:$BV$2,0))</f>
        <v>16545.536</v>
      </c>
      <c r="T102" s="65" t="s">
        <v>323</v>
      </c>
      <c r="U102" s="57">
        <f>INDEX('Eurostat EB TJ GWh'!$A$2:$BV$146,MATCH($A102,'Eurostat EB TJ GWh'!$A$2:$A$146,0),MATCH(U$3,'Eurostat EB TJ GWh'!$A$2:$BV$2,0))</f>
        <v>0</v>
      </c>
      <c r="V102" s="57">
        <f>INDEX('Eurostat EB TJ GWh'!$A$2:$BV$146,MATCH($A102,'Eurostat EB TJ GWh'!$A$2:$A$146,0),MATCH(V$3,'Eurostat EB TJ GWh'!$A$2:$BV$2,0))</f>
        <v>0</v>
      </c>
      <c r="W102" s="57">
        <f>INDEX('Eurostat EB TJ GWh'!$A$2:$BV$146,MATCH($A102,'Eurostat EB TJ GWh'!$A$2:$A$146,0),MATCH(W$3,'Eurostat EB TJ GWh'!$A$2:$BV$2,0))</f>
        <v>0</v>
      </c>
      <c r="X102" s="57">
        <f>INDEX('Eurostat EB TJ GWh'!$A$2:$BV$146,MATCH($A102,'Eurostat EB TJ GWh'!$A$2:$A$146,0),MATCH(X$3,'Eurostat EB TJ GWh'!$A$2:$BV$2,0))</f>
        <v>0</v>
      </c>
      <c r="Y102" s="57">
        <f>INDEX('Eurostat EB TJ GWh'!$A$2:$BV$146,MATCH($A102,'Eurostat EB TJ GWh'!$A$2:$A$146,0),MATCH(Y$3,'Eurostat EB TJ GWh'!$A$2:$BV$2,0))</f>
        <v>0</v>
      </c>
      <c r="Z102" s="57">
        <f>INDEX('Eurostat EB TJ GWh'!$A$2:$BV$146,MATCH($A102,'Eurostat EB TJ GWh'!$A$2:$A$146,0),MATCH(Z$3,'Eurostat EB TJ GWh'!$A$2:$BV$2,0))</f>
        <v>0</v>
      </c>
      <c r="AA102" s="57">
        <f>INDEX('Eurostat EB TJ GWh'!$A$2:$BV$146,MATCH($A102,'Eurostat EB TJ GWh'!$A$2:$A$146,0),MATCH(AA$3,'Eurostat EB TJ GWh'!$A$2:$BV$2,0))</f>
        <v>0</v>
      </c>
      <c r="AB102" s="57">
        <f>INDEX('Eurostat EB TJ GWh'!$A$2:$BV$146,MATCH($A102,'Eurostat EB TJ GWh'!$A$2:$A$146,0),MATCH(AB$3,'Eurostat EB TJ GWh'!$A$2:$BV$2,0))</f>
        <v>31.274000000000001</v>
      </c>
      <c r="AC102" s="57">
        <f>INDEX('Eurostat EB TJ GWh'!$A$2:$BV$146,MATCH($A102,'Eurostat EB TJ GWh'!$A$2:$A$146,0),MATCH(AC$3,'Eurostat EB TJ GWh'!$A$2:$BV$2,0))</f>
        <v>0</v>
      </c>
      <c r="AD102" s="57">
        <f>INDEX('Eurostat EB TJ GWh'!$A$2:$BV$146,MATCH($A102,'Eurostat EB TJ GWh'!$A$2:$A$146,0),MATCH(AD$3,'Eurostat EB TJ GWh'!$A$2:$BV$2,0))</f>
        <v>0</v>
      </c>
      <c r="AE102" s="57">
        <f>INDEX('Eurostat EB TJ GWh'!$A$2:$BV$146,MATCH($A102,'Eurostat EB TJ GWh'!$A$2:$A$146,0),MATCH(AE$3,'Eurostat EB TJ GWh'!$A$2:$BV$2,0))</f>
        <v>0</v>
      </c>
      <c r="AF102" s="57">
        <f>INDEX('Eurostat EB TJ GWh'!$A$2:$BV$146,MATCH($A102,'Eurostat EB TJ GWh'!$A$2:$A$146,0),MATCH(AF$3,'Eurostat EB TJ GWh'!$A$2:$BV$2,0))</f>
        <v>0</v>
      </c>
      <c r="AG102" s="57">
        <f>INDEX('Eurostat EB TJ GWh'!$A$2:$BV$146,MATCH($A102,'Eurostat EB TJ GWh'!$A$2:$A$146,0),MATCH(AG$3,'Eurostat EB TJ GWh'!$A$2:$BV$2,0))</f>
        <v>0.129</v>
      </c>
      <c r="AH102" s="57">
        <f>INDEX('Eurostat EB TJ GWh'!$A$2:$BV$146,MATCH($A102,'Eurostat EB TJ GWh'!$A$2:$A$146,0),MATCH(AH$3,'Eurostat EB TJ GWh'!$A$2:$BV$2,0))</f>
        <v>76.832999999999998</v>
      </c>
      <c r="AI102" s="57">
        <f>INDEX('Eurostat EB TJ GWh'!$A$2:$BV$146,MATCH($A102,'Eurostat EB TJ GWh'!$A$2:$A$146,0),MATCH(AI$3,'Eurostat EB TJ GWh'!$A$2:$BV$2,0))</f>
        <v>0</v>
      </c>
      <c r="AJ102" s="57">
        <f>INDEX('Eurostat EB TJ GWh'!$A$2:$BV$146,MATCH($A102,'Eurostat EB TJ GWh'!$A$2:$A$146,0),MATCH(AJ$3,'Eurostat EB TJ GWh'!$A$2:$BV$2,0))</f>
        <v>0</v>
      </c>
      <c r="AK102" s="57">
        <f>INDEX('Eurostat EB TJ GWh'!$A$2:$BV$146,MATCH($A102,'Eurostat EB TJ GWh'!$A$2:$A$146,0),MATCH(AK$3,'Eurostat EB TJ GWh'!$A$2:$BV$2,0))</f>
        <v>0</v>
      </c>
      <c r="AL102" s="57">
        <f>INDEX('Eurostat EB TJ GWh'!$A$2:$BV$146,MATCH($A102,'Eurostat EB TJ GWh'!$A$2:$A$146,0),MATCH(AL$3,'Eurostat EB TJ GWh'!$A$2:$BV$2,0))</f>
        <v>0</v>
      </c>
      <c r="AM102" s="57">
        <f>INDEX('Eurostat EB TJ GWh'!$A$2:$BV$146,MATCH($A102,'Eurostat EB TJ GWh'!$A$2:$A$146,0),MATCH(AM$3,'Eurostat EB TJ GWh'!$A$2:$BV$2,0))</f>
        <v>0</v>
      </c>
      <c r="AN102" s="57">
        <f>INDEX('Eurostat EB TJ GWh'!$A$2:$BV$146,MATCH($A102,'Eurostat EB TJ GWh'!$A$2:$A$146,0),MATCH(AN$3,'Eurostat EB TJ GWh'!$A$2:$BV$2,0))</f>
        <v>0</v>
      </c>
      <c r="AO102" s="57">
        <f>INDEX('Eurostat EB TJ GWh'!$A$2:$BV$146,MATCH($A102,'Eurostat EB TJ GWh'!$A$2:$A$146,0),MATCH(AO$3,'Eurostat EB TJ GWh'!$A$2:$BV$2,0))</f>
        <v>0</v>
      </c>
      <c r="AP102" s="57">
        <f>INDEX('Eurostat EB TJ GWh'!$A$2:$BV$146,MATCH($A102,'Eurostat EB TJ GWh'!$A$2:$A$146,0),MATCH(AP$3,'Eurostat EB TJ GWh'!$A$2:$BV$2,0))</f>
        <v>9.5000000000000001E-2</v>
      </c>
      <c r="AQ102" s="57">
        <f>INDEX('Eurostat EB TJ GWh'!$A$2:$BV$146,MATCH($A102,'Eurostat EB TJ GWh'!$A$2:$A$146,0),MATCH(AQ$3,'Eurostat EB TJ GWh'!$A$2:$BV$2,0))</f>
        <v>0</v>
      </c>
      <c r="AR102" s="57">
        <f>INDEX('Eurostat EB TJ GWh'!$A$2:$BV$146,MATCH($A102,'Eurostat EB TJ GWh'!$A$2:$A$146,0),MATCH(AR$3,'Eurostat EB TJ GWh'!$A$2:$BV$2,0))</f>
        <v>0</v>
      </c>
      <c r="AS102" s="57">
        <f>INDEX('Eurostat EB TJ GWh'!$A$2:$BV$146,MATCH($A102,'Eurostat EB TJ GWh'!$A$2:$A$146,0),MATCH(AS$3,'Eurostat EB TJ GWh'!$A$2:$BV$2,0))</f>
        <v>0</v>
      </c>
      <c r="AT102" s="57">
        <f>INDEX('Eurostat EB TJ GWh'!$A$2:$BV$146,MATCH($A102,'Eurostat EB TJ GWh'!$A$2:$A$146,0),MATCH(AT$3,'Eurostat EB TJ GWh'!$A$2:$BV$2,0))</f>
        <v>0</v>
      </c>
      <c r="AU102" s="57">
        <f>INDEX('Eurostat EB TJ GWh'!$A$2:$BV$146,MATCH($A102,'Eurostat EB TJ GWh'!$A$2:$A$146,0),MATCH(AU$3,'Eurostat EB TJ GWh'!$A$2:$BV$2,0))</f>
        <v>0</v>
      </c>
      <c r="AV102" s="57">
        <f>INDEX('Eurostat EB TJ GWh'!$A$2:$BV$146,MATCH($A102,'Eurostat EB TJ GWh'!$A$2:$A$146,0),MATCH(AV$2,'Eurostat EB TJ GWh'!$A$2:$BV$2,0))+INDEX('Eurostat EB TJ GWh'!$A$2:$BV$146,MATCH($A102,'Eurostat EB TJ GWh'!$A$2:$A$146,0),MATCH(AV$3,'Eurostat EB TJ GWh'!$A$2:$BV$2,0))</f>
        <v>0</v>
      </c>
      <c r="AW102" s="57">
        <f>INDEX('Eurostat EB TJ GWh'!$A$2:$BV$146,MATCH($A102,'Eurostat EB TJ GWh'!$A$2:$A$146,0),MATCH(AW$2,'Eurostat EB TJ GWh'!$A$2:$BV$2,0))+INDEX('Eurostat EB TJ GWh'!$A$2:$BV$146,MATCH($A102,'Eurostat EB TJ GWh'!$A$2:$A$146,0),MATCH(AW$3,'Eurostat EB TJ GWh'!$A$2:$BV$2,0))</f>
        <v>0</v>
      </c>
      <c r="AX102" s="57">
        <f>INDEX('Eurostat EB TJ GWh'!$A$2:$BV$146,MATCH($A102,'Eurostat EB TJ GWh'!$A$2:$A$146,0),MATCH(AX$3,'Eurostat EB TJ GWh'!$A$2:$BV$2,0))</f>
        <v>0</v>
      </c>
      <c r="AY102" s="65">
        <v>0</v>
      </c>
      <c r="AZ102" s="57">
        <f>INDEX('Eurostat EB TJ GWh'!$A$2:$BV$146,MATCH($A102,'Eurostat EB TJ GWh'!$A$2:$A$146,0),MATCH(AZ$3,'Eurostat EB TJ GWh'!$A$2:$BV$2,0))</f>
        <v>0</v>
      </c>
      <c r="BA102" s="65">
        <v>0</v>
      </c>
      <c r="BB102" s="65">
        <v>0</v>
      </c>
      <c r="BC102" s="57">
        <f>INDEX('Eurostat EB TJ GWh'!$A$2:$BV$146,MATCH($A102,'Eurostat EB TJ GWh'!$A$2:$A$146,0),MATCH(BC$3,'Eurostat EB TJ GWh'!$A$2:$BV$2,0))</f>
        <v>0</v>
      </c>
      <c r="BD102" s="57">
        <f>INDEX('Eurostat EB TJ GWh'!$A$2:$BV$146,MATCH($A102,'Eurostat EB TJ GWh'!$A$2:$A$146,0),MATCH(BD$3,'Eurostat EB TJ GWh'!$A$2:$BV$2,0))</f>
        <v>0</v>
      </c>
      <c r="BE102" s="57">
        <f>INDEX('Eurostat EB TJ GWh'!$A$2:$BV$146,MATCH($A102,'Eurostat EB TJ GWh'!$A$2:$A$146,0),MATCH(BE$3,'Eurostat EB TJ GWh'!$A$2:$BV$2,0))</f>
        <v>0</v>
      </c>
      <c r="BF102" s="57">
        <f>INDEX('Eurostat EB TJ GWh'!$A$2:$BV$146,MATCH($A102,'Eurostat EB TJ GWh'!$A$2:$A$146,0),MATCH(BF$3,'Eurostat EB TJ GWh'!$A$2:$BV$2,0))</f>
        <v>0</v>
      </c>
      <c r="BG102" s="57">
        <f>INDEX('Eurostat EB TJ GWh'!$A$2:$BV$146,MATCH($A102,'Eurostat EB TJ GWh'!$A$2:$A$146,0),MATCH(BG$3,'Eurostat EB TJ GWh'!$A$2:$BV$2,0))</f>
        <v>0</v>
      </c>
      <c r="BH102" s="57">
        <f>INDEX('Eurostat EB TJ GWh'!$A$2:$BV$146,MATCH($A102,'Eurostat EB TJ GWh'!$A$2:$A$146,0),MATCH(BH$3,'Eurostat EB TJ GWh'!$A$2:$BV$2,0))</f>
        <v>0</v>
      </c>
      <c r="BI102" s="57">
        <f>INDEX('Eurostat EB TJ GWh'!$A$2:$BV$146,MATCH($A102,'Eurostat EB TJ GWh'!$A$2:$A$146,0),MATCH(BI$3,'Eurostat EB TJ GWh'!$A$2:$BV$2,0))</f>
        <v>0</v>
      </c>
      <c r="BJ102" s="65">
        <v>0</v>
      </c>
      <c r="BK102" s="57">
        <f>INDEX('Eurostat EB TJ GWh'!$A$2:$BV$146,MATCH($A102,'Eurostat EB TJ GWh'!$A$2:$A$146,0),MATCH(BK$3,'Eurostat EB TJ GWh'!$A$2:$BV$2,0))</f>
        <v>3897.1660000000002</v>
      </c>
      <c r="BL102" s="57">
        <f>INDEX('Eurostat EB TJ GWh'!$A$2:$BV$146,MATCH($A102,'Eurostat EB TJ GWh'!$A$2:$A$146,0),MATCH(BL$3,'Eurostat EB TJ GWh'!$A$2:$BV$2,0))</f>
        <v>0.39800000000000002</v>
      </c>
      <c r="BM102" s="57">
        <f>INDEX('Eurostat EB TJ GWh'!$A$2:$BV$146,MATCH($A102,'Eurostat EB TJ GWh'!$A$2:$A$146,0),MATCH(BM$3,'Eurostat EB TJ GWh'!$A$2:$BV$2,0))</f>
        <v>21286.021000000001</v>
      </c>
      <c r="BN102" s="57">
        <f>INDEX('Eurostat EB TJ GWh'!$A$2:$BV$146,MATCH($A102,'Eurostat EB TJ GWh'!$A$2:$A$146,0),MATCH(BN$3,'Eurostat EB TJ GWh'!$A$2:$BV$2,0))</f>
        <v>429.012</v>
      </c>
    </row>
    <row r="103" spans="1:66" x14ac:dyDescent="0.2">
      <c r="A103" s="56" t="s">
        <v>292</v>
      </c>
      <c r="B103" s="65" t="s">
        <v>323</v>
      </c>
      <c r="C103" s="65" t="s">
        <v>323</v>
      </c>
      <c r="D103" s="17">
        <f>INDEX('Eurostat EB TJ GWh'!$A$2:$BV$146,MATCH($A103,'Eurostat EB TJ GWh'!$A$2:$A$146,0),MATCH(D$3,'Eurostat EB TJ GWh'!$A$2:$BV$2,0))</f>
        <v>0</v>
      </c>
      <c r="E103" s="17">
        <f>INDEX('Eurostat EB TJ GWh'!$A$2:$BV$146,MATCH($A103,'Eurostat EB TJ GWh'!$A$2:$A$146,0),MATCH(E$3,'Eurostat EB TJ GWh'!$A$2:$BV$2,0))</f>
        <v>0</v>
      </c>
      <c r="F103" s="17">
        <f>INDEX('Eurostat EB TJ GWh'!$A$2:$BV$146,MATCH($A103,'Eurostat EB TJ GWh'!$A$2:$A$146,0),MATCH(F$3,'Eurostat EB TJ GWh'!$A$2:$BV$2,0))</f>
        <v>0</v>
      </c>
      <c r="G103" s="17">
        <f>INDEX('Eurostat EB TJ GWh'!$A$2:$BV$146,MATCH($A103,'Eurostat EB TJ GWh'!$A$2:$A$146,0),MATCH(G$3,'Eurostat EB TJ GWh'!$A$2:$BV$2,0))</f>
        <v>0</v>
      </c>
      <c r="H103" s="17">
        <f>INDEX('Eurostat EB TJ GWh'!$A$2:$BV$146,MATCH($A103,'Eurostat EB TJ GWh'!$A$2:$A$146,0),MATCH(H$3,'Eurostat EB TJ GWh'!$A$2:$BV$2,0))</f>
        <v>0</v>
      </c>
      <c r="I103" s="17">
        <f>INDEX('Eurostat EB TJ GWh'!$A$2:$BV$146,MATCH($A103,'Eurostat EB TJ GWh'!$A$2:$A$146,0),MATCH(I$3,'Eurostat EB TJ GWh'!$A$2:$BV$2,0))</f>
        <v>0</v>
      </c>
      <c r="J103" s="17">
        <f>INDEX('Eurostat EB TJ GWh'!$A$2:$BV$146,MATCH($A103,'Eurostat EB TJ GWh'!$A$2:$A$146,0),MATCH(J$3,'Eurostat EB TJ GWh'!$A$2:$BV$2,0))</f>
        <v>0</v>
      </c>
      <c r="K103" s="17">
        <f>INDEX('Eurostat EB TJ GWh'!$A$2:$BV$146,MATCH($A103,'Eurostat EB TJ GWh'!$A$2:$A$146,0),MATCH(K$3,'Eurostat EB TJ GWh'!$A$2:$BV$2,0))</f>
        <v>0</v>
      </c>
      <c r="L103" s="17">
        <f>INDEX('Eurostat EB TJ GWh'!$A$2:$BV$146,MATCH($A103,'Eurostat EB TJ GWh'!$A$2:$A$146,0),MATCH(L$3,'Eurostat EB TJ GWh'!$A$2:$BV$2,0))</f>
        <v>0</v>
      </c>
      <c r="M103" s="17">
        <f>INDEX('Eurostat EB TJ GWh'!$A$2:$BV$146,MATCH($A103,'Eurostat EB TJ GWh'!$A$2:$A$146,0),MATCH(M$3,'Eurostat EB TJ GWh'!$A$2:$BV$2,0))</f>
        <v>0</v>
      </c>
      <c r="N103" s="17">
        <f>INDEX('Eurostat EB TJ GWh'!$A$2:$BV$146,MATCH($A103,'Eurostat EB TJ GWh'!$A$2:$A$146,0),MATCH(N$3,'Eurostat EB TJ GWh'!$A$2:$BV$2,0))</f>
        <v>0</v>
      </c>
      <c r="O103" s="17">
        <f>INDEX('Eurostat EB TJ GWh'!$A$2:$BV$146,MATCH($A103,'Eurostat EB TJ GWh'!$A$2:$A$146,0),MATCH(O$3,'Eurostat EB TJ GWh'!$A$2:$BV$2,0))</f>
        <v>0</v>
      </c>
      <c r="P103" s="17">
        <f>INDEX('Eurostat EB TJ GWh'!$A$2:$BV$146,MATCH($A103,'Eurostat EB TJ GWh'!$A$2:$A$146,0),MATCH(P$3,'Eurostat EB TJ GWh'!$A$2:$BV$2,0))</f>
        <v>0</v>
      </c>
      <c r="Q103" s="17">
        <f>INDEX('Eurostat EB TJ GWh'!$A$2:$BV$146,MATCH($A103,'Eurostat EB TJ GWh'!$A$2:$A$146,0),MATCH(Q$3,'Eurostat EB TJ GWh'!$A$2:$BV$2,0))</f>
        <v>0</v>
      </c>
      <c r="R103" s="17">
        <f>INDEX('Eurostat EB TJ GWh'!$A$2:$BV$146,MATCH($A103,'Eurostat EB TJ GWh'!$A$2:$A$146,0),MATCH(R$2,'Eurostat EB TJ GWh'!$A$2:$BV$2,0))+INDEX('Eurostat EB TJ GWh'!$A$2:$BV$146,MATCH($A103,'Eurostat EB TJ GWh'!$A$2:$A$146,0),MATCH(R$3,'Eurostat EB TJ GWh'!$A$2:$BV$2,0))</f>
        <v>0</v>
      </c>
      <c r="S103" s="17">
        <f>INDEX('Eurostat EB TJ GWh'!$A$2:$BV$146,MATCH($A103,'Eurostat EB TJ GWh'!$A$2:$A$146,0),MATCH(S$3,'Eurostat EB TJ GWh'!$A$2:$BV$2,0))</f>
        <v>1493.05</v>
      </c>
      <c r="T103" s="65" t="s">
        <v>323</v>
      </c>
      <c r="U103" s="17">
        <f>INDEX('Eurostat EB TJ GWh'!$A$2:$BV$146,MATCH($A103,'Eurostat EB TJ GWh'!$A$2:$A$146,0),MATCH(U$3,'Eurostat EB TJ GWh'!$A$2:$BV$2,0))</f>
        <v>0</v>
      </c>
      <c r="V103" s="17">
        <f>INDEX('Eurostat EB TJ GWh'!$A$2:$BV$146,MATCH($A103,'Eurostat EB TJ GWh'!$A$2:$A$146,0),MATCH(V$3,'Eurostat EB TJ GWh'!$A$2:$BV$2,0))</f>
        <v>0</v>
      </c>
      <c r="W103" s="17">
        <f>INDEX('Eurostat EB TJ GWh'!$A$2:$BV$146,MATCH($A103,'Eurostat EB TJ GWh'!$A$2:$A$146,0),MATCH(W$3,'Eurostat EB TJ GWh'!$A$2:$BV$2,0))</f>
        <v>0</v>
      </c>
      <c r="X103" s="17">
        <f>INDEX('Eurostat EB TJ GWh'!$A$2:$BV$146,MATCH($A103,'Eurostat EB TJ GWh'!$A$2:$A$146,0),MATCH(X$3,'Eurostat EB TJ GWh'!$A$2:$BV$2,0))</f>
        <v>0</v>
      </c>
      <c r="Y103" s="17">
        <f>INDEX('Eurostat EB TJ GWh'!$A$2:$BV$146,MATCH($A103,'Eurostat EB TJ GWh'!$A$2:$A$146,0),MATCH(Y$3,'Eurostat EB TJ GWh'!$A$2:$BV$2,0))</f>
        <v>0</v>
      </c>
      <c r="Z103" s="17">
        <f>INDEX('Eurostat EB TJ GWh'!$A$2:$BV$146,MATCH($A103,'Eurostat EB TJ GWh'!$A$2:$A$146,0),MATCH(Z$3,'Eurostat EB TJ GWh'!$A$2:$BV$2,0))</f>
        <v>0</v>
      </c>
      <c r="AA103" s="17">
        <f>INDEX('Eurostat EB TJ GWh'!$A$2:$BV$146,MATCH($A103,'Eurostat EB TJ GWh'!$A$2:$A$146,0),MATCH(AA$3,'Eurostat EB TJ GWh'!$A$2:$BV$2,0))</f>
        <v>0</v>
      </c>
      <c r="AB103" s="17">
        <f>INDEX('Eurostat EB TJ GWh'!$A$2:$BV$146,MATCH($A103,'Eurostat EB TJ GWh'!$A$2:$A$146,0),MATCH(AB$3,'Eurostat EB TJ GWh'!$A$2:$BV$2,0))</f>
        <v>18.71</v>
      </c>
      <c r="AC103" s="17">
        <f>INDEX('Eurostat EB TJ GWh'!$A$2:$BV$146,MATCH($A103,'Eurostat EB TJ GWh'!$A$2:$A$146,0),MATCH(AC$3,'Eurostat EB TJ GWh'!$A$2:$BV$2,0))</f>
        <v>0</v>
      </c>
      <c r="AD103" s="17">
        <f>INDEX('Eurostat EB TJ GWh'!$A$2:$BV$146,MATCH($A103,'Eurostat EB TJ GWh'!$A$2:$A$146,0),MATCH(AD$3,'Eurostat EB TJ GWh'!$A$2:$BV$2,0))</f>
        <v>0</v>
      </c>
      <c r="AE103" s="17">
        <f>INDEX('Eurostat EB TJ GWh'!$A$2:$BV$146,MATCH($A103,'Eurostat EB TJ GWh'!$A$2:$A$146,0),MATCH(AE$3,'Eurostat EB TJ GWh'!$A$2:$BV$2,0))</f>
        <v>0</v>
      </c>
      <c r="AF103" s="17">
        <f>INDEX('Eurostat EB TJ GWh'!$A$2:$BV$146,MATCH($A103,'Eurostat EB TJ GWh'!$A$2:$A$146,0),MATCH(AF$3,'Eurostat EB TJ GWh'!$A$2:$BV$2,0))</f>
        <v>0</v>
      </c>
      <c r="AG103" s="17">
        <f>INDEX('Eurostat EB TJ GWh'!$A$2:$BV$146,MATCH($A103,'Eurostat EB TJ GWh'!$A$2:$A$146,0),MATCH(AG$3,'Eurostat EB TJ GWh'!$A$2:$BV$2,0))</f>
        <v>0</v>
      </c>
      <c r="AH103" s="17">
        <f>INDEX('Eurostat EB TJ GWh'!$A$2:$BV$146,MATCH($A103,'Eurostat EB TJ GWh'!$A$2:$A$146,0),MATCH(AH$3,'Eurostat EB TJ GWh'!$A$2:$BV$2,0))</f>
        <v>0.17299999999999999</v>
      </c>
      <c r="AI103" s="17">
        <f>INDEX('Eurostat EB TJ GWh'!$A$2:$BV$146,MATCH($A103,'Eurostat EB TJ GWh'!$A$2:$A$146,0),MATCH(AI$3,'Eurostat EB TJ GWh'!$A$2:$BV$2,0))</f>
        <v>0</v>
      </c>
      <c r="AJ103" s="17">
        <f>INDEX('Eurostat EB TJ GWh'!$A$2:$BV$146,MATCH($A103,'Eurostat EB TJ GWh'!$A$2:$A$146,0),MATCH(AJ$3,'Eurostat EB TJ GWh'!$A$2:$BV$2,0))</f>
        <v>0</v>
      </c>
      <c r="AK103" s="17">
        <f>INDEX('Eurostat EB TJ GWh'!$A$2:$BV$146,MATCH($A103,'Eurostat EB TJ GWh'!$A$2:$A$146,0),MATCH(AK$3,'Eurostat EB TJ GWh'!$A$2:$BV$2,0))</f>
        <v>0</v>
      </c>
      <c r="AL103" s="17">
        <f>INDEX('Eurostat EB TJ GWh'!$A$2:$BV$146,MATCH($A103,'Eurostat EB TJ GWh'!$A$2:$A$146,0),MATCH(AL$3,'Eurostat EB TJ GWh'!$A$2:$BV$2,0))</f>
        <v>0</v>
      </c>
      <c r="AM103" s="17">
        <f>INDEX('Eurostat EB TJ GWh'!$A$2:$BV$146,MATCH($A103,'Eurostat EB TJ GWh'!$A$2:$A$146,0),MATCH(AM$3,'Eurostat EB TJ GWh'!$A$2:$BV$2,0))</f>
        <v>0</v>
      </c>
      <c r="AN103" s="17">
        <f>INDEX('Eurostat EB TJ GWh'!$A$2:$BV$146,MATCH($A103,'Eurostat EB TJ GWh'!$A$2:$A$146,0),MATCH(AN$3,'Eurostat EB TJ GWh'!$A$2:$BV$2,0))</f>
        <v>0</v>
      </c>
      <c r="AO103" s="17">
        <f>INDEX('Eurostat EB TJ GWh'!$A$2:$BV$146,MATCH($A103,'Eurostat EB TJ GWh'!$A$2:$A$146,0),MATCH(AO$3,'Eurostat EB TJ GWh'!$A$2:$BV$2,0))</f>
        <v>0</v>
      </c>
      <c r="AP103" s="17">
        <f>INDEX('Eurostat EB TJ GWh'!$A$2:$BV$146,MATCH($A103,'Eurostat EB TJ GWh'!$A$2:$A$146,0),MATCH(AP$3,'Eurostat EB TJ GWh'!$A$2:$BV$2,0))</f>
        <v>0</v>
      </c>
      <c r="AQ103" s="17">
        <f>INDEX('Eurostat EB TJ GWh'!$A$2:$BV$146,MATCH($A103,'Eurostat EB TJ GWh'!$A$2:$A$146,0),MATCH(AQ$3,'Eurostat EB TJ GWh'!$A$2:$BV$2,0))</f>
        <v>0</v>
      </c>
      <c r="AR103" s="17">
        <f>INDEX('Eurostat EB TJ GWh'!$A$2:$BV$146,MATCH($A103,'Eurostat EB TJ GWh'!$A$2:$A$146,0),MATCH(AR$3,'Eurostat EB TJ GWh'!$A$2:$BV$2,0))</f>
        <v>0</v>
      </c>
      <c r="AS103" s="17">
        <f>INDEX('Eurostat EB TJ GWh'!$A$2:$BV$146,MATCH($A103,'Eurostat EB TJ GWh'!$A$2:$A$146,0),MATCH(AS$3,'Eurostat EB TJ GWh'!$A$2:$BV$2,0))</f>
        <v>0</v>
      </c>
      <c r="AT103" s="17">
        <f>INDEX('Eurostat EB TJ GWh'!$A$2:$BV$146,MATCH($A103,'Eurostat EB TJ GWh'!$A$2:$A$146,0),MATCH(AT$3,'Eurostat EB TJ GWh'!$A$2:$BV$2,0))</f>
        <v>0</v>
      </c>
      <c r="AU103" s="17">
        <f>INDEX('Eurostat EB TJ GWh'!$A$2:$BV$146,MATCH($A103,'Eurostat EB TJ GWh'!$A$2:$A$146,0),MATCH(AU$3,'Eurostat EB TJ GWh'!$A$2:$BV$2,0))</f>
        <v>0</v>
      </c>
      <c r="AV103" s="17">
        <f>INDEX('Eurostat EB TJ GWh'!$A$2:$BV$146,MATCH($A103,'Eurostat EB TJ GWh'!$A$2:$A$146,0),MATCH(AV$2,'Eurostat EB TJ GWh'!$A$2:$BV$2,0))+INDEX('Eurostat EB TJ GWh'!$A$2:$BV$146,MATCH($A103,'Eurostat EB TJ GWh'!$A$2:$A$146,0),MATCH(AV$3,'Eurostat EB TJ GWh'!$A$2:$BV$2,0))</f>
        <v>0</v>
      </c>
      <c r="AW103" s="17">
        <f>INDEX('Eurostat EB TJ GWh'!$A$2:$BV$146,MATCH($A103,'Eurostat EB TJ GWh'!$A$2:$A$146,0),MATCH(AW$2,'Eurostat EB TJ GWh'!$A$2:$BV$2,0))+INDEX('Eurostat EB TJ GWh'!$A$2:$BV$146,MATCH($A103,'Eurostat EB TJ GWh'!$A$2:$A$146,0),MATCH(AW$3,'Eurostat EB TJ GWh'!$A$2:$BV$2,0))</f>
        <v>0</v>
      </c>
      <c r="AX103" s="17">
        <f>INDEX('Eurostat EB TJ GWh'!$A$2:$BV$146,MATCH($A103,'Eurostat EB TJ GWh'!$A$2:$A$146,0),MATCH(AX$3,'Eurostat EB TJ GWh'!$A$2:$BV$2,0))</f>
        <v>0</v>
      </c>
      <c r="AY103" s="72">
        <v>0</v>
      </c>
      <c r="AZ103" s="17">
        <f>INDEX('Eurostat EB TJ GWh'!$A$2:$BV$146,MATCH($A103,'Eurostat EB TJ GWh'!$A$2:$A$146,0),MATCH(AZ$3,'Eurostat EB TJ GWh'!$A$2:$BV$2,0))</f>
        <v>0</v>
      </c>
      <c r="BA103" s="72">
        <v>0</v>
      </c>
      <c r="BB103" s="72">
        <v>0</v>
      </c>
      <c r="BC103" s="17">
        <f>INDEX('Eurostat EB TJ GWh'!$A$2:$BV$146,MATCH($A103,'Eurostat EB TJ GWh'!$A$2:$A$146,0),MATCH(BC$3,'Eurostat EB TJ GWh'!$A$2:$BV$2,0))</f>
        <v>0</v>
      </c>
      <c r="BD103" s="17">
        <f>INDEX('Eurostat EB TJ GWh'!$A$2:$BV$146,MATCH($A103,'Eurostat EB TJ GWh'!$A$2:$A$146,0),MATCH(BD$3,'Eurostat EB TJ GWh'!$A$2:$BV$2,0))</f>
        <v>0</v>
      </c>
      <c r="BE103" s="17">
        <f>INDEX('Eurostat EB TJ GWh'!$A$2:$BV$146,MATCH($A103,'Eurostat EB TJ GWh'!$A$2:$A$146,0),MATCH(BE$3,'Eurostat EB TJ GWh'!$A$2:$BV$2,0))</f>
        <v>0</v>
      </c>
      <c r="BF103" s="17">
        <f>INDEX('Eurostat EB TJ GWh'!$A$2:$BV$146,MATCH($A103,'Eurostat EB TJ GWh'!$A$2:$A$146,0),MATCH(BF$3,'Eurostat EB TJ GWh'!$A$2:$BV$2,0))</f>
        <v>0</v>
      </c>
      <c r="BG103" s="17">
        <f>INDEX('Eurostat EB TJ GWh'!$A$2:$BV$146,MATCH($A103,'Eurostat EB TJ GWh'!$A$2:$A$146,0),MATCH(BG$3,'Eurostat EB TJ GWh'!$A$2:$BV$2,0))</f>
        <v>0</v>
      </c>
      <c r="BH103" s="17">
        <f>INDEX('Eurostat EB TJ GWh'!$A$2:$BV$146,MATCH($A103,'Eurostat EB TJ GWh'!$A$2:$A$146,0),MATCH(BH$3,'Eurostat EB TJ GWh'!$A$2:$BV$2,0))</f>
        <v>0</v>
      </c>
      <c r="BI103" s="17">
        <f>INDEX('Eurostat EB TJ GWh'!$A$2:$BV$146,MATCH($A103,'Eurostat EB TJ GWh'!$A$2:$A$146,0),MATCH(BI$3,'Eurostat EB TJ GWh'!$A$2:$BV$2,0))</f>
        <v>0</v>
      </c>
      <c r="BJ103" s="72">
        <v>0</v>
      </c>
      <c r="BK103" s="17">
        <f>INDEX('Eurostat EB TJ GWh'!$A$2:$BV$146,MATCH($A103,'Eurostat EB TJ GWh'!$A$2:$A$146,0),MATCH(BK$3,'Eurostat EB TJ GWh'!$A$2:$BV$2,0))</f>
        <v>1873.31</v>
      </c>
      <c r="BL103" s="17">
        <f>INDEX('Eurostat EB TJ GWh'!$A$2:$BV$146,MATCH($A103,'Eurostat EB TJ GWh'!$A$2:$A$146,0),MATCH(BL$3,'Eurostat EB TJ GWh'!$A$2:$BV$2,0))</f>
        <v>18.053999999999998</v>
      </c>
      <c r="BM103" s="17">
        <f>INDEX('Eurostat EB TJ GWh'!$A$2:$BV$146,MATCH($A103,'Eurostat EB TJ GWh'!$A$2:$A$146,0),MATCH(BM$3,'Eurostat EB TJ GWh'!$A$2:$BV$2,0))</f>
        <v>3403.297</v>
      </c>
      <c r="BN103" s="17">
        <f>INDEX('Eurostat EB TJ GWh'!$A$2:$BV$146,MATCH($A103,'Eurostat EB TJ GWh'!$A$2:$A$146,0),MATCH(BN$3,'Eurostat EB TJ GWh'!$A$2:$BV$2,0))</f>
        <v>143.97</v>
      </c>
    </row>
    <row r="104" spans="1:66" x14ac:dyDescent="0.2">
      <c r="A104" s="56" t="s">
        <v>293</v>
      </c>
      <c r="B104" s="65" t="s">
        <v>323</v>
      </c>
      <c r="C104" s="65" t="s">
        <v>323</v>
      </c>
      <c r="D104" s="57">
        <f>INDEX('Eurostat EB TJ GWh'!$A$2:$BV$146,MATCH($A104,'Eurostat EB TJ GWh'!$A$2:$A$146,0),MATCH(D$3,'Eurostat EB TJ GWh'!$A$2:$BV$2,0))</f>
        <v>0</v>
      </c>
      <c r="E104" s="57">
        <f>INDEX('Eurostat EB TJ GWh'!$A$2:$BV$146,MATCH($A104,'Eurostat EB TJ GWh'!$A$2:$A$146,0),MATCH(E$3,'Eurostat EB TJ GWh'!$A$2:$BV$2,0))</f>
        <v>0</v>
      </c>
      <c r="F104" s="57">
        <f>INDEX('Eurostat EB TJ GWh'!$A$2:$BV$146,MATCH($A104,'Eurostat EB TJ GWh'!$A$2:$A$146,0),MATCH(F$3,'Eurostat EB TJ GWh'!$A$2:$BV$2,0))</f>
        <v>0</v>
      </c>
      <c r="G104" s="57">
        <f>INDEX('Eurostat EB TJ GWh'!$A$2:$BV$146,MATCH($A104,'Eurostat EB TJ GWh'!$A$2:$A$146,0),MATCH(G$3,'Eurostat EB TJ GWh'!$A$2:$BV$2,0))</f>
        <v>0</v>
      </c>
      <c r="H104" s="57">
        <f>INDEX('Eurostat EB TJ GWh'!$A$2:$BV$146,MATCH($A104,'Eurostat EB TJ GWh'!$A$2:$A$146,0),MATCH(H$3,'Eurostat EB TJ GWh'!$A$2:$BV$2,0))</f>
        <v>0</v>
      </c>
      <c r="I104" s="57">
        <f>INDEX('Eurostat EB TJ GWh'!$A$2:$BV$146,MATCH($A104,'Eurostat EB TJ GWh'!$A$2:$A$146,0),MATCH(I$3,'Eurostat EB TJ GWh'!$A$2:$BV$2,0))</f>
        <v>0</v>
      </c>
      <c r="J104" s="57">
        <f>INDEX('Eurostat EB TJ GWh'!$A$2:$BV$146,MATCH($A104,'Eurostat EB TJ GWh'!$A$2:$A$146,0),MATCH(J$3,'Eurostat EB TJ GWh'!$A$2:$BV$2,0))</f>
        <v>0</v>
      </c>
      <c r="K104" s="57">
        <f>INDEX('Eurostat EB TJ GWh'!$A$2:$BV$146,MATCH($A104,'Eurostat EB TJ GWh'!$A$2:$A$146,0),MATCH(K$3,'Eurostat EB TJ GWh'!$A$2:$BV$2,0))</f>
        <v>0</v>
      </c>
      <c r="L104" s="57">
        <f>INDEX('Eurostat EB TJ GWh'!$A$2:$BV$146,MATCH($A104,'Eurostat EB TJ GWh'!$A$2:$A$146,0),MATCH(L$3,'Eurostat EB TJ GWh'!$A$2:$BV$2,0))</f>
        <v>0</v>
      </c>
      <c r="M104" s="57">
        <f>INDEX('Eurostat EB TJ GWh'!$A$2:$BV$146,MATCH($A104,'Eurostat EB TJ GWh'!$A$2:$A$146,0),MATCH(M$3,'Eurostat EB TJ GWh'!$A$2:$BV$2,0))</f>
        <v>0</v>
      </c>
      <c r="N104" s="57">
        <f>INDEX('Eurostat EB TJ GWh'!$A$2:$BV$146,MATCH($A104,'Eurostat EB TJ GWh'!$A$2:$A$146,0),MATCH(N$3,'Eurostat EB TJ GWh'!$A$2:$BV$2,0))</f>
        <v>0</v>
      </c>
      <c r="O104" s="57">
        <f>INDEX('Eurostat EB TJ GWh'!$A$2:$BV$146,MATCH($A104,'Eurostat EB TJ GWh'!$A$2:$A$146,0),MATCH(O$3,'Eurostat EB TJ GWh'!$A$2:$BV$2,0))</f>
        <v>0</v>
      </c>
      <c r="P104" s="57">
        <f>INDEX('Eurostat EB TJ GWh'!$A$2:$BV$146,MATCH($A104,'Eurostat EB TJ GWh'!$A$2:$A$146,0),MATCH(P$3,'Eurostat EB TJ GWh'!$A$2:$BV$2,0))</f>
        <v>0</v>
      </c>
      <c r="Q104" s="57">
        <f>INDEX('Eurostat EB TJ GWh'!$A$2:$BV$146,MATCH($A104,'Eurostat EB TJ GWh'!$A$2:$A$146,0),MATCH(Q$3,'Eurostat EB TJ GWh'!$A$2:$BV$2,0))</f>
        <v>0</v>
      </c>
      <c r="R104" s="57">
        <f>INDEX('Eurostat EB TJ GWh'!$A$2:$BV$146,MATCH($A104,'Eurostat EB TJ GWh'!$A$2:$A$146,0),MATCH(R$2,'Eurostat EB TJ GWh'!$A$2:$BV$2,0))+INDEX('Eurostat EB TJ GWh'!$A$2:$BV$146,MATCH($A104,'Eurostat EB TJ GWh'!$A$2:$A$146,0),MATCH(R$3,'Eurostat EB TJ GWh'!$A$2:$BV$2,0))</f>
        <v>0</v>
      </c>
      <c r="S104" s="57">
        <f>INDEX('Eurostat EB TJ GWh'!$A$2:$BV$146,MATCH($A104,'Eurostat EB TJ GWh'!$A$2:$A$146,0),MATCH(S$3,'Eurostat EB TJ GWh'!$A$2:$BV$2,0))</f>
        <v>7683.8440000000001</v>
      </c>
      <c r="T104" s="65" t="s">
        <v>323</v>
      </c>
      <c r="U104" s="57">
        <f>INDEX('Eurostat EB TJ GWh'!$A$2:$BV$146,MATCH($A104,'Eurostat EB TJ GWh'!$A$2:$A$146,0),MATCH(U$3,'Eurostat EB TJ GWh'!$A$2:$BV$2,0))</f>
        <v>0</v>
      </c>
      <c r="V104" s="57">
        <f>INDEX('Eurostat EB TJ GWh'!$A$2:$BV$146,MATCH($A104,'Eurostat EB TJ GWh'!$A$2:$A$146,0),MATCH(V$3,'Eurostat EB TJ GWh'!$A$2:$BV$2,0))</f>
        <v>0</v>
      </c>
      <c r="W104" s="57">
        <f>INDEX('Eurostat EB TJ GWh'!$A$2:$BV$146,MATCH($A104,'Eurostat EB TJ GWh'!$A$2:$A$146,0),MATCH(W$3,'Eurostat EB TJ GWh'!$A$2:$BV$2,0))</f>
        <v>0</v>
      </c>
      <c r="X104" s="57">
        <f>INDEX('Eurostat EB TJ GWh'!$A$2:$BV$146,MATCH($A104,'Eurostat EB TJ GWh'!$A$2:$A$146,0),MATCH(X$3,'Eurostat EB TJ GWh'!$A$2:$BV$2,0))</f>
        <v>0</v>
      </c>
      <c r="Y104" s="57">
        <f>INDEX('Eurostat EB TJ GWh'!$A$2:$BV$146,MATCH($A104,'Eurostat EB TJ GWh'!$A$2:$A$146,0),MATCH(Y$3,'Eurostat EB TJ GWh'!$A$2:$BV$2,0))</f>
        <v>0</v>
      </c>
      <c r="Z104" s="57">
        <f>INDEX('Eurostat EB TJ GWh'!$A$2:$BV$146,MATCH($A104,'Eurostat EB TJ GWh'!$A$2:$A$146,0),MATCH(Z$3,'Eurostat EB TJ GWh'!$A$2:$BV$2,0))</f>
        <v>0</v>
      </c>
      <c r="AA104" s="57">
        <f>INDEX('Eurostat EB TJ GWh'!$A$2:$BV$146,MATCH($A104,'Eurostat EB TJ GWh'!$A$2:$A$146,0),MATCH(AA$3,'Eurostat EB TJ GWh'!$A$2:$BV$2,0))</f>
        <v>0</v>
      </c>
      <c r="AB104" s="57">
        <f>INDEX('Eurostat EB TJ GWh'!$A$2:$BV$146,MATCH($A104,'Eurostat EB TJ GWh'!$A$2:$A$146,0),MATCH(AB$3,'Eurostat EB TJ GWh'!$A$2:$BV$2,0))</f>
        <v>93.641000000000005</v>
      </c>
      <c r="AC104" s="57">
        <f>INDEX('Eurostat EB TJ GWh'!$A$2:$BV$146,MATCH($A104,'Eurostat EB TJ GWh'!$A$2:$A$146,0),MATCH(AC$3,'Eurostat EB TJ GWh'!$A$2:$BV$2,0))</f>
        <v>0</v>
      </c>
      <c r="AD104" s="57">
        <f>INDEX('Eurostat EB TJ GWh'!$A$2:$BV$146,MATCH($A104,'Eurostat EB TJ GWh'!$A$2:$A$146,0),MATCH(AD$3,'Eurostat EB TJ GWh'!$A$2:$BV$2,0))</f>
        <v>0</v>
      </c>
      <c r="AE104" s="57">
        <f>INDEX('Eurostat EB TJ GWh'!$A$2:$BV$146,MATCH($A104,'Eurostat EB TJ GWh'!$A$2:$A$146,0),MATCH(AE$3,'Eurostat EB TJ GWh'!$A$2:$BV$2,0))</f>
        <v>0</v>
      </c>
      <c r="AF104" s="57">
        <f>INDEX('Eurostat EB TJ GWh'!$A$2:$BV$146,MATCH($A104,'Eurostat EB TJ GWh'!$A$2:$A$146,0),MATCH(AF$3,'Eurostat EB TJ GWh'!$A$2:$BV$2,0))</f>
        <v>0</v>
      </c>
      <c r="AG104" s="57">
        <f>INDEX('Eurostat EB TJ GWh'!$A$2:$BV$146,MATCH($A104,'Eurostat EB TJ GWh'!$A$2:$A$146,0),MATCH(AG$3,'Eurostat EB TJ GWh'!$A$2:$BV$2,0))</f>
        <v>1.7669999999999999</v>
      </c>
      <c r="AH104" s="57">
        <f>INDEX('Eurostat EB TJ GWh'!$A$2:$BV$146,MATCH($A104,'Eurostat EB TJ GWh'!$A$2:$A$146,0),MATCH(AH$3,'Eurostat EB TJ GWh'!$A$2:$BV$2,0))</f>
        <v>77.049000000000007</v>
      </c>
      <c r="AI104" s="57">
        <f>INDEX('Eurostat EB TJ GWh'!$A$2:$BV$146,MATCH($A104,'Eurostat EB TJ GWh'!$A$2:$A$146,0),MATCH(AI$3,'Eurostat EB TJ GWh'!$A$2:$BV$2,0))</f>
        <v>0</v>
      </c>
      <c r="AJ104" s="57">
        <f>INDEX('Eurostat EB TJ GWh'!$A$2:$BV$146,MATCH($A104,'Eurostat EB TJ GWh'!$A$2:$A$146,0),MATCH(AJ$3,'Eurostat EB TJ GWh'!$A$2:$BV$2,0))</f>
        <v>0</v>
      </c>
      <c r="AK104" s="57">
        <f>INDEX('Eurostat EB TJ GWh'!$A$2:$BV$146,MATCH($A104,'Eurostat EB TJ GWh'!$A$2:$A$146,0),MATCH(AK$3,'Eurostat EB TJ GWh'!$A$2:$BV$2,0))</f>
        <v>0</v>
      </c>
      <c r="AL104" s="57">
        <f>INDEX('Eurostat EB TJ GWh'!$A$2:$BV$146,MATCH($A104,'Eurostat EB TJ GWh'!$A$2:$A$146,0),MATCH(AL$3,'Eurostat EB TJ GWh'!$A$2:$BV$2,0))</f>
        <v>0</v>
      </c>
      <c r="AM104" s="57">
        <f>INDEX('Eurostat EB TJ GWh'!$A$2:$BV$146,MATCH($A104,'Eurostat EB TJ GWh'!$A$2:$A$146,0),MATCH(AM$3,'Eurostat EB TJ GWh'!$A$2:$BV$2,0))</f>
        <v>0</v>
      </c>
      <c r="AN104" s="57">
        <f>INDEX('Eurostat EB TJ GWh'!$A$2:$BV$146,MATCH($A104,'Eurostat EB TJ GWh'!$A$2:$A$146,0),MATCH(AN$3,'Eurostat EB TJ GWh'!$A$2:$BV$2,0))</f>
        <v>0</v>
      </c>
      <c r="AO104" s="57">
        <f>INDEX('Eurostat EB TJ GWh'!$A$2:$BV$146,MATCH($A104,'Eurostat EB TJ GWh'!$A$2:$A$146,0),MATCH(AO$3,'Eurostat EB TJ GWh'!$A$2:$BV$2,0))</f>
        <v>0</v>
      </c>
      <c r="AP104" s="57">
        <f>INDEX('Eurostat EB TJ GWh'!$A$2:$BV$146,MATCH($A104,'Eurostat EB TJ GWh'!$A$2:$A$146,0),MATCH(AP$3,'Eurostat EB TJ GWh'!$A$2:$BV$2,0))</f>
        <v>0</v>
      </c>
      <c r="AQ104" s="57">
        <f>INDEX('Eurostat EB TJ GWh'!$A$2:$BV$146,MATCH($A104,'Eurostat EB TJ GWh'!$A$2:$A$146,0),MATCH(AQ$3,'Eurostat EB TJ GWh'!$A$2:$BV$2,0))</f>
        <v>0</v>
      </c>
      <c r="AR104" s="57">
        <f>INDEX('Eurostat EB TJ GWh'!$A$2:$BV$146,MATCH($A104,'Eurostat EB TJ GWh'!$A$2:$A$146,0),MATCH(AR$3,'Eurostat EB TJ GWh'!$A$2:$BV$2,0))</f>
        <v>0</v>
      </c>
      <c r="AS104" s="57">
        <f>INDEX('Eurostat EB TJ GWh'!$A$2:$BV$146,MATCH($A104,'Eurostat EB TJ GWh'!$A$2:$A$146,0),MATCH(AS$3,'Eurostat EB TJ GWh'!$A$2:$BV$2,0))</f>
        <v>0</v>
      </c>
      <c r="AT104" s="57">
        <f>INDEX('Eurostat EB TJ GWh'!$A$2:$BV$146,MATCH($A104,'Eurostat EB TJ GWh'!$A$2:$A$146,0),MATCH(AT$3,'Eurostat EB TJ GWh'!$A$2:$BV$2,0))</f>
        <v>0</v>
      </c>
      <c r="AU104" s="57">
        <f>INDEX('Eurostat EB TJ GWh'!$A$2:$BV$146,MATCH($A104,'Eurostat EB TJ GWh'!$A$2:$A$146,0),MATCH(AU$3,'Eurostat EB TJ GWh'!$A$2:$BV$2,0))</f>
        <v>0</v>
      </c>
      <c r="AV104" s="57">
        <f>INDEX('Eurostat EB TJ GWh'!$A$2:$BV$146,MATCH($A104,'Eurostat EB TJ GWh'!$A$2:$A$146,0),MATCH(AV$2,'Eurostat EB TJ GWh'!$A$2:$BV$2,0))+INDEX('Eurostat EB TJ GWh'!$A$2:$BV$146,MATCH($A104,'Eurostat EB TJ GWh'!$A$2:$A$146,0),MATCH(AV$3,'Eurostat EB TJ GWh'!$A$2:$BV$2,0))</f>
        <v>0</v>
      </c>
      <c r="AW104" s="57">
        <f>INDEX('Eurostat EB TJ GWh'!$A$2:$BV$146,MATCH($A104,'Eurostat EB TJ GWh'!$A$2:$A$146,0),MATCH(AW$2,'Eurostat EB TJ GWh'!$A$2:$BV$2,0))+INDEX('Eurostat EB TJ GWh'!$A$2:$BV$146,MATCH($A104,'Eurostat EB TJ GWh'!$A$2:$A$146,0),MATCH(AW$3,'Eurostat EB TJ GWh'!$A$2:$BV$2,0))</f>
        <v>0</v>
      </c>
      <c r="AX104" s="57">
        <f>INDEX('Eurostat EB TJ GWh'!$A$2:$BV$146,MATCH($A104,'Eurostat EB TJ GWh'!$A$2:$A$146,0),MATCH(AX$3,'Eurostat EB TJ GWh'!$A$2:$BV$2,0))</f>
        <v>0</v>
      </c>
      <c r="AY104" s="65">
        <v>0</v>
      </c>
      <c r="AZ104" s="57">
        <f>INDEX('Eurostat EB TJ GWh'!$A$2:$BV$146,MATCH($A104,'Eurostat EB TJ GWh'!$A$2:$A$146,0),MATCH(AZ$3,'Eurostat EB TJ GWh'!$A$2:$BV$2,0))</f>
        <v>0</v>
      </c>
      <c r="BA104" s="65">
        <v>0</v>
      </c>
      <c r="BB104" s="65">
        <v>0</v>
      </c>
      <c r="BC104" s="57">
        <f>INDEX('Eurostat EB TJ GWh'!$A$2:$BV$146,MATCH($A104,'Eurostat EB TJ GWh'!$A$2:$A$146,0),MATCH(BC$3,'Eurostat EB TJ GWh'!$A$2:$BV$2,0))</f>
        <v>0</v>
      </c>
      <c r="BD104" s="57">
        <f>INDEX('Eurostat EB TJ GWh'!$A$2:$BV$146,MATCH($A104,'Eurostat EB TJ GWh'!$A$2:$A$146,0),MATCH(BD$3,'Eurostat EB TJ GWh'!$A$2:$BV$2,0))</f>
        <v>0</v>
      </c>
      <c r="BE104" s="57">
        <f>INDEX('Eurostat EB TJ GWh'!$A$2:$BV$146,MATCH($A104,'Eurostat EB TJ GWh'!$A$2:$A$146,0),MATCH(BE$3,'Eurostat EB TJ GWh'!$A$2:$BV$2,0))</f>
        <v>0</v>
      </c>
      <c r="BF104" s="57">
        <f>INDEX('Eurostat EB TJ GWh'!$A$2:$BV$146,MATCH($A104,'Eurostat EB TJ GWh'!$A$2:$A$146,0),MATCH(BF$3,'Eurostat EB TJ GWh'!$A$2:$BV$2,0))</f>
        <v>0</v>
      </c>
      <c r="BG104" s="57">
        <f>INDEX('Eurostat EB TJ GWh'!$A$2:$BV$146,MATCH($A104,'Eurostat EB TJ GWh'!$A$2:$A$146,0),MATCH(BG$3,'Eurostat EB TJ GWh'!$A$2:$BV$2,0))</f>
        <v>0</v>
      </c>
      <c r="BH104" s="57">
        <f>INDEX('Eurostat EB TJ GWh'!$A$2:$BV$146,MATCH($A104,'Eurostat EB TJ GWh'!$A$2:$A$146,0),MATCH(BH$3,'Eurostat EB TJ GWh'!$A$2:$BV$2,0))</f>
        <v>0</v>
      </c>
      <c r="BI104" s="57">
        <f>INDEX('Eurostat EB TJ GWh'!$A$2:$BV$146,MATCH($A104,'Eurostat EB TJ GWh'!$A$2:$A$146,0),MATCH(BI$3,'Eurostat EB TJ GWh'!$A$2:$BV$2,0))</f>
        <v>0</v>
      </c>
      <c r="BJ104" s="65">
        <v>0</v>
      </c>
      <c r="BK104" s="57">
        <f>INDEX('Eurostat EB TJ GWh'!$A$2:$BV$146,MATCH($A104,'Eurostat EB TJ GWh'!$A$2:$A$146,0),MATCH(BK$3,'Eurostat EB TJ GWh'!$A$2:$BV$2,0))</f>
        <v>11080.249</v>
      </c>
      <c r="BL104" s="57">
        <f>INDEX('Eurostat EB TJ GWh'!$A$2:$BV$146,MATCH($A104,'Eurostat EB TJ GWh'!$A$2:$A$146,0),MATCH(BL$3,'Eurostat EB TJ GWh'!$A$2:$BV$2,0))</f>
        <v>70.864999999999995</v>
      </c>
      <c r="BM104" s="57">
        <f>INDEX('Eurostat EB TJ GWh'!$A$2:$BV$146,MATCH($A104,'Eurostat EB TJ GWh'!$A$2:$A$146,0),MATCH(BM$3,'Eurostat EB TJ GWh'!$A$2:$BV$2,0))</f>
        <v>19007.415000000001</v>
      </c>
      <c r="BN104" s="57">
        <f>INDEX('Eurostat EB TJ GWh'!$A$2:$BV$146,MATCH($A104,'Eurostat EB TJ GWh'!$A$2:$A$146,0),MATCH(BN$3,'Eurostat EB TJ GWh'!$A$2:$BV$2,0))</f>
        <v>831.91800000000001</v>
      </c>
    </row>
    <row r="105" spans="1:66" x14ac:dyDescent="0.2">
      <c r="A105" s="56" t="s">
        <v>294</v>
      </c>
      <c r="B105" s="65" t="s">
        <v>323</v>
      </c>
      <c r="C105" s="65" t="s">
        <v>323</v>
      </c>
      <c r="D105" s="17">
        <f>INDEX('Eurostat EB TJ GWh'!$A$2:$BV$146,MATCH($A105,'Eurostat EB TJ GWh'!$A$2:$A$146,0),MATCH(D$3,'Eurostat EB TJ GWh'!$A$2:$BV$2,0))</f>
        <v>0</v>
      </c>
      <c r="E105" s="17">
        <f>INDEX('Eurostat EB TJ GWh'!$A$2:$BV$146,MATCH($A105,'Eurostat EB TJ GWh'!$A$2:$A$146,0),MATCH(E$3,'Eurostat EB TJ GWh'!$A$2:$BV$2,0))</f>
        <v>0</v>
      </c>
      <c r="F105" s="17">
        <f>INDEX('Eurostat EB TJ GWh'!$A$2:$BV$146,MATCH($A105,'Eurostat EB TJ GWh'!$A$2:$A$146,0),MATCH(F$3,'Eurostat EB TJ GWh'!$A$2:$BV$2,0))</f>
        <v>0</v>
      </c>
      <c r="G105" s="17">
        <f>INDEX('Eurostat EB TJ GWh'!$A$2:$BV$146,MATCH($A105,'Eurostat EB TJ GWh'!$A$2:$A$146,0),MATCH(G$3,'Eurostat EB TJ GWh'!$A$2:$BV$2,0))</f>
        <v>0</v>
      </c>
      <c r="H105" s="17">
        <f>INDEX('Eurostat EB TJ GWh'!$A$2:$BV$146,MATCH($A105,'Eurostat EB TJ GWh'!$A$2:$A$146,0),MATCH(H$3,'Eurostat EB TJ GWh'!$A$2:$BV$2,0))</f>
        <v>0</v>
      </c>
      <c r="I105" s="17">
        <f>INDEX('Eurostat EB TJ GWh'!$A$2:$BV$146,MATCH($A105,'Eurostat EB TJ GWh'!$A$2:$A$146,0),MATCH(I$3,'Eurostat EB TJ GWh'!$A$2:$BV$2,0))</f>
        <v>0</v>
      </c>
      <c r="J105" s="17">
        <f>INDEX('Eurostat EB TJ GWh'!$A$2:$BV$146,MATCH($A105,'Eurostat EB TJ GWh'!$A$2:$A$146,0),MATCH(J$3,'Eurostat EB TJ GWh'!$A$2:$BV$2,0))</f>
        <v>0</v>
      </c>
      <c r="K105" s="17">
        <f>INDEX('Eurostat EB TJ GWh'!$A$2:$BV$146,MATCH($A105,'Eurostat EB TJ GWh'!$A$2:$A$146,0),MATCH(K$3,'Eurostat EB TJ GWh'!$A$2:$BV$2,0))</f>
        <v>0</v>
      </c>
      <c r="L105" s="17">
        <f>INDEX('Eurostat EB TJ GWh'!$A$2:$BV$146,MATCH($A105,'Eurostat EB TJ GWh'!$A$2:$A$146,0),MATCH(L$3,'Eurostat EB TJ GWh'!$A$2:$BV$2,0))</f>
        <v>0</v>
      </c>
      <c r="M105" s="17">
        <f>INDEX('Eurostat EB TJ GWh'!$A$2:$BV$146,MATCH($A105,'Eurostat EB TJ GWh'!$A$2:$A$146,0),MATCH(M$3,'Eurostat EB TJ GWh'!$A$2:$BV$2,0))</f>
        <v>0</v>
      </c>
      <c r="N105" s="17">
        <f>INDEX('Eurostat EB TJ GWh'!$A$2:$BV$146,MATCH($A105,'Eurostat EB TJ GWh'!$A$2:$A$146,0),MATCH(N$3,'Eurostat EB TJ GWh'!$A$2:$BV$2,0))</f>
        <v>0</v>
      </c>
      <c r="O105" s="17">
        <f>INDEX('Eurostat EB TJ GWh'!$A$2:$BV$146,MATCH($A105,'Eurostat EB TJ GWh'!$A$2:$A$146,0),MATCH(O$3,'Eurostat EB TJ GWh'!$A$2:$BV$2,0))</f>
        <v>0</v>
      </c>
      <c r="P105" s="17">
        <f>INDEX('Eurostat EB TJ GWh'!$A$2:$BV$146,MATCH($A105,'Eurostat EB TJ GWh'!$A$2:$A$146,0),MATCH(P$3,'Eurostat EB TJ GWh'!$A$2:$BV$2,0))</f>
        <v>0</v>
      </c>
      <c r="Q105" s="17">
        <f>INDEX('Eurostat EB TJ GWh'!$A$2:$BV$146,MATCH($A105,'Eurostat EB TJ GWh'!$A$2:$A$146,0),MATCH(Q$3,'Eurostat EB TJ GWh'!$A$2:$BV$2,0))</f>
        <v>0</v>
      </c>
      <c r="R105" s="17">
        <f>INDEX('Eurostat EB TJ GWh'!$A$2:$BV$146,MATCH($A105,'Eurostat EB TJ GWh'!$A$2:$A$146,0),MATCH(R$2,'Eurostat EB TJ GWh'!$A$2:$BV$2,0))+INDEX('Eurostat EB TJ GWh'!$A$2:$BV$146,MATCH($A105,'Eurostat EB TJ GWh'!$A$2:$A$146,0),MATCH(R$3,'Eurostat EB TJ GWh'!$A$2:$BV$2,0))</f>
        <v>0</v>
      </c>
      <c r="S105" s="17">
        <f>INDEX('Eurostat EB TJ GWh'!$A$2:$BV$146,MATCH($A105,'Eurostat EB TJ GWh'!$A$2:$A$146,0),MATCH(S$3,'Eurostat EB TJ GWh'!$A$2:$BV$2,0))</f>
        <v>1581.3979999999999</v>
      </c>
      <c r="T105" s="65" t="s">
        <v>323</v>
      </c>
      <c r="U105" s="17">
        <f>INDEX('Eurostat EB TJ GWh'!$A$2:$BV$146,MATCH($A105,'Eurostat EB TJ GWh'!$A$2:$A$146,0),MATCH(U$3,'Eurostat EB TJ GWh'!$A$2:$BV$2,0))</f>
        <v>0</v>
      </c>
      <c r="V105" s="17">
        <f>INDEX('Eurostat EB TJ GWh'!$A$2:$BV$146,MATCH($A105,'Eurostat EB TJ GWh'!$A$2:$A$146,0),MATCH(V$3,'Eurostat EB TJ GWh'!$A$2:$BV$2,0))</f>
        <v>0</v>
      </c>
      <c r="W105" s="17">
        <f>INDEX('Eurostat EB TJ GWh'!$A$2:$BV$146,MATCH($A105,'Eurostat EB TJ GWh'!$A$2:$A$146,0),MATCH(W$3,'Eurostat EB TJ GWh'!$A$2:$BV$2,0))</f>
        <v>0</v>
      </c>
      <c r="X105" s="17">
        <f>INDEX('Eurostat EB TJ GWh'!$A$2:$BV$146,MATCH($A105,'Eurostat EB TJ GWh'!$A$2:$A$146,0),MATCH(X$3,'Eurostat EB TJ GWh'!$A$2:$BV$2,0))</f>
        <v>0</v>
      </c>
      <c r="Y105" s="17">
        <f>INDEX('Eurostat EB TJ GWh'!$A$2:$BV$146,MATCH($A105,'Eurostat EB TJ GWh'!$A$2:$A$146,0),MATCH(Y$3,'Eurostat EB TJ GWh'!$A$2:$BV$2,0))</f>
        <v>0</v>
      </c>
      <c r="Z105" s="17">
        <f>INDEX('Eurostat EB TJ GWh'!$A$2:$BV$146,MATCH($A105,'Eurostat EB TJ GWh'!$A$2:$A$146,0),MATCH(Z$3,'Eurostat EB TJ GWh'!$A$2:$BV$2,0))</f>
        <v>0</v>
      </c>
      <c r="AA105" s="17">
        <f>INDEX('Eurostat EB TJ GWh'!$A$2:$BV$146,MATCH($A105,'Eurostat EB TJ GWh'!$A$2:$A$146,0),MATCH(AA$3,'Eurostat EB TJ GWh'!$A$2:$BV$2,0))</f>
        <v>0</v>
      </c>
      <c r="AB105" s="17">
        <f>INDEX('Eurostat EB TJ GWh'!$A$2:$BV$146,MATCH($A105,'Eurostat EB TJ GWh'!$A$2:$A$146,0),MATCH(AB$3,'Eurostat EB TJ GWh'!$A$2:$BV$2,0))</f>
        <v>3.073</v>
      </c>
      <c r="AC105" s="17">
        <f>INDEX('Eurostat EB TJ GWh'!$A$2:$BV$146,MATCH($A105,'Eurostat EB TJ GWh'!$A$2:$A$146,0),MATCH(AC$3,'Eurostat EB TJ GWh'!$A$2:$BV$2,0))</f>
        <v>0</v>
      </c>
      <c r="AD105" s="17">
        <f>INDEX('Eurostat EB TJ GWh'!$A$2:$BV$146,MATCH($A105,'Eurostat EB TJ GWh'!$A$2:$A$146,0),MATCH(AD$3,'Eurostat EB TJ GWh'!$A$2:$BV$2,0))</f>
        <v>0</v>
      </c>
      <c r="AE105" s="17">
        <f>INDEX('Eurostat EB TJ GWh'!$A$2:$BV$146,MATCH($A105,'Eurostat EB TJ GWh'!$A$2:$A$146,0),MATCH(AE$3,'Eurostat EB TJ GWh'!$A$2:$BV$2,0))</f>
        <v>0</v>
      </c>
      <c r="AF105" s="17">
        <f>INDEX('Eurostat EB TJ GWh'!$A$2:$BV$146,MATCH($A105,'Eurostat EB TJ GWh'!$A$2:$A$146,0),MATCH(AF$3,'Eurostat EB TJ GWh'!$A$2:$BV$2,0))</f>
        <v>0</v>
      </c>
      <c r="AG105" s="17">
        <f>INDEX('Eurostat EB TJ GWh'!$A$2:$BV$146,MATCH($A105,'Eurostat EB TJ GWh'!$A$2:$A$146,0),MATCH(AG$3,'Eurostat EB TJ GWh'!$A$2:$BV$2,0))</f>
        <v>0</v>
      </c>
      <c r="AH105" s="17">
        <f>INDEX('Eurostat EB TJ GWh'!$A$2:$BV$146,MATCH($A105,'Eurostat EB TJ GWh'!$A$2:$A$146,0),MATCH(AH$3,'Eurostat EB TJ GWh'!$A$2:$BV$2,0))</f>
        <v>94.606999999999999</v>
      </c>
      <c r="AI105" s="17">
        <f>INDEX('Eurostat EB TJ GWh'!$A$2:$BV$146,MATCH($A105,'Eurostat EB TJ GWh'!$A$2:$A$146,0),MATCH(AI$3,'Eurostat EB TJ GWh'!$A$2:$BV$2,0))</f>
        <v>0</v>
      </c>
      <c r="AJ105" s="17">
        <f>INDEX('Eurostat EB TJ GWh'!$A$2:$BV$146,MATCH($A105,'Eurostat EB TJ GWh'!$A$2:$A$146,0),MATCH(AJ$3,'Eurostat EB TJ GWh'!$A$2:$BV$2,0))</f>
        <v>0</v>
      </c>
      <c r="AK105" s="17">
        <f>INDEX('Eurostat EB TJ GWh'!$A$2:$BV$146,MATCH($A105,'Eurostat EB TJ GWh'!$A$2:$A$146,0),MATCH(AK$3,'Eurostat EB TJ GWh'!$A$2:$BV$2,0))</f>
        <v>0</v>
      </c>
      <c r="AL105" s="17">
        <f>INDEX('Eurostat EB TJ GWh'!$A$2:$BV$146,MATCH($A105,'Eurostat EB TJ GWh'!$A$2:$A$146,0),MATCH(AL$3,'Eurostat EB TJ GWh'!$A$2:$BV$2,0))</f>
        <v>0</v>
      </c>
      <c r="AM105" s="17">
        <f>INDEX('Eurostat EB TJ GWh'!$A$2:$BV$146,MATCH($A105,'Eurostat EB TJ GWh'!$A$2:$A$146,0),MATCH(AM$3,'Eurostat EB TJ GWh'!$A$2:$BV$2,0))</f>
        <v>0</v>
      </c>
      <c r="AN105" s="17">
        <f>INDEX('Eurostat EB TJ GWh'!$A$2:$BV$146,MATCH($A105,'Eurostat EB TJ GWh'!$A$2:$A$146,0),MATCH(AN$3,'Eurostat EB TJ GWh'!$A$2:$BV$2,0))</f>
        <v>0</v>
      </c>
      <c r="AO105" s="17">
        <f>INDEX('Eurostat EB TJ GWh'!$A$2:$BV$146,MATCH($A105,'Eurostat EB TJ GWh'!$A$2:$A$146,0),MATCH(AO$3,'Eurostat EB TJ GWh'!$A$2:$BV$2,0))</f>
        <v>0</v>
      </c>
      <c r="AP105" s="17">
        <f>INDEX('Eurostat EB TJ GWh'!$A$2:$BV$146,MATCH($A105,'Eurostat EB TJ GWh'!$A$2:$A$146,0),MATCH(AP$3,'Eurostat EB TJ GWh'!$A$2:$BV$2,0))</f>
        <v>1.1200000000000001</v>
      </c>
      <c r="AQ105" s="17">
        <f>INDEX('Eurostat EB TJ GWh'!$A$2:$BV$146,MATCH($A105,'Eurostat EB TJ GWh'!$A$2:$A$146,0),MATCH(AQ$3,'Eurostat EB TJ GWh'!$A$2:$BV$2,0))</f>
        <v>0</v>
      </c>
      <c r="AR105" s="17">
        <f>INDEX('Eurostat EB TJ GWh'!$A$2:$BV$146,MATCH($A105,'Eurostat EB TJ GWh'!$A$2:$A$146,0),MATCH(AR$3,'Eurostat EB TJ GWh'!$A$2:$BV$2,0))</f>
        <v>0</v>
      </c>
      <c r="AS105" s="17">
        <f>INDEX('Eurostat EB TJ GWh'!$A$2:$BV$146,MATCH($A105,'Eurostat EB TJ GWh'!$A$2:$A$146,0),MATCH(AS$3,'Eurostat EB TJ GWh'!$A$2:$BV$2,0))</f>
        <v>0</v>
      </c>
      <c r="AT105" s="17">
        <f>INDEX('Eurostat EB TJ GWh'!$A$2:$BV$146,MATCH($A105,'Eurostat EB TJ GWh'!$A$2:$A$146,0),MATCH(AT$3,'Eurostat EB TJ GWh'!$A$2:$BV$2,0))</f>
        <v>0</v>
      </c>
      <c r="AU105" s="17">
        <f>INDEX('Eurostat EB TJ GWh'!$A$2:$BV$146,MATCH($A105,'Eurostat EB TJ GWh'!$A$2:$A$146,0),MATCH(AU$3,'Eurostat EB TJ GWh'!$A$2:$BV$2,0))</f>
        <v>0</v>
      </c>
      <c r="AV105" s="17">
        <f>INDEX('Eurostat EB TJ GWh'!$A$2:$BV$146,MATCH($A105,'Eurostat EB TJ GWh'!$A$2:$A$146,0),MATCH(AV$2,'Eurostat EB TJ GWh'!$A$2:$BV$2,0))+INDEX('Eurostat EB TJ GWh'!$A$2:$BV$146,MATCH($A105,'Eurostat EB TJ GWh'!$A$2:$A$146,0),MATCH(AV$3,'Eurostat EB TJ GWh'!$A$2:$BV$2,0))</f>
        <v>0</v>
      </c>
      <c r="AW105" s="17">
        <f>INDEX('Eurostat EB TJ GWh'!$A$2:$BV$146,MATCH($A105,'Eurostat EB TJ GWh'!$A$2:$A$146,0),MATCH(AW$2,'Eurostat EB TJ GWh'!$A$2:$BV$2,0))+INDEX('Eurostat EB TJ GWh'!$A$2:$BV$146,MATCH($A105,'Eurostat EB TJ GWh'!$A$2:$A$146,0),MATCH(AW$3,'Eurostat EB TJ GWh'!$A$2:$BV$2,0))</f>
        <v>0</v>
      </c>
      <c r="AX105" s="17">
        <f>INDEX('Eurostat EB TJ GWh'!$A$2:$BV$146,MATCH($A105,'Eurostat EB TJ GWh'!$A$2:$A$146,0),MATCH(AX$3,'Eurostat EB TJ GWh'!$A$2:$BV$2,0))</f>
        <v>0</v>
      </c>
      <c r="AY105" s="65">
        <v>0</v>
      </c>
      <c r="AZ105" s="17">
        <f>INDEX('Eurostat EB TJ GWh'!$A$2:$BV$146,MATCH($A105,'Eurostat EB TJ GWh'!$A$2:$A$146,0),MATCH(AZ$3,'Eurostat EB TJ GWh'!$A$2:$BV$2,0))</f>
        <v>0</v>
      </c>
      <c r="BA105" s="65">
        <v>0</v>
      </c>
      <c r="BB105" s="65">
        <v>0</v>
      </c>
      <c r="BC105" s="17">
        <f>INDEX('Eurostat EB TJ GWh'!$A$2:$BV$146,MATCH($A105,'Eurostat EB TJ GWh'!$A$2:$A$146,0),MATCH(BC$3,'Eurostat EB TJ GWh'!$A$2:$BV$2,0))</f>
        <v>0</v>
      </c>
      <c r="BD105" s="17">
        <f>INDEX('Eurostat EB TJ GWh'!$A$2:$BV$146,MATCH($A105,'Eurostat EB TJ GWh'!$A$2:$A$146,0),MATCH(BD$3,'Eurostat EB TJ GWh'!$A$2:$BV$2,0))</f>
        <v>0</v>
      </c>
      <c r="BE105" s="17">
        <f>INDEX('Eurostat EB TJ GWh'!$A$2:$BV$146,MATCH($A105,'Eurostat EB TJ GWh'!$A$2:$A$146,0),MATCH(BE$3,'Eurostat EB TJ GWh'!$A$2:$BV$2,0))</f>
        <v>0</v>
      </c>
      <c r="BF105" s="17">
        <f>INDEX('Eurostat EB TJ GWh'!$A$2:$BV$146,MATCH($A105,'Eurostat EB TJ GWh'!$A$2:$A$146,0),MATCH(BF$3,'Eurostat EB TJ GWh'!$A$2:$BV$2,0))</f>
        <v>0</v>
      </c>
      <c r="BG105" s="17">
        <f>INDEX('Eurostat EB TJ GWh'!$A$2:$BV$146,MATCH($A105,'Eurostat EB TJ GWh'!$A$2:$A$146,0),MATCH(BG$3,'Eurostat EB TJ GWh'!$A$2:$BV$2,0))</f>
        <v>0</v>
      </c>
      <c r="BH105" s="17">
        <f>INDEX('Eurostat EB TJ GWh'!$A$2:$BV$146,MATCH($A105,'Eurostat EB TJ GWh'!$A$2:$A$146,0),MATCH(BH$3,'Eurostat EB TJ GWh'!$A$2:$BV$2,0))</f>
        <v>0</v>
      </c>
      <c r="BI105" s="17">
        <f>INDEX('Eurostat EB TJ GWh'!$A$2:$BV$146,MATCH($A105,'Eurostat EB TJ GWh'!$A$2:$A$146,0),MATCH(BI$3,'Eurostat EB TJ GWh'!$A$2:$BV$2,0))</f>
        <v>0</v>
      </c>
      <c r="BJ105" s="65">
        <v>0</v>
      </c>
      <c r="BK105" s="17">
        <f>INDEX('Eurostat EB TJ GWh'!$A$2:$BV$146,MATCH($A105,'Eurostat EB TJ GWh'!$A$2:$A$146,0),MATCH(BK$3,'Eurostat EB TJ GWh'!$A$2:$BV$2,0))</f>
        <v>894.95600000000002</v>
      </c>
      <c r="BL105" s="17">
        <f>INDEX('Eurostat EB TJ GWh'!$A$2:$BV$146,MATCH($A105,'Eurostat EB TJ GWh'!$A$2:$A$146,0),MATCH(BL$3,'Eurostat EB TJ GWh'!$A$2:$BV$2,0))</f>
        <v>1866.9480000000001</v>
      </c>
      <c r="BM105" s="17">
        <f>INDEX('Eurostat EB TJ GWh'!$A$2:$BV$146,MATCH($A105,'Eurostat EB TJ GWh'!$A$2:$A$146,0),MATCH(BM$3,'Eurostat EB TJ GWh'!$A$2:$BV$2,0))</f>
        <v>4442.1030000000001</v>
      </c>
      <c r="BN105" s="17">
        <f>INDEX('Eurostat EB TJ GWh'!$A$2:$BV$146,MATCH($A105,'Eurostat EB TJ GWh'!$A$2:$A$146,0),MATCH(BN$3,'Eurostat EB TJ GWh'!$A$2:$BV$2,0))</f>
        <v>485.61</v>
      </c>
    </row>
    <row r="106" spans="1:66" x14ac:dyDescent="0.2">
      <c r="A106" s="56" t="s">
        <v>295</v>
      </c>
      <c r="B106" s="65" t="s">
        <v>323</v>
      </c>
      <c r="C106" s="65" t="s">
        <v>323</v>
      </c>
      <c r="D106" s="57">
        <f>INDEX('Eurostat EB TJ GWh'!$A$2:$BV$146,MATCH($A106,'Eurostat EB TJ GWh'!$A$2:$A$146,0),MATCH(D$3,'Eurostat EB TJ GWh'!$A$2:$BV$2,0))</f>
        <v>0</v>
      </c>
      <c r="E106" s="57">
        <f>INDEX('Eurostat EB TJ GWh'!$A$2:$BV$146,MATCH($A106,'Eurostat EB TJ GWh'!$A$2:$A$146,0),MATCH(E$3,'Eurostat EB TJ GWh'!$A$2:$BV$2,0))</f>
        <v>0</v>
      </c>
      <c r="F106" s="57">
        <f>INDEX('Eurostat EB TJ GWh'!$A$2:$BV$146,MATCH($A106,'Eurostat EB TJ GWh'!$A$2:$A$146,0),MATCH(F$3,'Eurostat EB TJ GWh'!$A$2:$BV$2,0))</f>
        <v>294.52499999999998</v>
      </c>
      <c r="G106" s="57">
        <f>INDEX('Eurostat EB TJ GWh'!$A$2:$BV$146,MATCH($A106,'Eurostat EB TJ GWh'!$A$2:$A$146,0),MATCH(G$3,'Eurostat EB TJ GWh'!$A$2:$BV$2,0))</f>
        <v>0</v>
      </c>
      <c r="H106" s="57">
        <f>INDEX('Eurostat EB TJ GWh'!$A$2:$BV$146,MATCH($A106,'Eurostat EB TJ GWh'!$A$2:$A$146,0),MATCH(H$3,'Eurostat EB TJ GWh'!$A$2:$BV$2,0))</f>
        <v>0</v>
      </c>
      <c r="I106" s="57">
        <f>INDEX('Eurostat EB TJ GWh'!$A$2:$BV$146,MATCH($A106,'Eurostat EB TJ GWh'!$A$2:$A$146,0),MATCH(I$3,'Eurostat EB TJ GWh'!$A$2:$BV$2,0))</f>
        <v>0</v>
      </c>
      <c r="J106" s="57">
        <f>INDEX('Eurostat EB TJ GWh'!$A$2:$BV$146,MATCH($A106,'Eurostat EB TJ GWh'!$A$2:$A$146,0),MATCH(J$3,'Eurostat EB TJ GWh'!$A$2:$BV$2,0))</f>
        <v>0</v>
      </c>
      <c r="K106" s="57">
        <f>INDEX('Eurostat EB TJ GWh'!$A$2:$BV$146,MATCH($A106,'Eurostat EB TJ GWh'!$A$2:$A$146,0),MATCH(K$3,'Eurostat EB TJ GWh'!$A$2:$BV$2,0))</f>
        <v>0</v>
      </c>
      <c r="L106" s="57">
        <f>INDEX('Eurostat EB TJ GWh'!$A$2:$BV$146,MATCH($A106,'Eurostat EB TJ GWh'!$A$2:$A$146,0),MATCH(L$3,'Eurostat EB TJ GWh'!$A$2:$BV$2,0))</f>
        <v>0</v>
      </c>
      <c r="M106" s="57">
        <f>INDEX('Eurostat EB TJ GWh'!$A$2:$BV$146,MATCH($A106,'Eurostat EB TJ GWh'!$A$2:$A$146,0),MATCH(M$3,'Eurostat EB TJ GWh'!$A$2:$BV$2,0))</f>
        <v>0</v>
      </c>
      <c r="N106" s="57">
        <f>INDEX('Eurostat EB TJ GWh'!$A$2:$BV$146,MATCH($A106,'Eurostat EB TJ GWh'!$A$2:$A$146,0),MATCH(N$3,'Eurostat EB TJ GWh'!$A$2:$BV$2,0))</f>
        <v>0</v>
      </c>
      <c r="O106" s="57">
        <f>INDEX('Eurostat EB TJ GWh'!$A$2:$BV$146,MATCH($A106,'Eurostat EB TJ GWh'!$A$2:$A$146,0),MATCH(O$3,'Eurostat EB TJ GWh'!$A$2:$BV$2,0))</f>
        <v>0</v>
      </c>
      <c r="P106" s="57">
        <f>INDEX('Eurostat EB TJ GWh'!$A$2:$BV$146,MATCH($A106,'Eurostat EB TJ GWh'!$A$2:$A$146,0),MATCH(P$3,'Eurostat EB TJ GWh'!$A$2:$BV$2,0))</f>
        <v>0</v>
      </c>
      <c r="Q106" s="57">
        <f>INDEX('Eurostat EB TJ GWh'!$A$2:$BV$146,MATCH($A106,'Eurostat EB TJ GWh'!$A$2:$A$146,0),MATCH(Q$3,'Eurostat EB TJ GWh'!$A$2:$BV$2,0))</f>
        <v>0</v>
      </c>
      <c r="R106" s="57">
        <f>INDEX('Eurostat EB TJ GWh'!$A$2:$BV$146,MATCH($A106,'Eurostat EB TJ GWh'!$A$2:$A$146,0),MATCH(R$2,'Eurostat EB TJ GWh'!$A$2:$BV$2,0))+INDEX('Eurostat EB TJ GWh'!$A$2:$BV$146,MATCH($A106,'Eurostat EB TJ GWh'!$A$2:$A$146,0),MATCH(R$3,'Eurostat EB TJ GWh'!$A$2:$BV$2,0))</f>
        <v>0</v>
      </c>
      <c r="S106" s="57">
        <f>INDEX('Eurostat EB TJ GWh'!$A$2:$BV$146,MATCH($A106,'Eurostat EB TJ GWh'!$A$2:$A$146,0),MATCH(S$3,'Eurostat EB TJ GWh'!$A$2:$BV$2,0))</f>
        <v>50801.394999999997</v>
      </c>
      <c r="T106" s="65" t="s">
        <v>323</v>
      </c>
      <c r="U106" s="57">
        <f>INDEX('Eurostat EB TJ GWh'!$A$2:$BV$146,MATCH($A106,'Eurostat EB TJ GWh'!$A$2:$A$146,0),MATCH(U$3,'Eurostat EB TJ GWh'!$A$2:$BV$2,0))</f>
        <v>0</v>
      </c>
      <c r="V106" s="57">
        <f>INDEX('Eurostat EB TJ GWh'!$A$2:$BV$146,MATCH($A106,'Eurostat EB TJ GWh'!$A$2:$A$146,0),MATCH(V$3,'Eurostat EB TJ GWh'!$A$2:$BV$2,0))</f>
        <v>0</v>
      </c>
      <c r="W106" s="57">
        <f>INDEX('Eurostat EB TJ GWh'!$A$2:$BV$146,MATCH($A106,'Eurostat EB TJ GWh'!$A$2:$A$146,0),MATCH(W$3,'Eurostat EB TJ GWh'!$A$2:$BV$2,0))</f>
        <v>0</v>
      </c>
      <c r="X106" s="57">
        <f>INDEX('Eurostat EB TJ GWh'!$A$2:$BV$146,MATCH($A106,'Eurostat EB TJ GWh'!$A$2:$A$146,0),MATCH(X$3,'Eurostat EB TJ GWh'!$A$2:$BV$2,0))</f>
        <v>0</v>
      </c>
      <c r="Y106" s="57">
        <f>INDEX('Eurostat EB TJ GWh'!$A$2:$BV$146,MATCH($A106,'Eurostat EB TJ GWh'!$A$2:$A$146,0),MATCH(Y$3,'Eurostat EB TJ GWh'!$A$2:$BV$2,0))</f>
        <v>0</v>
      </c>
      <c r="Z106" s="57">
        <f>INDEX('Eurostat EB TJ GWh'!$A$2:$BV$146,MATCH($A106,'Eurostat EB TJ GWh'!$A$2:$A$146,0),MATCH(Z$3,'Eurostat EB TJ GWh'!$A$2:$BV$2,0))</f>
        <v>0</v>
      </c>
      <c r="AA106" s="57">
        <f>INDEX('Eurostat EB TJ GWh'!$A$2:$BV$146,MATCH($A106,'Eurostat EB TJ GWh'!$A$2:$A$146,0),MATCH(AA$3,'Eurostat EB TJ GWh'!$A$2:$BV$2,0))</f>
        <v>0</v>
      </c>
      <c r="AB106" s="57">
        <f>INDEX('Eurostat EB TJ GWh'!$A$2:$BV$146,MATCH($A106,'Eurostat EB TJ GWh'!$A$2:$A$146,0),MATCH(AB$3,'Eurostat EB TJ GWh'!$A$2:$BV$2,0))</f>
        <v>31.228999999999999</v>
      </c>
      <c r="AC106" s="57">
        <f>INDEX('Eurostat EB TJ GWh'!$A$2:$BV$146,MATCH($A106,'Eurostat EB TJ GWh'!$A$2:$A$146,0),MATCH(AC$3,'Eurostat EB TJ GWh'!$A$2:$BV$2,0))</f>
        <v>0</v>
      </c>
      <c r="AD106" s="57">
        <f>INDEX('Eurostat EB TJ GWh'!$A$2:$BV$146,MATCH($A106,'Eurostat EB TJ GWh'!$A$2:$A$146,0),MATCH(AD$3,'Eurostat EB TJ GWh'!$A$2:$BV$2,0))</f>
        <v>0</v>
      </c>
      <c r="AE106" s="57">
        <f>INDEX('Eurostat EB TJ GWh'!$A$2:$BV$146,MATCH($A106,'Eurostat EB TJ GWh'!$A$2:$A$146,0),MATCH(AE$3,'Eurostat EB TJ GWh'!$A$2:$BV$2,0))</f>
        <v>0</v>
      </c>
      <c r="AF106" s="57">
        <f>INDEX('Eurostat EB TJ GWh'!$A$2:$BV$146,MATCH($A106,'Eurostat EB TJ GWh'!$A$2:$A$146,0),MATCH(AF$3,'Eurostat EB TJ GWh'!$A$2:$BV$2,0))</f>
        <v>0</v>
      </c>
      <c r="AG106" s="57">
        <f>INDEX('Eurostat EB TJ GWh'!$A$2:$BV$146,MATCH($A106,'Eurostat EB TJ GWh'!$A$2:$A$146,0),MATCH(AG$3,'Eurostat EB TJ GWh'!$A$2:$BV$2,0))</f>
        <v>0</v>
      </c>
      <c r="AH106" s="57">
        <f>INDEX('Eurostat EB TJ GWh'!$A$2:$BV$146,MATCH($A106,'Eurostat EB TJ GWh'!$A$2:$A$146,0),MATCH(AH$3,'Eurostat EB TJ GWh'!$A$2:$BV$2,0))</f>
        <v>38.956000000000003</v>
      </c>
      <c r="AI106" s="57">
        <f>INDEX('Eurostat EB TJ GWh'!$A$2:$BV$146,MATCH($A106,'Eurostat EB TJ GWh'!$A$2:$A$146,0),MATCH(AI$3,'Eurostat EB TJ GWh'!$A$2:$BV$2,0))</f>
        <v>0</v>
      </c>
      <c r="AJ106" s="57">
        <f>INDEX('Eurostat EB TJ GWh'!$A$2:$BV$146,MATCH($A106,'Eurostat EB TJ GWh'!$A$2:$A$146,0),MATCH(AJ$3,'Eurostat EB TJ GWh'!$A$2:$BV$2,0))</f>
        <v>0</v>
      </c>
      <c r="AK106" s="57">
        <f>INDEX('Eurostat EB TJ GWh'!$A$2:$BV$146,MATCH($A106,'Eurostat EB TJ GWh'!$A$2:$A$146,0),MATCH(AK$3,'Eurostat EB TJ GWh'!$A$2:$BV$2,0))</f>
        <v>0</v>
      </c>
      <c r="AL106" s="57">
        <f>INDEX('Eurostat EB TJ GWh'!$A$2:$BV$146,MATCH($A106,'Eurostat EB TJ GWh'!$A$2:$A$146,0),MATCH(AL$3,'Eurostat EB TJ GWh'!$A$2:$BV$2,0))</f>
        <v>0</v>
      </c>
      <c r="AM106" s="57">
        <f>INDEX('Eurostat EB TJ GWh'!$A$2:$BV$146,MATCH($A106,'Eurostat EB TJ GWh'!$A$2:$A$146,0),MATCH(AM$3,'Eurostat EB TJ GWh'!$A$2:$BV$2,0))</f>
        <v>0</v>
      </c>
      <c r="AN106" s="57">
        <f>INDEX('Eurostat EB TJ GWh'!$A$2:$BV$146,MATCH($A106,'Eurostat EB TJ GWh'!$A$2:$A$146,0),MATCH(AN$3,'Eurostat EB TJ GWh'!$A$2:$BV$2,0))</f>
        <v>0</v>
      </c>
      <c r="AO106" s="57">
        <f>INDEX('Eurostat EB TJ GWh'!$A$2:$BV$146,MATCH($A106,'Eurostat EB TJ GWh'!$A$2:$A$146,0),MATCH(AO$3,'Eurostat EB TJ GWh'!$A$2:$BV$2,0))</f>
        <v>0</v>
      </c>
      <c r="AP106" s="57">
        <f>INDEX('Eurostat EB TJ GWh'!$A$2:$BV$146,MATCH($A106,'Eurostat EB TJ GWh'!$A$2:$A$146,0),MATCH(AP$3,'Eurostat EB TJ GWh'!$A$2:$BV$2,0))</f>
        <v>0.16700000000000001</v>
      </c>
      <c r="AQ106" s="57">
        <f>INDEX('Eurostat EB TJ GWh'!$A$2:$BV$146,MATCH($A106,'Eurostat EB TJ GWh'!$A$2:$A$146,0),MATCH(AQ$3,'Eurostat EB TJ GWh'!$A$2:$BV$2,0))</f>
        <v>0</v>
      </c>
      <c r="AR106" s="57">
        <f>INDEX('Eurostat EB TJ GWh'!$A$2:$BV$146,MATCH($A106,'Eurostat EB TJ GWh'!$A$2:$A$146,0),MATCH(AR$3,'Eurostat EB TJ GWh'!$A$2:$BV$2,0))</f>
        <v>0</v>
      </c>
      <c r="AS106" s="57">
        <f>INDEX('Eurostat EB TJ GWh'!$A$2:$BV$146,MATCH($A106,'Eurostat EB TJ GWh'!$A$2:$A$146,0),MATCH(AS$3,'Eurostat EB TJ GWh'!$A$2:$BV$2,0))</f>
        <v>0</v>
      </c>
      <c r="AT106" s="57">
        <f>INDEX('Eurostat EB TJ GWh'!$A$2:$BV$146,MATCH($A106,'Eurostat EB TJ GWh'!$A$2:$A$146,0),MATCH(AT$3,'Eurostat EB TJ GWh'!$A$2:$BV$2,0))</f>
        <v>0</v>
      </c>
      <c r="AU106" s="57">
        <f>INDEX('Eurostat EB TJ GWh'!$A$2:$BV$146,MATCH($A106,'Eurostat EB TJ GWh'!$A$2:$A$146,0),MATCH(AU$3,'Eurostat EB TJ GWh'!$A$2:$BV$2,0))</f>
        <v>1239.7670000000001</v>
      </c>
      <c r="AV106" s="57">
        <f>INDEX('Eurostat EB TJ GWh'!$A$2:$BV$146,MATCH($A106,'Eurostat EB TJ GWh'!$A$2:$A$146,0),MATCH(AV$2,'Eurostat EB TJ GWh'!$A$2:$BV$2,0))+INDEX('Eurostat EB TJ GWh'!$A$2:$BV$146,MATCH($A106,'Eurostat EB TJ GWh'!$A$2:$A$146,0),MATCH(AV$3,'Eurostat EB TJ GWh'!$A$2:$BV$2,0))</f>
        <v>0</v>
      </c>
      <c r="AW106" s="57">
        <f>INDEX('Eurostat EB TJ GWh'!$A$2:$BV$146,MATCH($A106,'Eurostat EB TJ GWh'!$A$2:$A$146,0),MATCH(AW$2,'Eurostat EB TJ GWh'!$A$2:$BV$2,0))+INDEX('Eurostat EB TJ GWh'!$A$2:$BV$146,MATCH($A106,'Eurostat EB TJ GWh'!$A$2:$A$146,0),MATCH(AW$3,'Eurostat EB TJ GWh'!$A$2:$BV$2,0))</f>
        <v>0</v>
      </c>
      <c r="AX106" s="57">
        <f>INDEX('Eurostat EB TJ GWh'!$A$2:$BV$146,MATCH($A106,'Eurostat EB TJ GWh'!$A$2:$A$146,0),MATCH(AX$3,'Eurostat EB TJ GWh'!$A$2:$BV$2,0))</f>
        <v>51.48</v>
      </c>
      <c r="AY106" s="72">
        <v>0</v>
      </c>
      <c r="AZ106" s="57">
        <f>INDEX('Eurostat EB TJ GWh'!$A$2:$BV$146,MATCH($A106,'Eurostat EB TJ GWh'!$A$2:$A$146,0),MATCH(AZ$3,'Eurostat EB TJ GWh'!$A$2:$BV$2,0))</f>
        <v>0</v>
      </c>
      <c r="BA106" s="72">
        <v>0</v>
      </c>
      <c r="BB106" s="72">
        <v>0</v>
      </c>
      <c r="BC106" s="57">
        <f>INDEX('Eurostat EB TJ GWh'!$A$2:$BV$146,MATCH($A106,'Eurostat EB TJ GWh'!$A$2:$A$146,0),MATCH(BC$3,'Eurostat EB TJ GWh'!$A$2:$BV$2,0))</f>
        <v>0</v>
      </c>
      <c r="BD106" s="57">
        <f>INDEX('Eurostat EB TJ GWh'!$A$2:$BV$146,MATCH($A106,'Eurostat EB TJ GWh'!$A$2:$A$146,0),MATCH(BD$3,'Eurostat EB TJ GWh'!$A$2:$BV$2,0))</f>
        <v>0</v>
      </c>
      <c r="BE106" s="57">
        <f>INDEX('Eurostat EB TJ GWh'!$A$2:$BV$146,MATCH($A106,'Eurostat EB TJ GWh'!$A$2:$A$146,0),MATCH(BE$3,'Eurostat EB TJ GWh'!$A$2:$BV$2,0))</f>
        <v>0</v>
      </c>
      <c r="BF106" s="57">
        <f>INDEX('Eurostat EB TJ GWh'!$A$2:$BV$146,MATCH($A106,'Eurostat EB TJ GWh'!$A$2:$A$146,0),MATCH(BF$3,'Eurostat EB TJ GWh'!$A$2:$BV$2,0))</f>
        <v>0</v>
      </c>
      <c r="BG106" s="57">
        <f>INDEX('Eurostat EB TJ GWh'!$A$2:$BV$146,MATCH($A106,'Eurostat EB TJ GWh'!$A$2:$A$146,0),MATCH(BG$3,'Eurostat EB TJ GWh'!$A$2:$BV$2,0))</f>
        <v>0</v>
      </c>
      <c r="BH106" s="57">
        <f>INDEX('Eurostat EB TJ GWh'!$A$2:$BV$146,MATCH($A106,'Eurostat EB TJ GWh'!$A$2:$A$146,0),MATCH(BH$3,'Eurostat EB TJ GWh'!$A$2:$BV$2,0))</f>
        <v>0</v>
      </c>
      <c r="BI106" s="57">
        <f>INDEX('Eurostat EB TJ GWh'!$A$2:$BV$146,MATCH($A106,'Eurostat EB TJ GWh'!$A$2:$A$146,0),MATCH(BI$3,'Eurostat EB TJ GWh'!$A$2:$BV$2,0))</f>
        <v>0</v>
      </c>
      <c r="BJ106" s="72">
        <v>0</v>
      </c>
      <c r="BK106" s="57">
        <f>INDEX('Eurostat EB TJ GWh'!$A$2:$BV$146,MATCH($A106,'Eurostat EB TJ GWh'!$A$2:$A$146,0),MATCH(BK$3,'Eurostat EB TJ GWh'!$A$2:$BV$2,0))</f>
        <v>24213.146000000001</v>
      </c>
      <c r="BL106" s="57">
        <f>INDEX('Eurostat EB TJ GWh'!$A$2:$BV$146,MATCH($A106,'Eurostat EB TJ GWh'!$A$2:$A$146,0),MATCH(BL$3,'Eurostat EB TJ GWh'!$A$2:$BV$2,0))</f>
        <v>1244.7650000000001</v>
      </c>
      <c r="BM106" s="57">
        <f>INDEX('Eurostat EB TJ GWh'!$A$2:$BV$146,MATCH($A106,'Eurostat EB TJ GWh'!$A$2:$A$146,0),MATCH(BM$3,'Eurostat EB TJ GWh'!$A$2:$BV$2,0))</f>
        <v>77915.429999999993</v>
      </c>
      <c r="BN106" s="57">
        <f>INDEX('Eurostat EB TJ GWh'!$A$2:$BV$146,MATCH($A106,'Eurostat EB TJ GWh'!$A$2:$A$146,0),MATCH(BN$3,'Eurostat EB TJ GWh'!$A$2:$BV$2,0))</f>
        <v>3696.8180000000002</v>
      </c>
    </row>
    <row r="107" spans="1:66" x14ac:dyDescent="0.2">
      <c r="A107" s="56" t="s">
        <v>296</v>
      </c>
      <c r="B107" s="65" t="s">
        <v>323</v>
      </c>
      <c r="C107" s="65" t="s">
        <v>323</v>
      </c>
      <c r="D107" s="17">
        <f>INDEX('Eurostat EB TJ GWh'!$A$2:$BV$146,MATCH($A107,'Eurostat EB TJ GWh'!$A$2:$A$146,0),MATCH(D$3,'Eurostat EB TJ GWh'!$A$2:$BV$2,0))</f>
        <v>0</v>
      </c>
      <c r="E107" s="17">
        <f>INDEX('Eurostat EB TJ GWh'!$A$2:$BV$146,MATCH($A107,'Eurostat EB TJ GWh'!$A$2:$A$146,0),MATCH(E$3,'Eurostat EB TJ GWh'!$A$2:$BV$2,0))</f>
        <v>0</v>
      </c>
      <c r="F107" s="17">
        <f>INDEX('Eurostat EB TJ GWh'!$A$2:$BV$146,MATCH($A107,'Eurostat EB TJ GWh'!$A$2:$A$146,0),MATCH(F$3,'Eurostat EB TJ GWh'!$A$2:$BV$2,0))</f>
        <v>0</v>
      </c>
      <c r="G107" s="17">
        <f>INDEX('Eurostat EB TJ GWh'!$A$2:$BV$146,MATCH($A107,'Eurostat EB TJ GWh'!$A$2:$A$146,0),MATCH(G$3,'Eurostat EB TJ GWh'!$A$2:$BV$2,0))</f>
        <v>0</v>
      </c>
      <c r="H107" s="17">
        <f>INDEX('Eurostat EB TJ GWh'!$A$2:$BV$146,MATCH($A107,'Eurostat EB TJ GWh'!$A$2:$A$146,0),MATCH(H$3,'Eurostat EB TJ GWh'!$A$2:$BV$2,0))</f>
        <v>0</v>
      </c>
      <c r="I107" s="17">
        <f>INDEX('Eurostat EB TJ GWh'!$A$2:$BV$146,MATCH($A107,'Eurostat EB TJ GWh'!$A$2:$A$146,0),MATCH(I$3,'Eurostat EB TJ GWh'!$A$2:$BV$2,0))</f>
        <v>0</v>
      </c>
      <c r="J107" s="17">
        <f>INDEX('Eurostat EB TJ GWh'!$A$2:$BV$146,MATCH($A107,'Eurostat EB TJ GWh'!$A$2:$A$146,0),MATCH(J$3,'Eurostat EB TJ GWh'!$A$2:$BV$2,0))</f>
        <v>0</v>
      </c>
      <c r="K107" s="17">
        <f>INDEX('Eurostat EB TJ GWh'!$A$2:$BV$146,MATCH($A107,'Eurostat EB TJ GWh'!$A$2:$A$146,0),MATCH(K$3,'Eurostat EB TJ GWh'!$A$2:$BV$2,0))</f>
        <v>0</v>
      </c>
      <c r="L107" s="17">
        <f>INDEX('Eurostat EB TJ GWh'!$A$2:$BV$146,MATCH($A107,'Eurostat EB TJ GWh'!$A$2:$A$146,0),MATCH(L$3,'Eurostat EB TJ GWh'!$A$2:$BV$2,0))</f>
        <v>0</v>
      </c>
      <c r="M107" s="17">
        <f>INDEX('Eurostat EB TJ GWh'!$A$2:$BV$146,MATCH($A107,'Eurostat EB TJ GWh'!$A$2:$A$146,0),MATCH(M$3,'Eurostat EB TJ GWh'!$A$2:$BV$2,0))</f>
        <v>0</v>
      </c>
      <c r="N107" s="17">
        <f>INDEX('Eurostat EB TJ GWh'!$A$2:$BV$146,MATCH($A107,'Eurostat EB TJ GWh'!$A$2:$A$146,0),MATCH(N$3,'Eurostat EB TJ GWh'!$A$2:$BV$2,0))</f>
        <v>0</v>
      </c>
      <c r="O107" s="17">
        <f>INDEX('Eurostat EB TJ GWh'!$A$2:$BV$146,MATCH($A107,'Eurostat EB TJ GWh'!$A$2:$A$146,0),MATCH(O$3,'Eurostat EB TJ GWh'!$A$2:$BV$2,0))</f>
        <v>0</v>
      </c>
      <c r="P107" s="17">
        <f>INDEX('Eurostat EB TJ GWh'!$A$2:$BV$146,MATCH($A107,'Eurostat EB TJ GWh'!$A$2:$A$146,0),MATCH(P$3,'Eurostat EB TJ GWh'!$A$2:$BV$2,0))</f>
        <v>0</v>
      </c>
      <c r="Q107" s="17">
        <f>INDEX('Eurostat EB TJ GWh'!$A$2:$BV$146,MATCH($A107,'Eurostat EB TJ GWh'!$A$2:$A$146,0),MATCH(Q$3,'Eurostat EB TJ GWh'!$A$2:$BV$2,0))</f>
        <v>0</v>
      </c>
      <c r="R107" s="17">
        <f>INDEX('Eurostat EB TJ GWh'!$A$2:$BV$146,MATCH($A107,'Eurostat EB TJ GWh'!$A$2:$A$146,0),MATCH(R$2,'Eurostat EB TJ GWh'!$A$2:$BV$2,0))+INDEX('Eurostat EB TJ GWh'!$A$2:$BV$146,MATCH($A107,'Eurostat EB TJ GWh'!$A$2:$A$146,0),MATCH(R$3,'Eurostat EB TJ GWh'!$A$2:$BV$2,0))</f>
        <v>0</v>
      </c>
      <c r="S107" s="17">
        <f>INDEX('Eurostat EB TJ GWh'!$A$2:$BV$146,MATCH($A107,'Eurostat EB TJ GWh'!$A$2:$A$146,0),MATCH(S$3,'Eurostat EB TJ GWh'!$A$2:$BV$2,0))</f>
        <v>9934.5470000000005</v>
      </c>
      <c r="T107" s="65" t="s">
        <v>323</v>
      </c>
      <c r="U107" s="17">
        <f>INDEX('Eurostat EB TJ GWh'!$A$2:$BV$146,MATCH($A107,'Eurostat EB TJ GWh'!$A$2:$A$146,0),MATCH(U$3,'Eurostat EB TJ GWh'!$A$2:$BV$2,0))</f>
        <v>0</v>
      </c>
      <c r="V107" s="17">
        <f>INDEX('Eurostat EB TJ GWh'!$A$2:$BV$146,MATCH($A107,'Eurostat EB TJ GWh'!$A$2:$A$146,0),MATCH(V$3,'Eurostat EB TJ GWh'!$A$2:$BV$2,0))</f>
        <v>0</v>
      </c>
      <c r="W107" s="17">
        <f>INDEX('Eurostat EB TJ GWh'!$A$2:$BV$146,MATCH($A107,'Eurostat EB TJ GWh'!$A$2:$A$146,0),MATCH(W$3,'Eurostat EB TJ GWh'!$A$2:$BV$2,0))</f>
        <v>0</v>
      </c>
      <c r="X107" s="17">
        <f>INDEX('Eurostat EB TJ GWh'!$A$2:$BV$146,MATCH($A107,'Eurostat EB TJ GWh'!$A$2:$A$146,0),MATCH(X$3,'Eurostat EB TJ GWh'!$A$2:$BV$2,0))</f>
        <v>0</v>
      </c>
      <c r="Y107" s="17">
        <f>INDEX('Eurostat EB TJ GWh'!$A$2:$BV$146,MATCH($A107,'Eurostat EB TJ GWh'!$A$2:$A$146,0),MATCH(Y$3,'Eurostat EB TJ GWh'!$A$2:$BV$2,0))</f>
        <v>0</v>
      </c>
      <c r="Z107" s="17">
        <f>INDEX('Eurostat EB TJ GWh'!$A$2:$BV$146,MATCH($A107,'Eurostat EB TJ GWh'!$A$2:$A$146,0),MATCH(Z$3,'Eurostat EB TJ GWh'!$A$2:$BV$2,0))</f>
        <v>0</v>
      </c>
      <c r="AA107" s="17">
        <f>INDEX('Eurostat EB TJ GWh'!$A$2:$BV$146,MATCH($A107,'Eurostat EB TJ GWh'!$A$2:$A$146,0),MATCH(AA$3,'Eurostat EB TJ GWh'!$A$2:$BV$2,0))</f>
        <v>0</v>
      </c>
      <c r="AB107" s="17">
        <f>INDEX('Eurostat EB TJ GWh'!$A$2:$BV$146,MATCH($A107,'Eurostat EB TJ GWh'!$A$2:$A$146,0),MATCH(AB$3,'Eurostat EB TJ GWh'!$A$2:$BV$2,0))</f>
        <v>43.656999999999996</v>
      </c>
      <c r="AC107" s="17">
        <f>INDEX('Eurostat EB TJ GWh'!$A$2:$BV$146,MATCH($A107,'Eurostat EB TJ GWh'!$A$2:$A$146,0),MATCH(AC$3,'Eurostat EB TJ GWh'!$A$2:$BV$2,0))</f>
        <v>0</v>
      </c>
      <c r="AD107" s="17">
        <f>INDEX('Eurostat EB TJ GWh'!$A$2:$BV$146,MATCH($A107,'Eurostat EB TJ GWh'!$A$2:$A$146,0),MATCH(AD$3,'Eurostat EB TJ GWh'!$A$2:$BV$2,0))</f>
        <v>0</v>
      </c>
      <c r="AE107" s="17">
        <f>INDEX('Eurostat EB TJ GWh'!$A$2:$BV$146,MATCH($A107,'Eurostat EB TJ GWh'!$A$2:$A$146,0),MATCH(AE$3,'Eurostat EB TJ GWh'!$A$2:$BV$2,0))</f>
        <v>0</v>
      </c>
      <c r="AF107" s="17">
        <f>INDEX('Eurostat EB TJ GWh'!$A$2:$BV$146,MATCH($A107,'Eurostat EB TJ GWh'!$A$2:$A$146,0),MATCH(AF$3,'Eurostat EB TJ GWh'!$A$2:$BV$2,0))</f>
        <v>0</v>
      </c>
      <c r="AG107" s="17">
        <f>INDEX('Eurostat EB TJ GWh'!$A$2:$BV$146,MATCH($A107,'Eurostat EB TJ GWh'!$A$2:$A$146,0),MATCH(AG$3,'Eurostat EB TJ GWh'!$A$2:$BV$2,0))</f>
        <v>0</v>
      </c>
      <c r="AH107" s="17">
        <f>INDEX('Eurostat EB TJ GWh'!$A$2:$BV$146,MATCH($A107,'Eurostat EB TJ GWh'!$A$2:$A$146,0),MATCH(AH$3,'Eurostat EB TJ GWh'!$A$2:$BV$2,0))</f>
        <v>6.7729999999999997</v>
      </c>
      <c r="AI107" s="17">
        <f>INDEX('Eurostat EB TJ GWh'!$A$2:$BV$146,MATCH($A107,'Eurostat EB TJ GWh'!$A$2:$A$146,0),MATCH(AI$3,'Eurostat EB TJ GWh'!$A$2:$BV$2,0))</f>
        <v>0</v>
      </c>
      <c r="AJ107" s="17">
        <f>INDEX('Eurostat EB TJ GWh'!$A$2:$BV$146,MATCH($A107,'Eurostat EB TJ GWh'!$A$2:$A$146,0),MATCH(AJ$3,'Eurostat EB TJ GWh'!$A$2:$BV$2,0))</f>
        <v>0</v>
      </c>
      <c r="AK107" s="17">
        <f>INDEX('Eurostat EB TJ GWh'!$A$2:$BV$146,MATCH($A107,'Eurostat EB TJ GWh'!$A$2:$A$146,0),MATCH(AK$3,'Eurostat EB TJ GWh'!$A$2:$BV$2,0))</f>
        <v>0</v>
      </c>
      <c r="AL107" s="17">
        <f>INDEX('Eurostat EB TJ GWh'!$A$2:$BV$146,MATCH($A107,'Eurostat EB TJ GWh'!$A$2:$A$146,0),MATCH(AL$3,'Eurostat EB TJ GWh'!$A$2:$BV$2,0))</f>
        <v>0</v>
      </c>
      <c r="AM107" s="17">
        <f>INDEX('Eurostat EB TJ GWh'!$A$2:$BV$146,MATCH($A107,'Eurostat EB TJ GWh'!$A$2:$A$146,0),MATCH(AM$3,'Eurostat EB TJ GWh'!$A$2:$BV$2,0))</f>
        <v>0</v>
      </c>
      <c r="AN107" s="17">
        <f>INDEX('Eurostat EB TJ GWh'!$A$2:$BV$146,MATCH($A107,'Eurostat EB TJ GWh'!$A$2:$A$146,0),MATCH(AN$3,'Eurostat EB TJ GWh'!$A$2:$BV$2,0))</f>
        <v>0</v>
      </c>
      <c r="AO107" s="17">
        <f>INDEX('Eurostat EB TJ GWh'!$A$2:$BV$146,MATCH($A107,'Eurostat EB TJ GWh'!$A$2:$A$146,0),MATCH(AO$3,'Eurostat EB TJ GWh'!$A$2:$BV$2,0))</f>
        <v>0</v>
      </c>
      <c r="AP107" s="17">
        <f>INDEX('Eurostat EB TJ GWh'!$A$2:$BV$146,MATCH($A107,'Eurostat EB TJ GWh'!$A$2:$A$146,0),MATCH(AP$3,'Eurostat EB TJ GWh'!$A$2:$BV$2,0))</f>
        <v>0.11899999999999999</v>
      </c>
      <c r="AQ107" s="17">
        <f>INDEX('Eurostat EB TJ GWh'!$A$2:$BV$146,MATCH($A107,'Eurostat EB TJ GWh'!$A$2:$A$146,0),MATCH(AQ$3,'Eurostat EB TJ GWh'!$A$2:$BV$2,0))</f>
        <v>186.16900000000001</v>
      </c>
      <c r="AR107" s="17">
        <f>INDEX('Eurostat EB TJ GWh'!$A$2:$BV$146,MATCH($A107,'Eurostat EB TJ GWh'!$A$2:$A$146,0),MATCH(AR$3,'Eurostat EB TJ GWh'!$A$2:$BV$2,0))</f>
        <v>0</v>
      </c>
      <c r="AS107" s="17">
        <f>INDEX('Eurostat EB TJ GWh'!$A$2:$BV$146,MATCH($A107,'Eurostat EB TJ GWh'!$A$2:$A$146,0),MATCH(AS$3,'Eurostat EB TJ GWh'!$A$2:$BV$2,0))</f>
        <v>0</v>
      </c>
      <c r="AT107" s="17">
        <f>INDEX('Eurostat EB TJ GWh'!$A$2:$BV$146,MATCH($A107,'Eurostat EB TJ GWh'!$A$2:$A$146,0),MATCH(AT$3,'Eurostat EB TJ GWh'!$A$2:$BV$2,0))</f>
        <v>0</v>
      </c>
      <c r="AU107" s="17">
        <f>INDEX('Eurostat EB TJ GWh'!$A$2:$BV$146,MATCH($A107,'Eurostat EB TJ GWh'!$A$2:$A$146,0),MATCH(AU$3,'Eurostat EB TJ GWh'!$A$2:$BV$2,0))</f>
        <v>392.61700000000002</v>
      </c>
      <c r="AV107" s="17">
        <f>INDEX('Eurostat EB TJ GWh'!$A$2:$BV$146,MATCH($A107,'Eurostat EB TJ GWh'!$A$2:$A$146,0),MATCH(AV$2,'Eurostat EB TJ GWh'!$A$2:$BV$2,0))+INDEX('Eurostat EB TJ GWh'!$A$2:$BV$146,MATCH($A107,'Eurostat EB TJ GWh'!$A$2:$A$146,0),MATCH(AV$3,'Eurostat EB TJ GWh'!$A$2:$BV$2,0))</f>
        <v>0</v>
      </c>
      <c r="AW107" s="17">
        <f>INDEX('Eurostat EB TJ GWh'!$A$2:$BV$146,MATCH($A107,'Eurostat EB TJ GWh'!$A$2:$A$146,0),MATCH(AW$2,'Eurostat EB TJ GWh'!$A$2:$BV$2,0))+INDEX('Eurostat EB TJ GWh'!$A$2:$BV$146,MATCH($A107,'Eurostat EB TJ GWh'!$A$2:$A$146,0),MATCH(AW$3,'Eurostat EB TJ GWh'!$A$2:$BV$2,0))</f>
        <v>0</v>
      </c>
      <c r="AX107" s="17">
        <f>INDEX('Eurostat EB TJ GWh'!$A$2:$BV$146,MATCH($A107,'Eurostat EB TJ GWh'!$A$2:$A$146,0),MATCH(AX$3,'Eurostat EB TJ GWh'!$A$2:$BV$2,0))</f>
        <v>0</v>
      </c>
      <c r="AY107" s="65">
        <v>0</v>
      </c>
      <c r="AZ107" s="17">
        <f>INDEX('Eurostat EB TJ GWh'!$A$2:$BV$146,MATCH($A107,'Eurostat EB TJ GWh'!$A$2:$A$146,0),MATCH(AZ$3,'Eurostat EB TJ GWh'!$A$2:$BV$2,0))</f>
        <v>0</v>
      </c>
      <c r="BA107" s="65">
        <v>0</v>
      </c>
      <c r="BB107" s="65">
        <v>0</v>
      </c>
      <c r="BC107" s="17">
        <f>INDEX('Eurostat EB TJ GWh'!$A$2:$BV$146,MATCH($A107,'Eurostat EB TJ GWh'!$A$2:$A$146,0),MATCH(BC$3,'Eurostat EB TJ GWh'!$A$2:$BV$2,0))</f>
        <v>0</v>
      </c>
      <c r="BD107" s="17">
        <f>INDEX('Eurostat EB TJ GWh'!$A$2:$BV$146,MATCH($A107,'Eurostat EB TJ GWh'!$A$2:$A$146,0),MATCH(BD$3,'Eurostat EB TJ GWh'!$A$2:$BV$2,0))</f>
        <v>0</v>
      </c>
      <c r="BE107" s="17">
        <f>INDEX('Eurostat EB TJ GWh'!$A$2:$BV$146,MATCH($A107,'Eurostat EB TJ GWh'!$A$2:$A$146,0),MATCH(BE$3,'Eurostat EB TJ GWh'!$A$2:$BV$2,0))</f>
        <v>0</v>
      </c>
      <c r="BF107" s="17">
        <f>INDEX('Eurostat EB TJ GWh'!$A$2:$BV$146,MATCH($A107,'Eurostat EB TJ GWh'!$A$2:$A$146,0),MATCH(BF$3,'Eurostat EB TJ GWh'!$A$2:$BV$2,0))</f>
        <v>0</v>
      </c>
      <c r="BG107" s="17">
        <f>INDEX('Eurostat EB TJ GWh'!$A$2:$BV$146,MATCH($A107,'Eurostat EB TJ GWh'!$A$2:$A$146,0),MATCH(BG$3,'Eurostat EB TJ GWh'!$A$2:$BV$2,0))</f>
        <v>0</v>
      </c>
      <c r="BH107" s="17">
        <f>INDEX('Eurostat EB TJ GWh'!$A$2:$BV$146,MATCH($A107,'Eurostat EB TJ GWh'!$A$2:$A$146,0),MATCH(BH$3,'Eurostat EB TJ GWh'!$A$2:$BV$2,0))</f>
        <v>0</v>
      </c>
      <c r="BI107" s="17">
        <f>INDEX('Eurostat EB TJ GWh'!$A$2:$BV$146,MATCH($A107,'Eurostat EB TJ GWh'!$A$2:$A$146,0),MATCH(BI$3,'Eurostat EB TJ GWh'!$A$2:$BV$2,0))</f>
        <v>0</v>
      </c>
      <c r="BJ107" s="65">
        <v>0</v>
      </c>
      <c r="BK107" s="17">
        <f>INDEX('Eurostat EB TJ GWh'!$A$2:$BV$146,MATCH($A107,'Eurostat EB TJ GWh'!$A$2:$A$146,0),MATCH(BK$3,'Eurostat EB TJ GWh'!$A$2:$BV$2,0))</f>
        <v>5855.3059999999996</v>
      </c>
      <c r="BL107" s="17">
        <f>INDEX('Eurostat EB TJ GWh'!$A$2:$BV$146,MATCH($A107,'Eurostat EB TJ GWh'!$A$2:$A$146,0),MATCH(BL$3,'Eurostat EB TJ GWh'!$A$2:$BV$2,0))</f>
        <v>156.697</v>
      </c>
      <c r="BM107" s="17">
        <f>INDEX('Eurostat EB TJ GWh'!$A$2:$BV$146,MATCH($A107,'Eurostat EB TJ GWh'!$A$2:$A$146,0),MATCH(BM$3,'Eurostat EB TJ GWh'!$A$2:$BV$2,0))</f>
        <v>16575.885999999999</v>
      </c>
      <c r="BN107" s="17">
        <f>INDEX('Eurostat EB TJ GWh'!$A$2:$BV$146,MATCH($A107,'Eurostat EB TJ GWh'!$A$2:$A$146,0),MATCH(BN$3,'Eurostat EB TJ GWh'!$A$2:$BV$2,0))</f>
        <v>918.58500000000004</v>
      </c>
    </row>
    <row r="108" spans="1:66" x14ac:dyDescent="0.2">
      <c r="A108" s="56" t="s">
        <v>297</v>
      </c>
      <c r="B108" s="65" t="s">
        <v>323</v>
      </c>
      <c r="C108" s="65" t="s">
        <v>323</v>
      </c>
      <c r="D108" s="57">
        <f>INDEX('Eurostat EB TJ GWh'!$A$2:$BV$146,MATCH($A108,'Eurostat EB TJ GWh'!$A$2:$A$146,0),MATCH(D$3,'Eurostat EB TJ GWh'!$A$2:$BV$2,0))</f>
        <v>0</v>
      </c>
      <c r="E108" s="57">
        <f>INDEX('Eurostat EB TJ GWh'!$A$2:$BV$146,MATCH($A108,'Eurostat EB TJ GWh'!$A$2:$A$146,0),MATCH(E$3,'Eurostat EB TJ GWh'!$A$2:$BV$2,0))</f>
        <v>0</v>
      </c>
      <c r="F108" s="57">
        <f>INDEX('Eurostat EB TJ GWh'!$A$2:$BV$146,MATCH($A108,'Eurostat EB TJ GWh'!$A$2:$A$146,0),MATCH(F$3,'Eurostat EB TJ GWh'!$A$2:$BV$2,0))</f>
        <v>0</v>
      </c>
      <c r="G108" s="57">
        <f>INDEX('Eurostat EB TJ GWh'!$A$2:$BV$146,MATCH($A108,'Eurostat EB TJ GWh'!$A$2:$A$146,0),MATCH(G$3,'Eurostat EB TJ GWh'!$A$2:$BV$2,0))</f>
        <v>0</v>
      </c>
      <c r="H108" s="57">
        <f>INDEX('Eurostat EB TJ GWh'!$A$2:$BV$146,MATCH($A108,'Eurostat EB TJ GWh'!$A$2:$A$146,0),MATCH(H$3,'Eurostat EB TJ GWh'!$A$2:$BV$2,0))</f>
        <v>0</v>
      </c>
      <c r="I108" s="57">
        <f>INDEX('Eurostat EB TJ GWh'!$A$2:$BV$146,MATCH($A108,'Eurostat EB TJ GWh'!$A$2:$A$146,0),MATCH(I$3,'Eurostat EB TJ GWh'!$A$2:$BV$2,0))</f>
        <v>0</v>
      </c>
      <c r="J108" s="57">
        <f>INDEX('Eurostat EB TJ GWh'!$A$2:$BV$146,MATCH($A108,'Eurostat EB TJ GWh'!$A$2:$A$146,0),MATCH(J$3,'Eurostat EB TJ GWh'!$A$2:$BV$2,0))</f>
        <v>0</v>
      </c>
      <c r="K108" s="57">
        <f>INDEX('Eurostat EB TJ GWh'!$A$2:$BV$146,MATCH($A108,'Eurostat EB TJ GWh'!$A$2:$A$146,0),MATCH(K$3,'Eurostat EB TJ GWh'!$A$2:$BV$2,0))</f>
        <v>0</v>
      </c>
      <c r="L108" s="57">
        <f>INDEX('Eurostat EB TJ GWh'!$A$2:$BV$146,MATCH($A108,'Eurostat EB TJ GWh'!$A$2:$A$146,0),MATCH(L$3,'Eurostat EB TJ GWh'!$A$2:$BV$2,0))</f>
        <v>0</v>
      </c>
      <c r="M108" s="57">
        <f>INDEX('Eurostat EB TJ GWh'!$A$2:$BV$146,MATCH($A108,'Eurostat EB TJ GWh'!$A$2:$A$146,0),MATCH(M$3,'Eurostat EB TJ GWh'!$A$2:$BV$2,0))</f>
        <v>0</v>
      </c>
      <c r="N108" s="57">
        <f>INDEX('Eurostat EB TJ GWh'!$A$2:$BV$146,MATCH($A108,'Eurostat EB TJ GWh'!$A$2:$A$146,0),MATCH(N$3,'Eurostat EB TJ GWh'!$A$2:$BV$2,0))</f>
        <v>0</v>
      </c>
      <c r="O108" s="57">
        <f>INDEX('Eurostat EB TJ GWh'!$A$2:$BV$146,MATCH($A108,'Eurostat EB TJ GWh'!$A$2:$A$146,0),MATCH(O$3,'Eurostat EB TJ GWh'!$A$2:$BV$2,0))</f>
        <v>0</v>
      </c>
      <c r="P108" s="57">
        <f>INDEX('Eurostat EB TJ GWh'!$A$2:$BV$146,MATCH($A108,'Eurostat EB TJ GWh'!$A$2:$A$146,0),MATCH(P$3,'Eurostat EB TJ GWh'!$A$2:$BV$2,0))</f>
        <v>0</v>
      </c>
      <c r="Q108" s="57">
        <f>INDEX('Eurostat EB TJ GWh'!$A$2:$BV$146,MATCH($A108,'Eurostat EB TJ GWh'!$A$2:$A$146,0),MATCH(Q$3,'Eurostat EB TJ GWh'!$A$2:$BV$2,0))</f>
        <v>0</v>
      </c>
      <c r="R108" s="57">
        <f>INDEX('Eurostat EB TJ GWh'!$A$2:$BV$146,MATCH($A108,'Eurostat EB TJ GWh'!$A$2:$A$146,0),MATCH(R$2,'Eurostat EB TJ GWh'!$A$2:$BV$2,0))+INDEX('Eurostat EB TJ GWh'!$A$2:$BV$146,MATCH($A108,'Eurostat EB TJ GWh'!$A$2:$A$146,0),MATCH(R$3,'Eurostat EB TJ GWh'!$A$2:$BV$2,0))</f>
        <v>0</v>
      </c>
      <c r="S108" s="57">
        <f>INDEX('Eurostat EB TJ GWh'!$A$2:$BV$146,MATCH($A108,'Eurostat EB TJ GWh'!$A$2:$A$146,0),MATCH(S$3,'Eurostat EB TJ GWh'!$A$2:$BV$2,0))</f>
        <v>687.13499999999999</v>
      </c>
      <c r="T108" s="65" t="s">
        <v>323</v>
      </c>
      <c r="U108" s="57">
        <f>INDEX('Eurostat EB TJ GWh'!$A$2:$BV$146,MATCH($A108,'Eurostat EB TJ GWh'!$A$2:$A$146,0),MATCH(U$3,'Eurostat EB TJ GWh'!$A$2:$BV$2,0))</f>
        <v>0</v>
      </c>
      <c r="V108" s="57">
        <f>INDEX('Eurostat EB TJ GWh'!$A$2:$BV$146,MATCH($A108,'Eurostat EB TJ GWh'!$A$2:$A$146,0),MATCH(V$3,'Eurostat EB TJ GWh'!$A$2:$BV$2,0))</f>
        <v>0</v>
      </c>
      <c r="W108" s="57">
        <f>INDEX('Eurostat EB TJ GWh'!$A$2:$BV$146,MATCH($A108,'Eurostat EB TJ GWh'!$A$2:$A$146,0),MATCH(W$3,'Eurostat EB TJ GWh'!$A$2:$BV$2,0))</f>
        <v>0</v>
      </c>
      <c r="X108" s="57">
        <f>INDEX('Eurostat EB TJ GWh'!$A$2:$BV$146,MATCH($A108,'Eurostat EB TJ GWh'!$A$2:$A$146,0),MATCH(X$3,'Eurostat EB TJ GWh'!$A$2:$BV$2,0))</f>
        <v>0</v>
      </c>
      <c r="Y108" s="57">
        <f>INDEX('Eurostat EB TJ GWh'!$A$2:$BV$146,MATCH($A108,'Eurostat EB TJ GWh'!$A$2:$A$146,0),MATCH(Y$3,'Eurostat EB TJ GWh'!$A$2:$BV$2,0))</f>
        <v>0</v>
      </c>
      <c r="Z108" s="57">
        <f>INDEX('Eurostat EB TJ GWh'!$A$2:$BV$146,MATCH($A108,'Eurostat EB TJ GWh'!$A$2:$A$146,0),MATCH(Z$3,'Eurostat EB TJ GWh'!$A$2:$BV$2,0))</f>
        <v>0</v>
      </c>
      <c r="AA108" s="57">
        <f>INDEX('Eurostat EB TJ GWh'!$A$2:$BV$146,MATCH($A108,'Eurostat EB TJ GWh'!$A$2:$A$146,0),MATCH(AA$3,'Eurostat EB TJ GWh'!$A$2:$BV$2,0))</f>
        <v>0</v>
      </c>
      <c r="AB108" s="57">
        <f>INDEX('Eurostat EB TJ GWh'!$A$2:$BV$146,MATCH($A108,'Eurostat EB TJ GWh'!$A$2:$A$146,0),MATCH(AB$3,'Eurostat EB TJ GWh'!$A$2:$BV$2,0))</f>
        <v>2.169</v>
      </c>
      <c r="AC108" s="57">
        <f>INDEX('Eurostat EB TJ GWh'!$A$2:$BV$146,MATCH($A108,'Eurostat EB TJ GWh'!$A$2:$A$146,0),MATCH(AC$3,'Eurostat EB TJ GWh'!$A$2:$BV$2,0))</f>
        <v>0</v>
      </c>
      <c r="AD108" s="57">
        <f>INDEX('Eurostat EB TJ GWh'!$A$2:$BV$146,MATCH($A108,'Eurostat EB TJ GWh'!$A$2:$A$146,0),MATCH(AD$3,'Eurostat EB TJ GWh'!$A$2:$BV$2,0))</f>
        <v>0</v>
      </c>
      <c r="AE108" s="57">
        <f>INDEX('Eurostat EB TJ GWh'!$A$2:$BV$146,MATCH($A108,'Eurostat EB TJ GWh'!$A$2:$A$146,0),MATCH(AE$3,'Eurostat EB TJ GWh'!$A$2:$BV$2,0))</f>
        <v>0</v>
      </c>
      <c r="AF108" s="57">
        <f>INDEX('Eurostat EB TJ GWh'!$A$2:$BV$146,MATCH($A108,'Eurostat EB TJ GWh'!$A$2:$A$146,0),MATCH(AF$3,'Eurostat EB TJ GWh'!$A$2:$BV$2,0))</f>
        <v>0</v>
      </c>
      <c r="AG108" s="57">
        <f>INDEX('Eurostat EB TJ GWh'!$A$2:$BV$146,MATCH($A108,'Eurostat EB TJ GWh'!$A$2:$A$146,0),MATCH(AG$3,'Eurostat EB TJ GWh'!$A$2:$BV$2,0))</f>
        <v>0</v>
      </c>
      <c r="AH108" s="57">
        <f>INDEX('Eurostat EB TJ GWh'!$A$2:$BV$146,MATCH($A108,'Eurostat EB TJ GWh'!$A$2:$A$146,0),MATCH(AH$3,'Eurostat EB TJ GWh'!$A$2:$BV$2,0))</f>
        <v>24.202000000000002</v>
      </c>
      <c r="AI108" s="57">
        <f>INDEX('Eurostat EB TJ GWh'!$A$2:$BV$146,MATCH($A108,'Eurostat EB TJ GWh'!$A$2:$A$146,0),MATCH(AI$3,'Eurostat EB TJ GWh'!$A$2:$BV$2,0))</f>
        <v>0</v>
      </c>
      <c r="AJ108" s="57">
        <f>INDEX('Eurostat EB TJ GWh'!$A$2:$BV$146,MATCH($A108,'Eurostat EB TJ GWh'!$A$2:$A$146,0),MATCH(AJ$3,'Eurostat EB TJ GWh'!$A$2:$BV$2,0))</f>
        <v>0</v>
      </c>
      <c r="AK108" s="57">
        <f>INDEX('Eurostat EB TJ GWh'!$A$2:$BV$146,MATCH($A108,'Eurostat EB TJ GWh'!$A$2:$A$146,0),MATCH(AK$3,'Eurostat EB TJ GWh'!$A$2:$BV$2,0))</f>
        <v>0</v>
      </c>
      <c r="AL108" s="57">
        <f>INDEX('Eurostat EB TJ GWh'!$A$2:$BV$146,MATCH($A108,'Eurostat EB TJ GWh'!$A$2:$A$146,0),MATCH(AL$3,'Eurostat EB TJ GWh'!$A$2:$BV$2,0))</f>
        <v>0</v>
      </c>
      <c r="AM108" s="57">
        <f>INDEX('Eurostat EB TJ GWh'!$A$2:$BV$146,MATCH($A108,'Eurostat EB TJ GWh'!$A$2:$A$146,0),MATCH(AM$3,'Eurostat EB TJ GWh'!$A$2:$BV$2,0))</f>
        <v>0</v>
      </c>
      <c r="AN108" s="57">
        <f>INDEX('Eurostat EB TJ GWh'!$A$2:$BV$146,MATCH($A108,'Eurostat EB TJ GWh'!$A$2:$A$146,0),MATCH(AN$3,'Eurostat EB TJ GWh'!$A$2:$BV$2,0))</f>
        <v>0</v>
      </c>
      <c r="AO108" s="57">
        <f>INDEX('Eurostat EB TJ GWh'!$A$2:$BV$146,MATCH($A108,'Eurostat EB TJ GWh'!$A$2:$A$146,0),MATCH(AO$3,'Eurostat EB TJ GWh'!$A$2:$BV$2,0))</f>
        <v>0</v>
      </c>
      <c r="AP108" s="57">
        <f>INDEX('Eurostat EB TJ GWh'!$A$2:$BV$146,MATCH($A108,'Eurostat EB TJ GWh'!$A$2:$A$146,0),MATCH(AP$3,'Eurostat EB TJ GWh'!$A$2:$BV$2,0))</f>
        <v>0</v>
      </c>
      <c r="AQ108" s="57">
        <f>INDEX('Eurostat EB TJ GWh'!$A$2:$BV$146,MATCH($A108,'Eurostat EB TJ GWh'!$A$2:$A$146,0),MATCH(AQ$3,'Eurostat EB TJ GWh'!$A$2:$BV$2,0))</f>
        <v>0</v>
      </c>
      <c r="AR108" s="57">
        <f>INDEX('Eurostat EB TJ GWh'!$A$2:$BV$146,MATCH($A108,'Eurostat EB TJ GWh'!$A$2:$A$146,0),MATCH(AR$3,'Eurostat EB TJ GWh'!$A$2:$BV$2,0))</f>
        <v>0</v>
      </c>
      <c r="AS108" s="57">
        <f>INDEX('Eurostat EB TJ GWh'!$A$2:$BV$146,MATCH($A108,'Eurostat EB TJ GWh'!$A$2:$A$146,0),MATCH(AS$3,'Eurostat EB TJ GWh'!$A$2:$BV$2,0))</f>
        <v>0</v>
      </c>
      <c r="AT108" s="57">
        <f>INDEX('Eurostat EB TJ GWh'!$A$2:$BV$146,MATCH($A108,'Eurostat EB TJ GWh'!$A$2:$A$146,0),MATCH(AT$3,'Eurostat EB TJ GWh'!$A$2:$BV$2,0))</f>
        <v>881.14800000000002</v>
      </c>
      <c r="AU108" s="57">
        <f>INDEX('Eurostat EB TJ GWh'!$A$2:$BV$146,MATCH($A108,'Eurostat EB TJ GWh'!$A$2:$A$146,0),MATCH(AU$3,'Eurostat EB TJ GWh'!$A$2:$BV$2,0))</f>
        <v>0</v>
      </c>
      <c r="AV108" s="57">
        <f>INDEX('Eurostat EB TJ GWh'!$A$2:$BV$146,MATCH($A108,'Eurostat EB TJ GWh'!$A$2:$A$146,0),MATCH(AV$2,'Eurostat EB TJ GWh'!$A$2:$BV$2,0))+INDEX('Eurostat EB TJ GWh'!$A$2:$BV$146,MATCH($A108,'Eurostat EB TJ GWh'!$A$2:$A$146,0),MATCH(AV$3,'Eurostat EB TJ GWh'!$A$2:$BV$2,0))</f>
        <v>0</v>
      </c>
      <c r="AW108" s="57">
        <f>INDEX('Eurostat EB TJ GWh'!$A$2:$BV$146,MATCH($A108,'Eurostat EB TJ GWh'!$A$2:$A$146,0),MATCH(AW$2,'Eurostat EB TJ GWh'!$A$2:$BV$2,0))+INDEX('Eurostat EB TJ GWh'!$A$2:$BV$146,MATCH($A108,'Eurostat EB TJ GWh'!$A$2:$A$146,0),MATCH(AW$3,'Eurostat EB TJ GWh'!$A$2:$BV$2,0))</f>
        <v>0</v>
      </c>
      <c r="AX108" s="57">
        <f>INDEX('Eurostat EB TJ GWh'!$A$2:$BV$146,MATCH($A108,'Eurostat EB TJ GWh'!$A$2:$A$146,0),MATCH(AX$3,'Eurostat EB TJ GWh'!$A$2:$BV$2,0))</f>
        <v>0</v>
      </c>
      <c r="AY108" s="72">
        <v>0</v>
      </c>
      <c r="AZ108" s="57">
        <f>INDEX('Eurostat EB TJ GWh'!$A$2:$BV$146,MATCH($A108,'Eurostat EB TJ GWh'!$A$2:$A$146,0),MATCH(AZ$3,'Eurostat EB TJ GWh'!$A$2:$BV$2,0))</f>
        <v>0</v>
      </c>
      <c r="BA108" s="72">
        <v>0</v>
      </c>
      <c r="BB108" s="72">
        <v>0</v>
      </c>
      <c r="BC108" s="57">
        <f>INDEX('Eurostat EB TJ GWh'!$A$2:$BV$146,MATCH($A108,'Eurostat EB TJ GWh'!$A$2:$A$146,0),MATCH(BC$3,'Eurostat EB TJ GWh'!$A$2:$BV$2,0))</f>
        <v>0</v>
      </c>
      <c r="BD108" s="57">
        <f>INDEX('Eurostat EB TJ GWh'!$A$2:$BV$146,MATCH($A108,'Eurostat EB TJ GWh'!$A$2:$A$146,0),MATCH(BD$3,'Eurostat EB TJ GWh'!$A$2:$BV$2,0))</f>
        <v>0</v>
      </c>
      <c r="BE108" s="57">
        <f>INDEX('Eurostat EB TJ GWh'!$A$2:$BV$146,MATCH($A108,'Eurostat EB TJ GWh'!$A$2:$A$146,0),MATCH(BE$3,'Eurostat EB TJ GWh'!$A$2:$BV$2,0))</f>
        <v>0</v>
      </c>
      <c r="BF108" s="57">
        <f>INDEX('Eurostat EB TJ GWh'!$A$2:$BV$146,MATCH($A108,'Eurostat EB TJ GWh'!$A$2:$A$146,0),MATCH(BF$3,'Eurostat EB TJ GWh'!$A$2:$BV$2,0))</f>
        <v>0</v>
      </c>
      <c r="BG108" s="57">
        <f>INDEX('Eurostat EB TJ GWh'!$A$2:$BV$146,MATCH($A108,'Eurostat EB TJ GWh'!$A$2:$A$146,0),MATCH(BG$3,'Eurostat EB TJ GWh'!$A$2:$BV$2,0))</f>
        <v>0</v>
      </c>
      <c r="BH108" s="57">
        <f>INDEX('Eurostat EB TJ GWh'!$A$2:$BV$146,MATCH($A108,'Eurostat EB TJ GWh'!$A$2:$A$146,0),MATCH(BH$3,'Eurostat EB TJ GWh'!$A$2:$BV$2,0))</f>
        <v>0</v>
      </c>
      <c r="BI108" s="57">
        <f>INDEX('Eurostat EB TJ GWh'!$A$2:$BV$146,MATCH($A108,'Eurostat EB TJ GWh'!$A$2:$A$146,0),MATCH(BI$3,'Eurostat EB TJ GWh'!$A$2:$BV$2,0))</f>
        <v>0</v>
      </c>
      <c r="BJ108" s="72">
        <v>0</v>
      </c>
      <c r="BK108" s="57">
        <f>INDEX('Eurostat EB TJ GWh'!$A$2:$BV$146,MATCH($A108,'Eurostat EB TJ GWh'!$A$2:$A$146,0),MATCH(BK$3,'Eurostat EB TJ GWh'!$A$2:$BV$2,0))</f>
        <v>1108.0039999999999</v>
      </c>
      <c r="BL108" s="57">
        <f>INDEX('Eurostat EB TJ GWh'!$A$2:$BV$146,MATCH($A108,'Eurostat EB TJ GWh'!$A$2:$A$146,0),MATCH(BL$3,'Eurostat EB TJ GWh'!$A$2:$BV$2,0))</f>
        <v>6.8319999999999999</v>
      </c>
      <c r="BM108" s="57">
        <f>INDEX('Eurostat EB TJ GWh'!$A$2:$BV$146,MATCH($A108,'Eurostat EB TJ GWh'!$A$2:$A$146,0),MATCH(BM$3,'Eurostat EB TJ GWh'!$A$2:$BV$2,0))</f>
        <v>2709.49</v>
      </c>
      <c r="BN108" s="57">
        <f>INDEX('Eurostat EB TJ GWh'!$A$2:$BV$146,MATCH($A108,'Eurostat EB TJ GWh'!$A$2:$A$146,0),MATCH(BN$3,'Eurostat EB TJ GWh'!$A$2:$BV$2,0))</f>
        <v>963.45</v>
      </c>
    </row>
    <row r="109" spans="1:66" x14ac:dyDescent="0.2">
      <c r="A109" s="56" t="s">
        <v>298</v>
      </c>
      <c r="B109" s="65" t="s">
        <v>323</v>
      </c>
      <c r="C109" s="65" t="s">
        <v>323</v>
      </c>
      <c r="D109" s="17">
        <f>INDEX('Eurostat EB TJ GWh'!$A$2:$BV$146,MATCH($A109,'Eurostat EB TJ GWh'!$A$2:$A$146,0),MATCH(D$3,'Eurostat EB TJ GWh'!$A$2:$BV$2,0))</f>
        <v>0</v>
      </c>
      <c r="E109" s="17">
        <f>INDEX('Eurostat EB TJ GWh'!$A$2:$BV$146,MATCH($A109,'Eurostat EB TJ GWh'!$A$2:$A$146,0),MATCH(E$3,'Eurostat EB TJ GWh'!$A$2:$BV$2,0))</f>
        <v>0</v>
      </c>
      <c r="F109" s="17">
        <f>INDEX('Eurostat EB TJ GWh'!$A$2:$BV$146,MATCH($A109,'Eurostat EB TJ GWh'!$A$2:$A$146,0),MATCH(F$3,'Eurostat EB TJ GWh'!$A$2:$BV$2,0))</f>
        <v>0</v>
      </c>
      <c r="G109" s="17">
        <f>INDEX('Eurostat EB TJ GWh'!$A$2:$BV$146,MATCH($A109,'Eurostat EB TJ GWh'!$A$2:$A$146,0),MATCH(G$3,'Eurostat EB TJ GWh'!$A$2:$BV$2,0))</f>
        <v>0</v>
      </c>
      <c r="H109" s="17">
        <f>INDEX('Eurostat EB TJ GWh'!$A$2:$BV$146,MATCH($A109,'Eurostat EB TJ GWh'!$A$2:$A$146,0),MATCH(H$3,'Eurostat EB TJ GWh'!$A$2:$BV$2,0))</f>
        <v>0</v>
      </c>
      <c r="I109" s="17">
        <f>INDEX('Eurostat EB TJ GWh'!$A$2:$BV$146,MATCH($A109,'Eurostat EB TJ GWh'!$A$2:$A$146,0),MATCH(I$3,'Eurostat EB TJ GWh'!$A$2:$BV$2,0))</f>
        <v>0</v>
      </c>
      <c r="J109" s="17">
        <f>INDEX('Eurostat EB TJ GWh'!$A$2:$BV$146,MATCH($A109,'Eurostat EB TJ GWh'!$A$2:$A$146,0),MATCH(J$3,'Eurostat EB TJ GWh'!$A$2:$BV$2,0))</f>
        <v>0</v>
      </c>
      <c r="K109" s="17">
        <f>INDEX('Eurostat EB TJ GWh'!$A$2:$BV$146,MATCH($A109,'Eurostat EB TJ GWh'!$A$2:$A$146,0),MATCH(K$3,'Eurostat EB TJ GWh'!$A$2:$BV$2,0))</f>
        <v>0</v>
      </c>
      <c r="L109" s="17">
        <f>INDEX('Eurostat EB TJ GWh'!$A$2:$BV$146,MATCH($A109,'Eurostat EB TJ GWh'!$A$2:$A$146,0),MATCH(L$3,'Eurostat EB TJ GWh'!$A$2:$BV$2,0))</f>
        <v>0</v>
      </c>
      <c r="M109" s="17">
        <f>INDEX('Eurostat EB TJ GWh'!$A$2:$BV$146,MATCH($A109,'Eurostat EB TJ GWh'!$A$2:$A$146,0),MATCH(M$3,'Eurostat EB TJ GWh'!$A$2:$BV$2,0))</f>
        <v>0</v>
      </c>
      <c r="N109" s="17">
        <f>INDEX('Eurostat EB TJ GWh'!$A$2:$BV$146,MATCH($A109,'Eurostat EB TJ GWh'!$A$2:$A$146,0),MATCH(N$3,'Eurostat EB TJ GWh'!$A$2:$BV$2,0))</f>
        <v>0</v>
      </c>
      <c r="O109" s="17">
        <f>INDEX('Eurostat EB TJ GWh'!$A$2:$BV$146,MATCH($A109,'Eurostat EB TJ GWh'!$A$2:$A$146,0),MATCH(O$3,'Eurostat EB TJ GWh'!$A$2:$BV$2,0))</f>
        <v>0</v>
      </c>
      <c r="P109" s="17">
        <f>INDEX('Eurostat EB TJ GWh'!$A$2:$BV$146,MATCH($A109,'Eurostat EB TJ GWh'!$A$2:$A$146,0),MATCH(P$3,'Eurostat EB TJ GWh'!$A$2:$BV$2,0))</f>
        <v>0</v>
      </c>
      <c r="Q109" s="17">
        <f>INDEX('Eurostat EB TJ GWh'!$A$2:$BV$146,MATCH($A109,'Eurostat EB TJ GWh'!$A$2:$A$146,0),MATCH(Q$3,'Eurostat EB TJ GWh'!$A$2:$BV$2,0))</f>
        <v>0</v>
      </c>
      <c r="R109" s="17">
        <f>INDEX('Eurostat EB TJ GWh'!$A$2:$BV$146,MATCH($A109,'Eurostat EB TJ GWh'!$A$2:$A$146,0),MATCH(R$2,'Eurostat EB TJ GWh'!$A$2:$BV$2,0))+INDEX('Eurostat EB TJ GWh'!$A$2:$BV$146,MATCH($A109,'Eurostat EB TJ GWh'!$A$2:$A$146,0),MATCH(R$3,'Eurostat EB TJ GWh'!$A$2:$BV$2,0))</f>
        <v>0</v>
      </c>
      <c r="S109" s="17">
        <f>INDEX('Eurostat EB TJ GWh'!$A$2:$BV$146,MATCH($A109,'Eurostat EB TJ GWh'!$A$2:$A$146,0),MATCH(S$3,'Eurostat EB TJ GWh'!$A$2:$BV$2,0))</f>
        <v>2405.913</v>
      </c>
      <c r="T109" s="65" t="s">
        <v>323</v>
      </c>
      <c r="U109" s="17">
        <f>INDEX('Eurostat EB TJ GWh'!$A$2:$BV$146,MATCH($A109,'Eurostat EB TJ GWh'!$A$2:$A$146,0),MATCH(U$3,'Eurostat EB TJ GWh'!$A$2:$BV$2,0))</f>
        <v>0</v>
      </c>
      <c r="V109" s="17">
        <f>INDEX('Eurostat EB TJ GWh'!$A$2:$BV$146,MATCH($A109,'Eurostat EB TJ GWh'!$A$2:$A$146,0),MATCH(V$3,'Eurostat EB TJ GWh'!$A$2:$BV$2,0))</f>
        <v>0</v>
      </c>
      <c r="W109" s="17">
        <f>INDEX('Eurostat EB TJ GWh'!$A$2:$BV$146,MATCH($A109,'Eurostat EB TJ GWh'!$A$2:$A$146,0),MATCH(W$3,'Eurostat EB TJ GWh'!$A$2:$BV$2,0))</f>
        <v>0</v>
      </c>
      <c r="X109" s="17">
        <f>INDEX('Eurostat EB TJ GWh'!$A$2:$BV$146,MATCH($A109,'Eurostat EB TJ GWh'!$A$2:$A$146,0),MATCH(X$3,'Eurostat EB TJ GWh'!$A$2:$BV$2,0))</f>
        <v>0</v>
      </c>
      <c r="Y109" s="17">
        <f>INDEX('Eurostat EB TJ GWh'!$A$2:$BV$146,MATCH($A109,'Eurostat EB TJ GWh'!$A$2:$A$146,0),MATCH(Y$3,'Eurostat EB TJ GWh'!$A$2:$BV$2,0))</f>
        <v>0</v>
      </c>
      <c r="Z109" s="17">
        <f>INDEX('Eurostat EB TJ GWh'!$A$2:$BV$146,MATCH($A109,'Eurostat EB TJ GWh'!$A$2:$A$146,0),MATCH(Z$3,'Eurostat EB TJ GWh'!$A$2:$BV$2,0))</f>
        <v>0</v>
      </c>
      <c r="AA109" s="17">
        <f>INDEX('Eurostat EB TJ GWh'!$A$2:$BV$146,MATCH($A109,'Eurostat EB TJ GWh'!$A$2:$A$146,0),MATCH(AA$3,'Eurostat EB TJ GWh'!$A$2:$BV$2,0))</f>
        <v>0</v>
      </c>
      <c r="AB109" s="17">
        <f>INDEX('Eurostat EB TJ GWh'!$A$2:$BV$146,MATCH($A109,'Eurostat EB TJ GWh'!$A$2:$A$146,0),MATCH(AB$3,'Eurostat EB TJ GWh'!$A$2:$BV$2,0))</f>
        <v>134.13399999999999</v>
      </c>
      <c r="AC109" s="17">
        <f>INDEX('Eurostat EB TJ GWh'!$A$2:$BV$146,MATCH($A109,'Eurostat EB TJ GWh'!$A$2:$A$146,0),MATCH(AC$3,'Eurostat EB TJ GWh'!$A$2:$BV$2,0))</f>
        <v>259.90699999999998</v>
      </c>
      <c r="AD109" s="17">
        <f>INDEX('Eurostat EB TJ GWh'!$A$2:$BV$146,MATCH($A109,'Eurostat EB TJ GWh'!$A$2:$A$146,0),MATCH(AD$3,'Eurostat EB TJ GWh'!$A$2:$BV$2,0))</f>
        <v>0</v>
      </c>
      <c r="AE109" s="17">
        <f>INDEX('Eurostat EB TJ GWh'!$A$2:$BV$146,MATCH($A109,'Eurostat EB TJ GWh'!$A$2:$A$146,0),MATCH(AE$3,'Eurostat EB TJ GWh'!$A$2:$BV$2,0))</f>
        <v>0</v>
      </c>
      <c r="AF109" s="17">
        <f>INDEX('Eurostat EB TJ GWh'!$A$2:$BV$146,MATCH($A109,'Eurostat EB TJ GWh'!$A$2:$A$146,0),MATCH(AF$3,'Eurostat EB TJ GWh'!$A$2:$BV$2,0))</f>
        <v>0</v>
      </c>
      <c r="AG109" s="17">
        <f>INDEX('Eurostat EB TJ GWh'!$A$2:$BV$146,MATCH($A109,'Eurostat EB TJ GWh'!$A$2:$A$146,0),MATCH(AG$3,'Eurostat EB TJ GWh'!$A$2:$BV$2,0))</f>
        <v>0</v>
      </c>
      <c r="AH109" s="17">
        <f>INDEX('Eurostat EB TJ GWh'!$A$2:$BV$146,MATCH($A109,'Eurostat EB TJ GWh'!$A$2:$A$146,0),MATCH(AH$3,'Eurostat EB TJ GWh'!$A$2:$BV$2,0))</f>
        <v>20065.674999999999</v>
      </c>
      <c r="AI109" s="17">
        <f>INDEX('Eurostat EB TJ GWh'!$A$2:$BV$146,MATCH($A109,'Eurostat EB TJ GWh'!$A$2:$A$146,0),MATCH(AI$3,'Eurostat EB TJ GWh'!$A$2:$BV$2,0))</f>
        <v>0</v>
      </c>
      <c r="AJ109" s="17">
        <f>INDEX('Eurostat EB TJ GWh'!$A$2:$BV$146,MATCH($A109,'Eurostat EB TJ GWh'!$A$2:$A$146,0),MATCH(AJ$3,'Eurostat EB TJ GWh'!$A$2:$BV$2,0))</f>
        <v>0</v>
      </c>
      <c r="AK109" s="17">
        <f>INDEX('Eurostat EB TJ GWh'!$A$2:$BV$146,MATCH($A109,'Eurostat EB TJ GWh'!$A$2:$A$146,0),MATCH(AK$3,'Eurostat EB TJ GWh'!$A$2:$BV$2,0))</f>
        <v>0</v>
      </c>
      <c r="AL109" s="17">
        <f>INDEX('Eurostat EB TJ GWh'!$A$2:$BV$146,MATCH($A109,'Eurostat EB TJ GWh'!$A$2:$A$146,0),MATCH(AL$3,'Eurostat EB TJ GWh'!$A$2:$BV$2,0))</f>
        <v>0</v>
      </c>
      <c r="AM109" s="17">
        <f>INDEX('Eurostat EB TJ GWh'!$A$2:$BV$146,MATCH($A109,'Eurostat EB TJ GWh'!$A$2:$A$146,0),MATCH(AM$3,'Eurostat EB TJ GWh'!$A$2:$BV$2,0))</f>
        <v>0</v>
      </c>
      <c r="AN109" s="17">
        <f>INDEX('Eurostat EB TJ GWh'!$A$2:$BV$146,MATCH($A109,'Eurostat EB TJ GWh'!$A$2:$A$146,0),MATCH(AN$3,'Eurostat EB TJ GWh'!$A$2:$BV$2,0))</f>
        <v>0</v>
      </c>
      <c r="AO109" s="17">
        <f>INDEX('Eurostat EB TJ GWh'!$A$2:$BV$146,MATCH($A109,'Eurostat EB TJ GWh'!$A$2:$A$146,0),MATCH(AO$3,'Eurostat EB TJ GWh'!$A$2:$BV$2,0))</f>
        <v>0</v>
      </c>
      <c r="AP109" s="17">
        <f>INDEX('Eurostat EB TJ GWh'!$A$2:$BV$146,MATCH($A109,'Eurostat EB TJ GWh'!$A$2:$A$146,0),MATCH(AP$3,'Eurostat EB TJ GWh'!$A$2:$BV$2,0))</f>
        <v>0</v>
      </c>
      <c r="AQ109" s="17">
        <f>INDEX('Eurostat EB TJ GWh'!$A$2:$BV$146,MATCH($A109,'Eurostat EB TJ GWh'!$A$2:$A$146,0),MATCH(AQ$3,'Eurostat EB TJ GWh'!$A$2:$BV$2,0))</f>
        <v>0</v>
      </c>
      <c r="AR109" s="17">
        <f>INDEX('Eurostat EB TJ GWh'!$A$2:$BV$146,MATCH($A109,'Eurostat EB TJ GWh'!$A$2:$A$146,0),MATCH(AR$3,'Eurostat EB TJ GWh'!$A$2:$BV$2,0))</f>
        <v>0</v>
      </c>
      <c r="AS109" s="17">
        <f>INDEX('Eurostat EB TJ GWh'!$A$2:$BV$146,MATCH($A109,'Eurostat EB TJ GWh'!$A$2:$A$146,0),MATCH(AS$3,'Eurostat EB TJ GWh'!$A$2:$BV$2,0))</f>
        <v>0</v>
      </c>
      <c r="AT109" s="17">
        <f>INDEX('Eurostat EB TJ GWh'!$A$2:$BV$146,MATCH($A109,'Eurostat EB TJ GWh'!$A$2:$A$146,0),MATCH(AT$3,'Eurostat EB TJ GWh'!$A$2:$BV$2,0))</f>
        <v>412.36500000000001</v>
      </c>
      <c r="AU109" s="17">
        <f>INDEX('Eurostat EB TJ GWh'!$A$2:$BV$146,MATCH($A109,'Eurostat EB TJ GWh'!$A$2:$A$146,0),MATCH(AU$3,'Eurostat EB TJ GWh'!$A$2:$BV$2,0))</f>
        <v>0</v>
      </c>
      <c r="AV109" s="17">
        <f>INDEX('Eurostat EB TJ GWh'!$A$2:$BV$146,MATCH($A109,'Eurostat EB TJ GWh'!$A$2:$A$146,0),MATCH(AV$2,'Eurostat EB TJ GWh'!$A$2:$BV$2,0))+INDEX('Eurostat EB TJ GWh'!$A$2:$BV$146,MATCH($A109,'Eurostat EB TJ GWh'!$A$2:$A$146,0),MATCH(AV$3,'Eurostat EB TJ GWh'!$A$2:$BV$2,0))</f>
        <v>0</v>
      </c>
      <c r="AW109" s="17">
        <f>INDEX('Eurostat EB TJ GWh'!$A$2:$BV$146,MATCH($A109,'Eurostat EB TJ GWh'!$A$2:$A$146,0),MATCH(AW$2,'Eurostat EB TJ GWh'!$A$2:$BV$2,0))+INDEX('Eurostat EB TJ GWh'!$A$2:$BV$146,MATCH($A109,'Eurostat EB TJ GWh'!$A$2:$A$146,0),MATCH(AW$3,'Eurostat EB TJ GWh'!$A$2:$BV$2,0))</f>
        <v>1414.422</v>
      </c>
      <c r="AX109" s="17">
        <f>INDEX('Eurostat EB TJ GWh'!$A$2:$BV$146,MATCH($A109,'Eurostat EB TJ GWh'!$A$2:$A$146,0),MATCH(AX$3,'Eurostat EB TJ GWh'!$A$2:$BV$2,0))</f>
        <v>0</v>
      </c>
      <c r="AY109" s="65">
        <v>0</v>
      </c>
      <c r="AZ109" s="17">
        <f>INDEX('Eurostat EB TJ GWh'!$A$2:$BV$146,MATCH($A109,'Eurostat EB TJ GWh'!$A$2:$A$146,0),MATCH(AZ$3,'Eurostat EB TJ GWh'!$A$2:$BV$2,0))</f>
        <v>0</v>
      </c>
      <c r="BA109" s="65">
        <v>0</v>
      </c>
      <c r="BB109" s="65">
        <v>0</v>
      </c>
      <c r="BC109" s="17">
        <f>INDEX('Eurostat EB TJ GWh'!$A$2:$BV$146,MATCH($A109,'Eurostat EB TJ GWh'!$A$2:$A$146,0),MATCH(BC$3,'Eurostat EB TJ GWh'!$A$2:$BV$2,0))</f>
        <v>0</v>
      </c>
      <c r="BD109" s="17">
        <f>INDEX('Eurostat EB TJ GWh'!$A$2:$BV$146,MATCH($A109,'Eurostat EB TJ GWh'!$A$2:$A$146,0),MATCH(BD$3,'Eurostat EB TJ GWh'!$A$2:$BV$2,0))</f>
        <v>0</v>
      </c>
      <c r="BE109" s="17">
        <f>INDEX('Eurostat EB TJ GWh'!$A$2:$BV$146,MATCH($A109,'Eurostat EB TJ GWh'!$A$2:$A$146,0),MATCH(BE$3,'Eurostat EB TJ GWh'!$A$2:$BV$2,0))</f>
        <v>0</v>
      </c>
      <c r="BF109" s="17">
        <f>INDEX('Eurostat EB TJ GWh'!$A$2:$BV$146,MATCH($A109,'Eurostat EB TJ GWh'!$A$2:$A$146,0),MATCH(BF$3,'Eurostat EB TJ GWh'!$A$2:$BV$2,0))</f>
        <v>0</v>
      </c>
      <c r="BG109" s="17">
        <f>INDEX('Eurostat EB TJ GWh'!$A$2:$BV$146,MATCH($A109,'Eurostat EB TJ GWh'!$A$2:$A$146,0),MATCH(BG$3,'Eurostat EB TJ GWh'!$A$2:$BV$2,0))</f>
        <v>0</v>
      </c>
      <c r="BH109" s="17">
        <f>INDEX('Eurostat EB TJ GWh'!$A$2:$BV$146,MATCH($A109,'Eurostat EB TJ GWh'!$A$2:$A$146,0),MATCH(BH$3,'Eurostat EB TJ GWh'!$A$2:$BV$2,0))</f>
        <v>0</v>
      </c>
      <c r="BI109" s="17">
        <f>INDEX('Eurostat EB TJ GWh'!$A$2:$BV$146,MATCH($A109,'Eurostat EB TJ GWh'!$A$2:$A$146,0),MATCH(BI$3,'Eurostat EB TJ GWh'!$A$2:$BV$2,0))</f>
        <v>0</v>
      </c>
      <c r="BJ109" s="65">
        <v>0</v>
      </c>
      <c r="BK109" s="17">
        <f>INDEX('Eurostat EB TJ GWh'!$A$2:$BV$146,MATCH($A109,'Eurostat EB TJ GWh'!$A$2:$A$146,0),MATCH(BK$3,'Eurostat EB TJ GWh'!$A$2:$BV$2,0))</f>
        <v>4057.585</v>
      </c>
      <c r="BL109" s="17">
        <f>INDEX('Eurostat EB TJ GWh'!$A$2:$BV$146,MATCH($A109,'Eurostat EB TJ GWh'!$A$2:$A$146,0),MATCH(BL$3,'Eurostat EB TJ GWh'!$A$2:$BV$2,0))</f>
        <v>0</v>
      </c>
      <c r="BM109" s="17">
        <f>INDEX('Eurostat EB TJ GWh'!$A$2:$BV$146,MATCH($A109,'Eurostat EB TJ GWh'!$A$2:$A$146,0),MATCH(BM$3,'Eurostat EB TJ GWh'!$A$2:$BV$2,0))</f>
        <v>28750.002</v>
      </c>
      <c r="BN109" s="17">
        <f>INDEX('Eurostat EB TJ GWh'!$A$2:$BV$146,MATCH($A109,'Eurostat EB TJ GWh'!$A$2:$A$146,0),MATCH(BN$3,'Eurostat EB TJ GWh'!$A$2:$BV$2,0))</f>
        <v>2121.5610000000001</v>
      </c>
    </row>
    <row r="110" spans="1:66" x14ac:dyDescent="0.2">
      <c r="A110" s="56" t="s">
        <v>299</v>
      </c>
      <c r="B110" s="65" t="s">
        <v>323</v>
      </c>
      <c r="C110" s="65" t="s">
        <v>323</v>
      </c>
      <c r="D110" s="57">
        <f>INDEX('Eurostat EB TJ GWh'!$A$2:$BV$146,MATCH($A110,'Eurostat EB TJ GWh'!$A$2:$A$146,0),MATCH(D$3,'Eurostat EB TJ GWh'!$A$2:$BV$2,0))</f>
        <v>0</v>
      </c>
      <c r="E110" s="57">
        <f>INDEX('Eurostat EB TJ GWh'!$A$2:$BV$146,MATCH($A110,'Eurostat EB TJ GWh'!$A$2:$A$146,0),MATCH(E$3,'Eurostat EB TJ GWh'!$A$2:$BV$2,0))</f>
        <v>0</v>
      </c>
      <c r="F110" s="57">
        <f>INDEX('Eurostat EB TJ GWh'!$A$2:$BV$146,MATCH($A110,'Eurostat EB TJ GWh'!$A$2:$A$146,0),MATCH(F$3,'Eurostat EB TJ GWh'!$A$2:$BV$2,0))</f>
        <v>0</v>
      </c>
      <c r="G110" s="57">
        <f>INDEX('Eurostat EB TJ GWh'!$A$2:$BV$146,MATCH($A110,'Eurostat EB TJ GWh'!$A$2:$A$146,0),MATCH(G$3,'Eurostat EB TJ GWh'!$A$2:$BV$2,0))</f>
        <v>0</v>
      </c>
      <c r="H110" s="57">
        <f>INDEX('Eurostat EB TJ GWh'!$A$2:$BV$146,MATCH($A110,'Eurostat EB TJ GWh'!$A$2:$A$146,0),MATCH(H$3,'Eurostat EB TJ GWh'!$A$2:$BV$2,0))</f>
        <v>0</v>
      </c>
      <c r="I110" s="57">
        <f>INDEX('Eurostat EB TJ GWh'!$A$2:$BV$146,MATCH($A110,'Eurostat EB TJ GWh'!$A$2:$A$146,0),MATCH(I$3,'Eurostat EB TJ GWh'!$A$2:$BV$2,0))</f>
        <v>0</v>
      </c>
      <c r="J110" s="57">
        <f>INDEX('Eurostat EB TJ GWh'!$A$2:$BV$146,MATCH($A110,'Eurostat EB TJ GWh'!$A$2:$A$146,0),MATCH(J$3,'Eurostat EB TJ GWh'!$A$2:$BV$2,0))</f>
        <v>0</v>
      </c>
      <c r="K110" s="57">
        <f>INDEX('Eurostat EB TJ GWh'!$A$2:$BV$146,MATCH($A110,'Eurostat EB TJ GWh'!$A$2:$A$146,0),MATCH(K$3,'Eurostat EB TJ GWh'!$A$2:$BV$2,0))</f>
        <v>0</v>
      </c>
      <c r="L110" s="57">
        <f>INDEX('Eurostat EB TJ GWh'!$A$2:$BV$146,MATCH($A110,'Eurostat EB TJ GWh'!$A$2:$A$146,0),MATCH(L$3,'Eurostat EB TJ GWh'!$A$2:$BV$2,0))</f>
        <v>0</v>
      </c>
      <c r="M110" s="57">
        <f>INDEX('Eurostat EB TJ GWh'!$A$2:$BV$146,MATCH($A110,'Eurostat EB TJ GWh'!$A$2:$A$146,0),MATCH(M$3,'Eurostat EB TJ GWh'!$A$2:$BV$2,0))</f>
        <v>0</v>
      </c>
      <c r="N110" s="57">
        <f>INDEX('Eurostat EB TJ GWh'!$A$2:$BV$146,MATCH($A110,'Eurostat EB TJ GWh'!$A$2:$A$146,0),MATCH(N$3,'Eurostat EB TJ GWh'!$A$2:$BV$2,0))</f>
        <v>0</v>
      </c>
      <c r="O110" s="57">
        <f>INDEX('Eurostat EB TJ GWh'!$A$2:$BV$146,MATCH($A110,'Eurostat EB TJ GWh'!$A$2:$A$146,0),MATCH(O$3,'Eurostat EB TJ GWh'!$A$2:$BV$2,0))</f>
        <v>0</v>
      </c>
      <c r="P110" s="57">
        <f>INDEX('Eurostat EB TJ GWh'!$A$2:$BV$146,MATCH($A110,'Eurostat EB TJ GWh'!$A$2:$A$146,0),MATCH(P$3,'Eurostat EB TJ GWh'!$A$2:$BV$2,0))</f>
        <v>0</v>
      </c>
      <c r="Q110" s="57">
        <f>INDEX('Eurostat EB TJ GWh'!$A$2:$BV$146,MATCH($A110,'Eurostat EB TJ GWh'!$A$2:$A$146,0),MATCH(Q$3,'Eurostat EB TJ GWh'!$A$2:$BV$2,0))</f>
        <v>0</v>
      </c>
      <c r="R110" s="57">
        <f>INDEX('Eurostat EB TJ GWh'!$A$2:$BV$146,MATCH($A110,'Eurostat EB TJ GWh'!$A$2:$A$146,0),MATCH(R$2,'Eurostat EB TJ GWh'!$A$2:$BV$2,0))+INDEX('Eurostat EB TJ GWh'!$A$2:$BV$146,MATCH($A110,'Eurostat EB TJ GWh'!$A$2:$A$146,0),MATCH(R$3,'Eurostat EB TJ GWh'!$A$2:$BV$2,0))</f>
        <v>0</v>
      </c>
      <c r="S110" s="57">
        <f>INDEX('Eurostat EB TJ GWh'!$A$2:$BV$146,MATCH($A110,'Eurostat EB TJ GWh'!$A$2:$A$146,0),MATCH(S$3,'Eurostat EB TJ GWh'!$A$2:$BV$2,0))</f>
        <v>2135.3560000000002</v>
      </c>
      <c r="T110" s="65" t="s">
        <v>323</v>
      </c>
      <c r="U110" s="57">
        <f>INDEX('Eurostat EB TJ GWh'!$A$2:$BV$146,MATCH($A110,'Eurostat EB TJ GWh'!$A$2:$A$146,0),MATCH(U$3,'Eurostat EB TJ GWh'!$A$2:$BV$2,0))</f>
        <v>0</v>
      </c>
      <c r="V110" s="57">
        <f>INDEX('Eurostat EB TJ GWh'!$A$2:$BV$146,MATCH($A110,'Eurostat EB TJ GWh'!$A$2:$A$146,0),MATCH(V$3,'Eurostat EB TJ GWh'!$A$2:$BV$2,0))</f>
        <v>0</v>
      </c>
      <c r="W110" s="57">
        <f>INDEX('Eurostat EB TJ GWh'!$A$2:$BV$146,MATCH($A110,'Eurostat EB TJ GWh'!$A$2:$A$146,0),MATCH(W$3,'Eurostat EB TJ GWh'!$A$2:$BV$2,0))</f>
        <v>0</v>
      </c>
      <c r="X110" s="57">
        <f>INDEX('Eurostat EB TJ GWh'!$A$2:$BV$146,MATCH($A110,'Eurostat EB TJ GWh'!$A$2:$A$146,0),MATCH(X$3,'Eurostat EB TJ GWh'!$A$2:$BV$2,0))</f>
        <v>0</v>
      </c>
      <c r="Y110" s="57">
        <f>INDEX('Eurostat EB TJ GWh'!$A$2:$BV$146,MATCH($A110,'Eurostat EB TJ GWh'!$A$2:$A$146,0),MATCH(Y$3,'Eurostat EB TJ GWh'!$A$2:$BV$2,0))</f>
        <v>0</v>
      </c>
      <c r="Z110" s="57">
        <f>INDEX('Eurostat EB TJ GWh'!$A$2:$BV$146,MATCH($A110,'Eurostat EB TJ GWh'!$A$2:$A$146,0),MATCH(Z$3,'Eurostat EB TJ GWh'!$A$2:$BV$2,0))</f>
        <v>0</v>
      </c>
      <c r="AA110" s="57">
        <f>INDEX('Eurostat EB TJ GWh'!$A$2:$BV$146,MATCH($A110,'Eurostat EB TJ GWh'!$A$2:$A$146,0),MATCH(AA$3,'Eurostat EB TJ GWh'!$A$2:$BV$2,0))</f>
        <v>0</v>
      </c>
      <c r="AB110" s="57">
        <f>INDEX('Eurostat EB TJ GWh'!$A$2:$BV$146,MATCH($A110,'Eurostat EB TJ GWh'!$A$2:$A$146,0),MATCH(AB$3,'Eurostat EB TJ GWh'!$A$2:$BV$2,0))</f>
        <v>24.765999999999998</v>
      </c>
      <c r="AC110" s="57">
        <f>INDEX('Eurostat EB TJ GWh'!$A$2:$BV$146,MATCH($A110,'Eurostat EB TJ GWh'!$A$2:$A$146,0),MATCH(AC$3,'Eurostat EB TJ GWh'!$A$2:$BV$2,0))</f>
        <v>0</v>
      </c>
      <c r="AD110" s="57">
        <f>INDEX('Eurostat EB TJ GWh'!$A$2:$BV$146,MATCH($A110,'Eurostat EB TJ GWh'!$A$2:$A$146,0),MATCH(AD$3,'Eurostat EB TJ GWh'!$A$2:$BV$2,0))</f>
        <v>0</v>
      </c>
      <c r="AE110" s="57">
        <f>INDEX('Eurostat EB TJ GWh'!$A$2:$BV$146,MATCH($A110,'Eurostat EB TJ GWh'!$A$2:$A$146,0),MATCH(AE$3,'Eurostat EB TJ GWh'!$A$2:$BV$2,0))</f>
        <v>0</v>
      </c>
      <c r="AF110" s="57">
        <f>INDEX('Eurostat EB TJ GWh'!$A$2:$BV$146,MATCH($A110,'Eurostat EB TJ GWh'!$A$2:$A$146,0),MATCH(AF$3,'Eurostat EB TJ GWh'!$A$2:$BV$2,0))</f>
        <v>0</v>
      </c>
      <c r="AG110" s="57">
        <f>INDEX('Eurostat EB TJ GWh'!$A$2:$BV$146,MATCH($A110,'Eurostat EB TJ GWh'!$A$2:$A$146,0),MATCH(AG$3,'Eurostat EB TJ GWh'!$A$2:$BV$2,0))</f>
        <v>0</v>
      </c>
      <c r="AH110" s="57">
        <f>INDEX('Eurostat EB TJ GWh'!$A$2:$BV$146,MATCH($A110,'Eurostat EB TJ GWh'!$A$2:$A$146,0),MATCH(AH$3,'Eurostat EB TJ GWh'!$A$2:$BV$2,0))</f>
        <v>0</v>
      </c>
      <c r="AI110" s="57">
        <f>INDEX('Eurostat EB TJ GWh'!$A$2:$BV$146,MATCH($A110,'Eurostat EB TJ GWh'!$A$2:$A$146,0),MATCH(AI$3,'Eurostat EB TJ GWh'!$A$2:$BV$2,0))</f>
        <v>0</v>
      </c>
      <c r="AJ110" s="57">
        <f>INDEX('Eurostat EB TJ GWh'!$A$2:$BV$146,MATCH($A110,'Eurostat EB TJ GWh'!$A$2:$A$146,0),MATCH(AJ$3,'Eurostat EB TJ GWh'!$A$2:$BV$2,0))</f>
        <v>0</v>
      </c>
      <c r="AK110" s="57">
        <f>INDEX('Eurostat EB TJ GWh'!$A$2:$BV$146,MATCH($A110,'Eurostat EB TJ GWh'!$A$2:$A$146,0),MATCH(AK$3,'Eurostat EB TJ GWh'!$A$2:$BV$2,0))</f>
        <v>0</v>
      </c>
      <c r="AL110" s="57">
        <f>INDEX('Eurostat EB TJ GWh'!$A$2:$BV$146,MATCH($A110,'Eurostat EB TJ GWh'!$A$2:$A$146,0),MATCH(AL$3,'Eurostat EB TJ GWh'!$A$2:$BV$2,0))</f>
        <v>0</v>
      </c>
      <c r="AM110" s="57">
        <f>INDEX('Eurostat EB TJ GWh'!$A$2:$BV$146,MATCH($A110,'Eurostat EB TJ GWh'!$A$2:$A$146,0),MATCH(AM$3,'Eurostat EB TJ GWh'!$A$2:$BV$2,0))</f>
        <v>0</v>
      </c>
      <c r="AN110" s="57">
        <f>INDEX('Eurostat EB TJ GWh'!$A$2:$BV$146,MATCH($A110,'Eurostat EB TJ GWh'!$A$2:$A$146,0),MATCH(AN$3,'Eurostat EB TJ GWh'!$A$2:$BV$2,0))</f>
        <v>0</v>
      </c>
      <c r="AO110" s="57">
        <f>INDEX('Eurostat EB TJ GWh'!$A$2:$BV$146,MATCH($A110,'Eurostat EB TJ GWh'!$A$2:$A$146,0),MATCH(AO$3,'Eurostat EB TJ GWh'!$A$2:$BV$2,0))</f>
        <v>0</v>
      </c>
      <c r="AP110" s="57">
        <f>INDEX('Eurostat EB TJ GWh'!$A$2:$BV$146,MATCH($A110,'Eurostat EB TJ GWh'!$A$2:$A$146,0),MATCH(AP$3,'Eurostat EB TJ GWh'!$A$2:$BV$2,0))</f>
        <v>0</v>
      </c>
      <c r="AQ110" s="57">
        <f>INDEX('Eurostat EB TJ GWh'!$A$2:$BV$146,MATCH($A110,'Eurostat EB TJ GWh'!$A$2:$A$146,0),MATCH(AQ$3,'Eurostat EB TJ GWh'!$A$2:$BV$2,0))</f>
        <v>0</v>
      </c>
      <c r="AR110" s="57">
        <f>INDEX('Eurostat EB TJ GWh'!$A$2:$BV$146,MATCH($A110,'Eurostat EB TJ GWh'!$A$2:$A$146,0),MATCH(AR$3,'Eurostat EB TJ GWh'!$A$2:$BV$2,0))</f>
        <v>0</v>
      </c>
      <c r="AS110" s="57">
        <f>INDEX('Eurostat EB TJ GWh'!$A$2:$BV$146,MATCH($A110,'Eurostat EB TJ GWh'!$A$2:$A$146,0),MATCH(AS$3,'Eurostat EB TJ GWh'!$A$2:$BV$2,0))</f>
        <v>0</v>
      </c>
      <c r="AT110" s="57">
        <f>INDEX('Eurostat EB TJ GWh'!$A$2:$BV$146,MATCH($A110,'Eurostat EB TJ GWh'!$A$2:$A$146,0),MATCH(AT$3,'Eurostat EB TJ GWh'!$A$2:$BV$2,0))</f>
        <v>0</v>
      </c>
      <c r="AU110" s="57">
        <f>INDEX('Eurostat EB TJ GWh'!$A$2:$BV$146,MATCH($A110,'Eurostat EB TJ GWh'!$A$2:$A$146,0),MATCH(AU$3,'Eurostat EB TJ GWh'!$A$2:$BV$2,0))</f>
        <v>0</v>
      </c>
      <c r="AV110" s="57">
        <f>INDEX('Eurostat EB TJ GWh'!$A$2:$BV$146,MATCH($A110,'Eurostat EB TJ GWh'!$A$2:$A$146,0),MATCH(AV$2,'Eurostat EB TJ GWh'!$A$2:$BV$2,0))+INDEX('Eurostat EB TJ GWh'!$A$2:$BV$146,MATCH($A110,'Eurostat EB TJ GWh'!$A$2:$A$146,0),MATCH(AV$3,'Eurostat EB TJ GWh'!$A$2:$BV$2,0))</f>
        <v>0</v>
      </c>
      <c r="AW110" s="57">
        <f>INDEX('Eurostat EB TJ GWh'!$A$2:$BV$146,MATCH($A110,'Eurostat EB TJ GWh'!$A$2:$A$146,0),MATCH(AW$2,'Eurostat EB TJ GWh'!$A$2:$BV$2,0))+INDEX('Eurostat EB TJ GWh'!$A$2:$BV$146,MATCH($A110,'Eurostat EB TJ GWh'!$A$2:$A$146,0),MATCH(AW$3,'Eurostat EB TJ GWh'!$A$2:$BV$2,0))</f>
        <v>0</v>
      </c>
      <c r="AX110" s="57">
        <f>INDEX('Eurostat EB TJ GWh'!$A$2:$BV$146,MATCH($A110,'Eurostat EB TJ GWh'!$A$2:$A$146,0),MATCH(AX$3,'Eurostat EB TJ GWh'!$A$2:$BV$2,0))</f>
        <v>0</v>
      </c>
      <c r="AY110" s="72">
        <v>0</v>
      </c>
      <c r="AZ110" s="57">
        <f>INDEX('Eurostat EB TJ GWh'!$A$2:$BV$146,MATCH($A110,'Eurostat EB TJ GWh'!$A$2:$A$146,0),MATCH(AZ$3,'Eurostat EB TJ GWh'!$A$2:$BV$2,0))</f>
        <v>0</v>
      </c>
      <c r="BA110" s="72">
        <v>0</v>
      </c>
      <c r="BB110" s="72">
        <v>0</v>
      </c>
      <c r="BC110" s="57">
        <f>INDEX('Eurostat EB TJ GWh'!$A$2:$BV$146,MATCH($A110,'Eurostat EB TJ GWh'!$A$2:$A$146,0),MATCH(BC$3,'Eurostat EB TJ GWh'!$A$2:$BV$2,0))</f>
        <v>0</v>
      </c>
      <c r="BD110" s="57">
        <f>INDEX('Eurostat EB TJ GWh'!$A$2:$BV$146,MATCH($A110,'Eurostat EB TJ GWh'!$A$2:$A$146,0),MATCH(BD$3,'Eurostat EB TJ GWh'!$A$2:$BV$2,0))</f>
        <v>0</v>
      </c>
      <c r="BE110" s="57">
        <f>INDEX('Eurostat EB TJ GWh'!$A$2:$BV$146,MATCH($A110,'Eurostat EB TJ GWh'!$A$2:$A$146,0),MATCH(BE$3,'Eurostat EB TJ GWh'!$A$2:$BV$2,0))</f>
        <v>0</v>
      </c>
      <c r="BF110" s="57">
        <f>INDEX('Eurostat EB TJ GWh'!$A$2:$BV$146,MATCH($A110,'Eurostat EB TJ GWh'!$A$2:$A$146,0),MATCH(BF$3,'Eurostat EB TJ GWh'!$A$2:$BV$2,0))</f>
        <v>0</v>
      </c>
      <c r="BG110" s="57">
        <f>INDEX('Eurostat EB TJ GWh'!$A$2:$BV$146,MATCH($A110,'Eurostat EB TJ GWh'!$A$2:$A$146,0),MATCH(BG$3,'Eurostat EB TJ GWh'!$A$2:$BV$2,0))</f>
        <v>0</v>
      </c>
      <c r="BH110" s="57">
        <f>INDEX('Eurostat EB TJ GWh'!$A$2:$BV$146,MATCH($A110,'Eurostat EB TJ GWh'!$A$2:$A$146,0),MATCH(BH$3,'Eurostat EB TJ GWh'!$A$2:$BV$2,0))</f>
        <v>0</v>
      </c>
      <c r="BI110" s="57">
        <f>INDEX('Eurostat EB TJ GWh'!$A$2:$BV$146,MATCH($A110,'Eurostat EB TJ GWh'!$A$2:$A$146,0),MATCH(BI$3,'Eurostat EB TJ GWh'!$A$2:$BV$2,0))</f>
        <v>0</v>
      </c>
      <c r="BJ110" s="72">
        <v>0</v>
      </c>
      <c r="BK110" s="57">
        <f>INDEX('Eurostat EB TJ GWh'!$A$2:$BV$146,MATCH($A110,'Eurostat EB TJ GWh'!$A$2:$A$146,0),MATCH(BK$3,'Eurostat EB TJ GWh'!$A$2:$BV$2,0))</f>
        <v>1427.008</v>
      </c>
      <c r="BL110" s="57">
        <f>INDEX('Eurostat EB TJ GWh'!$A$2:$BV$146,MATCH($A110,'Eurostat EB TJ GWh'!$A$2:$A$146,0),MATCH(BL$3,'Eurostat EB TJ GWh'!$A$2:$BV$2,0))</f>
        <v>369.76</v>
      </c>
      <c r="BM110" s="57">
        <f>INDEX('Eurostat EB TJ GWh'!$A$2:$BV$146,MATCH($A110,'Eurostat EB TJ GWh'!$A$2:$A$146,0),MATCH(BM$3,'Eurostat EB TJ GWh'!$A$2:$BV$2,0))</f>
        <v>3956.89</v>
      </c>
      <c r="BN110" s="57">
        <f>INDEX('Eurostat EB TJ GWh'!$A$2:$BV$146,MATCH($A110,'Eurostat EB TJ GWh'!$A$2:$A$146,0),MATCH(BN$3,'Eurostat EB TJ GWh'!$A$2:$BV$2,0))</f>
        <v>198.04300000000001</v>
      </c>
    </row>
    <row r="111" spans="1:66" x14ac:dyDescent="0.2">
      <c r="A111" s="56" t="s">
        <v>300</v>
      </c>
      <c r="B111" s="65" t="s">
        <v>323</v>
      </c>
      <c r="C111" s="65" t="s">
        <v>323</v>
      </c>
      <c r="D111" s="17">
        <f>INDEX('Eurostat EB TJ GWh'!$A$2:$BV$146,MATCH($A111,'Eurostat EB TJ GWh'!$A$2:$A$146,0),MATCH(D$3,'Eurostat EB TJ GWh'!$A$2:$BV$2,0))</f>
        <v>0</v>
      </c>
      <c r="E111" s="17">
        <f>INDEX('Eurostat EB TJ GWh'!$A$2:$BV$146,MATCH($A111,'Eurostat EB TJ GWh'!$A$2:$A$146,0),MATCH(E$3,'Eurostat EB TJ GWh'!$A$2:$BV$2,0))</f>
        <v>0</v>
      </c>
      <c r="F111" s="17">
        <f>INDEX('Eurostat EB TJ GWh'!$A$2:$BV$146,MATCH($A111,'Eurostat EB TJ GWh'!$A$2:$A$146,0),MATCH(F$3,'Eurostat EB TJ GWh'!$A$2:$BV$2,0))</f>
        <v>0</v>
      </c>
      <c r="G111" s="17">
        <f>INDEX('Eurostat EB TJ GWh'!$A$2:$BV$146,MATCH($A111,'Eurostat EB TJ GWh'!$A$2:$A$146,0),MATCH(G$3,'Eurostat EB TJ GWh'!$A$2:$BV$2,0))</f>
        <v>0</v>
      </c>
      <c r="H111" s="17">
        <f>INDEX('Eurostat EB TJ GWh'!$A$2:$BV$146,MATCH($A111,'Eurostat EB TJ GWh'!$A$2:$A$146,0),MATCH(H$3,'Eurostat EB TJ GWh'!$A$2:$BV$2,0))</f>
        <v>0</v>
      </c>
      <c r="I111" s="17">
        <f>INDEX('Eurostat EB TJ GWh'!$A$2:$BV$146,MATCH($A111,'Eurostat EB TJ GWh'!$A$2:$A$146,0),MATCH(I$3,'Eurostat EB TJ GWh'!$A$2:$BV$2,0))</f>
        <v>0</v>
      </c>
      <c r="J111" s="17">
        <f>INDEX('Eurostat EB TJ GWh'!$A$2:$BV$146,MATCH($A111,'Eurostat EB TJ GWh'!$A$2:$A$146,0),MATCH(J$3,'Eurostat EB TJ GWh'!$A$2:$BV$2,0))</f>
        <v>0</v>
      </c>
      <c r="K111" s="17">
        <f>INDEX('Eurostat EB TJ GWh'!$A$2:$BV$146,MATCH($A111,'Eurostat EB TJ GWh'!$A$2:$A$146,0),MATCH(K$3,'Eurostat EB TJ GWh'!$A$2:$BV$2,0))</f>
        <v>0</v>
      </c>
      <c r="L111" s="17">
        <f>INDEX('Eurostat EB TJ GWh'!$A$2:$BV$146,MATCH($A111,'Eurostat EB TJ GWh'!$A$2:$A$146,0),MATCH(L$3,'Eurostat EB TJ GWh'!$A$2:$BV$2,0))</f>
        <v>0</v>
      </c>
      <c r="M111" s="17">
        <f>INDEX('Eurostat EB TJ GWh'!$A$2:$BV$146,MATCH($A111,'Eurostat EB TJ GWh'!$A$2:$A$146,0),MATCH(M$3,'Eurostat EB TJ GWh'!$A$2:$BV$2,0))</f>
        <v>0</v>
      </c>
      <c r="N111" s="17">
        <f>INDEX('Eurostat EB TJ GWh'!$A$2:$BV$146,MATCH($A111,'Eurostat EB TJ GWh'!$A$2:$A$146,0),MATCH(N$3,'Eurostat EB TJ GWh'!$A$2:$BV$2,0))</f>
        <v>0</v>
      </c>
      <c r="O111" s="17">
        <f>INDEX('Eurostat EB TJ GWh'!$A$2:$BV$146,MATCH($A111,'Eurostat EB TJ GWh'!$A$2:$A$146,0),MATCH(O$3,'Eurostat EB TJ GWh'!$A$2:$BV$2,0))</f>
        <v>0</v>
      </c>
      <c r="P111" s="17">
        <f>INDEX('Eurostat EB TJ GWh'!$A$2:$BV$146,MATCH($A111,'Eurostat EB TJ GWh'!$A$2:$A$146,0),MATCH(P$3,'Eurostat EB TJ GWh'!$A$2:$BV$2,0))</f>
        <v>0</v>
      </c>
      <c r="Q111" s="17">
        <f>INDEX('Eurostat EB TJ GWh'!$A$2:$BV$146,MATCH($A111,'Eurostat EB TJ GWh'!$A$2:$A$146,0),MATCH(Q$3,'Eurostat EB TJ GWh'!$A$2:$BV$2,0))</f>
        <v>0</v>
      </c>
      <c r="R111" s="17">
        <f>INDEX('Eurostat EB TJ GWh'!$A$2:$BV$146,MATCH($A111,'Eurostat EB TJ GWh'!$A$2:$A$146,0),MATCH(R$2,'Eurostat EB TJ GWh'!$A$2:$BV$2,0))+INDEX('Eurostat EB TJ GWh'!$A$2:$BV$146,MATCH($A111,'Eurostat EB TJ GWh'!$A$2:$A$146,0),MATCH(R$3,'Eurostat EB TJ GWh'!$A$2:$BV$2,0))</f>
        <v>0</v>
      </c>
      <c r="S111" s="17">
        <f>INDEX('Eurostat EB TJ GWh'!$A$2:$BV$146,MATCH($A111,'Eurostat EB TJ GWh'!$A$2:$A$146,0),MATCH(S$3,'Eurostat EB TJ GWh'!$A$2:$BV$2,0))</f>
        <v>3479.12</v>
      </c>
      <c r="T111" s="65" t="s">
        <v>323</v>
      </c>
      <c r="U111" s="17">
        <f>INDEX('Eurostat EB TJ GWh'!$A$2:$BV$146,MATCH($A111,'Eurostat EB TJ GWh'!$A$2:$A$146,0),MATCH(U$3,'Eurostat EB TJ GWh'!$A$2:$BV$2,0))</f>
        <v>0</v>
      </c>
      <c r="V111" s="17">
        <f>INDEX('Eurostat EB TJ GWh'!$A$2:$BV$146,MATCH($A111,'Eurostat EB TJ GWh'!$A$2:$A$146,0),MATCH(V$3,'Eurostat EB TJ GWh'!$A$2:$BV$2,0))</f>
        <v>0</v>
      </c>
      <c r="W111" s="17">
        <f>INDEX('Eurostat EB TJ GWh'!$A$2:$BV$146,MATCH($A111,'Eurostat EB TJ GWh'!$A$2:$A$146,0),MATCH(W$3,'Eurostat EB TJ GWh'!$A$2:$BV$2,0))</f>
        <v>0</v>
      </c>
      <c r="X111" s="17">
        <f>INDEX('Eurostat EB TJ GWh'!$A$2:$BV$146,MATCH($A111,'Eurostat EB TJ GWh'!$A$2:$A$146,0),MATCH(X$3,'Eurostat EB TJ GWh'!$A$2:$BV$2,0))</f>
        <v>0</v>
      </c>
      <c r="Y111" s="17">
        <f>INDEX('Eurostat EB TJ GWh'!$A$2:$BV$146,MATCH($A111,'Eurostat EB TJ GWh'!$A$2:$A$146,0),MATCH(Y$3,'Eurostat EB TJ GWh'!$A$2:$BV$2,0))</f>
        <v>0</v>
      </c>
      <c r="Z111" s="17">
        <f>INDEX('Eurostat EB TJ GWh'!$A$2:$BV$146,MATCH($A111,'Eurostat EB TJ GWh'!$A$2:$A$146,0),MATCH(Z$3,'Eurostat EB TJ GWh'!$A$2:$BV$2,0))</f>
        <v>0</v>
      </c>
      <c r="AA111" s="17">
        <f>INDEX('Eurostat EB TJ GWh'!$A$2:$BV$146,MATCH($A111,'Eurostat EB TJ GWh'!$A$2:$A$146,0),MATCH(AA$3,'Eurostat EB TJ GWh'!$A$2:$BV$2,0))</f>
        <v>0</v>
      </c>
      <c r="AB111" s="17">
        <f>INDEX('Eurostat EB TJ GWh'!$A$2:$BV$146,MATCH($A111,'Eurostat EB TJ GWh'!$A$2:$A$146,0),MATCH(AB$3,'Eurostat EB TJ GWh'!$A$2:$BV$2,0))</f>
        <v>263.83999999999997</v>
      </c>
      <c r="AC111" s="17">
        <f>INDEX('Eurostat EB TJ GWh'!$A$2:$BV$146,MATCH($A111,'Eurostat EB TJ GWh'!$A$2:$A$146,0),MATCH(AC$3,'Eurostat EB TJ GWh'!$A$2:$BV$2,0))</f>
        <v>0</v>
      </c>
      <c r="AD111" s="17">
        <f>INDEX('Eurostat EB TJ GWh'!$A$2:$BV$146,MATCH($A111,'Eurostat EB TJ GWh'!$A$2:$A$146,0),MATCH(AD$3,'Eurostat EB TJ GWh'!$A$2:$BV$2,0))</f>
        <v>0</v>
      </c>
      <c r="AE111" s="17">
        <f>INDEX('Eurostat EB TJ GWh'!$A$2:$BV$146,MATCH($A111,'Eurostat EB TJ GWh'!$A$2:$A$146,0),MATCH(AE$3,'Eurostat EB TJ GWh'!$A$2:$BV$2,0))</f>
        <v>0</v>
      </c>
      <c r="AF111" s="17">
        <f>INDEX('Eurostat EB TJ GWh'!$A$2:$BV$146,MATCH($A111,'Eurostat EB TJ GWh'!$A$2:$A$146,0),MATCH(AF$3,'Eurostat EB TJ GWh'!$A$2:$BV$2,0))</f>
        <v>0</v>
      </c>
      <c r="AG111" s="17">
        <f>INDEX('Eurostat EB TJ GWh'!$A$2:$BV$146,MATCH($A111,'Eurostat EB TJ GWh'!$A$2:$A$146,0),MATCH(AG$3,'Eurostat EB TJ GWh'!$A$2:$BV$2,0))</f>
        <v>0</v>
      </c>
      <c r="AH111" s="17">
        <f>INDEX('Eurostat EB TJ GWh'!$A$2:$BV$146,MATCH($A111,'Eurostat EB TJ GWh'!$A$2:$A$146,0),MATCH(AH$3,'Eurostat EB TJ GWh'!$A$2:$BV$2,0))</f>
        <v>2.847</v>
      </c>
      <c r="AI111" s="17">
        <f>INDEX('Eurostat EB TJ GWh'!$A$2:$BV$146,MATCH($A111,'Eurostat EB TJ GWh'!$A$2:$A$146,0),MATCH(AI$3,'Eurostat EB TJ GWh'!$A$2:$BV$2,0))</f>
        <v>0</v>
      </c>
      <c r="AJ111" s="17">
        <f>INDEX('Eurostat EB TJ GWh'!$A$2:$BV$146,MATCH($A111,'Eurostat EB TJ GWh'!$A$2:$A$146,0),MATCH(AJ$3,'Eurostat EB TJ GWh'!$A$2:$BV$2,0))</f>
        <v>0</v>
      </c>
      <c r="AK111" s="17">
        <f>INDEX('Eurostat EB TJ GWh'!$A$2:$BV$146,MATCH($A111,'Eurostat EB TJ GWh'!$A$2:$A$146,0),MATCH(AK$3,'Eurostat EB TJ GWh'!$A$2:$BV$2,0))</f>
        <v>0</v>
      </c>
      <c r="AL111" s="17">
        <f>INDEX('Eurostat EB TJ GWh'!$A$2:$BV$146,MATCH($A111,'Eurostat EB TJ GWh'!$A$2:$A$146,0),MATCH(AL$3,'Eurostat EB TJ GWh'!$A$2:$BV$2,0))</f>
        <v>0</v>
      </c>
      <c r="AM111" s="17">
        <f>INDEX('Eurostat EB TJ GWh'!$A$2:$BV$146,MATCH($A111,'Eurostat EB TJ GWh'!$A$2:$A$146,0),MATCH(AM$3,'Eurostat EB TJ GWh'!$A$2:$BV$2,0))</f>
        <v>0</v>
      </c>
      <c r="AN111" s="17">
        <f>INDEX('Eurostat EB TJ GWh'!$A$2:$BV$146,MATCH($A111,'Eurostat EB TJ GWh'!$A$2:$A$146,0),MATCH(AN$3,'Eurostat EB TJ GWh'!$A$2:$BV$2,0))</f>
        <v>0</v>
      </c>
      <c r="AO111" s="17">
        <f>INDEX('Eurostat EB TJ GWh'!$A$2:$BV$146,MATCH($A111,'Eurostat EB TJ GWh'!$A$2:$A$146,0),MATCH(AO$3,'Eurostat EB TJ GWh'!$A$2:$BV$2,0))</f>
        <v>0</v>
      </c>
      <c r="AP111" s="17">
        <f>INDEX('Eurostat EB TJ GWh'!$A$2:$BV$146,MATCH($A111,'Eurostat EB TJ GWh'!$A$2:$A$146,0),MATCH(AP$3,'Eurostat EB TJ GWh'!$A$2:$BV$2,0))</f>
        <v>0</v>
      </c>
      <c r="AQ111" s="17">
        <f>INDEX('Eurostat EB TJ GWh'!$A$2:$BV$146,MATCH($A111,'Eurostat EB TJ GWh'!$A$2:$A$146,0),MATCH(AQ$3,'Eurostat EB TJ GWh'!$A$2:$BV$2,0))</f>
        <v>0</v>
      </c>
      <c r="AR111" s="17">
        <f>INDEX('Eurostat EB TJ GWh'!$A$2:$BV$146,MATCH($A111,'Eurostat EB TJ GWh'!$A$2:$A$146,0),MATCH(AR$3,'Eurostat EB TJ GWh'!$A$2:$BV$2,0))</f>
        <v>0</v>
      </c>
      <c r="AS111" s="17">
        <f>INDEX('Eurostat EB TJ GWh'!$A$2:$BV$146,MATCH($A111,'Eurostat EB TJ GWh'!$A$2:$A$146,0),MATCH(AS$3,'Eurostat EB TJ GWh'!$A$2:$BV$2,0))</f>
        <v>0</v>
      </c>
      <c r="AT111" s="17">
        <f>INDEX('Eurostat EB TJ GWh'!$A$2:$BV$146,MATCH($A111,'Eurostat EB TJ GWh'!$A$2:$A$146,0),MATCH(AT$3,'Eurostat EB TJ GWh'!$A$2:$BV$2,0))</f>
        <v>1750.441</v>
      </c>
      <c r="AU111" s="17">
        <f>INDEX('Eurostat EB TJ GWh'!$A$2:$BV$146,MATCH($A111,'Eurostat EB TJ GWh'!$A$2:$A$146,0),MATCH(AU$3,'Eurostat EB TJ GWh'!$A$2:$BV$2,0))</f>
        <v>96.387</v>
      </c>
      <c r="AV111" s="17">
        <f>INDEX('Eurostat EB TJ GWh'!$A$2:$BV$146,MATCH($A111,'Eurostat EB TJ GWh'!$A$2:$A$146,0),MATCH(AV$2,'Eurostat EB TJ GWh'!$A$2:$BV$2,0))+INDEX('Eurostat EB TJ GWh'!$A$2:$BV$146,MATCH($A111,'Eurostat EB TJ GWh'!$A$2:$A$146,0),MATCH(AV$3,'Eurostat EB TJ GWh'!$A$2:$BV$2,0))</f>
        <v>0</v>
      </c>
      <c r="AW111" s="17">
        <f>INDEX('Eurostat EB TJ GWh'!$A$2:$BV$146,MATCH($A111,'Eurostat EB TJ GWh'!$A$2:$A$146,0),MATCH(AW$2,'Eurostat EB TJ GWh'!$A$2:$BV$2,0))+INDEX('Eurostat EB TJ GWh'!$A$2:$BV$146,MATCH($A111,'Eurostat EB TJ GWh'!$A$2:$A$146,0),MATCH(AW$3,'Eurostat EB TJ GWh'!$A$2:$BV$2,0))</f>
        <v>0</v>
      </c>
      <c r="AX111" s="17">
        <f>INDEX('Eurostat EB TJ GWh'!$A$2:$BV$146,MATCH($A111,'Eurostat EB TJ GWh'!$A$2:$A$146,0),MATCH(AX$3,'Eurostat EB TJ GWh'!$A$2:$BV$2,0))</f>
        <v>0</v>
      </c>
      <c r="AY111" s="65">
        <v>0</v>
      </c>
      <c r="AZ111" s="17">
        <f>INDEX('Eurostat EB TJ GWh'!$A$2:$BV$146,MATCH($A111,'Eurostat EB TJ GWh'!$A$2:$A$146,0),MATCH(AZ$3,'Eurostat EB TJ GWh'!$A$2:$BV$2,0))</f>
        <v>0</v>
      </c>
      <c r="BA111" s="65">
        <v>0</v>
      </c>
      <c r="BB111" s="65">
        <v>0</v>
      </c>
      <c r="BC111" s="17">
        <f>INDEX('Eurostat EB TJ GWh'!$A$2:$BV$146,MATCH($A111,'Eurostat EB TJ GWh'!$A$2:$A$146,0),MATCH(BC$3,'Eurostat EB TJ GWh'!$A$2:$BV$2,0))</f>
        <v>0</v>
      </c>
      <c r="BD111" s="17">
        <f>INDEX('Eurostat EB TJ GWh'!$A$2:$BV$146,MATCH($A111,'Eurostat EB TJ GWh'!$A$2:$A$146,0),MATCH(BD$3,'Eurostat EB TJ GWh'!$A$2:$BV$2,0))</f>
        <v>0</v>
      </c>
      <c r="BE111" s="17">
        <f>INDEX('Eurostat EB TJ GWh'!$A$2:$BV$146,MATCH($A111,'Eurostat EB TJ GWh'!$A$2:$A$146,0),MATCH(BE$3,'Eurostat EB TJ GWh'!$A$2:$BV$2,0))</f>
        <v>0</v>
      </c>
      <c r="BF111" s="17">
        <f>INDEX('Eurostat EB TJ GWh'!$A$2:$BV$146,MATCH($A111,'Eurostat EB TJ GWh'!$A$2:$A$146,0),MATCH(BF$3,'Eurostat EB TJ GWh'!$A$2:$BV$2,0))</f>
        <v>0</v>
      </c>
      <c r="BG111" s="17">
        <f>INDEX('Eurostat EB TJ GWh'!$A$2:$BV$146,MATCH($A111,'Eurostat EB TJ GWh'!$A$2:$A$146,0),MATCH(BG$3,'Eurostat EB TJ GWh'!$A$2:$BV$2,0))</f>
        <v>0</v>
      </c>
      <c r="BH111" s="17">
        <f>INDEX('Eurostat EB TJ GWh'!$A$2:$BV$146,MATCH($A111,'Eurostat EB TJ GWh'!$A$2:$A$146,0),MATCH(BH$3,'Eurostat EB TJ GWh'!$A$2:$BV$2,0))</f>
        <v>0</v>
      </c>
      <c r="BI111" s="17">
        <f>INDEX('Eurostat EB TJ GWh'!$A$2:$BV$146,MATCH($A111,'Eurostat EB TJ GWh'!$A$2:$A$146,0),MATCH(BI$3,'Eurostat EB TJ GWh'!$A$2:$BV$2,0))</f>
        <v>0</v>
      </c>
      <c r="BJ111" s="65">
        <v>0</v>
      </c>
      <c r="BK111" s="17">
        <f>INDEX('Eurostat EB TJ GWh'!$A$2:$BV$146,MATCH($A111,'Eurostat EB TJ GWh'!$A$2:$A$146,0),MATCH(BK$3,'Eurostat EB TJ GWh'!$A$2:$BV$2,0))</f>
        <v>6917.1049999999996</v>
      </c>
      <c r="BL111" s="17">
        <f>INDEX('Eurostat EB TJ GWh'!$A$2:$BV$146,MATCH($A111,'Eurostat EB TJ GWh'!$A$2:$A$146,0),MATCH(BL$3,'Eurostat EB TJ GWh'!$A$2:$BV$2,0))</f>
        <v>395.89100000000002</v>
      </c>
      <c r="BM111" s="17">
        <f>INDEX('Eurostat EB TJ GWh'!$A$2:$BV$146,MATCH($A111,'Eurostat EB TJ GWh'!$A$2:$A$146,0),MATCH(BM$3,'Eurostat EB TJ GWh'!$A$2:$BV$2,0))</f>
        <v>12905.630999999999</v>
      </c>
      <c r="BN111" s="17">
        <f>INDEX('Eurostat EB TJ GWh'!$A$2:$BV$146,MATCH($A111,'Eurostat EB TJ GWh'!$A$2:$A$146,0),MATCH(BN$3,'Eurostat EB TJ GWh'!$A$2:$BV$2,0))</f>
        <v>2429.87</v>
      </c>
    </row>
    <row r="112" spans="1:66" x14ac:dyDescent="0.2">
      <c r="A112" s="56" t="s">
        <v>301</v>
      </c>
      <c r="B112" s="65" t="s">
        <v>323</v>
      </c>
      <c r="C112" s="65" t="s">
        <v>323</v>
      </c>
      <c r="D112" s="57">
        <f>INDEX('Eurostat EB TJ GWh'!$A$2:$BV$146,MATCH($A112,'Eurostat EB TJ GWh'!$A$2:$A$146,0),MATCH(D$3,'Eurostat EB TJ GWh'!$A$2:$BV$2,0))</f>
        <v>0</v>
      </c>
      <c r="E112" s="57">
        <f>INDEX('Eurostat EB TJ GWh'!$A$2:$BV$146,MATCH($A112,'Eurostat EB TJ GWh'!$A$2:$A$146,0),MATCH(E$3,'Eurostat EB TJ GWh'!$A$2:$BV$2,0))</f>
        <v>0</v>
      </c>
      <c r="F112" s="57">
        <f>INDEX('Eurostat EB TJ GWh'!$A$2:$BV$146,MATCH($A112,'Eurostat EB TJ GWh'!$A$2:$A$146,0),MATCH(F$3,'Eurostat EB TJ GWh'!$A$2:$BV$2,0))</f>
        <v>0</v>
      </c>
      <c r="G112" s="57">
        <f>INDEX('Eurostat EB TJ GWh'!$A$2:$BV$146,MATCH($A112,'Eurostat EB TJ GWh'!$A$2:$A$146,0),MATCH(G$3,'Eurostat EB TJ GWh'!$A$2:$BV$2,0))</f>
        <v>0</v>
      </c>
      <c r="H112" s="57">
        <f>INDEX('Eurostat EB TJ GWh'!$A$2:$BV$146,MATCH($A112,'Eurostat EB TJ GWh'!$A$2:$A$146,0),MATCH(H$3,'Eurostat EB TJ GWh'!$A$2:$BV$2,0))</f>
        <v>0</v>
      </c>
      <c r="I112" s="57">
        <f>INDEX('Eurostat EB TJ GWh'!$A$2:$BV$146,MATCH($A112,'Eurostat EB TJ GWh'!$A$2:$A$146,0),MATCH(I$3,'Eurostat EB TJ GWh'!$A$2:$BV$2,0))</f>
        <v>0</v>
      </c>
      <c r="J112" s="57">
        <f>INDEX('Eurostat EB TJ GWh'!$A$2:$BV$146,MATCH($A112,'Eurostat EB TJ GWh'!$A$2:$A$146,0),MATCH(J$3,'Eurostat EB TJ GWh'!$A$2:$BV$2,0))</f>
        <v>0</v>
      </c>
      <c r="K112" s="57">
        <f>INDEX('Eurostat EB TJ GWh'!$A$2:$BV$146,MATCH($A112,'Eurostat EB TJ GWh'!$A$2:$A$146,0),MATCH(K$3,'Eurostat EB TJ GWh'!$A$2:$BV$2,0))</f>
        <v>0</v>
      </c>
      <c r="L112" s="57">
        <f>INDEX('Eurostat EB TJ GWh'!$A$2:$BV$146,MATCH($A112,'Eurostat EB TJ GWh'!$A$2:$A$146,0),MATCH(L$3,'Eurostat EB TJ GWh'!$A$2:$BV$2,0))</f>
        <v>0</v>
      </c>
      <c r="M112" s="57">
        <f>INDEX('Eurostat EB TJ GWh'!$A$2:$BV$146,MATCH($A112,'Eurostat EB TJ GWh'!$A$2:$A$146,0),MATCH(M$3,'Eurostat EB TJ GWh'!$A$2:$BV$2,0))</f>
        <v>0</v>
      </c>
      <c r="N112" s="57">
        <f>INDEX('Eurostat EB TJ GWh'!$A$2:$BV$146,MATCH($A112,'Eurostat EB TJ GWh'!$A$2:$A$146,0),MATCH(N$3,'Eurostat EB TJ GWh'!$A$2:$BV$2,0))</f>
        <v>0</v>
      </c>
      <c r="O112" s="57">
        <f>INDEX('Eurostat EB TJ GWh'!$A$2:$BV$146,MATCH($A112,'Eurostat EB TJ GWh'!$A$2:$A$146,0),MATCH(O$3,'Eurostat EB TJ GWh'!$A$2:$BV$2,0))</f>
        <v>0</v>
      </c>
      <c r="P112" s="57">
        <f>INDEX('Eurostat EB TJ GWh'!$A$2:$BV$146,MATCH($A112,'Eurostat EB TJ GWh'!$A$2:$A$146,0),MATCH(P$3,'Eurostat EB TJ GWh'!$A$2:$BV$2,0))</f>
        <v>0</v>
      </c>
      <c r="Q112" s="57">
        <f>INDEX('Eurostat EB TJ GWh'!$A$2:$BV$146,MATCH($A112,'Eurostat EB TJ GWh'!$A$2:$A$146,0),MATCH(Q$3,'Eurostat EB TJ GWh'!$A$2:$BV$2,0))</f>
        <v>0</v>
      </c>
      <c r="R112" s="57">
        <f>INDEX('Eurostat EB TJ GWh'!$A$2:$BV$146,MATCH($A112,'Eurostat EB TJ GWh'!$A$2:$A$146,0),MATCH(R$2,'Eurostat EB TJ GWh'!$A$2:$BV$2,0))+INDEX('Eurostat EB TJ GWh'!$A$2:$BV$146,MATCH($A112,'Eurostat EB TJ GWh'!$A$2:$A$146,0),MATCH(R$3,'Eurostat EB TJ GWh'!$A$2:$BV$2,0))</f>
        <v>0</v>
      </c>
      <c r="S112" s="57">
        <f>INDEX('Eurostat EB TJ GWh'!$A$2:$BV$146,MATCH($A112,'Eurostat EB TJ GWh'!$A$2:$A$146,0),MATCH(S$3,'Eurostat EB TJ GWh'!$A$2:$BV$2,0))</f>
        <v>2672.3560000000002</v>
      </c>
      <c r="T112" s="65" t="s">
        <v>323</v>
      </c>
      <c r="U112" s="57">
        <f>INDEX('Eurostat EB TJ GWh'!$A$2:$BV$146,MATCH($A112,'Eurostat EB TJ GWh'!$A$2:$A$146,0),MATCH(U$3,'Eurostat EB TJ GWh'!$A$2:$BV$2,0))</f>
        <v>0</v>
      </c>
      <c r="V112" s="57">
        <f>INDEX('Eurostat EB TJ GWh'!$A$2:$BV$146,MATCH($A112,'Eurostat EB TJ GWh'!$A$2:$A$146,0),MATCH(V$3,'Eurostat EB TJ GWh'!$A$2:$BV$2,0))</f>
        <v>0</v>
      </c>
      <c r="W112" s="57">
        <f>INDEX('Eurostat EB TJ GWh'!$A$2:$BV$146,MATCH($A112,'Eurostat EB TJ GWh'!$A$2:$A$146,0),MATCH(W$3,'Eurostat EB TJ GWh'!$A$2:$BV$2,0))</f>
        <v>0</v>
      </c>
      <c r="X112" s="57">
        <f>INDEX('Eurostat EB TJ GWh'!$A$2:$BV$146,MATCH($A112,'Eurostat EB TJ GWh'!$A$2:$A$146,0),MATCH(X$3,'Eurostat EB TJ GWh'!$A$2:$BV$2,0))</f>
        <v>0</v>
      </c>
      <c r="Y112" s="57">
        <f>INDEX('Eurostat EB TJ GWh'!$A$2:$BV$146,MATCH($A112,'Eurostat EB TJ GWh'!$A$2:$A$146,0),MATCH(Y$3,'Eurostat EB TJ GWh'!$A$2:$BV$2,0))</f>
        <v>0</v>
      </c>
      <c r="Z112" s="57">
        <f>INDEX('Eurostat EB TJ GWh'!$A$2:$BV$146,MATCH($A112,'Eurostat EB TJ GWh'!$A$2:$A$146,0),MATCH(Z$3,'Eurostat EB TJ GWh'!$A$2:$BV$2,0))</f>
        <v>0</v>
      </c>
      <c r="AA112" s="57">
        <f>INDEX('Eurostat EB TJ GWh'!$A$2:$BV$146,MATCH($A112,'Eurostat EB TJ GWh'!$A$2:$A$146,0),MATCH(AA$3,'Eurostat EB TJ GWh'!$A$2:$BV$2,0))</f>
        <v>0</v>
      </c>
      <c r="AB112" s="57">
        <f>INDEX('Eurostat EB TJ GWh'!$A$2:$BV$146,MATCH($A112,'Eurostat EB TJ GWh'!$A$2:$A$146,0),MATCH(AB$3,'Eurostat EB TJ GWh'!$A$2:$BV$2,0))</f>
        <v>4965.326</v>
      </c>
      <c r="AC112" s="57">
        <f>INDEX('Eurostat EB TJ GWh'!$A$2:$BV$146,MATCH($A112,'Eurostat EB TJ GWh'!$A$2:$A$146,0),MATCH(AC$3,'Eurostat EB TJ GWh'!$A$2:$BV$2,0))</f>
        <v>169944.13200000001</v>
      </c>
      <c r="AD112" s="57">
        <f>INDEX('Eurostat EB TJ GWh'!$A$2:$BV$146,MATCH($A112,'Eurostat EB TJ GWh'!$A$2:$A$146,0),MATCH(AD$3,'Eurostat EB TJ GWh'!$A$2:$BV$2,0))</f>
        <v>56.847000000000001</v>
      </c>
      <c r="AE112" s="57">
        <f>INDEX('Eurostat EB TJ GWh'!$A$2:$BV$146,MATCH($A112,'Eurostat EB TJ GWh'!$A$2:$A$146,0),MATCH(AE$3,'Eurostat EB TJ GWh'!$A$2:$BV$2,0))</f>
        <v>0</v>
      </c>
      <c r="AF112" s="57">
        <f>INDEX('Eurostat EB TJ GWh'!$A$2:$BV$146,MATCH($A112,'Eurostat EB TJ GWh'!$A$2:$A$146,0),MATCH(AF$3,'Eurostat EB TJ GWh'!$A$2:$BV$2,0))</f>
        <v>349.70499999999998</v>
      </c>
      <c r="AG112" s="57">
        <f>INDEX('Eurostat EB TJ GWh'!$A$2:$BV$146,MATCH($A112,'Eurostat EB TJ GWh'!$A$2:$A$146,0),MATCH(AG$3,'Eurostat EB TJ GWh'!$A$2:$BV$2,0))</f>
        <v>0</v>
      </c>
      <c r="AH112" s="57">
        <f>INDEX('Eurostat EB TJ GWh'!$A$2:$BV$146,MATCH($A112,'Eurostat EB TJ GWh'!$A$2:$A$146,0),MATCH(AH$3,'Eurostat EB TJ GWh'!$A$2:$BV$2,0))</f>
        <v>182757.81099999999</v>
      </c>
      <c r="AI112" s="57">
        <f>INDEX('Eurostat EB TJ GWh'!$A$2:$BV$146,MATCH($A112,'Eurostat EB TJ GWh'!$A$2:$A$146,0),MATCH(AI$3,'Eurostat EB TJ GWh'!$A$2:$BV$2,0))</f>
        <v>0</v>
      </c>
      <c r="AJ112" s="57">
        <f>INDEX('Eurostat EB TJ GWh'!$A$2:$BV$146,MATCH($A112,'Eurostat EB TJ GWh'!$A$2:$A$146,0),MATCH(AJ$3,'Eurostat EB TJ GWh'!$A$2:$BV$2,0))</f>
        <v>0</v>
      </c>
      <c r="AK112" s="57">
        <f>INDEX('Eurostat EB TJ GWh'!$A$2:$BV$146,MATCH($A112,'Eurostat EB TJ GWh'!$A$2:$A$146,0),MATCH(AK$3,'Eurostat EB TJ GWh'!$A$2:$BV$2,0))</f>
        <v>0</v>
      </c>
      <c r="AL112" s="57">
        <f>INDEX('Eurostat EB TJ GWh'!$A$2:$BV$146,MATCH($A112,'Eurostat EB TJ GWh'!$A$2:$A$146,0),MATCH(AL$3,'Eurostat EB TJ GWh'!$A$2:$BV$2,0))</f>
        <v>0</v>
      </c>
      <c r="AM112" s="57">
        <f>INDEX('Eurostat EB TJ GWh'!$A$2:$BV$146,MATCH($A112,'Eurostat EB TJ GWh'!$A$2:$A$146,0),MATCH(AM$3,'Eurostat EB TJ GWh'!$A$2:$BV$2,0))</f>
        <v>0</v>
      </c>
      <c r="AN112" s="57">
        <f>INDEX('Eurostat EB TJ GWh'!$A$2:$BV$146,MATCH($A112,'Eurostat EB TJ GWh'!$A$2:$A$146,0),MATCH(AN$3,'Eurostat EB TJ GWh'!$A$2:$BV$2,0))</f>
        <v>0</v>
      </c>
      <c r="AO112" s="57">
        <f>INDEX('Eurostat EB TJ GWh'!$A$2:$BV$146,MATCH($A112,'Eurostat EB TJ GWh'!$A$2:$A$146,0),MATCH(AO$3,'Eurostat EB TJ GWh'!$A$2:$BV$2,0))</f>
        <v>0</v>
      </c>
      <c r="AP112" s="57">
        <f>INDEX('Eurostat EB TJ GWh'!$A$2:$BV$146,MATCH($A112,'Eurostat EB TJ GWh'!$A$2:$A$146,0),MATCH(AP$3,'Eurostat EB TJ GWh'!$A$2:$BV$2,0))</f>
        <v>0</v>
      </c>
      <c r="AQ112" s="57">
        <f>INDEX('Eurostat EB TJ GWh'!$A$2:$BV$146,MATCH($A112,'Eurostat EB TJ GWh'!$A$2:$A$146,0),MATCH(AQ$3,'Eurostat EB TJ GWh'!$A$2:$BV$2,0))</f>
        <v>0</v>
      </c>
      <c r="AR112" s="57">
        <f>INDEX('Eurostat EB TJ GWh'!$A$2:$BV$146,MATCH($A112,'Eurostat EB TJ GWh'!$A$2:$A$146,0),MATCH(AR$3,'Eurostat EB TJ GWh'!$A$2:$BV$2,0))</f>
        <v>0</v>
      </c>
      <c r="AS112" s="57">
        <f>INDEX('Eurostat EB TJ GWh'!$A$2:$BV$146,MATCH($A112,'Eurostat EB TJ GWh'!$A$2:$A$146,0),MATCH(AS$3,'Eurostat EB TJ GWh'!$A$2:$BV$2,0))</f>
        <v>0</v>
      </c>
      <c r="AT112" s="57">
        <f>INDEX('Eurostat EB TJ GWh'!$A$2:$BV$146,MATCH($A112,'Eurostat EB TJ GWh'!$A$2:$A$146,0),MATCH(AT$3,'Eurostat EB TJ GWh'!$A$2:$BV$2,0))</f>
        <v>0</v>
      </c>
      <c r="AU112" s="57">
        <f>INDEX('Eurostat EB TJ GWh'!$A$2:$BV$146,MATCH($A112,'Eurostat EB TJ GWh'!$A$2:$A$146,0),MATCH(AU$3,'Eurostat EB TJ GWh'!$A$2:$BV$2,0))</f>
        <v>0</v>
      </c>
      <c r="AV112" s="57">
        <f>INDEX('Eurostat EB TJ GWh'!$A$2:$BV$146,MATCH($A112,'Eurostat EB TJ GWh'!$A$2:$A$146,0),MATCH(AV$2,'Eurostat EB TJ GWh'!$A$2:$BV$2,0))+INDEX('Eurostat EB TJ GWh'!$A$2:$BV$146,MATCH($A112,'Eurostat EB TJ GWh'!$A$2:$A$146,0),MATCH(AV$3,'Eurostat EB TJ GWh'!$A$2:$BV$2,0))</f>
        <v>10780.532999999999</v>
      </c>
      <c r="AW112" s="57">
        <f>INDEX('Eurostat EB TJ GWh'!$A$2:$BV$146,MATCH($A112,'Eurostat EB TJ GWh'!$A$2:$A$146,0),MATCH(AW$2,'Eurostat EB TJ GWh'!$A$2:$BV$2,0))+INDEX('Eurostat EB TJ GWh'!$A$2:$BV$146,MATCH($A112,'Eurostat EB TJ GWh'!$A$2:$A$146,0),MATCH(AW$3,'Eurostat EB TJ GWh'!$A$2:$BV$2,0))</f>
        <v>12097.383</v>
      </c>
      <c r="AX112" s="57">
        <f>INDEX('Eurostat EB TJ GWh'!$A$2:$BV$146,MATCH($A112,'Eurostat EB TJ GWh'!$A$2:$A$146,0),MATCH(AX$3,'Eurostat EB TJ GWh'!$A$2:$BV$2,0))</f>
        <v>0</v>
      </c>
      <c r="AY112" s="65">
        <v>0</v>
      </c>
      <c r="AZ112" s="57">
        <f>INDEX('Eurostat EB TJ GWh'!$A$2:$BV$146,MATCH($A112,'Eurostat EB TJ GWh'!$A$2:$A$146,0),MATCH(AZ$3,'Eurostat EB TJ GWh'!$A$2:$BV$2,0))</f>
        <v>0</v>
      </c>
      <c r="BA112" s="65">
        <v>0</v>
      </c>
      <c r="BB112" s="65">
        <v>0</v>
      </c>
      <c r="BC112" s="57">
        <f>INDEX('Eurostat EB TJ GWh'!$A$2:$BV$146,MATCH($A112,'Eurostat EB TJ GWh'!$A$2:$A$146,0),MATCH(BC$3,'Eurostat EB TJ GWh'!$A$2:$BV$2,0))</f>
        <v>0</v>
      </c>
      <c r="BD112" s="57">
        <f>INDEX('Eurostat EB TJ GWh'!$A$2:$BV$146,MATCH($A112,'Eurostat EB TJ GWh'!$A$2:$A$146,0),MATCH(BD$3,'Eurostat EB TJ GWh'!$A$2:$BV$2,0))</f>
        <v>0</v>
      </c>
      <c r="BE112" s="57">
        <f>INDEX('Eurostat EB TJ GWh'!$A$2:$BV$146,MATCH($A112,'Eurostat EB TJ GWh'!$A$2:$A$146,0),MATCH(BE$3,'Eurostat EB TJ GWh'!$A$2:$BV$2,0))</f>
        <v>0</v>
      </c>
      <c r="BF112" s="57">
        <f>INDEX('Eurostat EB TJ GWh'!$A$2:$BV$146,MATCH($A112,'Eurostat EB TJ GWh'!$A$2:$A$146,0),MATCH(BF$3,'Eurostat EB TJ GWh'!$A$2:$BV$2,0))</f>
        <v>0</v>
      </c>
      <c r="BG112" s="57">
        <f>INDEX('Eurostat EB TJ GWh'!$A$2:$BV$146,MATCH($A112,'Eurostat EB TJ GWh'!$A$2:$A$146,0),MATCH(BG$3,'Eurostat EB TJ GWh'!$A$2:$BV$2,0))</f>
        <v>0</v>
      </c>
      <c r="BH112" s="57">
        <f>INDEX('Eurostat EB TJ GWh'!$A$2:$BV$146,MATCH($A112,'Eurostat EB TJ GWh'!$A$2:$A$146,0),MATCH(BH$3,'Eurostat EB TJ GWh'!$A$2:$BV$2,0))</f>
        <v>0</v>
      </c>
      <c r="BI112" s="57">
        <f>INDEX('Eurostat EB TJ GWh'!$A$2:$BV$146,MATCH($A112,'Eurostat EB TJ GWh'!$A$2:$A$146,0),MATCH(BI$3,'Eurostat EB TJ GWh'!$A$2:$BV$2,0))</f>
        <v>0</v>
      </c>
      <c r="BJ112" s="65">
        <v>0</v>
      </c>
      <c r="BK112" s="57">
        <f>INDEX('Eurostat EB TJ GWh'!$A$2:$BV$146,MATCH($A112,'Eurostat EB TJ GWh'!$A$2:$A$146,0),MATCH(BK$3,'Eurostat EB TJ GWh'!$A$2:$BV$2,0))</f>
        <v>13980.179</v>
      </c>
      <c r="BL112" s="57">
        <f>INDEX('Eurostat EB TJ GWh'!$A$2:$BV$146,MATCH($A112,'Eurostat EB TJ GWh'!$A$2:$A$146,0),MATCH(BL$3,'Eurostat EB TJ GWh'!$A$2:$BV$2,0))</f>
        <v>0</v>
      </c>
      <c r="BM112" s="57">
        <f>INDEX('Eurostat EB TJ GWh'!$A$2:$BV$146,MATCH($A112,'Eurostat EB TJ GWh'!$A$2:$A$146,0),MATCH(BM$3,'Eurostat EB TJ GWh'!$A$2:$BV$2,0))</f>
        <v>397604.27299999999</v>
      </c>
      <c r="BN112" s="57">
        <f>INDEX('Eurostat EB TJ GWh'!$A$2:$BV$146,MATCH($A112,'Eurostat EB TJ GWh'!$A$2:$A$146,0),MATCH(BN$3,'Eurostat EB TJ GWh'!$A$2:$BV$2,0))</f>
        <v>23836.006000000001</v>
      </c>
    </row>
    <row r="113" spans="1:66" x14ac:dyDescent="0.2">
      <c r="A113" s="56" t="s">
        <v>302</v>
      </c>
      <c r="B113" s="65" t="s">
        <v>323</v>
      </c>
      <c r="C113" s="65" t="s">
        <v>323</v>
      </c>
      <c r="D113" s="17">
        <f>INDEX('Eurostat EB TJ GWh'!$A$2:$BV$146,MATCH($A113,'Eurostat EB TJ GWh'!$A$2:$A$146,0),MATCH(D$3,'Eurostat EB TJ GWh'!$A$2:$BV$2,0))</f>
        <v>0</v>
      </c>
      <c r="E113" s="17">
        <f>INDEX('Eurostat EB TJ GWh'!$A$2:$BV$146,MATCH($A113,'Eurostat EB TJ GWh'!$A$2:$A$146,0),MATCH(E$3,'Eurostat EB TJ GWh'!$A$2:$BV$2,0))</f>
        <v>0</v>
      </c>
      <c r="F113" s="17">
        <f>INDEX('Eurostat EB TJ GWh'!$A$2:$BV$146,MATCH($A113,'Eurostat EB TJ GWh'!$A$2:$A$146,0),MATCH(F$3,'Eurostat EB TJ GWh'!$A$2:$BV$2,0))</f>
        <v>0</v>
      </c>
      <c r="G113" s="17">
        <f>INDEX('Eurostat EB TJ GWh'!$A$2:$BV$146,MATCH($A113,'Eurostat EB TJ GWh'!$A$2:$A$146,0),MATCH(G$3,'Eurostat EB TJ GWh'!$A$2:$BV$2,0))</f>
        <v>0</v>
      </c>
      <c r="H113" s="17">
        <f>INDEX('Eurostat EB TJ GWh'!$A$2:$BV$146,MATCH($A113,'Eurostat EB TJ GWh'!$A$2:$A$146,0),MATCH(H$3,'Eurostat EB TJ GWh'!$A$2:$BV$2,0))</f>
        <v>0</v>
      </c>
      <c r="I113" s="17">
        <f>INDEX('Eurostat EB TJ GWh'!$A$2:$BV$146,MATCH($A113,'Eurostat EB TJ GWh'!$A$2:$A$146,0),MATCH(I$3,'Eurostat EB TJ GWh'!$A$2:$BV$2,0))</f>
        <v>0</v>
      </c>
      <c r="J113" s="17">
        <f>INDEX('Eurostat EB TJ GWh'!$A$2:$BV$146,MATCH($A113,'Eurostat EB TJ GWh'!$A$2:$A$146,0),MATCH(J$3,'Eurostat EB TJ GWh'!$A$2:$BV$2,0))</f>
        <v>0</v>
      </c>
      <c r="K113" s="17">
        <f>INDEX('Eurostat EB TJ GWh'!$A$2:$BV$146,MATCH($A113,'Eurostat EB TJ GWh'!$A$2:$A$146,0),MATCH(K$3,'Eurostat EB TJ GWh'!$A$2:$BV$2,0))</f>
        <v>0</v>
      </c>
      <c r="L113" s="17">
        <f>INDEX('Eurostat EB TJ GWh'!$A$2:$BV$146,MATCH($A113,'Eurostat EB TJ GWh'!$A$2:$A$146,0),MATCH(L$3,'Eurostat EB TJ GWh'!$A$2:$BV$2,0))</f>
        <v>0</v>
      </c>
      <c r="M113" s="17">
        <f>INDEX('Eurostat EB TJ GWh'!$A$2:$BV$146,MATCH($A113,'Eurostat EB TJ GWh'!$A$2:$A$146,0),MATCH(M$3,'Eurostat EB TJ GWh'!$A$2:$BV$2,0))</f>
        <v>0</v>
      </c>
      <c r="N113" s="17">
        <f>INDEX('Eurostat EB TJ GWh'!$A$2:$BV$146,MATCH($A113,'Eurostat EB TJ GWh'!$A$2:$A$146,0),MATCH(N$3,'Eurostat EB TJ GWh'!$A$2:$BV$2,0))</f>
        <v>0</v>
      </c>
      <c r="O113" s="17">
        <f>INDEX('Eurostat EB TJ GWh'!$A$2:$BV$146,MATCH($A113,'Eurostat EB TJ GWh'!$A$2:$A$146,0),MATCH(O$3,'Eurostat EB TJ GWh'!$A$2:$BV$2,0))</f>
        <v>0</v>
      </c>
      <c r="P113" s="17">
        <f>INDEX('Eurostat EB TJ GWh'!$A$2:$BV$146,MATCH($A113,'Eurostat EB TJ GWh'!$A$2:$A$146,0),MATCH(P$3,'Eurostat EB TJ GWh'!$A$2:$BV$2,0))</f>
        <v>0</v>
      </c>
      <c r="Q113" s="17">
        <f>INDEX('Eurostat EB TJ GWh'!$A$2:$BV$146,MATCH($A113,'Eurostat EB TJ GWh'!$A$2:$A$146,0),MATCH(Q$3,'Eurostat EB TJ GWh'!$A$2:$BV$2,0))</f>
        <v>0</v>
      </c>
      <c r="R113" s="17">
        <f>INDEX('Eurostat EB TJ GWh'!$A$2:$BV$146,MATCH($A113,'Eurostat EB TJ GWh'!$A$2:$A$146,0),MATCH(R$2,'Eurostat EB TJ GWh'!$A$2:$BV$2,0))+INDEX('Eurostat EB TJ GWh'!$A$2:$BV$146,MATCH($A113,'Eurostat EB TJ GWh'!$A$2:$A$146,0),MATCH(R$3,'Eurostat EB TJ GWh'!$A$2:$BV$2,0))</f>
        <v>0</v>
      </c>
      <c r="S113" s="17">
        <f>INDEX('Eurostat EB TJ GWh'!$A$2:$BV$146,MATCH($A113,'Eurostat EB TJ GWh'!$A$2:$A$146,0),MATCH(S$3,'Eurostat EB TJ GWh'!$A$2:$BV$2,0))</f>
        <v>0</v>
      </c>
      <c r="T113" s="65" t="s">
        <v>323</v>
      </c>
      <c r="U113" s="17">
        <f>INDEX('Eurostat EB TJ GWh'!$A$2:$BV$146,MATCH($A113,'Eurostat EB TJ GWh'!$A$2:$A$146,0),MATCH(U$3,'Eurostat EB TJ GWh'!$A$2:$BV$2,0))</f>
        <v>0</v>
      </c>
      <c r="V113" s="17">
        <f>INDEX('Eurostat EB TJ GWh'!$A$2:$BV$146,MATCH($A113,'Eurostat EB TJ GWh'!$A$2:$A$146,0),MATCH(V$3,'Eurostat EB TJ GWh'!$A$2:$BV$2,0))</f>
        <v>0</v>
      </c>
      <c r="W113" s="17">
        <f>INDEX('Eurostat EB TJ GWh'!$A$2:$BV$146,MATCH($A113,'Eurostat EB TJ GWh'!$A$2:$A$146,0),MATCH(W$3,'Eurostat EB TJ GWh'!$A$2:$BV$2,0))</f>
        <v>0</v>
      </c>
      <c r="X113" s="17">
        <f>INDEX('Eurostat EB TJ GWh'!$A$2:$BV$146,MATCH($A113,'Eurostat EB TJ GWh'!$A$2:$A$146,0),MATCH(X$3,'Eurostat EB TJ GWh'!$A$2:$BV$2,0))</f>
        <v>0</v>
      </c>
      <c r="Y113" s="17">
        <f>INDEX('Eurostat EB TJ GWh'!$A$2:$BV$146,MATCH($A113,'Eurostat EB TJ GWh'!$A$2:$A$146,0),MATCH(Y$3,'Eurostat EB TJ GWh'!$A$2:$BV$2,0))</f>
        <v>0</v>
      </c>
      <c r="Z113" s="17">
        <f>INDEX('Eurostat EB TJ GWh'!$A$2:$BV$146,MATCH($A113,'Eurostat EB TJ GWh'!$A$2:$A$146,0),MATCH(Z$3,'Eurostat EB TJ GWh'!$A$2:$BV$2,0))</f>
        <v>0</v>
      </c>
      <c r="AA113" s="17">
        <f>INDEX('Eurostat EB TJ GWh'!$A$2:$BV$146,MATCH($A113,'Eurostat EB TJ GWh'!$A$2:$A$146,0),MATCH(AA$3,'Eurostat EB TJ GWh'!$A$2:$BV$2,0))</f>
        <v>0</v>
      </c>
      <c r="AB113" s="17">
        <f>INDEX('Eurostat EB TJ GWh'!$A$2:$BV$146,MATCH($A113,'Eurostat EB TJ GWh'!$A$2:$A$146,0),MATCH(AB$3,'Eurostat EB TJ GWh'!$A$2:$BV$2,0))</f>
        <v>0</v>
      </c>
      <c r="AC113" s="17">
        <f>INDEX('Eurostat EB TJ GWh'!$A$2:$BV$146,MATCH($A113,'Eurostat EB TJ GWh'!$A$2:$A$146,0),MATCH(AC$3,'Eurostat EB TJ GWh'!$A$2:$BV$2,0))</f>
        <v>0</v>
      </c>
      <c r="AD113" s="17">
        <f>INDEX('Eurostat EB TJ GWh'!$A$2:$BV$146,MATCH($A113,'Eurostat EB TJ GWh'!$A$2:$A$146,0),MATCH(AD$3,'Eurostat EB TJ GWh'!$A$2:$BV$2,0))</f>
        <v>0</v>
      </c>
      <c r="AE113" s="17">
        <f>INDEX('Eurostat EB TJ GWh'!$A$2:$BV$146,MATCH($A113,'Eurostat EB TJ GWh'!$A$2:$A$146,0),MATCH(AE$3,'Eurostat EB TJ GWh'!$A$2:$BV$2,0))</f>
        <v>0</v>
      </c>
      <c r="AF113" s="17">
        <f>INDEX('Eurostat EB TJ GWh'!$A$2:$BV$146,MATCH($A113,'Eurostat EB TJ GWh'!$A$2:$A$146,0),MATCH(AF$3,'Eurostat EB TJ GWh'!$A$2:$BV$2,0))</f>
        <v>0</v>
      </c>
      <c r="AG113" s="17">
        <f>INDEX('Eurostat EB TJ GWh'!$A$2:$BV$146,MATCH($A113,'Eurostat EB TJ GWh'!$A$2:$A$146,0),MATCH(AG$3,'Eurostat EB TJ GWh'!$A$2:$BV$2,0))</f>
        <v>0</v>
      </c>
      <c r="AH113" s="17">
        <f>INDEX('Eurostat EB TJ GWh'!$A$2:$BV$146,MATCH($A113,'Eurostat EB TJ GWh'!$A$2:$A$146,0),MATCH(AH$3,'Eurostat EB TJ GWh'!$A$2:$BV$2,0))</f>
        <v>928.64400000000001</v>
      </c>
      <c r="AI113" s="17">
        <f>INDEX('Eurostat EB TJ GWh'!$A$2:$BV$146,MATCH($A113,'Eurostat EB TJ GWh'!$A$2:$A$146,0),MATCH(AI$3,'Eurostat EB TJ GWh'!$A$2:$BV$2,0))</f>
        <v>0</v>
      </c>
      <c r="AJ113" s="17">
        <f>INDEX('Eurostat EB TJ GWh'!$A$2:$BV$146,MATCH($A113,'Eurostat EB TJ GWh'!$A$2:$A$146,0),MATCH(AJ$3,'Eurostat EB TJ GWh'!$A$2:$BV$2,0))</f>
        <v>0</v>
      </c>
      <c r="AK113" s="17">
        <f>INDEX('Eurostat EB TJ GWh'!$A$2:$BV$146,MATCH($A113,'Eurostat EB TJ GWh'!$A$2:$A$146,0),MATCH(AK$3,'Eurostat EB TJ GWh'!$A$2:$BV$2,0))</f>
        <v>0</v>
      </c>
      <c r="AL113" s="17">
        <f>INDEX('Eurostat EB TJ GWh'!$A$2:$BV$146,MATCH($A113,'Eurostat EB TJ GWh'!$A$2:$A$146,0),MATCH(AL$3,'Eurostat EB TJ GWh'!$A$2:$BV$2,0))</f>
        <v>0</v>
      </c>
      <c r="AM113" s="17">
        <f>INDEX('Eurostat EB TJ GWh'!$A$2:$BV$146,MATCH($A113,'Eurostat EB TJ GWh'!$A$2:$A$146,0),MATCH(AM$3,'Eurostat EB TJ GWh'!$A$2:$BV$2,0))</f>
        <v>0</v>
      </c>
      <c r="AN113" s="17">
        <f>INDEX('Eurostat EB TJ GWh'!$A$2:$BV$146,MATCH($A113,'Eurostat EB TJ GWh'!$A$2:$A$146,0),MATCH(AN$3,'Eurostat EB TJ GWh'!$A$2:$BV$2,0))</f>
        <v>0</v>
      </c>
      <c r="AO113" s="17">
        <f>INDEX('Eurostat EB TJ GWh'!$A$2:$BV$146,MATCH($A113,'Eurostat EB TJ GWh'!$A$2:$A$146,0),MATCH(AO$3,'Eurostat EB TJ GWh'!$A$2:$BV$2,0))</f>
        <v>0</v>
      </c>
      <c r="AP113" s="17">
        <f>INDEX('Eurostat EB TJ GWh'!$A$2:$BV$146,MATCH($A113,'Eurostat EB TJ GWh'!$A$2:$A$146,0),MATCH(AP$3,'Eurostat EB TJ GWh'!$A$2:$BV$2,0))</f>
        <v>0</v>
      </c>
      <c r="AQ113" s="17">
        <f>INDEX('Eurostat EB TJ GWh'!$A$2:$BV$146,MATCH($A113,'Eurostat EB TJ GWh'!$A$2:$A$146,0),MATCH(AQ$3,'Eurostat EB TJ GWh'!$A$2:$BV$2,0))</f>
        <v>0</v>
      </c>
      <c r="AR113" s="17">
        <f>INDEX('Eurostat EB TJ GWh'!$A$2:$BV$146,MATCH($A113,'Eurostat EB TJ GWh'!$A$2:$A$146,0),MATCH(AR$3,'Eurostat EB TJ GWh'!$A$2:$BV$2,0))</f>
        <v>0</v>
      </c>
      <c r="AS113" s="17">
        <f>INDEX('Eurostat EB TJ GWh'!$A$2:$BV$146,MATCH($A113,'Eurostat EB TJ GWh'!$A$2:$A$146,0),MATCH(AS$3,'Eurostat EB TJ GWh'!$A$2:$BV$2,0))</f>
        <v>0</v>
      </c>
      <c r="AT113" s="17">
        <f>INDEX('Eurostat EB TJ GWh'!$A$2:$BV$146,MATCH($A113,'Eurostat EB TJ GWh'!$A$2:$A$146,0),MATCH(AT$3,'Eurostat EB TJ GWh'!$A$2:$BV$2,0))</f>
        <v>0</v>
      </c>
      <c r="AU113" s="17">
        <f>INDEX('Eurostat EB TJ GWh'!$A$2:$BV$146,MATCH($A113,'Eurostat EB TJ GWh'!$A$2:$A$146,0),MATCH(AU$3,'Eurostat EB TJ GWh'!$A$2:$BV$2,0))</f>
        <v>0</v>
      </c>
      <c r="AV113" s="17">
        <f>INDEX('Eurostat EB TJ GWh'!$A$2:$BV$146,MATCH($A113,'Eurostat EB TJ GWh'!$A$2:$A$146,0),MATCH(AV$2,'Eurostat EB TJ GWh'!$A$2:$BV$2,0))+INDEX('Eurostat EB TJ GWh'!$A$2:$BV$146,MATCH($A113,'Eurostat EB TJ GWh'!$A$2:$A$146,0),MATCH(AV$3,'Eurostat EB TJ GWh'!$A$2:$BV$2,0))</f>
        <v>0</v>
      </c>
      <c r="AW113" s="17">
        <f>INDEX('Eurostat EB TJ GWh'!$A$2:$BV$146,MATCH($A113,'Eurostat EB TJ GWh'!$A$2:$A$146,0),MATCH(AW$2,'Eurostat EB TJ GWh'!$A$2:$BV$2,0))+INDEX('Eurostat EB TJ GWh'!$A$2:$BV$146,MATCH($A113,'Eurostat EB TJ GWh'!$A$2:$A$146,0),MATCH(AW$3,'Eurostat EB TJ GWh'!$A$2:$BV$2,0))</f>
        <v>65.677000000000007</v>
      </c>
      <c r="AX113" s="17">
        <f>INDEX('Eurostat EB TJ GWh'!$A$2:$BV$146,MATCH($A113,'Eurostat EB TJ GWh'!$A$2:$A$146,0),MATCH(AX$3,'Eurostat EB TJ GWh'!$A$2:$BV$2,0))</f>
        <v>0</v>
      </c>
      <c r="AY113" s="72">
        <v>0</v>
      </c>
      <c r="AZ113" s="17">
        <f>INDEX('Eurostat EB TJ GWh'!$A$2:$BV$146,MATCH($A113,'Eurostat EB TJ GWh'!$A$2:$A$146,0),MATCH(AZ$3,'Eurostat EB TJ GWh'!$A$2:$BV$2,0))</f>
        <v>0</v>
      </c>
      <c r="BA113" s="72">
        <v>0</v>
      </c>
      <c r="BB113" s="72">
        <v>0</v>
      </c>
      <c r="BC113" s="17">
        <f>INDEX('Eurostat EB TJ GWh'!$A$2:$BV$146,MATCH($A113,'Eurostat EB TJ GWh'!$A$2:$A$146,0),MATCH(BC$3,'Eurostat EB TJ GWh'!$A$2:$BV$2,0))</f>
        <v>0</v>
      </c>
      <c r="BD113" s="17">
        <f>INDEX('Eurostat EB TJ GWh'!$A$2:$BV$146,MATCH($A113,'Eurostat EB TJ GWh'!$A$2:$A$146,0),MATCH(BD$3,'Eurostat EB TJ GWh'!$A$2:$BV$2,0))</f>
        <v>0</v>
      </c>
      <c r="BE113" s="17">
        <f>INDEX('Eurostat EB TJ GWh'!$A$2:$BV$146,MATCH($A113,'Eurostat EB TJ GWh'!$A$2:$A$146,0),MATCH(BE$3,'Eurostat EB TJ GWh'!$A$2:$BV$2,0))</f>
        <v>0</v>
      </c>
      <c r="BF113" s="17">
        <f>INDEX('Eurostat EB TJ GWh'!$A$2:$BV$146,MATCH($A113,'Eurostat EB TJ GWh'!$A$2:$A$146,0),MATCH(BF$3,'Eurostat EB TJ GWh'!$A$2:$BV$2,0))</f>
        <v>0</v>
      </c>
      <c r="BG113" s="17">
        <f>INDEX('Eurostat EB TJ GWh'!$A$2:$BV$146,MATCH($A113,'Eurostat EB TJ GWh'!$A$2:$A$146,0),MATCH(BG$3,'Eurostat EB TJ GWh'!$A$2:$BV$2,0))</f>
        <v>0</v>
      </c>
      <c r="BH113" s="17">
        <f>INDEX('Eurostat EB TJ GWh'!$A$2:$BV$146,MATCH($A113,'Eurostat EB TJ GWh'!$A$2:$A$146,0),MATCH(BH$3,'Eurostat EB TJ GWh'!$A$2:$BV$2,0))</f>
        <v>0</v>
      </c>
      <c r="BI113" s="17">
        <f>INDEX('Eurostat EB TJ GWh'!$A$2:$BV$146,MATCH($A113,'Eurostat EB TJ GWh'!$A$2:$A$146,0),MATCH(BI$3,'Eurostat EB TJ GWh'!$A$2:$BV$2,0))</f>
        <v>0</v>
      </c>
      <c r="BJ113" s="72">
        <v>0</v>
      </c>
      <c r="BK113" s="17">
        <f>INDEX('Eurostat EB TJ GWh'!$A$2:$BV$146,MATCH($A113,'Eurostat EB TJ GWh'!$A$2:$A$146,0),MATCH(BK$3,'Eurostat EB TJ GWh'!$A$2:$BV$2,0))</f>
        <v>6032.3</v>
      </c>
      <c r="BL113" s="17">
        <f>INDEX('Eurostat EB TJ GWh'!$A$2:$BV$146,MATCH($A113,'Eurostat EB TJ GWh'!$A$2:$A$146,0),MATCH(BL$3,'Eurostat EB TJ GWh'!$A$2:$BV$2,0))</f>
        <v>0</v>
      </c>
      <c r="BM113" s="17">
        <f>INDEX('Eurostat EB TJ GWh'!$A$2:$BV$146,MATCH($A113,'Eurostat EB TJ GWh'!$A$2:$A$146,0),MATCH(BM$3,'Eurostat EB TJ GWh'!$A$2:$BV$2,0))</f>
        <v>7026.6210000000001</v>
      </c>
      <c r="BN113" s="17">
        <f>INDEX('Eurostat EB TJ GWh'!$A$2:$BV$146,MATCH($A113,'Eurostat EB TJ GWh'!$A$2:$A$146,0),MATCH(BN$3,'Eurostat EB TJ GWh'!$A$2:$BV$2,0))</f>
        <v>467.27199999999999</v>
      </c>
    </row>
    <row r="114" spans="1:66" x14ac:dyDescent="0.2">
      <c r="A114" s="56" t="s">
        <v>303</v>
      </c>
      <c r="B114" s="65" t="s">
        <v>323</v>
      </c>
      <c r="C114" s="65" t="s">
        <v>323</v>
      </c>
      <c r="D114" s="57">
        <f>INDEX('Eurostat EB TJ GWh'!$A$2:$BV$146,MATCH($A114,'Eurostat EB TJ GWh'!$A$2:$A$146,0),MATCH(D$3,'Eurostat EB TJ GWh'!$A$2:$BV$2,0))</f>
        <v>0</v>
      </c>
      <c r="E114" s="57">
        <f>INDEX('Eurostat EB TJ GWh'!$A$2:$BV$146,MATCH($A114,'Eurostat EB TJ GWh'!$A$2:$A$146,0),MATCH(E$3,'Eurostat EB TJ GWh'!$A$2:$BV$2,0))</f>
        <v>0</v>
      </c>
      <c r="F114" s="57">
        <f>INDEX('Eurostat EB TJ GWh'!$A$2:$BV$146,MATCH($A114,'Eurostat EB TJ GWh'!$A$2:$A$146,0),MATCH(F$3,'Eurostat EB TJ GWh'!$A$2:$BV$2,0))</f>
        <v>0</v>
      </c>
      <c r="G114" s="57">
        <f>INDEX('Eurostat EB TJ GWh'!$A$2:$BV$146,MATCH($A114,'Eurostat EB TJ GWh'!$A$2:$A$146,0),MATCH(G$3,'Eurostat EB TJ GWh'!$A$2:$BV$2,0))</f>
        <v>0</v>
      </c>
      <c r="H114" s="57">
        <f>INDEX('Eurostat EB TJ GWh'!$A$2:$BV$146,MATCH($A114,'Eurostat EB TJ GWh'!$A$2:$A$146,0),MATCH(H$3,'Eurostat EB TJ GWh'!$A$2:$BV$2,0))</f>
        <v>0</v>
      </c>
      <c r="I114" s="57">
        <f>INDEX('Eurostat EB TJ GWh'!$A$2:$BV$146,MATCH($A114,'Eurostat EB TJ GWh'!$A$2:$A$146,0),MATCH(I$3,'Eurostat EB TJ GWh'!$A$2:$BV$2,0))</f>
        <v>0</v>
      </c>
      <c r="J114" s="57">
        <f>INDEX('Eurostat EB TJ GWh'!$A$2:$BV$146,MATCH($A114,'Eurostat EB TJ GWh'!$A$2:$A$146,0),MATCH(J$3,'Eurostat EB TJ GWh'!$A$2:$BV$2,0))</f>
        <v>0</v>
      </c>
      <c r="K114" s="57">
        <f>INDEX('Eurostat EB TJ GWh'!$A$2:$BV$146,MATCH($A114,'Eurostat EB TJ GWh'!$A$2:$A$146,0),MATCH(K$3,'Eurostat EB TJ GWh'!$A$2:$BV$2,0))</f>
        <v>0</v>
      </c>
      <c r="L114" s="57">
        <f>INDEX('Eurostat EB TJ GWh'!$A$2:$BV$146,MATCH($A114,'Eurostat EB TJ GWh'!$A$2:$A$146,0),MATCH(L$3,'Eurostat EB TJ GWh'!$A$2:$BV$2,0))</f>
        <v>0</v>
      </c>
      <c r="M114" s="57">
        <f>INDEX('Eurostat EB TJ GWh'!$A$2:$BV$146,MATCH($A114,'Eurostat EB TJ GWh'!$A$2:$A$146,0),MATCH(M$3,'Eurostat EB TJ GWh'!$A$2:$BV$2,0))</f>
        <v>0</v>
      </c>
      <c r="N114" s="57">
        <f>INDEX('Eurostat EB TJ GWh'!$A$2:$BV$146,MATCH($A114,'Eurostat EB TJ GWh'!$A$2:$A$146,0),MATCH(N$3,'Eurostat EB TJ GWh'!$A$2:$BV$2,0))</f>
        <v>0</v>
      </c>
      <c r="O114" s="57">
        <f>INDEX('Eurostat EB TJ GWh'!$A$2:$BV$146,MATCH($A114,'Eurostat EB TJ GWh'!$A$2:$A$146,0),MATCH(O$3,'Eurostat EB TJ GWh'!$A$2:$BV$2,0))</f>
        <v>0</v>
      </c>
      <c r="P114" s="57">
        <f>INDEX('Eurostat EB TJ GWh'!$A$2:$BV$146,MATCH($A114,'Eurostat EB TJ GWh'!$A$2:$A$146,0),MATCH(P$3,'Eurostat EB TJ GWh'!$A$2:$BV$2,0))</f>
        <v>0</v>
      </c>
      <c r="Q114" s="57">
        <f>INDEX('Eurostat EB TJ GWh'!$A$2:$BV$146,MATCH($A114,'Eurostat EB TJ GWh'!$A$2:$A$146,0),MATCH(Q$3,'Eurostat EB TJ GWh'!$A$2:$BV$2,0))</f>
        <v>0</v>
      </c>
      <c r="R114" s="57">
        <f>INDEX('Eurostat EB TJ GWh'!$A$2:$BV$146,MATCH($A114,'Eurostat EB TJ GWh'!$A$2:$A$146,0),MATCH(R$2,'Eurostat EB TJ GWh'!$A$2:$BV$2,0))+INDEX('Eurostat EB TJ GWh'!$A$2:$BV$146,MATCH($A114,'Eurostat EB TJ GWh'!$A$2:$A$146,0),MATCH(R$3,'Eurostat EB TJ GWh'!$A$2:$BV$2,0))</f>
        <v>0</v>
      </c>
      <c r="S114" s="57">
        <f>INDEX('Eurostat EB TJ GWh'!$A$2:$BV$146,MATCH($A114,'Eurostat EB TJ GWh'!$A$2:$A$146,0),MATCH(S$3,'Eurostat EB TJ GWh'!$A$2:$BV$2,0))</f>
        <v>2448.2550000000001</v>
      </c>
      <c r="T114" s="65" t="s">
        <v>323</v>
      </c>
      <c r="U114" s="57">
        <f>INDEX('Eurostat EB TJ GWh'!$A$2:$BV$146,MATCH($A114,'Eurostat EB TJ GWh'!$A$2:$A$146,0),MATCH(U$3,'Eurostat EB TJ GWh'!$A$2:$BV$2,0))</f>
        <v>0</v>
      </c>
      <c r="V114" s="57">
        <f>INDEX('Eurostat EB TJ GWh'!$A$2:$BV$146,MATCH($A114,'Eurostat EB TJ GWh'!$A$2:$A$146,0),MATCH(V$3,'Eurostat EB TJ GWh'!$A$2:$BV$2,0))</f>
        <v>0</v>
      </c>
      <c r="W114" s="57">
        <f>INDEX('Eurostat EB TJ GWh'!$A$2:$BV$146,MATCH($A114,'Eurostat EB TJ GWh'!$A$2:$A$146,0),MATCH(W$3,'Eurostat EB TJ GWh'!$A$2:$BV$2,0))</f>
        <v>0</v>
      </c>
      <c r="X114" s="57">
        <f>INDEX('Eurostat EB TJ GWh'!$A$2:$BV$146,MATCH($A114,'Eurostat EB TJ GWh'!$A$2:$A$146,0),MATCH(X$3,'Eurostat EB TJ GWh'!$A$2:$BV$2,0))</f>
        <v>0</v>
      </c>
      <c r="Y114" s="57">
        <f>INDEX('Eurostat EB TJ GWh'!$A$2:$BV$146,MATCH($A114,'Eurostat EB TJ GWh'!$A$2:$A$146,0),MATCH(Y$3,'Eurostat EB TJ GWh'!$A$2:$BV$2,0))</f>
        <v>0</v>
      </c>
      <c r="Z114" s="57">
        <f>INDEX('Eurostat EB TJ GWh'!$A$2:$BV$146,MATCH($A114,'Eurostat EB TJ GWh'!$A$2:$A$146,0),MATCH(Z$3,'Eurostat EB TJ GWh'!$A$2:$BV$2,0))</f>
        <v>0</v>
      </c>
      <c r="AA114" s="57">
        <f>INDEX('Eurostat EB TJ GWh'!$A$2:$BV$146,MATCH($A114,'Eurostat EB TJ GWh'!$A$2:$A$146,0),MATCH(AA$3,'Eurostat EB TJ GWh'!$A$2:$BV$2,0))</f>
        <v>0</v>
      </c>
      <c r="AB114" s="57">
        <f>INDEX('Eurostat EB TJ GWh'!$A$2:$BV$146,MATCH($A114,'Eurostat EB TJ GWh'!$A$2:$A$146,0),MATCH(AB$3,'Eurostat EB TJ GWh'!$A$2:$BV$2,0))</f>
        <v>4965.326</v>
      </c>
      <c r="AC114" s="57">
        <f>INDEX('Eurostat EB TJ GWh'!$A$2:$BV$146,MATCH($A114,'Eurostat EB TJ GWh'!$A$2:$A$146,0),MATCH(AC$3,'Eurostat EB TJ GWh'!$A$2:$BV$2,0))</f>
        <v>168369.96400000001</v>
      </c>
      <c r="AD114" s="57">
        <f>INDEX('Eurostat EB TJ GWh'!$A$2:$BV$146,MATCH($A114,'Eurostat EB TJ GWh'!$A$2:$A$146,0),MATCH(AD$3,'Eurostat EB TJ GWh'!$A$2:$BV$2,0))</f>
        <v>0</v>
      </c>
      <c r="AE114" s="57">
        <f>INDEX('Eurostat EB TJ GWh'!$A$2:$BV$146,MATCH($A114,'Eurostat EB TJ GWh'!$A$2:$A$146,0),MATCH(AE$3,'Eurostat EB TJ GWh'!$A$2:$BV$2,0))</f>
        <v>0</v>
      </c>
      <c r="AF114" s="57">
        <f>INDEX('Eurostat EB TJ GWh'!$A$2:$BV$146,MATCH($A114,'Eurostat EB TJ GWh'!$A$2:$A$146,0),MATCH(AF$3,'Eurostat EB TJ GWh'!$A$2:$BV$2,0))</f>
        <v>0</v>
      </c>
      <c r="AG114" s="57">
        <f>INDEX('Eurostat EB TJ GWh'!$A$2:$BV$146,MATCH($A114,'Eurostat EB TJ GWh'!$A$2:$A$146,0),MATCH(AG$3,'Eurostat EB TJ GWh'!$A$2:$BV$2,0))</f>
        <v>0</v>
      </c>
      <c r="AH114" s="57">
        <f>INDEX('Eurostat EB TJ GWh'!$A$2:$BV$146,MATCH($A114,'Eurostat EB TJ GWh'!$A$2:$A$146,0),MATCH(AH$3,'Eurostat EB TJ GWh'!$A$2:$BV$2,0))</f>
        <v>170617.92300000001</v>
      </c>
      <c r="AI114" s="57">
        <f>INDEX('Eurostat EB TJ GWh'!$A$2:$BV$146,MATCH($A114,'Eurostat EB TJ GWh'!$A$2:$A$146,0),MATCH(AI$3,'Eurostat EB TJ GWh'!$A$2:$BV$2,0))</f>
        <v>0</v>
      </c>
      <c r="AJ114" s="57">
        <f>INDEX('Eurostat EB TJ GWh'!$A$2:$BV$146,MATCH($A114,'Eurostat EB TJ GWh'!$A$2:$A$146,0),MATCH(AJ$3,'Eurostat EB TJ GWh'!$A$2:$BV$2,0))</f>
        <v>0</v>
      </c>
      <c r="AK114" s="57">
        <f>INDEX('Eurostat EB TJ GWh'!$A$2:$BV$146,MATCH($A114,'Eurostat EB TJ GWh'!$A$2:$A$146,0),MATCH(AK$3,'Eurostat EB TJ GWh'!$A$2:$BV$2,0))</f>
        <v>0</v>
      </c>
      <c r="AL114" s="57">
        <f>INDEX('Eurostat EB TJ GWh'!$A$2:$BV$146,MATCH($A114,'Eurostat EB TJ GWh'!$A$2:$A$146,0),MATCH(AL$3,'Eurostat EB TJ GWh'!$A$2:$BV$2,0))</f>
        <v>0</v>
      </c>
      <c r="AM114" s="57">
        <f>INDEX('Eurostat EB TJ GWh'!$A$2:$BV$146,MATCH($A114,'Eurostat EB TJ GWh'!$A$2:$A$146,0),MATCH(AM$3,'Eurostat EB TJ GWh'!$A$2:$BV$2,0))</f>
        <v>0</v>
      </c>
      <c r="AN114" s="57">
        <f>INDEX('Eurostat EB TJ GWh'!$A$2:$BV$146,MATCH($A114,'Eurostat EB TJ GWh'!$A$2:$A$146,0),MATCH(AN$3,'Eurostat EB TJ GWh'!$A$2:$BV$2,0))</f>
        <v>0</v>
      </c>
      <c r="AO114" s="57">
        <f>INDEX('Eurostat EB TJ GWh'!$A$2:$BV$146,MATCH($A114,'Eurostat EB TJ GWh'!$A$2:$A$146,0),MATCH(AO$3,'Eurostat EB TJ GWh'!$A$2:$BV$2,0))</f>
        <v>0</v>
      </c>
      <c r="AP114" s="57">
        <f>INDEX('Eurostat EB TJ GWh'!$A$2:$BV$146,MATCH($A114,'Eurostat EB TJ GWh'!$A$2:$A$146,0),MATCH(AP$3,'Eurostat EB TJ GWh'!$A$2:$BV$2,0))</f>
        <v>0</v>
      </c>
      <c r="AQ114" s="57">
        <f>INDEX('Eurostat EB TJ GWh'!$A$2:$BV$146,MATCH($A114,'Eurostat EB TJ GWh'!$A$2:$A$146,0),MATCH(AQ$3,'Eurostat EB TJ GWh'!$A$2:$BV$2,0))</f>
        <v>0</v>
      </c>
      <c r="AR114" s="57">
        <f>INDEX('Eurostat EB TJ GWh'!$A$2:$BV$146,MATCH($A114,'Eurostat EB TJ GWh'!$A$2:$A$146,0),MATCH(AR$3,'Eurostat EB TJ GWh'!$A$2:$BV$2,0))</f>
        <v>0</v>
      </c>
      <c r="AS114" s="57">
        <f>INDEX('Eurostat EB TJ GWh'!$A$2:$BV$146,MATCH($A114,'Eurostat EB TJ GWh'!$A$2:$A$146,0),MATCH(AS$3,'Eurostat EB TJ GWh'!$A$2:$BV$2,0))</f>
        <v>0</v>
      </c>
      <c r="AT114" s="57">
        <f>INDEX('Eurostat EB TJ GWh'!$A$2:$BV$146,MATCH($A114,'Eurostat EB TJ GWh'!$A$2:$A$146,0),MATCH(AT$3,'Eurostat EB TJ GWh'!$A$2:$BV$2,0))</f>
        <v>0</v>
      </c>
      <c r="AU114" s="57">
        <f>INDEX('Eurostat EB TJ GWh'!$A$2:$BV$146,MATCH($A114,'Eurostat EB TJ GWh'!$A$2:$A$146,0),MATCH(AU$3,'Eurostat EB TJ GWh'!$A$2:$BV$2,0))</f>
        <v>0</v>
      </c>
      <c r="AV114" s="57">
        <f>INDEX('Eurostat EB TJ GWh'!$A$2:$BV$146,MATCH($A114,'Eurostat EB TJ GWh'!$A$2:$A$146,0),MATCH(AV$2,'Eurostat EB TJ GWh'!$A$2:$BV$2,0))+INDEX('Eurostat EB TJ GWh'!$A$2:$BV$146,MATCH($A114,'Eurostat EB TJ GWh'!$A$2:$A$146,0),MATCH(AV$3,'Eurostat EB TJ GWh'!$A$2:$BV$2,0))</f>
        <v>10780.532999999999</v>
      </c>
      <c r="AW114" s="57">
        <f>INDEX('Eurostat EB TJ GWh'!$A$2:$BV$146,MATCH($A114,'Eurostat EB TJ GWh'!$A$2:$A$146,0),MATCH(AW$2,'Eurostat EB TJ GWh'!$A$2:$BV$2,0))+INDEX('Eurostat EB TJ GWh'!$A$2:$BV$146,MATCH($A114,'Eurostat EB TJ GWh'!$A$2:$A$146,0),MATCH(AW$3,'Eurostat EB TJ GWh'!$A$2:$BV$2,0))</f>
        <v>11989.163</v>
      </c>
      <c r="AX114" s="57">
        <f>INDEX('Eurostat EB TJ GWh'!$A$2:$BV$146,MATCH($A114,'Eurostat EB TJ GWh'!$A$2:$A$146,0),MATCH(AX$3,'Eurostat EB TJ GWh'!$A$2:$BV$2,0))</f>
        <v>0</v>
      </c>
      <c r="AY114" s="65">
        <v>0</v>
      </c>
      <c r="AZ114" s="57">
        <f>INDEX('Eurostat EB TJ GWh'!$A$2:$BV$146,MATCH($A114,'Eurostat EB TJ GWh'!$A$2:$A$146,0),MATCH(AZ$3,'Eurostat EB TJ GWh'!$A$2:$BV$2,0))</f>
        <v>0</v>
      </c>
      <c r="BA114" s="65">
        <v>0</v>
      </c>
      <c r="BB114" s="65">
        <v>0</v>
      </c>
      <c r="BC114" s="57">
        <f>INDEX('Eurostat EB TJ GWh'!$A$2:$BV$146,MATCH($A114,'Eurostat EB TJ GWh'!$A$2:$A$146,0),MATCH(BC$3,'Eurostat EB TJ GWh'!$A$2:$BV$2,0))</f>
        <v>0</v>
      </c>
      <c r="BD114" s="57">
        <f>INDEX('Eurostat EB TJ GWh'!$A$2:$BV$146,MATCH($A114,'Eurostat EB TJ GWh'!$A$2:$A$146,0),MATCH(BD$3,'Eurostat EB TJ GWh'!$A$2:$BV$2,0))</f>
        <v>0</v>
      </c>
      <c r="BE114" s="57">
        <f>INDEX('Eurostat EB TJ GWh'!$A$2:$BV$146,MATCH($A114,'Eurostat EB TJ GWh'!$A$2:$A$146,0),MATCH(BE$3,'Eurostat EB TJ GWh'!$A$2:$BV$2,0))</f>
        <v>0</v>
      </c>
      <c r="BF114" s="57">
        <f>INDEX('Eurostat EB TJ GWh'!$A$2:$BV$146,MATCH($A114,'Eurostat EB TJ GWh'!$A$2:$A$146,0),MATCH(BF$3,'Eurostat EB TJ GWh'!$A$2:$BV$2,0))</f>
        <v>0</v>
      </c>
      <c r="BG114" s="57">
        <f>INDEX('Eurostat EB TJ GWh'!$A$2:$BV$146,MATCH($A114,'Eurostat EB TJ GWh'!$A$2:$A$146,0),MATCH(BG$3,'Eurostat EB TJ GWh'!$A$2:$BV$2,0))</f>
        <v>0</v>
      </c>
      <c r="BH114" s="57">
        <f>INDEX('Eurostat EB TJ GWh'!$A$2:$BV$146,MATCH($A114,'Eurostat EB TJ GWh'!$A$2:$A$146,0),MATCH(BH$3,'Eurostat EB TJ GWh'!$A$2:$BV$2,0))</f>
        <v>0</v>
      </c>
      <c r="BI114" s="57">
        <f>INDEX('Eurostat EB TJ GWh'!$A$2:$BV$146,MATCH($A114,'Eurostat EB TJ GWh'!$A$2:$A$146,0),MATCH(BI$3,'Eurostat EB TJ GWh'!$A$2:$BV$2,0))</f>
        <v>0</v>
      </c>
      <c r="BJ114" s="65">
        <v>0</v>
      </c>
      <c r="BK114" s="57">
        <f>INDEX('Eurostat EB TJ GWh'!$A$2:$BV$146,MATCH($A114,'Eurostat EB TJ GWh'!$A$2:$A$146,0),MATCH(BK$3,'Eurostat EB TJ GWh'!$A$2:$BV$2,0))</f>
        <v>7947.8779999999997</v>
      </c>
      <c r="BL114" s="57">
        <f>INDEX('Eurostat EB TJ GWh'!$A$2:$BV$146,MATCH($A114,'Eurostat EB TJ GWh'!$A$2:$A$146,0),MATCH(BL$3,'Eurostat EB TJ GWh'!$A$2:$BV$2,0))</f>
        <v>0</v>
      </c>
      <c r="BM114" s="57">
        <f>INDEX('Eurostat EB TJ GWh'!$A$2:$BV$146,MATCH($A114,'Eurostat EB TJ GWh'!$A$2:$A$146,0),MATCH(BM$3,'Eurostat EB TJ GWh'!$A$2:$BV$2,0))</f>
        <v>377119.04200000002</v>
      </c>
      <c r="BN114" s="57">
        <f>INDEX('Eurostat EB TJ GWh'!$A$2:$BV$146,MATCH($A114,'Eurostat EB TJ GWh'!$A$2:$A$146,0),MATCH(BN$3,'Eurostat EB TJ GWh'!$A$2:$BV$2,0))</f>
        <v>23323.896000000001</v>
      </c>
    </row>
    <row r="115" spans="1:66" x14ac:dyDescent="0.2">
      <c r="A115" s="56" t="s">
        <v>304</v>
      </c>
      <c r="B115" s="65" t="s">
        <v>323</v>
      </c>
      <c r="C115" s="65" t="s">
        <v>323</v>
      </c>
      <c r="D115" s="17">
        <f>INDEX('Eurostat EB TJ GWh'!$A$2:$BV$146,MATCH($A115,'Eurostat EB TJ GWh'!$A$2:$A$146,0),MATCH(D$3,'Eurostat EB TJ GWh'!$A$2:$BV$2,0))</f>
        <v>0</v>
      </c>
      <c r="E115" s="17">
        <f>INDEX('Eurostat EB TJ GWh'!$A$2:$BV$146,MATCH($A115,'Eurostat EB TJ GWh'!$A$2:$A$146,0),MATCH(E$3,'Eurostat EB TJ GWh'!$A$2:$BV$2,0))</f>
        <v>0</v>
      </c>
      <c r="F115" s="17">
        <f>INDEX('Eurostat EB TJ GWh'!$A$2:$BV$146,MATCH($A115,'Eurostat EB TJ GWh'!$A$2:$A$146,0),MATCH(F$3,'Eurostat EB TJ GWh'!$A$2:$BV$2,0))</f>
        <v>0</v>
      </c>
      <c r="G115" s="17">
        <f>INDEX('Eurostat EB TJ GWh'!$A$2:$BV$146,MATCH($A115,'Eurostat EB TJ GWh'!$A$2:$A$146,0),MATCH(G$3,'Eurostat EB TJ GWh'!$A$2:$BV$2,0))</f>
        <v>0</v>
      </c>
      <c r="H115" s="17">
        <f>INDEX('Eurostat EB TJ GWh'!$A$2:$BV$146,MATCH($A115,'Eurostat EB TJ GWh'!$A$2:$A$146,0),MATCH(H$3,'Eurostat EB TJ GWh'!$A$2:$BV$2,0))</f>
        <v>0</v>
      </c>
      <c r="I115" s="17">
        <f>INDEX('Eurostat EB TJ GWh'!$A$2:$BV$146,MATCH($A115,'Eurostat EB TJ GWh'!$A$2:$A$146,0),MATCH(I$3,'Eurostat EB TJ GWh'!$A$2:$BV$2,0))</f>
        <v>0</v>
      </c>
      <c r="J115" s="17">
        <f>INDEX('Eurostat EB TJ GWh'!$A$2:$BV$146,MATCH($A115,'Eurostat EB TJ GWh'!$A$2:$A$146,0),MATCH(J$3,'Eurostat EB TJ GWh'!$A$2:$BV$2,0))</f>
        <v>0</v>
      </c>
      <c r="K115" s="17">
        <f>INDEX('Eurostat EB TJ GWh'!$A$2:$BV$146,MATCH($A115,'Eurostat EB TJ GWh'!$A$2:$A$146,0),MATCH(K$3,'Eurostat EB TJ GWh'!$A$2:$BV$2,0))</f>
        <v>0</v>
      </c>
      <c r="L115" s="17">
        <f>INDEX('Eurostat EB TJ GWh'!$A$2:$BV$146,MATCH($A115,'Eurostat EB TJ GWh'!$A$2:$A$146,0),MATCH(L$3,'Eurostat EB TJ GWh'!$A$2:$BV$2,0))</f>
        <v>0</v>
      </c>
      <c r="M115" s="17">
        <f>INDEX('Eurostat EB TJ GWh'!$A$2:$BV$146,MATCH($A115,'Eurostat EB TJ GWh'!$A$2:$A$146,0),MATCH(M$3,'Eurostat EB TJ GWh'!$A$2:$BV$2,0))</f>
        <v>0</v>
      </c>
      <c r="N115" s="17">
        <f>INDEX('Eurostat EB TJ GWh'!$A$2:$BV$146,MATCH($A115,'Eurostat EB TJ GWh'!$A$2:$A$146,0),MATCH(N$3,'Eurostat EB TJ GWh'!$A$2:$BV$2,0))</f>
        <v>0</v>
      </c>
      <c r="O115" s="17">
        <f>INDEX('Eurostat EB TJ GWh'!$A$2:$BV$146,MATCH($A115,'Eurostat EB TJ GWh'!$A$2:$A$146,0),MATCH(O$3,'Eurostat EB TJ GWh'!$A$2:$BV$2,0))</f>
        <v>0</v>
      </c>
      <c r="P115" s="17">
        <f>INDEX('Eurostat EB TJ GWh'!$A$2:$BV$146,MATCH($A115,'Eurostat EB TJ GWh'!$A$2:$A$146,0),MATCH(P$3,'Eurostat EB TJ GWh'!$A$2:$BV$2,0))</f>
        <v>0</v>
      </c>
      <c r="Q115" s="17">
        <f>INDEX('Eurostat EB TJ GWh'!$A$2:$BV$146,MATCH($A115,'Eurostat EB TJ GWh'!$A$2:$A$146,0),MATCH(Q$3,'Eurostat EB TJ GWh'!$A$2:$BV$2,0))</f>
        <v>0</v>
      </c>
      <c r="R115" s="17">
        <f>INDEX('Eurostat EB TJ GWh'!$A$2:$BV$146,MATCH($A115,'Eurostat EB TJ GWh'!$A$2:$A$146,0),MATCH(R$2,'Eurostat EB TJ GWh'!$A$2:$BV$2,0))+INDEX('Eurostat EB TJ GWh'!$A$2:$BV$146,MATCH($A115,'Eurostat EB TJ GWh'!$A$2:$A$146,0),MATCH(R$3,'Eurostat EB TJ GWh'!$A$2:$BV$2,0))</f>
        <v>0</v>
      </c>
      <c r="S115" s="17">
        <f>INDEX('Eurostat EB TJ GWh'!$A$2:$BV$146,MATCH($A115,'Eurostat EB TJ GWh'!$A$2:$A$146,0),MATCH(S$3,'Eurostat EB TJ GWh'!$A$2:$BV$2,0))</f>
        <v>0</v>
      </c>
      <c r="T115" s="65" t="s">
        <v>323</v>
      </c>
      <c r="U115" s="17">
        <f>INDEX('Eurostat EB TJ GWh'!$A$2:$BV$146,MATCH($A115,'Eurostat EB TJ GWh'!$A$2:$A$146,0),MATCH(U$3,'Eurostat EB TJ GWh'!$A$2:$BV$2,0))</f>
        <v>0</v>
      </c>
      <c r="V115" s="17">
        <f>INDEX('Eurostat EB TJ GWh'!$A$2:$BV$146,MATCH($A115,'Eurostat EB TJ GWh'!$A$2:$A$146,0),MATCH(V$3,'Eurostat EB TJ GWh'!$A$2:$BV$2,0))</f>
        <v>0</v>
      </c>
      <c r="W115" s="17">
        <f>INDEX('Eurostat EB TJ GWh'!$A$2:$BV$146,MATCH($A115,'Eurostat EB TJ GWh'!$A$2:$A$146,0),MATCH(W$3,'Eurostat EB TJ GWh'!$A$2:$BV$2,0))</f>
        <v>0</v>
      </c>
      <c r="X115" s="17">
        <f>INDEX('Eurostat EB TJ GWh'!$A$2:$BV$146,MATCH($A115,'Eurostat EB TJ GWh'!$A$2:$A$146,0),MATCH(X$3,'Eurostat EB TJ GWh'!$A$2:$BV$2,0))</f>
        <v>0</v>
      </c>
      <c r="Y115" s="17">
        <f>INDEX('Eurostat EB TJ GWh'!$A$2:$BV$146,MATCH($A115,'Eurostat EB TJ GWh'!$A$2:$A$146,0),MATCH(Y$3,'Eurostat EB TJ GWh'!$A$2:$BV$2,0))</f>
        <v>0</v>
      </c>
      <c r="Z115" s="17">
        <f>INDEX('Eurostat EB TJ GWh'!$A$2:$BV$146,MATCH($A115,'Eurostat EB TJ GWh'!$A$2:$A$146,0),MATCH(Z$3,'Eurostat EB TJ GWh'!$A$2:$BV$2,0))</f>
        <v>0</v>
      </c>
      <c r="AA115" s="17">
        <f>INDEX('Eurostat EB TJ GWh'!$A$2:$BV$146,MATCH($A115,'Eurostat EB TJ GWh'!$A$2:$A$146,0),MATCH(AA$3,'Eurostat EB TJ GWh'!$A$2:$BV$2,0))</f>
        <v>0</v>
      </c>
      <c r="AB115" s="17">
        <f>INDEX('Eurostat EB TJ GWh'!$A$2:$BV$146,MATCH($A115,'Eurostat EB TJ GWh'!$A$2:$A$146,0),MATCH(AB$3,'Eurostat EB TJ GWh'!$A$2:$BV$2,0))</f>
        <v>0</v>
      </c>
      <c r="AC115" s="17">
        <f>INDEX('Eurostat EB TJ GWh'!$A$2:$BV$146,MATCH($A115,'Eurostat EB TJ GWh'!$A$2:$A$146,0),MATCH(AC$3,'Eurostat EB TJ GWh'!$A$2:$BV$2,0))</f>
        <v>0</v>
      </c>
      <c r="AD115" s="17">
        <f>INDEX('Eurostat EB TJ GWh'!$A$2:$BV$146,MATCH($A115,'Eurostat EB TJ GWh'!$A$2:$A$146,0),MATCH(AD$3,'Eurostat EB TJ GWh'!$A$2:$BV$2,0))</f>
        <v>56.847000000000001</v>
      </c>
      <c r="AE115" s="17">
        <f>INDEX('Eurostat EB TJ GWh'!$A$2:$BV$146,MATCH($A115,'Eurostat EB TJ GWh'!$A$2:$A$146,0),MATCH(AE$3,'Eurostat EB TJ GWh'!$A$2:$BV$2,0))</f>
        <v>0</v>
      </c>
      <c r="AF115" s="17">
        <f>INDEX('Eurostat EB TJ GWh'!$A$2:$BV$146,MATCH($A115,'Eurostat EB TJ GWh'!$A$2:$A$146,0),MATCH(AF$3,'Eurostat EB TJ GWh'!$A$2:$BV$2,0))</f>
        <v>349.70499999999998</v>
      </c>
      <c r="AG115" s="17">
        <f>INDEX('Eurostat EB TJ GWh'!$A$2:$BV$146,MATCH($A115,'Eurostat EB TJ GWh'!$A$2:$A$146,0),MATCH(AG$3,'Eurostat EB TJ GWh'!$A$2:$BV$2,0))</f>
        <v>0</v>
      </c>
      <c r="AH115" s="17">
        <f>INDEX('Eurostat EB TJ GWh'!$A$2:$BV$146,MATCH($A115,'Eurostat EB TJ GWh'!$A$2:$A$146,0),MATCH(AH$3,'Eurostat EB TJ GWh'!$A$2:$BV$2,0))</f>
        <v>0</v>
      </c>
      <c r="AI115" s="17">
        <f>INDEX('Eurostat EB TJ GWh'!$A$2:$BV$146,MATCH($A115,'Eurostat EB TJ GWh'!$A$2:$A$146,0),MATCH(AI$3,'Eurostat EB TJ GWh'!$A$2:$BV$2,0))</f>
        <v>0</v>
      </c>
      <c r="AJ115" s="17">
        <f>INDEX('Eurostat EB TJ GWh'!$A$2:$BV$146,MATCH($A115,'Eurostat EB TJ GWh'!$A$2:$A$146,0),MATCH(AJ$3,'Eurostat EB TJ GWh'!$A$2:$BV$2,0))</f>
        <v>0</v>
      </c>
      <c r="AK115" s="17">
        <f>INDEX('Eurostat EB TJ GWh'!$A$2:$BV$146,MATCH($A115,'Eurostat EB TJ GWh'!$A$2:$A$146,0),MATCH(AK$3,'Eurostat EB TJ GWh'!$A$2:$BV$2,0))</f>
        <v>0</v>
      </c>
      <c r="AL115" s="17">
        <f>INDEX('Eurostat EB TJ GWh'!$A$2:$BV$146,MATCH($A115,'Eurostat EB TJ GWh'!$A$2:$A$146,0),MATCH(AL$3,'Eurostat EB TJ GWh'!$A$2:$BV$2,0))</f>
        <v>0</v>
      </c>
      <c r="AM115" s="17">
        <f>INDEX('Eurostat EB TJ GWh'!$A$2:$BV$146,MATCH($A115,'Eurostat EB TJ GWh'!$A$2:$A$146,0),MATCH(AM$3,'Eurostat EB TJ GWh'!$A$2:$BV$2,0))</f>
        <v>0</v>
      </c>
      <c r="AN115" s="17">
        <f>INDEX('Eurostat EB TJ GWh'!$A$2:$BV$146,MATCH($A115,'Eurostat EB TJ GWh'!$A$2:$A$146,0),MATCH(AN$3,'Eurostat EB TJ GWh'!$A$2:$BV$2,0))</f>
        <v>0</v>
      </c>
      <c r="AO115" s="17">
        <f>INDEX('Eurostat EB TJ GWh'!$A$2:$BV$146,MATCH($A115,'Eurostat EB TJ GWh'!$A$2:$A$146,0),MATCH(AO$3,'Eurostat EB TJ GWh'!$A$2:$BV$2,0))</f>
        <v>0</v>
      </c>
      <c r="AP115" s="17">
        <f>INDEX('Eurostat EB TJ GWh'!$A$2:$BV$146,MATCH($A115,'Eurostat EB TJ GWh'!$A$2:$A$146,0),MATCH(AP$3,'Eurostat EB TJ GWh'!$A$2:$BV$2,0))</f>
        <v>0</v>
      </c>
      <c r="AQ115" s="17">
        <f>INDEX('Eurostat EB TJ GWh'!$A$2:$BV$146,MATCH($A115,'Eurostat EB TJ GWh'!$A$2:$A$146,0),MATCH(AQ$3,'Eurostat EB TJ GWh'!$A$2:$BV$2,0))</f>
        <v>0</v>
      </c>
      <c r="AR115" s="17">
        <f>INDEX('Eurostat EB TJ GWh'!$A$2:$BV$146,MATCH($A115,'Eurostat EB TJ GWh'!$A$2:$A$146,0),MATCH(AR$3,'Eurostat EB TJ GWh'!$A$2:$BV$2,0))</f>
        <v>0</v>
      </c>
      <c r="AS115" s="17">
        <f>INDEX('Eurostat EB TJ GWh'!$A$2:$BV$146,MATCH($A115,'Eurostat EB TJ GWh'!$A$2:$A$146,0),MATCH(AS$3,'Eurostat EB TJ GWh'!$A$2:$BV$2,0))</f>
        <v>0</v>
      </c>
      <c r="AT115" s="17">
        <f>INDEX('Eurostat EB TJ GWh'!$A$2:$BV$146,MATCH($A115,'Eurostat EB TJ GWh'!$A$2:$A$146,0),MATCH(AT$3,'Eurostat EB TJ GWh'!$A$2:$BV$2,0))</f>
        <v>0</v>
      </c>
      <c r="AU115" s="17">
        <f>INDEX('Eurostat EB TJ GWh'!$A$2:$BV$146,MATCH($A115,'Eurostat EB TJ GWh'!$A$2:$A$146,0),MATCH(AU$3,'Eurostat EB TJ GWh'!$A$2:$BV$2,0))</f>
        <v>0</v>
      </c>
      <c r="AV115" s="17">
        <f>INDEX('Eurostat EB TJ GWh'!$A$2:$BV$146,MATCH($A115,'Eurostat EB TJ GWh'!$A$2:$A$146,0),MATCH(AV$2,'Eurostat EB TJ GWh'!$A$2:$BV$2,0))+INDEX('Eurostat EB TJ GWh'!$A$2:$BV$146,MATCH($A115,'Eurostat EB TJ GWh'!$A$2:$A$146,0),MATCH(AV$3,'Eurostat EB TJ GWh'!$A$2:$BV$2,0))</f>
        <v>0</v>
      </c>
      <c r="AW115" s="17">
        <f>INDEX('Eurostat EB TJ GWh'!$A$2:$BV$146,MATCH($A115,'Eurostat EB TJ GWh'!$A$2:$A$146,0),MATCH(AW$2,'Eurostat EB TJ GWh'!$A$2:$BV$2,0))+INDEX('Eurostat EB TJ GWh'!$A$2:$BV$146,MATCH($A115,'Eurostat EB TJ GWh'!$A$2:$A$146,0),MATCH(AW$3,'Eurostat EB TJ GWh'!$A$2:$BV$2,0))</f>
        <v>0</v>
      </c>
      <c r="AX115" s="17">
        <f>INDEX('Eurostat EB TJ GWh'!$A$2:$BV$146,MATCH($A115,'Eurostat EB TJ GWh'!$A$2:$A$146,0),MATCH(AX$3,'Eurostat EB TJ GWh'!$A$2:$BV$2,0))</f>
        <v>0</v>
      </c>
      <c r="AY115" s="72">
        <v>0</v>
      </c>
      <c r="AZ115" s="17">
        <f>INDEX('Eurostat EB TJ GWh'!$A$2:$BV$146,MATCH($A115,'Eurostat EB TJ GWh'!$A$2:$A$146,0),MATCH(AZ$3,'Eurostat EB TJ GWh'!$A$2:$BV$2,0))</f>
        <v>0</v>
      </c>
      <c r="BA115" s="72">
        <v>0</v>
      </c>
      <c r="BB115" s="72">
        <v>0</v>
      </c>
      <c r="BC115" s="17">
        <f>INDEX('Eurostat EB TJ GWh'!$A$2:$BV$146,MATCH($A115,'Eurostat EB TJ GWh'!$A$2:$A$146,0),MATCH(BC$3,'Eurostat EB TJ GWh'!$A$2:$BV$2,0))</f>
        <v>0</v>
      </c>
      <c r="BD115" s="17">
        <f>INDEX('Eurostat EB TJ GWh'!$A$2:$BV$146,MATCH($A115,'Eurostat EB TJ GWh'!$A$2:$A$146,0),MATCH(BD$3,'Eurostat EB TJ GWh'!$A$2:$BV$2,0))</f>
        <v>0</v>
      </c>
      <c r="BE115" s="17">
        <f>INDEX('Eurostat EB TJ GWh'!$A$2:$BV$146,MATCH($A115,'Eurostat EB TJ GWh'!$A$2:$A$146,0),MATCH(BE$3,'Eurostat EB TJ GWh'!$A$2:$BV$2,0))</f>
        <v>0</v>
      </c>
      <c r="BF115" s="17">
        <f>INDEX('Eurostat EB TJ GWh'!$A$2:$BV$146,MATCH($A115,'Eurostat EB TJ GWh'!$A$2:$A$146,0),MATCH(BF$3,'Eurostat EB TJ GWh'!$A$2:$BV$2,0))</f>
        <v>0</v>
      </c>
      <c r="BG115" s="17">
        <f>INDEX('Eurostat EB TJ GWh'!$A$2:$BV$146,MATCH($A115,'Eurostat EB TJ GWh'!$A$2:$A$146,0),MATCH(BG$3,'Eurostat EB TJ GWh'!$A$2:$BV$2,0))</f>
        <v>0</v>
      </c>
      <c r="BH115" s="17">
        <f>INDEX('Eurostat EB TJ GWh'!$A$2:$BV$146,MATCH($A115,'Eurostat EB TJ GWh'!$A$2:$A$146,0),MATCH(BH$3,'Eurostat EB TJ GWh'!$A$2:$BV$2,0))</f>
        <v>0</v>
      </c>
      <c r="BI115" s="17">
        <f>INDEX('Eurostat EB TJ GWh'!$A$2:$BV$146,MATCH($A115,'Eurostat EB TJ GWh'!$A$2:$A$146,0),MATCH(BI$3,'Eurostat EB TJ GWh'!$A$2:$BV$2,0))</f>
        <v>0</v>
      </c>
      <c r="BJ115" s="72">
        <v>0</v>
      </c>
      <c r="BK115" s="17">
        <f>INDEX('Eurostat EB TJ GWh'!$A$2:$BV$146,MATCH($A115,'Eurostat EB TJ GWh'!$A$2:$A$146,0),MATCH(BK$3,'Eurostat EB TJ GWh'!$A$2:$BV$2,0))</f>
        <v>0</v>
      </c>
      <c r="BL115" s="17">
        <f>INDEX('Eurostat EB TJ GWh'!$A$2:$BV$146,MATCH($A115,'Eurostat EB TJ GWh'!$A$2:$A$146,0),MATCH(BL$3,'Eurostat EB TJ GWh'!$A$2:$BV$2,0))</f>
        <v>0</v>
      </c>
      <c r="BM115" s="17">
        <f>INDEX('Eurostat EB TJ GWh'!$A$2:$BV$146,MATCH($A115,'Eurostat EB TJ GWh'!$A$2:$A$146,0),MATCH(BM$3,'Eurostat EB TJ GWh'!$A$2:$BV$2,0))</f>
        <v>406.553</v>
      </c>
      <c r="BN115" s="17">
        <f>INDEX('Eurostat EB TJ GWh'!$A$2:$BV$146,MATCH($A115,'Eurostat EB TJ GWh'!$A$2:$A$146,0),MATCH(BN$3,'Eurostat EB TJ GWh'!$A$2:$BV$2,0))</f>
        <v>0</v>
      </c>
    </row>
    <row r="116" spans="1:66" x14ac:dyDescent="0.2">
      <c r="A116" s="56" t="s">
        <v>305</v>
      </c>
      <c r="B116" s="65" t="s">
        <v>323</v>
      </c>
      <c r="C116" s="65" t="s">
        <v>323</v>
      </c>
      <c r="D116" s="57">
        <f>INDEX('Eurostat EB TJ GWh'!$A$2:$BV$146,MATCH($A116,'Eurostat EB TJ GWh'!$A$2:$A$146,0),MATCH(D$3,'Eurostat EB TJ GWh'!$A$2:$BV$2,0))</f>
        <v>0</v>
      </c>
      <c r="E116" s="57">
        <f>INDEX('Eurostat EB TJ GWh'!$A$2:$BV$146,MATCH($A116,'Eurostat EB TJ GWh'!$A$2:$A$146,0),MATCH(E$3,'Eurostat EB TJ GWh'!$A$2:$BV$2,0))</f>
        <v>0</v>
      </c>
      <c r="F116" s="57">
        <f>INDEX('Eurostat EB TJ GWh'!$A$2:$BV$146,MATCH($A116,'Eurostat EB TJ GWh'!$A$2:$A$146,0),MATCH(F$3,'Eurostat EB TJ GWh'!$A$2:$BV$2,0))</f>
        <v>0</v>
      </c>
      <c r="G116" s="57">
        <f>INDEX('Eurostat EB TJ GWh'!$A$2:$BV$146,MATCH($A116,'Eurostat EB TJ GWh'!$A$2:$A$146,0),MATCH(G$3,'Eurostat EB TJ GWh'!$A$2:$BV$2,0))</f>
        <v>0</v>
      </c>
      <c r="H116" s="57">
        <f>INDEX('Eurostat EB TJ GWh'!$A$2:$BV$146,MATCH($A116,'Eurostat EB TJ GWh'!$A$2:$A$146,0),MATCH(H$3,'Eurostat EB TJ GWh'!$A$2:$BV$2,0))</f>
        <v>0</v>
      </c>
      <c r="I116" s="57">
        <f>INDEX('Eurostat EB TJ GWh'!$A$2:$BV$146,MATCH($A116,'Eurostat EB TJ GWh'!$A$2:$A$146,0),MATCH(I$3,'Eurostat EB TJ GWh'!$A$2:$BV$2,0))</f>
        <v>0</v>
      </c>
      <c r="J116" s="57">
        <f>INDEX('Eurostat EB TJ GWh'!$A$2:$BV$146,MATCH($A116,'Eurostat EB TJ GWh'!$A$2:$A$146,0),MATCH(J$3,'Eurostat EB TJ GWh'!$A$2:$BV$2,0))</f>
        <v>0</v>
      </c>
      <c r="K116" s="57">
        <f>INDEX('Eurostat EB TJ GWh'!$A$2:$BV$146,MATCH($A116,'Eurostat EB TJ GWh'!$A$2:$A$146,0),MATCH(K$3,'Eurostat EB TJ GWh'!$A$2:$BV$2,0))</f>
        <v>0</v>
      </c>
      <c r="L116" s="57">
        <f>INDEX('Eurostat EB TJ GWh'!$A$2:$BV$146,MATCH($A116,'Eurostat EB TJ GWh'!$A$2:$A$146,0),MATCH(L$3,'Eurostat EB TJ GWh'!$A$2:$BV$2,0))</f>
        <v>0</v>
      </c>
      <c r="M116" s="57">
        <f>INDEX('Eurostat EB TJ GWh'!$A$2:$BV$146,MATCH($A116,'Eurostat EB TJ GWh'!$A$2:$A$146,0),MATCH(M$3,'Eurostat EB TJ GWh'!$A$2:$BV$2,0))</f>
        <v>0</v>
      </c>
      <c r="N116" s="57">
        <f>INDEX('Eurostat EB TJ GWh'!$A$2:$BV$146,MATCH($A116,'Eurostat EB TJ GWh'!$A$2:$A$146,0),MATCH(N$3,'Eurostat EB TJ GWh'!$A$2:$BV$2,0))</f>
        <v>0</v>
      </c>
      <c r="O116" s="57">
        <f>INDEX('Eurostat EB TJ GWh'!$A$2:$BV$146,MATCH($A116,'Eurostat EB TJ GWh'!$A$2:$A$146,0),MATCH(O$3,'Eurostat EB TJ GWh'!$A$2:$BV$2,0))</f>
        <v>0</v>
      </c>
      <c r="P116" s="57">
        <f>INDEX('Eurostat EB TJ GWh'!$A$2:$BV$146,MATCH($A116,'Eurostat EB TJ GWh'!$A$2:$A$146,0),MATCH(P$3,'Eurostat EB TJ GWh'!$A$2:$BV$2,0))</f>
        <v>0</v>
      </c>
      <c r="Q116" s="57">
        <f>INDEX('Eurostat EB TJ GWh'!$A$2:$BV$146,MATCH($A116,'Eurostat EB TJ GWh'!$A$2:$A$146,0),MATCH(Q$3,'Eurostat EB TJ GWh'!$A$2:$BV$2,0))</f>
        <v>0</v>
      </c>
      <c r="R116" s="57">
        <f>INDEX('Eurostat EB TJ GWh'!$A$2:$BV$146,MATCH($A116,'Eurostat EB TJ GWh'!$A$2:$A$146,0),MATCH(R$2,'Eurostat EB TJ GWh'!$A$2:$BV$2,0))+INDEX('Eurostat EB TJ GWh'!$A$2:$BV$146,MATCH($A116,'Eurostat EB TJ GWh'!$A$2:$A$146,0),MATCH(R$3,'Eurostat EB TJ GWh'!$A$2:$BV$2,0))</f>
        <v>0</v>
      </c>
      <c r="S116" s="57">
        <f>INDEX('Eurostat EB TJ GWh'!$A$2:$BV$146,MATCH($A116,'Eurostat EB TJ GWh'!$A$2:$A$146,0),MATCH(S$3,'Eurostat EB TJ GWh'!$A$2:$BV$2,0))</f>
        <v>0</v>
      </c>
      <c r="T116" s="65" t="s">
        <v>323</v>
      </c>
      <c r="U116" s="57">
        <f>INDEX('Eurostat EB TJ GWh'!$A$2:$BV$146,MATCH($A116,'Eurostat EB TJ GWh'!$A$2:$A$146,0),MATCH(U$3,'Eurostat EB TJ GWh'!$A$2:$BV$2,0))</f>
        <v>0</v>
      </c>
      <c r="V116" s="57">
        <f>INDEX('Eurostat EB TJ GWh'!$A$2:$BV$146,MATCH($A116,'Eurostat EB TJ GWh'!$A$2:$A$146,0),MATCH(V$3,'Eurostat EB TJ GWh'!$A$2:$BV$2,0))</f>
        <v>0</v>
      </c>
      <c r="W116" s="57">
        <f>INDEX('Eurostat EB TJ GWh'!$A$2:$BV$146,MATCH($A116,'Eurostat EB TJ GWh'!$A$2:$A$146,0),MATCH(W$3,'Eurostat EB TJ GWh'!$A$2:$BV$2,0))</f>
        <v>0</v>
      </c>
      <c r="X116" s="57">
        <f>INDEX('Eurostat EB TJ GWh'!$A$2:$BV$146,MATCH($A116,'Eurostat EB TJ GWh'!$A$2:$A$146,0),MATCH(X$3,'Eurostat EB TJ GWh'!$A$2:$BV$2,0))</f>
        <v>0</v>
      </c>
      <c r="Y116" s="57">
        <f>INDEX('Eurostat EB TJ GWh'!$A$2:$BV$146,MATCH($A116,'Eurostat EB TJ GWh'!$A$2:$A$146,0),MATCH(Y$3,'Eurostat EB TJ GWh'!$A$2:$BV$2,0))</f>
        <v>0</v>
      </c>
      <c r="Z116" s="57">
        <f>INDEX('Eurostat EB TJ GWh'!$A$2:$BV$146,MATCH($A116,'Eurostat EB TJ GWh'!$A$2:$A$146,0),MATCH(Z$3,'Eurostat EB TJ GWh'!$A$2:$BV$2,0))</f>
        <v>0</v>
      </c>
      <c r="AA116" s="57">
        <f>INDEX('Eurostat EB TJ GWh'!$A$2:$BV$146,MATCH($A116,'Eurostat EB TJ GWh'!$A$2:$A$146,0),MATCH(AA$3,'Eurostat EB TJ GWh'!$A$2:$BV$2,0))</f>
        <v>0</v>
      </c>
      <c r="AB116" s="57">
        <f>INDEX('Eurostat EB TJ GWh'!$A$2:$BV$146,MATCH($A116,'Eurostat EB TJ GWh'!$A$2:$A$146,0),MATCH(AB$3,'Eurostat EB TJ GWh'!$A$2:$BV$2,0))</f>
        <v>0</v>
      </c>
      <c r="AC116" s="57">
        <f>INDEX('Eurostat EB TJ GWh'!$A$2:$BV$146,MATCH($A116,'Eurostat EB TJ GWh'!$A$2:$A$146,0),MATCH(AC$3,'Eurostat EB TJ GWh'!$A$2:$BV$2,0))</f>
        <v>1574.1679999999999</v>
      </c>
      <c r="AD116" s="57">
        <f>INDEX('Eurostat EB TJ GWh'!$A$2:$BV$146,MATCH($A116,'Eurostat EB TJ GWh'!$A$2:$A$146,0),MATCH(AD$3,'Eurostat EB TJ GWh'!$A$2:$BV$2,0))</f>
        <v>0</v>
      </c>
      <c r="AE116" s="57">
        <f>INDEX('Eurostat EB TJ GWh'!$A$2:$BV$146,MATCH($A116,'Eurostat EB TJ GWh'!$A$2:$A$146,0),MATCH(AE$3,'Eurostat EB TJ GWh'!$A$2:$BV$2,0))</f>
        <v>0</v>
      </c>
      <c r="AF116" s="57">
        <f>INDEX('Eurostat EB TJ GWh'!$A$2:$BV$146,MATCH($A116,'Eurostat EB TJ GWh'!$A$2:$A$146,0),MATCH(AF$3,'Eurostat EB TJ GWh'!$A$2:$BV$2,0))</f>
        <v>0</v>
      </c>
      <c r="AG116" s="57">
        <f>INDEX('Eurostat EB TJ GWh'!$A$2:$BV$146,MATCH($A116,'Eurostat EB TJ GWh'!$A$2:$A$146,0),MATCH(AG$3,'Eurostat EB TJ GWh'!$A$2:$BV$2,0))</f>
        <v>0</v>
      </c>
      <c r="AH116" s="57">
        <f>INDEX('Eurostat EB TJ GWh'!$A$2:$BV$146,MATCH($A116,'Eurostat EB TJ GWh'!$A$2:$A$146,0),MATCH(AH$3,'Eurostat EB TJ GWh'!$A$2:$BV$2,0))</f>
        <v>11211.244000000001</v>
      </c>
      <c r="AI116" s="57">
        <f>INDEX('Eurostat EB TJ GWh'!$A$2:$BV$146,MATCH($A116,'Eurostat EB TJ GWh'!$A$2:$A$146,0),MATCH(AI$3,'Eurostat EB TJ GWh'!$A$2:$BV$2,0))</f>
        <v>0</v>
      </c>
      <c r="AJ116" s="57">
        <f>INDEX('Eurostat EB TJ GWh'!$A$2:$BV$146,MATCH($A116,'Eurostat EB TJ GWh'!$A$2:$A$146,0),MATCH(AJ$3,'Eurostat EB TJ GWh'!$A$2:$BV$2,0))</f>
        <v>0</v>
      </c>
      <c r="AK116" s="57">
        <f>INDEX('Eurostat EB TJ GWh'!$A$2:$BV$146,MATCH($A116,'Eurostat EB TJ GWh'!$A$2:$A$146,0),MATCH(AK$3,'Eurostat EB TJ GWh'!$A$2:$BV$2,0))</f>
        <v>0</v>
      </c>
      <c r="AL116" s="57">
        <f>INDEX('Eurostat EB TJ GWh'!$A$2:$BV$146,MATCH($A116,'Eurostat EB TJ GWh'!$A$2:$A$146,0),MATCH(AL$3,'Eurostat EB TJ GWh'!$A$2:$BV$2,0))</f>
        <v>0</v>
      </c>
      <c r="AM116" s="57">
        <f>INDEX('Eurostat EB TJ GWh'!$A$2:$BV$146,MATCH($A116,'Eurostat EB TJ GWh'!$A$2:$A$146,0),MATCH(AM$3,'Eurostat EB TJ GWh'!$A$2:$BV$2,0))</f>
        <v>0</v>
      </c>
      <c r="AN116" s="57">
        <f>INDEX('Eurostat EB TJ GWh'!$A$2:$BV$146,MATCH($A116,'Eurostat EB TJ GWh'!$A$2:$A$146,0),MATCH(AN$3,'Eurostat EB TJ GWh'!$A$2:$BV$2,0))</f>
        <v>0</v>
      </c>
      <c r="AO116" s="57">
        <f>INDEX('Eurostat EB TJ GWh'!$A$2:$BV$146,MATCH($A116,'Eurostat EB TJ GWh'!$A$2:$A$146,0),MATCH(AO$3,'Eurostat EB TJ GWh'!$A$2:$BV$2,0))</f>
        <v>0</v>
      </c>
      <c r="AP116" s="57">
        <f>INDEX('Eurostat EB TJ GWh'!$A$2:$BV$146,MATCH($A116,'Eurostat EB TJ GWh'!$A$2:$A$146,0),MATCH(AP$3,'Eurostat EB TJ GWh'!$A$2:$BV$2,0))</f>
        <v>0</v>
      </c>
      <c r="AQ116" s="57">
        <f>INDEX('Eurostat EB TJ GWh'!$A$2:$BV$146,MATCH($A116,'Eurostat EB TJ GWh'!$A$2:$A$146,0),MATCH(AQ$3,'Eurostat EB TJ GWh'!$A$2:$BV$2,0))</f>
        <v>0</v>
      </c>
      <c r="AR116" s="57">
        <f>INDEX('Eurostat EB TJ GWh'!$A$2:$BV$146,MATCH($A116,'Eurostat EB TJ GWh'!$A$2:$A$146,0),MATCH(AR$3,'Eurostat EB TJ GWh'!$A$2:$BV$2,0))</f>
        <v>0</v>
      </c>
      <c r="AS116" s="57">
        <f>INDEX('Eurostat EB TJ GWh'!$A$2:$BV$146,MATCH($A116,'Eurostat EB TJ GWh'!$A$2:$A$146,0),MATCH(AS$3,'Eurostat EB TJ GWh'!$A$2:$BV$2,0))</f>
        <v>0</v>
      </c>
      <c r="AT116" s="57">
        <f>INDEX('Eurostat EB TJ GWh'!$A$2:$BV$146,MATCH($A116,'Eurostat EB TJ GWh'!$A$2:$A$146,0),MATCH(AT$3,'Eurostat EB TJ GWh'!$A$2:$BV$2,0))</f>
        <v>0</v>
      </c>
      <c r="AU116" s="57">
        <f>INDEX('Eurostat EB TJ GWh'!$A$2:$BV$146,MATCH($A116,'Eurostat EB TJ GWh'!$A$2:$A$146,0),MATCH(AU$3,'Eurostat EB TJ GWh'!$A$2:$BV$2,0))</f>
        <v>0</v>
      </c>
      <c r="AV116" s="57">
        <f>INDEX('Eurostat EB TJ GWh'!$A$2:$BV$146,MATCH($A116,'Eurostat EB TJ GWh'!$A$2:$A$146,0),MATCH(AV$2,'Eurostat EB TJ GWh'!$A$2:$BV$2,0))+INDEX('Eurostat EB TJ GWh'!$A$2:$BV$146,MATCH($A116,'Eurostat EB TJ GWh'!$A$2:$A$146,0),MATCH(AV$3,'Eurostat EB TJ GWh'!$A$2:$BV$2,0))</f>
        <v>0</v>
      </c>
      <c r="AW116" s="57">
        <f>INDEX('Eurostat EB TJ GWh'!$A$2:$BV$146,MATCH($A116,'Eurostat EB TJ GWh'!$A$2:$A$146,0),MATCH(AW$2,'Eurostat EB TJ GWh'!$A$2:$BV$2,0))+INDEX('Eurostat EB TJ GWh'!$A$2:$BV$146,MATCH($A116,'Eurostat EB TJ GWh'!$A$2:$A$146,0),MATCH(AW$3,'Eurostat EB TJ GWh'!$A$2:$BV$2,0))</f>
        <v>42.542999999999999</v>
      </c>
      <c r="AX116" s="57">
        <f>INDEX('Eurostat EB TJ GWh'!$A$2:$BV$146,MATCH($A116,'Eurostat EB TJ GWh'!$A$2:$A$146,0),MATCH(AX$3,'Eurostat EB TJ GWh'!$A$2:$BV$2,0))</f>
        <v>0</v>
      </c>
      <c r="AY116" s="65">
        <v>0</v>
      </c>
      <c r="AZ116" s="57">
        <f>INDEX('Eurostat EB TJ GWh'!$A$2:$BV$146,MATCH($A116,'Eurostat EB TJ GWh'!$A$2:$A$146,0),MATCH(AZ$3,'Eurostat EB TJ GWh'!$A$2:$BV$2,0))</f>
        <v>0</v>
      </c>
      <c r="BA116" s="65">
        <v>0</v>
      </c>
      <c r="BB116" s="65">
        <v>0</v>
      </c>
      <c r="BC116" s="57">
        <f>INDEX('Eurostat EB TJ GWh'!$A$2:$BV$146,MATCH($A116,'Eurostat EB TJ GWh'!$A$2:$A$146,0),MATCH(BC$3,'Eurostat EB TJ GWh'!$A$2:$BV$2,0))</f>
        <v>0</v>
      </c>
      <c r="BD116" s="57">
        <f>INDEX('Eurostat EB TJ GWh'!$A$2:$BV$146,MATCH($A116,'Eurostat EB TJ GWh'!$A$2:$A$146,0),MATCH(BD$3,'Eurostat EB TJ GWh'!$A$2:$BV$2,0))</f>
        <v>0</v>
      </c>
      <c r="BE116" s="57">
        <f>INDEX('Eurostat EB TJ GWh'!$A$2:$BV$146,MATCH($A116,'Eurostat EB TJ GWh'!$A$2:$A$146,0),MATCH(BE$3,'Eurostat EB TJ GWh'!$A$2:$BV$2,0))</f>
        <v>0</v>
      </c>
      <c r="BF116" s="57">
        <f>INDEX('Eurostat EB TJ GWh'!$A$2:$BV$146,MATCH($A116,'Eurostat EB TJ GWh'!$A$2:$A$146,0),MATCH(BF$3,'Eurostat EB TJ GWh'!$A$2:$BV$2,0))</f>
        <v>0</v>
      </c>
      <c r="BG116" s="57">
        <f>INDEX('Eurostat EB TJ GWh'!$A$2:$BV$146,MATCH($A116,'Eurostat EB TJ GWh'!$A$2:$A$146,0),MATCH(BG$3,'Eurostat EB TJ GWh'!$A$2:$BV$2,0))</f>
        <v>0</v>
      </c>
      <c r="BH116" s="57">
        <f>INDEX('Eurostat EB TJ GWh'!$A$2:$BV$146,MATCH($A116,'Eurostat EB TJ GWh'!$A$2:$A$146,0),MATCH(BH$3,'Eurostat EB TJ GWh'!$A$2:$BV$2,0))</f>
        <v>0</v>
      </c>
      <c r="BI116" s="57">
        <f>INDEX('Eurostat EB TJ GWh'!$A$2:$BV$146,MATCH($A116,'Eurostat EB TJ GWh'!$A$2:$A$146,0),MATCH(BI$3,'Eurostat EB TJ GWh'!$A$2:$BV$2,0))</f>
        <v>0</v>
      </c>
      <c r="BJ116" s="65">
        <v>0</v>
      </c>
      <c r="BK116" s="57">
        <f>INDEX('Eurostat EB TJ GWh'!$A$2:$BV$146,MATCH($A116,'Eurostat EB TJ GWh'!$A$2:$A$146,0),MATCH(BK$3,'Eurostat EB TJ GWh'!$A$2:$BV$2,0))</f>
        <v>0</v>
      </c>
      <c r="BL116" s="57">
        <f>INDEX('Eurostat EB TJ GWh'!$A$2:$BV$146,MATCH($A116,'Eurostat EB TJ GWh'!$A$2:$A$146,0),MATCH(BL$3,'Eurostat EB TJ GWh'!$A$2:$BV$2,0))</f>
        <v>0</v>
      </c>
      <c r="BM116" s="57">
        <f>INDEX('Eurostat EB TJ GWh'!$A$2:$BV$146,MATCH($A116,'Eurostat EB TJ GWh'!$A$2:$A$146,0),MATCH(BM$3,'Eurostat EB TJ GWh'!$A$2:$BV$2,0))</f>
        <v>12827.955</v>
      </c>
      <c r="BN116" s="57">
        <f>INDEX('Eurostat EB TJ GWh'!$A$2:$BV$146,MATCH($A116,'Eurostat EB TJ GWh'!$A$2:$A$146,0),MATCH(BN$3,'Eurostat EB TJ GWh'!$A$2:$BV$2,0))</f>
        <v>42.542999999999999</v>
      </c>
    </row>
    <row r="117" spans="1:66" x14ac:dyDescent="0.2">
      <c r="A117" s="56" t="s">
        <v>306</v>
      </c>
      <c r="B117" s="65" t="s">
        <v>323</v>
      </c>
      <c r="C117" s="65" t="s">
        <v>323</v>
      </c>
      <c r="D117" s="17">
        <f>INDEX('Eurostat EB TJ GWh'!$A$2:$BV$146,MATCH($A117,'Eurostat EB TJ GWh'!$A$2:$A$146,0),MATCH(D$3,'Eurostat EB TJ GWh'!$A$2:$BV$2,0))</f>
        <v>0</v>
      </c>
      <c r="E117" s="17">
        <f>INDEX('Eurostat EB TJ GWh'!$A$2:$BV$146,MATCH($A117,'Eurostat EB TJ GWh'!$A$2:$A$146,0),MATCH(E$3,'Eurostat EB TJ GWh'!$A$2:$BV$2,0))</f>
        <v>0</v>
      </c>
      <c r="F117" s="17">
        <f>INDEX('Eurostat EB TJ GWh'!$A$2:$BV$146,MATCH($A117,'Eurostat EB TJ GWh'!$A$2:$A$146,0),MATCH(F$3,'Eurostat EB TJ GWh'!$A$2:$BV$2,0))</f>
        <v>0</v>
      </c>
      <c r="G117" s="17">
        <f>INDEX('Eurostat EB TJ GWh'!$A$2:$BV$146,MATCH($A117,'Eurostat EB TJ GWh'!$A$2:$A$146,0),MATCH(G$3,'Eurostat EB TJ GWh'!$A$2:$BV$2,0))</f>
        <v>0</v>
      </c>
      <c r="H117" s="17">
        <f>INDEX('Eurostat EB TJ GWh'!$A$2:$BV$146,MATCH($A117,'Eurostat EB TJ GWh'!$A$2:$A$146,0),MATCH(H$3,'Eurostat EB TJ GWh'!$A$2:$BV$2,0))</f>
        <v>0</v>
      </c>
      <c r="I117" s="17">
        <f>INDEX('Eurostat EB TJ GWh'!$A$2:$BV$146,MATCH($A117,'Eurostat EB TJ GWh'!$A$2:$A$146,0),MATCH(I$3,'Eurostat EB TJ GWh'!$A$2:$BV$2,0))</f>
        <v>0</v>
      </c>
      <c r="J117" s="17">
        <f>INDEX('Eurostat EB TJ GWh'!$A$2:$BV$146,MATCH($A117,'Eurostat EB TJ GWh'!$A$2:$A$146,0),MATCH(J$3,'Eurostat EB TJ GWh'!$A$2:$BV$2,0))</f>
        <v>0</v>
      </c>
      <c r="K117" s="17">
        <f>INDEX('Eurostat EB TJ GWh'!$A$2:$BV$146,MATCH($A117,'Eurostat EB TJ GWh'!$A$2:$A$146,0),MATCH(K$3,'Eurostat EB TJ GWh'!$A$2:$BV$2,0))</f>
        <v>0</v>
      </c>
      <c r="L117" s="17">
        <f>INDEX('Eurostat EB TJ GWh'!$A$2:$BV$146,MATCH($A117,'Eurostat EB TJ GWh'!$A$2:$A$146,0),MATCH(L$3,'Eurostat EB TJ GWh'!$A$2:$BV$2,0))</f>
        <v>0</v>
      </c>
      <c r="M117" s="17">
        <f>INDEX('Eurostat EB TJ GWh'!$A$2:$BV$146,MATCH($A117,'Eurostat EB TJ GWh'!$A$2:$A$146,0),MATCH(M$3,'Eurostat EB TJ GWh'!$A$2:$BV$2,0))</f>
        <v>0</v>
      </c>
      <c r="N117" s="17">
        <f>INDEX('Eurostat EB TJ GWh'!$A$2:$BV$146,MATCH($A117,'Eurostat EB TJ GWh'!$A$2:$A$146,0),MATCH(N$3,'Eurostat EB TJ GWh'!$A$2:$BV$2,0))</f>
        <v>0</v>
      </c>
      <c r="O117" s="17">
        <f>INDEX('Eurostat EB TJ GWh'!$A$2:$BV$146,MATCH($A117,'Eurostat EB TJ GWh'!$A$2:$A$146,0),MATCH(O$3,'Eurostat EB TJ GWh'!$A$2:$BV$2,0))</f>
        <v>0</v>
      </c>
      <c r="P117" s="17">
        <f>INDEX('Eurostat EB TJ GWh'!$A$2:$BV$146,MATCH($A117,'Eurostat EB TJ GWh'!$A$2:$A$146,0),MATCH(P$3,'Eurostat EB TJ GWh'!$A$2:$BV$2,0))</f>
        <v>0</v>
      </c>
      <c r="Q117" s="17">
        <f>INDEX('Eurostat EB TJ GWh'!$A$2:$BV$146,MATCH($A117,'Eurostat EB TJ GWh'!$A$2:$A$146,0),MATCH(Q$3,'Eurostat EB TJ GWh'!$A$2:$BV$2,0))</f>
        <v>0</v>
      </c>
      <c r="R117" s="17">
        <f>INDEX('Eurostat EB TJ GWh'!$A$2:$BV$146,MATCH($A117,'Eurostat EB TJ GWh'!$A$2:$A$146,0),MATCH(R$2,'Eurostat EB TJ GWh'!$A$2:$BV$2,0))+INDEX('Eurostat EB TJ GWh'!$A$2:$BV$146,MATCH($A117,'Eurostat EB TJ GWh'!$A$2:$A$146,0),MATCH(R$3,'Eurostat EB TJ GWh'!$A$2:$BV$2,0))</f>
        <v>0</v>
      </c>
      <c r="S117" s="17">
        <f>INDEX('Eurostat EB TJ GWh'!$A$2:$BV$146,MATCH($A117,'Eurostat EB TJ GWh'!$A$2:$A$146,0),MATCH(S$3,'Eurostat EB TJ GWh'!$A$2:$BV$2,0))</f>
        <v>0</v>
      </c>
      <c r="T117" s="65" t="s">
        <v>323</v>
      </c>
      <c r="U117" s="17">
        <f>INDEX('Eurostat EB TJ GWh'!$A$2:$BV$146,MATCH($A117,'Eurostat EB TJ GWh'!$A$2:$A$146,0),MATCH(U$3,'Eurostat EB TJ GWh'!$A$2:$BV$2,0))</f>
        <v>0</v>
      </c>
      <c r="V117" s="17">
        <f>INDEX('Eurostat EB TJ GWh'!$A$2:$BV$146,MATCH($A117,'Eurostat EB TJ GWh'!$A$2:$A$146,0),MATCH(V$3,'Eurostat EB TJ GWh'!$A$2:$BV$2,0))</f>
        <v>0</v>
      </c>
      <c r="W117" s="17">
        <f>INDEX('Eurostat EB TJ GWh'!$A$2:$BV$146,MATCH($A117,'Eurostat EB TJ GWh'!$A$2:$A$146,0),MATCH(W$3,'Eurostat EB TJ GWh'!$A$2:$BV$2,0))</f>
        <v>0</v>
      </c>
      <c r="X117" s="17">
        <f>INDEX('Eurostat EB TJ GWh'!$A$2:$BV$146,MATCH($A117,'Eurostat EB TJ GWh'!$A$2:$A$146,0),MATCH(X$3,'Eurostat EB TJ GWh'!$A$2:$BV$2,0))</f>
        <v>0</v>
      </c>
      <c r="Y117" s="17">
        <f>INDEX('Eurostat EB TJ GWh'!$A$2:$BV$146,MATCH($A117,'Eurostat EB TJ GWh'!$A$2:$A$146,0),MATCH(Y$3,'Eurostat EB TJ GWh'!$A$2:$BV$2,0))</f>
        <v>0</v>
      </c>
      <c r="Z117" s="17">
        <f>INDEX('Eurostat EB TJ GWh'!$A$2:$BV$146,MATCH($A117,'Eurostat EB TJ GWh'!$A$2:$A$146,0),MATCH(Z$3,'Eurostat EB TJ GWh'!$A$2:$BV$2,0))</f>
        <v>0</v>
      </c>
      <c r="AA117" s="17">
        <f>INDEX('Eurostat EB TJ GWh'!$A$2:$BV$146,MATCH($A117,'Eurostat EB TJ GWh'!$A$2:$A$146,0),MATCH(AA$3,'Eurostat EB TJ GWh'!$A$2:$BV$2,0))</f>
        <v>0</v>
      </c>
      <c r="AB117" s="17">
        <f>INDEX('Eurostat EB TJ GWh'!$A$2:$BV$146,MATCH($A117,'Eurostat EB TJ GWh'!$A$2:$A$146,0),MATCH(AB$3,'Eurostat EB TJ GWh'!$A$2:$BV$2,0))</f>
        <v>0</v>
      </c>
      <c r="AC117" s="17">
        <f>INDEX('Eurostat EB TJ GWh'!$A$2:$BV$146,MATCH($A117,'Eurostat EB TJ GWh'!$A$2:$A$146,0),MATCH(AC$3,'Eurostat EB TJ GWh'!$A$2:$BV$2,0))</f>
        <v>0</v>
      </c>
      <c r="AD117" s="17">
        <f>INDEX('Eurostat EB TJ GWh'!$A$2:$BV$146,MATCH($A117,'Eurostat EB TJ GWh'!$A$2:$A$146,0),MATCH(AD$3,'Eurostat EB TJ GWh'!$A$2:$BV$2,0))</f>
        <v>0</v>
      </c>
      <c r="AE117" s="17">
        <f>INDEX('Eurostat EB TJ GWh'!$A$2:$BV$146,MATCH($A117,'Eurostat EB TJ GWh'!$A$2:$A$146,0),MATCH(AE$3,'Eurostat EB TJ GWh'!$A$2:$BV$2,0))</f>
        <v>0</v>
      </c>
      <c r="AF117" s="17">
        <f>INDEX('Eurostat EB TJ GWh'!$A$2:$BV$146,MATCH($A117,'Eurostat EB TJ GWh'!$A$2:$A$146,0),MATCH(AF$3,'Eurostat EB TJ GWh'!$A$2:$BV$2,0))</f>
        <v>0</v>
      </c>
      <c r="AG117" s="17">
        <f>INDEX('Eurostat EB TJ GWh'!$A$2:$BV$146,MATCH($A117,'Eurostat EB TJ GWh'!$A$2:$A$146,0),MATCH(AG$3,'Eurostat EB TJ GWh'!$A$2:$BV$2,0))</f>
        <v>0</v>
      </c>
      <c r="AH117" s="17">
        <f>INDEX('Eurostat EB TJ GWh'!$A$2:$BV$146,MATCH($A117,'Eurostat EB TJ GWh'!$A$2:$A$146,0),MATCH(AH$3,'Eurostat EB TJ GWh'!$A$2:$BV$2,0))</f>
        <v>0</v>
      </c>
      <c r="AI117" s="17">
        <f>INDEX('Eurostat EB TJ GWh'!$A$2:$BV$146,MATCH($A117,'Eurostat EB TJ GWh'!$A$2:$A$146,0),MATCH(AI$3,'Eurostat EB TJ GWh'!$A$2:$BV$2,0))</f>
        <v>0</v>
      </c>
      <c r="AJ117" s="17">
        <f>INDEX('Eurostat EB TJ GWh'!$A$2:$BV$146,MATCH($A117,'Eurostat EB TJ GWh'!$A$2:$A$146,0),MATCH(AJ$3,'Eurostat EB TJ GWh'!$A$2:$BV$2,0))</f>
        <v>0</v>
      </c>
      <c r="AK117" s="17">
        <f>INDEX('Eurostat EB TJ GWh'!$A$2:$BV$146,MATCH($A117,'Eurostat EB TJ GWh'!$A$2:$A$146,0),MATCH(AK$3,'Eurostat EB TJ GWh'!$A$2:$BV$2,0))</f>
        <v>0</v>
      </c>
      <c r="AL117" s="17">
        <f>INDEX('Eurostat EB TJ GWh'!$A$2:$BV$146,MATCH($A117,'Eurostat EB TJ GWh'!$A$2:$A$146,0),MATCH(AL$3,'Eurostat EB TJ GWh'!$A$2:$BV$2,0))</f>
        <v>0</v>
      </c>
      <c r="AM117" s="17">
        <f>INDEX('Eurostat EB TJ GWh'!$A$2:$BV$146,MATCH($A117,'Eurostat EB TJ GWh'!$A$2:$A$146,0),MATCH(AM$3,'Eurostat EB TJ GWh'!$A$2:$BV$2,0))</f>
        <v>0</v>
      </c>
      <c r="AN117" s="17">
        <f>INDEX('Eurostat EB TJ GWh'!$A$2:$BV$146,MATCH($A117,'Eurostat EB TJ GWh'!$A$2:$A$146,0),MATCH(AN$3,'Eurostat EB TJ GWh'!$A$2:$BV$2,0))</f>
        <v>0</v>
      </c>
      <c r="AO117" s="17">
        <f>INDEX('Eurostat EB TJ GWh'!$A$2:$BV$146,MATCH($A117,'Eurostat EB TJ GWh'!$A$2:$A$146,0),MATCH(AO$3,'Eurostat EB TJ GWh'!$A$2:$BV$2,0))</f>
        <v>0</v>
      </c>
      <c r="AP117" s="17">
        <f>INDEX('Eurostat EB TJ GWh'!$A$2:$BV$146,MATCH($A117,'Eurostat EB TJ GWh'!$A$2:$A$146,0),MATCH(AP$3,'Eurostat EB TJ GWh'!$A$2:$BV$2,0))</f>
        <v>0</v>
      </c>
      <c r="AQ117" s="17">
        <f>INDEX('Eurostat EB TJ GWh'!$A$2:$BV$146,MATCH($A117,'Eurostat EB TJ GWh'!$A$2:$A$146,0),MATCH(AQ$3,'Eurostat EB TJ GWh'!$A$2:$BV$2,0))</f>
        <v>0</v>
      </c>
      <c r="AR117" s="17">
        <f>INDEX('Eurostat EB TJ GWh'!$A$2:$BV$146,MATCH($A117,'Eurostat EB TJ GWh'!$A$2:$A$146,0),MATCH(AR$3,'Eurostat EB TJ GWh'!$A$2:$BV$2,0))</f>
        <v>0</v>
      </c>
      <c r="AS117" s="17">
        <f>INDEX('Eurostat EB TJ GWh'!$A$2:$BV$146,MATCH($A117,'Eurostat EB TJ GWh'!$A$2:$A$146,0),MATCH(AS$3,'Eurostat EB TJ GWh'!$A$2:$BV$2,0))</f>
        <v>0</v>
      </c>
      <c r="AT117" s="17">
        <f>INDEX('Eurostat EB TJ GWh'!$A$2:$BV$146,MATCH($A117,'Eurostat EB TJ GWh'!$A$2:$A$146,0),MATCH(AT$3,'Eurostat EB TJ GWh'!$A$2:$BV$2,0))</f>
        <v>0</v>
      </c>
      <c r="AU117" s="17">
        <f>INDEX('Eurostat EB TJ GWh'!$A$2:$BV$146,MATCH($A117,'Eurostat EB TJ GWh'!$A$2:$A$146,0),MATCH(AU$3,'Eurostat EB TJ GWh'!$A$2:$BV$2,0))</f>
        <v>0</v>
      </c>
      <c r="AV117" s="17">
        <f>INDEX('Eurostat EB TJ GWh'!$A$2:$BV$146,MATCH($A117,'Eurostat EB TJ GWh'!$A$2:$A$146,0),MATCH(AV$2,'Eurostat EB TJ GWh'!$A$2:$BV$2,0))+INDEX('Eurostat EB TJ GWh'!$A$2:$BV$146,MATCH($A117,'Eurostat EB TJ GWh'!$A$2:$A$146,0),MATCH(AV$3,'Eurostat EB TJ GWh'!$A$2:$BV$2,0))</f>
        <v>0</v>
      </c>
      <c r="AW117" s="17">
        <f>INDEX('Eurostat EB TJ GWh'!$A$2:$BV$146,MATCH($A117,'Eurostat EB TJ GWh'!$A$2:$A$146,0),MATCH(AW$2,'Eurostat EB TJ GWh'!$A$2:$BV$2,0))+INDEX('Eurostat EB TJ GWh'!$A$2:$BV$146,MATCH($A117,'Eurostat EB TJ GWh'!$A$2:$A$146,0),MATCH(AW$3,'Eurostat EB TJ GWh'!$A$2:$BV$2,0))</f>
        <v>0</v>
      </c>
      <c r="AX117" s="17">
        <f>INDEX('Eurostat EB TJ GWh'!$A$2:$BV$146,MATCH($A117,'Eurostat EB TJ GWh'!$A$2:$A$146,0),MATCH(AX$3,'Eurostat EB TJ GWh'!$A$2:$BV$2,0))</f>
        <v>0</v>
      </c>
      <c r="AY117" s="72">
        <v>0</v>
      </c>
      <c r="AZ117" s="17">
        <f>INDEX('Eurostat EB TJ GWh'!$A$2:$BV$146,MATCH($A117,'Eurostat EB TJ GWh'!$A$2:$A$146,0),MATCH(AZ$3,'Eurostat EB TJ GWh'!$A$2:$BV$2,0))</f>
        <v>0</v>
      </c>
      <c r="BA117" s="72">
        <v>0</v>
      </c>
      <c r="BB117" s="72">
        <v>0</v>
      </c>
      <c r="BC117" s="17">
        <f>INDEX('Eurostat EB TJ GWh'!$A$2:$BV$146,MATCH($A117,'Eurostat EB TJ GWh'!$A$2:$A$146,0),MATCH(BC$3,'Eurostat EB TJ GWh'!$A$2:$BV$2,0))</f>
        <v>0</v>
      </c>
      <c r="BD117" s="17">
        <f>INDEX('Eurostat EB TJ GWh'!$A$2:$BV$146,MATCH($A117,'Eurostat EB TJ GWh'!$A$2:$A$146,0),MATCH(BD$3,'Eurostat EB TJ GWh'!$A$2:$BV$2,0))</f>
        <v>0</v>
      </c>
      <c r="BE117" s="17">
        <f>INDEX('Eurostat EB TJ GWh'!$A$2:$BV$146,MATCH($A117,'Eurostat EB TJ GWh'!$A$2:$A$146,0),MATCH(BE$3,'Eurostat EB TJ GWh'!$A$2:$BV$2,0))</f>
        <v>0</v>
      </c>
      <c r="BF117" s="17">
        <f>INDEX('Eurostat EB TJ GWh'!$A$2:$BV$146,MATCH($A117,'Eurostat EB TJ GWh'!$A$2:$A$146,0),MATCH(BF$3,'Eurostat EB TJ GWh'!$A$2:$BV$2,0))</f>
        <v>0</v>
      </c>
      <c r="BG117" s="17">
        <f>INDEX('Eurostat EB TJ GWh'!$A$2:$BV$146,MATCH($A117,'Eurostat EB TJ GWh'!$A$2:$A$146,0),MATCH(BG$3,'Eurostat EB TJ GWh'!$A$2:$BV$2,0))</f>
        <v>0</v>
      </c>
      <c r="BH117" s="17">
        <f>INDEX('Eurostat EB TJ GWh'!$A$2:$BV$146,MATCH($A117,'Eurostat EB TJ GWh'!$A$2:$A$146,0),MATCH(BH$3,'Eurostat EB TJ GWh'!$A$2:$BV$2,0))</f>
        <v>0</v>
      </c>
      <c r="BI117" s="17">
        <f>INDEX('Eurostat EB TJ GWh'!$A$2:$BV$146,MATCH($A117,'Eurostat EB TJ GWh'!$A$2:$A$146,0),MATCH(BI$3,'Eurostat EB TJ GWh'!$A$2:$BV$2,0))</f>
        <v>0</v>
      </c>
      <c r="BJ117" s="72">
        <v>0</v>
      </c>
      <c r="BK117" s="17">
        <f>INDEX('Eurostat EB TJ GWh'!$A$2:$BV$146,MATCH($A117,'Eurostat EB TJ GWh'!$A$2:$A$146,0),MATCH(BK$3,'Eurostat EB TJ GWh'!$A$2:$BV$2,0))</f>
        <v>0</v>
      </c>
      <c r="BL117" s="17">
        <f>INDEX('Eurostat EB TJ GWh'!$A$2:$BV$146,MATCH($A117,'Eurostat EB TJ GWh'!$A$2:$A$146,0),MATCH(BL$3,'Eurostat EB TJ GWh'!$A$2:$BV$2,0))</f>
        <v>0</v>
      </c>
      <c r="BM117" s="17">
        <f>INDEX('Eurostat EB TJ GWh'!$A$2:$BV$146,MATCH($A117,'Eurostat EB TJ GWh'!$A$2:$A$146,0),MATCH(BM$3,'Eurostat EB TJ GWh'!$A$2:$BV$2,0))</f>
        <v>0</v>
      </c>
      <c r="BN117" s="17">
        <f>INDEX('Eurostat EB TJ GWh'!$A$2:$BV$146,MATCH($A117,'Eurostat EB TJ GWh'!$A$2:$A$146,0),MATCH(BN$3,'Eurostat EB TJ GWh'!$A$2:$BV$2,0))</f>
        <v>0</v>
      </c>
    </row>
    <row r="118" spans="1:66" x14ac:dyDescent="0.2">
      <c r="A118" s="56" t="s">
        <v>307</v>
      </c>
      <c r="B118" s="65" t="s">
        <v>323</v>
      </c>
      <c r="C118" s="65" t="s">
        <v>323</v>
      </c>
      <c r="D118" s="57">
        <f>INDEX('Eurostat EB TJ GWh'!$A$2:$BV$146,MATCH($A118,'Eurostat EB TJ GWh'!$A$2:$A$146,0),MATCH(D$3,'Eurostat EB TJ GWh'!$A$2:$BV$2,0))</f>
        <v>0</v>
      </c>
      <c r="E118" s="57">
        <f>INDEX('Eurostat EB TJ GWh'!$A$2:$BV$146,MATCH($A118,'Eurostat EB TJ GWh'!$A$2:$A$146,0),MATCH(E$3,'Eurostat EB TJ GWh'!$A$2:$BV$2,0))</f>
        <v>0</v>
      </c>
      <c r="F118" s="57">
        <f>INDEX('Eurostat EB TJ GWh'!$A$2:$BV$146,MATCH($A118,'Eurostat EB TJ GWh'!$A$2:$A$146,0),MATCH(F$3,'Eurostat EB TJ GWh'!$A$2:$BV$2,0))</f>
        <v>0</v>
      </c>
      <c r="G118" s="57">
        <f>INDEX('Eurostat EB TJ GWh'!$A$2:$BV$146,MATCH($A118,'Eurostat EB TJ GWh'!$A$2:$A$146,0),MATCH(G$3,'Eurostat EB TJ GWh'!$A$2:$BV$2,0))</f>
        <v>0</v>
      </c>
      <c r="H118" s="57">
        <f>INDEX('Eurostat EB TJ GWh'!$A$2:$BV$146,MATCH($A118,'Eurostat EB TJ GWh'!$A$2:$A$146,0),MATCH(H$3,'Eurostat EB TJ GWh'!$A$2:$BV$2,0))</f>
        <v>0</v>
      </c>
      <c r="I118" s="57">
        <f>INDEX('Eurostat EB TJ GWh'!$A$2:$BV$146,MATCH($A118,'Eurostat EB TJ GWh'!$A$2:$A$146,0),MATCH(I$3,'Eurostat EB TJ GWh'!$A$2:$BV$2,0))</f>
        <v>0</v>
      </c>
      <c r="J118" s="57">
        <f>INDEX('Eurostat EB TJ GWh'!$A$2:$BV$146,MATCH($A118,'Eurostat EB TJ GWh'!$A$2:$A$146,0),MATCH(J$3,'Eurostat EB TJ GWh'!$A$2:$BV$2,0))</f>
        <v>0</v>
      </c>
      <c r="K118" s="57">
        <f>INDEX('Eurostat EB TJ GWh'!$A$2:$BV$146,MATCH($A118,'Eurostat EB TJ GWh'!$A$2:$A$146,0),MATCH(K$3,'Eurostat EB TJ GWh'!$A$2:$BV$2,0))</f>
        <v>0</v>
      </c>
      <c r="L118" s="57">
        <f>INDEX('Eurostat EB TJ GWh'!$A$2:$BV$146,MATCH($A118,'Eurostat EB TJ GWh'!$A$2:$A$146,0),MATCH(L$3,'Eurostat EB TJ GWh'!$A$2:$BV$2,0))</f>
        <v>0</v>
      </c>
      <c r="M118" s="57">
        <f>INDEX('Eurostat EB TJ GWh'!$A$2:$BV$146,MATCH($A118,'Eurostat EB TJ GWh'!$A$2:$A$146,0),MATCH(M$3,'Eurostat EB TJ GWh'!$A$2:$BV$2,0))</f>
        <v>0</v>
      </c>
      <c r="N118" s="57">
        <f>INDEX('Eurostat EB TJ GWh'!$A$2:$BV$146,MATCH($A118,'Eurostat EB TJ GWh'!$A$2:$A$146,0),MATCH(N$3,'Eurostat EB TJ GWh'!$A$2:$BV$2,0))</f>
        <v>0</v>
      </c>
      <c r="O118" s="57">
        <f>INDEX('Eurostat EB TJ GWh'!$A$2:$BV$146,MATCH($A118,'Eurostat EB TJ GWh'!$A$2:$A$146,0),MATCH(O$3,'Eurostat EB TJ GWh'!$A$2:$BV$2,0))</f>
        <v>0</v>
      </c>
      <c r="P118" s="57">
        <f>INDEX('Eurostat EB TJ GWh'!$A$2:$BV$146,MATCH($A118,'Eurostat EB TJ GWh'!$A$2:$A$146,0),MATCH(P$3,'Eurostat EB TJ GWh'!$A$2:$BV$2,0))</f>
        <v>0</v>
      </c>
      <c r="Q118" s="57">
        <f>INDEX('Eurostat EB TJ GWh'!$A$2:$BV$146,MATCH($A118,'Eurostat EB TJ GWh'!$A$2:$A$146,0),MATCH(Q$3,'Eurostat EB TJ GWh'!$A$2:$BV$2,0))</f>
        <v>0</v>
      </c>
      <c r="R118" s="57">
        <f>INDEX('Eurostat EB TJ GWh'!$A$2:$BV$146,MATCH($A118,'Eurostat EB TJ GWh'!$A$2:$A$146,0),MATCH(R$2,'Eurostat EB TJ GWh'!$A$2:$BV$2,0))+INDEX('Eurostat EB TJ GWh'!$A$2:$BV$146,MATCH($A118,'Eurostat EB TJ GWh'!$A$2:$A$146,0),MATCH(R$3,'Eurostat EB TJ GWh'!$A$2:$BV$2,0))</f>
        <v>0</v>
      </c>
      <c r="S118" s="57">
        <f>INDEX('Eurostat EB TJ GWh'!$A$2:$BV$146,MATCH($A118,'Eurostat EB TJ GWh'!$A$2:$A$146,0),MATCH(S$3,'Eurostat EB TJ GWh'!$A$2:$BV$2,0))</f>
        <v>224.102</v>
      </c>
      <c r="T118" s="65" t="s">
        <v>323</v>
      </c>
      <c r="U118" s="57">
        <f>INDEX('Eurostat EB TJ GWh'!$A$2:$BV$146,MATCH($A118,'Eurostat EB TJ GWh'!$A$2:$A$146,0),MATCH(U$3,'Eurostat EB TJ GWh'!$A$2:$BV$2,0))</f>
        <v>0</v>
      </c>
      <c r="V118" s="57">
        <f>INDEX('Eurostat EB TJ GWh'!$A$2:$BV$146,MATCH($A118,'Eurostat EB TJ GWh'!$A$2:$A$146,0),MATCH(V$3,'Eurostat EB TJ GWh'!$A$2:$BV$2,0))</f>
        <v>0</v>
      </c>
      <c r="W118" s="57">
        <f>INDEX('Eurostat EB TJ GWh'!$A$2:$BV$146,MATCH($A118,'Eurostat EB TJ GWh'!$A$2:$A$146,0),MATCH(W$3,'Eurostat EB TJ GWh'!$A$2:$BV$2,0))</f>
        <v>0</v>
      </c>
      <c r="X118" s="57">
        <f>INDEX('Eurostat EB TJ GWh'!$A$2:$BV$146,MATCH($A118,'Eurostat EB TJ GWh'!$A$2:$A$146,0),MATCH(X$3,'Eurostat EB TJ GWh'!$A$2:$BV$2,0))</f>
        <v>0</v>
      </c>
      <c r="Y118" s="57">
        <f>INDEX('Eurostat EB TJ GWh'!$A$2:$BV$146,MATCH($A118,'Eurostat EB TJ GWh'!$A$2:$A$146,0),MATCH(Y$3,'Eurostat EB TJ GWh'!$A$2:$BV$2,0))</f>
        <v>0</v>
      </c>
      <c r="Z118" s="57">
        <f>INDEX('Eurostat EB TJ GWh'!$A$2:$BV$146,MATCH($A118,'Eurostat EB TJ GWh'!$A$2:$A$146,0),MATCH(Z$3,'Eurostat EB TJ GWh'!$A$2:$BV$2,0))</f>
        <v>0</v>
      </c>
      <c r="AA118" s="57">
        <f>INDEX('Eurostat EB TJ GWh'!$A$2:$BV$146,MATCH($A118,'Eurostat EB TJ GWh'!$A$2:$A$146,0),MATCH(AA$3,'Eurostat EB TJ GWh'!$A$2:$BV$2,0))</f>
        <v>0</v>
      </c>
      <c r="AB118" s="57">
        <f>INDEX('Eurostat EB TJ GWh'!$A$2:$BV$146,MATCH($A118,'Eurostat EB TJ GWh'!$A$2:$A$146,0),MATCH(AB$3,'Eurostat EB TJ GWh'!$A$2:$BV$2,0))</f>
        <v>0</v>
      </c>
      <c r="AC118" s="57">
        <f>INDEX('Eurostat EB TJ GWh'!$A$2:$BV$146,MATCH($A118,'Eurostat EB TJ GWh'!$A$2:$A$146,0),MATCH(AC$3,'Eurostat EB TJ GWh'!$A$2:$BV$2,0))</f>
        <v>0</v>
      </c>
      <c r="AD118" s="57">
        <f>INDEX('Eurostat EB TJ GWh'!$A$2:$BV$146,MATCH($A118,'Eurostat EB TJ GWh'!$A$2:$A$146,0),MATCH(AD$3,'Eurostat EB TJ GWh'!$A$2:$BV$2,0))</f>
        <v>0</v>
      </c>
      <c r="AE118" s="57">
        <f>INDEX('Eurostat EB TJ GWh'!$A$2:$BV$146,MATCH($A118,'Eurostat EB TJ GWh'!$A$2:$A$146,0),MATCH(AE$3,'Eurostat EB TJ GWh'!$A$2:$BV$2,0))</f>
        <v>0</v>
      </c>
      <c r="AF118" s="57">
        <f>INDEX('Eurostat EB TJ GWh'!$A$2:$BV$146,MATCH($A118,'Eurostat EB TJ GWh'!$A$2:$A$146,0),MATCH(AF$3,'Eurostat EB TJ GWh'!$A$2:$BV$2,0))</f>
        <v>0</v>
      </c>
      <c r="AG118" s="57">
        <f>INDEX('Eurostat EB TJ GWh'!$A$2:$BV$146,MATCH($A118,'Eurostat EB TJ GWh'!$A$2:$A$146,0),MATCH(AG$3,'Eurostat EB TJ GWh'!$A$2:$BV$2,0))</f>
        <v>0</v>
      </c>
      <c r="AH118" s="57">
        <f>INDEX('Eurostat EB TJ GWh'!$A$2:$BV$146,MATCH($A118,'Eurostat EB TJ GWh'!$A$2:$A$146,0),MATCH(AH$3,'Eurostat EB TJ GWh'!$A$2:$BV$2,0))</f>
        <v>0</v>
      </c>
      <c r="AI118" s="57">
        <f>INDEX('Eurostat EB TJ GWh'!$A$2:$BV$146,MATCH($A118,'Eurostat EB TJ GWh'!$A$2:$A$146,0),MATCH(AI$3,'Eurostat EB TJ GWh'!$A$2:$BV$2,0))</f>
        <v>0</v>
      </c>
      <c r="AJ118" s="57">
        <f>INDEX('Eurostat EB TJ GWh'!$A$2:$BV$146,MATCH($A118,'Eurostat EB TJ GWh'!$A$2:$A$146,0),MATCH(AJ$3,'Eurostat EB TJ GWh'!$A$2:$BV$2,0))</f>
        <v>0</v>
      </c>
      <c r="AK118" s="57">
        <f>INDEX('Eurostat EB TJ GWh'!$A$2:$BV$146,MATCH($A118,'Eurostat EB TJ GWh'!$A$2:$A$146,0),MATCH(AK$3,'Eurostat EB TJ GWh'!$A$2:$BV$2,0))</f>
        <v>0</v>
      </c>
      <c r="AL118" s="57">
        <f>INDEX('Eurostat EB TJ GWh'!$A$2:$BV$146,MATCH($A118,'Eurostat EB TJ GWh'!$A$2:$A$146,0),MATCH(AL$3,'Eurostat EB TJ GWh'!$A$2:$BV$2,0))</f>
        <v>0</v>
      </c>
      <c r="AM118" s="57">
        <f>INDEX('Eurostat EB TJ GWh'!$A$2:$BV$146,MATCH($A118,'Eurostat EB TJ GWh'!$A$2:$A$146,0),MATCH(AM$3,'Eurostat EB TJ GWh'!$A$2:$BV$2,0))</f>
        <v>0</v>
      </c>
      <c r="AN118" s="57">
        <f>INDEX('Eurostat EB TJ GWh'!$A$2:$BV$146,MATCH($A118,'Eurostat EB TJ GWh'!$A$2:$A$146,0),MATCH(AN$3,'Eurostat EB TJ GWh'!$A$2:$BV$2,0))</f>
        <v>0</v>
      </c>
      <c r="AO118" s="57">
        <f>INDEX('Eurostat EB TJ GWh'!$A$2:$BV$146,MATCH($A118,'Eurostat EB TJ GWh'!$A$2:$A$146,0),MATCH(AO$3,'Eurostat EB TJ GWh'!$A$2:$BV$2,0))</f>
        <v>0</v>
      </c>
      <c r="AP118" s="57">
        <f>INDEX('Eurostat EB TJ GWh'!$A$2:$BV$146,MATCH($A118,'Eurostat EB TJ GWh'!$A$2:$A$146,0),MATCH(AP$3,'Eurostat EB TJ GWh'!$A$2:$BV$2,0))</f>
        <v>0</v>
      </c>
      <c r="AQ118" s="57">
        <f>INDEX('Eurostat EB TJ GWh'!$A$2:$BV$146,MATCH($A118,'Eurostat EB TJ GWh'!$A$2:$A$146,0),MATCH(AQ$3,'Eurostat EB TJ GWh'!$A$2:$BV$2,0))</f>
        <v>0</v>
      </c>
      <c r="AR118" s="57">
        <f>INDEX('Eurostat EB TJ GWh'!$A$2:$BV$146,MATCH($A118,'Eurostat EB TJ GWh'!$A$2:$A$146,0),MATCH(AR$3,'Eurostat EB TJ GWh'!$A$2:$BV$2,0))</f>
        <v>0</v>
      </c>
      <c r="AS118" s="57">
        <f>INDEX('Eurostat EB TJ GWh'!$A$2:$BV$146,MATCH($A118,'Eurostat EB TJ GWh'!$A$2:$A$146,0),MATCH(AS$3,'Eurostat EB TJ GWh'!$A$2:$BV$2,0))</f>
        <v>0</v>
      </c>
      <c r="AT118" s="57">
        <f>INDEX('Eurostat EB TJ GWh'!$A$2:$BV$146,MATCH($A118,'Eurostat EB TJ GWh'!$A$2:$A$146,0),MATCH(AT$3,'Eurostat EB TJ GWh'!$A$2:$BV$2,0))</f>
        <v>0</v>
      </c>
      <c r="AU118" s="57">
        <f>INDEX('Eurostat EB TJ GWh'!$A$2:$BV$146,MATCH($A118,'Eurostat EB TJ GWh'!$A$2:$A$146,0),MATCH(AU$3,'Eurostat EB TJ GWh'!$A$2:$BV$2,0))</f>
        <v>0</v>
      </c>
      <c r="AV118" s="57">
        <f>INDEX('Eurostat EB TJ GWh'!$A$2:$BV$146,MATCH($A118,'Eurostat EB TJ GWh'!$A$2:$A$146,0),MATCH(AV$2,'Eurostat EB TJ GWh'!$A$2:$BV$2,0))+INDEX('Eurostat EB TJ GWh'!$A$2:$BV$146,MATCH($A118,'Eurostat EB TJ GWh'!$A$2:$A$146,0),MATCH(AV$3,'Eurostat EB TJ GWh'!$A$2:$BV$2,0))</f>
        <v>0</v>
      </c>
      <c r="AW118" s="57">
        <f>INDEX('Eurostat EB TJ GWh'!$A$2:$BV$146,MATCH($A118,'Eurostat EB TJ GWh'!$A$2:$A$146,0),MATCH(AW$2,'Eurostat EB TJ GWh'!$A$2:$BV$2,0))+INDEX('Eurostat EB TJ GWh'!$A$2:$BV$146,MATCH($A118,'Eurostat EB TJ GWh'!$A$2:$A$146,0),MATCH(AW$3,'Eurostat EB TJ GWh'!$A$2:$BV$2,0))</f>
        <v>0</v>
      </c>
      <c r="AX118" s="57">
        <f>INDEX('Eurostat EB TJ GWh'!$A$2:$BV$146,MATCH($A118,'Eurostat EB TJ GWh'!$A$2:$A$146,0),MATCH(AX$3,'Eurostat EB TJ GWh'!$A$2:$BV$2,0))</f>
        <v>0</v>
      </c>
      <c r="AY118" s="65">
        <v>0</v>
      </c>
      <c r="AZ118" s="57">
        <f>INDEX('Eurostat EB TJ GWh'!$A$2:$BV$146,MATCH($A118,'Eurostat EB TJ GWh'!$A$2:$A$146,0),MATCH(AZ$3,'Eurostat EB TJ GWh'!$A$2:$BV$2,0))</f>
        <v>0</v>
      </c>
      <c r="BA118" s="65">
        <v>0</v>
      </c>
      <c r="BB118" s="65">
        <v>0</v>
      </c>
      <c r="BC118" s="57">
        <f>INDEX('Eurostat EB TJ GWh'!$A$2:$BV$146,MATCH($A118,'Eurostat EB TJ GWh'!$A$2:$A$146,0),MATCH(BC$3,'Eurostat EB TJ GWh'!$A$2:$BV$2,0))</f>
        <v>0</v>
      </c>
      <c r="BD118" s="57">
        <f>INDEX('Eurostat EB TJ GWh'!$A$2:$BV$146,MATCH($A118,'Eurostat EB TJ GWh'!$A$2:$A$146,0),MATCH(BD$3,'Eurostat EB TJ GWh'!$A$2:$BV$2,0))</f>
        <v>0</v>
      </c>
      <c r="BE118" s="57">
        <f>INDEX('Eurostat EB TJ GWh'!$A$2:$BV$146,MATCH($A118,'Eurostat EB TJ GWh'!$A$2:$A$146,0),MATCH(BE$3,'Eurostat EB TJ GWh'!$A$2:$BV$2,0))</f>
        <v>0</v>
      </c>
      <c r="BF118" s="57">
        <f>INDEX('Eurostat EB TJ GWh'!$A$2:$BV$146,MATCH($A118,'Eurostat EB TJ GWh'!$A$2:$A$146,0),MATCH(BF$3,'Eurostat EB TJ GWh'!$A$2:$BV$2,0))</f>
        <v>0</v>
      </c>
      <c r="BG118" s="57">
        <f>INDEX('Eurostat EB TJ GWh'!$A$2:$BV$146,MATCH($A118,'Eurostat EB TJ GWh'!$A$2:$A$146,0),MATCH(BG$3,'Eurostat EB TJ GWh'!$A$2:$BV$2,0))</f>
        <v>0</v>
      </c>
      <c r="BH118" s="57">
        <f>INDEX('Eurostat EB TJ GWh'!$A$2:$BV$146,MATCH($A118,'Eurostat EB TJ GWh'!$A$2:$A$146,0),MATCH(BH$3,'Eurostat EB TJ GWh'!$A$2:$BV$2,0))</f>
        <v>0</v>
      </c>
      <c r="BI118" s="57">
        <f>INDEX('Eurostat EB TJ GWh'!$A$2:$BV$146,MATCH($A118,'Eurostat EB TJ GWh'!$A$2:$A$146,0),MATCH(BI$3,'Eurostat EB TJ GWh'!$A$2:$BV$2,0))</f>
        <v>0</v>
      </c>
      <c r="BJ118" s="65">
        <v>0</v>
      </c>
      <c r="BK118" s="57">
        <f>INDEX('Eurostat EB TJ GWh'!$A$2:$BV$146,MATCH($A118,'Eurostat EB TJ GWh'!$A$2:$A$146,0),MATCH(BK$3,'Eurostat EB TJ GWh'!$A$2:$BV$2,0))</f>
        <v>0</v>
      </c>
      <c r="BL118" s="57">
        <f>INDEX('Eurostat EB TJ GWh'!$A$2:$BV$146,MATCH($A118,'Eurostat EB TJ GWh'!$A$2:$A$146,0),MATCH(BL$3,'Eurostat EB TJ GWh'!$A$2:$BV$2,0))</f>
        <v>0</v>
      </c>
      <c r="BM118" s="57">
        <f>INDEX('Eurostat EB TJ GWh'!$A$2:$BV$146,MATCH($A118,'Eurostat EB TJ GWh'!$A$2:$A$146,0),MATCH(BM$3,'Eurostat EB TJ GWh'!$A$2:$BV$2,0))</f>
        <v>224.102</v>
      </c>
      <c r="BN118" s="57">
        <f>INDEX('Eurostat EB TJ GWh'!$A$2:$BV$146,MATCH($A118,'Eurostat EB TJ GWh'!$A$2:$A$146,0),MATCH(BN$3,'Eurostat EB TJ GWh'!$A$2:$BV$2,0))</f>
        <v>2.2949999999999999</v>
      </c>
    </row>
    <row r="119" spans="1:66" x14ac:dyDescent="0.2">
      <c r="A119" s="56" t="s">
        <v>308</v>
      </c>
      <c r="B119" s="65" t="s">
        <v>323</v>
      </c>
      <c r="C119" s="65" t="s">
        <v>323</v>
      </c>
      <c r="D119" s="17">
        <f>INDEX('Eurostat EB TJ GWh'!$A$2:$BV$146,MATCH($A119,'Eurostat EB TJ GWh'!$A$2:$A$146,0),MATCH(D$3,'Eurostat EB TJ GWh'!$A$2:$BV$2,0))</f>
        <v>2.4910000000000001</v>
      </c>
      <c r="E119" s="17">
        <f>INDEX('Eurostat EB TJ GWh'!$A$2:$BV$146,MATCH($A119,'Eurostat EB TJ GWh'!$A$2:$A$146,0),MATCH(E$3,'Eurostat EB TJ GWh'!$A$2:$BV$2,0))</f>
        <v>0</v>
      </c>
      <c r="F119" s="17">
        <f>INDEX('Eurostat EB TJ GWh'!$A$2:$BV$146,MATCH($A119,'Eurostat EB TJ GWh'!$A$2:$A$146,0),MATCH(F$3,'Eurostat EB TJ GWh'!$A$2:$BV$2,0))</f>
        <v>0</v>
      </c>
      <c r="G119" s="17">
        <f>INDEX('Eurostat EB TJ GWh'!$A$2:$BV$146,MATCH($A119,'Eurostat EB TJ GWh'!$A$2:$A$146,0),MATCH(G$3,'Eurostat EB TJ GWh'!$A$2:$BV$2,0))</f>
        <v>0</v>
      </c>
      <c r="H119" s="17">
        <f>INDEX('Eurostat EB TJ GWh'!$A$2:$BV$146,MATCH($A119,'Eurostat EB TJ GWh'!$A$2:$A$146,0),MATCH(H$3,'Eurostat EB TJ GWh'!$A$2:$BV$2,0))</f>
        <v>312.82</v>
      </c>
      <c r="I119" s="17">
        <f>INDEX('Eurostat EB TJ GWh'!$A$2:$BV$146,MATCH($A119,'Eurostat EB TJ GWh'!$A$2:$A$146,0),MATCH(I$3,'Eurostat EB TJ GWh'!$A$2:$BV$2,0))</f>
        <v>0</v>
      </c>
      <c r="J119" s="17">
        <f>INDEX('Eurostat EB TJ GWh'!$A$2:$BV$146,MATCH($A119,'Eurostat EB TJ GWh'!$A$2:$A$146,0),MATCH(J$3,'Eurostat EB TJ GWh'!$A$2:$BV$2,0))</f>
        <v>0</v>
      </c>
      <c r="K119" s="17">
        <f>INDEX('Eurostat EB TJ GWh'!$A$2:$BV$146,MATCH($A119,'Eurostat EB TJ GWh'!$A$2:$A$146,0),MATCH(K$3,'Eurostat EB TJ GWh'!$A$2:$BV$2,0))</f>
        <v>0</v>
      </c>
      <c r="L119" s="17">
        <f>INDEX('Eurostat EB TJ GWh'!$A$2:$BV$146,MATCH($A119,'Eurostat EB TJ GWh'!$A$2:$A$146,0),MATCH(L$3,'Eurostat EB TJ GWh'!$A$2:$BV$2,0))</f>
        <v>0</v>
      </c>
      <c r="M119" s="17">
        <f>INDEX('Eurostat EB TJ GWh'!$A$2:$BV$146,MATCH($A119,'Eurostat EB TJ GWh'!$A$2:$A$146,0),MATCH(M$3,'Eurostat EB TJ GWh'!$A$2:$BV$2,0))</f>
        <v>0</v>
      </c>
      <c r="N119" s="17">
        <f>INDEX('Eurostat EB TJ GWh'!$A$2:$BV$146,MATCH($A119,'Eurostat EB TJ GWh'!$A$2:$A$146,0),MATCH(N$3,'Eurostat EB TJ GWh'!$A$2:$BV$2,0))</f>
        <v>0</v>
      </c>
      <c r="O119" s="17">
        <f>INDEX('Eurostat EB TJ GWh'!$A$2:$BV$146,MATCH($A119,'Eurostat EB TJ GWh'!$A$2:$A$146,0),MATCH(O$3,'Eurostat EB TJ GWh'!$A$2:$BV$2,0))</f>
        <v>0</v>
      </c>
      <c r="P119" s="17">
        <f>INDEX('Eurostat EB TJ GWh'!$A$2:$BV$146,MATCH($A119,'Eurostat EB TJ GWh'!$A$2:$A$146,0),MATCH(P$3,'Eurostat EB TJ GWh'!$A$2:$BV$2,0))</f>
        <v>0</v>
      </c>
      <c r="Q119" s="17">
        <f>INDEX('Eurostat EB TJ GWh'!$A$2:$BV$146,MATCH($A119,'Eurostat EB TJ GWh'!$A$2:$A$146,0),MATCH(Q$3,'Eurostat EB TJ GWh'!$A$2:$BV$2,0))</f>
        <v>0</v>
      </c>
      <c r="R119" s="17">
        <f>INDEX('Eurostat EB TJ GWh'!$A$2:$BV$146,MATCH($A119,'Eurostat EB TJ GWh'!$A$2:$A$146,0),MATCH(R$2,'Eurostat EB TJ GWh'!$A$2:$BV$2,0))+INDEX('Eurostat EB TJ GWh'!$A$2:$BV$146,MATCH($A119,'Eurostat EB TJ GWh'!$A$2:$A$146,0),MATCH(R$3,'Eurostat EB TJ GWh'!$A$2:$BV$2,0))</f>
        <v>0</v>
      </c>
      <c r="S119" s="17">
        <f>INDEX('Eurostat EB TJ GWh'!$A$2:$BV$146,MATCH($A119,'Eurostat EB TJ GWh'!$A$2:$A$146,0),MATCH(S$3,'Eurostat EB TJ GWh'!$A$2:$BV$2,0))</f>
        <v>354512.56099999999</v>
      </c>
      <c r="T119" s="65" t="s">
        <v>323</v>
      </c>
      <c r="U119" s="17">
        <f>INDEX('Eurostat EB TJ GWh'!$A$2:$BV$146,MATCH($A119,'Eurostat EB TJ GWh'!$A$2:$A$146,0),MATCH(U$3,'Eurostat EB TJ GWh'!$A$2:$BV$2,0))</f>
        <v>0</v>
      </c>
      <c r="V119" s="17">
        <f>INDEX('Eurostat EB TJ GWh'!$A$2:$BV$146,MATCH($A119,'Eurostat EB TJ GWh'!$A$2:$A$146,0),MATCH(V$3,'Eurostat EB TJ GWh'!$A$2:$BV$2,0))</f>
        <v>0</v>
      </c>
      <c r="W119" s="17">
        <f>INDEX('Eurostat EB TJ GWh'!$A$2:$BV$146,MATCH($A119,'Eurostat EB TJ GWh'!$A$2:$A$146,0),MATCH(W$3,'Eurostat EB TJ GWh'!$A$2:$BV$2,0))</f>
        <v>0</v>
      </c>
      <c r="X119" s="17">
        <f>INDEX('Eurostat EB TJ GWh'!$A$2:$BV$146,MATCH($A119,'Eurostat EB TJ GWh'!$A$2:$A$146,0),MATCH(X$3,'Eurostat EB TJ GWh'!$A$2:$BV$2,0))</f>
        <v>0</v>
      </c>
      <c r="Y119" s="17">
        <f>INDEX('Eurostat EB TJ GWh'!$A$2:$BV$146,MATCH($A119,'Eurostat EB TJ GWh'!$A$2:$A$146,0),MATCH(Y$3,'Eurostat EB TJ GWh'!$A$2:$BV$2,0))</f>
        <v>0</v>
      </c>
      <c r="Z119" s="17">
        <f>INDEX('Eurostat EB TJ GWh'!$A$2:$BV$146,MATCH($A119,'Eurostat EB TJ GWh'!$A$2:$A$146,0),MATCH(Z$3,'Eurostat EB TJ GWh'!$A$2:$BV$2,0))</f>
        <v>0</v>
      </c>
      <c r="AA119" s="17">
        <f>INDEX('Eurostat EB TJ GWh'!$A$2:$BV$146,MATCH($A119,'Eurostat EB TJ GWh'!$A$2:$A$146,0),MATCH(AA$3,'Eurostat EB TJ GWh'!$A$2:$BV$2,0))</f>
        <v>0</v>
      </c>
      <c r="AB119" s="17">
        <f>INDEX('Eurostat EB TJ GWh'!$A$2:$BV$146,MATCH($A119,'Eurostat EB TJ GWh'!$A$2:$A$146,0),MATCH(AB$3,'Eurostat EB TJ GWh'!$A$2:$BV$2,0))</f>
        <v>3811.806</v>
      </c>
      <c r="AC119" s="17">
        <f>INDEX('Eurostat EB TJ GWh'!$A$2:$BV$146,MATCH($A119,'Eurostat EB TJ GWh'!$A$2:$A$146,0),MATCH(AC$3,'Eurostat EB TJ GWh'!$A$2:$BV$2,0))</f>
        <v>1725.712</v>
      </c>
      <c r="AD119" s="17">
        <f>INDEX('Eurostat EB TJ GWh'!$A$2:$BV$146,MATCH($A119,'Eurostat EB TJ GWh'!$A$2:$A$146,0),MATCH(AD$3,'Eurostat EB TJ GWh'!$A$2:$BV$2,0))</f>
        <v>0</v>
      </c>
      <c r="AE119" s="17">
        <f>INDEX('Eurostat EB TJ GWh'!$A$2:$BV$146,MATCH($A119,'Eurostat EB TJ GWh'!$A$2:$A$146,0),MATCH(AE$3,'Eurostat EB TJ GWh'!$A$2:$BV$2,0))</f>
        <v>0</v>
      </c>
      <c r="AF119" s="17">
        <f>INDEX('Eurostat EB TJ GWh'!$A$2:$BV$146,MATCH($A119,'Eurostat EB TJ GWh'!$A$2:$A$146,0),MATCH(AF$3,'Eurostat EB TJ GWh'!$A$2:$BV$2,0))</f>
        <v>1588.748</v>
      </c>
      <c r="AG119" s="17">
        <f>INDEX('Eurostat EB TJ GWh'!$A$2:$BV$146,MATCH($A119,'Eurostat EB TJ GWh'!$A$2:$A$146,0),MATCH(AG$3,'Eurostat EB TJ GWh'!$A$2:$BV$2,0))</f>
        <v>216.02099999999999</v>
      </c>
      <c r="AH119" s="17">
        <f>INDEX('Eurostat EB TJ GWh'!$A$2:$BV$146,MATCH($A119,'Eurostat EB TJ GWh'!$A$2:$A$146,0),MATCH(AH$3,'Eurostat EB TJ GWh'!$A$2:$BV$2,0))</f>
        <v>30417.817999999999</v>
      </c>
      <c r="AI119" s="17">
        <f>INDEX('Eurostat EB TJ GWh'!$A$2:$BV$146,MATCH($A119,'Eurostat EB TJ GWh'!$A$2:$A$146,0),MATCH(AI$3,'Eurostat EB TJ GWh'!$A$2:$BV$2,0))</f>
        <v>0</v>
      </c>
      <c r="AJ119" s="17">
        <f>INDEX('Eurostat EB TJ GWh'!$A$2:$BV$146,MATCH($A119,'Eurostat EB TJ GWh'!$A$2:$A$146,0),MATCH(AJ$3,'Eurostat EB TJ GWh'!$A$2:$BV$2,0))</f>
        <v>0</v>
      </c>
      <c r="AK119" s="17">
        <f>INDEX('Eurostat EB TJ GWh'!$A$2:$BV$146,MATCH($A119,'Eurostat EB TJ GWh'!$A$2:$A$146,0),MATCH(AK$3,'Eurostat EB TJ GWh'!$A$2:$BV$2,0))</f>
        <v>0</v>
      </c>
      <c r="AL119" s="17">
        <f>INDEX('Eurostat EB TJ GWh'!$A$2:$BV$146,MATCH($A119,'Eurostat EB TJ GWh'!$A$2:$A$146,0),MATCH(AL$3,'Eurostat EB TJ GWh'!$A$2:$BV$2,0))</f>
        <v>0</v>
      </c>
      <c r="AM119" s="17">
        <f>INDEX('Eurostat EB TJ GWh'!$A$2:$BV$146,MATCH($A119,'Eurostat EB TJ GWh'!$A$2:$A$146,0),MATCH(AM$3,'Eurostat EB TJ GWh'!$A$2:$BV$2,0))</f>
        <v>0</v>
      </c>
      <c r="AN119" s="17">
        <f>INDEX('Eurostat EB TJ GWh'!$A$2:$BV$146,MATCH($A119,'Eurostat EB TJ GWh'!$A$2:$A$146,0),MATCH(AN$3,'Eurostat EB TJ GWh'!$A$2:$BV$2,0))</f>
        <v>0</v>
      </c>
      <c r="AO119" s="17">
        <f>INDEX('Eurostat EB TJ GWh'!$A$2:$BV$146,MATCH($A119,'Eurostat EB TJ GWh'!$A$2:$A$146,0),MATCH(AO$3,'Eurostat EB TJ GWh'!$A$2:$BV$2,0))</f>
        <v>0</v>
      </c>
      <c r="AP119" s="17">
        <f>INDEX('Eurostat EB TJ GWh'!$A$2:$BV$146,MATCH($A119,'Eurostat EB TJ GWh'!$A$2:$A$146,0),MATCH(AP$3,'Eurostat EB TJ GWh'!$A$2:$BV$2,0))</f>
        <v>0</v>
      </c>
      <c r="AQ119" s="17">
        <f>INDEX('Eurostat EB TJ GWh'!$A$2:$BV$146,MATCH($A119,'Eurostat EB TJ GWh'!$A$2:$A$146,0),MATCH(AQ$3,'Eurostat EB TJ GWh'!$A$2:$BV$2,0))</f>
        <v>38.927</v>
      </c>
      <c r="AR119" s="17">
        <f>INDEX('Eurostat EB TJ GWh'!$A$2:$BV$146,MATCH($A119,'Eurostat EB TJ GWh'!$A$2:$A$146,0),MATCH(AR$3,'Eurostat EB TJ GWh'!$A$2:$BV$2,0))</f>
        <v>1510.0820000000001</v>
      </c>
      <c r="AS119" s="17">
        <f>INDEX('Eurostat EB TJ GWh'!$A$2:$BV$146,MATCH($A119,'Eurostat EB TJ GWh'!$A$2:$A$146,0),MATCH(AS$3,'Eurostat EB TJ GWh'!$A$2:$BV$2,0))</f>
        <v>1339.13</v>
      </c>
      <c r="AT119" s="17">
        <f>INDEX('Eurostat EB TJ GWh'!$A$2:$BV$146,MATCH($A119,'Eurostat EB TJ GWh'!$A$2:$A$146,0),MATCH(AT$3,'Eurostat EB TJ GWh'!$A$2:$BV$2,0))</f>
        <v>22561.508000000002</v>
      </c>
      <c r="AU119" s="17">
        <f>INDEX('Eurostat EB TJ GWh'!$A$2:$BV$146,MATCH($A119,'Eurostat EB TJ GWh'!$A$2:$A$146,0),MATCH(AU$3,'Eurostat EB TJ GWh'!$A$2:$BV$2,0))</f>
        <v>2797.6080000000002</v>
      </c>
      <c r="AV119" s="17">
        <f>INDEX('Eurostat EB TJ GWh'!$A$2:$BV$146,MATCH($A119,'Eurostat EB TJ GWh'!$A$2:$A$146,0),MATCH(AV$2,'Eurostat EB TJ GWh'!$A$2:$BV$2,0))+INDEX('Eurostat EB TJ GWh'!$A$2:$BV$146,MATCH($A119,'Eurostat EB TJ GWh'!$A$2:$A$146,0),MATCH(AV$3,'Eurostat EB TJ GWh'!$A$2:$BV$2,0))</f>
        <v>0</v>
      </c>
      <c r="AW119" s="17">
        <f>INDEX('Eurostat EB TJ GWh'!$A$2:$BV$146,MATCH($A119,'Eurostat EB TJ GWh'!$A$2:$A$146,0),MATCH(AW$2,'Eurostat EB TJ GWh'!$A$2:$BV$2,0))+INDEX('Eurostat EB TJ GWh'!$A$2:$BV$146,MATCH($A119,'Eurostat EB TJ GWh'!$A$2:$A$146,0),MATCH(AW$3,'Eurostat EB TJ GWh'!$A$2:$BV$2,0))</f>
        <v>1218.2550000000001</v>
      </c>
      <c r="AX119" s="17">
        <f>INDEX('Eurostat EB TJ GWh'!$A$2:$BV$146,MATCH($A119,'Eurostat EB TJ GWh'!$A$2:$A$146,0),MATCH(AX$3,'Eurostat EB TJ GWh'!$A$2:$BV$2,0))</f>
        <v>257.61599999999999</v>
      </c>
      <c r="AY119" s="65">
        <v>0</v>
      </c>
      <c r="AZ119" s="17">
        <f>INDEX('Eurostat EB TJ GWh'!$A$2:$BV$146,MATCH($A119,'Eurostat EB TJ GWh'!$A$2:$A$146,0),MATCH(AZ$3,'Eurostat EB TJ GWh'!$A$2:$BV$2,0))</f>
        <v>270</v>
      </c>
      <c r="BA119" s="65">
        <v>0</v>
      </c>
      <c r="BB119" s="65">
        <v>0</v>
      </c>
      <c r="BC119" s="17">
        <f>INDEX('Eurostat EB TJ GWh'!$A$2:$BV$146,MATCH($A119,'Eurostat EB TJ GWh'!$A$2:$A$146,0),MATCH(BC$3,'Eurostat EB TJ GWh'!$A$2:$BV$2,0))</f>
        <v>0</v>
      </c>
      <c r="BD119" s="17">
        <f>INDEX('Eurostat EB TJ GWh'!$A$2:$BV$146,MATCH($A119,'Eurostat EB TJ GWh'!$A$2:$A$146,0),MATCH(BD$3,'Eurostat EB TJ GWh'!$A$2:$BV$2,0))</f>
        <v>0</v>
      </c>
      <c r="BE119" s="17">
        <f>INDEX('Eurostat EB TJ GWh'!$A$2:$BV$146,MATCH($A119,'Eurostat EB TJ GWh'!$A$2:$A$146,0),MATCH(BE$3,'Eurostat EB TJ GWh'!$A$2:$BV$2,0))</f>
        <v>6797.51</v>
      </c>
      <c r="BF119" s="17">
        <f>INDEX('Eurostat EB TJ GWh'!$A$2:$BV$146,MATCH($A119,'Eurostat EB TJ GWh'!$A$2:$A$146,0),MATCH(BF$3,'Eurostat EB TJ GWh'!$A$2:$BV$2,0))</f>
        <v>0</v>
      </c>
      <c r="BG119" s="17">
        <f>INDEX('Eurostat EB TJ GWh'!$A$2:$BV$146,MATCH($A119,'Eurostat EB TJ GWh'!$A$2:$A$146,0),MATCH(BG$3,'Eurostat EB TJ GWh'!$A$2:$BV$2,0))</f>
        <v>1176</v>
      </c>
      <c r="BH119" s="17">
        <f>INDEX('Eurostat EB TJ GWh'!$A$2:$BV$146,MATCH($A119,'Eurostat EB TJ GWh'!$A$2:$A$146,0),MATCH(BH$3,'Eurostat EB TJ GWh'!$A$2:$BV$2,0))</f>
        <v>0</v>
      </c>
      <c r="BI119" s="17">
        <f>INDEX('Eurostat EB TJ GWh'!$A$2:$BV$146,MATCH($A119,'Eurostat EB TJ GWh'!$A$2:$A$146,0),MATCH(BI$3,'Eurostat EB TJ GWh'!$A$2:$BV$2,0))</f>
        <v>0</v>
      </c>
      <c r="BJ119" s="65">
        <v>0</v>
      </c>
      <c r="BK119" s="17">
        <f>INDEX('Eurostat EB TJ GWh'!$A$2:$BV$146,MATCH($A119,'Eurostat EB TJ GWh'!$A$2:$A$146,0),MATCH(BK$3,'Eurostat EB TJ GWh'!$A$2:$BV$2,0))</f>
        <v>237106.217</v>
      </c>
      <c r="BL119" s="17">
        <f>INDEX('Eurostat EB TJ GWh'!$A$2:$BV$146,MATCH($A119,'Eurostat EB TJ GWh'!$A$2:$A$146,0),MATCH(BL$3,'Eurostat EB TJ GWh'!$A$2:$BV$2,0))</f>
        <v>20834.442999999999</v>
      </c>
      <c r="BM119" s="17">
        <f>INDEX('Eurostat EB TJ GWh'!$A$2:$BV$146,MATCH($A119,'Eurostat EB TJ GWh'!$A$2:$A$146,0),MATCH(BM$3,'Eurostat EB TJ GWh'!$A$2:$BV$2,0))</f>
        <v>714019.88399999996</v>
      </c>
      <c r="BN119" s="17">
        <f>INDEX('Eurostat EB TJ GWh'!$A$2:$BV$146,MATCH($A119,'Eurostat EB TJ GWh'!$A$2:$A$146,0),MATCH(BN$3,'Eurostat EB TJ GWh'!$A$2:$BV$2,0))</f>
        <v>52604.993999999999</v>
      </c>
    </row>
    <row r="120" spans="1:66" x14ac:dyDescent="0.2">
      <c r="A120" s="56" t="s">
        <v>309</v>
      </c>
      <c r="B120" s="65" t="s">
        <v>323</v>
      </c>
      <c r="C120" s="65" t="s">
        <v>323</v>
      </c>
      <c r="D120" s="57">
        <f>INDEX('Eurostat EB TJ GWh'!$A$2:$BV$146,MATCH($A120,'Eurostat EB TJ GWh'!$A$2:$A$146,0),MATCH(D$3,'Eurostat EB TJ GWh'!$A$2:$BV$2,0))</f>
        <v>0</v>
      </c>
      <c r="E120" s="57">
        <f>INDEX('Eurostat EB TJ GWh'!$A$2:$BV$146,MATCH($A120,'Eurostat EB TJ GWh'!$A$2:$A$146,0),MATCH(E$3,'Eurostat EB TJ GWh'!$A$2:$BV$2,0))</f>
        <v>0</v>
      </c>
      <c r="F120" s="57">
        <f>INDEX('Eurostat EB TJ GWh'!$A$2:$BV$146,MATCH($A120,'Eurostat EB TJ GWh'!$A$2:$A$146,0),MATCH(F$3,'Eurostat EB TJ GWh'!$A$2:$BV$2,0))</f>
        <v>0</v>
      </c>
      <c r="G120" s="57">
        <f>INDEX('Eurostat EB TJ GWh'!$A$2:$BV$146,MATCH($A120,'Eurostat EB TJ GWh'!$A$2:$A$146,0),MATCH(G$3,'Eurostat EB TJ GWh'!$A$2:$BV$2,0))</f>
        <v>0</v>
      </c>
      <c r="H120" s="57">
        <f>INDEX('Eurostat EB TJ GWh'!$A$2:$BV$146,MATCH($A120,'Eurostat EB TJ GWh'!$A$2:$A$146,0),MATCH(H$3,'Eurostat EB TJ GWh'!$A$2:$BV$2,0))</f>
        <v>312.82</v>
      </c>
      <c r="I120" s="57">
        <f>INDEX('Eurostat EB TJ GWh'!$A$2:$BV$146,MATCH($A120,'Eurostat EB TJ GWh'!$A$2:$A$146,0),MATCH(I$3,'Eurostat EB TJ GWh'!$A$2:$BV$2,0))</f>
        <v>0</v>
      </c>
      <c r="J120" s="57">
        <f>INDEX('Eurostat EB TJ GWh'!$A$2:$BV$146,MATCH($A120,'Eurostat EB TJ GWh'!$A$2:$A$146,0),MATCH(J$3,'Eurostat EB TJ GWh'!$A$2:$BV$2,0))</f>
        <v>0</v>
      </c>
      <c r="K120" s="57">
        <f>INDEX('Eurostat EB TJ GWh'!$A$2:$BV$146,MATCH($A120,'Eurostat EB TJ GWh'!$A$2:$A$146,0),MATCH(K$3,'Eurostat EB TJ GWh'!$A$2:$BV$2,0))</f>
        <v>0</v>
      </c>
      <c r="L120" s="57">
        <f>INDEX('Eurostat EB TJ GWh'!$A$2:$BV$146,MATCH($A120,'Eurostat EB TJ GWh'!$A$2:$A$146,0),MATCH(L$3,'Eurostat EB TJ GWh'!$A$2:$BV$2,0))</f>
        <v>0</v>
      </c>
      <c r="M120" s="57">
        <f>INDEX('Eurostat EB TJ GWh'!$A$2:$BV$146,MATCH($A120,'Eurostat EB TJ GWh'!$A$2:$A$146,0),MATCH(M$3,'Eurostat EB TJ GWh'!$A$2:$BV$2,0))</f>
        <v>0</v>
      </c>
      <c r="N120" s="57">
        <f>INDEX('Eurostat EB TJ GWh'!$A$2:$BV$146,MATCH($A120,'Eurostat EB TJ GWh'!$A$2:$A$146,0),MATCH(N$3,'Eurostat EB TJ GWh'!$A$2:$BV$2,0))</f>
        <v>0</v>
      </c>
      <c r="O120" s="57">
        <f>INDEX('Eurostat EB TJ GWh'!$A$2:$BV$146,MATCH($A120,'Eurostat EB TJ GWh'!$A$2:$A$146,0),MATCH(O$3,'Eurostat EB TJ GWh'!$A$2:$BV$2,0))</f>
        <v>0</v>
      </c>
      <c r="P120" s="57">
        <f>INDEX('Eurostat EB TJ GWh'!$A$2:$BV$146,MATCH($A120,'Eurostat EB TJ GWh'!$A$2:$A$146,0),MATCH(P$3,'Eurostat EB TJ GWh'!$A$2:$BV$2,0))</f>
        <v>0</v>
      </c>
      <c r="Q120" s="57">
        <f>INDEX('Eurostat EB TJ GWh'!$A$2:$BV$146,MATCH($A120,'Eurostat EB TJ GWh'!$A$2:$A$146,0),MATCH(Q$3,'Eurostat EB TJ GWh'!$A$2:$BV$2,0))</f>
        <v>0</v>
      </c>
      <c r="R120" s="57">
        <f>INDEX('Eurostat EB TJ GWh'!$A$2:$BV$146,MATCH($A120,'Eurostat EB TJ GWh'!$A$2:$A$146,0),MATCH(R$2,'Eurostat EB TJ GWh'!$A$2:$BV$2,0))+INDEX('Eurostat EB TJ GWh'!$A$2:$BV$146,MATCH($A120,'Eurostat EB TJ GWh'!$A$2:$A$146,0),MATCH(R$3,'Eurostat EB TJ GWh'!$A$2:$BV$2,0))</f>
        <v>0</v>
      </c>
      <c r="S120" s="57">
        <f>INDEX('Eurostat EB TJ GWh'!$A$2:$BV$146,MATCH($A120,'Eurostat EB TJ GWh'!$A$2:$A$146,0),MATCH(S$3,'Eurostat EB TJ GWh'!$A$2:$BV$2,0))</f>
        <v>88881.618000000002</v>
      </c>
      <c r="T120" s="65" t="s">
        <v>323</v>
      </c>
      <c r="U120" s="57">
        <f>INDEX('Eurostat EB TJ GWh'!$A$2:$BV$146,MATCH($A120,'Eurostat EB TJ GWh'!$A$2:$A$146,0),MATCH(U$3,'Eurostat EB TJ GWh'!$A$2:$BV$2,0))</f>
        <v>0</v>
      </c>
      <c r="V120" s="57">
        <f>INDEX('Eurostat EB TJ GWh'!$A$2:$BV$146,MATCH($A120,'Eurostat EB TJ GWh'!$A$2:$A$146,0),MATCH(V$3,'Eurostat EB TJ GWh'!$A$2:$BV$2,0))</f>
        <v>0</v>
      </c>
      <c r="W120" s="57">
        <f>INDEX('Eurostat EB TJ GWh'!$A$2:$BV$146,MATCH($A120,'Eurostat EB TJ GWh'!$A$2:$A$146,0),MATCH(W$3,'Eurostat EB TJ GWh'!$A$2:$BV$2,0))</f>
        <v>0</v>
      </c>
      <c r="X120" s="57">
        <f>INDEX('Eurostat EB TJ GWh'!$A$2:$BV$146,MATCH($A120,'Eurostat EB TJ GWh'!$A$2:$A$146,0),MATCH(X$3,'Eurostat EB TJ GWh'!$A$2:$BV$2,0))</f>
        <v>0</v>
      </c>
      <c r="Y120" s="57">
        <f>INDEX('Eurostat EB TJ GWh'!$A$2:$BV$146,MATCH($A120,'Eurostat EB TJ GWh'!$A$2:$A$146,0),MATCH(Y$3,'Eurostat EB TJ GWh'!$A$2:$BV$2,0))</f>
        <v>0</v>
      </c>
      <c r="Z120" s="57">
        <f>INDEX('Eurostat EB TJ GWh'!$A$2:$BV$146,MATCH($A120,'Eurostat EB TJ GWh'!$A$2:$A$146,0),MATCH(Z$3,'Eurostat EB TJ GWh'!$A$2:$BV$2,0))</f>
        <v>0</v>
      </c>
      <c r="AA120" s="57">
        <f>INDEX('Eurostat EB TJ GWh'!$A$2:$BV$146,MATCH($A120,'Eurostat EB TJ GWh'!$A$2:$A$146,0),MATCH(AA$3,'Eurostat EB TJ GWh'!$A$2:$BV$2,0))</f>
        <v>0</v>
      </c>
      <c r="AB120" s="57">
        <f>INDEX('Eurostat EB TJ GWh'!$A$2:$BV$146,MATCH($A120,'Eurostat EB TJ GWh'!$A$2:$A$146,0),MATCH(AB$3,'Eurostat EB TJ GWh'!$A$2:$BV$2,0))</f>
        <v>1640.029</v>
      </c>
      <c r="AC120" s="57">
        <f>INDEX('Eurostat EB TJ GWh'!$A$2:$BV$146,MATCH($A120,'Eurostat EB TJ GWh'!$A$2:$A$146,0),MATCH(AC$3,'Eurostat EB TJ GWh'!$A$2:$BV$2,0))</f>
        <v>414.26600000000002</v>
      </c>
      <c r="AD120" s="57">
        <f>INDEX('Eurostat EB TJ GWh'!$A$2:$BV$146,MATCH($A120,'Eurostat EB TJ GWh'!$A$2:$A$146,0),MATCH(AD$3,'Eurostat EB TJ GWh'!$A$2:$BV$2,0))</f>
        <v>0</v>
      </c>
      <c r="AE120" s="57">
        <f>INDEX('Eurostat EB TJ GWh'!$A$2:$BV$146,MATCH($A120,'Eurostat EB TJ GWh'!$A$2:$A$146,0),MATCH(AE$3,'Eurostat EB TJ GWh'!$A$2:$BV$2,0))</f>
        <v>0</v>
      </c>
      <c r="AF120" s="57">
        <f>INDEX('Eurostat EB TJ GWh'!$A$2:$BV$146,MATCH($A120,'Eurostat EB TJ GWh'!$A$2:$A$146,0),MATCH(AF$3,'Eurostat EB TJ GWh'!$A$2:$BV$2,0))</f>
        <v>0</v>
      </c>
      <c r="AG120" s="57">
        <f>INDEX('Eurostat EB TJ GWh'!$A$2:$BV$146,MATCH($A120,'Eurostat EB TJ GWh'!$A$2:$A$146,0),MATCH(AG$3,'Eurostat EB TJ GWh'!$A$2:$BV$2,0))</f>
        <v>0</v>
      </c>
      <c r="AH120" s="57">
        <f>INDEX('Eurostat EB TJ GWh'!$A$2:$BV$146,MATCH($A120,'Eurostat EB TJ GWh'!$A$2:$A$146,0),MATCH(AH$3,'Eurostat EB TJ GWh'!$A$2:$BV$2,0))</f>
        <v>6074.15</v>
      </c>
      <c r="AI120" s="57">
        <f>INDEX('Eurostat EB TJ GWh'!$A$2:$BV$146,MATCH($A120,'Eurostat EB TJ GWh'!$A$2:$A$146,0),MATCH(AI$3,'Eurostat EB TJ GWh'!$A$2:$BV$2,0))</f>
        <v>0</v>
      </c>
      <c r="AJ120" s="57">
        <f>INDEX('Eurostat EB TJ GWh'!$A$2:$BV$146,MATCH($A120,'Eurostat EB TJ GWh'!$A$2:$A$146,0),MATCH(AJ$3,'Eurostat EB TJ GWh'!$A$2:$BV$2,0))</f>
        <v>0</v>
      </c>
      <c r="AK120" s="57">
        <f>INDEX('Eurostat EB TJ GWh'!$A$2:$BV$146,MATCH($A120,'Eurostat EB TJ GWh'!$A$2:$A$146,0),MATCH(AK$3,'Eurostat EB TJ GWh'!$A$2:$BV$2,0))</f>
        <v>0</v>
      </c>
      <c r="AL120" s="57">
        <f>INDEX('Eurostat EB TJ GWh'!$A$2:$BV$146,MATCH($A120,'Eurostat EB TJ GWh'!$A$2:$A$146,0),MATCH(AL$3,'Eurostat EB TJ GWh'!$A$2:$BV$2,0))</f>
        <v>0</v>
      </c>
      <c r="AM120" s="57">
        <f>INDEX('Eurostat EB TJ GWh'!$A$2:$BV$146,MATCH($A120,'Eurostat EB TJ GWh'!$A$2:$A$146,0),MATCH(AM$3,'Eurostat EB TJ GWh'!$A$2:$BV$2,0))</f>
        <v>0</v>
      </c>
      <c r="AN120" s="57">
        <f>INDEX('Eurostat EB TJ GWh'!$A$2:$BV$146,MATCH($A120,'Eurostat EB TJ GWh'!$A$2:$A$146,0),MATCH(AN$3,'Eurostat EB TJ GWh'!$A$2:$BV$2,0))</f>
        <v>0</v>
      </c>
      <c r="AO120" s="57">
        <f>INDEX('Eurostat EB TJ GWh'!$A$2:$BV$146,MATCH($A120,'Eurostat EB TJ GWh'!$A$2:$A$146,0),MATCH(AO$3,'Eurostat EB TJ GWh'!$A$2:$BV$2,0))</f>
        <v>0</v>
      </c>
      <c r="AP120" s="57">
        <f>INDEX('Eurostat EB TJ GWh'!$A$2:$BV$146,MATCH($A120,'Eurostat EB TJ GWh'!$A$2:$A$146,0),MATCH(AP$3,'Eurostat EB TJ GWh'!$A$2:$BV$2,0))</f>
        <v>0</v>
      </c>
      <c r="AQ120" s="57">
        <f>INDEX('Eurostat EB TJ GWh'!$A$2:$BV$146,MATCH($A120,'Eurostat EB TJ GWh'!$A$2:$A$146,0),MATCH(AQ$3,'Eurostat EB TJ GWh'!$A$2:$BV$2,0))</f>
        <v>38.927</v>
      </c>
      <c r="AR120" s="57">
        <f>INDEX('Eurostat EB TJ GWh'!$A$2:$BV$146,MATCH($A120,'Eurostat EB TJ GWh'!$A$2:$A$146,0),MATCH(AR$3,'Eurostat EB TJ GWh'!$A$2:$BV$2,0))</f>
        <v>1510.0820000000001</v>
      </c>
      <c r="AS120" s="57">
        <f>INDEX('Eurostat EB TJ GWh'!$A$2:$BV$146,MATCH($A120,'Eurostat EB TJ GWh'!$A$2:$A$146,0),MATCH(AS$3,'Eurostat EB TJ GWh'!$A$2:$BV$2,0))</f>
        <v>1339.13</v>
      </c>
      <c r="AT120" s="57">
        <f>INDEX('Eurostat EB TJ GWh'!$A$2:$BV$146,MATCH($A120,'Eurostat EB TJ GWh'!$A$2:$A$146,0),MATCH(AT$3,'Eurostat EB TJ GWh'!$A$2:$BV$2,0))</f>
        <v>3384.3</v>
      </c>
      <c r="AU120" s="57">
        <f>INDEX('Eurostat EB TJ GWh'!$A$2:$BV$146,MATCH($A120,'Eurostat EB TJ GWh'!$A$2:$A$146,0),MATCH(AU$3,'Eurostat EB TJ GWh'!$A$2:$BV$2,0))</f>
        <v>1304.9739999999999</v>
      </c>
      <c r="AV120" s="57">
        <f>INDEX('Eurostat EB TJ GWh'!$A$2:$BV$146,MATCH($A120,'Eurostat EB TJ GWh'!$A$2:$A$146,0),MATCH(AV$2,'Eurostat EB TJ GWh'!$A$2:$BV$2,0))+INDEX('Eurostat EB TJ GWh'!$A$2:$BV$146,MATCH($A120,'Eurostat EB TJ GWh'!$A$2:$A$146,0),MATCH(AV$3,'Eurostat EB TJ GWh'!$A$2:$BV$2,0))</f>
        <v>0</v>
      </c>
      <c r="AW120" s="57">
        <f>INDEX('Eurostat EB TJ GWh'!$A$2:$BV$146,MATCH($A120,'Eurostat EB TJ GWh'!$A$2:$A$146,0),MATCH(AW$2,'Eurostat EB TJ GWh'!$A$2:$BV$2,0))+INDEX('Eurostat EB TJ GWh'!$A$2:$BV$146,MATCH($A120,'Eurostat EB TJ GWh'!$A$2:$A$146,0),MATCH(AW$3,'Eurostat EB TJ GWh'!$A$2:$BV$2,0))</f>
        <v>0</v>
      </c>
      <c r="AX120" s="57">
        <f>INDEX('Eurostat EB TJ GWh'!$A$2:$BV$146,MATCH($A120,'Eurostat EB TJ GWh'!$A$2:$A$146,0),MATCH(AX$3,'Eurostat EB TJ GWh'!$A$2:$BV$2,0))</f>
        <v>257.61599999999999</v>
      </c>
      <c r="AY120" s="72">
        <v>0</v>
      </c>
      <c r="AZ120" s="57">
        <f>INDEX('Eurostat EB TJ GWh'!$A$2:$BV$146,MATCH($A120,'Eurostat EB TJ GWh'!$A$2:$A$146,0),MATCH(AZ$3,'Eurostat EB TJ GWh'!$A$2:$BV$2,0))</f>
        <v>0</v>
      </c>
      <c r="BA120" s="72">
        <v>0</v>
      </c>
      <c r="BB120" s="72">
        <v>0</v>
      </c>
      <c r="BC120" s="57">
        <f>INDEX('Eurostat EB TJ GWh'!$A$2:$BV$146,MATCH($A120,'Eurostat EB TJ GWh'!$A$2:$A$146,0),MATCH(BC$3,'Eurostat EB TJ GWh'!$A$2:$BV$2,0))</f>
        <v>0</v>
      </c>
      <c r="BD120" s="57">
        <f>INDEX('Eurostat EB TJ GWh'!$A$2:$BV$146,MATCH($A120,'Eurostat EB TJ GWh'!$A$2:$A$146,0),MATCH(BD$3,'Eurostat EB TJ GWh'!$A$2:$BV$2,0))</f>
        <v>0</v>
      </c>
      <c r="BE120" s="57">
        <f>INDEX('Eurostat EB TJ GWh'!$A$2:$BV$146,MATCH($A120,'Eurostat EB TJ GWh'!$A$2:$A$146,0),MATCH(BE$3,'Eurostat EB TJ GWh'!$A$2:$BV$2,0))</f>
        <v>0</v>
      </c>
      <c r="BF120" s="57">
        <f>INDEX('Eurostat EB TJ GWh'!$A$2:$BV$146,MATCH($A120,'Eurostat EB TJ GWh'!$A$2:$A$146,0),MATCH(BF$3,'Eurostat EB TJ GWh'!$A$2:$BV$2,0))</f>
        <v>0</v>
      </c>
      <c r="BG120" s="57">
        <f>INDEX('Eurostat EB TJ GWh'!$A$2:$BV$146,MATCH($A120,'Eurostat EB TJ GWh'!$A$2:$A$146,0),MATCH(BG$3,'Eurostat EB TJ GWh'!$A$2:$BV$2,0))</f>
        <v>235</v>
      </c>
      <c r="BH120" s="57">
        <f>INDEX('Eurostat EB TJ GWh'!$A$2:$BV$146,MATCH($A120,'Eurostat EB TJ GWh'!$A$2:$A$146,0),MATCH(BH$3,'Eurostat EB TJ GWh'!$A$2:$BV$2,0))</f>
        <v>0</v>
      </c>
      <c r="BI120" s="57">
        <f>INDEX('Eurostat EB TJ GWh'!$A$2:$BV$146,MATCH($A120,'Eurostat EB TJ GWh'!$A$2:$A$146,0),MATCH(BI$3,'Eurostat EB TJ GWh'!$A$2:$BV$2,0))</f>
        <v>0</v>
      </c>
      <c r="BJ120" s="72">
        <v>0</v>
      </c>
      <c r="BK120" s="57">
        <f>INDEX('Eurostat EB TJ GWh'!$A$2:$BV$146,MATCH($A120,'Eurostat EB TJ GWh'!$A$2:$A$146,0),MATCH(BK$3,'Eurostat EB TJ GWh'!$A$2:$BV$2,0))</f>
        <v>133931.92300000001</v>
      </c>
      <c r="BL120" s="57">
        <f>INDEX('Eurostat EB TJ GWh'!$A$2:$BV$146,MATCH($A120,'Eurostat EB TJ GWh'!$A$2:$A$146,0),MATCH(BL$3,'Eurostat EB TJ GWh'!$A$2:$BV$2,0))</f>
        <v>8464.2999999999993</v>
      </c>
      <c r="BM120" s="57">
        <f>INDEX('Eurostat EB TJ GWh'!$A$2:$BV$146,MATCH($A120,'Eurostat EB TJ GWh'!$A$2:$A$146,0),MATCH(BM$3,'Eurostat EB TJ GWh'!$A$2:$BV$2,0))</f>
        <v>257597.804</v>
      </c>
      <c r="BN120" s="57">
        <f>INDEX('Eurostat EB TJ GWh'!$A$2:$BV$146,MATCH($A120,'Eurostat EB TJ GWh'!$A$2:$A$146,0),MATCH(BN$3,'Eurostat EB TJ GWh'!$A$2:$BV$2,0))</f>
        <v>18141.848000000002</v>
      </c>
    </row>
    <row r="121" spans="1:66" x14ac:dyDescent="0.2">
      <c r="A121" s="56" t="s">
        <v>310</v>
      </c>
      <c r="B121" s="65" t="s">
        <v>323</v>
      </c>
      <c r="C121" s="65" t="s">
        <v>323</v>
      </c>
      <c r="D121" s="17">
        <f>INDEX('Eurostat EB TJ GWh'!$A$2:$BV$146,MATCH($A121,'Eurostat EB TJ GWh'!$A$2:$A$146,0),MATCH(D$3,'Eurostat EB TJ GWh'!$A$2:$BV$2,0))</f>
        <v>2.4910000000000001</v>
      </c>
      <c r="E121" s="17">
        <f>INDEX('Eurostat EB TJ GWh'!$A$2:$BV$146,MATCH($A121,'Eurostat EB TJ GWh'!$A$2:$A$146,0),MATCH(E$3,'Eurostat EB TJ GWh'!$A$2:$BV$2,0))</f>
        <v>0</v>
      </c>
      <c r="F121" s="17">
        <f>INDEX('Eurostat EB TJ GWh'!$A$2:$BV$146,MATCH($A121,'Eurostat EB TJ GWh'!$A$2:$A$146,0),MATCH(F$3,'Eurostat EB TJ GWh'!$A$2:$BV$2,0))</f>
        <v>0</v>
      </c>
      <c r="G121" s="17">
        <f>INDEX('Eurostat EB TJ GWh'!$A$2:$BV$146,MATCH($A121,'Eurostat EB TJ GWh'!$A$2:$A$146,0),MATCH(G$3,'Eurostat EB TJ GWh'!$A$2:$BV$2,0))</f>
        <v>0</v>
      </c>
      <c r="H121" s="17">
        <f>INDEX('Eurostat EB TJ GWh'!$A$2:$BV$146,MATCH($A121,'Eurostat EB TJ GWh'!$A$2:$A$146,0),MATCH(H$3,'Eurostat EB TJ GWh'!$A$2:$BV$2,0))</f>
        <v>0</v>
      </c>
      <c r="I121" s="17">
        <f>INDEX('Eurostat EB TJ GWh'!$A$2:$BV$146,MATCH($A121,'Eurostat EB TJ GWh'!$A$2:$A$146,0),MATCH(I$3,'Eurostat EB TJ GWh'!$A$2:$BV$2,0))</f>
        <v>0</v>
      </c>
      <c r="J121" s="17">
        <f>INDEX('Eurostat EB TJ GWh'!$A$2:$BV$146,MATCH($A121,'Eurostat EB TJ GWh'!$A$2:$A$146,0),MATCH(J$3,'Eurostat EB TJ GWh'!$A$2:$BV$2,0))</f>
        <v>0</v>
      </c>
      <c r="K121" s="17">
        <f>INDEX('Eurostat EB TJ GWh'!$A$2:$BV$146,MATCH($A121,'Eurostat EB TJ GWh'!$A$2:$A$146,0),MATCH(K$3,'Eurostat EB TJ GWh'!$A$2:$BV$2,0))</f>
        <v>0</v>
      </c>
      <c r="L121" s="17">
        <f>INDEX('Eurostat EB TJ GWh'!$A$2:$BV$146,MATCH($A121,'Eurostat EB TJ GWh'!$A$2:$A$146,0),MATCH(L$3,'Eurostat EB TJ GWh'!$A$2:$BV$2,0))</f>
        <v>0</v>
      </c>
      <c r="M121" s="17">
        <f>INDEX('Eurostat EB TJ GWh'!$A$2:$BV$146,MATCH($A121,'Eurostat EB TJ GWh'!$A$2:$A$146,0),MATCH(M$3,'Eurostat EB TJ GWh'!$A$2:$BV$2,0))</f>
        <v>0</v>
      </c>
      <c r="N121" s="17">
        <f>INDEX('Eurostat EB TJ GWh'!$A$2:$BV$146,MATCH($A121,'Eurostat EB TJ GWh'!$A$2:$A$146,0),MATCH(N$3,'Eurostat EB TJ GWh'!$A$2:$BV$2,0))</f>
        <v>0</v>
      </c>
      <c r="O121" s="17">
        <f>INDEX('Eurostat EB TJ GWh'!$A$2:$BV$146,MATCH($A121,'Eurostat EB TJ GWh'!$A$2:$A$146,0),MATCH(O$3,'Eurostat EB TJ GWh'!$A$2:$BV$2,0))</f>
        <v>0</v>
      </c>
      <c r="P121" s="17">
        <f>INDEX('Eurostat EB TJ GWh'!$A$2:$BV$146,MATCH($A121,'Eurostat EB TJ GWh'!$A$2:$A$146,0),MATCH(P$3,'Eurostat EB TJ GWh'!$A$2:$BV$2,0))</f>
        <v>0</v>
      </c>
      <c r="Q121" s="17">
        <f>INDEX('Eurostat EB TJ GWh'!$A$2:$BV$146,MATCH($A121,'Eurostat EB TJ GWh'!$A$2:$A$146,0),MATCH(Q$3,'Eurostat EB TJ GWh'!$A$2:$BV$2,0))</f>
        <v>0</v>
      </c>
      <c r="R121" s="17">
        <f>INDEX('Eurostat EB TJ GWh'!$A$2:$BV$146,MATCH($A121,'Eurostat EB TJ GWh'!$A$2:$A$146,0),MATCH(R$2,'Eurostat EB TJ GWh'!$A$2:$BV$2,0))+INDEX('Eurostat EB TJ GWh'!$A$2:$BV$146,MATCH($A121,'Eurostat EB TJ GWh'!$A$2:$A$146,0),MATCH(R$3,'Eurostat EB TJ GWh'!$A$2:$BV$2,0))</f>
        <v>0</v>
      </c>
      <c r="S121" s="17">
        <f>INDEX('Eurostat EB TJ GWh'!$A$2:$BV$146,MATCH($A121,'Eurostat EB TJ GWh'!$A$2:$A$146,0),MATCH(S$3,'Eurostat EB TJ GWh'!$A$2:$BV$2,0))</f>
        <v>201182.98499999999</v>
      </c>
      <c r="T121" s="65" t="s">
        <v>323</v>
      </c>
      <c r="U121" s="17">
        <f>INDEX('Eurostat EB TJ GWh'!$A$2:$BV$146,MATCH($A121,'Eurostat EB TJ GWh'!$A$2:$A$146,0),MATCH(U$3,'Eurostat EB TJ GWh'!$A$2:$BV$2,0))</f>
        <v>0</v>
      </c>
      <c r="V121" s="17">
        <f>INDEX('Eurostat EB TJ GWh'!$A$2:$BV$146,MATCH($A121,'Eurostat EB TJ GWh'!$A$2:$A$146,0),MATCH(V$3,'Eurostat EB TJ GWh'!$A$2:$BV$2,0))</f>
        <v>0</v>
      </c>
      <c r="W121" s="17">
        <f>INDEX('Eurostat EB TJ GWh'!$A$2:$BV$146,MATCH($A121,'Eurostat EB TJ GWh'!$A$2:$A$146,0),MATCH(W$3,'Eurostat EB TJ GWh'!$A$2:$BV$2,0))</f>
        <v>0</v>
      </c>
      <c r="X121" s="17">
        <f>INDEX('Eurostat EB TJ GWh'!$A$2:$BV$146,MATCH($A121,'Eurostat EB TJ GWh'!$A$2:$A$146,0),MATCH(X$3,'Eurostat EB TJ GWh'!$A$2:$BV$2,0))</f>
        <v>0</v>
      </c>
      <c r="Y121" s="17">
        <f>INDEX('Eurostat EB TJ GWh'!$A$2:$BV$146,MATCH($A121,'Eurostat EB TJ GWh'!$A$2:$A$146,0),MATCH(Y$3,'Eurostat EB TJ GWh'!$A$2:$BV$2,0))</f>
        <v>0</v>
      </c>
      <c r="Z121" s="17">
        <f>INDEX('Eurostat EB TJ GWh'!$A$2:$BV$146,MATCH($A121,'Eurostat EB TJ GWh'!$A$2:$A$146,0),MATCH(Z$3,'Eurostat EB TJ GWh'!$A$2:$BV$2,0))</f>
        <v>0</v>
      </c>
      <c r="AA121" s="17">
        <f>INDEX('Eurostat EB TJ GWh'!$A$2:$BV$146,MATCH($A121,'Eurostat EB TJ GWh'!$A$2:$A$146,0),MATCH(AA$3,'Eurostat EB TJ GWh'!$A$2:$BV$2,0))</f>
        <v>0</v>
      </c>
      <c r="AB121" s="17">
        <f>INDEX('Eurostat EB TJ GWh'!$A$2:$BV$146,MATCH($A121,'Eurostat EB TJ GWh'!$A$2:$A$146,0),MATCH(AB$3,'Eurostat EB TJ GWh'!$A$2:$BV$2,0))</f>
        <v>971.84199999999998</v>
      </c>
      <c r="AC121" s="17">
        <f>INDEX('Eurostat EB TJ GWh'!$A$2:$BV$146,MATCH($A121,'Eurostat EB TJ GWh'!$A$2:$A$146,0),MATCH(AC$3,'Eurostat EB TJ GWh'!$A$2:$BV$2,0))</f>
        <v>960.197</v>
      </c>
      <c r="AD121" s="17">
        <f>INDEX('Eurostat EB TJ GWh'!$A$2:$BV$146,MATCH($A121,'Eurostat EB TJ GWh'!$A$2:$A$146,0),MATCH(AD$3,'Eurostat EB TJ GWh'!$A$2:$BV$2,0))</f>
        <v>0</v>
      </c>
      <c r="AE121" s="17">
        <f>INDEX('Eurostat EB TJ GWh'!$A$2:$BV$146,MATCH($A121,'Eurostat EB TJ GWh'!$A$2:$A$146,0),MATCH(AE$3,'Eurostat EB TJ GWh'!$A$2:$BV$2,0))</f>
        <v>0</v>
      </c>
      <c r="AF121" s="17">
        <f>INDEX('Eurostat EB TJ GWh'!$A$2:$BV$146,MATCH($A121,'Eurostat EB TJ GWh'!$A$2:$A$146,0),MATCH(AF$3,'Eurostat EB TJ GWh'!$A$2:$BV$2,0))</f>
        <v>0</v>
      </c>
      <c r="AG121" s="17">
        <f>INDEX('Eurostat EB TJ GWh'!$A$2:$BV$146,MATCH($A121,'Eurostat EB TJ GWh'!$A$2:$A$146,0),MATCH(AG$3,'Eurostat EB TJ GWh'!$A$2:$BV$2,0))</f>
        <v>216.02099999999999</v>
      </c>
      <c r="AH121" s="17">
        <f>INDEX('Eurostat EB TJ GWh'!$A$2:$BV$146,MATCH($A121,'Eurostat EB TJ GWh'!$A$2:$A$146,0),MATCH(AH$3,'Eurostat EB TJ GWh'!$A$2:$BV$2,0))</f>
        <v>304.22699999999998</v>
      </c>
      <c r="AI121" s="17">
        <f>INDEX('Eurostat EB TJ GWh'!$A$2:$BV$146,MATCH($A121,'Eurostat EB TJ GWh'!$A$2:$A$146,0),MATCH(AI$3,'Eurostat EB TJ GWh'!$A$2:$BV$2,0))</f>
        <v>0</v>
      </c>
      <c r="AJ121" s="17">
        <f>INDEX('Eurostat EB TJ GWh'!$A$2:$BV$146,MATCH($A121,'Eurostat EB TJ GWh'!$A$2:$A$146,0),MATCH(AJ$3,'Eurostat EB TJ GWh'!$A$2:$BV$2,0))</f>
        <v>0</v>
      </c>
      <c r="AK121" s="17">
        <f>INDEX('Eurostat EB TJ GWh'!$A$2:$BV$146,MATCH($A121,'Eurostat EB TJ GWh'!$A$2:$A$146,0),MATCH(AK$3,'Eurostat EB TJ GWh'!$A$2:$BV$2,0))</f>
        <v>0</v>
      </c>
      <c r="AL121" s="17">
        <f>INDEX('Eurostat EB TJ GWh'!$A$2:$BV$146,MATCH($A121,'Eurostat EB TJ GWh'!$A$2:$A$146,0),MATCH(AL$3,'Eurostat EB TJ GWh'!$A$2:$BV$2,0))</f>
        <v>0</v>
      </c>
      <c r="AM121" s="17">
        <f>INDEX('Eurostat EB TJ GWh'!$A$2:$BV$146,MATCH($A121,'Eurostat EB TJ GWh'!$A$2:$A$146,0),MATCH(AM$3,'Eurostat EB TJ GWh'!$A$2:$BV$2,0))</f>
        <v>0</v>
      </c>
      <c r="AN121" s="17">
        <f>INDEX('Eurostat EB TJ GWh'!$A$2:$BV$146,MATCH($A121,'Eurostat EB TJ GWh'!$A$2:$A$146,0),MATCH(AN$3,'Eurostat EB TJ GWh'!$A$2:$BV$2,0))</f>
        <v>0</v>
      </c>
      <c r="AO121" s="17">
        <f>INDEX('Eurostat EB TJ GWh'!$A$2:$BV$146,MATCH($A121,'Eurostat EB TJ GWh'!$A$2:$A$146,0),MATCH(AO$3,'Eurostat EB TJ GWh'!$A$2:$BV$2,0))</f>
        <v>0</v>
      </c>
      <c r="AP121" s="17">
        <f>INDEX('Eurostat EB TJ GWh'!$A$2:$BV$146,MATCH($A121,'Eurostat EB TJ GWh'!$A$2:$A$146,0),MATCH(AP$3,'Eurostat EB TJ GWh'!$A$2:$BV$2,0))</f>
        <v>0</v>
      </c>
      <c r="AQ121" s="17">
        <f>INDEX('Eurostat EB TJ GWh'!$A$2:$BV$146,MATCH($A121,'Eurostat EB TJ GWh'!$A$2:$A$146,0),MATCH(AQ$3,'Eurostat EB TJ GWh'!$A$2:$BV$2,0))</f>
        <v>0</v>
      </c>
      <c r="AR121" s="17">
        <f>INDEX('Eurostat EB TJ GWh'!$A$2:$BV$146,MATCH($A121,'Eurostat EB TJ GWh'!$A$2:$A$146,0),MATCH(AR$3,'Eurostat EB TJ GWh'!$A$2:$BV$2,0))</f>
        <v>0</v>
      </c>
      <c r="AS121" s="17">
        <f>INDEX('Eurostat EB TJ GWh'!$A$2:$BV$146,MATCH($A121,'Eurostat EB TJ GWh'!$A$2:$A$146,0),MATCH(AS$3,'Eurostat EB TJ GWh'!$A$2:$BV$2,0))</f>
        <v>0</v>
      </c>
      <c r="AT121" s="17">
        <f>INDEX('Eurostat EB TJ GWh'!$A$2:$BV$146,MATCH($A121,'Eurostat EB TJ GWh'!$A$2:$A$146,0),MATCH(AT$3,'Eurostat EB TJ GWh'!$A$2:$BV$2,0))</f>
        <v>15909.628000000001</v>
      </c>
      <c r="AU121" s="17">
        <f>INDEX('Eurostat EB TJ GWh'!$A$2:$BV$146,MATCH($A121,'Eurostat EB TJ GWh'!$A$2:$A$146,0),MATCH(AU$3,'Eurostat EB TJ GWh'!$A$2:$BV$2,0))</f>
        <v>0</v>
      </c>
      <c r="AV121" s="17">
        <f>INDEX('Eurostat EB TJ GWh'!$A$2:$BV$146,MATCH($A121,'Eurostat EB TJ GWh'!$A$2:$A$146,0),MATCH(AV$2,'Eurostat EB TJ GWh'!$A$2:$BV$2,0))+INDEX('Eurostat EB TJ GWh'!$A$2:$BV$146,MATCH($A121,'Eurostat EB TJ GWh'!$A$2:$A$146,0),MATCH(AV$3,'Eurostat EB TJ GWh'!$A$2:$BV$2,0))</f>
        <v>0</v>
      </c>
      <c r="AW121" s="17">
        <f>INDEX('Eurostat EB TJ GWh'!$A$2:$BV$146,MATCH($A121,'Eurostat EB TJ GWh'!$A$2:$A$146,0),MATCH(AW$2,'Eurostat EB TJ GWh'!$A$2:$BV$2,0))+INDEX('Eurostat EB TJ GWh'!$A$2:$BV$146,MATCH($A121,'Eurostat EB TJ GWh'!$A$2:$A$146,0),MATCH(AW$3,'Eurostat EB TJ GWh'!$A$2:$BV$2,0))</f>
        <v>0</v>
      </c>
      <c r="AX121" s="17">
        <f>INDEX('Eurostat EB TJ GWh'!$A$2:$BV$146,MATCH($A121,'Eurostat EB TJ GWh'!$A$2:$A$146,0),MATCH(AX$3,'Eurostat EB TJ GWh'!$A$2:$BV$2,0))</f>
        <v>0</v>
      </c>
      <c r="AY121" s="65">
        <v>0</v>
      </c>
      <c r="AZ121" s="17">
        <f>INDEX('Eurostat EB TJ GWh'!$A$2:$BV$146,MATCH($A121,'Eurostat EB TJ GWh'!$A$2:$A$146,0),MATCH(AZ$3,'Eurostat EB TJ GWh'!$A$2:$BV$2,0))</f>
        <v>270</v>
      </c>
      <c r="BA121" s="65">
        <v>0</v>
      </c>
      <c r="BB121" s="65">
        <v>0</v>
      </c>
      <c r="BC121" s="17">
        <f>INDEX('Eurostat EB TJ GWh'!$A$2:$BV$146,MATCH($A121,'Eurostat EB TJ GWh'!$A$2:$A$146,0),MATCH(BC$3,'Eurostat EB TJ GWh'!$A$2:$BV$2,0))</f>
        <v>0</v>
      </c>
      <c r="BD121" s="17">
        <f>INDEX('Eurostat EB TJ GWh'!$A$2:$BV$146,MATCH($A121,'Eurostat EB TJ GWh'!$A$2:$A$146,0),MATCH(BD$3,'Eurostat EB TJ GWh'!$A$2:$BV$2,0))</f>
        <v>0</v>
      </c>
      <c r="BE121" s="17">
        <f>INDEX('Eurostat EB TJ GWh'!$A$2:$BV$146,MATCH($A121,'Eurostat EB TJ GWh'!$A$2:$A$146,0),MATCH(BE$3,'Eurostat EB TJ GWh'!$A$2:$BV$2,0))</f>
        <v>0</v>
      </c>
      <c r="BF121" s="17">
        <f>INDEX('Eurostat EB TJ GWh'!$A$2:$BV$146,MATCH($A121,'Eurostat EB TJ GWh'!$A$2:$A$146,0),MATCH(BF$3,'Eurostat EB TJ GWh'!$A$2:$BV$2,0))</f>
        <v>0</v>
      </c>
      <c r="BG121" s="17">
        <f>INDEX('Eurostat EB TJ GWh'!$A$2:$BV$146,MATCH($A121,'Eurostat EB TJ GWh'!$A$2:$A$146,0),MATCH(BG$3,'Eurostat EB TJ GWh'!$A$2:$BV$2,0))</f>
        <v>941</v>
      </c>
      <c r="BH121" s="17">
        <f>INDEX('Eurostat EB TJ GWh'!$A$2:$BV$146,MATCH($A121,'Eurostat EB TJ GWh'!$A$2:$A$146,0),MATCH(BH$3,'Eurostat EB TJ GWh'!$A$2:$BV$2,0))</f>
        <v>0</v>
      </c>
      <c r="BI121" s="17">
        <f>INDEX('Eurostat EB TJ GWh'!$A$2:$BV$146,MATCH($A121,'Eurostat EB TJ GWh'!$A$2:$A$146,0),MATCH(BI$3,'Eurostat EB TJ GWh'!$A$2:$BV$2,0))</f>
        <v>0</v>
      </c>
      <c r="BJ121" s="65">
        <v>0</v>
      </c>
      <c r="BK121" s="17">
        <f>INDEX('Eurostat EB TJ GWh'!$A$2:$BV$146,MATCH($A121,'Eurostat EB TJ GWh'!$A$2:$A$146,0),MATCH(BK$3,'Eurostat EB TJ GWh'!$A$2:$BV$2,0))</f>
        <v>76764.740000000005</v>
      </c>
      <c r="BL121" s="17">
        <f>INDEX('Eurostat EB TJ GWh'!$A$2:$BV$146,MATCH($A121,'Eurostat EB TJ GWh'!$A$2:$A$146,0),MATCH(BL$3,'Eurostat EB TJ GWh'!$A$2:$BV$2,0))</f>
        <v>9906.2569999999996</v>
      </c>
      <c r="BM121" s="17">
        <f>INDEX('Eurostat EB TJ GWh'!$A$2:$BV$146,MATCH($A121,'Eurostat EB TJ GWh'!$A$2:$A$146,0),MATCH(BM$3,'Eurostat EB TJ GWh'!$A$2:$BV$2,0))</f>
        <v>322798.72899999999</v>
      </c>
      <c r="BN121" s="17">
        <f>INDEX('Eurostat EB TJ GWh'!$A$2:$BV$146,MATCH($A121,'Eurostat EB TJ GWh'!$A$2:$A$146,0),MATCH(BN$3,'Eurostat EB TJ GWh'!$A$2:$BV$2,0))</f>
        <v>25525.481</v>
      </c>
    </row>
    <row r="122" spans="1:66" x14ac:dyDescent="0.2">
      <c r="A122" s="56" t="s">
        <v>311</v>
      </c>
      <c r="B122" s="65" t="s">
        <v>323</v>
      </c>
      <c r="C122" s="65" t="s">
        <v>323</v>
      </c>
      <c r="D122" s="57">
        <f>INDEX('Eurostat EB TJ GWh'!$A$2:$BV$146,MATCH($A122,'Eurostat EB TJ GWh'!$A$2:$A$146,0),MATCH(D$3,'Eurostat EB TJ GWh'!$A$2:$BV$2,0))</f>
        <v>0</v>
      </c>
      <c r="E122" s="57">
        <f>INDEX('Eurostat EB TJ GWh'!$A$2:$BV$146,MATCH($A122,'Eurostat EB TJ GWh'!$A$2:$A$146,0),MATCH(E$3,'Eurostat EB TJ GWh'!$A$2:$BV$2,0))</f>
        <v>0</v>
      </c>
      <c r="F122" s="57">
        <f>INDEX('Eurostat EB TJ GWh'!$A$2:$BV$146,MATCH($A122,'Eurostat EB TJ GWh'!$A$2:$A$146,0),MATCH(F$3,'Eurostat EB TJ GWh'!$A$2:$BV$2,0))</f>
        <v>0</v>
      </c>
      <c r="G122" s="57">
        <f>INDEX('Eurostat EB TJ GWh'!$A$2:$BV$146,MATCH($A122,'Eurostat EB TJ GWh'!$A$2:$A$146,0),MATCH(G$3,'Eurostat EB TJ GWh'!$A$2:$BV$2,0))</f>
        <v>0</v>
      </c>
      <c r="H122" s="57">
        <f>INDEX('Eurostat EB TJ GWh'!$A$2:$BV$146,MATCH($A122,'Eurostat EB TJ GWh'!$A$2:$A$146,0),MATCH(H$3,'Eurostat EB TJ GWh'!$A$2:$BV$2,0))</f>
        <v>0</v>
      </c>
      <c r="I122" s="57">
        <f>INDEX('Eurostat EB TJ GWh'!$A$2:$BV$146,MATCH($A122,'Eurostat EB TJ GWh'!$A$2:$A$146,0),MATCH(I$3,'Eurostat EB TJ GWh'!$A$2:$BV$2,0))</f>
        <v>0</v>
      </c>
      <c r="J122" s="57">
        <f>INDEX('Eurostat EB TJ GWh'!$A$2:$BV$146,MATCH($A122,'Eurostat EB TJ GWh'!$A$2:$A$146,0),MATCH(J$3,'Eurostat EB TJ GWh'!$A$2:$BV$2,0))</f>
        <v>0</v>
      </c>
      <c r="K122" s="57">
        <f>INDEX('Eurostat EB TJ GWh'!$A$2:$BV$146,MATCH($A122,'Eurostat EB TJ GWh'!$A$2:$A$146,0),MATCH(K$3,'Eurostat EB TJ GWh'!$A$2:$BV$2,0))</f>
        <v>0</v>
      </c>
      <c r="L122" s="57">
        <f>INDEX('Eurostat EB TJ GWh'!$A$2:$BV$146,MATCH($A122,'Eurostat EB TJ GWh'!$A$2:$A$146,0),MATCH(L$3,'Eurostat EB TJ GWh'!$A$2:$BV$2,0))</f>
        <v>0</v>
      </c>
      <c r="M122" s="57">
        <f>INDEX('Eurostat EB TJ GWh'!$A$2:$BV$146,MATCH($A122,'Eurostat EB TJ GWh'!$A$2:$A$146,0),MATCH(M$3,'Eurostat EB TJ GWh'!$A$2:$BV$2,0))</f>
        <v>0</v>
      </c>
      <c r="N122" s="57">
        <f>INDEX('Eurostat EB TJ GWh'!$A$2:$BV$146,MATCH($A122,'Eurostat EB TJ GWh'!$A$2:$A$146,0),MATCH(N$3,'Eurostat EB TJ GWh'!$A$2:$BV$2,0))</f>
        <v>0</v>
      </c>
      <c r="O122" s="57">
        <f>INDEX('Eurostat EB TJ GWh'!$A$2:$BV$146,MATCH($A122,'Eurostat EB TJ GWh'!$A$2:$A$146,0),MATCH(O$3,'Eurostat EB TJ GWh'!$A$2:$BV$2,0))</f>
        <v>0</v>
      </c>
      <c r="P122" s="57">
        <f>INDEX('Eurostat EB TJ GWh'!$A$2:$BV$146,MATCH($A122,'Eurostat EB TJ GWh'!$A$2:$A$146,0),MATCH(P$3,'Eurostat EB TJ GWh'!$A$2:$BV$2,0))</f>
        <v>0</v>
      </c>
      <c r="Q122" s="57">
        <f>INDEX('Eurostat EB TJ GWh'!$A$2:$BV$146,MATCH($A122,'Eurostat EB TJ GWh'!$A$2:$A$146,0),MATCH(Q$3,'Eurostat EB TJ GWh'!$A$2:$BV$2,0))</f>
        <v>0</v>
      </c>
      <c r="R122" s="57">
        <f>INDEX('Eurostat EB TJ GWh'!$A$2:$BV$146,MATCH($A122,'Eurostat EB TJ GWh'!$A$2:$A$146,0),MATCH(R$2,'Eurostat EB TJ GWh'!$A$2:$BV$2,0))+INDEX('Eurostat EB TJ GWh'!$A$2:$BV$146,MATCH($A122,'Eurostat EB TJ GWh'!$A$2:$A$146,0),MATCH(R$3,'Eurostat EB TJ GWh'!$A$2:$BV$2,0))</f>
        <v>0</v>
      </c>
      <c r="S122" s="57">
        <f>INDEX('Eurostat EB TJ GWh'!$A$2:$BV$146,MATCH($A122,'Eurostat EB TJ GWh'!$A$2:$A$146,0),MATCH(S$3,'Eurostat EB TJ GWh'!$A$2:$BV$2,0))</f>
        <v>64362.03</v>
      </c>
      <c r="T122" s="65" t="s">
        <v>323</v>
      </c>
      <c r="U122" s="57">
        <f>INDEX('Eurostat EB TJ GWh'!$A$2:$BV$146,MATCH($A122,'Eurostat EB TJ GWh'!$A$2:$A$146,0),MATCH(U$3,'Eurostat EB TJ GWh'!$A$2:$BV$2,0))</f>
        <v>0</v>
      </c>
      <c r="V122" s="57">
        <f>INDEX('Eurostat EB TJ GWh'!$A$2:$BV$146,MATCH($A122,'Eurostat EB TJ GWh'!$A$2:$A$146,0),MATCH(V$3,'Eurostat EB TJ GWh'!$A$2:$BV$2,0))</f>
        <v>0</v>
      </c>
      <c r="W122" s="57">
        <f>INDEX('Eurostat EB TJ GWh'!$A$2:$BV$146,MATCH($A122,'Eurostat EB TJ GWh'!$A$2:$A$146,0),MATCH(W$3,'Eurostat EB TJ GWh'!$A$2:$BV$2,0))</f>
        <v>0</v>
      </c>
      <c r="X122" s="57">
        <f>INDEX('Eurostat EB TJ GWh'!$A$2:$BV$146,MATCH($A122,'Eurostat EB TJ GWh'!$A$2:$A$146,0),MATCH(X$3,'Eurostat EB TJ GWh'!$A$2:$BV$2,0))</f>
        <v>0</v>
      </c>
      <c r="Y122" s="57">
        <f>INDEX('Eurostat EB TJ GWh'!$A$2:$BV$146,MATCH($A122,'Eurostat EB TJ GWh'!$A$2:$A$146,0),MATCH(Y$3,'Eurostat EB TJ GWh'!$A$2:$BV$2,0))</f>
        <v>0</v>
      </c>
      <c r="Z122" s="57">
        <f>INDEX('Eurostat EB TJ GWh'!$A$2:$BV$146,MATCH($A122,'Eurostat EB TJ GWh'!$A$2:$A$146,0),MATCH(Z$3,'Eurostat EB TJ GWh'!$A$2:$BV$2,0))</f>
        <v>0</v>
      </c>
      <c r="AA122" s="57">
        <f>INDEX('Eurostat EB TJ GWh'!$A$2:$BV$146,MATCH($A122,'Eurostat EB TJ GWh'!$A$2:$A$146,0),MATCH(AA$3,'Eurostat EB TJ GWh'!$A$2:$BV$2,0))</f>
        <v>0</v>
      </c>
      <c r="AB122" s="57">
        <f>INDEX('Eurostat EB TJ GWh'!$A$2:$BV$146,MATCH($A122,'Eurostat EB TJ GWh'!$A$2:$A$146,0),MATCH(AB$3,'Eurostat EB TJ GWh'!$A$2:$BV$2,0))</f>
        <v>1199.934</v>
      </c>
      <c r="AC122" s="57">
        <f>INDEX('Eurostat EB TJ GWh'!$A$2:$BV$146,MATCH($A122,'Eurostat EB TJ GWh'!$A$2:$A$146,0),MATCH(AC$3,'Eurostat EB TJ GWh'!$A$2:$BV$2,0))</f>
        <v>351.24900000000002</v>
      </c>
      <c r="AD122" s="57">
        <f>INDEX('Eurostat EB TJ GWh'!$A$2:$BV$146,MATCH($A122,'Eurostat EB TJ GWh'!$A$2:$A$146,0),MATCH(AD$3,'Eurostat EB TJ GWh'!$A$2:$BV$2,0))</f>
        <v>0</v>
      </c>
      <c r="AE122" s="57">
        <f>INDEX('Eurostat EB TJ GWh'!$A$2:$BV$146,MATCH($A122,'Eurostat EB TJ GWh'!$A$2:$A$146,0),MATCH(AE$3,'Eurostat EB TJ GWh'!$A$2:$BV$2,0))</f>
        <v>0</v>
      </c>
      <c r="AF122" s="57">
        <f>INDEX('Eurostat EB TJ GWh'!$A$2:$BV$146,MATCH($A122,'Eurostat EB TJ GWh'!$A$2:$A$146,0),MATCH(AF$3,'Eurostat EB TJ GWh'!$A$2:$BV$2,0))</f>
        <v>0</v>
      </c>
      <c r="AG122" s="57">
        <f>INDEX('Eurostat EB TJ GWh'!$A$2:$BV$146,MATCH($A122,'Eurostat EB TJ GWh'!$A$2:$A$146,0),MATCH(AG$3,'Eurostat EB TJ GWh'!$A$2:$BV$2,0))</f>
        <v>0</v>
      </c>
      <c r="AH122" s="57">
        <f>INDEX('Eurostat EB TJ GWh'!$A$2:$BV$146,MATCH($A122,'Eurostat EB TJ GWh'!$A$2:$A$146,0),MATCH(AH$3,'Eurostat EB TJ GWh'!$A$2:$BV$2,0))</f>
        <v>17282.848999999998</v>
      </c>
      <c r="AI122" s="57">
        <f>INDEX('Eurostat EB TJ GWh'!$A$2:$BV$146,MATCH($A122,'Eurostat EB TJ GWh'!$A$2:$A$146,0),MATCH(AI$3,'Eurostat EB TJ GWh'!$A$2:$BV$2,0))</f>
        <v>0</v>
      </c>
      <c r="AJ122" s="57">
        <f>INDEX('Eurostat EB TJ GWh'!$A$2:$BV$146,MATCH($A122,'Eurostat EB TJ GWh'!$A$2:$A$146,0),MATCH(AJ$3,'Eurostat EB TJ GWh'!$A$2:$BV$2,0))</f>
        <v>0</v>
      </c>
      <c r="AK122" s="57">
        <f>INDEX('Eurostat EB TJ GWh'!$A$2:$BV$146,MATCH($A122,'Eurostat EB TJ GWh'!$A$2:$A$146,0),MATCH(AK$3,'Eurostat EB TJ GWh'!$A$2:$BV$2,0))</f>
        <v>0</v>
      </c>
      <c r="AL122" s="57">
        <f>INDEX('Eurostat EB TJ GWh'!$A$2:$BV$146,MATCH($A122,'Eurostat EB TJ GWh'!$A$2:$A$146,0),MATCH(AL$3,'Eurostat EB TJ GWh'!$A$2:$BV$2,0))</f>
        <v>0</v>
      </c>
      <c r="AM122" s="57">
        <f>INDEX('Eurostat EB TJ GWh'!$A$2:$BV$146,MATCH($A122,'Eurostat EB TJ GWh'!$A$2:$A$146,0),MATCH(AM$3,'Eurostat EB TJ GWh'!$A$2:$BV$2,0))</f>
        <v>0</v>
      </c>
      <c r="AN122" s="57">
        <f>INDEX('Eurostat EB TJ GWh'!$A$2:$BV$146,MATCH($A122,'Eurostat EB TJ GWh'!$A$2:$A$146,0),MATCH(AN$3,'Eurostat EB TJ GWh'!$A$2:$BV$2,0))</f>
        <v>0</v>
      </c>
      <c r="AO122" s="57">
        <f>INDEX('Eurostat EB TJ GWh'!$A$2:$BV$146,MATCH($A122,'Eurostat EB TJ GWh'!$A$2:$A$146,0),MATCH(AO$3,'Eurostat EB TJ GWh'!$A$2:$BV$2,0))</f>
        <v>0</v>
      </c>
      <c r="AP122" s="57">
        <f>INDEX('Eurostat EB TJ GWh'!$A$2:$BV$146,MATCH($A122,'Eurostat EB TJ GWh'!$A$2:$A$146,0),MATCH(AP$3,'Eurostat EB TJ GWh'!$A$2:$BV$2,0))</f>
        <v>0</v>
      </c>
      <c r="AQ122" s="57">
        <f>INDEX('Eurostat EB TJ GWh'!$A$2:$BV$146,MATCH($A122,'Eurostat EB TJ GWh'!$A$2:$A$146,0),MATCH(AQ$3,'Eurostat EB TJ GWh'!$A$2:$BV$2,0))</f>
        <v>0</v>
      </c>
      <c r="AR122" s="57">
        <f>INDEX('Eurostat EB TJ GWh'!$A$2:$BV$146,MATCH($A122,'Eurostat EB TJ GWh'!$A$2:$A$146,0),MATCH(AR$3,'Eurostat EB TJ GWh'!$A$2:$BV$2,0))</f>
        <v>0</v>
      </c>
      <c r="AS122" s="57">
        <f>INDEX('Eurostat EB TJ GWh'!$A$2:$BV$146,MATCH($A122,'Eurostat EB TJ GWh'!$A$2:$A$146,0),MATCH(AS$3,'Eurostat EB TJ GWh'!$A$2:$BV$2,0))</f>
        <v>0</v>
      </c>
      <c r="AT122" s="57">
        <f>INDEX('Eurostat EB TJ GWh'!$A$2:$BV$146,MATCH($A122,'Eurostat EB TJ GWh'!$A$2:$A$146,0),MATCH(AT$3,'Eurostat EB TJ GWh'!$A$2:$BV$2,0))</f>
        <v>3267.58</v>
      </c>
      <c r="AU122" s="57">
        <f>INDEX('Eurostat EB TJ GWh'!$A$2:$BV$146,MATCH($A122,'Eurostat EB TJ GWh'!$A$2:$A$146,0),MATCH(AU$3,'Eurostat EB TJ GWh'!$A$2:$BV$2,0))</f>
        <v>1492.634</v>
      </c>
      <c r="AV122" s="57">
        <f>INDEX('Eurostat EB TJ GWh'!$A$2:$BV$146,MATCH($A122,'Eurostat EB TJ GWh'!$A$2:$A$146,0),MATCH(AV$2,'Eurostat EB TJ GWh'!$A$2:$BV$2,0))+INDEX('Eurostat EB TJ GWh'!$A$2:$BV$146,MATCH($A122,'Eurostat EB TJ GWh'!$A$2:$A$146,0),MATCH(AV$3,'Eurostat EB TJ GWh'!$A$2:$BV$2,0))</f>
        <v>0</v>
      </c>
      <c r="AW122" s="57">
        <f>INDEX('Eurostat EB TJ GWh'!$A$2:$BV$146,MATCH($A122,'Eurostat EB TJ GWh'!$A$2:$A$146,0),MATCH(AW$2,'Eurostat EB TJ GWh'!$A$2:$BV$2,0))+INDEX('Eurostat EB TJ GWh'!$A$2:$BV$146,MATCH($A122,'Eurostat EB TJ GWh'!$A$2:$A$146,0),MATCH(AW$3,'Eurostat EB TJ GWh'!$A$2:$BV$2,0))</f>
        <v>1218.2550000000001</v>
      </c>
      <c r="AX122" s="57">
        <f>INDEX('Eurostat EB TJ GWh'!$A$2:$BV$146,MATCH($A122,'Eurostat EB TJ GWh'!$A$2:$A$146,0),MATCH(AX$3,'Eurostat EB TJ GWh'!$A$2:$BV$2,0))</f>
        <v>0</v>
      </c>
      <c r="AY122" s="72">
        <v>0</v>
      </c>
      <c r="AZ122" s="57">
        <f>INDEX('Eurostat EB TJ GWh'!$A$2:$BV$146,MATCH($A122,'Eurostat EB TJ GWh'!$A$2:$A$146,0),MATCH(AZ$3,'Eurostat EB TJ GWh'!$A$2:$BV$2,0))</f>
        <v>0</v>
      </c>
      <c r="BA122" s="72">
        <v>0</v>
      </c>
      <c r="BB122" s="72">
        <v>0</v>
      </c>
      <c r="BC122" s="57">
        <f>INDEX('Eurostat EB TJ GWh'!$A$2:$BV$146,MATCH($A122,'Eurostat EB TJ GWh'!$A$2:$A$146,0),MATCH(BC$3,'Eurostat EB TJ GWh'!$A$2:$BV$2,0))</f>
        <v>0</v>
      </c>
      <c r="BD122" s="57">
        <f>INDEX('Eurostat EB TJ GWh'!$A$2:$BV$146,MATCH($A122,'Eurostat EB TJ GWh'!$A$2:$A$146,0),MATCH(BD$3,'Eurostat EB TJ GWh'!$A$2:$BV$2,0))</f>
        <v>0</v>
      </c>
      <c r="BE122" s="57">
        <f>INDEX('Eurostat EB TJ GWh'!$A$2:$BV$146,MATCH($A122,'Eurostat EB TJ GWh'!$A$2:$A$146,0),MATCH(BE$3,'Eurostat EB TJ GWh'!$A$2:$BV$2,0))</f>
        <v>6797.51</v>
      </c>
      <c r="BF122" s="57">
        <f>INDEX('Eurostat EB TJ GWh'!$A$2:$BV$146,MATCH($A122,'Eurostat EB TJ GWh'!$A$2:$A$146,0),MATCH(BF$3,'Eurostat EB TJ GWh'!$A$2:$BV$2,0))</f>
        <v>0</v>
      </c>
      <c r="BG122" s="57">
        <f>INDEX('Eurostat EB TJ GWh'!$A$2:$BV$146,MATCH($A122,'Eurostat EB TJ GWh'!$A$2:$A$146,0),MATCH(BG$3,'Eurostat EB TJ GWh'!$A$2:$BV$2,0))</f>
        <v>0</v>
      </c>
      <c r="BH122" s="57">
        <f>INDEX('Eurostat EB TJ GWh'!$A$2:$BV$146,MATCH($A122,'Eurostat EB TJ GWh'!$A$2:$A$146,0),MATCH(BH$3,'Eurostat EB TJ GWh'!$A$2:$BV$2,0))</f>
        <v>0</v>
      </c>
      <c r="BI122" s="57">
        <f>INDEX('Eurostat EB TJ GWh'!$A$2:$BV$146,MATCH($A122,'Eurostat EB TJ GWh'!$A$2:$A$146,0),MATCH(BI$3,'Eurostat EB TJ GWh'!$A$2:$BV$2,0))</f>
        <v>0</v>
      </c>
      <c r="BJ122" s="72">
        <v>0</v>
      </c>
      <c r="BK122" s="57">
        <f>INDEX('Eurostat EB TJ GWh'!$A$2:$BV$146,MATCH($A122,'Eurostat EB TJ GWh'!$A$2:$A$146,0),MATCH(BK$3,'Eurostat EB TJ GWh'!$A$2:$BV$2,0))</f>
        <v>26409.553</v>
      </c>
      <c r="BL122" s="57">
        <f>INDEX('Eurostat EB TJ GWh'!$A$2:$BV$146,MATCH($A122,'Eurostat EB TJ GWh'!$A$2:$A$146,0),MATCH(BL$3,'Eurostat EB TJ GWh'!$A$2:$BV$2,0))</f>
        <v>2463.886</v>
      </c>
      <c r="BM122" s="57">
        <f>INDEX('Eurostat EB TJ GWh'!$A$2:$BV$146,MATCH($A122,'Eurostat EB TJ GWh'!$A$2:$A$146,0),MATCH(BM$3,'Eurostat EB TJ GWh'!$A$2:$BV$2,0))</f>
        <v>124845.48</v>
      </c>
      <c r="BN122" s="57">
        <f>INDEX('Eurostat EB TJ GWh'!$A$2:$BV$146,MATCH($A122,'Eurostat EB TJ GWh'!$A$2:$A$146,0),MATCH(BN$3,'Eurostat EB TJ GWh'!$A$2:$BV$2,0))</f>
        <v>8936.7849999999999</v>
      </c>
    </row>
    <row r="123" spans="1:66" x14ac:dyDescent="0.2">
      <c r="A123" s="56" t="s">
        <v>312</v>
      </c>
      <c r="B123" s="65" t="s">
        <v>323</v>
      </c>
      <c r="C123" s="65" t="s">
        <v>323</v>
      </c>
      <c r="D123" s="17">
        <f>INDEX('Eurostat EB TJ GWh'!$A$2:$BV$146,MATCH($A123,'Eurostat EB TJ GWh'!$A$2:$A$146,0),MATCH(D$3,'Eurostat EB TJ GWh'!$A$2:$BV$2,0))</f>
        <v>0</v>
      </c>
      <c r="E123" s="17">
        <f>INDEX('Eurostat EB TJ GWh'!$A$2:$BV$146,MATCH($A123,'Eurostat EB TJ GWh'!$A$2:$A$146,0),MATCH(E$3,'Eurostat EB TJ GWh'!$A$2:$BV$2,0))</f>
        <v>0</v>
      </c>
      <c r="F123" s="17">
        <f>INDEX('Eurostat EB TJ GWh'!$A$2:$BV$146,MATCH($A123,'Eurostat EB TJ GWh'!$A$2:$A$146,0),MATCH(F$3,'Eurostat EB TJ GWh'!$A$2:$BV$2,0))</f>
        <v>0</v>
      </c>
      <c r="G123" s="17">
        <f>INDEX('Eurostat EB TJ GWh'!$A$2:$BV$146,MATCH($A123,'Eurostat EB TJ GWh'!$A$2:$A$146,0),MATCH(G$3,'Eurostat EB TJ GWh'!$A$2:$BV$2,0))</f>
        <v>0</v>
      </c>
      <c r="H123" s="17">
        <f>INDEX('Eurostat EB TJ GWh'!$A$2:$BV$146,MATCH($A123,'Eurostat EB TJ GWh'!$A$2:$A$146,0),MATCH(H$3,'Eurostat EB TJ GWh'!$A$2:$BV$2,0))</f>
        <v>0</v>
      </c>
      <c r="I123" s="17">
        <f>INDEX('Eurostat EB TJ GWh'!$A$2:$BV$146,MATCH($A123,'Eurostat EB TJ GWh'!$A$2:$A$146,0),MATCH(I$3,'Eurostat EB TJ GWh'!$A$2:$BV$2,0))</f>
        <v>0</v>
      </c>
      <c r="J123" s="17">
        <f>INDEX('Eurostat EB TJ GWh'!$A$2:$BV$146,MATCH($A123,'Eurostat EB TJ GWh'!$A$2:$A$146,0),MATCH(J$3,'Eurostat EB TJ GWh'!$A$2:$BV$2,0))</f>
        <v>0</v>
      </c>
      <c r="K123" s="17">
        <f>INDEX('Eurostat EB TJ GWh'!$A$2:$BV$146,MATCH($A123,'Eurostat EB TJ GWh'!$A$2:$A$146,0),MATCH(K$3,'Eurostat EB TJ GWh'!$A$2:$BV$2,0))</f>
        <v>0</v>
      </c>
      <c r="L123" s="17">
        <f>INDEX('Eurostat EB TJ GWh'!$A$2:$BV$146,MATCH($A123,'Eurostat EB TJ GWh'!$A$2:$A$146,0),MATCH(L$3,'Eurostat EB TJ GWh'!$A$2:$BV$2,0))</f>
        <v>0</v>
      </c>
      <c r="M123" s="17">
        <f>INDEX('Eurostat EB TJ GWh'!$A$2:$BV$146,MATCH($A123,'Eurostat EB TJ GWh'!$A$2:$A$146,0),MATCH(M$3,'Eurostat EB TJ GWh'!$A$2:$BV$2,0))</f>
        <v>0</v>
      </c>
      <c r="N123" s="17">
        <f>INDEX('Eurostat EB TJ GWh'!$A$2:$BV$146,MATCH($A123,'Eurostat EB TJ GWh'!$A$2:$A$146,0),MATCH(N$3,'Eurostat EB TJ GWh'!$A$2:$BV$2,0))</f>
        <v>0</v>
      </c>
      <c r="O123" s="17">
        <f>INDEX('Eurostat EB TJ GWh'!$A$2:$BV$146,MATCH($A123,'Eurostat EB TJ GWh'!$A$2:$A$146,0),MATCH(O$3,'Eurostat EB TJ GWh'!$A$2:$BV$2,0))</f>
        <v>0</v>
      </c>
      <c r="P123" s="17">
        <f>INDEX('Eurostat EB TJ GWh'!$A$2:$BV$146,MATCH($A123,'Eurostat EB TJ GWh'!$A$2:$A$146,0),MATCH(P$3,'Eurostat EB TJ GWh'!$A$2:$BV$2,0))</f>
        <v>0</v>
      </c>
      <c r="Q123" s="17">
        <f>INDEX('Eurostat EB TJ GWh'!$A$2:$BV$146,MATCH($A123,'Eurostat EB TJ GWh'!$A$2:$A$146,0),MATCH(Q$3,'Eurostat EB TJ GWh'!$A$2:$BV$2,0))</f>
        <v>0</v>
      </c>
      <c r="R123" s="17">
        <f>INDEX('Eurostat EB TJ GWh'!$A$2:$BV$146,MATCH($A123,'Eurostat EB TJ GWh'!$A$2:$A$146,0),MATCH(R$2,'Eurostat EB TJ GWh'!$A$2:$BV$2,0))+INDEX('Eurostat EB TJ GWh'!$A$2:$BV$146,MATCH($A123,'Eurostat EB TJ GWh'!$A$2:$A$146,0),MATCH(R$3,'Eurostat EB TJ GWh'!$A$2:$BV$2,0))</f>
        <v>0</v>
      </c>
      <c r="S123" s="17">
        <f>INDEX('Eurostat EB TJ GWh'!$A$2:$BV$146,MATCH($A123,'Eurostat EB TJ GWh'!$A$2:$A$146,0),MATCH(S$3,'Eurostat EB TJ GWh'!$A$2:$BV$2,0))</f>
        <v>0</v>
      </c>
      <c r="T123" s="65" t="s">
        <v>323</v>
      </c>
      <c r="U123" s="17">
        <f>INDEX('Eurostat EB TJ GWh'!$A$2:$BV$146,MATCH($A123,'Eurostat EB TJ GWh'!$A$2:$A$146,0),MATCH(U$3,'Eurostat EB TJ GWh'!$A$2:$BV$2,0))</f>
        <v>0</v>
      </c>
      <c r="V123" s="17">
        <f>INDEX('Eurostat EB TJ GWh'!$A$2:$BV$146,MATCH($A123,'Eurostat EB TJ GWh'!$A$2:$A$146,0),MATCH(V$3,'Eurostat EB TJ GWh'!$A$2:$BV$2,0))</f>
        <v>0</v>
      </c>
      <c r="W123" s="17">
        <f>INDEX('Eurostat EB TJ GWh'!$A$2:$BV$146,MATCH($A123,'Eurostat EB TJ GWh'!$A$2:$A$146,0),MATCH(W$3,'Eurostat EB TJ GWh'!$A$2:$BV$2,0))</f>
        <v>0</v>
      </c>
      <c r="X123" s="17">
        <f>INDEX('Eurostat EB TJ GWh'!$A$2:$BV$146,MATCH($A123,'Eurostat EB TJ GWh'!$A$2:$A$146,0),MATCH(X$3,'Eurostat EB TJ GWh'!$A$2:$BV$2,0))</f>
        <v>0</v>
      </c>
      <c r="Y123" s="17">
        <f>INDEX('Eurostat EB TJ GWh'!$A$2:$BV$146,MATCH($A123,'Eurostat EB TJ GWh'!$A$2:$A$146,0),MATCH(Y$3,'Eurostat EB TJ GWh'!$A$2:$BV$2,0))</f>
        <v>0</v>
      </c>
      <c r="Z123" s="17">
        <f>INDEX('Eurostat EB TJ GWh'!$A$2:$BV$146,MATCH($A123,'Eurostat EB TJ GWh'!$A$2:$A$146,0),MATCH(Z$3,'Eurostat EB TJ GWh'!$A$2:$BV$2,0))</f>
        <v>0</v>
      </c>
      <c r="AA123" s="17">
        <f>INDEX('Eurostat EB TJ GWh'!$A$2:$BV$146,MATCH($A123,'Eurostat EB TJ GWh'!$A$2:$A$146,0),MATCH(AA$3,'Eurostat EB TJ GWh'!$A$2:$BV$2,0))</f>
        <v>0</v>
      </c>
      <c r="AB123" s="17">
        <f>INDEX('Eurostat EB TJ GWh'!$A$2:$BV$146,MATCH($A123,'Eurostat EB TJ GWh'!$A$2:$A$146,0),MATCH(AB$3,'Eurostat EB TJ GWh'!$A$2:$BV$2,0))</f>
        <v>0</v>
      </c>
      <c r="AC123" s="17">
        <f>INDEX('Eurostat EB TJ GWh'!$A$2:$BV$146,MATCH($A123,'Eurostat EB TJ GWh'!$A$2:$A$146,0),MATCH(AC$3,'Eurostat EB TJ GWh'!$A$2:$BV$2,0))</f>
        <v>0</v>
      </c>
      <c r="AD123" s="17">
        <f>INDEX('Eurostat EB TJ GWh'!$A$2:$BV$146,MATCH($A123,'Eurostat EB TJ GWh'!$A$2:$A$146,0),MATCH(AD$3,'Eurostat EB TJ GWh'!$A$2:$BV$2,0))</f>
        <v>0</v>
      </c>
      <c r="AE123" s="17">
        <f>INDEX('Eurostat EB TJ GWh'!$A$2:$BV$146,MATCH($A123,'Eurostat EB TJ GWh'!$A$2:$A$146,0),MATCH(AE$3,'Eurostat EB TJ GWh'!$A$2:$BV$2,0))</f>
        <v>0</v>
      </c>
      <c r="AF123" s="17">
        <f>INDEX('Eurostat EB TJ GWh'!$A$2:$BV$146,MATCH($A123,'Eurostat EB TJ GWh'!$A$2:$A$146,0),MATCH(AF$3,'Eurostat EB TJ GWh'!$A$2:$BV$2,0))</f>
        <v>0</v>
      </c>
      <c r="AG123" s="17">
        <f>INDEX('Eurostat EB TJ GWh'!$A$2:$BV$146,MATCH($A123,'Eurostat EB TJ GWh'!$A$2:$A$146,0),MATCH(AG$3,'Eurostat EB TJ GWh'!$A$2:$BV$2,0))</f>
        <v>0</v>
      </c>
      <c r="AH123" s="17">
        <f>INDEX('Eurostat EB TJ GWh'!$A$2:$BV$146,MATCH($A123,'Eurostat EB TJ GWh'!$A$2:$A$146,0),MATCH(AH$3,'Eurostat EB TJ GWh'!$A$2:$BV$2,0))</f>
        <v>4725.7479999999996</v>
      </c>
      <c r="AI123" s="17">
        <f>INDEX('Eurostat EB TJ GWh'!$A$2:$BV$146,MATCH($A123,'Eurostat EB TJ GWh'!$A$2:$A$146,0),MATCH(AI$3,'Eurostat EB TJ GWh'!$A$2:$BV$2,0))</f>
        <v>0</v>
      </c>
      <c r="AJ123" s="17">
        <f>INDEX('Eurostat EB TJ GWh'!$A$2:$BV$146,MATCH($A123,'Eurostat EB TJ GWh'!$A$2:$A$146,0),MATCH(AJ$3,'Eurostat EB TJ GWh'!$A$2:$BV$2,0))</f>
        <v>0</v>
      </c>
      <c r="AK123" s="17">
        <f>INDEX('Eurostat EB TJ GWh'!$A$2:$BV$146,MATCH($A123,'Eurostat EB TJ GWh'!$A$2:$A$146,0),MATCH(AK$3,'Eurostat EB TJ GWh'!$A$2:$BV$2,0))</f>
        <v>0</v>
      </c>
      <c r="AL123" s="17">
        <f>INDEX('Eurostat EB TJ GWh'!$A$2:$BV$146,MATCH($A123,'Eurostat EB TJ GWh'!$A$2:$A$146,0),MATCH(AL$3,'Eurostat EB TJ GWh'!$A$2:$BV$2,0))</f>
        <v>0</v>
      </c>
      <c r="AM123" s="17">
        <f>INDEX('Eurostat EB TJ GWh'!$A$2:$BV$146,MATCH($A123,'Eurostat EB TJ GWh'!$A$2:$A$146,0),MATCH(AM$3,'Eurostat EB TJ GWh'!$A$2:$BV$2,0))</f>
        <v>0</v>
      </c>
      <c r="AN123" s="17">
        <f>INDEX('Eurostat EB TJ GWh'!$A$2:$BV$146,MATCH($A123,'Eurostat EB TJ GWh'!$A$2:$A$146,0),MATCH(AN$3,'Eurostat EB TJ GWh'!$A$2:$BV$2,0))</f>
        <v>0</v>
      </c>
      <c r="AO123" s="17">
        <f>INDEX('Eurostat EB TJ GWh'!$A$2:$BV$146,MATCH($A123,'Eurostat EB TJ GWh'!$A$2:$A$146,0),MATCH(AO$3,'Eurostat EB TJ GWh'!$A$2:$BV$2,0))</f>
        <v>0</v>
      </c>
      <c r="AP123" s="17">
        <f>INDEX('Eurostat EB TJ GWh'!$A$2:$BV$146,MATCH($A123,'Eurostat EB TJ GWh'!$A$2:$A$146,0),MATCH(AP$3,'Eurostat EB TJ GWh'!$A$2:$BV$2,0))</f>
        <v>0</v>
      </c>
      <c r="AQ123" s="17">
        <f>INDEX('Eurostat EB TJ GWh'!$A$2:$BV$146,MATCH($A123,'Eurostat EB TJ GWh'!$A$2:$A$146,0),MATCH(AQ$3,'Eurostat EB TJ GWh'!$A$2:$BV$2,0))</f>
        <v>0</v>
      </c>
      <c r="AR123" s="17">
        <f>INDEX('Eurostat EB TJ GWh'!$A$2:$BV$146,MATCH($A123,'Eurostat EB TJ GWh'!$A$2:$A$146,0),MATCH(AR$3,'Eurostat EB TJ GWh'!$A$2:$BV$2,0))</f>
        <v>0</v>
      </c>
      <c r="AS123" s="17">
        <f>INDEX('Eurostat EB TJ GWh'!$A$2:$BV$146,MATCH($A123,'Eurostat EB TJ GWh'!$A$2:$A$146,0),MATCH(AS$3,'Eurostat EB TJ GWh'!$A$2:$BV$2,0))</f>
        <v>0</v>
      </c>
      <c r="AT123" s="17">
        <f>INDEX('Eurostat EB TJ GWh'!$A$2:$BV$146,MATCH($A123,'Eurostat EB TJ GWh'!$A$2:$A$146,0),MATCH(AT$3,'Eurostat EB TJ GWh'!$A$2:$BV$2,0))</f>
        <v>0</v>
      </c>
      <c r="AU123" s="17">
        <f>INDEX('Eurostat EB TJ GWh'!$A$2:$BV$146,MATCH($A123,'Eurostat EB TJ GWh'!$A$2:$A$146,0),MATCH(AU$3,'Eurostat EB TJ GWh'!$A$2:$BV$2,0))</f>
        <v>0</v>
      </c>
      <c r="AV123" s="17">
        <f>INDEX('Eurostat EB TJ GWh'!$A$2:$BV$146,MATCH($A123,'Eurostat EB TJ GWh'!$A$2:$A$146,0),MATCH(AV$2,'Eurostat EB TJ GWh'!$A$2:$BV$2,0))+INDEX('Eurostat EB TJ GWh'!$A$2:$BV$146,MATCH($A123,'Eurostat EB TJ GWh'!$A$2:$A$146,0),MATCH(AV$3,'Eurostat EB TJ GWh'!$A$2:$BV$2,0))</f>
        <v>0</v>
      </c>
      <c r="AW123" s="17">
        <f>INDEX('Eurostat EB TJ GWh'!$A$2:$BV$146,MATCH($A123,'Eurostat EB TJ GWh'!$A$2:$A$146,0),MATCH(AW$2,'Eurostat EB TJ GWh'!$A$2:$BV$2,0))+INDEX('Eurostat EB TJ GWh'!$A$2:$BV$146,MATCH($A123,'Eurostat EB TJ GWh'!$A$2:$A$146,0),MATCH(AW$3,'Eurostat EB TJ GWh'!$A$2:$BV$2,0))</f>
        <v>0</v>
      </c>
      <c r="AX123" s="17">
        <f>INDEX('Eurostat EB TJ GWh'!$A$2:$BV$146,MATCH($A123,'Eurostat EB TJ GWh'!$A$2:$A$146,0),MATCH(AX$3,'Eurostat EB TJ GWh'!$A$2:$BV$2,0))</f>
        <v>0</v>
      </c>
      <c r="AY123" s="65">
        <v>0</v>
      </c>
      <c r="AZ123" s="17">
        <f>INDEX('Eurostat EB TJ GWh'!$A$2:$BV$146,MATCH($A123,'Eurostat EB TJ GWh'!$A$2:$A$146,0),MATCH(AZ$3,'Eurostat EB TJ GWh'!$A$2:$BV$2,0))</f>
        <v>0</v>
      </c>
      <c r="BA123" s="65">
        <v>0</v>
      </c>
      <c r="BB123" s="65">
        <v>0</v>
      </c>
      <c r="BC123" s="17">
        <f>INDEX('Eurostat EB TJ GWh'!$A$2:$BV$146,MATCH($A123,'Eurostat EB TJ GWh'!$A$2:$A$146,0),MATCH(BC$3,'Eurostat EB TJ GWh'!$A$2:$BV$2,0))</f>
        <v>0</v>
      </c>
      <c r="BD123" s="17">
        <f>INDEX('Eurostat EB TJ GWh'!$A$2:$BV$146,MATCH($A123,'Eurostat EB TJ GWh'!$A$2:$A$146,0),MATCH(BD$3,'Eurostat EB TJ GWh'!$A$2:$BV$2,0))</f>
        <v>0</v>
      </c>
      <c r="BE123" s="17">
        <f>INDEX('Eurostat EB TJ GWh'!$A$2:$BV$146,MATCH($A123,'Eurostat EB TJ GWh'!$A$2:$A$146,0),MATCH(BE$3,'Eurostat EB TJ GWh'!$A$2:$BV$2,0))</f>
        <v>0</v>
      </c>
      <c r="BF123" s="17">
        <f>INDEX('Eurostat EB TJ GWh'!$A$2:$BV$146,MATCH($A123,'Eurostat EB TJ GWh'!$A$2:$A$146,0),MATCH(BF$3,'Eurostat EB TJ GWh'!$A$2:$BV$2,0))</f>
        <v>0</v>
      </c>
      <c r="BG123" s="17">
        <f>INDEX('Eurostat EB TJ GWh'!$A$2:$BV$146,MATCH($A123,'Eurostat EB TJ GWh'!$A$2:$A$146,0),MATCH(BG$3,'Eurostat EB TJ GWh'!$A$2:$BV$2,0))</f>
        <v>0</v>
      </c>
      <c r="BH123" s="17">
        <f>INDEX('Eurostat EB TJ GWh'!$A$2:$BV$146,MATCH($A123,'Eurostat EB TJ GWh'!$A$2:$A$146,0),MATCH(BH$3,'Eurostat EB TJ GWh'!$A$2:$BV$2,0))</f>
        <v>0</v>
      </c>
      <c r="BI123" s="17">
        <f>INDEX('Eurostat EB TJ GWh'!$A$2:$BV$146,MATCH($A123,'Eurostat EB TJ GWh'!$A$2:$A$146,0),MATCH(BI$3,'Eurostat EB TJ GWh'!$A$2:$BV$2,0))</f>
        <v>0</v>
      </c>
      <c r="BJ123" s="65">
        <v>0</v>
      </c>
      <c r="BK123" s="17">
        <f>INDEX('Eurostat EB TJ GWh'!$A$2:$BV$146,MATCH($A123,'Eurostat EB TJ GWh'!$A$2:$A$146,0),MATCH(BK$3,'Eurostat EB TJ GWh'!$A$2:$BV$2,0))</f>
        <v>0</v>
      </c>
      <c r="BL123" s="17">
        <f>INDEX('Eurostat EB TJ GWh'!$A$2:$BV$146,MATCH($A123,'Eurostat EB TJ GWh'!$A$2:$A$146,0),MATCH(BL$3,'Eurostat EB TJ GWh'!$A$2:$BV$2,0))</f>
        <v>0</v>
      </c>
      <c r="BM123" s="17">
        <f>INDEX('Eurostat EB TJ GWh'!$A$2:$BV$146,MATCH($A123,'Eurostat EB TJ GWh'!$A$2:$A$146,0),MATCH(BM$3,'Eurostat EB TJ GWh'!$A$2:$BV$2,0))</f>
        <v>4725.7479999999996</v>
      </c>
      <c r="BN123" s="17">
        <f>INDEX('Eurostat EB TJ GWh'!$A$2:$BV$146,MATCH($A123,'Eurostat EB TJ GWh'!$A$2:$A$146,0),MATCH(BN$3,'Eurostat EB TJ GWh'!$A$2:$BV$2,0))</f>
        <v>0</v>
      </c>
    </row>
    <row r="124" spans="1:66" x14ac:dyDescent="0.2">
      <c r="A124" s="56" t="s">
        <v>313</v>
      </c>
      <c r="B124" s="65" t="s">
        <v>323</v>
      </c>
      <c r="C124" s="65" t="s">
        <v>323</v>
      </c>
      <c r="D124" s="57">
        <f>INDEX('Eurostat EB TJ GWh'!$A$2:$BV$146,MATCH($A124,'Eurostat EB TJ GWh'!$A$2:$A$146,0),MATCH(D$3,'Eurostat EB TJ GWh'!$A$2:$BV$2,0))</f>
        <v>0</v>
      </c>
      <c r="E124" s="57">
        <f>INDEX('Eurostat EB TJ GWh'!$A$2:$BV$146,MATCH($A124,'Eurostat EB TJ GWh'!$A$2:$A$146,0),MATCH(E$3,'Eurostat EB TJ GWh'!$A$2:$BV$2,0))</f>
        <v>0</v>
      </c>
      <c r="F124" s="57">
        <f>INDEX('Eurostat EB TJ GWh'!$A$2:$BV$146,MATCH($A124,'Eurostat EB TJ GWh'!$A$2:$A$146,0),MATCH(F$3,'Eurostat EB TJ GWh'!$A$2:$BV$2,0))</f>
        <v>0</v>
      </c>
      <c r="G124" s="57">
        <f>INDEX('Eurostat EB TJ GWh'!$A$2:$BV$146,MATCH($A124,'Eurostat EB TJ GWh'!$A$2:$A$146,0),MATCH(G$3,'Eurostat EB TJ GWh'!$A$2:$BV$2,0))</f>
        <v>0</v>
      </c>
      <c r="H124" s="57">
        <f>INDEX('Eurostat EB TJ GWh'!$A$2:$BV$146,MATCH($A124,'Eurostat EB TJ GWh'!$A$2:$A$146,0),MATCH(H$3,'Eurostat EB TJ GWh'!$A$2:$BV$2,0))</f>
        <v>0</v>
      </c>
      <c r="I124" s="57">
        <f>INDEX('Eurostat EB TJ GWh'!$A$2:$BV$146,MATCH($A124,'Eurostat EB TJ GWh'!$A$2:$A$146,0),MATCH(I$3,'Eurostat EB TJ GWh'!$A$2:$BV$2,0))</f>
        <v>0</v>
      </c>
      <c r="J124" s="57">
        <f>INDEX('Eurostat EB TJ GWh'!$A$2:$BV$146,MATCH($A124,'Eurostat EB TJ GWh'!$A$2:$A$146,0),MATCH(J$3,'Eurostat EB TJ GWh'!$A$2:$BV$2,0))</f>
        <v>0</v>
      </c>
      <c r="K124" s="57">
        <f>INDEX('Eurostat EB TJ GWh'!$A$2:$BV$146,MATCH($A124,'Eurostat EB TJ GWh'!$A$2:$A$146,0),MATCH(K$3,'Eurostat EB TJ GWh'!$A$2:$BV$2,0))</f>
        <v>0</v>
      </c>
      <c r="L124" s="57">
        <f>INDEX('Eurostat EB TJ GWh'!$A$2:$BV$146,MATCH($A124,'Eurostat EB TJ GWh'!$A$2:$A$146,0),MATCH(L$3,'Eurostat EB TJ GWh'!$A$2:$BV$2,0))</f>
        <v>0</v>
      </c>
      <c r="M124" s="57">
        <f>INDEX('Eurostat EB TJ GWh'!$A$2:$BV$146,MATCH($A124,'Eurostat EB TJ GWh'!$A$2:$A$146,0),MATCH(M$3,'Eurostat EB TJ GWh'!$A$2:$BV$2,0))</f>
        <v>0</v>
      </c>
      <c r="N124" s="57">
        <f>INDEX('Eurostat EB TJ GWh'!$A$2:$BV$146,MATCH($A124,'Eurostat EB TJ GWh'!$A$2:$A$146,0),MATCH(N$3,'Eurostat EB TJ GWh'!$A$2:$BV$2,0))</f>
        <v>0</v>
      </c>
      <c r="O124" s="57">
        <f>INDEX('Eurostat EB TJ GWh'!$A$2:$BV$146,MATCH($A124,'Eurostat EB TJ GWh'!$A$2:$A$146,0),MATCH(O$3,'Eurostat EB TJ GWh'!$A$2:$BV$2,0))</f>
        <v>0</v>
      </c>
      <c r="P124" s="57">
        <f>INDEX('Eurostat EB TJ GWh'!$A$2:$BV$146,MATCH($A124,'Eurostat EB TJ GWh'!$A$2:$A$146,0),MATCH(P$3,'Eurostat EB TJ GWh'!$A$2:$BV$2,0))</f>
        <v>0</v>
      </c>
      <c r="Q124" s="57">
        <f>INDEX('Eurostat EB TJ GWh'!$A$2:$BV$146,MATCH($A124,'Eurostat EB TJ GWh'!$A$2:$A$146,0),MATCH(Q$3,'Eurostat EB TJ GWh'!$A$2:$BV$2,0))</f>
        <v>0</v>
      </c>
      <c r="R124" s="57">
        <f>INDEX('Eurostat EB TJ GWh'!$A$2:$BV$146,MATCH($A124,'Eurostat EB TJ GWh'!$A$2:$A$146,0),MATCH(R$2,'Eurostat EB TJ GWh'!$A$2:$BV$2,0))+INDEX('Eurostat EB TJ GWh'!$A$2:$BV$146,MATCH($A124,'Eurostat EB TJ GWh'!$A$2:$A$146,0),MATCH(R$3,'Eurostat EB TJ GWh'!$A$2:$BV$2,0))</f>
        <v>0</v>
      </c>
      <c r="S124" s="57">
        <f>INDEX('Eurostat EB TJ GWh'!$A$2:$BV$146,MATCH($A124,'Eurostat EB TJ GWh'!$A$2:$A$146,0),MATCH(S$3,'Eurostat EB TJ GWh'!$A$2:$BV$2,0))</f>
        <v>85.927000000000007</v>
      </c>
      <c r="T124" s="65" t="s">
        <v>323</v>
      </c>
      <c r="U124" s="57">
        <f>INDEX('Eurostat EB TJ GWh'!$A$2:$BV$146,MATCH($A124,'Eurostat EB TJ GWh'!$A$2:$A$146,0),MATCH(U$3,'Eurostat EB TJ GWh'!$A$2:$BV$2,0))</f>
        <v>0</v>
      </c>
      <c r="V124" s="57">
        <f>INDEX('Eurostat EB TJ GWh'!$A$2:$BV$146,MATCH($A124,'Eurostat EB TJ GWh'!$A$2:$A$146,0),MATCH(V$3,'Eurostat EB TJ GWh'!$A$2:$BV$2,0))</f>
        <v>0</v>
      </c>
      <c r="W124" s="57">
        <f>INDEX('Eurostat EB TJ GWh'!$A$2:$BV$146,MATCH($A124,'Eurostat EB TJ GWh'!$A$2:$A$146,0),MATCH(W$3,'Eurostat EB TJ GWh'!$A$2:$BV$2,0))</f>
        <v>0</v>
      </c>
      <c r="X124" s="57">
        <f>INDEX('Eurostat EB TJ GWh'!$A$2:$BV$146,MATCH($A124,'Eurostat EB TJ GWh'!$A$2:$A$146,0),MATCH(X$3,'Eurostat EB TJ GWh'!$A$2:$BV$2,0))</f>
        <v>0</v>
      </c>
      <c r="Y124" s="57">
        <f>INDEX('Eurostat EB TJ GWh'!$A$2:$BV$146,MATCH($A124,'Eurostat EB TJ GWh'!$A$2:$A$146,0),MATCH(Y$3,'Eurostat EB TJ GWh'!$A$2:$BV$2,0))</f>
        <v>0</v>
      </c>
      <c r="Z124" s="57">
        <f>INDEX('Eurostat EB TJ GWh'!$A$2:$BV$146,MATCH($A124,'Eurostat EB TJ GWh'!$A$2:$A$146,0),MATCH(Z$3,'Eurostat EB TJ GWh'!$A$2:$BV$2,0))</f>
        <v>0</v>
      </c>
      <c r="AA124" s="57">
        <f>INDEX('Eurostat EB TJ GWh'!$A$2:$BV$146,MATCH($A124,'Eurostat EB TJ GWh'!$A$2:$A$146,0),MATCH(AA$3,'Eurostat EB TJ GWh'!$A$2:$BV$2,0))</f>
        <v>0</v>
      </c>
      <c r="AB124" s="57">
        <f>INDEX('Eurostat EB TJ GWh'!$A$2:$BV$146,MATCH($A124,'Eurostat EB TJ GWh'!$A$2:$A$146,0),MATCH(AB$3,'Eurostat EB TJ GWh'!$A$2:$BV$2,0))</f>
        <v>0</v>
      </c>
      <c r="AC124" s="57">
        <f>INDEX('Eurostat EB TJ GWh'!$A$2:$BV$146,MATCH($A124,'Eurostat EB TJ GWh'!$A$2:$A$146,0),MATCH(AC$3,'Eurostat EB TJ GWh'!$A$2:$BV$2,0))</f>
        <v>0</v>
      </c>
      <c r="AD124" s="57">
        <f>INDEX('Eurostat EB TJ GWh'!$A$2:$BV$146,MATCH($A124,'Eurostat EB TJ GWh'!$A$2:$A$146,0),MATCH(AD$3,'Eurostat EB TJ GWh'!$A$2:$BV$2,0))</f>
        <v>0</v>
      </c>
      <c r="AE124" s="57">
        <f>INDEX('Eurostat EB TJ GWh'!$A$2:$BV$146,MATCH($A124,'Eurostat EB TJ GWh'!$A$2:$A$146,0),MATCH(AE$3,'Eurostat EB TJ GWh'!$A$2:$BV$2,0))</f>
        <v>0</v>
      </c>
      <c r="AF124" s="57">
        <f>INDEX('Eurostat EB TJ GWh'!$A$2:$BV$146,MATCH($A124,'Eurostat EB TJ GWh'!$A$2:$A$146,0),MATCH(AF$3,'Eurostat EB TJ GWh'!$A$2:$BV$2,0))</f>
        <v>1588.748</v>
      </c>
      <c r="AG124" s="57">
        <f>INDEX('Eurostat EB TJ GWh'!$A$2:$BV$146,MATCH($A124,'Eurostat EB TJ GWh'!$A$2:$A$146,0),MATCH(AG$3,'Eurostat EB TJ GWh'!$A$2:$BV$2,0))</f>
        <v>0</v>
      </c>
      <c r="AH124" s="57">
        <f>INDEX('Eurostat EB TJ GWh'!$A$2:$BV$146,MATCH($A124,'Eurostat EB TJ GWh'!$A$2:$A$146,0),MATCH(AH$3,'Eurostat EB TJ GWh'!$A$2:$BV$2,0))</f>
        <v>2030.8430000000001</v>
      </c>
      <c r="AI124" s="57">
        <f>INDEX('Eurostat EB TJ GWh'!$A$2:$BV$146,MATCH($A124,'Eurostat EB TJ GWh'!$A$2:$A$146,0),MATCH(AI$3,'Eurostat EB TJ GWh'!$A$2:$BV$2,0))</f>
        <v>0</v>
      </c>
      <c r="AJ124" s="57">
        <f>INDEX('Eurostat EB TJ GWh'!$A$2:$BV$146,MATCH($A124,'Eurostat EB TJ GWh'!$A$2:$A$146,0),MATCH(AJ$3,'Eurostat EB TJ GWh'!$A$2:$BV$2,0))</f>
        <v>0</v>
      </c>
      <c r="AK124" s="57">
        <f>INDEX('Eurostat EB TJ GWh'!$A$2:$BV$146,MATCH($A124,'Eurostat EB TJ GWh'!$A$2:$A$146,0),MATCH(AK$3,'Eurostat EB TJ GWh'!$A$2:$BV$2,0))</f>
        <v>0</v>
      </c>
      <c r="AL124" s="57">
        <f>INDEX('Eurostat EB TJ GWh'!$A$2:$BV$146,MATCH($A124,'Eurostat EB TJ GWh'!$A$2:$A$146,0),MATCH(AL$3,'Eurostat EB TJ GWh'!$A$2:$BV$2,0))</f>
        <v>0</v>
      </c>
      <c r="AM124" s="57">
        <f>INDEX('Eurostat EB TJ GWh'!$A$2:$BV$146,MATCH($A124,'Eurostat EB TJ GWh'!$A$2:$A$146,0),MATCH(AM$3,'Eurostat EB TJ GWh'!$A$2:$BV$2,0))</f>
        <v>0</v>
      </c>
      <c r="AN124" s="57">
        <f>INDEX('Eurostat EB TJ GWh'!$A$2:$BV$146,MATCH($A124,'Eurostat EB TJ GWh'!$A$2:$A$146,0),MATCH(AN$3,'Eurostat EB TJ GWh'!$A$2:$BV$2,0))</f>
        <v>0</v>
      </c>
      <c r="AO124" s="57">
        <f>INDEX('Eurostat EB TJ GWh'!$A$2:$BV$146,MATCH($A124,'Eurostat EB TJ GWh'!$A$2:$A$146,0),MATCH(AO$3,'Eurostat EB TJ GWh'!$A$2:$BV$2,0))</f>
        <v>0</v>
      </c>
      <c r="AP124" s="57">
        <f>INDEX('Eurostat EB TJ GWh'!$A$2:$BV$146,MATCH($A124,'Eurostat EB TJ GWh'!$A$2:$A$146,0),MATCH(AP$3,'Eurostat EB TJ GWh'!$A$2:$BV$2,0))</f>
        <v>0</v>
      </c>
      <c r="AQ124" s="57">
        <f>INDEX('Eurostat EB TJ GWh'!$A$2:$BV$146,MATCH($A124,'Eurostat EB TJ GWh'!$A$2:$A$146,0),MATCH(AQ$3,'Eurostat EB TJ GWh'!$A$2:$BV$2,0))</f>
        <v>0</v>
      </c>
      <c r="AR124" s="57">
        <f>INDEX('Eurostat EB TJ GWh'!$A$2:$BV$146,MATCH($A124,'Eurostat EB TJ GWh'!$A$2:$A$146,0),MATCH(AR$3,'Eurostat EB TJ GWh'!$A$2:$BV$2,0))</f>
        <v>0</v>
      </c>
      <c r="AS124" s="57">
        <f>INDEX('Eurostat EB TJ GWh'!$A$2:$BV$146,MATCH($A124,'Eurostat EB TJ GWh'!$A$2:$A$146,0),MATCH(AS$3,'Eurostat EB TJ GWh'!$A$2:$BV$2,0))</f>
        <v>0</v>
      </c>
      <c r="AT124" s="57">
        <f>INDEX('Eurostat EB TJ GWh'!$A$2:$BV$146,MATCH($A124,'Eurostat EB TJ GWh'!$A$2:$A$146,0),MATCH(AT$3,'Eurostat EB TJ GWh'!$A$2:$BV$2,0))</f>
        <v>0</v>
      </c>
      <c r="AU124" s="57">
        <f>INDEX('Eurostat EB TJ GWh'!$A$2:$BV$146,MATCH($A124,'Eurostat EB TJ GWh'!$A$2:$A$146,0),MATCH(AU$3,'Eurostat EB TJ GWh'!$A$2:$BV$2,0))</f>
        <v>0</v>
      </c>
      <c r="AV124" s="57">
        <f>INDEX('Eurostat EB TJ GWh'!$A$2:$BV$146,MATCH($A124,'Eurostat EB TJ GWh'!$A$2:$A$146,0),MATCH(AV$2,'Eurostat EB TJ GWh'!$A$2:$BV$2,0))+INDEX('Eurostat EB TJ GWh'!$A$2:$BV$146,MATCH($A124,'Eurostat EB TJ GWh'!$A$2:$A$146,0),MATCH(AV$3,'Eurostat EB TJ GWh'!$A$2:$BV$2,0))</f>
        <v>0</v>
      </c>
      <c r="AW124" s="57">
        <f>INDEX('Eurostat EB TJ GWh'!$A$2:$BV$146,MATCH($A124,'Eurostat EB TJ GWh'!$A$2:$A$146,0),MATCH(AW$2,'Eurostat EB TJ GWh'!$A$2:$BV$2,0))+INDEX('Eurostat EB TJ GWh'!$A$2:$BV$146,MATCH($A124,'Eurostat EB TJ GWh'!$A$2:$A$146,0),MATCH(AW$3,'Eurostat EB TJ GWh'!$A$2:$BV$2,0))</f>
        <v>0</v>
      </c>
      <c r="AX124" s="57">
        <f>INDEX('Eurostat EB TJ GWh'!$A$2:$BV$146,MATCH($A124,'Eurostat EB TJ GWh'!$A$2:$A$146,0),MATCH(AX$3,'Eurostat EB TJ GWh'!$A$2:$BV$2,0))</f>
        <v>0</v>
      </c>
      <c r="AY124" s="72">
        <v>0</v>
      </c>
      <c r="AZ124" s="57">
        <f>INDEX('Eurostat EB TJ GWh'!$A$2:$BV$146,MATCH($A124,'Eurostat EB TJ GWh'!$A$2:$A$146,0),MATCH(AZ$3,'Eurostat EB TJ GWh'!$A$2:$BV$2,0))</f>
        <v>0</v>
      </c>
      <c r="BA124" s="72">
        <v>0</v>
      </c>
      <c r="BB124" s="72">
        <v>0</v>
      </c>
      <c r="BC124" s="57">
        <f>INDEX('Eurostat EB TJ GWh'!$A$2:$BV$146,MATCH($A124,'Eurostat EB TJ GWh'!$A$2:$A$146,0),MATCH(BC$3,'Eurostat EB TJ GWh'!$A$2:$BV$2,0))</f>
        <v>0</v>
      </c>
      <c r="BD124" s="57">
        <f>INDEX('Eurostat EB TJ GWh'!$A$2:$BV$146,MATCH($A124,'Eurostat EB TJ GWh'!$A$2:$A$146,0),MATCH(BD$3,'Eurostat EB TJ GWh'!$A$2:$BV$2,0))</f>
        <v>0</v>
      </c>
      <c r="BE124" s="57">
        <f>INDEX('Eurostat EB TJ GWh'!$A$2:$BV$146,MATCH($A124,'Eurostat EB TJ GWh'!$A$2:$A$146,0),MATCH(BE$3,'Eurostat EB TJ GWh'!$A$2:$BV$2,0))</f>
        <v>0</v>
      </c>
      <c r="BF124" s="57">
        <f>INDEX('Eurostat EB TJ GWh'!$A$2:$BV$146,MATCH($A124,'Eurostat EB TJ GWh'!$A$2:$A$146,0),MATCH(BF$3,'Eurostat EB TJ GWh'!$A$2:$BV$2,0))</f>
        <v>0</v>
      </c>
      <c r="BG124" s="57">
        <f>INDEX('Eurostat EB TJ GWh'!$A$2:$BV$146,MATCH($A124,'Eurostat EB TJ GWh'!$A$2:$A$146,0),MATCH(BG$3,'Eurostat EB TJ GWh'!$A$2:$BV$2,0))</f>
        <v>0</v>
      </c>
      <c r="BH124" s="57">
        <f>INDEX('Eurostat EB TJ GWh'!$A$2:$BV$146,MATCH($A124,'Eurostat EB TJ GWh'!$A$2:$A$146,0),MATCH(BH$3,'Eurostat EB TJ GWh'!$A$2:$BV$2,0))</f>
        <v>0</v>
      </c>
      <c r="BI124" s="57">
        <f>INDEX('Eurostat EB TJ GWh'!$A$2:$BV$146,MATCH($A124,'Eurostat EB TJ GWh'!$A$2:$A$146,0),MATCH(BI$3,'Eurostat EB TJ GWh'!$A$2:$BV$2,0))</f>
        <v>0</v>
      </c>
      <c r="BJ124" s="72">
        <v>0</v>
      </c>
      <c r="BK124" s="57">
        <f>INDEX('Eurostat EB TJ GWh'!$A$2:$BV$146,MATCH($A124,'Eurostat EB TJ GWh'!$A$2:$A$146,0),MATCH(BK$3,'Eurostat EB TJ GWh'!$A$2:$BV$2,0))</f>
        <v>0</v>
      </c>
      <c r="BL124" s="57">
        <f>INDEX('Eurostat EB TJ GWh'!$A$2:$BV$146,MATCH($A124,'Eurostat EB TJ GWh'!$A$2:$A$146,0),MATCH(BL$3,'Eurostat EB TJ GWh'!$A$2:$BV$2,0))</f>
        <v>0</v>
      </c>
      <c r="BM124" s="57">
        <f>INDEX('Eurostat EB TJ GWh'!$A$2:$BV$146,MATCH($A124,'Eurostat EB TJ GWh'!$A$2:$A$146,0),MATCH(BM$3,'Eurostat EB TJ GWh'!$A$2:$BV$2,0))</f>
        <v>4052.123</v>
      </c>
      <c r="BN124" s="57">
        <f>INDEX('Eurostat EB TJ GWh'!$A$2:$BV$146,MATCH($A124,'Eurostat EB TJ GWh'!$A$2:$A$146,0),MATCH(BN$3,'Eurostat EB TJ GWh'!$A$2:$BV$2,0))</f>
        <v>0.88</v>
      </c>
    </row>
    <row r="125" spans="1:66" x14ac:dyDescent="0.2">
      <c r="A125" s="56" t="s">
        <v>112</v>
      </c>
      <c r="B125" s="65" t="s">
        <v>323</v>
      </c>
      <c r="C125" s="65" t="s">
        <v>323</v>
      </c>
      <c r="D125" s="17">
        <f>INDEX('Eurostat EB TJ GWh'!$A$2:$BV$146,MATCH($A125,'Eurostat EB TJ GWh'!$A$2:$A$146,0),MATCH(D$3,'Eurostat EB TJ GWh'!$A$2:$BV$2,0))</f>
        <v>0</v>
      </c>
      <c r="E125" s="17">
        <f>INDEX('Eurostat EB TJ GWh'!$A$2:$BV$146,MATCH($A125,'Eurostat EB TJ GWh'!$A$2:$A$146,0),MATCH(E$3,'Eurostat EB TJ GWh'!$A$2:$BV$2,0))</f>
        <v>0</v>
      </c>
      <c r="F125" s="17">
        <f>INDEX('Eurostat EB TJ GWh'!$A$2:$BV$146,MATCH($A125,'Eurostat EB TJ GWh'!$A$2:$A$146,0),MATCH(F$3,'Eurostat EB TJ GWh'!$A$2:$BV$2,0))</f>
        <v>176.274</v>
      </c>
      <c r="G125" s="17">
        <f>INDEX('Eurostat EB TJ GWh'!$A$2:$BV$146,MATCH($A125,'Eurostat EB TJ GWh'!$A$2:$A$146,0),MATCH(G$3,'Eurostat EB TJ GWh'!$A$2:$BV$2,0))</f>
        <v>0</v>
      </c>
      <c r="H125" s="17">
        <f>INDEX('Eurostat EB TJ GWh'!$A$2:$BV$146,MATCH($A125,'Eurostat EB TJ GWh'!$A$2:$A$146,0),MATCH(H$3,'Eurostat EB TJ GWh'!$A$2:$BV$2,0))</f>
        <v>0</v>
      </c>
      <c r="I125" s="17">
        <f>INDEX('Eurostat EB TJ GWh'!$A$2:$BV$146,MATCH($A125,'Eurostat EB TJ GWh'!$A$2:$A$146,0),MATCH(I$3,'Eurostat EB TJ GWh'!$A$2:$BV$2,0))</f>
        <v>0</v>
      </c>
      <c r="J125" s="17">
        <f>INDEX('Eurostat EB TJ GWh'!$A$2:$BV$146,MATCH($A125,'Eurostat EB TJ GWh'!$A$2:$A$146,0),MATCH(J$3,'Eurostat EB TJ GWh'!$A$2:$BV$2,0))</f>
        <v>0</v>
      </c>
      <c r="K125" s="17">
        <f>INDEX('Eurostat EB TJ GWh'!$A$2:$BV$146,MATCH($A125,'Eurostat EB TJ GWh'!$A$2:$A$146,0),MATCH(K$3,'Eurostat EB TJ GWh'!$A$2:$BV$2,0))</f>
        <v>0</v>
      </c>
      <c r="L125" s="17">
        <f>INDEX('Eurostat EB TJ GWh'!$A$2:$BV$146,MATCH($A125,'Eurostat EB TJ GWh'!$A$2:$A$146,0),MATCH(L$3,'Eurostat EB TJ GWh'!$A$2:$BV$2,0))</f>
        <v>0</v>
      </c>
      <c r="M125" s="17">
        <f>INDEX('Eurostat EB TJ GWh'!$A$2:$BV$146,MATCH($A125,'Eurostat EB TJ GWh'!$A$2:$A$146,0),MATCH(M$3,'Eurostat EB TJ GWh'!$A$2:$BV$2,0))</f>
        <v>0</v>
      </c>
      <c r="N125" s="17">
        <f>INDEX('Eurostat EB TJ GWh'!$A$2:$BV$146,MATCH($A125,'Eurostat EB TJ GWh'!$A$2:$A$146,0),MATCH(N$3,'Eurostat EB TJ GWh'!$A$2:$BV$2,0))</f>
        <v>0</v>
      </c>
      <c r="O125" s="17">
        <f>INDEX('Eurostat EB TJ GWh'!$A$2:$BV$146,MATCH($A125,'Eurostat EB TJ GWh'!$A$2:$A$146,0),MATCH(O$3,'Eurostat EB TJ GWh'!$A$2:$BV$2,0))</f>
        <v>0</v>
      </c>
      <c r="P125" s="17">
        <f>INDEX('Eurostat EB TJ GWh'!$A$2:$BV$146,MATCH($A125,'Eurostat EB TJ GWh'!$A$2:$A$146,0),MATCH(P$3,'Eurostat EB TJ GWh'!$A$2:$BV$2,0))</f>
        <v>1E-3</v>
      </c>
      <c r="Q125" s="17">
        <f>INDEX('Eurostat EB TJ GWh'!$A$2:$BV$146,MATCH($A125,'Eurostat EB TJ GWh'!$A$2:$A$146,0),MATCH(Q$3,'Eurostat EB TJ GWh'!$A$2:$BV$2,0))</f>
        <v>0</v>
      </c>
      <c r="R125" s="17">
        <f>INDEX('Eurostat EB TJ GWh'!$A$2:$BV$146,MATCH($A125,'Eurostat EB TJ GWh'!$A$2:$A$146,0),MATCH(R$2,'Eurostat EB TJ GWh'!$A$2:$BV$2,0))+INDEX('Eurostat EB TJ GWh'!$A$2:$BV$146,MATCH($A125,'Eurostat EB TJ GWh'!$A$2:$A$146,0),MATCH(R$3,'Eurostat EB TJ GWh'!$A$2:$BV$2,0))</f>
        <v>0</v>
      </c>
      <c r="S125" s="17">
        <f>INDEX('Eurostat EB TJ GWh'!$A$2:$BV$146,MATCH($A125,'Eurostat EB TJ GWh'!$A$2:$A$146,0),MATCH(S$3,'Eurostat EB TJ GWh'!$A$2:$BV$2,0))</f>
        <v>-3973.72</v>
      </c>
      <c r="T125" s="65" t="s">
        <v>323</v>
      </c>
      <c r="U125" s="17">
        <f>INDEX('Eurostat EB TJ GWh'!$A$2:$BV$146,MATCH($A125,'Eurostat EB TJ GWh'!$A$2:$A$146,0),MATCH(U$3,'Eurostat EB TJ GWh'!$A$2:$BV$2,0))</f>
        <v>-84.231999999999999</v>
      </c>
      <c r="V125" s="17">
        <f>INDEX('Eurostat EB TJ GWh'!$A$2:$BV$146,MATCH($A125,'Eurostat EB TJ GWh'!$A$2:$A$146,0),MATCH(V$3,'Eurostat EB TJ GWh'!$A$2:$BV$2,0))</f>
        <v>15.173</v>
      </c>
      <c r="W125" s="17">
        <f>INDEX('Eurostat EB TJ GWh'!$A$2:$BV$146,MATCH($A125,'Eurostat EB TJ GWh'!$A$2:$A$146,0),MATCH(W$3,'Eurostat EB TJ GWh'!$A$2:$BV$2,0))</f>
        <v>0</v>
      </c>
      <c r="X125" s="17">
        <f>INDEX('Eurostat EB TJ GWh'!$A$2:$BV$146,MATCH($A125,'Eurostat EB TJ GWh'!$A$2:$A$146,0),MATCH(X$3,'Eurostat EB TJ GWh'!$A$2:$BV$2,0))</f>
        <v>2872.1750000000002</v>
      </c>
      <c r="Y125" s="17">
        <f>INDEX('Eurostat EB TJ GWh'!$A$2:$BV$146,MATCH($A125,'Eurostat EB TJ GWh'!$A$2:$A$146,0),MATCH(Y$3,'Eurostat EB TJ GWh'!$A$2:$BV$2,0))</f>
        <v>0</v>
      </c>
      <c r="Z125" s="17">
        <f>INDEX('Eurostat EB TJ GWh'!$A$2:$BV$146,MATCH($A125,'Eurostat EB TJ GWh'!$A$2:$A$146,0),MATCH(Z$3,'Eurostat EB TJ GWh'!$A$2:$BV$2,0))</f>
        <v>0</v>
      </c>
      <c r="AA125" s="17">
        <f>INDEX('Eurostat EB TJ GWh'!$A$2:$BV$146,MATCH($A125,'Eurostat EB TJ GWh'!$A$2:$A$146,0),MATCH(AA$3,'Eurostat EB TJ GWh'!$A$2:$BV$2,0))</f>
        <v>0</v>
      </c>
      <c r="AB125" s="17">
        <f>INDEX('Eurostat EB TJ GWh'!$A$2:$BV$146,MATCH($A125,'Eurostat EB TJ GWh'!$A$2:$A$146,0),MATCH(AB$3,'Eurostat EB TJ GWh'!$A$2:$BV$2,0))</f>
        <v>-4.4999999999999998E-2</v>
      </c>
      <c r="AC125" s="17">
        <f>INDEX('Eurostat EB TJ GWh'!$A$2:$BV$146,MATCH($A125,'Eurostat EB TJ GWh'!$A$2:$A$146,0),MATCH(AC$3,'Eurostat EB TJ GWh'!$A$2:$BV$2,0))</f>
        <v>12.907</v>
      </c>
      <c r="AD125" s="17">
        <f>INDEX('Eurostat EB TJ GWh'!$A$2:$BV$146,MATCH($A125,'Eurostat EB TJ GWh'!$A$2:$A$146,0),MATCH(AD$3,'Eurostat EB TJ GWh'!$A$2:$BV$2,0))</f>
        <v>0</v>
      </c>
      <c r="AE125" s="17">
        <f>INDEX('Eurostat EB TJ GWh'!$A$2:$BV$146,MATCH($A125,'Eurostat EB TJ GWh'!$A$2:$A$146,0),MATCH(AE$3,'Eurostat EB TJ GWh'!$A$2:$BV$2,0))</f>
        <v>0</v>
      </c>
      <c r="AF125" s="17">
        <f>INDEX('Eurostat EB TJ GWh'!$A$2:$BV$146,MATCH($A125,'Eurostat EB TJ GWh'!$A$2:$A$146,0),MATCH(AF$3,'Eurostat EB TJ GWh'!$A$2:$BV$2,0))</f>
        <v>0</v>
      </c>
      <c r="AG125" s="17">
        <f>INDEX('Eurostat EB TJ GWh'!$A$2:$BV$146,MATCH($A125,'Eurostat EB TJ GWh'!$A$2:$A$146,0),MATCH(AG$3,'Eurostat EB TJ GWh'!$A$2:$BV$2,0))</f>
        <v>-4.2999999999999997E-2</v>
      </c>
      <c r="AH125" s="17">
        <f>INDEX('Eurostat EB TJ GWh'!$A$2:$BV$146,MATCH($A125,'Eurostat EB TJ GWh'!$A$2:$A$146,0),MATCH(AH$3,'Eurostat EB TJ GWh'!$A$2:$BV$2,0))</f>
        <v>0.129</v>
      </c>
      <c r="AI125" s="17">
        <f>INDEX('Eurostat EB TJ GWh'!$A$2:$BV$146,MATCH($A125,'Eurostat EB TJ GWh'!$A$2:$A$146,0),MATCH(AI$3,'Eurostat EB TJ GWh'!$A$2:$BV$2,0))</f>
        <v>-4.1000000000000002E-2</v>
      </c>
      <c r="AJ125" s="17">
        <f>INDEX('Eurostat EB TJ GWh'!$A$2:$BV$146,MATCH($A125,'Eurostat EB TJ GWh'!$A$2:$A$146,0),MATCH(AJ$3,'Eurostat EB TJ GWh'!$A$2:$BV$2,0))</f>
        <v>0</v>
      </c>
      <c r="AK125" s="17">
        <f>INDEX('Eurostat EB TJ GWh'!$A$2:$BV$146,MATCH($A125,'Eurostat EB TJ GWh'!$A$2:$A$146,0),MATCH(AK$3,'Eurostat EB TJ GWh'!$A$2:$BV$2,0))</f>
        <v>0</v>
      </c>
      <c r="AL125" s="17">
        <f>INDEX('Eurostat EB TJ GWh'!$A$2:$BV$146,MATCH($A125,'Eurostat EB TJ GWh'!$A$2:$A$146,0),MATCH(AL$3,'Eurostat EB TJ GWh'!$A$2:$BV$2,0))</f>
        <v>4.1000000000000002E-2</v>
      </c>
      <c r="AM125" s="17">
        <f>INDEX('Eurostat EB TJ GWh'!$A$2:$BV$146,MATCH($A125,'Eurostat EB TJ GWh'!$A$2:$A$146,0),MATCH(AM$3,'Eurostat EB TJ GWh'!$A$2:$BV$2,0))</f>
        <v>0</v>
      </c>
      <c r="AN125" s="17">
        <f>INDEX('Eurostat EB TJ GWh'!$A$2:$BV$146,MATCH($A125,'Eurostat EB TJ GWh'!$A$2:$A$146,0),MATCH(AN$3,'Eurostat EB TJ GWh'!$A$2:$BV$2,0))</f>
        <v>0</v>
      </c>
      <c r="AO125" s="17">
        <f>INDEX('Eurostat EB TJ GWh'!$A$2:$BV$146,MATCH($A125,'Eurostat EB TJ GWh'!$A$2:$A$146,0),MATCH(AO$3,'Eurostat EB TJ GWh'!$A$2:$BV$2,0))</f>
        <v>-3.5000000000000003E-2</v>
      </c>
      <c r="AP125" s="17">
        <f>INDEX('Eurostat EB TJ GWh'!$A$2:$BV$146,MATCH($A125,'Eurostat EB TJ GWh'!$A$2:$A$146,0),MATCH(AP$3,'Eurostat EB TJ GWh'!$A$2:$BV$2,0))</f>
        <v>2.4E-2</v>
      </c>
      <c r="AQ125" s="17">
        <f>INDEX('Eurostat EB TJ GWh'!$A$2:$BV$146,MATCH($A125,'Eurostat EB TJ GWh'!$A$2:$A$146,0),MATCH(AQ$3,'Eurostat EB TJ GWh'!$A$2:$BV$2,0))</f>
        <v>0</v>
      </c>
      <c r="AR125" s="17">
        <f>INDEX('Eurostat EB TJ GWh'!$A$2:$BV$146,MATCH($A125,'Eurostat EB TJ GWh'!$A$2:$A$146,0),MATCH(AR$3,'Eurostat EB TJ GWh'!$A$2:$BV$2,0))</f>
        <v>0</v>
      </c>
      <c r="AS125" s="17">
        <f>INDEX('Eurostat EB TJ GWh'!$A$2:$BV$146,MATCH($A125,'Eurostat EB TJ GWh'!$A$2:$A$146,0),MATCH(AS$3,'Eurostat EB TJ GWh'!$A$2:$BV$2,0))</f>
        <v>0</v>
      </c>
      <c r="AT125" s="17">
        <f>INDEX('Eurostat EB TJ GWh'!$A$2:$BV$146,MATCH($A125,'Eurostat EB TJ GWh'!$A$2:$A$146,0),MATCH(AT$3,'Eurostat EB TJ GWh'!$A$2:$BV$2,0))</f>
        <v>8.9999999999999993E-3</v>
      </c>
      <c r="AU125" s="17">
        <f>INDEX('Eurostat EB TJ GWh'!$A$2:$BV$146,MATCH($A125,'Eurostat EB TJ GWh'!$A$2:$A$146,0),MATCH(AU$3,'Eurostat EB TJ GWh'!$A$2:$BV$2,0))</f>
        <v>23.577000000000002</v>
      </c>
      <c r="AV125" s="17">
        <f>INDEX('Eurostat EB TJ GWh'!$A$2:$BV$146,MATCH($A125,'Eurostat EB TJ GWh'!$A$2:$A$146,0),MATCH(AV$2,'Eurostat EB TJ GWh'!$A$2:$BV$2,0))+INDEX('Eurostat EB TJ GWh'!$A$2:$BV$146,MATCH($A125,'Eurostat EB TJ GWh'!$A$2:$A$146,0),MATCH(AV$3,'Eurostat EB TJ GWh'!$A$2:$BV$2,0))</f>
        <v>0</v>
      </c>
      <c r="AW125" s="17">
        <f>INDEX('Eurostat EB TJ GWh'!$A$2:$BV$146,MATCH($A125,'Eurostat EB TJ GWh'!$A$2:$A$146,0),MATCH(AW$2,'Eurostat EB TJ GWh'!$A$2:$BV$2,0))+INDEX('Eurostat EB TJ GWh'!$A$2:$BV$146,MATCH($A125,'Eurostat EB TJ GWh'!$A$2:$A$146,0),MATCH(AW$3,'Eurostat EB TJ GWh'!$A$2:$BV$2,0))</f>
        <v>0</v>
      </c>
      <c r="AX125" s="17">
        <f>INDEX('Eurostat EB TJ GWh'!$A$2:$BV$146,MATCH($A125,'Eurostat EB TJ GWh'!$A$2:$A$146,0),MATCH(AX$3,'Eurostat EB TJ GWh'!$A$2:$BV$2,0))</f>
        <v>0</v>
      </c>
      <c r="AY125" s="65">
        <v>0</v>
      </c>
      <c r="AZ125" s="17">
        <f>INDEX('Eurostat EB TJ GWh'!$A$2:$BV$146,MATCH($A125,'Eurostat EB TJ GWh'!$A$2:$A$146,0),MATCH(AZ$3,'Eurostat EB TJ GWh'!$A$2:$BV$2,0))</f>
        <v>0</v>
      </c>
      <c r="BA125" s="65">
        <v>0</v>
      </c>
      <c r="BB125" s="65">
        <v>0</v>
      </c>
      <c r="BC125" s="17">
        <f>INDEX('Eurostat EB TJ GWh'!$A$2:$BV$146,MATCH($A125,'Eurostat EB TJ GWh'!$A$2:$A$146,0),MATCH(BC$3,'Eurostat EB TJ GWh'!$A$2:$BV$2,0))</f>
        <v>0</v>
      </c>
      <c r="BD125" s="17">
        <f>INDEX('Eurostat EB TJ GWh'!$A$2:$BV$146,MATCH($A125,'Eurostat EB TJ GWh'!$A$2:$A$146,0),MATCH(BD$3,'Eurostat EB TJ GWh'!$A$2:$BV$2,0))</f>
        <v>0</v>
      </c>
      <c r="BE125" s="17">
        <f>INDEX('Eurostat EB TJ GWh'!$A$2:$BV$146,MATCH($A125,'Eurostat EB TJ GWh'!$A$2:$A$146,0),MATCH(BE$3,'Eurostat EB TJ GWh'!$A$2:$BV$2,0))</f>
        <v>0</v>
      </c>
      <c r="BF125" s="17">
        <f>INDEX('Eurostat EB TJ GWh'!$A$2:$BV$146,MATCH($A125,'Eurostat EB TJ GWh'!$A$2:$A$146,0),MATCH(BF$3,'Eurostat EB TJ GWh'!$A$2:$BV$2,0))</f>
        <v>0</v>
      </c>
      <c r="BG125" s="17">
        <f>INDEX('Eurostat EB TJ GWh'!$A$2:$BV$146,MATCH($A125,'Eurostat EB TJ GWh'!$A$2:$A$146,0),MATCH(BG$3,'Eurostat EB TJ GWh'!$A$2:$BV$2,0))</f>
        <v>0</v>
      </c>
      <c r="BH125" s="17">
        <f>INDEX('Eurostat EB TJ GWh'!$A$2:$BV$146,MATCH($A125,'Eurostat EB TJ GWh'!$A$2:$A$146,0),MATCH(BH$3,'Eurostat EB TJ GWh'!$A$2:$BV$2,0))</f>
        <v>0</v>
      </c>
      <c r="BI125" s="17">
        <f>INDEX('Eurostat EB TJ GWh'!$A$2:$BV$146,MATCH($A125,'Eurostat EB TJ GWh'!$A$2:$A$146,0),MATCH(BI$3,'Eurostat EB TJ GWh'!$A$2:$BV$2,0))</f>
        <v>0</v>
      </c>
      <c r="BJ125" s="65">
        <v>0</v>
      </c>
      <c r="BK125" s="17">
        <f>INDEX('Eurostat EB TJ GWh'!$A$2:$BV$146,MATCH($A125,'Eurostat EB TJ GWh'!$A$2:$A$146,0),MATCH(BK$3,'Eurostat EB TJ GWh'!$A$2:$BV$2,0))</f>
        <v>764.798</v>
      </c>
      <c r="BL125" s="17">
        <f>INDEX('Eurostat EB TJ GWh'!$A$2:$BV$146,MATCH($A125,'Eurostat EB TJ GWh'!$A$2:$A$146,0),MATCH(BL$3,'Eurostat EB TJ GWh'!$A$2:$BV$2,0))</f>
        <v>2E-3</v>
      </c>
      <c r="BM125" s="17">
        <f>INDEX('Eurostat EB TJ GWh'!$A$2:$BV$146,MATCH($A125,'Eurostat EB TJ GWh'!$A$2:$A$146,0),MATCH(BM$3,'Eurostat EB TJ GWh'!$A$2:$BV$2,0))</f>
        <v>-193.00800000000001</v>
      </c>
      <c r="BN125" s="17">
        <f>INDEX('Eurostat EB TJ GWh'!$A$2:$BV$146,MATCH($A125,'Eurostat EB TJ GWh'!$A$2:$A$146,0),MATCH(BN$3,'Eurostat EB TJ GWh'!$A$2:$BV$2,0))</f>
        <v>0</v>
      </c>
    </row>
    <row r="126" spans="1:66" x14ac:dyDescent="0.2">
      <c r="A126" s="56" t="s">
        <v>113</v>
      </c>
      <c r="B126" s="65" t="s">
        <v>323</v>
      </c>
      <c r="C126" s="65" t="s">
        <v>323</v>
      </c>
      <c r="D126" s="57">
        <f>INDEX('Eurostat EB TJ GWh'!$A$2:$BV$146,MATCH($A126,'Eurostat EB TJ GWh'!$A$2:$A$146,0),MATCH(D$3,'Eurostat EB TJ GWh'!$A$2:$BV$2,0))</f>
        <v>0</v>
      </c>
      <c r="E126" s="57">
        <f>INDEX('Eurostat EB TJ GWh'!$A$2:$BV$146,MATCH($A126,'Eurostat EB TJ GWh'!$A$2:$A$146,0),MATCH(E$3,'Eurostat EB TJ GWh'!$A$2:$BV$2,0))</f>
        <v>0</v>
      </c>
      <c r="F126" s="57">
        <f>INDEX('Eurostat EB TJ GWh'!$A$2:$BV$146,MATCH($A126,'Eurostat EB TJ GWh'!$A$2:$A$146,0),MATCH(F$3,'Eurostat EB TJ GWh'!$A$2:$BV$2,0))</f>
        <v>8711.7561111111117</v>
      </c>
      <c r="G126" s="57">
        <f>INDEX('Eurostat EB TJ GWh'!$A$2:$BV$146,MATCH($A126,'Eurostat EB TJ GWh'!$A$2:$A$146,0),MATCH(G$3,'Eurostat EB TJ GWh'!$A$2:$BV$2,0))</f>
        <v>0</v>
      </c>
      <c r="H126" s="57">
        <f>INDEX('Eurostat EB TJ GWh'!$A$2:$BV$146,MATCH($A126,'Eurostat EB TJ GWh'!$A$2:$A$146,0),MATCH(H$3,'Eurostat EB TJ GWh'!$A$2:$BV$2,0))</f>
        <v>0</v>
      </c>
      <c r="I126" s="57">
        <f>INDEX('Eurostat EB TJ GWh'!$A$2:$BV$146,MATCH($A126,'Eurostat EB TJ GWh'!$A$2:$A$146,0),MATCH(I$3,'Eurostat EB TJ GWh'!$A$2:$BV$2,0))</f>
        <v>0</v>
      </c>
      <c r="J126" s="57">
        <f>INDEX('Eurostat EB TJ GWh'!$A$2:$BV$146,MATCH($A126,'Eurostat EB TJ GWh'!$A$2:$A$146,0),MATCH(J$3,'Eurostat EB TJ GWh'!$A$2:$BV$2,0))</f>
        <v>0</v>
      </c>
      <c r="K126" s="57">
        <f>INDEX('Eurostat EB TJ GWh'!$A$2:$BV$146,MATCH($A126,'Eurostat EB TJ GWh'!$A$2:$A$146,0),MATCH(K$3,'Eurostat EB TJ GWh'!$A$2:$BV$2,0))</f>
        <v>0</v>
      </c>
      <c r="L126" s="57">
        <f>INDEX('Eurostat EB TJ GWh'!$A$2:$BV$146,MATCH($A126,'Eurostat EB TJ GWh'!$A$2:$A$146,0),MATCH(L$3,'Eurostat EB TJ GWh'!$A$2:$BV$2,0))</f>
        <v>0</v>
      </c>
      <c r="M126" s="57">
        <f>INDEX('Eurostat EB TJ GWh'!$A$2:$BV$146,MATCH($A126,'Eurostat EB TJ GWh'!$A$2:$A$146,0),MATCH(M$3,'Eurostat EB TJ GWh'!$A$2:$BV$2,0))</f>
        <v>0</v>
      </c>
      <c r="N126" s="57">
        <f>INDEX('Eurostat EB TJ GWh'!$A$2:$BV$146,MATCH($A126,'Eurostat EB TJ GWh'!$A$2:$A$146,0),MATCH(N$3,'Eurostat EB TJ GWh'!$A$2:$BV$2,0))</f>
        <v>0</v>
      </c>
      <c r="O126" s="57">
        <f>INDEX('Eurostat EB TJ GWh'!$A$2:$BV$146,MATCH($A126,'Eurostat EB TJ GWh'!$A$2:$A$146,0),MATCH(O$3,'Eurostat EB TJ GWh'!$A$2:$BV$2,0))</f>
        <v>152.16805555555553</v>
      </c>
      <c r="P126" s="57">
        <f>INDEX('Eurostat EB TJ GWh'!$A$2:$BV$146,MATCH($A126,'Eurostat EB TJ GWh'!$A$2:$A$146,0),MATCH(P$3,'Eurostat EB TJ GWh'!$A$2:$BV$2,0))</f>
        <v>1842.681111111111</v>
      </c>
      <c r="Q126" s="57">
        <f>INDEX('Eurostat EB TJ GWh'!$A$2:$BV$146,MATCH($A126,'Eurostat EB TJ GWh'!$A$2:$A$146,0),MATCH(Q$3,'Eurostat EB TJ GWh'!$A$2:$BV$2,0))</f>
        <v>0</v>
      </c>
      <c r="R126" s="57">
        <f>INDEX('Eurostat EB TJ GWh'!$A$2:$BV$146,MATCH($A126,'Eurostat EB TJ GWh'!$A$2:$A$146,0),MATCH(R$2,'Eurostat EB TJ GWh'!$A$2:$BV$2,0))+INDEX('Eurostat EB TJ GWh'!$A$2:$BV$146,MATCH($A126,'Eurostat EB TJ GWh'!$A$2:$A$146,0),MATCH(R$3,'Eurostat EB TJ GWh'!$A$2:$BV$2,0))</f>
        <v>0</v>
      </c>
      <c r="S126" s="57">
        <f>INDEX('Eurostat EB TJ GWh'!$A$2:$BV$146,MATCH($A126,'Eurostat EB TJ GWh'!$A$2:$A$146,0),MATCH(S$3,'Eurostat EB TJ GWh'!$A$2:$BV$2,0))</f>
        <v>45952.445</v>
      </c>
      <c r="T126" s="65" t="s">
        <v>323</v>
      </c>
      <c r="U126" s="57">
        <f>INDEX('Eurostat EB TJ GWh'!$A$2:$BV$146,MATCH($A126,'Eurostat EB TJ GWh'!$A$2:$A$146,0),MATCH(U$3,'Eurostat EB TJ GWh'!$A$2:$BV$2,0))</f>
        <v>0</v>
      </c>
      <c r="V126" s="57">
        <f>INDEX('Eurostat EB TJ GWh'!$A$2:$BV$146,MATCH($A126,'Eurostat EB TJ GWh'!$A$2:$A$146,0),MATCH(V$3,'Eurostat EB TJ GWh'!$A$2:$BV$2,0))</f>
        <v>0</v>
      </c>
      <c r="W126" s="57">
        <f>INDEX('Eurostat EB TJ GWh'!$A$2:$BV$146,MATCH($A126,'Eurostat EB TJ GWh'!$A$2:$A$146,0),MATCH(W$3,'Eurostat EB TJ GWh'!$A$2:$BV$2,0))</f>
        <v>0</v>
      </c>
      <c r="X126" s="57">
        <f>INDEX('Eurostat EB TJ GWh'!$A$2:$BV$146,MATCH($A126,'Eurostat EB TJ GWh'!$A$2:$A$146,0),MATCH(X$3,'Eurostat EB TJ GWh'!$A$2:$BV$2,0))</f>
        <v>0</v>
      </c>
      <c r="Y126" s="57">
        <f>INDEX('Eurostat EB TJ GWh'!$A$2:$BV$146,MATCH($A126,'Eurostat EB TJ GWh'!$A$2:$A$146,0),MATCH(Y$3,'Eurostat EB TJ GWh'!$A$2:$BV$2,0))</f>
        <v>0</v>
      </c>
      <c r="Z126" s="57">
        <f>INDEX('Eurostat EB TJ GWh'!$A$2:$BV$146,MATCH($A126,'Eurostat EB TJ GWh'!$A$2:$A$146,0),MATCH(Z$3,'Eurostat EB TJ GWh'!$A$2:$BV$2,0))</f>
        <v>1480.1019444444444</v>
      </c>
      <c r="AA126" s="57">
        <f>INDEX('Eurostat EB TJ GWh'!$A$2:$BV$146,MATCH($A126,'Eurostat EB TJ GWh'!$A$2:$A$146,0),MATCH(AA$3,'Eurostat EB TJ GWh'!$A$2:$BV$2,0))</f>
        <v>0</v>
      </c>
      <c r="AB126" s="57">
        <f>INDEX('Eurostat EB TJ GWh'!$A$2:$BV$146,MATCH($A126,'Eurostat EB TJ GWh'!$A$2:$A$146,0),MATCH(AB$3,'Eurostat EB TJ GWh'!$A$2:$BV$2,0))</f>
        <v>0</v>
      </c>
      <c r="AC126" s="57">
        <f>INDEX('Eurostat EB TJ GWh'!$A$2:$BV$146,MATCH($A126,'Eurostat EB TJ GWh'!$A$2:$A$146,0),MATCH(AC$3,'Eurostat EB TJ GWh'!$A$2:$BV$2,0))</f>
        <v>0</v>
      </c>
      <c r="AD126" s="57">
        <f>INDEX('Eurostat EB TJ GWh'!$A$2:$BV$146,MATCH($A126,'Eurostat EB TJ GWh'!$A$2:$A$146,0),MATCH(AD$3,'Eurostat EB TJ GWh'!$A$2:$BV$2,0))</f>
        <v>0</v>
      </c>
      <c r="AE126" s="57">
        <f>INDEX('Eurostat EB TJ GWh'!$A$2:$BV$146,MATCH($A126,'Eurostat EB TJ GWh'!$A$2:$A$146,0),MATCH(AE$3,'Eurostat EB TJ GWh'!$A$2:$BV$2,0))</f>
        <v>0</v>
      </c>
      <c r="AF126" s="57">
        <f>INDEX('Eurostat EB TJ GWh'!$A$2:$BV$146,MATCH($A126,'Eurostat EB TJ GWh'!$A$2:$A$146,0),MATCH(AF$3,'Eurostat EB TJ GWh'!$A$2:$BV$2,0))</f>
        <v>0</v>
      </c>
      <c r="AG126" s="57">
        <f>INDEX('Eurostat EB TJ GWh'!$A$2:$BV$146,MATCH($A126,'Eurostat EB TJ GWh'!$A$2:$A$146,0),MATCH(AG$3,'Eurostat EB TJ GWh'!$A$2:$BV$2,0))</f>
        <v>0</v>
      </c>
      <c r="AH126" s="57">
        <f>INDEX('Eurostat EB TJ GWh'!$A$2:$BV$146,MATCH($A126,'Eurostat EB TJ GWh'!$A$2:$A$146,0),MATCH(AH$3,'Eurostat EB TJ GWh'!$A$2:$BV$2,0))</f>
        <v>30.361111111111111</v>
      </c>
      <c r="AI126" s="57">
        <f>INDEX('Eurostat EB TJ GWh'!$A$2:$BV$146,MATCH($A126,'Eurostat EB TJ GWh'!$A$2:$A$146,0),MATCH(AI$3,'Eurostat EB TJ GWh'!$A$2:$BV$2,0))</f>
        <v>0</v>
      </c>
      <c r="AJ126" s="57">
        <f>INDEX('Eurostat EB TJ GWh'!$A$2:$BV$146,MATCH($A126,'Eurostat EB TJ GWh'!$A$2:$A$146,0),MATCH(AJ$3,'Eurostat EB TJ GWh'!$A$2:$BV$2,0))</f>
        <v>0</v>
      </c>
      <c r="AK126" s="57">
        <f>INDEX('Eurostat EB TJ GWh'!$A$2:$BV$146,MATCH($A126,'Eurostat EB TJ GWh'!$A$2:$A$146,0),MATCH(AK$3,'Eurostat EB TJ GWh'!$A$2:$BV$2,0))</f>
        <v>0</v>
      </c>
      <c r="AL126" s="57">
        <f>INDEX('Eurostat EB TJ GWh'!$A$2:$BV$146,MATCH($A126,'Eurostat EB TJ GWh'!$A$2:$A$146,0),MATCH(AL$3,'Eurostat EB TJ GWh'!$A$2:$BV$2,0))</f>
        <v>0</v>
      </c>
      <c r="AM126" s="57">
        <f>INDEX('Eurostat EB TJ GWh'!$A$2:$BV$146,MATCH($A126,'Eurostat EB TJ GWh'!$A$2:$A$146,0),MATCH(AM$3,'Eurostat EB TJ GWh'!$A$2:$BV$2,0))</f>
        <v>0</v>
      </c>
      <c r="AN126" s="57">
        <f>INDEX('Eurostat EB TJ GWh'!$A$2:$BV$146,MATCH($A126,'Eurostat EB TJ GWh'!$A$2:$A$146,0),MATCH(AN$3,'Eurostat EB TJ GWh'!$A$2:$BV$2,0))</f>
        <v>0</v>
      </c>
      <c r="AO126" s="57">
        <f>INDEX('Eurostat EB TJ GWh'!$A$2:$BV$146,MATCH($A126,'Eurostat EB TJ GWh'!$A$2:$A$146,0),MATCH(AO$3,'Eurostat EB TJ GWh'!$A$2:$BV$2,0))</f>
        <v>0</v>
      </c>
      <c r="AP126" s="57">
        <f>INDEX('Eurostat EB TJ GWh'!$A$2:$BV$146,MATCH($A126,'Eurostat EB TJ GWh'!$A$2:$A$146,0),MATCH(AP$3,'Eurostat EB TJ GWh'!$A$2:$BV$2,0))</f>
        <v>19.796111111111113</v>
      </c>
      <c r="AQ126" s="57">
        <f>INDEX('Eurostat EB TJ GWh'!$A$2:$BV$146,MATCH($A126,'Eurostat EB TJ GWh'!$A$2:$A$146,0),MATCH(AQ$3,'Eurostat EB TJ GWh'!$A$2:$BV$2,0))</f>
        <v>48.751111111111108</v>
      </c>
      <c r="AR126" s="57">
        <f>INDEX('Eurostat EB TJ GWh'!$A$2:$BV$146,MATCH($A126,'Eurostat EB TJ GWh'!$A$2:$A$146,0),MATCH(AR$3,'Eurostat EB TJ GWh'!$A$2:$BV$2,0))</f>
        <v>1981.4999999999998</v>
      </c>
      <c r="AS126" s="57">
        <f>INDEX('Eurostat EB TJ GWh'!$A$2:$BV$146,MATCH($A126,'Eurostat EB TJ GWh'!$A$2:$A$146,0),MATCH(AS$3,'Eurostat EB TJ GWh'!$A$2:$BV$2,0))</f>
        <v>1757.1799999999998</v>
      </c>
      <c r="AT126" s="57">
        <f>INDEX('Eurostat EB TJ GWh'!$A$2:$BV$146,MATCH($A126,'Eurostat EB TJ GWh'!$A$2:$A$146,0),MATCH(AT$3,'Eurostat EB TJ GWh'!$A$2:$BV$2,0))</f>
        <v>4925.8038888888887</v>
      </c>
      <c r="AU126" s="57">
        <f>INDEX('Eurostat EB TJ GWh'!$A$2:$BV$146,MATCH($A126,'Eurostat EB TJ GWh'!$A$2:$A$146,0),MATCH(AU$3,'Eurostat EB TJ GWh'!$A$2:$BV$2,0))</f>
        <v>699.48</v>
      </c>
      <c r="AV126" s="57">
        <f>INDEX('Eurostat EB TJ GWh'!$A$2:$BV$146,MATCH($A126,'Eurostat EB TJ GWh'!$A$2:$A$146,0),MATCH(AV$2,'Eurostat EB TJ GWh'!$A$2:$BV$2,0))+INDEX('Eurostat EB TJ GWh'!$A$2:$BV$146,MATCH($A126,'Eurostat EB TJ GWh'!$A$2:$A$146,0),MATCH(AV$3,'Eurostat EB TJ GWh'!$A$2:$BV$2,0))</f>
        <v>0</v>
      </c>
      <c r="AW126" s="57">
        <f>INDEX('Eurostat EB TJ GWh'!$A$2:$BV$146,MATCH($A126,'Eurostat EB TJ GWh'!$A$2:$A$146,0),MATCH(AW$2,'Eurostat EB TJ GWh'!$A$2:$BV$2,0))+INDEX('Eurostat EB TJ GWh'!$A$2:$BV$146,MATCH($A126,'Eurostat EB TJ GWh'!$A$2:$A$146,0),MATCH(AW$3,'Eurostat EB TJ GWh'!$A$2:$BV$2,0))</f>
        <v>0</v>
      </c>
      <c r="AX126" s="57">
        <f>INDEX('Eurostat EB TJ GWh'!$A$2:$BV$146,MATCH($A126,'Eurostat EB TJ GWh'!$A$2:$A$146,0),MATCH(AX$3,'Eurostat EB TJ GWh'!$A$2:$BV$2,0))</f>
        <v>0</v>
      </c>
      <c r="AY126" s="65">
        <v>0</v>
      </c>
      <c r="AZ126" s="57">
        <f>INDEX('Eurostat EB TJ GWh'!$A$2:$BV$146,MATCH($A126,'Eurostat EB TJ GWh'!$A$2:$A$146,0),MATCH(AZ$3,'Eurostat EB TJ GWh'!$A$2:$BV$2,0))</f>
        <v>0</v>
      </c>
      <c r="BA126" s="65">
        <v>0</v>
      </c>
      <c r="BB126" s="65">
        <v>0</v>
      </c>
      <c r="BC126" s="57">
        <f>INDEX('Eurostat EB TJ GWh'!$A$2:$BV$146,MATCH($A126,'Eurostat EB TJ GWh'!$A$2:$A$146,0),MATCH(BC$3,'Eurostat EB TJ GWh'!$A$2:$BV$2,0))</f>
        <v>3985.2930555555554</v>
      </c>
      <c r="BD126" s="57">
        <f>INDEX('Eurostat EB TJ GWh'!$A$2:$BV$146,MATCH($A126,'Eurostat EB TJ GWh'!$A$2:$A$146,0),MATCH(BD$3,'Eurostat EB TJ GWh'!$A$2:$BV$2,0))</f>
        <v>69.36888888888889</v>
      </c>
      <c r="BE126" s="57">
        <f>INDEX('Eurostat EB TJ GWh'!$A$2:$BV$146,MATCH($A126,'Eurostat EB TJ GWh'!$A$2:$A$146,0),MATCH(BE$3,'Eurostat EB TJ GWh'!$A$2:$BV$2,0))</f>
        <v>0</v>
      </c>
      <c r="BF126" s="57">
        <f>INDEX('Eurostat EB TJ GWh'!$A$2:$BV$146,MATCH($A126,'Eurostat EB TJ GWh'!$A$2:$A$146,0),MATCH(BF$3,'Eurostat EB TJ GWh'!$A$2:$BV$2,0))</f>
        <v>19578.188055555554</v>
      </c>
      <c r="BG126" s="57">
        <f>INDEX('Eurostat EB TJ GWh'!$A$2:$BV$146,MATCH($A126,'Eurostat EB TJ GWh'!$A$2:$A$146,0),MATCH(BG$3,'Eurostat EB TJ GWh'!$A$2:$BV$2,0))</f>
        <v>0</v>
      </c>
      <c r="BH126" s="57">
        <f>INDEX('Eurostat EB TJ GWh'!$A$2:$BV$146,MATCH($A126,'Eurostat EB TJ GWh'!$A$2:$A$146,0),MATCH(BH$3,'Eurostat EB TJ GWh'!$A$2:$BV$2,0))</f>
        <v>0</v>
      </c>
      <c r="BI126" s="57">
        <f>INDEX('Eurostat EB TJ GWh'!$A$2:$BV$146,MATCH($A126,'Eurostat EB TJ GWh'!$A$2:$A$146,0),MATCH(BI$3,'Eurostat EB TJ GWh'!$A$2:$BV$2,0))</f>
        <v>29525.081111111111</v>
      </c>
      <c r="BJ126" s="65">
        <v>0</v>
      </c>
      <c r="BK126" s="57">
        <f>INDEX('Eurostat EB TJ GWh'!$A$2:$BV$146,MATCH($A126,'Eurostat EB TJ GWh'!$A$2:$A$146,0),MATCH(BK$3,'Eurostat EB TJ GWh'!$A$2:$BV$2,0))</f>
        <v>0</v>
      </c>
      <c r="BL126" s="57">
        <f>INDEX('Eurostat EB TJ GWh'!$A$2:$BV$146,MATCH($A126,'Eurostat EB TJ GWh'!$A$2:$A$146,0),MATCH(BL$3,'Eurostat EB TJ GWh'!$A$2:$BV$2,0))</f>
        <v>0</v>
      </c>
      <c r="BM126" s="57">
        <f>INDEX('Eurostat EB TJ GWh'!$A$2:$BV$146,MATCH($A126,'Eurostat EB TJ GWh'!$A$2:$A$146,0),MATCH(BM$3,'Eurostat EB TJ GWh'!$A$2:$BV$2,0))</f>
        <v>121330.5861111111</v>
      </c>
      <c r="BN126" s="57">
        <f>INDEX('Eurostat EB TJ GWh'!$A$2:$BV$146,MATCH($A126,'Eurostat EB TJ GWh'!$A$2:$A$146,0),MATCH(BN$3,'Eurostat EB TJ GWh'!$A$2:$BV$2,0))</f>
        <v>8077.4705555555556</v>
      </c>
    </row>
    <row r="127" spans="1:66" x14ac:dyDescent="0.2">
      <c r="A127" s="56" t="s">
        <v>314</v>
      </c>
      <c r="B127" s="65" t="s">
        <v>323</v>
      </c>
      <c r="C127" s="65" t="s">
        <v>323</v>
      </c>
      <c r="D127" s="17">
        <f>INDEX('Eurostat EB TJ GWh'!$A$2:$BV$146,MATCH($A127,'Eurostat EB TJ GWh'!$A$2:$A$146,0),MATCH(D$3,'Eurostat EB TJ GWh'!$A$2:$BV$2,0))</f>
        <v>0</v>
      </c>
      <c r="E127" s="17">
        <f>INDEX('Eurostat EB TJ GWh'!$A$2:$BV$146,MATCH($A127,'Eurostat EB TJ GWh'!$A$2:$A$146,0),MATCH(E$3,'Eurostat EB TJ GWh'!$A$2:$BV$2,0))</f>
        <v>0</v>
      </c>
      <c r="F127" s="17">
        <f>INDEX('Eurostat EB TJ GWh'!$A$2:$BV$146,MATCH($A127,'Eurostat EB TJ GWh'!$A$2:$A$146,0),MATCH(F$3,'Eurostat EB TJ GWh'!$A$2:$BV$2,0))</f>
        <v>5132.1619444444441</v>
      </c>
      <c r="G127" s="17">
        <f>INDEX('Eurostat EB TJ GWh'!$A$2:$BV$146,MATCH($A127,'Eurostat EB TJ GWh'!$A$2:$A$146,0),MATCH(G$3,'Eurostat EB TJ GWh'!$A$2:$BV$2,0))</f>
        <v>0</v>
      </c>
      <c r="H127" s="17">
        <f>INDEX('Eurostat EB TJ GWh'!$A$2:$BV$146,MATCH($A127,'Eurostat EB TJ GWh'!$A$2:$A$146,0),MATCH(H$3,'Eurostat EB TJ GWh'!$A$2:$BV$2,0))</f>
        <v>0</v>
      </c>
      <c r="I127" s="17">
        <f>INDEX('Eurostat EB TJ GWh'!$A$2:$BV$146,MATCH($A127,'Eurostat EB TJ GWh'!$A$2:$A$146,0),MATCH(I$3,'Eurostat EB TJ GWh'!$A$2:$BV$2,0))</f>
        <v>0</v>
      </c>
      <c r="J127" s="17">
        <f>INDEX('Eurostat EB TJ GWh'!$A$2:$BV$146,MATCH($A127,'Eurostat EB TJ GWh'!$A$2:$A$146,0),MATCH(J$3,'Eurostat EB TJ GWh'!$A$2:$BV$2,0))</f>
        <v>0</v>
      </c>
      <c r="K127" s="17">
        <f>INDEX('Eurostat EB TJ GWh'!$A$2:$BV$146,MATCH($A127,'Eurostat EB TJ GWh'!$A$2:$A$146,0),MATCH(K$3,'Eurostat EB TJ GWh'!$A$2:$BV$2,0))</f>
        <v>0</v>
      </c>
      <c r="L127" s="17">
        <f>INDEX('Eurostat EB TJ GWh'!$A$2:$BV$146,MATCH($A127,'Eurostat EB TJ GWh'!$A$2:$A$146,0),MATCH(L$3,'Eurostat EB TJ GWh'!$A$2:$BV$2,0))</f>
        <v>0</v>
      </c>
      <c r="M127" s="17">
        <f>INDEX('Eurostat EB TJ GWh'!$A$2:$BV$146,MATCH($A127,'Eurostat EB TJ GWh'!$A$2:$A$146,0),MATCH(M$3,'Eurostat EB TJ GWh'!$A$2:$BV$2,0))</f>
        <v>0</v>
      </c>
      <c r="N127" s="17">
        <f>INDEX('Eurostat EB TJ GWh'!$A$2:$BV$146,MATCH($A127,'Eurostat EB TJ GWh'!$A$2:$A$146,0),MATCH(N$3,'Eurostat EB TJ GWh'!$A$2:$BV$2,0))</f>
        <v>0</v>
      </c>
      <c r="O127" s="17">
        <f>INDEX('Eurostat EB TJ GWh'!$A$2:$BV$146,MATCH($A127,'Eurostat EB TJ GWh'!$A$2:$A$146,0),MATCH(O$3,'Eurostat EB TJ GWh'!$A$2:$BV$2,0))</f>
        <v>139.81305555555556</v>
      </c>
      <c r="P127" s="17">
        <f>INDEX('Eurostat EB TJ GWh'!$A$2:$BV$146,MATCH($A127,'Eurostat EB TJ GWh'!$A$2:$A$146,0),MATCH(P$3,'Eurostat EB TJ GWh'!$A$2:$BV$2,0))</f>
        <v>1585.2669444444446</v>
      </c>
      <c r="Q127" s="17">
        <f>INDEX('Eurostat EB TJ GWh'!$A$2:$BV$146,MATCH($A127,'Eurostat EB TJ GWh'!$A$2:$A$146,0),MATCH(Q$3,'Eurostat EB TJ GWh'!$A$2:$BV$2,0))</f>
        <v>0</v>
      </c>
      <c r="R127" s="17">
        <f>INDEX('Eurostat EB TJ GWh'!$A$2:$BV$146,MATCH($A127,'Eurostat EB TJ GWh'!$A$2:$A$146,0),MATCH(R$2,'Eurostat EB TJ GWh'!$A$2:$BV$2,0))+INDEX('Eurostat EB TJ GWh'!$A$2:$BV$146,MATCH($A127,'Eurostat EB TJ GWh'!$A$2:$A$146,0),MATCH(R$3,'Eurostat EB TJ GWh'!$A$2:$BV$2,0))</f>
        <v>0</v>
      </c>
      <c r="S127" s="17">
        <f>INDEX('Eurostat EB TJ GWh'!$A$2:$BV$146,MATCH($A127,'Eurostat EB TJ GWh'!$A$2:$A$146,0),MATCH(S$3,'Eurostat EB TJ GWh'!$A$2:$BV$2,0))</f>
        <v>20955.511111111111</v>
      </c>
      <c r="T127" s="65" t="s">
        <v>323</v>
      </c>
      <c r="U127" s="17">
        <f>INDEX('Eurostat EB TJ GWh'!$A$2:$BV$146,MATCH($A127,'Eurostat EB TJ GWh'!$A$2:$A$146,0),MATCH(U$3,'Eurostat EB TJ GWh'!$A$2:$BV$2,0))</f>
        <v>0</v>
      </c>
      <c r="V127" s="17">
        <f>INDEX('Eurostat EB TJ GWh'!$A$2:$BV$146,MATCH($A127,'Eurostat EB TJ GWh'!$A$2:$A$146,0),MATCH(V$3,'Eurostat EB TJ GWh'!$A$2:$BV$2,0))</f>
        <v>0</v>
      </c>
      <c r="W127" s="17">
        <f>INDEX('Eurostat EB TJ GWh'!$A$2:$BV$146,MATCH($A127,'Eurostat EB TJ GWh'!$A$2:$A$146,0),MATCH(W$3,'Eurostat EB TJ GWh'!$A$2:$BV$2,0))</f>
        <v>0</v>
      </c>
      <c r="X127" s="17">
        <f>INDEX('Eurostat EB TJ GWh'!$A$2:$BV$146,MATCH($A127,'Eurostat EB TJ GWh'!$A$2:$A$146,0),MATCH(X$3,'Eurostat EB TJ GWh'!$A$2:$BV$2,0))</f>
        <v>0</v>
      </c>
      <c r="Y127" s="17">
        <f>INDEX('Eurostat EB TJ GWh'!$A$2:$BV$146,MATCH($A127,'Eurostat EB TJ GWh'!$A$2:$A$146,0),MATCH(Y$3,'Eurostat EB TJ GWh'!$A$2:$BV$2,0))</f>
        <v>0</v>
      </c>
      <c r="Z127" s="17">
        <f>INDEX('Eurostat EB TJ GWh'!$A$2:$BV$146,MATCH($A127,'Eurostat EB TJ GWh'!$A$2:$A$146,0),MATCH(Z$3,'Eurostat EB TJ GWh'!$A$2:$BV$2,0))</f>
        <v>0</v>
      </c>
      <c r="AA127" s="17">
        <f>INDEX('Eurostat EB TJ GWh'!$A$2:$BV$146,MATCH($A127,'Eurostat EB TJ GWh'!$A$2:$A$146,0),MATCH(AA$3,'Eurostat EB TJ GWh'!$A$2:$BV$2,0))</f>
        <v>0</v>
      </c>
      <c r="AB127" s="17">
        <f>INDEX('Eurostat EB TJ GWh'!$A$2:$BV$146,MATCH($A127,'Eurostat EB TJ GWh'!$A$2:$A$146,0),MATCH(AB$3,'Eurostat EB TJ GWh'!$A$2:$BV$2,0))</f>
        <v>0</v>
      </c>
      <c r="AC127" s="17">
        <f>INDEX('Eurostat EB TJ GWh'!$A$2:$BV$146,MATCH($A127,'Eurostat EB TJ GWh'!$A$2:$A$146,0),MATCH(AC$3,'Eurostat EB TJ GWh'!$A$2:$BV$2,0))</f>
        <v>0</v>
      </c>
      <c r="AD127" s="17">
        <f>INDEX('Eurostat EB TJ GWh'!$A$2:$BV$146,MATCH($A127,'Eurostat EB TJ GWh'!$A$2:$A$146,0),MATCH(AD$3,'Eurostat EB TJ GWh'!$A$2:$BV$2,0))</f>
        <v>0</v>
      </c>
      <c r="AE127" s="17">
        <f>INDEX('Eurostat EB TJ GWh'!$A$2:$BV$146,MATCH($A127,'Eurostat EB TJ GWh'!$A$2:$A$146,0),MATCH(AE$3,'Eurostat EB TJ GWh'!$A$2:$BV$2,0))</f>
        <v>0</v>
      </c>
      <c r="AF127" s="17">
        <f>INDEX('Eurostat EB TJ GWh'!$A$2:$BV$146,MATCH($A127,'Eurostat EB TJ GWh'!$A$2:$A$146,0),MATCH(AF$3,'Eurostat EB TJ GWh'!$A$2:$BV$2,0))</f>
        <v>0</v>
      </c>
      <c r="AG127" s="17">
        <f>INDEX('Eurostat EB TJ GWh'!$A$2:$BV$146,MATCH($A127,'Eurostat EB TJ GWh'!$A$2:$A$146,0),MATCH(AG$3,'Eurostat EB TJ GWh'!$A$2:$BV$2,0))</f>
        <v>0</v>
      </c>
      <c r="AH127" s="17">
        <f>INDEX('Eurostat EB TJ GWh'!$A$2:$BV$146,MATCH($A127,'Eurostat EB TJ GWh'!$A$2:$A$146,0),MATCH(AH$3,'Eurostat EB TJ GWh'!$A$2:$BV$2,0))</f>
        <v>0</v>
      </c>
      <c r="AI127" s="17">
        <f>INDEX('Eurostat EB TJ GWh'!$A$2:$BV$146,MATCH($A127,'Eurostat EB TJ GWh'!$A$2:$A$146,0),MATCH(AI$3,'Eurostat EB TJ GWh'!$A$2:$BV$2,0))</f>
        <v>0</v>
      </c>
      <c r="AJ127" s="17">
        <f>INDEX('Eurostat EB TJ GWh'!$A$2:$BV$146,MATCH($A127,'Eurostat EB TJ GWh'!$A$2:$A$146,0),MATCH(AJ$3,'Eurostat EB TJ GWh'!$A$2:$BV$2,0))</f>
        <v>0</v>
      </c>
      <c r="AK127" s="17">
        <f>INDEX('Eurostat EB TJ GWh'!$A$2:$BV$146,MATCH($A127,'Eurostat EB TJ GWh'!$A$2:$A$146,0),MATCH(AK$3,'Eurostat EB TJ GWh'!$A$2:$BV$2,0))</f>
        <v>0</v>
      </c>
      <c r="AL127" s="17">
        <f>INDEX('Eurostat EB TJ GWh'!$A$2:$BV$146,MATCH($A127,'Eurostat EB TJ GWh'!$A$2:$A$146,0),MATCH(AL$3,'Eurostat EB TJ GWh'!$A$2:$BV$2,0))</f>
        <v>0</v>
      </c>
      <c r="AM127" s="17">
        <f>INDEX('Eurostat EB TJ GWh'!$A$2:$BV$146,MATCH($A127,'Eurostat EB TJ GWh'!$A$2:$A$146,0),MATCH(AM$3,'Eurostat EB TJ GWh'!$A$2:$BV$2,0))</f>
        <v>0</v>
      </c>
      <c r="AN127" s="17">
        <f>INDEX('Eurostat EB TJ GWh'!$A$2:$BV$146,MATCH($A127,'Eurostat EB TJ GWh'!$A$2:$A$146,0),MATCH(AN$3,'Eurostat EB TJ GWh'!$A$2:$BV$2,0))</f>
        <v>0</v>
      </c>
      <c r="AO127" s="17">
        <f>INDEX('Eurostat EB TJ GWh'!$A$2:$BV$146,MATCH($A127,'Eurostat EB TJ GWh'!$A$2:$A$146,0),MATCH(AO$3,'Eurostat EB TJ GWh'!$A$2:$BV$2,0))</f>
        <v>0</v>
      </c>
      <c r="AP127" s="17">
        <f>INDEX('Eurostat EB TJ GWh'!$A$2:$BV$146,MATCH($A127,'Eurostat EB TJ GWh'!$A$2:$A$146,0),MATCH(AP$3,'Eurostat EB TJ GWh'!$A$2:$BV$2,0))</f>
        <v>19.796111111111113</v>
      </c>
      <c r="AQ127" s="17">
        <f>INDEX('Eurostat EB TJ GWh'!$A$2:$BV$146,MATCH($A127,'Eurostat EB TJ GWh'!$A$2:$A$146,0),MATCH(AQ$3,'Eurostat EB TJ GWh'!$A$2:$BV$2,0))</f>
        <v>0</v>
      </c>
      <c r="AR127" s="17">
        <f>INDEX('Eurostat EB TJ GWh'!$A$2:$BV$146,MATCH($A127,'Eurostat EB TJ GWh'!$A$2:$A$146,0),MATCH(AR$3,'Eurostat EB TJ GWh'!$A$2:$BV$2,0))</f>
        <v>0</v>
      </c>
      <c r="AS127" s="17">
        <f>INDEX('Eurostat EB TJ GWh'!$A$2:$BV$146,MATCH($A127,'Eurostat EB TJ GWh'!$A$2:$A$146,0),MATCH(AS$3,'Eurostat EB TJ GWh'!$A$2:$BV$2,0))</f>
        <v>0</v>
      </c>
      <c r="AT127" s="17">
        <f>INDEX('Eurostat EB TJ GWh'!$A$2:$BV$146,MATCH($A127,'Eurostat EB TJ GWh'!$A$2:$A$146,0),MATCH(AT$3,'Eurostat EB TJ GWh'!$A$2:$BV$2,0))</f>
        <v>1384.6338888888888</v>
      </c>
      <c r="AU127" s="17">
        <f>INDEX('Eurostat EB TJ GWh'!$A$2:$BV$146,MATCH($A127,'Eurostat EB TJ GWh'!$A$2:$A$146,0),MATCH(AU$3,'Eurostat EB TJ GWh'!$A$2:$BV$2,0))</f>
        <v>1.9911111111111111</v>
      </c>
      <c r="AV127" s="17">
        <f>INDEX('Eurostat EB TJ GWh'!$A$2:$BV$146,MATCH($A127,'Eurostat EB TJ GWh'!$A$2:$A$146,0),MATCH(AV$2,'Eurostat EB TJ GWh'!$A$2:$BV$2,0))+INDEX('Eurostat EB TJ GWh'!$A$2:$BV$146,MATCH($A127,'Eurostat EB TJ GWh'!$A$2:$A$146,0),MATCH(AV$3,'Eurostat EB TJ GWh'!$A$2:$BV$2,0))</f>
        <v>0</v>
      </c>
      <c r="AW127" s="17">
        <f>INDEX('Eurostat EB TJ GWh'!$A$2:$BV$146,MATCH($A127,'Eurostat EB TJ GWh'!$A$2:$A$146,0),MATCH(AW$2,'Eurostat EB TJ GWh'!$A$2:$BV$2,0))+INDEX('Eurostat EB TJ GWh'!$A$2:$BV$146,MATCH($A127,'Eurostat EB TJ GWh'!$A$2:$A$146,0),MATCH(AW$3,'Eurostat EB TJ GWh'!$A$2:$BV$2,0))</f>
        <v>0</v>
      </c>
      <c r="AX127" s="17">
        <f>INDEX('Eurostat EB TJ GWh'!$A$2:$BV$146,MATCH($A127,'Eurostat EB TJ GWh'!$A$2:$A$146,0),MATCH(AX$3,'Eurostat EB TJ GWh'!$A$2:$BV$2,0))</f>
        <v>0</v>
      </c>
      <c r="AY127" s="72">
        <v>0</v>
      </c>
      <c r="AZ127" s="17">
        <f>INDEX('Eurostat EB TJ GWh'!$A$2:$BV$146,MATCH($A127,'Eurostat EB TJ GWh'!$A$2:$A$146,0),MATCH(AZ$3,'Eurostat EB TJ GWh'!$A$2:$BV$2,0))</f>
        <v>0</v>
      </c>
      <c r="BA127" s="72">
        <v>0</v>
      </c>
      <c r="BB127" s="72">
        <v>0</v>
      </c>
      <c r="BC127" s="17">
        <f>INDEX('Eurostat EB TJ GWh'!$A$2:$BV$146,MATCH($A127,'Eurostat EB TJ GWh'!$A$2:$A$146,0),MATCH(BC$3,'Eurostat EB TJ GWh'!$A$2:$BV$2,0))</f>
        <v>3985.2930555555554</v>
      </c>
      <c r="BD127" s="17">
        <f>INDEX('Eurostat EB TJ GWh'!$A$2:$BV$146,MATCH($A127,'Eurostat EB TJ GWh'!$A$2:$A$146,0),MATCH(BD$3,'Eurostat EB TJ GWh'!$A$2:$BV$2,0))</f>
        <v>69.36888888888889</v>
      </c>
      <c r="BE127" s="17">
        <f>INDEX('Eurostat EB TJ GWh'!$A$2:$BV$146,MATCH($A127,'Eurostat EB TJ GWh'!$A$2:$A$146,0),MATCH(BE$3,'Eurostat EB TJ GWh'!$A$2:$BV$2,0))</f>
        <v>0</v>
      </c>
      <c r="BF127" s="17">
        <f>INDEX('Eurostat EB TJ GWh'!$A$2:$BV$146,MATCH($A127,'Eurostat EB TJ GWh'!$A$2:$A$146,0),MATCH(BF$3,'Eurostat EB TJ GWh'!$A$2:$BV$2,0))</f>
        <v>4017.9630555555555</v>
      </c>
      <c r="BG127" s="17">
        <f>INDEX('Eurostat EB TJ GWh'!$A$2:$BV$146,MATCH($A127,'Eurostat EB TJ GWh'!$A$2:$A$146,0),MATCH(BG$3,'Eurostat EB TJ GWh'!$A$2:$BV$2,0))</f>
        <v>0</v>
      </c>
      <c r="BH127" s="17">
        <f>INDEX('Eurostat EB TJ GWh'!$A$2:$BV$146,MATCH($A127,'Eurostat EB TJ GWh'!$A$2:$A$146,0),MATCH(BH$3,'Eurostat EB TJ GWh'!$A$2:$BV$2,0))</f>
        <v>0</v>
      </c>
      <c r="BI127" s="17">
        <f>INDEX('Eurostat EB TJ GWh'!$A$2:$BV$146,MATCH($A127,'Eurostat EB TJ GWh'!$A$2:$A$146,0),MATCH(BI$3,'Eurostat EB TJ GWh'!$A$2:$BV$2,0))</f>
        <v>27179.723055555554</v>
      </c>
      <c r="BJ127" s="72">
        <v>0</v>
      </c>
      <c r="BK127" s="17">
        <f>INDEX('Eurostat EB TJ GWh'!$A$2:$BV$146,MATCH($A127,'Eurostat EB TJ GWh'!$A$2:$A$146,0),MATCH(BK$3,'Eurostat EB TJ GWh'!$A$2:$BV$2,0))</f>
        <v>0</v>
      </c>
      <c r="BL127" s="17">
        <f>INDEX('Eurostat EB TJ GWh'!$A$2:$BV$146,MATCH($A127,'Eurostat EB TJ GWh'!$A$2:$A$146,0),MATCH(BL$3,'Eurostat EB TJ GWh'!$A$2:$BV$2,0))</f>
        <v>0</v>
      </c>
      <c r="BM127" s="17">
        <f>INDEX('Eurostat EB TJ GWh'!$A$2:$BV$146,MATCH($A127,'Eurostat EB TJ GWh'!$A$2:$A$146,0),MATCH(BM$3,'Eurostat EB TJ GWh'!$A$2:$BV$2,0))</f>
        <v>64936.043888888889</v>
      </c>
      <c r="BN127" s="17">
        <f>INDEX('Eurostat EB TJ GWh'!$A$2:$BV$146,MATCH($A127,'Eurostat EB TJ GWh'!$A$2:$A$146,0),MATCH(BN$3,'Eurostat EB TJ GWh'!$A$2:$BV$2,0))</f>
        <v>1601.2702777777779</v>
      </c>
    </row>
    <row r="128" spans="1:66" x14ac:dyDescent="0.2">
      <c r="A128" s="56" t="s">
        <v>315</v>
      </c>
      <c r="B128" s="65" t="s">
        <v>323</v>
      </c>
      <c r="C128" s="65" t="s">
        <v>323</v>
      </c>
      <c r="D128" s="57">
        <f>INDEX('Eurostat EB TJ GWh'!$A$2:$BV$146,MATCH($A128,'Eurostat EB TJ GWh'!$A$2:$A$146,0),MATCH(D$3,'Eurostat EB TJ GWh'!$A$2:$BV$2,0))</f>
        <v>0</v>
      </c>
      <c r="E128" s="57">
        <f>INDEX('Eurostat EB TJ GWh'!$A$2:$BV$146,MATCH($A128,'Eurostat EB TJ GWh'!$A$2:$A$146,0),MATCH(E$3,'Eurostat EB TJ GWh'!$A$2:$BV$2,0))</f>
        <v>0</v>
      </c>
      <c r="F128" s="57">
        <f>INDEX('Eurostat EB TJ GWh'!$A$2:$BV$146,MATCH($A128,'Eurostat EB TJ GWh'!$A$2:$A$146,0),MATCH(F$3,'Eurostat EB TJ GWh'!$A$2:$BV$2,0))</f>
        <v>3579.5938888888891</v>
      </c>
      <c r="G128" s="57">
        <f>INDEX('Eurostat EB TJ GWh'!$A$2:$BV$146,MATCH($A128,'Eurostat EB TJ GWh'!$A$2:$A$146,0),MATCH(G$3,'Eurostat EB TJ GWh'!$A$2:$BV$2,0))</f>
        <v>0</v>
      </c>
      <c r="H128" s="57">
        <f>INDEX('Eurostat EB TJ GWh'!$A$2:$BV$146,MATCH($A128,'Eurostat EB TJ GWh'!$A$2:$A$146,0),MATCH(H$3,'Eurostat EB TJ GWh'!$A$2:$BV$2,0))</f>
        <v>0</v>
      </c>
      <c r="I128" s="57">
        <f>INDEX('Eurostat EB TJ GWh'!$A$2:$BV$146,MATCH($A128,'Eurostat EB TJ GWh'!$A$2:$A$146,0),MATCH(I$3,'Eurostat EB TJ GWh'!$A$2:$BV$2,0))</f>
        <v>0</v>
      </c>
      <c r="J128" s="57">
        <f>INDEX('Eurostat EB TJ GWh'!$A$2:$BV$146,MATCH($A128,'Eurostat EB TJ GWh'!$A$2:$A$146,0),MATCH(J$3,'Eurostat EB TJ GWh'!$A$2:$BV$2,0))</f>
        <v>0</v>
      </c>
      <c r="K128" s="57">
        <f>INDEX('Eurostat EB TJ GWh'!$A$2:$BV$146,MATCH($A128,'Eurostat EB TJ GWh'!$A$2:$A$146,0),MATCH(K$3,'Eurostat EB TJ GWh'!$A$2:$BV$2,0))</f>
        <v>0</v>
      </c>
      <c r="L128" s="57">
        <f>INDEX('Eurostat EB TJ GWh'!$A$2:$BV$146,MATCH($A128,'Eurostat EB TJ GWh'!$A$2:$A$146,0),MATCH(L$3,'Eurostat EB TJ GWh'!$A$2:$BV$2,0))</f>
        <v>0</v>
      </c>
      <c r="M128" s="57">
        <f>INDEX('Eurostat EB TJ GWh'!$A$2:$BV$146,MATCH($A128,'Eurostat EB TJ GWh'!$A$2:$A$146,0),MATCH(M$3,'Eurostat EB TJ GWh'!$A$2:$BV$2,0))</f>
        <v>0</v>
      </c>
      <c r="N128" s="57">
        <f>INDEX('Eurostat EB TJ GWh'!$A$2:$BV$146,MATCH($A128,'Eurostat EB TJ GWh'!$A$2:$A$146,0),MATCH(N$3,'Eurostat EB TJ GWh'!$A$2:$BV$2,0))</f>
        <v>0</v>
      </c>
      <c r="O128" s="57">
        <f>INDEX('Eurostat EB TJ GWh'!$A$2:$BV$146,MATCH($A128,'Eurostat EB TJ GWh'!$A$2:$A$146,0),MATCH(O$3,'Eurostat EB TJ GWh'!$A$2:$BV$2,0))</f>
        <v>6.9444444444444449E-3</v>
      </c>
      <c r="P128" s="57">
        <f>INDEX('Eurostat EB TJ GWh'!$A$2:$BV$146,MATCH($A128,'Eurostat EB TJ GWh'!$A$2:$A$146,0),MATCH(P$3,'Eurostat EB TJ GWh'!$A$2:$BV$2,0))</f>
        <v>190.27305555555554</v>
      </c>
      <c r="Q128" s="57">
        <f>INDEX('Eurostat EB TJ GWh'!$A$2:$BV$146,MATCH($A128,'Eurostat EB TJ GWh'!$A$2:$A$146,0),MATCH(Q$3,'Eurostat EB TJ GWh'!$A$2:$BV$2,0))</f>
        <v>0</v>
      </c>
      <c r="R128" s="57">
        <f>INDEX('Eurostat EB TJ GWh'!$A$2:$BV$146,MATCH($A128,'Eurostat EB TJ GWh'!$A$2:$A$146,0),MATCH(R$2,'Eurostat EB TJ GWh'!$A$2:$BV$2,0))+INDEX('Eurostat EB TJ GWh'!$A$2:$BV$146,MATCH($A128,'Eurostat EB TJ GWh'!$A$2:$A$146,0),MATCH(R$3,'Eurostat EB TJ GWh'!$A$2:$BV$2,0))</f>
        <v>0</v>
      </c>
      <c r="S128" s="57">
        <f>INDEX('Eurostat EB TJ GWh'!$A$2:$BV$146,MATCH($A128,'Eurostat EB TJ GWh'!$A$2:$A$146,0),MATCH(S$3,'Eurostat EB TJ GWh'!$A$2:$BV$2,0))</f>
        <v>9302.1288888888885</v>
      </c>
      <c r="T128" s="65" t="s">
        <v>323</v>
      </c>
      <c r="U128" s="57">
        <f>INDEX('Eurostat EB TJ GWh'!$A$2:$BV$146,MATCH($A128,'Eurostat EB TJ GWh'!$A$2:$A$146,0),MATCH(U$3,'Eurostat EB TJ GWh'!$A$2:$BV$2,0))</f>
        <v>0</v>
      </c>
      <c r="V128" s="57">
        <f>INDEX('Eurostat EB TJ GWh'!$A$2:$BV$146,MATCH($A128,'Eurostat EB TJ GWh'!$A$2:$A$146,0),MATCH(V$3,'Eurostat EB TJ GWh'!$A$2:$BV$2,0))</f>
        <v>0</v>
      </c>
      <c r="W128" s="57">
        <f>INDEX('Eurostat EB TJ GWh'!$A$2:$BV$146,MATCH($A128,'Eurostat EB TJ GWh'!$A$2:$A$146,0),MATCH(W$3,'Eurostat EB TJ GWh'!$A$2:$BV$2,0))</f>
        <v>0</v>
      </c>
      <c r="X128" s="57">
        <f>INDEX('Eurostat EB TJ GWh'!$A$2:$BV$146,MATCH($A128,'Eurostat EB TJ GWh'!$A$2:$A$146,0),MATCH(X$3,'Eurostat EB TJ GWh'!$A$2:$BV$2,0))</f>
        <v>0</v>
      </c>
      <c r="Y128" s="57">
        <f>INDEX('Eurostat EB TJ GWh'!$A$2:$BV$146,MATCH($A128,'Eurostat EB TJ GWh'!$A$2:$A$146,0),MATCH(Y$3,'Eurostat EB TJ GWh'!$A$2:$BV$2,0))</f>
        <v>0</v>
      </c>
      <c r="Z128" s="57">
        <f>INDEX('Eurostat EB TJ GWh'!$A$2:$BV$146,MATCH($A128,'Eurostat EB TJ GWh'!$A$2:$A$146,0),MATCH(Z$3,'Eurostat EB TJ GWh'!$A$2:$BV$2,0))</f>
        <v>0</v>
      </c>
      <c r="AA128" s="57">
        <f>INDEX('Eurostat EB TJ GWh'!$A$2:$BV$146,MATCH($A128,'Eurostat EB TJ GWh'!$A$2:$A$146,0),MATCH(AA$3,'Eurostat EB TJ GWh'!$A$2:$BV$2,0))</f>
        <v>0</v>
      </c>
      <c r="AB128" s="57">
        <f>INDEX('Eurostat EB TJ GWh'!$A$2:$BV$146,MATCH($A128,'Eurostat EB TJ GWh'!$A$2:$A$146,0),MATCH(AB$3,'Eurostat EB TJ GWh'!$A$2:$BV$2,0))</f>
        <v>0</v>
      </c>
      <c r="AC128" s="57">
        <f>INDEX('Eurostat EB TJ GWh'!$A$2:$BV$146,MATCH($A128,'Eurostat EB TJ GWh'!$A$2:$A$146,0),MATCH(AC$3,'Eurostat EB TJ GWh'!$A$2:$BV$2,0))</f>
        <v>0</v>
      </c>
      <c r="AD128" s="57">
        <f>INDEX('Eurostat EB TJ GWh'!$A$2:$BV$146,MATCH($A128,'Eurostat EB TJ GWh'!$A$2:$A$146,0),MATCH(AD$3,'Eurostat EB TJ GWh'!$A$2:$BV$2,0))</f>
        <v>0</v>
      </c>
      <c r="AE128" s="57">
        <f>INDEX('Eurostat EB TJ GWh'!$A$2:$BV$146,MATCH($A128,'Eurostat EB TJ GWh'!$A$2:$A$146,0),MATCH(AE$3,'Eurostat EB TJ GWh'!$A$2:$BV$2,0))</f>
        <v>0</v>
      </c>
      <c r="AF128" s="57">
        <f>INDEX('Eurostat EB TJ GWh'!$A$2:$BV$146,MATCH($A128,'Eurostat EB TJ GWh'!$A$2:$A$146,0),MATCH(AF$3,'Eurostat EB TJ GWh'!$A$2:$BV$2,0))</f>
        <v>0</v>
      </c>
      <c r="AG128" s="57">
        <f>INDEX('Eurostat EB TJ GWh'!$A$2:$BV$146,MATCH($A128,'Eurostat EB TJ GWh'!$A$2:$A$146,0),MATCH(AG$3,'Eurostat EB TJ GWh'!$A$2:$BV$2,0))</f>
        <v>0</v>
      </c>
      <c r="AH128" s="57">
        <f>INDEX('Eurostat EB TJ GWh'!$A$2:$BV$146,MATCH($A128,'Eurostat EB TJ GWh'!$A$2:$A$146,0),MATCH(AH$3,'Eurostat EB TJ GWh'!$A$2:$BV$2,0))</f>
        <v>23.373888888888889</v>
      </c>
      <c r="AI128" s="57">
        <f>INDEX('Eurostat EB TJ GWh'!$A$2:$BV$146,MATCH($A128,'Eurostat EB TJ GWh'!$A$2:$A$146,0),MATCH(AI$3,'Eurostat EB TJ GWh'!$A$2:$BV$2,0))</f>
        <v>0</v>
      </c>
      <c r="AJ128" s="57">
        <f>INDEX('Eurostat EB TJ GWh'!$A$2:$BV$146,MATCH($A128,'Eurostat EB TJ GWh'!$A$2:$A$146,0),MATCH(AJ$3,'Eurostat EB TJ GWh'!$A$2:$BV$2,0))</f>
        <v>0</v>
      </c>
      <c r="AK128" s="57">
        <f>INDEX('Eurostat EB TJ GWh'!$A$2:$BV$146,MATCH($A128,'Eurostat EB TJ GWh'!$A$2:$A$146,0),MATCH(AK$3,'Eurostat EB TJ GWh'!$A$2:$BV$2,0))</f>
        <v>0</v>
      </c>
      <c r="AL128" s="57">
        <f>INDEX('Eurostat EB TJ GWh'!$A$2:$BV$146,MATCH($A128,'Eurostat EB TJ GWh'!$A$2:$A$146,0),MATCH(AL$3,'Eurostat EB TJ GWh'!$A$2:$BV$2,0))</f>
        <v>0</v>
      </c>
      <c r="AM128" s="57">
        <f>INDEX('Eurostat EB TJ GWh'!$A$2:$BV$146,MATCH($A128,'Eurostat EB TJ GWh'!$A$2:$A$146,0),MATCH(AM$3,'Eurostat EB TJ GWh'!$A$2:$BV$2,0))</f>
        <v>0</v>
      </c>
      <c r="AN128" s="57">
        <f>INDEX('Eurostat EB TJ GWh'!$A$2:$BV$146,MATCH($A128,'Eurostat EB TJ GWh'!$A$2:$A$146,0),MATCH(AN$3,'Eurostat EB TJ GWh'!$A$2:$BV$2,0))</f>
        <v>0</v>
      </c>
      <c r="AO128" s="57">
        <f>INDEX('Eurostat EB TJ GWh'!$A$2:$BV$146,MATCH($A128,'Eurostat EB TJ GWh'!$A$2:$A$146,0),MATCH(AO$3,'Eurostat EB TJ GWh'!$A$2:$BV$2,0))</f>
        <v>0</v>
      </c>
      <c r="AP128" s="57">
        <f>INDEX('Eurostat EB TJ GWh'!$A$2:$BV$146,MATCH($A128,'Eurostat EB TJ GWh'!$A$2:$A$146,0),MATCH(AP$3,'Eurostat EB TJ GWh'!$A$2:$BV$2,0))</f>
        <v>0</v>
      </c>
      <c r="AQ128" s="57">
        <f>INDEX('Eurostat EB TJ GWh'!$A$2:$BV$146,MATCH($A128,'Eurostat EB TJ GWh'!$A$2:$A$146,0),MATCH(AQ$3,'Eurostat EB TJ GWh'!$A$2:$BV$2,0))</f>
        <v>30.946944444444444</v>
      </c>
      <c r="AR128" s="57">
        <f>INDEX('Eurostat EB TJ GWh'!$A$2:$BV$146,MATCH($A128,'Eurostat EB TJ GWh'!$A$2:$A$146,0),MATCH(AR$3,'Eurostat EB TJ GWh'!$A$2:$BV$2,0))</f>
        <v>0</v>
      </c>
      <c r="AS128" s="57">
        <f>INDEX('Eurostat EB TJ GWh'!$A$2:$BV$146,MATCH($A128,'Eurostat EB TJ GWh'!$A$2:$A$146,0),MATCH(AS$3,'Eurostat EB TJ GWh'!$A$2:$BV$2,0))</f>
        <v>0</v>
      </c>
      <c r="AT128" s="57">
        <f>INDEX('Eurostat EB TJ GWh'!$A$2:$BV$146,MATCH($A128,'Eurostat EB TJ GWh'!$A$2:$A$146,0),MATCH(AT$3,'Eurostat EB TJ GWh'!$A$2:$BV$2,0))</f>
        <v>3029.2219444444445</v>
      </c>
      <c r="AU128" s="57">
        <f>INDEX('Eurostat EB TJ GWh'!$A$2:$BV$146,MATCH($A128,'Eurostat EB TJ GWh'!$A$2:$A$146,0),MATCH(AU$3,'Eurostat EB TJ GWh'!$A$2:$BV$2,0))</f>
        <v>27.066111111111113</v>
      </c>
      <c r="AV128" s="57">
        <f>INDEX('Eurostat EB TJ GWh'!$A$2:$BV$146,MATCH($A128,'Eurostat EB TJ GWh'!$A$2:$A$146,0),MATCH(AV$2,'Eurostat EB TJ GWh'!$A$2:$BV$2,0))+INDEX('Eurostat EB TJ GWh'!$A$2:$BV$146,MATCH($A128,'Eurostat EB TJ GWh'!$A$2:$A$146,0),MATCH(AV$3,'Eurostat EB TJ GWh'!$A$2:$BV$2,0))</f>
        <v>0</v>
      </c>
      <c r="AW128" s="57">
        <f>INDEX('Eurostat EB TJ GWh'!$A$2:$BV$146,MATCH($A128,'Eurostat EB TJ GWh'!$A$2:$A$146,0),MATCH(AW$2,'Eurostat EB TJ GWh'!$A$2:$BV$2,0))+INDEX('Eurostat EB TJ GWh'!$A$2:$BV$146,MATCH($A128,'Eurostat EB TJ GWh'!$A$2:$A$146,0),MATCH(AW$3,'Eurostat EB TJ GWh'!$A$2:$BV$2,0))</f>
        <v>0</v>
      </c>
      <c r="AX128" s="57">
        <f>INDEX('Eurostat EB TJ GWh'!$A$2:$BV$146,MATCH($A128,'Eurostat EB TJ GWh'!$A$2:$A$146,0),MATCH(AX$3,'Eurostat EB TJ GWh'!$A$2:$BV$2,0))</f>
        <v>0</v>
      </c>
      <c r="AY128" s="65">
        <v>0</v>
      </c>
      <c r="AZ128" s="57">
        <f>INDEX('Eurostat EB TJ GWh'!$A$2:$BV$146,MATCH($A128,'Eurostat EB TJ GWh'!$A$2:$A$146,0),MATCH(AZ$3,'Eurostat EB TJ GWh'!$A$2:$BV$2,0))</f>
        <v>0</v>
      </c>
      <c r="BA128" s="65">
        <v>0</v>
      </c>
      <c r="BB128" s="65">
        <v>0</v>
      </c>
      <c r="BC128" s="57">
        <f>INDEX('Eurostat EB TJ GWh'!$A$2:$BV$146,MATCH($A128,'Eurostat EB TJ GWh'!$A$2:$A$146,0),MATCH(BC$3,'Eurostat EB TJ GWh'!$A$2:$BV$2,0))</f>
        <v>0</v>
      </c>
      <c r="BD128" s="57">
        <f>INDEX('Eurostat EB TJ GWh'!$A$2:$BV$146,MATCH($A128,'Eurostat EB TJ GWh'!$A$2:$A$146,0),MATCH(BD$3,'Eurostat EB TJ GWh'!$A$2:$BV$2,0))</f>
        <v>0</v>
      </c>
      <c r="BE128" s="57">
        <f>INDEX('Eurostat EB TJ GWh'!$A$2:$BV$146,MATCH($A128,'Eurostat EB TJ GWh'!$A$2:$A$146,0),MATCH(BE$3,'Eurostat EB TJ GWh'!$A$2:$BV$2,0))</f>
        <v>0</v>
      </c>
      <c r="BF128" s="57">
        <f>INDEX('Eurostat EB TJ GWh'!$A$2:$BV$146,MATCH($A128,'Eurostat EB TJ GWh'!$A$2:$A$146,0),MATCH(BF$3,'Eurostat EB TJ GWh'!$A$2:$BV$2,0))</f>
        <v>0</v>
      </c>
      <c r="BG128" s="57">
        <f>INDEX('Eurostat EB TJ GWh'!$A$2:$BV$146,MATCH($A128,'Eurostat EB TJ GWh'!$A$2:$A$146,0),MATCH(BG$3,'Eurostat EB TJ GWh'!$A$2:$BV$2,0))</f>
        <v>0</v>
      </c>
      <c r="BH128" s="57">
        <f>INDEX('Eurostat EB TJ GWh'!$A$2:$BV$146,MATCH($A128,'Eurostat EB TJ GWh'!$A$2:$A$146,0),MATCH(BH$3,'Eurostat EB TJ GWh'!$A$2:$BV$2,0))</f>
        <v>0</v>
      </c>
      <c r="BI128" s="57">
        <f>INDEX('Eurostat EB TJ GWh'!$A$2:$BV$146,MATCH($A128,'Eurostat EB TJ GWh'!$A$2:$A$146,0),MATCH(BI$3,'Eurostat EB TJ GWh'!$A$2:$BV$2,0))</f>
        <v>0</v>
      </c>
      <c r="BJ128" s="65">
        <v>0</v>
      </c>
      <c r="BK128" s="57">
        <f>INDEX('Eurostat EB TJ GWh'!$A$2:$BV$146,MATCH($A128,'Eurostat EB TJ GWh'!$A$2:$A$146,0),MATCH(BK$3,'Eurostat EB TJ GWh'!$A$2:$BV$2,0))</f>
        <v>0</v>
      </c>
      <c r="BL128" s="57">
        <f>INDEX('Eurostat EB TJ GWh'!$A$2:$BV$146,MATCH($A128,'Eurostat EB TJ GWh'!$A$2:$A$146,0),MATCH(BL$3,'Eurostat EB TJ GWh'!$A$2:$BV$2,0))</f>
        <v>0</v>
      </c>
      <c r="BM128" s="57">
        <f>INDEX('Eurostat EB TJ GWh'!$A$2:$BV$146,MATCH($A128,'Eurostat EB TJ GWh'!$A$2:$A$146,0),MATCH(BM$3,'Eurostat EB TJ GWh'!$A$2:$BV$2,0))</f>
        <v>16182.611944444443</v>
      </c>
      <c r="BN128" s="57">
        <f>INDEX('Eurostat EB TJ GWh'!$A$2:$BV$146,MATCH($A128,'Eurostat EB TJ GWh'!$A$2:$A$146,0),MATCH(BN$3,'Eurostat EB TJ GWh'!$A$2:$BV$2,0))</f>
        <v>3151.5688888888885</v>
      </c>
    </row>
    <row r="129" spans="1:66" x14ac:dyDescent="0.2">
      <c r="A129" s="56" t="s">
        <v>316</v>
      </c>
      <c r="B129" s="65" t="s">
        <v>323</v>
      </c>
      <c r="C129" s="65" t="s">
        <v>323</v>
      </c>
      <c r="D129" s="17">
        <f>INDEX('Eurostat EB TJ GWh'!$A$2:$BV$146,MATCH($A129,'Eurostat EB TJ GWh'!$A$2:$A$146,0),MATCH(D$3,'Eurostat EB TJ GWh'!$A$2:$BV$2,0))</f>
        <v>0</v>
      </c>
      <c r="E129" s="17">
        <f>INDEX('Eurostat EB TJ GWh'!$A$2:$BV$146,MATCH($A129,'Eurostat EB TJ GWh'!$A$2:$A$146,0),MATCH(E$3,'Eurostat EB TJ GWh'!$A$2:$BV$2,0))</f>
        <v>0</v>
      </c>
      <c r="F129" s="17">
        <f>INDEX('Eurostat EB TJ GWh'!$A$2:$BV$146,MATCH($A129,'Eurostat EB TJ GWh'!$A$2:$A$146,0),MATCH(F$3,'Eurostat EB TJ GWh'!$A$2:$BV$2,0))</f>
        <v>0</v>
      </c>
      <c r="G129" s="17">
        <f>INDEX('Eurostat EB TJ GWh'!$A$2:$BV$146,MATCH($A129,'Eurostat EB TJ GWh'!$A$2:$A$146,0),MATCH(G$3,'Eurostat EB TJ GWh'!$A$2:$BV$2,0))</f>
        <v>0</v>
      </c>
      <c r="H129" s="17">
        <f>INDEX('Eurostat EB TJ GWh'!$A$2:$BV$146,MATCH($A129,'Eurostat EB TJ GWh'!$A$2:$A$146,0),MATCH(H$3,'Eurostat EB TJ GWh'!$A$2:$BV$2,0))</f>
        <v>0</v>
      </c>
      <c r="I129" s="17">
        <f>INDEX('Eurostat EB TJ GWh'!$A$2:$BV$146,MATCH($A129,'Eurostat EB TJ GWh'!$A$2:$A$146,0),MATCH(I$3,'Eurostat EB TJ GWh'!$A$2:$BV$2,0))</f>
        <v>0</v>
      </c>
      <c r="J129" s="17">
        <f>INDEX('Eurostat EB TJ GWh'!$A$2:$BV$146,MATCH($A129,'Eurostat EB TJ GWh'!$A$2:$A$146,0),MATCH(J$3,'Eurostat EB TJ GWh'!$A$2:$BV$2,0))</f>
        <v>0</v>
      </c>
      <c r="K129" s="17">
        <f>INDEX('Eurostat EB TJ GWh'!$A$2:$BV$146,MATCH($A129,'Eurostat EB TJ GWh'!$A$2:$A$146,0),MATCH(K$3,'Eurostat EB TJ GWh'!$A$2:$BV$2,0))</f>
        <v>0</v>
      </c>
      <c r="L129" s="17">
        <f>INDEX('Eurostat EB TJ GWh'!$A$2:$BV$146,MATCH($A129,'Eurostat EB TJ GWh'!$A$2:$A$146,0),MATCH(L$3,'Eurostat EB TJ GWh'!$A$2:$BV$2,0))</f>
        <v>0</v>
      </c>
      <c r="M129" s="17">
        <f>INDEX('Eurostat EB TJ GWh'!$A$2:$BV$146,MATCH($A129,'Eurostat EB TJ GWh'!$A$2:$A$146,0),MATCH(M$3,'Eurostat EB TJ GWh'!$A$2:$BV$2,0))</f>
        <v>0</v>
      </c>
      <c r="N129" s="17">
        <f>INDEX('Eurostat EB TJ GWh'!$A$2:$BV$146,MATCH($A129,'Eurostat EB TJ GWh'!$A$2:$A$146,0),MATCH(N$3,'Eurostat EB TJ GWh'!$A$2:$BV$2,0))</f>
        <v>0</v>
      </c>
      <c r="O129" s="17">
        <f>INDEX('Eurostat EB TJ GWh'!$A$2:$BV$146,MATCH($A129,'Eurostat EB TJ GWh'!$A$2:$A$146,0),MATCH(O$3,'Eurostat EB TJ GWh'!$A$2:$BV$2,0))</f>
        <v>0</v>
      </c>
      <c r="P129" s="17">
        <f>INDEX('Eurostat EB TJ GWh'!$A$2:$BV$146,MATCH($A129,'Eurostat EB TJ GWh'!$A$2:$A$146,0),MATCH(P$3,'Eurostat EB TJ GWh'!$A$2:$BV$2,0))</f>
        <v>0</v>
      </c>
      <c r="Q129" s="17">
        <f>INDEX('Eurostat EB TJ GWh'!$A$2:$BV$146,MATCH($A129,'Eurostat EB TJ GWh'!$A$2:$A$146,0),MATCH(Q$3,'Eurostat EB TJ GWh'!$A$2:$BV$2,0))</f>
        <v>0</v>
      </c>
      <c r="R129" s="17">
        <f>INDEX('Eurostat EB TJ GWh'!$A$2:$BV$146,MATCH($A129,'Eurostat EB TJ GWh'!$A$2:$A$146,0),MATCH(R$2,'Eurostat EB TJ GWh'!$A$2:$BV$2,0))+INDEX('Eurostat EB TJ GWh'!$A$2:$BV$146,MATCH($A129,'Eurostat EB TJ GWh'!$A$2:$A$146,0),MATCH(R$3,'Eurostat EB TJ GWh'!$A$2:$BV$2,0))</f>
        <v>0</v>
      </c>
      <c r="S129" s="17">
        <f>INDEX('Eurostat EB TJ GWh'!$A$2:$BV$146,MATCH($A129,'Eurostat EB TJ GWh'!$A$2:$A$146,0),MATCH(S$3,'Eurostat EB TJ GWh'!$A$2:$BV$2,0))</f>
        <v>360.07111111111112</v>
      </c>
      <c r="T129" s="65" t="s">
        <v>323</v>
      </c>
      <c r="U129" s="17">
        <f>INDEX('Eurostat EB TJ GWh'!$A$2:$BV$146,MATCH($A129,'Eurostat EB TJ GWh'!$A$2:$A$146,0),MATCH(U$3,'Eurostat EB TJ GWh'!$A$2:$BV$2,0))</f>
        <v>0</v>
      </c>
      <c r="V129" s="17">
        <f>INDEX('Eurostat EB TJ GWh'!$A$2:$BV$146,MATCH($A129,'Eurostat EB TJ GWh'!$A$2:$A$146,0),MATCH(V$3,'Eurostat EB TJ GWh'!$A$2:$BV$2,0))</f>
        <v>0</v>
      </c>
      <c r="W129" s="17">
        <f>INDEX('Eurostat EB TJ GWh'!$A$2:$BV$146,MATCH($A129,'Eurostat EB TJ GWh'!$A$2:$A$146,0),MATCH(W$3,'Eurostat EB TJ GWh'!$A$2:$BV$2,0))</f>
        <v>0</v>
      </c>
      <c r="X129" s="17">
        <f>INDEX('Eurostat EB TJ GWh'!$A$2:$BV$146,MATCH($A129,'Eurostat EB TJ GWh'!$A$2:$A$146,0),MATCH(X$3,'Eurostat EB TJ GWh'!$A$2:$BV$2,0))</f>
        <v>0</v>
      </c>
      <c r="Y129" s="17">
        <f>INDEX('Eurostat EB TJ GWh'!$A$2:$BV$146,MATCH($A129,'Eurostat EB TJ GWh'!$A$2:$A$146,0),MATCH(Y$3,'Eurostat EB TJ GWh'!$A$2:$BV$2,0))</f>
        <v>0</v>
      </c>
      <c r="Z129" s="17">
        <f>INDEX('Eurostat EB TJ GWh'!$A$2:$BV$146,MATCH($A129,'Eurostat EB TJ GWh'!$A$2:$A$146,0),MATCH(Z$3,'Eurostat EB TJ GWh'!$A$2:$BV$2,0))</f>
        <v>11.05</v>
      </c>
      <c r="AA129" s="17">
        <f>INDEX('Eurostat EB TJ GWh'!$A$2:$BV$146,MATCH($A129,'Eurostat EB TJ GWh'!$A$2:$A$146,0),MATCH(AA$3,'Eurostat EB TJ GWh'!$A$2:$BV$2,0))</f>
        <v>0</v>
      </c>
      <c r="AB129" s="17">
        <f>INDEX('Eurostat EB TJ GWh'!$A$2:$BV$146,MATCH($A129,'Eurostat EB TJ GWh'!$A$2:$A$146,0),MATCH(AB$3,'Eurostat EB TJ GWh'!$A$2:$BV$2,0))</f>
        <v>0</v>
      </c>
      <c r="AC129" s="17">
        <f>INDEX('Eurostat EB TJ GWh'!$A$2:$BV$146,MATCH($A129,'Eurostat EB TJ GWh'!$A$2:$A$146,0),MATCH(AC$3,'Eurostat EB TJ GWh'!$A$2:$BV$2,0))</f>
        <v>0</v>
      </c>
      <c r="AD129" s="17">
        <f>INDEX('Eurostat EB TJ GWh'!$A$2:$BV$146,MATCH($A129,'Eurostat EB TJ GWh'!$A$2:$A$146,0),MATCH(AD$3,'Eurostat EB TJ GWh'!$A$2:$BV$2,0))</f>
        <v>0</v>
      </c>
      <c r="AE129" s="17">
        <f>INDEX('Eurostat EB TJ GWh'!$A$2:$BV$146,MATCH($A129,'Eurostat EB TJ GWh'!$A$2:$A$146,0),MATCH(AE$3,'Eurostat EB TJ GWh'!$A$2:$BV$2,0))</f>
        <v>0</v>
      </c>
      <c r="AF129" s="17">
        <f>INDEX('Eurostat EB TJ GWh'!$A$2:$BV$146,MATCH($A129,'Eurostat EB TJ GWh'!$A$2:$A$146,0),MATCH(AF$3,'Eurostat EB TJ GWh'!$A$2:$BV$2,0))</f>
        <v>0</v>
      </c>
      <c r="AG129" s="17">
        <f>INDEX('Eurostat EB TJ GWh'!$A$2:$BV$146,MATCH($A129,'Eurostat EB TJ GWh'!$A$2:$A$146,0),MATCH(AG$3,'Eurostat EB TJ GWh'!$A$2:$BV$2,0))</f>
        <v>0</v>
      </c>
      <c r="AH129" s="17">
        <f>INDEX('Eurostat EB TJ GWh'!$A$2:$BV$146,MATCH($A129,'Eurostat EB TJ GWh'!$A$2:$A$146,0),MATCH(AH$3,'Eurostat EB TJ GWh'!$A$2:$BV$2,0))</f>
        <v>0.31888888888888883</v>
      </c>
      <c r="AI129" s="17">
        <f>INDEX('Eurostat EB TJ GWh'!$A$2:$BV$146,MATCH($A129,'Eurostat EB TJ GWh'!$A$2:$A$146,0),MATCH(AI$3,'Eurostat EB TJ GWh'!$A$2:$BV$2,0))</f>
        <v>0</v>
      </c>
      <c r="AJ129" s="17">
        <f>INDEX('Eurostat EB TJ GWh'!$A$2:$BV$146,MATCH($A129,'Eurostat EB TJ GWh'!$A$2:$A$146,0),MATCH(AJ$3,'Eurostat EB TJ GWh'!$A$2:$BV$2,0))</f>
        <v>0</v>
      </c>
      <c r="AK129" s="17">
        <f>INDEX('Eurostat EB TJ GWh'!$A$2:$BV$146,MATCH($A129,'Eurostat EB TJ GWh'!$A$2:$A$146,0),MATCH(AK$3,'Eurostat EB TJ GWh'!$A$2:$BV$2,0))</f>
        <v>0</v>
      </c>
      <c r="AL129" s="17">
        <f>INDEX('Eurostat EB TJ GWh'!$A$2:$BV$146,MATCH($A129,'Eurostat EB TJ GWh'!$A$2:$A$146,0),MATCH(AL$3,'Eurostat EB TJ GWh'!$A$2:$BV$2,0))</f>
        <v>0</v>
      </c>
      <c r="AM129" s="17">
        <f>INDEX('Eurostat EB TJ GWh'!$A$2:$BV$146,MATCH($A129,'Eurostat EB TJ GWh'!$A$2:$A$146,0),MATCH(AM$3,'Eurostat EB TJ GWh'!$A$2:$BV$2,0))</f>
        <v>0</v>
      </c>
      <c r="AN129" s="17">
        <f>INDEX('Eurostat EB TJ GWh'!$A$2:$BV$146,MATCH($A129,'Eurostat EB TJ GWh'!$A$2:$A$146,0),MATCH(AN$3,'Eurostat EB TJ GWh'!$A$2:$BV$2,0))</f>
        <v>0</v>
      </c>
      <c r="AO129" s="17">
        <f>INDEX('Eurostat EB TJ GWh'!$A$2:$BV$146,MATCH($A129,'Eurostat EB TJ GWh'!$A$2:$A$146,0),MATCH(AO$3,'Eurostat EB TJ GWh'!$A$2:$BV$2,0))</f>
        <v>0</v>
      </c>
      <c r="AP129" s="17">
        <f>INDEX('Eurostat EB TJ GWh'!$A$2:$BV$146,MATCH($A129,'Eurostat EB TJ GWh'!$A$2:$A$146,0),MATCH(AP$3,'Eurostat EB TJ GWh'!$A$2:$BV$2,0))</f>
        <v>0</v>
      </c>
      <c r="AQ129" s="17">
        <f>INDEX('Eurostat EB TJ GWh'!$A$2:$BV$146,MATCH($A129,'Eurostat EB TJ GWh'!$A$2:$A$146,0),MATCH(AQ$3,'Eurostat EB TJ GWh'!$A$2:$BV$2,0))</f>
        <v>0</v>
      </c>
      <c r="AR129" s="17">
        <f>INDEX('Eurostat EB TJ GWh'!$A$2:$BV$146,MATCH($A129,'Eurostat EB TJ GWh'!$A$2:$A$146,0),MATCH(AR$3,'Eurostat EB TJ GWh'!$A$2:$BV$2,0))</f>
        <v>0</v>
      </c>
      <c r="AS129" s="17">
        <f>INDEX('Eurostat EB TJ GWh'!$A$2:$BV$146,MATCH($A129,'Eurostat EB TJ GWh'!$A$2:$A$146,0),MATCH(AS$3,'Eurostat EB TJ GWh'!$A$2:$BV$2,0))</f>
        <v>0</v>
      </c>
      <c r="AT129" s="17">
        <f>INDEX('Eurostat EB TJ GWh'!$A$2:$BV$146,MATCH($A129,'Eurostat EB TJ GWh'!$A$2:$A$146,0),MATCH(AT$3,'Eurostat EB TJ GWh'!$A$2:$BV$2,0))</f>
        <v>0</v>
      </c>
      <c r="AU129" s="17">
        <f>INDEX('Eurostat EB TJ GWh'!$A$2:$BV$146,MATCH($A129,'Eurostat EB TJ GWh'!$A$2:$A$146,0),MATCH(AU$3,'Eurostat EB TJ GWh'!$A$2:$BV$2,0))</f>
        <v>14.213888888888889</v>
      </c>
      <c r="AV129" s="17">
        <f>INDEX('Eurostat EB TJ GWh'!$A$2:$BV$146,MATCH($A129,'Eurostat EB TJ GWh'!$A$2:$A$146,0),MATCH(AV$2,'Eurostat EB TJ GWh'!$A$2:$BV$2,0))+INDEX('Eurostat EB TJ GWh'!$A$2:$BV$146,MATCH($A129,'Eurostat EB TJ GWh'!$A$2:$A$146,0),MATCH(AV$3,'Eurostat EB TJ GWh'!$A$2:$BV$2,0))</f>
        <v>0</v>
      </c>
      <c r="AW129" s="17">
        <f>INDEX('Eurostat EB TJ GWh'!$A$2:$BV$146,MATCH($A129,'Eurostat EB TJ GWh'!$A$2:$A$146,0),MATCH(AW$2,'Eurostat EB TJ GWh'!$A$2:$BV$2,0))+INDEX('Eurostat EB TJ GWh'!$A$2:$BV$146,MATCH($A129,'Eurostat EB TJ GWh'!$A$2:$A$146,0),MATCH(AW$3,'Eurostat EB TJ GWh'!$A$2:$BV$2,0))</f>
        <v>0</v>
      </c>
      <c r="AX129" s="17">
        <f>INDEX('Eurostat EB TJ GWh'!$A$2:$BV$146,MATCH($A129,'Eurostat EB TJ GWh'!$A$2:$A$146,0),MATCH(AX$3,'Eurostat EB TJ GWh'!$A$2:$BV$2,0))</f>
        <v>0</v>
      </c>
      <c r="AY129" s="72">
        <v>0</v>
      </c>
      <c r="AZ129" s="17">
        <f>INDEX('Eurostat EB TJ GWh'!$A$2:$BV$146,MATCH($A129,'Eurostat EB TJ GWh'!$A$2:$A$146,0),MATCH(AZ$3,'Eurostat EB TJ GWh'!$A$2:$BV$2,0))</f>
        <v>0</v>
      </c>
      <c r="BA129" s="72">
        <v>0</v>
      </c>
      <c r="BB129" s="72">
        <v>0</v>
      </c>
      <c r="BC129" s="17">
        <f>INDEX('Eurostat EB TJ GWh'!$A$2:$BV$146,MATCH($A129,'Eurostat EB TJ GWh'!$A$2:$A$146,0),MATCH(BC$3,'Eurostat EB TJ GWh'!$A$2:$BV$2,0))</f>
        <v>0</v>
      </c>
      <c r="BD129" s="17">
        <f>INDEX('Eurostat EB TJ GWh'!$A$2:$BV$146,MATCH($A129,'Eurostat EB TJ GWh'!$A$2:$A$146,0),MATCH(BD$3,'Eurostat EB TJ GWh'!$A$2:$BV$2,0))</f>
        <v>0</v>
      </c>
      <c r="BE129" s="17">
        <f>INDEX('Eurostat EB TJ GWh'!$A$2:$BV$146,MATCH($A129,'Eurostat EB TJ GWh'!$A$2:$A$146,0),MATCH(BE$3,'Eurostat EB TJ GWh'!$A$2:$BV$2,0))</f>
        <v>0</v>
      </c>
      <c r="BF129" s="17">
        <f>INDEX('Eurostat EB TJ GWh'!$A$2:$BV$146,MATCH($A129,'Eurostat EB TJ GWh'!$A$2:$A$146,0),MATCH(BF$3,'Eurostat EB TJ GWh'!$A$2:$BV$2,0))</f>
        <v>15560.224999999999</v>
      </c>
      <c r="BG129" s="17">
        <f>INDEX('Eurostat EB TJ GWh'!$A$2:$BV$146,MATCH($A129,'Eurostat EB TJ GWh'!$A$2:$A$146,0),MATCH(BG$3,'Eurostat EB TJ GWh'!$A$2:$BV$2,0))</f>
        <v>0</v>
      </c>
      <c r="BH129" s="17">
        <f>INDEX('Eurostat EB TJ GWh'!$A$2:$BV$146,MATCH($A129,'Eurostat EB TJ GWh'!$A$2:$A$146,0),MATCH(BH$3,'Eurostat EB TJ GWh'!$A$2:$BV$2,0))</f>
        <v>0</v>
      </c>
      <c r="BI129" s="17">
        <f>INDEX('Eurostat EB TJ GWh'!$A$2:$BV$146,MATCH($A129,'Eurostat EB TJ GWh'!$A$2:$A$146,0),MATCH(BI$3,'Eurostat EB TJ GWh'!$A$2:$BV$2,0))</f>
        <v>2345.3580555555559</v>
      </c>
      <c r="BJ129" s="72">
        <v>0</v>
      </c>
      <c r="BK129" s="17">
        <f>INDEX('Eurostat EB TJ GWh'!$A$2:$BV$146,MATCH($A129,'Eurostat EB TJ GWh'!$A$2:$A$146,0),MATCH(BK$3,'Eurostat EB TJ GWh'!$A$2:$BV$2,0))</f>
        <v>0</v>
      </c>
      <c r="BL129" s="17">
        <f>INDEX('Eurostat EB TJ GWh'!$A$2:$BV$146,MATCH($A129,'Eurostat EB TJ GWh'!$A$2:$A$146,0),MATCH(BL$3,'Eurostat EB TJ GWh'!$A$2:$BV$2,0))</f>
        <v>0</v>
      </c>
      <c r="BM129" s="17">
        <f>INDEX('Eurostat EB TJ GWh'!$A$2:$BV$146,MATCH($A129,'Eurostat EB TJ GWh'!$A$2:$A$146,0),MATCH(BM$3,'Eurostat EB TJ GWh'!$A$2:$BV$2,0))</f>
        <v>18397.34611111111</v>
      </c>
      <c r="BN129" s="17">
        <f>INDEX('Eurostat EB TJ GWh'!$A$2:$BV$146,MATCH($A129,'Eurostat EB TJ GWh'!$A$2:$A$146,0),MATCH(BN$3,'Eurostat EB TJ GWh'!$A$2:$BV$2,0))</f>
        <v>17.902222222222221</v>
      </c>
    </row>
    <row r="130" spans="1:66" x14ac:dyDescent="0.2">
      <c r="A130" s="56" t="s">
        <v>317</v>
      </c>
      <c r="B130" s="65" t="s">
        <v>323</v>
      </c>
      <c r="C130" s="65" t="s">
        <v>323</v>
      </c>
      <c r="D130" s="57">
        <f>INDEX('Eurostat EB TJ GWh'!$A$2:$BV$146,MATCH($A130,'Eurostat EB TJ GWh'!$A$2:$A$146,0),MATCH(D$3,'Eurostat EB TJ GWh'!$A$2:$BV$2,0))</f>
        <v>0</v>
      </c>
      <c r="E130" s="57">
        <f>INDEX('Eurostat EB TJ GWh'!$A$2:$BV$146,MATCH($A130,'Eurostat EB TJ GWh'!$A$2:$A$146,0),MATCH(E$3,'Eurostat EB TJ GWh'!$A$2:$BV$2,0))</f>
        <v>0</v>
      </c>
      <c r="F130" s="57">
        <f>INDEX('Eurostat EB TJ GWh'!$A$2:$BV$146,MATCH($A130,'Eurostat EB TJ GWh'!$A$2:$A$146,0),MATCH(F$3,'Eurostat EB TJ GWh'!$A$2:$BV$2,0))</f>
        <v>0</v>
      </c>
      <c r="G130" s="57">
        <f>INDEX('Eurostat EB TJ GWh'!$A$2:$BV$146,MATCH($A130,'Eurostat EB TJ GWh'!$A$2:$A$146,0),MATCH(G$3,'Eurostat EB TJ GWh'!$A$2:$BV$2,0))</f>
        <v>0</v>
      </c>
      <c r="H130" s="57">
        <f>INDEX('Eurostat EB TJ GWh'!$A$2:$BV$146,MATCH($A130,'Eurostat EB TJ GWh'!$A$2:$A$146,0),MATCH(H$3,'Eurostat EB TJ GWh'!$A$2:$BV$2,0))</f>
        <v>0</v>
      </c>
      <c r="I130" s="57">
        <f>INDEX('Eurostat EB TJ GWh'!$A$2:$BV$146,MATCH($A130,'Eurostat EB TJ GWh'!$A$2:$A$146,0),MATCH(I$3,'Eurostat EB TJ GWh'!$A$2:$BV$2,0))</f>
        <v>0</v>
      </c>
      <c r="J130" s="57">
        <f>INDEX('Eurostat EB TJ GWh'!$A$2:$BV$146,MATCH($A130,'Eurostat EB TJ GWh'!$A$2:$A$146,0),MATCH(J$3,'Eurostat EB TJ GWh'!$A$2:$BV$2,0))</f>
        <v>0</v>
      </c>
      <c r="K130" s="57">
        <f>INDEX('Eurostat EB TJ GWh'!$A$2:$BV$146,MATCH($A130,'Eurostat EB TJ GWh'!$A$2:$A$146,0),MATCH(K$3,'Eurostat EB TJ GWh'!$A$2:$BV$2,0))</f>
        <v>0</v>
      </c>
      <c r="L130" s="57">
        <f>INDEX('Eurostat EB TJ GWh'!$A$2:$BV$146,MATCH($A130,'Eurostat EB TJ GWh'!$A$2:$A$146,0),MATCH(L$3,'Eurostat EB TJ GWh'!$A$2:$BV$2,0))</f>
        <v>0</v>
      </c>
      <c r="M130" s="57">
        <f>INDEX('Eurostat EB TJ GWh'!$A$2:$BV$146,MATCH($A130,'Eurostat EB TJ GWh'!$A$2:$A$146,0),MATCH(M$3,'Eurostat EB TJ GWh'!$A$2:$BV$2,0))</f>
        <v>0</v>
      </c>
      <c r="N130" s="57">
        <f>INDEX('Eurostat EB TJ GWh'!$A$2:$BV$146,MATCH($A130,'Eurostat EB TJ GWh'!$A$2:$A$146,0),MATCH(N$3,'Eurostat EB TJ GWh'!$A$2:$BV$2,0))</f>
        <v>0</v>
      </c>
      <c r="O130" s="57">
        <f>INDEX('Eurostat EB TJ GWh'!$A$2:$BV$146,MATCH($A130,'Eurostat EB TJ GWh'!$A$2:$A$146,0),MATCH(O$3,'Eurostat EB TJ GWh'!$A$2:$BV$2,0))</f>
        <v>12.348055555555556</v>
      </c>
      <c r="P130" s="57">
        <f>INDEX('Eurostat EB TJ GWh'!$A$2:$BV$146,MATCH($A130,'Eurostat EB TJ GWh'!$A$2:$A$146,0),MATCH(P$3,'Eurostat EB TJ GWh'!$A$2:$BV$2,0))</f>
        <v>67.141111111111115</v>
      </c>
      <c r="Q130" s="57">
        <f>INDEX('Eurostat EB TJ GWh'!$A$2:$BV$146,MATCH($A130,'Eurostat EB TJ GWh'!$A$2:$A$146,0),MATCH(Q$3,'Eurostat EB TJ GWh'!$A$2:$BV$2,0))</f>
        <v>0</v>
      </c>
      <c r="R130" s="57">
        <f>INDEX('Eurostat EB TJ GWh'!$A$2:$BV$146,MATCH($A130,'Eurostat EB TJ GWh'!$A$2:$A$146,0),MATCH(R$2,'Eurostat EB TJ GWh'!$A$2:$BV$2,0))+INDEX('Eurostat EB TJ GWh'!$A$2:$BV$146,MATCH($A130,'Eurostat EB TJ GWh'!$A$2:$A$146,0),MATCH(R$3,'Eurostat EB TJ GWh'!$A$2:$BV$2,0))</f>
        <v>0</v>
      </c>
      <c r="S130" s="57">
        <f>INDEX('Eurostat EB TJ GWh'!$A$2:$BV$146,MATCH($A130,'Eurostat EB TJ GWh'!$A$2:$A$146,0),MATCH(S$3,'Eurostat EB TJ GWh'!$A$2:$BV$2,0))</f>
        <v>15334.733888888888</v>
      </c>
      <c r="T130" s="65" t="s">
        <v>323</v>
      </c>
      <c r="U130" s="57">
        <f>INDEX('Eurostat EB TJ GWh'!$A$2:$BV$146,MATCH($A130,'Eurostat EB TJ GWh'!$A$2:$A$146,0),MATCH(U$3,'Eurostat EB TJ GWh'!$A$2:$BV$2,0))</f>
        <v>0</v>
      </c>
      <c r="V130" s="57">
        <f>INDEX('Eurostat EB TJ GWh'!$A$2:$BV$146,MATCH($A130,'Eurostat EB TJ GWh'!$A$2:$A$146,0),MATCH(V$3,'Eurostat EB TJ GWh'!$A$2:$BV$2,0))</f>
        <v>0</v>
      </c>
      <c r="W130" s="57">
        <f>INDEX('Eurostat EB TJ GWh'!$A$2:$BV$146,MATCH($A130,'Eurostat EB TJ GWh'!$A$2:$A$146,0),MATCH(W$3,'Eurostat EB TJ GWh'!$A$2:$BV$2,0))</f>
        <v>0</v>
      </c>
      <c r="X130" s="57">
        <f>INDEX('Eurostat EB TJ GWh'!$A$2:$BV$146,MATCH($A130,'Eurostat EB TJ GWh'!$A$2:$A$146,0),MATCH(X$3,'Eurostat EB TJ GWh'!$A$2:$BV$2,0))</f>
        <v>0</v>
      </c>
      <c r="Y130" s="57">
        <f>INDEX('Eurostat EB TJ GWh'!$A$2:$BV$146,MATCH($A130,'Eurostat EB TJ GWh'!$A$2:$A$146,0),MATCH(Y$3,'Eurostat EB TJ GWh'!$A$2:$BV$2,0))</f>
        <v>0</v>
      </c>
      <c r="Z130" s="57">
        <f>INDEX('Eurostat EB TJ GWh'!$A$2:$BV$146,MATCH($A130,'Eurostat EB TJ GWh'!$A$2:$A$146,0),MATCH(Z$3,'Eurostat EB TJ GWh'!$A$2:$BV$2,0))</f>
        <v>1469.0519444444446</v>
      </c>
      <c r="AA130" s="57">
        <f>INDEX('Eurostat EB TJ GWh'!$A$2:$BV$146,MATCH($A130,'Eurostat EB TJ GWh'!$A$2:$A$146,0),MATCH(AA$3,'Eurostat EB TJ GWh'!$A$2:$BV$2,0))</f>
        <v>0</v>
      </c>
      <c r="AB130" s="57">
        <f>INDEX('Eurostat EB TJ GWh'!$A$2:$BV$146,MATCH($A130,'Eurostat EB TJ GWh'!$A$2:$A$146,0),MATCH(AB$3,'Eurostat EB TJ GWh'!$A$2:$BV$2,0))</f>
        <v>0</v>
      </c>
      <c r="AC130" s="57">
        <f>INDEX('Eurostat EB TJ GWh'!$A$2:$BV$146,MATCH($A130,'Eurostat EB TJ GWh'!$A$2:$A$146,0),MATCH(AC$3,'Eurostat EB TJ GWh'!$A$2:$BV$2,0))</f>
        <v>0</v>
      </c>
      <c r="AD130" s="57">
        <f>INDEX('Eurostat EB TJ GWh'!$A$2:$BV$146,MATCH($A130,'Eurostat EB TJ GWh'!$A$2:$A$146,0),MATCH(AD$3,'Eurostat EB TJ GWh'!$A$2:$BV$2,0))</f>
        <v>0</v>
      </c>
      <c r="AE130" s="57">
        <f>INDEX('Eurostat EB TJ GWh'!$A$2:$BV$146,MATCH($A130,'Eurostat EB TJ GWh'!$A$2:$A$146,0),MATCH(AE$3,'Eurostat EB TJ GWh'!$A$2:$BV$2,0))</f>
        <v>0</v>
      </c>
      <c r="AF130" s="57">
        <f>INDEX('Eurostat EB TJ GWh'!$A$2:$BV$146,MATCH($A130,'Eurostat EB TJ GWh'!$A$2:$A$146,0),MATCH(AF$3,'Eurostat EB TJ GWh'!$A$2:$BV$2,0))</f>
        <v>0</v>
      </c>
      <c r="AG130" s="57">
        <f>INDEX('Eurostat EB TJ GWh'!$A$2:$BV$146,MATCH($A130,'Eurostat EB TJ GWh'!$A$2:$A$146,0),MATCH(AG$3,'Eurostat EB TJ GWh'!$A$2:$BV$2,0))</f>
        <v>0</v>
      </c>
      <c r="AH130" s="57">
        <f>INDEX('Eurostat EB TJ GWh'!$A$2:$BV$146,MATCH($A130,'Eurostat EB TJ GWh'!$A$2:$A$146,0),MATCH(AH$3,'Eurostat EB TJ GWh'!$A$2:$BV$2,0))</f>
        <v>6.6680555555555552</v>
      </c>
      <c r="AI130" s="57">
        <f>INDEX('Eurostat EB TJ GWh'!$A$2:$BV$146,MATCH($A130,'Eurostat EB TJ GWh'!$A$2:$A$146,0),MATCH(AI$3,'Eurostat EB TJ GWh'!$A$2:$BV$2,0))</f>
        <v>0</v>
      </c>
      <c r="AJ130" s="57">
        <f>INDEX('Eurostat EB TJ GWh'!$A$2:$BV$146,MATCH($A130,'Eurostat EB TJ GWh'!$A$2:$A$146,0),MATCH(AJ$3,'Eurostat EB TJ GWh'!$A$2:$BV$2,0))</f>
        <v>0</v>
      </c>
      <c r="AK130" s="57">
        <f>INDEX('Eurostat EB TJ GWh'!$A$2:$BV$146,MATCH($A130,'Eurostat EB TJ GWh'!$A$2:$A$146,0),MATCH(AK$3,'Eurostat EB TJ GWh'!$A$2:$BV$2,0))</f>
        <v>0</v>
      </c>
      <c r="AL130" s="57">
        <f>INDEX('Eurostat EB TJ GWh'!$A$2:$BV$146,MATCH($A130,'Eurostat EB TJ GWh'!$A$2:$A$146,0),MATCH(AL$3,'Eurostat EB TJ GWh'!$A$2:$BV$2,0))</f>
        <v>0</v>
      </c>
      <c r="AM130" s="57">
        <f>INDEX('Eurostat EB TJ GWh'!$A$2:$BV$146,MATCH($A130,'Eurostat EB TJ GWh'!$A$2:$A$146,0),MATCH(AM$3,'Eurostat EB TJ GWh'!$A$2:$BV$2,0))</f>
        <v>0</v>
      </c>
      <c r="AN130" s="57">
        <f>INDEX('Eurostat EB TJ GWh'!$A$2:$BV$146,MATCH($A130,'Eurostat EB TJ GWh'!$A$2:$A$146,0),MATCH(AN$3,'Eurostat EB TJ GWh'!$A$2:$BV$2,0))</f>
        <v>0</v>
      </c>
      <c r="AO130" s="57">
        <f>INDEX('Eurostat EB TJ GWh'!$A$2:$BV$146,MATCH($A130,'Eurostat EB TJ GWh'!$A$2:$A$146,0),MATCH(AO$3,'Eurostat EB TJ GWh'!$A$2:$BV$2,0))</f>
        <v>0</v>
      </c>
      <c r="AP130" s="57">
        <f>INDEX('Eurostat EB TJ GWh'!$A$2:$BV$146,MATCH($A130,'Eurostat EB TJ GWh'!$A$2:$A$146,0),MATCH(AP$3,'Eurostat EB TJ GWh'!$A$2:$BV$2,0))</f>
        <v>0</v>
      </c>
      <c r="AQ130" s="57">
        <f>INDEX('Eurostat EB TJ GWh'!$A$2:$BV$146,MATCH($A130,'Eurostat EB TJ GWh'!$A$2:$A$146,0),MATCH(AQ$3,'Eurostat EB TJ GWh'!$A$2:$BV$2,0))</f>
        <v>17.803888888888888</v>
      </c>
      <c r="AR130" s="57">
        <f>INDEX('Eurostat EB TJ GWh'!$A$2:$BV$146,MATCH($A130,'Eurostat EB TJ GWh'!$A$2:$A$146,0),MATCH(AR$3,'Eurostat EB TJ GWh'!$A$2:$BV$2,0))</f>
        <v>1981.4999999999998</v>
      </c>
      <c r="AS130" s="57">
        <f>INDEX('Eurostat EB TJ GWh'!$A$2:$BV$146,MATCH($A130,'Eurostat EB TJ GWh'!$A$2:$A$146,0),MATCH(AS$3,'Eurostat EB TJ GWh'!$A$2:$BV$2,0))</f>
        <v>1757.1799999999998</v>
      </c>
      <c r="AT130" s="57">
        <f>INDEX('Eurostat EB TJ GWh'!$A$2:$BV$146,MATCH($A130,'Eurostat EB TJ GWh'!$A$2:$A$146,0),MATCH(AT$3,'Eurostat EB TJ GWh'!$A$2:$BV$2,0))</f>
        <v>511.94805555555553</v>
      </c>
      <c r="AU130" s="57">
        <f>INDEX('Eurostat EB TJ GWh'!$A$2:$BV$146,MATCH($A130,'Eurostat EB TJ GWh'!$A$2:$A$146,0),MATCH(AU$3,'Eurostat EB TJ GWh'!$A$2:$BV$2,0))</f>
        <v>656.20888888888885</v>
      </c>
      <c r="AV130" s="57">
        <f>INDEX('Eurostat EB TJ GWh'!$A$2:$BV$146,MATCH($A130,'Eurostat EB TJ GWh'!$A$2:$A$146,0),MATCH(AV$2,'Eurostat EB TJ GWh'!$A$2:$BV$2,0))+INDEX('Eurostat EB TJ GWh'!$A$2:$BV$146,MATCH($A130,'Eurostat EB TJ GWh'!$A$2:$A$146,0),MATCH(AV$3,'Eurostat EB TJ GWh'!$A$2:$BV$2,0))</f>
        <v>0</v>
      </c>
      <c r="AW130" s="57">
        <f>INDEX('Eurostat EB TJ GWh'!$A$2:$BV$146,MATCH($A130,'Eurostat EB TJ GWh'!$A$2:$A$146,0),MATCH(AW$2,'Eurostat EB TJ GWh'!$A$2:$BV$2,0))+INDEX('Eurostat EB TJ GWh'!$A$2:$BV$146,MATCH($A130,'Eurostat EB TJ GWh'!$A$2:$A$146,0),MATCH(AW$3,'Eurostat EB TJ GWh'!$A$2:$BV$2,0))</f>
        <v>0</v>
      </c>
      <c r="AX130" s="57">
        <f>INDEX('Eurostat EB TJ GWh'!$A$2:$BV$146,MATCH($A130,'Eurostat EB TJ GWh'!$A$2:$A$146,0),MATCH(AX$3,'Eurostat EB TJ GWh'!$A$2:$BV$2,0))</f>
        <v>0</v>
      </c>
      <c r="AY130" s="65">
        <v>0</v>
      </c>
      <c r="AZ130" s="57">
        <f>INDEX('Eurostat EB TJ GWh'!$A$2:$BV$146,MATCH($A130,'Eurostat EB TJ GWh'!$A$2:$A$146,0),MATCH(AZ$3,'Eurostat EB TJ GWh'!$A$2:$BV$2,0))</f>
        <v>0</v>
      </c>
      <c r="BA130" s="65">
        <v>0</v>
      </c>
      <c r="BB130" s="65">
        <v>0</v>
      </c>
      <c r="BC130" s="57">
        <f>INDEX('Eurostat EB TJ GWh'!$A$2:$BV$146,MATCH($A130,'Eurostat EB TJ GWh'!$A$2:$A$146,0),MATCH(BC$3,'Eurostat EB TJ GWh'!$A$2:$BV$2,0))</f>
        <v>0</v>
      </c>
      <c r="BD130" s="57">
        <f>INDEX('Eurostat EB TJ GWh'!$A$2:$BV$146,MATCH($A130,'Eurostat EB TJ GWh'!$A$2:$A$146,0),MATCH(BD$3,'Eurostat EB TJ GWh'!$A$2:$BV$2,0))</f>
        <v>0</v>
      </c>
      <c r="BE130" s="57">
        <f>INDEX('Eurostat EB TJ GWh'!$A$2:$BV$146,MATCH($A130,'Eurostat EB TJ GWh'!$A$2:$A$146,0),MATCH(BE$3,'Eurostat EB TJ GWh'!$A$2:$BV$2,0))</f>
        <v>0</v>
      </c>
      <c r="BF130" s="57">
        <f>INDEX('Eurostat EB TJ GWh'!$A$2:$BV$146,MATCH($A130,'Eurostat EB TJ GWh'!$A$2:$A$146,0),MATCH(BF$3,'Eurostat EB TJ GWh'!$A$2:$BV$2,0))</f>
        <v>0</v>
      </c>
      <c r="BG130" s="57">
        <f>INDEX('Eurostat EB TJ GWh'!$A$2:$BV$146,MATCH($A130,'Eurostat EB TJ GWh'!$A$2:$A$146,0),MATCH(BG$3,'Eurostat EB TJ GWh'!$A$2:$BV$2,0))</f>
        <v>0</v>
      </c>
      <c r="BH130" s="57">
        <f>INDEX('Eurostat EB TJ GWh'!$A$2:$BV$146,MATCH($A130,'Eurostat EB TJ GWh'!$A$2:$A$146,0),MATCH(BH$3,'Eurostat EB TJ GWh'!$A$2:$BV$2,0))</f>
        <v>0</v>
      </c>
      <c r="BI130" s="57">
        <f>INDEX('Eurostat EB TJ GWh'!$A$2:$BV$146,MATCH($A130,'Eurostat EB TJ GWh'!$A$2:$A$146,0),MATCH(BI$3,'Eurostat EB TJ GWh'!$A$2:$BV$2,0))</f>
        <v>0</v>
      </c>
      <c r="BJ130" s="65">
        <v>0</v>
      </c>
      <c r="BK130" s="57">
        <f>INDEX('Eurostat EB TJ GWh'!$A$2:$BV$146,MATCH($A130,'Eurostat EB TJ GWh'!$A$2:$A$146,0),MATCH(BK$3,'Eurostat EB TJ GWh'!$A$2:$BV$2,0))</f>
        <v>0</v>
      </c>
      <c r="BL130" s="57">
        <f>INDEX('Eurostat EB TJ GWh'!$A$2:$BV$146,MATCH($A130,'Eurostat EB TJ GWh'!$A$2:$A$146,0),MATCH(BL$3,'Eurostat EB TJ GWh'!$A$2:$BV$2,0))</f>
        <v>0</v>
      </c>
      <c r="BM130" s="57">
        <f>INDEX('Eurostat EB TJ GWh'!$A$2:$BV$146,MATCH($A130,'Eurostat EB TJ GWh'!$A$2:$A$146,0),MATCH(BM$3,'Eurostat EB TJ GWh'!$A$2:$BV$2,0))</f>
        <v>21814.583888888887</v>
      </c>
      <c r="BN130" s="57">
        <f>INDEX('Eurostat EB TJ GWh'!$A$2:$BV$146,MATCH($A130,'Eurostat EB TJ GWh'!$A$2:$A$146,0),MATCH(BN$3,'Eurostat EB TJ GWh'!$A$2:$BV$2,0))</f>
        <v>3306.7291666666665</v>
      </c>
    </row>
    <row r="131" spans="1:66" x14ac:dyDescent="0.2">
      <c r="A131" s="56" t="s">
        <v>114</v>
      </c>
      <c r="B131" s="65" t="s">
        <v>323</v>
      </c>
      <c r="C131" s="65" t="s">
        <v>323</v>
      </c>
      <c r="D131" s="17">
        <f>INDEX('Eurostat EB TJ GWh'!$A$2:$BV$146,MATCH($A131,'Eurostat EB TJ GWh'!$A$2:$A$146,0),MATCH(D$3,'Eurostat EB TJ GWh'!$A$2:$BV$2,0))</f>
        <v>0</v>
      </c>
      <c r="E131" s="17">
        <f>INDEX('Eurostat EB TJ GWh'!$A$2:$BV$146,MATCH($A131,'Eurostat EB TJ GWh'!$A$2:$A$146,0),MATCH(E$3,'Eurostat EB TJ GWh'!$A$2:$BV$2,0))</f>
        <v>0</v>
      </c>
      <c r="F131" s="17">
        <f>INDEX('Eurostat EB TJ GWh'!$A$2:$BV$146,MATCH($A131,'Eurostat EB TJ GWh'!$A$2:$A$146,0),MATCH(F$3,'Eurostat EB TJ GWh'!$A$2:$BV$2,0))</f>
        <v>749.7</v>
      </c>
      <c r="G131" s="17">
        <f>INDEX('Eurostat EB TJ GWh'!$A$2:$BV$146,MATCH($A131,'Eurostat EB TJ GWh'!$A$2:$A$146,0),MATCH(G$3,'Eurostat EB TJ GWh'!$A$2:$BV$2,0))</f>
        <v>0</v>
      </c>
      <c r="H131" s="17">
        <f>INDEX('Eurostat EB TJ GWh'!$A$2:$BV$146,MATCH($A131,'Eurostat EB TJ GWh'!$A$2:$A$146,0),MATCH(H$3,'Eurostat EB TJ GWh'!$A$2:$BV$2,0))</f>
        <v>0</v>
      </c>
      <c r="I131" s="17">
        <f>INDEX('Eurostat EB TJ GWh'!$A$2:$BV$146,MATCH($A131,'Eurostat EB TJ GWh'!$A$2:$A$146,0),MATCH(I$3,'Eurostat EB TJ GWh'!$A$2:$BV$2,0))</f>
        <v>0</v>
      </c>
      <c r="J131" s="17">
        <f>INDEX('Eurostat EB TJ GWh'!$A$2:$BV$146,MATCH($A131,'Eurostat EB TJ GWh'!$A$2:$A$146,0),MATCH(J$3,'Eurostat EB TJ GWh'!$A$2:$BV$2,0))</f>
        <v>0</v>
      </c>
      <c r="K131" s="17">
        <f>INDEX('Eurostat EB TJ GWh'!$A$2:$BV$146,MATCH($A131,'Eurostat EB TJ GWh'!$A$2:$A$146,0),MATCH(K$3,'Eurostat EB TJ GWh'!$A$2:$BV$2,0))</f>
        <v>0</v>
      </c>
      <c r="L131" s="17">
        <f>INDEX('Eurostat EB TJ GWh'!$A$2:$BV$146,MATCH($A131,'Eurostat EB TJ GWh'!$A$2:$A$146,0),MATCH(L$3,'Eurostat EB TJ GWh'!$A$2:$BV$2,0))</f>
        <v>0</v>
      </c>
      <c r="M131" s="17">
        <f>INDEX('Eurostat EB TJ GWh'!$A$2:$BV$146,MATCH($A131,'Eurostat EB TJ GWh'!$A$2:$A$146,0),MATCH(M$3,'Eurostat EB TJ GWh'!$A$2:$BV$2,0))</f>
        <v>0</v>
      </c>
      <c r="N131" s="17">
        <f>INDEX('Eurostat EB TJ GWh'!$A$2:$BV$146,MATCH($A131,'Eurostat EB TJ GWh'!$A$2:$A$146,0),MATCH(N$3,'Eurostat EB TJ GWh'!$A$2:$BV$2,0))</f>
        <v>0</v>
      </c>
      <c r="O131" s="17">
        <f>INDEX('Eurostat EB TJ GWh'!$A$2:$BV$146,MATCH($A131,'Eurostat EB TJ GWh'!$A$2:$A$146,0),MATCH(O$3,'Eurostat EB TJ GWh'!$A$2:$BV$2,0))</f>
        <v>24.748000000000001</v>
      </c>
      <c r="P131" s="17">
        <f>INDEX('Eurostat EB TJ GWh'!$A$2:$BV$146,MATCH($A131,'Eurostat EB TJ GWh'!$A$2:$A$146,0),MATCH(P$3,'Eurostat EB TJ GWh'!$A$2:$BV$2,0))</f>
        <v>317.262</v>
      </c>
      <c r="Q131" s="17">
        <f>INDEX('Eurostat EB TJ GWh'!$A$2:$BV$146,MATCH($A131,'Eurostat EB TJ GWh'!$A$2:$A$146,0),MATCH(Q$3,'Eurostat EB TJ GWh'!$A$2:$BV$2,0))</f>
        <v>0</v>
      </c>
      <c r="R131" s="17">
        <f>INDEX('Eurostat EB TJ GWh'!$A$2:$BV$146,MATCH($A131,'Eurostat EB TJ GWh'!$A$2:$A$146,0),MATCH(R$2,'Eurostat EB TJ GWh'!$A$2:$BV$2,0))+INDEX('Eurostat EB TJ GWh'!$A$2:$BV$146,MATCH($A131,'Eurostat EB TJ GWh'!$A$2:$A$146,0),MATCH(R$3,'Eurostat EB TJ GWh'!$A$2:$BV$2,0))</f>
        <v>0</v>
      </c>
      <c r="S131" s="17">
        <f>INDEX('Eurostat EB TJ GWh'!$A$2:$BV$146,MATCH($A131,'Eurostat EB TJ GWh'!$A$2:$A$146,0),MATCH(S$3,'Eurostat EB TJ GWh'!$A$2:$BV$2,0))</f>
        <v>47255.860999999997</v>
      </c>
      <c r="T131" s="65" t="s">
        <v>323</v>
      </c>
      <c r="U131" s="17">
        <f>INDEX('Eurostat EB TJ GWh'!$A$2:$BV$146,MATCH($A131,'Eurostat EB TJ GWh'!$A$2:$A$146,0),MATCH(U$3,'Eurostat EB TJ GWh'!$A$2:$BV$2,0))</f>
        <v>0</v>
      </c>
      <c r="V131" s="17">
        <f>INDEX('Eurostat EB TJ GWh'!$A$2:$BV$146,MATCH($A131,'Eurostat EB TJ GWh'!$A$2:$A$146,0),MATCH(V$3,'Eurostat EB TJ GWh'!$A$2:$BV$2,0))</f>
        <v>0</v>
      </c>
      <c r="W131" s="17">
        <f>INDEX('Eurostat EB TJ GWh'!$A$2:$BV$146,MATCH($A131,'Eurostat EB TJ GWh'!$A$2:$A$146,0),MATCH(W$3,'Eurostat EB TJ GWh'!$A$2:$BV$2,0))</f>
        <v>0</v>
      </c>
      <c r="X131" s="17">
        <f>INDEX('Eurostat EB TJ GWh'!$A$2:$BV$146,MATCH($A131,'Eurostat EB TJ GWh'!$A$2:$A$146,0),MATCH(X$3,'Eurostat EB TJ GWh'!$A$2:$BV$2,0))</f>
        <v>0</v>
      </c>
      <c r="Y131" s="17">
        <f>INDEX('Eurostat EB TJ GWh'!$A$2:$BV$146,MATCH($A131,'Eurostat EB TJ GWh'!$A$2:$A$146,0),MATCH(Y$3,'Eurostat EB TJ GWh'!$A$2:$BV$2,0))</f>
        <v>0</v>
      </c>
      <c r="Z131" s="17">
        <f>INDEX('Eurostat EB TJ GWh'!$A$2:$BV$146,MATCH($A131,'Eurostat EB TJ GWh'!$A$2:$A$146,0),MATCH(Z$3,'Eurostat EB TJ GWh'!$A$2:$BV$2,0))</f>
        <v>9253.759</v>
      </c>
      <c r="AA131" s="17">
        <f>INDEX('Eurostat EB TJ GWh'!$A$2:$BV$146,MATCH($A131,'Eurostat EB TJ GWh'!$A$2:$A$146,0),MATCH(AA$3,'Eurostat EB TJ GWh'!$A$2:$BV$2,0))</f>
        <v>0</v>
      </c>
      <c r="AB131" s="17">
        <f>INDEX('Eurostat EB TJ GWh'!$A$2:$BV$146,MATCH($A131,'Eurostat EB TJ GWh'!$A$2:$A$146,0),MATCH(AB$3,'Eurostat EB TJ GWh'!$A$2:$BV$2,0))</f>
        <v>0</v>
      </c>
      <c r="AC131" s="17">
        <f>INDEX('Eurostat EB TJ GWh'!$A$2:$BV$146,MATCH($A131,'Eurostat EB TJ GWh'!$A$2:$A$146,0),MATCH(AC$3,'Eurostat EB TJ GWh'!$A$2:$BV$2,0))</f>
        <v>0</v>
      </c>
      <c r="AD131" s="17">
        <f>INDEX('Eurostat EB TJ GWh'!$A$2:$BV$146,MATCH($A131,'Eurostat EB TJ GWh'!$A$2:$A$146,0),MATCH(AD$3,'Eurostat EB TJ GWh'!$A$2:$BV$2,0))</f>
        <v>0</v>
      </c>
      <c r="AE131" s="17">
        <f>INDEX('Eurostat EB TJ GWh'!$A$2:$BV$146,MATCH($A131,'Eurostat EB TJ GWh'!$A$2:$A$146,0),MATCH(AE$3,'Eurostat EB TJ GWh'!$A$2:$BV$2,0))</f>
        <v>0</v>
      </c>
      <c r="AF131" s="17">
        <f>INDEX('Eurostat EB TJ GWh'!$A$2:$BV$146,MATCH($A131,'Eurostat EB TJ GWh'!$A$2:$A$146,0),MATCH(AF$3,'Eurostat EB TJ GWh'!$A$2:$BV$2,0))</f>
        <v>0</v>
      </c>
      <c r="AG131" s="17">
        <f>INDEX('Eurostat EB TJ GWh'!$A$2:$BV$146,MATCH($A131,'Eurostat EB TJ GWh'!$A$2:$A$146,0),MATCH(AG$3,'Eurostat EB TJ GWh'!$A$2:$BV$2,0))</f>
        <v>0</v>
      </c>
      <c r="AH131" s="17">
        <f>INDEX('Eurostat EB TJ GWh'!$A$2:$BV$146,MATCH($A131,'Eurostat EB TJ GWh'!$A$2:$A$146,0),MATCH(AH$3,'Eurostat EB TJ GWh'!$A$2:$BV$2,0))</f>
        <v>49.578000000000003</v>
      </c>
      <c r="AI131" s="17">
        <f>INDEX('Eurostat EB TJ GWh'!$A$2:$BV$146,MATCH($A131,'Eurostat EB TJ GWh'!$A$2:$A$146,0),MATCH(AI$3,'Eurostat EB TJ GWh'!$A$2:$BV$2,0))</f>
        <v>0</v>
      </c>
      <c r="AJ131" s="17">
        <f>INDEX('Eurostat EB TJ GWh'!$A$2:$BV$146,MATCH($A131,'Eurostat EB TJ GWh'!$A$2:$A$146,0),MATCH(AJ$3,'Eurostat EB TJ GWh'!$A$2:$BV$2,0))</f>
        <v>0</v>
      </c>
      <c r="AK131" s="17">
        <f>INDEX('Eurostat EB TJ GWh'!$A$2:$BV$146,MATCH($A131,'Eurostat EB TJ GWh'!$A$2:$A$146,0),MATCH(AK$3,'Eurostat EB TJ GWh'!$A$2:$BV$2,0))</f>
        <v>0</v>
      </c>
      <c r="AL131" s="17">
        <f>INDEX('Eurostat EB TJ GWh'!$A$2:$BV$146,MATCH($A131,'Eurostat EB TJ GWh'!$A$2:$A$146,0),MATCH(AL$3,'Eurostat EB TJ GWh'!$A$2:$BV$2,0))</f>
        <v>0</v>
      </c>
      <c r="AM131" s="17">
        <f>INDEX('Eurostat EB TJ GWh'!$A$2:$BV$146,MATCH($A131,'Eurostat EB TJ GWh'!$A$2:$A$146,0),MATCH(AM$3,'Eurostat EB TJ GWh'!$A$2:$BV$2,0))</f>
        <v>0</v>
      </c>
      <c r="AN131" s="17">
        <f>INDEX('Eurostat EB TJ GWh'!$A$2:$BV$146,MATCH($A131,'Eurostat EB TJ GWh'!$A$2:$A$146,0),MATCH(AN$3,'Eurostat EB TJ GWh'!$A$2:$BV$2,0))</f>
        <v>0</v>
      </c>
      <c r="AO131" s="17">
        <f>INDEX('Eurostat EB TJ GWh'!$A$2:$BV$146,MATCH($A131,'Eurostat EB TJ GWh'!$A$2:$A$146,0),MATCH(AO$3,'Eurostat EB TJ GWh'!$A$2:$BV$2,0))</f>
        <v>0</v>
      </c>
      <c r="AP131" s="17">
        <f>INDEX('Eurostat EB TJ GWh'!$A$2:$BV$146,MATCH($A131,'Eurostat EB TJ GWh'!$A$2:$A$146,0),MATCH(AP$3,'Eurostat EB TJ GWh'!$A$2:$BV$2,0))</f>
        <v>3.6999999999999998E-2</v>
      </c>
      <c r="AQ131" s="17">
        <f>INDEX('Eurostat EB TJ GWh'!$A$2:$BV$146,MATCH($A131,'Eurostat EB TJ GWh'!$A$2:$A$146,0),MATCH(AQ$3,'Eurostat EB TJ GWh'!$A$2:$BV$2,0))</f>
        <v>582.75099999999998</v>
      </c>
      <c r="AR131" s="17">
        <f>INDEX('Eurostat EB TJ GWh'!$A$2:$BV$146,MATCH($A131,'Eurostat EB TJ GWh'!$A$2:$A$146,0),MATCH(AR$3,'Eurostat EB TJ GWh'!$A$2:$BV$2,0))</f>
        <v>7935.817</v>
      </c>
      <c r="AS131" s="17">
        <f>INDEX('Eurostat EB TJ GWh'!$A$2:$BV$146,MATCH($A131,'Eurostat EB TJ GWh'!$A$2:$A$146,0),MATCH(AS$3,'Eurostat EB TJ GWh'!$A$2:$BV$2,0))</f>
        <v>7037.4219999999996</v>
      </c>
      <c r="AT131" s="17">
        <f>INDEX('Eurostat EB TJ GWh'!$A$2:$BV$146,MATCH($A131,'Eurostat EB TJ GWh'!$A$2:$A$146,0),MATCH(AT$3,'Eurostat EB TJ GWh'!$A$2:$BV$2,0))</f>
        <v>11795.485000000001</v>
      </c>
      <c r="AU131" s="17">
        <f>INDEX('Eurostat EB TJ GWh'!$A$2:$BV$146,MATCH($A131,'Eurostat EB TJ GWh'!$A$2:$A$146,0),MATCH(AU$3,'Eurostat EB TJ GWh'!$A$2:$BV$2,0))</f>
        <v>265.62299999999999</v>
      </c>
      <c r="AV131" s="17">
        <f>INDEX('Eurostat EB TJ GWh'!$A$2:$BV$146,MATCH($A131,'Eurostat EB TJ GWh'!$A$2:$A$146,0),MATCH(AV$2,'Eurostat EB TJ GWh'!$A$2:$BV$2,0))+INDEX('Eurostat EB TJ GWh'!$A$2:$BV$146,MATCH($A131,'Eurostat EB TJ GWh'!$A$2:$A$146,0),MATCH(AV$3,'Eurostat EB TJ GWh'!$A$2:$BV$2,0))</f>
        <v>0</v>
      </c>
      <c r="AW131" s="17">
        <f>INDEX('Eurostat EB TJ GWh'!$A$2:$BV$146,MATCH($A131,'Eurostat EB TJ GWh'!$A$2:$A$146,0),MATCH(AW$2,'Eurostat EB TJ GWh'!$A$2:$BV$2,0))+INDEX('Eurostat EB TJ GWh'!$A$2:$BV$146,MATCH($A131,'Eurostat EB TJ GWh'!$A$2:$A$146,0),MATCH(AW$3,'Eurostat EB TJ GWh'!$A$2:$BV$2,0))</f>
        <v>0</v>
      </c>
      <c r="AX131" s="17">
        <f>INDEX('Eurostat EB TJ GWh'!$A$2:$BV$146,MATCH($A131,'Eurostat EB TJ GWh'!$A$2:$A$146,0),MATCH(AX$3,'Eurostat EB TJ GWh'!$A$2:$BV$2,0))</f>
        <v>0</v>
      </c>
      <c r="AY131" s="72">
        <v>0</v>
      </c>
      <c r="AZ131" s="17">
        <f>INDEX('Eurostat EB TJ GWh'!$A$2:$BV$146,MATCH($A131,'Eurostat EB TJ GWh'!$A$2:$A$146,0),MATCH(AZ$3,'Eurostat EB TJ GWh'!$A$2:$BV$2,0))</f>
        <v>0</v>
      </c>
      <c r="BA131" s="72">
        <v>0</v>
      </c>
      <c r="BB131" s="72">
        <v>0</v>
      </c>
      <c r="BC131" s="17">
        <f>INDEX('Eurostat EB TJ GWh'!$A$2:$BV$146,MATCH($A131,'Eurostat EB TJ GWh'!$A$2:$A$146,0),MATCH(BC$3,'Eurostat EB TJ GWh'!$A$2:$BV$2,0))</f>
        <v>0</v>
      </c>
      <c r="BD131" s="17">
        <f>INDEX('Eurostat EB TJ GWh'!$A$2:$BV$146,MATCH($A131,'Eurostat EB TJ GWh'!$A$2:$A$146,0),MATCH(BD$3,'Eurostat EB TJ GWh'!$A$2:$BV$2,0))</f>
        <v>0</v>
      </c>
      <c r="BE131" s="17">
        <f>INDEX('Eurostat EB TJ GWh'!$A$2:$BV$146,MATCH($A131,'Eurostat EB TJ GWh'!$A$2:$A$146,0),MATCH(BE$3,'Eurostat EB TJ GWh'!$A$2:$BV$2,0))</f>
        <v>0</v>
      </c>
      <c r="BF131" s="17">
        <f>INDEX('Eurostat EB TJ GWh'!$A$2:$BV$146,MATCH($A131,'Eurostat EB TJ GWh'!$A$2:$A$146,0),MATCH(BF$3,'Eurostat EB TJ GWh'!$A$2:$BV$2,0))</f>
        <v>0</v>
      </c>
      <c r="BG131" s="17">
        <f>INDEX('Eurostat EB TJ GWh'!$A$2:$BV$146,MATCH($A131,'Eurostat EB TJ GWh'!$A$2:$A$146,0),MATCH(BG$3,'Eurostat EB TJ GWh'!$A$2:$BV$2,0))</f>
        <v>0</v>
      </c>
      <c r="BH131" s="17">
        <f>INDEX('Eurostat EB TJ GWh'!$A$2:$BV$146,MATCH($A131,'Eurostat EB TJ GWh'!$A$2:$A$146,0),MATCH(BH$3,'Eurostat EB TJ GWh'!$A$2:$BV$2,0))</f>
        <v>0</v>
      </c>
      <c r="BI131" s="17">
        <f>INDEX('Eurostat EB TJ GWh'!$A$2:$BV$146,MATCH($A131,'Eurostat EB TJ GWh'!$A$2:$A$146,0),MATCH(BI$3,'Eurostat EB TJ GWh'!$A$2:$BV$2,0))</f>
        <v>0</v>
      </c>
      <c r="BJ131" s="72">
        <v>0</v>
      </c>
      <c r="BK131" s="17">
        <f>INDEX('Eurostat EB TJ GWh'!$A$2:$BV$146,MATCH($A131,'Eurostat EB TJ GWh'!$A$2:$A$146,0),MATCH(BK$3,'Eurostat EB TJ GWh'!$A$2:$BV$2,0))</f>
        <v>0</v>
      </c>
      <c r="BL131" s="17">
        <f>INDEX('Eurostat EB TJ GWh'!$A$2:$BV$146,MATCH($A131,'Eurostat EB TJ GWh'!$A$2:$A$146,0),MATCH(BL$3,'Eurostat EB TJ GWh'!$A$2:$BV$2,0))</f>
        <v>0</v>
      </c>
      <c r="BM131" s="17">
        <f>INDEX('Eurostat EB TJ GWh'!$A$2:$BV$146,MATCH($A131,'Eurostat EB TJ GWh'!$A$2:$A$146,0),MATCH(BM$3,'Eurostat EB TJ GWh'!$A$2:$BV$2,0))</f>
        <v>93299.153999999995</v>
      </c>
      <c r="BN131" s="17">
        <f>INDEX('Eurostat EB TJ GWh'!$A$2:$BV$146,MATCH($A131,'Eurostat EB TJ GWh'!$A$2:$A$146,0),MATCH(BN$3,'Eurostat EB TJ GWh'!$A$2:$BV$2,0))</f>
        <v>20480.962</v>
      </c>
    </row>
    <row r="132" spans="1:66" x14ac:dyDescent="0.2">
      <c r="A132" s="56" t="s">
        <v>318</v>
      </c>
      <c r="B132" s="65" t="s">
        <v>323</v>
      </c>
      <c r="C132" s="65" t="s">
        <v>323</v>
      </c>
      <c r="D132" s="57">
        <f>INDEX('Eurostat EB TJ GWh'!$A$2:$BV$146,MATCH($A132,'Eurostat EB TJ GWh'!$A$2:$A$146,0),MATCH(D$3,'Eurostat EB TJ GWh'!$A$2:$BV$2,0))</f>
        <v>0</v>
      </c>
      <c r="E132" s="57">
        <f>INDEX('Eurostat EB TJ GWh'!$A$2:$BV$146,MATCH($A132,'Eurostat EB TJ GWh'!$A$2:$A$146,0),MATCH(E$3,'Eurostat EB TJ GWh'!$A$2:$BV$2,0))</f>
        <v>0</v>
      </c>
      <c r="F132" s="57">
        <f>INDEX('Eurostat EB TJ GWh'!$A$2:$BV$146,MATCH($A132,'Eurostat EB TJ GWh'!$A$2:$A$146,0),MATCH(F$3,'Eurostat EB TJ GWh'!$A$2:$BV$2,0))</f>
        <v>749.7</v>
      </c>
      <c r="G132" s="57">
        <f>INDEX('Eurostat EB TJ GWh'!$A$2:$BV$146,MATCH($A132,'Eurostat EB TJ GWh'!$A$2:$A$146,0),MATCH(G$3,'Eurostat EB TJ GWh'!$A$2:$BV$2,0))</f>
        <v>0</v>
      </c>
      <c r="H132" s="57">
        <f>INDEX('Eurostat EB TJ GWh'!$A$2:$BV$146,MATCH($A132,'Eurostat EB TJ GWh'!$A$2:$A$146,0),MATCH(H$3,'Eurostat EB TJ GWh'!$A$2:$BV$2,0))</f>
        <v>0</v>
      </c>
      <c r="I132" s="57">
        <f>INDEX('Eurostat EB TJ GWh'!$A$2:$BV$146,MATCH($A132,'Eurostat EB TJ GWh'!$A$2:$A$146,0),MATCH(I$3,'Eurostat EB TJ GWh'!$A$2:$BV$2,0))</f>
        <v>0</v>
      </c>
      <c r="J132" s="57">
        <f>INDEX('Eurostat EB TJ GWh'!$A$2:$BV$146,MATCH($A132,'Eurostat EB TJ GWh'!$A$2:$A$146,0),MATCH(J$3,'Eurostat EB TJ GWh'!$A$2:$BV$2,0))</f>
        <v>0</v>
      </c>
      <c r="K132" s="57">
        <f>INDEX('Eurostat EB TJ GWh'!$A$2:$BV$146,MATCH($A132,'Eurostat EB TJ GWh'!$A$2:$A$146,0),MATCH(K$3,'Eurostat EB TJ GWh'!$A$2:$BV$2,0))</f>
        <v>0</v>
      </c>
      <c r="L132" s="57">
        <f>INDEX('Eurostat EB TJ GWh'!$A$2:$BV$146,MATCH($A132,'Eurostat EB TJ GWh'!$A$2:$A$146,0),MATCH(L$3,'Eurostat EB TJ GWh'!$A$2:$BV$2,0))</f>
        <v>0</v>
      </c>
      <c r="M132" s="57">
        <f>INDEX('Eurostat EB TJ GWh'!$A$2:$BV$146,MATCH($A132,'Eurostat EB TJ GWh'!$A$2:$A$146,0),MATCH(M$3,'Eurostat EB TJ GWh'!$A$2:$BV$2,0))</f>
        <v>0</v>
      </c>
      <c r="N132" s="57">
        <f>INDEX('Eurostat EB TJ GWh'!$A$2:$BV$146,MATCH($A132,'Eurostat EB TJ GWh'!$A$2:$A$146,0),MATCH(N$3,'Eurostat EB TJ GWh'!$A$2:$BV$2,0))</f>
        <v>0</v>
      </c>
      <c r="O132" s="57">
        <f>INDEX('Eurostat EB TJ GWh'!$A$2:$BV$146,MATCH($A132,'Eurostat EB TJ GWh'!$A$2:$A$146,0),MATCH(O$3,'Eurostat EB TJ GWh'!$A$2:$BV$2,0))</f>
        <v>1E-3</v>
      </c>
      <c r="P132" s="57">
        <f>INDEX('Eurostat EB TJ GWh'!$A$2:$BV$146,MATCH($A132,'Eurostat EB TJ GWh'!$A$2:$A$146,0),MATCH(P$3,'Eurostat EB TJ GWh'!$A$2:$BV$2,0))</f>
        <v>37.17</v>
      </c>
      <c r="Q132" s="57">
        <f>INDEX('Eurostat EB TJ GWh'!$A$2:$BV$146,MATCH($A132,'Eurostat EB TJ GWh'!$A$2:$A$146,0),MATCH(Q$3,'Eurostat EB TJ GWh'!$A$2:$BV$2,0))</f>
        <v>0</v>
      </c>
      <c r="R132" s="57">
        <f>INDEX('Eurostat EB TJ GWh'!$A$2:$BV$146,MATCH($A132,'Eurostat EB TJ GWh'!$A$2:$A$146,0),MATCH(R$2,'Eurostat EB TJ GWh'!$A$2:$BV$2,0))+INDEX('Eurostat EB TJ GWh'!$A$2:$BV$146,MATCH($A132,'Eurostat EB TJ GWh'!$A$2:$A$146,0),MATCH(R$3,'Eurostat EB TJ GWh'!$A$2:$BV$2,0))</f>
        <v>0</v>
      </c>
      <c r="S132" s="57">
        <f>INDEX('Eurostat EB TJ GWh'!$A$2:$BV$146,MATCH($A132,'Eurostat EB TJ GWh'!$A$2:$A$146,0),MATCH(S$3,'Eurostat EB TJ GWh'!$A$2:$BV$2,0))</f>
        <v>25666.042000000001</v>
      </c>
      <c r="T132" s="65" t="s">
        <v>323</v>
      </c>
      <c r="U132" s="57">
        <f>INDEX('Eurostat EB TJ GWh'!$A$2:$BV$146,MATCH($A132,'Eurostat EB TJ GWh'!$A$2:$A$146,0),MATCH(U$3,'Eurostat EB TJ GWh'!$A$2:$BV$2,0))</f>
        <v>0</v>
      </c>
      <c r="V132" s="57">
        <f>INDEX('Eurostat EB TJ GWh'!$A$2:$BV$146,MATCH($A132,'Eurostat EB TJ GWh'!$A$2:$A$146,0),MATCH(V$3,'Eurostat EB TJ GWh'!$A$2:$BV$2,0))</f>
        <v>0</v>
      </c>
      <c r="W132" s="57">
        <f>INDEX('Eurostat EB TJ GWh'!$A$2:$BV$146,MATCH($A132,'Eurostat EB TJ GWh'!$A$2:$A$146,0),MATCH(W$3,'Eurostat EB TJ GWh'!$A$2:$BV$2,0))</f>
        <v>0</v>
      </c>
      <c r="X132" s="57">
        <f>INDEX('Eurostat EB TJ GWh'!$A$2:$BV$146,MATCH($A132,'Eurostat EB TJ GWh'!$A$2:$A$146,0),MATCH(X$3,'Eurostat EB TJ GWh'!$A$2:$BV$2,0))</f>
        <v>0</v>
      </c>
      <c r="Y132" s="57">
        <f>INDEX('Eurostat EB TJ GWh'!$A$2:$BV$146,MATCH($A132,'Eurostat EB TJ GWh'!$A$2:$A$146,0),MATCH(Y$3,'Eurostat EB TJ GWh'!$A$2:$BV$2,0))</f>
        <v>0</v>
      </c>
      <c r="Z132" s="57">
        <f>INDEX('Eurostat EB TJ GWh'!$A$2:$BV$146,MATCH($A132,'Eurostat EB TJ GWh'!$A$2:$A$146,0),MATCH(Z$3,'Eurostat EB TJ GWh'!$A$2:$BV$2,0))</f>
        <v>0</v>
      </c>
      <c r="AA132" s="57">
        <f>INDEX('Eurostat EB TJ GWh'!$A$2:$BV$146,MATCH($A132,'Eurostat EB TJ GWh'!$A$2:$A$146,0),MATCH(AA$3,'Eurostat EB TJ GWh'!$A$2:$BV$2,0))</f>
        <v>0</v>
      </c>
      <c r="AB132" s="57">
        <f>INDEX('Eurostat EB TJ GWh'!$A$2:$BV$146,MATCH($A132,'Eurostat EB TJ GWh'!$A$2:$A$146,0),MATCH(AB$3,'Eurostat EB TJ GWh'!$A$2:$BV$2,0))</f>
        <v>0</v>
      </c>
      <c r="AC132" s="57">
        <f>INDEX('Eurostat EB TJ GWh'!$A$2:$BV$146,MATCH($A132,'Eurostat EB TJ GWh'!$A$2:$A$146,0),MATCH(AC$3,'Eurostat EB TJ GWh'!$A$2:$BV$2,0))</f>
        <v>0</v>
      </c>
      <c r="AD132" s="57">
        <f>INDEX('Eurostat EB TJ GWh'!$A$2:$BV$146,MATCH($A132,'Eurostat EB TJ GWh'!$A$2:$A$146,0),MATCH(AD$3,'Eurostat EB TJ GWh'!$A$2:$BV$2,0))</f>
        <v>0</v>
      </c>
      <c r="AE132" s="57">
        <f>INDEX('Eurostat EB TJ GWh'!$A$2:$BV$146,MATCH($A132,'Eurostat EB TJ GWh'!$A$2:$A$146,0),MATCH(AE$3,'Eurostat EB TJ GWh'!$A$2:$BV$2,0))</f>
        <v>0</v>
      </c>
      <c r="AF132" s="57">
        <f>INDEX('Eurostat EB TJ GWh'!$A$2:$BV$146,MATCH($A132,'Eurostat EB TJ GWh'!$A$2:$A$146,0),MATCH(AF$3,'Eurostat EB TJ GWh'!$A$2:$BV$2,0))</f>
        <v>0</v>
      </c>
      <c r="AG132" s="57">
        <f>INDEX('Eurostat EB TJ GWh'!$A$2:$BV$146,MATCH($A132,'Eurostat EB TJ GWh'!$A$2:$A$146,0),MATCH(AG$3,'Eurostat EB TJ GWh'!$A$2:$BV$2,0))</f>
        <v>0</v>
      </c>
      <c r="AH132" s="57">
        <f>INDEX('Eurostat EB TJ GWh'!$A$2:$BV$146,MATCH($A132,'Eurostat EB TJ GWh'!$A$2:$A$146,0),MATCH(AH$3,'Eurostat EB TJ GWh'!$A$2:$BV$2,0))</f>
        <v>3.597</v>
      </c>
      <c r="AI132" s="57">
        <f>INDEX('Eurostat EB TJ GWh'!$A$2:$BV$146,MATCH($A132,'Eurostat EB TJ GWh'!$A$2:$A$146,0),MATCH(AI$3,'Eurostat EB TJ GWh'!$A$2:$BV$2,0))</f>
        <v>0</v>
      </c>
      <c r="AJ132" s="57">
        <f>INDEX('Eurostat EB TJ GWh'!$A$2:$BV$146,MATCH($A132,'Eurostat EB TJ GWh'!$A$2:$A$146,0),MATCH(AJ$3,'Eurostat EB TJ GWh'!$A$2:$BV$2,0))</f>
        <v>0</v>
      </c>
      <c r="AK132" s="57">
        <f>INDEX('Eurostat EB TJ GWh'!$A$2:$BV$146,MATCH($A132,'Eurostat EB TJ GWh'!$A$2:$A$146,0),MATCH(AK$3,'Eurostat EB TJ GWh'!$A$2:$BV$2,0))</f>
        <v>0</v>
      </c>
      <c r="AL132" s="57">
        <f>INDEX('Eurostat EB TJ GWh'!$A$2:$BV$146,MATCH($A132,'Eurostat EB TJ GWh'!$A$2:$A$146,0),MATCH(AL$3,'Eurostat EB TJ GWh'!$A$2:$BV$2,0))</f>
        <v>0</v>
      </c>
      <c r="AM132" s="57">
        <f>INDEX('Eurostat EB TJ GWh'!$A$2:$BV$146,MATCH($A132,'Eurostat EB TJ GWh'!$A$2:$A$146,0),MATCH(AM$3,'Eurostat EB TJ GWh'!$A$2:$BV$2,0))</f>
        <v>0</v>
      </c>
      <c r="AN132" s="57">
        <f>INDEX('Eurostat EB TJ GWh'!$A$2:$BV$146,MATCH($A132,'Eurostat EB TJ GWh'!$A$2:$A$146,0),MATCH(AN$3,'Eurostat EB TJ GWh'!$A$2:$BV$2,0))</f>
        <v>0</v>
      </c>
      <c r="AO132" s="57">
        <f>INDEX('Eurostat EB TJ GWh'!$A$2:$BV$146,MATCH($A132,'Eurostat EB TJ GWh'!$A$2:$A$146,0),MATCH(AO$3,'Eurostat EB TJ GWh'!$A$2:$BV$2,0))</f>
        <v>0</v>
      </c>
      <c r="AP132" s="57">
        <f>INDEX('Eurostat EB TJ GWh'!$A$2:$BV$146,MATCH($A132,'Eurostat EB TJ GWh'!$A$2:$A$146,0),MATCH(AP$3,'Eurostat EB TJ GWh'!$A$2:$BV$2,0))</f>
        <v>0</v>
      </c>
      <c r="AQ132" s="57">
        <f>INDEX('Eurostat EB TJ GWh'!$A$2:$BV$146,MATCH($A132,'Eurostat EB TJ GWh'!$A$2:$A$146,0),MATCH(AQ$3,'Eurostat EB TJ GWh'!$A$2:$BV$2,0))</f>
        <v>3.51</v>
      </c>
      <c r="AR132" s="57">
        <f>INDEX('Eurostat EB TJ GWh'!$A$2:$BV$146,MATCH($A132,'Eurostat EB TJ GWh'!$A$2:$A$146,0),MATCH(AR$3,'Eurostat EB TJ GWh'!$A$2:$BV$2,0))</f>
        <v>0</v>
      </c>
      <c r="AS132" s="57">
        <f>INDEX('Eurostat EB TJ GWh'!$A$2:$BV$146,MATCH($A132,'Eurostat EB TJ GWh'!$A$2:$A$146,0),MATCH(AS$3,'Eurostat EB TJ GWh'!$A$2:$BV$2,0))</f>
        <v>0</v>
      </c>
      <c r="AT132" s="57">
        <f>INDEX('Eurostat EB TJ GWh'!$A$2:$BV$146,MATCH($A132,'Eurostat EB TJ GWh'!$A$2:$A$146,0),MATCH(AT$3,'Eurostat EB TJ GWh'!$A$2:$BV$2,0))</f>
        <v>5269.0519999999997</v>
      </c>
      <c r="AU132" s="57">
        <f>INDEX('Eurostat EB TJ GWh'!$A$2:$BV$146,MATCH($A132,'Eurostat EB TJ GWh'!$A$2:$A$146,0),MATCH(AU$3,'Eurostat EB TJ GWh'!$A$2:$BV$2,0))</f>
        <v>77.602999999999994</v>
      </c>
      <c r="AV132" s="57">
        <f>INDEX('Eurostat EB TJ GWh'!$A$2:$BV$146,MATCH($A132,'Eurostat EB TJ GWh'!$A$2:$A$146,0),MATCH(AV$2,'Eurostat EB TJ GWh'!$A$2:$BV$2,0))+INDEX('Eurostat EB TJ GWh'!$A$2:$BV$146,MATCH($A132,'Eurostat EB TJ GWh'!$A$2:$A$146,0),MATCH(AV$3,'Eurostat EB TJ GWh'!$A$2:$BV$2,0))</f>
        <v>0</v>
      </c>
      <c r="AW132" s="57">
        <f>INDEX('Eurostat EB TJ GWh'!$A$2:$BV$146,MATCH($A132,'Eurostat EB TJ GWh'!$A$2:$A$146,0),MATCH(AW$2,'Eurostat EB TJ GWh'!$A$2:$BV$2,0))+INDEX('Eurostat EB TJ GWh'!$A$2:$BV$146,MATCH($A132,'Eurostat EB TJ GWh'!$A$2:$A$146,0),MATCH(AW$3,'Eurostat EB TJ GWh'!$A$2:$BV$2,0))</f>
        <v>0</v>
      </c>
      <c r="AX132" s="57">
        <f>INDEX('Eurostat EB TJ GWh'!$A$2:$BV$146,MATCH($A132,'Eurostat EB TJ GWh'!$A$2:$A$146,0),MATCH(AX$3,'Eurostat EB TJ GWh'!$A$2:$BV$2,0))</f>
        <v>0</v>
      </c>
      <c r="AY132" s="65">
        <v>0</v>
      </c>
      <c r="AZ132" s="57">
        <f>INDEX('Eurostat EB TJ GWh'!$A$2:$BV$146,MATCH($A132,'Eurostat EB TJ GWh'!$A$2:$A$146,0),MATCH(AZ$3,'Eurostat EB TJ GWh'!$A$2:$BV$2,0))</f>
        <v>0</v>
      </c>
      <c r="BA132" s="65">
        <v>0</v>
      </c>
      <c r="BB132" s="65">
        <v>0</v>
      </c>
      <c r="BC132" s="57">
        <f>INDEX('Eurostat EB TJ GWh'!$A$2:$BV$146,MATCH($A132,'Eurostat EB TJ GWh'!$A$2:$A$146,0),MATCH(BC$3,'Eurostat EB TJ GWh'!$A$2:$BV$2,0))</f>
        <v>0</v>
      </c>
      <c r="BD132" s="57">
        <f>INDEX('Eurostat EB TJ GWh'!$A$2:$BV$146,MATCH($A132,'Eurostat EB TJ GWh'!$A$2:$A$146,0),MATCH(BD$3,'Eurostat EB TJ GWh'!$A$2:$BV$2,0))</f>
        <v>0</v>
      </c>
      <c r="BE132" s="57">
        <f>INDEX('Eurostat EB TJ GWh'!$A$2:$BV$146,MATCH($A132,'Eurostat EB TJ GWh'!$A$2:$A$146,0),MATCH(BE$3,'Eurostat EB TJ GWh'!$A$2:$BV$2,0))</f>
        <v>0</v>
      </c>
      <c r="BF132" s="57">
        <f>INDEX('Eurostat EB TJ GWh'!$A$2:$BV$146,MATCH($A132,'Eurostat EB TJ GWh'!$A$2:$A$146,0),MATCH(BF$3,'Eurostat EB TJ GWh'!$A$2:$BV$2,0))</f>
        <v>0</v>
      </c>
      <c r="BG132" s="57">
        <f>INDEX('Eurostat EB TJ GWh'!$A$2:$BV$146,MATCH($A132,'Eurostat EB TJ GWh'!$A$2:$A$146,0),MATCH(BG$3,'Eurostat EB TJ GWh'!$A$2:$BV$2,0))</f>
        <v>0</v>
      </c>
      <c r="BH132" s="57">
        <f>INDEX('Eurostat EB TJ GWh'!$A$2:$BV$146,MATCH($A132,'Eurostat EB TJ GWh'!$A$2:$A$146,0),MATCH(BH$3,'Eurostat EB TJ GWh'!$A$2:$BV$2,0))</f>
        <v>0</v>
      </c>
      <c r="BI132" s="57">
        <f>INDEX('Eurostat EB TJ GWh'!$A$2:$BV$146,MATCH($A132,'Eurostat EB TJ GWh'!$A$2:$A$146,0),MATCH(BI$3,'Eurostat EB TJ GWh'!$A$2:$BV$2,0))</f>
        <v>0</v>
      </c>
      <c r="BJ132" s="65">
        <v>0</v>
      </c>
      <c r="BK132" s="57">
        <f>INDEX('Eurostat EB TJ GWh'!$A$2:$BV$146,MATCH($A132,'Eurostat EB TJ GWh'!$A$2:$A$146,0),MATCH(BK$3,'Eurostat EB TJ GWh'!$A$2:$BV$2,0))</f>
        <v>0</v>
      </c>
      <c r="BL132" s="57">
        <f>INDEX('Eurostat EB TJ GWh'!$A$2:$BV$146,MATCH($A132,'Eurostat EB TJ GWh'!$A$2:$A$146,0),MATCH(BL$3,'Eurostat EB TJ GWh'!$A$2:$BV$2,0))</f>
        <v>0</v>
      </c>
      <c r="BM132" s="57">
        <f>INDEX('Eurostat EB TJ GWh'!$A$2:$BV$146,MATCH($A132,'Eurostat EB TJ GWh'!$A$2:$A$146,0),MATCH(BM$3,'Eurostat EB TJ GWh'!$A$2:$BV$2,0))</f>
        <v>31806.674999999999</v>
      </c>
      <c r="BN132" s="57">
        <f>INDEX('Eurostat EB TJ GWh'!$A$2:$BV$146,MATCH($A132,'Eurostat EB TJ GWh'!$A$2:$A$146,0),MATCH(BN$3,'Eurostat EB TJ GWh'!$A$2:$BV$2,0))</f>
        <v>5609.55</v>
      </c>
    </row>
    <row r="133" spans="1:66" x14ac:dyDescent="0.2">
      <c r="A133" s="56" t="s">
        <v>319</v>
      </c>
      <c r="B133" s="65" t="s">
        <v>323</v>
      </c>
      <c r="C133" s="65" t="s">
        <v>323</v>
      </c>
      <c r="D133" s="17">
        <f>INDEX('Eurostat EB TJ GWh'!$A$2:$BV$146,MATCH($A133,'Eurostat EB TJ GWh'!$A$2:$A$146,0),MATCH(D$3,'Eurostat EB TJ GWh'!$A$2:$BV$2,0))</f>
        <v>0</v>
      </c>
      <c r="E133" s="17">
        <f>INDEX('Eurostat EB TJ GWh'!$A$2:$BV$146,MATCH($A133,'Eurostat EB TJ GWh'!$A$2:$A$146,0),MATCH(E$3,'Eurostat EB TJ GWh'!$A$2:$BV$2,0))</f>
        <v>0</v>
      </c>
      <c r="F133" s="17">
        <f>INDEX('Eurostat EB TJ GWh'!$A$2:$BV$146,MATCH($A133,'Eurostat EB TJ GWh'!$A$2:$A$146,0),MATCH(F$3,'Eurostat EB TJ GWh'!$A$2:$BV$2,0))</f>
        <v>0</v>
      </c>
      <c r="G133" s="17">
        <f>INDEX('Eurostat EB TJ GWh'!$A$2:$BV$146,MATCH($A133,'Eurostat EB TJ GWh'!$A$2:$A$146,0),MATCH(G$3,'Eurostat EB TJ GWh'!$A$2:$BV$2,0))</f>
        <v>0</v>
      </c>
      <c r="H133" s="17">
        <f>INDEX('Eurostat EB TJ GWh'!$A$2:$BV$146,MATCH($A133,'Eurostat EB TJ GWh'!$A$2:$A$146,0),MATCH(H$3,'Eurostat EB TJ GWh'!$A$2:$BV$2,0))</f>
        <v>0</v>
      </c>
      <c r="I133" s="17">
        <f>INDEX('Eurostat EB TJ GWh'!$A$2:$BV$146,MATCH($A133,'Eurostat EB TJ GWh'!$A$2:$A$146,0),MATCH(I$3,'Eurostat EB TJ GWh'!$A$2:$BV$2,0))</f>
        <v>0</v>
      </c>
      <c r="J133" s="17">
        <f>INDEX('Eurostat EB TJ GWh'!$A$2:$BV$146,MATCH($A133,'Eurostat EB TJ GWh'!$A$2:$A$146,0),MATCH(J$3,'Eurostat EB TJ GWh'!$A$2:$BV$2,0))</f>
        <v>0</v>
      </c>
      <c r="K133" s="17">
        <f>INDEX('Eurostat EB TJ GWh'!$A$2:$BV$146,MATCH($A133,'Eurostat EB TJ GWh'!$A$2:$A$146,0),MATCH(K$3,'Eurostat EB TJ GWh'!$A$2:$BV$2,0))</f>
        <v>0</v>
      </c>
      <c r="L133" s="17">
        <f>INDEX('Eurostat EB TJ GWh'!$A$2:$BV$146,MATCH($A133,'Eurostat EB TJ GWh'!$A$2:$A$146,0),MATCH(L$3,'Eurostat EB TJ GWh'!$A$2:$BV$2,0))</f>
        <v>0</v>
      </c>
      <c r="M133" s="17">
        <f>INDEX('Eurostat EB TJ GWh'!$A$2:$BV$146,MATCH($A133,'Eurostat EB TJ GWh'!$A$2:$A$146,0),MATCH(M$3,'Eurostat EB TJ GWh'!$A$2:$BV$2,0))</f>
        <v>0</v>
      </c>
      <c r="N133" s="17">
        <f>INDEX('Eurostat EB TJ GWh'!$A$2:$BV$146,MATCH($A133,'Eurostat EB TJ GWh'!$A$2:$A$146,0),MATCH(N$3,'Eurostat EB TJ GWh'!$A$2:$BV$2,0))</f>
        <v>0</v>
      </c>
      <c r="O133" s="17">
        <f>INDEX('Eurostat EB TJ GWh'!$A$2:$BV$146,MATCH($A133,'Eurostat EB TJ GWh'!$A$2:$A$146,0),MATCH(O$3,'Eurostat EB TJ GWh'!$A$2:$BV$2,0))</f>
        <v>0</v>
      </c>
      <c r="P133" s="17">
        <f>INDEX('Eurostat EB TJ GWh'!$A$2:$BV$146,MATCH($A133,'Eurostat EB TJ GWh'!$A$2:$A$146,0),MATCH(P$3,'Eurostat EB TJ GWh'!$A$2:$BV$2,0))</f>
        <v>0</v>
      </c>
      <c r="Q133" s="17">
        <f>INDEX('Eurostat EB TJ GWh'!$A$2:$BV$146,MATCH($A133,'Eurostat EB TJ GWh'!$A$2:$A$146,0),MATCH(Q$3,'Eurostat EB TJ GWh'!$A$2:$BV$2,0))</f>
        <v>0</v>
      </c>
      <c r="R133" s="17">
        <f>INDEX('Eurostat EB TJ GWh'!$A$2:$BV$146,MATCH($A133,'Eurostat EB TJ GWh'!$A$2:$A$146,0),MATCH(R$2,'Eurostat EB TJ GWh'!$A$2:$BV$2,0))+INDEX('Eurostat EB TJ GWh'!$A$2:$BV$146,MATCH($A133,'Eurostat EB TJ GWh'!$A$2:$A$146,0),MATCH(R$3,'Eurostat EB TJ GWh'!$A$2:$BV$2,0))</f>
        <v>0</v>
      </c>
      <c r="S133" s="17">
        <f>INDEX('Eurostat EB TJ GWh'!$A$2:$BV$146,MATCH($A133,'Eurostat EB TJ GWh'!$A$2:$A$146,0),MATCH(S$3,'Eurostat EB TJ GWh'!$A$2:$BV$2,0))</f>
        <v>9958.8259999999991</v>
      </c>
      <c r="T133" s="65" t="s">
        <v>323</v>
      </c>
      <c r="U133" s="17">
        <f>INDEX('Eurostat EB TJ GWh'!$A$2:$BV$146,MATCH($A133,'Eurostat EB TJ GWh'!$A$2:$A$146,0),MATCH(U$3,'Eurostat EB TJ GWh'!$A$2:$BV$2,0))</f>
        <v>0</v>
      </c>
      <c r="V133" s="17">
        <f>INDEX('Eurostat EB TJ GWh'!$A$2:$BV$146,MATCH($A133,'Eurostat EB TJ GWh'!$A$2:$A$146,0),MATCH(V$3,'Eurostat EB TJ GWh'!$A$2:$BV$2,0))</f>
        <v>0</v>
      </c>
      <c r="W133" s="17">
        <f>INDEX('Eurostat EB TJ GWh'!$A$2:$BV$146,MATCH($A133,'Eurostat EB TJ GWh'!$A$2:$A$146,0),MATCH(W$3,'Eurostat EB TJ GWh'!$A$2:$BV$2,0))</f>
        <v>0</v>
      </c>
      <c r="X133" s="17">
        <f>INDEX('Eurostat EB TJ GWh'!$A$2:$BV$146,MATCH($A133,'Eurostat EB TJ GWh'!$A$2:$A$146,0),MATCH(X$3,'Eurostat EB TJ GWh'!$A$2:$BV$2,0))</f>
        <v>0</v>
      </c>
      <c r="Y133" s="17">
        <f>INDEX('Eurostat EB TJ GWh'!$A$2:$BV$146,MATCH($A133,'Eurostat EB TJ GWh'!$A$2:$A$146,0),MATCH(Y$3,'Eurostat EB TJ GWh'!$A$2:$BV$2,0))</f>
        <v>0</v>
      </c>
      <c r="Z133" s="17">
        <f>INDEX('Eurostat EB TJ GWh'!$A$2:$BV$146,MATCH($A133,'Eurostat EB TJ GWh'!$A$2:$A$146,0),MATCH(Z$3,'Eurostat EB TJ GWh'!$A$2:$BV$2,0))</f>
        <v>3468.66</v>
      </c>
      <c r="AA133" s="17">
        <f>INDEX('Eurostat EB TJ GWh'!$A$2:$BV$146,MATCH($A133,'Eurostat EB TJ GWh'!$A$2:$A$146,0),MATCH(AA$3,'Eurostat EB TJ GWh'!$A$2:$BV$2,0))</f>
        <v>0</v>
      </c>
      <c r="AB133" s="17">
        <f>INDEX('Eurostat EB TJ GWh'!$A$2:$BV$146,MATCH($A133,'Eurostat EB TJ GWh'!$A$2:$A$146,0),MATCH(AB$3,'Eurostat EB TJ GWh'!$A$2:$BV$2,0))</f>
        <v>0</v>
      </c>
      <c r="AC133" s="17">
        <f>INDEX('Eurostat EB TJ GWh'!$A$2:$BV$146,MATCH($A133,'Eurostat EB TJ GWh'!$A$2:$A$146,0),MATCH(AC$3,'Eurostat EB TJ GWh'!$A$2:$BV$2,0))</f>
        <v>0</v>
      </c>
      <c r="AD133" s="17">
        <f>INDEX('Eurostat EB TJ GWh'!$A$2:$BV$146,MATCH($A133,'Eurostat EB TJ GWh'!$A$2:$A$146,0),MATCH(AD$3,'Eurostat EB TJ GWh'!$A$2:$BV$2,0))</f>
        <v>0</v>
      </c>
      <c r="AE133" s="17">
        <f>INDEX('Eurostat EB TJ GWh'!$A$2:$BV$146,MATCH($A133,'Eurostat EB TJ GWh'!$A$2:$A$146,0),MATCH(AE$3,'Eurostat EB TJ GWh'!$A$2:$BV$2,0))</f>
        <v>0</v>
      </c>
      <c r="AF133" s="17">
        <f>INDEX('Eurostat EB TJ GWh'!$A$2:$BV$146,MATCH($A133,'Eurostat EB TJ GWh'!$A$2:$A$146,0),MATCH(AF$3,'Eurostat EB TJ GWh'!$A$2:$BV$2,0))</f>
        <v>0</v>
      </c>
      <c r="AG133" s="17">
        <f>INDEX('Eurostat EB TJ GWh'!$A$2:$BV$146,MATCH($A133,'Eurostat EB TJ GWh'!$A$2:$A$146,0),MATCH(AG$3,'Eurostat EB TJ GWh'!$A$2:$BV$2,0))</f>
        <v>0</v>
      </c>
      <c r="AH133" s="17">
        <f>INDEX('Eurostat EB TJ GWh'!$A$2:$BV$146,MATCH($A133,'Eurostat EB TJ GWh'!$A$2:$A$146,0),MATCH(AH$3,'Eurostat EB TJ GWh'!$A$2:$BV$2,0))</f>
        <v>0</v>
      </c>
      <c r="AI133" s="17">
        <f>INDEX('Eurostat EB TJ GWh'!$A$2:$BV$146,MATCH($A133,'Eurostat EB TJ GWh'!$A$2:$A$146,0),MATCH(AI$3,'Eurostat EB TJ GWh'!$A$2:$BV$2,0))</f>
        <v>0</v>
      </c>
      <c r="AJ133" s="17">
        <f>INDEX('Eurostat EB TJ GWh'!$A$2:$BV$146,MATCH($A133,'Eurostat EB TJ GWh'!$A$2:$A$146,0),MATCH(AJ$3,'Eurostat EB TJ GWh'!$A$2:$BV$2,0))</f>
        <v>0</v>
      </c>
      <c r="AK133" s="17">
        <f>INDEX('Eurostat EB TJ GWh'!$A$2:$BV$146,MATCH($A133,'Eurostat EB TJ GWh'!$A$2:$A$146,0),MATCH(AK$3,'Eurostat EB TJ GWh'!$A$2:$BV$2,0))</f>
        <v>0</v>
      </c>
      <c r="AL133" s="17">
        <f>INDEX('Eurostat EB TJ GWh'!$A$2:$BV$146,MATCH($A133,'Eurostat EB TJ GWh'!$A$2:$A$146,0),MATCH(AL$3,'Eurostat EB TJ GWh'!$A$2:$BV$2,0))</f>
        <v>0</v>
      </c>
      <c r="AM133" s="17">
        <f>INDEX('Eurostat EB TJ GWh'!$A$2:$BV$146,MATCH($A133,'Eurostat EB TJ GWh'!$A$2:$A$146,0),MATCH(AM$3,'Eurostat EB TJ GWh'!$A$2:$BV$2,0))</f>
        <v>0</v>
      </c>
      <c r="AN133" s="17">
        <f>INDEX('Eurostat EB TJ GWh'!$A$2:$BV$146,MATCH($A133,'Eurostat EB TJ GWh'!$A$2:$A$146,0),MATCH(AN$3,'Eurostat EB TJ GWh'!$A$2:$BV$2,0))</f>
        <v>0</v>
      </c>
      <c r="AO133" s="17">
        <f>INDEX('Eurostat EB TJ GWh'!$A$2:$BV$146,MATCH($A133,'Eurostat EB TJ GWh'!$A$2:$A$146,0),MATCH(AO$3,'Eurostat EB TJ GWh'!$A$2:$BV$2,0))</f>
        <v>0</v>
      </c>
      <c r="AP133" s="17">
        <f>INDEX('Eurostat EB TJ GWh'!$A$2:$BV$146,MATCH($A133,'Eurostat EB TJ GWh'!$A$2:$A$146,0),MATCH(AP$3,'Eurostat EB TJ GWh'!$A$2:$BV$2,0))</f>
        <v>3.6999999999999998E-2</v>
      </c>
      <c r="AQ133" s="17">
        <f>INDEX('Eurostat EB TJ GWh'!$A$2:$BV$146,MATCH($A133,'Eurostat EB TJ GWh'!$A$2:$A$146,0),MATCH(AQ$3,'Eurostat EB TJ GWh'!$A$2:$BV$2,0))</f>
        <v>14.704000000000001</v>
      </c>
      <c r="AR133" s="17">
        <f>INDEX('Eurostat EB TJ GWh'!$A$2:$BV$146,MATCH($A133,'Eurostat EB TJ GWh'!$A$2:$A$146,0),MATCH(AR$3,'Eurostat EB TJ GWh'!$A$2:$BV$2,0))</f>
        <v>0</v>
      </c>
      <c r="AS133" s="17">
        <f>INDEX('Eurostat EB TJ GWh'!$A$2:$BV$146,MATCH($A133,'Eurostat EB TJ GWh'!$A$2:$A$146,0),MATCH(AS$3,'Eurostat EB TJ GWh'!$A$2:$BV$2,0))</f>
        <v>0</v>
      </c>
      <c r="AT133" s="17">
        <f>INDEX('Eurostat EB TJ GWh'!$A$2:$BV$146,MATCH($A133,'Eurostat EB TJ GWh'!$A$2:$A$146,0),MATCH(AT$3,'Eurostat EB TJ GWh'!$A$2:$BV$2,0))</f>
        <v>3753.6170000000002</v>
      </c>
      <c r="AU133" s="17">
        <f>INDEX('Eurostat EB TJ GWh'!$A$2:$BV$146,MATCH($A133,'Eurostat EB TJ GWh'!$A$2:$A$146,0),MATCH(AU$3,'Eurostat EB TJ GWh'!$A$2:$BV$2,0))</f>
        <v>0</v>
      </c>
      <c r="AV133" s="17">
        <f>INDEX('Eurostat EB TJ GWh'!$A$2:$BV$146,MATCH($A133,'Eurostat EB TJ GWh'!$A$2:$A$146,0),MATCH(AV$2,'Eurostat EB TJ GWh'!$A$2:$BV$2,0))+INDEX('Eurostat EB TJ GWh'!$A$2:$BV$146,MATCH($A133,'Eurostat EB TJ GWh'!$A$2:$A$146,0),MATCH(AV$3,'Eurostat EB TJ GWh'!$A$2:$BV$2,0))</f>
        <v>0</v>
      </c>
      <c r="AW133" s="17">
        <f>INDEX('Eurostat EB TJ GWh'!$A$2:$BV$146,MATCH($A133,'Eurostat EB TJ GWh'!$A$2:$A$146,0),MATCH(AW$2,'Eurostat EB TJ GWh'!$A$2:$BV$2,0))+INDEX('Eurostat EB TJ GWh'!$A$2:$BV$146,MATCH($A133,'Eurostat EB TJ GWh'!$A$2:$A$146,0),MATCH(AW$3,'Eurostat EB TJ GWh'!$A$2:$BV$2,0))</f>
        <v>0</v>
      </c>
      <c r="AX133" s="17">
        <f>INDEX('Eurostat EB TJ GWh'!$A$2:$BV$146,MATCH($A133,'Eurostat EB TJ GWh'!$A$2:$A$146,0),MATCH(AX$3,'Eurostat EB TJ GWh'!$A$2:$BV$2,0))</f>
        <v>0</v>
      </c>
      <c r="AY133" s="65">
        <v>0</v>
      </c>
      <c r="AZ133" s="17">
        <f>INDEX('Eurostat EB TJ GWh'!$A$2:$BV$146,MATCH($A133,'Eurostat EB TJ GWh'!$A$2:$A$146,0),MATCH(AZ$3,'Eurostat EB TJ GWh'!$A$2:$BV$2,0))</f>
        <v>0</v>
      </c>
      <c r="BA133" s="65">
        <v>0</v>
      </c>
      <c r="BB133" s="65">
        <v>0</v>
      </c>
      <c r="BC133" s="17">
        <f>INDEX('Eurostat EB TJ GWh'!$A$2:$BV$146,MATCH($A133,'Eurostat EB TJ GWh'!$A$2:$A$146,0),MATCH(BC$3,'Eurostat EB TJ GWh'!$A$2:$BV$2,0))</f>
        <v>0</v>
      </c>
      <c r="BD133" s="17">
        <f>INDEX('Eurostat EB TJ GWh'!$A$2:$BV$146,MATCH($A133,'Eurostat EB TJ GWh'!$A$2:$A$146,0),MATCH(BD$3,'Eurostat EB TJ GWh'!$A$2:$BV$2,0))</f>
        <v>0</v>
      </c>
      <c r="BE133" s="17">
        <f>INDEX('Eurostat EB TJ GWh'!$A$2:$BV$146,MATCH($A133,'Eurostat EB TJ GWh'!$A$2:$A$146,0),MATCH(BE$3,'Eurostat EB TJ GWh'!$A$2:$BV$2,0))</f>
        <v>0</v>
      </c>
      <c r="BF133" s="17">
        <f>INDEX('Eurostat EB TJ GWh'!$A$2:$BV$146,MATCH($A133,'Eurostat EB TJ GWh'!$A$2:$A$146,0),MATCH(BF$3,'Eurostat EB TJ GWh'!$A$2:$BV$2,0))</f>
        <v>0</v>
      </c>
      <c r="BG133" s="17">
        <f>INDEX('Eurostat EB TJ GWh'!$A$2:$BV$146,MATCH($A133,'Eurostat EB TJ GWh'!$A$2:$A$146,0),MATCH(BG$3,'Eurostat EB TJ GWh'!$A$2:$BV$2,0))</f>
        <v>0</v>
      </c>
      <c r="BH133" s="17">
        <f>INDEX('Eurostat EB TJ GWh'!$A$2:$BV$146,MATCH($A133,'Eurostat EB TJ GWh'!$A$2:$A$146,0),MATCH(BH$3,'Eurostat EB TJ GWh'!$A$2:$BV$2,0))</f>
        <v>0</v>
      </c>
      <c r="BI133" s="17">
        <f>INDEX('Eurostat EB TJ GWh'!$A$2:$BV$146,MATCH($A133,'Eurostat EB TJ GWh'!$A$2:$A$146,0),MATCH(BI$3,'Eurostat EB TJ GWh'!$A$2:$BV$2,0))</f>
        <v>0</v>
      </c>
      <c r="BJ133" s="65">
        <v>0</v>
      </c>
      <c r="BK133" s="17">
        <f>INDEX('Eurostat EB TJ GWh'!$A$2:$BV$146,MATCH($A133,'Eurostat EB TJ GWh'!$A$2:$A$146,0),MATCH(BK$3,'Eurostat EB TJ GWh'!$A$2:$BV$2,0))</f>
        <v>0</v>
      </c>
      <c r="BL133" s="17">
        <f>INDEX('Eurostat EB TJ GWh'!$A$2:$BV$146,MATCH($A133,'Eurostat EB TJ GWh'!$A$2:$A$146,0),MATCH(BL$3,'Eurostat EB TJ GWh'!$A$2:$BV$2,0))</f>
        <v>0</v>
      </c>
      <c r="BM133" s="17">
        <f>INDEX('Eurostat EB TJ GWh'!$A$2:$BV$146,MATCH($A133,'Eurostat EB TJ GWh'!$A$2:$A$146,0),MATCH(BM$3,'Eurostat EB TJ GWh'!$A$2:$BV$2,0))</f>
        <v>17195.844000000001</v>
      </c>
      <c r="BN133" s="17">
        <f>INDEX('Eurostat EB TJ GWh'!$A$2:$BV$146,MATCH($A133,'Eurostat EB TJ GWh'!$A$2:$A$146,0),MATCH(BN$3,'Eurostat EB TJ GWh'!$A$2:$BV$2,0))</f>
        <v>3855.6239999999998</v>
      </c>
    </row>
    <row r="134" spans="1:66" x14ac:dyDescent="0.2">
      <c r="A134" s="56" t="s">
        <v>320</v>
      </c>
      <c r="B134" s="65" t="s">
        <v>323</v>
      </c>
      <c r="C134" s="65" t="s">
        <v>323</v>
      </c>
      <c r="D134" s="57">
        <f>INDEX('Eurostat EB TJ GWh'!$A$2:$BV$146,MATCH($A134,'Eurostat EB TJ GWh'!$A$2:$A$146,0),MATCH(D$3,'Eurostat EB TJ GWh'!$A$2:$BV$2,0))</f>
        <v>0</v>
      </c>
      <c r="E134" s="57">
        <f>INDEX('Eurostat EB TJ GWh'!$A$2:$BV$146,MATCH($A134,'Eurostat EB TJ GWh'!$A$2:$A$146,0),MATCH(E$3,'Eurostat EB TJ GWh'!$A$2:$BV$2,0))</f>
        <v>0</v>
      </c>
      <c r="F134" s="57">
        <f>INDEX('Eurostat EB TJ GWh'!$A$2:$BV$146,MATCH($A134,'Eurostat EB TJ GWh'!$A$2:$A$146,0),MATCH(F$3,'Eurostat EB TJ GWh'!$A$2:$BV$2,0))</f>
        <v>0</v>
      </c>
      <c r="G134" s="57">
        <f>INDEX('Eurostat EB TJ GWh'!$A$2:$BV$146,MATCH($A134,'Eurostat EB TJ GWh'!$A$2:$A$146,0),MATCH(G$3,'Eurostat EB TJ GWh'!$A$2:$BV$2,0))</f>
        <v>0</v>
      </c>
      <c r="H134" s="57">
        <f>INDEX('Eurostat EB TJ GWh'!$A$2:$BV$146,MATCH($A134,'Eurostat EB TJ GWh'!$A$2:$A$146,0),MATCH(H$3,'Eurostat EB TJ GWh'!$A$2:$BV$2,0))</f>
        <v>0</v>
      </c>
      <c r="I134" s="57">
        <f>INDEX('Eurostat EB TJ GWh'!$A$2:$BV$146,MATCH($A134,'Eurostat EB TJ GWh'!$A$2:$A$146,0),MATCH(I$3,'Eurostat EB TJ GWh'!$A$2:$BV$2,0))</f>
        <v>0</v>
      </c>
      <c r="J134" s="57">
        <f>INDEX('Eurostat EB TJ GWh'!$A$2:$BV$146,MATCH($A134,'Eurostat EB TJ GWh'!$A$2:$A$146,0),MATCH(J$3,'Eurostat EB TJ GWh'!$A$2:$BV$2,0))</f>
        <v>0</v>
      </c>
      <c r="K134" s="57">
        <f>INDEX('Eurostat EB TJ GWh'!$A$2:$BV$146,MATCH($A134,'Eurostat EB TJ GWh'!$A$2:$A$146,0),MATCH(K$3,'Eurostat EB TJ GWh'!$A$2:$BV$2,0))</f>
        <v>0</v>
      </c>
      <c r="L134" s="57">
        <f>INDEX('Eurostat EB TJ GWh'!$A$2:$BV$146,MATCH($A134,'Eurostat EB TJ GWh'!$A$2:$A$146,0),MATCH(L$3,'Eurostat EB TJ GWh'!$A$2:$BV$2,0))</f>
        <v>0</v>
      </c>
      <c r="M134" s="57">
        <f>INDEX('Eurostat EB TJ GWh'!$A$2:$BV$146,MATCH($A134,'Eurostat EB TJ GWh'!$A$2:$A$146,0),MATCH(M$3,'Eurostat EB TJ GWh'!$A$2:$BV$2,0))</f>
        <v>0</v>
      </c>
      <c r="N134" s="57">
        <f>INDEX('Eurostat EB TJ GWh'!$A$2:$BV$146,MATCH($A134,'Eurostat EB TJ GWh'!$A$2:$A$146,0),MATCH(N$3,'Eurostat EB TJ GWh'!$A$2:$BV$2,0))</f>
        <v>0</v>
      </c>
      <c r="O134" s="57">
        <f>INDEX('Eurostat EB TJ GWh'!$A$2:$BV$146,MATCH($A134,'Eurostat EB TJ GWh'!$A$2:$A$146,0),MATCH(O$3,'Eurostat EB TJ GWh'!$A$2:$BV$2,0))</f>
        <v>24.747</v>
      </c>
      <c r="P134" s="57">
        <f>INDEX('Eurostat EB TJ GWh'!$A$2:$BV$146,MATCH($A134,'Eurostat EB TJ GWh'!$A$2:$A$146,0),MATCH(P$3,'Eurostat EB TJ GWh'!$A$2:$BV$2,0))</f>
        <v>280.09199999999998</v>
      </c>
      <c r="Q134" s="57">
        <f>INDEX('Eurostat EB TJ GWh'!$A$2:$BV$146,MATCH($A134,'Eurostat EB TJ GWh'!$A$2:$A$146,0),MATCH(Q$3,'Eurostat EB TJ GWh'!$A$2:$BV$2,0))</f>
        <v>0</v>
      </c>
      <c r="R134" s="57">
        <f>INDEX('Eurostat EB TJ GWh'!$A$2:$BV$146,MATCH($A134,'Eurostat EB TJ GWh'!$A$2:$A$146,0),MATCH(R$2,'Eurostat EB TJ GWh'!$A$2:$BV$2,0))+INDEX('Eurostat EB TJ GWh'!$A$2:$BV$146,MATCH($A134,'Eurostat EB TJ GWh'!$A$2:$A$146,0),MATCH(R$3,'Eurostat EB TJ GWh'!$A$2:$BV$2,0))</f>
        <v>0</v>
      </c>
      <c r="S134" s="57">
        <f>INDEX('Eurostat EB TJ GWh'!$A$2:$BV$146,MATCH($A134,'Eurostat EB TJ GWh'!$A$2:$A$146,0),MATCH(S$3,'Eurostat EB TJ GWh'!$A$2:$BV$2,0))</f>
        <v>9896.8770000000004</v>
      </c>
      <c r="T134" s="65" t="s">
        <v>323</v>
      </c>
      <c r="U134" s="57">
        <f>INDEX('Eurostat EB TJ GWh'!$A$2:$BV$146,MATCH($A134,'Eurostat EB TJ GWh'!$A$2:$A$146,0),MATCH(U$3,'Eurostat EB TJ GWh'!$A$2:$BV$2,0))</f>
        <v>0</v>
      </c>
      <c r="V134" s="57">
        <f>INDEX('Eurostat EB TJ GWh'!$A$2:$BV$146,MATCH($A134,'Eurostat EB TJ GWh'!$A$2:$A$146,0),MATCH(V$3,'Eurostat EB TJ GWh'!$A$2:$BV$2,0))</f>
        <v>0</v>
      </c>
      <c r="W134" s="57">
        <f>INDEX('Eurostat EB TJ GWh'!$A$2:$BV$146,MATCH($A134,'Eurostat EB TJ GWh'!$A$2:$A$146,0),MATCH(W$3,'Eurostat EB TJ GWh'!$A$2:$BV$2,0))</f>
        <v>0</v>
      </c>
      <c r="X134" s="57">
        <f>INDEX('Eurostat EB TJ GWh'!$A$2:$BV$146,MATCH($A134,'Eurostat EB TJ GWh'!$A$2:$A$146,0),MATCH(X$3,'Eurostat EB TJ GWh'!$A$2:$BV$2,0))</f>
        <v>0</v>
      </c>
      <c r="Y134" s="57">
        <f>INDEX('Eurostat EB TJ GWh'!$A$2:$BV$146,MATCH($A134,'Eurostat EB TJ GWh'!$A$2:$A$146,0),MATCH(Y$3,'Eurostat EB TJ GWh'!$A$2:$BV$2,0))</f>
        <v>0</v>
      </c>
      <c r="Z134" s="57">
        <f>INDEX('Eurostat EB TJ GWh'!$A$2:$BV$146,MATCH($A134,'Eurostat EB TJ GWh'!$A$2:$A$146,0),MATCH(Z$3,'Eurostat EB TJ GWh'!$A$2:$BV$2,0))</f>
        <v>5102.018</v>
      </c>
      <c r="AA134" s="57">
        <f>INDEX('Eurostat EB TJ GWh'!$A$2:$BV$146,MATCH($A134,'Eurostat EB TJ GWh'!$A$2:$A$146,0),MATCH(AA$3,'Eurostat EB TJ GWh'!$A$2:$BV$2,0))</f>
        <v>0</v>
      </c>
      <c r="AB134" s="57">
        <f>INDEX('Eurostat EB TJ GWh'!$A$2:$BV$146,MATCH($A134,'Eurostat EB TJ GWh'!$A$2:$A$146,0),MATCH(AB$3,'Eurostat EB TJ GWh'!$A$2:$BV$2,0))</f>
        <v>0</v>
      </c>
      <c r="AC134" s="57">
        <f>INDEX('Eurostat EB TJ GWh'!$A$2:$BV$146,MATCH($A134,'Eurostat EB TJ GWh'!$A$2:$A$146,0),MATCH(AC$3,'Eurostat EB TJ GWh'!$A$2:$BV$2,0))</f>
        <v>0</v>
      </c>
      <c r="AD134" s="57">
        <f>INDEX('Eurostat EB TJ GWh'!$A$2:$BV$146,MATCH($A134,'Eurostat EB TJ GWh'!$A$2:$A$146,0),MATCH(AD$3,'Eurostat EB TJ GWh'!$A$2:$BV$2,0))</f>
        <v>0</v>
      </c>
      <c r="AE134" s="57">
        <f>INDEX('Eurostat EB TJ GWh'!$A$2:$BV$146,MATCH($A134,'Eurostat EB TJ GWh'!$A$2:$A$146,0),MATCH(AE$3,'Eurostat EB TJ GWh'!$A$2:$BV$2,0))</f>
        <v>0</v>
      </c>
      <c r="AF134" s="57">
        <f>INDEX('Eurostat EB TJ GWh'!$A$2:$BV$146,MATCH($A134,'Eurostat EB TJ GWh'!$A$2:$A$146,0),MATCH(AF$3,'Eurostat EB TJ GWh'!$A$2:$BV$2,0))</f>
        <v>0</v>
      </c>
      <c r="AG134" s="57">
        <f>INDEX('Eurostat EB TJ GWh'!$A$2:$BV$146,MATCH($A134,'Eurostat EB TJ GWh'!$A$2:$A$146,0),MATCH(AG$3,'Eurostat EB TJ GWh'!$A$2:$BV$2,0))</f>
        <v>0</v>
      </c>
      <c r="AH134" s="57">
        <f>INDEX('Eurostat EB TJ GWh'!$A$2:$BV$146,MATCH($A134,'Eurostat EB TJ GWh'!$A$2:$A$146,0),MATCH(AH$3,'Eurostat EB TJ GWh'!$A$2:$BV$2,0))</f>
        <v>45.981000000000002</v>
      </c>
      <c r="AI134" s="57">
        <f>INDEX('Eurostat EB TJ GWh'!$A$2:$BV$146,MATCH($A134,'Eurostat EB TJ GWh'!$A$2:$A$146,0),MATCH(AI$3,'Eurostat EB TJ GWh'!$A$2:$BV$2,0))</f>
        <v>0</v>
      </c>
      <c r="AJ134" s="57">
        <f>INDEX('Eurostat EB TJ GWh'!$A$2:$BV$146,MATCH($A134,'Eurostat EB TJ GWh'!$A$2:$A$146,0),MATCH(AJ$3,'Eurostat EB TJ GWh'!$A$2:$BV$2,0))</f>
        <v>0</v>
      </c>
      <c r="AK134" s="57">
        <f>INDEX('Eurostat EB TJ GWh'!$A$2:$BV$146,MATCH($A134,'Eurostat EB TJ GWh'!$A$2:$A$146,0),MATCH(AK$3,'Eurostat EB TJ GWh'!$A$2:$BV$2,0))</f>
        <v>0</v>
      </c>
      <c r="AL134" s="57">
        <f>INDEX('Eurostat EB TJ GWh'!$A$2:$BV$146,MATCH($A134,'Eurostat EB TJ GWh'!$A$2:$A$146,0),MATCH(AL$3,'Eurostat EB TJ GWh'!$A$2:$BV$2,0))</f>
        <v>0</v>
      </c>
      <c r="AM134" s="57">
        <f>INDEX('Eurostat EB TJ GWh'!$A$2:$BV$146,MATCH($A134,'Eurostat EB TJ GWh'!$A$2:$A$146,0),MATCH(AM$3,'Eurostat EB TJ GWh'!$A$2:$BV$2,0))</f>
        <v>0</v>
      </c>
      <c r="AN134" s="57">
        <f>INDEX('Eurostat EB TJ GWh'!$A$2:$BV$146,MATCH($A134,'Eurostat EB TJ GWh'!$A$2:$A$146,0),MATCH(AN$3,'Eurostat EB TJ GWh'!$A$2:$BV$2,0))</f>
        <v>0</v>
      </c>
      <c r="AO134" s="57">
        <f>INDEX('Eurostat EB TJ GWh'!$A$2:$BV$146,MATCH($A134,'Eurostat EB TJ GWh'!$A$2:$A$146,0),MATCH(AO$3,'Eurostat EB TJ GWh'!$A$2:$BV$2,0))</f>
        <v>0</v>
      </c>
      <c r="AP134" s="57">
        <f>INDEX('Eurostat EB TJ GWh'!$A$2:$BV$146,MATCH($A134,'Eurostat EB TJ GWh'!$A$2:$A$146,0),MATCH(AP$3,'Eurostat EB TJ GWh'!$A$2:$BV$2,0))</f>
        <v>0</v>
      </c>
      <c r="AQ134" s="57">
        <f>INDEX('Eurostat EB TJ GWh'!$A$2:$BV$146,MATCH($A134,'Eurostat EB TJ GWh'!$A$2:$A$146,0),MATCH(AQ$3,'Eurostat EB TJ GWh'!$A$2:$BV$2,0))</f>
        <v>84.995000000000005</v>
      </c>
      <c r="AR134" s="57">
        <f>INDEX('Eurostat EB TJ GWh'!$A$2:$BV$146,MATCH($A134,'Eurostat EB TJ GWh'!$A$2:$A$146,0),MATCH(AR$3,'Eurostat EB TJ GWh'!$A$2:$BV$2,0))</f>
        <v>7935.817</v>
      </c>
      <c r="AS134" s="57">
        <f>INDEX('Eurostat EB TJ GWh'!$A$2:$BV$146,MATCH($A134,'Eurostat EB TJ GWh'!$A$2:$A$146,0),MATCH(AS$3,'Eurostat EB TJ GWh'!$A$2:$BV$2,0))</f>
        <v>7037.4219999999996</v>
      </c>
      <c r="AT134" s="57">
        <f>INDEX('Eurostat EB TJ GWh'!$A$2:$BV$146,MATCH($A134,'Eurostat EB TJ GWh'!$A$2:$A$146,0),MATCH(AT$3,'Eurostat EB TJ GWh'!$A$2:$BV$2,0))</f>
        <v>2769.346</v>
      </c>
      <c r="AU134" s="57">
        <f>INDEX('Eurostat EB TJ GWh'!$A$2:$BV$146,MATCH($A134,'Eurostat EB TJ GWh'!$A$2:$A$146,0),MATCH(AU$3,'Eurostat EB TJ GWh'!$A$2:$BV$2,0))</f>
        <v>187.73699999999999</v>
      </c>
      <c r="AV134" s="57">
        <f>INDEX('Eurostat EB TJ GWh'!$A$2:$BV$146,MATCH($A134,'Eurostat EB TJ GWh'!$A$2:$A$146,0),MATCH(AV$2,'Eurostat EB TJ GWh'!$A$2:$BV$2,0))+INDEX('Eurostat EB TJ GWh'!$A$2:$BV$146,MATCH($A134,'Eurostat EB TJ GWh'!$A$2:$A$146,0),MATCH(AV$3,'Eurostat EB TJ GWh'!$A$2:$BV$2,0))</f>
        <v>0</v>
      </c>
      <c r="AW134" s="57">
        <f>INDEX('Eurostat EB TJ GWh'!$A$2:$BV$146,MATCH($A134,'Eurostat EB TJ GWh'!$A$2:$A$146,0),MATCH(AW$2,'Eurostat EB TJ GWh'!$A$2:$BV$2,0))+INDEX('Eurostat EB TJ GWh'!$A$2:$BV$146,MATCH($A134,'Eurostat EB TJ GWh'!$A$2:$A$146,0),MATCH(AW$3,'Eurostat EB TJ GWh'!$A$2:$BV$2,0))</f>
        <v>0</v>
      </c>
      <c r="AX134" s="57">
        <f>INDEX('Eurostat EB TJ GWh'!$A$2:$BV$146,MATCH($A134,'Eurostat EB TJ GWh'!$A$2:$A$146,0),MATCH(AX$3,'Eurostat EB TJ GWh'!$A$2:$BV$2,0))</f>
        <v>0</v>
      </c>
      <c r="AY134" s="72">
        <v>0</v>
      </c>
      <c r="AZ134" s="57">
        <f>INDEX('Eurostat EB TJ GWh'!$A$2:$BV$146,MATCH($A134,'Eurostat EB TJ GWh'!$A$2:$A$146,0),MATCH(AZ$3,'Eurostat EB TJ GWh'!$A$2:$BV$2,0))</f>
        <v>0</v>
      </c>
      <c r="BA134" s="72">
        <v>0</v>
      </c>
      <c r="BB134" s="72">
        <v>0</v>
      </c>
      <c r="BC134" s="57">
        <f>INDEX('Eurostat EB TJ GWh'!$A$2:$BV$146,MATCH($A134,'Eurostat EB TJ GWh'!$A$2:$A$146,0),MATCH(BC$3,'Eurostat EB TJ GWh'!$A$2:$BV$2,0))</f>
        <v>0</v>
      </c>
      <c r="BD134" s="57">
        <f>INDEX('Eurostat EB TJ GWh'!$A$2:$BV$146,MATCH($A134,'Eurostat EB TJ GWh'!$A$2:$A$146,0),MATCH(BD$3,'Eurostat EB TJ GWh'!$A$2:$BV$2,0))</f>
        <v>0</v>
      </c>
      <c r="BE134" s="57">
        <f>INDEX('Eurostat EB TJ GWh'!$A$2:$BV$146,MATCH($A134,'Eurostat EB TJ GWh'!$A$2:$A$146,0),MATCH(BE$3,'Eurostat EB TJ GWh'!$A$2:$BV$2,0))</f>
        <v>0</v>
      </c>
      <c r="BF134" s="57">
        <f>INDEX('Eurostat EB TJ GWh'!$A$2:$BV$146,MATCH($A134,'Eurostat EB TJ GWh'!$A$2:$A$146,0),MATCH(BF$3,'Eurostat EB TJ GWh'!$A$2:$BV$2,0))</f>
        <v>0</v>
      </c>
      <c r="BG134" s="57">
        <f>INDEX('Eurostat EB TJ GWh'!$A$2:$BV$146,MATCH($A134,'Eurostat EB TJ GWh'!$A$2:$A$146,0),MATCH(BG$3,'Eurostat EB TJ GWh'!$A$2:$BV$2,0))</f>
        <v>0</v>
      </c>
      <c r="BH134" s="57">
        <f>INDEX('Eurostat EB TJ GWh'!$A$2:$BV$146,MATCH($A134,'Eurostat EB TJ GWh'!$A$2:$A$146,0),MATCH(BH$3,'Eurostat EB TJ GWh'!$A$2:$BV$2,0))</f>
        <v>0</v>
      </c>
      <c r="BI134" s="57">
        <f>INDEX('Eurostat EB TJ GWh'!$A$2:$BV$146,MATCH($A134,'Eurostat EB TJ GWh'!$A$2:$A$146,0),MATCH(BI$3,'Eurostat EB TJ GWh'!$A$2:$BV$2,0))</f>
        <v>0</v>
      </c>
      <c r="BJ134" s="72">
        <v>0</v>
      </c>
      <c r="BK134" s="57">
        <f>INDEX('Eurostat EB TJ GWh'!$A$2:$BV$146,MATCH($A134,'Eurostat EB TJ GWh'!$A$2:$A$146,0),MATCH(BK$3,'Eurostat EB TJ GWh'!$A$2:$BV$2,0))</f>
        <v>0</v>
      </c>
      <c r="BL134" s="57">
        <f>INDEX('Eurostat EB TJ GWh'!$A$2:$BV$146,MATCH($A134,'Eurostat EB TJ GWh'!$A$2:$A$146,0),MATCH(BL$3,'Eurostat EB TJ GWh'!$A$2:$BV$2,0))</f>
        <v>0</v>
      </c>
      <c r="BM134" s="57">
        <f>INDEX('Eurostat EB TJ GWh'!$A$2:$BV$146,MATCH($A134,'Eurostat EB TJ GWh'!$A$2:$A$146,0),MATCH(BM$3,'Eurostat EB TJ GWh'!$A$2:$BV$2,0))</f>
        <v>33365.031999999999</v>
      </c>
      <c r="BN134" s="57">
        <f>INDEX('Eurostat EB TJ GWh'!$A$2:$BV$146,MATCH($A134,'Eurostat EB TJ GWh'!$A$2:$A$146,0),MATCH(BN$3,'Eurostat EB TJ GWh'!$A$2:$BV$2,0))</f>
        <v>10994.272999999999</v>
      </c>
    </row>
    <row r="135" spans="1:66" x14ac:dyDescent="0.2">
      <c r="A135" s="56" t="s">
        <v>321</v>
      </c>
      <c r="B135" s="65" t="s">
        <v>323</v>
      </c>
      <c r="C135" s="65" t="s">
        <v>323</v>
      </c>
      <c r="D135" s="17">
        <f>INDEX('Eurostat EB TJ GWh'!$A$2:$BV$146,MATCH($A135,'Eurostat EB TJ GWh'!$A$2:$A$146,0),MATCH(D$3,'Eurostat EB TJ GWh'!$A$2:$BV$2,0))</f>
        <v>0</v>
      </c>
      <c r="E135" s="17">
        <f>INDEX('Eurostat EB TJ GWh'!$A$2:$BV$146,MATCH($A135,'Eurostat EB TJ GWh'!$A$2:$A$146,0),MATCH(E$3,'Eurostat EB TJ GWh'!$A$2:$BV$2,0))</f>
        <v>0</v>
      </c>
      <c r="F135" s="17">
        <f>INDEX('Eurostat EB TJ GWh'!$A$2:$BV$146,MATCH($A135,'Eurostat EB TJ GWh'!$A$2:$A$146,0),MATCH(F$3,'Eurostat EB TJ GWh'!$A$2:$BV$2,0))</f>
        <v>0</v>
      </c>
      <c r="G135" s="17">
        <f>INDEX('Eurostat EB TJ GWh'!$A$2:$BV$146,MATCH($A135,'Eurostat EB TJ GWh'!$A$2:$A$146,0),MATCH(G$3,'Eurostat EB TJ GWh'!$A$2:$BV$2,0))</f>
        <v>0</v>
      </c>
      <c r="H135" s="17">
        <f>INDEX('Eurostat EB TJ GWh'!$A$2:$BV$146,MATCH($A135,'Eurostat EB TJ GWh'!$A$2:$A$146,0),MATCH(H$3,'Eurostat EB TJ GWh'!$A$2:$BV$2,0))</f>
        <v>0</v>
      </c>
      <c r="I135" s="17">
        <f>INDEX('Eurostat EB TJ GWh'!$A$2:$BV$146,MATCH($A135,'Eurostat EB TJ GWh'!$A$2:$A$146,0),MATCH(I$3,'Eurostat EB TJ GWh'!$A$2:$BV$2,0))</f>
        <v>0</v>
      </c>
      <c r="J135" s="17">
        <f>INDEX('Eurostat EB TJ GWh'!$A$2:$BV$146,MATCH($A135,'Eurostat EB TJ GWh'!$A$2:$A$146,0),MATCH(J$3,'Eurostat EB TJ GWh'!$A$2:$BV$2,0))</f>
        <v>0</v>
      </c>
      <c r="K135" s="17">
        <f>INDEX('Eurostat EB TJ GWh'!$A$2:$BV$146,MATCH($A135,'Eurostat EB TJ GWh'!$A$2:$A$146,0),MATCH(K$3,'Eurostat EB TJ GWh'!$A$2:$BV$2,0))</f>
        <v>0</v>
      </c>
      <c r="L135" s="17">
        <f>INDEX('Eurostat EB TJ GWh'!$A$2:$BV$146,MATCH($A135,'Eurostat EB TJ GWh'!$A$2:$A$146,0),MATCH(L$3,'Eurostat EB TJ GWh'!$A$2:$BV$2,0))</f>
        <v>0</v>
      </c>
      <c r="M135" s="17">
        <f>INDEX('Eurostat EB TJ GWh'!$A$2:$BV$146,MATCH($A135,'Eurostat EB TJ GWh'!$A$2:$A$146,0),MATCH(M$3,'Eurostat EB TJ GWh'!$A$2:$BV$2,0))</f>
        <v>0</v>
      </c>
      <c r="N135" s="17">
        <f>INDEX('Eurostat EB TJ GWh'!$A$2:$BV$146,MATCH($A135,'Eurostat EB TJ GWh'!$A$2:$A$146,0),MATCH(N$3,'Eurostat EB TJ GWh'!$A$2:$BV$2,0))</f>
        <v>0</v>
      </c>
      <c r="O135" s="17">
        <f>INDEX('Eurostat EB TJ GWh'!$A$2:$BV$146,MATCH($A135,'Eurostat EB TJ GWh'!$A$2:$A$146,0),MATCH(O$3,'Eurostat EB TJ GWh'!$A$2:$BV$2,0))</f>
        <v>0</v>
      </c>
      <c r="P135" s="17">
        <f>INDEX('Eurostat EB TJ GWh'!$A$2:$BV$146,MATCH($A135,'Eurostat EB TJ GWh'!$A$2:$A$146,0),MATCH(P$3,'Eurostat EB TJ GWh'!$A$2:$BV$2,0))</f>
        <v>0</v>
      </c>
      <c r="Q135" s="17">
        <f>INDEX('Eurostat EB TJ GWh'!$A$2:$BV$146,MATCH($A135,'Eurostat EB TJ GWh'!$A$2:$A$146,0),MATCH(Q$3,'Eurostat EB TJ GWh'!$A$2:$BV$2,0))</f>
        <v>0</v>
      </c>
      <c r="R135" s="17">
        <f>INDEX('Eurostat EB TJ GWh'!$A$2:$BV$146,MATCH($A135,'Eurostat EB TJ GWh'!$A$2:$A$146,0),MATCH(R$2,'Eurostat EB TJ GWh'!$A$2:$BV$2,0))+INDEX('Eurostat EB TJ GWh'!$A$2:$BV$146,MATCH($A135,'Eurostat EB TJ GWh'!$A$2:$A$146,0),MATCH(R$3,'Eurostat EB TJ GWh'!$A$2:$BV$2,0))</f>
        <v>0</v>
      </c>
      <c r="S135" s="17">
        <f>INDEX('Eurostat EB TJ GWh'!$A$2:$BV$146,MATCH($A135,'Eurostat EB TJ GWh'!$A$2:$A$146,0),MATCH(S$3,'Eurostat EB TJ GWh'!$A$2:$BV$2,0))</f>
        <v>1734.116</v>
      </c>
      <c r="T135" s="65" t="s">
        <v>323</v>
      </c>
      <c r="U135" s="17">
        <f>INDEX('Eurostat EB TJ GWh'!$A$2:$BV$146,MATCH($A135,'Eurostat EB TJ GWh'!$A$2:$A$146,0),MATCH(U$3,'Eurostat EB TJ GWh'!$A$2:$BV$2,0))</f>
        <v>0</v>
      </c>
      <c r="V135" s="17">
        <f>INDEX('Eurostat EB TJ GWh'!$A$2:$BV$146,MATCH($A135,'Eurostat EB TJ GWh'!$A$2:$A$146,0),MATCH(V$3,'Eurostat EB TJ GWh'!$A$2:$BV$2,0))</f>
        <v>0</v>
      </c>
      <c r="W135" s="17">
        <f>INDEX('Eurostat EB TJ GWh'!$A$2:$BV$146,MATCH($A135,'Eurostat EB TJ GWh'!$A$2:$A$146,0),MATCH(W$3,'Eurostat EB TJ GWh'!$A$2:$BV$2,0))</f>
        <v>0</v>
      </c>
      <c r="X135" s="17">
        <f>INDEX('Eurostat EB TJ GWh'!$A$2:$BV$146,MATCH($A135,'Eurostat EB TJ GWh'!$A$2:$A$146,0),MATCH(X$3,'Eurostat EB TJ GWh'!$A$2:$BV$2,0))</f>
        <v>0</v>
      </c>
      <c r="Y135" s="17">
        <f>INDEX('Eurostat EB TJ GWh'!$A$2:$BV$146,MATCH($A135,'Eurostat EB TJ GWh'!$A$2:$A$146,0),MATCH(Y$3,'Eurostat EB TJ GWh'!$A$2:$BV$2,0))</f>
        <v>0</v>
      </c>
      <c r="Z135" s="17">
        <f>INDEX('Eurostat EB TJ GWh'!$A$2:$BV$146,MATCH($A135,'Eurostat EB TJ GWh'!$A$2:$A$146,0),MATCH(Z$3,'Eurostat EB TJ GWh'!$A$2:$BV$2,0))</f>
        <v>683.08100000000002</v>
      </c>
      <c r="AA135" s="17">
        <f>INDEX('Eurostat EB TJ GWh'!$A$2:$BV$146,MATCH($A135,'Eurostat EB TJ GWh'!$A$2:$A$146,0),MATCH(AA$3,'Eurostat EB TJ GWh'!$A$2:$BV$2,0))</f>
        <v>0</v>
      </c>
      <c r="AB135" s="17">
        <f>INDEX('Eurostat EB TJ GWh'!$A$2:$BV$146,MATCH($A135,'Eurostat EB TJ GWh'!$A$2:$A$146,0),MATCH(AB$3,'Eurostat EB TJ GWh'!$A$2:$BV$2,0))</f>
        <v>0</v>
      </c>
      <c r="AC135" s="17">
        <f>INDEX('Eurostat EB TJ GWh'!$A$2:$BV$146,MATCH($A135,'Eurostat EB TJ GWh'!$A$2:$A$146,0),MATCH(AC$3,'Eurostat EB TJ GWh'!$A$2:$BV$2,0))</f>
        <v>0</v>
      </c>
      <c r="AD135" s="17">
        <f>INDEX('Eurostat EB TJ GWh'!$A$2:$BV$146,MATCH($A135,'Eurostat EB TJ GWh'!$A$2:$A$146,0),MATCH(AD$3,'Eurostat EB TJ GWh'!$A$2:$BV$2,0))</f>
        <v>0</v>
      </c>
      <c r="AE135" s="17">
        <f>INDEX('Eurostat EB TJ GWh'!$A$2:$BV$146,MATCH($A135,'Eurostat EB TJ GWh'!$A$2:$A$146,0),MATCH(AE$3,'Eurostat EB TJ GWh'!$A$2:$BV$2,0))</f>
        <v>0</v>
      </c>
      <c r="AF135" s="17">
        <f>INDEX('Eurostat EB TJ GWh'!$A$2:$BV$146,MATCH($A135,'Eurostat EB TJ GWh'!$A$2:$A$146,0),MATCH(AF$3,'Eurostat EB TJ GWh'!$A$2:$BV$2,0))</f>
        <v>0</v>
      </c>
      <c r="AG135" s="17">
        <f>INDEX('Eurostat EB TJ GWh'!$A$2:$BV$146,MATCH($A135,'Eurostat EB TJ GWh'!$A$2:$A$146,0),MATCH(AG$3,'Eurostat EB TJ GWh'!$A$2:$BV$2,0))</f>
        <v>0</v>
      </c>
      <c r="AH135" s="17">
        <f>INDEX('Eurostat EB TJ GWh'!$A$2:$BV$146,MATCH($A135,'Eurostat EB TJ GWh'!$A$2:$A$146,0),MATCH(AH$3,'Eurostat EB TJ GWh'!$A$2:$BV$2,0))</f>
        <v>0</v>
      </c>
      <c r="AI135" s="17">
        <f>INDEX('Eurostat EB TJ GWh'!$A$2:$BV$146,MATCH($A135,'Eurostat EB TJ GWh'!$A$2:$A$146,0),MATCH(AI$3,'Eurostat EB TJ GWh'!$A$2:$BV$2,0))</f>
        <v>0</v>
      </c>
      <c r="AJ135" s="17">
        <f>INDEX('Eurostat EB TJ GWh'!$A$2:$BV$146,MATCH($A135,'Eurostat EB TJ GWh'!$A$2:$A$146,0),MATCH(AJ$3,'Eurostat EB TJ GWh'!$A$2:$BV$2,0))</f>
        <v>0</v>
      </c>
      <c r="AK135" s="17">
        <f>INDEX('Eurostat EB TJ GWh'!$A$2:$BV$146,MATCH($A135,'Eurostat EB TJ GWh'!$A$2:$A$146,0),MATCH(AK$3,'Eurostat EB TJ GWh'!$A$2:$BV$2,0))</f>
        <v>0</v>
      </c>
      <c r="AL135" s="17">
        <f>INDEX('Eurostat EB TJ GWh'!$A$2:$BV$146,MATCH($A135,'Eurostat EB TJ GWh'!$A$2:$A$146,0),MATCH(AL$3,'Eurostat EB TJ GWh'!$A$2:$BV$2,0))</f>
        <v>0</v>
      </c>
      <c r="AM135" s="17">
        <f>INDEX('Eurostat EB TJ GWh'!$A$2:$BV$146,MATCH($A135,'Eurostat EB TJ GWh'!$A$2:$A$146,0),MATCH(AM$3,'Eurostat EB TJ GWh'!$A$2:$BV$2,0))</f>
        <v>0</v>
      </c>
      <c r="AN135" s="17">
        <f>INDEX('Eurostat EB TJ GWh'!$A$2:$BV$146,MATCH($A135,'Eurostat EB TJ GWh'!$A$2:$A$146,0),MATCH(AN$3,'Eurostat EB TJ GWh'!$A$2:$BV$2,0))</f>
        <v>0</v>
      </c>
      <c r="AO135" s="17">
        <f>INDEX('Eurostat EB TJ GWh'!$A$2:$BV$146,MATCH($A135,'Eurostat EB TJ GWh'!$A$2:$A$146,0),MATCH(AO$3,'Eurostat EB TJ GWh'!$A$2:$BV$2,0))</f>
        <v>0</v>
      </c>
      <c r="AP135" s="17">
        <f>INDEX('Eurostat EB TJ GWh'!$A$2:$BV$146,MATCH($A135,'Eurostat EB TJ GWh'!$A$2:$A$146,0),MATCH(AP$3,'Eurostat EB TJ GWh'!$A$2:$BV$2,0))</f>
        <v>0</v>
      </c>
      <c r="AQ135" s="17">
        <f>INDEX('Eurostat EB TJ GWh'!$A$2:$BV$146,MATCH($A135,'Eurostat EB TJ GWh'!$A$2:$A$146,0),MATCH(AQ$3,'Eurostat EB TJ GWh'!$A$2:$BV$2,0))</f>
        <v>479.54199999999997</v>
      </c>
      <c r="AR135" s="17">
        <f>INDEX('Eurostat EB TJ GWh'!$A$2:$BV$146,MATCH($A135,'Eurostat EB TJ GWh'!$A$2:$A$146,0),MATCH(AR$3,'Eurostat EB TJ GWh'!$A$2:$BV$2,0))</f>
        <v>0</v>
      </c>
      <c r="AS135" s="17">
        <f>INDEX('Eurostat EB TJ GWh'!$A$2:$BV$146,MATCH($A135,'Eurostat EB TJ GWh'!$A$2:$A$146,0),MATCH(AS$3,'Eurostat EB TJ GWh'!$A$2:$BV$2,0))</f>
        <v>0</v>
      </c>
      <c r="AT135" s="17">
        <f>INDEX('Eurostat EB TJ GWh'!$A$2:$BV$146,MATCH($A135,'Eurostat EB TJ GWh'!$A$2:$A$146,0),MATCH(AT$3,'Eurostat EB TJ GWh'!$A$2:$BV$2,0))</f>
        <v>3.47</v>
      </c>
      <c r="AU135" s="17">
        <f>INDEX('Eurostat EB TJ GWh'!$A$2:$BV$146,MATCH($A135,'Eurostat EB TJ GWh'!$A$2:$A$146,0),MATCH(AU$3,'Eurostat EB TJ GWh'!$A$2:$BV$2,0))</f>
        <v>0.28299999999999997</v>
      </c>
      <c r="AV135" s="17">
        <f>INDEX('Eurostat EB TJ GWh'!$A$2:$BV$146,MATCH($A135,'Eurostat EB TJ GWh'!$A$2:$A$146,0),MATCH(AV$2,'Eurostat EB TJ GWh'!$A$2:$BV$2,0))+INDEX('Eurostat EB TJ GWh'!$A$2:$BV$146,MATCH($A135,'Eurostat EB TJ GWh'!$A$2:$A$146,0),MATCH(AV$3,'Eurostat EB TJ GWh'!$A$2:$BV$2,0))</f>
        <v>0</v>
      </c>
      <c r="AW135" s="17">
        <f>INDEX('Eurostat EB TJ GWh'!$A$2:$BV$146,MATCH($A135,'Eurostat EB TJ GWh'!$A$2:$A$146,0),MATCH(AW$2,'Eurostat EB TJ GWh'!$A$2:$BV$2,0))+INDEX('Eurostat EB TJ GWh'!$A$2:$BV$146,MATCH($A135,'Eurostat EB TJ GWh'!$A$2:$A$146,0),MATCH(AW$3,'Eurostat EB TJ GWh'!$A$2:$BV$2,0))</f>
        <v>0</v>
      </c>
      <c r="AX135" s="17">
        <f>INDEX('Eurostat EB TJ GWh'!$A$2:$BV$146,MATCH($A135,'Eurostat EB TJ GWh'!$A$2:$A$146,0),MATCH(AX$3,'Eurostat EB TJ GWh'!$A$2:$BV$2,0))</f>
        <v>0</v>
      </c>
      <c r="AY135" s="65">
        <v>0</v>
      </c>
      <c r="AZ135" s="17">
        <f>INDEX('Eurostat EB TJ GWh'!$A$2:$BV$146,MATCH($A135,'Eurostat EB TJ GWh'!$A$2:$A$146,0),MATCH(AZ$3,'Eurostat EB TJ GWh'!$A$2:$BV$2,0))</f>
        <v>0</v>
      </c>
      <c r="BA135" s="65">
        <v>0</v>
      </c>
      <c r="BB135" s="65">
        <v>0</v>
      </c>
      <c r="BC135" s="17">
        <f>INDEX('Eurostat EB TJ GWh'!$A$2:$BV$146,MATCH($A135,'Eurostat EB TJ GWh'!$A$2:$A$146,0),MATCH(BC$3,'Eurostat EB TJ GWh'!$A$2:$BV$2,0))</f>
        <v>0</v>
      </c>
      <c r="BD135" s="17">
        <f>INDEX('Eurostat EB TJ GWh'!$A$2:$BV$146,MATCH($A135,'Eurostat EB TJ GWh'!$A$2:$A$146,0),MATCH(BD$3,'Eurostat EB TJ GWh'!$A$2:$BV$2,0))</f>
        <v>0</v>
      </c>
      <c r="BE135" s="17">
        <f>INDEX('Eurostat EB TJ GWh'!$A$2:$BV$146,MATCH($A135,'Eurostat EB TJ GWh'!$A$2:$A$146,0),MATCH(BE$3,'Eurostat EB TJ GWh'!$A$2:$BV$2,0))</f>
        <v>0</v>
      </c>
      <c r="BF135" s="17">
        <f>INDEX('Eurostat EB TJ GWh'!$A$2:$BV$146,MATCH($A135,'Eurostat EB TJ GWh'!$A$2:$A$146,0),MATCH(BF$3,'Eurostat EB TJ GWh'!$A$2:$BV$2,0))</f>
        <v>0</v>
      </c>
      <c r="BG135" s="17">
        <f>INDEX('Eurostat EB TJ GWh'!$A$2:$BV$146,MATCH($A135,'Eurostat EB TJ GWh'!$A$2:$A$146,0),MATCH(BG$3,'Eurostat EB TJ GWh'!$A$2:$BV$2,0))</f>
        <v>0</v>
      </c>
      <c r="BH135" s="17">
        <f>INDEX('Eurostat EB TJ GWh'!$A$2:$BV$146,MATCH($A135,'Eurostat EB TJ GWh'!$A$2:$A$146,0),MATCH(BH$3,'Eurostat EB TJ GWh'!$A$2:$BV$2,0))</f>
        <v>0</v>
      </c>
      <c r="BI135" s="17">
        <f>INDEX('Eurostat EB TJ GWh'!$A$2:$BV$146,MATCH($A135,'Eurostat EB TJ GWh'!$A$2:$A$146,0),MATCH(BI$3,'Eurostat EB TJ GWh'!$A$2:$BV$2,0))</f>
        <v>0</v>
      </c>
      <c r="BJ135" s="65">
        <v>0</v>
      </c>
      <c r="BK135" s="17">
        <f>INDEX('Eurostat EB TJ GWh'!$A$2:$BV$146,MATCH($A135,'Eurostat EB TJ GWh'!$A$2:$A$146,0),MATCH(BK$3,'Eurostat EB TJ GWh'!$A$2:$BV$2,0))</f>
        <v>0</v>
      </c>
      <c r="BL135" s="17">
        <f>INDEX('Eurostat EB TJ GWh'!$A$2:$BV$146,MATCH($A135,'Eurostat EB TJ GWh'!$A$2:$A$146,0),MATCH(BL$3,'Eurostat EB TJ GWh'!$A$2:$BV$2,0))</f>
        <v>0</v>
      </c>
      <c r="BM135" s="17">
        <f>INDEX('Eurostat EB TJ GWh'!$A$2:$BV$146,MATCH($A135,'Eurostat EB TJ GWh'!$A$2:$A$146,0),MATCH(BM$3,'Eurostat EB TJ GWh'!$A$2:$BV$2,0))</f>
        <v>10931.602999999999</v>
      </c>
      <c r="BN135" s="17">
        <f>INDEX('Eurostat EB TJ GWh'!$A$2:$BV$146,MATCH($A135,'Eurostat EB TJ GWh'!$A$2:$A$146,0),MATCH(BN$3,'Eurostat EB TJ GWh'!$A$2:$BV$2,0))</f>
        <v>21.515000000000001</v>
      </c>
    </row>
    <row r="136" spans="1:66" x14ac:dyDescent="0.2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</row>
    <row r="137" spans="1:66" x14ac:dyDescent="0.2">
      <c r="A137" s="19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</row>
    <row r="138" spans="1:66" x14ac:dyDescent="0.2">
      <c r="A138" s="19"/>
      <c r="B138" s="18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34BF-CA3F-1F40-A1D7-4D30C1935033}">
  <sheetPr>
    <tabColor rgb="FF92CDDC"/>
  </sheetPr>
  <dimension ref="A1:CH103"/>
  <sheetViews>
    <sheetView zoomScaleNormal="100" workbookViewId="0">
      <pane xSplit="1" ySplit="2" topLeftCell="W3" activePane="bottomRight" state="frozen"/>
      <selection pane="topRight" activeCell="B1" sqref="B1"/>
      <selection pane="bottomLeft" activeCell="A6" sqref="A6"/>
      <selection pane="bottomRight" activeCell="X75" sqref="X75"/>
    </sheetView>
  </sheetViews>
  <sheetFormatPr baseColWidth="10" defaultRowHeight="16" x14ac:dyDescent="0.2"/>
  <cols>
    <col min="1" max="1" width="87.33203125" bestFit="1" customWidth="1"/>
    <col min="2" max="21" width="12.83203125" customWidth="1"/>
    <col min="22" max="22" width="19.6640625" bestFit="1" customWidth="1"/>
    <col min="23" max="23" width="21.1640625" bestFit="1" customWidth="1"/>
    <col min="24" max="24" width="9.6640625" bestFit="1" customWidth="1"/>
    <col min="25" max="25" width="10.33203125" bestFit="1" customWidth="1"/>
    <col min="26" max="26" width="19.5" bestFit="1" customWidth="1"/>
    <col min="27" max="27" width="18" bestFit="1" customWidth="1"/>
    <col min="28" max="28" width="6.6640625" bestFit="1" customWidth="1"/>
    <col min="29" max="29" width="10.1640625" bestFit="1" customWidth="1"/>
    <col min="30" max="30" width="13.5" bestFit="1" customWidth="1"/>
    <col min="31" max="32" width="8.5" bestFit="1" customWidth="1"/>
    <col min="33" max="33" width="5" bestFit="1" customWidth="1"/>
    <col min="34" max="34" width="13" bestFit="1" customWidth="1"/>
    <col min="35" max="35" width="12.6640625" bestFit="1" customWidth="1"/>
    <col min="36" max="36" width="15.33203125" bestFit="1" customWidth="1"/>
    <col min="37" max="37" width="19.6640625" bestFit="1" customWidth="1"/>
    <col min="38" max="38" width="5" bestFit="1" customWidth="1"/>
    <col min="39" max="39" width="11" bestFit="1" customWidth="1"/>
    <col min="40" max="40" width="30.83203125" bestFit="1" customWidth="1"/>
    <col min="41" max="41" width="11.5" bestFit="1" customWidth="1"/>
    <col min="42" max="42" width="16.6640625" bestFit="1" customWidth="1"/>
    <col min="43" max="43" width="17.33203125" bestFit="1" customWidth="1"/>
    <col min="44" max="44" width="27.5" bestFit="1" customWidth="1"/>
    <col min="45" max="45" width="17.33203125" bestFit="1" customWidth="1"/>
    <col min="46" max="46" width="11.33203125" bestFit="1" customWidth="1"/>
    <col min="47" max="47" width="6.83203125" bestFit="1" customWidth="1"/>
    <col min="48" max="48" width="28.33203125" bestFit="1" customWidth="1"/>
    <col min="49" max="49" width="25" bestFit="1" customWidth="1"/>
    <col min="50" max="50" width="15.1640625" bestFit="1" customWidth="1"/>
    <col min="51" max="51" width="18.83203125" bestFit="1" customWidth="1"/>
    <col min="52" max="52" width="30.6640625" bestFit="1" customWidth="1"/>
    <col min="53" max="53" width="13.6640625" bestFit="1" customWidth="1"/>
    <col min="54" max="54" width="24" bestFit="1" customWidth="1"/>
    <col min="55" max="56" width="10.1640625" bestFit="1" customWidth="1"/>
    <col min="57" max="57" width="16.5" bestFit="1" customWidth="1"/>
    <col min="58" max="58" width="10.1640625" bestFit="1" customWidth="1"/>
    <col min="59" max="59" width="9.33203125" bestFit="1" customWidth="1"/>
    <col min="60" max="60" width="13.33203125" bestFit="1" customWidth="1"/>
    <col min="61" max="61" width="13.83203125" bestFit="1" customWidth="1"/>
    <col min="62" max="62" width="15.83203125" bestFit="1" customWidth="1"/>
    <col min="63" max="63" width="14.33203125" bestFit="1" customWidth="1"/>
    <col min="64" max="64" width="25.5" bestFit="1" customWidth="1"/>
    <col min="65" max="65" width="29.33203125" bestFit="1" customWidth="1"/>
    <col min="66" max="66" width="19" bestFit="1" customWidth="1"/>
    <col min="67" max="67" width="9.33203125" bestFit="1" customWidth="1"/>
    <col min="68" max="68" width="10.6640625" bestFit="1" customWidth="1"/>
    <col min="69" max="69" width="9.5" bestFit="1" customWidth="1"/>
    <col min="70" max="70" width="18" bestFit="1" customWidth="1"/>
    <col min="71" max="71" width="20.33203125" customWidth="1"/>
    <col min="72" max="72" width="8.1640625" bestFit="1" customWidth="1"/>
    <col min="73" max="73" width="18.83203125" customWidth="1"/>
    <col min="74" max="74" width="22.6640625" customWidth="1"/>
    <col min="75" max="75" width="9.33203125" bestFit="1" customWidth="1"/>
    <col min="76" max="76" width="7.1640625" bestFit="1" customWidth="1"/>
    <col min="77" max="77" width="11" bestFit="1" customWidth="1"/>
    <col min="78" max="78" width="16.83203125" bestFit="1" customWidth="1"/>
    <col min="79" max="79" width="12.33203125" bestFit="1" customWidth="1"/>
    <col min="80" max="80" width="19" bestFit="1" customWidth="1"/>
    <col min="81" max="81" width="10.1640625" bestFit="1" customWidth="1"/>
    <col min="82" max="82" width="12.5" bestFit="1" customWidth="1"/>
    <col min="83" max="83" width="9.6640625" bestFit="1" customWidth="1"/>
    <col min="84" max="84" width="9.33203125" bestFit="1" customWidth="1"/>
    <col min="85" max="85" width="11.5" bestFit="1" customWidth="1"/>
    <col min="86" max="86" width="17.6640625" bestFit="1" customWidth="1"/>
  </cols>
  <sheetData>
    <row r="1" spans="1:86" x14ac:dyDescent="0.2">
      <c r="A1" s="73" t="s">
        <v>395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73" t="s">
        <v>119</v>
      </c>
      <c r="W1" s="73" t="s">
        <v>120</v>
      </c>
      <c r="X1" s="73" t="s">
        <v>3</v>
      </c>
      <c r="Y1" s="73" t="s">
        <v>4</v>
      </c>
      <c r="Z1" s="73" t="s">
        <v>5</v>
      </c>
      <c r="AA1" s="73" t="s">
        <v>6</v>
      </c>
      <c r="AB1" s="73" t="s">
        <v>7</v>
      </c>
      <c r="AC1" s="73" t="s">
        <v>8</v>
      </c>
      <c r="AD1" s="73" t="s">
        <v>9</v>
      </c>
      <c r="AE1" s="73" t="s">
        <v>10</v>
      </c>
      <c r="AF1" s="73" t="s">
        <v>11</v>
      </c>
      <c r="AG1" s="73" t="s">
        <v>121</v>
      </c>
      <c r="AH1" s="73" t="s">
        <v>14</v>
      </c>
      <c r="AI1" s="73" t="s">
        <v>15</v>
      </c>
      <c r="AJ1" s="73" t="s">
        <v>16</v>
      </c>
      <c r="AK1" s="73" t="s">
        <v>17</v>
      </c>
      <c r="AL1" s="73" t="s">
        <v>19</v>
      </c>
      <c r="AM1" s="73" t="s">
        <v>45</v>
      </c>
      <c r="AN1" s="73" t="s">
        <v>122</v>
      </c>
      <c r="AO1" s="73" t="s">
        <v>23</v>
      </c>
      <c r="AP1" s="73" t="s">
        <v>24</v>
      </c>
      <c r="AQ1" s="73" t="s">
        <v>25</v>
      </c>
      <c r="AR1" s="73" t="s">
        <v>123</v>
      </c>
      <c r="AS1" s="73" t="s">
        <v>27</v>
      </c>
      <c r="AT1" s="73" t="s">
        <v>28</v>
      </c>
      <c r="AU1" s="73" t="s">
        <v>29</v>
      </c>
      <c r="AV1" s="73" t="s">
        <v>124</v>
      </c>
      <c r="AW1" s="73" t="s">
        <v>125</v>
      </c>
      <c r="AX1" s="73" t="s">
        <v>32</v>
      </c>
      <c r="AY1" s="73" t="s">
        <v>126</v>
      </c>
      <c r="AZ1" s="73" t="s">
        <v>127</v>
      </c>
      <c r="BA1" s="73" t="s">
        <v>35</v>
      </c>
      <c r="BB1" s="73" t="s">
        <v>128</v>
      </c>
      <c r="BC1" s="73" t="s">
        <v>38</v>
      </c>
      <c r="BD1" s="73" t="s">
        <v>36</v>
      </c>
      <c r="BE1" s="73" t="s">
        <v>129</v>
      </c>
      <c r="BF1" s="73" t="s">
        <v>40</v>
      </c>
      <c r="BG1" s="73" t="s">
        <v>41</v>
      </c>
      <c r="BH1" s="73" t="s">
        <v>43</v>
      </c>
      <c r="BI1" s="73" t="s">
        <v>42</v>
      </c>
      <c r="BJ1" s="73" t="s">
        <v>44</v>
      </c>
      <c r="BK1" s="73" t="s">
        <v>130</v>
      </c>
      <c r="BL1" s="73" t="s">
        <v>131</v>
      </c>
      <c r="BM1" s="73" t="s">
        <v>132</v>
      </c>
      <c r="BN1" s="73" t="s">
        <v>53</v>
      </c>
      <c r="BO1" s="73" t="s">
        <v>55</v>
      </c>
      <c r="BP1" s="73" t="s">
        <v>133</v>
      </c>
      <c r="BQ1" s="73" t="s">
        <v>134</v>
      </c>
      <c r="BR1" s="73" t="s">
        <v>63</v>
      </c>
      <c r="BS1" s="73" t="s">
        <v>135</v>
      </c>
      <c r="BT1" s="73" t="s">
        <v>54</v>
      </c>
      <c r="BU1" s="73" t="s">
        <v>136</v>
      </c>
      <c r="BV1" s="73" t="s">
        <v>137</v>
      </c>
      <c r="BW1" s="73" t="s">
        <v>138</v>
      </c>
      <c r="BX1" s="73" t="s">
        <v>47</v>
      </c>
      <c r="BY1" s="73" t="s">
        <v>52</v>
      </c>
      <c r="BZ1" s="73" t="s">
        <v>139</v>
      </c>
      <c r="CA1" s="73" t="s">
        <v>51</v>
      </c>
      <c r="CB1" s="73" t="s">
        <v>140</v>
      </c>
      <c r="CC1" s="73" t="s">
        <v>49</v>
      </c>
      <c r="CD1" s="73" t="s">
        <v>94</v>
      </c>
      <c r="CE1" s="73" t="s">
        <v>70</v>
      </c>
      <c r="CF1" s="73" t="s">
        <v>69</v>
      </c>
      <c r="CG1" s="73" t="s">
        <v>1</v>
      </c>
      <c r="CH1" s="73" t="s">
        <v>141</v>
      </c>
    </row>
    <row r="2" spans="1:86" x14ac:dyDescent="0.2">
      <c r="A2" s="21" t="s">
        <v>400</v>
      </c>
      <c r="B2" t="s">
        <v>403</v>
      </c>
      <c r="C2" t="s">
        <v>404</v>
      </c>
      <c r="D2" t="s">
        <v>405</v>
      </c>
      <c r="E2" t="s">
        <v>406</v>
      </c>
      <c r="F2" t="s">
        <v>407</v>
      </c>
      <c r="G2" t="s">
        <v>408</v>
      </c>
      <c r="H2" t="s">
        <v>409</v>
      </c>
      <c r="I2" t="s">
        <v>410</v>
      </c>
      <c r="J2" t="s">
        <v>411</v>
      </c>
      <c r="K2" t="s">
        <v>412</v>
      </c>
      <c r="L2" t="s">
        <v>402</v>
      </c>
      <c r="M2" t="s">
        <v>413</v>
      </c>
      <c r="N2" t="s">
        <v>414</v>
      </c>
      <c r="O2" t="s">
        <v>415</v>
      </c>
      <c r="P2" t="s">
        <v>416</v>
      </c>
      <c r="Q2" t="s">
        <v>417</v>
      </c>
      <c r="R2" t="s">
        <v>418</v>
      </c>
      <c r="S2" t="s">
        <v>419</v>
      </c>
      <c r="T2" t="s">
        <v>420</v>
      </c>
      <c r="U2" t="s">
        <v>421</v>
      </c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</row>
    <row r="3" spans="1:86" x14ac:dyDescent="0.2">
      <c r="A3" t="s">
        <v>143</v>
      </c>
      <c r="B3" s="75"/>
      <c r="C3" s="77"/>
      <c r="D3" s="75"/>
      <c r="E3" s="77"/>
      <c r="F3" s="75"/>
      <c r="G3" s="77"/>
      <c r="H3" s="75"/>
      <c r="I3" s="77"/>
      <c r="J3" s="74"/>
      <c r="K3" s="78" t="s">
        <v>73</v>
      </c>
      <c r="L3" s="76"/>
      <c r="M3" s="79"/>
      <c r="N3" s="76"/>
      <c r="O3" s="79"/>
      <c r="P3" s="76"/>
      <c r="Q3" s="79"/>
      <c r="R3" s="76"/>
      <c r="S3" s="79"/>
      <c r="T3" s="76"/>
      <c r="U3" s="79">
        <v>1</v>
      </c>
      <c r="V3" s="65" t="s">
        <v>323</v>
      </c>
      <c r="W3" s="65" t="s">
        <v>323</v>
      </c>
      <c r="X3" s="57" cm="1">
        <f t="array" ref="X3">SUMPRODUCT(
  IF($B3:$K3&lt;&gt;"",
     INDEX('Eurostat EB products IEA'!$A$4:$BN$135,
           MATCH($B3:$K3, 'Eurostat EB products IEA'!$A$4:$A$135, 0),
           MATCH(X$1, 'Eurostat EB products IEA'!$A$4:$BN$4, 0)
     )
     * $L3:$U3,
     0
  )
)</f>
        <v>0</v>
      </c>
      <c r="Y3" s="57" cm="1">
        <f t="array" ref="Y3">SUMPRODUCT(
  IF($B3:$K3&lt;&gt;"",
     INDEX('Eurostat EB products IEA'!$A$4:$BN$135,
           MATCH($B3:$K3, 'Eurostat EB products IEA'!$A$4:$A$135, 0),
           MATCH(Y$1, 'Eurostat EB products IEA'!$A$4:$BN$4, 0)
     )
     * $L3:$U3,
     0
  )
)</f>
        <v>0</v>
      </c>
      <c r="Z3" s="57" cm="1">
        <f t="array" ref="Z3">SUMPRODUCT(
  IF($B3:$K3&lt;&gt;"",
     INDEX('Eurostat EB products IEA'!$A$4:$BN$135,
           MATCH($B3:$K3, 'Eurostat EB products IEA'!$A$4:$A$135, 0),
           MATCH(Z$1, 'Eurostat EB products IEA'!$A$4:$BN$4, 0)
     )
     * $L3:$U3,
     0
  )
)</f>
        <v>0</v>
      </c>
      <c r="AA3" s="57" cm="1">
        <f t="array" ref="AA3">SUMPRODUCT(
  IF($B3:$K3&lt;&gt;"",
     INDEX('Eurostat EB products IEA'!$A$4:$BN$135,
           MATCH($B3:$K3, 'Eurostat EB products IEA'!$A$4:$A$135, 0),
           MATCH(AA$1, 'Eurostat EB products IEA'!$A$4:$BN$4, 0)
     )
     * $L3:$U3,
     0
  )
)</f>
        <v>0</v>
      </c>
      <c r="AB3" s="57" cm="1">
        <f t="array" ref="AB3">SUMPRODUCT(
  IF($B3:$K3&lt;&gt;"",
     INDEX('Eurostat EB products IEA'!$A$4:$BN$135,
           MATCH($B3:$K3, 'Eurostat EB products IEA'!$A$4:$A$135, 0),
           MATCH(AB$1, 'Eurostat EB products IEA'!$A$4:$BN$4, 0)
     )
     * $L3:$U3,
     0
  )
)</f>
        <v>0</v>
      </c>
      <c r="AC3" s="57" cm="1">
        <f t="array" ref="AC3">SUMPRODUCT(
  IF($B3:$K3&lt;&gt;"",
     INDEX('Eurostat EB products IEA'!$A$4:$BN$135,
           MATCH($B3:$K3, 'Eurostat EB products IEA'!$A$4:$A$135, 0),
           MATCH(AC$1, 'Eurostat EB products IEA'!$A$4:$BN$4, 0)
     )
     * $L3:$U3,
     0
  )
)</f>
        <v>0</v>
      </c>
      <c r="AD3" s="57" cm="1">
        <f t="array" ref="AD3">SUMPRODUCT(
  IF($B3:$K3&lt;&gt;"",
     INDEX('Eurostat EB products IEA'!$A$4:$BN$135,
           MATCH($B3:$K3, 'Eurostat EB products IEA'!$A$4:$A$135, 0),
           MATCH(AD$1, 'Eurostat EB products IEA'!$A$4:$BN$4, 0)
     )
     * $L3:$U3,
     0
  )
)</f>
        <v>0</v>
      </c>
      <c r="AE3" s="57" cm="1">
        <f t="array" ref="AE3">SUMPRODUCT(
  IF($B3:$K3&lt;&gt;"",
     INDEX('Eurostat EB products IEA'!$A$4:$BN$135,
           MATCH($B3:$K3, 'Eurostat EB products IEA'!$A$4:$A$135, 0),
           MATCH(AE$1, 'Eurostat EB products IEA'!$A$4:$BN$4, 0)
     )
     * $L3:$U3,
     0
  )
)</f>
        <v>0</v>
      </c>
      <c r="AF3" s="57" cm="1">
        <f t="array" ref="AF3">SUMPRODUCT(
  IF($B3:$K3&lt;&gt;"",
     INDEX('Eurostat EB products IEA'!$A$4:$BN$135,
           MATCH($B3:$K3, 'Eurostat EB products IEA'!$A$4:$A$135, 0),
           MATCH(AF$1, 'Eurostat EB products IEA'!$A$4:$BN$4, 0)
     )
     * $L3:$U3,
     0
  )
)</f>
        <v>0</v>
      </c>
      <c r="AG3" s="57" cm="1">
        <f t="array" ref="AG3">SUMPRODUCT(
  IF($B3:$K3&lt;&gt;"",
     INDEX('Eurostat EB products IEA'!$A$4:$BN$135,
           MATCH($B3:$K3, 'Eurostat EB products IEA'!$A$4:$A$135, 0),
           MATCH(AG$1, 'Eurostat EB products IEA'!$A$4:$BN$4, 0)
     )
     * $L3:$U3,
     0
  )
)</f>
        <v>0</v>
      </c>
      <c r="AH3" s="57" cm="1">
        <f t="array" ref="AH3">SUMPRODUCT(
  IF($B3:$K3&lt;&gt;"",
     INDEX('Eurostat EB products IEA'!$A$4:$BN$135,
           MATCH($B3:$K3, 'Eurostat EB products IEA'!$A$4:$A$135, 0),
           MATCH(AH$1, 'Eurostat EB products IEA'!$A$4:$BN$4, 0)
     )
     * $L3:$U3,
     0
  )
)</f>
        <v>0</v>
      </c>
      <c r="AI3" s="57" cm="1">
        <f t="array" ref="AI3">SUMPRODUCT(
  IF($B3:$K3&lt;&gt;"",
     INDEX('Eurostat EB products IEA'!$A$4:$BN$135,
           MATCH($B3:$K3, 'Eurostat EB products IEA'!$A$4:$A$135, 0),
           MATCH(AI$1, 'Eurostat EB products IEA'!$A$4:$BN$4, 0)
     )
     * $L3:$U3,
     0
  )
)</f>
        <v>0</v>
      </c>
      <c r="AJ3" s="57" cm="1">
        <f t="array" ref="AJ3">SUMPRODUCT(
  IF($B3:$K3&lt;&gt;"",
     INDEX('Eurostat EB products IEA'!$A$4:$BN$135,
           MATCH($B3:$K3, 'Eurostat EB products IEA'!$A$4:$A$135, 0),
           MATCH(AJ$1, 'Eurostat EB products IEA'!$A$4:$BN$4, 0)
     )
     * $L3:$U3,
     0
  )
)</f>
        <v>0</v>
      </c>
      <c r="AK3" s="57" cm="1">
        <f t="array" ref="AK3">SUMPRODUCT(
  IF($B3:$K3&lt;&gt;"",
     INDEX('Eurostat EB products IEA'!$A$4:$BN$135,
           MATCH($B3:$K3, 'Eurostat EB products IEA'!$A$4:$A$135, 0),
           MATCH(AK$1, 'Eurostat EB products IEA'!$A$4:$BN$4, 0)
     )
     * $L3:$U3,
     0
  )
)</f>
        <v>0</v>
      </c>
      <c r="AL3" s="57" cm="1">
        <f t="array" ref="AL3">SUMPRODUCT(
  IF($B3:$K3&lt;&gt;"",
     INDEX('Eurostat EB products IEA'!$A$4:$BN$135,
           MATCH($B3:$K3, 'Eurostat EB products IEA'!$A$4:$A$135, 0),
           MATCH(AL$1, 'Eurostat EB products IEA'!$A$4:$BN$4, 0)
     )
     * $L3:$U3,
     0
  )
)</f>
        <v>0</v>
      </c>
      <c r="AM3" s="57" cm="1">
        <f t="array" ref="AM3">SUMPRODUCT(
  IF($B3:$K3&lt;&gt;"",
     INDEX('Eurostat EB products IEA'!$A$4:$BN$135,
           MATCH($B3:$K3, 'Eurostat EB products IEA'!$A$4:$A$135, 0),
           MATCH(AM$1, 'Eurostat EB products IEA'!$A$4:$BN$4, 0)
     )
     * $L3:$U3,
     0
  )
)</f>
        <v>354715.59399999998</v>
      </c>
      <c r="AN3" s="65" t="s">
        <v>323</v>
      </c>
      <c r="AO3" s="57" cm="1">
        <f t="array" ref="AO3">SUMPRODUCT(
  IF($B3:$K3&lt;&gt;"",
     INDEX('Eurostat EB products IEA'!$A$4:$BN$135,
           MATCH($B3:$K3, 'Eurostat EB products IEA'!$A$4:$A$135, 0),
           MATCH(AO$1, 'Eurostat EB products IEA'!$A$4:$BN$4, 0)
     )
     * $L3:$U3,
     0
  )
)</f>
        <v>13646.322</v>
      </c>
      <c r="AP3" s="57" cm="1">
        <f t="array" ref="AP3">SUMPRODUCT(
  IF($B3:$K3&lt;&gt;"",
     INDEX('Eurostat EB products IEA'!$A$4:$BN$135,
           MATCH($B3:$K3, 'Eurostat EB products IEA'!$A$4:$A$135, 0),
           MATCH(AP$1, 'Eurostat EB products IEA'!$A$4:$BN$4, 0)
     )
     * $L3:$U3,
     0
  )
)</f>
        <v>3753.5520000000001</v>
      </c>
      <c r="AQ3" s="57" cm="1">
        <f t="array" ref="AQ3">SUMPRODUCT(
  IF($B3:$K3&lt;&gt;"",
     INDEX('Eurostat EB products IEA'!$A$4:$BN$135,
           MATCH($B3:$K3, 'Eurostat EB products IEA'!$A$4:$A$135, 0),
           MATCH(AQ$1, 'Eurostat EB products IEA'!$A$4:$BN$4, 0)
     )
     * $L3:$U3,
     0
  )
)</f>
        <v>0</v>
      </c>
      <c r="AR3" s="57" cm="1">
        <f t="array" ref="AR3">SUMPRODUCT(
  IF($B3:$K3&lt;&gt;"",
     INDEX('Eurostat EB products IEA'!$A$4:$BN$135,
           MATCH($B3:$K3, 'Eurostat EB products IEA'!$A$4:$A$135, 0),
           MATCH(AR$1, 'Eurostat EB products IEA'!$A$4:$BN$4, 0)
     )
     * $L3:$U3,
     0
  )
)</f>
        <v>10744.539000000001</v>
      </c>
      <c r="AS3" s="57" cm="1">
        <f t="array" ref="AS3">SUMPRODUCT(
  IF($B3:$K3&lt;&gt;"",
     INDEX('Eurostat EB products IEA'!$A$4:$BN$135,
           MATCH($B3:$K3, 'Eurostat EB products IEA'!$A$4:$A$135, 0),
           MATCH(AS$1, 'Eurostat EB products IEA'!$A$4:$BN$4, 0)
     )
     * $L3:$U3,
     0
  )
)</f>
        <v>0</v>
      </c>
      <c r="AT3" s="57" cm="1">
        <f t="array" ref="AT3">SUMPRODUCT(
  IF($B3:$K3&lt;&gt;"",
     INDEX('Eurostat EB products IEA'!$A$4:$BN$135,
           MATCH($B3:$K3, 'Eurostat EB products IEA'!$A$4:$A$135, 0),
           MATCH(AT$1, 'Eurostat EB products IEA'!$A$4:$BN$4, 0)
     )
     * $L3:$U3,
     0
  )
)</f>
        <v>0</v>
      </c>
      <c r="AU3" s="57" cm="1">
        <f t="array" ref="AU3">SUMPRODUCT(
  IF($B3:$K3&lt;&gt;"",
     INDEX('Eurostat EB products IEA'!$A$4:$BN$135,
           MATCH($B3:$K3, 'Eurostat EB products IEA'!$A$4:$A$135, 0),
           MATCH(AU$1, 'Eurostat EB products IEA'!$A$4:$BN$4, 0)
     )
     * $L3:$U3,
     0
  )
)</f>
        <v>0</v>
      </c>
      <c r="AV3" s="57" cm="1">
        <f t="array" ref="AV3">SUMPRODUCT(
  IF($B3:$K3&lt;&gt;"",
     INDEX('Eurostat EB products IEA'!$A$4:$BN$135,
           MATCH($B3:$K3, 'Eurostat EB products IEA'!$A$4:$A$135, 0),
           MATCH(AV$1, 'Eurostat EB products IEA'!$A$4:$BN$4, 0)
     )
     * $L3:$U3,
     0
  )
)</f>
        <v>0</v>
      </c>
      <c r="AW3" s="57" cm="1">
        <f t="array" ref="AW3">SUMPRODUCT(
  IF($B3:$K3&lt;&gt;"",
     INDEX('Eurostat EB products IEA'!$A$4:$BN$135,
           MATCH($B3:$K3, 'Eurostat EB products IEA'!$A$4:$A$135, 0),
           MATCH(AW$1, 'Eurostat EB products IEA'!$A$4:$BN$4, 0)
     )
     * $L3:$U3,
     0
  )
)</f>
        <v>0</v>
      </c>
      <c r="AX3" s="57" cm="1">
        <f t="array" ref="AX3">SUMPRODUCT(
  IF($B3:$K3&lt;&gt;"",
     INDEX('Eurostat EB products IEA'!$A$4:$BN$135,
           MATCH($B3:$K3, 'Eurostat EB products IEA'!$A$4:$A$135, 0),
           MATCH(AX$1, 'Eurostat EB products IEA'!$A$4:$BN$4, 0)
     )
     * $L3:$U3,
     0
  )
)</f>
        <v>0</v>
      </c>
      <c r="AY3" s="57" cm="1">
        <f t="array" ref="AY3">SUMPRODUCT(
  IF($B3:$K3&lt;&gt;"",
     INDEX('Eurostat EB products IEA'!$A$4:$BN$135,
           MATCH($B3:$K3, 'Eurostat EB products IEA'!$A$4:$A$135, 0),
           MATCH(AY$1, 'Eurostat EB products IEA'!$A$4:$BN$4, 0)
     )
     * $L3:$U3,
     0
  )
)</f>
        <v>0</v>
      </c>
      <c r="AZ3" s="57" cm="1">
        <f t="array" ref="AZ3">SUMPRODUCT(
  IF($B3:$K3&lt;&gt;"",
     INDEX('Eurostat EB products IEA'!$A$4:$BN$135,
           MATCH($B3:$K3, 'Eurostat EB products IEA'!$A$4:$A$135, 0),
           MATCH(AZ$1, 'Eurostat EB products IEA'!$A$4:$BN$4, 0)
     )
     * $L3:$U3,
     0
  )
)</f>
        <v>0</v>
      </c>
      <c r="BA3" s="57" cm="1">
        <f t="array" ref="BA3">SUMPRODUCT(
  IF($B3:$K3&lt;&gt;"",
     INDEX('Eurostat EB products IEA'!$A$4:$BN$135,
           MATCH($B3:$K3, 'Eurostat EB products IEA'!$A$4:$A$135, 0),
           MATCH(BA$1, 'Eurostat EB products IEA'!$A$4:$BN$4, 0)
     )
     * $L3:$U3,
     0
  )
)</f>
        <v>0</v>
      </c>
      <c r="BB3" s="57" cm="1">
        <f t="array" ref="BB3">SUMPRODUCT(
  IF($B3:$K3&lt;&gt;"",
     INDEX('Eurostat EB products IEA'!$A$4:$BN$135,
           MATCH($B3:$K3, 'Eurostat EB products IEA'!$A$4:$A$135, 0),
           MATCH(BB$1, 'Eurostat EB products IEA'!$A$4:$BN$4, 0)
     )
     * $L3:$U3,
     0
  )
)</f>
        <v>0</v>
      </c>
      <c r="BC3" s="57" cm="1">
        <f t="array" ref="BC3">SUMPRODUCT(
  IF($B3:$K3&lt;&gt;"",
     INDEX('Eurostat EB products IEA'!$A$4:$BN$135,
           MATCH($B3:$K3, 'Eurostat EB products IEA'!$A$4:$A$135, 0),
           MATCH(BC$1, 'Eurostat EB products IEA'!$A$4:$BN$4, 0)
     )
     * $L3:$U3,
     0
  )
)</f>
        <v>0</v>
      </c>
      <c r="BD3" s="57" cm="1">
        <f t="array" ref="BD3">SUMPRODUCT(
  IF($B3:$K3&lt;&gt;"",
     INDEX('Eurostat EB products IEA'!$A$4:$BN$135,
           MATCH($B3:$K3, 'Eurostat EB products IEA'!$A$4:$A$135, 0),
           MATCH(BD$1, 'Eurostat EB products IEA'!$A$4:$BN$4, 0)
     )
     * $L3:$U3,
     0
  )
)</f>
        <v>0</v>
      </c>
      <c r="BE3" s="57" cm="1">
        <f t="array" ref="BE3">SUMPRODUCT(
  IF($B3:$K3&lt;&gt;"",
     INDEX('Eurostat EB products IEA'!$A$4:$BN$135,
           MATCH($B3:$K3, 'Eurostat EB products IEA'!$A$4:$A$135, 0),
           MATCH(BE$1, 'Eurostat EB products IEA'!$A$4:$BN$4, 0)
     )
     * $L3:$U3,
     0
  )
)</f>
        <v>0</v>
      </c>
      <c r="BF3" s="57" cm="1">
        <f t="array" ref="BF3">SUMPRODUCT(
  IF($B3:$K3&lt;&gt;"",
     INDEX('Eurostat EB products IEA'!$A$4:$BN$135,
           MATCH($B3:$K3, 'Eurostat EB products IEA'!$A$4:$A$135, 0),
           MATCH(BF$1, 'Eurostat EB products IEA'!$A$4:$BN$4, 0)
     )
     * $L3:$U3,
     0
  )
)</f>
        <v>0</v>
      </c>
      <c r="BG3" s="57" cm="1">
        <f t="array" ref="BG3">SUMPRODUCT(
  IF($B3:$K3&lt;&gt;"",
     INDEX('Eurostat EB products IEA'!$A$4:$BN$135,
           MATCH($B3:$K3, 'Eurostat EB products IEA'!$A$4:$A$135, 0),
           MATCH(BG$1, 'Eurostat EB products IEA'!$A$4:$BN$4, 0)
     )
     * $L3:$U3,
     0
  )
)</f>
        <v>0</v>
      </c>
      <c r="BH3" s="57" cm="1">
        <f t="array" ref="BH3">SUMPRODUCT(
  IF($B3:$K3&lt;&gt;"",
     INDEX('Eurostat EB products IEA'!$A$4:$BN$135,
           MATCH($B3:$K3, 'Eurostat EB products IEA'!$A$4:$A$135, 0),
           MATCH(BH$1, 'Eurostat EB products IEA'!$A$4:$BN$4, 0)
     )
     * $L3:$U3,
     0
  )
)</f>
        <v>0</v>
      </c>
      <c r="BI3" s="57" cm="1">
        <f t="array" ref="BI3">SUMPRODUCT(
  IF($B3:$K3&lt;&gt;"",
     INDEX('Eurostat EB products IEA'!$A$4:$BN$135,
           MATCH($B3:$K3, 'Eurostat EB products IEA'!$A$4:$A$135, 0),
           MATCH(BI$1, 'Eurostat EB products IEA'!$A$4:$BN$4, 0)
     )
     * $L3:$U3,
     0
  )
)</f>
        <v>0</v>
      </c>
      <c r="BJ3" s="57" cm="1">
        <f t="array" ref="BJ3">SUMPRODUCT(
  IF($B3:$K3&lt;&gt;"",
     INDEX('Eurostat EB products IEA'!$A$4:$BN$135,
           MATCH($B3:$K3, 'Eurostat EB products IEA'!$A$4:$A$135, 0),
           MATCH(BJ$1, 'Eurostat EB products IEA'!$A$4:$BN$4, 0)
     )
     * $L3:$U3,
     0
  )
)</f>
        <v>0</v>
      </c>
      <c r="BK3" s="57" cm="1">
        <f t="array" ref="BK3">SUMPRODUCT(
  IF($B3:$K3&lt;&gt;"",
     INDEX('Eurostat EB products IEA'!$A$4:$BN$135,
           MATCH($B3:$K3, 'Eurostat EB products IEA'!$A$4:$A$135, 0),
           MATCH(BK$1, 'Eurostat EB products IEA'!$A$4:$BN$4, 0)
     )
     * $L3:$U3,
     0
  )
)</f>
        <v>1876.845</v>
      </c>
      <c r="BL3" s="57" cm="1">
        <f t="array" ref="BL3">SUMPRODUCT(
  IF($B3:$K3&lt;&gt;"",
     INDEX('Eurostat EB products IEA'!$A$4:$BN$135,
           MATCH($B3:$K3, 'Eurostat EB products IEA'!$A$4:$A$135, 0),
           MATCH(BL$1, 'Eurostat EB products IEA'!$A$4:$BN$4, 0)
     )
     * $L3:$U3,
     0
  )
)</f>
        <v>32443.485000000001</v>
      </c>
      <c r="BM3" s="57" cm="1">
        <f t="array" ref="BM3">SUMPRODUCT(
  IF($B3:$K3&lt;&gt;"",
     INDEX('Eurostat EB products IEA'!$A$4:$BN$135,
           MATCH($B3:$K3, 'Eurostat EB products IEA'!$A$4:$A$135, 0),
           MATCH(BM$1, 'Eurostat EB products IEA'!$A$4:$BN$4, 0)
     )
     * $L3:$U3,
     0
  )
)</f>
        <v>28770.636999999999</v>
      </c>
      <c r="BN3" s="57" cm="1">
        <f t="array" ref="BN3">SUMPRODUCT(
  IF($B3:$K3&lt;&gt;"",
     INDEX('Eurostat EB products IEA'!$A$4:$BN$135,
           MATCH($B3:$K3, 'Eurostat EB products IEA'!$A$4:$A$135, 0),
           MATCH(BN$1, 'Eurostat EB products IEA'!$A$4:$BN$4, 0)
     )
     * $L3:$U3,
     0
  )
)</f>
        <v>65069.523000000001</v>
      </c>
      <c r="BO3" s="57" cm="1">
        <f t="array" ref="BO3">SUMPRODUCT(
  IF($B3:$K3&lt;&gt;"",
     INDEX('Eurostat EB products IEA'!$A$4:$BN$135,
           MATCH($B3:$K3, 'Eurostat EB products IEA'!$A$4:$A$135, 0),
           MATCH(BO$1, 'Eurostat EB products IEA'!$A$4:$BN$4, 0)
     )
     * $L3:$U3,
     0
  )
)</f>
        <v>18758.186000000002</v>
      </c>
      <c r="BP3" s="57" cm="1">
        <f t="array" ref="BP3">SUMPRODUCT(
  IF($B3:$K3&lt;&gt;"",
     INDEX('Eurostat EB products IEA'!$A$4:$BN$135,
           MATCH($B3:$K3, 'Eurostat EB products IEA'!$A$4:$A$135, 0),
           MATCH(BP$1, 'Eurostat EB products IEA'!$A$4:$BN$4, 0)
     )
     * $L3:$U3,
     0
  )
)</f>
        <v>0</v>
      </c>
      <c r="BQ3" s="57" cm="1">
        <f t="array" ref="BQ3">SUMPRODUCT(
  IF($B3:$K3&lt;&gt;"",
     INDEX('Eurostat EB products IEA'!$A$4:$BN$135,
           MATCH($B3:$K3, 'Eurostat EB products IEA'!$A$4:$A$135, 0),
           MATCH(BQ$1, 'Eurostat EB products IEA'!$A$4:$BN$4, 0)
     )
     * $L3:$U3,
     0
  )
)</f>
        <v>79792.506999999998</v>
      </c>
      <c r="BR3" s="57" cm="1">
        <f t="array" ref="BR3">SUMPRODUCT(
  IF($B3:$K3&lt;&gt;"",
     INDEX('Eurostat EB products IEA'!$A$4:$BN$135,
           MATCH($B3:$K3, 'Eurostat EB products IEA'!$A$4:$A$135, 0),
           MATCH(BR$1, 'Eurostat EB products IEA'!$A$4:$BN$4, 0)
     )
     * $L3:$U3,
     0
  )
)</f>
        <v>529.77599999999995</v>
      </c>
      <c r="BS3" s="65">
        <v>0</v>
      </c>
      <c r="BT3" s="57" cm="1">
        <f t="array" ref="BT3">SUMPRODUCT(
  IF($B3:$K3&lt;&gt;"",
     INDEX('Eurostat EB products IEA'!$A$4:$BN$135,
           MATCH($B3:$K3, 'Eurostat EB products IEA'!$A$4:$A$135, 0),
           MATCH(BT$1, 'Eurostat EB products IEA'!$A$4:$BN$4, 0)
     )
     * $L3:$U3,
     0
  )
)</f>
        <v>0</v>
      </c>
      <c r="BU3" s="65">
        <v>0</v>
      </c>
      <c r="BV3" s="65">
        <v>0</v>
      </c>
      <c r="BW3" s="57" cm="1">
        <f t="array" ref="BW3">SUMPRODUCT(
  IF($B3:$K3&lt;&gt;"",
     INDEX('Eurostat EB products IEA'!$A$4:$BN$135,
           MATCH($B3:$K3, 'Eurostat EB products IEA'!$A$4:$A$135, 0),
           MATCH(BW$1, 'Eurostat EB products IEA'!$A$4:$BN$4, 0)
     )
     * $L3:$U3,
     0
  )
)</f>
        <v>38959.053</v>
      </c>
      <c r="BX3" s="57" cm="1">
        <f t="array" ref="BX3">SUMPRODUCT(
  IF($B3:$K3&lt;&gt;"",
     INDEX('Eurostat EB products IEA'!$A$4:$BN$135,
           MATCH($B3:$K3, 'Eurostat EB products IEA'!$A$4:$A$135, 0),
           MATCH(BX$1, 'Eurostat EB products IEA'!$A$4:$BN$4, 0)
     )
     * $L3:$U3,
     0
  )
)</f>
        <v>249.72800000000001</v>
      </c>
      <c r="BY3" s="57" cm="1">
        <f t="array" ref="BY3">SUMPRODUCT(
  IF($B3:$K3&lt;&gt;"",
     INDEX('Eurostat EB products IEA'!$A$4:$BN$135,
           MATCH($B3:$K3, 'Eurostat EB products IEA'!$A$4:$A$135, 0),
           MATCH(BY$1, 'Eurostat EB products IEA'!$A$4:$BN$4, 0)
     )
     * $L3:$U3,
     0
  )
)</f>
        <v>6797.51</v>
      </c>
      <c r="BZ3" s="57" cm="1">
        <f t="array" ref="BZ3">SUMPRODUCT(
  IF($B3:$K3&lt;&gt;"",
     INDEX('Eurostat EB products IEA'!$A$4:$BN$135,
           MATCH($B3:$K3, 'Eurostat EB products IEA'!$A$4:$A$135, 0),
           MATCH(BZ$1, 'Eurostat EB products IEA'!$A$4:$BN$4, 0)
     )
     * $L3:$U3,
     0
  )
)</f>
        <v>70481.476999999999</v>
      </c>
      <c r="CA3" s="57" cm="1">
        <f t="array" ref="CA3">SUMPRODUCT(
  IF($B3:$K3&lt;&gt;"",
     INDEX('Eurostat EB products IEA'!$A$4:$BN$135,
           MATCH($B3:$K3, 'Eurostat EB products IEA'!$A$4:$A$135, 0),
           MATCH(CA$1, 'Eurostat EB products IEA'!$A$4:$BN$4, 0)
     )
     * $L3:$U3,
     0
  )
)</f>
        <v>1176</v>
      </c>
      <c r="CB3" s="57" cm="1">
        <f t="array" ref="CB3">SUMPRODUCT(
  IF($B3:$K3&lt;&gt;"",
     INDEX('Eurostat EB products IEA'!$A$4:$BN$135,
           MATCH($B3:$K3, 'Eurostat EB products IEA'!$A$4:$A$135, 0),
           MATCH(CB$1, 'Eurostat EB products IEA'!$A$4:$BN$4, 0)
     )
     * $L3:$U3,
     0
  )
)</f>
        <v>0</v>
      </c>
      <c r="CC3" s="57" cm="1">
        <f t="array" ref="CC3">SUMPRODUCT(
  IF($B3:$K3&lt;&gt;"",
     INDEX('Eurostat EB products IEA'!$A$4:$BN$135,
           MATCH($B3:$K3, 'Eurostat EB products IEA'!$A$4:$A$135, 0),
           MATCH(CC$1, 'Eurostat EB products IEA'!$A$4:$BN$4, 0)
     )
     * $L3:$U3,
     0
  )
)</f>
        <v>106290.292</v>
      </c>
      <c r="CD3" s="65">
        <v>0</v>
      </c>
      <c r="CE3" s="57" cm="1">
        <f t="array" ref="CE3">SUMPRODUCT(
  IF($B3:$K3&lt;&gt;"",
     INDEX('Eurostat EB products IEA'!$A$4:$BN$135,
           MATCH($B3:$K3, 'Eurostat EB products IEA'!$A$4:$A$135, 0),
           MATCH(CE$1, 'Eurostat EB products IEA'!$A$4:$BN$4, 0)
     )
     * $L3:$U3,
     0
  )
)</f>
        <v>0</v>
      </c>
      <c r="CF3" s="57" cm="1">
        <f t="array" ref="CF3">SUMPRODUCT(
  IF($B3:$K3&lt;&gt;"",
     INDEX('Eurostat EB products IEA'!$A$4:$BN$135,
           MATCH($B3:$K3, 'Eurostat EB products IEA'!$A$4:$A$135, 0),
           MATCH(CF$1, 'Eurostat EB products IEA'!$A$4:$BN$4, 0)
     )
     * $L3:$U3,
     0
  )
)</f>
        <v>8031.1109999999999</v>
      </c>
      <c r="CG3" s="57" cm="1">
        <f t="array" ref="CG3">SUMPRODUCT(
  IF($B3:$K3&lt;&gt;"",
     INDEX('Eurostat EB products IEA'!$A$4:$BN$135,
           MATCH($B3:$K3, 'Eurostat EB products IEA'!$A$4:$A$135, 0),
           MATCH(CG$1, 'Eurostat EB products IEA'!$A$4:$BN$4, 0)
     )
     * $L3:$U3,
     0
  )
)</f>
        <v>867610.75</v>
      </c>
      <c r="CH3" s="57" cm="1">
        <f t="array" ref="CH3">SUMPRODUCT(
  IF($B3:$K3&lt;&gt;"",
     INDEX('Eurostat EB products IEA'!$A$4:$BN$135,
           MATCH($B3:$K3, 'Eurostat EB products IEA'!$A$4:$A$135, 0),
           MATCH(CH$1, 'Eurostat EB products IEA'!$A$4:$BN$4, 0)
     )
     * $L3:$U3,
     0
  )
)</f>
        <v>196593.47700000001</v>
      </c>
    </row>
    <row r="4" spans="1:86" x14ac:dyDescent="0.2">
      <c r="A4" t="s">
        <v>74</v>
      </c>
      <c r="B4" s="75"/>
      <c r="C4" s="77"/>
      <c r="D4" s="75"/>
      <c r="E4" s="77"/>
      <c r="F4" s="75"/>
      <c r="G4" s="77"/>
      <c r="H4" s="75"/>
      <c r="I4" s="77"/>
      <c r="J4" s="74"/>
      <c r="K4" s="78" t="s">
        <v>74</v>
      </c>
      <c r="L4" s="76"/>
      <c r="M4" s="79"/>
      <c r="N4" s="76"/>
      <c r="O4" s="79"/>
      <c r="P4" s="76"/>
      <c r="Q4" s="79"/>
      <c r="R4" s="76"/>
      <c r="S4" s="79"/>
      <c r="T4" s="76"/>
      <c r="U4" s="79">
        <v>1</v>
      </c>
      <c r="V4" s="65" t="s">
        <v>323</v>
      </c>
      <c r="W4" s="65" t="s">
        <v>323</v>
      </c>
      <c r="X4" s="17" cm="1">
        <f t="array" ref="X4">SUMPRODUCT(
  IF($B4:$K4&lt;&gt;"",
     INDEX('Eurostat EB products IEA'!$A$4:$BN$135,
           MATCH($B4:$K4, 'Eurostat EB products IEA'!$A$4:$A$135, 0),
           MATCH(X$1, 'Eurostat EB products IEA'!$A$4:$BN$4, 0)
     )
     * $L4:$U4,
     0
  )
)</f>
        <v>76.706999999999994</v>
      </c>
      <c r="Y4" s="17" cm="1">
        <f t="array" ref="Y4">SUMPRODUCT(
  IF($B4:$K4&lt;&gt;"",
     INDEX('Eurostat EB products IEA'!$A$4:$BN$135,
           MATCH($B4:$K4, 'Eurostat EB products IEA'!$A$4:$A$135, 0),
           MATCH(Y$1, 'Eurostat EB products IEA'!$A$4:$BN$4, 0)
     )
     * $L4:$U4,
     0
  )
)</f>
        <v>104273.93</v>
      </c>
      <c r="Z4" s="17" cm="1">
        <f t="array" ref="Z4">SUMPRODUCT(
  IF($B4:$K4&lt;&gt;"",
     INDEX('Eurostat EB products IEA'!$A$4:$BN$135,
           MATCH($B4:$K4, 'Eurostat EB products IEA'!$A$4:$A$135, 0),
           MATCH(Z$1, 'Eurostat EB products IEA'!$A$4:$BN$4, 0)
     )
     * $L4:$U4,
     0
  )
)</f>
        <v>70267.929999999993</v>
      </c>
      <c r="AA4" s="17" cm="1">
        <f t="array" ref="AA4">SUMPRODUCT(
  IF($B4:$K4&lt;&gt;"",
     INDEX('Eurostat EB products IEA'!$A$4:$BN$135,
           MATCH($B4:$K4, 'Eurostat EB products IEA'!$A$4:$A$135, 0),
           MATCH(AA$1, 'Eurostat EB products IEA'!$A$4:$BN$4, 0)
     )
     * $L4:$U4,
     0
  )
)</f>
        <v>0</v>
      </c>
      <c r="AB4" s="17" cm="1">
        <f t="array" ref="AB4">SUMPRODUCT(
  IF($B4:$K4&lt;&gt;"",
     INDEX('Eurostat EB products IEA'!$A$4:$BN$135,
           MATCH($B4:$K4, 'Eurostat EB products IEA'!$A$4:$A$135, 0),
           MATCH(AB$1, 'Eurostat EB products IEA'!$A$4:$BN$4, 0)
     )
     * $L4:$U4,
     0
  )
)</f>
        <v>312.82</v>
      </c>
      <c r="AC4" s="17" cm="1">
        <f t="array" ref="AC4">SUMPRODUCT(
  IF($B4:$K4&lt;&gt;"",
     INDEX('Eurostat EB products IEA'!$A$4:$BN$135,
           MATCH($B4:$K4, 'Eurostat EB products IEA'!$A$4:$A$135, 0),
           MATCH(AC$1, 'Eurostat EB products IEA'!$A$4:$BN$4, 0)
     )
     * $L4:$U4,
     0
  )
)</f>
        <v>0</v>
      </c>
      <c r="AD4" s="17" cm="1">
        <f t="array" ref="AD4">SUMPRODUCT(
  IF($B4:$K4&lt;&gt;"",
     INDEX('Eurostat EB products IEA'!$A$4:$BN$135,
           MATCH($B4:$K4, 'Eurostat EB products IEA'!$A$4:$A$135, 0),
           MATCH(AD$1, 'Eurostat EB products IEA'!$A$4:$BN$4, 0)
     )
     * $L4:$U4,
     0
  )
)</f>
        <v>1013.494</v>
      </c>
      <c r="AE4" s="17" cm="1">
        <f t="array" ref="AE4">SUMPRODUCT(
  IF($B4:$K4&lt;&gt;"",
     INDEX('Eurostat EB products IEA'!$A$4:$BN$135,
           MATCH($B4:$K4, 'Eurostat EB products IEA'!$A$4:$A$135, 0),
           MATCH(AE$1, 'Eurostat EB products IEA'!$A$4:$BN$4, 0)
     )
     * $L4:$U4,
     0
  )
)</f>
        <v>0</v>
      </c>
      <c r="AF4" s="17" cm="1">
        <f t="array" ref="AF4">SUMPRODUCT(
  IF($B4:$K4&lt;&gt;"",
     INDEX('Eurostat EB products IEA'!$A$4:$BN$135,
           MATCH($B4:$K4, 'Eurostat EB products IEA'!$A$4:$A$135, 0),
           MATCH(AF$1, 'Eurostat EB products IEA'!$A$4:$BN$4, 0)
     )
     * $L4:$U4,
     0
  )
)</f>
        <v>0</v>
      </c>
      <c r="AG4" s="17" cm="1">
        <f t="array" ref="AG4">SUMPRODUCT(
  IF($B4:$K4&lt;&gt;"",
     INDEX('Eurostat EB products IEA'!$A$4:$BN$135,
           MATCH($B4:$K4, 'Eurostat EB products IEA'!$A$4:$A$135, 0),
           MATCH(AG$1, 'Eurostat EB products IEA'!$A$4:$BN$4, 0)
     )
     * $L4:$U4,
     0
  )
)</f>
        <v>0</v>
      </c>
      <c r="AH4" s="17" cm="1">
        <f t="array" ref="AH4">SUMPRODUCT(
  IF($B4:$K4&lt;&gt;"",
     INDEX('Eurostat EB products IEA'!$A$4:$BN$135,
           MATCH($B4:$K4, 'Eurostat EB products IEA'!$A$4:$A$135, 0),
           MATCH(AH$1, 'Eurostat EB products IEA'!$A$4:$BN$4, 0)
     )
     * $L4:$U4,
     0
  )
)</f>
        <v>0</v>
      </c>
      <c r="AI4" s="17" cm="1">
        <f t="array" ref="AI4">SUMPRODUCT(
  IF($B4:$K4&lt;&gt;"",
     INDEX('Eurostat EB products IEA'!$A$4:$BN$135,
           MATCH($B4:$K4, 'Eurostat EB products IEA'!$A$4:$A$135, 0),
           MATCH(AI$1, 'Eurostat EB products IEA'!$A$4:$BN$4, 0)
     )
     * $L4:$U4,
     0
  )
)</f>
        <v>0</v>
      </c>
      <c r="AJ4" s="17" cm="1">
        <f t="array" ref="AJ4">SUMPRODUCT(
  IF($B4:$K4&lt;&gt;"",
     INDEX('Eurostat EB products IEA'!$A$4:$BN$135,
           MATCH($B4:$K4, 'Eurostat EB products IEA'!$A$4:$A$135, 0),
           MATCH(AJ$1, 'Eurostat EB products IEA'!$A$4:$BN$4, 0)
     )
     * $L4:$U4,
     0
  )
)</f>
        <v>0</v>
      </c>
      <c r="AK4" s="17" cm="1">
        <f t="array" ref="AK4">SUMPRODUCT(
  IF($B4:$K4&lt;&gt;"",
     INDEX('Eurostat EB products IEA'!$A$4:$BN$135,
           MATCH($B4:$K4, 'Eurostat EB products IEA'!$A$4:$A$135, 0),
           MATCH(AK$1, 'Eurostat EB products IEA'!$A$4:$BN$4, 0)
     )
     * $L4:$U4,
     0
  )
)</f>
        <v>0</v>
      </c>
      <c r="AL4" s="17" cm="1">
        <f t="array" ref="AL4">SUMPRODUCT(
  IF($B4:$K4&lt;&gt;"",
     INDEX('Eurostat EB products IEA'!$A$4:$BN$135,
           MATCH($B4:$K4, 'Eurostat EB products IEA'!$A$4:$A$135, 0),
           MATCH(AL$1, 'Eurostat EB products IEA'!$A$4:$BN$4, 0)
     )
     * $L4:$U4,
     0
  )
)</f>
        <v>0</v>
      </c>
      <c r="AM4" s="17" cm="1">
        <f t="array" ref="AM4">SUMPRODUCT(
  IF($B4:$K4&lt;&gt;"",
     INDEX('Eurostat EB products IEA'!$A$4:$BN$135,
           MATCH($B4:$K4, 'Eurostat EB products IEA'!$A$4:$A$135, 0),
           MATCH(AM$1, 'Eurostat EB products IEA'!$A$4:$BN$4, 0)
     )
     * $L4:$U4,
     0
  )
)</f>
        <v>1210080.142</v>
      </c>
      <c r="AN4" s="65" t="s">
        <v>323</v>
      </c>
      <c r="AO4" s="17" cm="1">
        <f t="array" ref="AO4">SUMPRODUCT(
  IF($B4:$K4&lt;&gt;"",
     INDEX('Eurostat EB products IEA'!$A$4:$BN$135,
           MATCH($B4:$K4, 'Eurostat EB products IEA'!$A$4:$A$135, 0),
           MATCH(AO$1, 'Eurostat EB products IEA'!$A$4:$BN$4, 0)
     )
     * $L4:$U4,
     0
  )
)</f>
        <v>2294919.9559999998</v>
      </c>
      <c r="AP4" s="17" cm="1">
        <f t="array" ref="AP4">SUMPRODUCT(
  IF($B4:$K4&lt;&gt;"",
     INDEX('Eurostat EB products IEA'!$A$4:$BN$135,
           MATCH($B4:$K4, 'Eurostat EB products IEA'!$A$4:$A$135, 0),
           MATCH(AP$1, 'Eurostat EB products IEA'!$A$4:$BN$4, 0)
     )
     * $L4:$U4,
     0
  )
)</f>
        <v>342371.57</v>
      </c>
      <c r="AQ4" s="17" cm="1">
        <f t="array" ref="AQ4">SUMPRODUCT(
  IF($B4:$K4&lt;&gt;"",
     INDEX('Eurostat EB products IEA'!$A$4:$BN$135,
           MATCH($B4:$K4, 'Eurostat EB products IEA'!$A$4:$A$135, 0),
           MATCH(AQ$1, 'Eurostat EB products IEA'!$A$4:$BN$4, 0)
     )
     * $L4:$U4,
     0
  )
)</f>
        <v>0</v>
      </c>
      <c r="AR4" s="17" cm="1">
        <f t="array" ref="AR4">SUMPRODUCT(
  IF($B4:$K4&lt;&gt;"",
     INDEX('Eurostat EB products IEA'!$A$4:$BN$135,
           MATCH($B4:$K4, 'Eurostat EB products IEA'!$A$4:$A$135, 0),
           MATCH(AR$1, 'Eurostat EB products IEA'!$A$4:$BN$4, 0)
     )
     * $L4:$U4,
     0
  )
)</f>
        <v>49566.112999999998</v>
      </c>
      <c r="AS4" s="17" cm="1">
        <f t="array" ref="AS4">SUMPRODUCT(
  IF($B4:$K4&lt;&gt;"",
     INDEX('Eurostat EB products IEA'!$A$4:$BN$135,
           MATCH($B4:$K4, 'Eurostat EB products IEA'!$A$4:$A$135, 0),
           MATCH(AS$1, 'Eurostat EB products IEA'!$A$4:$BN$4, 0)
     )
     * $L4:$U4,
     0
  )
)</f>
        <v>0</v>
      </c>
      <c r="AT4" s="17" cm="1">
        <f t="array" ref="AT4">SUMPRODUCT(
  IF($B4:$K4&lt;&gt;"",
     INDEX('Eurostat EB products IEA'!$A$4:$BN$135,
           MATCH($B4:$K4, 'Eurostat EB products IEA'!$A$4:$A$135, 0),
           MATCH(AT$1, 'Eurostat EB products IEA'!$A$4:$BN$4, 0)
     )
     * $L4:$U4,
     0
  )
)</f>
        <v>0</v>
      </c>
      <c r="AU4" s="17" cm="1">
        <f t="array" ref="AU4">SUMPRODUCT(
  IF($B4:$K4&lt;&gt;"",
     INDEX('Eurostat EB products IEA'!$A$4:$BN$135,
           MATCH($B4:$K4, 'Eurostat EB products IEA'!$A$4:$A$135, 0),
           MATCH(AU$1, 'Eurostat EB products IEA'!$A$4:$BN$4, 0)
     )
     * $L4:$U4,
     0
  )
)</f>
        <v>0</v>
      </c>
      <c r="AV4" s="17" cm="1">
        <f t="array" ref="AV4">SUMPRODUCT(
  IF($B4:$K4&lt;&gt;"",
     INDEX('Eurostat EB products IEA'!$A$4:$BN$135,
           MATCH($B4:$K4, 'Eurostat EB products IEA'!$A$4:$A$135, 0),
           MATCH(AV$1, 'Eurostat EB products IEA'!$A$4:$BN$4, 0)
     )
     * $L4:$U4,
     0
  )
)</f>
        <v>154555.46400000001</v>
      </c>
      <c r="AW4" s="17" cm="1">
        <f t="array" ref="AW4">SUMPRODUCT(
  IF($B4:$K4&lt;&gt;"",
     INDEX('Eurostat EB products IEA'!$A$4:$BN$135,
           MATCH($B4:$K4, 'Eurostat EB products IEA'!$A$4:$A$135, 0),
           MATCH(AW$1, 'Eurostat EB products IEA'!$A$4:$BN$4, 0)
     )
     * $L4:$U4,
     0
  )
)</f>
        <v>283288.16499999998</v>
      </c>
      <c r="AX4" s="17" cm="1">
        <f t="array" ref="AX4">SUMPRODUCT(
  IF($B4:$K4&lt;&gt;"",
     INDEX('Eurostat EB products IEA'!$A$4:$BN$135,
           MATCH($B4:$K4, 'Eurostat EB products IEA'!$A$4:$A$135, 0),
           MATCH(AX$1, 'Eurostat EB products IEA'!$A$4:$BN$4, 0)
     )
     * $L4:$U4,
     0
  )
)</f>
        <v>15.135999999999999</v>
      </c>
      <c r="AY4" s="17" cm="1">
        <f t="array" ref="AY4">SUMPRODUCT(
  IF($B4:$K4&lt;&gt;"",
     INDEX('Eurostat EB products IEA'!$A$4:$BN$135,
           MATCH($B4:$K4, 'Eurostat EB products IEA'!$A$4:$A$135, 0),
           MATCH(AY$1, 'Eurostat EB products IEA'!$A$4:$BN$4, 0)
     )
     * $L4:$U4,
     0
  )
)</f>
        <v>0</v>
      </c>
      <c r="AZ4" s="17" cm="1">
        <f t="array" ref="AZ4">SUMPRODUCT(
  IF($B4:$K4&lt;&gt;"",
     INDEX('Eurostat EB products IEA'!$A$4:$BN$135,
           MATCH($B4:$K4, 'Eurostat EB products IEA'!$A$4:$A$135, 0),
           MATCH(AZ$1, 'Eurostat EB products IEA'!$A$4:$BN$4, 0)
     )
     * $L4:$U4,
     0
  )
)</f>
        <v>116138.49400000001</v>
      </c>
      <c r="BA4" s="17" cm="1">
        <f t="array" ref="BA4">SUMPRODUCT(
  IF($B4:$K4&lt;&gt;"",
     INDEX('Eurostat EB products IEA'!$A$4:$BN$135,
           MATCH($B4:$K4, 'Eurostat EB products IEA'!$A$4:$A$135, 0),
           MATCH(BA$1, 'Eurostat EB products IEA'!$A$4:$BN$4, 0)
     )
     * $L4:$U4,
     0
  )
)</f>
        <v>26215.852999999999</v>
      </c>
      <c r="BB4" s="17" cm="1">
        <f t="array" ref="BB4">SUMPRODUCT(
  IF($B4:$K4&lt;&gt;"",
     INDEX('Eurostat EB products IEA'!$A$4:$BN$135,
           MATCH($B4:$K4, 'Eurostat EB products IEA'!$A$4:$A$135, 0),
           MATCH(BB$1, 'Eurostat EB products IEA'!$A$4:$BN$4, 0)
     )
     * $L4:$U4,
     0
  )
)</f>
        <v>586131.10199999996</v>
      </c>
      <c r="BC4" s="17" cm="1">
        <f t="array" ref="BC4">SUMPRODUCT(
  IF($B4:$K4&lt;&gt;"",
     INDEX('Eurostat EB products IEA'!$A$4:$BN$135,
           MATCH($B4:$K4, 'Eurostat EB products IEA'!$A$4:$A$135, 0),
           MATCH(BC$1, 'Eurostat EB products IEA'!$A$4:$BN$4, 0)
     )
     * $L4:$U4,
     0
  )
)</f>
        <v>987993.85800000001</v>
      </c>
      <c r="BD4" s="17" cm="1">
        <f t="array" ref="BD4">SUMPRODUCT(
  IF($B4:$K4&lt;&gt;"",
     INDEX('Eurostat EB products IEA'!$A$4:$BN$135,
           MATCH($B4:$K4, 'Eurostat EB products IEA'!$A$4:$A$135, 0),
           MATCH(BD$1, 'Eurostat EB products IEA'!$A$4:$BN$4, 0)
     )
     * $L4:$U4,
     0
  )
)</f>
        <v>809282.60400000005</v>
      </c>
      <c r="BE4" s="17" cm="1">
        <f t="array" ref="BE4">SUMPRODUCT(
  IF($B4:$K4&lt;&gt;"",
     INDEX('Eurostat EB products IEA'!$A$4:$BN$135,
           MATCH($B4:$K4, 'Eurostat EB products IEA'!$A$4:$A$135, 0),
           MATCH(BE$1, 'Eurostat EB products IEA'!$A$4:$BN$4, 0)
     )
     * $L4:$U4,
     0
  )
)</f>
        <v>91210.987999999998</v>
      </c>
      <c r="BF4" s="17" cm="1">
        <f t="array" ref="BF4">SUMPRODUCT(
  IF($B4:$K4&lt;&gt;"",
     INDEX('Eurostat EB products IEA'!$A$4:$BN$135,
           MATCH($B4:$K4, 'Eurostat EB products IEA'!$A$4:$A$135, 0),
           MATCH(BF$1, 'Eurostat EB products IEA'!$A$4:$BN$4, 0)
     )
     * $L4:$U4,
     0
  )
)</f>
        <v>98845.239000000001</v>
      </c>
      <c r="BG4" s="17" cm="1">
        <f t="array" ref="BG4">SUMPRODUCT(
  IF($B4:$K4&lt;&gt;"",
     INDEX('Eurostat EB products IEA'!$A$4:$BN$135,
           MATCH($B4:$K4, 'Eurostat EB products IEA'!$A$4:$A$135, 0),
           MATCH(BG$1, 'Eurostat EB products IEA'!$A$4:$BN$4, 0)
     )
     * $L4:$U4,
     0
  )
)</f>
        <v>19370.705000000002</v>
      </c>
      <c r="BH4" s="17" cm="1">
        <f t="array" ref="BH4">SUMPRODUCT(
  IF($B4:$K4&lt;&gt;"",
     INDEX('Eurostat EB products IEA'!$A$4:$BN$135,
           MATCH($B4:$K4, 'Eurostat EB products IEA'!$A$4:$A$135, 0),
           MATCH(BH$1, 'Eurostat EB products IEA'!$A$4:$BN$4, 0)
     )
     * $L4:$U4,
     0
  )
)</f>
        <v>8165.1869999999999</v>
      </c>
      <c r="BI4" s="17" cm="1">
        <f t="array" ref="BI4">SUMPRODUCT(
  IF($B4:$K4&lt;&gt;"",
     INDEX('Eurostat EB products IEA'!$A$4:$BN$135,
           MATCH($B4:$K4, 'Eurostat EB products IEA'!$A$4:$A$135, 0),
           MATCH(BI$1, 'Eurostat EB products IEA'!$A$4:$BN$4, 0)
     )
     * $L4:$U4,
     0
  )
)</f>
        <v>71527.952000000005</v>
      </c>
      <c r="BJ4" s="17" cm="1">
        <f t="array" ref="BJ4">SUMPRODUCT(
  IF($B4:$K4&lt;&gt;"",
     INDEX('Eurostat EB products IEA'!$A$4:$BN$135,
           MATCH($B4:$K4, 'Eurostat EB products IEA'!$A$4:$A$135, 0),
           MATCH(BJ$1, 'Eurostat EB products IEA'!$A$4:$BN$4, 0)
     )
     * $L4:$U4,
     0
  )
)</f>
        <v>34459.199999999997</v>
      </c>
      <c r="BK4" s="17" cm="1">
        <f t="array" ref="BK4">SUMPRODUCT(
  IF($B4:$K4&lt;&gt;"",
     INDEX('Eurostat EB products IEA'!$A$4:$BN$135,
           MATCH($B4:$K4, 'Eurostat EB products IEA'!$A$4:$A$135, 0),
           MATCH(BK$1, 'Eurostat EB products IEA'!$A$4:$BN$4, 0)
     )
     * $L4:$U4,
     0
  )
)</f>
        <v>0</v>
      </c>
      <c r="BL4" s="17" cm="1">
        <f t="array" ref="BL4">SUMPRODUCT(
  IF($B4:$K4&lt;&gt;"",
     INDEX('Eurostat EB products IEA'!$A$4:$BN$135,
           MATCH($B4:$K4, 'Eurostat EB products IEA'!$A$4:$A$135, 0),
           MATCH(BL$1, 'Eurostat EB products IEA'!$A$4:$BN$4, 0)
     )
     * $L4:$U4,
     0
  )
)</f>
        <v>5345.8040000000001</v>
      </c>
      <c r="BM4" s="17" cm="1">
        <f t="array" ref="BM4">SUMPRODUCT(
  IF($B4:$K4&lt;&gt;"",
     INDEX('Eurostat EB products IEA'!$A$4:$BN$135,
           MATCH($B4:$K4, 'Eurostat EB products IEA'!$A$4:$A$135, 0),
           MATCH(BM$1, 'Eurostat EB products IEA'!$A$4:$BN$4, 0)
     )
     * $L4:$U4,
     0
  )
)</f>
        <v>4740.6189999999997</v>
      </c>
      <c r="BN4" s="17" cm="1">
        <f t="array" ref="BN4">SUMPRODUCT(
  IF($B4:$K4&lt;&gt;"",
     INDEX('Eurostat EB products IEA'!$A$4:$BN$135,
           MATCH($B4:$K4, 'Eurostat EB products IEA'!$A$4:$A$135, 0),
           MATCH(BN$1, 'Eurostat EB products IEA'!$A$4:$BN$4, 0)
     )
     * $L4:$U4,
     0
  )
)</f>
        <v>33247.449999999997</v>
      </c>
      <c r="BO4" s="17" cm="1">
        <f t="array" ref="BO4">SUMPRODUCT(
  IF($B4:$K4&lt;&gt;"",
     INDEX('Eurostat EB products IEA'!$A$4:$BN$135,
           MATCH($B4:$K4, 'Eurostat EB products IEA'!$A$4:$A$135, 0),
           MATCH(BO$1, 'Eurostat EB products IEA'!$A$4:$BN$4, 0)
     )
     * $L4:$U4,
     0
  )
)</f>
        <v>0</v>
      </c>
      <c r="BP4" s="17" cm="1">
        <f t="array" ref="BP4">SUMPRODUCT(
  IF($B4:$K4&lt;&gt;"",
     INDEX('Eurostat EB products IEA'!$A$4:$BN$135,
           MATCH($B4:$K4, 'Eurostat EB products IEA'!$A$4:$A$135, 0),
           MATCH(BP$1, 'Eurostat EB products IEA'!$A$4:$BN$4, 0)
     )
     * $L4:$U4,
     0
  )
)</f>
        <v>14512.148999999999</v>
      </c>
      <c r="BQ4" s="17" cm="1">
        <f t="array" ref="BQ4">SUMPRODUCT(
  IF($B4:$K4&lt;&gt;"",
     INDEX('Eurostat EB products IEA'!$A$4:$BN$135,
           MATCH($B4:$K4, 'Eurostat EB products IEA'!$A$4:$A$135, 0),
           MATCH(BQ$1, 'Eurostat EB products IEA'!$A$4:$BN$4, 0)
     )
     * $L4:$U4,
     0
  )
)</f>
        <v>0</v>
      </c>
      <c r="BR4" s="17" cm="1">
        <f t="array" ref="BR4">SUMPRODUCT(
  IF($B4:$K4&lt;&gt;"",
     INDEX('Eurostat EB products IEA'!$A$4:$BN$135,
           MATCH($B4:$K4, 'Eurostat EB products IEA'!$A$4:$A$135, 0),
           MATCH(BR$1, 'Eurostat EB products IEA'!$A$4:$BN$4, 0)
     )
     * $L4:$U4,
     0
  )
)</f>
        <v>0</v>
      </c>
      <c r="BS4" s="65">
        <v>0</v>
      </c>
      <c r="BT4" s="17" cm="1">
        <f t="array" ref="BT4">SUMPRODUCT(
  IF($B4:$K4&lt;&gt;"",
     INDEX('Eurostat EB products IEA'!$A$4:$BN$135,
           MATCH($B4:$K4, 'Eurostat EB products IEA'!$A$4:$A$135, 0),
           MATCH(BT$1, 'Eurostat EB products IEA'!$A$4:$BN$4, 0)
     )
     * $L4:$U4,
     0
  )
)</f>
        <v>270</v>
      </c>
      <c r="BU4" s="65">
        <v>0</v>
      </c>
      <c r="BV4" s="65">
        <v>0</v>
      </c>
      <c r="BW4" s="17" cm="1">
        <f t="array" ref="BW4">SUMPRODUCT(
  IF($B4:$K4&lt;&gt;"",
     INDEX('Eurostat EB products IEA'!$A$4:$BN$135,
           MATCH($B4:$K4, 'Eurostat EB products IEA'!$A$4:$A$135, 0),
           MATCH(BW$1, 'Eurostat EB products IEA'!$A$4:$BN$4, 0)
     )
     * $L4:$U4,
     0
  )
)</f>
        <v>0</v>
      </c>
      <c r="BX4" s="17" cm="1">
        <f t="array" ref="BX4">SUMPRODUCT(
  IF($B4:$K4&lt;&gt;"",
     INDEX('Eurostat EB products IEA'!$A$4:$BN$135,
           MATCH($B4:$K4, 'Eurostat EB products IEA'!$A$4:$A$135, 0),
           MATCH(BX$1, 'Eurostat EB products IEA'!$A$4:$BN$4, 0)
     )
     * $L4:$U4,
     0
  )
)</f>
        <v>0</v>
      </c>
      <c r="BY4" s="17" cm="1">
        <f t="array" ref="BY4">SUMPRODUCT(
  IF($B4:$K4&lt;&gt;"",
     INDEX('Eurostat EB products IEA'!$A$4:$BN$135,
           MATCH($B4:$K4, 'Eurostat EB products IEA'!$A$4:$A$135, 0),
           MATCH(BY$1, 'Eurostat EB products IEA'!$A$4:$BN$4, 0)
     )
     * $L4:$U4,
     0
  )
)</f>
        <v>0</v>
      </c>
      <c r="BZ4" s="17" cm="1">
        <f t="array" ref="BZ4">SUMPRODUCT(
  IF($B4:$K4&lt;&gt;"",
     INDEX('Eurostat EB products IEA'!$A$4:$BN$135,
           MATCH($B4:$K4, 'Eurostat EB products IEA'!$A$4:$A$135, 0),
           MATCH(BZ$1, 'Eurostat EB products IEA'!$A$4:$BN$4, 0)
     )
     * $L4:$U4,
     0
  )
)</f>
        <v>0</v>
      </c>
      <c r="CA4" s="17" cm="1">
        <f t="array" ref="CA4">SUMPRODUCT(
  IF($B4:$K4&lt;&gt;"",
     INDEX('Eurostat EB products IEA'!$A$4:$BN$135,
           MATCH($B4:$K4, 'Eurostat EB products IEA'!$A$4:$A$135, 0),
           MATCH(CA$1, 'Eurostat EB products IEA'!$A$4:$BN$4, 0)
     )
     * $L4:$U4,
     0
  )
)</f>
        <v>0</v>
      </c>
      <c r="CB4" s="17" cm="1">
        <f t="array" ref="CB4">SUMPRODUCT(
  IF($B4:$K4&lt;&gt;"",
     INDEX('Eurostat EB products IEA'!$A$4:$BN$135,
           MATCH($B4:$K4, 'Eurostat EB products IEA'!$A$4:$A$135, 0),
           MATCH(CB$1, 'Eurostat EB products IEA'!$A$4:$BN$4, 0)
     )
     * $L4:$U4,
     0
  )
)</f>
        <v>0</v>
      </c>
      <c r="CC4" s="17" cm="1">
        <f t="array" ref="CC4">SUMPRODUCT(
  IF($B4:$K4&lt;&gt;"",
     INDEX('Eurostat EB products IEA'!$A$4:$BN$135,
           MATCH($B4:$K4, 'Eurostat EB products IEA'!$A$4:$A$135, 0),
           MATCH(CC$1, 'Eurostat EB products IEA'!$A$4:$BN$4, 0)
     )
     * $L4:$U4,
     0
  )
)</f>
        <v>0</v>
      </c>
      <c r="CD4" s="65">
        <v>0</v>
      </c>
      <c r="CE4" s="17" cm="1">
        <f t="array" ref="CE4">SUMPRODUCT(
  IF($B4:$K4&lt;&gt;"",
     INDEX('Eurostat EB products IEA'!$A$4:$BN$135,
           MATCH($B4:$K4, 'Eurostat EB products IEA'!$A$4:$A$135, 0),
           MATCH(CE$1, 'Eurostat EB products IEA'!$A$4:$BN$4, 0)
     )
     * $L4:$U4,
     0
  )
)</f>
        <v>70367.782000000007</v>
      </c>
      <c r="CF4" s="17" cm="1">
        <f t="array" ref="CF4">SUMPRODUCT(
  IF($B4:$K4&lt;&gt;"",
     INDEX('Eurostat EB products IEA'!$A$4:$BN$135,
           MATCH($B4:$K4, 'Eurostat EB products IEA'!$A$4:$A$135, 0),
           MATCH(CF$1, 'Eurostat EB products IEA'!$A$4:$BN$4, 0)
     )
     * $L4:$U4,
     0
  )
)</f>
        <v>0</v>
      </c>
      <c r="CG4" s="17" cm="1">
        <f t="array" ref="CG4">SUMPRODUCT(
  IF($B4:$K4&lt;&gt;"",
     INDEX('Eurostat EB products IEA'!$A$4:$BN$135,
           MATCH($B4:$K4, 'Eurostat EB products IEA'!$A$4:$A$135, 0),
           MATCH(CG$1, 'Eurostat EB products IEA'!$A$4:$BN$4, 0)
     )
     * $L4:$U4,
     0
  )
)</f>
        <v>7491212.8370000003</v>
      </c>
      <c r="CH4" s="17" cm="1">
        <f t="array" ref="CH4">SUMPRODUCT(
  IF($B4:$K4&lt;&gt;"",
     INDEX('Eurostat EB products IEA'!$A$4:$BN$135,
           MATCH($B4:$K4, 'Eurostat EB products IEA'!$A$4:$A$135, 0),
           MATCH(CH$1, 'Eurostat EB products IEA'!$A$4:$BN$4, 0)
     )
     * $L4:$U4,
     0
  )
)</f>
        <v>73101.232000000004</v>
      </c>
    </row>
    <row r="5" spans="1:86" x14ac:dyDescent="0.2">
      <c r="A5" t="s">
        <v>75</v>
      </c>
      <c r="B5" s="75"/>
      <c r="C5" s="77"/>
      <c r="D5" s="75"/>
      <c r="E5" s="77"/>
      <c r="F5" s="75"/>
      <c r="G5" s="77"/>
      <c r="H5" s="75"/>
      <c r="I5" s="77"/>
      <c r="J5" s="74"/>
      <c r="K5" s="78" t="s">
        <v>75</v>
      </c>
      <c r="L5" s="76"/>
      <c r="M5" s="79"/>
      <c r="N5" s="76"/>
      <c r="O5" s="79"/>
      <c r="P5" s="76"/>
      <c r="Q5" s="79"/>
      <c r="R5" s="76"/>
      <c r="S5" s="79"/>
      <c r="T5" s="76"/>
      <c r="U5" s="79">
        <v>-1</v>
      </c>
      <c r="V5" s="65" t="s">
        <v>323</v>
      </c>
      <c r="W5" s="65" t="s">
        <v>323</v>
      </c>
      <c r="X5" s="57" cm="1">
        <f t="array" ref="X5">SUMPRODUCT(
  IF($B5:$K5&lt;&gt;"",
     INDEX('Eurostat EB products IEA'!$A$4:$BN$135,
           MATCH($B5:$K5, 'Eurostat EB products IEA'!$A$4:$A$135, 0),
           MATCH(X$1, 'Eurostat EB products IEA'!$A$4:$BN$4, 0)
     )
     * $L5:$U5,
     0
  )
)</f>
        <v>0</v>
      </c>
      <c r="Y5" s="57" cm="1">
        <f t="array" ref="Y5">SUMPRODUCT(
  IF($B5:$K5&lt;&gt;"",
     INDEX('Eurostat EB products IEA'!$A$4:$BN$135,
           MATCH($B5:$K5, 'Eurostat EB products IEA'!$A$4:$A$135, 0),
           MATCH(Y$1, 'Eurostat EB products IEA'!$A$4:$BN$4, 0)
     )
     * $L5:$U5,
     0
  )
)</f>
        <v>0</v>
      </c>
      <c r="Z5" s="57" cm="1">
        <f t="array" ref="Z5">SUMPRODUCT(
  IF($B5:$K5&lt;&gt;"",
     INDEX('Eurostat EB products IEA'!$A$4:$BN$135,
           MATCH($B5:$K5, 'Eurostat EB products IEA'!$A$4:$A$135, 0),
           MATCH(Z$1, 'Eurostat EB products IEA'!$A$4:$BN$4, 0)
     )
     * $L5:$U5,
     0
  )
)</f>
        <v>0</v>
      </c>
      <c r="AA5" s="57" cm="1">
        <f t="array" ref="AA5">SUMPRODUCT(
  IF($B5:$K5&lt;&gt;"",
     INDEX('Eurostat EB products IEA'!$A$4:$BN$135,
           MATCH($B5:$K5, 'Eurostat EB products IEA'!$A$4:$A$135, 0),
           MATCH(AA$1, 'Eurostat EB products IEA'!$A$4:$BN$4, 0)
     )
     * $L5:$U5,
     0
  )
)</f>
        <v>0</v>
      </c>
      <c r="AB5" s="57" cm="1">
        <f t="array" ref="AB5">SUMPRODUCT(
  IF($B5:$K5&lt;&gt;"",
     INDEX('Eurostat EB products IEA'!$A$4:$BN$135,
           MATCH($B5:$K5, 'Eurostat EB products IEA'!$A$4:$A$135, 0),
           MATCH(AB$1, 'Eurostat EB products IEA'!$A$4:$BN$4, 0)
     )
     * $L5:$U5,
     0
  )
)</f>
        <v>0</v>
      </c>
      <c r="AC5" s="57" cm="1">
        <f t="array" ref="AC5">SUMPRODUCT(
  IF($B5:$K5&lt;&gt;"",
     INDEX('Eurostat EB products IEA'!$A$4:$BN$135,
           MATCH($B5:$K5, 'Eurostat EB products IEA'!$A$4:$A$135, 0),
           MATCH(AC$1, 'Eurostat EB products IEA'!$A$4:$BN$4, 0)
     )
     * $L5:$U5,
     0
  )
)</f>
        <v>0</v>
      </c>
      <c r="AD5" s="57" cm="1">
        <f t="array" ref="AD5">SUMPRODUCT(
  IF($B5:$K5&lt;&gt;"",
     INDEX('Eurostat EB products IEA'!$A$4:$BN$135,
           MATCH($B5:$K5, 'Eurostat EB products IEA'!$A$4:$A$135, 0),
           MATCH(AD$1, 'Eurostat EB products IEA'!$A$4:$BN$4, 0)
     )
     * $L5:$U5,
     0
  )
)</f>
        <v>-11551.995999999999</v>
      </c>
      <c r="AE5" s="57" cm="1">
        <f t="array" ref="AE5">SUMPRODUCT(
  IF($B5:$K5&lt;&gt;"",
     INDEX('Eurostat EB products IEA'!$A$4:$BN$135,
           MATCH($B5:$K5, 'Eurostat EB products IEA'!$A$4:$A$135, 0),
           MATCH(AE$1, 'Eurostat EB products IEA'!$A$4:$BN$4, 0)
     )
     * $L5:$U5,
     0
  )
)</f>
        <v>0</v>
      </c>
      <c r="AF5" s="57" cm="1">
        <f t="array" ref="AF5">SUMPRODUCT(
  IF($B5:$K5&lt;&gt;"",
     INDEX('Eurostat EB products IEA'!$A$4:$BN$135,
           MATCH($B5:$K5, 'Eurostat EB products IEA'!$A$4:$A$135, 0),
           MATCH(AF$1, 'Eurostat EB products IEA'!$A$4:$BN$4, 0)
     )
     * $L5:$U5,
     0
  )
)</f>
        <v>-2256.0639999999999</v>
      </c>
      <c r="AG5" s="57" cm="1">
        <f t="array" ref="AG5">SUMPRODUCT(
  IF($B5:$K5&lt;&gt;"",
     INDEX('Eurostat EB products IEA'!$A$4:$BN$135,
           MATCH($B5:$K5, 'Eurostat EB products IEA'!$A$4:$A$135, 0),
           MATCH(AG$1, 'Eurostat EB products IEA'!$A$4:$BN$4, 0)
     )
     * $L5:$U5,
     0
  )
)</f>
        <v>0</v>
      </c>
      <c r="AH5" s="57" cm="1">
        <f t="array" ref="AH5">SUMPRODUCT(
  IF($B5:$K5&lt;&gt;"",
     INDEX('Eurostat EB products IEA'!$A$4:$BN$135,
           MATCH($B5:$K5, 'Eurostat EB products IEA'!$A$4:$A$135, 0),
           MATCH(AH$1, 'Eurostat EB products IEA'!$A$4:$BN$4, 0)
     )
     * $L5:$U5,
     0
  )
)</f>
        <v>0</v>
      </c>
      <c r="AI5" s="57" cm="1">
        <f t="array" ref="AI5">SUMPRODUCT(
  IF($B5:$K5&lt;&gt;"",
     INDEX('Eurostat EB products IEA'!$A$4:$BN$135,
           MATCH($B5:$K5, 'Eurostat EB products IEA'!$A$4:$A$135, 0),
           MATCH(AI$1, 'Eurostat EB products IEA'!$A$4:$BN$4, 0)
     )
     * $L5:$U5,
     0
  )
)</f>
        <v>0</v>
      </c>
      <c r="AJ5" s="57" cm="1">
        <f t="array" ref="AJ5">SUMPRODUCT(
  IF($B5:$K5&lt;&gt;"",
     INDEX('Eurostat EB products IEA'!$A$4:$BN$135,
           MATCH($B5:$K5, 'Eurostat EB products IEA'!$A$4:$A$135, 0),
           MATCH(AJ$1, 'Eurostat EB products IEA'!$A$4:$BN$4, 0)
     )
     * $L5:$U5,
     0
  )
)</f>
        <v>0</v>
      </c>
      <c r="AK5" s="57" cm="1">
        <f t="array" ref="AK5">SUMPRODUCT(
  IF($B5:$K5&lt;&gt;"",
     INDEX('Eurostat EB products IEA'!$A$4:$BN$135,
           MATCH($B5:$K5, 'Eurostat EB products IEA'!$A$4:$A$135, 0),
           MATCH(AK$1, 'Eurostat EB products IEA'!$A$4:$BN$4, 0)
     )
     * $L5:$U5,
     0
  )
)</f>
        <v>0</v>
      </c>
      <c r="AL5" s="57" cm="1">
        <f t="array" ref="AL5">SUMPRODUCT(
  IF($B5:$K5&lt;&gt;"",
     INDEX('Eurostat EB products IEA'!$A$4:$BN$135,
           MATCH($B5:$K5, 'Eurostat EB products IEA'!$A$4:$A$135, 0),
           MATCH(AL$1, 'Eurostat EB products IEA'!$A$4:$BN$4, 0)
     )
     * $L5:$U5,
     0
  )
)</f>
        <v>0</v>
      </c>
      <c r="AM5" s="57" cm="1">
        <f t="array" ref="AM5">SUMPRODUCT(
  IF($B5:$K5&lt;&gt;"",
     INDEX('Eurostat EB products IEA'!$A$4:$BN$135,
           MATCH($B5:$K5, 'Eurostat EB products IEA'!$A$4:$A$135, 0),
           MATCH(AM$1, 'Eurostat EB products IEA'!$A$4:$BN$4, 0)
     )
     * $L5:$U5,
     0
  )
)</f>
        <v>-598477.35</v>
      </c>
      <c r="AN5" s="65" t="s">
        <v>323</v>
      </c>
      <c r="AO5" s="57" cm="1">
        <f t="array" ref="AO5">SUMPRODUCT(
  IF($B5:$K5&lt;&gt;"",
     INDEX('Eurostat EB products IEA'!$A$4:$BN$135,
           MATCH($B5:$K5, 'Eurostat EB products IEA'!$A$4:$A$135, 0),
           MATCH(AO$1, 'Eurostat EB products IEA'!$A$4:$BN$4, 0)
     )
     * $L5:$U5,
     0
  )
)</f>
        <v>-788.79700000000003</v>
      </c>
      <c r="AP5" s="57" cm="1">
        <f t="array" ref="AP5">SUMPRODUCT(
  IF($B5:$K5&lt;&gt;"",
     INDEX('Eurostat EB products IEA'!$A$4:$BN$135,
           MATCH($B5:$K5, 'Eurostat EB products IEA'!$A$4:$A$135, 0),
           MATCH(AP$1, 'Eurostat EB products IEA'!$A$4:$BN$4, 0)
     )
     * $L5:$U5,
     0
  )
)</f>
        <v>-4516.0720000000001</v>
      </c>
      <c r="AQ5" s="57" cm="1">
        <f t="array" ref="AQ5">SUMPRODUCT(
  IF($B5:$K5&lt;&gt;"",
     INDEX('Eurostat EB products IEA'!$A$4:$BN$135,
           MATCH($B5:$K5, 'Eurostat EB products IEA'!$A$4:$A$135, 0),
           MATCH(AQ$1, 'Eurostat EB products IEA'!$A$4:$BN$4, 0)
     )
     * $L5:$U5,
     0
  )
)</f>
        <v>0</v>
      </c>
      <c r="AR5" s="57" cm="1">
        <f t="array" ref="AR5">SUMPRODUCT(
  IF($B5:$K5&lt;&gt;"",
     INDEX('Eurostat EB products IEA'!$A$4:$BN$135,
           MATCH($B5:$K5, 'Eurostat EB products IEA'!$A$4:$A$135, 0),
           MATCH(AR$1, 'Eurostat EB products IEA'!$A$4:$BN$4, 0)
     )
     * $L5:$U5,
     0
  )
)</f>
        <v>-41038.536</v>
      </c>
      <c r="AS5" s="57" cm="1">
        <f t="array" ref="AS5">SUMPRODUCT(
  IF($B5:$K5&lt;&gt;"",
     INDEX('Eurostat EB products IEA'!$A$4:$BN$135,
           MATCH($B5:$K5, 'Eurostat EB products IEA'!$A$4:$A$135, 0),
           MATCH(AS$1, 'Eurostat EB products IEA'!$A$4:$BN$4, 0)
     )
     * $L5:$U5,
     0
  )
)</f>
        <v>0</v>
      </c>
      <c r="AT5" s="57" cm="1">
        <f t="array" ref="AT5">SUMPRODUCT(
  IF($B5:$K5&lt;&gt;"",
     INDEX('Eurostat EB products IEA'!$A$4:$BN$135,
           MATCH($B5:$K5, 'Eurostat EB products IEA'!$A$4:$A$135, 0),
           MATCH(AT$1, 'Eurostat EB products IEA'!$A$4:$BN$4, 0)
     )
     * $L5:$U5,
     0
  )
)</f>
        <v>0</v>
      </c>
      <c r="AU5" s="57" cm="1">
        <f t="array" ref="AU5">SUMPRODUCT(
  IF($B5:$K5&lt;&gt;"",
     INDEX('Eurostat EB products IEA'!$A$4:$BN$135,
           MATCH($B5:$K5, 'Eurostat EB products IEA'!$A$4:$A$135, 0),
           MATCH(AU$1, 'Eurostat EB products IEA'!$A$4:$BN$4, 0)
     )
     * $L5:$U5,
     0
  )
)</f>
        <v>0</v>
      </c>
      <c r="AV5" s="57" cm="1">
        <f t="array" ref="AV5">SUMPRODUCT(
  IF($B5:$K5&lt;&gt;"",
     INDEX('Eurostat EB products IEA'!$A$4:$BN$135,
           MATCH($B5:$K5, 'Eurostat EB products IEA'!$A$4:$A$135, 0),
           MATCH(AV$1, 'Eurostat EB products IEA'!$A$4:$BN$4, 0)
     )
     * $L5:$U5,
     0
  )
)</f>
        <v>-95006.081000000006</v>
      </c>
      <c r="AW5" s="57" cm="1">
        <f t="array" ref="AW5">SUMPRODUCT(
  IF($B5:$K5&lt;&gt;"",
     INDEX('Eurostat EB products IEA'!$A$4:$BN$135,
           MATCH($B5:$K5, 'Eurostat EB products IEA'!$A$4:$A$135, 0),
           MATCH(AW$1, 'Eurostat EB products IEA'!$A$4:$BN$4, 0)
     )
     * $L5:$U5,
     0
  )
)</f>
        <v>-900051.24399999995</v>
      </c>
      <c r="AX5" s="57" cm="1">
        <f t="array" ref="AX5">SUMPRODUCT(
  IF($B5:$K5&lt;&gt;"",
     INDEX('Eurostat EB products IEA'!$A$4:$BN$135,
           MATCH($B5:$K5, 'Eurostat EB products IEA'!$A$4:$A$135, 0),
           MATCH(AX$1, 'Eurostat EB products IEA'!$A$4:$BN$4, 0)
     )
     * $L5:$U5,
     0
  )
)</f>
        <v>-2898.34</v>
      </c>
      <c r="AY5" s="57" cm="1">
        <f t="array" ref="AY5">SUMPRODUCT(
  IF($B5:$K5&lt;&gt;"",
     INDEX('Eurostat EB products IEA'!$A$4:$BN$135,
           MATCH($B5:$K5, 'Eurostat EB products IEA'!$A$4:$A$135, 0),
           MATCH(AY$1, 'Eurostat EB products IEA'!$A$4:$BN$4, 0)
     )
     * $L5:$U5,
     0
  )
)</f>
        <v>0</v>
      </c>
      <c r="AZ5" s="57" cm="1">
        <f t="array" ref="AZ5">SUMPRODUCT(
  IF($B5:$K5&lt;&gt;"",
     INDEX('Eurostat EB products IEA'!$A$4:$BN$135,
           MATCH($B5:$K5, 'Eurostat EB products IEA'!$A$4:$A$135, 0),
           MATCH(AZ$1, 'Eurostat EB products IEA'!$A$4:$BN$4, 0)
     )
     * $L5:$U5,
     0
  )
)</f>
        <v>-358648.68400000001</v>
      </c>
      <c r="BA5" s="57" cm="1">
        <f t="array" ref="BA5">SUMPRODUCT(
  IF($B5:$K5&lt;&gt;"",
     INDEX('Eurostat EB products IEA'!$A$4:$BN$135,
           MATCH($B5:$K5, 'Eurostat EB products IEA'!$A$4:$A$135, 0),
           MATCH(BA$1, 'Eurostat EB products IEA'!$A$4:$BN$4, 0)
     )
     * $L5:$U5,
     0
  )
)</f>
        <v>-36859.535000000003</v>
      </c>
      <c r="BB5" s="57" cm="1">
        <f t="array" ref="BB5">SUMPRODUCT(
  IF($B5:$K5&lt;&gt;"",
     INDEX('Eurostat EB products IEA'!$A$4:$BN$135,
           MATCH($B5:$K5, 'Eurostat EB products IEA'!$A$4:$A$135, 0),
           MATCH(BB$1, 'Eurostat EB products IEA'!$A$4:$BN$4, 0)
     )
     * $L5:$U5,
     0
  )
)</f>
        <v>-1113094.773</v>
      </c>
      <c r="BC5" s="57" cm="1">
        <f t="array" ref="BC5">SUMPRODUCT(
  IF($B5:$K5&lt;&gt;"",
     INDEX('Eurostat EB products IEA'!$A$4:$BN$135,
           MATCH($B5:$K5, 'Eurostat EB products IEA'!$A$4:$A$135, 0),
           MATCH(BC$1, 'Eurostat EB products IEA'!$A$4:$BN$4, 0)
     )
     * $L5:$U5,
     0
  )
)</f>
        <v>-930513.51100000006</v>
      </c>
      <c r="BD5" s="57" cm="1">
        <f t="array" ref="BD5">SUMPRODUCT(
  IF($B5:$K5&lt;&gt;"",
     INDEX('Eurostat EB products IEA'!$A$4:$BN$135,
           MATCH($B5:$K5, 'Eurostat EB products IEA'!$A$4:$A$135, 0),
           MATCH(BD$1, 'Eurostat EB products IEA'!$A$4:$BN$4, 0)
     )
     * $L5:$U5,
     0
  )
)</f>
        <v>-586802.53200000001</v>
      </c>
      <c r="BE5" s="57" cm="1">
        <f t="array" ref="BE5">SUMPRODUCT(
  IF($B5:$K5&lt;&gt;"",
     INDEX('Eurostat EB products IEA'!$A$4:$BN$135,
           MATCH($B5:$K5, 'Eurostat EB products IEA'!$A$4:$A$135, 0),
           MATCH(BE$1, 'Eurostat EB products IEA'!$A$4:$BN$4, 0)
     )
     * $L5:$U5,
     0
  )
)</f>
        <v>-97476.262000000002</v>
      </c>
      <c r="BF5" s="57" cm="1">
        <f t="array" ref="BF5">SUMPRODUCT(
  IF($B5:$K5&lt;&gt;"",
     INDEX('Eurostat EB products IEA'!$A$4:$BN$135,
           MATCH($B5:$K5, 'Eurostat EB products IEA'!$A$4:$A$135, 0),
           MATCH(BF$1, 'Eurostat EB products IEA'!$A$4:$BN$4, 0)
     )
     * $L5:$U5,
     0
  )
)</f>
        <v>-116913.849</v>
      </c>
      <c r="BG5" s="57" cm="1">
        <f t="array" ref="BG5">SUMPRODUCT(
  IF($B5:$K5&lt;&gt;"",
     INDEX('Eurostat EB products IEA'!$A$4:$BN$135,
           MATCH($B5:$K5, 'Eurostat EB products IEA'!$A$4:$A$135, 0),
           MATCH(BG$1, 'Eurostat EB products IEA'!$A$4:$BN$4, 0)
     )
     * $L5:$U5,
     0
  )
)</f>
        <v>-52617.432999999997</v>
      </c>
      <c r="BH5" s="57" cm="1">
        <f t="array" ref="BH5">SUMPRODUCT(
  IF($B5:$K5&lt;&gt;"",
     INDEX('Eurostat EB products IEA'!$A$4:$BN$135,
           MATCH($B5:$K5, 'Eurostat EB products IEA'!$A$4:$A$135, 0),
           MATCH(BH$1, 'Eurostat EB products IEA'!$A$4:$BN$4, 0)
     )
     * $L5:$U5,
     0
  )
)</f>
        <v>-8041.7430000000004</v>
      </c>
      <c r="BI5" s="57" cm="1">
        <f t="array" ref="BI5">SUMPRODUCT(
  IF($B5:$K5&lt;&gt;"",
     INDEX('Eurostat EB products IEA'!$A$4:$BN$135,
           MATCH($B5:$K5, 'Eurostat EB products IEA'!$A$4:$A$135, 0),
           MATCH(BI$1, 'Eurostat EB products IEA'!$A$4:$BN$4, 0)
     )
     * $L5:$U5,
     0
  )
)</f>
        <v>-59454.565000000002</v>
      </c>
      <c r="BJ5" s="57" cm="1">
        <f t="array" ref="BJ5">SUMPRODUCT(
  IF($B5:$K5&lt;&gt;"",
     INDEX('Eurostat EB products IEA'!$A$4:$BN$135,
           MATCH($B5:$K5, 'Eurostat EB products IEA'!$A$4:$A$135, 0),
           MATCH(BJ$1, 'Eurostat EB products IEA'!$A$4:$BN$4, 0)
     )
     * $L5:$U5,
     0
  )
)</f>
        <v>-57225.262000000002</v>
      </c>
      <c r="BK5" s="57" cm="1">
        <f t="array" ref="BK5">SUMPRODUCT(
  IF($B5:$K5&lt;&gt;"",
     INDEX('Eurostat EB products IEA'!$A$4:$BN$135,
           MATCH($B5:$K5, 'Eurostat EB products IEA'!$A$4:$A$135, 0),
           MATCH(BK$1, 'Eurostat EB products IEA'!$A$4:$BN$4, 0)
     )
     * $L5:$U5,
     0
  )
)</f>
        <v>0</v>
      </c>
      <c r="BL5" s="57" cm="1">
        <f t="array" ref="BL5">SUMPRODUCT(
  IF($B5:$K5&lt;&gt;"",
     INDEX('Eurostat EB products IEA'!$A$4:$BN$135,
           MATCH($B5:$K5, 'Eurostat EB products IEA'!$A$4:$A$135, 0),
           MATCH(BL$1, 'Eurostat EB products IEA'!$A$4:$BN$4, 0)
     )
     * $L5:$U5,
     0
  )
)</f>
        <v>-941.66700000000003</v>
      </c>
      <c r="BM5" s="57" cm="1">
        <f t="array" ref="BM5">SUMPRODUCT(
  IF($B5:$K5&lt;&gt;"",
     INDEX('Eurostat EB products IEA'!$A$4:$BN$135,
           MATCH($B5:$K5, 'Eurostat EB products IEA'!$A$4:$A$135, 0),
           MATCH(BM$1, 'Eurostat EB products IEA'!$A$4:$BN$4, 0)
     )
     * $L5:$U5,
     0
  )
)</f>
        <v>-835.06299999999999</v>
      </c>
      <c r="BN5" s="57" cm="1">
        <f t="array" ref="BN5">SUMPRODUCT(
  IF($B5:$K5&lt;&gt;"",
     INDEX('Eurostat EB products IEA'!$A$4:$BN$135,
           MATCH($B5:$K5, 'Eurostat EB products IEA'!$A$4:$A$135, 0),
           MATCH(BN$1, 'Eurostat EB products IEA'!$A$4:$BN$4, 0)
     )
     * $L5:$U5,
     0
  )
)</f>
        <v>-14253.745000000001</v>
      </c>
      <c r="BO5" s="57" cm="1">
        <f t="array" ref="BO5">SUMPRODUCT(
  IF($B5:$K5&lt;&gt;"",
     INDEX('Eurostat EB products IEA'!$A$4:$BN$135,
           MATCH($B5:$K5, 'Eurostat EB products IEA'!$A$4:$A$135, 0),
           MATCH(BO$1, 'Eurostat EB products IEA'!$A$4:$BN$4, 0)
     )
     * $L5:$U5,
     0
  )
)</f>
        <v>0</v>
      </c>
      <c r="BP5" s="57" cm="1">
        <f t="array" ref="BP5">SUMPRODUCT(
  IF($B5:$K5&lt;&gt;"",
     INDEX('Eurostat EB products IEA'!$A$4:$BN$135,
           MATCH($B5:$K5, 'Eurostat EB products IEA'!$A$4:$A$135, 0),
           MATCH(BP$1, 'Eurostat EB products IEA'!$A$4:$BN$4, 0)
     )
     * $L5:$U5,
     0
  )
)</f>
        <v>-3586.5450000000001</v>
      </c>
      <c r="BQ5" s="57" cm="1">
        <f t="array" ref="BQ5">SUMPRODUCT(
  IF($B5:$K5&lt;&gt;"",
     INDEX('Eurostat EB products IEA'!$A$4:$BN$135,
           MATCH($B5:$K5, 'Eurostat EB products IEA'!$A$4:$A$135, 0),
           MATCH(BQ$1, 'Eurostat EB products IEA'!$A$4:$BN$4, 0)
     )
     * $L5:$U5,
     0
  )
)</f>
        <v>-64463.71</v>
      </c>
      <c r="BR5" s="57" cm="1">
        <f t="array" ref="BR5">SUMPRODUCT(
  IF($B5:$K5&lt;&gt;"",
     INDEX('Eurostat EB products IEA'!$A$4:$BN$135,
           MATCH($B5:$K5, 'Eurostat EB products IEA'!$A$4:$A$135, 0),
           MATCH(BR$1, 'Eurostat EB products IEA'!$A$4:$BN$4, 0)
     )
     * $L5:$U5,
     0
  )
)</f>
        <v>0</v>
      </c>
      <c r="BS5" s="65">
        <v>0</v>
      </c>
      <c r="BT5" s="57" cm="1">
        <f t="array" ref="BT5">SUMPRODUCT(
  IF($B5:$K5&lt;&gt;"",
     INDEX('Eurostat EB products IEA'!$A$4:$BN$135,
           MATCH($B5:$K5, 'Eurostat EB products IEA'!$A$4:$A$135, 0),
           MATCH(BT$1, 'Eurostat EB products IEA'!$A$4:$BN$4, 0)
     )
     * $L5:$U5,
     0
  )
)</f>
        <v>0</v>
      </c>
      <c r="BU5" s="65">
        <v>0</v>
      </c>
      <c r="BV5" s="65">
        <v>0</v>
      </c>
      <c r="BW5" s="57" cm="1">
        <f t="array" ref="BW5">SUMPRODUCT(
  IF($B5:$K5&lt;&gt;"",
     INDEX('Eurostat EB products IEA'!$A$4:$BN$135,
           MATCH($B5:$K5, 'Eurostat EB products IEA'!$A$4:$A$135, 0),
           MATCH(BW$1, 'Eurostat EB products IEA'!$A$4:$BN$4, 0)
     )
     * $L5:$U5,
     0
  )
)</f>
        <v>0</v>
      </c>
      <c r="BX5" s="57" cm="1">
        <f t="array" ref="BX5">SUMPRODUCT(
  IF($B5:$K5&lt;&gt;"",
     INDEX('Eurostat EB products IEA'!$A$4:$BN$135,
           MATCH($B5:$K5, 'Eurostat EB products IEA'!$A$4:$A$135, 0),
           MATCH(BX$1, 'Eurostat EB products IEA'!$A$4:$BN$4, 0)
     )
     * $L5:$U5,
     0
  )
)</f>
        <v>0</v>
      </c>
      <c r="BY5" s="57" cm="1">
        <f t="array" ref="BY5">SUMPRODUCT(
  IF($B5:$K5&lt;&gt;"",
     INDEX('Eurostat EB products IEA'!$A$4:$BN$135,
           MATCH($B5:$K5, 'Eurostat EB products IEA'!$A$4:$A$135, 0),
           MATCH(BY$1, 'Eurostat EB products IEA'!$A$4:$BN$4, 0)
     )
     * $L5:$U5,
     0
  )
)</f>
        <v>0</v>
      </c>
      <c r="BZ5" s="57" cm="1">
        <f t="array" ref="BZ5">SUMPRODUCT(
  IF($B5:$K5&lt;&gt;"",
     INDEX('Eurostat EB products IEA'!$A$4:$BN$135,
           MATCH($B5:$K5, 'Eurostat EB products IEA'!$A$4:$A$135, 0),
           MATCH(BZ$1, 'Eurostat EB products IEA'!$A$4:$BN$4, 0)
     )
     * $L5:$U5,
     0
  )
)</f>
        <v>0</v>
      </c>
      <c r="CA5" s="57" cm="1">
        <f t="array" ref="CA5">SUMPRODUCT(
  IF($B5:$K5&lt;&gt;"",
     INDEX('Eurostat EB products IEA'!$A$4:$BN$135,
           MATCH($B5:$K5, 'Eurostat EB products IEA'!$A$4:$A$135, 0),
           MATCH(CA$1, 'Eurostat EB products IEA'!$A$4:$BN$4, 0)
     )
     * $L5:$U5,
     0
  )
)</f>
        <v>0</v>
      </c>
      <c r="CB5" s="57" cm="1">
        <f t="array" ref="CB5">SUMPRODUCT(
  IF($B5:$K5&lt;&gt;"",
     INDEX('Eurostat EB products IEA'!$A$4:$BN$135,
           MATCH($B5:$K5, 'Eurostat EB products IEA'!$A$4:$A$135, 0),
           MATCH(CB$1, 'Eurostat EB products IEA'!$A$4:$BN$4, 0)
     )
     * $L5:$U5,
     0
  )
)</f>
        <v>0</v>
      </c>
      <c r="CC5" s="57" cm="1">
        <f t="array" ref="CC5">SUMPRODUCT(
  IF($B5:$K5&lt;&gt;"",
     INDEX('Eurostat EB products IEA'!$A$4:$BN$135,
           MATCH($B5:$K5, 'Eurostat EB products IEA'!$A$4:$A$135, 0),
           MATCH(CC$1, 'Eurostat EB products IEA'!$A$4:$BN$4, 0)
     )
     * $L5:$U5,
     0
  )
)</f>
        <v>0</v>
      </c>
      <c r="CD5" s="65">
        <v>0</v>
      </c>
      <c r="CE5" s="57" cm="1">
        <f t="array" ref="CE5">SUMPRODUCT(
  IF($B5:$K5&lt;&gt;"",
     INDEX('Eurostat EB products IEA'!$A$4:$BN$135,
           MATCH($B5:$K5, 'Eurostat EB products IEA'!$A$4:$A$135, 0),
           MATCH(CE$1, 'Eurostat EB products IEA'!$A$4:$BN$4, 0)
     )
     * $L5:$U5,
     0
  )
)</f>
        <v>-90742.1</v>
      </c>
      <c r="CF5" s="57" cm="1">
        <f t="array" ref="CF5">SUMPRODUCT(
  IF($B5:$K5&lt;&gt;"",
     INDEX('Eurostat EB products IEA'!$A$4:$BN$135,
           MATCH($B5:$K5, 'Eurostat EB products IEA'!$A$4:$A$135, 0),
           MATCH(CF$1, 'Eurostat EB products IEA'!$A$4:$BN$4, 0)
     )
     * $L5:$U5,
     0
  )
)</f>
        <v>0</v>
      </c>
      <c r="CG5" s="57" cm="1">
        <f t="array" ref="CG5">SUMPRODUCT(
  IF($B5:$K5&lt;&gt;"",
     INDEX('Eurostat EB products IEA'!$A$4:$BN$135,
           MATCH($B5:$K5, 'Eurostat EB products IEA'!$A$4:$A$135, 0),
           MATCH(CG$1, 'Eurostat EB products IEA'!$A$4:$BN$4, 0)
     )
     * $L5:$U5,
     0
  )
)</f>
        <v>-5249055.4579999996</v>
      </c>
      <c r="CH5" s="57" cm="1">
        <f t="array" ref="CH5">SUMPRODUCT(
  IF($B5:$K5&lt;&gt;"",
     INDEX('Eurostat EB products IEA'!$A$4:$BN$135,
           MATCH($B5:$K5, 'Eurostat EB products IEA'!$A$4:$A$135, 0),
           MATCH(CH$1, 'Eurostat EB products IEA'!$A$4:$BN$4, 0)
     )
     * $L5:$U5,
     0
  )
)</f>
        <v>-95416.884000000005</v>
      </c>
    </row>
    <row r="6" spans="1:86" x14ac:dyDescent="0.2">
      <c r="A6" t="s">
        <v>144</v>
      </c>
      <c r="B6" s="75"/>
      <c r="C6" s="77"/>
      <c r="D6" s="75"/>
      <c r="E6" s="77"/>
      <c r="F6" s="75"/>
      <c r="G6" s="77"/>
      <c r="H6" s="75"/>
      <c r="I6" s="77"/>
      <c r="J6" s="74"/>
      <c r="K6" s="78" t="s">
        <v>78</v>
      </c>
      <c r="L6" s="76"/>
      <c r="M6" s="79"/>
      <c r="N6" s="76"/>
      <c r="O6" s="79"/>
      <c r="P6" s="76"/>
      <c r="Q6" s="79"/>
      <c r="R6" s="76"/>
      <c r="S6" s="79"/>
      <c r="T6" s="76"/>
      <c r="U6" s="79">
        <v>-1</v>
      </c>
      <c r="V6" s="65" t="s">
        <v>323</v>
      </c>
      <c r="W6" s="65" t="s">
        <v>323</v>
      </c>
      <c r="X6" s="17" cm="1">
        <f t="array" ref="X6">SUMPRODUCT(
  IF($B6:$K6&lt;&gt;"",
     INDEX('Eurostat EB products IEA'!$A$4:$BN$135,
           MATCH($B6:$K6, 'Eurostat EB products IEA'!$A$4:$A$135, 0),
           MATCH(X$1, 'Eurostat EB products IEA'!$A$4:$BN$4, 0)
     )
     * $L6:$U6,
     0
  )
)</f>
        <v>0</v>
      </c>
      <c r="Y6" s="17" cm="1">
        <f t="array" ref="Y6">SUMPRODUCT(
  IF($B6:$K6&lt;&gt;"",
     INDEX('Eurostat EB products IEA'!$A$4:$BN$135,
           MATCH($B6:$K6, 'Eurostat EB products IEA'!$A$4:$A$135, 0),
           MATCH(Y$1, 'Eurostat EB products IEA'!$A$4:$BN$4, 0)
     )
     * $L6:$U6,
     0
  )
)</f>
        <v>0</v>
      </c>
      <c r="Z6" s="17" cm="1">
        <f t="array" ref="Z6">SUMPRODUCT(
  IF($B6:$K6&lt;&gt;"",
     INDEX('Eurostat EB products IEA'!$A$4:$BN$135,
           MATCH($B6:$K6, 'Eurostat EB products IEA'!$A$4:$A$135, 0),
           MATCH(Z$1, 'Eurostat EB products IEA'!$A$4:$BN$4, 0)
     )
     * $L6:$U6,
     0
  )
)</f>
        <v>0</v>
      </c>
      <c r="AA6" s="17" cm="1">
        <f t="array" ref="AA6">SUMPRODUCT(
  IF($B6:$K6&lt;&gt;"",
     INDEX('Eurostat EB products IEA'!$A$4:$BN$135,
           MATCH($B6:$K6, 'Eurostat EB products IEA'!$A$4:$A$135, 0),
           MATCH(AA$1, 'Eurostat EB products IEA'!$A$4:$BN$4, 0)
     )
     * $L6:$U6,
     0
  )
)</f>
        <v>0</v>
      </c>
      <c r="AB6" s="17" cm="1">
        <f t="array" ref="AB6">SUMPRODUCT(
  IF($B6:$K6&lt;&gt;"",
     INDEX('Eurostat EB products IEA'!$A$4:$BN$135,
           MATCH($B6:$K6, 'Eurostat EB products IEA'!$A$4:$A$135, 0),
           MATCH(AB$1, 'Eurostat EB products IEA'!$A$4:$BN$4, 0)
     )
     * $L6:$U6,
     0
  )
)</f>
        <v>0</v>
      </c>
      <c r="AC6" s="17" cm="1">
        <f t="array" ref="AC6">SUMPRODUCT(
  IF($B6:$K6&lt;&gt;"",
     INDEX('Eurostat EB products IEA'!$A$4:$BN$135,
           MATCH($B6:$K6, 'Eurostat EB products IEA'!$A$4:$A$135, 0),
           MATCH(AC$1, 'Eurostat EB products IEA'!$A$4:$BN$4, 0)
     )
     * $L6:$U6,
     0
  )
)</f>
        <v>0</v>
      </c>
      <c r="AD6" s="17" cm="1">
        <f t="array" ref="AD6">SUMPRODUCT(
  IF($B6:$K6&lt;&gt;"",
     INDEX('Eurostat EB products IEA'!$A$4:$BN$135,
           MATCH($B6:$K6, 'Eurostat EB products IEA'!$A$4:$A$135, 0),
           MATCH(AD$1, 'Eurostat EB products IEA'!$A$4:$BN$4, 0)
     )
     * $L6:$U6,
     0
  )
)</f>
        <v>0</v>
      </c>
      <c r="AE6" s="17" cm="1">
        <f t="array" ref="AE6">SUMPRODUCT(
  IF($B6:$K6&lt;&gt;"",
     INDEX('Eurostat EB products IEA'!$A$4:$BN$135,
           MATCH($B6:$K6, 'Eurostat EB products IEA'!$A$4:$A$135, 0),
           MATCH(AE$1, 'Eurostat EB products IEA'!$A$4:$BN$4, 0)
     )
     * $L6:$U6,
     0
  )
)</f>
        <v>0</v>
      </c>
      <c r="AF6" s="17" cm="1">
        <f t="array" ref="AF6">SUMPRODUCT(
  IF($B6:$K6&lt;&gt;"",
     INDEX('Eurostat EB products IEA'!$A$4:$BN$135,
           MATCH($B6:$K6, 'Eurostat EB products IEA'!$A$4:$A$135, 0),
           MATCH(AF$1, 'Eurostat EB products IEA'!$A$4:$BN$4, 0)
     )
     * $L6:$U6,
     0
  )
)</f>
        <v>0</v>
      </c>
      <c r="AG6" s="17" cm="1">
        <f t="array" ref="AG6">SUMPRODUCT(
  IF($B6:$K6&lt;&gt;"",
     INDEX('Eurostat EB products IEA'!$A$4:$BN$135,
           MATCH($B6:$K6, 'Eurostat EB products IEA'!$A$4:$A$135, 0),
           MATCH(AG$1, 'Eurostat EB products IEA'!$A$4:$BN$4, 0)
     )
     * $L6:$U6,
     0
  )
)</f>
        <v>0</v>
      </c>
      <c r="AH6" s="17" cm="1">
        <f t="array" ref="AH6">SUMPRODUCT(
  IF($B6:$K6&lt;&gt;"",
     INDEX('Eurostat EB products IEA'!$A$4:$BN$135,
           MATCH($B6:$K6, 'Eurostat EB products IEA'!$A$4:$A$135, 0),
           MATCH(AH$1, 'Eurostat EB products IEA'!$A$4:$BN$4, 0)
     )
     * $L6:$U6,
     0
  )
)</f>
        <v>0</v>
      </c>
      <c r="AI6" s="17" cm="1">
        <f t="array" ref="AI6">SUMPRODUCT(
  IF($B6:$K6&lt;&gt;"",
     INDEX('Eurostat EB products IEA'!$A$4:$BN$135,
           MATCH($B6:$K6, 'Eurostat EB products IEA'!$A$4:$A$135, 0),
           MATCH(AI$1, 'Eurostat EB products IEA'!$A$4:$BN$4, 0)
     )
     * $L6:$U6,
     0
  )
)</f>
        <v>0</v>
      </c>
      <c r="AJ6" s="17" cm="1">
        <f t="array" ref="AJ6">SUMPRODUCT(
  IF($B6:$K6&lt;&gt;"",
     INDEX('Eurostat EB products IEA'!$A$4:$BN$135,
           MATCH($B6:$K6, 'Eurostat EB products IEA'!$A$4:$A$135, 0),
           MATCH(AJ$1, 'Eurostat EB products IEA'!$A$4:$BN$4, 0)
     )
     * $L6:$U6,
     0
  )
)</f>
        <v>0</v>
      </c>
      <c r="AK6" s="17" cm="1">
        <f t="array" ref="AK6">SUMPRODUCT(
  IF($B6:$K6&lt;&gt;"",
     INDEX('Eurostat EB products IEA'!$A$4:$BN$135,
           MATCH($B6:$K6, 'Eurostat EB products IEA'!$A$4:$A$135, 0),
           MATCH(AK$1, 'Eurostat EB products IEA'!$A$4:$BN$4, 0)
     )
     * $L6:$U6,
     0
  )
)</f>
        <v>0</v>
      </c>
      <c r="AL6" s="17" cm="1">
        <f t="array" ref="AL6">SUMPRODUCT(
  IF($B6:$K6&lt;&gt;"",
     INDEX('Eurostat EB products IEA'!$A$4:$BN$135,
           MATCH($B6:$K6, 'Eurostat EB products IEA'!$A$4:$A$135, 0),
           MATCH(AL$1, 'Eurostat EB products IEA'!$A$4:$BN$4, 0)
     )
     * $L6:$U6,
     0
  )
)</f>
        <v>0</v>
      </c>
      <c r="AM6" s="17" cm="1">
        <f t="array" ref="AM6">SUMPRODUCT(
  IF($B6:$K6&lt;&gt;"",
     INDEX('Eurostat EB products IEA'!$A$4:$BN$135,
           MATCH($B6:$K6, 'Eurostat EB products IEA'!$A$4:$A$135, 0),
           MATCH(AM$1, 'Eurostat EB products IEA'!$A$4:$BN$4, 0)
     )
     * $L6:$U6,
     0
  )
)</f>
        <v>-8644.0669999999991</v>
      </c>
      <c r="AN6" s="65" t="s">
        <v>323</v>
      </c>
      <c r="AO6" s="17" cm="1">
        <f t="array" ref="AO6">SUMPRODUCT(
  IF($B6:$K6&lt;&gt;"",
     INDEX('Eurostat EB products IEA'!$A$4:$BN$135,
           MATCH($B6:$K6, 'Eurostat EB products IEA'!$A$4:$A$135, 0),
           MATCH(AO$1, 'Eurostat EB products IEA'!$A$4:$BN$4, 0)
     )
     * $L6:$U6,
     0
  )
)</f>
        <v>0</v>
      </c>
      <c r="AP6" s="17" cm="1">
        <f t="array" ref="AP6">SUMPRODUCT(
  IF($B6:$K6&lt;&gt;"",
     INDEX('Eurostat EB products IEA'!$A$4:$BN$135,
           MATCH($B6:$K6, 'Eurostat EB products IEA'!$A$4:$A$135, 0),
           MATCH(AP$1, 'Eurostat EB products IEA'!$A$4:$BN$4, 0)
     )
     * $L6:$U6,
     0
  )
)</f>
        <v>0</v>
      </c>
      <c r="AQ6" s="17" cm="1">
        <f t="array" ref="AQ6">SUMPRODUCT(
  IF($B6:$K6&lt;&gt;"",
     INDEX('Eurostat EB products IEA'!$A$4:$BN$135,
           MATCH($B6:$K6, 'Eurostat EB products IEA'!$A$4:$A$135, 0),
           MATCH(AQ$1, 'Eurostat EB products IEA'!$A$4:$BN$4, 0)
     )
     * $L6:$U6,
     0
  )
)</f>
        <v>0</v>
      </c>
      <c r="AR6" s="17" cm="1">
        <f t="array" ref="AR6">SUMPRODUCT(
  IF($B6:$K6&lt;&gt;"",
     INDEX('Eurostat EB products IEA'!$A$4:$BN$135,
           MATCH($B6:$K6, 'Eurostat EB products IEA'!$A$4:$A$135, 0),
           MATCH(AR$1, 'Eurostat EB products IEA'!$A$4:$BN$4, 0)
     )
     * $L6:$U6,
     0
  )
)</f>
        <v>0</v>
      </c>
      <c r="AS6" s="17" cm="1">
        <f t="array" ref="AS6">SUMPRODUCT(
  IF($B6:$K6&lt;&gt;"",
     INDEX('Eurostat EB products IEA'!$A$4:$BN$135,
           MATCH($B6:$K6, 'Eurostat EB products IEA'!$A$4:$A$135, 0),
           MATCH(AS$1, 'Eurostat EB products IEA'!$A$4:$BN$4, 0)
     )
     * $L6:$U6,
     0
  )
)</f>
        <v>0</v>
      </c>
      <c r="AT6" s="17" cm="1">
        <f t="array" ref="AT6">SUMPRODUCT(
  IF($B6:$K6&lt;&gt;"",
     INDEX('Eurostat EB products IEA'!$A$4:$BN$135,
           MATCH($B6:$K6, 'Eurostat EB products IEA'!$A$4:$A$135, 0),
           MATCH(AT$1, 'Eurostat EB products IEA'!$A$4:$BN$4, 0)
     )
     * $L6:$U6,
     0
  )
)</f>
        <v>0</v>
      </c>
      <c r="AU6" s="17" cm="1">
        <f t="array" ref="AU6">SUMPRODUCT(
  IF($B6:$K6&lt;&gt;"",
     INDEX('Eurostat EB products IEA'!$A$4:$BN$135,
           MATCH($B6:$K6, 'Eurostat EB products IEA'!$A$4:$A$135, 0),
           MATCH(AU$1, 'Eurostat EB products IEA'!$A$4:$BN$4, 0)
     )
     * $L6:$U6,
     0
  )
)</f>
        <v>0</v>
      </c>
      <c r="AV6" s="17" cm="1">
        <f t="array" ref="AV6">SUMPRODUCT(
  IF($B6:$K6&lt;&gt;"",
     INDEX('Eurostat EB products IEA'!$A$4:$BN$135,
           MATCH($B6:$K6, 'Eurostat EB products IEA'!$A$4:$A$135, 0),
           MATCH(AV$1, 'Eurostat EB products IEA'!$A$4:$BN$4, 0)
     )
     * $L6:$U6,
     0
  )
)</f>
        <v>0</v>
      </c>
      <c r="AW6" s="17" cm="1">
        <f t="array" ref="AW6">SUMPRODUCT(
  IF($B6:$K6&lt;&gt;"",
     INDEX('Eurostat EB products IEA'!$A$4:$BN$135,
           MATCH($B6:$K6, 'Eurostat EB products IEA'!$A$4:$A$135, 0),
           MATCH(AW$1, 'Eurostat EB products IEA'!$A$4:$BN$4, 0)
     )
     * $L6:$U6,
     0
  )
)</f>
        <v>0</v>
      </c>
      <c r="AX6" s="17" cm="1">
        <f t="array" ref="AX6">SUMPRODUCT(
  IF($B6:$K6&lt;&gt;"",
     INDEX('Eurostat EB products IEA'!$A$4:$BN$135,
           MATCH($B6:$K6, 'Eurostat EB products IEA'!$A$4:$A$135, 0),
           MATCH(AX$1, 'Eurostat EB products IEA'!$A$4:$BN$4, 0)
     )
     * $L6:$U6,
     0
  )
)</f>
        <v>0</v>
      </c>
      <c r="AY6" s="17" cm="1">
        <f t="array" ref="AY6">SUMPRODUCT(
  IF($B6:$K6&lt;&gt;"",
     INDEX('Eurostat EB products IEA'!$A$4:$BN$135,
           MATCH($B6:$K6, 'Eurostat EB products IEA'!$A$4:$A$135, 0),
           MATCH(AY$1, 'Eurostat EB products IEA'!$A$4:$BN$4, 0)
     )
     * $L6:$U6,
     0
  )
)</f>
        <v>0</v>
      </c>
      <c r="AZ6" s="17" cm="1">
        <f t="array" ref="AZ6">SUMPRODUCT(
  IF($B6:$K6&lt;&gt;"",
     INDEX('Eurostat EB products IEA'!$A$4:$BN$135,
           MATCH($B6:$K6, 'Eurostat EB products IEA'!$A$4:$A$135, 0),
           MATCH(AZ$1, 'Eurostat EB products IEA'!$A$4:$BN$4, 0)
     )
     * $L6:$U6,
     0
  )
)</f>
        <v>0</v>
      </c>
      <c r="BA6" s="17" cm="1">
        <f t="array" ref="BA6">SUMPRODUCT(
  IF($B6:$K6&lt;&gt;"",
     INDEX('Eurostat EB products IEA'!$A$4:$BN$135,
           MATCH($B6:$K6, 'Eurostat EB products IEA'!$A$4:$A$135, 0),
           MATCH(BA$1, 'Eurostat EB products IEA'!$A$4:$BN$4, 0)
     )
     * $L6:$U6,
     0
  )
)</f>
        <v>0</v>
      </c>
      <c r="BB6" s="17" cm="1">
        <f t="array" ref="BB6">SUMPRODUCT(
  IF($B6:$K6&lt;&gt;"",
     INDEX('Eurostat EB products IEA'!$A$4:$BN$135,
           MATCH($B6:$K6, 'Eurostat EB products IEA'!$A$4:$A$135, 0),
           MATCH(BB$1, 'Eurostat EB products IEA'!$A$4:$BN$4, 0)
     )
     * $L6:$U6,
     0
  )
)</f>
        <v>-63394.95</v>
      </c>
      <c r="BC6" s="17" cm="1">
        <f t="array" ref="BC6">SUMPRODUCT(
  IF($B6:$K6&lt;&gt;"",
     INDEX('Eurostat EB products IEA'!$A$4:$BN$135,
           MATCH($B6:$K6, 'Eurostat EB products IEA'!$A$4:$A$135, 0),
           MATCH(BC$1, 'Eurostat EB products IEA'!$A$4:$BN$4, 0)
     )
     * $L6:$U6,
     0
  )
)</f>
        <v>-357586.375</v>
      </c>
      <c r="BD6" s="17" cm="1">
        <f t="array" ref="BD6">SUMPRODUCT(
  IF($B6:$K6&lt;&gt;"",
     INDEX('Eurostat EB products IEA'!$A$4:$BN$135,
           MATCH($B6:$K6, 'Eurostat EB products IEA'!$A$4:$A$135, 0),
           MATCH(BD$1, 'Eurostat EB products IEA'!$A$4:$BN$4, 0)
     )
     * $L6:$U6,
     0
  )
)</f>
        <v>0</v>
      </c>
      <c r="BE6" s="17" cm="1">
        <f t="array" ref="BE6">SUMPRODUCT(
  IF($B6:$K6&lt;&gt;"",
     INDEX('Eurostat EB products IEA'!$A$4:$BN$135,
           MATCH($B6:$K6, 'Eurostat EB products IEA'!$A$4:$A$135, 0),
           MATCH(BE$1, 'Eurostat EB products IEA'!$A$4:$BN$4, 0)
     )
     * $L6:$U6,
     0
  )
)</f>
        <v>0</v>
      </c>
      <c r="BF6" s="17" cm="1">
        <f t="array" ref="BF6">SUMPRODUCT(
  IF($B6:$K6&lt;&gt;"",
     INDEX('Eurostat EB products IEA'!$A$4:$BN$135,
           MATCH($B6:$K6, 'Eurostat EB products IEA'!$A$4:$A$135, 0),
           MATCH(BF$1, 'Eurostat EB products IEA'!$A$4:$BN$4, 0)
     )
     * $L6:$U6,
     0
  )
)</f>
        <v>-4744.75</v>
      </c>
      <c r="BG6" s="17" cm="1">
        <f t="array" ref="BG6">SUMPRODUCT(
  IF($B6:$K6&lt;&gt;"",
     INDEX('Eurostat EB products IEA'!$A$4:$BN$135,
           MATCH($B6:$K6, 'Eurostat EB products IEA'!$A$4:$A$135, 0),
           MATCH(BG$1, 'Eurostat EB products IEA'!$A$4:$BN$4, 0)
     )
     * $L6:$U6,
     0
  )
)</f>
        <v>0</v>
      </c>
      <c r="BH6" s="17" cm="1">
        <f t="array" ref="BH6">SUMPRODUCT(
  IF($B6:$K6&lt;&gt;"",
     INDEX('Eurostat EB products IEA'!$A$4:$BN$135,
           MATCH($B6:$K6, 'Eurostat EB products IEA'!$A$4:$A$135, 0),
           MATCH(BH$1, 'Eurostat EB products IEA'!$A$4:$BN$4, 0)
     )
     * $L6:$U6,
     0
  )
)</f>
        <v>0</v>
      </c>
      <c r="BI6" s="17" cm="1">
        <f t="array" ref="BI6">SUMPRODUCT(
  IF($B6:$K6&lt;&gt;"",
     INDEX('Eurostat EB products IEA'!$A$4:$BN$135,
           MATCH($B6:$K6, 'Eurostat EB products IEA'!$A$4:$A$135, 0),
           MATCH(BI$1, 'Eurostat EB products IEA'!$A$4:$BN$4, 0)
     )
     * $L6:$U6,
     0
  )
)</f>
        <v>0</v>
      </c>
      <c r="BJ6" s="17" cm="1">
        <f t="array" ref="BJ6">SUMPRODUCT(
  IF($B6:$K6&lt;&gt;"",
     INDEX('Eurostat EB products IEA'!$A$4:$BN$135,
           MATCH($B6:$K6, 'Eurostat EB products IEA'!$A$4:$A$135, 0),
           MATCH(BJ$1, 'Eurostat EB products IEA'!$A$4:$BN$4, 0)
     )
     * $L6:$U6,
     0
  )
)</f>
        <v>0</v>
      </c>
      <c r="BK6" s="17" cm="1">
        <f t="array" ref="BK6">SUMPRODUCT(
  IF($B6:$K6&lt;&gt;"",
     INDEX('Eurostat EB products IEA'!$A$4:$BN$135,
           MATCH($B6:$K6, 'Eurostat EB products IEA'!$A$4:$A$135, 0),
           MATCH(BK$1, 'Eurostat EB products IEA'!$A$4:$BN$4, 0)
     )
     * $L6:$U6,
     0
  )
)</f>
        <v>0</v>
      </c>
      <c r="BL6" s="17" cm="1">
        <f t="array" ref="BL6">SUMPRODUCT(
  IF($B6:$K6&lt;&gt;"",
     INDEX('Eurostat EB products IEA'!$A$4:$BN$135,
           MATCH($B6:$K6, 'Eurostat EB products IEA'!$A$4:$A$135, 0),
           MATCH(BL$1, 'Eurostat EB products IEA'!$A$4:$BN$4, 0)
     )
     * $L6:$U6,
     0
  )
)</f>
        <v>0</v>
      </c>
      <c r="BM6" s="17" cm="1">
        <f t="array" ref="BM6">SUMPRODUCT(
  IF($B6:$K6&lt;&gt;"",
     INDEX('Eurostat EB products IEA'!$A$4:$BN$135,
           MATCH($B6:$K6, 'Eurostat EB products IEA'!$A$4:$A$135, 0),
           MATCH(BM$1, 'Eurostat EB products IEA'!$A$4:$BN$4, 0)
     )
     * $L6:$U6,
     0
  )
)</f>
        <v>0</v>
      </c>
      <c r="BN6" s="17" cm="1">
        <f t="array" ref="BN6">SUMPRODUCT(
  IF($B6:$K6&lt;&gt;"",
     INDEX('Eurostat EB products IEA'!$A$4:$BN$135,
           MATCH($B6:$K6, 'Eurostat EB products IEA'!$A$4:$A$135, 0),
           MATCH(BN$1, 'Eurostat EB products IEA'!$A$4:$BN$4, 0)
     )
     * $L6:$U6,
     0
  )
)</f>
        <v>0</v>
      </c>
      <c r="BO6" s="17" cm="1">
        <f t="array" ref="BO6">SUMPRODUCT(
  IF($B6:$K6&lt;&gt;"",
     INDEX('Eurostat EB products IEA'!$A$4:$BN$135,
           MATCH($B6:$K6, 'Eurostat EB products IEA'!$A$4:$A$135, 0),
           MATCH(BO$1, 'Eurostat EB products IEA'!$A$4:$BN$4, 0)
     )
     * $L6:$U6,
     0
  )
)</f>
        <v>0</v>
      </c>
      <c r="BP6" s="17" cm="1">
        <f t="array" ref="BP6">SUMPRODUCT(
  IF($B6:$K6&lt;&gt;"",
     INDEX('Eurostat EB products IEA'!$A$4:$BN$135,
           MATCH($B6:$K6, 'Eurostat EB products IEA'!$A$4:$A$135, 0),
           MATCH(BP$1, 'Eurostat EB products IEA'!$A$4:$BN$4, 0)
     )
     * $L6:$U6,
     0
  )
)</f>
        <v>0</v>
      </c>
      <c r="BQ6" s="17" cm="1">
        <f t="array" ref="BQ6">SUMPRODUCT(
  IF($B6:$K6&lt;&gt;"",
     INDEX('Eurostat EB products IEA'!$A$4:$BN$135,
           MATCH($B6:$K6, 'Eurostat EB products IEA'!$A$4:$A$135, 0),
           MATCH(BQ$1, 'Eurostat EB products IEA'!$A$4:$BN$4, 0)
     )
     * $L6:$U6,
     0
  )
)</f>
        <v>-13769.454</v>
      </c>
      <c r="BR6" s="17" cm="1">
        <f t="array" ref="BR6">SUMPRODUCT(
  IF($B6:$K6&lt;&gt;"",
     INDEX('Eurostat EB products IEA'!$A$4:$BN$135,
           MATCH($B6:$K6, 'Eurostat EB products IEA'!$A$4:$A$135, 0),
           MATCH(BR$1, 'Eurostat EB products IEA'!$A$4:$BN$4, 0)
     )
     * $L6:$U6,
     0
  )
)</f>
        <v>0</v>
      </c>
      <c r="BS6" s="65">
        <v>0</v>
      </c>
      <c r="BT6" s="17" cm="1">
        <f t="array" ref="BT6">SUMPRODUCT(
  IF($B6:$K6&lt;&gt;"",
     INDEX('Eurostat EB products IEA'!$A$4:$BN$135,
           MATCH($B6:$K6, 'Eurostat EB products IEA'!$A$4:$A$135, 0),
           MATCH(BT$1, 'Eurostat EB products IEA'!$A$4:$BN$4, 0)
     )
     * $L6:$U6,
     0
  )
)</f>
        <v>0</v>
      </c>
      <c r="BU6" s="65">
        <v>0</v>
      </c>
      <c r="BV6" s="65">
        <v>0</v>
      </c>
      <c r="BW6" s="17" cm="1">
        <f t="array" ref="BW6">SUMPRODUCT(
  IF($B6:$K6&lt;&gt;"",
     INDEX('Eurostat EB products IEA'!$A$4:$BN$135,
           MATCH($B6:$K6, 'Eurostat EB products IEA'!$A$4:$A$135, 0),
           MATCH(BW$1, 'Eurostat EB products IEA'!$A$4:$BN$4, 0)
     )
     * $L6:$U6,
     0
  )
)</f>
        <v>0</v>
      </c>
      <c r="BX6" s="17" cm="1">
        <f t="array" ref="BX6">SUMPRODUCT(
  IF($B6:$K6&lt;&gt;"",
     INDEX('Eurostat EB products IEA'!$A$4:$BN$135,
           MATCH($B6:$K6, 'Eurostat EB products IEA'!$A$4:$A$135, 0),
           MATCH(BX$1, 'Eurostat EB products IEA'!$A$4:$BN$4, 0)
     )
     * $L6:$U6,
     0
  )
)</f>
        <v>0</v>
      </c>
      <c r="BY6" s="17" cm="1">
        <f t="array" ref="BY6">SUMPRODUCT(
  IF($B6:$K6&lt;&gt;"",
     INDEX('Eurostat EB products IEA'!$A$4:$BN$135,
           MATCH($B6:$K6, 'Eurostat EB products IEA'!$A$4:$A$135, 0),
           MATCH(BY$1, 'Eurostat EB products IEA'!$A$4:$BN$4, 0)
     )
     * $L6:$U6,
     0
  )
)</f>
        <v>0</v>
      </c>
      <c r="BZ6" s="17" cm="1">
        <f t="array" ref="BZ6">SUMPRODUCT(
  IF($B6:$K6&lt;&gt;"",
     INDEX('Eurostat EB products IEA'!$A$4:$BN$135,
           MATCH($B6:$K6, 'Eurostat EB products IEA'!$A$4:$A$135, 0),
           MATCH(BZ$1, 'Eurostat EB products IEA'!$A$4:$BN$4, 0)
     )
     * $L6:$U6,
     0
  )
)</f>
        <v>0</v>
      </c>
      <c r="CA6" s="17" cm="1">
        <f t="array" ref="CA6">SUMPRODUCT(
  IF($B6:$K6&lt;&gt;"",
     INDEX('Eurostat EB products IEA'!$A$4:$BN$135,
           MATCH($B6:$K6, 'Eurostat EB products IEA'!$A$4:$A$135, 0),
           MATCH(CA$1, 'Eurostat EB products IEA'!$A$4:$BN$4, 0)
     )
     * $L6:$U6,
     0
  )
)</f>
        <v>0</v>
      </c>
      <c r="CB6" s="17" cm="1">
        <f t="array" ref="CB6">SUMPRODUCT(
  IF($B6:$K6&lt;&gt;"",
     INDEX('Eurostat EB products IEA'!$A$4:$BN$135,
           MATCH($B6:$K6, 'Eurostat EB products IEA'!$A$4:$A$135, 0),
           MATCH(CB$1, 'Eurostat EB products IEA'!$A$4:$BN$4, 0)
     )
     * $L6:$U6,
     0
  )
)</f>
        <v>0</v>
      </c>
      <c r="CC6" s="17" cm="1">
        <f t="array" ref="CC6">SUMPRODUCT(
  IF($B6:$K6&lt;&gt;"",
     INDEX('Eurostat EB products IEA'!$A$4:$BN$135,
           MATCH($B6:$K6, 'Eurostat EB products IEA'!$A$4:$A$135, 0),
           MATCH(CC$1, 'Eurostat EB products IEA'!$A$4:$BN$4, 0)
     )
     * $L6:$U6,
     0
  )
)</f>
        <v>0</v>
      </c>
      <c r="CD6" s="65">
        <v>0</v>
      </c>
      <c r="CE6" s="17" cm="1">
        <f t="array" ref="CE6">SUMPRODUCT(
  IF($B6:$K6&lt;&gt;"",
     INDEX('Eurostat EB products IEA'!$A$4:$BN$135,
           MATCH($B6:$K6, 'Eurostat EB products IEA'!$A$4:$A$135, 0),
           MATCH(CE$1, 'Eurostat EB products IEA'!$A$4:$BN$4, 0)
     )
     * $L6:$U6,
     0
  )
)</f>
        <v>0</v>
      </c>
      <c r="CF6" s="17" cm="1">
        <f t="array" ref="CF6">SUMPRODUCT(
  IF($B6:$K6&lt;&gt;"",
     INDEX('Eurostat EB products IEA'!$A$4:$BN$135,
           MATCH($B6:$K6, 'Eurostat EB products IEA'!$A$4:$A$135, 0),
           MATCH(CF$1, 'Eurostat EB products IEA'!$A$4:$BN$4, 0)
     )
     * $L6:$U6,
     0
  )
)</f>
        <v>0</v>
      </c>
      <c r="CG6" s="17" cm="1">
        <f t="array" ref="CG6">SUMPRODUCT(
  IF($B6:$K6&lt;&gt;"",
     INDEX('Eurostat EB products IEA'!$A$4:$BN$135,
           MATCH($B6:$K6, 'Eurostat EB products IEA'!$A$4:$A$135, 0),
           MATCH(CG$1, 'Eurostat EB products IEA'!$A$4:$BN$4, 0)
     )
     * $L6:$U6,
     0
  )
)</f>
        <v>-448139.59600000002</v>
      </c>
      <c r="CH6" s="17" cm="1">
        <f t="array" ref="CH6">SUMPRODUCT(
  IF($B6:$K6&lt;&gt;"",
     INDEX('Eurostat EB products IEA'!$A$4:$BN$135,
           MATCH($B6:$K6, 'Eurostat EB products IEA'!$A$4:$A$135, 0),
           MATCH(CH$1, 'Eurostat EB products IEA'!$A$4:$BN$4, 0)
     )
     * $L6:$U6,
     0
  )
)</f>
        <v>-13857.994000000001</v>
      </c>
    </row>
    <row r="7" spans="1:86" x14ac:dyDescent="0.2">
      <c r="A7" t="s">
        <v>145</v>
      </c>
      <c r="B7" s="75"/>
      <c r="C7" s="77"/>
      <c r="D7" s="75"/>
      <c r="E7" s="77"/>
      <c r="F7" s="75"/>
      <c r="G7" s="77"/>
      <c r="H7" s="75"/>
      <c r="I7" s="77"/>
      <c r="J7" s="74"/>
      <c r="K7" s="78" t="s">
        <v>80</v>
      </c>
      <c r="L7" s="76"/>
      <c r="M7" s="79"/>
      <c r="N7" s="76"/>
      <c r="O7" s="79"/>
      <c r="P7" s="76"/>
      <c r="Q7" s="79"/>
      <c r="R7" s="76"/>
      <c r="S7" s="79"/>
      <c r="T7" s="76"/>
      <c r="U7" s="79">
        <v>-1</v>
      </c>
      <c r="V7" s="65" t="s">
        <v>323</v>
      </c>
      <c r="W7" s="65" t="s">
        <v>323</v>
      </c>
      <c r="X7" s="57" cm="1">
        <f t="array" ref="X7">SUMPRODUCT(
  IF($B7:$K7&lt;&gt;"",
     INDEX('Eurostat EB products IEA'!$A$4:$BN$135,
           MATCH($B7:$K7, 'Eurostat EB products IEA'!$A$4:$A$135, 0),
           MATCH(X$1, 'Eurostat EB products IEA'!$A$4:$BN$4, 0)
     )
     * $L7:$U7,
     0
  )
)</f>
        <v>0</v>
      </c>
      <c r="Y7" s="57" cm="1">
        <f t="array" ref="Y7">SUMPRODUCT(
  IF($B7:$K7&lt;&gt;"",
     INDEX('Eurostat EB products IEA'!$A$4:$BN$135,
           MATCH($B7:$K7, 'Eurostat EB products IEA'!$A$4:$A$135, 0),
           MATCH(Y$1, 'Eurostat EB products IEA'!$A$4:$BN$4, 0)
     )
     * $L7:$U7,
     0
  )
)</f>
        <v>0</v>
      </c>
      <c r="Z7" s="57" cm="1">
        <f t="array" ref="Z7">SUMPRODUCT(
  IF($B7:$K7&lt;&gt;"",
     INDEX('Eurostat EB products IEA'!$A$4:$BN$135,
           MATCH($B7:$K7, 'Eurostat EB products IEA'!$A$4:$A$135, 0),
           MATCH(Z$1, 'Eurostat EB products IEA'!$A$4:$BN$4, 0)
     )
     * $L7:$U7,
     0
  )
)</f>
        <v>0</v>
      </c>
      <c r="AA7" s="57" cm="1">
        <f t="array" ref="AA7">SUMPRODUCT(
  IF($B7:$K7&lt;&gt;"",
     INDEX('Eurostat EB products IEA'!$A$4:$BN$135,
           MATCH($B7:$K7, 'Eurostat EB products IEA'!$A$4:$A$135, 0),
           MATCH(AA$1, 'Eurostat EB products IEA'!$A$4:$BN$4, 0)
     )
     * $L7:$U7,
     0
  )
)</f>
        <v>0</v>
      </c>
      <c r="AB7" s="57" cm="1">
        <f t="array" ref="AB7">SUMPRODUCT(
  IF($B7:$K7&lt;&gt;"",
     INDEX('Eurostat EB products IEA'!$A$4:$BN$135,
           MATCH($B7:$K7, 'Eurostat EB products IEA'!$A$4:$A$135, 0),
           MATCH(AB$1, 'Eurostat EB products IEA'!$A$4:$BN$4, 0)
     )
     * $L7:$U7,
     0
  )
)</f>
        <v>0</v>
      </c>
      <c r="AC7" s="57" cm="1">
        <f t="array" ref="AC7">SUMPRODUCT(
  IF($B7:$K7&lt;&gt;"",
     INDEX('Eurostat EB products IEA'!$A$4:$BN$135,
           MATCH($B7:$K7, 'Eurostat EB products IEA'!$A$4:$A$135, 0),
           MATCH(AC$1, 'Eurostat EB products IEA'!$A$4:$BN$4, 0)
     )
     * $L7:$U7,
     0
  )
)</f>
        <v>0</v>
      </c>
      <c r="AD7" s="57" cm="1">
        <f t="array" ref="AD7">SUMPRODUCT(
  IF($B7:$K7&lt;&gt;"",
     INDEX('Eurostat EB products IEA'!$A$4:$BN$135,
           MATCH($B7:$K7, 'Eurostat EB products IEA'!$A$4:$A$135, 0),
           MATCH(AD$1, 'Eurostat EB products IEA'!$A$4:$BN$4, 0)
     )
     * $L7:$U7,
     0
  )
)</f>
        <v>0</v>
      </c>
      <c r="AE7" s="57" cm="1">
        <f t="array" ref="AE7">SUMPRODUCT(
  IF($B7:$K7&lt;&gt;"",
     INDEX('Eurostat EB products IEA'!$A$4:$BN$135,
           MATCH($B7:$K7, 'Eurostat EB products IEA'!$A$4:$A$135, 0),
           MATCH(AE$1, 'Eurostat EB products IEA'!$A$4:$BN$4, 0)
     )
     * $L7:$U7,
     0
  )
)</f>
        <v>0</v>
      </c>
      <c r="AF7" s="57" cm="1">
        <f t="array" ref="AF7">SUMPRODUCT(
  IF($B7:$K7&lt;&gt;"",
     INDEX('Eurostat EB products IEA'!$A$4:$BN$135,
           MATCH($B7:$K7, 'Eurostat EB products IEA'!$A$4:$A$135, 0),
           MATCH(AF$1, 'Eurostat EB products IEA'!$A$4:$BN$4, 0)
     )
     * $L7:$U7,
     0
  )
)</f>
        <v>0</v>
      </c>
      <c r="AG7" s="57" cm="1">
        <f t="array" ref="AG7">SUMPRODUCT(
  IF($B7:$K7&lt;&gt;"",
     INDEX('Eurostat EB products IEA'!$A$4:$BN$135,
           MATCH($B7:$K7, 'Eurostat EB products IEA'!$A$4:$A$135, 0),
           MATCH(AG$1, 'Eurostat EB products IEA'!$A$4:$BN$4, 0)
     )
     * $L7:$U7,
     0
  )
)</f>
        <v>0</v>
      </c>
      <c r="AH7" s="57" cm="1">
        <f t="array" ref="AH7">SUMPRODUCT(
  IF($B7:$K7&lt;&gt;"",
     INDEX('Eurostat EB products IEA'!$A$4:$BN$135,
           MATCH($B7:$K7, 'Eurostat EB products IEA'!$A$4:$A$135, 0),
           MATCH(AH$1, 'Eurostat EB products IEA'!$A$4:$BN$4, 0)
     )
     * $L7:$U7,
     0
  )
)</f>
        <v>0</v>
      </c>
      <c r="AI7" s="57" cm="1">
        <f t="array" ref="AI7">SUMPRODUCT(
  IF($B7:$K7&lt;&gt;"",
     INDEX('Eurostat EB products IEA'!$A$4:$BN$135,
           MATCH($B7:$K7, 'Eurostat EB products IEA'!$A$4:$A$135, 0),
           MATCH(AI$1, 'Eurostat EB products IEA'!$A$4:$BN$4, 0)
     )
     * $L7:$U7,
     0
  )
)</f>
        <v>0</v>
      </c>
      <c r="AJ7" s="57" cm="1">
        <f t="array" ref="AJ7">SUMPRODUCT(
  IF($B7:$K7&lt;&gt;"",
     INDEX('Eurostat EB products IEA'!$A$4:$BN$135,
           MATCH($B7:$K7, 'Eurostat EB products IEA'!$A$4:$A$135, 0),
           MATCH(AJ$1, 'Eurostat EB products IEA'!$A$4:$BN$4, 0)
     )
     * $L7:$U7,
     0
  )
)</f>
        <v>0</v>
      </c>
      <c r="AK7" s="57" cm="1">
        <f t="array" ref="AK7">SUMPRODUCT(
  IF($B7:$K7&lt;&gt;"",
     INDEX('Eurostat EB products IEA'!$A$4:$BN$135,
           MATCH($B7:$K7, 'Eurostat EB products IEA'!$A$4:$A$135, 0),
           MATCH(AK$1, 'Eurostat EB products IEA'!$A$4:$BN$4, 0)
     )
     * $L7:$U7,
     0
  )
)</f>
        <v>0</v>
      </c>
      <c r="AL7" s="57" cm="1">
        <f t="array" ref="AL7">SUMPRODUCT(
  IF($B7:$K7&lt;&gt;"",
     INDEX('Eurostat EB products IEA'!$A$4:$BN$135,
           MATCH($B7:$K7, 'Eurostat EB products IEA'!$A$4:$A$135, 0),
           MATCH(AL$1, 'Eurostat EB products IEA'!$A$4:$BN$4, 0)
     )
     * $L7:$U7,
     0
  )
)</f>
        <v>0</v>
      </c>
      <c r="AM7" s="57" cm="1">
        <f t="array" ref="AM7">SUMPRODUCT(
  IF($B7:$K7&lt;&gt;"",
     INDEX('Eurostat EB products IEA'!$A$4:$BN$135,
           MATCH($B7:$K7, 'Eurostat EB products IEA'!$A$4:$A$135, 0),
           MATCH(AM$1, 'Eurostat EB products IEA'!$A$4:$BN$4, 0)
     )
     * $L7:$U7,
     0
  )
)</f>
        <v>0</v>
      </c>
      <c r="AN7" s="65" t="s">
        <v>323</v>
      </c>
      <c r="AO7" s="57" cm="1">
        <f t="array" ref="AO7">SUMPRODUCT(
  IF($B7:$K7&lt;&gt;"",
     INDEX('Eurostat EB products IEA'!$A$4:$BN$135,
           MATCH($B7:$K7, 'Eurostat EB products IEA'!$A$4:$A$135, 0),
           MATCH(AO$1, 'Eurostat EB products IEA'!$A$4:$BN$4, 0)
     )
     * $L7:$U7,
     0
  )
)</f>
        <v>0</v>
      </c>
      <c r="AP7" s="57" cm="1">
        <f t="array" ref="AP7">SUMPRODUCT(
  IF($B7:$K7&lt;&gt;"",
     INDEX('Eurostat EB products IEA'!$A$4:$BN$135,
           MATCH($B7:$K7, 'Eurostat EB products IEA'!$A$4:$A$135, 0),
           MATCH(AP$1, 'Eurostat EB products IEA'!$A$4:$BN$4, 0)
     )
     * $L7:$U7,
     0
  )
)</f>
        <v>0</v>
      </c>
      <c r="AQ7" s="57" cm="1">
        <f t="array" ref="AQ7">SUMPRODUCT(
  IF($B7:$K7&lt;&gt;"",
     INDEX('Eurostat EB products IEA'!$A$4:$BN$135,
           MATCH($B7:$K7, 'Eurostat EB products IEA'!$A$4:$A$135, 0),
           MATCH(AQ$1, 'Eurostat EB products IEA'!$A$4:$BN$4, 0)
     )
     * $L7:$U7,
     0
  )
)</f>
        <v>0</v>
      </c>
      <c r="AR7" s="57" cm="1">
        <f t="array" ref="AR7">SUMPRODUCT(
  IF($B7:$K7&lt;&gt;"",
     INDEX('Eurostat EB products IEA'!$A$4:$BN$135,
           MATCH($B7:$K7, 'Eurostat EB products IEA'!$A$4:$A$135, 0),
           MATCH(AR$1, 'Eurostat EB products IEA'!$A$4:$BN$4, 0)
     )
     * $L7:$U7,
     0
  )
)</f>
        <v>0</v>
      </c>
      <c r="AS7" s="57" cm="1">
        <f t="array" ref="AS7">SUMPRODUCT(
  IF($B7:$K7&lt;&gt;"",
     INDEX('Eurostat EB products IEA'!$A$4:$BN$135,
           MATCH($B7:$K7, 'Eurostat EB products IEA'!$A$4:$A$135, 0),
           MATCH(AS$1, 'Eurostat EB products IEA'!$A$4:$BN$4, 0)
     )
     * $L7:$U7,
     0
  )
)</f>
        <v>0</v>
      </c>
      <c r="AT7" s="57" cm="1">
        <f t="array" ref="AT7">SUMPRODUCT(
  IF($B7:$K7&lt;&gt;"",
     INDEX('Eurostat EB products IEA'!$A$4:$BN$135,
           MATCH($B7:$K7, 'Eurostat EB products IEA'!$A$4:$A$135, 0),
           MATCH(AT$1, 'Eurostat EB products IEA'!$A$4:$BN$4, 0)
     )
     * $L7:$U7,
     0
  )
)</f>
        <v>0</v>
      </c>
      <c r="AU7" s="57" cm="1">
        <f t="array" ref="AU7">SUMPRODUCT(
  IF($B7:$K7&lt;&gt;"",
     INDEX('Eurostat EB products IEA'!$A$4:$BN$135,
           MATCH($B7:$K7, 'Eurostat EB products IEA'!$A$4:$A$135, 0),
           MATCH(AU$1, 'Eurostat EB products IEA'!$A$4:$BN$4, 0)
     )
     * $L7:$U7,
     0
  )
)</f>
        <v>0</v>
      </c>
      <c r="AV7" s="57" cm="1">
        <f t="array" ref="AV7">SUMPRODUCT(
  IF($B7:$K7&lt;&gt;"",
     INDEX('Eurostat EB products IEA'!$A$4:$BN$135,
           MATCH($B7:$K7, 'Eurostat EB products IEA'!$A$4:$A$135, 0),
           MATCH(AV$1, 'Eurostat EB products IEA'!$A$4:$BN$4, 0)
     )
     * $L7:$U7,
     0
  )
)</f>
        <v>0</v>
      </c>
      <c r="AW7" s="57" cm="1">
        <f t="array" ref="AW7">SUMPRODUCT(
  IF($B7:$K7&lt;&gt;"",
     INDEX('Eurostat EB products IEA'!$A$4:$BN$135,
           MATCH($B7:$K7, 'Eurostat EB products IEA'!$A$4:$A$135, 0),
           MATCH(AW$1, 'Eurostat EB products IEA'!$A$4:$BN$4, 0)
     )
     * $L7:$U7,
     0
  )
)</f>
        <v>0</v>
      </c>
      <c r="AX7" s="57" cm="1">
        <f t="array" ref="AX7">SUMPRODUCT(
  IF($B7:$K7&lt;&gt;"",
     INDEX('Eurostat EB products IEA'!$A$4:$BN$135,
           MATCH($B7:$K7, 'Eurostat EB products IEA'!$A$4:$A$135, 0),
           MATCH(AX$1, 'Eurostat EB products IEA'!$A$4:$BN$4, 0)
     )
     * $L7:$U7,
     0
  )
)</f>
        <v>0</v>
      </c>
      <c r="AY7" s="57" cm="1">
        <f t="array" ref="AY7">SUMPRODUCT(
  IF($B7:$K7&lt;&gt;"",
     INDEX('Eurostat EB products IEA'!$A$4:$BN$135,
           MATCH($B7:$K7, 'Eurostat EB products IEA'!$A$4:$A$135, 0),
           MATCH(AY$1, 'Eurostat EB products IEA'!$A$4:$BN$4, 0)
     )
     * $L7:$U7,
     0
  )
)</f>
        <v>0</v>
      </c>
      <c r="AZ7" s="57" cm="1">
        <f t="array" ref="AZ7">SUMPRODUCT(
  IF($B7:$K7&lt;&gt;"",
     INDEX('Eurostat EB products IEA'!$A$4:$BN$135,
           MATCH($B7:$K7, 'Eurostat EB products IEA'!$A$4:$A$135, 0),
           MATCH(AZ$1, 'Eurostat EB products IEA'!$A$4:$BN$4, 0)
     )
     * $L7:$U7,
     0
  )
)</f>
        <v>-139686.82199999999</v>
      </c>
      <c r="BA7" s="57" cm="1">
        <f t="array" ref="BA7">SUMPRODUCT(
  IF($B7:$K7&lt;&gt;"",
     INDEX('Eurostat EB products IEA'!$A$4:$BN$135,
           MATCH($B7:$K7, 'Eurostat EB products IEA'!$A$4:$A$135, 0),
           MATCH(BA$1, 'Eurostat EB products IEA'!$A$4:$BN$4, 0)
     )
     * $L7:$U7,
     0
  )
)</f>
        <v>0</v>
      </c>
      <c r="BB7" s="57" cm="1">
        <f t="array" ref="BB7">SUMPRODUCT(
  IF($B7:$K7&lt;&gt;"",
     INDEX('Eurostat EB products IEA'!$A$4:$BN$135,
           MATCH($B7:$K7, 'Eurostat EB products IEA'!$A$4:$A$135, 0),
           MATCH(BB$1, 'Eurostat EB products IEA'!$A$4:$BN$4, 0)
     )
     * $L7:$U7,
     0
  )
)</f>
        <v>0</v>
      </c>
      <c r="BC7" s="57" cm="1">
        <f t="array" ref="BC7">SUMPRODUCT(
  IF($B7:$K7&lt;&gt;"",
     INDEX('Eurostat EB products IEA'!$A$4:$BN$135,
           MATCH($B7:$K7, 'Eurostat EB products IEA'!$A$4:$A$135, 0),
           MATCH(BC$1, 'Eurostat EB products IEA'!$A$4:$BN$4, 0)
     )
     * $L7:$U7,
     0
  )
)</f>
        <v>0</v>
      </c>
      <c r="BD7" s="57" cm="1">
        <f t="array" ref="BD7">SUMPRODUCT(
  IF($B7:$K7&lt;&gt;"",
     INDEX('Eurostat EB products IEA'!$A$4:$BN$135,
           MATCH($B7:$K7, 'Eurostat EB products IEA'!$A$4:$A$135, 0),
           MATCH(BD$1, 'Eurostat EB products IEA'!$A$4:$BN$4, 0)
     )
     * $L7:$U7,
     0
  )
)</f>
        <v>0</v>
      </c>
      <c r="BE7" s="57" cm="1">
        <f t="array" ref="BE7">SUMPRODUCT(
  IF($B7:$K7&lt;&gt;"",
     INDEX('Eurostat EB products IEA'!$A$4:$BN$135,
           MATCH($B7:$K7, 'Eurostat EB products IEA'!$A$4:$A$135, 0),
           MATCH(BE$1, 'Eurostat EB products IEA'!$A$4:$BN$4, 0)
     )
     * $L7:$U7,
     0
  )
)</f>
        <v>0</v>
      </c>
      <c r="BF7" s="57" cm="1">
        <f t="array" ref="BF7">SUMPRODUCT(
  IF($B7:$K7&lt;&gt;"",
     INDEX('Eurostat EB products IEA'!$A$4:$BN$135,
           MATCH($B7:$K7, 'Eurostat EB products IEA'!$A$4:$A$135, 0),
           MATCH(BF$1, 'Eurostat EB products IEA'!$A$4:$BN$4, 0)
     )
     * $L7:$U7,
     0
  )
)</f>
        <v>0</v>
      </c>
      <c r="BG7" s="57" cm="1">
        <f t="array" ref="BG7">SUMPRODUCT(
  IF($B7:$K7&lt;&gt;"",
     INDEX('Eurostat EB products IEA'!$A$4:$BN$135,
           MATCH($B7:$K7, 'Eurostat EB products IEA'!$A$4:$A$135, 0),
           MATCH(BG$1, 'Eurostat EB products IEA'!$A$4:$BN$4, 0)
     )
     * $L7:$U7,
     0
  )
)</f>
        <v>0</v>
      </c>
      <c r="BH7" s="57" cm="1">
        <f t="array" ref="BH7">SUMPRODUCT(
  IF($B7:$K7&lt;&gt;"",
     INDEX('Eurostat EB products IEA'!$A$4:$BN$135,
           MATCH($B7:$K7, 'Eurostat EB products IEA'!$A$4:$A$135, 0),
           MATCH(BH$1, 'Eurostat EB products IEA'!$A$4:$BN$4, 0)
     )
     * $L7:$U7,
     0
  )
)</f>
        <v>0</v>
      </c>
      <c r="BI7" s="57" cm="1">
        <f t="array" ref="BI7">SUMPRODUCT(
  IF($B7:$K7&lt;&gt;"",
     INDEX('Eurostat EB products IEA'!$A$4:$BN$135,
           MATCH($B7:$K7, 'Eurostat EB products IEA'!$A$4:$A$135, 0),
           MATCH(BI$1, 'Eurostat EB products IEA'!$A$4:$BN$4, 0)
     )
     * $L7:$U7,
     0
  )
)</f>
        <v>0</v>
      </c>
      <c r="BJ7" s="57" cm="1">
        <f t="array" ref="BJ7">SUMPRODUCT(
  IF($B7:$K7&lt;&gt;"",
     INDEX('Eurostat EB products IEA'!$A$4:$BN$135,
           MATCH($B7:$K7, 'Eurostat EB products IEA'!$A$4:$A$135, 0),
           MATCH(BJ$1, 'Eurostat EB products IEA'!$A$4:$BN$4, 0)
     )
     * $L7:$U7,
     0
  )
)</f>
        <v>0</v>
      </c>
      <c r="BK7" s="57" cm="1">
        <f t="array" ref="BK7">SUMPRODUCT(
  IF($B7:$K7&lt;&gt;"",
     INDEX('Eurostat EB products IEA'!$A$4:$BN$135,
           MATCH($B7:$K7, 'Eurostat EB products IEA'!$A$4:$A$135, 0),
           MATCH(BK$1, 'Eurostat EB products IEA'!$A$4:$BN$4, 0)
     )
     * $L7:$U7,
     0
  )
)</f>
        <v>0</v>
      </c>
      <c r="BL7" s="57" cm="1">
        <f t="array" ref="BL7">SUMPRODUCT(
  IF($B7:$K7&lt;&gt;"",
     INDEX('Eurostat EB products IEA'!$A$4:$BN$135,
           MATCH($B7:$K7, 'Eurostat EB products IEA'!$A$4:$A$135, 0),
           MATCH(BL$1, 'Eurostat EB products IEA'!$A$4:$BN$4, 0)
     )
     * $L7:$U7,
     0
  )
)</f>
        <v>0</v>
      </c>
      <c r="BM7" s="57" cm="1">
        <f t="array" ref="BM7">SUMPRODUCT(
  IF($B7:$K7&lt;&gt;"",
     INDEX('Eurostat EB products IEA'!$A$4:$BN$135,
           MATCH($B7:$K7, 'Eurostat EB products IEA'!$A$4:$A$135, 0),
           MATCH(BM$1, 'Eurostat EB products IEA'!$A$4:$BN$4, 0)
     )
     * $L7:$U7,
     0
  )
)</f>
        <v>0</v>
      </c>
      <c r="BN7" s="57" cm="1">
        <f t="array" ref="BN7">SUMPRODUCT(
  IF($B7:$K7&lt;&gt;"",
     INDEX('Eurostat EB products IEA'!$A$4:$BN$135,
           MATCH($B7:$K7, 'Eurostat EB products IEA'!$A$4:$A$135, 0),
           MATCH(BN$1, 'Eurostat EB products IEA'!$A$4:$BN$4, 0)
     )
     * $L7:$U7,
     0
  )
)</f>
        <v>0</v>
      </c>
      <c r="BO7" s="57" cm="1">
        <f t="array" ref="BO7">SUMPRODUCT(
  IF($B7:$K7&lt;&gt;"",
     INDEX('Eurostat EB products IEA'!$A$4:$BN$135,
           MATCH($B7:$K7, 'Eurostat EB products IEA'!$A$4:$A$135, 0),
           MATCH(BO$1, 'Eurostat EB products IEA'!$A$4:$BN$4, 0)
     )
     * $L7:$U7,
     0
  )
)</f>
        <v>0</v>
      </c>
      <c r="BP7" s="57" cm="1">
        <f t="array" ref="BP7">SUMPRODUCT(
  IF($B7:$K7&lt;&gt;"",
     INDEX('Eurostat EB products IEA'!$A$4:$BN$135,
           MATCH($B7:$K7, 'Eurostat EB products IEA'!$A$4:$A$135, 0),
           MATCH(BP$1, 'Eurostat EB products IEA'!$A$4:$BN$4, 0)
     )
     * $L7:$U7,
     0
  )
)</f>
        <v>0</v>
      </c>
      <c r="BQ7" s="57" cm="1">
        <f t="array" ref="BQ7">SUMPRODUCT(
  IF($B7:$K7&lt;&gt;"",
     INDEX('Eurostat EB products IEA'!$A$4:$BN$135,
           MATCH($B7:$K7, 'Eurostat EB products IEA'!$A$4:$A$135, 0),
           MATCH(BQ$1, 'Eurostat EB products IEA'!$A$4:$BN$4, 0)
     )
     * $L7:$U7,
     0
  )
)</f>
        <v>0</v>
      </c>
      <c r="BR7" s="57" cm="1">
        <f t="array" ref="BR7">SUMPRODUCT(
  IF($B7:$K7&lt;&gt;"",
     INDEX('Eurostat EB products IEA'!$A$4:$BN$135,
           MATCH($B7:$K7, 'Eurostat EB products IEA'!$A$4:$A$135, 0),
           MATCH(BR$1, 'Eurostat EB products IEA'!$A$4:$BN$4, 0)
     )
     * $L7:$U7,
     0
  )
)</f>
        <v>0</v>
      </c>
      <c r="BS7" s="65">
        <v>0</v>
      </c>
      <c r="BT7" s="57" cm="1">
        <f t="array" ref="BT7">SUMPRODUCT(
  IF($B7:$K7&lt;&gt;"",
     INDEX('Eurostat EB products IEA'!$A$4:$BN$135,
           MATCH($B7:$K7, 'Eurostat EB products IEA'!$A$4:$A$135, 0),
           MATCH(BT$1, 'Eurostat EB products IEA'!$A$4:$BN$4, 0)
     )
     * $L7:$U7,
     0
  )
)</f>
        <v>0</v>
      </c>
      <c r="BU7" s="65">
        <v>0</v>
      </c>
      <c r="BV7" s="65">
        <v>0</v>
      </c>
      <c r="BW7" s="57" cm="1">
        <f t="array" ref="BW7">SUMPRODUCT(
  IF($B7:$K7&lt;&gt;"",
     INDEX('Eurostat EB products IEA'!$A$4:$BN$135,
           MATCH($B7:$K7, 'Eurostat EB products IEA'!$A$4:$A$135, 0),
           MATCH(BW$1, 'Eurostat EB products IEA'!$A$4:$BN$4, 0)
     )
     * $L7:$U7,
     0
  )
)</f>
        <v>0</v>
      </c>
      <c r="BX7" s="57" cm="1">
        <f t="array" ref="BX7">SUMPRODUCT(
  IF($B7:$K7&lt;&gt;"",
     INDEX('Eurostat EB products IEA'!$A$4:$BN$135,
           MATCH($B7:$K7, 'Eurostat EB products IEA'!$A$4:$A$135, 0),
           MATCH(BX$1, 'Eurostat EB products IEA'!$A$4:$BN$4, 0)
     )
     * $L7:$U7,
     0
  )
)</f>
        <v>0</v>
      </c>
      <c r="BY7" s="57" cm="1">
        <f t="array" ref="BY7">SUMPRODUCT(
  IF($B7:$K7&lt;&gt;"",
     INDEX('Eurostat EB products IEA'!$A$4:$BN$135,
           MATCH($B7:$K7, 'Eurostat EB products IEA'!$A$4:$A$135, 0),
           MATCH(BY$1, 'Eurostat EB products IEA'!$A$4:$BN$4, 0)
     )
     * $L7:$U7,
     0
  )
)</f>
        <v>0</v>
      </c>
      <c r="BZ7" s="57" cm="1">
        <f t="array" ref="BZ7">SUMPRODUCT(
  IF($B7:$K7&lt;&gt;"",
     INDEX('Eurostat EB products IEA'!$A$4:$BN$135,
           MATCH($B7:$K7, 'Eurostat EB products IEA'!$A$4:$A$135, 0),
           MATCH(BZ$1, 'Eurostat EB products IEA'!$A$4:$BN$4, 0)
     )
     * $L7:$U7,
     0
  )
)</f>
        <v>0</v>
      </c>
      <c r="CA7" s="57" cm="1">
        <f t="array" ref="CA7">SUMPRODUCT(
  IF($B7:$K7&lt;&gt;"",
     INDEX('Eurostat EB products IEA'!$A$4:$BN$135,
           MATCH($B7:$K7, 'Eurostat EB products IEA'!$A$4:$A$135, 0),
           MATCH(CA$1, 'Eurostat EB products IEA'!$A$4:$BN$4, 0)
     )
     * $L7:$U7,
     0
  )
)</f>
        <v>0</v>
      </c>
      <c r="CB7" s="57" cm="1">
        <f t="array" ref="CB7">SUMPRODUCT(
  IF($B7:$K7&lt;&gt;"",
     INDEX('Eurostat EB products IEA'!$A$4:$BN$135,
           MATCH($B7:$K7, 'Eurostat EB products IEA'!$A$4:$A$135, 0),
           MATCH(CB$1, 'Eurostat EB products IEA'!$A$4:$BN$4, 0)
     )
     * $L7:$U7,
     0
  )
)</f>
        <v>0</v>
      </c>
      <c r="CC7" s="57" cm="1">
        <f t="array" ref="CC7">SUMPRODUCT(
  IF($B7:$K7&lt;&gt;"",
     INDEX('Eurostat EB products IEA'!$A$4:$BN$135,
           MATCH($B7:$K7, 'Eurostat EB products IEA'!$A$4:$A$135, 0),
           MATCH(CC$1, 'Eurostat EB products IEA'!$A$4:$BN$4, 0)
     )
     * $L7:$U7,
     0
  )
)</f>
        <v>0</v>
      </c>
      <c r="CD7" s="65">
        <v>0</v>
      </c>
      <c r="CE7" s="57" cm="1">
        <f t="array" ref="CE7">SUMPRODUCT(
  IF($B7:$K7&lt;&gt;"",
     INDEX('Eurostat EB products IEA'!$A$4:$BN$135,
           MATCH($B7:$K7, 'Eurostat EB products IEA'!$A$4:$A$135, 0),
           MATCH(CE$1, 'Eurostat EB products IEA'!$A$4:$BN$4, 0)
     )
     * $L7:$U7,
     0
  )
)</f>
        <v>0</v>
      </c>
      <c r="CF7" s="57" cm="1">
        <f t="array" ref="CF7">SUMPRODUCT(
  IF($B7:$K7&lt;&gt;"",
     INDEX('Eurostat EB products IEA'!$A$4:$BN$135,
           MATCH($B7:$K7, 'Eurostat EB products IEA'!$A$4:$A$135, 0),
           MATCH(CF$1, 'Eurostat EB products IEA'!$A$4:$BN$4, 0)
     )
     * $L7:$U7,
     0
  )
)</f>
        <v>0</v>
      </c>
      <c r="CG7" s="57" cm="1">
        <f t="array" ref="CG7">SUMPRODUCT(
  IF($B7:$K7&lt;&gt;"",
     INDEX('Eurostat EB products IEA'!$A$4:$BN$135,
           MATCH($B7:$K7, 'Eurostat EB products IEA'!$A$4:$A$135, 0),
           MATCH(CG$1, 'Eurostat EB products IEA'!$A$4:$BN$4, 0)
     )
     * $L7:$U7,
     0
  )
)</f>
        <v>-142333.24600000001</v>
      </c>
      <c r="CH7" s="57" cm="1">
        <f t="array" ref="CH7">SUMPRODUCT(
  IF($B7:$K7&lt;&gt;"",
     INDEX('Eurostat EB products IEA'!$A$4:$BN$135,
           MATCH($B7:$K7, 'Eurostat EB products IEA'!$A$4:$A$135, 0),
           MATCH(CH$1, 'Eurostat EB products IEA'!$A$4:$BN$4, 0)
     )
     * $L7:$U7,
     0
  )
)</f>
        <v>-2646.424</v>
      </c>
    </row>
    <row r="8" spans="1:86" x14ac:dyDescent="0.2">
      <c r="A8" t="s">
        <v>146</v>
      </c>
      <c r="B8" s="75"/>
      <c r="C8" s="77"/>
      <c r="D8" s="75"/>
      <c r="E8" s="77"/>
      <c r="F8" s="75"/>
      <c r="G8" s="77"/>
      <c r="H8" s="75"/>
      <c r="I8" s="77"/>
      <c r="J8" s="74"/>
      <c r="K8" s="78" t="s">
        <v>76</v>
      </c>
      <c r="L8" s="76"/>
      <c r="M8" s="79"/>
      <c r="N8" s="76"/>
      <c r="O8" s="79"/>
      <c r="P8" s="76"/>
      <c r="Q8" s="79"/>
      <c r="R8" s="76"/>
      <c r="S8" s="79"/>
      <c r="T8" s="76"/>
      <c r="U8" s="79">
        <v>1</v>
      </c>
      <c r="V8" s="65" t="s">
        <v>323</v>
      </c>
      <c r="W8" s="65" t="s">
        <v>323</v>
      </c>
      <c r="X8" s="17" cm="1">
        <f t="array" ref="X8">SUMPRODUCT(
  IF($B8:$K8&lt;&gt;"",
     INDEX('Eurostat EB products IEA'!$A$4:$BN$135,
           MATCH($B8:$K8, 'Eurostat EB products IEA'!$A$4:$A$135, 0),
           MATCH(X$1, 'Eurostat EB products IEA'!$A$4:$BN$4, 0)
     )
     * $L8:$U8,
     0
  )
)</f>
        <v>0</v>
      </c>
      <c r="Y8" s="17" cm="1">
        <f t="array" ref="Y8">SUMPRODUCT(
  IF($B8:$K8&lt;&gt;"",
     INDEX('Eurostat EB products IEA'!$A$4:$BN$135,
           MATCH($B8:$K8, 'Eurostat EB products IEA'!$A$4:$A$135, 0),
           MATCH(Y$1, 'Eurostat EB products IEA'!$A$4:$BN$4, 0)
     )
     * $L8:$U8,
     0
  )
)</f>
        <v>-5064.5659999999998</v>
      </c>
      <c r="Z8" s="17" cm="1">
        <f t="array" ref="Z8">SUMPRODUCT(
  IF($B8:$K8&lt;&gt;"",
     INDEX('Eurostat EB products IEA'!$A$4:$BN$135,
           MATCH($B8:$K8, 'Eurostat EB products IEA'!$A$4:$A$135, 0),
           MATCH(Z$1, 'Eurostat EB products IEA'!$A$4:$BN$4, 0)
     )
     * $L8:$U8,
     0
  )
)</f>
        <v>1532.6510000000001</v>
      </c>
      <c r="AA8" s="17" cm="1">
        <f t="array" ref="AA8">SUMPRODUCT(
  IF($B8:$K8&lt;&gt;"",
     INDEX('Eurostat EB products IEA'!$A$4:$BN$135,
           MATCH($B8:$K8, 'Eurostat EB products IEA'!$A$4:$A$135, 0),
           MATCH(AA$1, 'Eurostat EB products IEA'!$A$4:$BN$4, 0)
     )
     * $L8:$U8,
     0
  )
)</f>
        <v>0</v>
      </c>
      <c r="AB8" s="17" cm="1">
        <f t="array" ref="AB8">SUMPRODUCT(
  IF($B8:$K8&lt;&gt;"",
     INDEX('Eurostat EB products IEA'!$A$4:$BN$135,
           MATCH($B8:$K8, 'Eurostat EB products IEA'!$A$4:$A$135, 0),
           MATCH(AB$1, 'Eurostat EB products IEA'!$A$4:$BN$4, 0)
     )
     * $L8:$U8,
     0
  )
)</f>
        <v>0</v>
      </c>
      <c r="AC8" s="17" cm="1">
        <f t="array" ref="AC8">SUMPRODUCT(
  IF($B8:$K8&lt;&gt;"",
     INDEX('Eurostat EB products IEA'!$A$4:$BN$135,
           MATCH($B8:$K8, 'Eurostat EB products IEA'!$A$4:$A$135, 0),
           MATCH(AC$1, 'Eurostat EB products IEA'!$A$4:$BN$4, 0)
     )
     * $L8:$U8,
     0
  )
)</f>
        <v>0</v>
      </c>
      <c r="AD8" s="17" cm="1">
        <f t="array" ref="AD8">SUMPRODUCT(
  IF($B8:$K8&lt;&gt;"",
     INDEX('Eurostat EB products IEA'!$A$4:$BN$135,
           MATCH($B8:$K8, 'Eurostat EB products IEA'!$A$4:$A$135, 0),
           MATCH(AD$1, 'Eurostat EB products IEA'!$A$4:$BN$4, 0)
     )
     * $L8:$U8,
     0
  )
)</f>
        <v>-200.441</v>
      </c>
      <c r="AE8" s="17" cm="1">
        <f t="array" ref="AE8">SUMPRODUCT(
  IF($B8:$K8&lt;&gt;"",
     INDEX('Eurostat EB products IEA'!$A$4:$BN$135,
           MATCH($B8:$K8, 'Eurostat EB products IEA'!$A$4:$A$135, 0),
           MATCH(AE$1, 'Eurostat EB products IEA'!$A$4:$BN$4, 0)
     )
     * $L8:$U8,
     0
  )
)</f>
        <v>0</v>
      </c>
      <c r="AF8" s="17" cm="1">
        <f t="array" ref="AF8">SUMPRODUCT(
  IF($B8:$K8&lt;&gt;"",
     INDEX('Eurostat EB products IEA'!$A$4:$BN$135,
           MATCH($B8:$K8, 'Eurostat EB products IEA'!$A$4:$A$135, 0),
           MATCH(AF$1, 'Eurostat EB products IEA'!$A$4:$BN$4, 0)
     )
     * $L8:$U8,
     0
  )
)</f>
        <v>-39.009</v>
      </c>
      <c r="AG8" s="17" cm="1">
        <f t="array" ref="AG8">SUMPRODUCT(
  IF($B8:$K8&lt;&gt;"",
     INDEX('Eurostat EB products IEA'!$A$4:$BN$135,
           MATCH($B8:$K8, 'Eurostat EB products IEA'!$A$4:$A$135, 0),
           MATCH(AG$1, 'Eurostat EB products IEA'!$A$4:$BN$4, 0)
     )
     * $L8:$U8,
     0
  )
)</f>
        <v>0</v>
      </c>
      <c r="AH8" s="17" cm="1">
        <f t="array" ref="AH8">SUMPRODUCT(
  IF($B8:$K8&lt;&gt;"",
     INDEX('Eurostat EB products IEA'!$A$4:$BN$135,
           MATCH($B8:$K8, 'Eurostat EB products IEA'!$A$4:$A$135, 0),
           MATCH(AH$1, 'Eurostat EB products IEA'!$A$4:$BN$4, 0)
     )
     * $L8:$U8,
     0
  )
)</f>
        <v>0</v>
      </c>
      <c r="AI8" s="17" cm="1">
        <f t="array" ref="AI8">SUMPRODUCT(
  IF($B8:$K8&lt;&gt;"",
     INDEX('Eurostat EB products IEA'!$A$4:$BN$135,
           MATCH($B8:$K8, 'Eurostat EB products IEA'!$A$4:$A$135, 0),
           MATCH(AI$1, 'Eurostat EB products IEA'!$A$4:$BN$4, 0)
     )
     * $L8:$U8,
     0
  )
)</f>
        <v>0</v>
      </c>
      <c r="AJ8" s="17" cm="1">
        <f t="array" ref="AJ8">SUMPRODUCT(
  IF($B8:$K8&lt;&gt;"",
     INDEX('Eurostat EB products IEA'!$A$4:$BN$135,
           MATCH($B8:$K8, 'Eurostat EB products IEA'!$A$4:$A$135, 0),
           MATCH(AJ$1, 'Eurostat EB products IEA'!$A$4:$BN$4, 0)
     )
     * $L8:$U8,
     0
  )
)</f>
        <v>0</v>
      </c>
      <c r="AK8" s="17" cm="1">
        <f t="array" ref="AK8">SUMPRODUCT(
  IF($B8:$K8&lt;&gt;"",
     INDEX('Eurostat EB products IEA'!$A$4:$BN$135,
           MATCH($B8:$K8, 'Eurostat EB products IEA'!$A$4:$A$135, 0),
           MATCH(AK$1, 'Eurostat EB products IEA'!$A$4:$BN$4, 0)
     )
     * $L8:$U8,
     0
  )
)</f>
        <v>0</v>
      </c>
      <c r="AL8" s="17" cm="1">
        <f t="array" ref="AL8">SUMPRODUCT(
  IF($B8:$K8&lt;&gt;"",
     INDEX('Eurostat EB products IEA'!$A$4:$BN$135,
           MATCH($B8:$K8, 'Eurostat EB products IEA'!$A$4:$A$135, 0),
           MATCH(AL$1, 'Eurostat EB products IEA'!$A$4:$BN$4, 0)
     )
     * $L8:$U8,
     0
  )
)</f>
        <v>0</v>
      </c>
      <c r="AM8" s="17" cm="1">
        <f t="array" ref="AM8">SUMPRODUCT(
  IF($B8:$K8&lt;&gt;"",
     INDEX('Eurostat EB products IEA'!$A$4:$BN$135,
           MATCH($B8:$K8, 'Eurostat EB products IEA'!$A$4:$A$135, 0),
           MATCH(AM$1, 'Eurostat EB products IEA'!$A$4:$BN$4, 0)
     )
     * $L8:$U8,
     0
  )
)</f>
        <v>-28875.692999999999</v>
      </c>
      <c r="AN8" s="65" t="s">
        <v>323</v>
      </c>
      <c r="AO8" s="17" cm="1">
        <f t="array" ref="AO8">SUMPRODUCT(
  IF($B8:$K8&lt;&gt;"",
     INDEX('Eurostat EB products IEA'!$A$4:$BN$135,
           MATCH($B8:$K8, 'Eurostat EB products IEA'!$A$4:$A$135, 0),
           MATCH(AO$1, 'Eurostat EB products IEA'!$A$4:$BN$4, 0)
     )
     * $L8:$U8,
     0
  )
)</f>
        <v>41615.451999999997</v>
      </c>
      <c r="AP8" s="17" cm="1">
        <f t="array" ref="AP8">SUMPRODUCT(
  IF($B8:$K8&lt;&gt;"",
     INDEX('Eurostat EB products IEA'!$A$4:$BN$135,
           MATCH($B8:$K8, 'Eurostat EB products IEA'!$A$4:$A$135, 0),
           MATCH(AP$1, 'Eurostat EB products IEA'!$A$4:$BN$4, 0)
     )
     * $L8:$U8,
     0
  )
)</f>
        <v>1898.6310000000001</v>
      </c>
      <c r="AQ8" s="17" cm="1">
        <f t="array" ref="AQ8">SUMPRODUCT(
  IF($B8:$K8&lt;&gt;"",
     INDEX('Eurostat EB products IEA'!$A$4:$BN$135,
           MATCH($B8:$K8, 'Eurostat EB products IEA'!$A$4:$A$135, 0),
           MATCH(AQ$1, 'Eurostat EB products IEA'!$A$4:$BN$4, 0)
     )
     * $L8:$U8,
     0
  )
)</f>
        <v>0</v>
      </c>
      <c r="AR8" s="17" cm="1">
        <f t="array" ref="AR8">SUMPRODUCT(
  IF($B8:$K8&lt;&gt;"",
     INDEX('Eurostat EB products IEA'!$A$4:$BN$135,
           MATCH($B8:$K8, 'Eurostat EB products IEA'!$A$4:$A$135, 0),
           MATCH(AR$1, 'Eurostat EB products IEA'!$A$4:$BN$4, 0)
     )
     * $L8:$U8,
     0
  )
)</f>
        <v>5334</v>
      </c>
      <c r="AS8" s="17" cm="1">
        <f t="array" ref="AS8">SUMPRODUCT(
  IF($B8:$K8&lt;&gt;"",
     INDEX('Eurostat EB products IEA'!$A$4:$BN$135,
           MATCH($B8:$K8, 'Eurostat EB products IEA'!$A$4:$A$135, 0),
           MATCH(AS$1, 'Eurostat EB products IEA'!$A$4:$BN$4, 0)
     )
     * $L8:$U8,
     0
  )
)</f>
        <v>0</v>
      </c>
      <c r="AT8" s="17" cm="1">
        <f t="array" ref="AT8">SUMPRODUCT(
  IF($B8:$K8&lt;&gt;"",
     INDEX('Eurostat EB products IEA'!$A$4:$BN$135,
           MATCH($B8:$K8, 'Eurostat EB products IEA'!$A$4:$A$135, 0),
           MATCH(AT$1, 'Eurostat EB products IEA'!$A$4:$BN$4, 0)
     )
     * $L8:$U8,
     0
  )
)</f>
        <v>0</v>
      </c>
      <c r="AU8" s="17" cm="1">
        <f t="array" ref="AU8">SUMPRODUCT(
  IF($B8:$K8&lt;&gt;"",
     INDEX('Eurostat EB products IEA'!$A$4:$BN$135,
           MATCH($B8:$K8, 'Eurostat EB products IEA'!$A$4:$A$135, 0),
           MATCH(AU$1, 'Eurostat EB products IEA'!$A$4:$BN$4, 0)
     )
     * $L8:$U8,
     0
  )
)</f>
        <v>0</v>
      </c>
      <c r="AV8" s="17" cm="1">
        <f t="array" ref="AV8">SUMPRODUCT(
  IF($B8:$K8&lt;&gt;"",
     INDEX('Eurostat EB products IEA'!$A$4:$BN$135,
           MATCH($B8:$K8, 'Eurostat EB products IEA'!$A$4:$A$135, 0),
           MATCH(AV$1, 'Eurostat EB products IEA'!$A$4:$BN$4, 0)
     )
     * $L8:$U8,
     0
  )
)</f>
        <v>-726.803</v>
      </c>
      <c r="AW8" s="17" cm="1">
        <f t="array" ref="AW8">SUMPRODUCT(
  IF($B8:$K8&lt;&gt;"",
     INDEX('Eurostat EB products IEA'!$A$4:$BN$135,
           MATCH($B8:$K8, 'Eurostat EB products IEA'!$A$4:$A$135, 0),
           MATCH(AW$1, 'Eurostat EB products IEA'!$A$4:$BN$4, 0)
     )
     * $L8:$U8,
     0
  )
)</f>
        <v>20247.456999999999</v>
      </c>
      <c r="AX8" s="17" cm="1">
        <f t="array" ref="AX8">SUMPRODUCT(
  IF($B8:$K8&lt;&gt;"",
     INDEX('Eurostat EB products IEA'!$A$4:$BN$135,
           MATCH($B8:$K8, 'Eurostat EB products IEA'!$A$4:$A$135, 0),
           MATCH(AX$1, 'Eurostat EB products IEA'!$A$4:$BN$4, 0)
     )
     * $L8:$U8,
     0
  )
)</f>
        <v>117.523</v>
      </c>
      <c r="AY8" s="17" cm="1">
        <f t="array" ref="AY8">SUMPRODUCT(
  IF($B8:$K8&lt;&gt;"",
     INDEX('Eurostat EB products IEA'!$A$4:$BN$135,
           MATCH($B8:$K8, 'Eurostat EB products IEA'!$A$4:$A$135, 0),
           MATCH(AY$1, 'Eurostat EB products IEA'!$A$4:$BN$4, 0)
     )
     * $L8:$U8,
     0
  )
)</f>
        <v>0</v>
      </c>
      <c r="AZ8" s="17" cm="1">
        <f t="array" ref="AZ8">SUMPRODUCT(
  IF($B8:$K8&lt;&gt;"",
     INDEX('Eurostat EB products IEA'!$A$4:$BN$135,
           MATCH($B8:$K8, 'Eurostat EB products IEA'!$A$4:$A$135, 0),
           MATCH(AZ$1, 'Eurostat EB products IEA'!$A$4:$BN$4, 0)
     )
     * $L8:$U8,
     0
  )
)</f>
        <v>-6270.9470000000001</v>
      </c>
      <c r="BA8" s="17" cm="1">
        <f t="array" ref="BA8">SUMPRODUCT(
  IF($B8:$K8&lt;&gt;"",
     INDEX('Eurostat EB products IEA'!$A$4:$BN$135,
           MATCH($B8:$K8, 'Eurostat EB products IEA'!$A$4:$A$135, 0),
           MATCH(BA$1, 'Eurostat EB products IEA'!$A$4:$BN$4, 0)
     )
     * $L8:$U8,
     0
  )
)</f>
        <v>-536.971</v>
      </c>
      <c r="BB8" s="17" cm="1">
        <f t="array" ref="BB8">SUMPRODUCT(
  IF($B8:$K8&lt;&gt;"",
     INDEX('Eurostat EB products IEA'!$A$4:$BN$135,
           MATCH($B8:$K8, 'Eurostat EB products IEA'!$A$4:$A$135, 0),
           MATCH(BB$1, 'Eurostat EB products IEA'!$A$4:$BN$4, 0)
     )
     * $L8:$U8,
     0
  )
)</f>
        <v>10788.423000000001</v>
      </c>
      <c r="BC8" s="17" cm="1">
        <f t="array" ref="BC8">SUMPRODUCT(
  IF($B8:$K8&lt;&gt;"",
     INDEX('Eurostat EB products IEA'!$A$4:$BN$135,
           MATCH($B8:$K8, 'Eurostat EB products IEA'!$A$4:$A$135, 0),
           MATCH(BC$1, 'Eurostat EB products IEA'!$A$4:$BN$4, 0)
     )
     * $L8:$U8,
     0
  )
)</f>
        <v>6224.6940000000004</v>
      </c>
      <c r="BD8" s="17" cm="1">
        <f t="array" ref="BD8">SUMPRODUCT(
  IF($B8:$K8&lt;&gt;"",
     INDEX('Eurostat EB products IEA'!$A$4:$BN$135,
           MATCH($B8:$K8, 'Eurostat EB products IEA'!$A$4:$A$135, 0),
           MATCH(BD$1, 'Eurostat EB products IEA'!$A$4:$BN$4, 0)
     )
     * $L8:$U8,
     0
  )
)</f>
        <v>1729.0039999999999</v>
      </c>
      <c r="BE8" s="17" cm="1">
        <f t="array" ref="BE8">SUMPRODUCT(
  IF($B8:$K8&lt;&gt;"",
     INDEX('Eurostat EB products IEA'!$A$4:$BN$135,
           MATCH($B8:$K8, 'Eurostat EB products IEA'!$A$4:$A$135, 0),
           MATCH(BE$1, 'Eurostat EB products IEA'!$A$4:$BN$4, 0)
     )
     * $L8:$U8,
     0
  )
)</f>
        <v>-320.47199999999998</v>
      </c>
      <c r="BF8" s="17" cm="1">
        <f t="array" ref="BF8">SUMPRODUCT(
  IF($B8:$K8&lt;&gt;"",
     INDEX('Eurostat EB products IEA'!$A$4:$BN$135,
           MATCH($B8:$K8, 'Eurostat EB products IEA'!$A$4:$A$135, 0),
           MATCH(BF$1, 'Eurostat EB products IEA'!$A$4:$BN$4, 0)
     )
     * $L8:$U8,
     0
  )
)</f>
        <v>-1860.069</v>
      </c>
      <c r="BG8" s="17" cm="1">
        <f t="array" ref="BG8">SUMPRODUCT(
  IF($B8:$K8&lt;&gt;"",
     INDEX('Eurostat EB products IEA'!$A$4:$BN$135,
           MATCH($B8:$K8, 'Eurostat EB products IEA'!$A$4:$A$135, 0),
           MATCH(BG$1, 'Eurostat EB products IEA'!$A$4:$BN$4, 0)
     )
     * $L8:$U8,
     0
  )
)</f>
        <v>85.727000000000004</v>
      </c>
      <c r="BH8" s="17" cm="1">
        <f t="array" ref="BH8">SUMPRODUCT(
  IF($B8:$K8&lt;&gt;"",
     INDEX('Eurostat EB products IEA'!$A$4:$BN$135,
           MATCH($B8:$K8, 'Eurostat EB products IEA'!$A$4:$A$135, 0),
           MATCH(BH$1, 'Eurostat EB products IEA'!$A$4:$BN$4, 0)
     )
     * $L8:$U8,
     0
  )
)</f>
        <v>278.69900000000001</v>
      </c>
      <c r="BI8" s="17" cm="1">
        <f t="array" ref="BI8">SUMPRODUCT(
  IF($B8:$K8&lt;&gt;"",
     INDEX('Eurostat EB products IEA'!$A$4:$BN$135,
           MATCH($B8:$K8, 'Eurostat EB products IEA'!$A$4:$A$135, 0),
           MATCH(BI$1, 'Eurostat EB products IEA'!$A$4:$BN$4, 0)
     )
     * $L8:$U8,
     0
  )
)</f>
        <v>-3297.8620000000001</v>
      </c>
      <c r="BJ8" s="17" cm="1">
        <f t="array" ref="BJ8">SUMPRODUCT(
  IF($B8:$K8&lt;&gt;"",
     INDEX('Eurostat EB products IEA'!$A$4:$BN$135,
           MATCH($B8:$K8, 'Eurostat EB products IEA'!$A$4:$A$135, 0),
           MATCH(BJ$1, 'Eurostat EB products IEA'!$A$4:$BN$4, 0)
     )
     * $L8:$U8,
     0
  )
)</f>
        <v>3711.9079999999999</v>
      </c>
      <c r="BK8" s="17" cm="1">
        <f t="array" ref="BK8">SUMPRODUCT(
  IF($B8:$K8&lt;&gt;"",
     INDEX('Eurostat EB products IEA'!$A$4:$BN$135,
           MATCH($B8:$K8, 'Eurostat EB products IEA'!$A$4:$A$135, 0),
           MATCH(BK$1, 'Eurostat EB products IEA'!$A$4:$BN$4, 0)
     )
     * $L8:$U8,
     0
  )
)</f>
        <v>0</v>
      </c>
      <c r="BL8" s="17" cm="1">
        <f t="array" ref="BL8">SUMPRODUCT(
  IF($B8:$K8&lt;&gt;"",
     INDEX('Eurostat EB products IEA'!$A$4:$BN$135,
           MATCH($B8:$K8, 'Eurostat EB products IEA'!$A$4:$A$135, 0),
           MATCH(BL$1, 'Eurostat EB products IEA'!$A$4:$BN$4, 0)
     )
     * $L8:$U8,
     0
  )
)</f>
        <v>0</v>
      </c>
      <c r="BM8" s="17" cm="1">
        <f t="array" ref="BM8">SUMPRODUCT(
  IF($B8:$K8&lt;&gt;"",
     INDEX('Eurostat EB products IEA'!$A$4:$BN$135,
           MATCH($B8:$K8, 'Eurostat EB products IEA'!$A$4:$A$135, 0),
           MATCH(BM$1, 'Eurostat EB products IEA'!$A$4:$BN$4, 0)
     )
     * $L8:$U8,
     0
  )
)</f>
        <v>0</v>
      </c>
      <c r="BN8" s="17" cm="1">
        <f t="array" ref="BN8">SUMPRODUCT(
  IF($B8:$K8&lt;&gt;"",
     INDEX('Eurostat EB products IEA'!$A$4:$BN$135,
           MATCH($B8:$K8, 'Eurostat EB products IEA'!$A$4:$A$135, 0),
           MATCH(BN$1, 'Eurostat EB products IEA'!$A$4:$BN$4, 0)
     )
     * $L8:$U8,
     0
  )
)</f>
        <v>0</v>
      </c>
      <c r="BO8" s="17" cm="1">
        <f t="array" ref="BO8">SUMPRODUCT(
  IF($B8:$K8&lt;&gt;"",
     INDEX('Eurostat EB products IEA'!$A$4:$BN$135,
           MATCH($B8:$K8, 'Eurostat EB products IEA'!$A$4:$A$135, 0),
           MATCH(BO$1, 'Eurostat EB products IEA'!$A$4:$BN$4, 0)
     )
     * $L8:$U8,
     0
  )
)</f>
        <v>0</v>
      </c>
      <c r="BP8" s="17" cm="1">
        <f t="array" ref="BP8">SUMPRODUCT(
  IF($B8:$K8&lt;&gt;"",
     INDEX('Eurostat EB products IEA'!$A$4:$BN$135,
           MATCH($B8:$K8, 'Eurostat EB products IEA'!$A$4:$A$135, 0),
           MATCH(BP$1, 'Eurostat EB products IEA'!$A$4:$BN$4, 0)
     )
     * $L8:$U8,
     0
  )
)</f>
        <v>222.04499999999999</v>
      </c>
      <c r="BQ8" s="17" cm="1">
        <f t="array" ref="BQ8">SUMPRODUCT(
  IF($B8:$K8&lt;&gt;"",
     INDEX('Eurostat EB products IEA'!$A$4:$BN$135,
           MATCH($B8:$K8, 'Eurostat EB products IEA'!$A$4:$A$135, 0),
           MATCH(BQ$1, 'Eurostat EB products IEA'!$A$4:$BN$4, 0)
     )
     * $L8:$U8,
     0
  )
)</f>
        <v>13170.717000000001</v>
      </c>
      <c r="BR8" s="17" cm="1">
        <f t="array" ref="BR8">SUMPRODUCT(
  IF($B8:$K8&lt;&gt;"",
     INDEX('Eurostat EB products IEA'!$A$4:$BN$135,
           MATCH($B8:$K8, 'Eurostat EB products IEA'!$A$4:$A$135, 0),
           MATCH(BR$1, 'Eurostat EB products IEA'!$A$4:$BN$4, 0)
     )
     * $L8:$U8,
     0
  )
)</f>
        <v>0</v>
      </c>
      <c r="BS8" s="65">
        <v>0</v>
      </c>
      <c r="BT8" s="17" cm="1">
        <f t="array" ref="BT8">SUMPRODUCT(
  IF($B8:$K8&lt;&gt;"",
     INDEX('Eurostat EB products IEA'!$A$4:$BN$135,
           MATCH($B8:$K8, 'Eurostat EB products IEA'!$A$4:$A$135, 0),
           MATCH(BT$1, 'Eurostat EB products IEA'!$A$4:$BN$4, 0)
     )
     * $L8:$U8,
     0
  )
)</f>
        <v>0</v>
      </c>
      <c r="BU8" s="65">
        <v>0</v>
      </c>
      <c r="BV8" s="65">
        <v>0</v>
      </c>
      <c r="BW8" s="17" cm="1">
        <f t="array" ref="BW8">SUMPRODUCT(
  IF($B8:$K8&lt;&gt;"",
     INDEX('Eurostat EB products IEA'!$A$4:$BN$135,
           MATCH($B8:$K8, 'Eurostat EB products IEA'!$A$4:$A$135, 0),
           MATCH(BW$1, 'Eurostat EB products IEA'!$A$4:$BN$4, 0)
     )
     * $L8:$U8,
     0
  )
)</f>
        <v>0</v>
      </c>
      <c r="BX8" s="17" cm="1">
        <f t="array" ref="BX8">SUMPRODUCT(
  IF($B8:$K8&lt;&gt;"",
     INDEX('Eurostat EB products IEA'!$A$4:$BN$135,
           MATCH($B8:$K8, 'Eurostat EB products IEA'!$A$4:$A$135, 0),
           MATCH(BX$1, 'Eurostat EB products IEA'!$A$4:$BN$4, 0)
     )
     * $L8:$U8,
     0
  )
)</f>
        <v>0</v>
      </c>
      <c r="BY8" s="17" cm="1">
        <f t="array" ref="BY8">SUMPRODUCT(
  IF($B8:$K8&lt;&gt;"",
     INDEX('Eurostat EB products IEA'!$A$4:$BN$135,
           MATCH($B8:$K8, 'Eurostat EB products IEA'!$A$4:$A$135, 0),
           MATCH(BY$1, 'Eurostat EB products IEA'!$A$4:$BN$4, 0)
     )
     * $L8:$U8,
     0
  )
)</f>
        <v>0</v>
      </c>
      <c r="BZ8" s="17" cm="1">
        <f t="array" ref="BZ8">SUMPRODUCT(
  IF($B8:$K8&lt;&gt;"",
     INDEX('Eurostat EB products IEA'!$A$4:$BN$135,
           MATCH($B8:$K8, 'Eurostat EB products IEA'!$A$4:$A$135, 0),
           MATCH(BZ$1, 'Eurostat EB products IEA'!$A$4:$BN$4, 0)
     )
     * $L8:$U8,
     0
  )
)</f>
        <v>0</v>
      </c>
      <c r="CA8" s="17" cm="1">
        <f t="array" ref="CA8">SUMPRODUCT(
  IF($B8:$K8&lt;&gt;"",
     INDEX('Eurostat EB products IEA'!$A$4:$BN$135,
           MATCH($B8:$K8, 'Eurostat EB products IEA'!$A$4:$A$135, 0),
           MATCH(CA$1, 'Eurostat EB products IEA'!$A$4:$BN$4, 0)
     )
     * $L8:$U8,
     0
  )
)</f>
        <v>0</v>
      </c>
      <c r="CB8" s="17" cm="1">
        <f t="array" ref="CB8">SUMPRODUCT(
  IF($B8:$K8&lt;&gt;"",
     INDEX('Eurostat EB products IEA'!$A$4:$BN$135,
           MATCH($B8:$K8, 'Eurostat EB products IEA'!$A$4:$A$135, 0),
           MATCH(CB$1, 'Eurostat EB products IEA'!$A$4:$BN$4, 0)
     )
     * $L8:$U8,
     0
  )
)</f>
        <v>0</v>
      </c>
      <c r="CC8" s="17" cm="1">
        <f t="array" ref="CC8">SUMPRODUCT(
  IF($B8:$K8&lt;&gt;"",
     INDEX('Eurostat EB products IEA'!$A$4:$BN$135,
           MATCH($B8:$K8, 'Eurostat EB products IEA'!$A$4:$A$135, 0),
           MATCH(CC$1, 'Eurostat EB products IEA'!$A$4:$BN$4, 0)
     )
     * $L8:$U8,
     0
  )
)</f>
        <v>0</v>
      </c>
      <c r="CD8" s="65">
        <v>0</v>
      </c>
      <c r="CE8" s="17" cm="1">
        <f t="array" ref="CE8">SUMPRODUCT(
  IF($B8:$K8&lt;&gt;"",
     INDEX('Eurostat EB products IEA'!$A$4:$BN$135,
           MATCH($B8:$K8, 'Eurostat EB products IEA'!$A$4:$A$135, 0),
           MATCH(CE$1, 'Eurostat EB products IEA'!$A$4:$BN$4, 0)
     )
     * $L8:$U8,
     0
  )
)</f>
        <v>0</v>
      </c>
      <c r="CF8" s="17" cm="1">
        <f t="array" ref="CF8">SUMPRODUCT(
  IF($B8:$K8&lt;&gt;"",
     INDEX('Eurostat EB products IEA'!$A$4:$BN$135,
           MATCH($B8:$K8, 'Eurostat EB products IEA'!$A$4:$A$135, 0),
           MATCH(CF$1, 'Eurostat EB products IEA'!$A$4:$BN$4, 0)
     )
     * $L8:$U8,
     0
  )
)</f>
        <v>0</v>
      </c>
      <c r="CG8" s="17" cm="1">
        <f t="array" ref="CG8">SUMPRODUCT(
  IF($B8:$K8&lt;&gt;"",
     INDEX('Eurostat EB products IEA'!$A$4:$BN$135,
           MATCH($B8:$K8, 'Eurostat EB products IEA'!$A$4:$A$135, 0),
           MATCH(CG$1, 'Eurostat EB products IEA'!$A$4:$BN$4, 0)
     )
     * $L8:$U8,
     0
  )
)</f>
        <v>59764.099000000002</v>
      </c>
      <c r="CH8" s="17" cm="1">
        <f t="array" ref="CH8">SUMPRODUCT(
  IF($B8:$K8&lt;&gt;"",
     INDEX('Eurostat EB products IEA'!$A$4:$BN$135,
           MATCH($B8:$K8, 'Eurostat EB products IEA'!$A$4:$A$135, 0),
           MATCH(CH$1, 'Eurostat EB products IEA'!$A$4:$BN$4, 0)
     )
     * $L8:$U8,
     0
  )
)</f>
        <v>13096.992</v>
      </c>
    </row>
    <row r="9" spans="1:86" x14ac:dyDescent="0.2">
      <c r="A9" t="s">
        <v>147</v>
      </c>
      <c r="B9" s="75"/>
      <c r="C9" s="77"/>
      <c r="D9" s="75"/>
      <c r="E9" s="77"/>
      <c r="F9" s="75"/>
      <c r="G9" s="77"/>
      <c r="H9" s="75"/>
      <c r="I9" s="77"/>
      <c r="J9" s="74" t="s">
        <v>203</v>
      </c>
      <c r="K9" s="78" t="s">
        <v>81</v>
      </c>
      <c r="L9" s="76"/>
      <c r="M9" s="79"/>
      <c r="N9" s="76"/>
      <c r="O9" s="79"/>
      <c r="P9" s="76"/>
      <c r="Q9" s="79"/>
      <c r="R9" s="76"/>
      <c r="S9" s="79"/>
      <c r="T9" s="76">
        <v>-1</v>
      </c>
      <c r="U9" s="79">
        <v>1</v>
      </c>
      <c r="V9" s="65" t="s">
        <v>323</v>
      </c>
      <c r="W9" s="65" t="s">
        <v>323</v>
      </c>
      <c r="X9" s="57" cm="1">
        <f t="array" ref="X9">SUMPRODUCT(
  IF($B9:$K9&lt;&gt;"",
     INDEX('Eurostat EB products IEA'!$A$4:$BN$135,
           MATCH($B9:$K9, 'Eurostat EB products IEA'!$A$4:$A$135, 0),
           MATCH(X$1, 'Eurostat EB products IEA'!$A$4:$BN$4, 0)
     )
     * $L9:$U9,
     0
  )
)</f>
        <v>76.706999999999994</v>
      </c>
      <c r="Y9" s="57" cm="1">
        <f t="array" ref="Y9">SUMPRODUCT(
  IF($B9:$K9&lt;&gt;"",
     INDEX('Eurostat EB products IEA'!$A$4:$BN$135,
           MATCH($B9:$K9, 'Eurostat EB products IEA'!$A$4:$A$135, 0),
           MATCH(Y$1, 'Eurostat EB products IEA'!$A$4:$BN$4, 0)
     )
     * $L9:$U9,
     0
  )
)</f>
        <v>99209.364000000001</v>
      </c>
      <c r="Z9" s="57" cm="1">
        <f t="array" ref="Z9">SUMPRODUCT(
  IF($B9:$K9&lt;&gt;"",
     INDEX('Eurostat EB products IEA'!$A$4:$BN$135,
           MATCH($B9:$K9, 'Eurostat EB products IEA'!$A$4:$A$135, 0),
           MATCH(Z$1, 'Eurostat EB products IEA'!$A$4:$BN$4, 0)
     )
     * $L9:$U9,
     0
  )
)</f>
        <v>71800.581000000006</v>
      </c>
      <c r="AA9" s="57" cm="1">
        <f t="array" ref="AA9">SUMPRODUCT(
  IF($B9:$K9&lt;&gt;"",
     INDEX('Eurostat EB products IEA'!$A$4:$BN$135,
           MATCH($B9:$K9, 'Eurostat EB products IEA'!$A$4:$A$135, 0),
           MATCH(AA$1, 'Eurostat EB products IEA'!$A$4:$BN$4, 0)
     )
     * $L9:$U9,
     0
  )
)</f>
        <v>0</v>
      </c>
      <c r="AB9" s="57" cm="1">
        <f t="array" ref="AB9">SUMPRODUCT(
  IF($B9:$K9&lt;&gt;"",
     INDEX('Eurostat EB products IEA'!$A$4:$BN$135,
           MATCH($B9:$K9, 'Eurostat EB products IEA'!$A$4:$A$135, 0),
           MATCH(AB$1, 'Eurostat EB products IEA'!$A$4:$BN$4, 0)
     )
     * $L9:$U9,
     0
  )
)</f>
        <v>312.82</v>
      </c>
      <c r="AC9" s="57" cm="1">
        <f t="array" ref="AC9">SUMPRODUCT(
  IF($B9:$K9&lt;&gt;"",
     INDEX('Eurostat EB products IEA'!$A$4:$BN$135,
           MATCH($B9:$K9, 'Eurostat EB products IEA'!$A$4:$A$135, 0),
           MATCH(AC$1, 'Eurostat EB products IEA'!$A$4:$BN$4, 0)
     )
     * $L9:$U9,
     0
  )
)</f>
        <v>0</v>
      </c>
      <c r="AD9" s="57" cm="1">
        <f t="array" ref="AD9">SUMPRODUCT(
  IF($B9:$K9&lt;&gt;"",
     INDEX('Eurostat EB products IEA'!$A$4:$BN$135,
           MATCH($B9:$K9, 'Eurostat EB products IEA'!$A$4:$A$135, 0),
           MATCH(AD$1, 'Eurostat EB products IEA'!$A$4:$BN$4, 0)
     )
     * $L9:$U9,
     0
  )
)</f>
        <v>-10738.941999999999</v>
      </c>
      <c r="AE9" s="57" cm="1">
        <f t="array" ref="AE9">SUMPRODUCT(
  IF($B9:$K9&lt;&gt;"",
     INDEX('Eurostat EB products IEA'!$A$4:$BN$135,
           MATCH($B9:$K9, 'Eurostat EB products IEA'!$A$4:$A$135, 0),
           MATCH(AE$1, 'Eurostat EB products IEA'!$A$4:$BN$4, 0)
     )
     * $L9:$U9,
     0
  )
)</f>
        <v>0</v>
      </c>
      <c r="AF9" s="57" cm="1">
        <f t="array" ref="AF9">SUMPRODUCT(
  IF($B9:$K9&lt;&gt;"",
     INDEX('Eurostat EB products IEA'!$A$4:$BN$135,
           MATCH($B9:$K9, 'Eurostat EB products IEA'!$A$4:$A$135, 0),
           MATCH(AF$1, 'Eurostat EB products IEA'!$A$4:$BN$4, 0)
     )
     * $L9:$U9,
     0
  )
)</f>
        <v>-2295.0729999999999</v>
      </c>
      <c r="AG9" s="57" cm="1">
        <f t="array" ref="AG9">SUMPRODUCT(
  IF($B9:$K9&lt;&gt;"",
     INDEX('Eurostat EB products IEA'!$A$4:$BN$135,
           MATCH($B9:$K9, 'Eurostat EB products IEA'!$A$4:$A$135, 0),
           MATCH(AG$1, 'Eurostat EB products IEA'!$A$4:$BN$4, 0)
     )
     * $L9:$U9,
     0
  )
)</f>
        <v>0</v>
      </c>
      <c r="AH9" s="57" cm="1">
        <f t="array" ref="AH9">SUMPRODUCT(
  IF($B9:$K9&lt;&gt;"",
     INDEX('Eurostat EB products IEA'!$A$4:$BN$135,
           MATCH($B9:$K9, 'Eurostat EB products IEA'!$A$4:$A$135, 0),
           MATCH(AH$1, 'Eurostat EB products IEA'!$A$4:$BN$4, 0)
     )
     * $L9:$U9,
     0
  )
)</f>
        <v>0</v>
      </c>
      <c r="AI9" s="57" cm="1">
        <f t="array" ref="AI9">SUMPRODUCT(
  IF($B9:$K9&lt;&gt;"",
     INDEX('Eurostat EB products IEA'!$A$4:$BN$135,
           MATCH($B9:$K9, 'Eurostat EB products IEA'!$A$4:$A$135, 0),
           MATCH(AI$1, 'Eurostat EB products IEA'!$A$4:$BN$4, 0)
     )
     * $L9:$U9,
     0
  )
)</f>
        <v>0</v>
      </c>
      <c r="AJ9" s="57" cm="1">
        <f t="array" ref="AJ9">SUMPRODUCT(
  IF($B9:$K9&lt;&gt;"",
     INDEX('Eurostat EB products IEA'!$A$4:$BN$135,
           MATCH($B9:$K9, 'Eurostat EB products IEA'!$A$4:$A$135, 0),
           MATCH(AJ$1, 'Eurostat EB products IEA'!$A$4:$BN$4, 0)
     )
     * $L9:$U9,
     0
  )
)</f>
        <v>0</v>
      </c>
      <c r="AK9" s="57" cm="1">
        <f t="array" ref="AK9">SUMPRODUCT(
  IF($B9:$K9&lt;&gt;"",
     INDEX('Eurostat EB products IEA'!$A$4:$BN$135,
           MATCH($B9:$K9, 'Eurostat EB products IEA'!$A$4:$A$135, 0),
           MATCH(AK$1, 'Eurostat EB products IEA'!$A$4:$BN$4, 0)
     )
     * $L9:$U9,
     0
  )
)</f>
        <v>0</v>
      </c>
      <c r="AL9" s="57" cm="1">
        <f t="array" ref="AL9">SUMPRODUCT(
  IF($B9:$K9&lt;&gt;"",
     INDEX('Eurostat EB products IEA'!$A$4:$BN$135,
           MATCH($B9:$K9, 'Eurostat EB products IEA'!$A$4:$A$135, 0),
           MATCH(AL$1, 'Eurostat EB products IEA'!$A$4:$BN$4, 0)
     )
     * $L9:$U9,
     0
  )
)</f>
        <v>0</v>
      </c>
      <c r="AM9" s="57" cm="1">
        <f t="array" ref="AM9">SUMPRODUCT(
  IF($B9:$K9&lt;&gt;"",
     INDEX('Eurostat EB products IEA'!$A$4:$BN$135,
           MATCH($B9:$K9, 'Eurostat EB products IEA'!$A$4:$A$135, 0),
           MATCH(AM$1, 'Eurostat EB products IEA'!$A$4:$BN$4, 0)
     )
     * $L9:$U9,
     0
  )
)</f>
        <v>928798.62600000005</v>
      </c>
      <c r="AN9" s="65" t="s">
        <v>323</v>
      </c>
      <c r="AO9" s="57" cm="1">
        <f t="array" ref="AO9">SUMPRODUCT(
  IF($B9:$K9&lt;&gt;"",
     INDEX('Eurostat EB products IEA'!$A$4:$BN$135,
           MATCH($B9:$K9, 'Eurostat EB products IEA'!$A$4:$A$135, 0),
           MATCH(AO$1, 'Eurostat EB products IEA'!$A$4:$BN$4, 0)
     )
     * $L9:$U9,
     0
  )
)</f>
        <v>2349392.9330000002</v>
      </c>
      <c r="AP9" s="57" cm="1">
        <f t="array" ref="AP9">SUMPRODUCT(
  IF($B9:$K9&lt;&gt;"",
     INDEX('Eurostat EB products IEA'!$A$4:$BN$135,
           MATCH($B9:$K9, 'Eurostat EB products IEA'!$A$4:$A$135, 0),
           MATCH(AP$1, 'Eurostat EB products IEA'!$A$4:$BN$4, 0)
     )
     * $L9:$U9,
     0
  )
)</f>
        <v>343507.68</v>
      </c>
      <c r="AQ9" s="57" cm="1">
        <f t="array" ref="AQ9">SUMPRODUCT(
  IF($B9:$K9&lt;&gt;"",
     INDEX('Eurostat EB products IEA'!$A$4:$BN$135,
           MATCH($B9:$K9, 'Eurostat EB products IEA'!$A$4:$A$135, 0),
           MATCH(AQ$1, 'Eurostat EB products IEA'!$A$4:$BN$4, 0)
     )
     * $L9:$U9,
     0
  )
)</f>
        <v>0</v>
      </c>
      <c r="AR9" s="57" cm="1">
        <f t="array" ref="AR9">SUMPRODUCT(
  IF($B9:$K9&lt;&gt;"",
     INDEX('Eurostat EB products IEA'!$A$4:$BN$135,
           MATCH($B9:$K9, 'Eurostat EB products IEA'!$A$4:$A$135, 0),
           MATCH(AR$1, 'Eurostat EB products IEA'!$A$4:$BN$4, 0)
     )
     * $L9:$U9,
     0
  )
)</f>
        <v>24606.116000000002</v>
      </c>
      <c r="AS9" s="57" cm="1">
        <f t="array" ref="AS9">SUMPRODUCT(
  IF($B9:$K9&lt;&gt;"",
     INDEX('Eurostat EB products IEA'!$A$4:$BN$135,
           MATCH($B9:$K9, 'Eurostat EB products IEA'!$A$4:$A$135, 0),
           MATCH(AS$1, 'Eurostat EB products IEA'!$A$4:$BN$4, 0)
     )
     * $L9:$U9,
     0
  )
)</f>
        <v>0</v>
      </c>
      <c r="AT9" s="57" cm="1">
        <f t="array" ref="AT9">SUMPRODUCT(
  IF($B9:$K9&lt;&gt;"",
     INDEX('Eurostat EB products IEA'!$A$4:$BN$135,
           MATCH($B9:$K9, 'Eurostat EB products IEA'!$A$4:$A$135, 0),
           MATCH(AT$1, 'Eurostat EB products IEA'!$A$4:$BN$4, 0)
     )
     * $L9:$U9,
     0
  )
)</f>
        <v>0</v>
      </c>
      <c r="AU9" s="57" cm="1">
        <f t="array" ref="AU9">SUMPRODUCT(
  IF($B9:$K9&lt;&gt;"",
     INDEX('Eurostat EB products IEA'!$A$4:$BN$135,
           MATCH($B9:$K9, 'Eurostat EB products IEA'!$A$4:$A$135, 0),
           MATCH(AU$1, 'Eurostat EB products IEA'!$A$4:$BN$4, 0)
     )
     * $L9:$U9,
     0
  )
)</f>
        <v>0</v>
      </c>
      <c r="AV9" s="57" cm="1">
        <f t="array" ref="AV9">SUMPRODUCT(
  IF($B9:$K9&lt;&gt;"",
     INDEX('Eurostat EB products IEA'!$A$4:$BN$135,
           MATCH($B9:$K9, 'Eurostat EB products IEA'!$A$4:$A$135, 0),
           MATCH(AV$1, 'Eurostat EB products IEA'!$A$4:$BN$4, 0)
     )
     * $L9:$U9,
     0
  )
)</f>
        <v>58822.580999999998</v>
      </c>
      <c r="AW9" s="57" cm="1">
        <f t="array" ref="AW9">SUMPRODUCT(
  IF($B9:$K9&lt;&gt;"",
     INDEX('Eurostat EB products IEA'!$A$4:$BN$135,
           MATCH($B9:$K9, 'Eurostat EB products IEA'!$A$4:$A$135, 0),
           MATCH(AW$1, 'Eurostat EB products IEA'!$A$4:$BN$4, 0)
     )
     * $L9:$U9,
     0
  )
)</f>
        <v>-596515.62199999997</v>
      </c>
      <c r="AX9" s="57" cm="1">
        <f t="array" ref="AX9">SUMPRODUCT(
  IF($B9:$K9&lt;&gt;"",
     INDEX('Eurostat EB products IEA'!$A$4:$BN$135,
           MATCH($B9:$K9, 'Eurostat EB products IEA'!$A$4:$A$135, 0),
           MATCH(AX$1, 'Eurostat EB products IEA'!$A$4:$BN$4, 0)
     )
     * $L9:$U9,
     0
  )
)</f>
        <v>-2765.681</v>
      </c>
      <c r="AY9" s="57" cm="1">
        <f t="array" ref="AY9">SUMPRODUCT(
  IF($B9:$K9&lt;&gt;"",
     INDEX('Eurostat EB products IEA'!$A$4:$BN$135,
           MATCH($B9:$K9, 'Eurostat EB products IEA'!$A$4:$A$135, 0),
           MATCH(AY$1, 'Eurostat EB products IEA'!$A$4:$BN$4, 0)
     )
     * $L9:$U9,
     0
  )
)</f>
        <v>0</v>
      </c>
      <c r="AZ9" s="57" cm="1">
        <f t="array" ref="AZ9">SUMPRODUCT(
  IF($B9:$K9&lt;&gt;"",
     INDEX('Eurostat EB products IEA'!$A$4:$BN$135,
           MATCH($B9:$K9, 'Eurostat EB products IEA'!$A$4:$A$135, 0),
           MATCH(AZ$1, 'Eurostat EB products IEA'!$A$4:$BN$4, 0)
     )
     * $L9:$U9,
     0
  )
)</f>
        <v>-388467.95899999997</v>
      </c>
      <c r="BA9" s="57" cm="1">
        <f t="array" ref="BA9">SUMPRODUCT(
  IF($B9:$K9&lt;&gt;"",
     INDEX('Eurostat EB products IEA'!$A$4:$BN$135,
           MATCH($B9:$K9, 'Eurostat EB products IEA'!$A$4:$A$135, 0),
           MATCH(BA$1, 'Eurostat EB products IEA'!$A$4:$BN$4, 0)
     )
     * $L9:$U9,
     0
  )
)</f>
        <v>-11180.653</v>
      </c>
      <c r="BB9" s="57" cm="1">
        <f t="array" ref="BB9">SUMPRODUCT(
  IF($B9:$K9&lt;&gt;"",
     INDEX('Eurostat EB products IEA'!$A$4:$BN$135,
           MATCH($B9:$K9, 'Eurostat EB products IEA'!$A$4:$A$135, 0),
           MATCH(BB$1, 'Eurostat EB products IEA'!$A$4:$BN$4, 0)
     )
     * $L9:$U9,
     0
  )
)</f>
        <v>-579570.19700000004</v>
      </c>
      <c r="BC9" s="57" cm="1">
        <f t="array" ref="BC9">SUMPRODUCT(
  IF($B9:$K9&lt;&gt;"",
     INDEX('Eurostat EB products IEA'!$A$4:$BN$135,
           MATCH($B9:$K9, 'Eurostat EB products IEA'!$A$4:$A$135, 0),
           MATCH(BC$1, 'Eurostat EB products IEA'!$A$4:$BN$4, 0)
     )
     * $L9:$U9,
     0
  )
)</f>
        <v>-293881.33399999997</v>
      </c>
      <c r="BD9" s="57" cm="1">
        <f t="array" ref="BD9">SUMPRODUCT(
  IF($B9:$K9&lt;&gt;"",
     INDEX('Eurostat EB products IEA'!$A$4:$BN$135,
           MATCH($B9:$K9, 'Eurostat EB products IEA'!$A$4:$A$135, 0),
           MATCH(BD$1, 'Eurostat EB products IEA'!$A$4:$BN$4, 0)
     )
     * $L9:$U9,
     0
  )
)</f>
        <v>224209.076</v>
      </c>
      <c r="BE9" s="57" cm="1">
        <f t="array" ref="BE9">SUMPRODUCT(
  IF($B9:$K9&lt;&gt;"",
     INDEX('Eurostat EB products IEA'!$A$4:$BN$135,
           MATCH($B9:$K9, 'Eurostat EB products IEA'!$A$4:$A$135, 0),
           MATCH(BE$1, 'Eurostat EB products IEA'!$A$4:$BN$4, 0)
     )
     * $L9:$U9,
     0
  )
)</f>
        <v>-6585.7460000000001</v>
      </c>
      <c r="BF9" s="57" cm="1">
        <f t="array" ref="BF9">SUMPRODUCT(
  IF($B9:$K9&lt;&gt;"",
     INDEX('Eurostat EB products IEA'!$A$4:$BN$135,
           MATCH($B9:$K9, 'Eurostat EB products IEA'!$A$4:$A$135, 0),
           MATCH(BF$1, 'Eurostat EB products IEA'!$A$4:$BN$4, 0)
     )
     * $L9:$U9,
     0
  )
)</f>
        <v>-24673.428</v>
      </c>
      <c r="BG9" s="57" cm="1">
        <f t="array" ref="BG9">SUMPRODUCT(
  IF($B9:$K9&lt;&gt;"",
     INDEX('Eurostat EB products IEA'!$A$4:$BN$135,
           MATCH($B9:$K9, 'Eurostat EB products IEA'!$A$4:$A$135, 0),
           MATCH(BG$1, 'Eurostat EB products IEA'!$A$4:$BN$4, 0)
     )
     * $L9:$U9,
     0
  )
)</f>
        <v>-33161.000999999997</v>
      </c>
      <c r="BH9" s="57" cm="1">
        <f t="array" ref="BH9">SUMPRODUCT(
  IF($B9:$K9&lt;&gt;"",
     INDEX('Eurostat EB products IEA'!$A$4:$BN$135,
           MATCH($B9:$K9, 'Eurostat EB products IEA'!$A$4:$A$135, 0),
           MATCH(BH$1, 'Eurostat EB products IEA'!$A$4:$BN$4, 0)
     )
     * $L9:$U9,
     0
  )
)</f>
        <v>402.14299999999997</v>
      </c>
      <c r="BI9" s="57" cm="1">
        <f t="array" ref="BI9">SUMPRODUCT(
  IF($B9:$K9&lt;&gt;"",
     INDEX('Eurostat EB products IEA'!$A$4:$BN$135,
           MATCH($B9:$K9, 'Eurostat EB products IEA'!$A$4:$A$135, 0),
           MATCH(BI$1, 'Eurostat EB products IEA'!$A$4:$BN$4, 0)
     )
     * $L9:$U9,
     0
  )
)</f>
        <v>8775.5249999999996</v>
      </c>
      <c r="BJ9" s="57" cm="1">
        <f t="array" ref="BJ9">SUMPRODUCT(
  IF($B9:$K9&lt;&gt;"",
     INDEX('Eurostat EB products IEA'!$A$4:$BN$135,
           MATCH($B9:$K9, 'Eurostat EB products IEA'!$A$4:$A$135, 0),
           MATCH(BJ$1, 'Eurostat EB products IEA'!$A$4:$BN$4, 0)
     )
     * $L9:$U9,
     0
  )
)</f>
        <v>-19054.152999999998</v>
      </c>
      <c r="BK9" s="57" cm="1">
        <f t="array" ref="BK9">SUMPRODUCT(
  IF($B9:$K9&lt;&gt;"",
     INDEX('Eurostat EB products IEA'!$A$4:$BN$135,
           MATCH($B9:$K9, 'Eurostat EB products IEA'!$A$4:$A$135, 0),
           MATCH(BK$1, 'Eurostat EB products IEA'!$A$4:$BN$4, 0)
     )
     * $L9:$U9,
     0
  )
)</f>
        <v>1876.845</v>
      </c>
      <c r="BL9" s="57" cm="1">
        <f t="array" ref="BL9">SUMPRODUCT(
  IF($B9:$K9&lt;&gt;"",
     INDEX('Eurostat EB products IEA'!$A$4:$BN$135,
           MATCH($B9:$K9, 'Eurostat EB products IEA'!$A$4:$A$135, 0),
           MATCH(BL$1, 'Eurostat EB products IEA'!$A$4:$BN$4, 0)
     )
     * $L9:$U9,
     0
  )
)</f>
        <v>36847.622000000003</v>
      </c>
      <c r="BM9" s="57" cm="1">
        <f t="array" ref="BM9">SUMPRODUCT(
  IF($B9:$K9&lt;&gt;"",
     INDEX('Eurostat EB products IEA'!$A$4:$BN$135,
           MATCH($B9:$K9, 'Eurostat EB products IEA'!$A$4:$A$135, 0),
           MATCH(BM$1, 'Eurostat EB products IEA'!$A$4:$BN$4, 0)
     )
     * $L9:$U9,
     0
  )
)</f>
        <v>32676.192999999999</v>
      </c>
      <c r="BN9" s="57" cm="1">
        <f t="array" ref="BN9">SUMPRODUCT(
  IF($B9:$K9&lt;&gt;"",
     INDEX('Eurostat EB products IEA'!$A$4:$BN$135,
           MATCH($B9:$K9, 'Eurostat EB products IEA'!$A$4:$A$135, 0),
           MATCH(BN$1, 'Eurostat EB products IEA'!$A$4:$BN$4, 0)
     )
     * $L9:$U9,
     0
  )
)</f>
        <v>84063.228000000003</v>
      </c>
      <c r="BO9" s="57" cm="1">
        <f t="array" ref="BO9">SUMPRODUCT(
  IF($B9:$K9&lt;&gt;"",
     INDEX('Eurostat EB products IEA'!$A$4:$BN$135,
           MATCH($B9:$K9, 'Eurostat EB products IEA'!$A$4:$A$135, 0),
           MATCH(BO$1, 'Eurostat EB products IEA'!$A$4:$BN$4, 0)
     )
     * $L9:$U9,
     0
  )
)</f>
        <v>18758.186000000002</v>
      </c>
      <c r="BP9" s="57" cm="1">
        <f t="array" ref="BP9">SUMPRODUCT(
  IF($B9:$K9&lt;&gt;"",
     INDEX('Eurostat EB products IEA'!$A$4:$BN$135,
           MATCH($B9:$K9, 'Eurostat EB products IEA'!$A$4:$A$135, 0),
           MATCH(BP$1, 'Eurostat EB products IEA'!$A$4:$BN$4, 0)
     )
     * $L9:$U9,
     0
  )
)</f>
        <v>11147.65</v>
      </c>
      <c r="BQ9" s="57" cm="1">
        <f t="array" ref="BQ9">SUMPRODUCT(
  IF($B9:$K9&lt;&gt;"",
     INDEX('Eurostat EB products IEA'!$A$4:$BN$135,
           MATCH($B9:$K9, 'Eurostat EB products IEA'!$A$4:$A$135, 0),
           MATCH(BQ$1, 'Eurostat EB products IEA'!$A$4:$BN$4, 0)
     )
     * $L9:$U9,
     0
  )
)</f>
        <v>14730.059999999998</v>
      </c>
      <c r="BR9" s="57" cm="1">
        <f t="array" ref="BR9">SUMPRODUCT(
  IF($B9:$K9&lt;&gt;"",
     INDEX('Eurostat EB products IEA'!$A$4:$BN$135,
           MATCH($B9:$K9, 'Eurostat EB products IEA'!$A$4:$A$135, 0),
           MATCH(BR$1, 'Eurostat EB products IEA'!$A$4:$BN$4, 0)
     )
     * $L9:$U9,
     0
  )
)</f>
        <v>529.77599999999995</v>
      </c>
      <c r="BS9" s="65">
        <v>0</v>
      </c>
      <c r="BT9" s="57" cm="1">
        <f t="array" ref="BT9">SUMPRODUCT(
  IF($B9:$K9&lt;&gt;"",
     INDEX('Eurostat EB products IEA'!$A$4:$BN$135,
           MATCH($B9:$K9, 'Eurostat EB products IEA'!$A$4:$A$135, 0),
           MATCH(BT$1, 'Eurostat EB products IEA'!$A$4:$BN$4, 0)
     )
     * $L9:$U9,
     0
  )
)</f>
        <v>270</v>
      </c>
      <c r="BU9" s="65">
        <v>0</v>
      </c>
      <c r="BV9" s="65">
        <v>0</v>
      </c>
      <c r="BW9" s="57" cm="1">
        <f t="array" ref="BW9">SUMPRODUCT(
  IF($B9:$K9&lt;&gt;"",
     INDEX('Eurostat EB products IEA'!$A$4:$BN$135,
           MATCH($B9:$K9, 'Eurostat EB products IEA'!$A$4:$A$135, 0),
           MATCH(BW$1, 'Eurostat EB products IEA'!$A$4:$BN$4, 0)
     )
     * $L9:$U9,
     0
  )
)</f>
        <v>38959.053</v>
      </c>
      <c r="BX9" s="57" cm="1">
        <f t="array" ref="BX9">SUMPRODUCT(
  IF($B9:$K9&lt;&gt;"",
     INDEX('Eurostat EB products IEA'!$A$4:$BN$135,
           MATCH($B9:$K9, 'Eurostat EB products IEA'!$A$4:$A$135, 0),
           MATCH(BX$1, 'Eurostat EB products IEA'!$A$4:$BN$4, 0)
     )
     * $L9:$U9,
     0
  )
)</f>
        <v>249.72800000000001</v>
      </c>
      <c r="BY9" s="57" cm="1">
        <f t="array" ref="BY9">SUMPRODUCT(
  IF($B9:$K9&lt;&gt;"",
     INDEX('Eurostat EB products IEA'!$A$4:$BN$135,
           MATCH($B9:$K9, 'Eurostat EB products IEA'!$A$4:$A$135, 0),
           MATCH(BY$1, 'Eurostat EB products IEA'!$A$4:$BN$4, 0)
     )
     * $L9:$U9,
     0
  )
)</f>
        <v>6797.51</v>
      </c>
      <c r="BZ9" s="57" cm="1">
        <f t="array" ref="BZ9">SUMPRODUCT(
  IF($B9:$K9&lt;&gt;"",
     INDEX('Eurostat EB products IEA'!$A$4:$BN$135,
           MATCH($B9:$K9, 'Eurostat EB products IEA'!$A$4:$A$135, 0),
           MATCH(BZ$1, 'Eurostat EB products IEA'!$A$4:$BN$4, 0)
     )
     * $L9:$U9,
     0
  )
)</f>
        <v>70481.476999999999</v>
      </c>
      <c r="CA9" s="57" cm="1">
        <f t="array" ref="CA9">SUMPRODUCT(
  IF($B9:$K9&lt;&gt;"",
     INDEX('Eurostat EB products IEA'!$A$4:$BN$135,
           MATCH($B9:$K9, 'Eurostat EB products IEA'!$A$4:$A$135, 0),
           MATCH(CA$1, 'Eurostat EB products IEA'!$A$4:$BN$4, 0)
     )
     * $L9:$U9,
     0
  )
)</f>
        <v>1176</v>
      </c>
      <c r="CB9" s="57" cm="1">
        <f t="array" ref="CB9">SUMPRODUCT(
  IF($B9:$K9&lt;&gt;"",
     INDEX('Eurostat EB products IEA'!$A$4:$BN$135,
           MATCH($B9:$K9, 'Eurostat EB products IEA'!$A$4:$A$135, 0),
           MATCH(CB$1, 'Eurostat EB products IEA'!$A$4:$BN$4, 0)
     )
     * $L9:$U9,
     0
  )
)</f>
        <v>0</v>
      </c>
      <c r="CC9" s="57" cm="1">
        <f t="array" ref="CC9">SUMPRODUCT(
  IF($B9:$K9&lt;&gt;"",
     INDEX('Eurostat EB products IEA'!$A$4:$BN$135,
           MATCH($B9:$K9, 'Eurostat EB products IEA'!$A$4:$A$135, 0),
           MATCH(CC$1, 'Eurostat EB products IEA'!$A$4:$BN$4, 0)
     )
     * $L9:$U9,
     0
  )
)</f>
        <v>106290.292</v>
      </c>
      <c r="CD9" s="65">
        <v>0</v>
      </c>
      <c r="CE9" s="57" cm="1">
        <f t="array" ref="CE9">SUMPRODUCT(
  IF($B9:$K9&lt;&gt;"",
     INDEX('Eurostat EB products IEA'!$A$4:$BN$135,
           MATCH($B9:$K9, 'Eurostat EB products IEA'!$A$4:$A$135, 0),
           MATCH(CE$1, 'Eurostat EB products IEA'!$A$4:$BN$4, 0)
     )
     * $L9:$U9,
     0
  )
)</f>
        <v>-20374.319</v>
      </c>
      <c r="CF9" s="57" cm="1">
        <f t="array" ref="CF9">SUMPRODUCT(
  IF($B9:$K9&lt;&gt;"",
     INDEX('Eurostat EB products IEA'!$A$4:$BN$135,
           MATCH($B9:$K9, 'Eurostat EB products IEA'!$A$4:$A$135, 0),
           MATCH(CF$1, 'Eurostat EB products IEA'!$A$4:$BN$4, 0)
     )
     * $L9:$U9,
     0
  )
)</f>
        <v>8031.1109999999999</v>
      </c>
      <c r="CG9" s="57" cm="1">
        <f t="array" ref="CG9">SUMPRODUCT(
  IF($B9:$K9&lt;&gt;"",
     INDEX('Eurostat EB products IEA'!$A$4:$BN$135,
           MATCH($B9:$K9, 'Eurostat EB products IEA'!$A$4:$A$135, 0),
           MATCH(CG$1, 'Eurostat EB products IEA'!$A$4:$BN$4, 0)
     )
     * $L9:$U9,
     0
  )
)</f>
        <v>2579059.3859999999</v>
      </c>
      <c r="CH9" s="57" cm="1">
        <f t="array" ref="CH9">SUMPRODUCT(
  IF($B9:$K9&lt;&gt;"",
     INDEX('Eurostat EB products IEA'!$A$4:$BN$135,
           MATCH($B9:$K9, 'Eurostat EB products IEA'!$A$4:$A$135, 0),
           MATCH(CH$1, 'Eurostat EB products IEA'!$A$4:$BN$4, 0)
     )
     * $L9:$U9,
     0
  )
)</f>
        <v>170870.39799999999</v>
      </c>
    </row>
    <row r="10" spans="1:86" x14ac:dyDescent="0.2">
      <c r="A10" t="s">
        <v>148</v>
      </c>
      <c r="B10" s="75"/>
      <c r="C10" s="77"/>
      <c r="D10" s="75"/>
      <c r="E10" s="77" t="s">
        <v>252</v>
      </c>
      <c r="F10" s="75" t="s">
        <v>224</v>
      </c>
      <c r="G10" s="77" t="s">
        <v>222</v>
      </c>
      <c r="H10" s="75" t="s">
        <v>223</v>
      </c>
      <c r="I10" s="77" t="s">
        <v>250</v>
      </c>
      <c r="J10" s="74" t="s">
        <v>251</v>
      </c>
      <c r="K10" s="78" t="s">
        <v>203</v>
      </c>
      <c r="L10" s="76"/>
      <c r="M10" s="79"/>
      <c r="N10" s="76"/>
      <c r="O10" s="79">
        <v>1</v>
      </c>
      <c r="P10" s="76">
        <v>-1</v>
      </c>
      <c r="Q10" s="79">
        <v>-1</v>
      </c>
      <c r="R10" s="76">
        <v>-1</v>
      </c>
      <c r="S10" s="79">
        <v>1</v>
      </c>
      <c r="T10" s="76">
        <v>1</v>
      </c>
      <c r="U10" s="79">
        <v>1</v>
      </c>
      <c r="V10" s="65" t="s">
        <v>323</v>
      </c>
      <c r="W10" s="65" t="s">
        <v>323</v>
      </c>
      <c r="X10" s="17" cm="1">
        <f t="array" ref="X10">SUMPRODUCT(
  IF($B10:$K10&lt;&gt;"",
     INDEX('Eurostat EB products IEA'!$A$4:$BN$135,
           MATCH($B10:$K10, 'Eurostat EB products IEA'!$A$4:$A$135, 0),
           MATCH(X$1, 'Eurostat EB products IEA'!$A$4:$BN$4, 0)
     )
     * $L10:$U10,
     0
  )
)</f>
        <v>0</v>
      </c>
      <c r="Y10" s="17" cm="1">
        <f t="array" ref="Y10">SUMPRODUCT(
  IF($B10:$K10&lt;&gt;"",
     INDEX('Eurostat EB products IEA'!$A$4:$BN$135,
           MATCH($B10:$K10, 'Eurostat EB products IEA'!$A$4:$A$135, 0),
           MATCH(Y$1, 'Eurostat EB products IEA'!$A$4:$BN$4, 0)
     )
     * $L10:$U10,
     0
  )
)</f>
        <v>0</v>
      </c>
      <c r="Z10" s="17" cm="1">
        <f t="array" ref="Z10">SUMPRODUCT(
  IF($B10:$K10&lt;&gt;"",
     INDEX('Eurostat EB products IEA'!$A$4:$BN$135,
           MATCH($B10:$K10, 'Eurostat EB products IEA'!$A$4:$A$135, 0),
           MATCH(Z$1, 'Eurostat EB products IEA'!$A$4:$BN$4, 0)
     )
     * $L10:$U10,
     0
  )
)</f>
        <v>0</v>
      </c>
      <c r="AA10" s="17" cm="1">
        <f t="array" ref="AA10">SUMPRODUCT(
  IF($B10:$K10&lt;&gt;"",
     INDEX('Eurostat EB products IEA'!$A$4:$BN$135,
           MATCH($B10:$K10, 'Eurostat EB products IEA'!$A$4:$A$135, 0),
           MATCH(AA$1, 'Eurostat EB products IEA'!$A$4:$BN$4, 0)
     )
     * $L10:$U10,
     0
  )
)</f>
        <v>0</v>
      </c>
      <c r="AB10" s="17" cm="1">
        <f t="array" ref="AB10">SUMPRODUCT(
  IF($B10:$K10&lt;&gt;"",
     INDEX('Eurostat EB products IEA'!$A$4:$BN$135,
           MATCH($B10:$K10, 'Eurostat EB products IEA'!$A$4:$A$135, 0),
           MATCH(AB$1, 'Eurostat EB products IEA'!$A$4:$BN$4, 0)
     )
     * $L10:$U10,
     0
  )
)</f>
        <v>0</v>
      </c>
      <c r="AC10" s="17" cm="1">
        <f t="array" ref="AC10">SUMPRODUCT(
  IF($B10:$K10&lt;&gt;"",
     INDEX('Eurostat EB products IEA'!$A$4:$BN$135,
           MATCH($B10:$K10, 'Eurostat EB products IEA'!$A$4:$A$135, 0),
           MATCH(AC$1, 'Eurostat EB products IEA'!$A$4:$BN$4, 0)
     )
     * $L10:$U10,
     0
  )
)</f>
        <v>0</v>
      </c>
      <c r="AD10" s="17" cm="1">
        <f t="array" ref="AD10">SUMPRODUCT(
  IF($B10:$K10&lt;&gt;"",
     INDEX('Eurostat EB products IEA'!$A$4:$BN$135,
           MATCH($B10:$K10, 'Eurostat EB products IEA'!$A$4:$A$135, 0),
           MATCH(AD$1, 'Eurostat EB products IEA'!$A$4:$BN$4, 0)
     )
     * $L10:$U10,
     0
  )
)</f>
        <v>0</v>
      </c>
      <c r="AE10" s="17" cm="1">
        <f t="array" ref="AE10">SUMPRODUCT(
  IF($B10:$K10&lt;&gt;"",
     INDEX('Eurostat EB products IEA'!$A$4:$BN$135,
           MATCH($B10:$K10, 'Eurostat EB products IEA'!$A$4:$A$135, 0),
           MATCH(AE$1, 'Eurostat EB products IEA'!$A$4:$BN$4, 0)
     )
     * $L10:$U10,
     0
  )
)</f>
        <v>0</v>
      </c>
      <c r="AF10" s="17" cm="1">
        <f t="array" ref="AF10">SUMPRODUCT(
  IF($B10:$K10&lt;&gt;"",
     INDEX('Eurostat EB products IEA'!$A$4:$BN$135,
           MATCH($B10:$K10, 'Eurostat EB products IEA'!$A$4:$A$135, 0),
           MATCH(AF$1, 'Eurostat EB products IEA'!$A$4:$BN$4, 0)
     )
     * $L10:$U10,
     0
  )
)</f>
        <v>0</v>
      </c>
      <c r="AG10" s="17" cm="1">
        <f t="array" ref="AG10">SUMPRODUCT(
  IF($B10:$K10&lt;&gt;"",
     INDEX('Eurostat EB products IEA'!$A$4:$BN$135,
           MATCH($B10:$K10, 'Eurostat EB products IEA'!$A$4:$A$135, 0),
           MATCH(AG$1, 'Eurostat EB products IEA'!$A$4:$BN$4, 0)
     )
     * $L10:$U10,
     0
  )
)</f>
        <v>0</v>
      </c>
      <c r="AH10" s="17" cm="1">
        <f t="array" ref="AH10">SUMPRODUCT(
  IF($B10:$K10&lt;&gt;"",
     INDEX('Eurostat EB products IEA'!$A$4:$BN$135,
           MATCH($B10:$K10, 'Eurostat EB products IEA'!$A$4:$A$135, 0),
           MATCH(AH$1, 'Eurostat EB products IEA'!$A$4:$BN$4, 0)
     )
     * $L10:$U10,
     0
  )
)</f>
        <v>0</v>
      </c>
      <c r="AI10" s="17" cm="1">
        <f t="array" ref="AI10">SUMPRODUCT(
  IF($B10:$K10&lt;&gt;"",
     INDEX('Eurostat EB products IEA'!$A$4:$BN$135,
           MATCH($B10:$K10, 'Eurostat EB products IEA'!$A$4:$A$135, 0),
           MATCH(AI$1, 'Eurostat EB products IEA'!$A$4:$BN$4, 0)
     )
     * $L10:$U10,
     0
  )
)</f>
        <v>0</v>
      </c>
      <c r="AJ10" s="17" cm="1">
        <f t="array" ref="AJ10">SUMPRODUCT(
  IF($B10:$K10&lt;&gt;"",
     INDEX('Eurostat EB products IEA'!$A$4:$BN$135,
           MATCH($B10:$K10, 'Eurostat EB products IEA'!$A$4:$A$135, 0),
           MATCH(AJ$1, 'Eurostat EB products IEA'!$A$4:$BN$4, 0)
     )
     * $L10:$U10,
     0
  )
)</f>
        <v>0</v>
      </c>
      <c r="AK10" s="17" cm="1">
        <f t="array" ref="AK10">SUMPRODUCT(
  IF($B10:$K10&lt;&gt;"",
     INDEX('Eurostat EB products IEA'!$A$4:$BN$135,
           MATCH($B10:$K10, 'Eurostat EB products IEA'!$A$4:$A$135, 0),
           MATCH(AK$1, 'Eurostat EB products IEA'!$A$4:$BN$4, 0)
     )
     * $L10:$U10,
     0
  )
)</f>
        <v>0</v>
      </c>
      <c r="AL10" s="17" cm="1">
        <f t="array" ref="AL10">SUMPRODUCT(
  IF($B10:$K10&lt;&gt;"",
     INDEX('Eurostat EB products IEA'!$A$4:$BN$135,
           MATCH($B10:$K10, 'Eurostat EB products IEA'!$A$4:$A$135, 0),
           MATCH(AL$1, 'Eurostat EB products IEA'!$A$4:$BN$4, 0)
     )
     * $L10:$U10,
     0
  )
)</f>
        <v>0</v>
      </c>
      <c r="AM10" s="17" cm="1">
        <f t="array" ref="AM10">SUMPRODUCT(
  IF($B10:$K10&lt;&gt;"",
     INDEX('Eurostat EB products IEA'!$A$4:$BN$135,
           MATCH($B10:$K10, 'Eurostat EB products IEA'!$A$4:$A$135, 0),
           MATCH(AM$1, 'Eurostat EB products IEA'!$A$4:$BN$4, 0)
     )
     * $L10:$U10,
     0
  )
)</f>
        <v>0</v>
      </c>
      <c r="AN10" s="65" t="s">
        <v>323</v>
      </c>
      <c r="AO10" s="17" cm="1">
        <f t="array" ref="AO10">SUMPRODUCT(
  IF($B10:$K10&lt;&gt;"",
     INDEX('Eurostat EB products IEA'!$A$4:$BN$135,
           MATCH($B10:$K10, 'Eurostat EB products IEA'!$A$4:$A$135, 0),
           MATCH(AO$1, 'Eurostat EB products IEA'!$A$4:$BN$4, 0)
     )
     * $L10:$U10,
     0
  )
)</f>
        <v>-77534.907000000007</v>
      </c>
      <c r="AP10" s="17" cm="1">
        <f t="array" ref="AP10">SUMPRODUCT(
  IF($B10:$K10&lt;&gt;"",
     INDEX('Eurostat EB products IEA'!$A$4:$BN$135,
           MATCH($B10:$K10, 'Eurostat EB products IEA'!$A$4:$A$135, 0),
           MATCH(AP$1, 'Eurostat EB products IEA'!$A$4:$BN$4, 0)
     )
     * $L10:$U10,
     0
  )
)</f>
        <v>-31624.531999999999</v>
      </c>
      <c r="AQ10" s="17" cm="1">
        <f t="array" ref="AQ10">SUMPRODUCT(
  IF($B10:$K10&lt;&gt;"",
     INDEX('Eurostat EB products IEA'!$A$4:$BN$135,
           MATCH($B10:$K10, 'Eurostat EB products IEA'!$A$4:$A$135, 0),
           MATCH(AQ$1, 'Eurostat EB products IEA'!$A$4:$BN$4, 0)
     )
     * $L10:$U10,
     0
  )
)</f>
        <v>71357.248000000021</v>
      </c>
      <c r="AR10" s="17" cm="1">
        <f t="array" ref="AR10">SUMPRODUCT(
  IF($B10:$K10&lt;&gt;"",
     INDEX('Eurostat EB products IEA'!$A$4:$BN$135,
           MATCH($B10:$K10, 'Eurostat EB products IEA'!$A$4:$A$135, 0),
           MATCH(AR$1, 'Eurostat EB products IEA'!$A$4:$BN$4, 0)
     )
     * $L10:$U10,
     0
  )
)</f>
        <v>-19875.305</v>
      </c>
      <c r="AS10" s="17" cm="1">
        <f t="array" ref="AS10">SUMPRODUCT(
  IF($B10:$K10&lt;&gt;"",
     INDEX('Eurostat EB products IEA'!$A$4:$BN$135,
           MATCH($B10:$K10, 'Eurostat EB products IEA'!$A$4:$A$135, 0),
           MATCH(AS$1, 'Eurostat EB products IEA'!$A$4:$BN$4, 0)
     )
     * $L10:$U10,
     0
  )
)</f>
        <v>0</v>
      </c>
      <c r="AT10" s="17" cm="1">
        <f t="array" ref="AT10">SUMPRODUCT(
  IF($B10:$K10&lt;&gt;"",
     INDEX('Eurostat EB products IEA'!$A$4:$BN$135,
           MATCH($B10:$K10, 'Eurostat EB products IEA'!$A$4:$A$135, 0),
           MATCH(AT$1, 'Eurostat EB products IEA'!$A$4:$BN$4, 0)
     )
     * $L10:$U10,
     0
  )
)</f>
        <v>105638.795</v>
      </c>
      <c r="AU10" s="17" cm="1">
        <f t="array" ref="AU10">SUMPRODUCT(
  IF($B10:$K10&lt;&gt;"",
     INDEX('Eurostat EB products IEA'!$A$4:$BN$135,
           MATCH($B10:$K10, 'Eurostat EB products IEA'!$A$4:$A$135, 0),
           MATCH(AU$1, 'Eurostat EB products IEA'!$A$4:$BN$4, 0)
     )
     * $L10:$U10,
     0
  )
)</f>
        <v>0</v>
      </c>
      <c r="AV10" s="17" cm="1">
        <f t="array" ref="AV10">SUMPRODUCT(
  IF($B10:$K10&lt;&gt;"",
     INDEX('Eurostat EB products IEA'!$A$4:$BN$135,
           MATCH($B10:$K10, 'Eurostat EB products IEA'!$A$4:$A$135, 0),
           MATCH(AV$1, 'Eurostat EB products IEA'!$A$4:$BN$4, 0)
     )
     * $L10:$U10,
     0
  )
)</f>
        <v>-4123.8219999999992</v>
      </c>
      <c r="AW10" s="17" cm="1">
        <f t="array" ref="AW10">SUMPRODUCT(
  IF($B10:$K10&lt;&gt;"",
     INDEX('Eurostat EB products IEA'!$A$4:$BN$135,
           MATCH($B10:$K10, 'Eurostat EB products IEA'!$A$4:$A$135, 0),
           MATCH(AW$1, 'Eurostat EB products IEA'!$A$4:$BN$4, 0)
     )
     * $L10:$U10,
     0
  )
)</f>
        <v>573699.67200000002</v>
      </c>
      <c r="AX10" s="17" cm="1">
        <f t="array" ref="AX10">SUMPRODUCT(
  IF($B10:$K10&lt;&gt;"",
     INDEX('Eurostat EB products IEA'!$A$4:$BN$135,
           MATCH($B10:$K10, 'Eurostat EB products IEA'!$A$4:$A$135, 0),
           MATCH(AX$1, 'Eurostat EB products IEA'!$A$4:$BN$4, 0)
     )
     * $L10:$U10,
     0
  )
)</f>
        <v>-8.7999999999999995E-2</v>
      </c>
      <c r="AY10" s="17" cm="1">
        <f t="array" ref="AY10">SUMPRODUCT(
  IF($B10:$K10&lt;&gt;"",
     INDEX('Eurostat EB products IEA'!$A$4:$BN$135,
           MATCH($B10:$K10, 'Eurostat EB products IEA'!$A$4:$A$135, 0),
           MATCH(AY$1, 'Eurostat EB products IEA'!$A$4:$BN$4, 0)
     )
     * $L10:$U10,
     0
  )
)</f>
        <v>0</v>
      </c>
      <c r="AZ10" s="17" cm="1">
        <f t="array" ref="AZ10">SUMPRODUCT(
  IF($B10:$K10&lt;&gt;"",
     INDEX('Eurostat EB products IEA'!$A$4:$BN$135,
           MATCH($B10:$K10, 'Eurostat EB products IEA'!$A$4:$A$135, 0),
           MATCH(AZ$1, 'Eurostat EB products IEA'!$A$4:$BN$4, 0)
     )
     * $L10:$U10,
     0
  )
)</f>
        <v>44556.103999999999</v>
      </c>
      <c r="BA10" s="17" cm="1">
        <f t="array" ref="BA10">SUMPRODUCT(
  IF($B10:$K10&lt;&gt;"",
     INDEX('Eurostat EB products IEA'!$A$4:$BN$135,
           MATCH($B10:$K10, 'Eurostat EB products IEA'!$A$4:$A$135, 0),
           MATCH(BA$1, 'Eurostat EB products IEA'!$A$4:$BN$4, 0)
     )
     * $L10:$U10,
     0
  )
)</f>
        <v>-3986.806</v>
      </c>
      <c r="BB10" s="17" cm="1">
        <f t="array" ref="BB10">SUMPRODUCT(
  IF($B10:$K10&lt;&gt;"",
     INDEX('Eurostat EB products IEA'!$A$4:$BN$135,
           MATCH($B10:$K10, 'Eurostat EB products IEA'!$A$4:$A$135, 0),
           MATCH(BB$1, 'Eurostat EB products IEA'!$A$4:$BN$4, 0)
     )
     * $L10:$U10,
     0
  )
)</f>
        <v>-40950.114999999998</v>
      </c>
      <c r="BC10" s="17" cm="1">
        <f t="array" ref="BC10">SUMPRODUCT(
  IF($B10:$K10&lt;&gt;"",
     INDEX('Eurostat EB products IEA'!$A$4:$BN$135,
           MATCH($B10:$K10, 'Eurostat EB products IEA'!$A$4:$A$135, 0),
           MATCH(BC$1, 'Eurostat EB products IEA'!$A$4:$BN$4, 0)
     )
     * $L10:$U10,
     0
  )
)</f>
        <v>-99258.736000000004</v>
      </c>
      <c r="BD10" s="17" cm="1">
        <f t="array" ref="BD10">SUMPRODUCT(
  IF($B10:$K10&lt;&gt;"",
     INDEX('Eurostat EB products IEA'!$A$4:$BN$135,
           MATCH($B10:$K10, 'Eurostat EB products IEA'!$A$4:$A$135, 0),
           MATCH(BD$1, 'Eurostat EB products IEA'!$A$4:$BN$4, 0)
     )
     * $L10:$U10,
     0
  )
)</f>
        <v>-467922.56299999997</v>
      </c>
      <c r="BE10" s="17" cm="1">
        <f t="array" ref="BE10">SUMPRODUCT(
  IF($B10:$K10&lt;&gt;"",
     INDEX('Eurostat EB products IEA'!$A$4:$BN$135,
           MATCH($B10:$K10, 'Eurostat EB products IEA'!$A$4:$A$135, 0),
           MATCH(BE$1, 'Eurostat EB products IEA'!$A$4:$BN$4, 0)
     )
     * $L10:$U10,
     0
  )
)</f>
        <v>-32553.085999999996</v>
      </c>
      <c r="BF10" s="17" cm="1">
        <f t="array" ref="BF10">SUMPRODUCT(
  IF($B10:$K10&lt;&gt;"",
     INDEX('Eurostat EB products IEA'!$A$4:$BN$135,
           MATCH($B10:$K10, 'Eurostat EB products IEA'!$A$4:$A$135, 0),
           MATCH(BF$1, 'Eurostat EB products IEA'!$A$4:$BN$4, 0)
     )
     * $L10:$U10,
     0
  )
)</f>
        <v>-11855.353999999999</v>
      </c>
      <c r="BG10" s="17" cm="1">
        <f t="array" ref="BG10">SUMPRODUCT(
  IF($B10:$K10&lt;&gt;"",
     INDEX('Eurostat EB products IEA'!$A$4:$BN$135,
           MATCH($B10:$K10, 'Eurostat EB products IEA'!$A$4:$A$135, 0),
           MATCH(BG$1, 'Eurostat EB products IEA'!$A$4:$BN$4, 0)
     )
     * $L10:$U10,
     0
  )
)</f>
        <v>-52.207999999999998</v>
      </c>
      <c r="BH10" s="17" cm="1">
        <f t="array" ref="BH10">SUMPRODUCT(
  IF($B10:$K10&lt;&gt;"",
     INDEX('Eurostat EB products IEA'!$A$4:$BN$135,
           MATCH($B10:$K10, 'Eurostat EB products IEA'!$A$4:$A$135, 0),
           MATCH(BH$1, 'Eurostat EB products IEA'!$A$4:$BN$4, 0)
     )
     * $L10:$U10,
     0
  )
)</f>
        <v>407.56599999999997</v>
      </c>
      <c r="BI10" s="17" cm="1">
        <f t="array" ref="BI10">SUMPRODUCT(
  IF($B10:$K10&lt;&gt;"",
     INDEX('Eurostat EB products IEA'!$A$4:$BN$135,
           MATCH($B10:$K10, 'Eurostat EB products IEA'!$A$4:$A$135, 0),
           MATCH(BI$1, 'Eurostat EB products IEA'!$A$4:$BN$4, 0)
     )
     * $L10:$U10,
     0
  )
)</f>
        <v>0</v>
      </c>
      <c r="BJ10" s="17" cm="1">
        <f t="array" ref="BJ10">SUMPRODUCT(
  IF($B10:$K10&lt;&gt;"",
     INDEX('Eurostat EB products IEA'!$A$4:$BN$135,
           MATCH($B10:$K10, 'Eurostat EB products IEA'!$A$4:$A$135, 0),
           MATCH(BJ$1, 'Eurostat EB products IEA'!$A$4:$BN$4, 0)
     )
     * $L10:$U10,
     0
  )
)</f>
        <v>7338.2620000000006</v>
      </c>
      <c r="BK10" s="17" cm="1">
        <f t="array" ref="BK10">SUMPRODUCT(
  IF($B10:$K10&lt;&gt;"",
     INDEX('Eurostat EB products IEA'!$A$4:$BN$135,
           MATCH($B10:$K10, 'Eurostat EB products IEA'!$A$4:$A$135, 0),
           MATCH(BK$1, 'Eurostat EB products IEA'!$A$4:$BN$4, 0)
     )
     * $L10:$U10,
     0
  )
)</f>
        <v>0</v>
      </c>
      <c r="BL10" s="17" cm="1">
        <f t="array" ref="BL10">SUMPRODUCT(
  IF($B10:$K10&lt;&gt;"",
     INDEX('Eurostat EB products IEA'!$A$4:$BN$135,
           MATCH($B10:$K10, 'Eurostat EB products IEA'!$A$4:$A$135, 0),
           MATCH(BL$1, 'Eurostat EB products IEA'!$A$4:$BN$4, 0)
     )
     * $L10:$U10,
     0
  )
)</f>
        <v>0</v>
      </c>
      <c r="BM10" s="17" cm="1">
        <f t="array" ref="BM10">SUMPRODUCT(
  IF($B10:$K10&lt;&gt;"",
     INDEX('Eurostat EB products IEA'!$A$4:$BN$135,
           MATCH($B10:$K10, 'Eurostat EB products IEA'!$A$4:$A$135, 0),
           MATCH(BM$1, 'Eurostat EB products IEA'!$A$4:$BN$4, 0)
     )
     * $L10:$U10,
     0
  )
)</f>
        <v>0</v>
      </c>
      <c r="BN10" s="17" cm="1">
        <f t="array" ref="BN10">SUMPRODUCT(
  IF($B10:$K10&lt;&gt;"",
     INDEX('Eurostat EB products IEA'!$A$4:$BN$135,
           MATCH($B10:$K10, 'Eurostat EB products IEA'!$A$4:$A$135, 0),
           MATCH(BN$1, 'Eurostat EB products IEA'!$A$4:$BN$4, 0)
     )
     * $L10:$U10,
     0
  )
)</f>
        <v>0</v>
      </c>
      <c r="BO10" s="17" cm="1">
        <f t="array" ref="BO10">SUMPRODUCT(
  IF($B10:$K10&lt;&gt;"",
     INDEX('Eurostat EB products IEA'!$A$4:$BN$135,
           MATCH($B10:$K10, 'Eurostat EB products IEA'!$A$4:$A$135, 0),
           MATCH(BO$1, 'Eurostat EB products IEA'!$A$4:$BN$4, 0)
     )
     * $L10:$U10,
     0
  )
)</f>
        <v>0</v>
      </c>
      <c r="BP10" s="17" cm="1">
        <f t="array" ref="BP10">SUMPRODUCT(
  IF($B10:$K10&lt;&gt;"",
     INDEX('Eurostat EB products IEA'!$A$4:$BN$135,
           MATCH($B10:$K10, 'Eurostat EB products IEA'!$A$4:$A$135, 0),
           MATCH(BP$1, 'Eurostat EB products IEA'!$A$4:$BN$4, 0)
     )
     * $L10:$U10,
     0
  )
)</f>
        <v>0</v>
      </c>
      <c r="BQ10" s="17" cm="1">
        <f t="array" ref="BQ10">SUMPRODUCT(
  IF($B10:$K10&lt;&gt;"",
     INDEX('Eurostat EB products IEA'!$A$4:$BN$135,
           MATCH($B10:$K10, 'Eurostat EB products IEA'!$A$4:$A$135, 0),
           MATCH(BQ$1, 'Eurostat EB products IEA'!$A$4:$BN$4, 0)
     )
     * $L10:$U10,
     0
  )
)</f>
        <v>0</v>
      </c>
      <c r="BR10" s="17" cm="1">
        <f t="array" ref="BR10">SUMPRODUCT(
  IF($B10:$K10&lt;&gt;"",
     INDEX('Eurostat EB products IEA'!$A$4:$BN$135,
           MATCH($B10:$K10, 'Eurostat EB products IEA'!$A$4:$A$135, 0),
           MATCH(BR$1, 'Eurostat EB products IEA'!$A$4:$BN$4, 0)
     )
     * $L10:$U10,
     0
  )
)</f>
        <v>0</v>
      </c>
      <c r="BS10" s="65">
        <v>0</v>
      </c>
      <c r="BT10" s="17" cm="1">
        <f t="array" ref="BT10">SUMPRODUCT(
  IF($B10:$K10&lt;&gt;"",
     INDEX('Eurostat EB products IEA'!$A$4:$BN$135,
           MATCH($B10:$K10, 'Eurostat EB products IEA'!$A$4:$A$135, 0),
           MATCH(BT$1, 'Eurostat EB products IEA'!$A$4:$BN$4, 0)
     )
     * $L10:$U10,
     0
  )
)</f>
        <v>0</v>
      </c>
      <c r="BU10" s="65">
        <v>0</v>
      </c>
      <c r="BV10" s="65">
        <v>0</v>
      </c>
      <c r="BW10" s="17" cm="1">
        <f t="array" ref="BW10">SUMPRODUCT(
  IF($B10:$K10&lt;&gt;"",
     INDEX('Eurostat EB products IEA'!$A$4:$BN$135,
           MATCH($B10:$K10, 'Eurostat EB products IEA'!$A$4:$A$135, 0),
           MATCH(BW$1, 'Eurostat EB products IEA'!$A$4:$BN$4, 0)
     )
     * $L10:$U10,
     0
  )
)</f>
        <v>0</v>
      </c>
      <c r="BX10" s="17" cm="1">
        <f t="array" ref="BX10">SUMPRODUCT(
  IF($B10:$K10&lt;&gt;"",
     INDEX('Eurostat EB products IEA'!$A$4:$BN$135,
           MATCH($B10:$K10, 'Eurostat EB products IEA'!$A$4:$A$135, 0),
           MATCH(BX$1, 'Eurostat EB products IEA'!$A$4:$BN$4, 0)
     )
     * $L10:$U10,
     0
  )
)</f>
        <v>0</v>
      </c>
      <c r="BY10" s="17" cm="1">
        <f t="array" ref="BY10">SUMPRODUCT(
  IF($B10:$K10&lt;&gt;"",
     INDEX('Eurostat EB products IEA'!$A$4:$BN$135,
           MATCH($B10:$K10, 'Eurostat EB products IEA'!$A$4:$A$135, 0),
           MATCH(BY$1, 'Eurostat EB products IEA'!$A$4:$BN$4, 0)
     )
     * $L10:$U10,
     0
  )
)</f>
        <v>0</v>
      </c>
      <c r="BZ10" s="17" cm="1">
        <f t="array" ref="BZ10">SUMPRODUCT(
  IF($B10:$K10&lt;&gt;"",
     INDEX('Eurostat EB products IEA'!$A$4:$BN$135,
           MATCH($B10:$K10, 'Eurostat EB products IEA'!$A$4:$A$135, 0),
           MATCH(BZ$1, 'Eurostat EB products IEA'!$A$4:$BN$4, 0)
     )
     * $L10:$U10,
     0
  )
)</f>
        <v>0</v>
      </c>
      <c r="CA10" s="17" cm="1">
        <f t="array" ref="CA10">SUMPRODUCT(
  IF($B10:$K10&lt;&gt;"",
     INDEX('Eurostat EB products IEA'!$A$4:$BN$135,
           MATCH($B10:$K10, 'Eurostat EB products IEA'!$A$4:$A$135, 0),
           MATCH(CA$1, 'Eurostat EB products IEA'!$A$4:$BN$4, 0)
     )
     * $L10:$U10,
     0
  )
)</f>
        <v>0</v>
      </c>
      <c r="CB10" s="17" cm="1">
        <f t="array" ref="CB10">SUMPRODUCT(
  IF($B10:$K10&lt;&gt;"",
     INDEX('Eurostat EB products IEA'!$A$4:$BN$135,
           MATCH($B10:$K10, 'Eurostat EB products IEA'!$A$4:$A$135, 0),
           MATCH(CB$1, 'Eurostat EB products IEA'!$A$4:$BN$4, 0)
     )
     * $L10:$U10,
     0
  )
)</f>
        <v>0</v>
      </c>
      <c r="CC10" s="17" cm="1">
        <f t="array" ref="CC10">SUMPRODUCT(
  IF($B10:$K10&lt;&gt;"",
     INDEX('Eurostat EB products IEA'!$A$4:$BN$135,
           MATCH($B10:$K10, 'Eurostat EB products IEA'!$A$4:$A$135, 0),
           MATCH(CC$1, 'Eurostat EB products IEA'!$A$4:$BN$4, 0)
     )
     * $L10:$U10,
     0
  )
)</f>
        <v>0</v>
      </c>
      <c r="CD10" s="65">
        <v>0</v>
      </c>
      <c r="CE10" s="17" cm="1">
        <f t="array" ref="CE10">SUMPRODUCT(
  IF($B10:$K10&lt;&gt;"",
     INDEX('Eurostat EB products IEA'!$A$4:$BN$135,
           MATCH($B10:$K10, 'Eurostat EB products IEA'!$A$4:$A$135, 0),
           MATCH(CE$1, 'Eurostat EB products IEA'!$A$4:$BN$4, 0)
     )
     * $L10:$U10,
     0
  )
)</f>
        <v>0</v>
      </c>
      <c r="CF10" s="17" cm="1">
        <f t="array" ref="CF10">SUMPRODUCT(
  IF($B10:$K10&lt;&gt;"",
     INDEX('Eurostat EB products IEA'!$A$4:$BN$135,
           MATCH($B10:$K10, 'Eurostat EB products IEA'!$A$4:$A$135, 0),
           MATCH(CF$1, 'Eurostat EB products IEA'!$A$4:$BN$4, 0)
     )
     * $L10:$U10,
     0
  )
)</f>
        <v>0</v>
      </c>
      <c r="CG10" s="17" cm="1">
        <f t="array" ref="CG10">SUMPRODUCT(
  IF($B10:$K10&lt;&gt;"",
     INDEX('Eurostat EB products IEA'!$A$4:$BN$135,
           MATCH($B10:$K10, 'Eurostat EB products IEA'!$A$4:$A$135, 0),
           MATCH(CG$1, 'Eurostat EB products IEA'!$A$4:$BN$4, 0)
     )
     * $L10:$U10,
     0
  )
)</f>
        <v>13260.126999999891</v>
      </c>
      <c r="CH10" s="17" cm="1">
        <f t="array" ref="CH10">SUMPRODUCT(
  IF($B10:$K10&lt;&gt;"",
     INDEX('Eurostat EB products IEA'!$A$4:$BN$135,
           MATCH($B10:$K10, 'Eurostat EB products IEA'!$A$4:$A$135, 0),
           MATCH(CH$1, 'Eurostat EB products IEA'!$A$4:$BN$4, 0)
     )
     * $L10:$U10,
     0
  )
)</f>
        <v>0</v>
      </c>
    </row>
    <row r="11" spans="1:86" x14ac:dyDescent="0.2">
      <c r="A11" t="s">
        <v>112</v>
      </c>
      <c r="B11" s="75"/>
      <c r="C11" s="77"/>
      <c r="D11" s="75"/>
      <c r="E11" s="77"/>
      <c r="F11" s="75"/>
      <c r="G11" s="77"/>
      <c r="H11" s="75"/>
      <c r="I11" s="77"/>
      <c r="J11" s="74"/>
      <c r="K11" s="78" t="s">
        <v>112</v>
      </c>
      <c r="L11" s="76"/>
      <c r="M11" s="79"/>
      <c r="N11" s="76"/>
      <c r="O11" s="79"/>
      <c r="P11" s="76"/>
      <c r="Q11" s="79"/>
      <c r="R11" s="76"/>
      <c r="S11" s="79"/>
      <c r="T11" s="76"/>
      <c r="U11" s="79">
        <v>-1</v>
      </c>
      <c r="V11" s="65" t="s">
        <v>323</v>
      </c>
      <c r="W11" s="65" t="s">
        <v>323</v>
      </c>
      <c r="X11" s="57" cm="1">
        <f t="array" ref="X11">SUMPRODUCT(
  IF($B11:$K11&lt;&gt;"",
     INDEX('Eurostat EB products IEA'!$A$4:$BN$135,
           MATCH($B11:$K11, 'Eurostat EB products IEA'!$A$4:$A$135, 0),
           MATCH(X$1, 'Eurostat EB products IEA'!$A$4:$BN$4, 0)
     )
     * $L11:$U11,
     0
  )
)</f>
        <v>0</v>
      </c>
      <c r="Y11" s="57" cm="1">
        <f t="array" ref="Y11">SUMPRODUCT(
  IF($B11:$K11&lt;&gt;"",
     INDEX('Eurostat EB products IEA'!$A$4:$BN$135,
           MATCH($B11:$K11, 'Eurostat EB products IEA'!$A$4:$A$135, 0),
           MATCH(Y$1, 'Eurostat EB products IEA'!$A$4:$BN$4, 0)
     )
     * $L11:$U11,
     0
  )
)</f>
        <v>0</v>
      </c>
      <c r="Z11" s="57" cm="1">
        <f t="array" ref="Z11">SUMPRODUCT(
  IF($B11:$K11&lt;&gt;"",
     INDEX('Eurostat EB products IEA'!$A$4:$BN$135,
           MATCH($B11:$K11, 'Eurostat EB products IEA'!$A$4:$A$135, 0),
           MATCH(Z$1, 'Eurostat EB products IEA'!$A$4:$BN$4, 0)
     )
     * $L11:$U11,
     0
  )
)</f>
        <v>-176.274</v>
      </c>
      <c r="AA11" s="57" cm="1">
        <f t="array" ref="AA11">SUMPRODUCT(
  IF($B11:$K11&lt;&gt;"",
     INDEX('Eurostat EB products IEA'!$A$4:$BN$135,
           MATCH($B11:$K11, 'Eurostat EB products IEA'!$A$4:$A$135, 0),
           MATCH(AA$1, 'Eurostat EB products IEA'!$A$4:$BN$4, 0)
     )
     * $L11:$U11,
     0
  )
)</f>
        <v>0</v>
      </c>
      <c r="AB11" s="57" cm="1">
        <f t="array" ref="AB11">SUMPRODUCT(
  IF($B11:$K11&lt;&gt;"",
     INDEX('Eurostat EB products IEA'!$A$4:$BN$135,
           MATCH($B11:$K11, 'Eurostat EB products IEA'!$A$4:$A$135, 0),
           MATCH(AB$1, 'Eurostat EB products IEA'!$A$4:$BN$4, 0)
     )
     * $L11:$U11,
     0
  )
)</f>
        <v>0</v>
      </c>
      <c r="AC11" s="57" cm="1">
        <f t="array" ref="AC11">SUMPRODUCT(
  IF($B11:$K11&lt;&gt;"",
     INDEX('Eurostat EB products IEA'!$A$4:$BN$135,
           MATCH($B11:$K11, 'Eurostat EB products IEA'!$A$4:$A$135, 0),
           MATCH(AC$1, 'Eurostat EB products IEA'!$A$4:$BN$4, 0)
     )
     * $L11:$U11,
     0
  )
)</f>
        <v>0</v>
      </c>
      <c r="AD11" s="57" cm="1">
        <f t="array" ref="AD11">SUMPRODUCT(
  IF($B11:$K11&lt;&gt;"",
     INDEX('Eurostat EB products IEA'!$A$4:$BN$135,
           MATCH($B11:$K11, 'Eurostat EB products IEA'!$A$4:$A$135, 0),
           MATCH(AD$1, 'Eurostat EB products IEA'!$A$4:$BN$4, 0)
     )
     * $L11:$U11,
     0
  )
)</f>
        <v>0</v>
      </c>
      <c r="AE11" s="57" cm="1">
        <f t="array" ref="AE11">SUMPRODUCT(
  IF($B11:$K11&lt;&gt;"",
     INDEX('Eurostat EB products IEA'!$A$4:$BN$135,
           MATCH($B11:$K11, 'Eurostat EB products IEA'!$A$4:$A$135, 0),
           MATCH(AE$1, 'Eurostat EB products IEA'!$A$4:$BN$4, 0)
     )
     * $L11:$U11,
     0
  )
)</f>
        <v>0</v>
      </c>
      <c r="AF11" s="57" cm="1">
        <f t="array" ref="AF11">SUMPRODUCT(
  IF($B11:$K11&lt;&gt;"",
     INDEX('Eurostat EB products IEA'!$A$4:$BN$135,
           MATCH($B11:$K11, 'Eurostat EB products IEA'!$A$4:$A$135, 0),
           MATCH(AF$1, 'Eurostat EB products IEA'!$A$4:$BN$4, 0)
     )
     * $L11:$U11,
     0
  )
)</f>
        <v>0</v>
      </c>
      <c r="AG11" s="57" cm="1">
        <f t="array" ref="AG11">SUMPRODUCT(
  IF($B11:$K11&lt;&gt;"",
     INDEX('Eurostat EB products IEA'!$A$4:$BN$135,
           MATCH($B11:$K11, 'Eurostat EB products IEA'!$A$4:$A$135, 0),
           MATCH(AG$1, 'Eurostat EB products IEA'!$A$4:$BN$4, 0)
     )
     * $L11:$U11,
     0
  )
)</f>
        <v>0</v>
      </c>
      <c r="AH11" s="57" cm="1">
        <f t="array" ref="AH11">SUMPRODUCT(
  IF($B11:$K11&lt;&gt;"",
     INDEX('Eurostat EB products IEA'!$A$4:$BN$135,
           MATCH($B11:$K11, 'Eurostat EB products IEA'!$A$4:$A$135, 0),
           MATCH(AH$1, 'Eurostat EB products IEA'!$A$4:$BN$4, 0)
     )
     * $L11:$U11,
     0
  )
)</f>
        <v>0</v>
      </c>
      <c r="AI11" s="57" cm="1">
        <f t="array" ref="AI11">SUMPRODUCT(
  IF($B11:$K11&lt;&gt;"",
     INDEX('Eurostat EB products IEA'!$A$4:$BN$135,
           MATCH($B11:$K11, 'Eurostat EB products IEA'!$A$4:$A$135, 0),
           MATCH(AI$1, 'Eurostat EB products IEA'!$A$4:$BN$4, 0)
     )
     * $L11:$U11,
     0
  )
)</f>
        <v>0</v>
      </c>
      <c r="AJ11" s="57" cm="1">
        <f t="array" ref="AJ11">SUMPRODUCT(
  IF($B11:$K11&lt;&gt;"",
     INDEX('Eurostat EB products IEA'!$A$4:$BN$135,
           MATCH($B11:$K11, 'Eurostat EB products IEA'!$A$4:$A$135, 0),
           MATCH(AJ$1, 'Eurostat EB products IEA'!$A$4:$BN$4, 0)
     )
     * $L11:$U11,
     0
  )
)</f>
        <v>-1E-3</v>
      </c>
      <c r="AK11" s="57" cm="1">
        <f t="array" ref="AK11">SUMPRODUCT(
  IF($B11:$K11&lt;&gt;"",
     INDEX('Eurostat EB products IEA'!$A$4:$BN$135,
           MATCH($B11:$K11, 'Eurostat EB products IEA'!$A$4:$A$135, 0),
           MATCH(AK$1, 'Eurostat EB products IEA'!$A$4:$BN$4, 0)
     )
     * $L11:$U11,
     0
  )
)</f>
        <v>0</v>
      </c>
      <c r="AL11" s="57" cm="1">
        <f t="array" ref="AL11">SUMPRODUCT(
  IF($B11:$K11&lt;&gt;"",
     INDEX('Eurostat EB products IEA'!$A$4:$BN$135,
           MATCH($B11:$K11, 'Eurostat EB products IEA'!$A$4:$A$135, 0),
           MATCH(AL$1, 'Eurostat EB products IEA'!$A$4:$BN$4, 0)
     )
     * $L11:$U11,
     0
  )
)</f>
        <v>0</v>
      </c>
      <c r="AM11" s="57" cm="1">
        <f t="array" ref="AM11">SUMPRODUCT(
  IF($B11:$K11&lt;&gt;"",
     INDEX('Eurostat EB products IEA'!$A$4:$BN$135,
           MATCH($B11:$K11, 'Eurostat EB products IEA'!$A$4:$A$135, 0),
           MATCH(AM$1, 'Eurostat EB products IEA'!$A$4:$BN$4, 0)
     )
     * $L11:$U11,
     0
  )
)</f>
        <v>3973.72</v>
      </c>
      <c r="AN11" s="65" t="s">
        <v>323</v>
      </c>
      <c r="AO11" s="57" cm="1">
        <f t="array" ref="AO11">SUMPRODUCT(
  IF($B11:$K11&lt;&gt;"",
     INDEX('Eurostat EB products IEA'!$A$4:$BN$135,
           MATCH($B11:$K11, 'Eurostat EB products IEA'!$A$4:$A$135, 0),
           MATCH(AO$1, 'Eurostat EB products IEA'!$A$4:$BN$4, 0)
     )
     * $L11:$U11,
     0
  )
)</f>
        <v>84.231999999999999</v>
      </c>
      <c r="AP11" s="57" cm="1">
        <f t="array" ref="AP11">SUMPRODUCT(
  IF($B11:$K11&lt;&gt;"",
     INDEX('Eurostat EB products IEA'!$A$4:$BN$135,
           MATCH($B11:$K11, 'Eurostat EB products IEA'!$A$4:$A$135, 0),
           MATCH(AP$1, 'Eurostat EB products IEA'!$A$4:$BN$4, 0)
     )
     * $L11:$U11,
     0
  )
)</f>
        <v>-15.173</v>
      </c>
      <c r="AQ11" s="57" cm="1">
        <f t="array" ref="AQ11">SUMPRODUCT(
  IF($B11:$K11&lt;&gt;"",
     INDEX('Eurostat EB products IEA'!$A$4:$BN$135,
           MATCH($B11:$K11, 'Eurostat EB products IEA'!$A$4:$A$135, 0),
           MATCH(AQ$1, 'Eurostat EB products IEA'!$A$4:$BN$4, 0)
     )
     * $L11:$U11,
     0
  )
)</f>
        <v>0</v>
      </c>
      <c r="AR11" s="57" cm="1">
        <f t="array" ref="AR11">SUMPRODUCT(
  IF($B11:$K11&lt;&gt;"",
     INDEX('Eurostat EB products IEA'!$A$4:$BN$135,
           MATCH($B11:$K11, 'Eurostat EB products IEA'!$A$4:$A$135, 0),
           MATCH(AR$1, 'Eurostat EB products IEA'!$A$4:$BN$4, 0)
     )
     * $L11:$U11,
     0
  )
)</f>
        <v>-2872.1750000000002</v>
      </c>
      <c r="AS11" s="57" cm="1">
        <f t="array" ref="AS11">SUMPRODUCT(
  IF($B11:$K11&lt;&gt;"",
     INDEX('Eurostat EB products IEA'!$A$4:$BN$135,
           MATCH($B11:$K11, 'Eurostat EB products IEA'!$A$4:$A$135, 0),
           MATCH(AS$1, 'Eurostat EB products IEA'!$A$4:$BN$4, 0)
     )
     * $L11:$U11,
     0
  )
)</f>
        <v>0</v>
      </c>
      <c r="AT11" s="57" cm="1">
        <f t="array" ref="AT11">SUMPRODUCT(
  IF($B11:$K11&lt;&gt;"",
     INDEX('Eurostat EB products IEA'!$A$4:$BN$135,
           MATCH($B11:$K11, 'Eurostat EB products IEA'!$A$4:$A$135, 0),
           MATCH(AT$1, 'Eurostat EB products IEA'!$A$4:$BN$4, 0)
     )
     * $L11:$U11,
     0
  )
)</f>
        <v>0</v>
      </c>
      <c r="AU11" s="57" cm="1">
        <f t="array" ref="AU11">SUMPRODUCT(
  IF($B11:$K11&lt;&gt;"",
     INDEX('Eurostat EB products IEA'!$A$4:$BN$135,
           MATCH($B11:$K11, 'Eurostat EB products IEA'!$A$4:$A$135, 0),
           MATCH(AU$1, 'Eurostat EB products IEA'!$A$4:$BN$4, 0)
     )
     * $L11:$U11,
     0
  )
)</f>
        <v>0</v>
      </c>
      <c r="AV11" s="57" cm="1">
        <f t="array" ref="AV11">SUMPRODUCT(
  IF($B11:$K11&lt;&gt;"",
     INDEX('Eurostat EB products IEA'!$A$4:$BN$135,
           MATCH($B11:$K11, 'Eurostat EB products IEA'!$A$4:$A$135, 0),
           MATCH(AV$1, 'Eurostat EB products IEA'!$A$4:$BN$4, 0)
     )
     * $L11:$U11,
     0
  )
)</f>
        <v>4.4999999999999998E-2</v>
      </c>
      <c r="AW11" s="57" cm="1">
        <f t="array" ref="AW11">SUMPRODUCT(
  IF($B11:$K11&lt;&gt;"",
     INDEX('Eurostat EB products IEA'!$A$4:$BN$135,
           MATCH($B11:$K11, 'Eurostat EB products IEA'!$A$4:$A$135, 0),
           MATCH(AW$1, 'Eurostat EB products IEA'!$A$4:$BN$4, 0)
     )
     * $L11:$U11,
     0
  )
)</f>
        <v>-12.907</v>
      </c>
      <c r="AX11" s="57" cm="1">
        <f t="array" ref="AX11">SUMPRODUCT(
  IF($B11:$K11&lt;&gt;"",
     INDEX('Eurostat EB products IEA'!$A$4:$BN$135,
           MATCH($B11:$K11, 'Eurostat EB products IEA'!$A$4:$A$135, 0),
           MATCH(AX$1, 'Eurostat EB products IEA'!$A$4:$BN$4, 0)
     )
     * $L11:$U11,
     0
  )
)</f>
        <v>0</v>
      </c>
      <c r="AY11" s="57" cm="1">
        <f t="array" ref="AY11">SUMPRODUCT(
  IF($B11:$K11&lt;&gt;"",
     INDEX('Eurostat EB products IEA'!$A$4:$BN$135,
           MATCH($B11:$K11, 'Eurostat EB products IEA'!$A$4:$A$135, 0),
           MATCH(AY$1, 'Eurostat EB products IEA'!$A$4:$BN$4, 0)
     )
     * $L11:$U11,
     0
  )
)</f>
        <v>0</v>
      </c>
      <c r="AZ11" s="57" cm="1">
        <f t="array" ref="AZ11">SUMPRODUCT(
  IF($B11:$K11&lt;&gt;"",
     INDEX('Eurostat EB products IEA'!$A$4:$BN$135,
           MATCH($B11:$K11, 'Eurostat EB products IEA'!$A$4:$A$135, 0),
           MATCH(AZ$1, 'Eurostat EB products IEA'!$A$4:$BN$4, 0)
     )
     * $L11:$U11,
     0
  )
)</f>
        <v>0</v>
      </c>
      <c r="BA11" s="57" cm="1">
        <f t="array" ref="BA11">SUMPRODUCT(
  IF($B11:$K11&lt;&gt;"",
     INDEX('Eurostat EB products IEA'!$A$4:$BN$135,
           MATCH($B11:$K11, 'Eurostat EB products IEA'!$A$4:$A$135, 0),
           MATCH(BA$1, 'Eurostat EB products IEA'!$A$4:$BN$4, 0)
     )
     * $L11:$U11,
     0
  )
)</f>
        <v>4.2999999999999997E-2</v>
      </c>
      <c r="BB11" s="57" cm="1">
        <f t="array" ref="BB11">SUMPRODUCT(
  IF($B11:$K11&lt;&gt;"",
     INDEX('Eurostat EB products IEA'!$A$4:$BN$135,
           MATCH($B11:$K11, 'Eurostat EB products IEA'!$A$4:$A$135, 0),
           MATCH(BB$1, 'Eurostat EB products IEA'!$A$4:$BN$4, 0)
     )
     * $L11:$U11,
     0
  )
)</f>
        <v>-0.129</v>
      </c>
      <c r="BC11" s="57" cm="1">
        <f t="array" ref="BC11">SUMPRODUCT(
  IF($B11:$K11&lt;&gt;"",
     INDEX('Eurostat EB products IEA'!$A$4:$BN$135,
           MATCH($B11:$K11, 'Eurostat EB products IEA'!$A$4:$A$135, 0),
           MATCH(BC$1, 'Eurostat EB products IEA'!$A$4:$BN$4, 0)
     )
     * $L11:$U11,
     0
  )
)</f>
        <v>4.1000000000000002E-2</v>
      </c>
      <c r="BD11" s="57" cm="1">
        <f t="array" ref="BD11">SUMPRODUCT(
  IF($B11:$K11&lt;&gt;"",
     INDEX('Eurostat EB products IEA'!$A$4:$BN$135,
           MATCH($B11:$K11, 'Eurostat EB products IEA'!$A$4:$A$135, 0),
           MATCH(BD$1, 'Eurostat EB products IEA'!$A$4:$BN$4, 0)
     )
     * $L11:$U11,
     0
  )
)</f>
        <v>0</v>
      </c>
      <c r="BE11" s="57" cm="1">
        <f t="array" ref="BE11">SUMPRODUCT(
  IF($B11:$K11&lt;&gt;"",
     INDEX('Eurostat EB products IEA'!$A$4:$BN$135,
           MATCH($B11:$K11, 'Eurostat EB products IEA'!$A$4:$A$135, 0),
           MATCH(BE$1, 'Eurostat EB products IEA'!$A$4:$BN$4, 0)
     )
     * $L11:$U11,
     0
  )
)</f>
        <v>0</v>
      </c>
      <c r="BF11" s="57" cm="1">
        <f t="array" ref="BF11">SUMPRODUCT(
  IF($B11:$K11&lt;&gt;"",
     INDEX('Eurostat EB products IEA'!$A$4:$BN$135,
           MATCH($B11:$K11, 'Eurostat EB products IEA'!$A$4:$A$135, 0),
           MATCH(BF$1, 'Eurostat EB products IEA'!$A$4:$BN$4, 0)
     )
     * $L11:$U11,
     0
  )
)</f>
        <v>-4.1000000000000002E-2</v>
      </c>
      <c r="BG11" s="57" cm="1">
        <f t="array" ref="BG11">SUMPRODUCT(
  IF($B11:$K11&lt;&gt;"",
     INDEX('Eurostat EB products IEA'!$A$4:$BN$135,
           MATCH($B11:$K11, 'Eurostat EB products IEA'!$A$4:$A$135, 0),
           MATCH(BG$1, 'Eurostat EB products IEA'!$A$4:$BN$4, 0)
     )
     * $L11:$U11,
     0
  )
)</f>
        <v>0</v>
      </c>
      <c r="BH11" s="57" cm="1">
        <f t="array" ref="BH11">SUMPRODUCT(
  IF($B11:$K11&lt;&gt;"",
     INDEX('Eurostat EB products IEA'!$A$4:$BN$135,
           MATCH($B11:$K11, 'Eurostat EB products IEA'!$A$4:$A$135, 0),
           MATCH(BH$1, 'Eurostat EB products IEA'!$A$4:$BN$4, 0)
     )
     * $L11:$U11,
     0
  )
)</f>
        <v>0</v>
      </c>
      <c r="BI11" s="57" cm="1">
        <f t="array" ref="BI11">SUMPRODUCT(
  IF($B11:$K11&lt;&gt;"",
     INDEX('Eurostat EB products IEA'!$A$4:$BN$135,
           MATCH($B11:$K11, 'Eurostat EB products IEA'!$A$4:$A$135, 0),
           MATCH(BI$1, 'Eurostat EB products IEA'!$A$4:$BN$4, 0)
     )
     * $L11:$U11,
     0
  )
)</f>
        <v>3.5000000000000003E-2</v>
      </c>
      <c r="BJ11" s="57" cm="1">
        <f t="array" ref="BJ11">SUMPRODUCT(
  IF($B11:$K11&lt;&gt;"",
     INDEX('Eurostat EB products IEA'!$A$4:$BN$135,
           MATCH($B11:$K11, 'Eurostat EB products IEA'!$A$4:$A$135, 0),
           MATCH(BJ$1, 'Eurostat EB products IEA'!$A$4:$BN$4, 0)
     )
     * $L11:$U11,
     0
  )
)</f>
        <v>-2.4E-2</v>
      </c>
      <c r="BK11" s="57" cm="1">
        <f t="array" ref="BK11">SUMPRODUCT(
  IF($B11:$K11&lt;&gt;"",
     INDEX('Eurostat EB products IEA'!$A$4:$BN$135,
           MATCH($B11:$K11, 'Eurostat EB products IEA'!$A$4:$A$135, 0),
           MATCH(BK$1, 'Eurostat EB products IEA'!$A$4:$BN$4, 0)
     )
     * $L11:$U11,
     0
  )
)</f>
        <v>0</v>
      </c>
      <c r="BL11" s="57" cm="1">
        <f t="array" ref="BL11">SUMPRODUCT(
  IF($B11:$K11&lt;&gt;"",
     INDEX('Eurostat EB products IEA'!$A$4:$BN$135,
           MATCH($B11:$K11, 'Eurostat EB products IEA'!$A$4:$A$135, 0),
           MATCH(BL$1, 'Eurostat EB products IEA'!$A$4:$BN$4, 0)
     )
     * $L11:$U11,
     0
  )
)</f>
        <v>0</v>
      </c>
      <c r="BM11" s="57" cm="1">
        <f t="array" ref="BM11">SUMPRODUCT(
  IF($B11:$K11&lt;&gt;"",
     INDEX('Eurostat EB products IEA'!$A$4:$BN$135,
           MATCH($B11:$K11, 'Eurostat EB products IEA'!$A$4:$A$135, 0),
           MATCH(BM$1, 'Eurostat EB products IEA'!$A$4:$BN$4, 0)
     )
     * $L11:$U11,
     0
  )
)</f>
        <v>0</v>
      </c>
      <c r="BN11" s="57" cm="1">
        <f t="array" ref="BN11">SUMPRODUCT(
  IF($B11:$K11&lt;&gt;"",
     INDEX('Eurostat EB products IEA'!$A$4:$BN$135,
           MATCH($B11:$K11, 'Eurostat EB products IEA'!$A$4:$A$135, 0),
           MATCH(BN$1, 'Eurostat EB products IEA'!$A$4:$BN$4, 0)
     )
     * $L11:$U11,
     0
  )
)</f>
        <v>-8.9999999999999993E-3</v>
      </c>
      <c r="BO11" s="57" cm="1">
        <f t="array" ref="BO11">SUMPRODUCT(
  IF($B11:$K11&lt;&gt;"",
     INDEX('Eurostat EB products IEA'!$A$4:$BN$135,
           MATCH($B11:$K11, 'Eurostat EB products IEA'!$A$4:$A$135, 0),
           MATCH(BO$1, 'Eurostat EB products IEA'!$A$4:$BN$4, 0)
     )
     * $L11:$U11,
     0
  )
)</f>
        <v>-23.577000000000002</v>
      </c>
      <c r="BP11" s="57" cm="1">
        <f t="array" ref="BP11">SUMPRODUCT(
  IF($B11:$K11&lt;&gt;"",
     INDEX('Eurostat EB products IEA'!$A$4:$BN$135,
           MATCH($B11:$K11, 'Eurostat EB products IEA'!$A$4:$A$135, 0),
           MATCH(BP$1, 'Eurostat EB products IEA'!$A$4:$BN$4, 0)
     )
     * $L11:$U11,
     0
  )
)</f>
        <v>0</v>
      </c>
      <c r="BQ11" s="57" cm="1">
        <f t="array" ref="BQ11">SUMPRODUCT(
  IF($B11:$K11&lt;&gt;"",
     INDEX('Eurostat EB products IEA'!$A$4:$BN$135,
           MATCH($B11:$K11, 'Eurostat EB products IEA'!$A$4:$A$135, 0),
           MATCH(BQ$1, 'Eurostat EB products IEA'!$A$4:$BN$4, 0)
     )
     * $L11:$U11,
     0
  )
)</f>
        <v>0</v>
      </c>
      <c r="BR11" s="57" cm="1">
        <f t="array" ref="BR11">SUMPRODUCT(
  IF($B11:$K11&lt;&gt;"",
     INDEX('Eurostat EB products IEA'!$A$4:$BN$135,
           MATCH($B11:$K11, 'Eurostat EB products IEA'!$A$4:$A$135, 0),
           MATCH(BR$1, 'Eurostat EB products IEA'!$A$4:$BN$4, 0)
     )
     * $L11:$U11,
     0
  )
)</f>
        <v>0</v>
      </c>
      <c r="BS11" s="65">
        <v>0</v>
      </c>
      <c r="BT11" s="57" cm="1">
        <f t="array" ref="BT11">SUMPRODUCT(
  IF($B11:$K11&lt;&gt;"",
     INDEX('Eurostat EB products IEA'!$A$4:$BN$135,
           MATCH($B11:$K11, 'Eurostat EB products IEA'!$A$4:$A$135, 0),
           MATCH(BT$1, 'Eurostat EB products IEA'!$A$4:$BN$4, 0)
     )
     * $L11:$U11,
     0
  )
)</f>
        <v>0</v>
      </c>
      <c r="BU11" s="65">
        <v>0</v>
      </c>
      <c r="BV11" s="65">
        <v>0</v>
      </c>
      <c r="BW11" s="57" cm="1">
        <f t="array" ref="BW11">SUMPRODUCT(
  IF($B11:$K11&lt;&gt;"",
     INDEX('Eurostat EB products IEA'!$A$4:$BN$135,
           MATCH($B11:$K11, 'Eurostat EB products IEA'!$A$4:$A$135, 0),
           MATCH(BW$1, 'Eurostat EB products IEA'!$A$4:$BN$4, 0)
     )
     * $L11:$U11,
     0
  )
)</f>
        <v>0</v>
      </c>
      <c r="BX11" s="57" cm="1">
        <f t="array" ref="BX11">SUMPRODUCT(
  IF($B11:$K11&lt;&gt;"",
     INDEX('Eurostat EB products IEA'!$A$4:$BN$135,
           MATCH($B11:$K11, 'Eurostat EB products IEA'!$A$4:$A$135, 0),
           MATCH(BX$1, 'Eurostat EB products IEA'!$A$4:$BN$4, 0)
     )
     * $L11:$U11,
     0
  )
)</f>
        <v>0</v>
      </c>
      <c r="BY11" s="57" cm="1">
        <f t="array" ref="BY11">SUMPRODUCT(
  IF($B11:$K11&lt;&gt;"",
     INDEX('Eurostat EB products IEA'!$A$4:$BN$135,
           MATCH($B11:$K11, 'Eurostat EB products IEA'!$A$4:$A$135, 0),
           MATCH(BY$1, 'Eurostat EB products IEA'!$A$4:$BN$4, 0)
     )
     * $L11:$U11,
     0
  )
)</f>
        <v>0</v>
      </c>
      <c r="BZ11" s="57" cm="1">
        <f t="array" ref="BZ11">SUMPRODUCT(
  IF($B11:$K11&lt;&gt;"",
     INDEX('Eurostat EB products IEA'!$A$4:$BN$135,
           MATCH($B11:$K11, 'Eurostat EB products IEA'!$A$4:$A$135, 0),
           MATCH(BZ$1, 'Eurostat EB products IEA'!$A$4:$BN$4, 0)
     )
     * $L11:$U11,
     0
  )
)</f>
        <v>0</v>
      </c>
      <c r="CA11" s="57" cm="1">
        <f t="array" ref="CA11">SUMPRODUCT(
  IF($B11:$K11&lt;&gt;"",
     INDEX('Eurostat EB products IEA'!$A$4:$BN$135,
           MATCH($B11:$K11, 'Eurostat EB products IEA'!$A$4:$A$135, 0),
           MATCH(CA$1, 'Eurostat EB products IEA'!$A$4:$BN$4, 0)
     )
     * $L11:$U11,
     0
  )
)</f>
        <v>0</v>
      </c>
      <c r="CB11" s="57" cm="1">
        <f t="array" ref="CB11">SUMPRODUCT(
  IF($B11:$K11&lt;&gt;"",
     INDEX('Eurostat EB products IEA'!$A$4:$BN$135,
           MATCH($B11:$K11, 'Eurostat EB products IEA'!$A$4:$A$135, 0),
           MATCH(CB$1, 'Eurostat EB products IEA'!$A$4:$BN$4, 0)
     )
     * $L11:$U11,
     0
  )
)</f>
        <v>0</v>
      </c>
      <c r="CC11" s="57" cm="1">
        <f t="array" ref="CC11">SUMPRODUCT(
  IF($B11:$K11&lt;&gt;"",
     INDEX('Eurostat EB products IEA'!$A$4:$BN$135,
           MATCH($B11:$K11, 'Eurostat EB products IEA'!$A$4:$A$135, 0),
           MATCH(CC$1, 'Eurostat EB products IEA'!$A$4:$BN$4, 0)
     )
     * $L11:$U11,
     0
  )
)</f>
        <v>0</v>
      </c>
      <c r="CD11" s="65">
        <v>0</v>
      </c>
      <c r="CE11" s="57" cm="1">
        <f t="array" ref="CE11">SUMPRODUCT(
  IF($B11:$K11&lt;&gt;"",
     INDEX('Eurostat EB products IEA'!$A$4:$BN$135,
           MATCH($B11:$K11, 'Eurostat EB products IEA'!$A$4:$A$135, 0),
           MATCH(CE$1, 'Eurostat EB products IEA'!$A$4:$BN$4, 0)
     )
     * $L11:$U11,
     0
  )
)</f>
        <v>-764.798</v>
      </c>
      <c r="CF11" s="57" cm="1">
        <f t="array" ref="CF11">SUMPRODUCT(
  IF($B11:$K11&lt;&gt;"",
     INDEX('Eurostat EB products IEA'!$A$4:$BN$135,
           MATCH($B11:$K11, 'Eurostat EB products IEA'!$A$4:$A$135, 0),
           MATCH(CF$1, 'Eurostat EB products IEA'!$A$4:$BN$4, 0)
     )
     * $L11:$U11,
     0
  )
)</f>
        <v>-2E-3</v>
      </c>
      <c r="CG11" s="57" cm="1">
        <f t="array" ref="CG11">SUMPRODUCT(
  IF($B11:$K11&lt;&gt;"",
     INDEX('Eurostat EB products IEA'!$A$4:$BN$135,
           MATCH($B11:$K11, 'Eurostat EB products IEA'!$A$4:$A$135, 0),
           MATCH(CG$1, 'Eurostat EB products IEA'!$A$4:$BN$4, 0)
     )
     * $L11:$U11,
     0
  )
)</f>
        <v>193.00800000000001</v>
      </c>
      <c r="CH11" s="57" cm="1">
        <f t="array" ref="CH11">SUMPRODUCT(
  IF($B11:$K11&lt;&gt;"",
     INDEX('Eurostat EB products IEA'!$A$4:$BN$135,
           MATCH($B11:$K11, 'Eurostat EB products IEA'!$A$4:$A$135, 0),
           MATCH(CH$1, 'Eurostat EB products IEA'!$A$4:$BN$4, 0)
     )
     * $L11:$U11,
     0
  )
)</f>
        <v>0</v>
      </c>
    </row>
    <row r="12" spans="1:86" x14ac:dyDescent="0.2">
      <c r="A12" t="s">
        <v>149</v>
      </c>
      <c r="B12" s="75" t="s">
        <v>224</v>
      </c>
      <c r="C12" s="77" t="s">
        <v>252</v>
      </c>
      <c r="D12" s="75" t="s">
        <v>214</v>
      </c>
      <c r="E12" s="77" t="s">
        <v>242</v>
      </c>
      <c r="F12" s="75" t="s">
        <v>222</v>
      </c>
      <c r="G12" s="77" t="s">
        <v>223</v>
      </c>
      <c r="H12" s="75" t="s">
        <v>250</v>
      </c>
      <c r="I12" s="77" t="s">
        <v>251</v>
      </c>
      <c r="J12" s="74" t="s">
        <v>204</v>
      </c>
      <c r="K12" s="78" t="s">
        <v>93</v>
      </c>
      <c r="L12" s="76">
        <v>1</v>
      </c>
      <c r="M12" s="79">
        <v>-1</v>
      </c>
      <c r="N12" s="76">
        <v>1</v>
      </c>
      <c r="O12" s="79">
        <v>-1</v>
      </c>
      <c r="P12" s="76">
        <v>1</v>
      </c>
      <c r="Q12" s="79">
        <v>1</v>
      </c>
      <c r="R12" s="76">
        <v>-1</v>
      </c>
      <c r="S12" s="79">
        <v>-1</v>
      </c>
      <c r="T12" s="76">
        <v>-1</v>
      </c>
      <c r="U12" s="79">
        <v>1</v>
      </c>
      <c r="V12" s="65" t="s">
        <v>323</v>
      </c>
      <c r="W12" s="65" t="s">
        <v>323</v>
      </c>
      <c r="X12" s="17" cm="1">
        <f t="array" ref="X12">SUMPRODUCT(
  IF($B12:$K12&lt;&gt;"",
     INDEX('Eurostat EB products IEA'!$A$4:$BN$135,
           MATCH($B12:$K12, 'Eurostat EB products IEA'!$A$4:$A$135, 0),
           MATCH(X$1, 'Eurostat EB products IEA'!$A$4:$BN$4, 0)
     )
     * $L12:$U12,
     0
  )
)</f>
        <v>0</v>
      </c>
      <c r="Y12" s="17" cm="1">
        <f t="array" ref="Y12">SUMPRODUCT(
  IF($B12:$K12&lt;&gt;"",
     INDEX('Eurostat EB products IEA'!$A$4:$BN$135,
           MATCH($B12:$K12, 'Eurostat EB products IEA'!$A$4:$A$135, 0),
           MATCH(Y$1, 'Eurostat EB products IEA'!$A$4:$BN$4, 0)
     )
     * $L12:$U12,
     0
  )
)</f>
        <v>-99143.111999999994</v>
      </c>
      <c r="Z12" s="17" cm="1">
        <f t="array" ref="Z12">SUMPRODUCT(
  IF($B12:$K12&lt;&gt;"",
     INDEX('Eurostat EB products IEA'!$A$4:$BN$135,
           MATCH($B12:$K12, 'Eurostat EB products IEA'!$A$4:$A$135, 0),
           MATCH(Z$1, 'Eurostat EB products IEA'!$A$4:$BN$4, 0)
     )
     * $L12:$U12,
     0
  )
)</f>
        <v>-71329.782000000007</v>
      </c>
      <c r="AA12" s="17" cm="1">
        <f t="array" ref="AA12">SUMPRODUCT(
  IF($B12:$K12&lt;&gt;"",
     INDEX('Eurostat EB products IEA'!$A$4:$BN$135,
           MATCH($B12:$K12, 'Eurostat EB products IEA'!$A$4:$A$135, 0),
           MATCH(AA$1, 'Eurostat EB products IEA'!$A$4:$BN$4, 0)
     )
     * $L12:$U12,
     0
  )
)</f>
        <v>0</v>
      </c>
      <c r="AB12" s="17" cm="1">
        <f t="array" ref="AB12">SUMPRODUCT(
  IF($B12:$K12&lt;&gt;"",
     INDEX('Eurostat EB products IEA'!$A$4:$BN$135,
           MATCH($B12:$K12, 'Eurostat EB products IEA'!$A$4:$A$135, 0),
           MATCH(AB$1, 'Eurostat EB products IEA'!$A$4:$BN$4, 0)
     )
     * $L12:$U12,
     0
  )
)</f>
        <v>0</v>
      </c>
      <c r="AC12" s="17" cm="1">
        <f t="array" ref="AC12">SUMPRODUCT(
  IF($B12:$K12&lt;&gt;"",
     INDEX('Eurostat EB products IEA'!$A$4:$BN$135,
           MATCH($B12:$K12, 'Eurostat EB products IEA'!$A$4:$A$135, 0),
           MATCH(AC$1, 'Eurostat EB products IEA'!$A$4:$BN$4, 0)
     )
     * $L12:$U12,
     0
  )
)</f>
        <v>0</v>
      </c>
      <c r="AD12" s="17" cm="1">
        <f t="array" ref="AD12">SUMPRODUCT(
  IF($B12:$K12&lt;&gt;"",
     INDEX('Eurostat EB products IEA'!$A$4:$BN$135,
           MATCH($B12:$K12, 'Eurostat EB products IEA'!$A$4:$A$135, 0),
           MATCH(AD$1, 'Eurostat EB products IEA'!$A$4:$BN$4, 0)
     )
     * $L12:$U12,
     0
  )
)</f>
        <v>14642.702000000005</v>
      </c>
      <c r="AE12" s="17" cm="1">
        <f t="array" ref="AE12">SUMPRODUCT(
  IF($B12:$K12&lt;&gt;"",
     INDEX('Eurostat EB products IEA'!$A$4:$BN$135,
           MATCH($B12:$K12, 'Eurostat EB products IEA'!$A$4:$A$135, 0),
           MATCH(AE$1, 'Eurostat EB products IEA'!$A$4:$BN$4, 0)
     )
     * $L12:$U12,
     0
  )
)</f>
        <v>0</v>
      </c>
      <c r="AF12" s="17" cm="1">
        <f t="array" ref="AF12">SUMPRODUCT(
  IF($B12:$K12&lt;&gt;"",
     INDEX('Eurostat EB products IEA'!$A$4:$BN$135,
           MATCH($B12:$K12, 'Eurostat EB products IEA'!$A$4:$A$135, 0),
           MATCH(AF$1, 'Eurostat EB products IEA'!$A$4:$BN$4, 0)
     )
     * $L12:$U12,
     0
  )
)</f>
        <v>3213.06</v>
      </c>
      <c r="AG12" s="17" cm="1">
        <f t="array" ref="AG12">SUMPRODUCT(
  IF($B12:$K12&lt;&gt;"",
     INDEX('Eurostat EB products IEA'!$A$4:$BN$135,
           MATCH($B12:$K12, 'Eurostat EB products IEA'!$A$4:$A$135, 0),
           MATCH(AG$1, 'Eurostat EB products IEA'!$A$4:$BN$4, 0)
     )
     * $L12:$U12,
     0
  )
)</f>
        <v>0</v>
      </c>
      <c r="AH12" s="17" cm="1">
        <f t="array" ref="AH12">SUMPRODUCT(
  IF($B12:$K12&lt;&gt;"",
     INDEX('Eurostat EB products IEA'!$A$4:$BN$135,
           MATCH($B12:$K12, 'Eurostat EB products IEA'!$A$4:$A$135, 0),
           MATCH(AH$1, 'Eurostat EB products IEA'!$A$4:$BN$4, 0)
     )
     * $L12:$U12,
     0
  )
)</f>
        <v>0</v>
      </c>
      <c r="AI12" s="17" cm="1">
        <f t="array" ref="AI12">SUMPRODUCT(
  IF($B12:$K12&lt;&gt;"",
     INDEX('Eurostat EB products IEA'!$A$4:$BN$135,
           MATCH($B12:$K12, 'Eurostat EB products IEA'!$A$4:$A$135, 0),
           MATCH(AI$1, 'Eurostat EB products IEA'!$A$4:$BN$4, 0)
     )
     * $L12:$U12,
     0
  )
)</f>
        <v>13587.730000000001</v>
      </c>
      <c r="AJ12" s="17" cm="1">
        <f t="array" ref="AJ12">SUMPRODUCT(
  IF($B12:$K12&lt;&gt;"",
     INDEX('Eurostat EB products IEA'!$A$4:$BN$135,
           MATCH($B12:$K12, 'Eurostat EB products IEA'!$A$4:$A$135, 0),
           MATCH(AJ$1, 'Eurostat EB products IEA'!$A$4:$BN$4, 0)
     )
     * $L12:$U12,
     0
  )
)</f>
        <v>10390.014999999999</v>
      </c>
      <c r="AK12" s="17" cm="1">
        <f t="array" ref="AK12">SUMPRODUCT(
  IF($B12:$K12&lt;&gt;"",
     INDEX('Eurostat EB products IEA'!$A$4:$BN$135,
           MATCH($B12:$K12, 'Eurostat EB products IEA'!$A$4:$A$135, 0),
           MATCH(AK$1, 'Eurostat EB products IEA'!$A$4:$BN$4, 0)
     )
     * $L12:$U12,
     0
  )
)</f>
        <v>0</v>
      </c>
      <c r="AL12" s="17" cm="1">
        <f t="array" ref="AL12">SUMPRODUCT(
  IF($B12:$K12&lt;&gt;"",
     INDEX('Eurostat EB products IEA'!$A$4:$BN$135,
           MATCH($B12:$K12, 'Eurostat EB products IEA'!$A$4:$A$135, 0),
           MATCH(AL$1, 'Eurostat EB products IEA'!$A$4:$BN$4, 0)
     )
     * $L12:$U12,
     0
  )
)</f>
        <v>0</v>
      </c>
      <c r="AM12" s="17" cm="1">
        <f t="array" ref="AM12">SUMPRODUCT(
  IF($B12:$K12&lt;&gt;"",
     INDEX('Eurostat EB products IEA'!$A$4:$BN$135,
           MATCH($B12:$K12, 'Eurostat EB products IEA'!$A$4:$A$135, 0),
           MATCH(AM$1, 'Eurostat EB products IEA'!$A$4:$BN$4, 0)
     )
     * $L12:$U12,
     0
  )
)</f>
        <v>-299974.59499999997</v>
      </c>
      <c r="AN12" s="65" t="s">
        <v>323</v>
      </c>
      <c r="AO12" s="17" cm="1">
        <f t="array" ref="AO12">SUMPRODUCT(
  IF($B12:$K12&lt;&gt;"",
     INDEX('Eurostat EB products IEA'!$A$4:$BN$135,
           MATCH($B12:$K12, 'Eurostat EB products IEA'!$A$4:$A$135, 0),
           MATCH(AO$1, 'Eurostat EB products IEA'!$A$4:$BN$4, 0)
     )
     * $L12:$U12,
     0
  )
)</f>
        <v>-2271942.2579999999</v>
      </c>
      <c r="AP12" s="17" cm="1">
        <f t="array" ref="AP12">SUMPRODUCT(
  IF($B12:$K12&lt;&gt;"",
     INDEX('Eurostat EB products IEA'!$A$4:$BN$135,
           MATCH($B12:$K12, 'Eurostat EB products IEA'!$A$4:$A$135, 0),
           MATCH(AP$1, 'Eurostat EB products IEA'!$A$4:$BN$4, 0)
     )
     * $L12:$U12,
     0
  )
)</f>
        <v>-198580.231</v>
      </c>
      <c r="AQ12" s="17" cm="1">
        <f t="array" ref="AQ12">SUMPRODUCT(
  IF($B12:$K12&lt;&gt;"",
     INDEX('Eurostat EB products IEA'!$A$4:$BN$135,
           MATCH($B12:$K12, 'Eurostat EB products IEA'!$A$4:$A$135, 0),
           MATCH(AQ$1, 'Eurostat EB products IEA'!$A$4:$BN$4, 0)
     )
     * $L12:$U12,
     0
  )
)</f>
        <v>-71357.248000000021</v>
      </c>
      <c r="AR12" s="17" cm="1">
        <f t="array" ref="AR12">SUMPRODUCT(
  IF($B12:$K12&lt;&gt;"",
     INDEX('Eurostat EB products IEA'!$A$4:$BN$135,
           MATCH($B12:$K12, 'Eurostat EB products IEA'!$A$4:$A$135, 0),
           MATCH(AR$1, 'Eurostat EB products IEA'!$A$4:$BN$4, 0)
     )
     * $L12:$U12,
     0
  )
)</f>
        <v>-1858.6359999999986</v>
      </c>
      <c r="AS12" s="17" cm="1">
        <f t="array" ref="AS12">SUMPRODUCT(
  IF($B12:$K12&lt;&gt;"",
     INDEX('Eurostat EB products IEA'!$A$4:$BN$135,
           MATCH($B12:$K12, 'Eurostat EB products IEA'!$A$4:$A$135, 0),
           MATCH(AS$1, 'Eurostat EB products IEA'!$A$4:$BN$4, 0)
     )
     * $L12:$U12,
     0
  )
)</f>
        <v>0</v>
      </c>
      <c r="AT12" s="17" cm="1">
        <f t="array" ref="AT12">SUMPRODUCT(
  IF($B12:$K12&lt;&gt;"",
     INDEX('Eurostat EB products IEA'!$A$4:$BN$135,
           MATCH($B12:$K12, 'Eurostat EB products IEA'!$A$4:$A$135, 0),
           MATCH(AT$1, 'Eurostat EB products IEA'!$A$4:$BN$4, 0)
     )
     * $L12:$U12,
     0
  )
)</f>
        <v>87049.87</v>
      </c>
      <c r="AU12" s="17" cm="1">
        <f t="array" ref="AU12">SUMPRODUCT(
  IF($B12:$K12&lt;&gt;"",
     INDEX('Eurostat EB products IEA'!$A$4:$BN$135,
           MATCH($B12:$K12, 'Eurostat EB products IEA'!$A$4:$A$135, 0),
           MATCH(AU$1, 'Eurostat EB products IEA'!$A$4:$BN$4, 0)
     )
     * $L12:$U12,
     0
  )
)</f>
        <v>0</v>
      </c>
      <c r="AV12" s="17" cm="1">
        <f t="array" ref="AV12">SUMPRODUCT(
  IF($B12:$K12&lt;&gt;"",
     INDEX('Eurostat EB products IEA'!$A$4:$BN$135,
           MATCH($B12:$K12, 'Eurostat EB products IEA'!$A$4:$A$135, 0),
           MATCH(AV$1, 'Eurostat EB products IEA'!$A$4:$BN$4, 0)
     )
     * $L12:$U12,
     0
  )
)</f>
        <v>28119.343000000008</v>
      </c>
      <c r="AW12" s="17" cm="1">
        <f t="array" ref="AW12">SUMPRODUCT(
  IF($B12:$K12&lt;&gt;"",
     INDEX('Eurostat EB products IEA'!$A$4:$BN$135,
           MATCH($B12:$K12, 'Eurostat EB products IEA'!$A$4:$A$135, 0),
           MATCH(AW$1, 'Eurostat EB products IEA'!$A$4:$BN$4, 0)
     )
     * $L12:$U12,
     0
  )
)</f>
        <v>194758.60800000001</v>
      </c>
      <c r="AX12" s="17" cm="1">
        <f t="array" ref="AX12">SUMPRODUCT(
  IF($B12:$K12&lt;&gt;"",
     INDEX('Eurostat EB products IEA'!$A$4:$BN$135,
           MATCH($B12:$K12, 'Eurostat EB products IEA'!$A$4:$A$135, 0),
           MATCH(AX$1, 'Eurostat EB products IEA'!$A$4:$BN$4, 0)
     )
     * $L12:$U12,
     0
  )
)</f>
        <v>2822.6170000000002</v>
      </c>
      <c r="AY12" s="17" cm="1">
        <f t="array" ref="AY12">SUMPRODUCT(
  IF($B12:$K12&lt;&gt;"",
     INDEX('Eurostat EB products IEA'!$A$4:$BN$135,
           MATCH($B12:$K12, 'Eurostat EB products IEA'!$A$4:$A$135, 0),
           MATCH(AY$1, 'Eurostat EB products IEA'!$A$4:$BN$4, 0)
     )
     * $L12:$U12,
     0
  )
)</f>
        <v>0</v>
      </c>
      <c r="AZ12" s="17" cm="1">
        <f t="array" ref="AZ12">SUMPRODUCT(
  IF($B12:$K12&lt;&gt;"",
     INDEX('Eurostat EB products IEA'!$A$4:$BN$135,
           MATCH($B12:$K12, 'Eurostat EB products IEA'!$A$4:$A$135, 0),
           MATCH(AZ$1, 'Eurostat EB products IEA'!$A$4:$BN$4, 0)
     )
     * $L12:$U12,
     0
  )
)</f>
        <v>345850.30800000002</v>
      </c>
      <c r="BA12" s="17" cm="1">
        <f t="array" ref="BA12">SUMPRODUCT(
  IF($B12:$K12&lt;&gt;"",
     INDEX('Eurostat EB products IEA'!$A$4:$BN$135,
           MATCH($B12:$K12, 'Eurostat EB products IEA'!$A$4:$A$135, 0),
           MATCH(BA$1, 'Eurostat EB products IEA'!$A$4:$BN$4, 0)
     )
     * $L12:$U12,
     0
  )
)</f>
        <v>16742.290999999997</v>
      </c>
      <c r="BB12" s="17" cm="1">
        <f t="array" ref="BB12">SUMPRODUCT(
  IF($B12:$K12&lt;&gt;"",
     INDEX('Eurostat EB products IEA'!$A$4:$BN$135,
           MATCH($B12:$K12, 'Eurostat EB products IEA'!$A$4:$A$135, 0),
           MATCH(BB$1, 'Eurostat EB products IEA'!$A$4:$BN$4, 0)
     )
     * $L12:$U12,
     0
  )
)</f>
        <v>854333.4</v>
      </c>
      <c r="BC12" s="17" cm="1">
        <f t="array" ref="BC12">SUMPRODUCT(
  IF($B12:$K12&lt;&gt;"",
     INDEX('Eurostat EB products IEA'!$A$4:$BN$135,
           MATCH($B12:$K12, 'Eurostat EB products IEA'!$A$4:$A$135, 0),
           MATCH(BC$1, 'Eurostat EB products IEA'!$A$4:$BN$4, 0)
     )
     * $L12:$U12,
     0
  )
)</f>
        <v>393140.03</v>
      </c>
      <c r="BD12" s="17" cm="1">
        <f t="array" ref="BD12">SUMPRODUCT(
  IF($B12:$K12&lt;&gt;"",
     INDEX('Eurostat EB products IEA'!$A$4:$BN$135,
           MATCH($B12:$K12, 'Eurostat EB products IEA'!$A$4:$A$135, 0),
           MATCH(BD$1, 'Eurostat EB products IEA'!$A$4:$BN$4, 0)
     )
     * $L12:$U12,
     0
  )
)</f>
        <v>407607.10399999993</v>
      </c>
      <c r="BE12" s="17" cm="1">
        <f t="array" ref="BE12">SUMPRODUCT(
  IF($B12:$K12&lt;&gt;"",
     INDEX('Eurostat EB products IEA'!$A$4:$BN$135,
           MATCH($B12:$K12, 'Eurostat EB products IEA'!$A$4:$A$135, 0),
           MATCH(BE$1, 'Eurostat EB products IEA'!$A$4:$BN$4, 0)
     )
     * $L12:$U12,
     0
  )
)</f>
        <v>39900.259000000005</v>
      </c>
      <c r="BF12" s="17" cm="1">
        <f t="array" ref="BF12">SUMPRODUCT(
  IF($B12:$K12&lt;&gt;"",
     INDEX('Eurostat EB products IEA'!$A$4:$BN$135,
           MATCH($B12:$K12, 'Eurostat EB products IEA'!$A$4:$A$135, 0),
           MATCH(BF$1, 'Eurostat EB products IEA'!$A$4:$BN$4, 0)
     )
     * $L12:$U12,
     0
  )
)</f>
        <v>42819.498</v>
      </c>
      <c r="BG12" s="17" cm="1">
        <f t="array" ref="BG12">SUMPRODUCT(
  IF($B12:$K12&lt;&gt;"",
     INDEX('Eurostat EB products IEA'!$A$4:$BN$135,
           MATCH($B12:$K12, 'Eurostat EB products IEA'!$A$4:$A$135, 0),
           MATCH(BG$1, 'Eurostat EB products IEA'!$A$4:$BN$4, 0)
     )
     * $L12:$U12,
     0
  )
)</f>
        <v>37052.464</v>
      </c>
      <c r="BH12" s="17" cm="1">
        <f t="array" ref="BH12">SUMPRODUCT(
  IF($B12:$K12&lt;&gt;"",
     INDEX('Eurostat EB products IEA'!$A$4:$BN$135,
           MATCH($B12:$K12, 'Eurostat EB products IEA'!$A$4:$A$135, 0),
           MATCH(BH$1, 'Eurostat EB products IEA'!$A$4:$BN$4, 0)
     )
     * $L12:$U12,
     0
  )
)</f>
        <v>-9.9999999997635314E-4</v>
      </c>
      <c r="BI12" s="17" cm="1">
        <f t="array" ref="BI12">SUMPRODUCT(
  IF($B12:$K12&lt;&gt;"",
     INDEX('Eurostat EB products IEA'!$A$4:$BN$135,
           MATCH($B12:$K12, 'Eurostat EB products IEA'!$A$4:$A$135, 0),
           MATCH(BI$1, 'Eurostat EB products IEA'!$A$4:$BN$4, 0)
     )
     * $L12:$U12,
     0
  )
)</f>
        <v>16671.462</v>
      </c>
      <c r="BJ12" s="17" cm="1">
        <f t="array" ref="BJ12">SUMPRODUCT(
  IF($B12:$K12&lt;&gt;"",
     INDEX('Eurostat EB products IEA'!$A$4:$BN$135,
           MATCH($B12:$K12, 'Eurostat EB products IEA'!$A$4:$A$135, 0),
           MATCH(BJ$1, 'Eurostat EB products IEA'!$A$4:$BN$4, 0)
     )
     * $L12:$U12,
     0
  )
)</f>
        <v>18090.465</v>
      </c>
      <c r="BK12" s="17" cm="1">
        <f t="array" ref="BK12">SUMPRODUCT(
  IF($B12:$K12&lt;&gt;"",
     INDEX('Eurostat EB products IEA'!$A$4:$BN$135,
           MATCH($B12:$K12, 'Eurostat EB products IEA'!$A$4:$A$135, 0),
           MATCH(BK$1, 'Eurostat EB products IEA'!$A$4:$BN$4, 0)
     )
     * $L12:$U12,
     0
  )
)</f>
        <v>-1245.8309999999999</v>
      </c>
      <c r="BL12" s="17" cm="1">
        <f t="array" ref="BL12">SUMPRODUCT(
  IF($B12:$K12&lt;&gt;"",
     INDEX('Eurostat EB products IEA'!$A$4:$BN$135,
           MATCH($B12:$K12, 'Eurostat EB products IEA'!$A$4:$A$135, 0),
           MATCH(BL$1, 'Eurostat EB products IEA'!$A$4:$BN$4, 0)
     )
     * $L12:$U12,
     0
  )
)</f>
        <v>-35337.54</v>
      </c>
      <c r="BM12" s="17" cm="1">
        <f t="array" ref="BM12">SUMPRODUCT(
  IF($B12:$K12&lt;&gt;"",
     INDEX('Eurostat EB products IEA'!$A$4:$BN$135,
           MATCH($B12:$K12, 'Eurostat EB products IEA'!$A$4:$A$135, 0),
           MATCH(BM$1, 'Eurostat EB products IEA'!$A$4:$BN$4, 0)
     )
     * $L12:$U12,
     0
  )
)</f>
        <v>-31337.062999999998</v>
      </c>
      <c r="BN12" s="17" cm="1">
        <f t="array" ref="BN12">SUMPRODUCT(
  IF($B12:$K12&lt;&gt;"",
     INDEX('Eurostat EB products IEA'!$A$4:$BN$135,
           MATCH($B12:$K12, 'Eurostat EB products IEA'!$A$4:$A$135, 0),
           MATCH(BN$1, 'Eurostat EB products IEA'!$A$4:$BN$4, 0)
     )
     * $L12:$U12,
     0
  )
)</f>
        <v>-58457.756999999998</v>
      </c>
      <c r="BO12" s="17" cm="1">
        <f t="array" ref="BO12">SUMPRODUCT(
  IF($B12:$K12&lt;&gt;"",
     INDEX('Eurostat EB products IEA'!$A$4:$BN$135,
           MATCH($B12:$K12, 'Eurostat EB products IEA'!$A$4:$A$135, 0),
           MATCH(BO$1, 'Eurostat EB products IEA'!$A$4:$BN$4, 0)
     )
     * $L12:$U12,
     0
  )
)</f>
        <v>-14208.23</v>
      </c>
      <c r="BP12" s="17" cm="1">
        <f t="array" ref="BP12">SUMPRODUCT(
  IF($B12:$K12&lt;&gt;"",
     INDEX('Eurostat EB products IEA'!$A$4:$BN$135,
           MATCH($B12:$K12, 'Eurostat EB products IEA'!$A$4:$A$135, 0),
           MATCH(BP$1, 'Eurostat EB products IEA'!$A$4:$BN$4, 0)
     )
     * $L12:$U12,
     0
  )
)</f>
        <v>-367.11700000000019</v>
      </c>
      <c r="BQ12" s="17" cm="1">
        <f t="array" ref="BQ12">SUMPRODUCT(
  IF($B12:$K12&lt;&gt;"",
     INDEX('Eurostat EB products IEA'!$A$4:$BN$135,
           MATCH($B12:$K12, 'Eurostat EB products IEA'!$A$4:$A$135, 0),
           MATCH(BQ$1, 'Eurostat EB products IEA'!$A$4:$BN$4, 0)
     )
     * $L12:$U12,
     0
  )
)</f>
        <v>0</v>
      </c>
      <c r="BR12" s="17" cm="1">
        <f t="array" ref="BR12">SUMPRODUCT(
  IF($B12:$K12&lt;&gt;"",
     INDEX('Eurostat EB products IEA'!$A$4:$BN$135,
           MATCH($B12:$K12, 'Eurostat EB products IEA'!$A$4:$A$135, 0),
           MATCH(BR$1, 'Eurostat EB products IEA'!$A$4:$BN$4, 0)
     )
     * $L12:$U12,
     0
  )
)</f>
        <v>0</v>
      </c>
      <c r="BS12" s="65">
        <v>0</v>
      </c>
      <c r="BT12" s="17" cm="1">
        <f t="array" ref="BT12">SUMPRODUCT(
  IF($B12:$K12&lt;&gt;"",
     INDEX('Eurostat EB products IEA'!$A$4:$BN$135,
           MATCH($B12:$K12, 'Eurostat EB products IEA'!$A$4:$A$135, 0),
           MATCH(BT$1, 'Eurostat EB products IEA'!$A$4:$BN$4, 0)
     )
     * $L12:$U12,
     0
  )
)</f>
        <v>0</v>
      </c>
      <c r="BU12" s="65">
        <v>0</v>
      </c>
      <c r="BV12" s="65">
        <v>0</v>
      </c>
      <c r="BW12" s="17" cm="1">
        <f t="array" ref="BW12">SUMPRODUCT(
  IF($B12:$K12&lt;&gt;"",
     INDEX('Eurostat EB products IEA'!$A$4:$BN$135,
           MATCH($B12:$K12, 'Eurostat EB products IEA'!$A$4:$A$135, 0),
           MATCH(BW$1, 'Eurostat EB products IEA'!$A$4:$BN$4, 0)
     )
     * $L12:$U12,
     0
  )
)</f>
        <v>-38959.053</v>
      </c>
      <c r="BX12" s="17" cm="1">
        <f t="array" ref="BX12">SUMPRODUCT(
  IF($B12:$K12&lt;&gt;"",
     INDEX('Eurostat EB products IEA'!$A$4:$BN$135,
           MATCH($B12:$K12, 'Eurostat EB products IEA'!$A$4:$A$135, 0),
           MATCH(BX$1, 'Eurostat EB products IEA'!$A$4:$BN$4, 0)
     )
     * $L12:$U12,
     0
  )
)</f>
        <v>-249.72800000000001</v>
      </c>
      <c r="BY12" s="17" cm="1">
        <f t="array" ref="BY12">SUMPRODUCT(
  IF($B12:$K12&lt;&gt;"",
     INDEX('Eurostat EB products IEA'!$A$4:$BN$135,
           MATCH($B12:$K12, 'Eurostat EB products IEA'!$A$4:$A$135, 0),
           MATCH(BY$1, 'Eurostat EB products IEA'!$A$4:$BN$4, 0)
     )
     * $L12:$U12,
     0
  )
)</f>
        <v>0</v>
      </c>
      <c r="BZ12" s="17" cm="1">
        <f t="array" ref="BZ12">SUMPRODUCT(
  IF($B12:$K12&lt;&gt;"",
     INDEX('Eurostat EB products IEA'!$A$4:$BN$135,
           MATCH($B12:$K12, 'Eurostat EB products IEA'!$A$4:$A$135, 0),
           MATCH(BZ$1, 'Eurostat EB products IEA'!$A$4:$BN$4, 0)
     )
     * $L12:$U12,
     0
  )
)</f>
        <v>-70481.476999999999</v>
      </c>
      <c r="CA12" s="17" cm="1">
        <f t="array" ref="CA12">SUMPRODUCT(
  IF($B12:$K12&lt;&gt;"",
     INDEX('Eurostat EB products IEA'!$A$4:$BN$135,
           MATCH($B12:$K12, 'Eurostat EB products IEA'!$A$4:$A$135, 0),
           MATCH(CA$1, 'Eurostat EB products IEA'!$A$4:$BN$4, 0)
     )
     * $L12:$U12,
     0
  )
)</f>
        <v>0</v>
      </c>
      <c r="CB12" s="17" cm="1">
        <f t="array" ref="CB12">SUMPRODUCT(
  IF($B12:$K12&lt;&gt;"",
     INDEX('Eurostat EB products IEA'!$A$4:$BN$135,
           MATCH($B12:$K12, 'Eurostat EB products IEA'!$A$4:$A$135, 0),
           MATCH(CB$1, 'Eurostat EB products IEA'!$A$4:$BN$4, 0)
     )
     * $L12:$U12,
     0
  )
)</f>
        <v>0</v>
      </c>
      <c r="CC12" s="17" cm="1">
        <f t="array" ref="CC12">SUMPRODUCT(
  IF($B12:$K12&lt;&gt;"",
     INDEX('Eurostat EB products IEA'!$A$4:$BN$135,
           MATCH($B12:$K12, 'Eurostat EB products IEA'!$A$4:$A$135, 0),
           MATCH(CC$1, 'Eurostat EB products IEA'!$A$4:$BN$4, 0)
     )
     * $L12:$U12,
     0
  )
)</f>
        <v>-106290.292</v>
      </c>
      <c r="CD12" s="65">
        <v>0</v>
      </c>
      <c r="CE12" s="17" cm="1">
        <f t="array" ref="CE12">SUMPRODUCT(
  IF($B12:$K12&lt;&gt;"",
     INDEX('Eurostat EB products IEA'!$A$4:$BN$135,
           MATCH($B12:$K12, 'Eurostat EB products IEA'!$A$4:$A$135, 0),
           MATCH(CE$1, 'Eurostat EB products IEA'!$A$4:$BN$4, 0)
     )
     * $L12:$U12,
     0
  )
)</f>
        <v>436427.19</v>
      </c>
      <c r="CF12" s="17" cm="1">
        <f t="array" ref="CF12">SUMPRODUCT(
  IF($B12:$K12&lt;&gt;"",
     INDEX('Eurostat EB products IEA'!$A$4:$BN$135,
           MATCH($B12:$K12, 'Eurostat EB products IEA'!$A$4:$A$135, 0),
           MATCH(CF$1, 'Eurostat EB products IEA'!$A$4:$BN$4, 0)
     )
     * $L12:$U12,
     0
  )
)</f>
        <v>79617.117999999988</v>
      </c>
      <c r="CG12" s="17" cm="1">
        <f t="array" ref="CG12">SUMPRODUCT(
  IF($B12:$K12&lt;&gt;"",
     INDEX('Eurostat EB products IEA'!$A$4:$BN$135,
           MATCH($B12:$K12, 'Eurostat EB products IEA'!$A$4:$A$135, 0),
           MATCH(CG$1, 'Eurostat EB products IEA'!$A$4:$BN$4, 0)
     )
     * $L12:$U12,
     0
  )
)</f>
        <v>-328284.42299999949</v>
      </c>
      <c r="CH12" s="17" cm="1">
        <f t="array" ref="CH12">SUMPRODUCT(
  IF($B12:$K12&lt;&gt;"",
     INDEX('Eurostat EB products IEA'!$A$4:$BN$135,
           MATCH($B12:$K12, 'Eurostat EB products IEA'!$A$4:$A$135, 0),
           MATCH(CH$1, 'Eurostat EB products IEA'!$A$4:$BN$4, 0)
     )
     * $L12:$U12,
     0
  )
)</f>
        <v>-64911.030999999988</v>
      </c>
    </row>
    <row r="13" spans="1:86" x14ac:dyDescent="0.2">
      <c r="A13" t="s">
        <v>150</v>
      </c>
      <c r="B13" s="75"/>
      <c r="C13" s="77"/>
      <c r="D13" s="75"/>
      <c r="E13" s="77"/>
      <c r="F13" s="75"/>
      <c r="G13" s="77"/>
      <c r="H13" s="75"/>
      <c r="I13" s="77"/>
      <c r="J13" s="74" t="s">
        <v>206</v>
      </c>
      <c r="K13" s="78" t="s">
        <v>234</v>
      </c>
      <c r="L13" s="76"/>
      <c r="M13" s="79"/>
      <c r="N13" s="76"/>
      <c r="O13" s="79"/>
      <c r="P13" s="76"/>
      <c r="Q13" s="79"/>
      <c r="R13" s="76"/>
      <c r="S13" s="79"/>
      <c r="T13" s="76">
        <v>-1</v>
      </c>
      <c r="U13" s="79">
        <v>1</v>
      </c>
      <c r="V13" s="65" t="s">
        <v>323</v>
      </c>
      <c r="W13" s="65" t="s">
        <v>323</v>
      </c>
      <c r="X13" s="57" cm="1">
        <f t="array" ref="X13">SUMPRODUCT(
  IF($B13:$K13&lt;&gt;"",
     INDEX('Eurostat EB products IEA'!$A$4:$BN$135,
           MATCH($B13:$K13, 'Eurostat EB products IEA'!$A$4:$A$135, 0),
           MATCH(X$1, 'Eurostat EB products IEA'!$A$4:$BN$4, 0)
     )
     * $L13:$U13,
     0
  )
)</f>
        <v>0</v>
      </c>
      <c r="Y13" s="57" cm="1">
        <f t="array" ref="Y13">SUMPRODUCT(
  IF($B13:$K13&lt;&gt;"",
     INDEX('Eurostat EB products IEA'!$A$4:$BN$135,
           MATCH($B13:$K13, 'Eurostat EB products IEA'!$A$4:$A$135, 0),
           MATCH(Y$1, 'Eurostat EB products IEA'!$A$4:$BN$4, 0)
     )
     * $L13:$U13,
     0
  )
)</f>
        <v>0</v>
      </c>
      <c r="Z13" s="57" cm="1">
        <f t="array" ref="Z13">SUMPRODUCT(
  IF($B13:$K13&lt;&gt;"",
     INDEX('Eurostat EB products IEA'!$A$4:$BN$135,
           MATCH($B13:$K13, 'Eurostat EB products IEA'!$A$4:$A$135, 0),
           MATCH(Z$1, 'Eurostat EB products IEA'!$A$4:$BN$4, 0)
     )
     * $L13:$U13,
     0
  )
)</f>
        <v>-41287.546999999999</v>
      </c>
      <c r="AA13" s="57" cm="1">
        <f t="array" ref="AA13">SUMPRODUCT(
  IF($B13:$K13&lt;&gt;"",
     INDEX('Eurostat EB products IEA'!$A$4:$BN$135,
           MATCH($B13:$K13, 'Eurostat EB products IEA'!$A$4:$A$135, 0),
           MATCH(AA$1, 'Eurostat EB products IEA'!$A$4:$BN$4, 0)
     )
     * $L13:$U13,
     0
  )
)</f>
        <v>0</v>
      </c>
      <c r="AB13" s="57" cm="1">
        <f t="array" ref="AB13">SUMPRODUCT(
  IF($B13:$K13&lt;&gt;"",
     INDEX('Eurostat EB products IEA'!$A$4:$BN$135,
           MATCH($B13:$K13, 'Eurostat EB products IEA'!$A$4:$A$135, 0),
           MATCH(AB$1, 'Eurostat EB products IEA'!$A$4:$BN$4, 0)
     )
     * $L13:$U13,
     0
  )
)</f>
        <v>0</v>
      </c>
      <c r="AC13" s="57" cm="1">
        <f t="array" ref="AC13">SUMPRODUCT(
  IF($B13:$K13&lt;&gt;"",
     INDEX('Eurostat EB products IEA'!$A$4:$BN$135,
           MATCH($B13:$K13, 'Eurostat EB products IEA'!$A$4:$A$135, 0),
           MATCH(AC$1, 'Eurostat EB products IEA'!$A$4:$BN$4, 0)
     )
     * $L13:$U13,
     0
  )
)</f>
        <v>0</v>
      </c>
      <c r="AD13" s="57" cm="1">
        <f t="array" ref="AD13">SUMPRODUCT(
  IF($B13:$K13&lt;&gt;"",
     INDEX('Eurostat EB products IEA'!$A$4:$BN$135,
           MATCH($B13:$K13, 'Eurostat EB products IEA'!$A$4:$A$135, 0),
           MATCH(AD$1, 'Eurostat EB products IEA'!$A$4:$BN$4, 0)
     )
     * $L13:$U13,
     0
  )
)</f>
        <v>0</v>
      </c>
      <c r="AE13" s="57" cm="1">
        <f t="array" ref="AE13">SUMPRODUCT(
  IF($B13:$K13&lt;&gt;"",
     INDEX('Eurostat EB products IEA'!$A$4:$BN$135,
           MATCH($B13:$K13, 'Eurostat EB products IEA'!$A$4:$A$135, 0),
           MATCH(AE$1, 'Eurostat EB products IEA'!$A$4:$BN$4, 0)
     )
     * $L13:$U13,
     0
  )
)</f>
        <v>0</v>
      </c>
      <c r="AF13" s="57" cm="1">
        <f t="array" ref="AF13">SUMPRODUCT(
  IF($B13:$K13&lt;&gt;"",
     INDEX('Eurostat EB products IEA'!$A$4:$BN$135,
           MATCH($B13:$K13, 'Eurostat EB products IEA'!$A$4:$A$135, 0),
           MATCH(AF$1, 'Eurostat EB products IEA'!$A$4:$BN$4, 0)
     )
     * $L13:$U13,
     0
  )
)</f>
        <v>0</v>
      </c>
      <c r="AG13" s="57" cm="1">
        <f t="array" ref="AG13">SUMPRODUCT(
  IF($B13:$K13&lt;&gt;"",
     INDEX('Eurostat EB products IEA'!$A$4:$BN$135,
           MATCH($B13:$K13, 'Eurostat EB products IEA'!$A$4:$A$135, 0),
           MATCH(AG$1, 'Eurostat EB products IEA'!$A$4:$BN$4, 0)
     )
     * $L13:$U13,
     0
  )
)</f>
        <v>0</v>
      </c>
      <c r="AH13" s="57" cm="1">
        <f t="array" ref="AH13">SUMPRODUCT(
  IF($B13:$K13&lt;&gt;"",
     INDEX('Eurostat EB products IEA'!$A$4:$BN$135,
           MATCH($B13:$K13, 'Eurostat EB products IEA'!$A$4:$A$135, 0),
           MATCH(AH$1, 'Eurostat EB products IEA'!$A$4:$BN$4, 0)
     )
     * $L13:$U13,
     0
  )
)</f>
        <v>0</v>
      </c>
      <c r="AI13" s="57" cm="1">
        <f t="array" ref="AI13">SUMPRODUCT(
  IF($B13:$K13&lt;&gt;"",
     INDEX('Eurostat EB products IEA'!$A$4:$BN$135,
           MATCH($B13:$K13, 'Eurostat EB products IEA'!$A$4:$A$135, 0),
           MATCH(AI$1, 'Eurostat EB products IEA'!$A$4:$BN$4, 0)
     )
     * $L13:$U13,
     0
  )
)</f>
        <v>-1331.16</v>
      </c>
      <c r="AJ13" s="57" cm="1">
        <f t="array" ref="AJ13">SUMPRODUCT(
  IF($B13:$K13&lt;&gt;"",
     INDEX('Eurostat EB products IEA'!$A$4:$BN$135,
           MATCH($B13:$K13, 'Eurostat EB products IEA'!$A$4:$A$135, 0),
           MATCH(AJ$1, 'Eurostat EB products IEA'!$A$4:$BN$4, 0)
     )
     * $L13:$U13,
     0
  )
)</f>
        <v>-14366.821</v>
      </c>
      <c r="AK13" s="57" cm="1">
        <f t="array" ref="AK13">SUMPRODUCT(
  IF($B13:$K13&lt;&gt;"",
     INDEX('Eurostat EB products IEA'!$A$4:$BN$135,
           MATCH($B13:$K13, 'Eurostat EB products IEA'!$A$4:$A$135, 0),
           MATCH(AK$1, 'Eurostat EB products IEA'!$A$4:$BN$4, 0)
     )
     * $L13:$U13,
     0
  )
)</f>
        <v>0</v>
      </c>
      <c r="AL13" s="57" cm="1">
        <f t="array" ref="AL13">SUMPRODUCT(
  IF($B13:$K13&lt;&gt;"",
     INDEX('Eurostat EB products IEA'!$A$4:$BN$135,
           MATCH($B13:$K13, 'Eurostat EB products IEA'!$A$4:$A$135, 0),
           MATCH(AL$1, 'Eurostat EB products IEA'!$A$4:$BN$4, 0)
     )
     * $L13:$U13,
     0
  )
)</f>
        <v>0</v>
      </c>
      <c r="AM13" s="57" cm="1">
        <f t="array" ref="AM13">SUMPRODUCT(
  IF($B13:$K13&lt;&gt;"",
     INDEX('Eurostat EB products IEA'!$A$4:$BN$135,
           MATCH($B13:$K13, 'Eurostat EB products IEA'!$A$4:$A$135, 0),
           MATCH(AM$1, 'Eurostat EB products IEA'!$A$4:$BN$4, 0)
     )
     * $L13:$U13,
     0
  )
)</f>
        <v>-137861.11600000001</v>
      </c>
      <c r="AN13" s="65" t="s">
        <v>323</v>
      </c>
      <c r="AO13" s="57" cm="1">
        <f t="array" ref="AO13">SUMPRODUCT(
  IF($B13:$K13&lt;&gt;"",
     INDEX('Eurostat EB products IEA'!$A$4:$BN$135,
           MATCH($B13:$K13, 'Eurostat EB products IEA'!$A$4:$A$135, 0),
           MATCH(AO$1, 'Eurostat EB products IEA'!$A$4:$BN$4, 0)
     )
     * $L13:$U13,
     0
  )
)</f>
        <v>0</v>
      </c>
      <c r="AP13" s="57" cm="1">
        <f t="array" ref="AP13">SUMPRODUCT(
  IF($B13:$K13&lt;&gt;"",
     INDEX('Eurostat EB products IEA'!$A$4:$BN$135,
           MATCH($B13:$K13, 'Eurostat EB products IEA'!$A$4:$A$135, 0),
           MATCH(AP$1, 'Eurostat EB products IEA'!$A$4:$BN$4, 0)
     )
     * $L13:$U13,
     0
  )
)</f>
        <v>0</v>
      </c>
      <c r="AQ13" s="57" cm="1">
        <f t="array" ref="AQ13">SUMPRODUCT(
  IF($B13:$K13&lt;&gt;"",
     INDEX('Eurostat EB products IEA'!$A$4:$BN$135,
           MATCH($B13:$K13, 'Eurostat EB products IEA'!$A$4:$A$135, 0),
           MATCH(AQ$1, 'Eurostat EB products IEA'!$A$4:$BN$4, 0)
     )
     * $L13:$U13,
     0
  )
)</f>
        <v>0</v>
      </c>
      <c r="AR13" s="57" cm="1">
        <f t="array" ref="AR13">SUMPRODUCT(
  IF($B13:$K13&lt;&gt;"",
     INDEX('Eurostat EB products IEA'!$A$4:$BN$135,
           MATCH($B13:$K13, 'Eurostat EB products IEA'!$A$4:$A$135, 0),
           MATCH(AR$1, 'Eurostat EB products IEA'!$A$4:$BN$4, 0)
     )
     * $L13:$U13,
     0
  )
)</f>
        <v>0</v>
      </c>
      <c r="AS13" s="57" cm="1">
        <f t="array" ref="AS13">SUMPRODUCT(
  IF($B13:$K13&lt;&gt;"",
     INDEX('Eurostat EB products IEA'!$A$4:$BN$135,
           MATCH($B13:$K13, 'Eurostat EB products IEA'!$A$4:$A$135, 0),
           MATCH(AS$1, 'Eurostat EB products IEA'!$A$4:$BN$4, 0)
     )
     * $L13:$U13,
     0
  )
)</f>
        <v>0</v>
      </c>
      <c r="AT13" s="57" cm="1">
        <f t="array" ref="AT13">SUMPRODUCT(
  IF($B13:$K13&lt;&gt;"",
     INDEX('Eurostat EB products IEA'!$A$4:$BN$135,
           MATCH($B13:$K13, 'Eurostat EB products IEA'!$A$4:$A$135, 0),
           MATCH(AT$1, 'Eurostat EB products IEA'!$A$4:$BN$4, 0)
     )
     * $L13:$U13,
     0
  )
)</f>
        <v>0</v>
      </c>
      <c r="AU13" s="57" cm="1">
        <f t="array" ref="AU13">SUMPRODUCT(
  IF($B13:$K13&lt;&gt;"",
     INDEX('Eurostat EB products IEA'!$A$4:$BN$135,
           MATCH($B13:$K13, 'Eurostat EB products IEA'!$A$4:$A$135, 0),
           MATCH(AU$1, 'Eurostat EB products IEA'!$A$4:$BN$4, 0)
     )
     * $L13:$U13,
     0
  )
)</f>
        <v>0</v>
      </c>
      <c r="AV13" s="57" cm="1">
        <f t="array" ref="AV13">SUMPRODUCT(
  IF($B13:$K13&lt;&gt;"",
     INDEX('Eurostat EB products IEA'!$A$4:$BN$135,
           MATCH($B13:$K13, 'Eurostat EB products IEA'!$A$4:$A$135, 0),
           MATCH(AV$1, 'Eurostat EB products IEA'!$A$4:$BN$4, 0)
     )
     * $L13:$U13,
     0
  )
)</f>
        <v>0</v>
      </c>
      <c r="AW13" s="57" cm="1">
        <f t="array" ref="AW13">SUMPRODUCT(
  IF($B13:$K13&lt;&gt;"",
     INDEX('Eurostat EB products IEA'!$A$4:$BN$135,
           MATCH($B13:$K13, 'Eurostat EB products IEA'!$A$4:$A$135, 0),
           MATCH(AW$1, 'Eurostat EB products IEA'!$A$4:$BN$4, 0)
     )
     * $L13:$U13,
     0
  )
)</f>
        <v>0</v>
      </c>
      <c r="AX13" s="57" cm="1">
        <f t="array" ref="AX13">SUMPRODUCT(
  IF($B13:$K13&lt;&gt;"",
     INDEX('Eurostat EB products IEA'!$A$4:$BN$135,
           MATCH($B13:$K13, 'Eurostat EB products IEA'!$A$4:$A$135, 0),
           MATCH(AX$1, 'Eurostat EB products IEA'!$A$4:$BN$4, 0)
     )
     * $L13:$U13,
     0
  )
)</f>
        <v>0</v>
      </c>
      <c r="AY13" s="57" cm="1">
        <f t="array" ref="AY13">SUMPRODUCT(
  IF($B13:$K13&lt;&gt;"",
     INDEX('Eurostat EB products IEA'!$A$4:$BN$135,
           MATCH($B13:$K13, 'Eurostat EB products IEA'!$A$4:$A$135, 0),
           MATCH(AY$1, 'Eurostat EB products IEA'!$A$4:$BN$4, 0)
     )
     * $L13:$U13,
     0
  )
)</f>
        <v>0</v>
      </c>
      <c r="AZ13" s="57" cm="1">
        <f t="array" ref="AZ13">SUMPRODUCT(
  IF($B13:$K13&lt;&gt;"",
     INDEX('Eurostat EB products IEA'!$A$4:$BN$135,
           MATCH($B13:$K13, 'Eurostat EB products IEA'!$A$4:$A$135, 0),
           MATCH(AZ$1, 'Eurostat EB products IEA'!$A$4:$BN$4, 0)
     )
     * $L13:$U13,
     0
  )
)</f>
        <v>0</v>
      </c>
      <c r="BA13" s="57" cm="1">
        <f t="array" ref="BA13">SUMPRODUCT(
  IF($B13:$K13&lt;&gt;"",
     INDEX('Eurostat EB products IEA'!$A$4:$BN$135,
           MATCH($B13:$K13, 'Eurostat EB products IEA'!$A$4:$A$135, 0),
           MATCH(BA$1, 'Eurostat EB products IEA'!$A$4:$BN$4, 0)
     )
     * $L13:$U13,
     0
  )
)</f>
        <v>0</v>
      </c>
      <c r="BB13" s="57" cm="1">
        <f t="array" ref="BB13">SUMPRODUCT(
  IF($B13:$K13&lt;&gt;"",
     INDEX('Eurostat EB products IEA'!$A$4:$BN$135,
           MATCH($B13:$K13, 'Eurostat EB products IEA'!$A$4:$A$135, 0),
           MATCH(BB$1, 'Eurostat EB products IEA'!$A$4:$BN$4, 0)
     )
     * $L13:$U13,
     0
  )
)</f>
        <v>0</v>
      </c>
      <c r="BC13" s="57" cm="1">
        <f t="array" ref="BC13">SUMPRODUCT(
  IF($B13:$K13&lt;&gt;"",
     INDEX('Eurostat EB products IEA'!$A$4:$BN$135,
           MATCH($B13:$K13, 'Eurostat EB products IEA'!$A$4:$A$135, 0),
           MATCH(BC$1, 'Eurostat EB products IEA'!$A$4:$BN$4, 0)
     )
     * $L13:$U13,
     0
  )
)</f>
        <v>0</v>
      </c>
      <c r="BD13" s="57" cm="1">
        <f t="array" ref="BD13">SUMPRODUCT(
  IF($B13:$K13&lt;&gt;"",
     INDEX('Eurostat EB products IEA'!$A$4:$BN$135,
           MATCH($B13:$K13, 'Eurostat EB products IEA'!$A$4:$A$135, 0),
           MATCH(BD$1, 'Eurostat EB products IEA'!$A$4:$BN$4, 0)
     )
     * $L13:$U13,
     0
  )
)</f>
        <v>0</v>
      </c>
      <c r="BE13" s="57" cm="1">
        <f t="array" ref="BE13">SUMPRODUCT(
  IF($B13:$K13&lt;&gt;"",
     INDEX('Eurostat EB products IEA'!$A$4:$BN$135,
           MATCH($B13:$K13, 'Eurostat EB products IEA'!$A$4:$A$135, 0),
           MATCH(BE$1, 'Eurostat EB products IEA'!$A$4:$BN$4, 0)
     )
     * $L13:$U13,
     0
  )
)</f>
        <v>0</v>
      </c>
      <c r="BF13" s="57" cm="1">
        <f t="array" ref="BF13">SUMPRODUCT(
  IF($B13:$K13&lt;&gt;"",
     INDEX('Eurostat EB products IEA'!$A$4:$BN$135,
           MATCH($B13:$K13, 'Eurostat EB products IEA'!$A$4:$A$135, 0),
           MATCH(BF$1, 'Eurostat EB products IEA'!$A$4:$BN$4, 0)
     )
     * $L13:$U13,
     0
  )
)</f>
        <v>0</v>
      </c>
      <c r="BG13" s="57" cm="1">
        <f t="array" ref="BG13">SUMPRODUCT(
  IF($B13:$K13&lt;&gt;"",
     INDEX('Eurostat EB products IEA'!$A$4:$BN$135,
           MATCH($B13:$K13, 'Eurostat EB products IEA'!$A$4:$A$135, 0),
           MATCH(BG$1, 'Eurostat EB products IEA'!$A$4:$BN$4, 0)
     )
     * $L13:$U13,
     0
  )
)</f>
        <v>0</v>
      </c>
      <c r="BH13" s="57" cm="1">
        <f t="array" ref="BH13">SUMPRODUCT(
  IF($B13:$K13&lt;&gt;"",
     INDEX('Eurostat EB products IEA'!$A$4:$BN$135,
           MATCH($B13:$K13, 'Eurostat EB products IEA'!$A$4:$A$135, 0),
           MATCH(BH$1, 'Eurostat EB products IEA'!$A$4:$BN$4, 0)
     )
     * $L13:$U13,
     0
  )
)</f>
        <v>0</v>
      </c>
      <c r="BI13" s="57" cm="1">
        <f t="array" ref="BI13">SUMPRODUCT(
  IF($B13:$K13&lt;&gt;"",
     INDEX('Eurostat EB products IEA'!$A$4:$BN$135,
           MATCH($B13:$K13, 'Eurostat EB products IEA'!$A$4:$A$135, 0),
           MATCH(BI$1, 'Eurostat EB products IEA'!$A$4:$BN$4, 0)
     )
     * $L13:$U13,
     0
  )
)</f>
        <v>0</v>
      </c>
      <c r="BJ13" s="57" cm="1">
        <f t="array" ref="BJ13">SUMPRODUCT(
  IF($B13:$K13&lt;&gt;"",
     INDEX('Eurostat EB products IEA'!$A$4:$BN$135,
           MATCH($B13:$K13, 'Eurostat EB products IEA'!$A$4:$A$135, 0),
           MATCH(BJ$1, 'Eurostat EB products IEA'!$A$4:$BN$4, 0)
     )
     * $L13:$U13,
     0
  )
)</f>
        <v>-98.941999999999993</v>
      </c>
      <c r="BK13" s="57" cm="1">
        <f t="array" ref="BK13">SUMPRODUCT(
  IF($B13:$K13&lt;&gt;"",
     INDEX('Eurostat EB products IEA'!$A$4:$BN$135,
           MATCH($B13:$K13, 'Eurostat EB products IEA'!$A$4:$A$135, 0),
           MATCH(BK$1, 'Eurostat EB products IEA'!$A$4:$BN$4, 0)
     )
     * $L13:$U13,
     0
  )
)</f>
        <v>0</v>
      </c>
      <c r="BL13" s="57" cm="1">
        <f t="array" ref="BL13">SUMPRODUCT(
  IF($B13:$K13&lt;&gt;"",
     INDEX('Eurostat EB products IEA'!$A$4:$BN$135,
           MATCH($B13:$K13, 'Eurostat EB products IEA'!$A$4:$A$135, 0),
           MATCH(BL$1, 'Eurostat EB products IEA'!$A$4:$BN$4, 0)
     )
     * $L13:$U13,
     0
  )
)</f>
        <v>0</v>
      </c>
      <c r="BM13" s="57" cm="1">
        <f t="array" ref="BM13">SUMPRODUCT(
  IF($B13:$K13&lt;&gt;"",
     INDEX('Eurostat EB products IEA'!$A$4:$BN$135,
           MATCH($B13:$K13, 'Eurostat EB products IEA'!$A$4:$A$135, 0),
           MATCH(BM$1, 'Eurostat EB products IEA'!$A$4:$BN$4, 0)
     )
     * $L13:$U13,
     0
  )
)</f>
        <v>0</v>
      </c>
      <c r="BN13" s="57" cm="1">
        <f t="array" ref="BN13">SUMPRODUCT(
  IF($B13:$K13&lt;&gt;"",
     INDEX('Eurostat EB products IEA'!$A$4:$BN$135,
           MATCH($B13:$K13, 'Eurostat EB products IEA'!$A$4:$A$135, 0),
           MATCH(BN$1, 'Eurostat EB products IEA'!$A$4:$BN$4, 0)
     )
     * $L13:$U13,
     0
  )
)</f>
        <v>-11921.505999999999</v>
      </c>
      <c r="BO13" s="57" cm="1">
        <f t="array" ref="BO13">SUMPRODUCT(
  IF($B13:$K13&lt;&gt;"",
     INDEX('Eurostat EB products IEA'!$A$4:$BN$135,
           MATCH($B13:$K13, 'Eurostat EB products IEA'!$A$4:$A$135, 0),
           MATCH(BO$1, 'Eurostat EB products IEA'!$A$4:$BN$4, 0)
     )
     * $L13:$U13,
     0
  )
)</f>
        <v>-22.812999999999999</v>
      </c>
      <c r="BP13" s="57" cm="1">
        <f t="array" ref="BP13">SUMPRODUCT(
  IF($B13:$K13&lt;&gt;"",
     INDEX('Eurostat EB products IEA'!$A$4:$BN$135,
           MATCH($B13:$K13, 'Eurostat EB products IEA'!$A$4:$A$135, 0),
           MATCH(BP$1, 'Eurostat EB products IEA'!$A$4:$BN$4, 0)
     )
     * $L13:$U13,
     0
  )
)</f>
        <v>0</v>
      </c>
      <c r="BQ13" s="57" cm="1">
        <f t="array" ref="BQ13">SUMPRODUCT(
  IF($B13:$K13&lt;&gt;"",
     INDEX('Eurostat EB products IEA'!$A$4:$BN$135,
           MATCH($B13:$K13, 'Eurostat EB products IEA'!$A$4:$A$135, 0),
           MATCH(BQ$1, 'Eurostat EB products IEA'!$A$4:$BN$4, 0)
     )
     * $L13:$U13,
     0
  )
)</f>
        <v>0</v>
      </c>
      <c r="BR13" s="57" cm="1">
        <f t="array" ref="BR13">SUMPRODUCT(
  IF($B13:$K13&lt;&gt;"",
     INDEX('Eurostat EB products IEA'!$A$4:$BN$135,
           MATCH($B13:$K13, 'Eurostat EB products IEA'!$A$4:$A$135, 0),
           MATCH(BR$1, 'Eurostat EB products IEA'!$A$4:$BN$4, 0)
     )
     * $L13:$U13,
     0
  )
)</f>
        <v>0</v>
      </c>
      <c r="BS13" s="65">
        <v>0</v>
      </c>
      <c r="BT13" s="57" cm="1">
        <f t="array" ref="BT13">SUMPRODUCT(
  IF($B13:$K13&lt;&gt;"",
     INDEX('Eurostat EB products IEA'!$A$4:$BN$135,
           MATCH($B13:$K13, 'Eurostat EB products IEA'!$A$4:$A$135, 0),
           MATCH(BT$1, 'Eurostat EB products IEA'!$A$4:$BN$4, 0)
     )
     * $L13:$U13,
     0
  )
)</f>
        <v>0</v>
      </c>
      <c r="BU13" s="65">
        <v>0</v>
      </c>
      <c r="BV13" s="65">
        <v>0</v>
      </c>
      <c r="BW13" s="57" cm="1">
        <f t="array" ref="BW13">SUMPRODUCT(
  IF($B13:$K13&lt;&gt;"",
     INDEX('Eurostat EB products IEA'!$A$4:$BN$135,
           MATCH($B13:$K13, 'Eurostat EB products IEA'!$A$4:$A$135, 0),
           MATCH(BW$1, 'Eurostat EB products IEA'!$A$4:$BN$4, 0)
     )
     * $L13:$U13,
     0
  )
)</f>
        <v>-38959.053</v>
      </c>
      <c r="BX13" s="57" cm="1">
        <f t="array" ref="BX13">SUMPRODUCT(
  IF($B13:$K13&lt;&gt;"",
     INDEX('Eurostat EB products IEA'!$A$4:$BN$135,
           MATCH($B13:$K13, 'Eurostat EB products IEA'!$A$4:$A$135, 0),
           MATCH(BX$1, 'Eurostat EB products IEA'!$A$4:$BN$4, 0)
     )
     * $L13:$U13,
     0
  )
)</f>
        <v>-249.72800000000001</v>
      </c>
      <c r="BY13" s="57" cm="1">
        <f t="array" ref="BY13">SUMPRODUCT(
  IF($B13:$K13&lt;&gt;"",
     INDEX('Eurostat EB products IEA'!$A$4:$BN$135,
           MATCH($B13:$K13, 'Eurostat EB products IEA'!$A$4:$A$135, 0),
           MATCH(BY$1, 'Eurostat EB products IEA'!$A$4:$BN$4, 0)
     )
     * $L13:$U13,
     0
  )
)</f>
        <v>0</v>
      </c>
      <c r="BZ13" s="57" cm="1">
        <f t="array" ref="BZ13">SUMPRODUCT(
  IF($B13:$K13&lt;&gt;"",
     INDEX('Eurostat EB products IEA'!$A$4:$BN$135,
           MATCH($B13:$K13, 'Eurostat EB products IEA'!$A$4:$A$135, 0),
           MATCH(BZ$1, 'Eurostat EB products IEA'!$A$4:$BN$4, 0)
     )
     * $L13:$U13,
     0
  )
)</f>
        <v>-14464.666999999999</v>
      </c>
      <c r="CA13" s="57" cm="1">
        <f t="array" ref="CA13">SUMPRODUCT(
  IF($B13:$K13&lt;&gt;"",
     INDEX('Eurostat EB products IEA'!$A$4:$BN$135,
           MATCH($B13:$K13, 'Eurostat EB products IEA'!$A$4:$A$135, 0),
           MATCH(CA$1, 'Eurostat EB products IEA'!$A$4:$BN$4, 0)
     )
     * $L13:$U13,
     0
  )
)</f>
        <v>0</v>
      </c>
      <c r="CB13" s="57" cm="1">
        <f t="array" ref="CB13">SUMPRODUCT(
  IF($B13:$K13&lt;&gt;"",
     INDEX('Eurostat EB products IEA'!$A$4:$BN$135,
           MATCH($B13:$K13, 'Eurostat EB products IEA'!$A$4:$A$135, 0),
           MATCH(CB$1, 'Eurostat EB products IEA'!$A$4:$BN$4, 0)
     )
     * $L13:$U13,
     0
  )
)</f>
        <v>0</v>
      </c>
      <c r="CC13" s="57" cm="1">
        <f t="array" ref="CC13">SUMPRODUCT(
  IF($B13:$K13&lt;&gt;"",
     INDEX('Eurostat EB products IEA'!$A$4:$BN$135,
           MATCH($B13:$K13, 'Eurostat EB products IEA'!$A$4:$A$135, 0),
           MATCH(CC$1, 'Eurostat EB products IEA'!$A$4:$BN$4, 0)
     )
     * $L13:$U13,
     0
  )
)</f>
        <v>-97847.002999999997</v>
      </c>
      <c r="CD13" s="65">
        <v>0</v>
      </c>
      <c r="CE13" s="57" cm="1">
        <f t="array" ref="CE13">SUMPRODUCT(
  IF($B13:$K13&lt;&gt;"",
     INDEX('Eurostat EB products IEA'!$A$4:$BN$135,
           MATCH($B13:$K13, 'Eurostat EB products IEA'!$A$4:$A$135, 0),
           MATCH(CE$1, 'Eurostat EB products IEA'!$A$4:$BN$4, 0)
     )
     * $L13:$U13,
     0
  )
)</f>
        <v>232097.47899999999</v>
      </c>
      <c r="CF13" s="57" cm="1">
        <f t="array" ref="CF13">SUMPRODUCT(
  IF($B13:$K13&lt;&gt;"",
     INDEX('Eurostat EB products IEA'!$A$4:$BN$135,
           MATCH($B13:$K13, 'Eurostat EB products IEA'!$A$4:$A$135, 0),
           MATCH(CF$1, 'Eurostat EB products IEA'!$A$4:$BN$4, 0)
     )
     * $L13:$U13,
     0
  )
)</f>
        <v>0</v>
      </c>
      <c r="CG13" s="57" cm="1">
        <f t="array" ref="CG13">SUMPRODUCT(
  IF($B13:$K13&lt;&gt;"",
     INDEX('Eurostat EB products IEA'!$A$4:$BN$135,
           MATCH($B13:$K13, 'Eurostat EB products IEA'!$A$4:$A$135, 0),
           MATCH(CG$1, 'Eurostat EB products IEA'!$A$4:$BN$4, 0)
     )
     * $L13:$U13,
     0
  )
)</f>
        <v>-126312.87700000004</v>
      </c>
      <c r="CH13" s="57" cm="1">
        <f t="array" ref="CH13">SUMPRODUCT(
  IF($B13:$K13&lt;&gt;"",
     INDEX('Eurostat EB products IEA'!$A$4:$BN$135,
           MATCH($B13:$K13, 'Eurostat EB products IEA'!$A$4:$A$135, 0),
           MATCH(CH$1, 'Eurostat EB products IEA'!$A$4:$BN$4, 0)
     )
     * $L13:$U13,
     0
  )
)</f>
        <v>2095.2560000000012</v>
      </c>
    </row>
    <row r="14" spans="1:86" x14ac:dyDescent="0.2">
      <c r="A14" t="s">
        <v>151</v>
      </c>
      <c r="B14" s="75"/>
      <c r="C14" s="77"/>
      <c r="D14" s="75"/>
      <c r="E14" s="77"/>
      <c r="F14" s="75"/>
      <c r="G14" s="77"/>
      <c r="H14" s="75"/>
      <c r="I14" s="77"/>
      <c r="J14" s="74" t="s">
        <v>209</v>
      </c>
      <c r="K14" s="78" t="s">
        <v>237</v>
      </c>
      <c r="L14" s="76"/>
      <c r="M14" s="79"/>
      <c r="N14" s="76"/>
      <c r="O14" s="79"/>
      <c r="P14" s="76"/>
      <c r="Q14" s="79"/>
      <c r="R14" s="76"/>
      <c r="S14" s="79"/>
      <c r="T14" s="76">
        <v>-1</v>
      </c>
      <c r="U14" s="79">
        <v>1</v>
      </c>
      <c r="V14" s="65" t="s">
        <v>323</v>
      </c>
      <c r="W14" s="65" t="s">
        <v>323</v>
      </c>
      <c r="X14" s="17" cm="1">
        <f t="array" ref="X14">SUMPRODUCT(
  IF($B14:$K14&lt;&gt;"",
     INDEX('Eurostat EB products IEA'!$A$4:$BN$135,
           MATCH($B14:$K14, 'Eurostat EB products IEA'!$A$4:$A$135, 0),
           MATCH(X$1, 'Eurostat EB products IEA'!$A$4:$BN$4, 0)
     )
     * $L14:$U14,
     0
  )
)</f>
        <v>0</v>
      </c>
      <c r="Y14" s="17" cm="1">
        <f t="array" ref="Y14">SUMPRODUCT(
  IF($B14:$K14&lt;&gt;"",
     INDEX('Eurostat EB products IEA'!$A$4:$BN$135,
           MATCH($B14:$K14, 'Eurostat EB products IEA'!$A$4:$A$135, 0),
           MATCH(Y$1, 'Eurostat EB products IEA'!$A$4:$BN$4, 0)
     )
     * $L14:$U14,
     0
  )
)</f>
        <v>0</v>
      </c>
      <c r="Z14" s="17" cm="1">
        <f t="array" ref="Z14">SUMPRODUCT(
  IF($B14:$K14&lt;&gt;"",
     INDEX('Eurostat EB products IEA'!$A$4:$BN$135,
           MATCH($B14:$K14, 'Eurostat EB products IEA'!$A$4:$A$135, 0),
           MATCH(Z$1, 'Eurostat EB products IEA'!$A$4:$BN$4, 0)
     )
     * $L14:$U14,
     0
  )
)</f>
        <v>0</v>
      </c>
      <c r="AA14" s="17" cm="1">
        <f t="array" ref="AA14">SUMPRODUCT(
  IF($B14:$K14&lt;&gt;"",
     INDEX('Eurostat EB products IEA'!$A$4:$BN$135,
           MATCH($B14:$K14, 'Eurostat EB products IEA'!$A$4:$A$135, 0),
           MATCH(AA$1, 'Eurostat EB products IEA'!$A$4:$BN$4, 0)
     )
     * $L14:$U14,
     0
  )
)</f>
        <v>0</v>
      </c>
      <c r="AB14" s="17" cm="1">
        <f t="array" ref="AB14">SUMPRODUCT(
  IF($B14:$K14&lt;&gt;"",
     INDEX('Eurostat EB products IEA'!$A$4:$BN$135,
           MATCH($B14:$K14, 'Eurostat EB products IEA'!$A$4:$A$135, 0),
           MATCH(AB$1, 'Eurostat EB products IEA'!$A$4:$BN$4, 0)
     )
     * $L14:$U14,
     0
  )
)</f>
        <v>0</v>
      </c>
      <c r="AC14" s="17" cm="1">
        <f t="array" ref="AC14">SUMPRODUCT(
  IF($B14:$K14&lt;&gt;"",
     INDEX('Eurostat EB products IEA'!$A$4:$BN$135,
           MATCH($B14:$K14, 'Eurostat EB products IEA'!$A$4:$A$135, 0),
           MATCH(AC$1, 'Eurostat EB products IEA'!$A$4:$BN$4, 0)
     )
     * $L14:$U14,
     0
  )
)</f>
        <v>0</v>
      </c>
      <c r="AD14" s="17" cm="1">
        <f t="array" ref="AD14">SUMPRODUCT(
  IF($B14:$K14&lt;&gt;"",
     INDEX('Eurostat EB products IEA'!$A$4:$BN$135,
           MATCH($B14:$K14, 'Eurostat EB products IEA'!$A$4:$A$135, 0),
           MATCH(AD$1, 'Eurostat EB products IEA'!$A$4:$BN$4, 0)
     )
     * $L14:$U14,
     0
  )
)</f>
        <v>0</v>
      </c>
      <c r="AE14" s="17" cm="1">
        <f t="array" ref="AE14">SUMPRODUCT(
  IF($B14:$K14&lt;&gt;"",
     INDEX('Eurostat EB products IEA'!$A$4:$BN$135,
           MATCH($B14:$K14, 'Eurostat EB products IEA'!$A$4:$A$135, 0),
           MATCH(AE$1, 'Eurostat EB products IEA'!$A$4:$BN$4, 0)
     )
     * $L14:$U14,
     0
  )
)</f>
        <v>0</v>
      </c>
      <c r="AF14" s="17" cm="1">
        <f t="array" ref="AF14">SUMPRODUCT(
  IF($B14:$K14&lt;&gt;"",
     INDEX('Eurostat EB products IEA'!$A$4:$BN$135,
           MATCH($B14:$K14, 'Eurostat EB products IEA'!$A$4:$A$135, 0),
           MATCH(AF$1, 'Eurostat EB products IEA'!$A$4:$BN$4, 0)
     )
     * $L14:$U14,
     0
  )
)</f>
        <v>0</v>
      </c>
      <c r="AG14" s="17" cm="1">
        <f t="array" ref="AG14">SUMPRODUCT(
  IF($B14:$K14&lt;&gt;"",
     INDEX('Eurostat EB products IEA'!$A$4:$BN$135,
           MATCH($B14:$K14, 'Eurostat EB products IEA'!$A$4:$A$135, 0),
           MATCH(AG$1, 'Eurostat EB products IEA'!$A$4:$BN$4, 0)
     )
     * $L14:$U14,
     0
  )
)</f>
        <v>0</v>
      </c>
      <c r="AH14" s="17" cm="1">
        <f t="array" ref="AH14">SUMPRODUCT(
  IF($B14:$K14&lt;&gt;"",
     INDEX('Eurostat EB products IEA'!$A$4:$BN$135,
           MATCH($B14:$K14, 'Eurostat EB products IEA'!$A$4:$A$135, 0),
           MATCH(AH$1, 'Eurostat EB products IEA'!$A$4:$BN$4, 0)
     )
     * $L14:$U14,
     0
  )
)</f>
        <v>0</v>
      </c>
      <c r="AI14" s="17" cm="1">
        <f t="array" ref="AI14">SUMPRODUCT(
  IF($B14:$K14&lt;&gt;"",
     INDEX('Eurostat EB products IEA'!$A$4:$BN$135,
           MATCH($B14:$K14, 'Eurostat EB products IEA'!$A$4:$A$135, 0),
           MATCH(AI$1, 'Eurostat EB products IEA'!$A$4:$BN$4, 0)
     )
     * $L14:$U14,
     0
  )
)</f>
        <v>0</v>
      </c>
      <c r="AJ14" s="17" cm="1">
        <f t="array" ref="AJ14">SUMPRODUCT(
  IF($B14:$K14&lt;&gt;"",
     INDEX('Eurostat EB products IEA'!$A$4:$BN$135,
           MATCH($B14:$K14, 'Eurostat EB products IEA'!$A$4:$A$135, 0),
           MATCH(AJ$1, 'Eurostat EB products IEA'!$A$4:$BN$4, 0)
     )
     * $L14:$U14,
     0
  )
)</f>
        <v>0</v>
      </c>
      <c r="AK14" s="17" cm="1">
        <f t="array" ref="AK14">SUMPRODUCT(
  IF($B14:$K14&lt;&gt;"",
     INDEX('Eurostat EB products IEA'!$A$4:$BN$135,
           MATCH($B14:$K14, 'Eurostat EB products IEA'!$A$4:$A$135, 0),
           MATCH(AK$1, 'Eurostat EB products IEA'!$A$4:$BN$4, 0)
     )
     * $L14:$U14,
     0
  )
)</f>
        <v>0</v>
      </c>
      <c r="AL14" s="17" cm="1">
        <f t="array" ref="AL14">SUMPRODUCT(
  IF($B14:$K14&lt;&gt;"",
     INDEX('Eurostat EB products IEA'!$A$4:$BN$135,
           MATCH($B14:$K14, 'Eurostat EB products IEA'!$A$4:$A$135, 0),
           MATCH(AL$1, 'Eurostat EB products IEA'!$A$4:$BN$4, 0)
     )
     * $L14:$U14,
     0
  )
)</f>
        <v>0</v>
      </c>
      <c r="AM14" s="17" cm="1">
        <f t="array" ref="AM14">SUMPRODUCT(
  IF($B14:$K14&lt;&gt;"",
     INDEX('Eurostat EB products IEA'!$A$4:$BN$135,
           MATCH($B14:$K14, 'Eurostat EB products IEA'!$A$4:$A$135, 0),
           MATCH(AM$1, 'Eurostat EB products IEA'!$A$4:$BN$4, 0)
     )
     * $L14:$U14,
     0
  )
)</f>
        <v>-2416.8009999999999</v>
      </c>
      <c r="AN14" s="65" t="s">
        <v>323</v>
      </c>
      <c r="AO14" s="17" cm="1">
        <f t="array" ref="AO14">SUMPRODUCT(
  IF($B14:$K14&lt;&gt;"",
     INDEX('Eurostat EB products IEA'!$A$4:$BN$135,
           MATCH($B14:$K14, 'Eurostat EB products IEA'!$A$4:$A$135, 0),
           MATCH(AO$1, 'Eurostat EB products IEA'!$A$4:$BN$4, 0)
     )
     * $L14:$U14,
     0
  )
)</f>
        <v>0</v>
      </c>
      <c r="AP14" s="17" cm="1">
        <f t="array" ref="AP14">SUMPRODUCT(
  IF($B14:$K14&lt;&gt;"",
     INDEX('Eurostat EB products IEA'!$A$4:$BN$135,
           MATCH($B14:$K14, 'Eurostat EB products IEA'!$A$4:$A$135, 0),
           MATCH(AP$1, 'Eurostat EB products IEA'!$A$4:$BN$4, 0)
     )
     * $L14:$U14,
     0
  )
)</f>
        <v>0</v>
      </c>
      <c r="AQ14" s="17" cm="1">
        <f t="array" ref="AQ14">SUMPRODUCT(
  IF($B14:$K14&lt;&gt;"",
     INDEX('Eurostat EB products IEA'!$A$4:$BN$135,
           MATCH($B14:$K14, 'Eurostat EB products IEA'!$A$4:$A$135, 0),
           MATCH(AQ$1, 'Eurostat EB products IEA'!$A$4:$BN$4, 0)
     )
     * $L14:$U14,
     0
  )
)</f>
        <v>0</v>
      </c>
      <c r="AR14" s="17" cm="1">
        <f t="array" ref="AR14">SUMPRODUCT(
  IF($B14:$K14&lt;&gt;"",
     INDEX('Eurostat EB products IEA'!$A$4:$BN$135,
           MATCH($B14:$K14, 'Eurostat EB products IEA'!$A$4:$A$135, 0),
           MATCH(AR$1, 'Eurostat EB products IEA'!$A$4:$BN$4, 0)
     )
     * $L14:$U14,
     0
  )
)</f>
        <v>0</v>
      </c>
      <c r="AS14" s="17" cm="1">
        <f t="array" ref="AS14">SUMPRODUCT(
  IF($B14:$K14&lt;&gt;"",
     INDEX('Eurostat EB products IEA'!$A$4:$BN$135,
           MATCH($B14:$K14, 'Eurostat EB products IEA'!$A$4:$A$135, 0),
           MATCH(AS$1, 'Eurostat EB products IEA'!$A$4:$BN$4, 0)
     )
     * $L14:$U14,
     0
  )
)</f>
        <v>0</v>
      </c>
      <c r="AT14" s="17" cm="1">
        <f t="array" ref="AT14">SUMPRODUCT(
  IF($B14:$K14&lt;&gt;"",
     INDEX('Eurostat EB products IEA'!$A$4:$BN$135,
           MATCH($B14:$K14, 'Eurostat EB products IEA'!$A$4:$A$135, 0),
           MATCH(AT$1, 'Eurostat EB products IEA'!$A$4:$BN$4, 0)
     )
     * $L14:$U14,
     0
  )
)</f>
        <v>-621.13099999999997</v>
      </c>
      <c r="AU14" s="17" cm="1">
        <f t="array" ref="AU14">SUMPRODUCT(
  IF($B14:$K14&lt;&gt;"",
     INDEX('Eurostat EB products IEA'!$A$4:$BN$135,
           MATCH($B14:$K14, 'Eurostat EB products IEA'!$A$4:$A$135, 0),
           MATCH(AU$1, 'Eurostat EB products IEA'!$A$4:$BN$4, 0)
     )
     * $L14:$U14,
     0
  )
)</f>
        <v>0</v>
      </c>
      <c r="AV14" s="17" cm="1">
        <f t="array" ref="AV14">SUMPRODUCT(
  IF($B14:$K14&lt;&gt;"",
     INDEX('Eurostat EB products IEA'!$A$4:$BN$135,
           MATCH($B14:$K14, 'Eurostat EB products IEA'!$A$4:$A$135, 0),
           MATCH(AV$1, 'Eurostat EB products IEA'!$A$4:$BN$4, 0)
     )
     * $L14:$U14,
     0
  )
)</f>
        <v>0</v>
      </c>
      <c r="AW14" s="17" cm="1">
        <f t="array" ref="AW14">SUMPRODUCT(
  IF($B14:$K14&lt;&gt;"",
     INDEX('Eurostat EB products IEA'!$A$4:$BN$135,
           MATCH($B14:$K14, 'Eurostat EB products IEA'!$A$4:$A$135, 0),
           MATCH(AW$1, 'Eurostat EB products IEA'!$A$4:$BN$4, 0)
     )
     * $L14:$U14,
     0
  )
)</f>
        <v>0</v>
      </c>
      <c r="AX14" s="17" cm="1">
        <f t="array" ref="AX14">SUMPRODUCT(
  IF($B14:$K14&lt;&gt;"",
     INDEX('Eurostat EB products IEA'!$A$4:$BN$135,
           MATCH($B14:$K14, 'Eurostat EB products IEA'!$A$4:$A$135, 0),
           MATCH(AX$1, 'Eurostat EB products IEA'!$A$4:$BN$4, 0)
     )
     * $L14:$U14,
     0
  )
)</f>
        <v>0</v>
      </c>
      <c r="AY14" s="17" cm="1">
        <f t="array" ref="AY14">SUMPRODUCT(
  IF($B14:$K14&lt;&gt;"",
     INDEX('Eurostat EB products IEA'!$A$4:$BN$135,
           MATCH($B14:$K14, 'Eurostat EB products IEA'!$A$4:$A$135, 0),
           MATCH(AY$1, 'Eurostat EB products IEA'!$A$4:$BN$4, 0)
     )
     * $L14:$U14,
     0
  )
)</f>
        <v>0</v>
      </c>
      <c r="AZ14" s="17" cm="1">
        <f t="array" ref="AZ14">SUMPRODUCT(
  IF($B14:$K14&lt;&gt;"",
     INDEX('Eurostat EB products IEA'!$A$4:$BN$135,
           MATCH($B14:$K14, 'Eurostat EB products IEA'!$A$4:$A$135, 0),
           MATCH(AZ$1, 'Eurostat EB products IEA'!$A$4:$BN$4, 0)
     )
     * $L14:$U14,
     0
  )
)</f>
        <v>0</v>
      </c>
      <c r="BA14" s="17" cm="1">
        <f t="array" ref="BA14">SUMPRODUCT(
  IF($B14:$K14&lt;&gt;"",
     INDEX('Eurostat EB products IEA'!$A$4:$BN$135,
           MATCH($B14:$K14, 'Eurostat EB products IEA'!$A$4:$A$135, 0),
           MATCH(BA$1, 'Eurostat EB products IEA'!$A$4:$BN$4, 0)
     )
     * $L14:$U14,
     0
  )
)</f>
        <v>0</v>
      </c>
      <c r="BB14" s="17" cm="1">
        <f t="array" ref="BB14">SUMPRODUCT(
  IF($B14:$K14&lt;&gt;"",
     INDEX('Eurostat EB products IEA'!$A$4:$BN$135,
           MATCH($B14:$K14, 'Eurostat EB products IEA'!$A$4:$A$135, 0),
           MATCH(BB$1, 'Eurostat EB products IEA'!$A$4:$BN$4, 0)
     )
     * $L14:$U14,
     0
  )
)</f>
        <v>-4.4000000000000004</v>
      </c>
      <c r="BC14" s="17" cm="1">
        <f t="array" ref="BC14">SUMPRODUCT(
  IF($B14:$K14&lt;&gt;"",
     INDEX('Eurostat EB products IEA'!$A$4:$BN$135,
           MATCH($B14:$K14, 'Eurostat EB products IEA'!$A$4:$A$135, 0),
           MATCH(BC$1, 'Eurostat EB products IEA'!$A$4:$BN$4, 0)
     )
     * $L14:$U14,
     0
  )
)</f>
        <v>0</v>
      </c>
      <c r="BD14" s="17" cm="1">
        <f t="array" ref="BD14">SUMPRODUCT(
  IF($B14:$K14&lt;&gt;"",
     INDEX('Eurostat EB products IEA'!$A$4:$BN$135,
           MATCH($B14:$K14, 'Eurostat EB products IEA'!$A$4:$A$135, 0),
           MATCH(BD$1, 'Eurostat EB products IEA'!$A$4:$BN$4, 0)
     )
     * $L14:$U14,
     0
  )
)</f>
        <v>0</v>
      </c>
      <c r="BE14" s="17" cm="1">
        <f t="array" ref="BE14">SUMPRODUCT(
  IF($B14:$K14&lt;&gt;"",
     INDEX('Eurostat EB products IEA'!$A$4:$BN$135,
           MATCH($B14:$K14, 'Eurostat EB products IEA'!$A$4:$A$135, 0),
           MATCH(BE$1, 'Eurostat EB products IEA'!$A$4:$BN$4, 0)
     )
     * $L14:$U14,
     0
  )
)</f>
        <v>0</v>
      </c>
      <c r="BF14" s="17" cm="1">
        <f t="array" ref="BF14">SUMPRODUCT(
  IF($B14:$K14&lt;&gt;"",
     INDEX('Eurostat EB products IEA'!$A$4:$BN$135,
           MATCH($B14:$K14, 'Eurostat EB products IEA'!$A$4:$A$135, 0),
           MATCH(BF$1, 'Eurostat EB products IEA'!$A$4:$BN$4, 0)
     )
     * $L14:$U14,
     0
  )
)</f>
        <v>0</v>
      </c>
      <c r="BG14" s="17" cm="1">
        <f t="array" ref="BG14">SUMPRODUCT(
  IF($B14:$K14&lt;&gt;"",
     INDEX('Eurostat EB products IEA'!$A$4:$BN$135,
           MATCH($B14:$K14, 'Eurostat EB products IEA'!$A$4:$A$135, 0),
           MATCH(BG$1, 'Eurostat EB products IEA'!$A$4:$BN$4, 0)
     )
     * $L14:$U14,
     0
  )
)</f>
        <v>0</v>
      </c>
      <c r="BH14" s="17" cm="1">
        <f t="array" ref="BH14">SUMPRODUCT(
  IF($B14:$K14&lt;&gt;"",
     INDEX('Eurostat EB products IEA'!$A$4:$BN$135,
           MATCH($B14:$K14, 'Eurostat EB products IEA'!$A$4:$A$135, 0),
           MATCH(BH$1, 'Eurostat EB products IEA'!$A$4:$BN$4, 0)
     )
     * $L14:$U14,
     0
  )
)</f>
        <v>0</v>
      </c>
      <c r="BI14" s="17" cm="1">
        <f t="array" ref="BI14">SUMPRODUCT(
  IF($B14:$K14&lt;&gt;"",
     INDEX('Eurostat EB products IEA'!$A$4:$BN$135,
           MATCH($B14:$K14, 'Eurostat EB products IEA'!$A$4:$A$135, 0),
           MATCH(BI$1, 'Eurostat EB products IEA'!$A$4:$BN$4, 0)
     )
     * $L14:$U14,
     0
  )
)</f>
        <v>0</v>
      </c>
      <c r="BJ14" s="17" cm="1">
        <f t="array" ref="BJ14">SUMPRODUCT(
  IF($B14:$K14&lt;&gt;"",
     INDEX('Eurostat EB products IEA'!$A$4:$BN$135,
           MATCH($B14:$K14, 'Eurostat EB products IEA'!$A$4:$A$135, 0),
           MATCH(BJ$1, 'Eurostat EB products IEA'!$A$4:$BN$4, 0)
     )
     * $L14:$U14,
     0
  )
)</f>
        <v>0</v>
      </c>
      <c r="BK14" s="17" cm="1">
        <f t="array" ref="BK14">SUMPRODUCT(
  IF($B14:$K14&lt;&gt;"",
     INDEX('Eurostat EB products IEA'!$A$4:$BN$135,
           MATCH($B14:$K14, 'Eurostat EB products IEA'!$A$4:$A$135, 0),
           MATCH(BK$1, 'Eurostat EB products IEA'!$A$4:$BN$4, 0)
     )
     * $L14:$U14,
     0
  )
)</f>
        <v>0</v>
      </c>
      <c r="BL14" s="17" cm="1">
        <f t="array" ref="BL14">SUMPRODUCT(
  IF($B14:$K14&lt;&gt;"",
     INDEX('Eurostat EB products IEA'!$A$4:$BN$135,
           MATCH($B14:$K14, 'Eurostat EB products IEA'!$A$4:$A$135, 0),
           MATCH(BL$1, 'Eurostat EB products IEA'!$A$4:$BN$4, 0)
     )
     * $L14:$U14,
     0
  )
)</f>
        <v>0</v>
      </c>
      <c r="BM14" s="17" cm="1">
        <f t="array" ref="BM14">SUMPRODUCT(
  IF($B14:$K14&lt;&gt;"",
     INDEX('Eurostat EB products IEA'!$A$4:$BN$135,
           MATCH($B14:$K14, 'Eurostat EB products IEA'!$A$4:$A$135, 0),
           MATCH(BM$1, 'Eurostat EB products IEA'!$A$4:$BN$4, 0)
     )
     * $L14:$U14,
     0
  )
)</f>
        <v>0</v>
      </c>
      <c r="BN14" s="17" cm="1">
        <f t="array" ref="BN14">SUMPRODUCT(
  IF($B14:$K14&lt;&gt;"",
     INDEX('Eurostat EB products IEA'!$A$4:$BN$135,
           MATCH($B14:$K14, 'Eurostat EB products IEA'!$A$4:$A$135, 0),
           MATCH(BN$1, 'Eurostat EB products IEA'!$A$4:$BN$4, 0)
     )
     * $L14:$U14,
     0
  )
)</f>
        <v>0</v>
      </c>
      <c r="BO14" s="17" cm="1">
        <f t="array" ref="BO14">SUMPRODUCT(
  IF($B14:$K14&lt;&gt;"",
     INDEX('Eurostat EB products IEA'!$A$4:$BN$135,
           MATCH($B14:$K14, 'Eurostat EB products IEA'!$A$4:$A$135, 0),
           MATCH(BO$1, 'Eurostat EB products IEA'!$A$4:$BN$4, 0)
     )
     * $L14:$U14,
     0
  )
)</f>
        <v>-193.928</v>
      </c>
      <c r="BP14" s="17" cm="1">
        <f t="array" ref="BP14">SUMPRODUCT(
  IF($B14:$K14&lt;&gt;"",
     INDEX('Eurostat EB products IEA'!$A$4:$BN$135,
           MATCH($B14:$K14, 'Eurostat EB products IEA'!$A$4:$A$135, 0),
           MATCH(BP$1, 'Eurostat EB products IEA'!$A$4:$BN$4, 0)
     )
     * $L14:$U14,
     0
  )
)</f>
        <v>0</v>
      </c>
      <c r="BQ14" s="17" cm="1">
        <f t="array" ref="BQ14">SUMPRODUCT(
  IF($B14:$K14&lt;&gt;"",
     INDEX('Eurostat EB products IEA'!$A$4:$BN$135,
           MATCH($B14:$K14, 'Eurostat EB products IEA'!$A$4:$A$135, 0),
           MATCH(BQ$1, 'Eurostat EB products IEA'!$A$4:$BN$4, 0)
     )
     * $L14:$U14,
     0
  )
)</f>
        <v>0</v>
      </c>
      <c r="BR14" s="17" cm="1">
        <f t="array" ref="BR14">SUMPRODUCT(
  IF($B14:$K14&lt;&gt;"",
     INDEX('Eurostat EB products IEA'!$A$4:$BN$135,
           MATCH($B14:$K14, 'Eurostat EB products IEA'!$A$4:$A$135, 0),
           MATCH(BR$1, 'Eurostat EB products IEA'!$A$4:$BN$4, 0)
     )
     * $L14:$U14,
     0
  )
)</f>
        <v>0</v>
      </c>
      <c r="BS14" s="65">
        <v>0</v>
      </c>
      <c r="BT14" s="17" cm="1">
        <f t="array" ref="BT14">SUMPRODUCT(
  IF($B14:$K14&lt;&gt;"",
     INDEX('Eurostat EB products IEA'!$A$4:$BN$135,
           MATCH($B14:$K14, 'Eurostat EB products IEA'!$A$4:$A$135, 0),
           MATCH(BT$1, 'Eurostat EB products IEA'!$A$4:$BN$4, 0)
     )
     * $L14:$U14,
     0
  )
)</f>
        <v>0</v>
      </c>
      <c r="BU14" s="65">
        <v>0</v>
      </c>
      <c r="BV14" s="65">
        <v>0</v>
      </c>
      <c r="BW14" s="17" cm="1">
        <f t="array" ref="BW14">SUMPRODUCT(
  IF($B14:$K14&lt;&gt;"",
     INDEX('Eurostat EB products IEA'!$A$4:$BN$135,
           MATCH($B14:$K14, 'Eurostat EB products IEA'!$A$4:$A$135, 0),
           MATCH(BW$1, 'Eurostat EB products IEA'!$A$4:$BN$4, 0)
     )
     * $L14:$U14,
     0
  )
)</f>
        <v>0</v>
      </c>
      <c r="BX14" s="17" cm="1">
        <f t="array" ref="BX14">SUMPRODUCT(
  IF($B14:$K14&lt;&gt;"",
     INDEX('Eurostat EB products IEA'!$A$4:$BN$135,
           MATCH($B14:$K14, 'Eurostat EB products IEA'!$A$4:$A$135, 0),
           MATCH(BX$1, 'Eurostat EB products IEA'!$A$4:$BN$4, 0)
     )
     * $L14:$U14,
     0
  )
)</f>
        <v>0</v>
      </c>
      <c r="BY14" s="17" cm="1">
        <f t="array" ref="BY14">SUMPRODUCT(
  IF($B14:$K14&lt;&gt;"",
     INDEX('Eurostat EB products IEA'!$A$4:$BN$135,
           MATCH($B14:$K14, 'Eurostat EB products IEA'!$A$4:$A$135, 0),
           MATCH(BY$1, 'Eurostat EB products IEA'!$A$4:$BN$4, 0)
     )
     * $L14:$U14,
     0
  )
)</f>
        <v>0</v>
      </c>
      <c r="BZ14" s="17" cm="1">
        <f t="array" ref="BZ14">SUMPRODUCT(
  IF($B14:$K14&lt;&gt;"",
     INDEX('Eurostat EB products IEA'!$A$4:$BN$135,
           MATCH($B14:$K14, 'Eurostat EB products IEA'!$A$4:$A$135, 0),
           MATCH(BZ$1, 'Eurostat EB products IEA'!$A$4:$BN$4, 0)
     )
     * $L14:$U14,
     0
  )
)</f>
        <v>-56016.81</v>
      </c>
      <c r="CA14" s="17" cm="1">
        <f t="array" ref="CA14">SUMPRODUCT(
  IF($B14:$K14&lt;&gt;"",
     INDEX('Eurostat EB products IEA'!$A$4:$BN$135,
           MATCH($B14:$K14, 'Eurostat EB products IEA'!$A$4:$A$135, 0),
           MATCH(CA$1, 'Eurostat EB products IEA'!$A$4:$BN$4, 0)
     )
     * $L14:$U14,
     0
  )
)</f>
        <v>0</v>
      </c>
      <c r="CB14" s="17" cm="1">
        <f t="array" ref="CB14">SUMPRODUCT(
  IF($B14:$K14&lt;&gt;"",
     INDEX('Eurostat EB products IEA'!$A$4:$BN$135,
           MATCH($B14:$K14, 'Eurostat EB products IEA'!$A$4:$A$135, 0),
           MATCH(CB$1, 'Eurostat EB products IEA'!$A$4:$BN$4, 0)
     )
     * $L14:$U14,
     0
  )
)</f>
        <v>0</v>
      </c>
      <c r="CC14" s="17" cm="1">
        <f t="array" ref="CC14">SUMPRODUCT(
  IF($B14:$K14&lt;&gt;"",
     INDEX('Eurostat EB products IEA'!$A$4:$BN$135,
           MATCH($B14:$K14, 'Eurostat EB products IEA'!$A$4:$A$135, 0),
           MATCH(CC$1, 'Eurostat EB products IEA'!$A$4:$BN$4, 0)
     )
     * $L14:$U14,
     0
  )
)</f>
        <v>-8443.2890000000007</v>
      </c>
      <c r="CD14" s="65">
        <v>0</v>
      </c>
      <c r="CE14" s="17" cm="1">
        <f t="array" ref="CE14">SUMPRODUCT(
  IF($B14:$K14&lt;&gt;"",
     INDEX('Eurostat EB products IEA'!$A$4:$BN$135,
           MATCH($B14:$K14, 'Eurostat EB products IEA'!$A$4:$A$135, 0),
           MATCH(CE$1, 'Eurostat EB products IEA'!$A$4:$BN$4, 0)
     )
     * $L14:$U14,
     0
  )
)</f>
        <v>65848.452999999994</v>
      </c>
      <c r="CF14" s="17" cm="1">
        <f t="array" ref="CF14">SUMPRODUCT(
  IF($B14:$K14&lt;&gt;"",
     INDEX('Eurostat EB products IEA'!$A$4:$BN$135,
           MATCH($B14:$K14, 'Eurostat EB products IEA'!$A$4:$A$135, 0),
           MATCH(CF$1, 'Eurostat EB products IEA'!$A$4:$BN$4, 0)
     )
     * $L14:$U14,
     0
  )
)</f>
        <v>0</v>
      </c>
      <c r="CG14" s="17" cm="1">
        <f t="array" ref="CG14">SUMPRODUCT(
  IF($B14:$K14&lt;&gt;"",
     INDEX('Eurostat EB products IEA'!$A$4:$BN$135,
           MATCH($B14:$K14, 'Eurostat EB products IEA'!$A$4:$A$135, 0),
           MATCH(CG$1, 'Eurostat EB products IEA'!$A$4:$BN$4, 0)
     )
     * $L14:$U14,
     0
  )
)</f>
        <v>-1847.9070000000065</v>
      </c>
      <c r="CH14" s="17" cm="1">
        <f t="array" ref="CH14">SUMPRODUCT(
  IF($B14:$K14&lt;&gt;"",
     INDEX('Eurostat EB products IEA'!$A$4:$BN$135,
           MATCH($B14:$K14, 'Eurostat EB products IEA'!$A$4:$A$135, 0),
           MATCH(CH$1, 'Eurostat EB products IEA'!$A$4:$BN$4, 0)
     )
     * $L14:$U14,
     0
  )
)</f>
        <v>4165.116</v>
      </c>
    </row>
    <row r="15" spans="1:86" x14ac:dyDescent="0.2">
      <c r="A15" t="s">
        <v>152</v>
      </c>
      <c r="B15" s="75"/>
      <c r="C15" s="77"/>
      <c r="D15" s="75"/>
      <c r="E15" s="77"/>
      <c r="F15" s="75"/>
      <c r="G15" s="77"/>
      <c r="H15" s="75"/>
      <c r="I15" s="77"/>
      <c r="J15" s="74" t="s">
        <v>207</v>
      </c>
      <c r="K15" s="78" t="s">
        <v>235</v>
      </c>
      <c r="L15" s="76"/>
      <c r="M15" s="79"/>
      <c r="N15" s="76"/>
      <c r="O15" s="79"/>
      <c r="P15" s="76"/>
      <c r="Q15" s="79"/>
      <c r="R15" s="76"/>
      <c r="S15" s="79"/>
      <c r="T15" s="76">
        <v>-1</v>
      </c>
      <c r="U15" s="79">
        <v>1</v>
      </c>
      <c r="V15" s="65" t="s">
        <v>323</v>
      </c>
      <c r="W15" s="65" t="s">
        <v>323</v>
      </c>
      <c r="X15" s="57" cm="1">
        <f t="array" ref="X15">SUMPRODUCT(
  IF($B15:$K15&lt;&gt;"",
     INDEX('Eurostat EB products IEA'!$A$4:$BN$135,
           MATCH($B15:$K15, 'Eurostat EB products IEA'!$A$4:$A$135, 0),
           MATCH(X$1, 'Eurostat EB products IEA'!$A$4:$BN$4, 0)
     )
     * $L15:$U15,
     0
  )
)</f>
        <v>0</v>
      </c>
      <c r="Y15" s="57" cm="1">
        <f t="array" ref="Y15">SUMPRODUCT(
  IF($B15:$K15&lt;&gt;"",
     INDEX('Eurostat EB products IEA'!$A$4:$BN$135,
           MATCH($B15:$K15, 'Eurostat EB products IEA'!$A$4:$A$135, 0),
           MATCH(Y$1, 'Eurostat EB products IEA'!$A$4:$BN$4, 0)
     )
     * $L15:$U15,
     0
  )
)</f>
        <v>0</v>
      </c>
      <c r="Z15" s="57" cm="1">
        <f t="array" ref="Z15">SUMPRODUCT(
  IF($B15:$K15&lt;&gt;"",
     INDEX('Eurostat EB products IEA'!$A$4:$BN$135,
           MATCH($B15:$K15, 'Eurostat EB products IEA'!$A$4:$A$135, 0),
           MATCH(Z$1, 'Eurostat EB products IEA'!$A$4:$BN$4, 0)
     )
     * $L15:$U15,
     0
  )
)</f>
        <v>-30042.236000000001</v>
      </c>
      <c r="AA15" s="57" cm="1">
        <f t="array" ref="AA15">SUMPRODUCT(
  IF($B15:$K15&lt;&gt;"",
     INDEX('Eurostat EB products IEA'!$A$4:$BN$135,
           MATCH($B15:$K15, 'Eurostat EB products IEA'!$A$4:$A$135, 0),
           MATCH(AA$1, 'Eurostat EB products IEA'!$A$4:$BN$4, 0)
     )
     * $L15:$U15,
     0
  )
)</f>
        <v>0</v>
      </c>
      <c r="AB15" s="57" cm="1">
        <f t="array" ref="AB15">SUMPRODUCT(
  IF($B15:$K15&lt;&gt;"",
     INDEX('Eurostat EB products IEA'!$A$4:$BN$135,
           MATCH($B15:$K15, 'Eurostat EB products IEA'!$A$4:$A$135, 0),
           MATCH(AB$1, 'Eurostat EB products IEA'!$A$4:$BN$4, 0)
     )
     * $L15:$U15,
     0
  )
)</f>
        <v>0</v>
      </c>
      <c r="AC15" s="57" cm="1">
        <f t="array" ref="AC15">SUMPRODUCT(
  IF($B15:$K15&lt;&gt;"",
     INDEX('Eurostat EB products IEA'!$A$4:$BN$135,
           MATCH($B15:$K15, 'Eurostat EB products IEA'!$A$4:$A$135, 0),
           MATCH(AC$1, 'Eurostat EB products IEA'!$A$4:$BN$4, 0)
     )
     * $L15:$U15,
     0
  )
)</f>
        <v>0</v>
      </c>
      <c r="AD15" s="57" cm="1">
        <f t="array" ref="AD15">SUMPRODUCT(
  IF($B15:$K15&lt;&gt;"",
     INDEX('Eurostat EB products IEA'!$A$4:$BN$135,
           MATCH($B15:$K15, 'Eurostat EB products IEA'!$A$4:$A$135, 0),
           MATCH(AD$1, 'Eurostat EB products IEA'!$A$4:$BN$4, 0)
     )
     * $L15:$U15,
     0
  )
)</f>
        <v>0</v>
      </c>
      <c r="AE15" s="57" cm="1">
        <f t="array" ref="AE15">SUMPRODUCT(
  IF($B15:$K15&lt;&gt;"",
     INDEX('Eurostat EB products IEA'!$A$4:$BN$135,
           MATCH($B15:$K15, 'Eurostat EB products IEA'!$A$4:$A$135, 0),
           MATCH(AE$1, 'Eurostat EB products IEA'!$A$4:$BN$4, 0)
     )
     * $L15:$U15,
     0
  )
)</f>
        <v>0</v>
      </c>
      <c r="AF15" s="57" cm="1">
        <f t="array" ref="AF15">SUMPRODUCT(
  IF($B15:$K15&lt;&gt;"",
     INDEX('Eurostat EB products IEA'!$A$4:$BN$135,
           MATCH($B15:$K15, 'Eurostat EB products IEA'!$A$4:$A$135, 0),
           MATCH(AF$1, 'Eurostat EB products IEA'!$A$4:$BN$4, 0)
     )
     * $L15:$U15,
     0
  )
)</f>
        <v>0</v>
      </c>
      <c r="AG15" s="57" cm="1">
        <f t="array" ref="AG15">SUMPRODUCT(
  IF($B15:$K15&lt;&gt;"",
     INDEX('Eurostat EB products IEA'!$A$4:$BN$135,
           MATCH($B15:$K15, 'Eurostat EB products IEA'!$A$4:$A$135, 0),
           MATCH(AG$1, 'Eurostat EB products IEA'!$A$4:$BN$4, 0)
     )
     * $L15:$U15,
     0
  )
)</f>
        <v>0</v>
      </c>
      <c r="AH15" s="57" cm="1">
        <f t="array" ref="AH15">SUMPRODUCT(
  IF($B15:$K15&lt;&gt;"",
     INDEX('Eurostat EB products IEA'!$A$4:$BN$135,
           MATCH($B15:$K15, 'Eurostat EB products IEA'!$A$4:$A$135, 0),
           MATCH(AH$1, 'Eurostat EB products IEA'!$A$4:$BN$4, 0)
     )
     * $L15:$U15,
     0
  )
)</f>
        <v>0</v>
      </c>
      <c r="AI15" s="57" cm="1">
        <f t="array" ref="AI15">SUMPRODUCT(
  IF($B15:$K15&lt;&gt;"",
     INDEX('Eurostat EB products IEA'!$A$4:$BN$135,
           MATCH($B15:$K15, 'Eurostat EB products IEA'!$A$4:$A$135, 0),
           MATCH(AI$1, 'Eurostat EB products IEA'!$A$4:$BN$4, 0)
     )
     * $L15:$U15,
     0
  )
)</f>
        <v>-6.4000000000000001E-2</v>
      </c>
      <c r="AJ15" s="57" cm="1">
        <f t="array" ref="AJ15">SUMPRODUCT(
  IF($B15:$K15&lt;&gt;"",
     INDEX('Eurostat EB products IEA'!$A$4:$BN$135,
           MATCH($B15:$K15, 'Eurostat EB products IEA'!$A$4:$A$135, 0),
           MATCH(AJ$1, 'Eurostat EB products IEA'!$A$4:$BN$4, 0)
     )
     * $L15:$U15,
     0
  )
)</f>
        <v>-1672.4490000000001</v>
      </c>
      <c r="AK15" s="57" cm="1">
        <f t="array" ref="AK15">SUMPRODUCT(
  IF($B15:$K15&lt;&gt;"",
     INDEX('Eurostat EB products IEA'!$A$4:$BN$135,
           MATCH($B15:$K15, 'Eurostat EB products IEA'!$A$4:$A$135, 0),
           MATCH(AK$1, 'Eurostat EB products IEA'!$A$4:$BN$4, 0)
     )
     * $L15:$U15,
     0
  )
)</f>
        <v>0</v>
      </c>
      <c r="AL15" s="57" cm="1">
        <f t="array" ref="AL15">SUMPRODUCT(
  IF($B15:$K15&lt;&gt;"",
     INDEX('Eurostat EB products IEA'!$A$4:$BN$135,
           MATCH($B15:$K15, 'Eurostat EB products IEA'!$A$4:$A$135, 0),
           MATCH(AL$1, 'Eurostat EB products IEA'!$A$4:$BN$4, 0)
     )
     * $L15:$U15,
     0
  )
)</f>
        <v>0</v>
      </c>
      <c r="AM15" s="57" cm="1">
        <f t="array" ref="AM15">SUMPRODUCT(
  IF($B15:$K15&lt;&gt;"",
     INDEX('Eurostat EB products IEA'!$A$4:$BN$135,
           MATCH($B15:$K15, 'Eurostat EB products IEA'!$A$4:$A$135, 0),
           MATCH(AM$1, 'Eurostat EB products IEA'!$A$4:$BN$4, 0)
     )
     * $L15:$U15,
     0
  )
)</f>
        <v>-78425.108999999997</v>
      </c>
      <c r="AN15" s="65" t="s">
        <v>323</v>
      </c>
      <c r="AO15" s="57" cm="1">
        <f t="array" ref="AO15">SUMPRODUCT(
  IF($B15:$K15&lt;&gt;"",
     INDEX('Eurostat EB products IEA'!$A$4:$BN$135,
           MATCH($B15:$K15, 'Eurostat EB products IEA'!$A$4:$A$135, 0),
           MATCH(AO$1, 'Eurostat EB products IEA'!$A$4:$BN$4, 0)
     )
     * $L15:$U15,
     0
  )
)</f>
        <v>0</v>
      </c>
      <c r="AP15" s="57" cm="1">
        <f t="array" ref="AP15">SUMPRODUCT(
  IF($B15:$K15&lt;&gt;"",
     INDEX('Eurostat EB products IEA'!$A$4:$BN$135,
           MATCH($B15:$K15, 'Eurostat EB products IEA'!$A$4:$A$135, 0),
           MATCH(AP$1, 'Eurostat EB products IEA'!$A$4:$BN$4, 0)
     )
     * $L15:$U15,
     0
  )
)</f>
        <v>0</v>
      </c>
      <c r="AQ15" s="57" cm="1">
        <f t="array" ref="AQ15">SUMPRODUCT(
  IF($B15:$K15&lt;&gt;"",
     INDEX('Eurostat EB products IEA'!$A$4:$BN$135,
           MATCH($B15:$K15, 'Eurostat EB products IEA'!$A$4:$A$135, 0),
           MATCH(AQ$1, 'Eurostat EB products IEA'!$A$4:$BN$4, 0)
     )
     * $L15:$U15,
     0
  )
)</f>
        <v>0</v>
      </c>
      <c r="AR15" s="57" cm="1">
        <f t="array" ref="AR15">SUMPRODUCT(
  IF($B15:$K15&lt;&gt;"",
     INDEX('Eurostat EB products IEA'!$A$4:$BN$135,
           MATCH($B15:$K15, 'Eurostat EB products IEA'!$A$4:$A$135, 0),
           MATCH(AR$1, 'Eurostat EB products IEA'!$A$4:$BN$4, 0)
     )
     * $L15:$U15,
     0
  )
)</f>
        <v>0</v>
      </c>
      <c r="AS15" s="57" cm="1">
        <f t="array" ref="AS15">SUMPRODUCT(
  IF($B15:$K15&lt;&gt;"",
     INDEX('Eurostat EB products IEA'!$A$4:$BN$135,
           MATCH($B15:$K15, 'Eurostat EB products IEA'!$A$4:$A$135, 0),
           MATCH(AS$1, 'Eurostat EB products IEA'!$A$4:$BN$4, 0)
     )
     * $L15:$U15,
     0
  )
)</f>
        <v>0</v>
      </c>
      <c r="AT15" s="57" cm="1">
        <f t="array" ref="AT15">SUMPRODUCT(
  IF($B15:$K15&lt;&gt;"",
     INDEX('Eurostat EB products IEA'!$A$4:$BN$135,
           MATCH($B15:$K15, 'Eurostat EB products IEA'!$A$4:$A$135, 0),
           MATCH(AT$1, 'Eurostat EB products IEA'!$A$4:$BN$4, 0)
     )
     * $L15:$U15,
     0
  )
)</f>
        <v>0</v>
      </c>
      <c r="AU15" s="57" cm="1">
        <f t="array" ref="AU15">SUMPRODUCT(
  IF($B15:$K15&lt;&gt;"",
     INDEX('Eurostat EB products IEA'!$A$4:$BN$135,
           MATCH($B15:$K15, 'Eurostat EB products IEA'!$A$4:$A$135, 0),
           MATCH(AU$1, 'Eurostat EB products IEA'!$A$4:$BN$4, 0)
     )
     * $L15:$U15,
     0
  )
)</f>
        <v>0</v>
      </c>
      <c r="AV15" s="57" cm="1">
        <f t="array" ref="AV15">SUMPRODUCT(
  IF($B15:$K15&lt;&gt;"",
     INDEX('Eurostat EB products IEA'!$A$4:$BN$135,
           MATCH($B15:$K15, 'Eurostat EB products IEA'!$A$4:$A$135, 0),
           MATCH(AV$1, 'Eurostat EB products IEA'!$A$4:$BN$4, 0)
     )
     * $L15:$U15,
     0
  )
)</f>
        <v>0</v>
      </c>
      <c r="AW15" s="57" cm="1">
        <f t="array" ref="AW15">SUMPRODUCT(
  IF($B15:$K15&lt;&gt;"",
     INDEX('Eurostat EB products IEA'!$A$4:$BN$135,
           MATCH($B15:$K15, 'Eurostat EB products IEA'!$A$4:$A$135, 0),
           MATCH(AW$1, 'Eurostat EB products IEA'!$A$4:$BN$4, 0)
     )
     * $L15:$U15,
     0
  )
)</f>
        <v>0</v>
      </c>
      <c r="AX15" s="57" cm="1">
        <f t="array" ref="AX15">SUMPRODUCT(
  IF($B15:$K15&lt;&gt;"",
     INDEX('Eurostat EB products IEA'!$A$4:$BN$135,
           MATCH($B15:$K15, 'Eurostat EB products IEA'!$A$4:$A$135, 0),
           MATCH(AX$1, 'Eurostat EB products IEA'!$A$4:$BN$4, 0)
     )
     * $L15:$U15,
     0
  )
)</f>
        <v>0</v>
      </c>
      <c r="AY15" s="57" cm="1">
        <f t="array" ref="AY15">SUMPRODUCT(
  IF($B15:$K15&lt;&gt;"",
     INDEX('Eurostat EB products IEA'!$A$4:$BN$135,
           MATCH($B15:$K15, 'Eurostat EB products IEA'!$A$4:$A$135, 0),
           MATCH(AY$1, 'Eurostat EB products IEA'!$A$4:$BN$4, 0)
     )
     * $L15:$U15,
     0
  )
)</f>
        <v>0</v>
      </c>
      <c r="AZ15" s="57" cm="1">
        <f t="array" ref="AZ15">SUMPRODUCT(
  IF($B15:$K15&lt;&gt;"",
     INDEX('Eurostat EB products IEA'!$A$4:$BN$135,
           MATCH($B15:$K15, 'Eurostat EB products IEA'!$A$4:$A$135, 0),
           MATCH(AZ$1, 'Eurostat EB products IEA'!$A$4:$BN$4, 0)
     )
     * $L15:$U15,
     0
  )
)</f>
        <v>0</v>
      </c>
      <c r="BA15" s="57" cm="1">
        <f t="array" ref="BA15">SUMPRODUCT(
  IF($B15:$K15&lt;&gt;"",
     INDEX('Eurostat EB products IEA'!$A$4:$BN$135,
           MATCH($B15:$K15, 'Eurostat EB products IEA'!$A$4:$A$135, 0),
           MATCH(BA$1, 'Eurostat EB products IEA'!$A$4:$BN$4, 0)
     )
     * $L15:$U15,
     0
  )
)</f>
        <v>0</v>
      </c>
      <c r="BB15" s="57" cm="1">
        <f t="array" ref="BB15">SUMPRODUCT(
  IF($B15:$K15&lt;&gt;"",
     INDEX('Eurostat EB products IEA'!$A$4:$BN$135,
           MATCH($B15:$K15, 'Eurostat EB products IEA'!$A$4:$A$135, 0),
           MATCH(BB$1, 'Eurostat EB products IEA'!$A$4:$BN$4, 0)
     )
     * $L15:$U15,
     0
  )
)</f>
        <v>-202.37200000000001</v>
      </c>
      <c r="BC15" s="57" cm="1">
        <f t="array" ref="BC15">SUMPRODUCT(
  IF($B15:$K15&lt;&gt;"",
     INDEX('Eurostat EB products IEA'!$A$4:$BN$135,
           MATCH($B15:$K15, 'Eurostat EB products IEA'!$A$4:$A$135, 0),
           MATCH(BC$1, 'Eurostat EB products IEA'!$A$4:$BN$4, 0)
     )
     * $L15:$U15,
     0
  )
)</f>
        <v>0</v>
      </c>
      <c r="BD15" s="57" cm="1">
        <f t="array" ref="BD15">SUMPRODUCT(
  IF($B15:$K15&lt;&gt;"",
     INDEX('Eurostat EB products IEA'!$A$4:$BN$135,
           MATCH($B15:$K15, 'Eurostat EB products IEA'!$A$4:$A$135, 0),
           MATCH(BD$1, 'Eurostat EB products IEA'!$A$4:$BN$4, 0)
     )
     * $L15:$U15,
     0
  )
)</f>
        <v>0</v>
      </c>
      <c r="BE15" s="57" cm="1">
        <f t="array" ref="BE15">SUMPRODUCT(
  IF($B15:$K15&lt;&gt;"",
     INDEX('Eurostat EB products IEA'!$A$4:$BN$135,
           MATCH($B15:$K15, 'Eurostat EB products IEA'!$A$4:$A$135, 0),
           MATCH(BE$1, 'Eurostat EB products IEA'!$A$4:$BN$4, 0)
     )
     * $L15:$U15,
     0
  )
)</f>
        <v>0</v>
      </c>
      <c r="BF15" s="57" cm="1">
        <f t="array" ref="BF15">SUMPRODUCT(
  IF($B15:$K15&lt;&gt;"",
     INDEX('Eurostat EB products IEA'!$A$4:$BN$135,
           MATCH($B15:$K15, 'Eurostat EB products IEA'!$A$4:$A$135, 0),
           MATCH(BF$1, 'Eurostat EB products IEA'!$A$4:$BN$4, 0)
     )
     * $L15:$U15,
     0
  )
)</f>
        <v>0</v>
      </c>
      <c r="BG15" s="57" cm="1">
        <f t="array" ref="BG15">SUMPRODUCT(
  IF($B15:$K15&lt;&gt;"",
     INDEX('Eurostat EB products IEA'!$A$4:$BN$135,
           MATCH($B15:$K15, 'Eurostat EB products IEA'!$A$4:$A$135, 0),
           MATCH(BG$1, 'Eurostat EB products IEA'!$A$4:$BN$4, 0)
     )
     * $L15:$U15,
     0
  )
)</f>
        <v>0</v>
      </c>
      <c r="BH15" s="57" cm="1">
        <f t="array" ref="BH15">SUMPRODUCT(
  IF($B15:$K15&lt;&gt;"",
     INDEX('Eurostat EB products IEA'!$A$4:$BN$135,
           MATCH($B15:$K15, 'Eurostat EB products IEA'!$A$4:$A$135, 0),
           MATCH(BH$1, 'Eurostat EB products IEA'!$A$4:$BN$4, 0)
     )
     * $L15:$U15,
     0
  )
)</f>
        <v>0</v>
      </c>
      <c r="BI15" s="57" cm="1">
        <f t="array" ref="BI15">SUMPRODUCT(
  IF($B15:$K15&lt;&gt;"",
     INDEX('Eurostat EB products IEA'!$A$4:$BN$135,
           MATCH($B15:$K15, 'Eurostat EB products IEA'!$A$4:$A$135, 0),
           MATCH(BI$1, 'Eurostat EB products IEA'!$A$4:$BN$4, 0)
     )
     * $L15:$U15,
     0
  )
)</f>
        <v>0</v>
      </c>
      <c r="BJ15" s="57" cm="1">
        <f t="array" ref="BJ15">SUMPRODUCT(
  IF($B15:$K15&lt;&gt;"",
     INDEX('Eurostat EB products IEA'!$A$4:$BN$135,
           MATCH($B15:$K15, 'Eurostat EB products IEA'!$A$4:$A$135, 0),
           MATCH(BJ$1, 'Eurostat EB products IEA'!$A$4:$BN$4, 0)
     )
     * $L15:$U15,
     0
  )
)</f>
        <v>0</v>
      </c>
      <c r="BK15" s="57" cm="1">
        <f t="array" ref="BK15">SUMPRODUCT(
  IF($B15:$K15&lt;&gt;"",
     INDEX('Eurostat EB products IEA'!$A$4:$BN$135,
           MATCH($B15:$K15, 'Eurostat EB products IEA'!$A$4:$A$135, 0),
           MATCH(BK$1, 'Eurostat EB products IEA'!$A$4:$BN$4, 0)
     )
     * $L15:$U15,
     0
  )
)</f>
        <v>-254.44800000000001</v>
      </c>
      <c r="BL15" s="57" cm="1">
        <f t="array" ref="BL15">SUMPRODUCT(
  IF($B15:$K15&lt;&gt;"",
     INDEX('Eurostat EB products IEA'!$A$4:$BN$135,
           MATCH($B15:$K15, 'Eurostat EB products IEA'!$A$4:$A$135, 0),
           MATCH(BL$1, 'Eurostat EB products IEA'!$A$4:$BN$4, 0)
     )
     * $L15:$U15,
     0
  )
)</f>
        <v>0</v>
      </c>
      <c r="BM15" s="57" cm="1">
        <f t="array" ref="BM15">SUMPRODUCT(
  IF($B15:$K15&lt;&gt;"",
     INDEX('Eurostat EB products IEA'!$A$4:$BN$135,
           MATCH($B15:$K15, 'Eurostat EB products IEA'!$A$4:$A$135, 0),
           MATCH(BM$1, 'Eurostat EB products IEA'!$A$4:$BN$4, 0)
     )
     * $L15:$U15,
     0
  )
)</f>
        <v>0</v>
      </c>
      <c r="BN15" s="57" cm="1">
        <f t="array" ref="BN15">SUMPRODUCT(
  IF($B15:$K15&lt;&gt;"",
     INDEX('Eurostat EB products IEA'!$A$4:$BN$135,
           MATCH($B15:$K15, 'Eurostat EB products IEA'!$A$4:$A$135, 0),
           MATCH(BN$1, 'Eurostat EB products IEA'!$A$4:$BN$4, 0)
     )
     * $L15:$U15,
     0
  )
)</f>
        <v>-31227.246999999999</v>
      </c>
      <c r="BO15" s="57" cm="1">
        <f t="array" ref="BO15">SUMPRODUCT(
  IF($B15:$K15&lt;&gt;"",
     INDEX('Eurostat EB products IEA'!$A$4:$BN$135,
           MATCH($B15:$K15, 'Eurostat EB products IEA'!$A$4:$A$135, 0),
           MATCH(BO$1, 'Eurostat EB products IEA'!$A$4:$BN$4, 0)
     )
     * $L15:$U15,
     0
  )
)</f>
        <v>-282.39</v>
      </c>
      <c r="BP15" s="57" cm="1">
        <f t="array" ref="BP15">SUMPRODUCT(
  IF($B15:$K15&lt;&gt;"",
     INDEX('Eurostat EB products IEA'!$A$4:$BN$135,
           MATCH($B15:$K15, 'Eurostat EB products IEA'!$A$4:$A$135, 0),
           MATCH(BP$1, 'Eurostat EB products IEA'!$A$4:$BN$4, 0)
     )
     * $L15:$U15,
     0
  )
)</f>
        <v>0</v>
      </c>
      <c r="BQ15" s="57" cm="1">
        <f t="array" ref="BQ15">SUMPRODUCT(
  IF($B15:$K15&lt;&gt;"",
     INDEX('Eurostat EB products IEA'!$A$4:$BN$135,
           MATCH($B15:$K15, 'Eurostat EB products IEA'!$A$4:$A$135, 0),
           MATCH(BQ$1, 'Eurostat EB products IEA'!$A$4:$BN$4, 0)
     )
     * $L15:$U15,
     0
  )
)</f>
        <v>0</v>
      </c>
      <c r="BR15" s="57" cm="1">
        <f t="array" ref="BR15">SUMPRODUCT(
  IF($B15:$K15&lt;&gt;"",
     INDEX('Eurostat EB products IEA'!$A$4:$BN$135,
           MATCH($B15:$K15, 'Eurostat EB products IEA'!$A$4:$A$135, 0),
           MATCH(BR$1, 'Eurostat EB products IEA'!$A$4:$BN$4, 0)
     )
     * $L15:$U15,
     0
  )
)</f>
        <v>0</v>
      </c>
      <c r="BS15" s="65">
        <v>0</v>
      </c>
      <c r="BT15" s="57" cm="1">
        <f t="array" ref="BT15">SUMPRODUCT(
  IF($B15:$K15&lt;&gt;"",
     INDEX('Eurostat EB products IEA'!$A$4:$BN$135,
           MATCH($B15:$K15, 'Eurostat EB products IEA'!$A$4:$A$135, 0),
           MATCH(BT$1, 'Eurostat EB products IEA'!$A$4:$BN$4, 0)
     )
     * $L15:$U15,
     0
  )
)</f>
        <v>0</v>
      </c>
      <c r="BU15" s="65">
        <v>0</v>
      </c>
      <c r="BV15" s="65">
        <v>0</v>
      </c>
      <c r="BW15" s="57" cm="1">
        <f t="array" ref="BW15">SUMPRODUCT(
  IF($B15:$K15&lt;&gt;"",
     INDEX('Eurostat EB products IEA'!$A$4:$BN$135,
           MATCH($B15:$K15, 'Eurostat EB products IEA'!$A$4:$A$135, 0),
           MATCH(BW$1, 'Eurostat EB products IEA'!$A$4:$BN$4, 0)
     )
     * $L15:$U15,
     0
  )
)</f>
        <v>0</v>
      </c>
      <c r="BX15" s="57" cm="1">
        <f t="array" ref="BX15">SUMPRODUCT(
  IF($B15:$K15&lt;&gt;"",
     INDEX('Eurostat EB products IEA'!$A$4:$BN$135,
           MATCH($B15:$K15, 'Eurostat EB products IEA'!$A$4:$A$135, 0),
           MATCH(BX$1, 'Eurostat EB products IEA'!$A$4:$BN$4, 0)
     )
     * $L15:$U15,
     0
  )
)</f>
        <v>0</v>
      </c>
      <c r="BY15" s="57" cm="1">
        <f t="array" ref="BY15">SUMPRODUCT(
  IF($B15:$K15&lt;&gt;"",
     INDEX('Eurostat EB products IEA'!$A$4:$BN$135,
           MATCH($B15:$K15, 'Eurostat EB products IEA'!$A$4:$A$135, 0),
           MATCH(BY$1, 'Eurostat EB products IEA'!$A$4:$BN$4, 0)
     )
     * $L15:$U15,
     0
  )
)</f>
        <v>0</v>
      </c>
      <c r="BZ15" s="57" cm="1">
        <f t="array" ref="BZ15">SUMPRODUCT(
  IF($B15:$K15&lt;&gt;"",
     INDEX('Eurostat EB products IEA'!$A$4:$BN$135,
           MATCH($B15:$K15, 'Eurostat EB products IEA'!$A$4:$A$135, 0),
           MATCH(BZ$1, 'Eurostat EB products IEA'!$A$4:$BN$4, 0)
     )
     * $L15:$U15,
     0
  )
)</f>
        <v>0</v>
      </c>
      <c r="CA15" s="57" cm="1">
        <f t="array" ref="CA15">SUMPRODUCT(
  IF($B15:$K15&lt;&gt;"",
     INDEX('Eurostat EB products IEA'!$A$4:$BN$135,
           MATCH($B15:$K15, 'Eurostat EB products IEA'!$A$4:$A$135, 0),
           MATCH(CA$1, 'Eurostat EB products IEA'!$A$4:$BN$4, 0)
     )
     * $L15:$U15,
     0
  )
)</f>
        <v>0</v>
      </c>
      <c r="CB15" s="57" cm="1">
        <f t="array" ref="CB15">SUMPRODUCT(
  IF($B15:$K15&lt;&gt;"",
     INDEX('Eurostat EB products IEA'!$A$4:$BN$135,
           MATCH($B15:$K15, 'Eurostat EB products IEA'!$A$4:$A$135, 0),
           MATCH(CB$1, 'Eurostat EB products IEA'!$A$4:$BN$4, 0)
     )
     * $L15:$U15,
     0
  )
)</f>
        <v>0</v>
      </c>
      <c r="CC15" s="57" cm="1">
        <f t="array" ref="CC15">SUMPRODUCT(
  IF($B15:$K15&lt;&gt;"",
     INDEX('Eurostat EB products IEA'!$A$4:$BN$135,
           MATCH($B15:$K15, 'Eurostat EB products IEA'!$A$4:$A$135, 0),
           MATCH(CC$1, 'Eurostat EB products IEA'!$A$4:$BN$4, 0)
     )
     * $L15:$U15,
     0
  )
)</f>
        <v>0</v>
      </c>
      <c r="CD15" s="65">
        <v>0</v>
      </c>
      <c r="CE15" s="57" cm="1">
        <f t="array" ref="CE15">SUMPRODUCT(
  IF($B15:$K15&lt;&gt;"",
     INDEX('Eurostat EB products IEA'!$A$4:$BN$135,
           MATCH($B15:$K15, 'Eurostat EB products IEA'!$A$4:$A$135, 0),
           MATCH(CE$1, 'Eurostat EB products IEA'!$A$4:$BN$4, 0)
     )
     * $L15:$U15,
     0
  )
)</f>
        <v>58257.402999999998</v>
      </c>
      <c r="CF15" s="57" cm="1">
        <f t="array" ref="CF15">SUMPRODUCT(
  IF($B15:$K15&lt;&gt;"",
     INDEX('Eurostat EB products IEA'!$A$4:$BN$135,
           MATCH($B15:$K15, 'Eurostat EB products IEA'!$A$4:$A$135, 0),
           MATCH(CF$1, 'Eurostat EB products IEA'!$A$4:$BN$4, 0)
     )
     * $L15:$U15,
     0
  )
)</f>
        <v>31806.674999999999</v>
      </c>
      <c r="CG15" s="57" cm="1">
        <f t="array" ref="CG15">SUMPRODUCT(
  IF($B15:$K15&lt;&gt;"",
     INDEX('Eurostat EB products IEA'!$A$4:$BN$135,
           MATCH($B15:$K15, 'Eurostat EB products IEA'!$A$4:$A$135, 0),
           MATCH(CG$1, 'Eurostat EB products IEA'!$A$4:$BN$4, 0)
     )
     * $L15:$U15,
     0
  )
)</f>
        <v>-52042.237000000008</v>
      </c>
      <c r="CH15" s="57" cm="1">
        <f t="array" ref="CH15">SUMPRODUCT(
  IF($B15:$K15&lt;&gt;"",
     INDEX('Eurostat EB products IEA'!$A$4:$BN$135,
           MATCH($B15:$K15, 'Eurostat EB products IEA'!$A$4:$A$135, 0),
           MATCH(CH$1, 'Eurostat EB products IEA'!$A$4:$BN$4, 0)
     )
     * $L15:$U15,
     0
  )
)</f>
        <v>-21452.327999999998</v>
      </c>
    </row>
    <row r="16" spans="1:86" x14ac:dyDescent="0.2">
      <c r="A16" t="s">
        <v>153</v>
      </c>
      <c r="B16" s="75"/>
      <c r="C16" s="77"/>
      <c r="D16" s="75"/>
      <c r="E16" s="77"/>
      <c r="F16" s="75"/>
      <c r="G16" s="77"/>
      <c r="H16" s="75"/>
      <c r="I16" s="77"/>
      <c r="J16" s="74" t="s">
        <v>210</v>
      </c>
      <c r="K16" s="78" t="s">
        <v>238</v>
      </c>
      <c r="L16" s="76"/>
      <c r="M16" s="79"/>
      <c r="N16" s="76"/>
      <c r="O16" s="79"/>
      <c r="P16" s="76"/>
      <c r="Q16" s="79"/>
      <c r="R16" s="76"/>
      <c r="S16" s="79"/>
      <c r="T16" s="76">
        <v>-1</v>
      </c>
      <c r="U16" s="79">
        <v>1</v>
      </c>
      <c r="V16" s="65" t="s">
        <v>323</v>
      </c>
      <c r="W16" s="65" t="s">
        <v>323</v>
      </c>
      <c r="X16" s="17" cm="1">
        <f t="array" ref="X16">SUMPRODUCT(
  IF($B16:$K16&lt;&gt;"",
     INDEX('Eurostat EB products IEA'!$A$4:$BN$135,
           MATCH($B16:$K16, 'Eurostat EB products IEA'!$A$4:$A$135, 0),
           MATCH(X$1, 'Eurostat EB products IEA'!$A$4:$BN$4, 0)
     )
     * $L16:$U16,
     0
  )
)</f>
        <v>0</v>
      </c>
      <c r="Y16" s="17" cm="1">
        <f t="array" ref="Y16">SUMPRODUCT(
  IF($B16:$K16&lt;&gt;"",
     INDEX('Eurostat EB products IEA'!$A$4:$BN$135,
           MATCH($B16:$K16, 'Eurostat EB products IEA'!$A$4:$A$135, 0),
           MATCH(Y$1, 'Eurostat EB products IEA'!$A$4:$BN$4, 0)
     )
     * $L16:$U16,
     0
  )
)</f>
        <v>0</v>
      </c>
      <c r="Z16" s="17" cm="1">
        <f t="array" ref="Z16">SUMPRODUCT(
  IF($B16:$K16&lt;&gt;"",
     INDEX('Eurostat EB products IEA'!$A$4:$BN$135,
           MATCH($B16:$K16, 'Eurostat EB products IEA'!$A$4:$A$135, 0),
           MATCH(Z$1, 'Eurostat EB products IEA'!$A$4:$BN$4, 0)
     )
     * $L16:$U16,
     0
  )
)</f>
        <v>0</v>
      </c>
      <c r="AA16" s="17" cm="1">
        <f t="array" ref="AA16">SUMPRODUCT(
  IF($B16:$K16&lt;&gt;"",
     INDEX('Eurostat EB products IEA'!$A$4:$BN$135,
           MATCH($B16:$K16, 'Eurostat EB products IEA'!$A$4:$A$135, 0),
           MATCH(AA$1, 'Eurostat EB products IEA'!$A$4:$BN$4, 0)
     )
     * $L16:$U16,
     0
  )
)</f>
        <v>0</v>
      </c>
      <c r="AB16" s="17" cm="1">
        <f t="array" ref="AB16">SUMPRODUCT(
  IF($B16:$K16&lt;&gt;"",
     INDEX('Eurostat EB products IEA'!$A$4:$BN$135,
           MATCH($B16:$K16, 'Eurostat EB products IEA'!$A$4:$A$135, 0),
           MATCH(AB$1, 'Eurostat EB products IEA'!$A$4:$BN$4, 0)
     )
     * $L16:$U16,
     0
  )
)</f>
        <v>0</v>
      </c>
      <c r="AC16" s="17" cm="1">
        <f t="array" ref="AC16">SUMPRODUCT(
  IF($B16:$K16&lt;&gt;"",
     INDEX('Eurostat EB products IEA'!$A$4:$BN$135,
           MATCH($B16:$K16, 'Eurostat EB products IEA'!$A$4:$A$135, 0),
           MATCH(AC$1, 'Eurostat EB products IEA'!$A$4:$BN$4, 0)
     )
     * $L16:$U16,
     0
  )
)</f>
        <v>0</v>
      </c>
      <c r="AD16" s="17" cm="1">
        <f t="array" ref="AD16">SUMPRODUCT(
  IF($B16:$K16&lt;&gt;"",
     INDEX('Eurostat EB products IEA'!$A$4:$BN$135,
           MATCH($B16:$K16, 'Eurostat EB products IEA'!$A$4:$A$135, 0),
           MATCH(AD$1, 'Eurostat EB products IEA'!$A$4:$BN$4, 0)
     )
     * $L16:$U16,
     0
  )
)</f>
        <v>0</v>
      </c>
      <c r="AE16" s="17" cm="1">
        <f t="array" ref="AE16">SUMPRODUCT(
  IF($B16:$K16&lt;&gt;"",
     INDEX('Eurostat EB products IEA'!$A$4:$BN$135,
           MATCH($B16:$K16, 'Eurostat EB products IEA'!$A$4:$A$135, 0),
           MATCH(AE$1, 'Eurostat EB products IEA'!$A$4:$BN$4, 0)
     )
     * $L16:$U16,
     0
  )
)</f>
        <v>0</v>
      </c>
      <c r="AF16" s="17" cm="1">
        <f t="array" ref="AF16">SUMPRODUCT(
  IF($B16:$K16&lt;&gt;"",
     INDEX('Eurostat EB products IEA'!$A$4:$BN$135,
           MATCH($B16:$K16, 'Eurostat EB products IEA'!$A$4:$A$135, 0),
           MATCH(AF$1, 'Eurostat EB products IEA'!$A$4:$BN$4, 0)
     )
     * $L16:$U16,
     0
  )
)</f>
        <v>0</v>
      </c>
      <c r="AG16" s="17" cm="1">
        <f t="array" ref="AG16">SUMPRODUCT(
  IF($B16:$K16&lt;&gt;"",
     INDEX('Eurostat EB products IEA'!$A$4:$BN$135,
           MATCH($B16:$K16, 'Eurostat EB products IEA'!$A$4:$A$135, 0),
           MATCH(AG$1, 'Eurostat EB products IEA'!$A$4:$BN$4, 0)
     )
     * $L16:$U16,
     0
  )
)</f>
        <v>0</v>
      </c>
      <c r="AH16" s="17" cm="1">
        <f t="array" ref="AH16">SUMPRODUCT(
  IF($B16:$K16&lt;&gt;"",
     INDEX('Eurostat EB products IEA'!$A$4:$BN$135,
           MATCH($B16:$K16, 'Eurostat EB products IEA'!$A$4:$A$135, 0),
           MATCH(AH$1, 'Eurostat EB products IEA'!$A$4:$BN$4, 0)
     )
     * $L16:$U16,
     0
  )
)</f>
        <v>0</v>
      </c>
      <c r="AI16" s="17" cm="1">
        <f t="array" ref="AI16">SUMPRODUCT(
  IF($B16:$K16&lt;&gt;"",
     INDEX('Eurostat EB products IEA'!$A$4:$BN$135,
           MATCH($B16:$K16, 'Eurostat EB products IEA'!$A$4:$A$135, 0),
           MATCH(AI$1, 'Eurostat EB products IEA'!$A$4:$BN$4, 0)
     )
     * $L16:$U16,
     0
  )
)</f>
        <v>-97.316999999999993</v>
      </c>
      <c r="AJ16" s="17" cm="1">
        <f t="array" ref="AJ16">SUMPRODUCT(
  IF($B16:$K16&lt;&gt;"",
     INDEX('Eurostat EB products IEA'!$A$4:$BN$135,
           MATCH($B16:$K16, 'Eurostat EB products IEA'!$A$4:$A$135, 0),
           MATCH(AJ$1, 'Eurostat EB products IEA'!$A$4:$BN$4, 0)
     )
     * $L16:$U16,
     0
  )
)</f>
        <v>-702.23400000000004</v>
      </c>
      <c r="AK16" s="17" cm="1">
        <f t="array" ref="AK16">SUMPRODUCT(
  IF($B16:$K16&lt;&gt;"",
     INDEX('Eurostat EB products IEA'!$A$4:$BN$135,
           MATCH($B16:$K16, 'Eurostat EB products IEA'!$A$4:$A$135, 0),
           MATCH(AK$1, 'Eurostat EB products IEA'!$A$4:$BN$4, 0)
     )
     * $L16:$U16,
     0
  )
)</f>
        <v>0</v>
      </c>
      <c r="AL16" s="17" cm="1">
        <f t="array" ref="AL16">SUMPRODUCT(
  IF($B16:$K16&lt;&gt;"",
     INDEX('Eurostat EB products IEA'!$A$4:$BN$135,
           MATCH($B16:$K16, 'Eurostat EB products IEA'!$A$4:$A$135, 0),
           MATCH(AL$1, 'Eurostat EB products IEA'!$A$4:$BN$4, 0)
     )
     * $L16:$U16,
     0
  )
)</f>
        <v>0</v>
      </c>
      <c r="AM16" s="17" cm="1">
        <f t="array" ref="AM16">SUMPRODUCT(
  IF($B16:$K16&lt;&gt;"",
     INDEX('Eurostat EB products IEA'!$A$4:$BN$135,
           MATCH($B16:$K16, 'Eurostat EB products IEA'!$A$4:$A$135, 0),
           MATCH(AM$1, 'Eurostat EB products IEA'!$A$4:$BN$4, 0)
     )
     * $L16:$U16,
     0
  )
)</f>
        <v>-79593.831999999995</v>
      </c>
      <c r="AN16" s="65" t="s">
        <v>323</v>
      </c>
      <c r="AO16" s="17" cm="1">
        <f t="array" ref="AO16">SUMPRODUCT(
  IF($B16:$K16&lt;&gt;"",
     INDEX('Eurostat EB products IEA'!$A$4:$BN$135,
           MATCH($B16:$K16, 'Eurostat EB products IEA'!$A$4:$A$135, 0),
           MATCH(AO$1, 'Eurostat EB products IEA'!$A$4:$BN$4, 0)
     )
     * $L16:$U16,
     0
  )
)</f>
        <v>0</v>
      </c>
      <c r="AP16" s="17" cm="1">
        <f t="array" ref="AP16">SUMPRODUCT(
  IF($B16:$K16&lt;&gt;"",
     INDEX('Eurostat EB products IEA'!$A$4:$BN$135,
           MATCH($B16:$K16, 'Eurostat EB products IEA'!$A$4:$A$135, 0),
           MATCH(AP$1, 'Eurostat EB products IEA'!$A$4:$BN$4, 0)
     )
     * $L16:$U16,
     0
  )
)</f>
        <v>0</v>
      </c>
      <c r="AQ16" s="17" cm="1">
        <f t="array" ref="AQ16">SUMPRODUCT(
  IF($B16:$K16&lt;&gt;"",
     INDEX('Eurostat EB products IEA'!$A$4:$BN$135,
           MATCH($B16:$K16, 'Eurostat EB products IEA'!$A$4:$A$135, 0),
           MATCH(AQ$1, 'Eurostat EB products IEA'!$A$4:$BN$4, 0)
     )
     * $L16:$U16,
     0
  )
)</f>
        <v>0</v>
      </c>
      <c r="AR16" s="17" cm="1">
        <f t="array" ref="AR16">SUMPRODUCT(
  IF($B16:$K16&lt;&gt;"",
     INDEX('Eurostat EB products IEA'!$A$4:$BN$135,
           MATCH($B16:$K16, 'Eurostat EB products IEA'!$A$4:$A$135, 0),
           MATCH(AR$1, 'Eurostat EB products IEA'!$A$4:$BN$4, 0)
     )
     * $L16:$U16,
     0
  )
)</f>
        <v>0</v>
      </c>
      <c r="AS16" s="17" cm="1">
        <f t="array" ref="AS16">SUMPRODUCT(
  IF($B16:$K16&lt;&gt;"",
     INDEX('Eurostat EB products IEA'!$A$4:$BN$135,
           MATCH($B16:$K16, 'Eurostat EB products IEA'!$A$4:$A$135, 0),
           MATCH(AS$1, 'Eurostat EB products IEA'!$A$4:$BN$4, 0)
     )
     * $L16:$U16,
     0
  )
)</f>
        <v>0</v>
      </c>
      <c r="AT16" s="17" cm="1">
        <f t="array" ref="AT16">SUMPRODUCT(
  IF($B16:$K16&lt;&gt;"",
     INDEX('Eurostat EB products IEA'!$A$4:$BN$135,
           MATCH($B16:$K16, 'Eurostat EB products IEA'!$A$4:$A$135, 0),
           MATCH(AT$1, 'Eurostat EB products IEA'!$A$4:$BN$4, 0)
     )
     * $L16:$U16,
     0
  )
)</f>
        <v>-13257.311</v>
      </c>
      <c r="AU16" s="17" cm="1">
        <f t="array" ref="AU16">SUMPRODUCT(
  IF($B16:$K16&lt;&gt;"",
     INDEX('Eurostat EB products IEA'!$A$4:$BN$135,
           MATCH($B16:$K16, 'Eurostat EB products IEA'!$A$4:$A$135, 0),
           MATCH(AU$1, 'Eurostat EB products IEA'!$A$4:$BN$4, 0)
     )
     * $L16:$U16,
     0
  )
)</f>
        <v>0</v>
      </c>
      <c r="AV16" s="17" cm="1">
        <f t="array" ref="AV16">SUMPRODUCT(
  IF($B16:$K16&lt;&gt;"",
     INDEX('Eurostat EB products IEA'!$A$4:$BN$135,
           MATCH($B16:$K16, 'Eurostat EB products IEA'!$A$4:$A$135, 0),
           MATCH(AV$1, 'Eurostat EB products IEA'!$A$4:$BN$4, 0)
     )
     * $L16:$U16,
     0
  )
)</f>
        <v>0</v>
      </c>
      <c r="AW16" s="17" cm="1">
        <f t="array" ref="AW16">SUMPRODUCT(
  IF($B16:$K16&lt;&gt;"",
     INDEX('Eurostat EB products IEA'!$A$4:$BN$135,
           MATCH($B16:$K16, 'Eurostat EB products IEA'!$A$4:$A$135, 0),
           MATCH(AW$1, 'Eurostat EB products IEA'!$A$4:$BN$4, 0)
     )
     * $L16:$U16,
     0
  )
)</f>
        <v>0</v>
      </c>
      <c r="AX16" s="17" cm="1">
        <f t="array" ref="AX16">SUMPRODUCT(
  IF($B16:$K16&lt;&gt;"",
     INDEX('Eurostat EB products IEA'!$A$4:$BN$135,
           MATCH($B16:$K16, 'Eurostat EB products IEA'!$A$4:$A$135, 0),
           MATCH(AX$1, 'Eurostat EB products IEA'!$A$4:$BN$4, 0)
     )
     * $L16:$U16,
     0
  )
)</f>
        <v>0</v>
      </c>
      <c r="AY16" s="17" cm="1">
        <f t="array" ref="AY16">SUMPRODUCT(
  IF($B16:$K16&lt;&gt;"",
     INDEX('Eurostat EB products IEA'!$A$4:$BN$135,
           MATCH($B16:$K16, 'Eurostat EB products IEA'!$A$4:$A$135, 0),
           MATCH(AY$1, 'Eurostat EB products IEA'!$A$4:$BN$4, 0)
     )
     * $L16:$U16,
     0
  )
)</f>
        <v>0</v>
      </c>
      <c r="AZ16" s="17" cm="1">
        <f t="array" ref="AZ16">SUMPRODUCT(
  IF($B16:$K16&lt;&gt;"",
     INDEX('Eurostat EB products IEA'!$A$4:$BN$135,
           MATCH($B16:$K16, 'Eurostat EB products IEA'!$A$4:$A$135, 0),
           MATCH(AZ$1, 'Eurostat EB products IEA'!$A$4:$BN$4, 0)
     )
     * $L16:$U16,
     0
  )
)</f>
        <v>0</v>
      </c>
      <c r="BA16" s="17" cm="1">
        <f t="array" ref="BA16">SUMPRODUCT(
  IF($B16:$K16&lt;&gt;"",
     INDEX('Eurostat EB products IEA'!$A$4:$BN$135,
           MATCH($B16:$K16, 'Eurostat EB products IEA'!$A$4:$A$135, 0),
           MATCH(BA$1, 'Eurostat EB products IEA'!$A$4:$BN$4, 0)
     )
     * $L16:$U16,
     0
  )
)</f>
        <v>0</v>
      </c>
      <c r="BB16" s="17" cm="1">
        <f t="array" ref="BB16">SUMPRODUCT(
  IF($B16:$K16&lt;&gt;"",
     INDEX('Eurostat EB products IEA'!$A$4:$BN$135,
           MATCH($B16:$K16, 'Eurostat EB products IEA'!$A$4:$A$135, 0),
           MATCH(BB$1, 'Eurostat EB products IEA'!$A$4:$BN$4, 0)
     )
     * $L16:$U16,
     0
  )
)</f>
        <v>-149.56800000000001</v>
      </c>
      <c r="BC16" s="17" cm="1">
        <f t="array" ref="BC16">SUMPRODUCT(
  IF($B16:$K16&lt;&gt;"",
     INDEX('Eurostat EB products IEA'!$A$4:$BN$135,
           MATCH($B16:$K16, 'Eurostat EB products IEA'!$A$4:$A$135, 0),
           MATCH(BC$1, 'Eurostat EB products IEA'!$A$4:$BN$4, 0)
     )
     * $L16:$U16,
     0
  )
)</f>
        <v>0</v>
      </c>
      <c r="BD16" s="17" cm="1">
        <f t="array" ref="BD16">SUMPRODUCT(
  IF($B16:$K16&lt;&gt;"",
     INDEX('Eurostat EB products IEA'!$A$4:$BN$135,
           MATCH($B16:$K16, 'Eurostat EB products IEA'!$A$4:$A$135, 0),
           MATCH(BD$1, 'Eurostat EB products IEA'!$A$4:$BN$4, 0)
     )
     * $L16:$U16,
     0
  )
)</f>
        <v>0</v>
      </c>
      <c r="BE16" s="17" cm="1">
        <f t="array" ref="BE16">SUMPRODUCT(
  IF($B16:$K16&lt;&gt;"",
     INDEX('Eurostat EB products IEA'!$A$4:$BN$135,
           MATCH($B16:$K16, 'Eurostat EB products IEA'!$A$4:$A$135, 0),
           MATCH(BE$1, 'Eurostat EB products IEA'!$A$4:$BN$4, 0)
     )
     * $L16:$U16,
     0
  )
)</f>
        <v>0</v>
      </c>
      <c r="BF16" s="17" cm="1">
        <f t="array" ref="BF16">SUMPRODUCT(
  IF($B16:$K16&lt;&gt;"",
     INDEX('Eurostat EB products IEA'!$A$4:$BN$135,
           MATCH($B16:$K16, 'Eurostat EB products IEA'!$A$4:$A$135, 0),
           MATCH(BF$1, 'Eurostat EB products IEA'!$A$4:$BN$4, 0)
     )
     * $L16:$U16,
     0
  )
)</f>
        <v>0</v>
      </c>
      <c r="BG16" s="17" cm="1">
        <f t="array" ref="BG16">SUMPRODUCT(
  IF($B16:$K16&lt;&gt;"",
     INDEX('Eurostat EB products IEA'!$A$4:$BN$135,
           MATCH($B16:$K16, 'Eurostat EB products IEA'!$A$4:$A$135, 0),
           MATCH(BG$1, 'Eurostat EB products IEA'!$A$4:$BN$4, 0)
     )
     * $L16:$U16,
     0
  )
)</f>
        <v>0</v>
      </c>
      <c r="BH16" s="17" cm="1">
        <f t="array" ref="BH16">SUMPRODUCT(
  IF($B16:$K16&lt;&gt;"",
     INDEX('Eurostat EB products IEA'!$A$4:$BN$135,
           MATCH($B16:$K16, 'Eurostat EB products IEA'!$A$4:$A$135, 0),
           MATCH(BH$1, 'Eurostat EB products IEA'!$A$4:$BN$4, 0)
     )
     * $L16:$U16,
     0
  )
)</f>
        <v>0</v>
      </c>
      <c r="BI16" s="17" cm="1">
        <f t="array" ref="BI16">SUMPRODUCT(
  IF($B16:$K16&lt;&gt;"",
     INDEX('Eurostat EB products IEA'!$A$4:$BN$135,
           MATCH($B16:$K16, 'Eurostat EB products IEA'!$A$4:$A$135, 0),
           MATCH(BI$1, 'Eurostat EB products IEA'!$A$4:$BN$4, 0)
     )
     * $L16:$U16,
     0
  )
)</f>
        <v>0</v>
      </c>
      <c r="BJ16" s="17" cm="1">
        <f t="array" ref="BJ16">SUMPRODUCT(
  IF($B16:$K16&lt;&gt;"",
     INDEX('Eurostat EB products IEA'!$A$4:$BN$135,
           MATCH($B16:$K16, 'Eurostat EB products IEA'!$A$4:$A$135, 0),
           MATCH(BJ$1, 'Eurostat EB products IEA'!$A$4:$BN$4, 0)
     )
     * $L16:$U16,
     0
  )
)</f>
        <v>0</v>
      </c>
      <c r="BK16" s="17" cm="1">
        <f t="array" ref="BK16">SUMPRODUCT(
  IF($B16:$K16&lt;&gt;"",
     INDEX('Eurostat EB products IEA'!$A$4:$BN$135,
           MATCH($B16:$K16, 'Eurostat EB products IEA'!$A$4:$A$135, 0),
           MATCH(BK$1, 'Eurostat EB products IEA'!$A$4:$BN$4, 0)
     )
     * $L16:$U16,
     0
  )
)</f>
        <v>-190.51499999999999</v>
      </c>
      <c r="BL16" s="17" cm="1">
        <f t="array" ref="BL16">SUMPRODUCT(
  IF($B16:$K16&lt;&gt;"",
     INDEX('Eurostat EB products IEA'!$A$4:$BN$135,
           MATCH($B16:$K16, 'Eurostat EB products IEA'!$A$4:$A$135, 0),
           MATCH(BL$1, 'Eurostat EB products IEA'!$A$4:$BN$4, 0)
     )
     * $L16:$U16,
     0
  )
)</f>
        <v>-35337.54</v>
      </c>
      <c r="BM16" s="17" cm="1">
        <f t="array" ref="BM16">SUMPRODUCT(
  IF($B16:$K16&lt;&gt;"",
     INDEX('Eurostat EB products IEA'!$A$4:$BN$135,
           MATCH($B16:$K16, 'Eurostat EB products IEA'!$A$4:$A$135, 0),
           MATCH(BM$1, 'Eurostat EB products IEA'!$A$4:$BN$4, 0)
     )
     * $L16:$U16,
     0
  )
)</f>
        <v>-31337.062999999998</v>
      </c>
      <c r="BN16" s="17" cm="1">
        <f t="array" ref="BN16">SUMPRODUCT(
  IF($B16:$K16&lt;&gt;"",
     INDEX('Eurostat EB products IEA'!$A$4:$BN$135,
           MATCH($B16:$K16, 'Eurostat EB products IEA'!$A$4:$A$135, 0),
           MATCH(BN$1, 'Eurostat EB products IEA'!$A$4:$BN$4, 0)
     )
     * $L16:$U16,
     0
  )
)</f>
        <v>-11165.546</v>
      </c>
      <c r="BO16" s="17" cm="1">
        <f t="array" ref="BO16">SUMPRODUCT(
  IF($B16:$K16&lt;&gt;"",
     INDEX('Eurostat EB products IEA'!$A$4:$BN$135,
           MATCH($B16:$K16, 'Eurostat EB products IEA'!$A$4:$A$135, 0),
           MATCH(BO$1, 'Eurostat EB products IEA'!$A$4:$BN$4, 0)
     )
     * $L16:$U16,
     0
  )
)</f>
        <v>-3990.4960000000001</v>
      </c>
      <c r="BP16" s="17" cm="1">
        <f t="array" ref="BP16">SUMPRODUCT(
  IF($B16:$K16&lt;&gt;"",
     INDEX('Eurostat EB products IEA'!$A$4:$BN$135,
           MATCH($B16:$K16, 'Eurostat EB products IEA'!$A$4:$A$135, 0),
           MATCH(BP$1, 'Eurostat EB products IEA'!$A$4:$BN$4, 0)
     )
     * $L16:$U16,
     0
  )
)</f>
        <v>0</v>
      </c>
      <c r="BQ16" s="17" cm="1">
        <f t="array" ref="BQ16">SUMPRODUCT(
  IF($B16:$K16&lt;&gt;"",
     INDEX('Eurostat EB products IEA'!$A$4:$BN$135,
           MATCH($B16:$K16, 'Eurostat EB products IEA'!$A$4:$A$135, 0),
           MATCH(BQ$1, 'Eurostat EB products IEA'!$A$4:$BN$4, 0)
     )
     * $L16:$U16,
     0
  )
)</f>
        <v>0</v>
      </c>
      <c r="BR16" s="17" cm="1">
        <f t="array" ref="BR16">SUMPRODUCT(
  IF($B16:$K16&lt;&gt;"",
     INDEX('Eurostat EB products IEA'!$A$4:$BN$135,
           MATCH($B16:$K16, 'Eurostat EB products IEA'!$A$4:$A$135, 0),
           MATCH(BR$1, 'Eurostat EB products IEA'!$A$4:$BN$4, 0)
     )
     * $L16:$U16,
     0
  )
)</f>
        <v>0</v>
      </c>
      <c r="BS16" s="65">
        <v>0</v>
      </c>
      <c r="BT16" s="17" cm="1">
        <f t="array" ref="BT16">SUMPRODUCT(
  IF($B16:$K16&lt;&gt;"",
     INDEX('Eurostat EB products IEA'!$A$4:$BN$135,
           MATCH($B16:$K16, 'Eurostat EB products IEA'!$A$4:$A$135, 0),
           MATCH(BT$1, 'Eurostat EB products IEA'!$A$4:$BN$4, 0)
     )
     * $L16:$U16,
     0
  )
)</f>
        <v>0</v>
      </c>
      <c r="BU16" s="65">
        <v>0</v>
      </c>
      <c r="BV16" s="65">
        <v>0</v>
      </c>
      <c r="BW16" s="17" cm="1">
        <f t="array" ref="BW16">SUMPRODUCT(
  IF($B16:$K16&lt;&gt;"",
     INDEX('Eurostat EB products IEA'!$A$4:$BN$135,
           MATCH($B16:$K16, 'Eurostat EB products IEA'!$A$4:$A$135, 0),
           MATCH(BW$1, 'Eurostat EB products IEA'!$A$4:$BN$4, 0)
     )
     * $L16:$U16,
     0
  )
)</f>
        <v>0</v>
      </c>
      <c r="BX16" s="17" cm="1">
        <f t="array" ref="BX16">SUMPRODUCT(
  IF($B16:$K16&lt;&gt;"",
     INDEX('Eurostat EB products IEA'!$A$4:$BN$135,
           MATCH($B16:$K16, 'Eurostat EB products IEA'!$A$4:$A$135, 0),
           MATCH(BX$1, 'Eurostat EB products IEA'!$A$4:$BN$4, 0)
     )
     * $L16:$U16,
     0
  )
)</f>
        <v>0</v>
      </c>
      <c r="BY16" s="17" cm="1">
        <f t="array" ref="BY16">SUMPRODUCT(
  IF($B16:$K16&lt;&gt;"",
     INDEX('Eurostat EB products IEA'!$A$4:$BN$135,
           MATCH($B16:$K16, 'Eurostat EB products IEA'!$A$4:$A$135, 0),
           MATCH(BY$1, 'Eurostat EB products IEA'!$A$4:$BN$4, 0)
     )
     * $L16:$U16,
     0
  )
)</f>
        <v>0</v>
      </c>
      <c r="BZ16" s="17" cm="1">
        <f t="array" ref="BZ16">SUMPRODUCT(
  IF($B16:$K16&lt;&gt;"",
     INDEX('Eurostat EB products IEA'!$A$4:$BN$135,
           MATCH($B16:$K16, 'Eurostat EB products IEA'!$A$4:$A$135, 0),
           MATCH(BZ$1, 'Eurostat EB products IEA'!$A$4:$BN$4, 0)
     )
     * $L16:$U16,
     0
  )
)</f>
        <v>0</v>
      </c>
      <c r="CA16" s="17" cm="1">
        <f t="array" ref="CA16">SUMPRODUCT(
  IF($B16:$K16&lt;&gt;"",
     INDEX('Eurostat EB products IEA'!$A$4:$BN$135,
           MATCH($B16:$K16, 'Eurostat EB products IEA'!$A$4:$A$135, 0),
           MATCH(CA$1, 'Eurostat EB products IEA'!$A$4:$BN$4, 0)
     )
     * $L16:$U16,
     0
  )
)</f>
        <v>0</v>
      </c>
      <c r="CB16" s="17" cm="1">
        <f t="array" ref="CB16">SUMPRODUCT(
  IF($B16:$K16&lt;&gt;"",
     INDEX('Eurostat EB products IEA'!$A$4:$BN$135,
           MATCH($B16:$K16, 'Eurostat EB products IEA'!$A$4:$A$135, 0),
           MATCH(CB$1, 'Eurostat EB products IEA'!$A$4:$BN$4, 0)
     )
     * $L16:$U16,
     0
  )
)</f>
        <v>0</v>
      </c>
      <c r="CC16" s="17" cm="1">
        <f t="array" ref="CC16">SUMPRODUCT(
  IF($B16:$K16&lt;&gt;"",
     INDEX('Eurostat EB products IEA'!$A$4:$BN$135,
           MATCH($B16:$K16, 'Eurostat EB products IEA'!$A$4:$A$135, 0),
           MATCH(CC$1, 'Eurostat EB products IEA'!$A$4:$BN$4, 0)
     )
     * $L16:$U16,
     0
  )
)</f>
        <v>0</v>
      </c>
      <c r="CD16" s="65">
        <v>0</v>
      </c>
      <c r="CE16" s="17" cm="1">
        <f t="array" ref="CE16">SUMPRODUCT(
  IF($B16:$K16&lt;&gt;"",
     INDEX('Eurostat EB products IEA'!$A$4:$BN$135,
           MATCH($B16:$K16, 'Eurostat EB products IEA'!$A$4:$A$135, 0),
           MATCH(CE$1, 'Eurostat EB products IEA'!$A$4:$BN$4, 0)
     )
     * $L16:$U16,
     0
  )
)</f>
        <v>78532.501999999993</v>
      </c>
      <c r="CF16" s="17" cm="1">
        <f t="array" ref="CF16">SUMPRODUCT(
  IF($B16:$K16&lt;&gt;"",
     INDEX('Eurostat EB products IEA'!$A$4:$BN$135,
           MATCH($B16:$K16, 'Eurostat EB products IEA'!$A$4:$A$135, 0),
           MATCH(CF$1, 'Eurostat EB products IEA'!$A$4:$BN$4, 0)
     )
     * $L16:$U16,
     0
  )
)</f>
        <v>33365.031999999999</v>
      </c>
      <c r="CG16" s="17" cm="1">
        <f t="array" ref="CG16">SUMPRODUCT(
  IF($B16:$K16&lt;&gt;"",
     INDEX('Eurostat EB products IEA'!$A$4:$BN$135,
           MATCH($B16:$K16, 'Eurostat EB products IEA'!$A$4:$A$135, 0),
           MATCH(CG$1, 'Eurostat EB products IEA'!$A$4:$BN$4, 0)
     )
     * $L16:$U16,
     0
  )
)</f>
        <v>-63923.887999999992</v>
      </c>
      <c r="CH16" s="17" cm="1">
        <f t="array" ref="CH16">SUMPRODUCT(
  IF($B16:$K16&lt;&gt;"",
     INDEX('Eurostat EB products IEA'!$A$4:$BN$135,
           MATCH($B16:$K16, 'Eurostat EB products IEA'!$A$4:$A$135, 0),
           MATCH(CH$1, 'Eurostat EB products IEA'!$A$4:$BN$4, 0)
     )
     * $L16:$U16,
     0
  )
)</f>
        <v>-38756.358</v>
      </c>
    </row>
    <row r="17" spans="1:86" x14ac:dyDescent="0.2">
      <c r="A17" t="s">
        <v>154</v>
      </c>
      <c r="B17" s="75"/>
      <c r="C17" s="77"/>
      <c r="D17" s="75"/>
      <c r="E17" s="77"/>
      <c r="F17" s="75"/>
      <c r="G17" s="77"/>
      <c r="H17" s="75"/>
      <c r="I17" s="77"/>
      <c r="J17" s="74" t="s">
        <v>208</v>
      </c>
      <c r="K17" s="78" t="s">
        <v>236</v>
      </c>
      <c r="L17" s="76"/>
      <c r="M17" s="79"/>
      <c r="N17" s="76"/>
      <c r="O17" s="79"/>
      <c r="P17" s="76"/>
      <c r="Q17" s="79"/>
      <c r="R17" s="76"/>
      <c r="S17" s="79"/>
      <c r="T17" s="76">
        <v>-1</v>
      </c>
      <c r="U17" s="79">
        <v>1</v>
      </c>
      <c r="V17" s="65" t="s">
        <v>323</v>
      </c>
      <c r="W17" s="65" t="s">
        <v>323</v>
      </c>
      <c r="X17" s="57" cm="1">
        <f t="array" ref="X17">SUMPRODUCT(
  IF($B17:$K17&lt;&gt;"",
     INDEX('Eurostat EB products IEA'!$A$4:$BN$135,
           MATCH($B17:$K17, 'Eurostat EB products IEA'!$A$4:$A$135, 0),
           MATCH(X$1, 'Eurostat EB products IEA'!$A$4:$BN$4, 0)
     )
     * $L17:$U17,
     0
  )
)</f>
        <v>0</v>
      </c>
      <c r="Y17" s="57" cm="1">
        <f t="array" ref="Y17">SUMPRODUCT(
  IF($B17:$K17&lt;&gt;"",
     INDEX('Eurostat EB products IEA'!$A$4:$BN$135,
           MATCH($B17:$K17, 'Eurostat EB products IEA'!$A$4:$A$135, 0),
           MATCH(Y$1, 'Eurostat EB products IEA'!$A$4:$BN$4, 0)
     )
     * $L17:$U17,
     0
  )
)</f>
        <v>0</v>
      </c>
      <c r="Z17" s="57" cm="1">
        <f t="array" ref="Z17">SUMPRODUCT(
  IF($B17:$K17&lt;&gt;"",
     INDEX('Eurostat EB products IEA'!$A$4:$BN$135,
           MATCH($B17:$K17, 'Eurostat EB products IEA'!$A$4:$A$135, 0),
           MATCH(Z$1, 'Eurostat EB products IEA'!$A$4:$BN$4, 0)
     )
     * $L17:$U17,
     0
  )
)</f>
        <v>0</v>
      </c>
      <c r="AA17" s="57" cm="1">
        <f t="array" ref="AA17">SUMPRODUCT(
  IF($B17:$K17&lt;&gt;"",
     INDEX('Eurostat EB products IEA'!$A$4:$BN$135,
           MATCH($B17:$K17, 'Eurostat EB products IEA'!$A$4:$A$135, 0),
           MATCH(AA$1, 'Eurostat EB products IEA'!$A$4:$BN$4, 0)
     )
     * $L17:$U17,
     0
  )
)</f>
        <v>0</v>
      </c>
      <c r="AB17" s="57" cm="1">
        <f t="array" ref="AB17">SUMPRODUCT(
  IF($B17:$K17&lt;&gt;"",
     INDEX('Eurostat EB products IEA'!$A$4:$BN$135,
           MATCH($B17:$K17, 'Eurostat EB products IEA'!$A$4:$A$135, 0),
           MATCH(AB$1, 'Eurostat EB products IEA'!$A$4:$BN$4, 0)
     )
     * $L17:$U17,
     0
  )
)</f>
        <v>0</v>
      </c>
      <c r="AC17" s="57" cm="1">
        <f t="array" ref="AC17">SUMPRODUCT(
  IF($B17:$K17&lt;&gt;"",
     INDEX('Eurostat EB products IEA'!$A$4:$BN$135,
           MATCH($B17:$K17, 'Eurostat EB products IEA'!$A$4:$A$135, 0),
           MATCH(AC$1, 'Eurostat EB products IEA'!$A$4:$BN$4, 0)
     )
     * $L17:$U17,
     0
  )
)</f>
        <v>0</v>
      </c>
      <c r="AD17" s="57" cm="1">
        <f t="array" ref="AD17">SUMPRODUCT(
  IF($B17:$K17&lt;&gt;"",
     INDEX('Eurostat EB products IEA'!$A$4:$BN$135,
           MATCH($B17:$K17, 'Eurostat EB products IEA'!$A$4:$A$135, 0),
           MATCH(AD$1, 'Eurostat EB products IEA'!$A$4:$BN$4, 0)
     )
     * $L17:$U17,
     0
  )
)</f>
        <v>0</v>
      </c>
      <c r="AE17" s="57" cm="1">
        <f t="array" ref="AE17">SUMPRODUCT(
  IF($B17:$K17&lt;&gt;"",
     INDEX('Eurostat EB products IEA'!$A$4:$BN$135,
           MATCH($B17:$K17, 'Eurostat EB products IEA'!$A$4:$A$135, 0),
           MATCH(AE$1, 'Eurostat EB products IEA'!$A$4:$BN$4, 0)
     )
     * $L17:$U17,
     0
  )
)</f>
        <v>0</v>
      </c>
      <c r="AF17" s="57" cm="1">
        <f t="array" ref="AF17">SUMPRODUCT(
  IF($B17:$K17&lt;&gt;"",
     INDEX('Eurostat EB products IEA'!$A$4:$BN$135,
           MATCH($B17:$K17, 'Eurostat EB products IEA'!$A$4:$A$135, 0),
           MATCH(AF$1, 'Eurostat EB products IEA'!$A$4:$BN$4, 0)
     )
     * $L17:$U17,
     0
  )
)</f>
        <v>0</v>
      </c>
      <c r="AG17" s="57" cm="1">
        <f t="array" ref="AG17">SUMPRODUCT(
  IF($B17:$K17&lt;&gt;"",
     INDEX('Eurostat EB products IEA'!$A$4:$BN$135,
           MATCH($B17:$K17, 'Eurostat EB products IEA'!$A$4:$A$135, 0),
           MATCH(AG$1, 'Eurostat EB products IEA'!$A$4:$BN$4, 0)
     )
     * $L17:$U17,
     0
  )
)</f>
        <v>0</v>
      </c>
      <c r="AH17" s="57" cm="1">
        <f t="array" ref="AH17">SUMPRODUCT(
  IF($B17:$K17&lt;&gt;"",
     INDEX('Eurostat EB products IEA'!$A$4:$BN$135,
           MATCH($B17:$K17, 'Eurostat EB products IEA'!$A$4:$A$135, 0),
           MATCH(AH$1, 'Eurostat EB products IEA'!$A$4:$BN$4, 0)
     )
     * $L17:$U17,
     0
  )
)</f>
        <v>0</v>
      </c>
      <c r="AI17" s="57" cm="1">
        <f t="array" ref="AI17">SUMPRODUCT(
  IF($B17:$K17&lt;&gt;"",
     INDEX('Eurostat EB products IEA'!$A$4:$BN$135,
           MATCH($B17:$K17, 'Eurostat EB products IEA'!$A$4:$A$135, 0),
           MATCH(AI$1, 'Eurostat EB products IEA'!$A$4:$BN$4, 0)
     )
     * $L17:$U17,
     0
  )
)</f>
        <v>0</v>
      </c>
      <c r="AJ17" s="57" cm="1">
        <f t="array" ref="AJ17">SUMPRODUCT(
  IF($B17:$K17&lt;&gt;"",
     INDEX('Eurostat EB products IEA'!$A$4:$BN$135,
           MATCH($B17:$K17, 'Eurostat EB products IEA'!$A$4:$A$135, 0),
           MATCH(AJ$1, 'Eurostat EB products IEA'!$A$4:$BN$4, 0)
     )
     * $L17:$U17,
     0
  )
)</f>
        <v>0</v>
      </c>
      <c r="AK17" s="57" cm="1">
        <f t="array" ref="AK17">SUMPRODUCT(
  IF($B17:$K17&lt;&gt;"",
     INDEX('Eurostat EB products IEA'!$A$4:$BN$135,
           MATCH($B17:$K17, 'Eurostat EB products IEA'!$A$4:$A$135, 0),
           MATCH(AK$1, 'Eurostat EB products IEA'!$A$4:$BN$4, 0)
     )
     * $L17:$U17,
     0
  )
)</f>
        <v>0</v>
      </c>
      <c r="AL17" s="57" cm="1">
        <f t="array" ref="AL17">SUMPRODUCT(
  IF($B17:$K17&lt;&gt;"",
     INDEX('Eurostat EB products IEA'!$A$4:$BN$135,
           MATCH($B17:$K17, 'Eurostat EB products IEA'!$A$4:$A$135, 0),
           MATCH(AL$1, 'Eurostat EB products IEA'!$A$4:$BN$4, 0)
     )
     * $L17:$U17,
     0
  )
)</f>
        <v>0</v>
      </c>
      <c r="AM17" s="57" cm="1">
        <f t="array" ref="AM17">SUMPRODUCT(
  IF($B17:$K17&lt;&gt;"",
     INDEX('Eurostat EB products IEA'!$A$4:$BN$135,
           MATCH($B17:$K17, 'Eurostat EB products IEA'!$A$4:$A$135, 0),
           MATCH(AM$1, 'Eurostat EB products IEA'!$A$4:$BN$4, 0)
     )
     * $L17:$U17,
     0
  )
)</f>
        <v>-10592.293</v>
      </c>
      <c r="AN17" s="65" t="s">
        <v>323</v>
      </c>
      <c r="AO17" s="57" cm="1">
        <f t="array" ref="AO17">SUMPRODUCT(
  IF($B17:$K17&lt;&gt;"",
     INDEX('Eurostat EB products IEA'!$A$4:$BN$135,
           MATCH($B17:$K17, 'Eurostat EB products IEA'!$A$4:$A$135, 0),
           MATCH(AO$1, 'Eurostat EB products IEA'!$A$4:$BN$4, 0)
     )
     * $L17:$U17,
     0
  )
)</f>
        <v>0</v>
      </c>
      <c r="AP17" s="57" cm="1">
        <f t="array" ref="AP17">SUMPRODUCT(
  IF($B17:$K17&lt;&gt;"",
     INDEX('Eurostat EB products IEA'!$A$4:$BN$135,
           MATCH($B17:$K17, 'Eurostat EB products IEA'!$A$4:$A$135, 0),
           MATCH(AP$1, 'Eurostat EB products IEA'!$A$4:$BN$4, 0)
     )
     * $L17:$U17,
     0
  )
)</f>
        <v>0</v>
      </c>
      <c r="AQ17" s="57" cm="1">
        <f t="array" ref="AQ17">SUMPRODUCT(
  IF($B17:$K17&lt;&gt;"",
     INDEX('Eurostat EB products IEA'!$A$4:$BN$135,
           MATCH($B17:$K17, 'Eurostat EB products IEA'!$A$4:$A$135, 0),
           MATCH(AQ$1, 'Eurostat EB products IEA'!$A$4:$BN$4, 0)
     )
     * $L17:$U17,
     0
  )
)</f>
        <v>0</v>
      </c>
      <c r="AR17" s="57" cm="1">
        <f t="array" ref="AR17">SUMPRODUCT(
  IF($B17:$K17&lt;&gt;"",
     INDEX('Eurostat EB products IEA'!$A$4:$BN$135,
           MATCH($B17:$K17, 'Eurostat EB products IEA'!$A$4:$A$135, 0),
           MATCH(AR$1, 'Eurostat EB products IEA'!$A$4:$BN$4, 0)
     )
     * $L17:$U17,
     0
  )
)</f>
        <v>0</v>
      </c>
      <c r="AS17" s="57" cm="1">
        <f t="array" ref="AS17">SUMPRODUCT(
  IF($B17:$K17&lt;&gt;"",
     INDEX('Eurostat EB products IEA'!$A$4:$BN$135,
           MATCH($B17:$K17, 'Eurostat EB products IEA'!$A$4:$A$135, 0),
           MATCH(AS$1, 'Eurostat EB products IEA'!$A$4:$BN$4, 0)
     )
     * $L17:$U17,
     0
  )
)</f>
        <v>0</v>
      </c>
      <c r="AT17" s="57" cm="1">
        <f t="array" ref="AT17">SUMPRODUCT(
  IF($B17:$K17&lt;&gt;"",
     INDEX('Eurostat EB products IEA'!$A$4:$BN$135,
           MATCH($B17:$K17, 'Eurostat EB products IEA'!$A$4:$A$135, 0),
           MATCH(AT$1, 'Eurostat EB products IEA'!$A$4:$BN$4, 0)
     )
     * $L17:$U17,
     0
  )
)</f>
        <v>-3652.7570000000001</v>
      </c>
      <c r="AU17" s="57" cm="1">
        <f t="array" ref="AU17">SUMPRODUCT(
  IF($B17:$K17&lt;&gt;"",
     INDEX('Eurostat EB products IEA'!$A$4:$BN$135,
           MATCH($B17:$K17, 'Eurostat EB products IEA'!$A$4:$A$135, 0),
           MATCH(AU$1, 'Eurostat EB products IEA'!$A$4:$BN$4, 0)
     )
     * $L17:$U17,
     0
  )
)</f>
        <v>0</v>
      </c>
      <c r="AV17" s="57" cm="1">
        <f t="array" ref="AV17">SUMPRODUCT(
  IF($B17:$K17&lt;&gt;"",
     INDEX('Eurostat EB products IEA'!$A$4:$BN$135,
           MATCH($B17:$K17, 'Eurostat EB products IEA'!$A$4:$A$135, 0),
           MATCH(AV$1, 'Eurostat EB products IEA'!$A$4:$BN$4, 0)
     )
     * $L17:$U17,
     0
  )
)</f>
        <v>0</v>
      </c>
      <c r="AW17" s="57" cm="1">
        <f t="array" ref="AW17">SUMPRODUCT(
  IF($B17:$K17&lt;&gt;"",
     INDEX('Eurostat EB products IEA'!$A$4:$BN$135,
           MATCH($B17:$K17, 'Eurostat EB products IEA'!$A$4:$A$135, 0),
           MATCH(AW$1, 'Eurostat EB products IEA'!$A$4:$BN$4, 0)
     )
     * $L17:$U17,
     0
  )
)</f>
        <v>0</v>
      </c>
      <c r="AX17" s="57" cm="1">
        <f t="array" ref="AX17">SUMPRODUCT(
  IF($B17:$K17&lt;&gt;"",
     INDEX('Eurostat EB products IEA'!$A$4:$BN$135,
           MATCH($B17:$K17, 'Eurostat EB products IEA'!$A$4:$A$135, 0),
           MATCH(AX$1, 'Eurostat EB products IEA'!$A$4:$BN$4, 0)
     )
     * $L17:$U17,
     0
  )
)</f>
        <v>0</v>
      </c>
      <c r="AY17" s="57" cm="1">
        <f t="array" ref="AY17">SUMPRODUCT(
  IF($B17:$K17&lt;&gt;"",
     INDEX('Eurostat EB products IEA'!$A$4:$BN$135,
           MATCH($B17:$K17, 'Eurostat EB products IEA'!$A$4:$A$135, 0),
           MATCH(AY$1, 'Eurostat EB products IEA'!$A$4:$BN$4, 0)
     )
     * $L17:$U17,
     0
  )
)</f>
        <v>0</v>
      </c>
      <c r="AZ17" s="57" cm="1">
        <f t="array" ref="AZ17">SUMPRODUCT(
  IF($B17:$K17&lt;&gt;"",
     INDEX('Eurostat EB products IEA'!$A$4:$BN$135,
           MATCH($B17:$K17, 'Eurostat EB products IEA'!$A$4:$A$135, 0),
           MATCH(AZ$1, 'Eurostat EB products IEA'!$A$4:$BN$4, 0)
     )
     * $L17:$U17,
     0
  )
)</f>
        <v>0</v>
      </c>
      <c r="BA17" s="57" cm="1">
        <f t="array" ref="BA17">SUMPRODUCT(
  IF($B17:$K17&lt;&gt;"",
     INDEX('Eurostat EB products IEA'!$A$4:$BN$135,
           MATCH($B17:$K17, 'Eurostat EB products IEA'!$A$4:$A$135, 0),
           MATCH(BA$1, 'Eurostat EB products IEA'!$A$4:$BN$4, 0)
     )
     * $L17:$U17,
     0
  )
)</f>
        <v>0</v>
      </c>
      <c r="BB17" s="57" cm="1">
        <f t="array" ref="BB17">SUMPRODUCT(
  IF($B17:$K17&lt;&gt;"",
     INDEX('Eurostat EB products IEA'!$A$4:$BN$135,
           MATCH($B17:$K17, 'Eurostat EB products IEA'!$A$4:$A$135, 0),
           MATCH(BB$1, 'Eurostat EB products IEA'!$A$4:$BN$4, 0)
     )
     * $L17:$U17,
     0
  )
)</f>
        <v>0</v>
      </c>
      <c r="BC17" s="57" cm="1">
        <f t="array" ref="BC17">SUMPRODUCT(
  IF($B17:$K17&lt;&gt;"",
     INDEX('Eurostat EB products IEA'!$A$4:$BN$135,
           MATCH($B17:$K17, 'Eurostat EB products IEA'!$A$4:$A$135, 0),
           MATCH(BC$1, 'Eurostat EB products IEA'!$A$4:$BN$4, 0)
     )
     * $L17:$U17,
     0
  )
)</f>
        <v>0</v>
      </c>
      <c r="BD17" s="57" cm="1">
        <f t="array" ref="BD17">SUMPRODUCT(
  IF($B17:$K17&lt;&gt;"",
     INDEX('Eurostat EB products IEA'!$A$4:$BN$135,
           MATCH($B17:$K17, 'Eurostat EB products IEA'!$A$4:$A$135, 0),
           MATCH(BD$1, 'Eurostat EB products IEA'!$A$4:$BN$4, 0)
     )
     * $L17:$U17,
     0
  )
)</f>
        <v>0</v>
      </c>
      <c r="BE17" s="57" cm="1">
        <f t="array" ref="BE17">SUMPRODUCT(
  IF($B17:$K17&lt;&gt;"",
     INDEX('Eurostat EB products IEA'!$A$4:$BN$135,
           MATCH($B17:$K17, 'Eurostat EB products IEA'!$A$4:$A$135, 0),
           MATCH(BE$1, 'Eurostat EB products IEA'!$A$4:$BN$4, 0)
     )
     * $L17:$U17,
     0
  )
)</f>
        <v>0</v>
      </c>
      <c r="BF17" s="57" cm="1">
        <f t="array" ref="BF17">SUMPRODUCT(
  IF($B17:$K17&lt;&gt;"",
     INDEX('Eurostat EB products IEA'!$A$4:$BN$135,
           MATCH($B17:$K17, 'Eurostat EB products IEA'!$A$4:$A$135, 0),
           MATCH(BF$1, 'Eurostat EB products IEA'!$A$4:$BN$4, 0)
     )
     * $L17:$U17,
     0
  )
)</f>
        <v>0</v>
      </c>
      <c r="BG17" s="57" cm="1">
        <f t="array" ref="BG17">SUMPRODUCT(
  IF($B17:$K17&lt;&gt;"",
     INDEX('Eurostat EB products IEA'!$A$4:$BN$135,
           MATCH($B17:$K17, 'Eurostat EB products IEA'!$A$4:$A$135, 0),
           MATCH(BG$1, 'Eurostat EB products IEA'!$A$4:$BN$4, 0)
     )
     * $L17:$U17,
     0
  )
)</f>
        <v>0</v>
      </c>
      <c r="BH17" s="57" cm="1">
        <f t="array" ref="BH17">SUMPRODUCT(
  IF($B17:$K17&lt;&gt;"",
     INDEX('Eurostat EB products IEA'!$A$4:$BN$135,
           MATCH($B17:$K17, 'Eurostat EB products IEA'!$A$4:$A$135, 0),
           MATCH(BH$1, 'Eurostat EB products IEA'!$A$4:$BN$4, 0)
     )
     * $L17:$U17,
     0
  )
)</f>
        <v>0</v>
      </c>
      <c r="BI17" s="57" cm="1">
        <f t="array" ref="BI17">SUMPRODUCT(
  IF($B17:$K17&lt;&gt;"",
     INDEX('Eurostat EB products IEA'!$A$4:$BN$135,
           MATCH($B17:$K17, 'Eurostat EB products IEA'!$A$4:$A$135, 0),
           MATCH(BI$1, 'Eurostat EB products IEA'!$A$4:$BN$4, 0)
     )
     * $L17:$U17,
     0
  )
)</f>
        <v>0</v>
      </c>
      <c r="BJ17" s="57" cm="1">
        <f t="array" ref="BJ17">SUMPRODUCT(
  IF($B17:$K17&lt;&gt;"",
     INDEX('Eurostat EB products IEA'!$A$4:$BN$135,
           MATCH($B17:$K17, 'Eurostat EB products IEA'!$A$4:$A$135, 0),
           MATCH(BJ$1, 'Eurostat EB products IEA'!$A$4:$BN$4, 0)
     )
     * $L17:$U17,
     0
  )
)</f>
        <v>-2.4E-2</v>
      </c>
      <c r="BK17" s="57" cm="1">
        <f t="array" ref="BK17">SUMPRODUCT(
  IF($B17:$K17&lt;&gt;"",
     INDEX('Eurostat EB products IEA'!$A$4:$BN$135,
           MATCH($B17:$K17, 'Eurostat EB products IEA'!$A$4:$A$135, 0),
           MATCH(BK$1, 'Eurostat EB products IEA'!$A$4:$BN$4, 0)
     )
     * $L17:$U17,
     0
  )
)</f>
        <v>-15.891999999999999</v>
      </c>
      <c r="BL17" s="57" cm="1">
        <f t="array" ref="BL17">SUMPRODUCT(
  IF($B17:$K17&lt;&gt;"",
     INDEX('Eurostat EB products IEA'!$A$4:$BN$135,
           MATCH($B17:$K17, 'Eurostat EB products IEA'!$A$4:$A$135, 0),
           MATCH(BL$1, 'Eurostat EB products IEA'!$A$4:$BN$4, 0)
     )
     * $L17:$U17,
     0
  )
)</f>
        <v>0</v>
      </c>
      <c r="BM17" s="57" cm="1">
        <f t="array" ref="BM17">SUMPRODUCT(
  IF($B17:$K17&lt;&gt;"",
     INDEX('Eurostat EB products IEA'!$A$4:$BN$135,
           MATCH($B17:$K17, 'Eurostat EB products IEA'!$A$4:$A$135, 0),
           MATCH(BM$1, 'Eurostat EB products IEA'!$A$4:$BN$4, 0)
     )
     * $L17:$U17,
     0
  )
)</f>
        <v>0</v>
      </c>
      <c r="BN17" s="57" cm="1">
        <f t="array" ref="BN17">SUMPRODUCT(
  IF($B17:$K17&lt;&gt;"",
     INDEX('Eurostat EB products IEA'!$A$4:$BN$135,
           MATCH($B17:$K17, 'Eurostat EB products IEA'!$A$4:$A$135, 0),
           MATCH(BN$1, 'Eurostat EB products IEA'!$A$4:$BN$4, 0)
     )
     * $L17:$U17,
     0
  )
)</f>
        <v>-4138.8140000000003</v>
      </c>
      <c r="BO17" s="57" cm="1">
        <f t="array" ref="BO17">SUMPRODUCT(
  IF($B17:$K17&lt;&gt;"",
     INDEX('Eurostat EB products IEA'!$A$4:$BN$135,
           MATCH($B17:$K17, 'Eurostat EB products IEA'!$A$4:$A$135, 0),
           MATCH(BO$1, 'Eurostat EB products IEA'!$A$4:$BN$4, 0)
     )
     * $L17:$U17,
     0
  )
)</f>
        <v>0</v>
      </c>
      <c r="BP17" s="57" cm="1">
        <f t="array" ref="BP17">SUMPRODUCT(
  IF($B17:$K17&lt;&gt;"",
     INDEX('Eurostat EB products IEA'!$A$4:$BN$135,
           MATCH($B17:$K17, 'Eurostat EB products IEA'!$A$4:$A$135, 0),
           MATCH(BP$1, 'Eurostat EB products IEA'!$A$4:$BN$4, 0)
     )
     * $L17:$U17,
     0
  )
)</f>
        <v>0</v>
      </c>
      <c r="BQ17" s="57" cm="1">
        <f t="array" ref="BQ17">SUMPRODUCT(
  IF($B17:$K17&lt;&gt;"",
     INDEX('Eurostat EB products IEA'!$A$4:$BN$135,
           MATCH($B17:$K17, 'Eurostat EB products IEA'!$A$4:$A$135, 0),
           MATCH(BQ$1, 'Eurostat EB products IEA'!$A$4:$BN$4, 0)
     )
     * $L17:$U17,
     0
  )
)</f>
        <v>0</v>
      </c>
      <c r="BR17" s="57" cm="1">
        <f t="array" ref="BR17">SUMPRODUCT(
  IF($B17:$K17&lt;&gt;"",
     INDEX('Eurostat EB products IEA'!$A$4:$BN$135,
           MATCH($B17:$K17, 'Eurostat EB products IEA'!$A$4:$A$135, 0),
           MATCH(BR$1, 'Eurostat EB products IEA'!$A$4:$BN$4, 0)
     )
     * $L17:$U17,
     0
  )
)</f>
        <v>0</v>
      </c>
      <c r="BS17" s="65">
        <v>0</v>
      </c>
      <c r="BT17" s="57" cm="1">
        <f t="array" ref="BT17">SUMPRODUCT(
  IF($B17:$K17&lt;&gt;"",
     INDEX('Eurostat EB products IEA'!$A$4:$BN$135,
           MATCH($B17:$K17, 'Eurostat EB products IEA'!$A$4:$A$135, 0),
           MATCH(BT$1, 'Eurostat EB products IEA'!$A$4:$BN$4, 0)
     )
     * $L17:$U17,
     0
  )
)</f>
        <v>0</v>
      </c>
      <c r="BU17" s="65">
        <v>0</v>
      </c>
      <c r="BV17" s="65">
        <v>0</v>
      </c>
      <c r="BW17" s="57" cm="1">
        <f t="array" ref="BW17">SUMPRODUCT(
  IF($B17:$K17&lt;&gt;"",
     INDEX('Eurostat EB products IEA'!$A$4:$BN$135,
           MATCH($B17:$K17, 'Eurostat EB products IEA'!$A$4:$A$135, 0),
           MATCH(BW$1, 'Eurostat EB products IEA'!$A$4:$BN$4, 0)
     )
     * $L17:$U17,
     0
  )
)</f>
        <v>0</v>
      </c>
      <c r="BX17" s="57" cm="1">
        <f t="array" ref="BX17">SUMPRODUCT(
  IF($B17:$K17&lt;&gt;"",
     INDEX('Eurostat EB products IEA'!$A$4:$BN$135,
           MATCH($B17:$K17, 'Eurostat EB products IEA'!$A$4:$A$135, 0),
           MATCH(BX$1, 'Eurostat EB products IEA'!$A$4:$BN$4, 0)
     )
     * $L17:$U17,
     0
  )
)</f>
        <v>0</v>
      </c>
      <c r="BY17" s="57" cm="1">
        <f t="array" ref="BY17">SUMPRODUCT(
  IF($B17:$K17&lt;&gt;"",
     INDEX('Eurostat EB products IEA'!$A$4:$BN$135,
           MATCH($B17:$K17, 'Eurostat EB products IEA'!$A$4:$A$135, 0),
           MATCH(BY$1, 'Eurostat EB products IEA'!$A$4:$BN$4, 0)
     )
     * $L17:$U17,
     0
  )
)</f>
        <v>0</v>
      </c>
      <c r="BZ17" s="57" cm="1">
        <f t="array" ref="BZ17">SUMPRODUCT(
  IF($B17:$K17&lt;&gt;"",
     INDEX('Eurostat EB products IEA'!$A$4:$BN$135,
           MATCH($B17:$K17, 'Eurostat EB products IEA'!$A$4:$A$135, 0),
           MATCH(BZ$1, 'Eurostat EB products IEA'!$A$4:$BN$4, 0)
     )
     * $L17:$U17,
     0
  )
)</f>
        <v>0</v>
      </c>
      <c r="CA17" s="57" cm="1">
        <f t="array" ref="CA17">SUMPRODUCT(
  IF($B17:$K17&lt;&gt;"",
     INDEX('Eurostat EB products IEA'!$A$4:$BN$135,
           MATCH($B17:$K17, 'Eurostat EB products IEA'!$A$4:$A$135, 0),
           MATCH(CA$1, 'Eurostat EB products IEA'!$A$4:$BN$4, 0)
     )
     * $L17:$U17,
     0
  )
)</f>
        <v>0</v>
      </c>
      <c r="CB17" s="57" cm="1">
        <f t="array" ref="CB17">SUMPRODUCT(
  IF($B17:$K17&lt;&gt;"",
     INDEX('Eurostat EB products IEA'!$A$4:$BN$135,
           MATCH($B17:$K17, 'Eurostat EB products IEA'!$A$4:$A$135, 0),
           MATCH(CB$1, 'Eurostat EB products IEA'!$A$4:$BN$4, 0)
     )
     * $L17:$U17,
     0
  )
)</f>
        <v>0</v>
      </c>
      <c r="CC17" s="57" cm="1">
        <f t="array" ref="CC17">SUMPRODUCT(
  IF($B17:$K17&lt;&gt;"",
     INDEX('Eurostat EB products IEA'!$A$4:$BN$135,
           MATCH($B17:$K17, 'Eurostat EB products IEA'!$A$4:$A$135, 0),
           MATCH(CC$1, 'Eurostat EB products IEA'!$A$4:$BN$4, 0)
     )
     * $L17:$U17,
     0
  )
)</f>
        <v>0</v>
      </c>
      <c r="CD17" s="65">
        <v>0</v>
      </c>
      <c r="CE17" s="57" cm="1">
        <f t="array" ref="CE17">SUMPRODUCT(
  IF($B17:$K17&lt;&gt;"",
     INDEX('Eurostat EB products IEA'!$A$4:$BN$135,
           MATCH($B17:$K17, 'Eurostat EB products IEA'!$A$4:$A$135, 0),
           MATCH(CE$1, 'Eurostat EB products IEA'!$A$4:$BN$4, 0)
     )
     * $L17:$U17,
     0
  )
)</f>
        <v>0</v>
      </c>
      <c r="CF17" s="57" cm="1">
        <f t="array" ref="CF17">SUMPRODUCT(
  IF($B17:$K17&lt;&gt;"",
     INDEX('Eurostat EB products IEA'!$A$4:$BN$135,
           MATCH($B17:$K17, 'Eurostat EB products IEA'!$A$4:$A$135, 0),
           MATCH(CF$1, 'Eurostat EB products IEA'!$A$4:$BN$4, 0)
     )
     * $L17:$U17,
     0
  )
)</f>
        <v>17195.844000000001</v>
      </c>
      <c r="CG17" s="57" cm="1">
        <f t="array" ref="CG17">SUMPRODUCT(
  IF($B17:$K17&lt;&gt;"",
     INDEX('Eurostat EB products IEA'!$A$4:$BN$135,
           MATCH($B17:$K17, 'Eurostat EB products IEA'!$A$4:$A$135, 0),
           MATCH(CG$1, 'Eurostat EB products IEA'!$A$4:$BN$4, 0)
     )
     * $L17:$U17,
     0
  )
)</f>
        <v>-1203.9359999999979</v>
      </c>
      <c r="CH17" s="57" cm="1">
        <f t="array" ref="CH17">SUMPRODUCT(
  IF($B17:$K17&lt;&gt;"",
     INDEX('Eurostat EB products IEA'!$A$4:$BN$135,
           MATCH($B17:$K17, 'Eurostat EB products IEA'!$A$4:$A$135, 0),
           MATCH(CH$1, 'Eurostat EB products IEA'!$A$4:$BN$4, 0)
     )
     * $L17:$U17,
     0
  )
)</f>
        <v>-472.49100000000044</v>
      </c>
    </row>
    <row r="18" spans="1:86" x14ac:dyDescent="0.2">
      <c r="A18" t="s">
        <v>155</v>
      </c>
      <c r="B18" s="75"/>
      <c r="C18" s="77"/>
      <c r="D18" s="75"/>
      <c r="E18" s="77"/>
      <c r="F18" s="75"/>
      <c r="G18" s="77"/>
      <c r="H18" s="75"/>
      <c r="I18" s="77"/>
      <c r="J18" s="74" t="s">
        <v>211</v>
      </c>
      <c r="K18" s="78" t="s">
        <v>239</v>
      </c>
      <c r="L18" s="76"/>
      <c r="M18" s="79"/>
      <c r="N18" s="76"/>
      <c r="O18" s="79"/>
      <c r="P18" s="76"/>
      <c r="Q18" s="79"/>
      <c r="R18" s="76"/>
      <c r="S18" s="79"/>
      <c r="T18" s="76">
        <v>-1</v>
      </c>
      <c r="U18" s="79">
        <v>1</v>
      </c>
      <c r="V18" s="65" t="s">
        <v>323</v>
      </c>
      <c r="W18" s="65" t="s">
        <v>323</v>
      </c>
      <c r="X18" s="17" cm="1">
        <f t="array" ref="X18">SUMPRODUCT(
  IF($B18:$K18&lt;&gt;"",
     INDEX('Eurostat EB products IEA'!$A$4:$BN$135,
           MATCH($B18:$K18, 'Eurostat EB products IEA'!$A$4:$A$135, 0),
           MATCH(X$1, 'Eurostat EB products IEA'!$A$4:$BN$4, 0)
     )
     * $L18:$U18,
     0
  )
)</f>
        <v>0</v>
      </c>
      <c r="Y18" s="17" cm="1">
        <f t="array" ref="Y18">SUMPRODUCT(
  IF($B18:$K18&lt;&gt;"",
     INDEX('Eurostat EB products IEA'!$A$4:$BN$135,
           MATCH($B18:$K18, 'Eurostat EB products IEA'!$A$4:$A$135, 0),
           MATCH(Y$1, 'Eurostat EB products IEA'!$A$4:$BN$4, 0)
     )
     * $L18:$U18,
     0
  )
)</f>
        <v>0</v>
      </c>
      <c r="Z18" s="17" cm="1">
        <f t="array" ref="Z18">SUMPRODUCT(
  IF($B18:$K18&lt;&gt;"",
     INDEX('Eurostat EB products IEA'!$A$4:$BN$135,
           MATCH($B18:$K18, 'Eurostat EB products IEA'!$A$4:$A$135, 0),
           MATCH(Z$1, 'Eurostat EB products IEA'!$A$4:$BN$4, 0)
     )
     * $L18:$U18,
     0
  )
)</f>
        <v>0</v>
      </c>
      <c r="AA18" s="17" cm="1">
        <f t="array" ref="AA18">SUMPRODUCT(
  IF($B18:$K18&lt;&gt;"",
     INDEX('Eurostat EB products IEA'!$A$4:$BN$135,
           MATCH($B18:$K18, 'Eurostat EB products IEA'!$A$4:$A$135, 0),
           MATCH(AA$1, 'Eurostat EB products IEA'!$A$4:$BN$4, 0)
     )
     * $L18:$U18,
     0
  )
)</f>
        <v>0</v>
      </c>
      <c r="AB18" s="17" cm="1">
        <f t="array" ref="AB18">SUMPRODUCT(
  IF($B18:$K18&lt;&gt;"",
     INDEX('Eurostat EB products IEA'!$A$4:$BN$135,
           MATCH($B18:$K18, 'Eurostat EB products IEA'!$A$4:$A$135, 0),
           MATCH(AB$1, 'Eurostat EB products IEA'!$A$4:$BN$4, 0)
     )
     * $L18:$U18,
     0
  )
)</f>
        <v>0</v>
      </c>
      <c r="AC18" s="17" cm="1">
        <f t="array" ref="AC18">SUMPRODUCT(
  IF($B18:$K18&lt;&gt;"",
     INDEX('Eurostat EB products IEA'!$A$4:$BN$135,
           MATCH($B18:$K18, 'Eurostat EB products IEA'!$A$4:$A$135, 0),
           MATCH(AC$1, 'Eurostat EB products IEA'!$A$4:$BN$4, 0)
     )
     * $L18:$U18,
     0
  )
)</f>
        <v>0</v>
      </c>
      <c r="AD18" s="17" cm="1">
        <f t="array" ref="AD18">SUMPRODUCT(
  IF($B18:$K18&lt;&gt;"",
     INDEX('Eurostat EB products IEA'!$A$4:$BN$135,
           MATCH($B18:$K18, 'Eurostat EB products IEA'!$A$4:$A$135, 0),
           MATCH(AD$1, 'Eurostat EB products IEA'!$A$4:$BN$4, 0)
     )
     * $L18:$U18,
     0
  )
)</f>
        <v>0</v>
      </c>
      <c r="AE18" s="17" cm="1">
        <f t="array" ref="AE18">SUMPRODUCT(
  IF($B18:$K18&lt;&gt;"",
     INDEX('Eurostat EB products IEA'!$A$4:$BN$135,
           MATCH($B18:$K18, 'Eurostat EB products IEA'!$A$4:$A$135, 0),
           MATCH(AE$1, 'Eurostat EB products IEA'!$A$4:$BN$4, 0)
     )
     * $L18:$U18,
     0
  )
)</f>
        <v>0</v>
      </c>
      <c r="AF18" s="17" cm="1">
        <f t="array" ref="AF18">SUMPRODUCT(
  IF($B18:$K18&lt;&gt;"",
     INDEX('Eurostat EB products IEA'!$A$4:$BN$135,
           MATCH($B18:$K18, 'Eurostat EB products IEA'!$A$4:$A$135, 0),
           MATCH(AF$1, 'Eurostat EB products IEA'!$A$4:$BN$4, 0)
     )
     * $L18:$U18,
     0
  )
)</f>
        <v>0</v>
      </c>
      <c r="AG18" s="17" cm="1">
        <f t="array" ref="AG18">SUMPRODUCT(
  IF($B18:$K18&lt;&gt;"",
     INDEX('Eurostat EB products IEA'!$A$4:$BN$135,
           MATCH($B18:$K18, 'Eurostat EB products IEA'!$A$4:$A$135, 0),
           MATCH(AG$1, 'Eurostat EB products IEA'!$A$4:$BN$4, 0)
     )
     * $L18:$U18,
     0
  )
)</f>
        <v>0</v>
      </c>
      <c r="AH18" s="17" cm="1">
        <f t="array" ref="AH18">SUMPRODUCT(
  IF($B18:$K18&lt;&gt;"",
     INDEX('Eurostat EB products IEA'!$A$4:$BN$135,
           MATCH($B18:$K18, 'Eurostat EB products IEA'!$A$4:$A$135, 0),
           MATCH(AH$1, 'Eurostat EB products IEA'!$A$4:$BN$4, 0)
     )
     * $L18:$U18,
     0
  )
)</f>
        <v>0</v>
      </c>
      <c r="AI18" s="17" cm="1">
        <f t="array" ref="AI18">SUMPRODUCT(
  IF($B18:$K18&lt;&gt;"",
     INDEX('Eurostat EB products IEA'!$A$4:$BN$135,
           MATCH($B18:$K18, 'Eurostat EB products IEA'!$A$4:$A$135, 0),
           MATCH(AI$1, 'Eurostat EB products IEA'!$A$4:$BN$4, 0)
     )
     * $L18:$U18,
     0
  )
)</f>
        <v>0</v>
      </c>
      <c r="AJ18" s="17" cm="1">
        <f t="array" ref="AJ18">SUMPRODUCT(
  IF($B18:$K18&lt;&gt;"",
     INDEX('Eurostat EB products IEA'!$A$4:$BN$135,
           MATCH($B18:$K18, 'Eurostat EB products IEA'!$A$4:$A$135, 0),
           MATCH(AJ$1, 'Eurostat EB products IEA'!$A$4:$BN$4, 0)
     )
     * $L18:$U18,
     0
  )
)</f>
        <v>0</v>
      </c>
      <c r="AK18" s="17" cm="1">
        <f t="array" ref="AK18">SUMPRODUCT(
  IF($B18:$K18&lt;&gt;"",
     INDEX('Eurostat EB products IEA'!$A$4:$BN$135,
           MATCH($B18:$K18, 'Eurostat EB products IEA'!$A$4:$A$135, 0),
           MATCH(AK$1, 'Eurostat EB products IEA'!$A$4:$BN$4, 0)
     )
     * $L18:$U18,
     0
  )
)</f>
        <v>0</v>
      </c>
      <c r="AL18" s="17" cm="1">
        <f t="array" ref="AL18">SUMPRODUCT(
  IF($B18:$K18&lt;&gt;"",
     INDEX('Eurostat EB products IEA'!$A$4:$BN$135,
           MATCH($B18:$K18, 'Eurostat EB products IEA'!$A$4:$A$135, 0),
           MATCH(AL$1, 'Eurostat EB products IEA'!$A$4:$BN$4, 0)
     )
     * $L18:$U18,
     0
  )
)</f>
        <v>0</v>
      </c>
      <c r="AM18" s="17" cm="1">
        <f t="array" ref="AM18">SUMPRODUCT(
  IF($B18:$K18&lt;&gt;"",
     INDEX('Eurostat EB products IEA'!$A$4:$BN$135,
           MATCH($B18:$K18, 'Eurostat EB products IEA'!$A$4:$A$135, 0),
           MATCH(AM$1, 'Eurostat EB products IEA'!$A$4:$BN$4, 0)
     )
     * $L18:$U18,
     0
  )
)</f>
        <v>-2418.933</v>
      </c>
      <c r="AN18" s="65" t="s">
        <v>323</v>
      </c>
      <c r="AO18" s="17" cm="1">
        <f t="array" ref="AO18">SUMPRODUCT(
  IF($B18:$K18&lt;&gt;"",
     INDEX('Eurostat EB products IEA'!$A$4:$BN$135,
           MATCH($B18:$K18, 'Eurostat EB products IEA'!$A$4:$A$135, 0),
           MATCH(AO$1, 'Eurostat EB products IEA'!$A$4:$BN$4, 0)
     )
     * $L18:$U18,
     0
  )
)</f>
        <v>0</v>
      </c>
      <c r="AP18" s="17" cm="1">
        <f t="array" ref="AP18">SUMPRODUCT(
  IF($B18:$K18&lt;&gt;"",
     INDEX('Eurostat EB products IEA'!$A$4:$BN$135,
           MATCH($B18:$K18, 'Eurostat EB products IEA'!$A$4:$A$135, 0),
           MATCH(AP$1, 'Eurostat EB products IEA'!$A$4:$BN$4, 0)
     )
     * $L18:$U18,
     0
  )
)</f>
        <v>0</v>
      </c>
      <c r="AQ18" s="17" cm="1">
        <f t="array" ref="AQ18">SUMPRODUCT(
  IF($B18:$K18&lt;&gt;"",
     INDEX('Eurostat EB products IEA'!$A$4:$BN$135,
           MATCH($B18:$K18, 'Eurostat EB products IEA'!$A$4:$A$135, 0),
           MATCH(AQ$1, 'Eurostat EB products IEA'!$A$4:$BN$4, 0)
     )
     * $L18:$U18,
     0
  )
)</f>
        <v>0</v>
      </c>
      <c r="AR18" s="17" cm="1">
        <f t="array" ref="AR18">SUMPRODUCT(
  IF($B18:$K18&lt;&gt;"",
     INDEX('Eurostat EB products IEA'!$A$4:$BN$135,
           MATCH($B18:$K18, 'Eurostat EB products IEA'!$A$4:$A$135, 0),
           MATCH(AR$1, 'Eurostat EB products IEA'!$A$4:$BN$4, 0)
     )
     * $L18:$U18,
     0
  )
)</f>
        <v>0</v>
      </c>
      <c r="AS18" s="17" cm="1">
        <f t="array" ref="AS18">SUMPRODUCT(
  IF($B18:$K18&lt;&gt;"",
     INDEX('Eurostat EB products IEA'!$A$4:$BN$135,
           MATCH($B18:$K18, 'Eurostat EB products IEA'!$A$4:$A$135, 0),
           MATCH(AS$1, 'Eurostat EB products IEA'!$A$4:$BN$4, 0)
     )
     * $L18:$U18,
     0
  )
)</f>
        <v>0</v>
      </c>
      <c r="AT18" s="17" cm="1">
        <f t="array" ref="AT18">SUMPRODUCT(
  IF($B18:$K18&lt;&gt;"",
     INDEX('Eurostat EB products IEA'!$A$4:$BN$135,
           MATCH($B18:$K18, 'Eurostat EB products IEA'!$A$4:$A$135, 0),
           MATCH(AT$1, 'Eurostat EB products IEA'!$A$4:$BN$4, 0)
     )
     * $L18:$U18,
     0
  )
)</f>
        <v>-760.697</v>
      </c>
      <c r="AU18" s="17" cm="1">
        <f t="array" ref="AU18">SUMPRODUCT(
  IF($B18:$K18&lt;&gt;"",
     INDEX('Eurostat EB products IEA'!$A$4:$BN$135,
           MATCH($B18:$K18, 'Eurostat EB products IEA'!$A$4:$A$135, 0),
           MATCH(AU$1, 'Eurostat EB products IEA'!$A$4:$BN$4, 0)
     )
     * $L18:$U18,
     0
  )
)</f>
        <v>0</v>
      </c>
      <c r="AV18" s="17" cm="1">
        <f t="array" ref="AV18">SUMPRODUCT(
  IF($B18:$K18&lt;&gt;"",
     INDEX('Eurostat EB products IEA'!$A$4:$BN$135,
           MATCH($B18:$K18, 'Eurostat EB products IEA'!$A$4:$A$135, 0),
           MATCH(AV$1, 'Eurostat EB products IEA'!$A$4:$BN$4, 0)
     )
     * $L18:$U18,
     0
  )
)</f>
        <v>0</v>
      </c>
      <c r="AW18" s="17" cm="1">
        <f t="array" ref="AW18">SUMPRODUCT(
  IF($B18:$K18&lt;&gt;"",
     INDEX('Eurostat EB products IEA'!$A$4:$BN$135,
           MATCH($B18:$K18, 'Eurostat EB products IEA'!$A$4:$A$135, 0),
           MATCH(AW$1, 'Eurostat EB products IEA'!$A$4:$BN$4, 0)
     )
     * $L18:$U18,
     0
  )
)</f>
        <v>0</v>
      </c>
      <c r="AX18" s="17" cm="1">
        <f t="array" ref="AX18">SUMPRODUCT(
  IF($B18:$K18&lt;&gt;"",
     INDEX('Eurostat EB products IEA'!$A$4:$BN$135,
           MATCH($B18:$K18, 'Eurostat EB products IEA'!$A$4:$A$135, 0),
           MATCH(AX$1, 'Eurostat EB products IEA'!$A$4:$BN$4, 0)
     )
     * $L18:$U18,
     0
  )
)</f>
        <v>0</v>
      </c>
      <c r="AY18" s="17" cm="1">
        <f t="array" ref="AY18">SUMPRODUCT(
  IF($B18:$K18&lt;&gt;"",
     INDEX('Eurostat EB products IEA'!$A$4:$BN$135,
           MATCH($B18:$K18, 'Eurostat EB products IEA'!$A$4:$A$135, 0),
           MATCH(AY$1, 'Eurostat EB products IEA'!$A$4:$BN$4, 0)
     )
     * $L18:$U18,
     0
  )
)</f>
        <v>0</v>
      </c>
      <c r="AZ18" s="17" cm="1">
        <f t="array" ref="AZ18">SUMPRODUCT(
  IF($B18:$K18&lt;&gt;"",
     INDEX('Eurostat EB products IEA'!$A$4:$BN$135,
           MATCH($B18:$K18, 'Eurostat EB products IEA'!$A$4:$A$135, 0),
           MATCH(AZ$1, 'Eurostat EB products IEA'!$A$4:$BN$4, 0)
     )
     * $L18:$U18,
     0
  )
)</f>
        <v>0</v>
      </c>
      <c r="BA18" s="17" cm="1">
        <f t="array" ref="BA18">SUMPRODUCT(
  IF($B18:$K18&lt;&gt;"",
     INDEX('Eurostat EB products IEA'!$A$4:$BN$135,
           MATCH($B18:$K18, 'Eurostat EB products IEA'!$A$4:$A$135, 0),
           MATCH(BA$1, 'Eurostat EB products IEA'!$A$4:$BN$4, 0)
     )
     * $L18:$U18,
     0
  )
)</f>
        <v>0</v>
      </c>
      <c r="BB18" s="17" cm="1">
        <f t="array" ref="BB18">SUMPRODUCT(
  IF($B18:$K18&lt;&gt;"",
     INDEX('Eurostat EB products IEA'!$A$4:$BN$135,
           MATCH($B18:$K18, 'Eurostat EB products IEA'!$A$4:$A$135, 0),
           MATCH(BB$1, 'Eurostat EB products IEA'!$A$4:$BN$4, 0)
     )
     * $L18:$U18,
     0
  )
)</f>
        <v>0</v>
      </c>
      <c r="BC18" s="17" cm="1">
        <f t="array" ref="BC18">SUMPRODUCT(
  IF($B18:$K18&lt;&gt;"",
     INDEX('Eurostat EB products IEA'!$A$4:$BN$135,
           MATCH($B18:$K18, 'Eurostat EB products IEA'!$A$4:$A$135, 0),
           MATCH(BC$1, 'Eurostat EB products IEA'!$A$4:$BN$4, 0)
     )
     * $L18:$U18,
     0
  )
)</f>
        <v>0</v>
      </c>
      <c r="BD18" s="17" cm="1">
        <f t="array" ref="BD18">SUMPRODUCT(
  IF($B18:$K18&lt;&gt;"",
     INDEX('Eurostat EB products IEA'!$A$4:$BN$135,
           MATCH($B18:$K18, 'Eurostat EB products IEA'!$A$4:$A$135, 0),
           MATCH(BD$1, 'Eurostat EB products IEA'!$A$4:$BN$4, 0)
     )
     * $L18:$U18,
     0
  )
)</f>
        <v>0</v>
      </c>
      <c r="BE18" s="17" cm="1">
        <f t="array" ref="BE18">SUMPRODUCT(
  IF($B18:$K18&lt;&gt;"",
     INDEX('Eurostat EB products IEA'!$A$4:$BN$135,
           MATCH($B18:$K18, 'Eurostat EB products IEA'!$A$4:$A$135, 0),
           MATCH(BE$1, 'Eurostat EB products IEA'!$A$4:$BN$4, 0)
     )
     * $L18:$U18,
     0
  )
)</f>
        <v>0</v>
      </c>
      <c r="BF18" s="17" cm="1">
        <f t="array" ref="BF18">SUMPRODUCT(
  IF($B18:$K18&lt;&gt;"",
     INDEX('Eurostat EB products IEA'!$A$4:$BN$135,
           MATCH($B18:$K18, 'Eurostat EB products IEA'!$A$4:$A$135, 0),
           MATCH(BF$1, 'Eurostat EB products IEA'!$A$4:$BN$4, 0)
     )
     * $L18:$U18,
     0
  )
)</f>
        <v>0</v>
      </c>
      <c r="BG18" s="17" cm="1">
        <f t="array" ref="BG18">SUMPRODUCT(
  IF($B18:$K18&lt;&gt;"",
     INDEX('Eurostat EB products IEA'!$A$4:$BN$135,
           MATCH($B18:$K18, 'Eurostat EB products IEA'!$A$4:$A$135, 0),
           MATCH(BG$1, 'Eurostat EB products IEA'!$A$4:$BN$4, 0)
     )
     * $L18:$U18,
     0
  )
)</f>
        <v>0</v>
      </c>
      <c r="BH18" s="17" cm="1">
        <f t="array" ref="BH18">SUMPRODUCT(
  IF($B18:$K18&lt;&gt;"",
     INDEX('Eurostat EB products IEA'!$A$4:$BN$135,
           MATCH($B18:$K18, 'Eurostat EB products IEA'!$A$4:$A$135, 0),
           MATCH(BH$1, 'Eurostat EB products IEA'!$A$4:$BN$4, 0)
     )
     * $L18:$U18,
     0
  )
)</f>
        <v>0</v>
      </c>
      <c r="BI18" s="17" cm="1">
        <f t="array" ref="BI18">SUMPRODUCT(
  IF($B18:$K18&lt;&gt;"",
     INDEX('Eurostat EB products IEA'!$A$4:$BN$135,
           MATCH($B18:$K18, 'Eurostat EB products IEA'!$A$4:$A$135, 0),
           MATCH(BI$1, 'Eurostat EB products IEA'!$A$4:$BN$4, 0)
     )
     * $L18:$U18,
     0
  )
)</f>
        <v>0</v>
      </c>
      <c r="BJ18" s="17" cm="1">
        <f t="array" ref="BJ18">SUMPRODUCT(
  IF($B18:$K18&lt;&gt;"",
     INDEX('Eurostat EB products IEA'!$A$4:$BN$135,
           MATCH($B18:$K18, 'Eurostat EB products IEA'!$A$4:$A$135, 0),
           MATCH(BJ$1, 'Eurostat EB products IEA'!$A$4:$BN$4, 0)
     )
     * $L18:$U18,
     0
  )
)</f>
        <v>0</v>
      </c>
      <c r="BK18" s="17" cm="1">
        <f t="array" ref="BK18">SUMPRODUCT(
  IF($B18:$K18&lt;&gt;"",
     INDEX('Eurostat EB products IEA'!$A$4:$BN$135,
           MATCH($B18:$K18, 'Eurostat EB products IEA'!$A$4:$A$135, 0),
           MATCH(BK$1, 'Eurostat EB products IEA'!$A$4:$BN$4, 0)
     )
     * $L18:$U18,
     0
  )
)</f>
        <v>-784.976</v>
      </c>
      <c r="BL18" s="17" cm="1">
        <f t="array" ref="BL18">SUMPRODUCT(
  IF($B18:$K18&lt;&gt;"",
     INDEX('Eurostat EB products IEA'!$A$4:$BN$135,
           MATCH($B18:$K18, 'Eurostat EB products IEA'!$A$4:$A$135, 0),
           MATCH(BL$1, 'Eurostat EB products IEA'!$A$4:$BN$4, 0)
     )
     * $L18:$U18,
     0
  )
)</f>
        <v>0</v>
      </c>
      <c r="BM18" s="17" cm="1">
        <f t="array" ref="BM18">SUMPRODUCT(
  IF($B18:$K18&lt;&gt;"",
     INDEX('Eurostat EB products IEA'!$A$4:$BN$135,
           MATCH($B18:$K18, 'Eurostat EB products IEA'!$A$4:$A$135, 0),
           MATCH(BM$1, 'Eurostat EB products IEA'!$A$4:$BN$4, 0)
     )
     * $L18:$U18,
     0
  )
)</f>
        <v>0</v>
      </c>
      <c r="BN18" s="17" cm="1">
        <f t="array" ref="BN18">SUMPRODUCT(
  IF($B18:$K18&lt;&gt;"",
     INDEX('Eurostat EB products IEA'!$A$4:$BN$135,
           MATCH($B18:$K18, 'Eurostat EB products IEA'!$A$4:$A$135, 0),
           MATCH(BN$1, 'Eurostat EB products IEA'!$A$4:$BN$4, 0)
     )
     * $L18:$U18,
     0
  )
)</f>
        <v>-4.6440000000000001</v>
      </c>
      <c r="BO18" s="17" cm="1">
        <f t="array" ref="BO18">SUMPRODUCT(
  IF($B18:$K18&lt;&gt;"",
     INDEX('Eurostat EB products IEA'!$A$4:$BN$135,
           MATCH($B18:$K18, 'Eurostat EB products IEA'!$A$4:$A$135, 0),
           MATCH(BO$1, 'Eurostat EB products IEA'!$A$4:$BN$4, 0)
     )
     * $L18:$U18,
     0
  )
)</f>
        <v>-0.379</v>
      </c>
      <c r="BP18" s="17" cm="1">
        <f t="array" ref="BP18">SUMPRODUCT(
  IF($B18:$K18&lt;&gt;"",
     INDEX('Eurostat EB products IEA'!$A$4:$BN$135,
           MATCH($B18:$K18, 'Eurostat EB products IEA'!$A$4:$A$135, 0),
           MATCH(BP$1, 'Eurostat EB products IEA'!$A$4:$BN$4, 0)
     )
     * $L18:$U18,
     0
  )
)</f>
        <v>0</v>
      </c>
      <c r="BQ18" s="17" cm="1">
        <f t="array" ref="BQ18">SUMPRODUCT(
  IF($B18:$K18&lt;&gt;"",
     INDEX('Eurostat EB products IEA'!$A$4:$BN$135,
           MATCH($B18:$K18, 'Eurostat EB products IEA'!$A$4:$A$135, 0),
           MATCH(BQ$1, 'Eurostat EB products IEA'!$A$4:$BN$4, 0)
     )
     * $L18:$U18,
     0
  )
)</f>
        <v>0</v>
      </c>
      <c r="BR18" s="17" cm="1">
        <f t="array" ref="BR18">SUMPRODUCT(
  IF($B18:$K18&lt;&gt;"",
     INDEX('Eurostat EB products IEA'!$A$4:$BN$135,
           MATCH($B18:$K18, 'Eurostat EB products IEA'!$A$4:$A$135, 0),
           MATCH(BR$1, 'Eurostat EB products IEA'!$A$4:$BN$4, 0)
     )
     * $L18:$U18,
     0
  )
)</f>
        <v>0</v>
      </c>
      <c r="BS18" s="65">
        <v>0</v>
      </c>
      <c r="BT18" s="17" cm="1">
        <f t="array" ref="BT18">SUMPRODUCT(
  IF($B18:$K18&lt;&gt;"",
     INDEX('Eurostat EB products IEA'!$A$4:$BN$135,
           MATCH($B18:$K18, 'Eurostat EB products IEA'!$A$4:$A$135, 0),
           MATCH(BT$1, 'Eurostat EB products IEA'!$A$4:$BN$4, 0)
     )
     * $L18:$U18,
     0
  )
)</f>
        <v>0</v>
      </c>
      <c r="BU18" s="65">
        <v>0</v>
      </c>
      <c r="BV18" s="65">
        <v>0</v>
      </c>
      <c r="BW18" s="17" cm="1">
        <f t="array" ref="BW18">SUMPRODUCT(
  IF($B18:$K18&lt;&gt;"",
     INDEX('Eurostat EB products IEA'!$A$4:$BN$135,
           MATCH($B18:$K18, 'Eurostat EB products IEA'!$A$4:$A$135, 0),
           MATCH(BW$1, 'Eurostat EB products IEA'!$A$4:$BN$4, 0)
     )
     * $L18:$U18,
     0
  )
)</f>
        <v>0</v>
      </c>
      <c r="BX18" s="17" cm="1">
        <f t="array" ref="BX18">SUMPRODUCT(
  IF($B18:$K18&lt;&gt;"",
     INDEX('Eurostat EB products IEA'!$A$4:$BN$135,
           MATCH($B18:$K18, 'Eurostat EB products IEA'!$A$4:$A$135, 0),
           MATCH(BX$1, 'Eurostat EB products IEA'!$A$4:$BN$4, 0)
     )
     * $L18:$U18,
     0
  )
)</f>
        <v>0</v>
      </c>
      <c r="BY18" s="17" cm="1">
        <f t="array" ref="BY18">SUMPRODUCT(
  IF($B18:$K18&lt;&gt;"",
     INDEX('Eurostat EB products IEA'!$A$4:$BN$135,
           MATCH($B18:$K18, 'Eurostat EB products IEA'!$A$4:$A$135, 0),
           MATCH(BY$1, 'Eurostat EB products IEA'!$A$4:$BN$4, 0)
     )
     * $L18:$U18,
     0
  )
)</f>
        <v>0</v>
      </c>
      <c r="BZ18" s="17" cm="1">
        <f t="array" ref="BZ18">SUMPRODUCT(
  IF($B18:$K18&lt;&gt;"",
     INDEX('Eurostat EB products IEA'!$A$4:$BN$135,
           MATCH($B18:$K18, 'Eurostat EB products IEA'!$A$4:$A$135, 0),
           MATCH(BZ$1, 'Eurostat EB products IEA'!$A$4:$BN$4, 0)
     )
     * $L18:$U18,
     0
  )
)</f>
        <v>0</v>
      </c>
      <c r="CA18" s="17" cm="1">
        <f t="array" ref="CA18">SUMPRODUCT(
  IF($B18:$K18&lt;&gt;"",
     INDEX('Eurostat EB products IEA'!$A$4:$BN$135,
           MATCH($B18:$K18, 'Eurostat EB products IEA'!$A$4:$A$135, 0),
           MATCH(CA$1, 'Eurostat EB products IEA'!$A$4:$BN$4, 0)
     )
     * $L18:$U18,
     0
  )
)</f>
        <v>0</v>
      </c>
      <c r="CB18" s="17" cm="1">
        <f t="array" ref="CB18">SUMPRODUCT(
  IF($B18:$K18&lt;&gt;"",
     INDEX('Eurostat EB products IEA'!$A$4:$BN$135,
           MATCH($B18:$K18, 'Eurostat EB products IEA'!$A$4:$A$135, 0),
           MATCH(CB$1, 'Eurostat EB products IEA'!$A$4:$BN$4, 0)
     )
     * $L18:$U18,
     0
  )
)</f>
        <v>0</v>
      </c>
      <c r="CC18" s="17" cm="1">
        <f t="array" ref="CC18">SUMPRODUCT(
  IF($B18:$K18&lt;&gt;"",
     INDEX('Eurostat EB products IEA'!$A$4:$BN$135,
           MATCH($B18:$K18, 'Eurostat EB products IEA'!$A$4:$A$135, 0),
           MATCH(CC$1, 'Eurostat EB products IEA'!$A$4:$BN$4, 0)
     )
     * $L18:$U18,
     0
  )
)</f>
        <v>0</v>
      </c>
      <c r="CD18" s="65">
        <v>0</v>
      </c>
      <c r="CE18" s="17" cm="1">
        <f t="array" ref="CE18">SUMPRODUCT(
  IF($B18:$K18&lt;&gt;"",
     INDEX('Eurostat EB products IEA'!$A$4:$BN$135,
           MATCH($B18:$K18, 'Eurostat EB products IEA'!$A$4:$A$135, 0),
           MATCH(CE$1, 'Eurostat EB products IEA'!$A$4:$BN$4, 0)
     )
     * $L18:$U18,
     0
  )
)</f>
        <v>0</v>
      </c>
      <c r="CF18" s="17" cm="1">
        <f t="array" ref="CF18">SUMPRODUCT(
  IF($B18:$K18&lt;&gt;"",
     INDEX('Eurostat EB products IEA'!$A$4:$BN$135,
           MATCH($B18:$K18, 'Eurostat EB products IEA'!$A$4:$A$135, 0),
           MATCH(CF$1, 'Eurostat EB products IEA'!$A$4:$BN$4, 0)
     )
     * $L18:$U18,
     0
  )
)</f>
        <v>-5130.6189999999997</v>
      </c>
      <c r="CG18" s="17" cm="1">
        <f t="array" ref="CG18">SUMPRODUCT(
  IF($B18:$K18&lt;&gt;"",
     INDEX('Eurostat EB products IEA'!$A$4:$BN$135,
           MATCH($B18:$K18, 'Eurostat EB products IEA'!$A$4:$A$135, 0),
           MATCH(CG$1, 'Eurostat EB products IEA'!$A$4:$BN$4, 0)
     )
     * $L18:$U18,
     0
  )
)</f>
        <v>-9100.2479999999996</v>
      </c>
      <c r="CH18" s="17" cm="1">
        <f t="array" ref="CH18">SUMPRODUCT(
  IF($B18:$K18&lt;&gt;"",
     INDEX('Eurostat EB products IEA'!$A$4:$BN$135,
           MATCH($B18:$K18, 'Eurostat EB products IEA'!$A$4:$A$135, 0),
           MATCH(CH$1, 'Eurostat EB products IEA'!$A$4:$BN$4, 0)
     )
     * $L18:$U18,
     0
  )
)</f>
        <v>-1156.0700000000002</v>
      </c>
    </row>
    <row r="19" spans="1:86" x14ac:dyDescent="0.2">
      <c r="A19" t="s">
        <v>156</v>
      </c>
      <c r="B19" s="75"/>
      <c r="C19" s="77"/>
      <c r="D19" s="75"/>
      <c r="E19" s="77"/>
      <c r="F19" s="75"/>
      <c r="G19" s="77"/>
      <c r="H19" s="75"/>
      <c r="I19" s="77"/>
      <c r="J19" s="74" t="s">
        <v>212</v>
      </c>
      <c r="K19" s="78" t="s">
        <v>240</v>
      </c>
      <c r="L19" s="76"/>
      <c r="M19" s="79"/>
      <c r="N19" s="76"/>
      <c r="O19" s="79"/>
      <c r="P19" s="76"/>
      <c r="Q19" s="79"/>
      <c r="R19" s="76"/>
      <c r="S19" s="79"/>
      <c r="T19" s="76">
        <v>-1</v>
      </c>
      <c r="U19" s="79">
        <v>1</v>
      </c>
      <c r="V19" s="65" t="s">
        <v>323</v>
      </c>
      <c r="W19" s="65" t="s">
        <v>323</v>
      </c>
      <c r="X19" s="57" cm="1">
        <f t="array" ref="X19">SUMPRODUCT(
  IF($B19:$K19&lt;&gt;"",
     INDEX('Eurostat EB products IEA'!$A$4:$BN$135,
           MATCH($B19:$K19, 'Eurostat EB products IEA'!$A$4:$A$135, 0),
           MATCH(X$1, 'Eurostat EB products IEA'!$A$4:$BN$4, 0)
     )
     * $L19:$U19,
     0
  )
)</f>
        <v>0</v>
      </c>
      <c r="Y19" s="57" cm="1">
        <f t="array" ref="Y19">SUMPRODUCT(
  IF($B19:$K19&lt;&gt;"",
     INDEX('Eurostat EB products IEA'!$A$4:$BN$135,
           MATCH($B19:$K19, 'Eurostat EB products IEA'!$A$4:$A$135, 0),
           MATCH(Y$1, 'Eurostat EB products IEA'!$A$4:$BN$4, 0)
     )
     * $L19:$U19,
     0
  )
)</f>
        <v>0</v>
      </c>
      <c r="Z19" s="57" cm="1">
        <f t="array" ref="Z19">SUMPRODUCT(
  IF($B19:$K19&lt;&gt;"",
     INDEX('Eurostat EB products IEA'!$A$4:$BN$135,
           MATCH($B19:$K19, 'Eurostat EB products IEA'!$A$4:$A$135, 0),
           MATCH(Z$1, 'Eurostat EB products IEA'!$A$4:$BN$4, 0)
     )
     * $L19:$U19,
     0
  )
)</f>
        <v>0</v>
      </c>
      <c r="AA19" s="57" cm="1">
        <f t="array" ref="AA19">SUMPRODUCT(
  IF($B19:$K19&lt;&gt;"",
     INDEX('Eurostat EB products IEA'!$A$4:$BN$135,
           MATCH($B19:$K19, 'Eurostat EB products IEA'!$A$4:$A$135, 0),
           MATCH(AA$1, 'Eurostat EB products IEA'!$A$4:$BN$4, 0)
     )
     * $L19:$U19,
     0
  )
)</f>
        <v>0</v>
      </c>
      <c r="AB19" s="57" cm="1">
        <f t="array" ref="AB19">SUMPRODUCT(
  IF($B19:$K19&lt;&gt;"",
     INDEX('Eurostat EB products IEA'!$A$4:$BN$135,
           MATCH($B19:$K19, 'Eurostat EB products IEA'!$A$4:$A$135, 0),
           MATCH(AB$1, 'Eurostat EB products IEA'!$A$4:$BN$4, 0)
     )
     * $L19:$U19,
     0
  )
)</f>
        <v>0</v>
      </c>
      <c r="AC19" s="57" cm="1">
        <f t="array" ref="AC19">SUMPRODUCT(
  IF($B19:$K19&lt;&gt;"",
     INDEX('Eurostat EB products IEA'!$A$4:$BN$135,
           MATCH($B19:$K19, 'Eurostat EB products IEA'!$A$4:$A$135, 0),
           MATCH(AC$1, 'Eurostat EB products IEA'!$A$4:$BN$4, 0)
     )
     * $L19:$U19,
     0
  )
)</f>
        <v>0</v>
      </c>
      <c r="AD19" s="57" cm="1">
        <f t="array" ref="AD19">SUMPRODUCT(
  IF($B19:$K19&lt;&gt;"",
     INDEX('Eurostat EB products IEA'!$A$4:$BN$135,
           MATCH($B19:$K19, 'Eurostat EB products IEA'!$A$4:$A$135, 0),
           MATCH(AD$1, 'Eurostat EB products IEA'!$A$4:$BN$4, 0)
     )
     * $L19:$U19,
     0
  )
)</f>
        <v>0</v>
      </c>
      <c r="AE19" s="57" cm="1">
        <f t="array" ref="AE19">SUMPRODUCT(
  IF($B19:$K19&lt;&gt;"",
     INDEX('Eurostat EB products IEA'!$A$4:$BN$135,
           MATCH($B19:$K19, 'Eurostat EB products IEA'!$A$4:$A$135, 0),
           MATCH(AE$1, 'Eurostat EB products IEA'!$A$4:$BN$4, 0)
     )
     * $L19:$U19,
     0
  )
)</f>
        <v>0</v>
      </c>
      <c r="AF19" s="57" cm="1">
        <f t="array" ref="AF19">SUMPRODUCT(
  IF($B19:$K19&lt;&gt;"",
     INDEX('Eurostat EB products IEA'!$A$4:$BN$135,
           MATCH($B19:$K19, 'Eurostat EB products IEA'!$A$4:$A$135, 0),
           MATCH(AF$1, 'Eurostat EB products IEA'!$A$4:$BN$4, 0)
     )
     * $L19:$U19,
     0
  )
)</f>
        <v>0</v>
      </c>
      <c r="AG19" s="57" cm="1">
        <f t="array" ref="AG19">SUMPRODUCT(
  IF($B19:$K19&lt;&gt;"",
     INDEX('Eurostat EB products IEA'!$A$4:$BN$135,
           MATCH($B19:$K19, 'Eurostat EB products IEA'!$A$4:$A$135, 0),
           MATCH(AG$1, 'Eurostat EB products IEA'!$A$4:$BN$4, 0)
     )
     * $L19:$U19,
     0
  )
)</f>
        <v>0</v>
      </c>
      <c r="AH19" s="57" cm="1">
        <f t="array" ref="AH19">SUMPRODUCT(
  IF($B19:$K19&lt;&gt;"",
     INDEX('Eurostat EB products IEA'!$A$4:$BN$135,
           MATCH($B19:$K19, 'Eurostat EB products IEA'!$A$4:$A$135, 0),
           MATCH(AH$1, 'Eurostat EB products IEA'!$A$4:$BN$4, 0)
     )
     * $L19:$U19,
     0
  )
)</f>
        <v>0</v>
      </c>
      <c r="AI19" s="57" cm="1">
        <f t="array" ref="AI19">SUMPRODUCT(
  IF($B19:$K19&lt;&gt;"",
     INDEX('Eurostat EB products IEA'!$A$4:$BN$135,
           MATCH($B19:$K19, 'Eurostat EB products IEA'!$A$4:$A$135, 0),
           MATCH(AI$1, 'Eurostat EB products IEA'!$A$4:$BN$4, 0)
     )
     * $L19:$U19,
     0
  )
)</f>
        <v>0</v>
      </c>
      <c r="AJ19" s="57" cm="1">
        <f t="array" ref="AJ19">SUMPRODUCT(
  IF($B19:$K19&lt;&gt;"",
     INDEX('Eurostat EB products IEA'!$A$4:$BN$135,
           MATCH($B19:$K19, 'Eurostat EB products IEA'!$A$4:$A$135, 0),
           MATCH(AJ$1, 'Eurostat EB products IEA'!$A$4:$BN$4, 0)
     )
     * $L19:$U19,
     0
  )
)</f>
        <v>0</v>
      </c>
      <c r="AK19" s="57" cm="1">
        <f t="array" ref="AK19">SUMPRODUCT(
  IF($B19:$K19&lt;&gt;"",
     INDEX('Eurostat EB products IEA'!$A$4:$BN$135,
           MATCH($B19:$K19, 'Eurostat EB products IEA'!$A$4:$A$135, 0),
           MATCH(AK$1, 'Eurostat EB products IEA'!$A$4:$BN$4, 0)
     )
     * $L19:$U19,
     0
  )
)</f>
        <v>0</v>
      </c>
      <c r="AL19" s="57" cm="1">
        <f t="array" ref="AL19">SUMPRODUCT(
  IF($B19:$K19&lt;&gt;"",
     INDEX('Eurostat EB products IEA'!$A$4:$BN$135,
           MATCH($B19:$K19, 'Eurostat EB products IEA'!$A$4:$A$135, 0),
           MATCH(AL$1, 'Eurostat EB products IEA'!$A$4:$BN$4, 0)
     )
     * $L19:$U19,
     0
  )
)</f>
        <v>0</v>
      </c>
      <c r="AM19" s="57" cm="1">
        <f t="array" ref="AM19">SUMPRODUCT(
  IF($B19:$K19&lt;&gt;"",
     INDEX('Eurostat EB products IEA'!$A$4:$BN$135,
           MATCH($B19:$K19, 'Eurostat EB products IEA'!$A$4:$A$135, 0),
           MATCH(AM$1, 'Eurostat EB products IEA'!$A$4:$BN$4, 0)
     )
     * $L19:$U19,
     0
  )
)</f>
        <v>0</v>
      </c>
      <c r="AN19" s="65" t="s">
        <v>323</v>
      </c>
      <c r="AO19" s="57" cm="1">
        <f t="array" ref="AO19">SUMPRODUCT(
  IF($B19:$K19&lt;&gt;"",
     INDEX('Eurostat EB products IEA'!$A$4:$BN$135,
           MATCH($B19:$K19, 'Eurostat EB products IEA'!$A$4:$A$135, 0),
           MATCH(AO$1, 'Eurostat EB products IEA'!$A$4:$BN$4, 0)
     )
     * $L19:$U19,
     0
  )
)</f>
        <v>0</v>
      </c>
      <c r="AP19" s="57" cm="1">
        <f t="array" ref="AP19">SUMPRODUCT(
  IF($B19:$K19&lt;&gt;"",
     INDEX('Eurostat EB products IEA'!$A$4:$BN$135,
           MATCH($B19:$K19, 'Eurostat EB products IEA'!$A$4:$A$135, 0),
           MATCH(AP$1, 'Eurostat EB products IEA'!$A$4:$BN$4, 0)
     )
     * $L19:$U19,
     0
  )
)</f>
        <v>0</v>
      </c>
      <c r="AQ19" s="57" cm="1">
        <f t="array" ref="AQ19">SUMPRODUCT(
  IF($B19:$K19&lt;&gt;"",
     INDEX('Eurostat EB products IEA'!$A$4:$BN$135,
           MATCH($B19:$K19, 'Eurostat EB products IEA'!$A$4:$A$135, 0),
           MATCH(AQ$1, 'Eurostat EB products IEA'!$A$4:$BN$4, 0)
     )
     * $L19:$U19,
     0
  )
)</f>
        <v>0</v>
      </c>
      <c r="AR19" s="57" cm="1">
        <f t="array" ref="AR19">SUMPRODUCT(
  IF($B19:$K19&lt;&gt;"",
     INDEX('Eurostat EB products IEA'!$A$4:$BN$135,
           MATCH($B19:$K19, 'Eurostat EB products IEA'!$A$4:$A$135, 0),
           MATCH(AR$1, 'Eurostat EB products IEA'!$A$4:$BN$4, 0)
     )
     * $L19:$U19,
     0
  )
)</f>
        <v>0</v>
      </c>
      <c r="AS19" s="57" cm="1">
        <f t="array" ref="AS19">SUMPRODUCT(
  IF($B19:$K19&lt;&gt;"",
     INDEX('Eurostat EB products IEA'!$A$4:$BN$135,
           MATCH($B19:$K19, 'Eurostat EB products IEA'!$A$4:$A$135, 0),
           MATCH(AS$1, 'Eurostat EB products IEA'!$A$4:$BN$4, 0)
     )
     * $L19:$U19,
     0
  )
)</f>
        <v>0</v>
      </c>
      <c r="AT19" s="57" cm="1">
        <f t="array" ref="AT19">SUMPRODUCT(
  IF($B19:$K19&lt;&gt;"",
     INDEX('Eurostat EB products IEA'!$A$4:$BN$135,
           MATCH($B19:$K19, 'Eurostat EB products IEA'!$A$4:$A$135, 0),
           MATCH(AT$1, 'Eurostat EB products IEA'!$A$4:$BN$4, 0)
     )
     * $L19:$U19,
     0
  )
)</f>
        <v>0</v>
      </c>
      <c r="AU19" s="57" cm="1">
        <f t="array" ref="AU19">SUMPRODUCT(
  IF($B19:$K19&lt;&gt;"",
     INDEX('Eurostat EB products IEA'!$A$4:$BN$135,
           MATCH($B19:$K19, 'Eurostat EB products IEA'!$A$4:$A$135, 0),
           MATCH(AU$1, 'Eurostat EB products IEA'!$A$4:$BN$4, 0)
     )
     * $L19:$U19,
     0
  )
)</f>
        <v>0</v>
      </c>
      <c r="AV19" s="57" cm="1">
        <f t="array" ref="AV19">SUMPRODUCT(
  IF($B19:$K19&lt;&gt;"",
     INDEX('Eurostat EB products IEA'!$A$4:$BN$135,
           MATCH($B19:$K19, 'Eurostat EB products IEA'!$A$4:$A$135, 0),
           MATCH(AV$1, 'Eurostat EB products IEA'!$A$4:$BN$4, 0)
     )
     * $L19:$U19,
     0
  )
)</f>
        <v>0</v>
      </c>
      <c r="AW19" s="57" cm="1">
        <f t="array" ref="AW19">SUMPRODUCT(
  IF($B19:$K19&lt;&gt;"",
     INDEX('Eurostat EB products IEA'!$A$4:$BN$135,
           MATCH($B19:$K19, 'Eurostat EB products IEA'!$A$4:$A$135, 0),
           MATCH(AW$1, 'Eurostat EB products IEA'!$A$4:$BN$4, 0)
     )
     * $L19:$U19,
     0
  )
)</f>
        <v>0</v>
      </c>
      <c r="AX19" s="57" cm="1">
        <f t="array" ref="AX19">SUMPRODUCT(
  IF($B19:$K19&lt;&gt;"",
     INDEX('Eurostat EB products IEA'!$A$4:$BN$135,
           MATCH($B19:$K19, 'Eurostat EB products IEA'!$A$4:$A$135, 0),
           MATCH(AX$1, 'Eurostat EB products IEA'!$A$4:$BN$4, 0)
     )
     * $L19:$U19,
     0
  )
)</f>
        <v>0</v>
      </c>
      <c r="AY19" s="57" cm="1">
        <f t="array" ref="AY19">SUMPRODUCT(
  IF($B19:$K19&lt;&gt;"",
     INDEX('Eurostat EB products IEA'!$A$4:$BN$135,
           MATCH($B19:$K19, 'Eurostat EB products IEA'!$A$4:$A$135, 0),
           MATCH(AY$1, 'Eurostat EB products IEA'!$A$4:$BN$4, 0)
     )
     * $L19:$U19,
     0
  )
)</f>
        <v>0</v>
      </c>
      <c r="AZ19" s="57" cm="1">
        <f t="array" ref="AZ19">SUMPRODUCT(
  IF($B19:$K19&lt;&gt;"",
     INDEX('Eurostat EB products IEA'!$A$4:$BN$135,
           MATCH($B19:$K19, 'Eurostat EB products IEA'!$A$4:$A$135, 0),
           MATCH(AZ$1, 'Eurostat EB products IEA'!$A$4:$BN$4, 0)
     )
     * $L19:$U19,
     0
  )
)</f>
        <v>0</v>
      </c>
      <c r="BA19" s="57" cm="1">
        <f t="array" ref="BA19">SUMPRODUCT(
  IF($B19:$K19&lt;&gt;"",
     INDEX('Eurostat EB products IEA'!$A$4:$BN$135,
           MATCH($B19:$K19, 'Eurostat EB products IEA'!$A$4:$A$135, 0),
           MATCH(BA$1, 'Eurostat EB products IEA'!$A$4:$BN$4, 0)
     )
     * $L19:$U19,
     0
  )
)</f>
        <v>0</v>
      </c>
      <c r="BB19" s="57" cm="1">
        <f t="array" ref="BB19">SUMPRODUCT(
  IF($B19:$K19&lt;&gt;"",
     INDEX('Eurostat EB products IEA'!$A$4:$BN$135,
           MATCH($B19:$K19, 'Eurostat EB products IEA'!$A$4:$A$135, 0),
           MATCH(BB$1, 'Eurostat EB products IEA'!$A$4:$BN$4, 0)
     )
     * $L19:$U19,
     0
  )
)</f>
        <v>0</v>
      </c>
      <c r="BC19" s="57" cm="1">
        <f t="array" ref="BC19">SUMPRODUCT(
  IF($B19:$K19&lt;&gt;"",
     INDEX('Eurostat EB products IEA'!$A$4:$BN$135,
           MATCH($B19:$K19, 'Eurostat EB products IEA'!$A$4:$A$135, 0),
           MATCH(BC$1, 'Eurostat EB products IEA'!$A$4:$BN$4, 0)
     )
     * $L19:$U19,
     0
  )
)</f>
        <v>0</v>
      </c>
      <c r="BD19" s="57" cm="1">
        <f t="array" ref="BD19">SUMPRODUCT(
  IF($B19:$K19&lt;&gt;"",
     INDEX('Eurostat EB products IEA'!$A$4:$BN$135,
           MATCH($B19:$K19, 'Eurostat EB products IEA'!$A$4:$A$135, 0),
           MATCH(BD$1, 'Eurostat EB products IEA'!$A$4:$BN$4, 0)
     )
     * $L19:$U19,
     0
  )
)</f>
        <v>0</v>
      </c>
      <c r="BE19" s="57" cm="1">
        <f t="array" ref="BE19">SUMPRODUCT(
  IF($B19:$K19&lt;&gt;"",
     INDEX('Eurostat EB products IEA'!$A$4:$BN$135,
           MATCH($B19:$K19, 'Eurostat EB products IEA'!$A$4:$A$135, 0),
           MATCH(BE$1, 'Eurostat EB products IEA'!$A$4:$BN$4, 0)
     )
     * $L19:$U19,
     0
  )
)</f>
        <v>0</v>
      </c>
      <c r="BF19" s="57" cm="1">
        <f t="array" ref="BF19">SUMPRODUCT(
  IF($B19:$K19&lt;&gt;"",
     INDEX('Eurostat EB products IEA'!$A$4:$BN$135,
           MATCH($B19:$K19, 'Eurostat EB products IEA'!$A$4:$A$135, 0),
           MATCH(BF$1, 'Eurostat EB products IEA'!$A$4:$BN$4, 0)
     )
     * $L19:$U19,
     0
  )
)</f>
        <v>0</v>
      </c>
      <c r="BG19" s="57" cm="1">
        <f t="array" ref="BG19">SUMPRODUCT(
  IF($B19:$K19&lt;&gt;"",
     INDEX('Eurostat EB products IEA'!$A$4:$BN$135,
           MATCH($B19:$K19, 'Eurostat EB products IEA'!$A$4:$A$135, 0),
           MATCH(BG$1, 'Eurostat EB products IEA'!$A$4:$BN$4, 0)
     )
     * $L19:$U19,
     0
  )
)</f>
        <v>0</v>
      </c>
      <c r="BH19" s="57" cm="1">
        <f t="array" ref="BH19">SUMPRODUCT(
  IF($B19:$K19&lt;&gt;"",
     INDEX('Eurostat EB products IEA'!$A$4:$BN$135,
           MATCH($B19:$K19, 'Eurostat EB products IEA'!$A$4:$A$135, 0),
           MATCH(BH$1, 'Eurostat EB products IEA'!$A$4:$BN$4, 0)
     )
     * $L19:$U19,
     0
  )
)</f>
        <v>0</v>
      </c>
      <c r="BI19" s="57" cm="1">
        <f t="array" ref="BI19">SUMPRODUCT(
  IF($B19:$K19&lt;&gt;"",
     INDEX('Eurostat EB products IEA'!$A$4:$BN$135,
           MATCH($B19:$K19, 'Eurostat EB products IEA'!$A$4:$A$135, 0),
           MATCH(BI$1, 'Eurostat EB products IEA'!$A$4:$BN$4, 0)
     )
     * $L19:$U19,
     0
  )
)</f>
        <v>0</v>
      </c>
      <c r="BJ19" s="57" cm="1">
        <f t="array" ref="BJ19">SUMPRODUCT(
  IF($B19:$K19&lt;&gt;"",
     INDEX('Eurostat EB products IEA'!$A$4:$BN$135,
           MATCH($B19:$K19, 'Eurostat EB products IEA'!$A$4:$A$135, 0),
           MATCH(BJ$1, 'Eurostat EB products IEA'!$A$4:$BN$4, 0)
     )
     * $L19:$U19,
     0
  )
)</f>
        <v>0</v>
      </c>
      <c r="BK19" s="57" cm="1">
        <f t="array" ref="BK19">SUMPRODUCT(
  IF($B19:$K19&lt;&gt;"",
     INDEX('Eurostat EB products IEA'!$A$4:$BN$135,
           MATCH($B19:$K19, 'Eurostat EB products IEA'!$A$4:$A$135, 0),
           MATCH(BK$1, 'Eurostat EB products IEA'!$A$4:$BN$4, 0)
     )
     * $L19:$U19,
     0
  )
)</f>
        <v>0</v>
      </c>
      <c r="BL19" s="57" cm="1">
        <f t="array" ref="BL19">SUMPRODUCT(
  IF($B19:$K19&lt;&gt;"",
     INDEX('Eurostat EB products IEA'!$A$4:$BN$135,
           MATCH($B19:$K19, 'Eurostat EB products IEA'!$A$4:$A$135, 0),
           MATCH(BL$1, 'Eurostat EB products IEA'!$A$4:$BN$4, 0)
     )
     * $L19:$U19,
     0
  )
)</f>
        <v>0</v>
      </c>
      <c r="BM19" s="57" cm="1">
        <f t="array" ref="BM19">SUMPRODUCT(
  IF($B19:$K19&lt;&gt;"",
     INDEX('Eurostat EB products IEA'!$A$4:$BN$135,
           MATCH($B19:$K19, 'Eurostat EB products IEA'!$A$4:$A$135, 0),
           MATCH(BM$1, 'Eurostat EB products IEA'!$A$4:$BN$4, 0)
     )
     * $L19:$U19,
     0
  )
)</f>
        <v>0</v>
      </c>
      <c r="BN19" s="57" cm="1">
        <f t="array" ref="BN19">SUMPRODUCT(
  IF($B19:$K19&lt;&gt;"",
     INDEX('Eurostat EB products IEA'!$A$4:$BN$135,
           MATCH($B19:$K19, 'Eurostat EB products IEA'!$A$4:$A$135, 0),
           MATCH(BN$1, 'Eurostat EB products IEA'!$A$4:$BN$4, 0)
     )
     * $L19:$U19,
     0
  )
)</f>
        <v>0</v>
      </c>
      <c r="BO19" s="57" cm="1">
        <f t="array" ref="BO19">SUMPRODUCT(
  IF($B19:$K19&lt;&gt;"",
     INDEX('Eurostat EB products IEA'!$A$4:$BN$135,
           MATCH($B19:$K19, 'Eurostat EB products IEA'!$A$4:$A$135, 0),
           MATCH(BO$1, 'Eurostat EB products IEA'!$A$4:$BN$4, 0)
     )
     * $L19:$U19,
     0
  )
)</f>
        <v>0</v>
      </c>
      <c r="BP19" s="57" cm="1">
        <f t="array" ref="BP19">SUMPRODUCT(
  IF($B19:$K19&lt;&gt;"",
     INDEX('Eurostat EB products IEA'!$A$4:$BN$135,
           MATCH($B19:$K19, 'Eurostat EB products IEA'!$A$4:$A$135, 0),
           MATCH(BP$1, 'Eurostat EB products IEA'!$A$4:$BN$4, 0)
     )
     * $L19:$U19,
     0
  )
)</f>
        <v>0</v>
      </c>
      <c r="BQ19" s="57" cm="1">
        <f t="array" ref="BQ19">SUMPRODUCT(
  IF($B19:$K19&lt;&gt;"",
     INDEX('Eurostat EB products IEA'!$A$4:$BN$135,
           MATCH($B19:$K19, 'Eurostat EB products IEA'!$A$4:$A$135, 0),
           MATCH(BQ$1, 'Eurostat EB products IEA'!$A$4:$BN$4, 0)
     )
     * $L19:$U19,
     0
  )
)</f>
        <v>0</v>
      </c>
      <c r="BR19" s="57" cm="1">
        <f t="array" ref="BR19">SUMPRODUCT(
  IF($B19:$K19&lt;&gt;"",
     INDEX('Eurostat EB products IEA'!$A$4:$BN$135,
           MATCH($B19:$K19, 'Eurostat EB products IEA'!$A$4:$A$135, 0),
           MATCH(BR$1, 'Eurostat EB products IEA'!$A$4:$BN$4, 0)
     )
     * $L19:$U19,
     0
  )
)</f>
        <v>0</v>
      </c>
      <c r="BS19" s="65">
        <v>0</v>
      </c>
      <c r="BT19" s="57" cm="1">
        <f t="array" ref="BT19">SUMPRODUCT(
  IF($B19:$K19&lt;&gt;"",
     INDEX('Eurostat EB products IEA'!$A$4:$BN$135,
           MATCH($B19:$K19, 'Eurostat EB products IEA'!$A$4:$A$135, 0),
           MATCH(BT$1, 'Eurostat EB products IEA'!$A$4:$BN$4, 0)
     )
     * $L19:$U19,
     0
  )
)</f>
        <v>0</v>
      </c>
      <c r="BU19" s="65">
        <v>0</v>
      </c>
      <c r="BV19" s="65">
        <v>0</v>
      </c>
      <c r="BW19" s="57" cm="1">
        <f t="array" ref="BW19">SUMPRODUCT(
  IF($B19:$K19&lt;&gt;"",
     INDEX('Eurostat EB products IEA'!$A$4:$BN$135,
           MATCH($B19:$K19, 'Eurostat EB products IEA'!$A$4:$A$135, 0),
           MATCH(BW$1, 'Eurostat EB products IEA'!$A$4:$BN$4, 0)
     )
     * $L19:$U19,
     0
  )
)</f>
        <v>0</v>
      </c>
      <c r="BX19" s="57" cm="1">
        <f t="array" ref="BX19">SUMPRODUCT(
  IF($B19:$K19&lt;&gt;"",
     INDEX('Eurostat EB products IEA'!$A$4:$BN$135,
           MATCH($B19:$K19, 'Eurostat EB products IEA'!$A$4:$A$135, 0),
           MATCH(BX$1, 'Eurostat EB products IEA'!$A$4:$BN$4, 0)
     )
     * $L19:$U19,
     0
  )
)</f>
        <v>0</v>
      </c>
      <c r="BY19" s="57" cm="1">
        <f t="array" ref="BY19">SUMPRODUCT(
  IF($B19:$K19&lt;&gt;"",
     INDEX('Eurostat EB products IEA'!$A$4:$BN$135,
           MATCH($B19:$K19, 'Eurostat EB products IEA'!$A$4:$A$135, 0),
           MATCH(BY$1, 'Eurostat EB products IEA'!$A$4:$BN$4, 0)
     )
     * $L19:$U19,
     0
  )
)</f>
        <v>0</v>
      </c>
      <c r="BZ19" s="57" cm="1">
        <f t="array" ref="BZ19">SUMPRODUCT(
  IF($B19:$K19&lt;&gt;"",
     INDEX('Eurostat EB products IEA'!$A$4:$BN$135,
           MATCH($B19:$K19, 'Eurostat EB products IEA'!$A$4:$A$135, 0),
           MATCH(BZ$1, 'Eurostat EB products IEA'!$A$4:$BN$4, 0)
     )
     * $L19:$U19,
     0
  )
)</f>
        <v>0</v>
      </c>
      <c r="CA19" s="57" cm="1">
        <f t="array" ref="CA19">SUMPRODUCT(
  IF($B19:$K19&lt;&gt;"",
     INDEX('Eurostat EB products IEA'!$A$4:$BN$135,
           MATCH($B19:$K19, 'Eurostat EB products IEA'!$A$4:$A$135, 0),
           MATCH(CA$1, 'Eurostat EB products IEA'!$A$4:$BN$4, 0)
     )
     * $L19:$U19,
     0
  )
)</f>
        <v>0</v>
      </c>
      <c r="CB19" s="57" cm="1">
        <f t="array" ref="CB19">SUMPRODUCT(
  IF($B19:$K19&lt;&gt;"",
     INDEX('Eurostat EB products IEA'!$A$4:$BN$135,
           MATCH($B19:$K19, 'Eurostat EB products IEA'!$A$4:$A$135, 0),
           MATCH(CB$1, 'Eurostat EB products IEA'!$A$4:$BN$4, 0)
     )
     * $L19:$U19,
     0
  )
)</f>
        <v>0</v>
      </c>
      <c r="CC19" s="57" cm="1">
        <f t="array" ref="CC19">SUMPRODUCT(
  IF($B19:$K19&lt;&gt;"",
     INDEX('Eurostat EB products IEA'!$A$4:$BN$135,
           MATCH($B19:$K19, 'Eurostat EB products IEA'!$A$4:$A$135, 0),
           MATCH(CC$1, 'Eurostat EB products IEA'!$A$4:$BN$4, 0)
     )
     * $L19:$U19,
     0
  )
)</f>
        <v>0</v>
      </c>
      <c r="CD19" s="65">
        <v>0</v>
      </c>
      <c r="CE19" s="57" cm="1">
        <f t="array" ref="CE19">SUMPRODUCT(
  IF($B19:$K19&lt;&gt;"",
     INDEX('Eurostat EB products IEA'!$A$4:$BN$135,
           MATCH($B19:$K19, 'Eurostat EB products IEA'!$A$4:$A$135, 0),
           MATCH(CE$1, 'Eurostat EB products IEA'!$A$4:$BN$4, 0)
     )
     * $L19:$U19,
     0
  )
)</f>
        <v>0</v>
      </c>
      <c r="CF19" s="57" cm="1">
        <f t="array" ref="CF19">SUMPRODUCT(
  IF($B19:$K19&lt;&gt;"",
     INDEX('Eurostat EB products IEA'!$A$4:$BN$135,
           MATCH($B19:$K19, 'Eurostat EB products IEA'!$A$4:$A$135, 0),
           MATCH(CF$1, 'Eurostat EB products IEA'!$A$4:$BN$4, 0)
     )
     * $L19:$U19,
     0
  )
)</f>
        <v>0</v>
      </c>
      <c r="CG19" s="57" cm="1">
        <f t="array" ref="CG19">SUMPRODUCT(
  IF($B19:$K19&lt;&gt;"",
     INDEX('Eurostat EB products IEA'!$A$4:$BN$135,
           MATCH($B19:$K19, 'Eurostat EB products IEA'!$A$4:$A$135, 0),
           MATCH(CG$1, 'Eurostat EB products IEA'!$A$4:$BN$4, 0)
     )
     * $L19:$U19,
     0
  )
)</f>
        <v>0</v>
      </c>
      <c r="CH19" s="57" cm="1">
        <f t="array" ref="CH19">SUMPRODUCT(
  IF($B19:$K19&lt;&gt;"",
     INDEX('Eurostat EB products IEA'!$A$4:$BN$135,
           MATCH($B19:$K19, 'Eurostat EB products IEA'!$A$4:$A$135, 0),
           MATCH(CH$1, 'Eurostat EB products IEA'!$A$4:$BN$4, 0)
     )
     * $L19:$U19,
     0
  )
)</f>
        <v>0</v>
      </c>
    </row>
    <row r="20" spans="1:86" x14ac:dyDescent="0.2">
      <c r="A20" t="s">
        <v>85</v>
      </c>
      <c r="B20" s="75"/>
      <c r="C20" s="77"/>
      <c r="D20" s="75"/>
      <c r="E20" s="77"/>
      <c r="F20" s="75"/>
      <c r="G20" s="77"/>
      <c r="H20" s="75"/>
      <c r="I20" s="77"/>
      <c r="J20" s="74" t="s">
        <v>213</v>
      </c>
      <c r="K20" s="78" t="s">
        <v>241</v>
      </c>
      <c r="L20" s="76"/>
      <c r="M20" s="79"/>
      <c r="N20" s="76"/>
      <c r="O20" s="79"/>
      <c r="P20" s="76"/>
      <c r="Q20" s="79"/>
      <c r="R20" s="76"/>
      <c r="S20" s="79"/>
      <c r="T20" s="76">
        <v>-1</v>
      </c>
      <c r="U20" s="79">
        <v>1</v>
      </c>
      <c r="V20" s="65" t="s">
        <v>323</v>
      </c>
      <c r="W20" s="65" t="s">
        <v>323</v>
      </c>
      <c r="X20" s="17" cm="1">
        <f t="array" ref="X20">SUMPRODUCT(
  IF($B20:$K20&lt;&gt;"",
     INDEX('Eurostat EB products IEA'!$A$4:$BN$135,
           MATCH($B20:$K20, 'Eurostat EB products IEA'!$A$4:$A$135, 0),
           MATCH(X$1, 'Eurostat EB products IEA'!$A$4:$BN$4, 0)
     )
     * $L20:$U20,
     0
  )
)</f>
        <v>0</v>
      </c>
      <c r="Y20" s="17" cm="1">
        <f t="array" ref="Y20">SUMPRODUCT(
  IF($B20:$K20&lt;&gt;"",
     INDEX('Eurostat EB products IEA'!$A$4:$BN$135,
           MATCH($B20:$K20, 'Eurostat EB products IEA'!$A$4:$A$135, 0),
           MATCH(Y$1, 'Eurostat EB products IEA'!$A$4:$BN$4, 0)
     )
     * $L20:$U20,
     0
  )
)</f>
        <v>0</v>
      </c>
      <c r="Z20" s="17" cm="1">
        <f t="array" ref="Z20">SUMPRODUCT(
  IF($B20:$K20&lt;&gt;"",
     INDEX('Eurostat EB products IEA'!$A$4:$BN$135,
           MATCH($B20:$K20, 'Eurostat EB products IEA'!$A$4:$A$135, 0),
           MATCH(Z$1, 'Eurostat EB products IEA'!$A$4:$BN$4, 0)
     )
     * $L20:$U20,
     0
  )
)</f>
        <v>0</v>
      </c>
      <c r="AA20" s="17" cm="1">
        <f t="array" ref="AA20">SUMPRODUCT(
  IF($B20:$K20&lt;&gt;"",
     INDEX('Eurostat EB products IEA'!$A$4:$BN$135,
           MATCH($B20:$K20, 'Eurostat EB products IEA'!$A$4:$A$135, 0),
           MATCH(AA$1, 'Eurostat EB products IEA'!$A$4:$BN$4, 0)
     )
     * $L20:$U20,
     0
  )
)</f>
        <v>0</v>
      </c>
      <c r="AB20" s="17" cm="1">
        <f t="array" ref="AB20">SUMPRODUCT(
  IF($B20:$K20&lt;&gt;"",
     INDEX('Eurostat EB products IEA'!$A$4:$BN$135,
           MATCH($B20:$K20, 'Eurostat EB products IEA'!$A$4:$A$135, 0),
           MATCH(AB$1, 'Eurostat EB products IEA'!$A$4:$BN$4, 0)
     )
     * $L20:$U20,
     0
  )
)</f>
        <v>0</v>
      </c>
      <c r="AC20" s="17" cm="1">
        <f t="array" ref="AC20">SUMPRODUCT(
  IF($B20:$K20&lt;&gt;"",
     INDEX('Eurostat EB products IEA'!$A$4:$BN$135,
           MATCH($B20:$K20, 'Eurostat EB products IEA'!$A$4:$A$135, 0),
           MATCH(AC$1, 'Eurostat EB products IEA'!$A$4:$BN$4, 0)
     )
     * $L20:$U20,
     0
  )
)</f>
        <v>0</v>
      </c>
      <c r="AD20" s="17" cm="1">
        <f t="array" ref="AD20">SUMPRODUCT(
  IF($B20:$K20&lt;&gt;"",
     INDEX('Eurostat EB products IEA'!$A$4:$BN$135,
           MATCH($B20:$K20, 'Eurostat EB products IEA'!$A$4:$A$135, 0),
           MATCH(AD$1, 'Eurostat EB products IEA'!$A$4:$BN$4, 0)
     )
     * $L20:$U20,
     0
  )
)</f>
        <v>0</v>
      </c>
      <c r="AE20" s="17" cm="1">
        <f t="array" ref="AE20">SUMPRODUCT(
  IF($B20:$K20&lt;&gt;"",
     INDEX('Eurostat EB products IEA'!$A$4:$BN$135,
           MATCH($B20:$K20, 'Eurostat EB products IEA'!$A$4:$A$135, 0),
           MATCH(AE$1, 'Eurostat EB products IEA'!$A$4:$BN$4, 0)
     )
     * $L20:$U20,
     0
  )
)</f>
        <v>0</v>
      </c>
      <c r="AF20" s="17" cm="1">
        <f t="array" ref="AF20">SUMPRODUCT(
  IF($B20:$K20&lt;&gt;"",
     INDEX('Eurostat EB products IEA'!$A$4:$BN$135,
           MATCH($B20:$K20, 'Eurostat EB products IEA'!$A$4:$A$135, 0),
           MATCH(AF$1, 'Eurostat EB products IEA'!$A$4:$BN$4, 0)
     )
     * $L20:$U20,
     0
  )
)</f>
        <v>0</v>
      </c>
      <c r="AG20" s="17" cm="1">
        <f t="array" ref="AG20">SUMPRODUCT(
  IF($B20:$K20&lt;&gt;"",
     INDEX('Eurostat EB products IEA'!$A$4:$BN$135,
           MATCH($B20:$K20, 'Eurostat EB products IEA'!$A$4:$A$135, 0),
           MATCH(AG$1, 'Eurostat EB products IEA'!$A$4:$BN$4, 0)
     )
     * $L20:$U20,
     0
  )
)</f>
        <v>0</v>
      </c>
      <c r="AH20" s="17" cm="1">
        <f t="array" ref="AH20">SUMPRODUCT(
  IF($B20:$K20&lt;&gt;"",
     INDEX('Eurostat EB products IEA'!$A$4:$BN$135,
           MATCH($B20:$K20, 'Eurostat EB products IEA'!$A$4:$A$135, 0),
           MATCH(AH$1, 'Eurostat EB products IEA'!$A$4:$BN$4, 0)
     )
     * $L20:$U20,
     0
  )
)</f>
        <v>0</v>
      </c>
      <c r="AI20" s="17" cm="1">
        <f t="array" ref="AI20">SUMPRODUCT(
  IF($B20:$K20&lt;&gt;"",
     INDEX('Eurostat EB products IEA'!$A$4:$BN$135,
           MATCH($B20:$K20, 'Eurostat EB products IEA'!$A$4:$A$135, 0),
           MATCH(AI$1, 'Eurostat EB products IEA'!$A$4:$BN$4, 0)
     )
     * $L20:$U20,
     0
  )
)</f>
        <v>0</v>
      </c>
      <c r="AJ20" s="17" cm="1">
        <f t="array" ref="AJ20">SUMPRODUCT(
  IF($B20:$K20&lt;&gt;"",
     INDEX('Eurostat EB products IEA'!$A$4:$BN$135,
           MATCH($B20:$K20, 'Eurostat EB products IEA'!$A$4:$A$135, 0),
           MATCH(AJ$1, 'Eurostat EB products IEA'!$A$4:$BN$4, 0)
     )
     * $L20:$U20,
     0
  )
)</f>
        <v>0</v>
      </c>
      <c r="AK20" s="17" cm="1">
        <f t="array" ref="AK20">SUMPRODUCT(
  IF($B20:$K20&lt;&gt;"",
     INDEX('Eurostat EB products IEA'!$A$4:$BN$135,
           MATCH($B20:$K20, 'Eurostat EB products IEA'!$A$4:$A$135, 0),
           MATCH(AK$1, 'Eurostat EB products IEA'!$A$4:$BN$4, 0)
     )
     * $L20:$U20,
     0
  )
)</f>
        <v>0</v>
      </c>
      <c r="AL20" s="17" cm="1">
        <f t="array" ref="AL20">SUMPRODUCT(
  IF($B20:$K20&lt;&gt;"",
     INDEX('Eurostat EB products IEA'!$A$4:$BN$135,
           MATCH($B20:$K20, 'Eurostat EB products IEA'!$A$4:$A$135, 0),
           MATCH(AL$1, 'Eurostat EB products IEA'!$A$4:$BN$4, 0)
     )
     * $L20:$U20,
     0
  )
)</f>
        <v>0</v>
      </c>
      <c r="AM20" s="17" cm="1">
        <f t="array" ref="AM20">SUMPRODUCT(
  IF($B20:$K20&lt;&gt;"",
     INDEX('Eurostat EB products IEA'!$A$4:$BN$135,
           MATCH($B20:$K20, 'Eurostat EB products IEA'!$A$4:$A$135, 0),
           MATCH(AM$1, 'Eurostat EB products IEA'!$A$4:$BN$4, 0)
     )
     * $L20:$U20,
     0
  )
)</f>
        <v>0</v>
      </c>
      <c r="AN20" s="65" t="s">
        <v>323</v>
      </c>
      <c r="AO20" s="17" cm="1">
        <f t="array" ref="AO20">SUMPRODUCT(
  IF($B20:$K20&lt;&gt;"",
     INDEX('Eurostat EB products IEA'!$A$4:$BN$135,
           MATCH($B20:$K20, 'Eurostat EB products IEA'!$A$4:$A$135, 0),
           MATCH(AO$1, 'Eurostat EB products IEA'!$A$4:$BN$4, 0)
     )
     * $L20:$U20,
     0
  )
)</f>
        <v>0</v>
      </c>
      <c r="AP20" s="17" cm="1">
        <f t="array" ref="AP20">SUMPRODUCT(
  IF($B20:$K20&lt;&gt;"",
     INDEX('Eurostat EB products IEA'!$A$4:$BN$135,
           MATCH($B20:$K20, 'Eurostat EB products IEA'!$A$4:$A$135, 0),
           MATCH(AP$1, 'Eurostat EB products IEA'!$A$4:$BN$4, 0)
     )
     * $L20:$U20,
     0
  )
)</f>
        <v>0</v>
      </c>
      <c r="AQ20" s="17" cm="1">
        <f t="array" ref="AQ20">SUMPRODUCT(
  IF($B20:$K20&lt;&gt;"",
     INDEX('Eurostat EB products IEA'!$A$4:$BN$135,
           MATCH($B20:$K20, 'Eurostat EB products IEA'!$A$4:$A$135, 0),
           MATCH(AQ$1, 'Eurostat EB products IEA'!$A$4:$BN$4, 0)
     )
     * $L20:$U20,
     0
  )
)</f>
        <v>0</v>
      </c>
      <c r="AR20" s="17" cm="1">
        <f t="array" ref="AR20">SUMPRODUCT(
  IF($B20:$K20&lt;&gt;"",
     INDEX('Eurostat EB products IEA'!$A$4:$BN$135,
           MATCH($B20:$K20, 'Eurostat EB products IEA'!$A$4:$A$135, 0),
           MATCH(AR$1, 'Eurostat EB products IEA'!$A$4:$BN$4, 0)
     )
     * $L20:$U20,
     0
  )
)</f>
        <v>0</v>
      </c>
      <c r="AS20" s="17" cm="1">
        <f t="array" ref="AS20">SUMPRODUCT(
  IF($B20:$K20&lt;&gt;"",
     INDEX('Eurostat EB products IEA'!$A$4:$BN$135,
           MATCH($B20:$K20, 'Eurostat EB products IEA'!$A$4:$A$135, 0),
           MATCH(AS$1, 'Eurostat EB products IEA'!$A$4:$BN$4, 0)
     )
     * $L20:$U20,
     0
  )
)</f>
        <v>0</v>
      </c>
      <c r="AT20" s="17" cm="1">
        <f t="array" ref="AT20">SUMPRODUCT(
  IF($B20:$K20&lt;&gt;"",
     INDEX('Eurostat EB products IEA'!$A$4:$BN$135,
           MATCH($B20:$K20, 'Eurostat EB products IEA'!$A$4:$A$135, 0),
           MATCH(AT$1, 'Eurostat EB products IEA'!$A$4:$BN$4, 0)
     )
     * $L20:$U20,
     0
  )
)</f>
        <v>0</v>
      </c>
      <c r="AU20" s="17" cm="1">
        <f t="array" ref="AU20">SUMPRODUCT(
  IF($B20:$K20&lt;&gt;"",
     INDEX('Eurostat EB products IEA'!$A$4:$BN$135,
           MATCH($B20:$K20, 'Eurostat EB products IEA'!$A$4:$A$135, 0),
           MATCH(AU$1, 'Eurostat EB products IEA'!$A$4:$BN$4, 0)
     )
     * $L20:$U20,
     0
  )
)</f>
        <v>0</v>
      </c>
      <c r="AV20" s="17" cm="1">
        <f t="array" ref="AV20">SUMPRODUCT(
  IF($B20:$K20&lt;&gt;"",
     INDEX('Eurostat EB products IEA'!$A$4:$BN$135,
           MATCH($B20:$K20, 'Eurostat EB products IEA'!$A$4:$A$135, 0),
           MATCH(AV$1, 'Eurostat EB products IEA'!$A$4:$BN$4, 0)
     )
     * $L20:$U20,
     0
  )
)</f>
        <v>0</v>
      </c>
      <c r="AW20" s="17" cm="1">
        <f t="array" ref="AW20">SUMPRODUCT(
  IF($B20:$K20&lt;&gt;"",
     INDEX('Eurostat EB products IEA'!$A$4:$BN$135,
           MATCH($B20:$K20, 'Eurostat EB products IEA'!$A$4:$A$135, 0),
           MATCH(AW$1, 'Eurostat EB products IEA'!$A$4:$BN$4, 0)
     )
     * $L20:$U20,
     0
  )
)</f>
        <v>0</v>
      </c>
      <c r="AX20" s="17" cm="1">
        <f t="array" ref="AX20">SUMPRODUCT(
  IF($B20:$K20&lt;&gt;"",
     INDEX('Eurostat EB products IEA'!$A$4:$BN$135,
           MATCH($B20:$K20, 'Eurostat EB products IEA'!$A$4:$A$135, 0),
           MATCH(AX$1, 'Eurostat EB products IEA'!$A$4:$BN$4, 0)
     )
     * $L20:$U20,
     0
  )
)</f>
        <v>0</v>
      </c>
      <c r="AY20" s="17" cm="1">
        <f t="array" ref="AY20">SUMPRODUCT(
  IF($B20:$K20&lt;&gt;"",
     INDEX('Eurostat EB products IEA'!$A$4:$BN$135,
           MATCH($B20:$K20, 'Eurostat EB products IEA'!$A$4:$A$135, 0),
           MATCH(AY$1, 'Eurostat EB products IEA'!$A$4:$BN$4, 0)
     )
     * $L20:$U20,
     0
  )
)</f>
        <v>0</v>
      </c>
      <c r="AZ20" s="17" cm="1">
        <f t="array" ref="AZ20">SUMPRODUCT(
  IF($B20:$K20&lt;&gt;"",
     INDEX('Eurostat EB products IEA'!$A$4:$BN$135,
           MATCH($B20:$K20, 'Eurostat EB products IEA'!$A$4:$A$135, 0),
           MATCH(AZ$1, 'Eurostat EB products IEA'!$A$4:$BN$4, 0)
     )
     * $L20:$U20,
     0
  )
)</f>
        <v>0</v>
      </c>
      <c r="BA20" s="17" cm="1">
        <f t="array" ref="BA20">SUMPRODUCT(
  IF($B20:$K20&lt;&gt;"",
     INDEX('Eurostat EB products IEA'!$A$4:$BN$135,
           MATCH($B20:$K20, 'Eurostat EB products IEA'!$A$4:$A$135, 0),
           MATCH(BA$1, 'Eurostat EB products IEA'!$A$4:$BN$4, 0)
     )
     * $L20:$U20,
     0
  )
)</f>
        <v>0</v>
      </c>
      <c r="BB20" s="17" cm="1">
        <f t="array" ref="BB20">SUMPRODUCT(
  IF($B20:$K20&lt;&gt;"",
     INDEX('Eurostat EB products IEA'!$A$4:$BN$135,
           MATCH($B20:$K20, 'Eurostat EB products IEA'!$A$4:$A$135, 0),
           MATCH(BB$1, 'Eurostat EB products IEA'!$A$4:$BN$4, 0)
     )
     * $L20:$U20,
     0
  )
)</f>
        <v>0</v>
      </c>
      <c r="BC20" s="17" cm="1">
        <f t="array" ref="BC20">SUMPRODUCT(
  IF($B20:$K20&lt;&gt;"",
     INDEX('Eurostat EB products IEA'!$A$4:$BN$135,
           MATCH($B20:$K20, 'Eurostat EB products IEA'!$A$4:$A$135, 0),
           MATCH(BC$1, 'Eurostat EB products IEA'!$A$4:$BN$4, 0)
     )
     * $L20:$U20,
     0
  )
)</f>
        <v>0</v>
      </c>
      <c r="BD20" s="17" cm="1">
        <f t="array" ref="BD20">SUMPRODUCT(
  IF($B20:$K20&lt;&gt;"",
     INDEX('Eurostat EB products IEA'!$A$4:$BN$135,
           MATCH($B20:$K20, 'Eurostat EB products IEA'!$A$4:$A$135, 0),
           MATCH(BD$1, 'Eurostat EB products IEA'!$A$4:$BN$4, 0)
     )
     * $L20:$U20,
     0
  )
)</f>
        <v>0</v>
      </c>
      <c r="BE20" s="17" cm="1">
        <f t="array" ref="BE20">SUMPRODUCT(
  IF($B20:$K20&lt;&gt;"",
     INDEX('Eurostat EB products IEA'!$A$4:$BN$135,
           MATCH($B20:$K20, 'Eurostat EB products IEA'!$A$4:$A$135, 0),
           MATCH(BE$1, 'Eurostat EB products IEA'!$A$4:$BN$4, 0)
     )
     * $L20:$U20,
     0
  )
)</f>
        <v>0</v>
      </c>
      <c r="BF20" s="17" cm="1">
        <f t="array" ref="BF20">SUMPRODUCT(
  IF($B20:$K20&lt;&gt;"",
     INDEX('Eurostat EB products IEA'!$A$4:$BN$135,
           MATCH($B20:$K20, 'Eurostat EB products IEA'!$A$4:$A$135, 0),
           MATCH(BF$1, 'Eurostat EB products IEA'!$A$4:$BN$4, 0)
     )
     * $L20:$U20,
     0
  )
)</f>
        <v>0</v>
      </c>
      <c r="BG20" s="17" cm="1">
        <f t="array" ref="BG20">SUMPRODUCT(
  IF($B20:$K20&lt;&gt;"",
     INDEX('Eurostat EB products IEA'!$A$4:$BN$135,
           MATCH($B20:$K20, 'Eurostat EB products IEA'!$A$4:$A$135, 0),
           MATCH(BG$1, 'Eurostat EB products IEA'!$A$4:$BN$4, 0)
     )
     * $L20:$U20,
     0
  )
)</f>
        <v>0</v>
      </c>
      <c r="BH20" s="17" cm="1">
        <f t="array" ref="BH20">SUMPRODUCT(
  IF($B20:$K20&lt;&gt;"",
     INDEX('Eurostat EB products IEA'!$A$4:$BN$135,
           MATCH($B20:$K20, 'Eurostat EB products IEA'!$A$4:$A$135, 0),
           MATCH(BH$1, 'Eurostat EB products IEA'!$A$4:$BN$4, 0)
     )
     * $L20:$U20,
     0
  )
)</f>
        <v>0</v>
      </c>
      <c r="BI20" s="17" cm="1">
        <f t="array" ref="BI20">SUMPRODUCT(
  IF($B20:$K20&lt;&gt;"",
     INDEX('Eurostat EB products IEA'!$A$4:$BN$135,
           MATCH($B20:$K20, 'Eurostat EB products IEA'!$A$4:$A$135, 0),
           MATCH(BI$1, 'Eurostat EB products IEA'!$A$4:$BN$4, 0)
     )
     * $L20:$U20,
     0
  )
)</f>
        <v>0</v>
      </c>
      <c r="BJ20" s="17" cm="1">
        <f t="array" ref="BJ20">SUMPRODUCT(
  IF($B20:$K20&lt;&gt;"",
     INDEX('Eurostat EB products IEA'!$A$4:$BN$135,
           MATCH($B20:$K20, 'Eurostat EB products IEA'!$A$4:$A$135, 0),
           MATCH(BJ$1, 'Eurostat EB products IEA'!$A$4:$BN$4, 0)
     )
     * $L20:$U20,
     0
  )
)</f>
        <v>0</v>
      </c>
      <c r="BK20" s="17" cm="1">
        <f t="array" ref="BK20">SUMPRODUCT(
  IF($B20:$K20&lt;&gt;"",
     INDEX('Eurostat EB products IEA'!$A$4:$BN$135,
           MATCH($B20:$K20, 'Eurostat EB products IEA'!$A$4:$A$135, 0),
           MATCH(BK$1, 'Eurostat EB products IEA'!$A$4:$BN$4, 0)
     )
     * $L20:$U20,
     0
  )
)</f>
        <v>0</v>
      </c>
      <c r="BL20" s="17" cm="1">
        <f t="array" ref="BL20">SUMPRODUCT(
  IF($B20:$K20&lt;&gt;"",
     INDEX('Eurostat EB products IEA'!$A$4:$BN$135,
           MATCH($B20:$K20, 'Eurostat EB products IEA'!$A$4:$A$135, 0),
           MATCH(BL$1, 'Eurostat EB products IEA'!$A$4:$BN$4, 0)
     )
     * $L20:$U20,
     0
  )
)</f>
        <v>0</v>
      </c>
      <c r="BM20" s="17" cm="1">
        <f t="array" ref="BM20">SUMPRODUCT(
  IF($B20:$K20&lt;&gt;"",
     INDEX('Eurostat EB products IEA'!$A$4:$BN$135,
           MATCH($B20:$K20, 'Eurostat EB products IEA'!$A$4:$A$135, 0),
           MATCH(BM$1, 'Eurostat EB products IEA'!$A$4:$BN$4, 0)
     )
     * $L20:$U20,
     0
  )
)</f>
        <v>0</v>
      </c>
      <c r="BN20" s="17" cm="1">
        <f t="array" ref="BN20">SUMPRODUCT(
  IF($B20:$K20&lt;&gt;"",
     INDEX('Eurostat EB products IEA'!$A$4:$BN$135,
           MATCH($B20:$K20, 'Eurostat EB products IEA'!$A$4:$A$135, 0),
           MATCH(BN$1, 'Eurostat EB products IEA'!$A$4:$BN$4, 0)
     )
     * $L20:$U20,
     0
  )
)</f>
        <v>0</v>
      </c>
      <c r="BO20" s="17" cm="1">
        <f t="array" ref="BO20">SUMPRODUCT(
  IF($B20:$K20&lt;&gt;"",
     INDEX('Eurostat EB products IEA'!$A$4:$BN$135,
           MATCH($B20:$K20, 'Eurostat EB products IEA'!$A$4:$A$135, 0),
           MATCH(BO$1, 'Eurostat EB products IEA'!$A$4:$BN$4, 0)
     )
     * $L20:$U20,
     0
  )
)</f>
        <v>0</v>
      </c>
      <c r="BP20" s="17" cm="1">
        <f t="array" ref="BP20">SUMPRODUCT(
  IF($B20:$K20&lt;&gt;"",
     INDEX('Eurostat EB products IEA'!$A$4:$BN$135,
           MATCH($B20:$K20, 'Eurostat EB products IEA'!$A$4:$A$135, 0),
           MATCH(BP$1, 'Eurostat EB products IEA'!$A$4:$BN$4, 0)
     )
     * $L20:$U20,
     0
  )
)</f>
        <v>0</v>
      </c>
      <c r="BQ20" s="17" cm="1">
        <f t="array" ref="BQ20">SUMPRODUCT(
  IF($B20:$K20&lt;&gt;"",
     INDEX('Eurostat EB products IEA'!$A$4:$BN$135,
           MATCH($B20:$K20, 'Eurostat EB products IEA'!$A$4:$A$135, 0),
           MATCH(BQ$1, 'Eurostat EB products IEA'!$A$4:$BN$4, 0)
     )
     * $L20:$U20,
     0
  )
)</f>
        <v>0</v>
      </c>
      <c r="BR20" s="17" cm="1">
        <f t="array" ref="BR20">SUMPRODUCT(
  IF($B20:$K20&lt;&gt;"",
     INDEX('Eurostat EB products IEA'!$A$4:$BN$135,
           MATCH($B20:$K20, 'Eurostat EB products IEA'!$A$4:$A$135, 0),
           MATCH(BR$1, 'Eurostat EB products IEA'!$A$4:$BN$4, 0)
     )
     * $L20:$U20,
     0
  )
)</f>
        <v>0</v>
      </c>
      <c r="BS20" s="65">
        <v>0</v>
      </c>
      <c r="BT20" s="17" cm="1">
        <f t="array" ref="BT20">SUMPRODUCT(
  IF($B20:$K20&lt;&gt;"",
     INDEX('Eurostat EB products IEA'!$A$4:$BN$135,
           MATCH($B20:$K20, 'Eurostat EB products IEA'!$A$4:$A$135, 0),
           MATCH(BT$1, 'Eurostat EB products IEA'!$A$4:$BN$4, 0)
     )
     * $L20:$U20,
     0
  )
)</f>
        <v>0</v>
      </c>
      <c r="BU20" s="65">
        <v>0</v>
      </c>
      <c r="BV20" s="65">
        <v>0</v>
      </c>
      <c r="BW20" s="17" cm="1">
        <f t="array" ref="BW20">SUMPRODUCT(
  IF($B20:$K20&lt;&gt;"",
     INDEX('Eurostat EB products IEA'!$A$4:$BN$135,
           MATCH($B20:$K20, 'Eurostat EB products IEA'!$A$4:$A$135, 0),
           MATCH(BW$1, 'Eurostat EB products IEA'!$A$4:$BN$4, 0)
     )
     * $L20:$U20,
     0
  )
)</f>
        <v>0</v>
      </c>
      <c r="BX20" s="17" cm="1">
        <f t="array" ref="BX20">SUMPRODUCT(
  IF($B20:$K20&lt;&gt;"",
     INDEX('Eurostat EB products IEA'!$A$4:$BN$135,
           MATCH($B20:$K20, 'Eurostat EB products IEA'!$A$4:$A$135, 0),
           MATCH(BX$1, 'Eurostat EB products IEA'!$A$4:$BN$4, 0)
     )
     * $L20:$U20,
     0
  )
)</f>
        <v>0</v>
      </c>
      <c r="BY20" s="17" cm="1">
        <f t="array" ref="BY20">SUMPRODUCT(
  IF($B20:$K20&lt;&gt;"",
     INDEX('Eurostat EB products IEA'!$A$4:$BN$135,
           MATCH($B20:$K20, 'Eurostat EB products IEA'!$A$4:$A$135, 0),
           MATCH(BY$1, 'Eurostat EB products IEA'!$A$4:$BN$4, 0)
     )
     * $L20:$U20,
     0
  )
)</f>
        <v>0</v>
      </c>
      <c r="BZ20" s="17" cm="1">
        <f t="array" ref="BZ20">SUMPRODUCT(
  IF($B20:$K20&lt;&gt;"",
     INDEX('Eurostat EB products IEA'!$A$4:$BN$135,
           MATCH($B20:$K20, 'Eurostat EB products IEA'!$A$4:$A$135, 0),
           MATCH(BZ$1, 'Eurostat EB products IEA'!$A$4:$BN$4, 0)
     )
     * $L20:$U20,
     0
  )
)</f>
        <v>0</v>
      </c>
      <c r="CA20" s="17" cm="1">
        <f t="array" ref="CA20">SUMPRODUCT(
  IF($B20:$K20&lt;&gt;"",
     INDEX('Eurostat EB products IEA'!$A$4:$BN$135,
           MATCH($B20:$K20, 'Eurostat EB products IEA'!$A$4:$A$135, 0),
           MATCH(CA$1, 'Eurostat EB products IEA'!$A$4:$BN$4, 0)
     )
     * $L20:$U20,
     0
  )
)</f>
        <v>0</v>
      </c>
      <c r="CB20" s="17" cm="1">
        <f t="array" ref="CB20">SUMPRODUCT(
  IF($B20:$K20&lt;&gt;"",
     INDEX('Eurostat EB products IEA'!$A$4:$BN$135,
           MATCH($B20:$K20, 'Eurostat EB products IEA'!$A$4:$A$135, 0),
           MATCH(CB$1, 'Eurostat EB products IEA'!$A$4:$BN$4, 0)
     )
     * $L20:$U20,
     0
  )
)</f>
        <v>0</v>
      </c>
      <c r="CC20" s="17" cm="1">
        <f t="array" ref="CC20">SUMPRODUCT(
  IF($B20:$K20&lt;&gt;"",
     INDEX('Eurostat EB products IEA'!$A$4:$BN$135,
           MATCH($B20:$K20, 'Eurostat EB products IEA'!$A$4:$A$135, 0),
           MATCH(CC$1, 'Eurostat EB products IEA'!$A$4:$BN$4, 0)
     )
     * $L20:$U20,
     0
  )
)</f>
        <v>0</v>
      </c>
      <c r="CD20" s="65">
        <v>0</v>
      </c>
      <c r="CE20" s="17" cm="1">
        <f t="array" ref="CE20">SUMPRODUCT(
  IF($B20:$K20&lt;&gt;"",
     INDEX('Eurostat EB products IEA'!$A$4:$BN$135,
           MATCH($B20:$K20, 'Eurostat EB products IEA'!$A$4:$A$135, 0),
           MATCH(CE$1, 'Eurostat EB products IEA'!$A$4:$BN$4, 0)
     )
     * $L20:$U20,
     0
  )
)</f>
        <v>0</v>
      </c>
      <c r="CF20" s="17" cm="1">
        <f t="array" ref="CF20">SUMPRODUCT(
  IF($B20:$K20&lt;&gt;"",
     INDEX('Eurostat EB products IEA'!$A$4:$BN$135,
           MATCH($B20:$K20, 'Eurostat EB products IEA'!$A$4:$A$135, 0),
           MATCH(CF$1, 'Eurostat EB products IEA'!$A$4:$BN$4, 0)
     )
     * $L20:$U20,
     0
  )
)</f>
        <v>0</v>
      </c>
      <c r="CG20" s="17" cm="1">
        <f t="array" ref="CG20">SUMPRODUCT(
  IF($B20:$K20&lt;&gt;"",
     INDEX('Eurostat EB products IEA'!$A$4:$BN$135,
           MATCH($B20:$K20, 'Eurostat EB products IEA'!$A$4:$A$135, 0),
           MATCH(CG$1, 'Eurostat EB products IEA'!$A$4:$BN$4, 0)
     )
     * $L20:$U20,
     0
  )
)</f>
        <v>0</v>
      </c>
      <c r="CH20" s="17" cm="1">
        <f t="array" ref="CH20">SUMPRODUCT(
  IF($B20:$K20&lt;&gt;"",
     INDEX('Eurostat EB products IEA'!$A$4:$BN$135,
           MATCH($B20:$K20, 'Eurostat EB products IEA'!$A$4:$A$135, 0),
           MATCH(CH$1, 'Eurostat EB products IEA'!$A$4:$BN$4, 0)
     )
     * $L20:$U20,
     0
  )
)</f>
        <v>0</v>
      </c>
    </row>
    <row r="21" spans="1:86" x14ac:dyDescent="0.2">
      <c r="A21" t="s">
        <v>157</v>
      </c>
      <c r="B21" s="75"/>
      <c r="C21" s="77"/>
      <c r="D21" s="75"/>
      <c r="E21" s="77"/>
      <c r="F21" s="75"/>
      <c r="G21" s="77"/>
      <c r="H21" s="75"/>
      <c r="I21" s="77"/>
      <c r="J21" s="74" t="s">
        <v>215</v>
      </c>
      <c r="K21" s="78" t="s">
        <v>243</v>
      </c>
      <c r="L21" s="76"/>
      <c r="M21" s="79"/>
      <c r="N21" s="76"/>
      <c r="O21" s="79"/>
      <c r="P21" s="76"/>
      <c r="Q21" s="79"/>
      <c r="R21" s="76"/>
      <c r="S21" s="79"/>
      <c r="T21" s="76">
        <v>-1</v>
      </c>
      <c r="U21" s="79">
        <v>1</v>
      </c>
      <c r="V21" s="65" t="s">
        <v>323</v>
      </c>
      <c r="W21" s="65" t="s">
        <v>323</v>
      </c>
      <c r="X21" s="57" cm="1">
        <f t="array" ref="X21">SUMPRODUCT(
  IF($B21:$K21&lt;&gt;"",
     INDEX('Eurostat EB products IEA'!$A$4:$BN$135,
           MATCH($B21:$K21, 'Eurostat EB products IEA'!$A$4:$A$135, 0),
           MATCH(X$1, 'Eurostat EB products IEA'!$A$4:$BN$4, 0)
     )
     * $L21:$U21,
     0
  )
)</f>
        <v>0</v>
      </c>
      <c r="Y21" s="57" cm="1">
        <f t="array" ref="Y21">SUMPRODUCT(
  IF($B21:$K21&lt;&gt;"",
     INDEX('Eurostat EB products IEA'!$A$4:$BN$135,
           MATCH($B21:$K21, 'Eurostat EB products IEA'!$A$4:$A$135, 0),
           MATCH(Y$1, 'Eurostat EB products IEA'!$A$4:$BN$4, 0)
     )
     * $L21:$U21,
     0
  )
)</f>
        <v>0</v>
      </c>
      <c r="Z21" s="57" cm="1">
        <f t="array" ref="Z21">SUMPRODUCT(
  IF($B21:$K21&lt;&gt;"",
     INDEX('Eurostat EB products IEA'!$A$4:$BN$135,
           MATCH($B21:$K21, 'Eurostat EB products IEA'!$A$4:$A$135, 0),
           MATCH(Z$1, 'Eurostat EB products IEA'!$A$4:$BN$4, 0)
     )
     * $L21:$U21,
     0
  )
)</f>
        <v>0</v>
      </c>
      <c r="AA21" s="57" cm="1">
        <f t="array" ref="AA21">SUMPRODUCT(
  IF($B21:$K21&lt;&gt;"",
     INDEX('Eurostat EB products IEA'!$A$4:$BN$135,
           MATCH($B21:$K21, 'Eurostat EB products IEA'!$A$4:$A$135, 0),
           MATCH(AA$1, 'Eurostat EB products IEA'!$A$4:$BN$4, 0)
     )
     * $L21:$U21,
     0
  )
)</f>
        <v>0</v>
      </c>
      <c r="AB21" s="57" cm="1">
        <f t="array" ref="AB21">SUMPRODUCT(
  IF($B21:$K21&lt;&gt;"",
     INDEX('Eurostat EB products IEA'!$A$4:$BN$135,
           MATCH($B21:$K21, 'Eurostat EB products IEA'!$A$4:$A$135, 0),
           MATCH(AB$1, 'Eurostat EB products IEA'!$A$4:$BN$4, 0)
     )
     * $L21:$U21,
     0
  )
)</f>
        <v>0</v>
      </c>
      <c r="AC21" s="57" cm="1">
        <f t="array" ref="AC21">SUMPRODUCT(
  IF($B21:$K21&lt;&gt;"",
     INDEX('Eurostat EB products IEA'!$A$4:$BN$135,
           MATCH($B21:$K21, 'Eurostat EB products IEA'!$A$4:$A$135, 0),
           MATCH(AC$1, 'Eurostat EB products IEA'!$A$4:$BN$4, 0)
     )
     * $L21:$U21,
     0
  )
)</f>
        <v>0</v>
      </c>
      <c r="AD21" s="57" cm="1">
        <f t="array" ref="AD21">SUMPRODUCT(
  IF($B21:$K21&lt;&gt;"",
     INDEX('Eurostat EB products IEA'!$A$4:$BN$135,
           MATCH($B21:$K21, 'Eurostat EB products IEA'!$A$4:$A$135, 0),
           MATCH(AD$1, 'Eurostat EB products IEA'!$A$4:$BN$4, 0)
     )
     * $L21:$U21,
     0
  )
)</f>
        <v>0</v>
      </c>
      <c r="AE21" s="57" cm="1">
        <f t="array" ref="AE21">SUMPRODUCT(
  IF($B21:$K21&lt;&gt;"",
     INDEX('Eurostat EB products IEA'!$A$4:$BN$135,
           MATCH($B21:$K21, 'Eurostat EB products IEA'!$A$4:$A$135, 0),
           MATCH(AE$1, 'Eurostat EB products IEA'!$A$4:$BN$4, 0)
     )
     * $L21:$U21,
     0
  )
)</f>
        <v>0</v>
      </c>
      <c r="AF21" s="57" cm="1">
        <f t="array" ref="AF21">SUMPRODUCT(
  IF($B21:$K21&lt;&gt;"",
     INDEX('Eurostat EB products IEA'!$A$4:$BN$135,
           MATCH($B21:$K21, 'Eurostat EB products IEA'!$A$4:$A$135, 0),
           MATCH(AF$1, 'Eurostat EB products IEA'!$A$4:$BN$4, 0)
     )
     * $L21:$U21,
     0
  )
)</f>
        <v>0</v>
      </c>
      <c r="AG21" s="57" cm="1">
        <f t="array" ref="AG21">SUMPRODUCT(
  IF($B21:$K21&lt;&gt;"",
     INDEX('Eurostat EB products IEA'!$A$4:$BN$135,
           MATCH($B21:$K21, 'Eurostat EB products IEA'!$A$4:$A$135, 0),
           MATCH(AG$1, 'Eurostat EB products IEA'!$A$4:$BN$4, 0)
     )
     * $L21:$U21,
     0
  )
)</f>
        <v>0</v>
      </c>
      <c r="AH21" s="57" cm="1">
        <f t="array" ref="AH21">SUMPRODUCT(
  IF($B21:$K21&lt;&gt;"",
     INDEX('Eurostat EB products IEA'!$A$4:$BN$135,
           MATCH($B21:$K21, 'Eurostat EB products IEA'!$A$4:$A$135, 0),
           MATCH(AH$1, 'Eurostat EB products IEA'!$A$4:$BN$4, 0)
     )
     * $L21:$U21,
     0
  )
)</f>
        <v>0</v>
      </c>
      <c r="AI21" s="57" cm="1">
        <f t="array" ref="AI21">SUMPRODUCT(
  IF($B21:$K21&lt;&gt;"",
     INDEX('Eurostat EB products IEA'!$A$4:$BN$135,
           MATCH($B21:$K21, 'Eurostat EB products IEA'!$A$4:$A$135, 0),
           MATCH(AI$1, 'Eurostat EB products IEA'!$A$4:$BN$4, 0)
     )
     * $L21:$U21,
     0
  )
)</f>
        <v>0</v>
      </c>
      <c r="AJ21" s="57" cm="1">
        <f t="array" ref="AJ21">SUMPRODUCT(
  IF($B21:$K21&lt;&gt;"",
     INDEX('Eurostat EB products IEA'!$A$4:$BN$135,
           MATCH($B21:$K21, 'Eurostat EB products IEA'!$A$4:$A$135, 0),
           MATCH(AJ$1, 'Eurostat EB products IEA'!$A$4:$BN$4, 0)
     )
     * $L21:$U21,
     0
  )
)</f>
        <v>0</v>
      </c>
      <c r="AK21" s="57" cm="1">
        <f t="array" ref="AK21">SUMPRODUCT(
  IF($B21:$K21&lt;&gt;"",
     INDEX('Eurostat EB products IEA'!$A$4:$BN$135,
           MATCH($B21:$K21, 'Eurostat EB products IEA'!$A$4:$A$135, 0),
           MATCH(AK$1, 'Eurostat EB products IEA'!$A$4:$BN$4, 0)
     )
     * $L21:$U21,
     0
  )
)</f>
        <v>0</v>
      </c>
      <c r="AL21" s="57" cm="1">
        <f t="array" ref="AL21">SUMPRODUCT(
  IF($B21:$K21&lt;&gt;"",
     INDEX('Eurostat EB products IEA'!$A$4:$BN$135,
           MATCH($B21:$K21, 'Eurostat EB products IEA'!$A$4:$A$135, 0),
           MATCH(AL$1, 'Eurostat EB products IEA'!$A$4:$BN$4, 0)
     )
     * $L21:$U21,
     0
  )
)</f>
        <v>0</v>
      </c>
      <c r="AM21" s="57" cm="1">
        <f t="array" ref="AM21">SUMPRODUCT(
  IF($B21:$K21&lt;&gt;"",
     INDEX('Eurostat EB products IEA'!$A$4:$BN$135,
           MATCH($B21:$K21, 'Eurostat EB products IEA'!$A$4:$A$135, 0),
           MATCH(AM$1, 'Eurostat EB products IEA'!$A$4:$BN$4, 0)
     )
     * $L21:$U21,
     0
  )
)</f>
        <v>0</v>
      </c>
      <c r="AN21" s="65" t="s">
        <v>323</v>
      </c>
      <c r="AO21" s="57" cm="1">
        <f t="array" ref="AO21">SUMPRODUCT(
  IF($B21:$K21&lt;&gt;"",
     INDEX('Eurostat EB products IEA'!$A$4:$BN$135,
           MATCH($B21:$K21, 'Eurostat EB products IEA'!$A$4:$A$135, 0),
           MATCH(AO$1, 'Eurostat EB products IEA'!$A$4:$BN$4, 0)
     )
     * $L21:$U21,
     0
  )
)</f>
        <v>0</v>
      </c>
      <c r="AP21" s="57" cm="1">
        <f t="array" ref="AP21">SUMPRODUCT(
  IF($B21:$K21&lt;&gt;"",
     INDEX('Eurostat EB products IEA'!$A$4:$BN$135,
           MATCH($B21:$K21, 'Eurostat EB products IEA'!$A$4:$A$135, 0),
           MATCH(AP$1, 'Eurostat EB products IEA'!$A$4:$BN$4, 0)
     )
     * $L21:$U21,
     0
  )
)</f>
        <v>0</v>
      </c>
      <c r="AQ21" s="57" cm="1">
        <f t="array" ref="AQ21">SUMPRODUCT(
  IF($B21:$K21&lt;&gt;"",
     INDEX('Eurostat EB products IEA'!$A$4:$BN$135,
           MATCH($B21:$K21, 'Eurostat EB products IEA'!$A$4:$A$135, 0),
           MATCH(AQ$1, 'Eurostat EB products IEA'!$A$4:$BN$4, 0)
     )
     * $L21:$U21,
     0
  )
)</f>
        <v>0</v>
      </c>
      <c r="AR21" s="57" cm="1">
        <f t="array" ref="AR21">SUMPRODUCT(
  IF($B21:$K21&lt;&gt;"",
     INDEX('Eurostat EB products IEA'!$A$4:$BN$135,
           MATCH($B21:$K21, 'Eurostat EB products IEA'!$A$4:$A$135, 0),
           MATCH(AR$1, 'Eurostat EB products IEA'!$A$4:$BN$4, 0)
     )
     * $L21:$U21,
     0
  )
)</f>
        <v>0</v>
      </c>
      <c r="AS21" s="57" cm="1">
        <f t="array" ref="AS21">SUMPRODUCT(
  IF($B21:$K21&lt;&gt;"",
     INDEX('Eurostat EB products IEA'!$A$4:$BN$135,
           MATCH($B21:$K21, 'Eurostat EB products IEA'!$A$4:$A$135, 0),
           MATCH(AS$1, 'Eurostat EB products IEA'!$A$4:$BN$4, 0)
     )
     * $L21:$U21,
     0
  )
)</f>
        <v>0</v>
      </c>
      <c r="AT21" s="57" cm="1">
        <f t="array" ref="AT21">SUMPRODUCT(
  IF($B21:$K21&lt;&gt;"",
     INDEX('Eurostat EB products IEA'!$A$4:$BN$135,
           MATCH($B21:$K21, 'Eurostat EB products IEA'!$A$4:$A$135, 0),
           MATCH(AT$1, 'Eurostat EB products IEA'!$A$4:$BN$4, 0)
     )
     * $L21:$U21,
     0
  )
)</f>
        <v>0</v>
      </c>
      <c r="AU21" s="57" cm="1">
        <f t="array" ref="AU21">SUMPRODUCT(
  IF($B21:$K21&lt;&gt;"",
     INDEX('Eurostat EB products IEA'!$A$4:$BN$135,
           MATCH($B21:$K21, 'Eurostat EB products IEA'!$A$4:$A$135, 0),
           MATCH(AU$1, 'Eurostat EB products IEA'!$A$4:$BN$4, 0)
     )
     * $L21:$U21,
     0
  )
)</f>
        <v>0</v>
      </c>
      <c r="AV21" s="57" cm="1">
        <f t="array" ref="AV21">SUMPRODUCT(
  IF($B21:$K21&lt;&gt;"",
     INDEX('Eurostat EB products IEA'!$A$4:$BN$135,
           MATCH($B21:$K21, 'Eurostat EB products IEA'!$A$4:$A$135, 0),
           MATCH(AV$1, 'Eurostat EB products IEA'!$A$4:$BN$4, 0)
     )
     * $L21:$U21,
     0
  )
)</f>
        <v>0</v>
      </c>
      <c r="AW21" s="57" cm="1">
        <f t="array" ref="AW21">SUMPRODUCT(
  IF($B21:$K21&lt;&gt;"",
     INDEX('Eurostat EB products IEA'!$A$4:$BN$135,
           MATCH($B21:$K21, 'Eurostat EB products IEA'!$A$4:$A$135, 0),
           MATCH(AW$1, 'Eurostat EB products IEA'!$A$4:$BN$4, 0)
     )
     * $L21:$U21,
     0
  )
)</f>
        <v>0</v>
      </c>
      <c r="AX21" s="57" cm="1">
        <f t="array" ref="AX21">SUMPRODUCT(
  IF($B21:$K21&lt;&gt;"",
     INDEX('Eurostat EB products IEA'!$A$4:$BN$135,
           MATCH($B21:$K21, 'Eurostat EB products IEA'!$A$4:$A$135, 0),
           MATCH(AX$1, 'Eurostat EB products IEA'!$A$4:$BN$4, 0)
     )
     * $L21:$U21,
     0
  )
)</f>
        <v>0</v>
      </c>
      <c r="AY21" s="57" cm="1">
        <f t="array" ref="AY21">SUMPRODUCT(
  IF($B21:$K21&lt;&gt;"",
     INDEX('Eurostat EB products IEA'!$A$4:$BN$135,
           MATCH($B21:$K21, 'Eurostat EB products IEA'!$A$4:$A$135, 0),
           MATCH(AY$1, 'Eurostat EB products IEA'!$A$4:$BN$4, 0)
     )
     * $L21:$U21,
     0
  )
)</f>
        <v>0</v>
      </c>
      <c r="AZ21" s="57" cm="1">
        <f t="array" ref="AZ21">SUMPRODUCT(
  IF($B21:$K21&lt;&gt;"",
     INDEX('Eurostat EB products IEA'!$A$4:$BN$135,
           MATCH($B21:$K21, 'Eurostat EB products IEA'!$A$4:$A$135, 0),
           MATCH(AZ$1, 'Eurostat EB products IEA'!$A$4:$BN$4, 0)
     )
     * $L21:$U21,
     0
  )
)</f>
        <v>0</v>
      </c>
      <c r="BA21" s="57" cm="1">
        <f t="array" ref="BA21">SUMPRODUCT(
  IF($B21:$K21&lt;&gt;"",
     INDEX('Eurostat EB products IEA'!$A$4:$BN$135,
           MATCH($B21:$K21, 'Eurostat EB products IEA'!$A$4:$A$135, 0),
           MATCH(BA$1, 'Eurostat EB products IEA'!$A$4:$BN$4, 0)
     )
     * $L21:$U21,
     0
  )
)</f>
        <v>0</v>
      </c>
      <c r="BB21" s="57" cm="1">
        <f t="array" ref="BB21">SUMPRODUCT(
  IF($B21:$K21&lt;&gt;"",
     INDEX('Eurostat EB products IEA'!$A$4:$BN$135,
           MATCH($B21:$K21, 'Eurostat EB products IEA'!$A$4:$A$135, 0),
           MATCH(BB$1, 'Eurostat EB products IEA'!$A$4:$BN$4, 0)
     )
     * $L21:$U21,
     0
  )
)</f>
        <v>0</v>
      </c>
      <c r="BC21" s="57" cm="1">
        <f t="array" ref="BC21">SUMPRODUCT(
  IF($B21:$K21&lt;&gt;"",
     INDEX('Eurostat EB products IEA'!$A$4:$BN$135,
           MATCH($B21:$K21, 'Eurostat EB products IEA'!$A$4:$A$135, 0),
           MATCH(BC$1, 'Eurostat EB products IEA'!$A$4:$BN$4, 0)
     )
     * $L21:$U21,
     0
  )
)</f>
        <v>0</v>
      </c>
      <c r="BD21" s="57" cm="1">
        <f t="array" ref="BD21">SUMPRODUCT(
  IF($B21:$K21&lt;&gt;"",
     INDEX('Eurostat EB products IEA'!$A$4:$BN$135,
           MATCH($B21:$K21, 'Eurostat EB products IEA'!$A$4:$A$135, 0),
           MATCH(BD$1, 'Eurostat EB products IEA'!$A$4:$BN$4, 0)
     )
     * $L21:$U21,
     0
  )
)</f>
        <v>0</v>
      </c>
      <c r="BE21" s="57" cm="1">
        <f t="array" ref="BE21">SUMPRODUCT(
  IF($B21:$K21&lt;&gt;"",
     INDEX('Eurostat EB products IEA'!$A$4:$BN$135,
           MATCH($B21:$K21, 'Eurostat EB products IEA'!$A$4:$A$135, 0),
           MATCH(BE$1, 'Eurostat EB products IEA'!$A$4:$BN$4, 0)
     )
     * $L21:$U21,
     0
  )
)</f>
        <v>0</v>
      </c>
      <c r="BF21" s="57" cm="1">
        <f t="array" ref="BF21">SUMPRODUCT(
  IF($B21:$K21&lt;&gt;"",
     INDEX('Eurostat EB products IEA'!$A$4:$BN$135,
           MATCH($B21:$K21, 'Eurostat EB products IEA'!$A$4:$A$135, 0),
           MATCH(BF$1, 'Eurostat EB products IEA'!$A$4:$BN$4, 0)
     )
     * $L21:$U21,
     0
  )
)</f>
        <v>0</v>
      </c>
      <c r="BG21" s="57" cm="1">
        <f t="array" ref="BG21">SUMPRODUCT(
  IF($B21:$K21&lt;&gt;"",
     INDEX('Eurostat EB products IEA'!$A$4:$BN$135,
           MATCH($B21:$K21, 'Eurostat EB products IEA'!$A$4:$A$135, 0),
           MATCH(BG$1, 'Eurostat EB products IEA'!$A$4:$BN$4, 0)
     )
     * $L21:$U21,
     0
  )
)</f>
        <v>0</v>
      </c>
      <c r="BH21" s="57" cm="1">
        <f t="array" ref="BH21">SUMPRODUCT(
  IF($B21:$K21&lt;&gt;"",
     INDEX('Eurostat EB products IEA'!$A$4:$BN$135,
           MATCH($B21:$K21, 'Eurostat EB products IEA'!$A$4:$A$135, 0),
           MATCH(BH$1, 'Eurostat EB products IEA'!$A$4:$BN$4, 0)
     )
     * $L21:$U21,
     0
  )
)</f>
        <v>0</v>
      </c>
      <c r="BI21" s="57" cm="1">
        <f t="array" ref="BI21">SUMPRODUCT(
  IF($B21:$K21&lt;&gt;"",
     INDEX('Eurostat EB products IEA'!$A$4:$BN$135,
           MATCH($B21:$K21, 'Eurostat EB products IEA'!$A$4:$A$135, 0),
           MATCH(BI$1, 'Eurostat EB products IEA'!$A$4:$BN$4, 0)
     )
     * $L21:$U21,
     0
  )
)</f>
        <v>0</v>
      </c>
      <c r="BJ21" s="57" cm="1">
        <f t="array" ref="BJ21">SUMPRODUCT(
  IF($B21:$K21&lt;&gt;"",
     INDEX('Eurostat EB products IEA'!$A$4:$BN$135,
           MATCH($B21:$K21, 'Eurostat EB products IEA'!$A$4:$A$135, 0),
           MATCH(BJ$1, 'Eurostat EB products IEA'!$A$4:$BN$4, 0)
     )
     * $L21:$U21,
     0
  )
)</f>
        <v>0</v>
      </c>
      <c r="BK21" s="57" cm="1">
        <f t="array" ref="BK21">SUMPRODUCT(
  IF($B21:$K21&lt;&gt;"",
     INDEX('Eurostat EB products IEA'!$A$4:$BN$135,
           MATCH($B21:$K21, 'Eurostat EB products IEA'!$A$4:$A$135, 0),
           MATCH(BK$1, 'Eurostat EB products IEA'!$A$4:$BN$4, 0)
     )
     * $L21:$U21,
     0
  )
)</f>
        <v>0</v>
      </c>
      <c r="BL21" s="57" cm="1">
        <f t="array" ref="BL21">SUMPRODUCT(
  IF($B21:$K21&lt;&gt;"",
     INDEX('Eurostat EB products IEA'!$A$4:$BN$135,
           MATCH($B21:$K21, 'Eurostat EB products IEA'!$A$4:$A$135, 0),
           MATCH(BL$1, 'Eurostat EB products IEA'!$A$4:$BN$4, 0)
     )
     * $L21:$U21,
     0
  )
)</f>
        <v>0</v>
      </c>
      <c r="BM21" s="57" cm="1">
        <f t="array" ref="BM21">SUMPRODUCT(
  IF($B21:$K21&lt;&gt;"",
     INDEX('Eurostat EB products IEA'!$A$4:$BN$135,
           MATCH($B21:$K21, 'Eurostat EB products IEA'!$A$4:$A$135, 0),
           MATCH(BM$1, 'Eurostat EB products IEA'!$A$4:$BN$4, 0)
     )
     * $L21:$U21,
     0
  )
)</f>
        <v>0</v>
      </c>
      <c r="BN21" s="57" cm="1">
        <f t="array" ref="BN21">SUMPRODUCT(
  IF($B21:$K21&lt;&gt;"",
     INDEX('Eurostat EB products IEA'!$A$4:$BN$135,
           MATCH($B21:$K21, 'Eurostat EB products IEA'!$A$4:$A$135, 0),
           MATCH(BN$1, 'Eurostat EB products IEA'!$A$4:$BN$4, 0)
     )
     * $L21:$U21,
     0
  )
)</f>
        <v>0</v>
      </c>
      <c r="BO21" s="57" cm="1">
        <f t="array" ref="BO21">SUMPRODUCT(
  IF($B21:$K21&lt;&gt;"",
     INDEX('Eurostat EB products IEA'!$A$4:$BN$135,
           MATCH($B21:$K21, 'Eurostat EB products IEA'!$A$4:$A$135, 0),
           MATCH(BO$1, 'Eurostat EB products IEA'!$A$4:$BN$4, 0)
     )
     * $L21:$U21,
     0
  )
)</f>
        <v>0</v>
      </c>
      <c r="BP21" s="57" cm="1">
        <f t="array" ref="BP21">SUMPRODUCT(
  IF($B21:$K21&lt;&gt;"",
     INDEX('Eurostat EB products IEA'!$A$4:$BN$135,
           MATCH($B21:$K21, 'Eurostat EB products IEA'!$A$4:$A$135, 0),
           MATCH(BP$1, 'Eurostat EB products IEA'!$A$4:$BN$4, 0)
     )
     * $L21:$U21,
     0
  )
)</f>
        <v>0</v>
      </c>
      <c r="BQ21" s="57" cm="1">
        <f t="array" ref="BQ21">SUMPRODUCT(
  IF($B21:$K21&lt;&gt;"",
     INDEX('Eurostat EB products IEA'!$A$4:$BN$135,
           MATCH($B21:$K21, 'Eurostat EB products IEA'!$A$4:$A$135, 0),
           MATCH(BQ$1, 'Eurostat EB products IEA'!$A$4:$BN$4, 0)
     )
     * $L21:$U21,
     0
  )
)</f>
        <v>0</v>
      </c>
      <c r="BR21" s="57" cm="1">
        <f t="array" ref="BR21">SUMPRODUCT(
  IF($B21:$K21&lt;&gt;"",
     INDEX('Eurostat EB products IEA'!$A$4:$BN$135,
           MATCH($B21:$K21, 'Eurostat EB products IEA'!$A$4:$A$135, 0),
           MATCH(BR$1, 'Eurostat EB products IEA'!$A$4:$BN$4, 0)
     )
     * $L21:$U21,
     0
  )
)</f>
        <v>0</v>
      </c>
      <c r="BS21" s="65">
        <v>0</v>
      </c>
      <c r="BT21" s="57" cm="1">
        <f t="array" ref="BT21">SUMPRODUCT(
  IF($B21:$K21&lt;&gt;"",
     INDEX('Eurostat EB products IEA'!$A$4:$BN$135,
           MATCH($B21:$K21, 'Eurostat EB products IEA'!$A$4:$A$135, 0),
           MATCH(BT$1, 'Eurostat EB products IEA'!$A$4:$BN$4, 0)
     )
     * $L21:$U21,
     0
  )
)</f>
        <v>0</v>
      </c>
      <c r="BU21" s="65">
        <v>0</v>
      </c>
      <c r="BV21" s="65">
        <v>0</v>
      </c>
      <c r="BW21" s="57" cm="1">
        <f t="array" ref="BW21">SUMPRODUCT(
  IF($B21:$K21&lt;&gt;"",
     INDEX('Eurostat EB products IEA'!$A$4:$BN$135,
           MATCH($B21:$K21, 'Eurostat EB products IEA'!$A$4:$A$135, 0),
           MATCH(BW$1, 'Eurostat EB products IEA'!$A$4:$BN$4, 0)
     )
     * $L21:$U21,
     0
  )
)</f>
        <v>0</v>
      </c>
      <c r="BX21" s="57" cm="1">
        <f t="array" ref="BX21">SUMPRODUCT(
  IF($B21:$K21&lt;&gt;"",
     INDEX('Eurostat EB products IEA'!$A$4:$BN$135,
           MATCH($B21:$K21, 'Eurostat EB products IEA'!$A$4:$A$135, 0),
           MATCH(BX$1, 'Eurostat EB products IEA'!$A$4:$BN$4, 0)
     )
     * $L21:$U21,
     0
  )
)</f>
        <v>0</v>
      </c>
      <c r="BY21" s="57" cm="1">
        <f t="array" ref="BY21">SUMPRODUCT(
  IF($B21:$K21&lt;&gt;"",
     INDEX('Eurostat EB products IEA'!$A$4:$BN$135,
           MATCH($B21:$K21, 'Eurostat EB products IEA'!$A$4:$A$135, 0),
           MATCH(BY$1, 'Eurostat EB products IEA'!$A$4:$BN$4, 0)
     )
     * $L21:$U21,
     0
  )
)</f>
        <v>0</v>
      </c>
      <c r="BZ21" s="57" cm="1">
        <f t="array" ref="BZ21">SUMPRODUCT(
  IF($B21:$K21&lt;&gt;"",
     INDEX('Eurostat EB products IEA'!$A$4:$BN$135,
           MATCH($B21:$K21, 'Eurostat EB products IEA'!$A$4:$A$135, 0),
           MATCH(BZ$1, 'Eurostat EB products IEA'!$A$4:$BN$4, 0)
     )
     * $L21:$U21,
     0
  )
)</f>
        <v>0</v>
      </c>
      <c r="CA21" s="57" cm="1">
        <f t="array" ref="CA21">SUMPRODUCT(
  IF($B21:$K21&lt;&gt;"",
     INDEX('Eurostat EB products IEA'!$A$4:$BN$135,
           MATCH($B21:$K21, 'Eurostat EB products IEA'!$A$4:$A$135, 0),
           MATCH(CA$1, 'Eurostat EB products IEA'!$A$4:$BN$4, 0)
     )
     * $L21:$U21,
     0
  )
)</f>
        <v>0</v>
      </c>
      <c r="CB21" s="57" cm="1">
        <f t="array" ref="CB21">SUMPRODUCT(
  IF($B21:$K21&lt;&gt;"",
     INDEX('Eurostat EB products IEA'!$A$4:$BN$135,
           MATCH($B21:$K21, 'Eurostat EB products IEA'!$A$4:$A$135, 0),
           MATCH(CB$1, 'Eurostat EB products IEA'!$A$4:$BN$4, 0)
     )
     * $L21:$U21,
     0
  )
)</f>
        <v>0</v>
      </c>
      <c r="CC21" s="57" cm="1">
        <f t="array" ref="CC21">SUMPRODUCT(
  IF($B21:$K21&lt;&gt;"",
     INDEX('Eurostat EB products IEA'!$A$4:$BN$135,
           MATCH($B21:$K21, 'Eurostat EB products IEA'!$A$4:$A$135, 0),
           MATCH(CC$1, 'Eurostat EB products IEA'!$A$4:$BN$4, 0)
     )
     * $L21:$U21,
     0
  )
)</f>
        <v>0</v>
      </c>
      <c r="CD21" s="65">
        <v>0</v>
      </c>
      <c r="CE21" s="57" cm="1">
        <f t="array" ref="CE21">SUMPRODUCT(
  IF($B21:$K21&lt;&gt;"",
     INDEX('Eurostat EB products IEA'!$A$4:$BN$135,
           MATCH($B21:$K21, 'Eurostat EB products IEA'!$A$4:$A$135, 0),
           MATCH(CE$1, 'Eurostat EB products IEA'!$A$4:$BN$4, 0)
     )
     * $L21:$U21,
     0
  )
)</f>
        <v>2054.2719999999999</v>
      </c>
      <c r="CF21" s="57" cm="1">
        <f t="array" ref="CF21">SUMPRODUCT(
  IF($B21:$K21&lt;&gt;"",
     INDEX('Eurostat EB products IEA'!$A$4:$BN$135,
           MATCH($B21:$K21, 'Eurostat EB products IEA'!$A$4:$A$135, 0),
           MATCH(CF$1, 'Eurostat EB products IEA'!$A$4:$BN$4, 0)
     )
     * $L21:$U21,
     0
  )
)</f>
        <v>2380.1859999999997</v>
      </c>
      <c r="CG21" s="57" cm="1">
        <f t="array" ref="CG21">SUMPRODUCT(
  IF($B21:$K21&lt;&gt;"",
     INDEX('Eurostat EB products IEA'!$A$4:$BN$135,
           MATCH($B21:$K21, 'Eurostat EB products IEA'!$A$4:$A$135, 0),
           MATCH(CG$1, 'Eurostat EB products IEA'!$A$4:$BN$4, 0)
     )
     * $L21:$U21,
     0
  )
)</f>
        <v>4434.4579999999996</v>
      </c>
      <c r="CH21" s="57" cm="1">
        <f t="array" ref="CH21">SUMPRODUCT(
  IF($B21:$K21&lt;&gt;"",
     INDEX('Eurostat EB products IEA'!$A$4:$BN$135,
           MATCH($B21:$K21, 'Eurostat EB products IEA'!$A$4:$A$135, 0),
           MATCH(CH$1, 'Eurostat EB products IEA'!$A$4:$BN$4, 0)
     )
     * $L21:$U21,
     0
  )
)</f>
        <v>659.25799999999981</v>
      </c>
    </row>
    <row r="22" spans="1:86" x14ac:dyDescent="0.2">
      <c r="A22" t="s">
        <v>87</v>
      </c>
      <c r="B22" s="75"/>
      <c r="C22" s="77"/>
      <c r="D22" s="75"/>
      <c r="E22" s="77"/>
      <c r="F22" s="75"/>
      <c r="G22" s="77"/>
      <c r="H22" s="75"/>
      <c r="I22" s="77"/>
      <c r="J22" s="74" t="s">
        <v>217</v>
      </c>
      <c r="K22" s="78" t="s">
        <v>245</v>
      </c>
      <c r="L22" s="76"/>
      <c r="M22" s="79"/>
      <c r="N22" s="76"/>
      <c r="O22" s="79"/>
      <c r="P22" s="76"/>
      <c r="Q22" s="79"/>
      <c r="R22" s="76"/>
      <c r="S22" s="79"/>
      <c r="T22" s="76">
        <v>-1</v>
      </c>
      <c r="U22" s="79">
        <v>1</v>
      </c>
      <c r="V22" s="65" t="s">
        <v>323</v>
      </c>
      <c r="W22" s="65" t="s">
        <v>323</v>
      </c>
      <c r="X22" s="17" cm="1">
        <f t="array" ref="X22">SUMPRODUCT(
  IF($B22:$K22&lt;&gt;"",
     INDEX('Eurostat EB products IEA'!$A$4:$BN$135,
           MATCH($B22:$K22, 'Eurostat EB products IEA'!$A$4:$A$135, 0),
           MATCH(X$1, 'Eurostat EB products IEA'!$A$4:$BN$4, 0)
     )
     * $L22:$U22,
     0
  )
)</f>
        <v>0</v>
      </c>
      <c r="Y22" s="17" cm="1">
        <f t="array" ref="Y22">SUMPRODUCT(
  IF($B22:$K22&lt;&gt;"",
     INDEX('Eurostat EB products IEA'!$A$4:$BN$135,
           MATCH($B22:$K22, 'Eurostat EB products IEA'!$A$4:$A$135, 0),
           MATCH(Y$1, 'Eurostat EB products IEA'!$A$4:$BN$4, 0)
     )
     * $L22:$U22,
     0
  )
)</f>
        <v>-28264.494999999999</v>
      </c>
      <c r="Z22" s="17" cm="1">
        <f t="array" ref="Z22">SUMPRODUCT(
  IF($B22:$K22&lt;&gt;"",
     INDEX('Eurostat EB products IEA'!$A$4:$BN$135,
           MATCH($B22:$K22, 'Eurostat EB products IEA'!$A$4:$A$135, 0),
           MATCH(Z$1, 'Eurostat EB products IEA'!$A$4:$BN$4, 0)
     )
     * $L22:$U22,
     0
  )
)</f>
        <v>0</v>
      </c>
      <c r="AA22" s="17" cm="1">
        <f t="array" ref="AA22">SUMPRODUCT(
  IF($B22:$K22&lt;&gt;"",
     INDEX('Eurostat EB products IEA'!$A$4:$BN$135,
           MATCH($B22:$K22, 'Eurostat EB products IEA'!$A$4:$A$135, 0),
           MATCH(AA$1, 'Eurostat EB products IEA'!$A$4:$BN$4, 0)
     )
     * $L22:$U22,
     0
  )
)</f>
        <v>0</v>
      </c>
      <c r="AB22" s="17" cm="1">
        <f t="array" ref="AB22">SUMPRODUCT(
  IF($B22:$K22&lt;&gt;"",
     INDEX('Eurostat EB products IEA'!$A$4:$BN$135,
           MATCH($B22:$K22, 'Eurostat EB products IEA'!$A$4:$A$135, 0),
           MATCH(AB$1, 'Eurostat EB products IEA'!$A$4:$BN$4, 0)
     )
     * $L22:$U22,
     0
  )
)</f>
        <v>0</v>
      </c>
      <c r="AC22" s="17" cm="1">
        <f t="array" ref="AC22">SUMPRODUCT(
  IF($B22:$K22&lt;&gt;"",
     INDEX('Eurostat EB products IEA'!$A$4:$BN$135,
           MATCH($B22:$K22, 'Eurostat EB products IEA'!$A$4:$A$135, 0),
           MATCH(AC$1, 'Eurostat EB products IEA'!$A$4:$BN$4, 0)
     )
     * $L22:$U22,
     0
  )
)</f>
        <v>0</v>
      </c>
      <c r="AD22" s="17" cm="1">
        <f t="array" ref="AD22">SUMPRODUCT(
  IF($B22:$K22&lt;&gt;"",
     INDEX('Eurostat EB products IEA'!$A$4:$BN$135,
           MATCH($B22:$K22, 'Eurostat EB products IEA'!$A$4:$A$135, 0),
           MATCH(AD$1, 'Eurostat EB products IEA'!$A$4:$BN$4, 0)
     )
     * $L22:$U22,
     0
  )
)</f>
        <v>-35544.002999999997</v>
      </c>
      <c r="AE22" s="17" cm="1">
        <f t="array" ref="AE22">SUMPRODUCT(
  IF($B22:$K22&lt;&gt;"",
     INDEX('Eurostat EB products IEA'!$A$4:$BN$135,
           MATCH($B22:$K22, 'Eurostat EB products IEA'!$A$4:$A$135, 0),
           MATCH(AE$1, 'Eurostat EB products IEA'!$A$4:$BN$4, 0)
     )
     * $L22:$U22,
     0
  )
)</f>
        <v>0</v>
      </c>
      <c r="AF22" s="17" cm="1">
        <f t="array" ref="AF22">SUMPRODUCT(
  IF($B22:$K22&lt;&gt;"",
     INDEX('Eurostat EB products IEA'!$A$4:$BN$135,
           MATCH($B22:$K22, 'Eurostat EB products IEA'!$A$4:$A$135, 0),
           MATCH(AF$1, 'Eurostat EB products IEA'!$A$4:$BN$4, 0)
     )
     * $L22:$U22,
     0
  )
)</f>
        <v>0</v>
      </c>
      <c r="AG22" s="17" cm="1">
        <f t="array" ref="AG22">SUMPRODUCT(
  IF($B22:$K22&lt;&gt;"",
     INDEX('Eurostat EB products IEA'!$A$4:$BN$135,
           MATCH($B22:$K22, 'Eurostat EB products IEA'!$A$4:$A$135, 0),
           MATCH(AG$1, 'Eurostat EB products IEA'!$A$4:$BN$4, 0)
     )
     * $L22:$U22,
     0
  )
)</f>
        <v>0</v>
      </c>
      <c r="AH22" s="17" cm="1">
        <f t="array" ref="AH22">SUMPRODUCT(
  IF($B22:$K22&lt;&gt;"",
     INDEX('Eurostat EB products IEA'!$A$4:$BN$135,
           MATCH($B22:$K22, 'Eurostat EB products IEA'!$A$4:$A$135, 0),
           MATCH(AH$1, 'Eurostat EB products IEA'!$A$4:$BN$4, 0)
     )
     * $L22:$U22,
     0
  )
)</f>
        <v>0</v>
      </c>
      <c r="AI22" s="17" cm="1">
        <f t="array" ref="AI22">SUMPRODUCT(
  IF($B22:$K22&lt;&gt;"",
     INDEX('Eurostat EB products IEA'!$A$4:$BN$135,
           MATCH($B22:$K22, 'Eurostat EB products IEA'!$A$4:$A$135, 0),
           MATCH(AI$1, 'Eurostat EB products IEA'!$A$4:$BN$4, 0)
     )
     * $L22:$U22,
     0
  )
)</f>
        <v>0</v>
      </c>
      <c r="AJ22" s="17" cm="1">
        <f t="array" ref="AJ22">SUMPRODUCT(
  IF($B22:$K22&lt;&gt;"",
     INDEX('Eurostat EB products IEA'!$A$4:$BN$135,
           MATCH($B22:$K22, 'Eurostat EB products IEA'!$A$4:$A$135, 0),
           MATCH(AJ$1, 'Eurostat EB products IEA'!$A$4:$BN$4, 0)
     )
     * $L22:$U22,
     0
  )
)</f>
        <v>27131.519</v>
      </c>
      <c r="AK22" s="17" cm="1">
        <f t="array" ref="AK22">SUMPRODUCT(
  IF($B22:$K22&lt;&gt;"",
     INDEX('Eurostat EB products IEA'!$A$4:$BN$135,
           MATCH($B22:$K22, 'Eurostat EB products IEA'!$A$4:$A$135, 0),
           MATCH(AK$1, 'Eurostat EB products IEA'!$A$4:$BN$4, 0)
     )
     * $L22:$U22,
     0
  )
)</f>
        <v>0</v>
      </c>
      <c r="AL22" s="17" cm="1">
        <f t="array" ref="AL22">SUMPRODUCT(
  IF($B22:$K22&lt;&gt;"",
     INDEX('Eurostat EB products IEA'!$A$4:$BN$135,
           MATCH($B22:$K22, 'Eurostat EB products IEA'!$A$4:$A$135, 0),
           MATCH(AL$1, 'Eurostat EB products IEA'!$A$4:$BN$4, 0)
     )
     * $L22:$U22,
     0
  )
)</f>
        <v>0</v>
      </c>
      <c r="AM22" s="17" cm="1">
        <f t="array" ref="AM22">SUMPRODUCT(
  IF($B22:$K22&lt;&gt;"",
     INDEX('Eurostat EB products IEA'!$A$4:$BN$135,
           MATCH($B22:$K22, 'Eurostat EB products IEA'!$A$4:$A$135, 0),
           MATCH(AM$1, 'Eurostat EB products IEA'!$A$4:$BN$4, 0)
     )
     * $L22:$U22,
     0
  )
)</f>
        <v>0</v>
      </c>
      <c r="AN22" s="65" t="s">
        <v>323</v>
      </c>
      <c r="AO22" s="17" cm="1">
        <f t="array" ref="AO22">SUMPRODUCT(
  IF($B22:$K22&lt;&gt;"",
     INDEX('Eurostat EB products IEA'!$A$4:$BN$135,
           MATCH($B22:$K22, 'Eurostat EB products IEA'!$A$4:$A$135, 0),
           MATCH(AO$1, 'Eurostat EB products IEA'!$A$4:$BN$4, 0)
     )
     * $L22:$U22,
     0
  )
)</f>
        <v>0</v>
      </c>
      <c r="AP22" s="17" cm="1">
        <f t="array" ref="AP22">SUMPRODUCT(
  IF($B22:$K22&lt;&gt;"",
     INDEX('Eurostat EB products IEA'!$A$4:$BN$135,
           MATCH($B22:$K22, 'Eurostat EB products IEA'!$A$4:$A$135, 0),
           MATCH(AP$1, 'Eurostat EB products IEA'!$A$4:$BN$4, 0)
     )
     * $L22:$U22,
     0
  )
)</f>
        <v>0</v>
      </c>
      <c r="AQ22" s="17" cm="1">
        <f t="array" ref="AQ22">SUMPRODUCT(
  IF($B22:$K22&lt;&gt;"",
     INDEX('Eurostat EB products IEA'!$A$4:$BN$135,
           MATCH($B22:$K22, 'Eurostat EB products IEA'!$A$4:$A$135, 0),
           MATCH(AQ$1, 'Eurostat EB products IEA'!$A$4:$BN$4, 0)
     )
     * $L22:$U22,
     0
  )
)</f>
        <v>0</v>
      </c>
      <c r="AR22" s="17" cm="1">
        <f t="array" ref="AR22">SUMPRODUCT(
  IF($B22:$K22&lt;&gt;"",
     INDEX('Eurostat EB products IEA'!$A$4:$BN$135,
           MATCH($B22:$K22, 'Eurostat EB products IEA'!$A$4:$A$135, 0),
           MATCH(AR$1, 'Eurostat EB products IEA'!$A$4:$BN$4, 0)
     )
     * $L22:$U22,
     0
  )
)</f>
        <v>0</v>
      </c>
      <c r="AS22" s="17" cm="1">
        <f t="array" ref="AS22">SUMPRODUCT(
  IF($B22:$K22&lt;&gt;"",
     INDEX('Eurostat EB products IEA'!$A$4:$BN$135,
           MATCH($B22:$K22, 'Eurostat EB products IEA'!$A$4:$A$135, 0),
           MATCH(AS$1, 'Eurostat EB products IEA'!$A$4:$BN$4, 0)
     )
     * $L22:$U22,
     0
  )
)</f>
        <v>0</v>
      </c>
      <c r="AT22" s="17" cm="1">
        <f t="array" ref="AT22">SUMPRODUCT(
  IF($B22:$K22&lt;&gt;"",
     INDEX('Eurostat EB products IEA'!$A$4:$BN$135,
           MATCH($B22:$K22, 'Eurostat EB products IEA'!$A$4:$A$135, 0),
           MATCH(AT$1, 'Eurostat EB products IEA'!$A$4:$BN$4, 0)
     )
     * $L22:$U22,
     0
  )
)</f>
        <v>0</v>
      </c>
      <c r="AU22" s="17" cm="1">
        <f t="array" ref="AU22">SUMPRODUCT(
  IF($B22:$K22&lt;&gt;"",
     INDEX('Eurostat EB products IEA'!$A$4:$BN$135,
           MATCH($B22:$K22, 'Eurostat EB products IEA'!$A$4:$A$135, 0),
           MATCH(AU$1, 'Eurostat EB products IEA'!$A$4:$BN$4, 0)
     )
     * $L22:$U22,
     0
  )
)</f>
        <v>0</v>
      </c>
      <c r="AV22" s="17" cm="1">
        <f t="array" ref="AV22">SUMPRODUCT(
  IF($B22:$K22&lt;&gt;"",
     INDEX('Eurostat EB products IEA'!$A$4:$BN$135,
           MATCH($B22:$K22, 'Eurostat EB products IEA'!$A$4:$A$135, 0),
           MATCH(AV$1, 'Eurostat EB products IEA'!$A$4:$BN$4, 0)
     )
     * $L22:$U22,
     0
  )
)</f>
        <v>0</v>
      </c>
      <c r="AW22" s="17" cm="1">
        <f t="array" ref="AW22">SUMPRODUCT(
  IF($B22:$K22&lt;&gt;"",
     INDEX('Eurostat EB products IEA'!$A$4:$BN$135,
           MATCH($B22:$K22, 'Eurostat EB products IEA'!$A$4:$A$135, 0),
           MATCH(AW$1, 'Eurostat EB products IEA'!$A$4:$BN$4, 0)
     )
     * $L22:$U22,
     0
  )
)</f>
        <v>0</v>
      </c>
      <c r="AX22" s="17" cm="1">
        <f t="array" ref="AX22">SUMPRODUCT(
  IF($B22:$K22&lt;&gt;"",
     INDEX('Eurostat EB products IEA'!$A$4:$BN$135,
           MATCH($B22:$K22, 'Eurostat EB products IEA'!$A$4:$A$135, 0),
           MATCH(AX$1, 'Eurostat EB products IEA'!$A$4:$BN$4, 0)
     )
     * $L22:$U22,
     0
  )
)</f>
        <v>0</v>
      </c>
      <c r="AY22" s="17" cm="1">
        <f t="array" ref="AY22">SUMPRODUCT(
  IF($B22:$K22&lt;&gt;"",
     INDEX('Eurostat EB products IEA'!$A$4:$BN$135,
           MATCH($B22:$K22, 'Eurostat EB products IEA'!$A$4:$A$135, 0),
           MATCH(AY$1, 'Eurostat EB products IEA'!$A$4:$BN$4, 0)
     )
     * $L22:$U22,
     0
  )
)</f>
        <v>0</v>
      </c>
      <c r="AZ22" s="17" cm="1">
        <f t="array" ref="AZ22">SUMPRODUCT(
  IF($B22:$K22&lt;&gt;"",
     INDEX('Eurostat EB products IEA'!$A$4:$BN$135,
           MATCH($B22:$K22, 'Eurostat EB products IEA'!$A$4:$A$135, 0),
           MATCH(AZ$1, 'Eurostat EB products IEA'!$A$4:$BN$4, 0)
     )
     * $L22:$U22,
     0
  )
)</f>
        <v>0</v>
      </c>
      <c r="BA22" s="17" cm="1">
        <f t="array" ref="BA22">SUMPRODUCT(
  IF($B22:$K22&lt;&gt;"",
     INDEX('Eurostat EB products IEA'!$A$4:$BN$135,
           MATCH($B22:$K22, 'Eurostat EB products IEA'!$A$4:$A$135, 0),
           MATCH(BA$1, 'Eurostat EB products IEA'!$A$4:$BN$4, 0)
     )
     * $L22:$U22,
     0
  )
)</f>
        <v>0</v>
      </c>
      <c r="BB22" s="17" cm="1">
        <f t="array" ref="BB22">SUMPRODUCT(
  IF($B22:$K22&lt;&gt;"",
     INDEX('Eurostat EB products IEA'!$A$4:$BN$135,
           MATCH($B22:$K22, 'Eurostat EB products IEA'!$A$4:$A$135, 0),
           MATCH(BB$1, 'Eurostat EB products IEA'!$A$4:$BN$4, 0)
     )
     * $L22:$U22,
     0
  )
)</f>
        <v>0</v>
      </c>
      <c r="BC22" s="17" cm="1">
        <f t="array" ref="BC22">SUMPRODUCT(
  IF($B22:$K22&lt;&gt;"",
     INDEX('Eurostat EB products IEA'!$A$4:$BN$135,
           MATCH($B22:$K22, 'Eurostat EB products IEA'!$A$4:$A$135, 0),
           MATCH(BC$1, 'Eurostat EB products IEA'!$A$4:$BN$4, 0)
     )
     * $L22:$U22,
     0
  )
)</f>
        <v>0</v>
      </c>
      <c r="BD22" s="17" cm="1">
        <f t="array" ref="BD22">SUMPRODUCT(
  IF($B22:$K22&lt;&gt;"",
     INDEX('Eurostat EB products IEA'!$A$4:$BN$135,
           MATCH($B22:$K22, 'Eurostat EB products IEA'!$A$4:$A$135, 0),
           MATCH(BD$1, 'Eurostat EB products IEA'!$A$4:$BN$4, 0)
     )
     * $L22:$U22,
     0
  )
)</f>
        <v>0</v>
      </c>
      <c r="BE22" s="17" cm="1">
        <f t="array" ref="BE22">SUMPRODUCT(
  IF($B22:$K22&lt;&gt;"",
     INDEX('Eurostat EB products IEA'!$A$4:$BN$135,
           MATCH($B22:$K22, 'Eurostat EB products IEA'!$A$4:$A$135, 0),
           MATCH(BE$1, 'Eurostat EB products IEA'!$A$4:$BN$4, 0)
     )
     * $L22:$U22,
     0
  )
)</f>
        <v>0</v>
      </c>
      <c r="BF22" s="17" cm="1">
        <f t="array" ref="BF22">SUMPRODUCT(
  IF($B22:$K22&lt;&gt;"",
     INDEX('Eurostat EB products IEA'!$A$4:$BN$135,
           MATCH($B22:$K22, 'Eurostat EB products IEA'!$A$4:$A$135, 0),
           MATCH(BF$1, 'Eurostat EB products IEA'!$A$4:$BN$4, 0)
     )
     * $L22:$U22,
     0
  )
)</f>
        <v>0</v>
      </c>
      <c r="BG22" s="17" cm="1">
        <f t="array" ref="BG22">SUMPRODUCT(
  IF($B22:$K22&lt;&gt;"",
     INDEX('Eurostat EB products IEA'!$A$4:$BN$135,
           MATCH($B22:$K22, 'Eurostat EB products IEA'!$A$4:$A$135, 0),
           MATCH(BG$1, 'Eurostat EB products IEA'!$A$4:$BN$4, 0)
     )
     * $L22:$U22,
     0
  )
)</f>
        <v>0</v>
      </c>
      <c r="BH22" s="17" cm="1">
        <f t="array" ref="BH22">SUMPRODUCT(
  IF($B22:$K22&lt;&gt;"",
     INDEX('Eurostat EB products IEA'!$A$4:$BN$135,
           MATCH($B22:$K22, 'Eurostat EB products IEA'!$A$4:$A$135, 0),
           MATCH(BH$1, 'Eurostat EB products IEA'!$A$4:$BN$4, 0)
     )
     * $L22:$U22,
     0
  )
)</f>
        <v>0</v>
      </c>
      <c r="BI22" s="17" cm="1">
        <f t="array" ref="BI22">SUMPRODUCT(
  IF($B22:$K22&lt;&gt;"",
     INDEX('Eurostat EB products IEA'!$A$4:$BN$135,
           MATCH($B22:$K22, 'Eurostat EB products IEA'!$A$4:$A$135, 0),
           MATCH(BI$1, 'Eurostat EB products IEA'!$A$4:$BN$4, 0)
     )
     * $L22:$U22,
     0
  )
)</f>
        <v>0</v>
      </c>
      <c r="BJ22" s="17" cm="1">
        <f t="array" ref="BJ22">SUMPRODUCT(
  IF($B22:$K22&lt;&gt;"",
     INDEX('Eurostat EB products IEA'!$A$4:$BN$135,
           MATCH($B22:$K22, 'Eurostat EB products IEA'!$A$4:$A$135, 0),
           MATCH(BJ$1, 'Eurostat EB products IEA'!$A$4:$BN$4, 0)
     )
     * $L22:$U22,
     0
  )
)</f>
        <v>0</v>
      </c>
      <c r="BK22" s="17" cm="1">
        <f t="array" ref="BK22">SUMPRODUCT(
  IF($B22:$K22&lt;&gt;"",
     INDEX('Eurostat EB products IEA'!$A$4:$BN$135,
           MATCH($B22:$K22, 'Eurostat EB products IEA'!$A$4:$A$135, 0),
           MATCH(BK$1, 'Eurostat EB products IEA'!$A$4:$BN$4, 0)
     )
     * $L22:$U22,
     0
  )
)</f>
        <v>0</v>
      </c>
      <c r="BL22" s="17" cm="1">
        <f t="array" ref="BL22">SUMPRODUCT(
  IF($B22:$K22&lt;&gt;"",
     INDEX('Eurostat EB products IEA'!$A$4:$BN$135,
           MATCH($B22:$K22, 'Eurostat EB products IEA'!$A$4:$A$135, 0),
           MATCH(BL$1, 'Eurostat EB products IEA'!$A$4:$BN$4, 0)
     )
     * $L22:$U22,
     0
  )
)</f>
        <v>0</v>
      </c>
      <c r="BM22" s="17" cm="1">
        <f t="array" ref="BM22">SUMPRODUCT(
  IF($B22:$K22&lt;&gt;"",
     INDEX('Eurostat EB products IEA'!$A$4:$BN$135,
           MATCH($B22:$K22, 'Eurostat EB products IEA'!$A$4:$A$135, 0),
           MATCH(BM$1, 'Eurostat EB products IEA'!$A$4:$BN$4, 0)
     )
     * $L22:$U22,
     0
  )
)</f>
        <v>0</v>
      </c>
      <c r="BN22" s="17" cm="1">
        <f t="array" ref="BN22">SUMPRODUCT(
  IF($B22:$K22&lt;&gt;"",
     INDEX('Eurostat EB products IEA'!$A$4:$BN$135,
           MATCH($B22:$K22, 'Eurostat EB products IEA'!$A$4:$A$135, 0),
           MATCH(BN$1, 'Eurostat EB products IEA'!$A$4:$BN$4, 0)
     )
     * $L22:$U22,
     0
  )
)</f>
        <v>0</v>
      </c>
      <c r="BO22" s="17" cm="1">
        <f t="array" ref="BO22">SUMPRODUCT(
  IF($B22:$K22&lt;&gt;"",
     INDEX('Eurostat EB products IEA'!$A$4:$BN$135,
           MATCH($B22:$K22, 'Eurostat EB products IEA'!$A$4:$A$135, 0),
           MATCH(BO$1, 'Eurostat EB products IEA'!$A$4:$BN$4, 0)
     )
     * $L22:$U22,
     0
  )
)</f>
        <v>0</v>
      </c>
      <c r="BP22" s="17" cm="1">
        <f t="array" ref="BP22">SUMPRODUCT(
  IF($B22:$K22&lt;&gt;"",
     INDEX('Eurostat EB products IEA'!$A$4:$BN$135,
           MATCH($B22:$K22, 'Eurostat EB products IEA'!$A$4:$A$135, 0),
           MATCH(BP$1, 'Eurostat EB products IEA'!$A$4:$BN$4, 0)
     )
     * $L22:$U22,
     0
  )
)</f>
        <v>0</v>
      </c>
      <c r="BQ22" s="17" cm="1">
        <f t="array" ref="BQ22">SUMPRODUCT(
  IF($B22:$K22&lt;&gt;"",
     INDEX('Eurostat EB products IEA'!$A$4:$BN$135,
           MATCH($B22:$K22, 'Eurostat EB products IEA'!$A$4:$A$135, 0),
           MATCH(BQ$1, 'Eurostat EB products IEA'!$A$4:$BN$4, 0)
     )
     * $L22:$U22,
     0
  )
)</f>
        <v>0</v>
      </c>
      <c r="BR22" s="17" cm="1">
        <f t="array" ref="BR22">SUMPRODUCT(
  IF($B22:$K22&lt;&gt;"",
     INDEX('Eurostat EB products IEA'!$A$4:$BN$135,
           MATCH($B22:$K22, 'Eurostat EB products IEA'!$A$4:$A$135, 0),
           MATCH(BR$1, 'Eurostat EB products IEA'!$A$4:$BN$4, 0)
     )
     * $L22:$U22,
     0
  )
)</f>
        <v>0</v>
      </c>
      <c r="BS22" s="65">
        <v>0</v>
      </c>
      <c r="BT22" s="17" cm="1">
        <f t="array" ref="BT22">SUMPRODUCT(
  IF($B22:$K22&lt;&gt;"",
     INDEX('Eurostat EB products IEA'!$A$4:$BN$135,
           MATCH($B22:$K22, 'Eurostat EB products IEA'!$A$4:$A$135, 0),
           MATCH(BT$1, 'Eurostat EB products IEA'!$A$4:$BN$4, 0)
     )
     * $L22:$U22,
     0
  )
)</f>
        <v>0</v>
      </c>
      <c r="BU22" s="65">
        <v>0</v>
      </c>
      <c r="BV22" s="65">
        <v>0</v>
      </c>
      <c r="BW22" s="17" cm="1">
        <f t="array" ref="BW22">SUMPRODUCT(
  IF($B22:$K22&lt;&gt;"",
     INDEX('Eurostat EB products IEA'!$A$4:$BN$135,
           MATCH($B22:$K22, 'Eurostat EB products IEA'!$A$4:$A$135, 0),
           MATCH(BW$1, 'Eurostat EB products IEA'!$A$4:$BN$4, 0)
     )
     * $L22:$U22,
     0
  )
)</f>
        <v>0</v>
      </c>
      <c r="BX22" s="17" cm="1">
        <f t="array" ref="BX22">SUMPRODUCT(
  IF($B22:$K22&lt;&gt;"",
     INDEX('Eurostat EB products IEA'!$A$4:$BN$135,
           MATCH($B22:$K22, 'Eurostat EB products IEA'!$A$4:$A$135, 0),
           MATCH(BX$1, 'Eurostat EB products IEA'!$A$4:$BN$4, 0)
     )
     * $L22:$U22,
     0
  )
)</f>
        <v>0</v>
      </c>
      <c r="BY22" s="17" cm="1">
        <f t="array" ref="BY22">SUMPRODUCT(
  IF($B22:$K22&lt;&gt;"",
     INDEX('Eurostat EB products IEA'!$A$4:$BN$135,
           MATCH($B22:$K22, 'Eurostat EB products IEA'!$A$4:$A$135, 0),
           MATCH(BY$1, 'Eurostat EB products IEA'!$A$4:$BN$4, 0)
     )
     * $L22:$U22,
     0
  )
)</f>
        <v>0</v>
      </c>
      <c r="BZ22" s="17" cm="1">
        <f t="array" ref="BZ22">SUMPRODUCT(
  IF($B22:$K22&lt;&gt;"",
     INDEX('Eurostat EB products IEA'!$A$4:$BN$135,
           MATCH($B22:$K22, 'Eurostat EB products IEA'!$A$4:$A$135, 0),
           MATCH(BZ$1, 'Eurostat EB products IEA'!$A$4:$BN$4, 0)
     )
     * $L22:$U22,
     0
  )
)</f>
        <v>0</v>
      </c>
      <c r="CA22" s="17" cm="1">
        <f t="array" ref="CA22">SUMPRODUCT(
  IF($B22:$K22&lt;&gt;"",
     INDEX('Eurostat EB products IEA'!$A$4:$BN$135,
           MATCH($B22:$K22, 'Eurostat EB products IEA'!$A$4:$A$135, 0),
           MATCH(CA$1, 'Eurostat EB products IEA'!$A$4:$BN$4, 0)
     )
     * $L22:$U22,
     0
  )
)</f>
        <v>0</v>
      </c>
      <c r="CB22" s="17" cm="1">
        <f t="array" ref="CB22">SUMPRODUCT(
  IF($B22:$K22&lt;&gt;"",
     INDEX('Eurostat EB products IEA'!$A$4:$BN$135,
           MATCH($B22:$K22, 'Eurostat EB products IEA'!$A$4:$A$135, 0),
           MATCH(CB$1, 'Eurostat EB products IEA'!$A$4:$BN$4, 0)
     )
     * $L22:$U22,
     0
  )
)</f>
        <v>0</v>
      </c>
      <c r="CC22" s="17" cm="1">
        <f t="array" ref="CC22">SUMPRODUCT(
  IF($B22:$K22&lt;&gt;"",
     INDEX('Eurostat EB products IEA'!$A$4:$BN$135,
           MATCH($B22:$K22, 'Eurostat EB products IEA'!$A$4:$A$135, 0),
           MATCH(CC$1, 'Eurostat EB products IEA'!$A$4:$BN$4, 0)
     )
     * $L22:$U22,
     0
  )
)</f>
        <v>0</v>
      </c>
      <c r="CD22" s="65">
        <v>0</v>
      </c>
      <c r="CE22" s="17" cm="1">
        <f t="array" ref="CE22">SUMPRODUCT(
  IF($B22:$K22&lt;&gt;"",
     INDEX('Eurostat EB products IEA'!$A$4:$BN$135,
           MATCH($B22:$K22, 'Eurostat EB products IEA'!$A$4:$A$135, 0),
           MATCH(CE$1, 'Eurostat EB products IEA'!$A$4:$BN$4, 0)
     )
     * $L22:$U22,
     0
  )
)</f>
        <v>0</v>
      </c>
      <c r="CF22" s="17" cm="1">
        <f t="array" ref="CF22">SUMPRODUCT(
  IF($B22:$K22&lt;&gt;"",
     INDEX('Eurostat EB products IEA'!$A$4:$BN$135,
           MATCH($B22:$K22, 'Eurostat EB products IEA'!$A$4:$A$135, 0),
           MATCH(CF$1, 'Eurostat EB products IEA'!$A$4:$BN$4, 0)
     )
     * $L22:$U22,
     0
  )
)</f>
        <v>0</v>
      </c>
      <c r="CG22" s="17" cm="1">
        <f t="array" ref="CG22">SUMPRODUCT(
  IF($B22:$K22&lt;&gt;"",
     INDEX('Eurostat EB products IEA'!$A$4:$BN$135,
           MATCH($B22:$K22, 'Eurostat EB products IEA'!$A$4:$A$135, 0),
           MATCH(CG$1, 'Eurostat EB products IEA'!$A$4:$BN$4, 0)
     )
     * $L22:$U22,
     0
  )
)</f>
        <v>-36676.978999999999</v>
      </c>
      <c r="CH22" s="17" cm="1">
        <f t="array" ref="CH22">SUMPRODUCT(
  IF($B22:$K22&lt;&gt;"",
     INDEX('Eurostat EB products IEA'!$A$4:$BN$135,
           MATCH($B22:$K22, 'Eurostat EB products IEA'!$A$4:$A$135, 0),
           MATCH(CH$1, 'Eurostat EB products IEA'!$A$4:$BN$4, 0)
     )
     * $L22:$U22,
     0
  )
)</f>
        <v>0</v>
      </c>
    </row>
    <row r="23" spans="1:86" x14ac:dyDescent="0.2">
      <c r="A23" t="s">
        <v>88</v>
      </c>
      <c r="B23" s="75"/>
      <c r="C23" s="77"/>
      <c r="D23" s="75"/>
      <c r="E23" s="77"/>
      <c r="F23" s="75"/>
      <c r="G23" s="77"/>
      <c r="H23" s="75"/>
      <c r="I23" s="77"/>
      <c r="J23" s="74" t="s">
        <v>218</v>
      </c>
      <c r="K23" s="78" t="s">
        <v>246</v>
      </c>
      <c r="L23" s="76"/>
      <c r="M23" s="79"/>
      <c r="N23" s="76"/>
      <c r="O23" s="79"/>
      <c r="P23" s="76"/>
      <c r="Q23" s="79"/>
      <c r="R23" s="76"/>
      <c r="S23" s="79"/>
      <c r="T23" s="76">
        <v>-1</v>
      </c>
      <c r="U23" s="79">
        <v>1</v>
      </c>
      <c r="V23" s="65" t="s">
        <v>323</v>
      </c>
      <c r="W23" s="65" t="s">
        <v>323</v>
      </c>
      <c r="X23" s="57" cm="1">
        <f t="array" ref="X23">SUMPRODUCT(
  IF($B23:$K23&lt;&gt;"",
     INDEX('Eurostat EB products IEA'!$A$4:$BN$135,
           MATCH($B23:$K23, 'Eurostat EB products IEA'!$A$4:$A$135, 0),
           MATCH(X$1, 'Eurostat EB products IEA'!$A$4:$BN$4, 0)
     )
     * $L23:$U23,
     0
  )
)</f>
        <v>0</v>
      </c>
      <c r="Y23" s="57" cm="1">
        <f t="array" ref="Y23">SUMPRODUCT(
  IF($B23:$K23&lt;&gt;"",
     INDEX('Eurostat EB products IEA'!$A$4:$BN$135,
           MATCH($B23:$K23, 'Eurostat EB products IEA'!$A$4:$A$135, 0),
           MATCH(Y$1, 'Eurostat EB products IEA'!$A$4:$BN$4, 0)
     )
     * $L23:$U23,
     0
  )
)</f>
        <v>0</v>
      </c>
      <c r="Z23" s="57" cm="1">
        <f t="array" ref="Z23">SUMPRODUCT(
  IF($B23:$K23&lt;&gt;"",
     INDEX('Eurostat EB products IEA'!$A$4:$BN$135,
           MATCH($B23:$K23, 'Eurostat EB products IEA'!$A$4:$A$135, 0),
           MATCH(Z$1, 'Eurostat EB products IEA'!$A$4:$BN$4, 0)
     )
     * $L23:$U23,
     0
  )
)</f>
        <v>0</v>
      </c>
      <c r="AA23" s="57" cm="1">
        <f t="array" ref="AA23">SUMPRODUCT(
  IF($B23:$K23&lt;&gt;"",
     INDEX('Eurostat EB products IEA'!$A$4:$BN$135,
           MATCH($B23:$K23, 'Eurostat EB products IEA'!$A$4:$A$135, 0),
           MATCH(AA$1, 'Eurostat EB products IEA'!$A$4:$BN$4, 0)
     )
     * $L23:$U23,
     0
  )
)</f>
        <v>0</v>
      </c>
      <c r="AB23" s="57" cm="1">
        <f t="array" ref="AB23">SUMPRODUCT(
  IF($B23:$K23&lt;&gt;"",
     INDEX('Eurostat EB products IEA'!$A$4:$BN$135,
           MATCH($B23:$K23, 'Eurostat EB products IEA'!$A$4:$A$135, 0),
           MATCH(AB$1, 'Eurostat EB products IEA'!$A$4:$BN$4, 0)
     )
     * $L23:$U23,
     0
  )
)</f>
        <v>0</v>
      </c>
      <c r="AC23" s="57" cm="1">
        <f t="array" ref="AC23">SUMPRODUCT(
  IF($B23:$K23&lt;&gt;"",
     INDEX('Eurostat EB products IEA'!$A$4:$BN$135,
           MATCH($B23:$K23, 'Eurostat EB products IEA'!$A$4:$A$135, 0),
           MATCH(AC$1, 'Eurostat EB products IEA'!$A$4:$BN$4, 0)
     )
     * $L23:$U23,
     0
  )
)</f>
        <v>0</v>
      </c>
      <c r="AD23" s="57" cm="1">
        <f t="array" ref="AD23">SUMPRODUCT(
  IF($B23:$K23&lt;&gt;"",
     INDEX('Eurostat EB products IEA'!$A$4:$BN$135,
           MATCH($B23:$K23, 'Eurostat EB products IEA'!$A$4:$A$135, 0),
           MATCH(AD$1, 'Eurostat EB products IEA'!$A$4:$BN$4, 0)
     )
     * $L23:$U23,
     0
  )
)</f>
        <v>0</v>
      </c>
      <c r="AE23" s="57" cm="1">
        <f t="array" ref="AE23">SUMPRODUCT(
  IF($B23:$K23&lt;&gt;"",
     INDEX('Eurostat EB products IEA'!$A$4:$BN$135,
           MATCH($B23:$K23, 'Eurostat EB products IEA'!$A$4:$A$135, 0),
           MATCH(AE$1, 'Eurostat EB products IEA'!$A$4:$BN$4, 0)
     )
     * $L23:$U23,
     0
  )
)</f>
        <v>0</v>
      </c>
      <c r="AF23" s="57" cm="1">
        <f t="array" ref="AF23">SUMPRODUCT(
  IF($B23:$K23&lt;&gt;"",
     INDEX('Eurostat EB products IEA'!$A$4:$BN$135,
           MATCH($B23:$K23, 'Eurostat EB products IEA'!$A$4:$A$135, 0),
           MATCH(AF$1, 'Eurostat EB products IEA'!$A$4:$BN$4, 0)
     )
     * $L23:$U23,
     0
  )
)</f>
        <v>0</v>
      </c>
      <c r="AG23" s="57" cm="1">
        <f t="array" ref="AG23">SUMPRODUCT(
  IF($B23:$K23&lt;&gt;"",
     INDEX('Eurostat EB products IEA'!$A$4:$BN$135,
           MATCH($B23:$K23, 'Eurostat EB products IEA'!$A$4:$A$135, 0),
           MATCH(AG$1, 'Eurostat EB products IEA'!$A$4:$BN$4, 0)
     )
     * $L23:$U23,
     0
  )
)</f>
        <v>0</v>
      </c>
      <c r="AH23" s="57" cm="1">
        <f t="array" ref="AH23">SUMPRODUCT(
  IF($B23:$K23&lt;&gt;"",
     INDEX('Eurostat EB products IEA'!$A$4:$BN$135,
           MATCH($B23:$K23, 'Eurostat EB products IEA'!$A$4:$A$135, 0),
           MATCH(AH$1, 'Eurostat EB products IEA'!$A$4:$BN$4, 0)
     )
     * $L23:$U23,
     0
  )
)</f>
        <v>0</v>
      </c>
      <c r="AI23" s="57" cm="1">
        <f t="array" ref="AI23">SUMPRODUCT(
  IF($B23:$K23&lt;&gt;"",
     INDEX('Eurostat EB products IEA'!$A$4:$BN$135,
           MATCH($B23:$K23, 'Eurostat EB products IEA'!$A$4:$A$135, 0),
           MATCH(AI$1, 'Eurostat EB products IEA'!$A$4:$BN$4, 0)
     )
     * $L23:$U23,
     0
  )
)</f>
        <v>0</v>
      </c>
      <c r="AJ23" s="57" cm="1">
        <f t="array" ref="AJ23">SUMPRODUCT(
  IF($B23:$K23&lt;&gt;"",
     INDEX('Eurostat EB products IEA'!$A$4:$BN$135,
           MATCH($B23:$K23, 'Eurostat EB products IEA'!$A$4:$A$135, 0),
           MATCH(AJ$1, 'Eurostat EB products IEA'!$A$4:$BN$4, 0)
     )
     * $L23:$U23,
     0
  )
)</f>
        <v>0</v>
      </c>
      <c r="AK23" s="57" cm="1">
        <f t="array" ref="AK23">SUMPRODUCT(
  IF($B23:$K23&lt;&gt;"",
     INDEX('Eurostat EB products IEA'!$A$4:$BN$135,
           MATCH($B23:$K23, 'Eurostat EB products IEA'!$A$4:$A$135, 0),
           MATCH(AK$1, 'Eurostat EB products IEA'!$A$4:$BN$4, 0)
     )
     * $L23:$U23,
     0
  )
)</f>
        <v>0</v>
      </c>
      <c r="AL23" s="57" cm="1">
        <f t="array" ref="AL23">SUMPRODUCT(
  IF($B23:$K23&lt;&gt;"",
     INDEX('Eurostat EB products IEA'!$A$4:$BN$135,
           MATCH($B23:$K23, 'Eurostat EB products IEA'!$A$4:$A$135, 0),
           MATCH(AL$1, 'Eurostat EB products IEA'!$A$4:$BN$4, 0)
     )
     * $L23:$U23,
     0
  )
)</f>
        <v>0</v>
      </c>
      <c r="AM23" s="57" cm="1">
        <f t="array" ref="AM23">SUMPRODUCT(
  IF($B23:$K23&lt;&gt;"",
     INDEX('Eurostat EB products IEA'!$A$4:$BN$135,
           MATCH($B23:$K23, 'Eurostat EB products IEA'!$A$4:$A$135, 0),
           MATCH(AM$1, 'Eurostat EB products IEA'!$A$4:$BN$4, 0)
     )
     * $L23:$U23,
     0
  )
)</f>
        <v>0</v>
      </c>
      <c r="AN23" s="65" t="s">
        <v>323</v>
      </c>
      <c r="AO23" s="57" cm="1">
        <f t="array" ref="AO23">SUMPRODUCT(
  IF($B23:$K23&lt;&gt;"",
     INDEX('Eurostat EB products IEA'!$A$4:$BN$135,
           MATCH($B23:$K23, 'Eurostat EB products IEA'!$A$4:$A$135, 0),
           MATCH(AO$1, 'Eurostat EB products IEA'!$A$4:$BN$4, 0)
     )
     * $L23:$U23,
     0
  )
)</f>
        <v>0</v>
      </c>
      <c r="AP23" s="57" cm="1">
        <f t="array" ref="AP23">SUMPRODUCT(
  IF($B23:$K23&lt;&gt;"",
     INDEX('Eurostat EB products IEA'!$A$4:$BN$135,
           MATCH($B23:$K23, 'Eurostat EB products IEA'!$A$4:$A$135, 0),
           MATCH(AP$1, 'Eurostat EB products IEA'!$A$4:$BN$4, 0)
     )
     * $L23:$U23,
     0
  )
)</f>
        <v>0</v>
      </c>
      <c r="AQ23" s="57" cm="1">
        <f t="array" ref="AQ23">SUMPRODUCT(
  IF($B23:$K23&lt;&gt;"",
     INDEX('Eurostat EB products IEA'!$A$4:$BN$135,
           MATCH($B23:$K23, 'Eurostat EB products IEA'!$A$4:$A$135, 0),
           MATCH(AQ$1, 'Eurostat EB products IEA'!$A$4:$BN$4, 0)
     )
     * $L23:$U23,
     0
  )
)</f>
        <v>0</v>
      </c>
      <c r="AR23" s="57" cm="1">
        <f t="array" ref="AR23">SUMPRODUCT(
  IF($B23:$K23&lt;&gt;"",
     INDEX('Eurostat EB products IEA'!$A$4:$BN$135,
           MATCH($B23:$K23, 'Eurostat EB products IEA'!$A$4:$A$135, 0),
           MATCH(AR$1, 'Eurostat EB products IEA'!$A$4:$BN$4, 0)
     )
     * $L23:$U23,
     0
  )
)</f>
        <v>0</v>
      </c>
      <c r="AS23" s="57" cm="1">
        <f t="array" ref="AS23">SUMPRODUCT(
  IF($B23:$K23&lt;&gt;"",
     INDEX('Eurostat EB products IEA'!$A$4:$BN$135,
           MATCH($B23:$K23, 'Eurostat EB products IEA'!$A$4:$A$135, 0),
           MATCH(AS$1, 'Eurostat EB products IEA'!$A$4:$BN$4, 0)
     )
     * $L23:$U23,
     0
  )
)</f>
        <v>0</v>
      </c>
      <c r="AT23" s="57" cm="1">
        <f t="array" ref="AT23">SUMPRODUCT(
  IF($B23:$K23&lt;&gt;"",
     INDEX('Eurostat EB products IEA'!$A$4:$BN$135,
           MATCH($B23:$K23, 'Eurostat EB products IEA'!$A$4:$A$135, 0),
           MATCH(AT$1, 'Eurostat EB products IEA'!$A$4:$BN$4, 0)
     )
     * $L23:$U23,
     0
  )
)</f>
        <v>0</v>
      </c>
      <c r="AU23" s="57" cm="1">
        <f t="array" ref="AU23">SUMPRODUCT(
  IF($B23:$K23&lt;&gt;"",
     INDEX('Eurostat EB products IEA'!$A$4:$BN$135,
           MATCH($B23:$K23, 'Eurostat EB products IEA'!$A$4:$A$135, 0),
           MATCH(AU$1, 'Eurostat EB products IEA'!$A$4:$BN$4, 0)
     )
     * $L23:$U23,
     0
  )
)</f>
        <v>0</v>
      </c>
      <c r="AV23" s="57" cm="1">
        <f t="array" ref="AV23">SUMPRODUCT(
  IF($B23:$K23&lt;&gt;"",
     INDEX('Eurostat EB products IEA'!$A$4:$BN$135,
           MATCH($B23:$K23, 'Eurostat EB products IEA'!$A$4:$A$135, 0),
           MATCH(AV$1, 'Eurostat EB products IEA'!$A$4:$BN$4, 0)
     )
     * $L23:$U23,
     0
  )
)</f>
        <v>0</v>
      </c>
      <c r="AW23" s="57" cm="1">
        <f t="array" ref="AW23">SUMPRODUCT(
  IF($B23:$K23&lt;&gt;"",
     INDEX('Eurostat EB products IEA'!$A$4:$BN$135,
           MATCH($B23:$K23, 'Eurostat EB products IEA'!$A$4:$A$135, 0),
           MATCH(AW$1, 'Eurostat EB products IEA'!$A$4:$BN$4, 0)
     )
     * $L23:$U23,
     0
  )
)</f>
        <v>0</v>
      </c>
      <c r="AX23" s="57" cm="1">
        <f t="array" ref="AX23">SUMPRODUCT(
  IF($B23:$K23&lt;&gt;"",
     INDEX('Eurostat EB products IEA'!$A$4:$BN$135,
           MATCH($B23:$K23, 'Eurostat EB products IEA'!$A$4:$A$135, 0),
           MATCH(AX$1, 'Eurostat EB products IEA'!$A$4:$BN$4, 0)
     )
     * $L23:$U23,
     0
  )
)</f>
        <v>0</v>
      </c>
      <c r="AY23" s="57" cm="1">
        <f t="array" ref="AY23">SUMPRODUCT(
  IF($B23:$K23&lt;&gt;"",
     INDEX('Eurostat EB products IEA'!$A$4:$BN$135,
           MATCH($B23:$K23, 'Eurostat EB products IEA'!$A$4:$A$135, 0),
           MATCH(AY$1, 'Eurostat EB products IEA'!$A$4:$BN$4, 0)
     )
     * $L23:$U23,
     0
  )
)</f>
        <v>0</v>
      </c>
      <c r="AZ23" s="57" cm="1">
        <f t="array" ref="AZ23">SUMPRODUCT(
  IF($B23:$K23&lt;&gt;"",
     INDEX('Eurostat EB products IEA'!$A$4:$BN$135,
           MATCH($B23:$K23, 'Eurostat EB products IEA'!$A$4:$A$135, 0),
           MATCH(AZ$1, 'Eurostat EB products IEA'!$A$4:$BN$4, 0)
     )
     * $L23:$U23,
     0
  )
)</f>
        <v>0</v>
      </c>
      <c r="BA23" s="57" cm="1">
        <f t="array" ref="BA23">SUMPRODUCT(
  IF($B23:$K23&lt;&gt;"",
     INDEX('Eurostat EB products IEA'!$A$4:$BN$135,
           MATCH($B23:$K23, 'Eurostat EB products IEA'!$A$4:$A$135, 0),
           MATCH(BA$1, 'Eurostat EB products IEA'!$A$4:$BN$4, 0)
     )
     * $L23:$U23,
     0
  )
)</f>
        <v>0</v>
      </c>
      <c r="BB23" s="57" cm="1">
        <f t="array" ref="BB23">SUMPRODUCT(
  IF($B23:$K23&lt;&gt;"",
     INDEX('Eurostat EB products IEA'!$A$4:$BN$135,
           MATCH($B23:$K23, 'Eurostat EB products IEA'!$A$4:$A$135, 0),
           MATCH(BB$1, 'Eurostat EB products IEA'!$A$4:$BN$4, 0)
     )
     * $L23:$U23,
     0
  )
)</f>
        <v>0</v>
      </c>
      <c r="BC23" s="57" cm="1">
        <f t="array" ref="BC23">SUMPRODUCT(
  IF($B23:$K23&lt;&gt;"",
     INDEX('Eurostat EB products IEA'!$A$4:$BN$135,
           MATCH($B23:$K23, 'Eurostat EB products IEA'!$A$4:$A$135, 0),
           MATCH(BC$1, 'Eurostat EB products IEA'!$A$4:$BN$4, 0)
     )
     * $L23:$U23,
     0
  )
)</f>
        <v>0</v>
      </c>
      <c r="BD23" s="57" cm="1">
        <f t="array" ref="BD23">SUMPRODUCT(
  IF($B23:$K23&lt;&gt;"",
     INDEX('Eurostat EB products IEA'!$A$4:$BN$135,
           MATCH($B23:$K23, 'Eurostat EB products IEA'!$A$4:$A$135, 0),
           MATCH(BD$1, 'Eurostat EB products IEA'!$A$4:$BN$4, 0)
     )
     * $L23:$U23,
     0
  )
)</f>
        <v>0</v>
      </c>
      <c r="BE23" s="57" cm="1">
        <f t="array" ref="BE23">SUMPRODUCT(
  IF($B23:$K23&lt;&gt;"",
     INDEX('Eurostat EB products IEA'!$A$4:$BN$135,
           MATCH($B23:$K23, 'Eurostat EB products IEA'!$A$4:$A$135, 0),
           MATCH(BE$1, 'Eurostat EB products IEA'!$A$4:$BN$4, 0)
     )
     * $L23:$U23,
     0
  )
)</f>
        <v>0</v>
      </c>
      <c r="BF23" s="57" cm="1">
        <f t="array" ref="BF23">SUMPRODUCT(
  IF($B23:$K23&lt;&gt;"",
     INDEX('Eurostat EB products IEA'!$A$4:$BN$135,
           MATCH($B23:$K23, 'Eurostat EB products IEA'!$A$4:$A$135, 0),
           MATCH(BF$1, 'Eurostat EB products IEA'!$A$4:$BN$4, 0)
     )
     * $L23:$U23,
     0
  )
)</f>
        <v>0</v>
      </c>
      <c r="BG23" s="57" cm="1">
        <f t="array" ref="BG23">SUMPRODUCT(
  IF($B23:$K23&lt;&gt;"",
     INDEX('Eurostat EB products IEA'!$A$4:$BN$135,
           MATCH($B23:$K23, 'Eurostat EB products IEA'!$A$4:$A$135, 0),
           MATCH(BG$1, 'Eurostat EB products IEA'!$A$4:$BN$4, 0)
     )
     * $L23:$U23,
     0
  )
)</f>
        <v>0</v>
      </c>
      <c r="BH23" s="57" cm="1">
        <f t="array" ref="BH23">SUMPRODUCT(
  IF($B23:$K23&lt;&gt;"",
     INDEX('Eurostat EB products IEA'!$A$4:$BN$135,
           MATCH($B23:$K23, 'Eurostat EB products IEA'!$A$4:$A$135, 0),
           MATCH(BH$1, 'Eurostat EB products IEA'!$A$4:$BN$4, 0)
     )
     * $L23:$U23,
     0
  )
)</f>
        <v>0</v>
      </c>
      <c r="BI23" s="57" cm="1">
        <f t="array" ref="BI23">SUMPRODUCT(
  IF($B23:$K23&lt;&gt;"",
     INDEX('Eurostat EB products IEA'!$A$4:$BN$135,
           MATCH($B23:$K23, 'Eurostat EB products IEA'!$A$4:$A$135, 0),
           MATCH(BI$1, 'Eurostat EB products IEA'!$A$4:$BN$4, 0)
     )
     * $L23:$U23,
     0
  )
)</f>
        <v>0</v>
      </c>
      <c r="BJ23" s="57" cm="1">
        <f t="array" ref="BJ23">SUMPRODUCT(
  IF($B23:$K23&lt;&gt;"",
     INDEX('Eurostat EB products IEA'!$A$4:$BN$135,
           MATCH($B23:$K23, 'Eurostat EB products IEA'!$A$4:$A$135, 0),
           MATCH(BJ$1, 'Eurostat EB products IEA'!$A$4:$BN$4, 0)
     )
     * $L23:$U23,
     0
  )
)</f>
        <v>0</v>
      </c>
      <c r="BK23" s="57" cm="1">
        <f t="array" ref="BK23">SUMPRODUCT(
  IF($B23:$K23&lt;&gt;"",
     INDEX('Eurostat EB products IEA'!$A$4:$BN$135,
           MATCH($B23:$K23, 'Eurostat EB products IEA'!$A$4:$A$135, 0),
           MATCH(BK$1, 'Eurostat EB products IEA'!$A$4:$BN$4, 0)
     )
     * $L23:$U23,
     0
  )
)</f>
        <v>0</v>
      </c>
      <c r="BL23" s="57" cm="1">
        <f t="array" ref="BL23">SUMPRODUCT(
  IF($B23:$K23&lt;&gt;"",
     INDEX('Eurostat EB products IEA'!$A$4:$BN$135,
           MATCH($B23:$K23, 'Eurostat EB products IEA'!$A$4:$A$135, 0),
           MATCH(BL$1, 'Eurostat EB products IEA'!$A$4:$BN$4, 0)
     )
     * $L23:$U23,
     0
  )
)</f>
        <v>0</v>
      </c>
      <c r="BM23" s="57" cm="1">
        <f t="array" ref="BM23">SUMPRODUCT(
  IF($B23:$K23&lt;&gt;"",
     INDEX('Eurostat EB products IEA'!$A$4:$BN$135,
           MATCH($B23:$K23, 'Eurostat EB products IEA'!$A$4:$A$135, 0),
           MATCH(BM$1, 'Eurostat EB products IEA'!$A$4:$BN$4, 0)
     )
     * $L23:$U23,
     0
  )
)</f>
        <v>0</v>
      </c>
      <c r="BN23" s="57" cm="1">
        <f t="array" ref="BN23">SUMPRODUCT(
  IF($B23:$K23&lt;&gt;"",
     INDEX('Eurostat EB products IEA'!$A$4:$BN$135,
           MATCH($B23:$K23, 'Eurostat EB products IEA'!$A$4:$A$135, 0),
           MATCH(BN$1, 'Eurostat EB products IEA'!$A$4:$BN$4, 0)
     )
     * $L23:$U23,
     0
  )
)</f>
        <v>0</v>
      </c>
      <c r="BO23" s="57" cm="1">
        <f t="array" ref="BO23">SUMPRODUCT(
  IF($B23:$K23&lt;&gt;"",
     INDEX('Eurostat EB products IEA'!$A$4:$BN$135,
           MATCH($B23:$K23, 'Eurostat EB products IEA'!$A$4:$A$135, 0),
           MATCH(BO$1, 'Eurostat EB products IEA'!$A$4:$BN$4, 0)
     )
     * $L23:$U23,
     0
  )
)</f>
        <v>0</v>
      </c>
      <c r="BP23" s="57" cm="1">
        <f t="array" ref="BP23">SUMPRODUCT(
  IF($B23:$K23&lt;&gt;"",
     INDEX('Eurostat EB products IEA'!$A$4:$BN$135,
           MATCH($B23:$K23, 'Eurostat EB products IEA'!$A$4:$A$135, 0),
           MATCH(BP$1, 'Eurostat EB products IEA'!$A$4:$BN$4, 0)
     )
     * $L23:$U23,
     0
  )
)</f>
        <v>0</v>
      </c>
      <c r="BQ23" s="57" cm="1">
        <f t="array" ref="BQ23">SUMPRODUCT(
  IF($B23:$K23&lt;&gt;"",
     INDEX('Eurostat EB products IEA'!$A$4:$BN$135,
           MATCH($B23:$K23, 'Eurostat EB products IEA'!$A$4:$A$135, 0),
           MATCH(BQ$1, 'Eurostat EB products IEA'!$A$4:$BN$4, 0)
     )
     * $L23:$U23,
     0
  )
)</f>
        <v>0</v>
      </c>
      <c r="BR23" s="57" cm="1">
        <f t="array" ref="BR23">SUMPRODUCT(
  IF($B23:$K23&lt;&gt;"",
     INDEX('Eurostat EB products IEA'!$A$4:$BN$135,
           MATCH($B23:$K23, 'Eurostat EB products IEA'!$A$4:$A$135, 0),
           MATCH(BR$1, 'Eurostat EB products IEA'!$A$4:$BN$4, 0)
     )
     * $L23:$U23,
     0
  )
)</f>
        <v>0</v>
      </c>
      <c r="BS23" s="65">
        <v>0</v>
      </c>
      <c r="BT23" s="57" cm="1">
        <f t="array" ref="BT23">SUMPRODUCT(
  IF($B23:$K23&lt;&gt;"",
     INDEX('Eurostat EB products IEA'!$A$4:$BN$135,
           MATCH($B23:$K23, 'Eurostat EB products IEA'!$A$4:$A$135, 0),
           MATCH(BT$1, 'Eurostat EB products IEA'!$A$4:$BN$4, 0)
     )
     * $L23:$U23,
     0
  )
)</f>
        <v>0</v>
      </c>
      <c r="BU23" s="65">
        <v>0</v>
      </c>
      <c r="BV23" s="65">
        <v>0</v>
      </c>
      <c r="BW23" s="57" cm="1">
        <f t="array" ref="BW23">SUMPRODUCT(
  IF($B23:$K23&lt;&gt;"",
     INDEX('Eurostat EB products IEA'!$A$4:$BN$135,
           MATCH($B23:$K23, 'Eurostat EB products IEA'!$A$4:$A$135, 0),
           MATCH(BW$1, 'Eurostat EB products IEA'!$A$4:$BN$4, 0)
     )
     * $L23:$U23,
     0
  )
)</f>
        <v>0</v>
      </c>
      <c r="BX23" s="57" cm="1">
        <f t="array" ref="BX23">SUMPRODUCT(
  IF($B23:$K23&lt;&gt;"",
     INDEX('Eurostat EB products IEA'!$A$4:$BN$135,
           MATCH($B23:$K23, 'Eurostat EB products IEA'!$A$4:$A$135, 0),
           MATCH(BX$1, 'Eurostat EB products IEA'!$A$4:$BN$4, 0)
     )
     * $L23:$U23,
     0
  )
)</f>
        <v>0</v>
      </c>
      <c r="BY23" s="57" cm="1">
        <f t="array" ref="BY23">SUMPRODUCT(
  IF($B23:$K23&lt;&gt;"",
     INDEX('Eurostat EB products IEA'!$A$4:$BN$135,
           MATCH($B23:$K23, 'Eurostat EB products IEA'!$A$4:$A$135, 0),
           MATCH(BY$1, 'Eurostat EB products IEA'!$A$4:$BN$4, 0)
     )
     * $L23:$U23,
     0
  )
)</f>
        <v>0</v>
      </c>
      <c r="BZ23" s="57" cm="1">
        <f t="array" ref="BZ23">SUMPRODUCT(
  IF($B23:$K23&lt;&gt;"",
     INDEX('Eurostat EB products IEA'!$A$4:$BN$135,
           MATCH($B23:$K23, 'Eurostat EB products IEA'!$A$4:$A$135, 0),
           MATCH(BZ$1, 'Eurostat EB products IEA'!$A$4:$BN$4, 0)
     )
     * $L23:$U23,
     0
  )
)</f>
        <v>0</v>
      </c>
      <c r="CA23" s="57" cm="1">
        <f t="array" ref="CA23">SUMPRODUCT(
  IF($B23:$K23&lt;&gt;"",
     INDEX('Eurostat EB products IEA'!$A$4:$BN$135,
           MATCH($B23:$K23, 'Eurostat EB products IEA'!$A$4:$A$135, 0),
           MATCH(CA$1, 'Eurostat EB products IEA'!$A$4:$BN$4, 0)
     )
     * $L23:$U23,
     0
  )
)</f>
        <v>0</v>
      </c>
      <c r="CB23" s="57" cm="1">
        <f t="array" ref="CB23">SUMPRODUCT(
  IF($B23:$K23&lt;&gt;"",
     INDEX('Eurostat EB products IEA'!$A$4:$BN$135,
           MATCH($B23:$K23, 'Eurostat EB products IEA'!$A$4:$A$135, 0),
           MATCH(CB$1, 'Eurostat EB products IEA'!$A$4:$BN$4, 0)
     )
     * $L23:$U23,
     0
  )
)</f>
        <v>0</v>
      </c>
      <c r="CC23" s="57" cm="1">
        <f t="array" ref="CC23">SUMPRODUCT(
  IF($B23:$K23&lt;&gt;"",
     INDEX('Eurostat EB products IEA'!$A$4:$BN$135,
           MATCH($B23:$K23, 'Eurostat EB products IEA'!$A$4:$A$135, 0),
           MATCH(CC$1, 'Eurostat EB products IEA'!$A$4:$BN$4, 0)
     )
     * $L23:$U23,
     0
  )
)</f>
        <v>0</v>
      </c>
      <c r="CD23" s="65">
        <v>0</v>
      </c>
      <c r="CE23" s="57" cm="1">
        <f t="array" ref="CE23">SUMPRODUCT(
  IF($B23:$K23&lt;&gt;"",
     INDEX('Eurostat EB products IEA'!$A$4:$BN$135,
           MATCH($B23:$K23, 'Eurostat EB products IEA'!$A$4:$A$135, 0),
           MATCH(CE$1, 'Eurostat EB products IEA'!$A$4:$BN$4, 0)
     )
     * $L23:$U23,
     0
  )
)</f>
        <v>0</v>
      </c>
      <c r="CF23" s="57" cm="1">
        <f t="array" ref="CF23">SUMPRODUCT(
  IF($B23:$K23&lt;&gt;"",
     INDEX('Eurostat EB products IEA'!$A$4:$BN$135,
           MATCH($B23:$K23, 'Eurostat EB products IEA'!$A$4:$A$135, 0),
           MATCH(CF$1, 'Eurostat EB products IEA'!$A$4:$BN$4, 0)
     )
     * $L23:$U23,
     0
  )
)</f>
        <v>0</v>
      </c>
      <c r="CG23" s="57" cm="1">
        <f t="array" ref="CG23">SUMPRODUCT(
  IF($B23:$K23&lt;&gt;"",
     INDEX('Eurostat EB products IEA'!$A$4:$BN$135,
           MATCH($B23:$K23, 'Eurostat EB products IEA'!$A$4:$A$135, 0),
           MATCH(CG$1, 'Eurostat EB products IEA'!$A$4:$BN$4, 0)
     )
     * $L23:$U23,
     0
  )
)</f>
        <v>0</v>
      </c>
      <c r="CH23" s="57" cm="1">
        <f t="array" ref="CH23">SUMPRODUCT(
  IF($B23:$K23&lt;&gt;"",
     INDEX('Eurostat EB products IEA'!$A$4:$BN$135,
           MATCH($B23:$K23, 'Eurostat EB products IEA'!$A$4:$A$135, 0),
           MATCH(CH$1, 'Eurostat EB products IEA'!$A$4:$BN$4, 0)
     )
     * $L23:$U23,
     0
  )
)</f>
        <v>0</v>
      </c>
    </row>
    <row r="24" spans="1:86" x14ac:dyDescent="0.2">
      <c r="A24" t="s">
        <v>86</v>
      </c>
      <c r="B24" s="75"/>
      <c r="C24" s="77"/>
      <c r="D24" s="75"/>
      <c r="E24" s="77"/>
      <c r="F24" s="75"/>
      <c r="G24" s="77"/>
      <c r="H24" s="75"/>
      <c r="I24" s="77"/>
      <c r="J24" s="74" t="s">
        <v>216</v>
      </c>
      <c r="K24" s="78" t="s">
        <v>244</v>
      </c>
      <c r="L24" s="76"/>
      <c r="M24" s="79"/>
      <c r="N24" s="76"/>
      <c r="O24" s="79"/>
      <c r="P24" s="76"/>
      <c r="Q24" s="79"/>
      <c r="R24" s="76"/>
      <c r="S24" s="79"/>
      <c r="T24" s="76">
        <v>-1</v>
      </c>
      <c r="U24" s="79">
        <v>1</v>
      </c>
      <c r="V24" s="65" t="s">
        <v>323</v>
      </c>
      <c r="W24" s="65" t="s">
        <v>323</v>
      </c>
      <c r="X24" s="17" cm="1">
        <f t="array" ref="X24">SUMPRODUCT(
  IF($B24:$K24&lt;&gt;"",
     INDEX('Eurostat EB products IEA'!$A$4:$BN$135,
           MATCH($B24:$K24, 'Eurostat EB products IEA'!$A$4:$A$135, 0),
           MATCH(X$1, 'Eurostat EB products IEA'!$A$4:$BN$4, 0)
     )
     * $L24:$U24,
     0
  )
)</f>
        <v>0</v>
      </c>
      <c r="Y24" s="17" cm="1">
        <f t="array" ref="Y24">SUMPRODUCT(
  IF($B24:$K24&lt;&gt;"",
     INDEX('Eurostat EB products IEA'!$A$4:$BN$135,
           MATCH($B24:$K24, 'Eurostat EB products IEA'!$A$4:$A$135, 0),
           MATCH(Y$1, 'Eurostat EB products IEA'!$A$4:$BN$4, 0)
     )
     * $L24:$U24,
     0
  )
)</f>
        <v>-70878.616999999998</v>
      </c>
      <c r="Z24" s="17" cm="1">
        <f t="array" ref="Z24">SUMPRODUCT(
  IF($B24:$K24&lt;&gt;"",
     INDEX('Eurostat EB products IEA'!$A$4:$BN$135,
           MATCH($B24:$K24, 'Eurostat EB products IEA'!$A$4:$A$135, 0),
           MATCH(Z$1, 'Eurostat EB products IEA'!$A$4:$BN$4, 0)
     )
     * $L24:$U24,
     0
  )
)</f>
        <v>0</v>
      </c>
      <c r="AA24" s="17" cm="1">
        <f t="array" ref="AA24">SUMPRODUCT(
  IF($B24:$K24&lt;&gt;"",
     INDEX('Eurostat EB products IEA'!$A$4:$BN$135,
           MATCH($B24:$K24, 'Eurostat EB products IEA'!$A$4:$A$135, 0),
           MATCH(AA$1, 'Eurostat EB products IEA'!$A$4:$BN$4, 0)
     )
     * $L24:$U24,
     0
  )
)</f>
        <v>0</v>
      </c>
      <c r="AB24" s="17" cm="1">
        <f t="array" ref="AB24">SUMPRODUCT(
  IF($B24:$K24&lt;&gt;"",
     INDEX('Eurostat EB products IEA'!$A$4:$BN$135,
           MATCH($B24:$K24, 'Eurostat EB products IEA'!$A$4:$A$135, 0),
           MATCH(AB$1, 'Eurostat EB products IEA'!$A$4:$BN$4, 0)
     )
     * $L24:$U24,
     0
  )
)</f>
        <v>0</v>
      </c>
      <c r="AC24" s="17" cm="1">
        <f t="array" ref="AC24">SUMPRODUCT(
  IF($B24:$K24&lt;&gt;"",
     INDEX('Eurostat EB products IEA'!$A$4:$BN$135,
           MATCH($B24:$K24, 'Eurostat EB products IEA'!$A$4:$A$135, 0),
           MATCH(AC$1, 'Eurostat EB products IEA'!$A$4:$BN$4, 0)
     )
     * $L24:$U24,
     0
  )
)</f>
        <v>0</v>
      </c>
      <c r="AD24" s="17" cm="1">
        <f t="array" ref="AD24">SUMPRODUCT(
  IF($B24:$K24&lt;&gt;"",
     INDEX('Eurostat EB products IEA'!$A$4:$BN$135,
           MATCH($B24:$K24, 'Eurostat EB products IEA'!$A$4:$A$135, 0),
           MATCH(AD$1, 'Eurostat EB products IEA'!$A$4:$BN$4, 0)
     )
     * $L24:$U24,
     0
  )
)</f>
        <v>50186.705000000002</v>
      </c>
      <c r="AE24" s="17" cm="1">
        <f t="array" ref="AE24">SUMPRODUCT(
  IF($B24:$K24&lt;&gt;"",
     INDEX('Eurostat EB products IEA'!$A$4:$BN$135,
           MATCH($B24:$K24, 'Eurostat EB products IEA'!$A$4:$A$135, 0),
           MATCH(AE$1, 'Eurostat EB products IEA'!$A$4:$BN$4, 0)
     )
     * $L24:$U24,
     0
  )
)</f>
        <v>0</v>
      </c>
      <c r="AF24" s="17" cm="1">
        <f t="array" ref="AF24">SUMPRODUCT(
  IF($B24:$K24&lt;&gt;"",
     INDEX('Eurostat EB products IEA'!$A$4:$BN$135,
           MATCH($B24:$K24, 'Eurostat EB products IEA'!$A$4:$A$135, 0),
           MATCH(AF$1, 'Eurostat EB products IEA'!$A$4:$BN$4, 0)
     )
     * $L24:$U24,
     0
  )
)</f>
        <v>3213.06</v>
      </c>
      <c r="AG24" s="17" cm="1">
        <f t="array" ref="AG24">SUMPRODUCT(
  IF($B24:$K24&lt;&gt;"",
     INDEX('Eurostat EB products IEA'!$A$4:$BN$135,
           MATCH($B24:$K24, 'Eurostat EB products IEA'!$A$4:$A$135, 0),
           MATCH(AG$1, 'Eurostat EB products IEA'!$A$4:$BN$4, 0)
     )
     * $L24:$U24,
     0
  )
)</f>
        <v>0</v>
      </c>
      <c r="AH24" s="17" cm="1">
        <f t="array" ref="AH24">SUMPRODUCT(
  IF($B24:$K24&lt;&gt;"",
     INDEX('Eurostat EB products IEA'!$A$4:$BN$135,
           MATCH($B24:$K24, 'Eurostat EB products IEA'!$A$4:$A$135, 0),
           MATCH(AH$1, 'Eurostat EB products IEA'!$A$4:$BN$4, 0)
     )
     * $L24:$U24,
     0
  )
)</f>
        <v>0</v>
      </c>
      <c r="AI24" s="17" cm="1">
        <f t="array" ref="AI24">SUMPRODUCT(
  IF($B24:$K24&lt;&gt;"",
     INDEX('Eurostat EB products IEA'!$A$4:$BN$135,
           MATCH($B24:$K24, 'Eurostat EB products IEA'!$A$4:$A$135, 0),
           MATCH(AI$1, 'Eurostat EB products IEA'!$A$4:$BN$4, 0)
     )
     * $L24:$U24,
     0
  )
)</f>
        <v>15016.271000000001</v>
      </c>
      <c r="AJ24" s="17" cm="1">
        <f t="array" ref="AJ24">SUMPRODUCT(
  IF($B24:$K24&lt;&gt;"",
     INDEX('Eurostat EB products IEA'!$A$4:$BN$135,
           MATCH($B24:$K24, 'Eurostat EB products IEA'!$A$4:$A$135, 0),
           MATCH(AJ$1, 'Eurostat EB products IEA'!$A$4:$BN$4, 0)
     )
     * $L24:$U24,
     0
  )
)</f>
        <v>0</v>
      </c>
      <c r="AK24" s="17" cm="1">
        <f t="array" ref="AK24">SUMPRODUCT(
  IF($B24:$K24&lt;&gt;"",
     INDEX('Eurostat EB products IEA'!$A$4:$BN$135,
           MATCH($B24:$K24, 'Eurostat EB products IEA'!$A$4:$A$135, 0),
           MATCH(AK$1, 'Eurostat EB products IEA'!$A$4:$BN$4, 0)
     )
     * $L24:$U24,
     0
  )
)</f>
        <v>0</v>
      </c>
      <c r="AL24" s="17" cm="1">
        <f t="array" ref="AL24">SUMPRODUCT(
  IF($B24:$K24&lt;&gt;"",
     INDEX('Eurostat EB products IEA'!$A$4:$BN$135,
           MATCH($B24:$K24, 'Eurostat EB products IEA'!$A$4:$A$135, 0),
           MATCH(AL$1, 'Eurostat EB products IEA'!$A$4:$BN$4, 0)
     )
     * $L24:$U24,
     0
  )
)</f>
        <v>0</v>
      </c>
      <c r="AM24" s="17" cm="1">
        <f t="array" ref="AM24">SUMPRODUCT(
  IF($B24:$K24&lt;&gt;"",
     INDEX('Eurostat EB products IEA'!$A$4:$BN$135,
           MATCH($B24:$K24, 'Eurostat EB products IEA'!$A$4:$A$135, 0),
           MATCH(AM$1, 'Eurostat EB products IEA'!$A$4:$BN$4, 0)
     )
     * $L24:$U24,
     0
  )
)</f>
        <v>0</v>
      </c>
      <c r="AN24" s="65" t="s">
        <v>323</v>
      </c>
      <c r="AO24" s="17" cm="1">
        <f t="array" ref="AO24">SUMPRODUCT(
  IF($B24:$K24&lt;&gt;"",
     INDEX('Eurostat EB products IEA'!$A$4:$BN$135,
           MATCH($B24:$K24, 'Eurostat EB products IEA'!$A$4:$A$135, 0),
           MATCH(AO$1, 'Eurostat EB products IEA'!$A$4:$BN$4, 0)
     )
     * $L24:$U24,
     0
  )
)</f>
        <v>0</v>
      </c>
      <c r="AP24" s="17" cm="1">
        <f t="array" ref="AP24">SUMPRODUCT(
  IF($B24:$K24&lt;&gt;"",
     INDEX('Eurostat EB products IEA'!$A$4:$BN$135,
           MATCH($B24:$K24, 'Eurostat EB products IEA'!$A$4:$A$135, 0),
           MATCH(AP$1, 'Eurostat EB products IEA'!$A$4:$BN$4, 0)
     )
     * $L24:$U24,
     0
  )
)</f>
        <v>0</v>
      </c>
      <c r="AQ24" s="17" cm="1">
        <f t="array" ref="AQ24">SUMPRODUCT(
  IF($B24:$K24&lt;&gt;"",
     INDEX('Eurostat EB products IEA'!$A$4:$BN$135,
           MATCH($B24:$K24, 'Eurostat EB products IEA'!$A$4:$A$135, 0),
           MATCH(AQ$1, 'Eurostat EB products IEA'!$A$4:$BN$4, 0)
     )
     * $L24:$U24,
     0
  )
)</f>
        <v>0</v>
      </c>
      <c r="AR24" s="17" cm="1">
        <f t="array" ref="AR24">SUMPRODUCT(
  IF($B24:$K24&lt;&gt;"",
     INDEX('Eurostat EB products IEA'!$A$4:$BN$135,
           MATCH($B24:$K24, 'Eurostat EB products IEA'!$A$4:$A$135, 0),
           MATCH(AR$1, 'Eurostat EB products IEA'!$A$4:$BN$4, 0)
     )
     * $L24:$U24,
     0
  )
)</f>
        <v>0</v>
      </c>
      <c r="AS24" s="17" cm="1">
        <f t="array" ref="AS24">SUMPRODUCT(
  IF($B24:$K24&lt;&gt;"",
     INDEX('Eurostat EB products IEA'!$A$4:$BN$135,
           MATCH($B24:$K24, 'Eurostat EB products IEA'!$A$4:$A$135, 0),
           MATCH(AS$1, 'Eurostat EB products IEA'!$A$4:$BN$4, 0)
     )
     * $L24:$U24,
     0
  )
)</f>
        <v>0</v>
      </c>
      <c r="AT24" s="17" cm="1">
        <f t="array" ref="AT24">SUMPRODUCT(
  IF($B24:$K24&lt;&gt;"",
     INDEX('Eurostat EB products IEA'!$A$4:$BN$135,
           MATCH($B24:$K24, 'Eurostat EB products IEA'!$A$4:$A$135, 0),
           MATCH(AT$1, 'Eurostat EB products IEA'!$A$4:$BN$4, 0)
     )
     * $L24:$U24,
     0
  )
)</f>
        <v>0</v>
      </c>
      <c r="AU24" s="17" cm="1">
        <f t="array" ref="AU24">SUMPRODUCT(
  IF($B24:$K24&lt;&gt;"",
     INDEX('Eurostat EB products IEA'!$A$4:$BN$135,
           MATCH($B24:$K24, 'Eurostat EB products IEA'!$A$4:$A$135, 0),
           MATCH(AU$1, 'Eurostat EB products IEA'!$A$4:$BN$4, 0)
     )
     * $L24:$U24,
     0
  )
)</f>
        <v>0</v>
      </c>
      <c r="AV24" s="17" cm="1">
        <f t="array" ref="AV24">SUMPRODUCT(
  IF($B24:$K24&lt;&gt;"",
     INDEX('Eurostat EB products IEA'!$A$4:$BN$135,
           MATCH($B24:$K24, 'Eurostat EB products IEA'!$A$4:$A$135, 0),
           MATCH(AV$1, 'Eurostat EB products IEA'!$A$4:$BN$4, 0)
     )
     * $L24:$U24,
     0
  )
)</f>
        <v>0</v>
      </c>
      <c r="AW24" s="17" cm="1">
        <f t="array" ref="AW24">SUMPRODUCT(
  IF($B24:$K24&lt;&gt;"",
     INDEX('Eurostat EB products IEA'!$A$4:$BN$135,
           MATCH($B24:$K24, 'Eurostat EB products IEA'!$A$4:$A$135, 0),
           MATCH(AW$1, 'Eurostat EB products IEA'!$A$4:$BN$4, 0)
     )
     * $L24:$U24,
     0
  )
)</f>
        <v>0</v>
      </c>
      <c r="AX24" s="17" cm="1">
        <f t="array" ref="AX24">SUMPRODUCT(
  IF($B24:$K24&lt;&gt;"",
     INDEX('Eurostat EB products IEA'!$A$4:$BN$135,
           MATCH($B24:$K24, 'Eurostat EB products IEA'!$A$4:$A$135, 0),
           MATCH(AX$1, 'Eurostat EB products IEA'!$A$4:$BN$4, 0)
     )
     * $L24:$U24,
     0
  )
)</f>
        <v>0</v>
      </c>
      <c r="AY24" s="17" cm="1">
        <f t="array" ref="AY24">SUMPRODUCT(
  IF($B24:$K24&lt;&gt;"",
     INDEX('Eurostat EB products IEA'!$A$4:$BN$135,
           MATCH($B24:$K24, 'Eurostat EB products IEA'!$A$4:$A$135, 0),
           MATCH(AY$1, 'Eurostat EB products IEA'!$A$4:$BN$4, 0)
     )
     * $L24:$U24,
     0
  )
)</f>
        <v>0</v>
      </c>
      <c r="AZ24" s="17" cm="1">
        <f t="array" ref="AZ24">SUMPRODUCT(
  IF($B24:$K24&lt;&gt;"",
     INDEX('Eurostat EB products IEA'!$A$4:$BN$135,
           MATCH($B24:$K24, 'Eurostat EB products IEA'!$A$4:$A$135, 0),
           MATCH(AZ$1, 'Eurostat EB products IEA'!$A$4:$BN$4, 0)
     )
     * $L24:$U24,
     0
  )
)</f>
        <v>0</v>
      </c>
      <c r="BA24" s="17" cm="1">
        <f t="array" ref="BA24">SUMPRODUCT(
  IF($B24:$K24&lt;&gt;"",
     INDEX('Eurostat EB products IEA'!$A$4:$BN$135,
           MATCH($B24:$K24, 'Eurostat EB products IEA'!$A$4:$A$135, 0),
           MATCH(BA$1, 'Eurostat EB products IEA'!$A$4:$BN$4, 0)
     )
     * $L24:$U24,
     0
  )
)</f>
        <v>0</v>
      </c>
      <c r="BB24" s="17" cm="1">
        <f t="array" ref="BB24">SUMPRODUCT(
  IF($B24:$K24&lt;&gt;"",
     INDEX('Eurostat EB products IEA'!$A$4:$BN$135,
           MATCH($B24:$K24, 'Eurostat EB products IEA'!$A$4:$A$135, 0),
           MATCH(BB$1, 'Eurostat EB products IEA'!$A$4:$BN$4, 0)
     )
     * $L24:$U24,
     0
  )
)</f>
        <v>0</v>
      </c>
      <c r="BC24" s="17" cm="1">
        <f t="array" ref="BC24">SUMPRODUCT(
  IF($B24:$K24&lt;&gt;"",
     INDEX('Eurostat EB products IEA'!$A$4:$BN$135,
           MATCH($B24:$K24, 'Eurostat EB products IEA'!$A$4:$A$135, 0),
           MATCH(BC$1, 'Eurostat EB products IEA'!$A$4:$BN$4, 0)
     )
     * $L24:$U24,
     0
  )
)</f>
        <v>0</v>
      </c>
      <c r="BD24" s="17" cm="1">
        <f t="array" ref="BD24">SUMPRODUCT(
  IF($B24:$K24&lt;&gt;"",
     INDEX('Eurostat EB products IEA'!$A$4:$BN$135,
           MATCH($B24:$K24, 'Eurostat EB products IEA'!$A$4:$A$135, 0),
           MATCH(BD$1, 'Eurostat EB products IEA'!$A$4:$BN$4, 0)
     )
     * $L24:$U24,
     0
  )
)</f>
        <v>0</v>
      </c>
      <c r="BE24" s="17" cm="1">
        <f t="array" ref="BE24">SUMPRODUCT(
  IF($B24:$K24&lt;&gt;"",
     INDEX('Eurostat EB products IEA'!$A$4:$BN$135,
           MATCH($B24:$K24, 'Eurostat EB products IEA'!$A$4:$A$135, 0),
           MATCH(BE$1, 'Eurostat EB products IEA'!$A$4:$BN$4, 0)
     )
     * $L24:$U24,
     0
  )
)</f>
        <v>0</v>
      </c>
      <c r="BF24" s="17" cm="1">
        <f t="array" ref="BF24">SUMPRODUCT(
  IF($B24:$K24&lt;&gt;"",
     INDEX('Eurostat EB products IEA'!$A$4:$BN$135,
           MATCH($B24:$K24, 'Eurostat EB products IEA'!$A$4:$A$135, 0),
           MATCH(BF$1, 'Eurostat EB products IEA'!$A$4:$BN$4, 0)
     )
     * $L24:$U24,
     0
  )
)</f>
        <v>0</v>
      </c>
      <c r="BG24" s="17" cm="1">
        <f t="array" ref="BG24">SUMPRODUCT(
  IF($B24:$K24&lt;&gt;"",
     INDEX('Eurostat EB products IEA'!$A$4:$BN$135,
           MATCH($B24:$K24, 'Eurostat EB products IEA'!$A$4:$A$135, 0),
           MATCH(BG$1, 'Eurostat EB products IEA'!$A$4:$BN$4, 0)
     )
     * $L24:$U24,
     0
  )
)</f>
        <v>0</v>
      </c>
      <c r="BH24" s="17" cm="1">
        <f t="array" ref="BH24">SUMPRODUCT(
  IF($B24:$K24&lt;&gt;"",
     INDEX('Eurostat EB products IEA'!$A$4:$BN$135,
           MATCH($B24:$K24, 'Eurostat EB products IEA'!$A$4:$A$135, 0),
           MATCH(BH$1, 'Eurostat EB products IEA'!$A$4:$BN$4, 0)
     )
     * $L24:$U24,
     0
  )
)</f>
        <v>0</v>
      </c>
      <c r="BI24" s="17" cm="1">
        <f t="array" ref="BI24">SUMPRODUCT(
  IF($B24:$K24&lt;&gt;"",
     INDEX('Eurostat EB products IEA'!$A$4:$BN$135,
           MATCH($B24:$K24, 'Eurostat EB products IEA'!$A$4:$A$135, 0),
           MATCH(BI$1, 'Eurostat EB products IEA'!$A$4:$BN$4, 0)
     )
     * $L24:$U24,
     0
  )
)</f>
        <v>0</v>
      </c>
      <c r="BJ24" s="17" cm="1">
        <f t="array" ref="BJ24">SUMPRODUCT(
  IF($B24:$K24&lt;&gt;"",
     INDEX('Eurostat EB products IEA'!$A$4:$BN$135,
           MATCH($B24:$K24, 'Eurostat EB products IEA'!$A$4:$A$135, 0),
           MATCH(BJ$1, 'Eurostat EB products IEA'!$A$4:$BN$4, 0)
     )
     * $L24:$U24,
     0
  )
)</f>
        <v>0</v>
      </c>
      <c r="BK24" s="17" cm="1">
        <f t="array" ref="BK24">SUMPRODUCT(
  IF($B24:$K24&lt;&gt;"",
     INDEX('Eurostat EB products IEA'!$A$4:$BN$135,
           MATCH($B24:$K24, 'Eurostat EB products IEA'!$A$4:$A$135, 0),
           MATCH(BK$1, 'Eurostat EB products IEA'!$A$4:$BN$4, 0)
     )
     * $L24:$U24,
     0
  )
)</f>
        <v>0</v>
      </c>
      <c r="BL24" s="17" cm="1">
        <f t="array" ref="BL24">SUMPRODUCT(
  IF($B24:$K24&lt;&gt;"",
     INDEX('Eurostat EB products IEA'!$A$4:$BN$135,
           MATCH($B24:$K24, 'Eurostat EB products IEA'!$A$4:$A$135, 0),
           MATCH(BL$1, 'Eurostat EB products IEA'!$A$4:$BN$4, 0)
     )
     * $L24:$U24,
     0
  )
)</f>
        <v>0</v>
      </c>
      <c r="BM24" s="17" cm="1">
        <f t="array" ref="BM24">SUMPRODUCT(
  IF($B24:$K24&lt;&gt;"",
     INDEX('Eurostat EB products IEA'!$A$4:$BN$135,
           MATCH($B24:$K24, 'Eurostat EB products IEA'!$A$4:$A$135, 0),
           MATCH(BM$1, 'Eurostat EB products IEA'!$A$4:$BN$4, 0)
     )
     * $L24:$U24,
     0
  )
)</f>
        <v>0</v>
      </c>
      <c r="BN24" s="17" cm="1">
        <f t="array" ref="BN24">SUMPRODUCT(
  IF($B24:$K24&lt;&gt;"",
     INDEX('Eurostat EB products IEA'!$A$4:$BN$135,
           MATCH($B24:$K24, 'Eurostat EB products IEA'!$A$4:$A$135, 0),
           MATCH(BN$1, 'Eurostat EB products IEA'!$A$4:$BN$4, 0)
     )
     * $L24:$U24,
     0
  )
)</f>
        <v>0</v>
      </c>
      <c r="BO24" s="17" cm="1">
        <f t="array" ref="BO24">SUMPRODUCT(
  IF($B24:$K24&lt;&gt;"",
     INDEX('Eurostat EB products IEA'!$A$4:$BN$135,
           MATCH($B24:$K24, 'Eurostat EB products IEA'!$A$4:$A$135, 0),
           MATCH(BO$1, 'Eurostat EB products IEA'!$A$4:$BN$4, 0)
     )
     * $L24:$U24,
     0
  )
)</f>
        <v>0</v>
      </c>
      <c r="BP24" s="17" cm="1">
        <f t="array" ref="BP24">SUMPRODUCT(
  IF($B24:$K24&lt;&gt;"",
     INDEX('Eurostat EB products IEA'!$A$4:$BN$135,
           MATCH($B24:$K24, 'Eurostat EB products IEA'!$A$4:$A$135, 0),
           MATCH(BP$1, 'Eurostat EB products IEA'!$A$4:$BN$4, 0)
     )
     * $L24:$U24,
     0
  )
)</f>
        <v>0</v>
      </c>
      <c r="BQ24" s="17" cm="1">
        <f t="array" ref="BQ24">SUMPRODUCT(
  IF($B24:$K24&lt;&gt;"",
     INDEX('Eurostat EB products IEA'!$A$4:$BN$135,
           MATCH($B24:$K24, 'Eurostat EB products IEA'!$A$4:$A$135, 0),
           MATCH(BQ$1, 'Eurostat EB products IEA'!$A$4:$BN$4, 0)
     )
     * $L24:$U24,
     0
  )
)</f>
        <v>0</v>
      </c>
      <c r="BR24" s="17" cm="1">
        <f t="array" ref="BR24">SUMPRODUCT(
  IF($B24:$K24&lt;&gt;"",
     INDEX('Eurostat EB products IEA'!$A$4:$BN$135,
           MATCH($B24:$K24, 'Eurostat EB products IEA'!$A$4:$A$135, 0),
           MATCH(BR$1, 'Eurostat EB products IEA'!$A$4:$BN$4, 0)
     )
     * $L24:$U24,
     0
  )
)</f>
        <v>0</v>
      </c>
      <c r="BS24" s="65">
        <v>0</v>
      </c>
      <c r="BT24" s="17" cm="1">
        <f t="array" ref="BT24">SUMPRODUCT(
  IF($B24:$K24&lt;&gt;"",
     INDEX('Eurostat EB products IEA'!$A$4:$BN$135,
           MATCH($B24:$K24, 'Eurostat EB products IEA'!$A$4:$A$135, 0),
           MATCH(BT$1, 'Eurostat EB products IEA'!$A$4:$BN$4, 0)
     )
     * $L24:$U24,
     0
  )
)</f>
        <v>0</v>
      </c>
      <c r="BU24" s="65">
        <v>0</v>
      </c>
      <c r="BV24" s="65">
        <v>0</v>
      </c>
      <c r="BW24" s="17" cm="1">
        <f t="array" ref="BW24">SUMPRODUCT(
  IF($B24:$K24&lt;&gt;"",
     INDEX('Eurostat EB products IEA'!$A$4:$BN$135,
           MATCH($B24:$K24, 'Eurostat EB products IEA'!$A$4:$A$135, 0),
           MATCH(BW$1, 'Eurostat EB products IEA'!$A$4:$BN$4, 0)
     )
     * $L24:$U24,
     0
  )
)</f>
        <v>0</v>
      </c>
      <c r="BX24" s="17" cm="1">
        <f t="array" ref="BX24">SUMPRODUCT(
  IF($B24:$K24&lt;&gt;"",
     INDEX('Eurostat EB products IEA'!$A$4:$BN$135,
           MATCH($B24:$K24, 'Eurostat EB products IEA'!$A$4:$A$135, 0),
           MATCH(BX$1, 'Eurostat EB products IEA'!$A$4:$BN$4, 0)
     )
     * $L24:$U24,
     0
  )
)</f>
        <v>0</v>
      </c>
      <c r="BY24" s="17" cm="1">
        <f t="array" ref="BY24">SUMPRODUCT(
  IF($B24:$K24&lt;&gt;"",
     INDEX('Eurostat EB products IEA'!$A$4:$BN$135,
           MATCH($B24:$K24, 'Eurostat EB products IEA'!$A$4:$A$135, 0),
           MATCH(BY$1, 'Eurostat EB products IEA'!$A$4:$BN$4, 0)
     )
     * $L24:$U24,
     0
  )
)</f>
        <v>0</v>
      </c>
      <c r="BZ24" s="17" cm="1">
        <f t="array" ref="BZ24">SUMPRODUCT(
  IF($B24:$K24&lt;&gt;"",
     INDEX('Eurostat EB products IEA'!$A$4:$BN$135,
           MATCH($B24:$K24, 'Eurostat EB products IEA'!$A$4:$A$135, 0),
           MATCH(BZ$1, 'Eurostat EB products IEA'!$A$4:$BN$4, 0)
     )
     * $L24:$U24,
     0
  )
)</f>
        <v>0</v>
      </c>
      <c r="CA24" s="17" cm="1">
        <f t="array" ref="CA24">SUMPRODUCT(
  IF($B24:$K24&lt;&gt;"",
     INDEX('Eurostat EB products IEA'!$A$4:$BN$135,
           MATCH($B24:$K24, 'Eurostat EB products IEA'!$A$4:$A$135, 0),
           MATCH(CA$1, 'Eurostat EB products IEA'!$A$4:$BN$4, 0)
     )
     * $L24:$U24,
     0
  )
)</f>
        <v>0</v>
      </c>
      <c r="CB24" s="17" cm="1">
        <f t="array" ref="CB24">SUMPRODUCT(
  IF($B24:$K24&lt;&gt;"",
     INDEX('Eurostat EB products IEA'!$A$4:$BN$135,
           MATCH($B24:$K24, 'Eurostat EB products IEA'!$A$4:$A$135, 0),
           MATCH(CB$1, 'Eurostat EB products IEA'!$A$4:$BN$4, 0)
     )
     * $L24:$U24,
     0
  )
)</f>
        <v>0</v>
      </c>
      <c r="CC24" s="17" cm="1">
        <f t="array" ref="CC24">SUMPRODUCT(
  IF($B24:$K24&lt;&gt;"",
     INDEX('Eurostat EB products IEA'!$A$4:$BN$135,
           MATCH($B24:$K24, 'Eurostat EB products IEA'!$A$4:$A$135, 0),
           MATCH(CC$1, 'Eurostat EB products IEA'!$A$4:$BN$4, 0)
     )
     * $L24:$U24,
     0
  )
)</f>
        <v>0</v>
      </c>
      <c r="CD24" s="65">
        <v>0</v>
      </c>
      <c r="CE24" s="17" cm="1">
        <f t="array" ref="CE24">SUMPRODUCT(
  IF($B24:$K24&lt;&gt;"",
     INDEX('Eurostat EB products IEA'!$A$4:$BN$135,
           MATCH($B24:$K24, 'Eurostat EB products IEA'!$A$4:$A$135, 0),
           MATCH(CE$1, 'Eurostat EB products IEA'!$A$4:$BN$4, 0)
     )
     * $L24:$U24,
     0
  )
)</f>
        <v>0</v>
      </c>
      <c r="CF24" s="17" cm="1">
        <f t="array" ref="CF24">SUMPRODUCT(
  IF($B24:$K24&lt;&gt;"",
     INDEX('Eurostat EB products IEA'!$A$4:$BN$135,
           MATCH($B24:$K24, 'Eurostat EB products IEA'!$A$4:$A$135, 0),
           MATCH(CF$1, 'Eurostat EB products IEA'!$A$4:$BN$4, 0)
     )
     * $L24:$U24,
     0
  )
)</f>
        <v>0</v>
      </c>
      <c r="CG24" s="17" cm="1">
        <f t="array" ref="CG24">SUMPRODUCT(
  IF($B24:$K24&lt;&gt;"",
     INDEX('Eurostat EB products IEA'!$A$4:$BN$135,
           MATCH($B24:$K24, 'Eurostat EB products IEA'!$A$4:$A$135, 0),
           MATCH(CG$1, 'Eurostat EB products IEA'!$A$4:$BN$4, 0)
     )
     * $L24:$U24,
     0
  )
)</f>
        <v>-2462.5819999999949</v>
      </c>
      <c r="CH24" s="17" cm="1">
        <f t="array" ref="CH24">SUMPRODUCT(
  IF($B24:$K24&lt;&gt;"",
     INDEX('Eurostat EB products IEA'!$A$4:$BN$135,
           MATCH($B24:$K24, 'Eurostat EB products IEA'!$A$4:$A$135, 0),
           MATCH(CH$1, 'Eurostat EB products IEA'!$A$4:$BN$4, 0)
     )
     * $L24:$U24,
     0
  )
)</f>
        <v>0</v>
      </c>
    </row>
    <row r="25" spans="1:86" x14ac:dyDescent="0.2">
      <c r="A25" t="s">
        <v>89</v>
      </c>
      <c r="B25" s="75"/>
      <c r="C25" s="77"/>
      <c r="D25" s="75"/>
      <c r="E25" s="77"/>
      <c r="F25" s="75"/>
      <c r="G25" s="77"/>
      <c r="H25" s="75"/>
      <c r="I25" s="77"/>
      <c r="J25" s="74" t="s">
        <v>226</v>
      </c>
      <c r="K25" s="78" t="s">
        <v>254</v>
      </c>
      <c r="L25" s="76"/>
      <c r="M25" s="79"/>
      <c r="N25" s="76"/>
      <c r="O25" s="79"/>
      <c r="P25" s="76"/>
      <c r="Q25" s="79"/>
      <c r="R25" s="76"/>
      <c r="S25" s="79"/>
      <c r="T25" s="76">
        <v>-1</v>
      </c>
      <c r="U25" s="79">
        <v>1</v>
      </c>
      <c r="V25" s="65" t="s">
        <v>323</v>
      </c>
      <c r="W25" s="65" t="s">
        <v>323</v>
      </c>
      <c r="X25" s="57" cm="1">
        <f t="array" ref="X25">SUMPRODUCT(
  IF($B25:$K25&lt;&gt;"",
     INDEX('Eurostat EB products IEA'!$A$4:$BN$135,
           MATCH($B25:$K25, 'Eurostat EB products IEA'!$A$4:$A$135, 0),
           MATCH(X$1, 'Eurostat EB products IEA'!$A$4:$BN$4, 0)
     )
     * $L25:$U25,
     0
  )
)</f>
        <v>0</v>
      </c>
      <c r="Y25" s="57" cm="1">
        <f t="array" ref="Y25">SUMPRODUCT(
  IF($B25:$K25&lt;&gt;"",
     INDEX('Eurostat EB products IEA'!$A$4:$BN$135,
           MATCH($B25:$K25, 'Eurostat EB products IEA'!$A$4:$A$135, 0),
           MATCH(Y$1, 'Eurostat EB products IEA'!$A$4:$BN$4, 0)
     )
     * $L25:$U25,
     0
  )
)</f>
        <v>0</v>
      </c>
      <c r="Z25" s="57" cm="1">
        <f t="array" ref="Z25">SUMPRODUCT(
  IF($B25:$K25&lt;&gt;"",
     INDEX('Eurostat EB products IEA'!$A$4:$BN$135,
           MATCH($B25:$K25, 'Eurostat EB products IEA'!$A$4:$A$135, 0),
           MATCH(Z$1, 'Eurostat EB products IEA'!$A$4:$BN$4, 0)
     )
     * $L25:$U25,
     0
  )
)</f>
        <v>0</v>
      </c>
      <c r="AA25" s="57" cm="1">
        <f t="array" ref="AA25">SUMPRODUCT(
  IF($B25:$K25&lt;&gt;"",
     INDEX('Eurostat EB products IEA'!$A$4:$BN$135,
           MATCH($B25:$K25, 'Eurostat EB products IEA'!$A$4:$A$135, 0),
           MATCH(AA$1, 'Eurostat EB products IEA'!$A$4:$BN$4, 0)
     )
     * $L25:$U25,
     0
  )
)</f>
        <v>0</v>
      </c>
      <c r="AB25" s="57" cm="1">
        <f t="array" ref="AB25">SUMPRODUCT(
  IF($B25:$K25&lt;&gt;"",
     INDEX('Eurostat EB products IEA'!$A$4:$BN$135,
           MATCH($B25:$K25, 'Eurostat EB products IEA'!$A$4:$A$135, 0),
           MATCH(AB$1, 'Eurostat EB products IEA'!$A$4:$BN$4, 0)
     )
     * $L25:$U25,
     0
  )
)</f>
        <v>0</v>
      </c>
      <c r="AC25" s="57" cm="1">
        <f t="array" ref="AC25">SUMPRODUCT(
  IF($B25:$K25&lt;&gt;"",
     INDEX('Eurostat EB products IEA'!$A$4:$BN$135,
           MATCH($B25:$K25, 'Eurostat EB products IEA'!$A$4:$A$135, 0),
           MATCH(AC$1, 'Eurostat EB products IEA'!$A$4:$BN$4, 0)
     )
     * $L25:$U25,
     0
  )
)</f>
        <v>0</v>
      </c>
      <c r="AD25" s="57" cm="1">
        <f t="array" ref="AD25">SUMPRODUCT(
  IF($B25:$K25&lt;&gt;"",
     INDEX('Eurostat EB products IEA'!$A$4:$BN$135,
           MATCH($B25:$K25, 'Eurostat EB products IEA'!$A$4:$A$135, 0),
           MATCH(AD$1, 'Eurostat EB products IEA'!$A$4:$BN$4, 0)
     )
     * $L25:$U25,
     0
  )
)</f>
        <v>0</v>
      </c>
      <c r="AE25" s="57" cm="1">
        <f t="array" ref="AE25">SUMPRODUCT(
  IF($B25:$K25&lt;&gt;"",
     INDEX('Eurostat EB products IEA'!$A$4:$BN$135,
           MATCH($B25:$K25, 'Eurostat EB products IEA'!$A$4:$A$135, 0),
           MATCH(AE$1, 'Eurostat EB products IEA'!$A$4:$BN$4, 0)
     )
     * $L25:$U25,
     0
  )
)</f>
        <v>0</v>
      </c>
      <c r="AF25" s="57" cm="1">
        <f t="array" ref="AF25">SUMPRODUCT(
  IF($B25:$K25&lt;&gt;"",
     INDEX('Eurostat EB products IEA'!$A$4:$BN$135,
           MATCH($B25:$K25, 'Eurostat EB products IEA'!$A$4:$A$135, 0),
           MATCH(AF$1, 'Eurostat EB products IEA'!$A$4:$BN$4, 0)
     )
     * $L25:$U25,
     0
  )
)</f>
        <v>0</v>
      </c>
      <c r="AG25" s="57" cm="1">
        <f t="array" ref="AG25">SUMPRODUCT(
  IF($B25:$K25&lt;&gt;"",
     INDEX('Eurostat EB products IEA'!$A$4:$BN$135,
           MATCH($B25:$K25, 'Eurostat EB products IEA'!$A$4:$A$135, 0),
           MATCH(AG$1, 'Eurostat EB products IEA'!$A$4:$BN$4, 0)
     )
     * $L25:$U25,
     0
  )
)</f>
        <v>0</v>
      </c>
      <c r="AH25" s="57" cm="1">
        <f t="array" ref="AH25">SUMPRODUCT(
  IF($B25:$K25&lt;&gt;"",
     INDEX('Eurostat EB products IEA'!$A$4:$BN$135,
           MATCH($B25:$K25, 'Eurostat EB products IEA'!$A$4:$A$135, 0),
           MATCH(AH$1, 'Eurostat EB products IEA'!$A$4:$BN$4, 0)
     )
     * $L25:$U25,
     0
  )
)</f>
        <v>0</v>
      </c>
      <c r="AI25" s="57" cm="1">
        <f t="array" ref="AI25">SUMPRODUCT(
  IF($B25:$K25&lt;&gt;"",
     INDEX('Eurostat EB products IEA'!$A$4:$BN$135,
           MATCH($B25:$K25, 'Eurostat EB products IEA'!$A$4:$A$135, 0),
           MATCH(AI$1, 'Eurostat EB products IEA'!$A$4:$BN$4, 0)
     )
     * $L25:$U25,
     0
  )
)</f>
        <v>0</v>
      </c>
      <c r="AJ25" s="57" cm="1">
        <f t="array" ref="AJ25">SUMPRODUCT(
  IF($B25:$K25&lt;&gt;"",
     INDEX('Eurostat EB products IEA'!$A$4:$BN$135,
           MATCH($B25:$K25, 'Eurostat EB products IEA'!$A$4:$A$135, 0),
           MATCH(AJ$1, 'Eurostat EB products IEA'!$A$4:$BN$4, 0)
     )
     * $L25:$U25,
     0
  )
)</f>
        <v>0</v>
      </c>
      <c r="AK25" s="57" cm="1">
        <f t="array" ref="AK25">SUMPRODUCT(
  IF($B25:$K25&lt;&gt;"",
     INDEX('Eurostat EB products IEA'!$A$4:$BN$135,
           MATCH($B25:$K25, 'Eurostat EB products IEA'!$A$4:$A$135, 0),
           MATCH(AK$1, 'Eurostat EB products IEA'!$A$4:$BN$4, 0)
     )
     * $L25:$U25,
     0
  )
)</f>
        <v>0</v>
      </c>
      <c r="AL25" s="57" cm="1">
        <f t="array" ref="AL25">SUMPRODUCT(
  IF($B25:$K25&lt;&gt;"",
     INDEX('Eurostat EB products IEA'!$A$4:$BN$135,
           MATCH($B25:$K25, 'Eurostat EB products IEA'!$A$4:$A$135, 0),
           MATCH(AL$1, 'Eurostat EB products IEA'!$A$4:$BN$4, 0)
     )
     * $L25:$U25,
     0
  )
)</f>
        <v>0</v>
      </c>
      <c r="AM25" s="57" cm="1">
        <f t="array" ref="AM25">SUMPRODUCT(
  IF($B25:$K25&lt;&gt;"",
     INDEX('Eurostat EB products IEA'!$A$4:$BN$135,
           MATCH($B25:$K25, 'Eurostat EB products IEA'!$A$4:$A$135, 0),
           MATCH(AM$1, 'Eurostat EB products IEA'!$A$4:$BN$4, 0)
     )
     * $L25:$U25,
     0
  )
)</f>
        <v>0</v>
      </c>
      <c r="AN25" s="65" t="s">
        <v>323</v>
      </c>
      <c r="AO25" s="57" cm="1">
        <f t="array" ref="AO25">SUMPRODUCT(
  IF($B25:$K25&lt;&gt;"",
     INDEX('Eurostat EB products IEA'!$A$4:$BN$135,
           MATCH($B25:$K25, 'Eurostat EB products IEA'!$A$4:$A$135, 0),
           MATCH(AO$1, 'Eurostat EB products IEA'!$A$4:$BN$4, 0)
     )
     * $L25:$U25,
     0
  )
)</f>
        <v>0</v>
      </c>
      <c r="AP25" s="57" cm="1">
        <f t="array" ref="AP25">SUMPRODUCT(
  IF($B25:$K25&lt;&gt;"",
     INDEX('Eurostat EB products IEA'!$A$4:$BN$135,
           MATCH($B25:$K25, 'Eurostat EB products IEA'!$A$4:$A$135, 0),
           MATCH(AP$1, 'Eurostat EB products IEA'!$A$4:$BN$4, 0)
     )
     * $L25:$U25,
     0
  )
)</f>
        <v>0</v>
      </c>
      <c r="AQ25" s="57" cm="1">
        <f t="array" ref="AQ25">SUMPRODUCT(
  IF($B25:$K25&lt;&gt;"",
     INDEX('Eurostat EB products IEA'!$A$4:$BN$135,
           MATCH($B25:$K25, 'Eurostat EB products IEA'!$A$4:$A$135, 0),
           MATCH(AQ$1, 'Eurostat EB products IEA'!$A$4:$BN$4, 0)
     )
     * $L25:$U25,
     0
  )
)</f>
        <v>0</v>
      </c>
      <c r="AR25" s="57" cm="1">
        <f t="array" ref="AR25">SUMPRODUCT(
  IF($B25:$K25&lt;&gt;"",
     INDEX('Eurostat EB products IEA'!$A$4:$BN$135,
           MATCH($B25:$K25, 'Eurostat EB products IEA'!$A$4:$A$135, 0),
           MATCH(AR$1, 'Eurostat EB products IEA'!$A$4:$BN$4, 0)
     )
     * $L25:$U25,
     0
  )
)</f>
        <v>0</v>
      </c>
      <c r="AS25" s="57" cm="1">
        <f t="array" ref="AS25">SUMPRODUCT(
  IF($B25:$K25&lt;&gt;"",
     INDEX('Eurostat EB products IEA'!$A$4:$BN$135,
           MATCH($B25:$K25, 'Eurostat EB products IEA'!$A$4:$A$135, 0),
           MATCH(AS$1, 'Eurostat EB products IEA'!$A$4:$BN$4, 0)
     )
     * $L25:$U25,
     0
  )
)</f>
        <v>0</v>
      </c>
      <c r="AT25" s="57" cm="1">
        <f t="array" ref="AT25">SUMPRODUCT(
  IF($B25:$K25&lt;&gt;"",
     INDEX('Eurostat EB products IEA'!$A$4:$BN$135,
           MATCH($B25:$K25, 'Eurostat EB products IEA'!$A$4:$A$135, 0),
           MATCH(AT$1, 'Eurostat EB products IEA'!$A$4:$BN$4, 0)
     )
     * $L25:$U25,
     0
  )
)</f>
        <v>0</v>
      </c>
      <c r="AU25" s="57" cm="1">
        <f t="array" ref="AU25">SUMPRODUCT(
  IF($B25:$K25&lt;&gt;"",
     INDEX('Eurostat EB products IEA'!$A$4:$BN$135,
           MATCH($B25:$K25, 'Eurostat EB products IEA'!$A$4:$A$135, 0),
           MATCH(AU$1, 'Eurostat EB products IEA'!$A$4:$BN$4, 0)
     )
     * $L25:$U25,
     0
  )
)</f>
        <v>0</v>
      </c>
      <c r="AV25" s="57" cm="1">
        <f t="array" ref="AV25">SUMPRODUCT(
  IF($B25:$K25&lt;&gt;"",
     INDEX('Eurostat EB products IEA'!$A$4:$BN$135,
           MATCH($B25:$K25, 'Eurostat EB products IEA'!$A$4:$A$135, 0),
           MATCH(AV$1, 'Eurostat EB products IEA'!$A$4:$BN$4, 0)
     )
     * $L25:$U25,
     0
  )
)</f>
        <v>0</v>
      </c>
      <c r="AW25" s="57" cm="1">
        <f t="array" ref="AW25">SUMPRODUCT(
  IF($B25:$K25&lt;&gt;"",
     INDEX('Eurostat EB products IEA'!$A$4:$BN$135,
           MATCH($B25:$K25, 'Eurostat EB products IEA'!$A$4:$A$135, 0),
           MATCH(AW$1, 'Eurostat EB products IEA'!$A$4:$BN$4, 0)
     )
     * $L25:$U25,
     0
  )
)</f>
        <v>0</v>
      </c>
      <c r="AX25" s="57" cm="1">
        <f t="array" ref="AX25">SUMPRODUCT(
  IF($B25:$K25&lt;&gt;"",
     INDEX('Eurostat EB products IEA'!$A$4:$BN$135,
           MATCH($B25:$K25, 'Eurostat EB products IEA'!$A$4:$A$135, 0),
           MATCH(AX$1, 'Eurostat EB products IEA'!$A$4:$BN$4, 0)
     )
     * $L25:$U25,
     0
  )
)</f>
        <v>0</v>
      </c>
      <c r="AY25" s="57" cm="1">
        <f t="array" ref="AY25">SUMPRODUCT(
  IF($B25:$K25&lt;&gt;"",
     INDEX('Eurostat EB products IEA'!$A$4:$BN$135,
           MATCH($B25:$K25, 'Eurostat EB products IEA'!$A$4:$A$135, 0),
           MATCH(AY$1, 'Eurostat EB products IEA'!$A$4:$BN$4, 0)
     )
     * $L25:$U25,
     0
  )
)</f>
        <v>0</v>
      </c>
      <c r="AZ25" s="57" cm="1">
        <f t="array" ref="AZ25">SUMPRODUCT(
  IF($B25:$K25&lt;&gt;"",
     INDEX('Eurostat EB products IEA'!$A$4:$BN$135,
           MATCH($B25:$K25, 'Eurostat EB products IEA'!$A$4:$A$135, 0),
           MATCH(AZ$1, 'Eurostat EB products IEA'!$A$4:$BN$4, 0)
     )
     * $L25:$U25,
     0
  )
)</f>
        <v>0</v>
      </c>
      <c r="BA25" s="57" cm="1">
        <f t="array" ref="BA25">SUMPRODUCT(
  IF($B25:$K25&lt;&gt;"",
     INDEX('Eurostat EB products IEA'!$A$4:$BN$135,
           MATCH($B25:$K25, 'Eurostat EB products IEA'!$A$4:$A$135, 0),
           MATCH(BA$1, 'Eurostat EB products IEA'!$A$4:$BN$4, 0)
     )
     * $L25:$U25,
     0
  )
)</f>
        <v>0</v>
      </c>
      <c r="BB25" s="57" cm="1">
        <f t="array" ref="BB25">SUMPRODUCT(
  IF($B25:$K25&lt;&gt;"",
     INDEX('Eurostat EB products IEA'!$A$4:$BN$135,
           MATCH($B25:$K25, 'Eurostat EB products IEA'!$A$4:$A$135, 0),
           MATCH(BB$1, 'Eurostat EB products IEA'!$A$4:$BN$4, 0)
     )
     * $L25:$U25,
     0
  )
)</f>
        <v>0</v>
      </c>
      <c r="BC25" s="57" cm="1">
        <f t="array" ref="BC25">SUMPRODUCT(
  IF($B25:$K25&lt;&gt;"",
     INDEX('Eurostat EB products IEA'!$A$4:$BN$135,
           MATCH($B25:$K25, 'Eurostat EB products IEA'!$A$4:$A$135, 0),
           MATCH(BC$1, 'Eurostat EB products IEA'!$A$4:$BN$4, 0)
     )
     * $L25:$U25,
     0
  )
)</f>
        <v>0</v>
      </c>
      <c r="BD25" s="57" cm="1">
        <f t="array" ref="BD25">SUMPRODUCT(
  IF($B25:$K25&lt;&gt;"",
     INDEX('Eurostat EB products IEA'!$A$4:$BN$135,
           MATCH($B25:$K25, 'Eurostat EB products IEA'!$A$4:$A$135, 0),
           MATCH(BD$1, 'Eurostat EB products IEA'!$A$4:$BN$4, 0)
     )
     * $L25:$U25,
     0
  )
)</f>
        <v>0</v>
      </c>
      <c r="BE25" s="57" cm="1">
        <f t="array" ref="BE25">SUMPRODUCT(
  IF($B25:$K25&lt;&gt;"",
     INDEX('Eurostat EB products IEA'!$A$4:$BN$135,
           MATCH($B25:$K25, 'Eurostat EB products IEA'!$A$4:$A$135, 0),
           MATCH(BE$1, 'Eurostat EB products IEA'!$A$4:$BN$4, 0)
     )
     * $L25:$U25,
     0
  )
)</f>
        <v>0</v>
      </c>
      <c r="BF25" s="57" cm="1">
        <f t="array" ref="BF25">SUMPRODUCT(
  IF($B25:$K25&lt;&gt;"",
     INDEX('Eurostat EB products IEA'!$A$4:$BN$135,
           MATCH($B25:$K25, 'Eurostat EB products IEA'!$A$4:$A$135, 0),
           MATCH(BF$1, 'Eurostat EB products IEA'!$A$4:$BN$4, 0)
     )
     * $L25:$U25,
     0
  )
)</f>
        <v>0</v>
      </c>
      <c r="BG25" s="57" cm="1">
        <f t="array" ref="BG25">SUMPRODUCT(
  IF($B25:$K25&lt;&gt;"",
     INDEX('Eurostat EB products IEA'!$A$4:$BN$135,
           MATCH($B25:$K25, 'Eurostat EB products IEA'!$A$4:$A$135, 0),
           MATCH(BG$1, 'Eurostat EB products IEA'!$A$4:$BN$4, 0)
     )
     * $L25:$U25,
     0
  )
)</f>
        <v>0</v>
      </c>
      <c r="BH25" s="57" cm="1">
        <f t="array" ref="BH25">SUMPRODUCT(
  IF($B25:$K25&lt;&gt;"",
     INDEX('Eurostat EB products IEA'!$A$4:$BN$135,
           MATCH($B25:$K25, 'Eurostat EB products IEA'!$A$4:$A$135, 0),
           MATCH(BH$1, 'Eurostat EB products IEA'!$A$4:$BN$4, 0)
     )
     * $L25:$U25,
     0
  )
)</f>
        <v>0</v>
      </c>
      <c r="BI25" s="57" cm="1">
        <f t="array" ref="BI25">SUMPRODUCT(
  IF($B25:$K25&lt;&gt;"",
     INDEX('Eurostat EB products IEA'!$A$4:$BN$135,
           MATCH($B25:$K25, 'Eurostat EB products IEA'!$A$4:$A$135, 0),
           MATCH(BI$1, 'Eurostat EB products IEA'!$A$4:$BN$4, 0)
     )
     * $L25:$U25,
     0
  )
)</f>
        <v>0</v>
      </c>
      <c r="BJ25" s="57" cm="1">
        <f t="array" ref="BJ25">SUMPRODUCT(
  IF($B25:$K25&lt;&gt;"",
     INDEX('Eurostat EB products IEA'!$A$4:$BN$135,
           MATCH($B25:$K25, 'Eurostat EB products IEA'!$A$4:$A$135, 0),
           MATCH(BJ$1, 'Eurostat EB products IEA'!$A$4:$BN$4, 0)
     )
     * $L25:$U25,
     0
  )
)</f>
        <v>0</v>
      </c>
      <c r="BK25" s="57" cm="1">
        <f t="array" ref="BK25">SUMPRODUCT(
  IF($B25:$K25&lt;&gt;"",
     INDEX('Eurostat EB products IEA'!$A$4:$BN$135,
           MATCH($B25:$K25, 'Eurostat EB products IEA'!$A$4:$A$135, 0),
           MATCH(BK$1, 'Eurostat EB products IEA'!$A$4:$BN$4, 0)
     )
     * $L25:$U25,
     0
  )
)</f>
        <v>0</v>
      </c>
      <c r="BL25" s="57" cm="1">
        <f t="array" ref="BL25">SUMPRODUCT(
  IF($B25:$K25&lt;&gt;"",
     INDEX('Eurostat EB products IEA'!$A$4:$BN$135,
           MATCH($B25:$K25, 'Eurostat EB products IEA'!$A$4:$A$135, 0),
           MATCH(BL$1, 'Eurostat EB products IEA'!$A$4:$BN$4, 0)
     )
     * $L25:$U25,
     0
  )
)</f>
        <v>0</v>
      </c>
      <c r="BM25" s="57" cm="1">
        <f t="array" ref="BM25">SUMPRODUCT(
  IF($B25:$K25&lt;&gt;"",
     INDEX('Eurostat EB products IEA'!$A$4:$BN$135,
           MATCH($B25:$K25, 'Eurostat EB products IEA'!$A$4:$A$135, 0),
           MATCH(BM$1, 'Eurostat EB products IEA'!$A$4:$BN$4, 0)
     )
     * $L25:$U25,
     0
  )
)</f>
        <v>0</v>
      </c>
      <c r="BN25" s="57" cm="1">
        <f t="array" ref="BN25">SUMPRODUCT(
  IF($B25:$K25&lt;&gt;"",
     INDEX('Eurostat EB products IEA'!$A$4:$BN$135,
           MATCH($B25:$K25, 'Eurostat EB products IEA'!$A$4:$A$135, 0),
           MATCH(BN$1, 'Eurostat EB products IEA'!$A$4:$BN$4, 0)
     )
     * $L25:$U25,
     0
  )
)</f>
        <v>0</v>
      </c>
      <c r="BO25" s="57" cm="1">
        <f t="array" ref="BO25">SUMPRODUCT(
  IF($B25:$K25&lt;&gt;"",
     INDEX('Eurostat EB products IEA'!$A$4:$BN$135,
           MATCH($B25:$K25, 'Eurostat EB products IEA'!$A$4:$A$135, 0),
           MATCH(BO$1, 'Eurostat EB products IEA'!$A$4:$BN$4, 0)
     )
     * $L25:$U25,
     0
  )
)</f>
        <v>0</v>
      </c>
      <c r="BP25" s="57" cm="1">
        <f t="array" ref="BP25">SUMPRODUCT(
  IF($B25:$K25&lt;&gt;"",
     INDEX('Eurostat EB products IEA'!$A$4:$BN$135,
           MATCH($B25:$K25, 'Eurostat EB products IEA'!$A$4:$A$135, 0),
           MATCH(BP$1, 'Eurostat EB products IEA'!$A$4:$BN$4, 0)
     )
     * $L25:$U25,
     0
  )
)</f>
        <v>0</v>
      </c>
      <c r="BQ25" s="57" cm="1">
        <f t="array" ref="BQ25">SUMPRODUCT(
  IF($B25:$K25&lt;&gt;"",
     INDEX('Eurostat EB products IEA'!$A$4:$BN$135,
           MATCH($B25:$K25, 'Eurostat EB products IEA'!$A$4:$A$135, 0),
           MATCH(BQ$1, 'Eurostat EB products IEA'!$A$4:$BN$4, 0)
     )
     * $L25:$U25,
     0
  )
)</f>
        <v>0</v>
      </c>
      <c r="BR25" s="57" cm="1">
        <f t="array" ref="BR25">SUMPRODUCT(
  IF($B25:$K25&lt;&gt;"",
     INDEX('Eurostat EB products IEA'!$A$4:$BN$135,
           MATCH($B25:$K25, 'Eurostat EB products IEA'!$A$4:$A$135, 0),
           MATCH(BR$1, 'Eurostat EB products IEA'!$A$4:$BN$4, 0)
     )
     * $L25:$U25,
     0
  )
)</f>
        <v>0</v>
      </c>
      <c r="BS25" s="65">
        <v>0</v>
      </c>
      <c r="BT25" s="57" cm="1">
        <f t="array" ref="BT25">SUMPRODUCT(
  IF($B25:$K25&lt;&gt;"",
     INDEX('Eurostat EB products IEA'!$A$4:$BN$135,
           MATCH($B25:$K25, 'Eurostat EB products IEA'!$A$4:$A$135, 0),
           MATCH(BT$1, 'Eurostat EB products IEA'!$A$4:$BN$4, 0)
     )
     * $L25:$U25,
     0
  )
)</f>
        <v>0</v>
      </c>
      <c r="BU25" s="65">
        <v>0</v>
      </c>
      <c r="BV25" s="65">
        <v>0</v>
      </c>
      <c r="BW25" s="57" cm="1">
        <f t="array" ref="BW25">SUMPRODUCT(
  IF($B25:$K25&lt;&gt;"",
     INDEX('Eurostat EB products IEA'!$A$4:$BN$135,
           MATCH($B25:$K25, 'Eurostat EB products IEA'!$A$4:$A$135, 0),
           MATCH(BW$1, 'Eurostat EB products IEA'!$A$4:$BN$4, 0)
     )
     * $L25:$U25,
     0
  )
)</f>
        <v>0</v>
      </c>
      <c r="BX25" s="57" cm="1">
        <f t="array" ref="BX25">SUMPRODUCT(
  IF($B25:$K25&lt;&gt;"",
     INDEX('Eurostat EB products IEA'!$A$4:$BN$135,
           MATCH($B25:$K25, 'Eurostat EB products IEA'!$A$4:$A$135, 0),
           MATCH(BX$1, 'Eurostat EB products IEA'!$A$4:$BN$4, 0)
     )
     * $L25:$U25,
     0
  )
)</f>
        <v>0</v>
      </c>
      <c r="BY25" s="57" cm="1">
        <f t="array" ref="BY25">SUMPRODUCT(
  IF($B25:$K25&lt;&gt;"",
     INDEX('Eurostat EB products IEA'!$A$4:$BN$135,
           MATCH($B25:$K25, 'Eurostat EB products IEA'!$A$4:$A$135, 0),
           MATCH(BY$1, 'Eurostat EB products IEA'!$A$4:$BN$4, 0)
     )
     * $L25:$U25,
     0
  )
)</f>
        <v>0</v>
      </c>
      <c r="BZ25" s="57" cm="1">
        <f t="array" ref="BZ25">SUMPRODUCT(
  IF($B25:$K25&lt;&gt;"",
     INDEX('Eurostat EB products IEA'!$A$4:$BN$135,
           MATCH($B25:$K25, 'Eurostat EB products IEA'!$A$4:$A$135, 0),
           MATCH(BZ$1, 'Eurostat EB products IEA'!$A$4:$BN$4, 0)
     )
     * $L25:$U25,
     0
  )
)</f>
        <v>0</v>
      </c>
      <c r="CA25" s="57" cm="1">
        <f t="array" ref="CA25">SUMPRODUCT(
  IF($B25:$K25&lt;&gt;"",
     INDEX('Eurostat EB products IEA'!$A$4:$BN$135,
           MATCH($B25:$K25, 'Eurostat EB products IEA'!$A$4:$A$135, 0),
           MATCH(CA$1, 'Eurostat EB products IEA'!$A$4:$BN$4, 0)
     )
     * $L25:$U25,
     0
  )
)</f>
        <v>0</v>
      </c>
      <c r="CB25" s="57" cm="1">
        <f t="array" ref="CB25">SUMPRODUCT(
  IF($B25:$K25&lt;&gt;"",
     INDEX('Eurostat EB products IEA'!$A$4:$BN$135,
           MATCH($B25:$K25, 'Eurostat EB products IEA'!$A$4:$A$135, 0),
           MATCH(CB$1, 'Eurostat EB products IEA'!$A$4:$BN$4, 0)
     )
     * $L25:$U25,
     0
  )
)</f>
        <v>0</v>
      </c>
      <c r="CC25" s="57" cm="1">
        <f t="array" ref="CC25">SUMPRODUCT(
  IF($B25:$K25&lt;&gt;"",
     INDEX('Eurostat EB products IEA'!$A$4:$BN$135,
           MATCH($B25:$K25, 'Eurostat EB products IEA'!$A$4:$A$135, 0),
           MATCH(CC$1, 'Eurostat EB products IEA'!$A$4:$BN$4, 0)
     )
     * $L25:$U25,
     0
  )
)</f>
        <v>0</v>
      </c>
      <c r="CD25" s="65">
        <v>0</v>
      </c>
      <c r="CE25" s="57" cm="1">
        <f t="array" ref="CE25">SUMPRODUCT(
  IF($B25:$K25&lt;&gt;"",
     INDEX('Eurostat EB products IEA'!$A$4:$BN$135,
           MATCH($B25:$K25, 'Eurostat EB products IEA'!$A$4:$A$135, 0),
           MATCH(CE$1, 'Eurostat EB products IEA'!$A$4:$BN$4, 0)
     )
     * $L25:$U25,
     0
  )
)</f>
        <v>0</v>
      </c>
      <c r="CF25" s="57" cm="1">
        <f t="array" ref="CF25">SUMPRODUCT(
  IF($B25:$K25&lt;&gt;"",
     INDEX('Eurostat EB products IEA'!$A$4:$BN$135,
           MATCH($B25:$K25, 'Eurostat EB products IEA'!$A$4:$A$135, 0),
           MATCH(CF$1, 'Eurostat EB products IEA'!$A$4:$BN$4, 0)
     )
     * $L25:$U25,
     0
  )
)</f>
        <v>0</v>
      </c>
      <c r="CG25" s="57" cm="1">
        <f t="array" ref="CG25">SUMPRODUCT(
  IF($B25:$K25&lt;&gt;"",
     INDEX('Eurostat EB products IEA'!$A$4:$BN$135,
           MATCH($B25:$K25, 'Eurostat EB products IEA'!$A$4:$A$135, 0),
           MATCH(CG$1, 'Eurostat EB products IEA'!$A$4:$BN$4, 0)
     )
     * $L25:$U25,
     0
  )
)</f>
        <v>0</v>
      </c>
      <c r="CH25" s="57" cm="1">
        <f t="array" ref="CH25">SUMPRODUCT(
  IF($B25:$K25&lt;&gt;"",
     INDEX('Eurostat EB products IEA'!$A$4:$BN$135,
           MATCH($B25:$K25, 'Eurostat EB products IEA'!$A$4:$A$135, 0),
           MATCH(CH$1, 'Eurostat EB products IEA'!$A$4:$BN$4, 0)
     )
     * $L25:$U25,
     0
  )
)</f>
        <v>0</v>
      </c>
    </row>
    <row r="26" spans="1:86" x14ac:dyDescent="0.2">
      <c r="A26" t="s">
        <v>158</v>
      </c>
      <c r="B26" s="75"/>
      <c r="C26" s="77"/>
      <c r="D26" s="75"/>
      <c r="E26" s="77"/>
      <c r="F26" s="75"/>
      <c r="G26" s="77"/>
      <c r="H26" s="75"/>
      <c r="I26" s="77"/>
      <c r="J26" s="74" t="s">
        <v>227</v>
      </c>
      <c r="K26" s="78" t="s">
        <v>255</v>
      </c>
      <c r="L26" s="76"/>
      <c r="M26" s="79"/>
      <c r="N26" s="76"/>
      <c r="O26" s="79"/>
      <c r="P26" s="76"/>
      <c r="Q26" s="79"/>
      <c r="R26" s="76"/>
      <c r="S26" s="79"/>
      <c r="T26" s="76">
        <v>-1</v>
      </c>
      <c r="U26" s="79">
        <v>1</v>
      </c>
      <c r="V26" s="65" t="s">
        <v>323</v>
      </c>
      <c r="W26" s="65" t="s">
        <v>323</v>
      </c>
      <c r="X26" s="17" cm="1">
        <f t="array" ref="X26">SUMPRODUCT(
  IF($B26:$K26&lt;&gt;"",
     INDEX('Eurostat EB products IEA'!$A$4:$BN$135,
           MATCH($B26:$K26, 'Eurostat EB products IEA'!$A$4:$A$135, 0),
           MATCH(X$1, 'Eurostat EB products IEA'!$A$4:$BN$4, 0)
     )
     * $L26:$U26,
     0
  )
)</f>
        <v>0</v>
      </c>
      <c r="Y26" s="17" cm="1">
        <f t="array" ref="Y26">SUMPRODUCT(
  IF($B26:$K26&lt;&gt;"",
     INDEX('Eurostat EB products IEA'!$A$4:$BN$135,
           MATCH($B26:$K26, 'Eurostat EB products IEA'!$A$4:$A$135, 0),
           MATCH(Y$1, 'Eurostat EB products IEA'!$A$4:$BN$4, 0)
     )
     * $L26:$U26,
     0
  )
)</f>
        <v>0</v>
      </c>
      <c r="Z26" s="17" cm="1">
        <f t="array" ref="Z26">SUMPRODUCT(
  IF($B26:$K26&lt;&gt;"",
     INDEX('Eurostat EB products IEA'!$A$4:$BN$135,
           MATCH($B26:$K26, 'Eurostat EB products IEA'!$A$4:$A$135, 0),
           MATCH(Z$1, 'Eurostat EB products IEA'!$A$4:$BN$4, 0)
     )
     * $L26:$U26,
     0
  )
)</f>
        <v>0</v>
      </c>
      <c r="AA26" s="17" cm="1">
        <f t="array" ref="AA26">SUMPRODUCT(
  IF($B26:$K26&lt;&gt;"",
     INDEX('Eurostat EB products IEA'!$A$4:$BN$135,
           MATCH($B26:$K26, 'Eurostat EB products IEA'!$A$4:$A$135, 0),
           MATCH(AA$1, 'Eurostat EB products IEA'!$A$4:$BN$4, 0)
     )
     * $L26:$U26,
     0
  )
)</f>
        <v>0</v>
      </c>
      <c r="AB26" s="17" cm="1">
        <f t="array" ref="AB26">SUMPRODUCT(
  IF($B26:$K26&lt;&gt;"",
     INDEX('Eurostat EB products IEA'!$A$4:$BN$135,
           MATCH($B26:$K26, 'Eurostat EB products IEA'!$A$4:$A$135, 0),
           MATCH(AB$1, 'Eurostat EB products IEA'!$A$4:$BN$4, 0)
     )
     * $L26:$U26,
     0
  )
)</f>
        <v>0</v>
      </c>
      <c r="AC26" s="17" cm="1">
        <f t="array" ref="AC26">SUMPRODUCT(
  IF($B26:$K26&lt;&gt;"",
     INDEX('Eurostat EB products IEA'!$A$4:$BN$135,
           MATCH($B26:$K26, 'Eurostat EB products IEA'!$A$4:$A$135, 0),
           MATCH(AC$1, 'Eurostat EB products IEA'!$A$4:$BN$4, 0)
     )
     * $L26:$U26,
     0
  )
)</f>
        <v>0</v>
      </c>
      <c r="AD26" s="17" cm="1">
        <f t="array" ref="AD26">SUMPRODUCT(
  IF($B26:$K26&lt;&gt;"",
     INDEX('Eurostat EB products IEA'!$A$4:$BN$135,
           MATCH($B26:$K26, 'Eurostat EB products IEA'!$A$4:$A$135, 0),
           MATCH(AD$1, 'Eurostat EB products IEA'!$A$4:$BN$4, 0)
     )
     * $L26:$U26,
     0
  )
)</f>
        <v>0</v>
      </c>
      <c r="AE26" s="17" cm="1">
        <f t="array" ref="AE26">SUMPRODUCT(
  IF($B26:$K26&lt;&gt;"",
     INDEX('Eurostat EB products IEA'!$A$4:$BN$135,
           MATCH($B26:$K26, 'Eurostat EB products IEA'!$A$4:$A$135, 0),
           MATCH(AE$1, 'Eurostat EB products IEA'!$A$4:$BN$4, 0)
     )
     * $L26:$U26,
     0
  )
)</f>
        <v>0</v>
      </c>
      <c r="AF26" s="17" cm="1">
        <f t="array" ref="AF26">SUMPRODUCT(
  IF($B26:$K26&lt;&gt;"",
     INDEX('Eurostat EB products IEA'!$A$4:$BN$135,
           MATCH($B26:$K26, 'Eurostat EB products IEA'!$A$4:$A$135, 0),
           MATCH(AF$1, 'Eurostat EB products IEA'!$A$4:$BN$4, 0)
     )
     * $L26:$U26,
     0
  )
)</f>
        <v>0</v>
      </c>
      <c r="AG26" s="17" cm="1">
        <f t="array" ref="AG26">SUMPRODUCT(
  IF($B26:$K26&lt;&gt;"",
     INDEX('Eurostat EB products IEA'!$A$4:$BN$135,
           MATCH($B26:$K26, 'Eurostat EB products IEA'!$A$4:$A$135, 0),
           MATCH(AG$1, 'Eurostat EB products IEA'!$A$4:$BN$4, 0)
     )
     * $L26:$U26,
     0
  )
)</f>
        <v>0</v>
      </c>
      <c r="AH26" s="17" cm="1">
        <f t="array" ref="AH26">SUMPRODUCT(
  IF($B26:$K26&lt;&gt;"",
     INDEX('Eurostat EB products IEA'!$A$4:$BN$135,
           MATCH($B26:$K26, 'Eurostat EB products IEA'!$A$4:$A$135, 0),
           MATCH(AH$1, 'Eurostat EB products IEA'!$A$4:$BN$4, 0)
     )
     * $L26:$U26,
     0
  )
)</f>
        <v>0</v>
      </c>
      <c r="AI26" s="17" cm="1">
        <f t="array" ref="AI26">SUMPRODUCT(
  IF($B26:$K26&lt;&gt;"",
     INDEX('Eurostat EB products IEA'!$A$4:$BN$135,
           MATCH($B26:$K26, 'Eurostat EB products IEA'!$A$4:$A$135, 0),
           MATCH(AI$1, 'Eurostat EB products IEA'!$A$4:$BN$4, 0)
     )
     * $L26:$U26,
     0
  )
)</f>
        <v>0</v>
      </c>
      <c r="AJ26" s="17" cm="1">
        <f t="array" ref="AJ26">SUMPRODUCT(
  IF($B26:$K26&lt;&gt;"",
     INDEX('Eurostat EB products IEA'!$A$4:$BN$135,
           MATCH($B26:$K26, 'Eurostat EB products IEA'!$A$4:$A$135, 0),
           MATCH(AJ$1, 'Eurostat EB products IEA'!$A$4:$BN$4, 0)
     )
     * $L26:$U26,
     0
  )
)</f>
        <v>0</v>
      </c>
      <c r="AK26" s="17" cm="1">
        <f t="array" ref="AK26">SUMPRODUCT(
  IF($B26:$K26&lt;&gt;"",
     INDEX('Eurostat EB products IEA'!$A$4:$BN$135,
           MATCH($B26:$K26, 'Eurostat EB products IEA'!$A$4:$A$135, 0),
           MATCH(AK$1, 'Eurostat EB products IEA'!$A$4:$BN$4, 0)
     )
     * $L26:$U26,
     0
  )
)</f>
        <v>0</v>
      </c>
      <c r="AL26" s="17" cm="1">
        <f t="array" ref="AL26">SUMPRODUCT(
  IF($B26:$K26&lt;&gt;"",
     INDEX('Eurostat EB products IEA'!$A$4:$BN$135,
           MATCH($B26:$K26, 'Eurostat EB products IEA'!$A$4:$A$135, 0),
           MATCH(AL$1, 'Eurostat EB products IEA'!$A$4:$BN$4, 0)
     )
     * $L26:$U26,
     0
  )
)</f>
        <v>0</v>
      </c>
      <c r="AM26" s="17" cm="1">
        <f t="array" ref="AM26">SUMPRODUCT(
  IF($B26:$K26&lt;&gt;"",
     INDEX('Eurostat EB products IEA'!$A$4:$BN$135,
           MATCH($B26:$K26, 'Eurostat EB products IEA'!$A$4:$A$135, 0),
           MATCH(AM$1, 'Eurostat EB products IEA'!$A$4:$BN$4, 0)
     )
     * $L26:$U26,
     0
  )
)</f>
        <v>0</v>
      </c>
      <c r="AN26" s="65" t="s">
        <v>323</v>
      </c>
      <c r="AO26" s="17" cm="1">
        <f t="array" ref="AO26">SUMPRODUCT(
  IF($B26:$K26&lt;&gt;"",
     INDEX('Eurostat EB products IEA'!$A$4:$BN$135,
           MATCH($B26:$K26, 'Eurostat EB products IEA'!$A$4:$A$135, 0),
           MATCH(AO$1, 'Eurostat EB products IEA'!$A$4:$BN$4, 0)
     )
     * $L26:$U26,
     0
  )
)</f>
        <v>0</v>
      </c>
      <c r="AP26" s="17" cm="1">
        <f t="array" ref="AP26">SUMPRODUCT(
  IF($B26:$K26&lt;&gt;"",
     INDEX('Eurostat EB products IEA'!$A$4:$BN$135,
           MATCH($B26:$K26, 'Eurostat EB products IEA'!$A$4:$A$135, 0),
           MATCH(AP$1, 'Eurostat EB products IEA'!$A$4:$BN$4, 0)
     )
     * $L26:$U26,
     0
  )
)</f>
        <v>0</v>
      </c>
      <c r="AQ26" s="17" cm="1">
        <f t="array" ref="AQ26">SUMPRODUCT(
  IF($B26:$K26&lt;&gt;"",
     INDEX('Eurostat EB products IEA'!$A$4:$BN$135,
           MATCH($B26:$K26, 'Eurostat EB products IEA'!$A$4:$A$135, 0),
           MATCH(AQ$1, 'Eurostat EB products IEA'!$A$4:$BN$4, 0)
     )
     * $L26:$U26,
     0
  )
)</f>
        <v>0</v>
      </c>
      <c r="AR26" s="17" cm="1">
        <f t="array" ref="AR26">SUMPRODUCT(
  IF($B26:$K26&lt;&gt;"",
     INDEX('Eurostat EB products IEA'!$A$4:$BN$135,
           MATCH($B26:$K26, 'Eurostat EB products IEA'!$A$4:$A$135, 0),
           MATCH(AR$1, 'Eurostat EB products IEA'!$A$4:$BN$4, 0)
     )
     * $L26:$U26,
     0
  )
)</f>
        <v>0</v>
      </c>
      <c r="AS26" s="17" cm="1">
        <f t="array" ref="AS26">SUMPRODUCT(
  IF($B26:$K26&lt;&gt;"",
     INDEX('Eurostat EB products IEA'!$A$4:$BN$135,
           MATCH($B26:$K26, 'Eurostat EB products IEA'!$A$4:$A$135, 0),
           MATCH(AS$1, 'Eurostat EB products IEA'!$A$4:$BN$4, 0)
     )
     * $L26:$U26,
     0
  )
)</f>
        <v>0</v>
      </c>
      <c r="AT26" s="17" cm="1">
        <f t="array" ref="AT26">SUMPRODUCT(
  IF($B26:$K26&lt;&gt;"",
     INDEX('Eurostat EB products IEA'!$A$4:$BN$135,
           MATCH($B26:$K26, 'Eurostat EB products IEA'!$A$4:$A$135, 0),
           MATCH(AT$1, 'Eurostat EB products IEA'!$A$4:$BN$4, 0)
     )
     * $L26:$U26,
     0
  )
)</f>
        <v>0</v>
      </c>
      <c r="AU26" s="17" cm="1">
        <f t="array" ref="AU26">SUMPRODUCT(
  IF($B26:$K26&lt;&gt;"",
     INDEX('Eurostat EB products IEA'!$A$4:$BN$135,
           MATCH($B26:$K26, 'Eurostat EB products IEA'!$A$4:$A$135, 0),
           MATCH(AU$1, 'Eurostat EB products IEA'!$A$4:$BN$4, 0)
     )
     * $L26:$U26,
     0
  )
)</f>
        <v>0</v>
      </c>
      <c r="AV26" s="17" cm="1">
        <f t="array" ref="AV26">SUMPRODUCT(
  IF($B26:$K26&lt;&gt;"",
     INDEX('Eurostat EB products IEA'!$A$4:$BN$135,
           MATCH($B26:$K26, 'Eurostat EB products IEA'!$A$4:$A$135, 0),
           MATCH(AV$1, 'Eurostat EB products IEA'!$A$4:$BN$4, 0)
     )
     * $L26:$U26,
     0
  )
)</f>
        <v>0</v>
      </c>
      <c r="AW26" s="17" cm="1">
        <f t="array" ref="AW26">SUMPRODUCT(
  IF($B26:$K26&lt;&gt;"",
     INDEX('Eurostat EB products IEA'!$A$4:$BN$135,
           MATCH($B26:$K26, 'Eurostat EB products IEA'!$A$4:$A$135, 0),
           MATCH(AW$1, 'Eurostat EB products IEA'!$A$4:$BN$4, 0)
     )
     * $L26:$U26,
     0
  )
)</f>
        <v>0</v>
      </c>
      <c r="AX26" s="17" cm="1">
        <f t="array" ref="AX26">SUMPRODUCT(
  IF($B26:$K26&lt;&gt;"",
     INDEX('Eurostat EB products IEA'!$A$4:$BN$135,
           MATCH($B26:$K26, 'Eurostat EB products IEA'!$A$4:$A$135, 0),
           MATCH(AX$1, 'Eurostat EB products IEA'!$A$4:$BN$4, 0)
     )
     * $L26:$U26,
     0
  )
)</f>
        <v>0</v>
      </c>
      <c r="AY26" s="17" cm="1">
        <f t="array" ref="AY26">SUMPRODUCT(
  IF($B26:$K26&lt;&gt;"",
     INDEX('Eurostat EB products IEA'!$A$4:$BN$135,
           MATCH($B26:$K26, 'Eurostat EB products IEA'!$A$4:$A$135, 0),
           MATCH(AY$1, 'Eurostat EB products IEA'!$A$4:$BN$4, 0)
     )
     * $L26:$U26,
     0
  )
)</f>
        <v>0</v>
      </c>
      <c r="AZ26" s="17" cm="1">
        <f t="array" ref="AZ26">SUMPRODUCT(
  IF($B26:$K26&lt;&gt;"",
     INDEX('Eurostat EB products IEA'!$A$4:$BN$135,
           MATCH($B26:$K26, 'Eurostat EB products IEA'!$A$4:$A$135, 0),
           MATCH(AZ$1, 'Eurostat EB products IEA'!$A$4:$BN$4, 0)
     )
     * $L26:$U26,
     0
  )
)</f>
        <v>0</v>
      </c>
      <c r="BA26" s="17" cm="1">
        <f t="array" ref="BA26">SUMPRODUCT(
  IF($B26:$K26&lt;&gt;"",
     INDEX('Eurostat EB products IEA'!$A$4:$BN$135,
           MATCH($B26:$K26, 'Eurostat EB products IEA'!$A$4:$A$135, 0),
           MATCH(BA$1, 'Eurostat EB products IEA'!$A$4:$BN$4, 0)
     )
     * $L26:$U26,
     0
  )
)</f>
        <v>0</v>
      </c>
      <c r="BB26" s="17" cm="1">
        <f t="array" ref="BB26">SUMPRODUCT(
  IF($B26:$K26&lt;&gt;"",
     INDEX('Eurostat EB products IEA'!$A$4:$BN$135,
           MATCH($B26:$K26, 'Eurostat EB products IEA'!$A$4:$A$135, 0),
           MATCH(BB$1, 'Eurostat EB products IEA'!$A$4:$BN$4, 0)
     )
     * $L26:$U26,
     0
  )
)</f>
        <v>0</v>
      </c>
      <c r="BC26" s="17" cm="1">
        <f t="array" ref="BC26">SUMPRODUCT(
  IF($B26:$K26&lt;&gt;"",
     INDEX('Eurostat EB products IEA'!$A$4:$BN$135,
           MATCH($B26:$K26, 'Eurostat EB products IEA'!$A$4:$A$135, 0),
           MATCH(BC$1, 'Eurostat EB products IEA'!$A$4:$BN$4, 0)
     )
     * $L26:$U26,
     0
  )
)</f>
        <v>0</v>
      </c>
      <c r="BD26" s="17" cm="1">
        <f t="array" ref="BD26">SUMPRODUCT(
  IF($B26:$K26&lt;&gt;"",
     INDEX('Eurostat EB products IEA'!$A$4:$BN$135,
           MATCH($B26:$K26, 'Eurostat EB products IEA'!$A$4:$A$135, 0),
           MATCH(BD$1, 'Eurostat EB products IEA'!$A$4:$BN$4, 0)
     )
     * $L26:$U26,
     0
  )
)</f>
        <v>0</v>
      </c>
      <c r="BE26" s="17" cm="1">
        <f t="array" ref="BE26">SUMPRODUCT(
  IF($B26:$K26&lt;&gt;"",
     INDEX('Eurostat EB products IEA'!$A$4:$BN$135,
           MATCH($B26:$K26, 'Eurostat EB products IEA'!$A$4:$A$135, 0),
           MATCH(BE$1, 'Eurostat EB products IEA'!$A$4:$BN$4, 0)
     )
     * $L26:$U26,
     0
  )
)</f>
        <v>0</v>
      </c>
      <c r="BF26" s="17" cm="1">
        <f t="array" ref="BF26">SUMPRODUCT(
  IF($B26:$K26&lt;&gt;"",
     INDEX('Eurostat EB products IEA'!$A$4:$BN$135,
           MATCH($B26:$K26, 'Eurostat EB products IEA'!$A$4:$A$135, 0),
           MATCH(BF$1, 'Eurostat EB products IEA'!$A$4:$BN$4, 0)
     )
     * $L26:$U26,
     0
  )
)</f>
        <v>0</v>
      </c>
      <c r="BG26" s="17" cm="1">
        <f t="array" ref="BG26">SUMPRODUCT(
  IF($B26:$K26&lt;&gt;"",
     INDEX('Eurostat EB products IEA'!$A$4:$BN$135,
           MATCH($B26:$K26, 'Eurostat EB products IEA'!$A$4:$A$135, 0),
           MATCH(BG$1, 'Eurostat EB products IEA'!$A$4:$BN$4, 0)
     )
     * $L26:$U26,
     0
  )
)</f>
        <v>0</v>
      </c>
      <c r="BH26" s="17" cm="1">
        <f t="array" ref="BH26">SUMPRODUCT(
  IF($B26:$K26&lt;&gt;"",
     INDEX('Eurostat EB products IEA'!$A$4:$BN$135,
           MATCH($B26:$K26, 'Eurostat EB products IEA'!$A$4:$A$135, 0),
           MATCH(BH$1, 'Eurostat EB products IEA'!$A$4:$BN$4, 0)
     )
     * $L26:$U26,
     0
  )
)</f>
        <v>0</v>
      </c>
      <c r="BI26" s="17" cm="1">
        <f t="array" ref="BI26">SUMPRODUCT(
  IF($B26:$K26&lt;&gt;"",
     INDEX('Eurostat EB products IEA'!$A$4:$BN$135,
           MATCH($B26:$K26, 'Eurostat EB products IEA'!$A$4:$A$135, 0),
           MATCH(BI$1, 'Eurostat EB products IEA'!$A$4:$BN$4, 0)
     )
     * $L26:$U26,
     0
  )
)</f>
        <v>0</v>
      </c>
      <c r="BJ26" s="17" cm="1">
        <f t="array" ref="BJ26">SUMPRODUCT(
  IF($B26:$K26&lt;&gt;"",
     INDEX('Eurostat EB products IEA'!$A$4:$BN$135,
           MATCH($B26:$K26, 'Eurostat EB products IEA'!$A$4:$A$135, 0),
           MATCH(BJ$1, 'Eurostat EB products IEA'!$A$4:$BN$4, 0)
     )
     * $L26:$U26,
     0
  )
)</f>
        <v>0</v>
      </c>
      <c r="BK26" s="17" cm="1">
        <f t="array" ref="BK26">SUMPRODUCT(
  IF($B26:$K26&lt;&gt;"",
     INDEX('Eurostat EB products IEA'!$A$4:$BN$135,
           MATCH($B26:$K26, 'Eurostat EB products IEA'!$A$4:$A$135, 0),
           MATCH(BK$1, 'Eurostat EB products IEA'!$A$4:$BN$4, 0)
     )
     * $L26:$U26,
     0
  )
)</f>
        <v>0</v>
      </c>
      <c r="BL26" s="17" cm="1">
        <f t="array" ref="BL26">SUMPRODUCT(
  IF($B26:$K26&lt;&gt;"",
     INDEX('Eurostat EB products IEA'!$A$4:$BN$135,
           MATCH($B26:$K26, 'Eurostat EB products IEA'!$A$4:$A$135, 0),
           MATCH(BL$1, 'Eurostat EB products IEA'!$A$4:$BN$4, 0)
     )
     * $L26:$U26,
     0
  )
)</f>
        <v>0</v>
      </c>
      <c r="BM26" s="17" cm="1">
        <f t="array" ref="BM26">SUMPRODUCT(
  IF($B26:$K26&lt;&gt;"",
     INDEX('Eurostat EB products IEA'!$A$4:$BN$135,
           MATCH($B26:$K26, 'Eurostat EB products IEA'!$A$4:$A$135, 0),
           MATCH(BM$1, 'Eurostat EB products IEA'!$A$4:$BN$4, 0)
     )
     * $L26:$U26,
     0
  )
)</f>
        <v>0</v>
      </c>
      <c r="BN26" s="17" cm="1">
        <f t="array" ref="BN26">SUMPRODUCT(
  IF($B26:$K26&lt;&gt;"",
     INDEX('Eurostat EB products IEA'!$A$4:$BN$135,
           MATCH($B26:$K26, 'Eurostat EB products IEA'!$A$4:$A$135, 0),
           MATCH(BN$1, 'Eurostat EB products IEA'!$A$4:$BN$4, 0)
     )
     * $L26:$U26,
     0
  )
)</f>
        <v>0</v>
      </c>
      <c r="BO26" s="17" cm="1">
        <f t="array" ref="BO26">SUMPRODUCT(
  IF($B26:$K26&lt;&gt;"",
     INDEX('Eurostat EB products IEA'!$A$4:$BN$135,
           MATCH($B26:$K26, 'Eurostat EB products IEA'!$A$4:$A$135, 0),
           MATCH(BO$1, 'Eurostat EB products IEA'!$A$4:$BN$4, 0)
     )
     * $L26:$U26,
     0
  )
)</f>
        <v>0</v>
      </c>
      <c r="BP26" s="17" cm="1">
        <f t="array" ref="BP26">SUMPRODUCT(
  IF($B26:$K26&lt;&gt;"",
     INDEX('Eurostat EB products IEA'!$A$4:$BN$135,
           MATCH($B26:$K26, 'Eurostat EB products IEA'!$A$4:$A$135, 0),
           MATCH(BP$1, 'Eurostat EB products IEA'!$A$4:$BN$4, 0)
     )
     * $L26:$U26,
     0
  )
)</f>
        <v>0</v>
      </c>
      <c r="BQ26" s="17" cm="1">
        <f t="array" ref="BQ26">SUMPRODUCT(
  IF($B26:$K26&lt;&gt;"",
     INDEX('Eurostat EB products IEA'!$A$4:$BN$135,
           MATCH($B26:$K26, 'Eurostat EB products IEA'!$A$4:$A$135, 0),
           MATCH(BQ$1, 'Eurostat EB products IEA'!$A$4:$BN$4, 0)
     )
     * $L26:$U26,
     0
  )
)</f>
        <v>0</v>
      </c>
      <c r="BR26" s="17" cm="1">
        <f t="array" ref="BR26">SUMPRODUCT(
  IF($B26:$K26&lt;&gt;"",
     INDEX('Eurostat EB products IEA'!$A$4:$BN$135,
           MATCH($B26:$K26, 'Eurostat EB products IEA'!$A$4:$A$135, 0),
           MATCH(BR$1, 'Eurostat EB products IEA'!$A$4:$BN$4, 0)
     )
     * $L26:$U26,
     0
  )
)</f>
        <v>0</v>
      </c>
      <c r="BS26" s="65">
        <v>0</v>
      </c>
      <c r="BT26" s="17" cm="1">
        <f t="array" ref="BT26">SUMPRODUCT(
  IF($B26:$K26&lt;&gt;"",
     INDEX('Eurostat EB products IEA'!$A$4:$BN$135,
           MATCH($B26:$K26, 'Eurostat EB products IEA'!$A$4:$A$135, 0),
           MATCH(BT$1, 'Eurostat EB products IEA'!$A$4:$BN$4, 0)
     )
     * $L26:$U26,
     0
  )
)</f>
        <v>0</v>
      </c>
      <c r="BU26" s="65">
        <v>0</v>
      </c>
      <c r="BV26" s="65">
        <v>0</v>
      </c>
      <c r="BW26" s="17" cm="1">
        <f t="array" ref="BW26">SUMPRODUCT(
  IF($B26:$K26&lt;&gt;"",
     INDEX('Eurostat EB products IEA'!$A$4:$BN$135,
           MATCH($B26:$K26, 'Eurostat EB products IEA'!$A$4:$A$135, 0),
           MATCH(BW$1, 'Eurostat EB products IEA'!$A$4:$BN$4, 0)
     )
     * $L26:$U26,
     0
  )
)</f>
        <v>0</v>
      </c>
      <c r="BX26" s="17" cm="1">
        <f t="array" ref="BX26">SUMPRODUCT(
  IF($B26:$K26&lt;&gt;"",
     INDEX('Eurostat EB products IEA'!$A$4:$BN$135,
           MATCH($B26:$K26, 'Eurostat EB products IEA'!$A$4:$A$135, 0),
           MATCH(BX$1, 'Eurostat EB products IEA'!$A$4:$BN$4, 0)
     )
     * $L26:$U26,
     0
  )
)</f>
        <v>0</v>
      </c>
      <c r="BY26" s="17" cm="1">
        <f t="array" ref="BY26">SUMPRODUCT(
  IF($B26:$K26&lt;&gt;"",
     INDEX('Eurostat EB products IEA'!$A$4:$BN$135,
           MATCH($B26:$K26, 'Eurostat EB products IEA'!$A$4:$A$135, 0),
           MATCH(BY$1, 'Eurostat EB products IEA'!$A$4:$BN$4, 0)
     )
     * $L26:$U26,
     0
  )
)</f>
        <v>0</v>
      </c>
      <c r="BZ26" s="17" cm="1">
        <f t="array" ref="BZ26">SUMPRODUCT(
  IF($B26:$K26&lt;&gt;"",
     INDEX('Eurostat EB products IEA'!$A$4:$BN$135,
           MATCH($B26:$K26, 'Eurostat EB products IEA'!$A$4:$A$135, 0),
           MATCH(BZ$1, 'Eurostat EB products IEA'!$A$4:$BN$4, 0)
     )
     * $L26:$U26,
     0
  )
)</f>
        <v>0</v>
      </c>
      <c r="CA26" s="17" cm="1">
        <f t="array" ref="CA26">SUMPRODUCT(
  IF($B26:$K26&lt;&gt;"",
     INDEX('Eurostat EB products IEA'!$A$4:$BN$135,
           MATCH($B26:$K26, 'Eurostat EB products IEA'!$A$4:$A$135, 0),
           MATCH(CA$1, 'Eurostat EB products IEA'!$A$4:$BN$4, 0)
     )
     * $L26:$U26,
     0
  )
)</f>
        <v>0</v>
      </c>
      <c r="CB26" s="17" cm="1">
        <f t="array" ref="CB26">SUMPRODUCT(
  IF($B26:$K26&lt;&gt;"",
     INDEX('Eurostat EB products IEA'!$A$4:$BN$135,
           MATCH($B26:$K26, 'Eurostat EB products IEA'!$A$4:$A$135, 0),
           MATCH(CB$1, 'Eurostat EB products IEA'!$A$4:$BN$4, 0)
     )
     * $L26:$U26,
     0
  )
)</f>
        <v>0</v>
      </c>
      <c r="CC26" s="17" cm="1">
        <f t="array" ref="CC26">SUMPRODUCT(
  IF($B26:$K26&lt;&gt;"",
     INDEX('Eurostat EB products IEA'!$A$4:$BN$135,
           MATCH($B26:$K26, 'Eurostat EB products IEA'!$A$4:$A$135, 0),
           MATCH(CC$1, 'Eurostat EB products IEA'!$A$4:$BN$4, 0)
     )
     * $L26:$U26,
     0
  )
)</f>
        <v>0</v>
      </c>
      <c r="CD26" s="65">
        <v>0</v>
      </c>
      <c r="CE26" s="17" cm="1">
        <f t="array" ref="CE26">SUMPRODUCT(
  IF($B26:$K26&lt;&gt;"",
     INDEX('Eurostat EB products IEA'!$A$4:$BN$135,
           MATCH($B26:$K26, 'Eurostat EB products IEA'!$A$4:$A$135, 0),
           MATCH(CE$1, 'Eurostat EB products IEA'!$A$4:$BN$4, 0)
     )
     * $L26:$U26,
     0
  )
)</f>
        <v>0</v>
      </c>
      <c r="CF26" s="17" cm="1">
        <f t="array" ref="CF26">SUMPRODUCT(
  IF($B26:$K26&lt;&gt;"",
     INDEX('Eurostat EB products IEA'!$A$4:$BN$135,
           MATCH($B26:$K26, 'Eurostat EB products IEA'!$A$4:$A$135, 0),
           MATCH(CF$1, 'Eurostat EB products IEA'!$A$4:$BN$4, 0)
     )
     * $L26:$U26,
     0
  )
)</f>
        <v>0</v>
      </c>
      <c r="CG26" s="17" cm="1">
        <f t="array" ref="CG26">SUMPRODUCT(
  IF($B26:$K26&lt;&gt;"",
     INDEX('Eurostat EB products IEA'!$A$4:$BN$135,
           MATCH($B26:$K26, 'Eurostat EB products IEA'!$A$4:$A$135, 0),
           MATCH(CG$1, 'Eurostat EB products IEA'!$A$4:$BN$4, 0)
     )
     * $L26:$U26,
     0
  )
)</f>
        <v>0</v>
      </c>
      <c r="CH26" s="17" cm="1">
        <f t="array" ref="CH26">SUMPRODUCT(
  IF($B26:$K26&lt;&gt;"",
     INDEX('Eurostat EB products IEA'!$A$4:$BN$135,
           MATCH($B26:$K26, 'Eurostat EB products IEA'!$A$4:$A$135, 0),
           MATCH(CH$1, 'Eurostat EB products IEA'!$A$4:$BN$4, 0)
     )
     * $L26:$U26,
     0
  )
)</f>
        <v>0</v>
      </c>
    </row>
    <row r="27" spans="1:86" x14ac:dyDescent="0.2">
      <c r="A27" t="s">
        <v>159</v>
      </c>
      <c r="B27" s="75"/>
      <c r="C27" s="77"/>
      <c r="D27" s="75"/>
      <c r="E27" s="77"/>
      <c r="F27" s="75"/>
      <c r="G27" s="77"/>
      <c r="H27" s="75"/>
      <c r="I27" s="77"/>
      <c r="J27" s="74" t="s">
        <v>220</v>
      </c>
      <c r="K27" s="78" t="s">
        <v>248</v>
      </c>
      <c r="L27" s="76"/>
      <c r="M27" s="79"/>
      <c r="N27" s="76"/>
      <c r="O27" s="79"/>
      <c r="P27" s="76"/>
      <c r="Q27" s="79"/>
      <c r="R27" s="76"/>
      <c r="S27" s="79"/>
      <c r="T27" s="76">
        <v>-1</v>
      </c>
      <c r="U27" s="79">
        <v>1</v>
      </c>
      <c r="V27" s="65" t="s">
        <v>323</v>
      </c>
      <c r="W27" s="65" t="s">
        <v>323</v>
      </c>
      <c r="X27" s="57" cm="1">
        <f t="array" ref="X27">SUMPRODUCT(
  IF($B27:$K27&lt;&gt;"",
     INDEX('Eurostat EB products IEA'!$A$4:$BN$135,
           MATCH($B27:$K27, 'Eurostat EB products IEA'!$A$4:$A$135, 0),
           MATCH(X$1, 'Eurostat EB products IEA'!$A$4:$BN$4, 0)
     )
     * $L27:$U27,
     0
  )
)</f>
        <v>0</v>
      </c>
      <c r="Y27" s="57" cm="1">
        <f t="array" ref="Y27">SUMPRODUCT(
  IF($B27:$K27&lt;&gt;"",
     INDEX('Eurostat EB products IEA'!$A$4:$BN$135,
           MATCH($B27:$K27, 'Eurostat EB products IEA'!$A$4:$A$135, 0),
           MATCH(Y$1, 'Eurostat EB products IEA'!$A$4:$BN$4, 0)
     )
     * $L27:$U27,
     0
  )
)</f>
        <v>0</v>
      </c>
      <c r="Z27" s="57" cm="1">
        <f t="array" ref="Z27">SUMPRODUCT(
  IF($B27:$K27&lt;&gt;"",
     INDEX('Eurostat EB products IEA'!$A$4:$BN$135,
           MATCH($B27:$K27, 'Eurostat EB products IEA'!$A$4:$A$135, 0),
           MATCH(Z$1, 'Eurostat EB products IEA'!$A$4:$BN$4, 0)
     )
     * $L27:$U27,
     0
  )
)</f>
        <v>0</v>
      </c>
      <c r="AA27" s="57" cm="1">
        <f t="array" ref="AA27">SUMPRODUCT(
  IF($B27:$K27&lt;&gt;"",
     INDEX('Eurostat EB products IEA'!$A$4:$BN$135,
           MATCH($B27:$K27, 'Eurostat EB products IEA'!$A$4:$A$135, 0),
           MATCH(AA$1, 'Eurostat EB products IEA'!$A$4:$BN$4, 0)
     )
     * $L27:$U27,
     0
  )
)</f>
        <v>0</v>
      </c>
      <c r="AB27" s="57" cm="1">
        <f t="array" ref="AB27">SUMPRODUCT(
  IF($B27:$K27&lt;&gt;"",
     INDEX('Eurostat EB products IEA'!$A$4:$BN$135,
           MATCH($B27:$K27, 'Eurostat EB products IEA'!$A$4:$A$135, 0),
           MATCH(AB$1, 'Eurostat EB products IEA'!$A$4:$BN$4, 0)
     )
     * $L27:$U27,
     0
  )
)</f>
        <v>0</v>
      </c>
      <c r="AC27" s="57" cm="1">
        <f t="array" ref="AC27">SUMPRODUCT(
  IF($B27:$K27&lt;&gt;"",
     INDEX('Eurostat EB products IEA'!$A$4:$BN$135,
           MATCH($B27:$K27, 'Eurostat EB products IEA'!$A$4:$A$135, 0),
           MATCH(AC$1, 'Eurostat EB products IEA'!$A$4:$BN$4, 0)
     )
     * $L27:$U27,
     0
  )
)</f>
        <v>0</v>
      </c>
      <c r="AD27" s="57" cm="1">
        <f t="array" ref="AD27">SUMPRODUCT(
  IF($B27:$K27&lt;&gt;"",
     INDEX('Eurostat EB products IEA'!$A$4:$BN$135,
           MATCH($B27:$K27, 'Eurostat EB products IEA'!$A$4:$A$135, 0),
           MATCH(AD$1, 'Eurostat EB products IEA'!$A$4:$BN$4, 0)
     )
     * $L27:$U27,
     0
  )
)</f>
        <v>0</v>
      </c>
      <c r="AE27" s="57" cm="1">
        <f t="array" ref="AE27">SUMPRODUCT(
  IF($B27:$K27&lt;&gt;"",
     INDEX('Eurostat EB products IEA'!$A$4:$BN$135,
           MATCH($B27:$K27, 'Eurostat EB products IEA'!$A$4:$A$135, 0),
           MATCH(AE$1, 'Eurostat EB products IEA'!$A$4:$BN$4, 0)
     )
     * $L27:$U27,
     0
  )
)</f>
        <v>0</v>
      </c>
      <c r="AF27" s="57" cm="1">
        <f t="array" ref="AF27">SUMPRODUCT(
  IF($B27:$K27&lt;&gt;"",
     INDEX('Eurostat EB products IEA'!$A$4:$BN$135,
           MATCH($B27:$K27, 'Eurostat EB products IEA'!$A$4:$A$135, 0),
           MATCH(AF$1, 'Eurostat EB products IEA'!$A$4:$BN$4, 0)
     )
     * $L27:$U27,
     0
  )
)</f>
        <v>0</v>
      </c>
      <c r="AG27" s="57" cm="1">
        <f t="array" ref="AG27">SUMPRODUCT(
  IF($B27:$K27&lt;&gt;"",
     INDEX('Eurostat EB products IEA'!$A$4:$BN$135,
           MATCH($B27:$K27, 'Eurostat EB products IEA'!$A$4:$A$135, 0),
           MATCH(AG$1, 'Eurostat EB products IEA'!$A$4:$BN$4, 0)
     )
     * $L27:$U27,
     0
  )
)</f>
        <v>0</v>
      </c>
      <c r="AH27" s="57" cm="1">
        <f t="array" ref="AH27">SUMPRODUCT(
  IF($B27:$K27&lt;&gt;"",
     INDEX('Eurostat EB products IEA'!$A$4:$BN$135,
           MATCH($B27:$K27, 'Eurostat EB products IEA'!$A$4:$A$135, 0),
           MATCH(AH$1, 'Eurostat EB products IEA'!$A$4:$BN$4, 0)
     )
     * $L27:$U27,
     0
  )
)</f>
        <v>0</v>
      </c>
      <c r="AI27" s="57" cm="1">
        <f t="array" ref="AI27">SUMPRODUCT(
  IF($B27:$K27&lt;&gt;"",
     INDEX('Eurostat EB products IEA'!$A$4:$BN$135,
           MATCH($B27:$K27, 'Eurostat EB products IEA'!$A$4:$A$135, 0),
           MATCH(AI$1, 'Eurostat EB products IEA'!$A$4:$BN$4, 0)
     )
     * $L27:$U27,
     0
  )
)</f>
        <v>0</v>
      </c>
      <c r="AJ27" s="57" cm="1">
        <f t="array" ref="AJ27">SUMPRODUCT(
  IF($B27:$K27&lt;&gt;"",
     INDEX('Eurostat EB products IEA'!$A$4:$BN$135,
           MATCH($B27:$K27, 'Eurostat EB products IEA'!$A$4:$A$135, 0),
           MATCH(AJ$1, 'Eurostat EB products IEA'!$A$4:$BN$4, 0)
     )
     * $L27:$U27,
     0
  )
)</f>
        <v>0</v>
      </c>
      <c r="AK27" s="57" cm="1">
        <f t="array" ref="AK27">SUMPRODUCT(
  IF($B27:$K27&lt;&gt;"",
     INDEX('Eurostat EB products IEA'!$A$4:$BN$135,
           MATCH($B27:$K27, 'Eurostat EB products IEA'!$A$4:$A$135, 0),
           MATCH(AK$1, 'Eurostat EB products IEA'!$A$4:$BN$4, 0)
     )
     * $L27:$U27,
     0
  )
)</f>
        <v>0</v>
      </c>
      <c r="AL27" s="57" cm="1">
        <f t="array" ref="AL27">SUMPRODUCT(
  IF($B27:$K27&lt;&gt;"",
     INDEX('Eurostat EB products IEA'!$A$4:$BN$135,
           MATCH($B27:$K27, 'Eurostat EB products IEA'!$A$4:$A$135, 0),
           MATCH(AL$1, 'Eurostat EB products IEA'!$A$4:$BN$4, 0)
     )
     * $L27:$U27,
     0
  )
)</f>
        <v>0</v>
      </c>
      <c r="AM27" s="57" cm="1">
        <f t="array" ref="AM27">SUMPRODUCT(
  IF($B27:$K27&lt;&gt;"",
     INDEX('Eurostat EB products IEA'!$A$4:$BN$135,
           MATCH($B27:$K27, 'Eurostat EB products IEA'!$A$4:$A$135, 0),
           MATCH(AM$1, 'Eurostat EB products IEA'!$A$4:$BN$4, 0)
     )
     * $L27:$U27,
     0
  )
)</f>
        <v>0</v>
      </c>
      <c r="AN27" s="65" t="s">
        <v>323</v>
      </c>
      <c r="AO27" s="57" cm="1">
        <f t="array" ref="AO27">SUMPRODUCT(
  IF($B27:$K27&lt;&gt;"",
     INDEX('Eurostat EB products IEA'!$A$4:$BN$135,
           MATCH($B27:$K27, 'Eurostat EB products IEA'!$A$4:$A$135, 0),
           MATCH(AO$1, 'Eurostat EB products IEA'!$A$4:$BN$4, 0)
     )
     * $L27:$U27,
     0
  )
)</f>
        <v>-2271942.2579999999</v>
      </c>
      <c r="AP27" s="57" cm="1">
        <f t="array" ref="AP27">SUMPRODUCT(
  IF($B27:$K27&lt;&gt;"",
     INDEX('Eurostat EB products IEA'!$A$4:$BN$135,
           MATCH($B27:$K27, 'Eurostat EB products IEA'!$A$4:$A$135, 0),
           MATCH(AP$1, 'Eurostat EB products IEA'!$A$4:$BN$4, 0)
     )
     * $L27:$U27,
     0
  )
)</f>
        <v>-149793.533</v>
      </c>
      <c r="AQ27" s="57" cm="1">
        <f t="array" ref="AQ27">SUMPRODUCT(
  IF($B27:$K27&lt;&gt;"",
     INDEX('Eurostat EB products IEA'!$A$4:$BN$135,
           MATCH($B27:$K27, 'Eurostat EB products IEA'!$A$4:$A$135, 0),
           MATCH(AQ$1, 'Eurostat EB products IEA'!$A$4:$BN$4, 0)
     )
     * $L27:$U27,
     0
  )
)</f>
        <v>-218821.62400000001</v>
      </c>
      <c r="AR27" s="57" cm="1">
        <f t="array" ref="AR27">SUMPRODUCT(
  IF($B27:$K27&lt;&gt;"",
     INDEX('Eurostat EB products IEA'!$A$4:$BN$135,
           MATCH($B27:$K27, 'Eurostat EB products IEA'!$A$4:$A$135, 0),
           MATCH(AR$1, 'Eurostat EB products IEA'!$A$4:$BN$4, 0)
     )
     * $L27:$U27,
     0
  )
)</f>
        <v>-1858.636</v>
      </c>
      <c r="AS27" s="57" cm="1">
        <f t="array" ref="AS27">SUMPRODUCT(
  IF($B27:$K27&lt;&gt;"",
     INDEX('Eurostat EB products IEA'!$A$4:$BN$135,
           MATCH($B27:$K27, 'Eurostat EB products IEA'!$A$4:$A$135, 0),
           MATCH(AS$1, 'Eurostat EB products IEA'!$A$4:$BN$4, 0)
     )
     * $L27:$U27,
     0
  )
)</f>
        <v>0</v>
      </c>
      <c r="AT27" s="57" cm="1">
        <f t="array" ref="AT27">SUMPRODUCT(
  IF($B27:$K27&lt;&gt;"",
     INDEX('Eurostat EB products IEA'!$A$4:$BN$135,
           MATCH($B27:$K27, 'Eurostat EB products IEA'!$A$4:$A$135, 0),
           MATCH(AT$1, 'Eurostat EB products IEA'!$A$4:$BN$4, 0)
     )
     * $L27:$U27,
     0
  )
)</f>
        <v>106955.94899999999</v>
      </c>
      <c r="AU27" s="57" cm="1">
        <f t="array" ref="AU27">SUMPRODUCT(
  IF($B27:$K27&lt;&gt;"",
     INDEX('Eurostat EB products IEA'!$A$4:$BN$135,
           MATCH($B27:$K27, 'Eurostat EB products IEA'!$A$4:$A$135, 0),
           MATCH(AU$1, 'Eurostat EB products IEA'!$A$4:$BN$4, 0)
     )
     * $L27:$U27,
     0
  )
)</f>
        <v>0</v>
      </c>
      <c r="AV27" s="57" cm="1">
        <f t="array" ref="AV27">SUMPRODUCT(
  IF($B27:$K27&lt;&gt;"",
     INDEX('Eurostat EB products IEA'!$A$4:$BN$135,
           MATCH($B27:$K27, 'Eurostat EB products IEA'!$A$4:$A$135, 0),
           MATCH(AV$1, 'Eurostat EB products IEA'!$A$4:$BN$4, 0)
     )
     * $L27:$U27,
     0
  )
)</f>
        <v>58217.031999999999</v>
      </c>
      <c r="AW27" s="57" cm="1">
        <f t="array" ref="AW27">SUMPRODUCT(
  IF($B27:$K27&lt;&gt;"",
     INDEX('Eurostat EB products IEA'!$A$4:$BN$135,
           MATCH($B27:$K27, 'Eurostat EB products IEA'!$A$4:$A$135, 0),
           MATCH(AW$1, 'Eurostat EB products IEA'!$A$4:$BN$4, 0)
     )
     * $L27:$U27,
     0
  )
)</f>
        <v>194758.60800000001</v>
      </c>
      <c r="AX27" s="57" cm="1">
        <f t="array" ref="AX27">SUMPRODUCT(
  IF($B27:$K27&lt;&gt;"",
     INDEX('Eurostat EB products IEA'!$A$4:$BN$135,
           MATCH($B27:$K27, 'Eurostat EB products IEA'!$A$4:$A$135, 0),
           MATCH(AX$1, 'Eurostat EB products IEA'!$A$4:$BN$4, 0)
     )
     * $L27:$U27,
     0
  )
)</f>
        <v>2822.6170000000002</v>
      </c>
      <c r="AY27" s="57" cm="1">
        <f t="array" ref="AY27">SUMPRODUCT(
  IF($B27:$K27&lt;&gt;"",
     INDEX('Eurostat EB products IEA'!$A$4:$BN$135,
           MATCH($B27:$K27, 'Eurostat EB products IEA'!$A$4:$A$135, 0),
           MATCH(AY$1, 'Eurostat EB products IEA'!$A$4:$BN$4, 0)
     )
     * $L27:$U27,
     0
  )
)</f>
        <v>0</v>
      </c>
      <c r="AZ27" s="57" cm="1">
        <f t="array" ref="AZ27">SUMPRODUCT(
  IF($B27:$K27&lt;&gt;"",
     INDEX('Eurostat EB products IEA'!$A$4:$BN$135,
           MATCH($B27:$K27, 'Eurostat EB products IEA'!$A$4:$A$135, 0),
           MATCH(AZ$1, 'Eurostat EB products IEA'!$A$4:$BN$4, 0)
     )
     * $L27:$U27,
     0
  )
)</f>
        <v>345850.30800000002</v>
      </c>
      <c r="BA27" s="57" cm="1">
        <f t="array" ref="BA27">SUMPRODUCT(
  IF($B27:$K27&lt;&gt;"",
     INDEX('Eurostat EB products IEA'!$A$4:$BN$135,
           MATCH($B27:$K27, 'Eurostat EB products IEA'!$A$4:$A$135, 0),
           MATCH(BA$1, 'Eurostat EB products IEA'!$A$4:$BN$4, 0)
     )
     * $L27:$U27,
     0
  )
)</f>
        <v>17190.671999999999</v>
      </c>
      <c r="BB27" s="57" cm="1">
        <f t="array" ref="BB27">SUMPRODUCT(
  IF($B27:$K27&lt;&gt;"",
     INDEX('Eurostat EB products IEA'!$A$4:$BN$135,
           MATCH($B27:$K27, 'Eurostat EB products IEA'!$A$4:$A$135, 0),
           MATCH(BB$1, 'Eurostat EB products IEA'!$A$4:$BN$4, 0)
     )
     * $L27:$U27,
     0
  )
)</f>
        <v>854700.48400000005</v>
      </c>
      <c r="BC27" s="57" cm="1">
        <f t="array" ref="BC27">SUMPRODUCT(
  IF($B27:$K27&lt;&gt;"",
     INDEX('Eurostat EB products IEA'!$A$4:$BN$135,
           MATCH($B27:$K27, 'Eurostat EB products IEA'!$A$4:$A$135, 0),
           MATCH(BC$1, 'Eurostat EB products IEA'!$A$4:$BN$4, 0)
     )
     * $L27:$U27,
     0
  )
)</f>
        <v>393140.03</v>
      </c>
      <c r="BD27" s="57" cm="1">
        <f t="array" ref="BD27">SUMPRODUCT(
  IF($B27:$K27&lt;&gt;"",
     INDEX('Eurostat EB products IEA'!$A$4:$BN$135,
           MATCH($B27:$K27, 'Eurostat EB products IEA'!$A$4:$A$135, 0),
           MATCH(BD$1, 'Eurostat EB products IEA'!$A$4:$BN$4, 0)
     )
     * $L27:$U27,
     0
  )
)</f>
        <v>484137.277</v>
      </c>
      <c r="BE27" s="57" cm="1">
        <f t="array" ref="BE27">SUMPRODUCT(
  IF($B27:$K27&lt;&gt;"",
     INDEX('Eurostat EB products IEA'!$A$4:$BN$135,
           MATCH($B27:$K27, 'Eurostat EB products IEA'!$A$4:$A$135, 0),
           MATCH(BE$1, 'Eurostat EB products IEA'!$A$4:$BN$4, 0)
     )
     * $L27:$U27,
     0
  )
)</f>
        <v>39900.258000000002</v>
      </c>
      <c r="BF27" s="57" cm="1">
        <f t="array" ref="BF27">SUMPRODUCT(
  IF($B27:$K27&lt;&gt;"",
     INDEX('Eurostat EB products IEA'!$A$4:$BN$135,
           MATCH($B27:$K27, 'Eurostat EB products IEA'!$A$4:$A$135, 0),
           MATCH(BF$1, 'Eurostat EB products IEA'!$A$4:$BN$4, 0)
     )
     * $L27:$U27,
     0
  )
)</f>
        <v>42858.58</v>
      </c>
      <c r="BG27" s="57" cm="1">
        <f t="array" ref="BG27">SUMPRODUCT(
  IF($B27:$K27&lt;&gt;"",
     INDEX('Eurostat EB products IEA'!$A$4:$BN$135,
           MATCH($B27:$K27, 'Eurostat EB products IEA'!$A$4:$A$135, 0),
           MATCH(BG$1, 'Eurostat EB products IEA'!$A$4:$BN$4, 0)
     )
     * $L27:$U27,
     0
  )
)</f>
        <v>37052.463000000003</v>
      </c>
      <c r="BH27" s="57" cm="1">
        <f t="array" ref="BH27">SUMPRODUCT(
  IF($B27:$K27&lt;&gt;"",
     INDEX('Eurostat EB products IEA'!$A$4:$BN$135,
           MATCH($B27:$K27, 'Eurostat EB products IEA'!$A$4:$A$135, 0),
           MATCH(BH$1, 'Eurostat EB products IEA'!$A$4:$BN$4, 0)
     )
     * $L27:$U27,
     0
  )
)</f>
        <v>0</v>
      </c>
      <c r="BI27" s="57" cm="1">
        <f t="array" ref="BI27">SUMPRODUCT(
  IF($B27:$K27&lt;&gt;"",
     INDEX('Eurostat EB products IEA'!$A$4:$BN$135,
           MATCH($B27:$K27, 'Eurostat EB products IEA'!$A$4:$A$135, 0),
           MATCH(BI$1, 'Eurostat EB products IEA'!$A$4:$BN$4, 0)
     )
     * $L27:$U27,
     0
  )
)</f>
        <v>16671.462</v>
      </c>
      <c r="BJ27" s="57" cm="1">
        <f t="array" ref="BJ27">SUMPRODUCT(
  IF($B27:$K27&lt;&gt;"",
     INDEX('Eurostat EB products IEA'!$A$4:$BN$135,
           MATCH($B27:$K27, 'Eurostat EB products IEA'!$A$4:$A$135, 0),
           MATCH(BJ$1, 'Eurostat EB products IEA'!$A$4:$BN$4, 0)
     )
     * $L27:$U27,
     0
  )
)</f>
        <v>18235.339</v>
      </c>
      <c r="BK27" s="57" cm="1">
        <f t="array" ref="BK27">SUMPRODUCT(
  IF($B27:$K27&lt;&gt;"",
     INDEX('Eurostat EB products IEA'!$A$4:$BN$135,
           MATCH($B27:$K27, 'Eurostat EB products IEA'!$A$4:$A$135, 0),
           MATCH(BK$1, 'Eurostat EB products IEA'!$A$4:$BN$4, 0)
     )
     * $L27:$U27,
     0
  )
)</f>
        <v>0</v>
      </c>
      <c r="BL27" s="57" cm="1">
        <f t="array" ref="BL27">SUMPRODUCT(
  IF($B27:$K27&lt;&gt;"",
     INDEX('Eurostat EB products IEA'!$A$4:$BN$135,
           MATCH($B27:$K27, 'Eurostat EB products IEA'!$A$4:$A$135, 0),
           MATCH(BL$1, 'Eurostat EB products IEA'!$A$4:$BN$4, 0)
     )
     * $L27:$U27,
     0
  )
)</f>
        <v>0</v>
      </c>
      <c r="BM27" s="57" cm="1">
        <f t="array" ref="BM27">SUMPRODUCT(
  IF($B27:$K27&lt;&gt;"",
     INDEX('Eurostat EB products IEA'!$A$4:$BN$135,
           MATCH($B27:$K27, 'Eurostat EB products IEA'!$A$4:$A$135, 0),
           MATCH(BM$1, 'Eurostat EB products IEA'!$A$4:$BN$4, 0)
     )
     * $L27:$U27,
     0
  )
)</f>
        <v>0</v>
      </c>
      <c r="BN27" s="57" cm="1">
        <f t="array" ref="BN27">SUMPRODUCT(
  IF($B27:$K27&lt;&gt;"",
     INDEX('Eurostat EB products IEA'!$A$4:$BN$135,
           MATCH($B27:$K27, 'Eurostat EB products IEA'!$A$4:$A$135, 0),
           MATCH(BN$1, 'Eurostat EB products IEA'!$A$4:$BN$4, 0)
     )
     * $L27:$U27,
     0
  )
)</f>
        <v>0</v>
      </c>
      <c r="BO27" s="57" cm="1">
        <f t="array" ref="BO27">SUMPRODUCT(
  IF($B27:$K27&lt;&gt;"",
     INDEX('Eurostat EB products IEA'!$A$4:$BN$135,
           MATCH($B27:$K27, 'Eurostat EB products IEA'!$A$4:$A$135, 0),
           MATCH(BO$1, 'Eurostat EB products IEA'!$A$4:$BN$4, 0)
     )
     * $L27:$U27,
     0
  )
)</f>
        <v>0</v>
      </c>
      <c r="BP27" s="57" cm="1">
        <f t="array" ref="BP27">SUMPRODUCT(
  IF($B27:$K27&lt;&gt;"",
     INDEX('Eurostat EB products IEA'!$A$4:$BN$135,
           MATCH($B27:$K27, 'Eurostat EB products IEA'!$A$4:$A$135, 0),
           MATCH(BP$1, 'Eurostat EB products IEA'!$A$4:$BN$4, 0)
     )
     * $L27:$U27,
     0
  )
)</f>
        <v>0</v>
      </c>
      <c r="BQ27" s="57" cm="1">
        <f t="array" ref="BQ27">SUMPRODUCT(
  IF($B27:$K27&lt;&gt;"",
     INDEX('Eurostat EB products IEA'!$A$4:$BN$135,
           MATCH($B27:$K27, 'Eurostat EB products IEA'!$A$4:$A$135, 0),
           MATCH(BQ$1, 'Eurostat EB products IEA'!$A$4:$BN$4, 0)
     )
     * $L27:$U27,
     0
  )
)</f>
        <v>0</v>
      </c>
      <c r="BR27" s="57" cm="1">
        <f t="array" ref="BR27">SUMPRODUCT(
  IF($B27:$K27&lt;&gt;"",
     INDEX('Eurostat EB products IEA'!$A$4:$BN$135,
           MATCH($B27:$K27, 'Eurostat EB products IEA'!$A$4:$A$135, 0),
           MATCH(BR$1, 'Eurostat EB products IEA'!$A$4:$BN$4, 0)
     )
     * $L27:$U27,
     0
  )
)</f>
        <v>0</v>
      </c>
      <c r="BS27" s="65">
        <v>0</v>
      </c>
      <c r="BT27" s="57" cm="1">
        <f t="array" ref="BT27">SUMPRODUCT(
  IF($B27:$K27&lt;&gt;"",
     INDEX('Eurostat EB products IEA'!$A$4:$BN$135,
           MATCH($B27:$K27, 'Eurostat EB products IEA'!$A$4:$A$135, 0),
           MATCH(BT$1, 'Eurostat EB products IEA'!$A$4:$BN$4, 0)
     )
     * $L27:$U27,
     0
  )
)</f>
        <v>0</v>
      </c>
      <c r="BU27" s="65">
        <v>0</v>
      </c>
      <c r="BV27" s="65">
        <v>0</v>
      </c>
      <c r="BW27" s="57" cm="1">
        <f t="array" ref="BW27">SUMPRODUCT(
  IF($B27:$K27&lt;&gt;"",
     INDEX('Eurostat EB products IEA'!$A$4:$BN$135,
           MATCH($B27:$K27, 'Eurostat EB products IEA'!$A$4:$A$135, 0),
           MATCH(BW$1, 'Eurostat EB products IEA'!$A$4:$BN$4, 0)
     )
     * $L27:$U27,
     0
  )
)</f>
        <v>0</v>
      </c>
      <c r="BX27" s="57" cm="1">
        <f t="array" ref="BX27">SUMPRODUCT(
  IF($B27:$K27&lt;&gt;"",
     INDEX('Eurostat EB products IEA'!$A$4:$BN$135,
           MATCH($B27:$K27, 'Eurostat EB products IEA'!$A$4:$A$135, 0),
           MATCH(BX$1, 'Eurostat EB products IEA'!$A$4:$BN$4, 0)
     )
     * $L27:$U27,
     0
  )
)</f>
        <v>0</v>
      </c>
      <c r="BY27" s="57" cm="1">
        <f t="array" ref="BY27">SUMPRODUCT(
  IF($B27:$K27&lt;&gt;"",
     INDEX('Eurostat EB products IEA'!$A$4:$BN$135,
           MATCH($B27:$K27, 'Eurostat EB products IEA'!$A$4:$A$135, 0),
           MATCH(BY$1, 'Eurostat EB products IEA'!$A$4:$BN$4, 0)
     )
     * $L27:$U27,
     0
  )
)</f>
        <v>0</v>
      </c>
      <c r="BZ27" s="57" cm="1">
        <f t="array" ref="BZ27">SUMPRODUCT(
  IF($B27:$K27&lt;&gt;"",
     INDEX('Eurostat EB products IEA'!$A$4:$BN$135,
           MATCH($B27:$K27, 'Eurostat EB products IEA'!$A$4:$A$135, 0),
           MATCH(BZ$1, 'Eurostat EB products IEA'!$A$4:$BN$4, 0)
     )
     * $L27:$U27,
     0
  )
)</f>
        <v>0</v>
      </c>
      <c r="CA27" s="57" cm="1">
        <f t="array" ref="CA27">SUMPRODUCT(
  IF($B27:$K27&lt;&gt;"",
     INDEX('Eurostat EB products IEA'!$A$4:$BN$135,
           MATCH($B27:$K27, 'Eurostat EB products IEA'!$A$4:$A$135, 0),
           MATCH(CA$1, 'Eurostat EB products IEA'!$A$4:$BN$4, 0)
     )
     * $L27:$U27,
     0
  )
)</f>
        <v>0</v>
      </c>
      <c r="CB27" s="57" cm="1">
        <f t="array" ref="CB27">SUMPRODUCT(
  IF($B27:$K27&lt;&gt;"",
     INDEX('Eurostat EB products IEA'!$A$4:$BN$135,
           MATCH($B27:$K27, 'Eurostat EB products IEA'!$A$4:$A$135, 0),
           MATCH(CB$1, 'Eurostat EB products IEA'!$A$4:$BN$4, 0)
     )
     * $L27:$U27,
     0
  )
)</f>
        <v>0</v>
      </c>
      <c r="CC27" s="57" cm="1">
        <f t="array" ref="CC27">SUMPRODUCT(
  IF($B27:$K27&lt;&gt;"",
     INDEX('Eurostat EB products IEA'!$A$4:$BN$135,
           MATCH($B27:$K27, 'Eurostat EB products IEA'!$A$4:$A$135, 0),
           MATCH(CC$1, 'Eurostat EB products IEA'!$A$4:$BN$4, 0)
     )
     * $L27:$U27,
     0
  )
)</f>
        <v>0</v>
      </c>
      <c r="CD27" s="65">
        <v>0</v>
      </c>
      <c r="CE27" s="57" cm="1">
        <f t="array" ref="CE27">SUMPRODUCT(
  IF($B27:$K27&lt;&gt;"",
     INDEX('Eurostat EB products IEA'!$A$4:$BN$135,
           MATCH($B27:$K27, 'Eurostat EB products IEA'!$A$4:$A$135, 0),
           MATCH(CE$1, 'Eurostat EB products IEA'!$A$4:$BN$4, 0)
     )
     * $L27:$U27,
     0
  )
)</f>
        <v>0</v>
      </c>
      <c r="CF27" s="57" cm="1">
        <f t="array" ref="CF27">SUMPRODUCT(
  IF($B27:$K27&lt;&gt;"",
     INDEX('Eurostat EB products IEA'!$A$4:$BN$135,
           MATCH($B27:$K27, 'Eurostat EB products IEA'!$A$4:$A$135, 0),
           MATCH(CF$1, 'Eurostat EB products IEA'!$A$4:$BN$4, 0)
     )
     * $L27:$U27,
     0
  )
)</f>
        <v>0</v>
      </c>
      <c r="CG27" s="57" cm="1">
        <f t="array" ref="CG27">SUMPRODUCT(
  IF($B27:$K27&lt;&gt;"",
     INDEX('Eurostat EB products IEA'!$A$4:$BN$135,
           MATCH($B27:$K27, 'Eurostat EB products IEA'!$A$4:$A$135, 0),
           MATCH(CG$1, 'Eurostat EB products IEA'!$A$4:$BN$4, 0)
     )
     * $L27:$U27,
     0
  )
)</f>
        <v>-29924.972000000067</v>
      </c>
      <c r="CH27" s="57" cm="1">
        <f t="array" ref="CH27">SUMPRODUCT(
  IF($B27:$K27&lt;&gt;"",
     INDEX('Eurostat EB products IEA'!$A$4:$BN$135,
           MATCH($B27:$K27, 'Eurostat EB products IEA'!$A$4:$A$135, 0),
           MATCH(CH$1, 'Eurostat EB products IEA'!$A$4:$BN$4, 0)
     )
     * $L27:$U27,
     0
  )
)</f>
        <v>0</v>
      </c>
    </row>
    <row r="28" spans="1:86" x14ac:dyDescent="0.2">
      <c r="A28" t="s">
        <v>160</v>
      </c>
      <c r="B28" s="75"/>
      <c r="C28" s="77"/>
      <c r="D28" s="75"/>
      <c r="E28" s="77"/>
      <c r="F28" s="75"/>
      <c r="G28" s="77"/>
      <c r="H28" s="75" t="s">
        <v>221</v>
      </c>
      <c r="I28" s="77" t="s">
        <v>225</v>
      </c>
      <c r="J28" s="74" t="s">
        <v>249</v>
      </c>
      <c r="K28" s="78" t="s">
        <v>253</v>
      </c>
      <c r="L28" s="76"/>
      <c r="M28" s="79"/>
      <c r="N28" s="76"/>
      <c r="O28" s="79"/>
      <c r="P28" s="76"/>
      <c r="Q28" s="79"/>
      <c r="R28" s="76">
        <v>-1</v>
      </c>
      <c r="S28" s="79">
        <v>-1</v>
      </c>
      <c r="T28" s="76">
        <v>1</v>
      </c>
      <c r="U28" s="79">
        <v>1</v>
      </c>
      <c r="V28" s="65" t="s">
        <v>323</v>
      </c>
      <c r="W28" s="65" t="s">
        <v>323</v>
      </c>
      <c r="X28" s="17" cm="1">
        <f t="array" ref="X28">SUMPRODUCT(
  IF($B28:$K28&lt;&gt;"",
     INDEX('Eurostat EB products IEA'!$A$4:$BN$135,
           MATCH($B28:$K28, 'Eurostat EB products IEA'!$A$4:$A$135, 0),
           MATCH(X$1, 'Eurostat EB products IEA'!$A$4:$BN$4, 0)
     )
     * $L28:$U28,
     0
  )
)</f>
        <v>0</v>
      </c>
      <c r="Y28" s="17" cm="1">
        <f t="array" ref="Y28">SUMPRODUCT(
  IF($B28:$K28&lt;&gt;"",
     INDEX('Eurostat EB products IEA'!$A$4:$BN$135,
           MATCH($B28:$K28, 'Eurostat EB products IEA'!$A$4:$A$135, 0),
           MATCH(Y$1, 'Eurostat EB products IEA'!$A$4:$BN$4, 0)
     )
     * $L28:$U28,
     0
  )
)</f>
        <v>0</v>
      </c>
      <c r="Z28" s="17" cm="1">
        <f t="array" ref="Z28">SUMPRODUCT(
  IF($B28:$K28&lt;&gt;"",
     INDEX('Eurostat EB products IEA'!$A$4:$BN$135,
           MATCH($B28:$K28, 'Eurostat EB products IEA'!$A$4:$A$135, 0),
           MATCH(Z$1, 'Eurostat EB products IEA'!$A$4:$BN$4, 0)
     )
     * $L28:$U28,
     0
  )
)</f>
        <v>0</v>
      </c>
      <c r="AA28" s="17" cm="1">
        <f t="array" ref="AA28">SUMPRODUCT(
  IF($B28:$K28&lt;&gt;"",
     INDEX('Eurostat EB products IEA'!$A$4:$BN$135,
           MATCH($B28:$K28, 'Eurostat EB products IEA'!$A$4:$A$135, 0),
           MATCH(AA$1, 'Eurostat EB products IEA'!$A$4:$BN$4, 0)
     )
     * $L28:$U28,
     0
  )
)</f>
        <v>0</v>
      </c>
      <c r="AB28" s="17" cm="1">
        <f t="array" ref="AB28">SUMPRODUCT(
  IF($B28:$K28&lt;&gt;"",
     INDEX('Eurostat EB products IEA'!$A$4:$BN$135,
           MATCH($B28:$K28, 'Eurostat EB products IEA'!$A$4:$A$135, 0),
           MATCH(AB$1, 'Eurostat EB products IEA'!$A$4:$BN$4, 0)
     )
     * $L28:$U28,
     0
  )
)</f>
        <v>0</v>
      </c>
      <c r="AC28" s="17" cm="1">
        <f t="array" ref="AC28">SUMPRODUCT(
  IF($B28:$K28&lt;&gt;"",
     INDEX('Eurostat EB products IEA'!$A$4:$BN$135,
           MATCH($B28:$K28, 'Eurostat EB products IEA'!$A$4:$A$135, 0),
           MATCH(AC$1, 'Eurostat EB products IEA'!$A$4:$BN$4, 0)
     )
     * $L28:$U28,
     0
  )
)</f>
        <v>0</v>
      </c>
      <c r="AD28" s="17" cm="1">
        <f t="array" ref="AD28">SUMPRODUCT(
  IF($B28:$K28&lt;&gt;"",
     INDEX('Eurostat EB products IEA'!$A$4:$BN$135,
           MATCH($B28:$K28, 'Eurostat EB products IEA'!$A$4:$A$135, 0),
           MATCH(AD$1, 'Eurostat EB products IEA'!$A$4:$BN$4, 0)
     )
     * $L28:$U28,
     0
  )
)</f>
        <v>0</v>
      </c>
      <c r="AE28" s="17" cm="1">
        <f t="array" ref="AE28">SUMPRODUCT(
  IF($B28:$K28&lt;&gt;"",
     INDEX('Eurostat EB products IEA'!$A$4:$BN$135,
           MATCH($B28:$K28, 'Eurostat EB products IEA'!$A$4:$A$135, 0),
           MATCH(AE$1, 'Eurostat EB products IEA'!$A$4:$BN$4, 0)
     )
     * $L28:$U28,
     0
  )
)</f>
        <v>0</v>
      </c>
      <c r="AF28" s="17" cm="1">
        <f t="array" ref="AF28">SUMPRODUCT(
  IF($B28:$K28&lt;&gt;"",
     INDEX('Eurostat EB products IEA'!$A$4:$BN$135,
           MATCH($B28:$K28, 'Eurostat EB products IEA'!$A$4:$A$135, 0),
           MATCH(AF$1, 'Eurostat EB products IEA'!$A$4:$BN$4, 0)
     )
     * $L28:$U28,
     0
  )
)</f>
        <v>0</v>
      </c>
      <c r="AG28" s="17" cm="1">
        <f t="array" ref="AG28">SUMPRODUCT(
  IF($B28:$K28&lt;&gt;"",
     INDEX('Eurostat EB products IEA'!$A$4:$BN$135,
           MATCH($B28:$K28, 'Eurostat EB products IEA'!$A$4:$A$135, 0),
           MATCH(AG$1, 'Eurostat EB products IEA'!$A$4:$BN$4, 0)
     )
     * $L28:$U28,
     0
  )
)</f>
        <v>0</v>
      </c>
      <c r="AH28" s="17" cm="1">
        <f t="array" ref="AH28">SUMPRODUCT(
  IF($B28:$K28&lt;&gt;"",
     INDEX('Eurostat EB products IEA'!$A$4:$BN$135,
           MATCH($B28:$K28, 'Eurostat EB products IEA'!$A$4:$A$135, 0),
           MATCH(AH$1, 'Eurostat EB products IEA'!$A$4:$BN$4, 0)
     )
     * $L28:$U28,
     0
  )
)</f>
        <v>0</v>
      </c>
      <c r="AI28" s="17" cm="1">
        <f t="array" ref="AI28">SUMPRODUCT(
  IF($B28:$K28&lt;&gt;"",
     INDEX('Eurostat EB products IEA'!$A$4:$BN$135,
           MATCH($B28:$K28, 'Eurostat EB products IEA'!$A$4:$A$135, 0),
           MATCH(AI$1, 'Eurostat EB products IEA'!$A$4:$BN$4, 0)
     )
     * $L28:$U28,
     0
  )
)</f>
        <v>0</v>
      </c>
      <c r="AJ28" s="17" cm="1">
        <f t="array" ref="AJ28">SUMPRODUCT(
  IF($B28:$K28&lt;&gt;"",
     INDEX('Eurostat EB products IEA'!$A$4:$BN$135,
           MATCH($B28:$K28, 'Eurostat EB products IEA'!$A$4:$A$135, 0),
           MATCH(AJ$1, 'Eurostat EB products IEA'!$A$4:$BN$4, 0)
     )
     * $L28:$U28,
     0
  )
)</f>
        <v>0</v>
      </c>
      <c r="AK28" s="17" cm="1">
        <f t="array" ref="AK28">SUMPRODUCT(
  IF($B28:$K28&lt;&gt;"",
     INDEX('Eurostat EB products IEA'!$A$4:$BN$135,
           MATCH($B28:$K28, 'Eurostat EB products IEA'!$A$4:$A$135, 0),
           MATCH(AK$1, 'Eurostat EB products IEA'!$A$4:$BN$4, 0)
     )
     * $L28:$U28,
     0
  )
)</f>
        <v>0</v>
      </c>
      <c r="AL28" s="17" cm="1">
        <f t="array" ref="AL28">SUMPRODUCT(
  IF($B28:$K28&lt;&gt;"",
     INDEX('Eurostat EB products IEA'!$A$4:$BN$135,
           MATCH($B28:$K28, 'Eurostat EB products IEA'!$A$4:$A$135, 0),
           MATCH(AL$1, 'Eurostat EB products IEA'!$A$4:$BN$4, 0)
     )
     * $L28:$U28,
     0
  )
)</f>
        <v>0</v>
      </c>
      <c r="AM28" s="17" cm="1">
        <f t="array" ref="AM28">SUMPRODUCT(
  IF($B28:$K28&lt;&gt;"",
     INDEX('Eurostat EB products IEA'!$A$4:$BN$135,
           MATCH($B28:$K28, 'Eurostat EB products IEA'!$A$4:$A$135, 0),
           MATCH(AM$1, 'Eurostat EB products IEA'!$A$4:$BN$4, 0)
     )
     * $L28:$U28,
     0
  )
)</f>
        <v>0</v>
      </c>
      <c r="AN28" s="65" t="s">
        <v>323</v>
      </c>
      <c r="AO28" s="17" cm="1">
        <f t="array" ref="AO28">SUMPRODUCT(
  IF($B28:$K28&lt;&gt;"",
     INDEX('Eurostat EB products IEA'!$A$4:$BN$135,
           MATCH($B28:$K28, 'Eurostat EB products IEA'!$A$4:$A$135, 0),
           MATCH(AO$1, 'Eurostat EB products IEA'!$A$4:$BN$4, 0)
     )
     * $L28:$U28,
     0
  )
)</f>
        <v>0</v>
      </c>
      <c r="AP28" s="17" cm="1">
        <f t="array" ref="AP28">SUMPRODUCT(
  IF($B28:$K28&lt;&gt;"",
     INDEX('Eurostat EB products IEA'!$A$4:$BN$135,
           MATCH($B28:$K28, 'Eurostat EB products IEA'!$A$4:$A$135, 0),
           MATCH(AP$1, 'Eurostat EB products IEA'!$A$4:$BN$4, 0)
     )
     * $L28:$U28,
     0
  )
)</f>
        <v>-48786.699000000001</v>
      </c>
      <c r="AQ28" s="17" cm="1">
        <f t="array" ref="AQ28">SUMPRODUCT(
  IF($B28:$K28&lt;&gt;"",
     INDEX('Eurostat EB products IEA'!$A$4:$BN$135,
           MATCH($B28:$K28, 'Eurostat EB products IEA'!$A$4:$A$135, 0),
           MATCH(AQ$1, 'Eurostat EB products IEA'!$A$4:$BN$4, 0)
     )
     * $L28:$U28,
     0
  )
)</f>
        <v>147464.37599999999</v>
      </c>
      <c r="AR28" s="17" cm="1">
        <f t="array" ref="AR28">SUMPRODUCT(
  IF($B28:$K28&lt;&gt;"",
     INDEX('Eurostat EB products IEA'!$A$4:$BN$135,
           MATCH($B28:$K28, 'Eurostat EB products IEA'!$A$4:$A$135, 0),
           MATCH(AR$1, 'Eurostat EB products IEA'!$A$4:$BN$4, 0)
     )
     * $L28:$U28,
     0
  )
)</f>
        <v>0</v>
      </c>
      <c r="AS28" s="17" cm="1">
        <f t="array" ref="AS28">SUMPRODUCT(
  IF($B28:$K28&lt;&gt;"",
     INDEX('Eurostat EB products IEA'!$A$4:$BN$135,
           MATCH($B28:$K28, 'Eurostat EB products IEA'!$A$4:$A$135, 0),
           MATCH(AS$1, 'Eurostat EB products IEA'!$A$4:$BN$4, 0)
     )
     * $L28:$U28,
     0
  )
)</f>
        <v>0</v>
      </c>
      <c r="AT28" s="17" cm="1">
        <f t="array" ref="AT28">SUMPRODUCT(
  IF($B28:$K28&lt;&gt;"",
     INDEX('Eurostat EB products IEA'!$A$4:$BN$135,
           MATCH($B28:$K28, 'Eurostat EB products IEA'!$A$4:$A$135, 0),
           MATCH(AT$1, 'Eurostat EB products IEA'!$A$4:$BN$4, 0)
     )
     * $L28:$U28,
     0
  )
)</f>
        <v>0</v>
      </c>
      <c r="AU28" s="17" cm="1">
        <f t="array" ref="AU28">SUMPRODUCT(
  IF($B28:$K28&lt;&gt;"",
     INDEX('Eurostat EB products IEA'!$A$4:$BN$135,
           MATCH($B28:$K28, 'Eurostat EB products IEA'!$A$4:$A$135, 0),
           MATCH(AU$1, 'Eurostat EB products IEA'!$A$4:$BN$4, 0)
     )
     * $L28:$U28,
     0
  )
)</f>
        <v>0</v>
      </c>
      <c r="AV28" s="17" cm="1">
        <f t="array" ref="AV28">SUMPRODUCT(
  IF($B28:$K28&lt;&gt;"",
     INDEX('Eurostat EB products IEA'!$A$4:$BN$135,
           MATCH($B28:$K28, 'Eurostat EB products IEA'!$A$4:$A$135, 0),
           MATCH(AV$1, 'Eurostat EB products IEA'!$A$4:$BN$4, 0)
     )
     * $L28:$U28,
     0
  )
)</f>
        <v>-30097.690000000002</v>
      </c>
      <c r="AW28" s="17" cm="1">
        <f t="array" ref="AW28">SUMPRODUCT(
  IF($B28:$K28&lt;&gt;"",
     INDEX('Eurostat EB products IEA'!$A$4:$BN$135,
           MATCH($B28:$K28, 'Eurostat EB products IEA'!$A$4:$A$135, 0),
           MATCH(AW$1, 'Eurostat EB products IEA'!$A$4:$BN$4, 0)
     )
     * $L28:$U28,
     0
  )
)</f>
        <v>0</v>
      </c>
      <c r="AX28" s="17" cm="1">
        <f t="array" ref="AX28">SUMPRODUCT(
  IF($B28:$K28&lt;&gt;"",
     INDEX('Eurostat EB products IEA'!$A$4:$BN$135,
           MATCH($B28:$K28, 'Eurostat EB products IEA'!$A$4:$A$135, 0),
           MATCH(AX$1, 'Eurostat EB products IEA'!$A$4:$BN$4, 0)
     )
     * $L28:$U28,
     0
  )
)</f>
        <v>0</v>
      </c>
      <c r="AY28" s="17" cm="1">
        <f t="array" ref="AY28">SUMPRODUCT(
  IF($B28:$K28&lt;&gt;"",
     INDEX('Eurostat EB products IEA'!$A$4:$BN$135,
           MATCH($B28:$K28, 'Eurostat EB products IEA'!$A$4:$A$135, 0),
           MATCH(AY$1, 'Eurostat EB products IEA'!$A$4:$BN$4, 0)
     )
     * $L28:$U28,
     0
  )
)</f>
        <v>0</v>
      </c>
      <c r="AZ28" s="17" cm="1">
        <f t="array" ref="AZ28">SUMPRODUCT(
  IF($B28:$K28&lt;&gt;"",
     INDEX('Eurostat EB products IEA'!$A$4:$BN$135,
           MATCH($B28:$K28, 'Eurostat EB products IEA'!$A$4:$A$135, 0),
           MATCH(AZ$1, 'Eurostat EB products IEA'!$A$4:$BN$4, 0)
     )
     * $L28:$U28,
     0
  )
)</f>
        <v>0</v>
      </c>
      <c r="BA28" s="17" cm="1">
        <f t="array" ref="BA28">SUMPRODUCT(
  IF($B28:$K28&lt;&gt;"",
     INDEX('Eurostat EB products IEA'!$A$4:$BN$135,
           MATCH($B28:$K28, 'Eurostat EB products IEA'!$A$4:$A$135, 0),
           MATCH(BA$1, 'Eurostat EB products IEA'!$A$4:$BN$4, 0)
     )
     * $L28:$U28,
     0
  )
)</f>
        <v>-448.38099999999997</v>
      </c>
      <c r="BB28" s="17" cm="1">
        <f t="array" ref="BB28">SUMPRODUCT(
  IF($B28:$K28&lt;&gt;"",
     INDEX('Eurostat EB products IEA'!$A$4:$BN$135,
           MATCH($B28:$K28, 'Eurostat EB products IEA'!$A$4:$A$135, 0),
           MATCH(BB$1, 'Eurostat EB products IEA'!$A$4:$BN$4, 0)
     )
     * $L28:$U28,
     0
  )
)</f>
        <v>-10.741999999999962</v>
      </c>
      <c r="BC28" s="17" cm="1">
        <f t="array" ref="BC28">SUMPRODUCT(
  IF($B28:$K28&lt;&gt;"",
     INDEX('Eurostat EB products IEA'!$A$4:$BN$135,
           MATCH($B28:$K28, 'Eurostat EB products IEA'!$A$4:$A$135, 0),
           MATCH(BC$1, 'Eurostat EB products IEA'!$A$4:$BN$4, 0)
     )
     * $L28:$U28,
     0
  )
)</f>
        <v>0</v>
      </c>
      <c r="BD28" s="17" cm="1">
        <f t="array" ref="BD28">SUMPRODUCT(
  IF($B28:$K28&lt;&gt;"",
     INDEX('Eurostat EB products IEA'!$A$4:$BN$135,
           MATCH($B28:$K28, 'Eurostat EB products IEA'!$A$4:$A$135, 0),
           MATCH(BD$1, 'Eurostat EB products IEA'!$A$4:$BN$4, 0)
     )
     * $L28:$U28,
     0
  )
)</f>
        <v>-76530.175000000003</v>
      </c>
      <c r="BE28" s="17" cm="1">
        <f t="array" ref="BE28">SUMPRODUCT(
  IF($B28:$K28&lt;&gt;"",
     INDEX('Eurostat EB products IEA'!$A$4:$BN$135,
           MATCH($B28:$K28, 'Eurostat EB products IEA'!$A$4:$A$135, 0),
           MATCH(BE$1, 'Eurostat EB products IEA'!$A$4:$BN$4, 0)
     )
     * $L28:$U28,
     0
  )
)</f>
        <v>0</v>
      </c>
      <c r="BF28" s="17" cm="1">
        <f t="array" ref="BF28">SUMPRODUCT(
  IF($B28:$K28&lt;&gt;"",
     INDEX('Eurostat EB products IEA'!$A$4:$BN$135,
           MATCH($B28:$K28, 'Eurostat EB products IEA'!$A$4:$A$135, 0),
           MATCH(BF$1, 'Eurostat EB products IEA'!$A$4:$BN$4, 0)
     )
     * $L28:$U28,
     0
  )
)</f>
        <v>-39.082000000000001</v>
      </c>
      <c r="BG28" s="17" cm="1">
        <f t="array" ref="BG28">SUMPRODUCT(
  IF($B28:$K28&lt;&gt;"",
     INDEX('Eurostat EB products IEA'!$A$4:$BN$135,
           MATCH($B28:$K28, 'Eurostat EB products IEA'!$A$4:$A$135, 0),
           MATCH(BG$1, 'Eurostat EB products IEA'!$A$4:$BN$4, 0)
     )
     * $L28:$U28,
     0
  )
)</f>
        <v>0</v>
      </c>
      <c r="BH28" s="17" cm="1">
        <f t="array" ref="BH28">SUMPRODUCT(
  IF($B28:$K28&lt;&gt;"",
     INDEX('Eurostat EB products IEA'!$A$4:$BN$135,
           MATCH($B28:$K28, 'Eurostat EB products IEA'!$A$4:$A$135, 0),
           MATCH(BH$1, 'Eurostat EB products IEA'!$A$4:$BN$4, 0)
     )
     * $L28:$U28,
     0
  )
)</f>
        <v>0</v>
      </c>
      <c r="BI28" s="17" cm="1">
        <f t="array" ref="BI28">SUMPRODUCT(
  IF($B28:$K28&lt;&gt;"",
     INDEX('Eurostat EB products IEA'!$A$4:$BN$135,
           MATCH($B28:$K28, 'Eurostat EB products IEA'!$A$4:$A$135, 0),
           MATCH(BI$1, 'Eurostat EB products IEA'!$A$4:$BN$4, 0)
     )
     * $L28:$U28,
     0
  )
)</f>
        <v>0</v>
      </c>
      <c r="BJ28" s="17" cm="1">
        <f t="array" ref="BJ28">SUMPRODUCT(
  IF($B28:$K28&lt;&gt;"",
     INDEX('Eurostat EB products IEA'!$A$4:$BN$135,
           MATCH($B28:$K28, 'Eurostat EB products IEA'!$A$4:$A$135, 0),
           MATCH(BJ$1, 'Eurostat EB products IEA'!$A$4:$BN$4, 0)
     )
     * $L28:$U28,
     0
  )
)</f>
        <v>-45.908999999999651</v>
      </c>
      <c r="BK28" s="17" cm="1">
        <f t="array" ref="BK28">SUMPRODUCT(
  IF($B28:$K28&lt;&gt;"",
     INDEX('Eurostat EB products IEA'!$A$4:$BN$135,
           MATCH($B28:$K28, 'Eurostat EB products IEA'!$A$4:$A$135, 0),
           MATCH(BK$1, 'Eurostat EB products IEA'!$A$4:$BN$4, 0)
     )
     * $L28:$U28,
     0
  )
)</f>
        <v>0</v>
      </c>
      <c r="BL28" s="17" cm="1">
        <f t="array" ref="BL28">SUMPRODUCT(
  IF($B28:$K28&lt;&gt;"",
     INDEX('Eurostat EB products IEA'!$A$4:$BN$135,
           MATCH($B28:$K28, 'Eurostat EB products IEA'!$A$4:$A$135, 0),
           MATCH(BL$1, 'Eurostat EB products IEA'!$A$4:$BN$4, 0)
     )
     * $L28:$U28,
     0
  )
)</f>
        <v>0</v>
      </c>
      <c r="BM28" s="17" cm="1">
        <f t="array" ref="BM28">SUMPRODUCT(
  IF($B28:$K28&lt;&gt;"",
     INDEX('Eurostat EB products IEA'!$A$4:$BN$135,
           MATCH($B28:$K28, 'Eurostat EB products IEA'!$A$4:$A$135, 0),
           MATCH(BM$1, 'Eurostat EB products IEA'!$A$4:$BN$4, 0)
     )
     * $L28:$U28,
     0
  )
)</f>
        <v>0</v>
      </c>
      <c r="BN28" s="17" cm="1">
        <f t="array" ref="BN28">SUMPRODUCT(
  IF($B28:$K28&lt;&gt;"",
     INDEX('Eurostat EB products IEA'!$A$4:$BN$135,
           MATCH($B28:$K28, 'Eurostat EB products IEA'!$A$4:$A$135, 0),
           MATCH(BN$1, 'Eurostat EB products IEA'!$A$4:$BN$4, 0)
     )
     * $L28:$U28,
     0
  )
)</f>
        <v>0</v>
      </c>
      <c r="BO28" s="17" cm="1">
        <f t="array" ref="BO28">SUMPRODUCT(
  IF($B28:$K28&lt;&gt;"",
     INDEX('Eurostat EB products IEA'!$A$4:$BN$135,
           MATCH($B28:$K28, 'Eurostat EB products IEA'!$A$4:$A$135, 0),
           MATCH(BO$1, 'Eurostat EB products IEA'!$A$4:$BN$4, 0)
     )
     * $L28:$U28,
     0
  )
)</f>
        <v>0</v>
      </c>
      <c r="BP28" s="17" cm="1">
        <f t="array" ref="BP28">SUMPRODUCT(
  IF($B28:$K28&lt;&gt;"",
     INDEX('Eurostat EB products IEA'!$A$4:$BN$135,
           MATCH($B28:$K28, 'Eurostat EB products IEA'!$A$4:$A$135, 0),
           MATCH(BP$1, 'Eurostat EB products IEA'!$A$4:$BN$4, 0)
     )
     * $L28:$U28,
     0
  )
)</f>
        <v>0</v>
      </c>
      <c r="BQ28" s="17" cm="1">
        <f t="array" ref="BQ28">SUMPRODUCT(
  IF($B28:$K28&lt;&gt;"",
     INDEX('Eurostat EB products IEA'!$A$4:$BN$135,
           MATCH($B28:$K28, 'Eurostat EB products IEA'!$A$4:$A$135, 0),
           MATCH(BQ$1, 'Eurostat EB products IEA'!$A$4:$BN$4, 0)
     )
     * $L28:$U28,
     0
  )
)</f>
        <v>0</v>
      </c>
      <c r="BR28" s="17" cm="1">
        <f t="array" ref="BR28">SUMPRODUCT(
  IF($B28:$K28&lt;&gt;"",
     INDEX('Eurostat EB products IEA'!$A$4:$BN$135,
           MATCH($B28:$K28, 'Eurostat EB products IEA'!$A$4:$A$135, 0),
           MATCH(BR$1, 'Eurostat EB products IEA'!$A$4:$BN$4, 0)
     )
     * $L28:$U28,
     0
  )
)</f>
        <v>0</v>
      </c>
      <c r="BS28" s="65">
        <v>0</v>
      </c>
      <c r="BT28" s="17" cm="1">
        <f t="array" ref="BT28">SUMPRODUCT(
  IF($B28:$K28&lt;&gt;"",
     INDEX('Eurostat EB products IEA'!$A$4:$BN$135,
           MATCH($B28:$K28, 'Eurostat EB products IEA'!$A$4:$A$135, 0),
           MATCH(BT$1, 'Eurostat EB products IEA'!$A$4:$BN$4, 0)
     )
     * $L28:$U28,
     0
  )
)</f>
        <v>0</v>
      </c>
      <c r="BU28" s="65">
        <v>0</v>
      </c>
      <c r="BV28" s="65">
        <v>0</v>
      </c>
      <c r="BW28" s="17" cm="1">
        <f t="array" ref="BW28">SUMPRODUCT(
  IF($B28:$K28&lt;&gt;"",
     INDEX('Eurostat EB products IEA'!$A$4:$BN$135,
           MATCH($B28:$K28, 'Eurostat EB products IEA'!$A$4:$A$135, 0),
           MATCH(BW$1, 'Eurostat EB products IEA'!$A$4:$BN$4, 0)
     )
     * $L28:$U28,
     0
  )
)</f>
        <v>0</v>
      </c>
      <c r="BX28" s="17" cm="1">
        <f t="array" ref="BX28">SUMPRODUCT(
  IF($B28:$K28&lt;&gt;"",
     INDEX('Eurostat EB products IEA'!$A$4:$BN$135,
           MATCH($B28:$K28, 'Eurostat EB products IEA'!$A$4:$A$135, 0),
           MATCH(BX$1, 'Eurostat EB products IEA'!$A$4:$BN$4, 0)
     )
     * $L28:$U28,
     0
  )
)</f>
        <v>0</v>
      </c>
      <c r="BY28" s="17" cm="1">
        <f t="array" ref="BY28">SUMPRODUCT(
  IF($B28:$K28&lt;&gt;"",
     INDEX('Eurostat EB products IEA'!$A$4:$BN$135,
           MATCH($B28:$K28, 'Eurostat EB products IEA'!$A$4:$A$135, 0),
           MATCH(BY$1, 'Eurostat EB products IEA'!$A$4:$BN$4, 0)
     )
     * $L28:$U28,
     0
  )
)</f>
        <v>0</v>
      </c>
      <c r="BZ28" s="17" cm="1">
        <f t="array" ref="BZ28">SUMPRODUCT(
  IF($B28:$K28&lt;&gt;"",
     INDEX('Eurostat EB products IEA'!$A$4:$BN$135,
           MATCH($B28:$K28, 'Eurostat EB products IEA'!$A$4:$A$135, 0),
           MATCH(BZ$1, 'Eurostat EB products IEA'!$A$4:$BN$4, 0)
     )
     * $L28:$U28,
     0
  )
)</f>
        <v>0</v>
      </c>
      <c r="CA28" s="17" cm="1">
        <f t="array" ref="CA28">SUMPRODUCT(
  IF($B28:$K28&lt;&gt;"",
     INDEX('Eurostat EB products IEA'!$A$4:$BN$135,
           MATCH($B28:$K28, 'Eurostat EB products IEA'!$A$4:$A$135, 0),
           MATCH(CA$1, 'Eurostat EB products IEA'!$A$4:$BN$4, 0)
     )
     * $L28:$U28,
     0
  )
)</f>
        <v>0</v>
      </c>
      <c r="CB28" s="17" cm="1">
        <f t="array" ref="CB28">SUMPRODUCT(
  IF($B28:$K28&lt;&gt;"",
     INDEX('Eurostat EB products IEA'!$A$4:$BN$135,
           MATCH($B28:$K28, 'Eurostat EB products IEA'!$A$4:$A$135, 0),
           MATCH(CB$1, 'Eurostat EB products IEA'!$A$4:$BN$4, 0)
     )
     * $L28:$U28,
     0
  )
)</f>
        <v>0</v>
      </c>
      <c r="CC28" s="17" cm="1">
        <f t="array" ref="CC28">SUMPRODUCT(
  IF($B28:$K28&lt;&gt;"",
     INDEX('Eurostat EB products IEA'!$A$4:$BN$135,
           MATCH($B28:$K28, 'Eurostat EB products IEA'!$A$4:$A$135, 0),
           MATCH(CC$1, 'Eurostat EB products IEA'!$A$4:$BN$4, 0)
     )
     * $L28:$U28,
     0
  )
)</f>
        <v>0</v>
      </c>
      <c r="CD28" s="65">
        <v>0</v>
      </c>
      <c r="CE28" s="17" cm="1">
        <f t="array" ref="CE28">SUMPRODUCT(
  IF($B28:$K28&lt;&gt;"",
     INDEX('Eurostat EB products IEA'!$A$4:$BN$135,
           MATCH($B28:$K28, 'Eurostat EB products IEA'!$A$4:$A$135, 0),
           MATCH(CE$1, 'Eurostat EB products IEA'!$A$4:$BN$4, 0)
     )
     * $L28:$U28,
     0
  )
)</f>
        <v>0</v>
      </c>
      <c r="CF28" s="17" cm="1">
        <f t="array" ref="CF28">SUMPRODUCT(
  IF($B28:$K28&lt;&gt;"",
     INDEX('Eurostat EB products IEA'!$A$4:$BN$135,
           MATCH($B28:$K28, 'Eurostat EB products IEA'!$A$4:$A$135, 0),
           MATCH(CF$1, 'Eurostat EB products IEA'!$A$4:$BN$4, 0)
     )
     * $L28:$U28,
     0
  )
)</f>
        <v>0</v>
      </c>
      <c r="CG28" s="17" cm="1">
        <f t="array" ref="CG28">SUMPRODUCT(
  IF($B28:$K28&lt;&gt;"",
     INDEX('Eurostat EB products IEA'!$A$4:$BN$135,
           MATCH($B28:$K28, 'Eurostat EB products IEA'!$A$4:$A$135, 0),
           MATCH(CG$1, 'Eurostat EB products IEA'!$A$4:$BN$4, 0)
     )
     * $L28:$U28,
     0
  )
)</f>
        <v>-8494.301999999996</v>
      </c>
      <c r="CH28" s="17" cm="1">
        <f t="array" ref="CH28">SUMPRODUCT(
  IF($B28:$K28&lt;&gt;"",
     INDEX('Eurostat EB products IEA'!$A$4:$BN$135,
           MATCH($B28:$K28, 'Eurostat EB products IEA'!$A$4:$A$135, 0),
           MATCH(CH$1, 'Eurostat EB products IEA'!$A$4:$BN$4, 0)
     )
     * $L28:$U28,
     0
  )
)</f>
        <v>0</v>
      </c>
    </row>
    <row r="29" spans="1:86" x14ac:dyDescent="0.2">
      <c r="A29" t="s">
        <v>90</v>
      </c>
      <c r="B29" s="75"/>
      <c r="C29" s="77"/>
      <c r="D29" s="75"/>
      <c r="E29" s="77"/>
      <c r="F29" s="75"/>
      <c r="G29" s="77"/>
      <c r="H29" s="75"/>
      <c r="I29" s="77"/>
      <c r="J29" s="74" t="s">
        <v>228</v>
      </c>
      <c r="K29" s="78" t="s">
        <v>256</v>
      </c>
      <c r="L29" s="76"/>
      <c r="M29" s="79"/>
      <c r="N29" s="76"/>
      <c r="O29" s="79"/>
      <c r="P29" s="76"/>
      <c r="Q29" s="79"/>
      <c r="R29" s="76"/>
      <c r="S29" s="79"/>
      <c r="T29" s="76">
        <v>-1</v>
      </c>
      <c r="U29" s="79">
        <v>1</v>
      </c>
      <c r="V29" s="65" t="s">
        <v>323</v>
      </c>
      <c r="W29" s="65" t="s">
        <v>323</v>
      </c>
      <c r="X29" s="57" cm="1">
        <f t="array" ref="X29">SUMPRODUCT(
  IF($B29:$K29&lt;&gt;"",
     INDEX('Eurostat EB products IEA'!$A$4:$BN$135,
           MATCH($B29:$K29, 'Eurostat EB products IEA'!$A$4:$A$135, 0),
           MATCH(X$1, 'Eurostat EB products IEA'!$A$4:$BN$4, 0)
     )
     * $L29:$U29,
     0
  )
)</f>
        <v>0</v>
      </c>
      <c r="Y29" s="57" cm="1">
        <f t="array" ref="Y29">SUMPRODUCT(
  IF($B29:$K29&lt;&gt;"",
     INDEX('Eurostat EB products IEA'!$A$4:$BN$135,
           MATCH($B29:$K29, 'Eurostat EB products IEA'!$A$4:$A$135, 0),
           MATCH(Y$1, 'Eurostat EB products IEA'!$A$4:$BN$4, 0)
     )
     * $L29:$U29,
     0
  )
)</f>
        <v>0</v>
      </c>
      <c r="Z29" s="57" cm="1">
        <f t="array" ref="Z29">SUMPRODUCT(
  IF($B29:$K29&lt;&gt;"",
     INDEX('Eurostat EB products IEA'!$A$4:$BN$135,
           MATCH($B29:$K29, 'Eurostat EB products IEA'!$A$4:$A$135, 0),
           MATCH(Z$1, 'Eurostat EB products IEA'!$A$4:$BN$4, 0)
     )
     * $L29:$U29,
     0
  )
)</f>
        <v>0</v>
      </c>
      <c r="AA29" s="57" cm="1">
        <f t="array" ref="AA29">SUMPRODUCT(
  IF($B29:$K29&lt;&gt;"",
     INDEX('Eurostat EB products IEA'!$A$4:$BN$135,
           MATCH($B29:$K29, 'Eurostat EB products IEA'!$A$4:$A$135, 0),
           MATCH(AA$1, 'Eurostat EB products IEA'!$A$4:$BN$4, 0)
     )
     * $L29:$U29,
     0
  )
)</f>
        <v>0</v>
      </c>
      <c r="AB29" s="57" cm="1">
        <f t="array" ref="AB29">SUMPRODUCT(
  IF($B29:$K29&lt;&gt;"",
     INDEX('Eurostat EB products IEA'!$A$4:$BN$135,
           MATCH($B29:$K29, 'Eurostat EB products IEA'!$A$4:$A$135, 0),
           MATCH(AB$1, 'Eurostat EB products IEA'!$A$4:$BN$4, 0)
     )
     * $L29:$U29,
     0
  )
)</f>
        <v>0</v>
      </c>
      <c r="AC29" s="57" cm="1">
        <f t="array" ref="AC29">SUMPRODUCT(
  IF($B29:$K29&lt;&gt;"",
     INDEX('Eurostat EB products IEA'!$A$4:$BN$135,
           MATCH($B29:$K29, 'Eurostat EB products IEA'!$A$4:$A$135, 0),
           MATCH(AC$1, 'Eurostat EB products IEA'!$A$4:$BN$4, 0)
     )
     * $L29:$U29,
     0
  )
)</f>
        <v>0</v>
      </c>
      <c r="AD29" s="57" cm="1">
        <f t="array" ref="AD29">SUMPRODUCT(
  IF($B29:$K29&lt;&gt;"",
     INDEX('Eurostat EB products IEA'!$A$4:$BN$135,
           MATCH($B29:$K29, 'Eurostat EB products IEA'!$A$4:$A$135, 0),
           MATCH(AD$1, 'Eurostat EB products IEA'!$A$4:$BN$4, 0)
     )
     * $L29:$U29,
     0
  )
)</f>
        <v>0</v>
      </c>
      <c r="AE29" s="57" cm="1">
        <f t="array" ref="AE29">SUMPRODUCT(
  IF($B29:$K29&lt;&gt;"",
     INDEX('Eurostat EB products IEA'!$A$4:$BN$135,
           MATCH($B29:$K29, 'Eurostat EB products IEA'!$A$4:$A$135, 0),
           MATCH(AE$1, 'Eurostat EB products IEA'!$A$4:$BN$4, 0)
     )
     * $L29:$U29,
     0
  )
)</f>
        <v>0</v>
      </c>
      <c r="AF29" s="57" cm="1">
        <f t="array" ref="AF29">SUMPRODUCT(
  IF($B29:$K29&lt;&gt;"",
     INDEX('Eurostat EB products IEA'!$A$4:$BN$135,
           MATCH($B29:$K29, 'Eurostat EB products IEA'!$A$4:$A$135, 0),
           MATCH(AF$1, 'Eurostat EB products IEA'!$A$4:$BN$4, 0)
     )
     * $L29:$U29,
     0
  )
)</f>
        <v>0</v>
      </c>
      <c r="AG29" s="57" cm="1">
        <f t="array" ref="AG29">SUMPRODUCT(
  IF($B29:$K29&lt;&gt;"",
     INDEX('Eurostat EB products IEA'!$A$4:$BN$135,
           MATCH($B29:$K29, 'Eurostat EB products IEA'!$A$4:$A$135, 0),
           MATCH(AG$1, 'Eurostat EB products IEA'!$A$4:$BN$4, 0)
     )
     * $L29:$U29,
     0
  )
)</f>
        <v>0</v>
      </c>
      <c r="AH29" s="57" cm="1">
        <f t="array" ref="AH29">SUMPRODUCT(
  IF($B29:$K29&lt;&gt;"",
     INDEX('Eurostat EB products IEA'!$A$4:$BN$135,
           MATCH($B29:$K29, 'Eurostat EB products IEA'!$A$4:$A$135, 0),
           MATCH(AH$1, 'Eurostat EB products IEA'!$A$4:$BN$4, 0)
     )
     * $L29:$U29,
     0
  )
)</f>
        <v>0</v>
      </c>
      <c r="AI29" s="57" cm="1">
        <f t="array" ref="AI29">SUMPRODUCT(
  IF($B29:$K29&lt;&gt;"",
     INDEX('Eurostat EB products IEA'!$A$4:$BN$135,
           MATCH($B29:$K29, 'Eurostat EB products IEA'!$A$4:$A$135, 0),
           MATCH(AI$1, 'Eurostat EB products IEA'!$A$4:$BN$4, 0)
     )
     * $L29:$U29,
     0
  )
)</f>
        <v>0</v>
      </c>
      <c r="AJ29" s="57" cm="1">
        <f t="array" ref="AJ29">SUMPRODUCT(
  IF($B29:$K29&lt;&gt;"",
     INDEX('Eurostat EB products IEA'!$A$4:$BN$135,
           MATCH($B29:$K29, 'Eurostat EB products IEA'!$A$4:$A$135, 0),
           MATCH(AJ$1, 'Eurostat EB products IEA'!$A$4:$BN$4, 0)
     )
     * $L29:$U29,
     0
  )
)</f>
        <v>0</v>
      </c>
      <c r="AK29" s="57" cm="1">
        <f t="array" ref="AK29">SUMPRODUCT(
  IF($B29:$K29&lt;&gt;"",
     INDEX('Eurostat EB products IEA'!$A$4:$BN$135,
           MATCH($B29:$K29, 'Eurostat EB products IEA'!$A$4:$A$135, 0),
           MATCH(AK$1, 'Eurostat EB products IEA'!$A$4:$BN$4, 0)
     )
     * $L29:$U29,
     0
  )
)</f>
        <v>0</v>
      </c>
      <c r="AL29" s="57" cm="1">
        <f t="array" ref="AL29">SUMPRODUCT(
  IF($B29:$K29&lt;&gt;"",
     INDEX('Eurostat EB products IEA'!$A$4:$BN$135,
           MATCH($B29:$K29, 'Eurostat EB products IEA'!$A$4:$A$135, 0),
           MATCH(AL$1, 'Eurostat EB products IEA'!$A$4:$BN$4, 0)
     )
     * $L29:$U29,
     0
  )
)</f>
        <v>0</v>
      </c>
      <c r="AM29" s="57" cm="1">
        <f t="array" ref="AM29">SUMPRODUCT(
  IF($B29:$K29&lt;&gt;"",
     INDEX('Eurostat EB products IEA'!$A$4:$BN$135,
           MATCH($B29:$K29, 'Eurostat EB products IEA'!$A$4:$A$135, 0),
           MATCH(AM$1, 'Eurostat EB products IEA'!$A$4:$BN$4, 0)
     )
     * $L29:$U29,
     0
  )
)</f>
        <v>0</v>
      </c>
      <c r="AN29" s="65" t="s">
        <v>323</v>
      </c>
      <c r="AO29" s="57" cm="1">
        <f t="array" ref="AO29">SUMPRODUCT(
  IF($B29:$K29&lt;&gt;"",
     INDEX('Eurostat EB products IEA'!$A$4:$BN$135,
           MATCH($B29:$K29, 'Eurostat EB products IEA'!$A$4:$A$135, 0),
           MATCH(AO$1, 'Eurostat EB products IEA'!$A$4:$BN$4, 0)
     )
     * $L29:$U29,
     0
  )
)</f>
        <v>0</v>
      </c>
      <c r="AP29" s="57" cm="1">
        <f t="array" ref="AP29">SUMPRODUCT(
  IF($B29:$K29&lt;&gt;"",
     INDEX('Eurostat EB products IEA'!$A$4:$BN$135,
           MATCH($B29:$K29, 'Eurostat EB products IEA'!$A$4:$A$135, 0),
           MATCH(AP$1, 'Eurostat EB products IEA'!$A$4:$BN$4, 0)
     )
     * $L29:$U29,
     0
  )
)</f>
        <v>0</v>
      </c>
      <c r="AQ29" s="57" cm="1">
        <f t="array" ref="AQ29">SUMPRODUCT(
  IF($B29:$K29&lt;&gt;"",
     INDEX('Eurostat EB products IEA'!$A$4:$BN$135,
           MATCH($B29:$K29, 'Eurostat EB products IEA'!$A$4:$A$135, 0),
           MATCH(AQ$1, 'Eurostat EB products IEA'!$A$4:$BN$4, 0)
     )
     * $L29:$U29,
     0
  )
)</f>
        <v>0</v>
      </c>
      <c r="AR29" s="57" cm="1">
        <f t="array" ref="AR29">SUMPRODUCT(
  IF($B29:$K29&lt;&gt;"",
     INDEX('Eurostat EB products IEA'!$A$4:$BN$135,
           MATCH($B29:$K29, 'Eurostat EB products IEA'!$A$4:$A$135, 0),
           MATCH(AR$1, 'Eurostat EB products IEA'!$A$4:$BN$4, 0)
     )
     * $L29:$U29,
     0
  )
)</f>
        <v>0</v>
      </c>
      <c r="AS29" s="57" cm="1">
        <f t="array" ref="AS29">SUMPRODUCT(
  IF($B29:$K29&lt;&gt;"",
     INDEX('Eurostat EB products IEA'!$A$4:$BN$135,
           MATCH($B29:$K29, 'Eurostat EB products IEA'!$A$4:$A$135, 0),
           MATCH(AS$1, 'Eurostat EB products IEA'!$A$4:$BN$4, 0)
     )
     * $L29:$U29,
     0
  )
)</f>
        <v>0</v>
      </c>
      <c r="AT29" s="57" cm="1">
        <f t="array" ref="AT29">SUMPRODUCT(
  IF($B29:$K29&lt;&gt;"",
     INDEX('Eurostat EB products IEA'!$A$4:$BN$135,
           MATCH($B29:$K29, 'Eurostat EB products IEA'!$A$4:$A$135, 0),
           MATCH(AT$1, 'Eurostat EB products IEA'!$A$4:$BN$4, 0)
     )
     * $L29:$U29,
     0
  )
)</f>
        <v>0</v>
      </c>
      <c r="AU29" s="57" cm="1">
        <f t="array" ref="AU29">SUMPRODUCT(
  IF($B29:$K29&lt;&gt;"",
     INDEX('Eurostat EB products IEA'!$A$4:$BN$135,
           MATCH($B29:$K29, 'Eurostat EB products IEA'!$A$4:$A$135, 0),
           MATCH(AU$1, 'Eurostat EB products IEA'!$A$4:$BN$4, 0)
     )
     * $L29:$U29,
     0
  )
)</f>
        <v>0</v>
      </c>
      <c r="AV29" s="57" cm="1">
        <f t="array" ref="AV29">SUMPRODUCT(
  IF($B29:$K29&lt;&gt;"",
     INDEX('Eurostat EB products IEA'!$A$4:$BN$135,
           MATCH($B29:$K29, 'Eurostat EB products IEA'!$A$4:$A$135, 0),
           MATCH(AV$1, 'Eurostat EB products IEA'!$A$4:$BN$4, 0)
     )
     * $L29:$U29,
     0
  )
)</f>
        <v>0</v>
      </c>
      <c r="AW29" s="57" cm="1">
        <f t="array" ref="AW29">SUMPRODUCT(
  IF($B29:$K29&lt;&gt;"",
     INDEX('Eurostat EB products IEA'!$A$4:$BN$135,
           MATCH($B29:$K29, 'Eurostat EB products IEA'!$A$4:$A$135, 0),
           MATCH(AW$1, 'Eurostat EB products IEA'!$A$4:$BN$4, 0)
     )
     * $L29:$U29,
     0
  )
)</f>
        <v>0</v>
      </c>
      <c r="AX29" s="57" cm="1">
        <f t="array" ref="AX29">SUMPRODUCT(
  IF($B29:$K29&lt;&gt;"",
     INDEX('Eurostat EB products IEA'!$A$4:$BN$135,
           MATCH($B29:$K29, 'Eurostat EB products IEA'!$A$4:$A$135, 0),
           MATCH(AX$1, 'Eurostat EB products IEA'!$A$4:$BN$4, 0)
     )
     * $L29:$U29,
     0
  )
)</f>
        <v>0</v>
      </c>
      <c r="AY29" s="57" cm="1">
        <f t="array" ref="AY29">SUMPRODUCT(
  IF($B29:$K29&lt;&gt;"",
     INDEX('Eurostat EB products IEA'!$A$4:$BN$135,
           MATCH($B29:$K29, 'Eurostat EB products IEA'!$A$4:$A$135, 0),
           MATCH(AY$1, 'Eurostat EB products IEA'!$A$4:$BN$4, 0)
     )
     * $L29:$U29,
     0
  )
)</f>
        <v>0</v>
      </c>
      <c r="AZ29" s="57" cm="1">
        <f t="array" ref="AZ29">SUMPRODUCT(
  IF($B29:$K29&lt;&gt;"",
     INDEX('Eurostat EB products IEA'!$A$4:$BN$135,
           MATCH($B29:$K29, 'Eurostat EB products IEA'!$A$4:$A$135, 0),
           MATCH(AZ$1, 'Eurostat EB products IEA'!$A$4:$BN$4, 0)
     )
     * $L29:$U29,
     0
  )
)</f>
        <v>0</v>
      </c>
      <c r="BA29" s="57" cm="1">
        <f t="array" ref="BA29">SUMPRODUCT(
  IF($B29:$K29&lt;&gt;"",
     INDEX('Eurostat EB products IEA'!$A$4:$BN$135,
           MATCH($B29:$K29, 'Eurostat EB products IEA'!$A$4:$A$135, 0),
           MATCH(BA$1, 'Eurostat EB products IEA'!$A$4:$BN$4, 0)
     )
     * $L29:$U29,
     0
  )
)</f>
        <v>0</v>
      </c>
      <c r="BB29" s="57" cm="1">
        <f t="array" ref="BB29">SUMPRODUCT(
  IF($B29:$K29&lt;&gt;"",
     INDEX('Eurostat EB products IEA'!$A$4:$BN$135,
           MATCH($B29:$K29, 'Eurostat EB products IEA'!$A$4:$A$135, 0),
           MATCH(BB$1, 'Eurostat EB products IEA'!$A$4:$BN$4, 0)
     )
     * $L29:$U29,
     0
  )
)</f>
        <v>0</v>
      </c>
      <c r="BC29" s="57" cm="1">
        <f t="array" ref="BC29">SUMPRODUCT(
  IF($B29:$K29&lt;&gt;"",
     INDEX('Eurostat EB products IEA'!$A$4:$BN$135,
           MATCH($B29:$K29, 'Eurostat EB products IEA'!$A$4:$A$135, 0),
           MATCH(BC$1, 'Eurostat EB products IEA'!$A$4:$BN$4, 0)
     )
     * $L29:$U29,
     0
  )
)</f>
        <v>0</v>
      </c>
      <c r="BD29" s="57" cm="1">
        <f t="array" ref="BD29">SUMPRODUCT(
  IF($B29:$K29&lt;&gt;"",
     INDEX('Eurostat EB products IEA'!$A$4:$BN$135,
           MATCH($B29:$K29, 'Eurostat EB products IEA'!$A$4:$A$135, 0),
           MATCH(BD$1, 'Eurostat EB products IEA'!$A$4:$BN$4, 0)
     )
     * $L29:$U29,
     0
  )
)</f>
        <v>0</v>
      </c>
      <c r="BE29" s="57" cm="1">
        <f t="array" ref="BE29">SUMPRODUCT(
  IF($B29:$K29&lt;&gt;"",
     INDEX('Eurostat EB products IEA'!$A$4:$BN$135,
           MATCH($B29:$K29, 'Eurostat EB products IEA'!$A$4:$A$135, 0),
           MATCH(BE$1, 'Eurostat EB products IEA'!$A$4:$BN$4, 0)
     )
     * $L29:$U29,
     0
  )
)</f>
        <v>0</v>
      </c>
      <c r="BF29" s="57" cm="1">
        <f t="array" ref="BF29">SUMPRODUCT(
  IF($B29:$K29&lt;&gt;"",
     INDEX('Eurostat EB products IEA'!$A$4:$BN$135,
           MATCH($B29:$K29, 'Eurostat EB products IEA'!$A$4:$A$135, 0),
           MATCH(BF$1, 'Eurostat EB products IEA'!$A$4:$BN$4, 0)
     )
     * $L29:$U29,
     0
  )
)</f>
        <v>0</v>
      </c>
      <c r="BG29" s="57" cm="1">
        <f t="array" ref="BG29">SUMPRODUCT(
  IF($B29:$K29&lt;&gt;"",
     INDEX('Eurostat EB products IEA'!$A$4:$BN$135,
           MATCH($B29:$K29, 'Eurostat EB products IEA'!$A$4:$A$135, 0),
           MATCH(BG$1, 'Eurostat EB products IEA'!$A$4:$BN$4, 0)
     )
     * $L29:$U29,
     0
  )
)</f>
        <v>0</v>
      </c>
      <c r="BH29" s="57" cm="1">
        <f t="array" ref="BH29">SUMPRODUCT(
  IF($B29:$K29&lt;&gt;"",
     INDEX('Eurostat EB products IEA'!$A$4:$BN$135,
           MATCH($B29:$K29, 'Eurostat EB products IEA'!$A$4:$A$135, 0),
           MATCH(BH$1, 'Eurostat EB products IEA'!$A$4:$BN$4, 0)
     )
     * $L29:$U29,
     0
  )
)</f>
        <v>0</v>
      </c>
      <c r="BI29" s="57" cm="1">
        <f t="array" ref="BI29">SUMPRODUCT(
  IF($B29:$K29&lt;&gt;"",
     INDEX('Eurostat EB products IEA'!$A$4:$BN$135,
           MATCH($B29:$K29, 'Eurostat EB products IEA'!$A$4:$A$135, 0),
           MATCH(BI$1, 'Eurostat EB products IEA'!$A$4:$BN$4, 0)
     )
     * $L29:$U29,
     0
  )
)</f>
        <v>0</v>
      </c>
      <c r="BJ29" s="57" cm="1">
        <f t="array" ref="BJ29">SUMPRODUCT(
  IF($B29:$K29&lt;&gt;"",
     INDEX('Eurostat EB products IEA'!$A$4:$BN$135,
           MATCH($B29:$K29, 'Eurostat EB products IEA'!$A$4:$A$135, 0),
           MATCH(BJ$1, 'Eurostat EB products IEA'!$A$4:$BN$4, 0)
     )
     * $L29:$U29,
     0
  )
)</f>
        <v>0</v>
      </c>
      <c r="BK29" s="57" cm="1">
        <f t="array" ref="BK29">SUMPRODUCT(
  IF($B29:$K29&lt;&gt;"",
     INDEX('Eurostat EB products IEA'!$A$4:$BN$135,
           MATCH($B29:$K29, 'Eurostat EB products IEA'!$A$4:$A$135, 0),
           MATCH(BK$1, 'Eurostat EB products IEA'!$A$4:$BN$4, 0)
     )
     * $L29:$U29,
     0
  )
)</f>
        <v>0</v>
      </c>
      <c r="BL29" s="57" cm="1">
        <f t="array" ref="BL29">SUMPRODUCT(
  IF($B29:$K29&lt;&gt;"",
     INDEX('Eurostat EB products IEA'!$A$4:$BN$135,
           MATCH($B29:$K29, 'Eurostat EB products IEA'!$A$4:$A$135, 0),
           MATCH(BL$1, 'Eurostat EB products IEA'!$A$4:$BN$4, 0)
     )
     * $L29:$U29,
     0
  )
)</f>
        <v>0</v>
      </c>
      <c r="BM29" s="57" cm="1">
        <f t="array" ref="BM29">SUMPRODUCT(
  IF($B29:$K29&lt;&gt;"",
     INDEX('Eurostat EB products IEA'!$A$4:$BN$135,
           MATCH($B29:$K29, 'Eurostat EB products IEA'!$A$4:$A$135, 0),
           MATCH(BM$1, 'Eurostat EB products IEA'!$A$4:$BN$4, 0)
     )
     * $L29:$U29,
     0
  )
)</f>
        <v>0</v>
      </c>
      <c r="BN29" s="57" cm="1">
        <f t="array" ref="BN29">SUMPRODUCT(
  IF($B29:$K29&lt;&gt;"",
     INDEX('Eurostat EB products IEA'!$A$4:$BN$135,
           MATCH($B29:$K29, 'Eurostat EB products IEA'!$A$4:$A$135, 0),
           MATCH(BN$1, 'Eurostat EB products IEA'!$A$4:$BN$4, 0)
     )
     * $L29:$U29,
     0
  )
)</f>
        <v>0</v>
      </c>
      <c r="BO29" s="57" cm="1">
        <f t="array" ref="BO29">SUMPRODUCT(
  IF($B29:$K29&lt;&gt;"",
     INDEX('Eurostat EB products IEA'!$A$4:$BN$135,
           MATCH($B29:$K29, 'Eurostat EB products IEA'!$A$4:$A$135, 0),
           MATCH(BO$1, 'Eurostat EB products IEA'!$A$4:$BN$4, 0)
     )
     * $L29:$U29,
     0
  )
)</f>
        <v>0</v>
      </c>
      <c r="BP29" s="57" cm="1">
        <f t="array" ref="BP29">SUMPRODUCT(
  IF($B29:$K29&lt;&gt;"",
     INDEX('Eurostat EB products IEA'!$A$4:$BN$135,
           MATCH($B29:$K29, 'Eurostat EB products IEA'!$A$4:$A$135, 0),
           MATCH(BP$1, 'Eurostat EB products IEA'!$A$4:$BN$4, 0)
     )
     * $L29:$U29,
     0
  )
)</f>
        <v>0</v>
      </c>
      <c r="BQ29" s="57" cm="1">
        <f t="array" ref="BQ29">SUMPRODUCT(
  IF($B29:$K29&lt;&gt;"",
     INDEX('Eurostat EB products IEA'!$A$4:$BN$135,
           MATCH($B29:$K29, 'Eurostat EB products IEA'!$A$4:$A$135, 0),
           MATCH(BQ$1, 'Eurostat EB products IEA'!$A$4:$BN$4, 0)
     )
     * $L29:$U29,
     0
  )
)</f>
        <v>0</v>
      </c>
      <c r="BR29" s="57" cm="1">
        <f t="array" ref="BR29">SUMPRODUCT(
  IF($B29:$K29&lt;&gt;"",
     INDEX('Eurostat EB products IEA'!$A$4:$BN$135,
           MATCH($B29:$K29, 'Eurostat EB products IEA'!$A$4:$A$135, 0),
           MATCH(BR$1, 'Eurostat EB products IEA'!$A$4:$BN$4, 0)
     )
     * $L29:$U29,
     0
  )
)</f>
        <v>0</v>
      </c>
      <c r="BS29" s="65">
        <v>0</v>
      </c>
      <c r="BT29" s="57" cm="1">
        <f t="array" ref="BT29">SUMPRODUCT(
  IF($B29:$K29&lt;&gt;"",
     INDEX('Eurostat EB products IEA'!$A$4:$BN$135,
           MATCH($B29:$K29, 'Eurostat EB products IEA'!$A$4:$A$135, 0),
           MATCH(BT$1, 'Eurostat EB products IEA'!$A$4:$BN$4, 0)
     )
     * $L29:$U29,
     0
  )
)</f>
        <v>0</v>
      </c>
      <c r="BU29" s="65">
        <v>0</v>
      </c>
      <c r="BV29" s="65">
        <v>0</v>
      </c>
      <c r="BW29" s="57" cm="1">
        <f t="array" ref="BW29">SUMPRODUCT(
  IF($B29:$K29&lt;&gt;"",
     INDEX('Eurostat EB products IEA'!$A$4:$BN$135,
           MATCH($B29:$K29, 'Eurostat EB products IEA'!$A$4:$A$135, 0),
           MATCH(BW$1, 'Eurostat EB products IEA'!$A$4:$BN$4, 0)
     )
     * $L29:$U29,
     0
  )
)</f>
        <v>0</v>
      </c>
      <c r="BX29" s="57" cm="1">
        <f t="array" ref="BX29">SUMPRODUCT(
  IF($B29:$K29&lt;&gt;"",
     INDEX('Eurostat EB products IEA'!$A$4:$BN$135,
           MATCH($B29:$K29, 'Eurostat EB products IEA'!$A$4:$A$135, 0),
           MATCH(BX$1, 'Eurostat EB products IEA'!$A$4:$BN$4, 0)
     )
     * $L29:$U29,
     0
  )
)</f>
        <v>0</v>
      </c>
      <c r="BY29" s="57" cm="1">
        <f t="array" ref="BY29">SUMPRODUCT(
  IF($B29:$K29&lt;&gt;"",
     INDEX('Eurostat EB products IEA'!$A$4:$BN$135,
           MATCH($B29:$K29, 'Eurostat EB products IEA'!$A$4:$A$135, 0),
           MATCH(BY$1, 'Eurostat EB products IEA'!$A$4:$BN$4, 0)
     )
     * $L29:$U29,
     0
  )
)</f>
        <v>0</v>
      </c>
      <c r="BZ29" s="57" cm="1">
        <f t="array" ref="BZ29">SUMPRODUCT(
  IF($B29:$K29&lt;&gt;"",
     INDEX('Eurostat EB products IEA'!$A$4:$BN$135,
           MATCH($B29:$K29, 'Eurostat EB products IEA'!$A$4:$A$135, 0),
           MATCH(BZ$1, 'Eurostat EB products IEA'!$A$4:$BN$4, 0)
     )
     * $L29:$U29,
     0
  )
)</f>
        <v>0</v>
      </c>
      <c r="CA29" s="57" cm="1">
        <f t="array" ref="CA29">SUMPRODUCT(
  IF($B29:$K29&lt;&gt;"",
     INDEX('Eurostat EB products IEA'!$A$4:$BN$135,
           MATCH($B29:$K29, 'Eurostat EB products IEA'!$A$4:$A$135, 0),
           MATCH(CA$1, 'Eurostat EB products IEA'!$A$4:$BN$4, 0)
     )
     * $L29:$U29,
     0
  )
)</f>
        <v>0</v>
      </c>
      <c r="CB29" s="57" cm="1">
        <f t="array" ref="CB29">SUMPRODUCT(
  IF($B29:$K29&lt;&gt;"",
     INDEX('Eurostat EB products IEA'!$A$4:$BN$135,
           MATCH($B29:$K29, 'Eurostat EB products IEA'!$A$4:$A$135, 0),
           MATCH(CB$1, 'Eurostat EB products IEA'!$A$4:$BN$4, 0)
     )
     * $L29:$U29,
     0
  )
)</f>
        <v>0</v>
      </c>
      <c r="CC29" s="57" cm="1">
        <f t="array" ref="CC29">SUMPRODUCT(
  IF($B29:$K29&lt;&gt;"",
     INDEX('Eurostat EB products IEA'!$A$4:$BN$135,
           MATCH($B29:$K29, 'Eurostat EB products IEA'!$A$4:$A$135, 0),
           MATCH(CC$1, 'Eurostat EB products IEA'!$A$4:$BN$4, 0)
     )
     * $L29:$U29,
     0
  )
)</f>
        <v>0</v>
      </c>
      <c r="CD29" s="65">
        <v>0</v>
      </c>
      <c r="CE29" s="57" cm="1">
        <f t="array" ref="CE29">SUMPRODUCT(
  IF($B29:$K29&lt;&gt;"",
     INDEX('Eurostat EB products IEA'!$A$4:$BN$135,
           MATCH($B29:$K29, 'Eurostat EB products IEA'!$A$4:$A$135, 0),
           MATCH(CE$1, 'Eurostat EB products IEA'!$A$4:$BN$4, 0)
     )
     * $L29:$U29,
     0
  )
)</f>
        <v>0</v>
      </c>
      <c r="CF29" s="57" cm="1">
        <f t="array" ref="CF29">SUMPRODUCT(
  IF($B29:$K29&lt;&gt;"",
     INDEX('Eurostat EB products IEA'!$A$4:$BN$135,
           MATCH($B29:$K29, 'Eurostat EB products IEA'!$A$4:$A$135, 0),
           MATCH(CF$1, 'Eurostat EB products IEA'!$A$4:$BN$4, 0)
     )
     * $L29:$U29,
     0
  )
)</f>
        <v>0</v>
      </c>
      <c r="CG29" s="57" cm="1">
        <f t="array" ref="CG29">SUMPRODUCT(
  IF($B29:$K29&lt;&gt;"",
     INDEX('Eurostat EB products IEA'!$A$4:$BN$135,
           MATCH($B29:$K29, 'Eurostat EB products IEA'!$A$4:$A$135, 0),
           MATCH(CG$1, 'Eurostat EB products IEA'!$A$4:$BN$4, 0)
     )
     * $L29:$U29,
     0
  )
)</f>
        <v>0</v>
      </c>
      <c r="CH29" s="57" cm="1">
        <f t="array" ref="CH29">SUMPRODUCT(
  IF($B29:$K29&lt;&gt;"",
     INDEX('Eurostat EB products IEA'!$A$4:$BN$135,
           MATCH($B29:$K29, 'Eurostat EB products IEA'!$A$4:$A$135, 0),
           MATCH(CH$1, 'Eurostat EB products IEA'!$A$4:$BN$4, 0)
     )
     * $L29:$U29,
     0
  )
)</f>
        <v>0</v>
      </c>
    </row>
    <row r="30" spans="1:86" x14ac:dyDescent="0.2">
      <c r="A30" t="s">
        <v>97</v>
      </c>
      <c r="B30" s="75"/>
      <c r="C30" s="77"/>
      <c r="D30" s="75"/>
      <c r="E30" s="77"/>
      <c r="F30" s="75"/>
      <c r="G30" s="77"/>
      <c r="H30" s="75"/>
      <c r="I30" s="77"/>
      <c r="J30" s="74" t="s">
        <v>231</v>
      </c>
      <c r="K30" s="78" t="s">
        <v>260</v>
      </c>
      <c r="L30" s="76"/>
      <c r="M30" s="79"/>
      <c r="N30" s="76"/>
      <c r="O30" s="79"/>
      <c r="P30" s="76"/>
      <c r="Q30" s="79"/>
      <c r="R30" s="76"/>
      <c r="S30" s="79"/>
      <c r="T30" s="76">
        <v>-1</v>
      </c>
      <c r="U30" s="79">
        <v>1</v>
      </c>
      <c r="V30" s="65" t="s">
        <v>323</v>
      </c>
      <c r="W30" s="65" t="s">
        <v>323</v>
      </c>
      <c r="X30" s="17" cm="1">
        <f t="array" ref="X30">SUMPRODUCT(
  IF($B30:$K30&lt;&gt;"",
     INDEX('Eurostat EB products IEA'!$A$4:$BN$135,
           MATCH($B30:$K30, 'Eurostat EB products IEA'!$A$4:$A$135, 0),
           MATCH(X$1, 'Eurostat EB products IEA'!$A$4:$BN$4, 0)
     )
     * $L30:$U30,
     0
  )
)</f>
        <v>0</v>
      </c>
      <c r="Y30" s="17" cm="1">
        <f t="array" ref="Y30">SUMPRODUCT(
  IF($B30:$K30&lt;&gt;"",
     INDEX('Eurostat EB products IEA'!$A$4:$BN$135,
           MATCH($B30:$K30, 'Eurostat EB products IEA'!$A$4:$A$135, 0),
           MATCH(Y$1, 'Eurostat EB products IEA'!$A$4:$BN$4, 0)
     )
     * $L30:$U30,
     0
  )
)</f>
        <v>0</v>
      </c>
      <c r="Z30" s="17" cm="1">
        <f t="array" ref="Z30">SUMPRODUCT(
  IF($B30:$K30&lt;&gt;"",
     INDEX('Eurostat EB products IEA'!$A$4:$BN$135,
           MATCH($B30:$K30, 'Eurostat EB products IEA'!$A$4:$A$135, 0),
           MATCH(Z$1, 'Eurostat EB products IEA'!$A$4:$BN$4, 0)
     )
     * $L30:$U30,
     0
  )
)</f>
        <v>0</v>
      </c>
      <c r="AA30" s="17" cm="1">
        <f t="array" ref="AA30">SUMPRODUCT(
  IF($B30:$K30&lt;&gt;"",
     INDEX('Eurostat EB products IEA'!$A$4:$BN$135,
           MATCH($B30:$K30, 'Eurostat EB products IEA'!$A$4:$A$135, 0),
           MATCH(AA$1, 'Eurostat EB products IEA'!$A$4:$BN$4, 0)
     )
     * $L30:$U30,
     0
  )
)</f>
        <v>0</v>
      </c>
      <c r="AB30" s="17" cm="1">
        <f t="array" ref="AB30">SUMPRODUCT(
  IF($B30:$K30&lt;&gt;"",
     INDEX('Eurostat EB products IEA'!$A$4:$BN$135,
           MATCH($B30:$K30, 'Eurostat EB products IEA'!$A$4:$A$135, 0),
           MATCH(AB$1, 'Eurostat EB products IEA'!$A$4:$BN$4, 0)
     )
     * $L30:$U30,
     0
  )
)</f>
        <v>0</v>
      </c>
      <c r="AC30" s="17" cm="1">
        <f t="array" ref="AC30">SUMPRODUCT(
  IF($B30:$K30&lt;&gt;"",
     INDEX('Eurostat EB products IEA'!$A$4:$BN$135,
           MATCH($B30:$K30, 'Eurostat EB products IEA'!$A$4:$A$135, 0),
           MATCH(AC$1, 'Eurostat EB products IEA'!$A$4:$BN$4, 0)
     )
     * $L30:$U30,
     0
  )
)</f>
        <v>0</v>
      </c>
      <c r="AD30" s="17" cm="1">
        <f t="array" ref="AD30">SUMPRODUCT(
  IF($B30:$K30&lt;&gt;"",
     INDEX('Eurostat EB products IEA'!$A$4:$BN$135,
           MATCH($B30:$K30, 'Eurostat EB products IEA'!$A$4:$A$135, 0),
           MATCH(AD$1, 'Eurostat EB products IEA'!$A$4:$BN$4, 0)
     )
     * $L30:$U30,
     0
  )
)</f>
        <v>0</v>
      </c>
      <c r="AE30" s="17" cm="1">
        <f t="array" ref="AE30">SUMPRODUCT(
  IF($B30:$K30&lt;&gt;"",
     INDEX('Eurostat EB products IEA'!$A$4:$BN$135,
           MATCH($B30:$K30, 'Eurostat EB products IEA'!$A$4:$A$135, 0),
           MATCH(AE$1, 'Eurostat EB products IEA'!$A$4:$BN$4, 0)
     )
     * $L30:$U30,
     0
  )
)</f>
        <v>0</v>
      </c>
      <c r="AF30" s="17" cm="1">
        <f t="array" ref="AF30">SUMPRODUCT(
  IF($B30:$K30&lt;&gt;"",
     INDEX('Eurostat EB products IEA'!$A$4:$BN$135,
           MATCH($B30:$K30, 'Eurostat EB products IEA'!$A$4:$A$135, 0),
           MATCH(AF$1, 'Eurostat EB products IEA'!$A$4:$BN$4, 0)
     )
     * $L30:$U30,
     0
  )
)</f>
        <v>0</v>
      </c>
      <c r="AG30" s="17" cm="1">
        <f t="array" ref="AG30">SUMPRODUCT(
  IF($B30:$K30&lt;&gt;"",
     INDEX('Eurostat EB products IEA'!$A$4:$BN$135,
           MATCH($B30:$K30, 'Eurostat EB products IEA'!$A$4:$A$135, 0),
           MATCH(AG$1, 'Eurostat EB products IEA'!$A$4:$BN$4, 0)
     )
     * $L30:$U30,
     0
  )
)</f>
        <v>0</v>
      </c>
      <c r="AH30" s="17" cm="1">
        <f t="array" ref="AH30">SUMPRODUCT(
  IF($B30:$K30&lt;&gt;"",
     INDEX('Eurostat EB products IEA'!$A$4:$BN$135,
           MATCH($B30:$K30, 'Eurostat EB products IEA'!$A$4:$A$135, 0),
           MATCH(AH$1, 'Eurostat EB products IEA'!$A$4:$BN$4, 0)
     )
     * $L30:$U30,
     0
  )
)</f>
        <v>0</v>
      </c>
      <c r="AI30" s="17" cm="1">
        <f t="array" ref="AI30">SUMPRODUCT(
  IF($B30:$K30&lt;&gt;"",
     INDEX('Eurostat EB products IEA'!$A$4:$BN$135,
           MATCH($B30:$K30, 'Eurostat EB products IEA'!$A$4:$A$135, 0),
           MATCH(AI$1, 'Eurostat EB products IEA'!$A$4:$BN$4, 0)
     )
     * $L30:$U30,
     0
  )
)</f>
        <v>0</v>
      </c>
      <c r="AJ30" s="17" cm="1">
        <f t="array" ref="AJ30">SUMPRODUCT(
  IF($B30:$K30&lt;&gt;"",
     INDEX('Eurostat EB products IEA'!$A$4:$BN$135,
           MATCH($B30:$K30, 'Eurostat EB products IEA'!$A$4:$A$135, 0),
           MATCH(AJ$1, 'Eurostat EB products IEA'!$A$4:$BN$4, 0)
     )
     * $L30:$U30,
     0
  )
)</f>
        <v>0</v>
      </c>
      <c r="AK30" s="17" cm="1">
        <f t="array" ref="AK30">SUMPRODUCT(
  IF($B30:$K30&lt;&gt;"",
     INDEX('Eurostat EB products IEA'!$A$4:$BN$135,
           MATCH($B30:$K30, 'Eurostat EB products IEA'!$A$4:$A$135, 0),
           MATCH(AK$1, 'Eurostat EB products IEA'!$A$4:$BN$4, 0)
     )
     * $L30:$U30,
     0
  )
)</f>
        <v>0</v>
      </c>
      <c r="AL30" s="17" cm="1">
        <f t="array" ref="AL30">SUMPRODUCT(
  IF($B30:$K30&lt;&gt;"",
     INDEX('Eurostat EB products IEA'!$A$4:$BN$135,
           MATCH($B30:$K30, 'Eurostat EB products IEA'!$A$4:$A$135, 0),
           MATCH(AL$1, 'Eurostat EB products IEA'!$A$4:$BN$4, 0)
     )
     * $L30:$U30,
     0
  )
)</f>
        <v>0</v>
      </c>
      <c r="AM30" s="17" cm="1">
        <f t="array" ref="AM30">SUMPRODUCT(
  IF($B30:$K30&lt;&gt;"",
     INDEX('Eurostat EB products IEA'!$A$4:$BN$135,
           MATCH($B30:$K30, 'Eurostat EB products IEA'!$A$4:$A$135, 0),
           MATCH(AM$1, 'Eurostat EB products IEA'!$A$4:$BN$4, 0)
     )
     * $L30:$U30,
     0
  )
)</f>
        <v>0</v>
      </c>
      <c r="AN30" s="65" t="s">
        <v>323</v>
      </c>
      <c r="AO30" s="17" cm="1">
        <f t="array" ref="AO30">SUMPRODUCT(
  IF($B30:$K30&lt;&gt;"",
     INDEX('Eurostat EB products IEA'!$A$4:$BN$135,
           MATCH($B30:$K30, 'Eurostat EB products IEA'!$A$4:$A$135, 0),
           MATCH(AO$1, 'Eurostat EB products IEA'!$A$4:$BN$4, 0)
     )
     * $L30:$U30,
     0
  )
)</f>
        <v>0</v>
      </c>
      <c r="AP30" s="17" cm="1">
        <f t="array" ref="AP30">SUMPRODUCT(
  IF($B30:$K30&lt;&gt;"",
     INDEX('Eurostat EB products IEA'!$A$4:$BN$135,
           MATCH($B30:$K30, 'Eurostat EB products IEA'!$A$4:$A$135, 0),
           MATCH(AP$1, 'Eurostat EB products IEA'!$A$4:$BN$4, 0)
     )
     * $L30:$U30,
     0
  )
)</f>
        <v>0</v>
      </c>
      <c r="AQ30" s="17" cm="1">
        <f t="array" ref="AQ30">SUMPRODUCT(
  IF($B30:$K30&lt;&gt;"",
     INDEX('Eurostat EB products IEA'!$A$4:$BN$135,
           MATCH($B30:$K30, 'Eurostat EB products IEA'!$A$4:$A$135, 0),
           MATCH(AQ$1, 'Eurostat EB products IEA'!$A$4:$BN$4, 0)
     )
     * $L30:$U30,
     0
  )
)</f>
        <v>0</v>
      </c>
      <c r="AR30" s="17" cm="1">
        <f t="array" ref="AR30">SUMPRODUCT(
  IF($B30:$K30&lt;&gt;"",
     INDEX('Eurostat EB products IEA'!$A$4:$BN$135,
           MATCH($B30:$K30, 'Eurostat EB products IEA'!$A$4:$A$135, 0),
           MATCH(AR$1, 'Eurostat EB products IEA'!$A$4:$BN$4, 0)
     )
     * $L30:$U30,
     0
  )
)</f>
        <v>0</v>
      </c>
      <c r="AS30" s="17" cm="1">
        <f t="array" ref="AS30">SUMPRODUCT(
  IF($B30:$K30&lt;&gt;"",
     INDEX('Eurostat EB products IEA'!$A$4:$BN$135,
           MATCH($B30:$K30, 'Eurostat EB products IEA'!$A$4:$A$135, 0),
           MATCH(AS$1, 'Eurostat EB products IEA'!$A$4:$BN$4, 0)
     )
     * $L30:$U30,
     0
  )
)</f>
        <v>0</v>
      </c>
      <c r="AT30" s="17" cm="1">
        <f t="array" ref="AT30">SUMPRODUCT(
  IF($B30:$K30&lt;&gt;"",
     INDEX('Eurostat EB products IEA'!$A$4:$BN$135,
           MATCH($B30:$K30, 'Eurostat EB products IEA'!$A$4:$A$135, 0),
           MATCH(AT$1, 'Eurostat EB products IEA'!$A$4:$BN$4, 0)
     )
     * $L30:$U30,
     0
  )
)</f>
        <v>0</v>
      </c>
      <c r="AU30" s="17" cm="1">
        <f t="array" ref="AU30">SUMPRODUCT(
  IF($B30:$K30&lt;&gt;"",
     INDEX('Eurostat EB products IEA'!$A$4:$BN$135,
           MATCH($B30:$K30, 'Eurostat EB products IEA'!$A$4:$A$135, 0),
           MATCH(AU$1, 'Eurostat EB products IEA'!$A$4:$BN$4, 0)
     )
     * $L30:$U30,
     0
  )
)</f>
        <v>0</v>
      </c>
      <c r="AV30" s="17" cm="1">
        <f t="array" ref="AV30">SUMPRODUCT(
  IF($B30:$K30&lt;&gt;"",
     INDEX('Eurostat EB products IEA'!$A$4:$BN$135,
           MATCH($B30:$K30, 'Eurostat EB products IEA'!$A$4:$A$135, 0),
           MATCH(AV$1, 'Eurostat EB products IEA'!$A$4:$BN$4, 0)
     )
     * $L30:$U30,
     0
  )
)</f>
        <v>0</v>
      </c>
      <c r="AW30" s="17" cm="1">
        <f t="array" ref="AW30">SUMPRODUCT(
  IF($B30:$K30&lt;&gt;"",
     INDEX('Eurostat EB products IEA'!$A$4:$BN$135,
           MATCH($B30:$K30, 'Eurostat EB products IEA'!$A$4:$A$135, 0),
           MATCH(AW$1, 'Eurostat EB products IEA'!$A$4:$BN$4, 0)
     )
     * $L30:$U30,
     0
  )
)</f>
        <v>0</v>
      </c>
      <c r="AX30" s="17" cm="1">
        <f t="array" ref="AX30">SUMPRODUCT(
  IF($B30:$K30&lt;&gt;"",
     INDEX('Eurostat EB products IEA'!$A$4:$BN$135,
           MATCH($B30:$K30, 'Eurostat EB products IEA'!$A$4:$A$135, 0),
           MATCH(AX$1, 'Eurostat EB products IEA'!$A$4:$BN$4, 0)
     )
     * $L30:$U30,
     0
  )
)</f>
        <v>0</v>
      </c>
      <c r="AY30" s="17" cm="1">
        <f t="array" ref="AY30">SUMPRODUCT(
  IF($B30:$K30&lt;&gt;"",
     INDEX('Eurostat EB products IEA'!$A$4:$BN$135,
           MATCH($B30:$K30, 'Eurostat EB products IEA'!$A$4:$A$135, 0),
           MATCH(AY$1, 'Eurostat EB products IEA'!$A$4:$BN$4, 0)
     )
     * $L30:$U30,
     0
  )
)</f>
        <v>0</v>
      </c>
      <c r="AZ30" s="17" cm="1">
        <f t="array" ref="AZ30">SUMPRODUCT(
  IF($B30:$K30&lt;&gt;"",
     INDEX('Eurostat EB products IEA'!$A$4:$BN$135,
           MATCH($B30:$K30, 'Eurostat EB products IEA'!$A$4:$A$135, 0),
           MATCH(AZ$1, 'Eurostat EB products IEA'!$A$4:$BN$4, 0)
     )
     * $L30:$U30,
     0
  )
)</f>
        <v>0</v>
      </c>
      <c r="BA30" s="17" cm="1">
        <f t="array" ref="BA30">SUMPRODUCT(
  IF($B30:$K30&lt;&gt;"",
     INDEX('Eurostat EB products IEA'!$A$4:$BN$135,
           MATCH($B30:$K30, 'Eurostat EB products IEA'!$A$4:$A$135, 0),
           MATCH(BA$1, 'Eurostat EB products IEA'!$A$4:$BN$4, 0)
     )
     * $L30:$U30,
     0
  )
)</f>
        <v>0</v>
      </c>
      <c r="BB30" s="17" cm="1">
        <f t="array" ref="BB30">SUMPRODUCT(
  IF($B30:$K30&lt;&gt;"",
     INDEX('Eurostat EB products IEA'!$A$4:$BN$135,
           MATCH($B30:$K30, 'Eurostat EB products IEA'!$A$4:$A$135, 0),
           MATCH(BB$1, 'Eurostat EB products IEA'!$A$4:$BN$4, 0)
     )
     * $L30:$U30,
     0
  )
)</f>
        <v>0</v>
      </c>
      <c r="BC30" s="17" cm="1">
        <f t="array" ref="BC30">SUMPRODUCT(
  IF($B30:$K30&lt;&gt;"",
     INDEX('Eurostat EB products IEA'!$A$4:$BN$135,
           MATCH($B30:$K30, 'Eurostat EB products IEA'!$A$4:$A$135, 0),
           MATCH(BC$1, 'Eurostat EB products IEA'!$A$4:$BN$4, 0)
     )
     * $L30:$U30,
     0
  )
)</f>
        <v>0</v>
      </c>
      <c r="BD30" s="17" cm="1">
        <f t="array" ref="BD30">SUMPRODUCT(
  IF($B30:$K30&lt;&gt;"",
     INDEX('Eurostat EB products IEA'!$A$4:$BN$135,
           MATCH($B30:$K30, 'Eurostat EB products IEA'!$A$4:$A$135, 0),
           MATCH(BD$1, 'Eurostat EB products IEA'!$A$4:$BN$4, 0)
     )
     * $L30:$U30,
     0
  )
)</f>
        <v>0</v>
      </c>
      <c r="BE30" s="17" cm="1">
        <f t="array" ref="BE30">SUMPRODUCT(
  IF($B30:$K30&lt;&gt;"",
     INDEX('Eurostat EB products IEA'!$A$4:$BN$135,
           MATCH($B30:$K30, 'Eurostat EB products IEA'!$A$4:$A$135, 0),
           MATCH(BE$1, 'Eurostat EB products IEA'!$A$4:$BN$4, 0)
     )
     * $L30:$U30,
     0
  )
)</f>
        <v>0</v>
      </c>
      <c r="BF30" s="17" cm="1">
        <f t="array" ref="BF30">SUMPRODUCT(
  IF($B30:$K30&lt;&gt;"",
     INDEX('Eurostat EB products IEA'!$A$4:$BN$135,
           MATCH($B30:$K30, 'Eurostat EB products IEA'!$A$4:$A$135, 0),
           MATCH(BF$1, 'Eurostat EB products IEA'!$A$4:$BN$4, 0)
     )
     * $L30:$U30,
     0
  )
)</f>
        <v>0</v>
      </c>
      <c r="BG30" s="17" cm="1">
        <f t="array" ref="BG30">SUMPRODUCT(
  IF($B30:$K30&lt;&gt;"",
     INDEX('Eurostat EB products IEA'!$A$4:$BN$135,
           MATCH($B30:$K30, 'Eurostat EB products IEA'!$A$4:$A$135, 0),
           MATCH(BG$1, 'Eurostat EB products IEA'!$A$4:$BN$4, 0)
     )
     * $L30:$U30,
     0
  )
)</f>
        <v>0</v>
      </c>
      <c r="BH30" s="17" cm="1">
        <f t="array" ref="BH30">SUMPRODUCT(
  IF($B30:$K30&lt;&gt;"",
     INDEX('Eurostat EB products IEA'!$A$4:$BN$135,
           MATCH($B30:$K30, 'Eurostat EB products IEA'!$A$4:$A$135, 0),
           MATCH(BH$1, 'Eurostat EB products IEA'!$A$4:$BN$4, 0)
     )
     * $L30:$U30,
     0
  )
)</f>
        <v>0</v>
      </c>
      <c r="BI30" s="17" cm="1">
        <f t="array" ref="BI30">SUMPRODUCT(
  IF($B30:$K30&lt;&gt;"",
     INDEX('Eurostat EB products IEA'!$A$4:$BN$135,
           MATCH($B30:$K30, 'Eurostat EB products IEA'!$A$4:$A$135, 0),
           MATCH(BI$1, 'Eurostat EB products IEA'!$A$4:$BN$4, 0)
     )
     * $L30:$U30,
     0
  )
)</f>
        <v>0</v>
      </c>
      <c r="BJ30" s="17" cm="1">
        <f t="array" ref="BJ30">SUMPRODUCT(
  IF($B30:$K30&lt;&gt;"",
     INDEX('Eurostat EB products IEA'!$A$4:$BN$135,
           MATCH($B30:$K30, 'Eurostat EB products IEA'!$A$4:$A$135, 0),
           MATCH(BJ$1, 'Eurostat EB products IEA'!$A$4:$BN$4, 0)
     )
     * $L30:$U30,
     0
  )
)</f>
        <v>0</v>
      </c>
      <c r="BK30" s="17" cm="1">
        <f t="array" ref="BK30">SUMPRODUCT(
  IF($B30:$K30&lt;&gt;"",
     INDEX('Eurostat EB products IEA'!$A$4:$BN$135,
           MATCH($B30:$K30, 'Eurostat EB products IEA'!$A$4:$A$135, 0),
           MATCH(BK$1, 'Eurostat EB products IEA'!$A$4:$BN$4, 0)
     )
     * $L30:$U30,
     0
  )
)</f>
        <v>0</v>
      </c>
      <c r="BL30" s="17" cm="1">
        <f t="array" ref="BL30">SUMPRODUCT(
  IF($B30:$K30&lt;&gt;"",
     INDEX('Eurostat EB products IEA'!$A$4:$BN$135,
           MATCH($B30:$K30, 'Eurostat EB products IEA'!$A$4:$A$135, 0),
           MATCH(BL$1, 'Eurostat EB products IEA'!$A$4:$BN$4, 0)
     )
     * $L30:$U30,
     0
  )
)</f>
        <v>0</v>
      </c>
      <c r="BM30" s="17" cm="1">
        <f t="array" ref="BM30">SUMPRODUCT(
  IF($B30:$K30&lt;&gt;"",
     INDEX('Eurostat EB products IEA'!$A$4:$BN$135,
           MATCH($B30:$K30, 'Eurostat EB products IEA'!$A$4:$A$135, 0),
           MATCH(BM$1, 'Eurostat EB products IEA'!$A$4:$BN$4, 0)
     )
     * $L30:$U30,
     0
  )
)</f>
        <v>0</v>
      </c>
      <c r="BN30" s="17" cm="1">
        <f t="array" ref="BN30">SUMPRODUCT(
  IF($B30:$K30&lt;&gt;"",
     INDEX('Eurostat EB products IEA'!$A$4:$BN$135,
           MATCH($B30:$K30, 'Eurostat EB products IEA'!$A$4:$A$135, 0),
           MATCH(BN$1, 'Eurostat EB products IEA'!$A$4:$BN$4, 0)
     )
     * $L30:$U30,
     0
  )
)</f>
        <v>0</v>
      </c>
      <c r="BO30" s="17" cm="1">
        <f t="array" ref="BO30">SUMPRODUCT(
  IF($B30:$K30&lt;&gt;"",
     INDEX('Eurostat EB products IEA'!$A$4:$BN$135,
           MATCH($B30:$K30, 'Eurostat EB products IEA'!$A$4:$A$135, 0),
           MATCH(BO$1, 'Eurostat EB products IEA'!$A$4:$BN$4, 0)
     )
     * $L30:$U30,
     0
  )
)</f>
        <v>0</v>
      </c>
      <c r="BP30" s="17" cm="1">
        <f t="array" ref="BP30">SUMPRODUCT(
  IF($B30:$K30&lt;&gt;"",
     INDEX('Eurostat EB products IEA'!$A$4:$BN$135,
           MATCH($B30:$K30, 'Eurostat EB products IEA'!$A$4:$A$135, 0),
           MATCH(BP$1, 'Eurostat EB products IEA'!$A$4:$BN$4, 0)
     )
     * $L30:$U30,
     0
  )
)</f>
        <v>0</v>
      </c>
      <c r="BQ30" s="17" cm="1">
        <f t="array" ref="BQ30">SUMPRODUCT(
  IF($B30:$K30&lt;&gt;"",
     INDEX('Eurostat EB products IEA'!$A$4:$BN$135,
           MATCH($B30:$K30, 'Eurostat EB products IEA'!$A$4:$A$135, 0),
           MATCH(BQ$1, 'Eurostat EB products IEA'!$A$4:$BN$4, 0)
     )
     * $L30:$U30,
     0
  )
)</f>
        <v>0</v>
      </c>
      <c r="BR30" s="17" cm="1">
        <f t="array" ref="BR30">SUMPRODUCT(
  IF($B30:$K30&lt;&gt;"",
     INDEX('Eurostat EB products IEA'!$A$4:$BN$135,
           MATCH($B30:$K30, 'Eurostat EB products IEA'!$A$4:$A$135, 0),
           MATCH(BR$1, 'Eurostat EB products IEA'!$A$4:$BN$4, 0)
     )
     * $L30:$U30,
     0
  )
)</f>
        <v>0</v>
      </c>
      <c r="BS30" s="65">
        <v>0</v>
      </c>
      <c r="BT30" s="17" cm="1">
        <f t="array" ref="BT30">SUMPRODUCT(
  IF($B30:$K30&lt;&gt;"",
     INDEX('Eurostat EB products IEA'!$A$4:$BN$135,
           MATCH($B30:$K30, 'Eurostat EB products IEA'!$A$4:$A$135, 0),
           MATCH(BT$1, 'Eurostat EB products IEA'!$A$4:$BN$4, 0)
     )
     * $L30:$U30,
     0
  )
)</f>
        <v>0</v>
      </c>
      <c r="BU30" s="65">
        <v>0</v>
      </c>
      <c r="BV30" s="65">
        <v>0</v>
      </c>
      <c r="BW30" s="17" cm="1">
        <f t="array" ref="BW30">SUMPRODUCT(
  IF($B30:$K30&lt;&gt;"",
     INDEX('Eurostat EB products IEA'!$A$4:$BN$135,
           MATCH($B30:$K30, 'Eurostat EB products IEA'!$A$4:$A$135, 0),
           MATCH(BW$1, 'Eurostat EB products IEA'!$A$4:$BN$4, 0)
     )
     * $L30:$U30,
     0
  )
)</f>
        <v>0</v>
      </c>
      <c r="BX30" s="17" cm="1">
        <f t="array" ref="BX30">SUMPRODUCT(
  IF($B30:$K30&lt;&gt;"",
     INDEX('Eurostat EB products IEA'!$A$4:$BN$135,
           MATCH($B30:$K30, 'Eurostat EB products IEA'!$A$4:$A$135, 0),
           MATCH(BX$1, 'Eurostat EB products IEA'!$A$4:$BN$4, 0)
     )
     * $L30:$U30,
     0
  )
)</f>
        <v>0</v>
      </c>
      <c r="BY30" s="17" cm="1">
        <f t="array" ref="BY30">SUMPRODUCT(
  IF($B30:$K30&lt;&gt;"",
     INDEX('Eurostat EB products IEA'!$A$4:$BN$135,
           MATCH($B30:$K30, 'Eurostat EB products IEA'!$A$4:$A$135, 0),
           MATCH(BY$1, 'Eurostat EB products IEA'!$A$4:$BN$4, 0)
     )
     * $L30:$U30,
     0
  )
)</f>
        <v>0</v>
      </c>
      <c r="BZ30" s="17" cm="1">
        <f t="array" ref="BZ30">SUMPRODUCT(
  IF($B30:$K30&lt;&gt;"",
     INDEX('Eurostat EB products IEA'!$A$4:$BN$135,
           MATCH($B30:$K30, 'Eurostat EB products IEA'!$A$4:$A$135, 0),
           MATCH(BZ$1, 'Eurostat EB products IEA'!$A$4:$BN$4, 0)
     )
     * $L30:$U30,
     0
  )
)</f>
        <v>0</v>
      </c>
      <c r="CA30" s="17" cm="1">
        <f t="array" ref="CA30">SUMPRODUCT(
  IF($B30:$K30&lt;&gt;"",
     INDEX('Eurostat EB products IEA'!$A$4:$BN$135,
           MATCH($B30:$K30, 'Eurostat EB products IEA'!$A$4:$A$135, 0),
           MATCH(CA$1, 'Eurostat EB products IEA'!$A$4:$BN$4, 0)
     )
     * $L30:$U30,
     0
  )
)</f>
        <v>0</v>
      </c>
      <c r="CB30" s="17" cm="1">
        <f t="array" ref="CB30">SUMPRODUCT(
  IF($B30:$K30&lt;&gt;"",
     INDEX('Eurostat EB products IEA'!$A$4:$BN$135,
           MATCH($B30:$K30, 'Eurostat EB products IEA'!$A$4:$A$135, 0),
           MATCH(CB$1, 'Eurostat EB products IEA'!$A$4:$BN$4, 0)
     )
     * $L30:$U30,
     0
  )
)</f>
        <v>0</v>
      </c>
      <c r="CC30" s="17" cm="1">
        <f t="array" ref="CC30">SUMPRODUCT(
  IF($B30:$K30&lt;&gt;"",
     INDEX('Eurostat EB products IEA'!$A$4:$BN$135,
           MATCH($B30:$K30, 'Eurostat EB products IEA'!$A$4:$A$135, 0),
           MATCH(CC$1, 'Eurostat EB products IEA'!$A$4:$BN$4, 0)
     )
     * $L30:$U30,
     0
  )
)</f>
        <v>0</v>
      </c>
      <c r="CD30" s="65">
        <v>0</v>
      </c>
      <c r="CE30" s="17" cm="1">
        <f t="array" ref="CE30">SUMPRODUCT(
  IF($B30:$K30&lt;&gt;"",
     INDEX('Eurostat EB products IEA'!$A$4:$BN$135,
           MATCH($B30:$K30, 'Eurostat EB products IEA'!$A$4:$A$135, 0),
           MATCH(CE$1, 'Eurostat EB products IEA'!$A$4:$BN$4, 0)
     )
     * $L30:$U30,
     0
  )
)</f>
        <v>0</v>
      </c>
      <c r="CF30" s="17" cm="1">
        <f t="array" ref="CF30">SUMPRODUCT(
  IF($B30:$K30&lt;&gt;"",
     INDEX('Eurostat EB products IEA'!$A$4:$BN$135,
           MATCH($B30:$K30, 'Eurostat EB products IEA'!$A$4:$A$135, 0),
           MATCH(CF$1, 'Eurostat EB products IEA'!$A$4:$BN$4, 0)
     )
     * $L30:$U30,
     0
  )
)</f>
        <v>0</v>
      </c>
      <c r="CG30" s="17" cm="1">
        <f t="array" ref="CG30">SUMPRODUCT(
  IF($B30:$K30&lt;&gt;"",
     INDEX('Eurostat EB products IEA'!$A$4:$BN$135,
           MATCH($B30:$K30, 'Eurostat EB products IEA'!$A$4:$A$135, 0),
           MATCH(CG$1, 'Eurostat EB products IEA'!$A$4:$BN$4, 0)
     )
     * $L30:$U30,
     0
  )
)</f>
        <v>0</v>
      </c>
      <c r="CH30" s="17" cm="1">
        <f t="array" ref="CH30">SUMPRODUCT(
  IF($B30:$K30&lt;&gt;"",
     INDEX('Eurostat EB products IEA'!$A$4:$BN$135,
           MATCH($B30:$K30, 'Eurostat EB products IEA'!$A$4:$A$135, 0),
           MATCH(CH$1, 'Eurostat EB products IEA'!$A$4:$BN$4, 0)
     )
     * $L30:$U30,
     0
  )
)</f>
        <v>0</v>
      </c>
    </row>
    <row r="31" spans="1:86" x14ac:dyDescent="0.2">
      <c r="A31" t="s">
        <v>91</v>
      </c>
      <c r="B31" s="75"/>
      <c r="C31" s="77"/>
      <c r="D31" s="75"/>
      <c r="E31" s="77"/>
      <c r="F31" s="75"/>
      <c r="G31" s="77"/>
      <c r="H31" s="75"/>
      <c r="I31" s="77"/>
      <c r="J31" s="74" t="s">
        <v>391</v>
      </c>
      <c r="K31" s="78" t="s">
        <v>257</v>
      </c>
      <c r="L31" s="76"/>
      <c r="M31" s="79"/>
      <c r="N31" s="76"/>
      <c r="O31" s="79"/>
      <c r="P31" s="76"/>
      <c r="Q31" s="79"/>
      <c r="R31" s="76"/>
      <c r="S31" s="79"/>
      <c r="T31" s="76">
        <v>-1</v>
      </c>
      <c r="U31" s="79">
        <v>1</v>
      </c>
      <c r="V31" s="65" t="s">
        <v>323</v>
      </c>
      <c r="W31" s="65" t="s">
        <v>323</v>
      </c>
      <c r="X31" s="57" cm="1">
        <f t="array" ref="X31">SUMPRODUCT(
  IF($B31:$K31&lt;&gt;"",
     INDEX('Eurostat EB products IEA'!$A$4:$BN$135,
           MATCH($B31:$K31, 'Eurostat EB products IEA'!$A$4:$A$135, 0),
           MATCH(X$1, 'Eurostat EB products IEA'!$A$4:$BN$4, 0)
     )
     * $L31:$U31,
     0
  )
)</f>
        <v>0</v>
      </c>
      <c r="Y31" s="57" cm="1">
        <f t="array" ref="Y31">SUMPRODUCT(
  IF($B31:$K31&lt;&gt;"",
     INDEX('Eurostat EB products IEA'!$A$4:$BN$135,
           MATCH($B31:$K31, 'Eurostat EB products IEA'!$A$4:$A$135, 0),
           MATCH(Y$1, 'Eurostat EB products IEA'!$A$4:$BN$4, 0)
     )
     * $L31:$U31,
     0
  )
)</f>
        <v>0</v>
      </c>
      <c r="Z31" s="57" cm="1">
        <f t="array" ref="Z31">SUMPRODUCT(
  IF($B31:$K31&lt;&gt;"",
     INDEX('Eurostat EB products IEA'!$A$4:$BN$135,
           MATCH($B31:$K31, 'Eurostat EB products IEA'!$A$4:$A$135, 0),
           MATCH(Z$1, 'Eurostat EB products IEA'!$A$4:$BN$4, 0)
     )
     * $L31:$U31,
     0
  )
)</f>
        <v>0</v>
      </c>
      <c r="AA31" s="57" cm="1">
        <f t="array" ref="AA31">SUMPRODUCT(
  IF($B31:$K31&lt;&gt;"",
     INDEX('Eurostat EB products IEA'!$A$4:$BN$135,
           MATCH($B31:$K31, 'Eurostat EB products IEA'!$A$4:$A$135, 0),
           MATCH(AA$1, 'Eurostat EB products IEA'!$A$4:$BN$4, 0)
     )
     * $L31:$U31,
     0
  )
)</f>
        <v>0</v>
      </c>
      <c r="AB31" s="57" cm="1">
        <f t="array" ref="AB31">SUMPRODUCT(
  IF($B31:$K31&lt;&gt;"",
     INDEX('Eurostat EB products IEA'!$A$4:$BN$135,
           MATCH($B31:$K31, 'Eurostat EB products IEA'!$A$4:$A$135, 0),
           MATCH(AB$1, 'Eurostat EB products IEA'!$A$4:$BN$4, 0)
     )
     * $L31:$U31,
     0
  )
)</f>
        <v>0</v>
      </c>
      <c r="AC31" s="57" cm="1">
        <f t="array" ref="AC31">SUMPRODUCT(
  IF($B31:$K31&lt;&gt;"",
     INDEX('Eurostat EB products IEA'!$A$4:$BN$135,
           MATCH($B31:$K31, 'Eurostat EB products IEA'!$A$4:$A$135, 0),
           MATCH(AC$1, 'Eurostat EB products IEA'!$A$4:$BN$4, 0)
     )
     * $L31:$U31,
     0
  )
)</f>
        <v>0</v>
      </c>
      <c r="AD31" s="57" cm="1">
        <f t="array" ref="AD31">SUMPRODUCT(
  IF($B31:$K31&lt;&gt;"",
     INDEX('Eurostat EB products IEA'!$A$4:$BN$135,
           MATCH($B31:$K31, 'Eurostat EB products IEA'!$A$4:$A$135, 0),
           MATCH(AD$1, 'Eurostat EB products IEA'!$A$4:$BN$4, 0)
     )
     * $L31:$U31,
     0
  )
)</f>
        <v>0</v>
      </c>
      <c r="AE31" s="57" cm="1">
        <f t="array" ref="AE31">SUMPRODUCT(
  IF($B31:$K31&lt;&gt;"",
     INDEX('Eurostat EB products IEA'!$A$4:$BN$135,
           MATCH($B31:$K31, 'Eurostat EB products IEA'!$A$4:$A$135, 0),
           MATCH(AE$1, 'Eurostat EB products IEA'!$A$4:$BN$4, 0)
     )
     * $L31:$U31,
     0
  )
)</f>
        <v>0</v>
      </c>
      <c r="AF31" s="57" cm="1">
        <f t="array" ref="AF31">SUMPRODUCT(
  IF($B31:$K31&lt;&gt;"",
     INDEX('Eurostat EB products IEA'!$A$4:$BN$135,
           MATCH($B31:$K31, 'Eurostat EB products IEA'!$A$4:$A$135, 0),
           MATCH(AF$1, 'Eurostat EB products IEA'!$A$4:$BN$4, 0)
     )
     * $L31:$U31,
     0
  )
)</f>
        <v>0</v>
      </c>
      <c r="AG31" s="57" cm="1">
        <f t="array" ref="AG31">SUMPRODUCT(
  IF($B31:$K31&lt;&gt;"",
     INDEX('Eurostat EB products IEA'!$A$4:$BN$135,
           MATCH($B31:$K31, 'Eurostat EB products IEA'!$A$4:$A$135, 0),
           MATCH(AG$1, 'Eurostat EB products IEA'!$A$4:$BN$4, 0)
     )
     * $L31:$U31,
     0
  )
)</f>
        <v>0</v>
      </c>
      <c r="AH31" s="57" cm="1">
        <f t="array" ref="AH31">SUMPRODUCT(
  IF($B31:$K31&lt;&gt;"",
     INDEX('Eurostat EB products IEA'!$A$4:$BN$135,
           MATCH($B31:$K31, 'Eurostat EB products IEA'!$A$4:$A$135, 0),
           MATCH(AH$1, 'Eurostat EB products IEA'!$A$4:$BN$4, 0)
     )
     * $L31:$U31,
     0
  )
)</f>
        <v>0</v>
      </c>
      <c r="AI31" s="57" cm="1">
        <f t="array" ref="AI31">SUMPRODUCT(
  IF($B31:$K31&lt;&gt;"",
     INDEX('Eurostat EB products IEA'!$A$4:$BN$135,
           MATCH($B31:$K31, 'Eurostat EB products IEA'!$A$4:$A$135, 0),
           MATCH(AI$1, 'Eurostat EB products IEA'!$A$4:$BN$4, 0)
     )
     * $L31:$U31,
     0
  )
)</f>
        <v>0</v>
      </c>
      <c r="AJ31" s="57" cm="1">
        <f t="array" ref="AJ31">SUMPRODUCT(
  IF($B31:$K31&lt;&gt;"",
     INDEX('Eurostat EB products IEA'!$A$4:$BN$135,
           MATCH($B31:$K31, 'Eurostat EB products IEA'!$A$4:$A$135, 0),
           MATCH(AJ$1, 'Eurostat EB products IEA'!$A$4:$BN$4, 0)
     )
     * $L31:$U31,
     0
  )
)</f>
        <v>0</v>
      </c>
      <c r="AK31" s="57" cm="1">
        <f t="array" ref="AK31">SUMPRODUCT(
  IF($B31:$K31&lt;&gt;"",
     INDEX('Eurostat EB products IEA'!$A$4:$BN$135,
           MATCH($B31:$K31, 'Eurostat EB products IEA'!$A$4:$A$135, 0),
           MATCH(AK$1, 'Eurostat EB products IEA'!$A$4:$BN$4, 0)
     )
     * $L31:$U31,
     0
  )
)</f>
        <v>0</v>
      </c>
      <c r="AL31" s="57" cm="1">
        <f t="array" ref="AL31">SUMPRODUCT(
  IF($B31:$K31&lt;&gt;"",
     INDEX('Eurostat EB products IEA'!$A$4:$BN$135,
           MATCH($B31:$K31, 'Eurostat EB products IEA'!$A$4:$A$135, 0),
           MATCH(AL$1, 'Eurostat EB products IEA'!$A$4:$BN$4, 0)
     )
     * $L31:$U31,
     0
  )
)</f>
        <v>0</v>
      </c>
      <c r="AM31" s="57" cm="1">
        <f t="array" ref="AM31">SUMPRODUCT(
  IF($B31:$K31&lt;&gt;"",
     INDEX('Eurostat EB products IEA'!$A$4:$BN$135,
           MATCH($B31:$K31, 'Eurostat EB products IEA'!$A$4:$A$135, 0),
           MATCH(AM$1, 'Eurostat EB products IEA'!$A$4:$BN$4, 0)
     )
     * $L31:$U31,
     0
  )
)</f>
        <v>11333.489</v>
      </c>
      <c r="AN31" s="65" t="s">
        <v>323</v>
      </c>
      <c r="AO31" s="57" cm="1">
        <f t="array" ref="AO31">SUMPRODUCT(
  IF($B31:$K31&lt;&gt;"",
     INDEX('Eurostat EB products IEA'!$A$4:$BN$135,
           MATCH($B31:$K31, 'Eurostat EB products IEA'!$A$4:$A$135, 0),
           MATCH(AO$1, 'Eurostat EB products IEA'!$A$4:$BN$4, 0)
     )
     * $L31:$U31,
     0
  )
)</f>
        <v>0</v>
      </c>
      <c r="AP31" s="57" cm="1">
        <f t="array" ref="AP31">SUMPRODUCT(
  IF($B31:$K31&lt;&gt;"",
     INDEX('Eurostat EB products IEA'!$A$4:$BN$135,
           MATCH($B31:$K31, 'Eurostat EB products IEA'!$A$4:$A$135, 0),
           MATCH(AP$1, 'Eurostat EB products IEA'!$A$4:$BN$4, 0)
     )
     * $L31:$U31,
     0
  )
)</f>
        <v>0</v>
      </c>
      <c r="AQ31" s="57" cm="1">
        <f t="array" ref="AQ31">SUMPRODUCT(
  IF($B31:$K31&lt;&gt;"",
     INDEX('Eurostat EB products IEA'!$A$4:$BN$135,
           MATCH($B31:$K31, 'Eurostat EB products IEA'!$A$4:$A$135, 0),
           MATCH(AQ$1, 'Eurostat EB products IEA'!$A$4:$BN$4, 0)
     )
     * $L31:$U31,
     0
  )
)</f>
        <v>0</v>
      </c>
      <c r="AR31" s="57" cm="1">
        <f t="array" ref="AR31">SUMPRODUCT(
  IF($B31:$K31&lt;&gt;"",
     INDEX('Eurostat EB products IEA'!$A$4:$BN$135,
           MATCH($B31:$K31, 'Eurostat EB products IEA'!$A$4:$A$135, 0),
           MATCH(AR$1, 'Eurostat EB products IEA'!$A$4:$BN$4, 0)
     )
     * $L31:$U31,
     0
  )
)</f>
        <v>0</v>
      </c>
      <c r="AS31" s="57" cm="1">
        <f t="array" ref="AS31">SUMPRODUCT(
  IF($B31:$K31&lt;&gt;"",
     INDEX('Eurostat EB products IEA'!$A$4:$BN$135,
           MATCH($B31:$K31, 'Eurostat EB products IEA'!$A$4:$A$135, 0),
           MATCH(AS$1, 'Eurostat EB products IEA'!$A$4:$BN$4, 0)
     )
     * $L31:$U31,
     0
  )
)</f>
        <v>0</v>
      </c>
      <c r="AT31" s="57" cm="1">
        <f t="array" ref="AT31">SUMPRODUCT(
  IF($B31:$K31&lt;&gt;"",
     INDEX('Eurostat EB products IEA'!$A$4:$BN$135,
           MATCH($B31:$K31, 'Eurostat EB products IEA'!$A$4:$A$135, 0),
           MATCH(AT$1, 'Eurostat EB products IEA'!$A$4:$BN$4, 0)
     )
     * $L31:$U31,
     0
  )
)</f>
        <v>-1614.182</v>
      </c>
      <c r="AU31" s="57" cm="1">
        <f t="array" ref="AU31">SUMPRODUCT(
  IF($B31:$K31&lt;&gt;"",
     INDEX('Eurostat EB products IEA'!$A$4:$BN$135,
           MATCH($B31:$K31, 'Eurostat EB products IEA'!$A$4:$A$135, 0),
           MATCH(AU$1, 'Eurostat EB products IEA'!$A$4:$BN$4, 0)
     )
     * $L31:$U31,
     0
  )
)</f>
        <v>0</v>
      </c>
      <c r="AV31" s="57" cm="1">
        <f t="array" ref="AV31">SUMPRODUCT(
  IF($B31:$K31&lt;&gt;"",
     INDEX('Eurostat EB products IEA'!$A$4:$BN$135,
           MATCH($B31:$K31, 'Eurostat EB products IEA'!$A$4:$A$135, 0),
           MATCH(AV$1, 'Eurostat EB products IEA'!$A$4:$BN$4, 0)
     )
     * $L31:$U31,
     0
  )
)</f>
        <v>0</v>
      </c>
      <c r="AW31" s="57" cm="1">
        <f t="array" ref="AW31">SUMPRODUCT(
  IF($B31:$K31&lt;&gt;"",
     INDEX('Eurostat EB products IEA'!$A$4:$BN$135,
           MATCH($B31:$K31, 'Eurostat EB products IEA'!$A$4:$A$135, 0),
           MATCH(AW$1, 'Eurostat EB products IEA'!$A$4:$BN$4, 0)
     )
     * $L31:$U31,
     0
  )
)</f>
        <v>0</v>
      </c>
      <c r="AX31" s="57" cm="1">
        <f t="array" ref="AX31">SUMPRODUCT(
  IF($B31:$K31&lt;&gt;"",
     INDEX('Eurostat EB products IEA'!$A$4:$BN$135,
           MATCH($B31:$K31, 'Eurostat EB products IEA'!$A$4:$A$135, 0),
           MATCH(AX$1, 'Eurostat EB products IEA'!$A$4:$BN$4, 0)
     )
     * $L31:$U31,
     0
  )
)</f>
        <v>0</v>
      </c>
      <c r="AY31" s="57" cm="1">
        <f t="array" ref="AY31">SUMPRODUCT(
  IF($B31:$K31&lt;&gt;"",
     INDEX('Eurostat EB products IEA'!$A$4:$BN$135,
           MATCH($B31:$K31, 'Eurostat EB products IEA'!$A$4:$A$135, 0),
           MATCH(AY$1, 'Eurostat EB products IEA'!$A$4:$BN$4, 0)
     )
     * $L31:$U31,
     0
  )
)</f>
        <v>0</v>
      </c>
      <c r="AZ31" s="57" cm="1">
        <f t="array" ref="AZ31">SUMPRODUCT(
  IF($B31:$K31&lt;&gt;"",
     INDEX('Eurostat EB products IEA'!$A$4:$BN$135,
           MATCH($B31:$K31, 'Eurostat EB products IEA'!$A$4:$A$135, 0),
           MATCH(AZ$1, 'Eurostat EB products IEA'!$A$4:$BN$4, 0)
     )
     * $L31:$U31,
     0
  )
)</f>
        <v>0</v>
      </c>
      <c r="BA31" s="57" cm="1">
        <f t="array" ref="BA31">SUMPRODUCT(
  IF($B31:$K31&lt;&gt;"",
     INDEX('Eurostat EB products IEA'!$A$4:$BN$135,
           MATCH($B31:$K31, 'Eurostat EB products IEA'!$A$4:$A$135, 0),
           MATCH(BA$1, 'Eurostat EB products IEA'!$A$4:$BN$4, 0)
     )
     * $L31:$U31,
     0
  )
)</f>
        <v>0</v>
      </c>
      <c r="BB31" s="57" cm="1">
        <f t="array" ref="BB31">SUMPRODUCT(
  IF($B31:$K31&lt;&gt;"",
     INDEX('Eurostat EB products IEA'!$A$4:$BN$135,
           MATCH($B31:$K31, 'Eurostat EB products IEA'!$A$4:$A$135, 0),
           MATCH(BB$1, 'Eurostat EB products IEA'!$A$4:$BN$4, 0)
     )
     * $L31:$U31,
     0
  )
)</f>
        <v>0</v>
      </c>
      <c r="BC31" s="57" cm="1">
        <f t="array" ref="BC31">SUMPRODUCT(
  IF($B31:$K31&lt;&gt;"",
     INDEX('Eurostat EB products IEA'!$A$4:$BN$135,
           MATCH($B31:$K31, 'Eurostat EB products IEA'!$A$4:$A$135, 0),
           MATCH(BC$1, 'Eurostat EB products IEA'!$A$4:$BN$4, 0)
     )
     * $L31:$U31,
     0
  )
)</f>
        <v>0</v>
      </c>
      <c r="BD31" s="57" cm="1">
        <f t="array" ref="BD31">SUMPRODUCT(
  IF($B31:$K31&lt;&gt;"",
     INDEX('Eurostat EB products IEA'!$A$4:$BN$135,
           MATCH($B31:$K31, 'Eurostat EB products IEA'!$A$4:$A$135, 0),
           MATCH(BD$1, 'Eurostat EB products IEA'!$A$4:$BN$4, 0)
     )
     * $L31:$U31,
     0
  )
)</f>
        <v>0</v>
      </c>
      <c r="BE31" s="57" cm="1">
        <f t="array" ref="BE31">SUMPRODUCT(
  IF($B31:$K31&lt;&gt;"",
     INDEX('Eurostat EB products IEA'!$A$4:$BN$135,
           MATCH($B31:$K31, 'Eurostat EB products IEA'!$A$4:$A$135, 0),
           MATCH(BE$1, 'Eurostat EB products IEA'!$A$4:$BN$4, 0)
     )
     * $L31:$U31,
     0
  )
)</f>
        <v>0</v>
      </c>
      <c r="BF31" s="57" cm="1">
        <f t="array" ref="BF31">SUMPRODUCT(
  IF($B31:$K31&lt;&gt;"",
     INDEX('Eurostat EB products IEA'!$A$4:$BN$135,
           MATCH($B31:$K31, 'Eurostat EB products IEA'!$A$4:$A$135, 0),
           MATCH(BF$1, 'Eurostat EB products IEA'!$A$4:$BN$4, 0)
     )
     * $L31:$U31,
     0
  )
)</f>
        <v>0</v>
      </c>
      <c r="BG31" s="57" cm="1">
        <f t="array" ref="BG31">SUMPRODUCT(
  IF($B31:$K31&lt;&gt;"",
     INDEX('Eurostat EB products IEA'!$A$4:$BN$135,
           MATCH($B31:$K31, 'Eurostat EB products IEA'!$A$4:$A$135, 0),
           MATCH(BG$1, 'Eurostat EB products IEA'!$A$4:$BN$4, 0)
     )
     * $L31:$U31,
     0
  )
)</f>
        <v>0</v>
      </c>
      <c r="BH31" s="57" cm="1">
        <f t="array" ref="BH31">SUMPRODUCT(
  IF($B31:$K31&lt;&gt;"",
     INDEX('Eurostat EB products IEA'!$A$4:$BN$135,
           MATCH($B31:$K31, 'Eurostat EB products IEA'!$A$4:$A$135, 0),
           MATCH(BH$1, 'Eurostat EB products IEA'!$A$4:$BN$4, 0)
     )
     * $L31:$U31,
     0
  )
)</f>
        <v>0</v>
      </c>
      <c r="BI31" s="57" cm="1">
        <f t="array" ref="BI31">SUMPRODUCT(
  IF($B31:$K31&lt;&gt;"",
     INDEX('Eurostat EB products IEA'!$A$4:$BN$135,
           MATCH($B31:$K31, 'Eurostat EB products IEA'!$A$4:$A$135, 0),
           MATCH(BI$1, 'Eurostat EB products IEA'!$A$4:$BN$4, 0)
     )
     * $L31:$U31,
     0
  )
)</f>
        <v>0</v>
      </c>
      <c r="BJ31" s="57" cm="1">
        <f t="array" ref="BJ31">SUMPRODUCT(
  IF($B31:$K31&lt;&gt;"",
     INDEX('Eurostat EB products IEA'!$A$4:$BN$135,
           MATCH($B31:$K31, 'Eurostat EB products IEA'!$A$4:$A$135, 0),
           MATCH(BJ$1, 'Eurostat EB products IEA'!$A$4:$BN$4, 0)
     )
     * $L31:$U31,
     0
  )
)</f>
        <v>0</v>
      </c>
      <c r="BK31" s="57" cm="1">
        <f t="array" ref="BK31">SUMPRODUCT(
  IF($B31:$K31&lt;&gt;"",
     INDEX('Eurostat EB products IEA'!$A$4:$BN$135,
           MATCH($B31:$K31, 'Eurostat EB products IEA'!$A$4:$A$135, 0),
           MATCH(BK$1, 'Eurostat EB products IEA'!$A$4:$BN$4, 0)
     )
     * $L31:$U31,
     0
  )
)</f>
        <v>0</v>
      </c>
      <c r="BL31" s="57" cm="1">
        <f t="array" ref="BL31">SUMPRODUCT(
  IF($B31:$K31&lt;&gt;"",
     INDEX('Eurostat EB products IEA'!$A$4:$BN$135,
           MATCH($B31:$K31, 'Eurostat EB products IEA'!$A$4:$A$135, 0),
           MATCH(BL$1, 'Eurostat EB products IEA'!$A$4:$BN$4, 0)
     )
     * $L31:$U31,
     0
  )
)</f>
        <v>0</v>
      </c>
      <c r="BM31" s="57" cm="1">
        <f t="array" ref="BM31">SUMPRODUCT(
  IF($B31:$K31&lt;&gt;"",
     INDEX('Eurostat EB products IEA'!$A$4:$BN$135,
           MATCH($B31:$K31, 'Eurostat EB products IEA'!$A$4:$A$135, 0),
           MATCH(BM$1, 'Eurostat EB products IEA'!$A$4:$BN$4, 0)
     )
     * $L31:$U31,
     0
  )
)</f>
        <v>0</v>
      </c>
      <c r="BN31" s="57" cm="1">
        <f t="array" ref="BN31">SUMPRODUCT(
  IF($B31:$K31&lt;&gt;"",
     INDEX('Eurostat EB products IEA'!$A$4:$BN$135,
           MATCH($B31:$K31, 'Eurostat EB products IEA'!$A$4:$A$135, 0),
           MATCH(BN$1, 'Eurostat EB products IEA'!$A$4:$BN$4, 0)
     )
     * $L31:$U31,
     0
  )
)</f>
        <v>0</v>
      </c>
      <c r="BO31" s="57" cm="1">
        <f t="array" ref="BO31">SUMPRODUCT(
  IF($B31:$K31&lt;&gt;"",
     INDEX('Eurostat EB products IEA'!$A$4:$BN$135,
           MATCH($B31:$K31, 'Eurostat EB products IEA'!$A$4:$A$135, 0),
           MATCH(BO$1, 'Eurostat EB products IEA'!$A$4:$BN$4, 0)
     )
     * $L31:$U31,
     0
  )
)</f>
        <v>-9718.2240000000002</v>
      </c>
      <c r="BP31" s="57" cm="1">
        <f t="array" ref="BP31">SUMPRODUCT(
  IF($B31:$K31&lt;&gt;"",
     INDEX('Eurostat EB products IEA'!$A$4:$BN$135,
           MATCH($B31:$K31, 'Eurostat EB products IEA'!$A$4:$A$135, 0),
           MATCH(BP$1, 'Eurostat EB products IEA'!$A$4:$BN$4, 0)
     )
     * $L31:$U31,
     0
  )
)</f>
        <v>0</v>
      </c>
      <c r="BQ31" s="57" cm="1">
        <f t="array" ref="BQ31">SUMPRODUCT(
  IF($B31:$K31&lt;&gt;"",
     INDEX('Eurostat EB products IEA'!$A$4:$BN$135,
           MATCH($B31:$K31, 'Eurostat EB products IEA'!$A$4:$A$135, 0),
           MATCH(BQ$1, 'Eurostat EB products IEA'!$A$4:$BN$4, 0)
     )
     * $L31:$U31,
     0
  )
)</f>
        <v>0</v>
      </c>
      <c r="BR31" s="57" cm="1">
        <f t="array" ref="BR31">SUMPRODUCT(
  IF($B31:$K31&lt;&gt;"",
     INDEX('Eurostat EB products IEA'!$A$4:$BN$135,
           MATCH($B31:$K31, 'Eurostat EB products IEA'!$A$4:$A$135, 0),
           MATCH(BR$1, 'Eurostat EB products IEA'!$A$4:$BN$4, 0)
     )
     * $L31:$U31,
     0
  )
)</f>
        <v>0</v>
      </c>
      <c r="BS31" s="65">
        <v>0</v>
      </c>
      <c r="BT31" s="57" cm="1">
        <f t="array" ref="BT31">SUMPRODUCT(
  IF($B31:$K31&lt;&gt;"",
     INDEX('Eurostat EB products IEA'!$A$4:$BN$135,
           MATCH($B31:$K31, 'Eurostat EB products IEA'!$A$4:$A$135, 0),
           MATCH(BT$1, 'Eurostat EB products IEA'!$A$4:$BN$4, 0)
     )
     * $L31:$U31,
     0
  )
)</f>
        <v>0</v>
      </c>
      <c r="BU31" s="65">
        <v>0</v>
      </c>
      <c r="BV31" s="65">
        <v>0</v>
      </c>
      <c r="BW31" s="57" cm="1">
        <f t="array" ref="BW31">SUMPRODUCT(
  IF($B31:$K31&lt;&gt;"",
     INDEX('Eurostat EB products IEA'!$A$4:$BN$135,
           MATCH($B31:$K31, 'Eurostat EB products IEA'!$A$4:$A$135, 0),
           MATCH(BW$1, 'Eurostat EB products IEA'!$A$4:$BN$4, 0)
     )
     * $L31:$U31,
     0
  )
)</f>
        <v>0</v>
      </c>
      <c r="BX31" s="57" cm="1">
        <f t="array" ref="BX31">SUMPRODUCT(
  IF($B31:$K31&lt;&gt;"",
     INDEX('Eurostat EB products IEA'!$A$4:$BN$135,
           MATCH($B31:$K31, 'Eurostat EB products IEA'!$A$4:$A$135, 0),
           MATCH(BX$1, 'Eurostat EB products IEA'!$A$4:$BN$4, 0)
     )
     * $L31:$U31,
     0
  )
)</f>
        <v>0</v>
      </c>
      <c r="BY31" s="57" cm="1">
        <f t="array" ref="BY31">SUMPRODUCT(
  IF($B31:$K31&lt;&gt;"",
     INDEX('Eurostat EB products IEA'!$A$4:$BN$135,
           MATCH($B31:$K31, 'Eurostat EB products IEA'!$A$4:$A$135, 0),
           MATCH(BY$1, 'Eurostat EB products IEA'!$A$4:$BN$4, 0)
     )
     * $L31:$U31,
     0
  )
)</f>
        <v>0</v>
      </c>
      <c r="BZ31" s="57" cm="1">
        <f t="array" ref="BZ31">SUMPRODUCT(
  IF($B31:$K31&lt;&gt;"",
     INDEX('Eurostat EB products IEA'!$A$4:$BN$135,
           MATCH($B31:$K31, 'Eurostat EB products IEA'!$A$4:$A$135, 0),
           MATCH(BZ$1, 'Eurostat EB products IEA'!$A$4:$BN$4, 0)
     )
     * $L31:$U31,
     0
  )
)</f>
        <v>0</v>
      </c>
      <c r="CA31" s="57" cm="1">
        <f t="array" ref="CA31">SUMPRODUCT(
  IF($B31:$K31&lt;&gt;"",
     INDEX('Eurostat EB products IEA'!$A$4:$BN$135,
           MATCH($B31:$K31, 'Eurostat EB products IEA'!$A$4:$A$135, 0),
           MATCH(CA$1, 'Eurostat EB products IEA'!$A$4:$BN$4, 0)
     )
     * $L31:$U31,
     0
  )
)</f>
        <v>0</v>
      </c>
      <c r="CB31" s="57" cm="1">
        <f t="array" ref="CB31">SUMPRODUCT(
  IF($B31:$K31&lt;&gt;"",
     INDEX('Eurostat EB products IEA'!$A$4:$BN$135,
           MATCH($B31:$K31, 'Eurostat EB products IEA'!$A$4:$A$135, 0),
           MATCH(CB$1, 'Eurostat EB products IEA'!$A$4:$BN$4, 0)
     )
     * $L31:$U31,
     0
  )
)</f>
        <v>0</v>
      </c>
      <c r="CC31" s="57" cm="1">
        <f t="array" ref="CC31">SUMPRODUCT(
  IF($B31:$K31&lt;&gt;"",
     INDEX('Eurostat EB products IEA'!$A$4:$BN$135,
           MATCH($B31:$K31, 'Eurostat EB products IEA'!$A$4:$A$135, 0),
           MATCH(CC$1, 'Eurostat EB products IEA'!$A$4:$BN$4, 0)
     )
     * $L31:$U31,
     0
  )
)</f>
        <v>0</v>
      </c>
      <c r="CD31" s="65">
        <v>0</v>
      </c>
      <c r="CE31" s="57" cm="1">
        <f t="array" ref="CE31">SUMPRODUCT(
  IF($B31:$K31&lt;&gt;"",
     INDEX('Eurostat EB products IEA'!$A$4:$BN$135,
           MATCH($B31:$K31, 'Eurostat EB products IEA'!$A$4:$A$135, 0),
           MATCH(CE$1, 'Eurostat EB products IEA'!$A$4:$BN$4, 0)
     )
     * $L31:$U31,
     0
  )
)</f>
        <v>0</v>
      </c>
      <c r="CF31" s="57" cm="1">
        <f t="array" ref="CF31">SUMPRODUCT(
  IF($B31:$K31&lt;&gt;"",
     INDEX('Eurostat EB products IEA'!$A$4:$BN$135,
           MATCH($B31:$K31, 'Eurostat EB products IEA'!$A$4:$A$135, 0),
           MATCH(CF$1, 'Eurostat EB products IEA'!$A$4:$BN$4, 0)
     )
     * $L31:$U31,
     0
  )
)</f>
        <v>0</v>
      </c>
      <c r="CG31" s="57" cm="1">
        <f t="array" ref="CG31">SUMPRODUCT(
  IF($B31:$K31&lt;&gt;"",
     INDEX('Eurostat EB products IEA'!$A$4:$BN$135,
           MATCH($B31:$K31, 'Eurostat EB products IEA'!$A$4:$A$135, 0),
           MATCH(CG$1, 'Eurostat EB products IEA'!$A$4:$BN$4, 0)
     )
     * $L31:$U31,
     0
  )
)</f>
        <v>1.0829999999987194</v>
      </c>
      <c r="CH31" s="57" cm="1">
        <f t="array" ref="CH31">SUMPRODUCT(
  IF($B31:$K31&lt;&gt;"",
     INDEX('Eurostat EB products IEA'!$A$4:$BN$135,
           MATCH($B31:$K31, 'Eurostat EB products IEA'!$A$4:$A$135, 0),
           MATCH(CH$1, 'Eurostat EB products IEA'!$A$4:$BN$4, 0)
     )
     * $L31:$U31,
     0
  )
)</f>
        <v>-9602.1360000000004</v>
      </c>
    </row>
    <row r="32" spans="1:86" x14ac:dyDescent="0.2">
      <c r="A32" t="s">
        <v>92</v>
      </c>
      <c r="B32" s="75"/>
      <c r="C32" s="77"/>
      <c r="D32" s="75"/>
      <c r="E32" s="77"/>
      <c r="F32" s="75"/>
      <c r="G32" s="77"/>
      <c r="H32" s="75"/>
      <c r="I32" s="77"/>
      <c r="J32" s="74" t="s">
        <v>230</v>
      </c>
      <c r="K32" s="78" t="s">
        <v>259</v>
      </c>
      <c r="L32" s="76"/>
      <c r="M32" s="79"/>
      <c r="N32" s="76"/>
      <c r="O32" s="79"/>
      <c r="P32" s="76"/>
      <c r="Q32" s="79"/>
      <c r="R32" s="76"/>
      <c r="S32" s="79"/>
      <c r="T32" s="76">
        <v>-1</v>
      </c>
      <c r="U32" s="79">
        <v>1</v>
      </c>
      <c r="V32" s="65" t="s">
        <v>323</v>
      </c>
      <c r="W32" s="65" t="s">
        <v>323</v>
      </c>
      <c r="X32" s="17" cm="1">
        <f t="array" ref="X32">SUMPRODUCT(
  IF($B32:$K32&lt;&gt;"",
     INDEX('Eurostat EB products IEA'!$A$4:$BN$135,
           MATCH($B32:$K32, 'Eurostat EB products IEA'!$A$4:$A$135, 0),
           MATCH(X$1, 'Eurostat EB products IEA'!$A$4:$BN$4, 0)
     )
     * $L32:$U32,
     0
  )
)</f>
        <v>0</v>
      </c>
      <c r="Y32" s="17" cm="1">
        <f t="array" ref="Y32">SUMPRODUCT(
  IF($B32:$K32&lt;&gt;"",
     INDEX('Eurostat EB products IEA'!$A$4:$BN$135,
           MATCH($B32:$K32, 'Eurostat EB products IEA'!$A$4:$A$135, 0),
           MATCH(Y$1, 'Eurostat EB products IEA'!$A$4:$BN$4, 0)
     )
     * $L32:$U32,
     0
  )
)</f>
        <v>0</v>
      </c>
      <c r="Z32" s="17" cm="1">
        <f t="array" ref="Z32">SUMPRODUCT(
  IF($B32:$K32&lt;&gt;"",
     INDEX('Eurostat EB products IEA'!$A$4:$BN$135,
           MATCH($B32:$K32, 'Eurostat EB products IEA'!$A$4:$A$135, 0),
           MATCH(Z$1, 'Eurostat EB products IEA'!$A$4:$BN$4, 0)
     )
     * $L32:$U32,
     0
  )
)</f>
        <v>0</v>
      </c>
      <c r="AA32" s="17" cm="1">
        <f t="array" ref="AA32">SUMPRODUCT(
  IF($B32:$K32&lt;&gt;"",
     INDEX('Eurostat EB products IEA'!$A$4:$BN$135,
           MATCH($B32:$K32, 'Eurostat EB products IEA'!$A$4:$A$135, 0),
           MATCH(AA$1, 'Eurostat EB products IEA'!$A$4:$BN$4, 0)
     )
     * $L32:$U32,
     0
  )
)</f>
        <v>0</v>
      </c>
      <c r="AB32" s="17" cm="1">
        <f t="array" ref="AB32">SUMPRODUCT(
  IF($B32:$K32&lt;&gt;"",
     INDEX('Eurostat EB products IEA'!$A$4:$BN$135,
           MATCH($B32:$K32, 'Eurostat EB products IEA'!$A$4:$A$135, 0),
           MATCH(AB$1, 'Eurostat EB products IEA'!$A$4:$BN$4, 0)
     )
     * $L32:$U32,
     0
  )
)</f>
        <v>0</v>
      </c>
      <c r="AC32" s="17" cm="1">
        <f t="array" ref="AC32">SUMPRODUCT(
  IF($B32:$K32&lt;&gt;"",
     INDEX('Eurostat EB products IEA'!$A$4:$BN$135,
           MATCH($B32:$K32, 'Eurostat EB products IEA'!$A$4:$A$135, 0),
           MATCH(AC$1, 'Eurostat EB products IEA'!$A$4:$BN$4, 0)
     )
     * $L32:$U32,
     0
  )
)</f>
        <v>0</v>
      </c>
      <c r="AD32" s="17" cm="1">
        <f t="array" ref="AD32">SUMPRODUCT(
  IF($B32:$K32&lt;&gt;"",
     INDEX('Eurostat EB products IEA'!$A$4:$BN$135,
           MATCH($B32:$K32, 'Eurostat EB products IEA'!$A$4:$A$135, 0),
           MATCH(AD$1, 'Eurostat EB products IEA'!$A$4:$BN$4, 0)
     )
     * $L32:$U32,
     0
  )
)</f>
        <v>0</v>
      </c>
      <c r="AE32" s="17" cm="1">
        <f t="array" ref="AE32">SUMPRODUCT(
  IF($B32:$K32&lt;&gt;"",
     INDEX('Eurostat EB products IEA'!$A$4:$BN$135,
           MATCH($B32:$K32, 'Eurostat EB products IEA'!$A$4:$A$135, 0),
           MATCH(AE$1, 'Eurostat EB products IEA'!$A$4:$BN$4, 0)
     )
     * $L32:$U32,
     0
  )
)</f>
        <v>0</v>
      </c>
      <c r="AF32" s="17" cm="1">
        <f t="array" ref="AF32">SUMPRODUCT(
  IF($B32:$K32&lt;&gt;"",
     INDEX('Eurostat EB products IEA'!$A$4:$BN$135,
           MATCH($B32:$K32, 'Eurostat EB products IEA'!$A$4:$A$135, 0),
           MATCH(AF$1, 'Eurostat EB products IEA'!$A$4:$BN$4, 0)
     )
     * $L32:$U32,
     0
  )
)</f>
        <v>0</v>
      </c>
      <c r="AG32" s="17" cm="1">
        <f t="array" ref="AG32">SUMPRODUCT(
  IF($B32:$K32&lt;&gt;"",
     INDEX('Eurostat EB products IEA'!$A$4:$BN$135,
           MATCH($B32:$K32, 'Eurostat EB products IEA'!$A$4:$A$135, 0),
           MATCH(AG$1, 'Eurostat EB products IEA'!$A$4:$BN$4, 0)
     )
     * $L32:$U32,
     0
  )
)</f>
        <v>0</v>
      </c>
      <c r="AH32" s="17" cm="1">
        <f t="array" ref="AH32">SUMPRODUCT(
  IF($B32:$K32&lt;&gt;"",
     INDEX('Eurostat EB products IEA'!$A$4:$BN$135,
           MATCH($B32:$K32, 'Eurostat EB products IEA'!$A$4:$A$135, 0),
           MATCH(AH$1, 'Eurostat EB products IEA'!$A$4:$BN$4, 0)
     )
     * $L32:$U32,
     0
  )
)</f>
        <v>0</v>
      </c>
      <c r="AI32" s="17" cm="1">
        <f t="array" ref="AI32">SUMPRODUCT(
  IF($B32:$K32&lt;&gt;"",
     INDEX('Eurostat EB products IEA'!$A$4:$BN$135,
           MATCH($B32:$K32, 'Eurostat EB products IEA'!$A$4:$A$135, 0),
           MATCH(AI$1, 'Eurostat EB products IEA'!$A$4:$BN$4, 0)
     )
     * $L32:$U32,
     0
  )
)</f>
        <v>0</v>
      </c>
      <c r="AJ32" s="17" cm="1">
        <f t="array" ref="AJ32">SUMPRODUCT(
  IF($B32:$K32&lt;&gt;"",
     INDEX('Eurostat EB products IEA'!$A$4:$BN$135,
           MATCH($B32:$K32, 'Eurostat EB products IEA'!$A$4:$A$135, 0),
           MATCH(AJ$1, 'Eurostat EB products IEA'!$A$4:$BN$4, 0)
     )
     * $L32:$U32,
     0
  )
)</f>
        <v>0</v>
      </c>
      <c r="AK32" s="17" cm="1">
        <f t="array" ref="AK32">SUMPRODUCT(
  IF($B32:$K32&lt;&gt;"",
     INDEX('Eurostat EB products IEA'!$A$4:$BN$135,
           MATCH($B32:$K32, 'Eurostat EB products IEA'!$A$4:$A$135, 0),
           MATCH(AK$1, 'Eurostat EB products IEA'!$A$4:$BN$4, 0)
     )
     * $L32:$U32,
     0
  )
)</f>
        <v>0</v>
      </c>
      <c r="AL32" s="17" cm="1">
        <f t="array" ref="AL32">SUMPRODUCT(
  IF($B32:$K32&lt;&gt;"",
     INDEX('Eurostat EB products IEA'!$A$4:$BN$135,
           MATCH($B32:$K32, 'Eurostat EB products IEA'!$A$4:$A$135, 0),
           MATCH(AL$1, 'Eurostat EB products IEA'!$A$4:$BN$4, 0)
     )
     * $L32:$U32,
     0
  )
)</f>
        <v>0</v>
      </c>
      <c r="AM32" s="17" cm="1">
        <f t="array" ref="AM32">SUMPRODUCT(
  IF($B32:$K32&lt;&gt;"",
     INDEX('Eurostat EB products IEA'!$A$4:$BN$135,
           MATCH($B32:$K32, 'Eurostat EB products IEA'!$A$4:$A$135, 0),
           MATCH(AM$1, 'Eurostat EB products IEA'!$A$4:$BN$4, 0)
     )
     * $L32:$U32,
     0
  )
)</f>
        <v>0</v>
      </c>
      <c r="AN32" s="65" t="s">
        <v>323</v>
      </c>
      <c r="AO32" s="17" cm="1">
        <f t="array" ref="AO32">SUMPRODUCT(
  IF($B32:$K32&lt;&gt;"",
     INDEX('Eurostat EB products IEA'!$A$4:$BN$135,
           MATCH($B32:$K32, 'Eurostat EB products IEA'!$A$4:$A$135, 0),
           MATCH(AO$1, 'Eurostat EB products IEA'!$A$4:$BN$4, 0)
     )
     * $L32:$U32,
     0
  )
)</f>
        <v>0</v>
      </c>
      <c r="AP32" s="17" cm="1">
        <f t="array" ref="AP32">SUMPRODUCT(
  IF($B32:$K32&lt;&gt;"",
     INDEX('Eurostat EB products IEA'!$A$4:$BN$135,
           MATCH($B32:$K32, 'Eurostat EB products IEA'!$A$4:$A$135, 0),
           MATCH(AP$1, 'Eurostat EB products IEA'!$A$4:$BN$4, 0)
     )
     * $L32:$U32,
     0
  )
)</f>
        <v>0</v>
      </c>
      <c r="AQ32" s="17" cm="1">
        <f t="array" ref="AQ32">SUMPRODUCT(
  IF($B32:$K32&lt;&gt;"",
     INDEX('Eurostat EB products IEA'!$A$4:$BN$135,
           MATCH($B32:$K32, 'Eurostat EB products IEA'!$A$4:$A$135, 0),
           MATCH(AQ$1, 'Eurostat EB products IEA'!$A$4:$BN$4, 0)
     )
     * $L32:$U32,
     0
  )
)</f>
        <v>0</v>
      </c>
      <c r="AR32" s="17" cm="1">
        <f t="array" ref="AR32">SUMPRODUCT(
  IF($B32:$K32&lt;&gt;"",
     INDEX('Eurostat EB products IEA'!$A$4:$BN$135,
           MATCH($B32:$K32, 'Eurostat EB products IEA'!$A$4:$A$135, 0),
           MATCH(AR$1, 'Eurostat EB products IEA'!$A$4:$BN$4, 0)
     )
     * $L32:$U32,
     0
  )
)</f>
        <v>0</v>
      </c>
      <c r="AS32" s="17" cm="1">
        <f t="array" ref="AS32">SUMPRODUCT(
  IF($B32:$K32&lt;&gt;"",
     INDEX('Eurostat EB products IEA'!$A$4:$BN$135,
           MATCH($B32:$K32, 'Eurostat EB products IEA'!$A$4:$A$135, 0),
           MATCH(AS$1, 'Eurostat EB products IEA'!$A$4:$BN$4, 0)
     )
     * $L32:$U32,
     0
  )
)</f>
        <v>0</v>
      </c>
      <c r="AT32" s="17" cm="1">
        <f t="array" ref="AT32">SUMPRODUCT(
  IF($B32:$K32&lt;&gt;"",
     INDEX('Eurostat EB products IEA'!$A$4:$BN$135,
           MATCH($B32:$K32, 'Eurostat EB products IEA'!$A$4:$A$135, 0),
           MATCH(AT$1, 'Eurostat EB products IEA'!$A$4:$BN$4, 0)
     )
     * $L32:$U32,
     0
  )
)</f>
        <v>0</v>
      </c>
      <c r="AU32" s="17" cm="1">
        <f t="array" ref="AU32">SUMPRODUCT(
  IF($B32:$K32&lt;&gt;"",
     INDEX('Eurostat EB products IEA'!$A$4:$BN$135,
           MATCH($B32:$K32, 'Eurostat EB products IEA'!$A$4:$A$135, 0),
           MATCH(AU$1, 'Eurostat EB products IEA'!$A$4:$BN$4, 0)
     )
     * $L32:$U32,
     0
  )
)</f>
        <v>0</v>
      </c>
      <c r="AV32" s="17" cm="1">
        <f t="array" ref="AV32">SUMPRODUCT(
  IF($B32:$K32&lt;&gt;"",
     INDEX('Eurostat EB products IEA'!$A$4:$BN$135,
           MATCH($B32:$K32, 'Eurostat EB products IEA'!$A$4:$A$135, 0),
           MATCH(AV$1, 'Eurostat EB products IEA'!$A$4:$BN$4, 0)
     )
     * $L32:$U32,
     0
  )
)</f>
        <v>0</v>
      </c>
      <c r="AW32" s="17" cm="1">
        <f t="array" ref="AW32">SUMPRODUCT(
  IF($B32:$K32&lt;&gt;"",
     INDEX('Eurostat EB products IEA'!$A$4:$BN$135,
           MATCH($B32:$K32, 'Eurostat EB products IEA'!$A$4:$A$135, 0),
           MATCH(AW$1, 'Eurostat EB products IEA'!$A$4:$BN$4, 0)
     )
     * $L32:$U32,
     0
  )
)</f>
        <v>0</v>
      </c>
      <c r="AX32" s="17" cm="1">
        <f t="array" ref="AX32">SUMPRODUCT(
  IF($B32:$K32&lt;&gt;"",
     INDEX('Eurostat EB products IEA'!$A$4:$BN$135,
           MATCH($B32:$K32, 'Eurostat EB products IEA'!$A$4:$A$135, 0),
           MATCH(AX$1, 'Eurostat EB products IEA'!$A$4:$BN$4, 0)
     )
     * $L32:$U32,
     0
  )
)</f>
        <v>0</v>
      </c>
      <c r="AY32" s="17" cm="1">
        <f t="array" ref="AY32">SUMPRODUCT(
  IF($B32:$K32&lt;&gt;"",
     INDEX('Eurostat EB products IEA'!$A$4:$BN$135,
           MATCH($B32:$K32, 'Eurostat EB products IEA'!$A$4:$A$135, 0),
           MATCH(AY$1, 'Eurostat EB products IEA'!$A$4:$BN$4, 0)
     )
     * $L32:$U32,
     0
  )
)</f>
        <v>0</v>
      </c>
      <c r="AZ32" s="17" cm="1">
        <f t="array" ref="AZ32">SUMPRODUCT(
  IF($B32:$K32&lt;&gt;"",
     INDEX('Eurostat EB products IEA'!$A$4:$BN$135,
           MATCH($B32:$K32, 'Eurostat EB products IEA'!$A$4:$A$135, 0),
           MATCH(AZ$1, 'Eurostat EB products IEA'!$A$4:$BN$4, 0)
     )
     * $L32:$U32,
     0
  )
)</f>
        <v>0</v>
      </c>
      <c r="BA32" s="17" cm="1">
        <f t="array" ref="BA32">SUMPRODUCT(
  IF($B32:$K32&lt;&gt;"",
     INDEX('Eurostat EB products IEA'!$A$4:$BN$135,
           MATCH($B32:$K32, 'Eurostat EB products IEA'!$A$4:$A$135, 0),
           MATCH(BA$1, 'Eurostat EB products IEA'!$A$4:$BN$4, 0)
     )
     * $L32:$U32,
     0
  )
)</f>
        <v>0</v>
      </c>
      <c r="BB32" s="17" cm="1">
        <f t="array" ref="BB32">SUMPRODUCT(
  IF($B32:$K32&lt;&gt;"",
     INDEX('Eurostat EB products IEA'!$A$4:$BN$135,
           MATCH($B32:$K32, 'Eurostat EB products IEA'!$A$4:$A$135, 0),
           MATCH(BB$1, 'Eurostat EB products IEA'!$A$4:$BN$4, 0)
     )
     * $L32:$U32,
     0
  )
)</f>
        <v>0</v>
      </c>
      <c r="BC32" s="17" cm="1">
        <f t="array" ref="BC32">SUMPRODUCT(
  IF($B32:$K32&lt;&gt;"",
     INDEX('Eurostat EB products IEA'!$A$4:$BN$135,
           MATCH($B32:$K32, 'Eurostat EB products IEA'!$A$4:$A$135, 0),
           MATCH(BC$1, 'Eurostat EB products IEA'!$A$4:$BN$4, 0)
     )
     * $L32:$U32,
     0
  )
)</f>
        <v>0</v>
      </c>
      <c r="BD32" s="17" cm="1">
        <f t="array" ref="BD32">SUMPRODUCT(
  IF($B32:$K32&lt;&gt;"",
     INDEX('Eurostat EB products IEA'!$A$4:$BN$135,
           MATCH($B32:$K32, 'Eurostat EB products IEA'!$A$4:$A$135, 0),
           MATCH(BD$1, 'Eurostat EB products IEA'!$A$4:$BN$4, 0)
     )
     * $L32:$U32,
     0
  )
)</f>
        <v>0</v>
      </c>
      <c r="BE32" s="17" cm="1">
        <f t="array" ref="BE32">SUMPRODUCT(
  IF($B32:$K32&lt;&gt;"",
     INDEX('Eurostat EB products IEA'!$A$4:$BN$135,
           MATCH($B32:$K32, 'Eurostat EB products IEA'!$A$4:$A$135, 0),
           MATCH(BE$1, 'Eurostat EB products IEA'!$A$4:$BN$4, 0)
     )
     * $L32:$U32,
     0
  )
)</f>
        <v>0</v>
      </c>
      <c r="BF32" s="17" cm="1">
        <f t="array" ref="BF32">SUMPRODUCT(
  IF($B32:$K32&lt;&gt;"",
     INDEX('Eurostat EB products IEA'!$A$4:$BN$135,
           MATCH($B32:$K32, 'Eurostat EB products IEA'!$A$4:$A$135, 0),
           MATCH(BF$1, 'Eurostat EB products IEA'!$A$4:$BN$4, 0)
     )
     * $L32:$U32,
     0
  )
)</f>
        <v>0</v>
      </c>
      <c r="BG32" s="17" cm="1">
        <f t="array" ref="BG32">SUMPRODUCT(
  IF($B32:$K32&lt;&gt;"",
     INDEX('Eurostat EB products IEA'!$A$4:$BN$135,
           MATCH($B32:$K32, 'Eurostat EB products IEA'!$A$4:$A$135, 0),
           MATCH(BG$1, 'Eurostat EB products IEA'!$A$4:$BN$4, 0)
     )
     * $L32:$U32,
     0
  )
)</f>
        <v>0</v>
      </c>
      <c r="BH32" s="17" cm="1">
        <f t="array" ref="BH32">SUMPRODUCT(
  IF($B32:$K32&lt;&gt;"",
     INDEX('Eurostat EB products IEA'!$A$4:$BN$135,
           MATCH($B32:$K32, 'Eurostat EB products IEA'!$A$4:$A$135, 0),
           MATCH(BH$1, 'Eurostat EB products IEA'!$A$4:$BN$4, 0)
     )
     * $L32:$U32,
     0
  )
)</f>
        <v>0</v>
      </c>
      <c r="BI32" s="17" cm="1">
        <f t="array" ref="BI32">SUMPRODUCT(
  IF($B32:$K32&lt;&gt;"",
     INDEX('Eurostat EB products IEA'!$A$4:$BN$135,
           MATCH($B32:$K32, 'Eurostat EB products IEA'!$A$4:$A$135, 0),
           MATCH(BI$1, 'Eurostat EB products IEA'!$A$4:$BN$4, 0)
     )
     * $L32:$U32,
     0
  )
)</f>
        <v>0</v>
      </c>
      <c r="BJ32" s="17" cm="1">
        <f t="array" ref="BJ32">SUMPRODUCT(
  IF($B32:$K32&lt;&gt;"",
     INDEX('Eurostat EB products IEA'!$A$4:$BN$135,
           MATCH($B32:$K32, 'Eurostat EB products IEA'!$A$4:$A$135, 0),
           MATCH(BJ$1, 'Eurostat EB products IEA'!$A$4:$BN$4, 0)
     )
     * $L32:$U32,
     0
  )
)</f>
        <v>0</v>
      </c>
      <c r="BK32" s="17" cm="1">
        <f t="array" ref="BK32">SUMPRODUCT(
  IF($B32:$K32&lt;&gt;"",
     INDEX('Eurostat EB products IEA'!$A$4:$BN$135,
           MATCH($B32:$K32, 'Eurostat EB products IEA'!$A$4:$A$135, 0),
           MATCH(BK$1, 'Eurostat EB products IEA'!$A$4:$BN$4, 0)
     )
     * $L32:$U32,
     0
  )
)</f>
        <v>0</v>
      </c>
      <c r="BL32" s="17" cm="1">
        <f t="array" ref="BL32">SUMPRODUCT(
  IF($B32:$K32&lt;&gt;"",
     INDEX('Eurostat EB products IEA'!$A$4:$BN$135,
           MATCH($B32:$K32, 'Eurostat EB products IEA'!$A$4:$A$135, 0),
           MATCH(BL$1, 'Eurostat EB products IEA'!$A$4:$BN$4, 0)
     )
     * $L32:$U32,
     0
  )
)</f>
        <v>0</v>
      </c>
      <c r="BM32" s="17" cm="1">
        <f t="array" ref="BM32">SUMPRODUCT(
  IF($B32:$K32&lt;&gt;"",
     INDEX('Eurostat EB products IEA'!$A$4:$BN$135,
           MATCH($B32:$K32, 'Eurostat EB products IEA'!$A$4:$A$135, 0),
           MATCH(BM$1, 'Eurostat EB products IEA'!$A$4:$BN$4, 0)
     )
     * $L32:$U32,
     0
  )
)</f>
        <v>0</v>
      </c>
      <c r="BN32" s="17" cm="1">
        <f t="array" ref="BN32">SUMPRODUCT(
  IF($B32:$K32&lt;&gt;"",
     INDEX('Eurostat EB products IEA'!$A$4:$BN$135,
           MATCH($B32:$K32, 'Eurostat EB products IEA'!$A$4:$A$135, 0),
           MATCH(BN$1, 'Eurostat EB products IEA'!$A$4:$BN$4, 0)
     )
     * $L32:$U32,
     0
  )
)</f>
        <v>0</v>
      </c>
      <c r="BO32" s="17" cm="1">
        <f t="array" ref="BO32">SUMPRODUCT(
  IF($B32:$K32&lt;&gt;"",
     INDEX('Eurostat EB products IEA'!$A$4:$BN$135,
           MATCH($B32:$K32, 'Eurostat EB products IEA'!$A$4:$A$135, 0),
           MATCH(BO$1, 'Eurostat EB products IEA'!$A$4:$BN$4, 0)
     )
     * $L32:$U32,
     0
  )
)</f>
        <v>0</v>
      </c>
      <c r="BP32" s="17" cm="1">
        <f t="array" ref="BP32">SUMPRODUCT(
  IF($B32:$K32&lt;&gt;"",
     INDEX('Eurostat EB products IEA'!$A$4:$BN$135,
           MATCH($B32:$K32, 'Eurostat EB products IEA'!$A$4:$A$135, 0),
           MATCH(BP$1, 'Eurostat EB products IEA'!$A$4:$BN$4, 0)
     )
     * $L32:$U32,
     0
  )
)</f>
        <v>0</v>
      </c>
      <c r="BQ32" s="17" cm="1">
        <f t="array" ref="BQ32">SUMPRODUCT(
  IF($B32:$K32&lt;&gt;"",
     INDEX('Eurostat EB products IEA'!$A$4:$BN$135,
           MATCH($B32:$K32, 'Eurostat EB products IEA'!$A$4:$A$135, 0),
           MATCH(BQ$1, 'Eurostat EB products IEA'!$A$4:$BN$4, 0)
     )
     * $L32:$U32,
     0
  )
)</f>
        <v>0</v>
      </c>
      <c r="BR32" s="17" cm="1">
        <f t="array" ref="BR32">SUMPRODUCT(
  IF($B32:$K32&lt;&gt;"",
     INDEX('Eurostat EB products IEA'!$A$4:$BN$135,
           MATCH($B32:$K32, 'Eurostat EB products IEA'!$A$4:$A$135, 0),
           MATCH(BR$1, 'Eurostat EB products IEA'!$A$4:$BN$4, 0)
     )
     * $L32:$U32,
     0
  )
)</f>
        <v>0</v>
      </c>
      <c r="BS32" s="65">
        <v>0</v>
      </c>
      <c r="BT32" s="17" cm="1">
        <f t="array" ref="BT32">SUMPRODUCT(
  IF($B32:$K32&lt;&gt;"",
     INDEX('Eurostat EB products IEA'!$A$4:$BN$135,
           MATCH($B32:$K32, 'Eurostat EB products IEA'!$A$4:$A$135, 0),
           MATCH(BT$1, 'Eurostat EB products IEA'!$A$4:$BN$4, 0)
     )
     * $L32:$U32,
     0
  )
)</f>
        <v>0</v>
      </c>
      <c r="BU32" s="65">
        <v>0</v>
      </c>
      <c r="BV32" s="65">
        <v>0</v>
      </c>
      <c r="BW32" s="17" cm="1">
        <f t="array" ref="BW32">SUMPRODUCT(
  IF($B32:$K32&lt;&gt;"",
     INDEX('Eurostat EB products IEA'!$A$4:$BN$135,
           MATCH($B32:$K32, 'Eurostat EB products IEA'!$A$4:$A$135, 0),
           MATCH(BW$1, 'Eurostat EB products IEA'!$A$4:$BN$4, 0)
     )
     * $L32:$U32,
     0
  )
)</f>
        <v>0</v>
      </c>
      <c r="BX32" s="17" cm="1">
        <f t="array" ref="BX32">SUMPRODUCT(
  IF($B32:$K32&lt;&gt;"",
     INDEX('Eurostat EB products IEA'!$A$4:$BN$135,
           MATCH($B32:$K32, 'Eurostat EB products IEA'!$A$4:$A$135, 0),
           MATCH(BX$1, 'Eurostat EB products IEA'!$A$4:$BN$4, 0)
     )
     * $L32:$U32,
     0
  )
)</f>
        <v>0</v>
      </c>
      <c r="BY32" s="17" cm="1">
        <f t="array" ref="BY32">SUMPRODUCT(
  IF($B32:$K32&lt;&gt;"",
     INDEX('Eurostat EB products IEA'!$A$4:$BN$135,
           MATCH($B32:$K32, 'Eurostat EB products IEA'!$A$4:$A$135, 0),
           MATCH(BY$1, 'Eurostat EB products IEA'!$A$4:$BN$4, 0)
     )
     * $L32:$U32,
     0
  )
)</f>
        <v>0</v>
      </c>
      <c r="BZ32" s="17" cm="1">
        <f t="array" ref="BZ32">SUMPRODUCT(
  IF($B32:$K32&lt;&gt;"",
     INDEX('Eurostat EB products IEA'!$A$4:$BN$135,
           MATCH($B32:$K32, 'Eurostat EB products IEA'!$A$4:$A$135, 0),
           MATCH(BZ$1, 'Eurostat EB products IEA'!$A$4:$BN$4, 0)
     )
     * $L32:$U32,
     0
  )
)</f>
        <v>0</v>
      </c>
      <c r="CA32" s="17" cm="1">
        <f t="array" ref="CA32">SUMPRODUCT(
  IF($B32:$K32&lt;&gt;"",
     INDEX('Eurostat EB products IEA'!$A$4:$BN$135,
           MATCH($B32:$K32, 'Eurostat EB products IEA'!$A$4:$A$135, 0),
           MATCH(CA$1, 'Eurostat EB products IEA'!$A$4:$BN$4, 0)
     )
     * $L32:$U32,
     0
  )
)</f>
        <v>0</v>
      </c>
      <c r="CB32" s="17" cm="1">
        <f t="array" ref="CB32">SUMPRODUCT(
  IF($B32:$K32&lt;&gt;"",
     INDEX('Eurostat EB products IEA'!$A$4:$BN$135,
           MATCH($B32:$K32, 'Eurostat EB products IEA'!$A$4:$A$135, 0),
           MATCH(CB$1, 'Eurostat EB products IEA'!$A$4:$BN$4, 0)
     )
     * $L32:$U32,
     0
  )
)</f>
        <v>0</v>
      </c>
      <c r="CC32" s="17" cm="1">
        <f t="array" ref="CC32">SUMPRODUCT(
  IF($B32:$K32&lt;&gt;"",
     INDEX('Eurostat EB products IEA'!$A$4:$BN$135,
           MATCH($B32:$K32, 'Eurostat EB products IEA'!$A$4:$A$135, 0),
           MATCH(CC$1, 'Eurostat EB products IEA'!$A$4:$BN$4, 0)
     )
     * $L32:$U32,
     0
  )
)</f>
        <v>0</v>
      </c>
      <c r="CD32" s="65">
        <v>0</v>
      </c>
      <c r="CE32" s="17" cm="1">
        <f t="array" ref="CE32">SUMPRODUCT(
  IF($B32:$K32&lt;&gt;"",
     INDEX('Eurostat EB products IEA'!$A$4:$BN$135,
           MATCH($B32:$K32, 'Eurostat EB products IEA'!$A$4:$A$135, 0),
           MATCH(CE$1, 'Eurostat EB products IEA'!$A$4:$BN$4, 0)
     )
     * $L32:$U32,
     0
  )
)</f>
        <v>0</v>
      </c>
      <c r="CF32" s="17" cm="1">
        <f t="array" ref="CF32">SUMPRODUCT(
  IF($B32:$K32&lt;&gt;"",
     INDEX('Eurostat EB products IEA'!$A$4:$BN$135,
           MATCH($B32:$K32, 'Eurostat EB products IEA'!$A$4:$A$135, 0),
           MATCH(CF$1, 'Eurostat EB products IEA'!$A$4:$BN$4, 0)
     )
     * $L32:$U32,
     0
  )
)</f>
        <v>0</v>
      </c>
      <c r="CG32" s="17" cm="1">
        <f t="array" ref="CG32">SUMPRODUCT(
  IF($B32:$K32&lt;&gt;"",
     INDEX('Eurostat EB products IEA'!$A$4:$BN$135,
           MATCH($B32:$K32, 'Eurostat EB products IEA'!$A$4:$A$135, 0),
           MATCH(CG$1, 'Eurostat EB products IEA'!$A$4:$BN$4, 0)
     )
     * $L32:$U32,
     0
  )
)</f>
        <v>0</v>
      </c>
      <c r="CH32" s="17" cm="1">
        <f t="array" ref="CH32">SUMPRODUCT(
  IF($B32:$K32&lt;&gt;"",
     INDEX('Eurostat EB products IEA'!$A$4:$BN$135,
           MATCH($B32:$K32, 'Eurostat EB products IEA'!$A$4:$A$135, 0),
           MATCH(CH$1, 'Eurostat EB products IEA'!$A$4:$BN$4, 0)
     )
     * $L32:$U32,
     0
  )
)</f>
        <v>0</v>
      </c>
    </row>
    <row r="33" spans="1:86" x14ac:dyDescent="0.2">
      <c r="A33" t="s">
        <v>161</v>
      </c>
      <c r="B33" s="75"/>
      <c r="C33" s="77"/>
      <c r="D33" s="75"/>
      <c r="E33" s="77"/>
      <c r="F33" s="75"/>
      <c r="G33" s="77"/>
      <c r="H33" s="75"/>
      <c r="I33" s="77"/>
      <c r="J33" s="74" t="s">
        <v>232</v>
      </c>
      <c r="K33" s="78" t="s">
        <v>261</v>
      </c>
      <c r="L33" s="76"/>
      <c r="M33" s="79"/>
      <c r="N33" s="76"/>
      <c r="O33" s="79"/>
      <c r="P33" s="76"/>
      <c r="Q33" s="79"/>
      <c r="R33" s="76"/>
      <c r="S33" s="79"/>
      <c r="T33" s="76">
        <v>-1</v>
      </c>
      <c r="U33" s="79">
        <v>1</v>
      </c>
      <c r="V33" s="65" t="s">
        <v>323</v>
      </c>
      <c r="W33" s="65" t="s">
        <v>323</v>
      </c>
      <c r="X33" s="57" cm="1">
        <f t="array" ref="X33">SUMPRODUCT(
  IF($B33:$K33&lt;&gt;"",
     INDEX('Eurostat EB products IEA'!$A$4:$BN$135,
           MATCH($B33:$K33, 'Eurostat EB products IEA'!$A$4:$A$135, 0),
           MATCH(X$1, 'Eurostat EB products IEA'!$A$4:$BN$4, 0)
     )
     * $L33:$U33,
     0
  )
)</f>
        <v>0</v>
      </c>
      <c r="Y33" s="57" cm="1">
        <f t="array" ref="Y33">SUMPRODUCT(
  IF($B33:$K33&lt;&gt;"",
     INDEX('Eurostat EB products IEA'!$A$4:$BN$135,
           MATCH($B33:$K33, 'Eurostat EB products IEA'!$A$4:$A$135, 0),
           MATCH(Y$1, 'Eurostat EB products IEA'!$A$4:$BN$4, 0)
     )
     * $L33:$U33,
     0
  )
)</f>
        <v>0</v>
      </c>
      <c r="Z33" s="57" cm="1">
        <f t="array" ref="Z33">SUMPRODUCT(
  IF($B33:$K33&lt;&gt;"",
     INDEX('Eurostat EB products IEA'!$A$4:$BN$135,
           MATCH($B33:$K33, 'Eurostat EB products IEA'!$A$4:$A$135, 0),
           MATCH(Z$1, 'Eurostat EB products IEA'!$A$4:$BN$4, 0)
     )
     * $L33:$U33,
     0
  )
)</f>
        <v>0</v>
      </c>
      <c r="AA33" s="57" cm="1">
        <f t="array" ref="AA33">SUMPRODUCT(
  IF($B33:$K33&lt;&gt;"",
     INDEX('Eurostat EB products IEA'!$A$4:$BN$135,
           MATCH($B33:$K33, 'Eurostat EB products IEA'!$A$4:$A$135, 0),
           MATCH(AA$1, 'Eurostat EB products IEA'!$A$4:$BN$4, 0)
     )
     * $L33:$U33,
     0
  )
)</f>
        <v>0</v>
      </c>
      <c r="AB33" s="57" cm="1">
        <f t="array" ref="AB33">SUMPRODUCT(
  IF($B33:$K33&lt;&gt;"",
     INDEX('Eurostat EB products IEA'!$A$4:$BN$135,
           MATCH($B33:$K33, 'Eurostat EB products IEA'!$A$4:$A$135, 0),
           MATCH(AB$1, 'Eurostat EB products IEA'!$A$4:$BN$4, 0)
     )
     * $L33:$U33,
     0
  )
)</f>
        <v>0</v>
      </c>
      <c r="AC33" s="57" cm="1">
        <f t="array" ref="AC33">SUMPRODUCT(
  IF($B33:$K33&lt;&gt;"",
     INDEX('Eurostat EB products IEA'!$A$4:$BN$135,
           MATCH($B33:$K33, 'Eurostat EB products IEA'!$A$4:$A$135, 0),
           MATCH(AC$1, 'Eurostat EB products IEA'!$A$4:$BN$4, 0)
     )
     * $L33:$U33,
     0
  )
)</f>
        <v>0</v>
      </c>
      <c r="AD33" s="57" cm="1">
        <f t="array" ref="AD33">SUMPRODUCT(
  IF($B33:$K33&lt;&gt;"",
     INDEX('Eurostat EB products IEA'!$A$4:$BN$135,
           MATCH($B33:$K33, 'Eurostat EB products IEA'!$A$4:$A$135, 0),
           MATCH(AD$1, 'Eurostat EB products IEA'!$A$4:$BN$4, 0)
     )
     * $L33:$U33,
     0
  )
)</f>
        <v>0</v>
      </c>
      <c r="AE33" s="57" cm="1">
        <f t="array" ref="AE33">SUMPRODUCT(
  IF($B33:$K33&lt;&gt;"",
     INDEX('Eurostat EB products IEA'!$A$4:$BN$135,
           MATCH($B33:$K33, 'Eurostat EB products IEA'!$A$4:$A$135, 0),
           MATCH(AE$1, 'Eurostat EB products IEA'!$A$4:$BN$4, 0)
     )
     * $L33:$U33,
     0
  )
)</f>
        <v>0</v>
      </c>
      <c r="AF33" s="57" cm="1">
        <f t="array" ref="AF33">SUMPRODUCT(
  IF($B33:$K33&lt;&gt;"",
     INDEX('Eurostat EB products IEA'!$A$4:$BN$135,
           MATCH($B33:$K33, 'Eurostat EB products IEA'!$A$4:$A$135, 0),
           MATCH(AF$1, 'Eurostat EB products IEA'!$A$4:$BN$4, 0)
     )
     * $L33:$U33,
     0
  )
)</f>
        <v>0</v>
      </c>
      <c r="AG33" s="57" cm="1">
        <f t="array" ref="AG33">SUMPRODUCT(
  IF($B33:$K33&lt;&gt;"",
     INDEX('Eurostat EB products IEA'!$A$4:$BN$135,
           MATCH($B33:$K33, 'Eurostat EB products IEA'!$A$4:$A$135, 0),
           MATCH(AG$1, 'Eurostat EB products IEA'!$A$4:$BN$4, 0)
     )
     * $L33:$U33,
     0
  )
)</f>
        <v>0</v>
      </c>
      <c r="AH33" s="57" cm="1">
        <f t="array" ref="AH33">SUMPRODUCT(
  IF($B33:$K33&lt;&gt;"",
     INDEX('Eurostat EB products IEA'!$A$4:$BN$135,
           MATCH($B33:$K33, 'Eurostat EB products IEA'!$A$4:$A$135, 0),
           MATCH(AH$1, 'Eurostat EB products IEA'!$A$4:$BN$4, 0)
     )
     * $L33:$U33,
     0
  )
)</f>
        <v>0</v>
      </c>
      <c r="AI33" s="57" cm="1">
        <f t="array" ref="AI33">SUMPRODUCT(
  IF($B33:$K33&lt;&gt;"",
     INDEX('Eurostat EB products IEA'!$A$4:$BN$135,
           MATCH($B33:$K33, 'Eurostat EB products IEA'!$A$4:$A$135, 0),
           MATCH(AI$1, 'Eurostat EB products IEA'!$A$4:$BN$4, 0)
     )
     * $L33:$U33,
     0
  )
)</f>
        <v>0</v>
      </c>
      <c r="AJ33" s="57" cm="1">
        <f t="array" ref="AJ33">SUMPRODUCT(
  IF($B33:$K33&lt;&gt;"",
     INDEX('Eurostat EB products IEA'!$A$4:$BN$135,
           MATCH($B33:$K33, 'Eurostat EB products IEA'!$A$4:$A$135, 0),
           MATCH(AJ$1, 'Eurostat EB products IEA'!$A$4:$BN$4, 0)
     )
     * $L33:$U33,
     0
  )
)</f>
        <v>0</v>
      </c>
      <c r="AK33" s="57" cm="1">
        <f t="array" ref="AK33">SUMPRODUCT(
  IF($B33:$K33&lt;&gt;"",
     INDEX('Eurostat EB products IEA'!$A$4:$BN$135,
           MATCH($B33:$K33, 'Eurostat EB products IEA'!$A$4:$A$135, 0),
           MATCH(AK$1, 'Eurostat EB products IEA'!$A$4:$BN$4, 0)
     )
     * $L33:$U33,
     0
  )
)</f>
        <v>0</v>
      </c>
      <c r="AL33" s="57" cm="1">
        <f t="array" ref="AL33">SUMPRODUCT(
  IF($B33:$K33&lt;&gt;"",
     INDEX('Eurostat EB products IEA'!$A$4:$BN$135,
           MATCH($B33:$K33, 'Eurostat EB products IEA'!$A$4:$A$135, 0),
           MATCH(AL$1, 'Eurostat EB products IEA'!$A$4:$BN$4, 0)
     )
     * $L33:$U33,
     0
  )
)</f>
        <v>0</v>
      </c>
      <c r="AM33" s="57" cm="1">
        <f t="array" ref="AM33">SUMPRODUCT(
  IF($B33:$K33&lt;&gt;"",
     INDEX('Eurostat EB products IEA'!$A$4:$BN$135,
           MATCH($B33:$K33, 'Eurostat EB products IEA'!$A$4:$A$135, 0),
           MATCH(AM$1, 'Eurostat EB products IEA'!$A$4:$BN$4, 0)
     )
     * $L33:$U33,
     0
  )
)</f>
        <v>0</v>
      </c>
      <c r="AN33" s="65" t="s">
        <v>323</v>
      </c>
      <c r="AO33" s="57" cm="1">
        <f t="array" ref="AO33">SUMPRODUCT(
  IF($B33:$K33&lt;&gt;"",
     INDEX('Eurostat EB products IEA'!$A$4:$BN$135,
           MATCH($B33:$K33, 'Eurostat EB products IEA'!$A$4:$A$135, 0),
           MATCH(AO$1, 'Eurostat EB products IEA'!$A$4:$BN$4, 0)
     )
     * $L33:$U33,
     0
  )
)</f>
        <v>0</v>
      </c>
      <c r="AP33" s="57" cm="1">
        <f t="array" ref="AP33">SUMPRODUCT(
  IF($B33:$K33&lt;&gt;"",
     INDEX('Eurostat EB products IEA'!$A$4:$BN$135,
           MATCH($B33:$K33, 'Eurostat EB products IEA'!$A$4:$A$135, 0),
           MATCH(AP$1, 'Eurostat EB products IEA'!$A$4:$BN$4, 0)
     )
     * $L33:$U33,
     0
  )
)</f>
        <v>0</v>
      </c>
      <c r="AQ33" s="57" cm="1">
        <f t="array" ref="AQ33">SUMPRODUCT(
  IF($B33:$K33&lt;&gt;"",
     INDEX('Eurostat EB products IEA'!$A$4:$BN$135,
           MATCH($B33:$K33, 'Eurostat EB products IEA'!$A$4:$A$135, 0),
           MATCH(AQ$1, 'Eurostat EB products IEA'!$A$4:$BN$4, 0)
     )
     * $L33:$U33,
     0
  )
)</f>
        <v>0</v>
      </c>
      <c r="AR33" s="57" cm="1">
        <f t="array" ref="AR33">SUMPRODUCT(
  IF($B33:$K33&lt;&gt;"",
     INDEX('Eurostat EB products IEA'!$A$4:$BN$135,
           MATCH($B33:$K33, 'Eurostat EB products IEA'!$A$4:$A$135, 0),
           MATCH(AR$1, 'Eurostat EB products IEA'!$A$4:$BN$4, 0)
     )
     * $L33:$U33,
     0
  )
)</f>
        <v>0</v>
      </c>
      <c r="AS33" s="57" cm="1">
        <f t="array" ref="AS33">SUMPRODUCT(
  IF($B33:$K33&lt;&gt;"",
     INDEX('Eurostat EB products IEA'!$A$4:$BN$135,
           MATCH($B33:$K33, 'Eurostat EB products IEA'!$A$4:$A$135, 0),
           MATCH(AS$1, 'Eurostat EB products IEA'!$A$4:$BN$4, 0)
     )
     * $L33:$U33,
     0
  )
)</f>
        <v>0</v>
      </c>
      <c r="AT33" s="57" cm="1">
        <f t="array" ref="AT33">SUMPRODUCT(
  IF($B33:$K33&lt;&gt;"",
     INDEX('Eurostat EB products IEA'!$A$4:$BN$135,
           MATCH($B33:$K33, 'Eurostat EB products IEA'!$A$4:$A$135, 0),
           MATCH(AT$1, 'Eurostat EB products IEA'!$A$4:$BN$4, 0)
     )
     * $L33:$U33,
     0
  )
)</f>
        <v>0</v>
      </c>
      <c r="AU33" s="57" cm="1">
        <f t="array" ref="AU33">SUMPRODUCT(
  IF($B33:$K33&lt;&gt;"",
     INDEX('Eurostat EB products IEA'!$A$4:$BN$135,
           MATCH($B33:$K33, 'Eurostat EB products IEA'!$A$4:$A$135, 0),
           MATCH(AU$1, 'Eurostat EB products IEA'!$A$4:$BN$4, 0)
     )
     * $L33:$U33,
     0
  )
)</f>
        <v>0</v>
      </c>
      <c r="AV33" s="57" cm="1">
        <f t="array" ref="AV33">SUMPRODUCT(
  IF($B33:$K33&lt;&gt;"",
     INDEX('Eurostat EB products IEA'!$A$4:$BN$135,
           MATCH($B33:$K33, 'Eurostat EB products IEA'!$A$4:$A$135, 0),
           MATCH(AV$1, 'Eurostat EB products IEA'!$A$4:$BN$4, 0)
     )
     * $L33:$U33,
     0
  )
)</f>
        <v>0</v>
      </c>
      <c r="AW33" s="57" cm="1">
        <f t="array" ref="AW33">SUMPRODUCT(
  IF($B33:$K33&lt;&gt;"",
     INDEX('Eurostat EB products IEA'!$A$4:$BN$135,
           MATCH($B33:$K33, 'Eurostat EB products IEA'!$A$4:$A$135, 0),
           MATCH(AW$1, 'Eurostat EB products IEA'!$A$4:$BN$4, 0)
     )
     * $L33:$U33,
     0
  )
)</f>
        <v>0</v>
      </c>
      <c r="AX33" s="57" cm="1">
        <f t="array" ref="AX33">SUMPRODUCT(
  IF($B33:$K33&lt;&gt;"",
     INDEX('Eurostat EB products IEA'!$A$4:$BN$135,
           MATCH($B33:$K33, 'Eurostat EB products IEA'!$A$4:$A$135, 0),
           MATCH(AX$1, 'Eurostat EB products IEA'!$A$4:$BN$4, 0)
     )
     * $L33:$U33,
     0
  )
)</f>
        <v>0</v>
      </c>
      <c r="AY33" s="57" cm="1">
        <f t="array" ref="AY33">SUMPRODUCT(
  IF($B33:$K33&lt;&gt;"",
     INDEX('Eurostat EB products IEA'!$A$4:$BN$135,
           MATCH($B33:$K33, 'Eurostat EB products IEA'!$A$4:$A$135, 0),
           MATCH(AY$1, 'Eurostat EB products IEA'!$A$4:$BN$4, 0)
     )
     * $L33:$U33,
     0
  )
)</f>
        <v>0</v>
      </c>
      <c r="AZ33" s="57" cm="1">
        <f t="array" ref="AZ33">SUMPRODUCT(
  IF($B33:$K33&lt;&gt;"",
     INDEX('Eurostat EB products IEA'!$A$4:$BN$135,
           MATCH($B33:$K33, 'Eurostat EB products IEA'!$A$4:$A$135, 0),
           MATCH(AZ$1, 'Eurostat EB products IEA'!$A$4:$BN$4, 0)
     )
     * $L33:$U33,
     0
  )
)</f>
        <v>0</v>
      </c>
      <c r="BA33" s="57" cm="1">
        <f t="array" ref="BA33">SUMPRODUCT(
  IF($B33:$K33&lt;&gt;"",
     INDEX('Eurostat EB products IEA'!$A$4:$BN$135,
           MATCH($B33:$K33, 'Eurostat EB products IEA'!$A$4:$A$135, 0),
           MATCH(BA$1, 'Eurostat EB products IEA'!$A$4:$BN$4, 0)
     )
     * $L33:$U33,
     0
  )
)</f>
        <v>0</v>
      </c>
      <c r="BB33" s="57" cm="1">
        <f t="array" ref="BB33">SUMPRODUCT(
  IF($B33:$K33&lt;&gt;"",
     INDEX('Eurostat EB products IEA'!$A$4:$BN$135,
           MATCH($B33:$K33, 'Eurostat EB products IEA'!$A$4:$A$135, 0),
           MATCH(BB$1, 'Eurostat EB products IEA'!$A$4:$BN$4, 0)
     )
     * $L33:$U33,
     0
  )
)</f>
        <v>0</v>
      </c>
      <c r="BC33" s="57" cm="1">
        <f t="array" ref="BC33">SUMPRODUCT(
  IF($B33:$K33&lt;&gt;"",
     INDEX('Eurostat EB products IEA'!$A$4:$BN$135,
           MATCH($B33:$K33, 'Eurostat EB products IEA'!$A$4:$A$135, 0),
           MATCH(BC$1, 'Eurostat EB products IEA'!$A$4:$BN$4, 0)
     )
     * $L33:$U33,
     0
  )
)</f>
        <v>0</v>
      </c>
      <c r="BD33" s="57" cm="1">
        <f t="array" ref="BD33">SUMPRODUCT(
  IF($B33:$K33&lt;&gt;"",
     INDEX('Eurostat EB products IEA'!$A$4:$BN$135,
           MATCH($B33:$K33, 'Eurostat EB products IEA'!$A$4:$A$135, 0),
           MATCH(BD$1, 'Eurostat EB products IEA'!$A$4:$BN$4, 0)
     )
     * $L33:$U33,
     0
  )
)</f>
        <v>0</v>
      </c>
      <c r="BE33" s="57" cm="1">
        <f t="array" ref="BE33">SUMPRODUCT(
  IF($B33:$K33&lt;&gt;"",
     INDEX('Eurostat EB products IEA'!$A$4:$BN$135,
           MATCH($B33:$K33, 'Eurostat EB products IEA'!$A$4:$A$135, 0),
           MATCH(BE$1, 'Eurostat EB products IEA'!$A$4:$BN$4, 0)
     )
     * $L33:$U33,
     0
  )
)</f>
        <v>0</v>
      </c>
      <c r="BF33" s="57" cm="1">
        <f t="array" ref="BF33">SUMPRODUCT(
  IF($B33:$K33&lt;&gt;"",
     INDEX('Eurostat EB products IEA'!$A$4:$BN$135,
           MATCH($B33:$K33, 'Eurostat EB products IEA'!$A$4:$A$135, 0),
           MATCH(BF$1, 'Eurostat EB products IEA'!$A$4:$BN$4, 0)
     )
     * $L33:$U33,
     0
  )
)</f>
        <v>0</v>
      </c>
      <c r="BG33" s="57" cm="1">
        <f t="array" ref="BG33">SUMPRODUCT(
  IF($B33:$K33&lt;&gt;"",
     INDEX('Eurostat EB products IEA'!$A$4:$BN$135,
           MATCH($B33:$K33, 'Eurostat EB products IEA'!$A$4:$A$135, 0),
           MATCH(BG$1, 'Eurostat EB products IEA'!$A$4:$BN$4, 0)
     )
     * $L33:$U33,
     0
  )
)</f>
        <v>0</v>
      </c>
      <c r="BH33" s="57" cm="1">
        <f t="array" ref="BH33">SUMPRODUCT(
  IF($B33:$K33&lt;&gt;"",
     INDEX('Eurostat EB products IEA'!$A$4:$BN$135,
           MATCH($B33:$K33, 'Eurostat EB products IEA'!$A$4:$A$135, 0),
           MATCH(BH$1, 'Eurostat EB products IEA'!$A$4:$BN$4, 0)
     )
     * $L33:$U33,
     0
  )
)</f>
        <v>0</v>
      </c>
      <c r="BI33" s="57" cm="1">
        <f t="array" ref="BI33">SUMPRODUCT(
  IF($B33:$K33&lt;&gt;"",
     INDEX('Eurostat EB products IEA'!$A$4:$BN$135,
           MATCH($B33:$K33, 'Eurostat EB products IEA'!$A$4:$A$135, 0),
           MATCH(BI$1, 'Eurostat EB products IEA'!$A$4:$BN$4, 0)
     )
     * $L33:$U33,
     0
  )
)</f>
        <v>0</v>
      </c>
      <c r="BJ33" s="57" cm="1">
        <f t="array" ref="BJ33">SUMPRODUCT(
  IF($B33:$K33&lt;&gt;"",
     INDEX('Eurostat EB products IEA'!$A$4:$BN$135,
           MATCH($B33:$K33, 'Eurostat EB products IEA'!$A$4:$A$135, 0),
           MATCH(BJ$1, 'Eurostat EB products IEA'!$A$4:$BN$4, 0)
     )
     * $L33:$U33,
     0
  )
)</f>
        <v>0</v>
      </c>
      <c r="BK33" s="57" cm="1">
        <f t="array" ref="BK33">SUMPRODUCT(
  IF($B33:$K33&lt;&gt;"",
     INDEX('Eurostat EB products IEA'!$A$4:$BN$135,
           MATCH($B33:$K33, 'Eurostat EB products IEA'!$A$4:$A$135, 0),
           MATCH(BK$1, 'Eurostat EB products IEA'!$A$4:$BN$4, 0)
     )
     * $L33:$U33,
     0
  )
)</f>
        <v>0</v>
      </c>
      <c r="BL33" s="57" cm="1">
        <f t="array" ref="BL33">SUMPRODUCT(
  IF($B33:$K33&lt;&gt;"",
     INDEX('Eurostat EB products IEA'!$A$4:$BN$135,
           MATCH($B33:$K33, 'Eurostat EB products IEA'!$A$4:$A$135, 0),
           MATCH(BL$1, 'Eurostat EB products IEA'!$A$4:$BN$4, 0)
     )
     * $L33:$U33,
     0
  )
)</f>
        <v>0</v>
      </c>
      <c r="BM33" s="57" cm="1">
        <f t="array" ref="BM33">SUMPRODUCT(
  IF($B33:$K33&lt;&gt;"",
     INDEX('Eurostat EB products IEA'!$A$4:$BN$135,
           MATCH($B33:$K33, 'Eurostat EB products IEA'!$A$4:$A$135, 0),
           MATCH(BM$1, 'Eurostat EB products IEA'!$A$4:$BN$4, 0)
     )
     * $L33:$U33,
     0
  )
)</f>
        <v>0</v>
      </c>
      <c r="BN33" s="57" cm="1">
        <f t="array" ref="BN33">SUMPRODUCT(
  IF($B33:$K33&lt;&gt;"",
     INDEX('Eurostat EB products IEA'!$A$4:$BN$135,
           MATCH($B33:$K33, 'Eurostat EB products IEA'!$A$4:$A$135, 0),
           MATCH(BN$1, 'Eurostat EB products IEA'!$A$4:$BN$4, 0)
     )
     * $L33:$U33,
     0
  )
)</f>
        <v>0</v>
      </c>
      <c r="BO33" s="57" cm="1">
        <f t="array" ref="BO33">SUMPRODUCT(
  IF($B33:$K33&lt;&gt;"",
     INDEX('Eurostat EB products IEA'!$A$4:$BN$135,
           MATCH($B33:$K33, 'Eurostat EB products IEA'!$A$4:$A$135, 0),
           MATCH(BO$1, 'Eurostat EB products IEA'!$A$4:$BN$4, 0)
     )
     * $L33:$U33,
     0
  )
)</f>
        <v>0</v>
      </c>
      <c r="BP33" s="57" cm="1">
        <f t="array" ref="BP33">SUMPRODUCT(
  IF($B33:$K33&lt;&gt;"",
     INDEX('Eurostat EB products IEA'!$A$4:$BN$135,
           MATCH($B33:$K33, 'Eurostat EB products IEA'!$A$4:$A$135, 0),
           MATCH(BP$1, 'Eurostat EB products IEA'!$A$4:$BN$4, 0)
     )
     * $L33:$U33,
     0
  )
)</f>
        <v>0</v>
      </c>
      <c r="BQ33" s="57" cm="1">
        <f t="array" ref="BQ33">SUMPRODUCT(
  IF($B33:$K33&lt;&gt;"",
     INDEX('Eurostat EB products IEA'!$A$4:$BN$135,
           MATCH($B33:$K33, 'Eurostat EB products IEA'!$A$4:$A$135, 0),
           MATCH(BQ$1, 'Eurostat EB products IEA'!$A$4:$BN$4, 0)
     )
     * $L33:$U33,
     0
  )
)</f>
        <v>0</v>
      </c>
      <c r="BR33" s="57" cm="1">
        <f t="array" ref="BR33">SUMPRODUCT(
  IF($B33:$K33&lt;&gt;"",
     INDEX('Eurostat EB products IEA'!$A$4:$BN$135,
           MATCH($B33:$K33, 'Eurostat EB products IEA'!$A$4:$A$135, 0),
           MATCH(BR$1, 'Eurostat EB products IEA'!$A$4:$BN$4, 0)
     )
     * $L33:$U33,
     0
  )
)</f>
        <v>0</v>
      </c>
      <c r="BS33" s="65">
        <v>0</v>
      </c>
      <c r="BT33" s="57" cm="1">
        <f t="array" ref="BT33">SUMPRODUCT(
  IF($B33:$K33&lt;&gt;"",
     INDEX('Eurostat EB products IEA'!$A$4:$BN$135,
           MATCH($B33:$K33, 'Eurostat EB products IEA'!$A$4:$A$135, 0),
           MATCH(BT$1, 'Eurostat EB products IEA'!$A$4:$BN$4, 0)
     )
     * $L33:$U33,
     0
  )
)</f>
        <v>0</v>
      </c>
      <c r="BU33" s="65">
        <v>0</v>
      </c>
      <c r="BV33" s="65">
        <v>0</v>
      </c>
      <c r="BW33" s="57" cm="1">
        <f t="array" ref="BW33">SUMPRODUCT(
  IF($B33:$K33&lt;&gt;"",
     INDEX('Eurostat EB products IEA'!$A$4:$BN$135,
           MATCH($B33:$K33, 'Eurostat EB products IEA'!$A$4:$A$135, 0),
           MATCH(BW$1, 'Eurostat EB products IEA'!$A$4:$BN$4, 0)
     )
     * $L33:$U33,
     0
  )
)</f>
        <v>0</v>
      </c>
      <c r="BX33" s="57" cm="1">
        <f t="array" ref="BX33">SUMPRODUCT(
  IF($B33:$K33&lt;&gt;"",
     INDEX('Eurostat EB products IEA'!$A$4:$BN$135,
           MATCH($B33:$K33, 'Eurostat EB products IEA'!$A$4:$A$135, 0),
           MATCH(BX$1, 'Eurostat EB products IEA'!$A$4:$BN$4, 0)
     )
     * $L33:$U33,
     0
  )
)</f>
        <v>0</v>
      </c>
      <c r="BY33" s="57" cm="1">
        <f t="array" ref="BY33">SUMPRODUCT(
  IF($B33:$K33&lt;&gt;"",
     INDEX('Eurostat EB products IEA'!$A$4:$BN$135,
           MATCH($B33:$K33, 'Eurostat EB products IEA'!$A$4:$A$135, 0),
           MATCH(BY$1, 'Eurostat EB products IEA'!$A$4:$BN$4, 0)
     )
     * $L33:$U33,
     0
  )
)</f>
        <v>0</v>
      </c>
      <c r="BZ33" s="57" cm="1">
        <f t="array" ref="BZ33">SUMPRODUCT(
  IF($B33:$K33&lt;&gt;"",
     INDEX('Eurostat EB products IEA'!$A$4:$BN$135,
           MATCH($B33:$K33, 'Eurostat EB products IEA'!$A$4:$A$135, 0),
           MATCH(BZ$1, 'Eurostat EB products IEA'!$A$4:$BN$4, 0)
     )
     * $L33:$U33,
     0
  )
)</f>
        <v>0</v>
      </c>
      <c r="CA33" s="57" cm="1">
        <f t="array" ref="CA33">SUMPRODUCT(
  IF($B33:$K33&lt;&gt;"",
     INDEX('Eurostat EB products IEA'!$A$4:$BN$135,
           MATCH($B33:$K33, 'Eurostat EB products IEA'!$A$4:$A$135, 0),
           MATCH(CA$1, 'Eurostat EB products IEA'!$A$4:$BN$4, 0)
     )
     * $L33:$U33,
     0
  )
)</f>
        <v>0</v>
      </c>
      <c r="CB33" s="57" cm="1">
        <f t="array" ref="CB33">SUMPRODUCT(
  IF($B33:$K33&lt;&gt;"",
     INDEX('Eurostat EB products IEA'!$A$4:$BN$135,
           MATCH($B33:$K33, 'Eurostat EB products IEA'!$A$4:$A$135, 0),
           MATCH(CB$1, 'Eurostat EB products IEA'!$A$4:$BN$4, 0)
     )
     * $L33:$U33,
     0
  )
)</f>
        <v>0</v>
      </c>
      <c r="CC33" s="57" cm="1">
        <f t="array" ref="CC33">SUMPRODUCT(
  IF($B33:$K33&lt;&gt;"",
     INDEX('Eurostat EB products IEA'!$A$4:$BN$135,
           MATCH($B33:$K33, 'Eurostat EB products IEA'!$A$4:$A$135, 0),
           MATCH(CC$1, 'Eurostat EB products IEA'!$A$4:$BN$4, 0)
     )
     * $L33:$U33,
     0
  )
)</f>
        <v>0</v>
      </c>
      <c r="CD33" s="65">
        <v>0</v>
      </c>
      <c r="CE33" s="57" cm="1">
        <f t="array" ref="CE33">SUMPRODUCT(
  IF($B33:$K33&lt;&gt;"",
     INDEX('Eurostat EB products IEA'!$A$4:$BN$135,
           MATCH($B33:$K33, 'Eurostat EB products IEA'!$A$4:$A$135, 0),
           MATCH(CE$1, 'Eurostat EB products IEA'!$A$4:$BN$4, 0)
     )
     * $L33:$U33,
     0
  )
)</f>
        <v>0</v>
      </c>
      <c r="CF33" s="57" cm="1">
        <f t="array" ref="CF33">SUMPRODUCT(
  IF($B33:$K33&lt;&gt;"",
     INDEX('Eurostat EB products IEA'!$A$4:$BN$135,
           MATCH($B33:$K33, 'Eurostat EB products IEA'!$A$4:$A$135, 0),
           MATCH(CF$1, 'Eurostat EB products IEA'!$A$4:$BN$4, 0)
     )
     * $L33:$U33,
     0
  )
)</f>
        <v>0</v>
      </c>
      <c r="CG33" s="57" cm="1">
        <f t="array" ref="CG33">SUMPRODUCT(
  IF($B33:$K33&lt;&gt;"",
     INDEX('Eurostat EB products IEA'!$A$4:$BN$135,
           MATCH($B33:$K33, 'Eurostat EB products IEA'!$A$4:$A$135, 0),
           MATCH(CG$1, 'Eurostat EB products IEA'!$A$4:$BN$4, 0)
     )
     * $L33:$U33,
     0
  )
)</f>
        <v>0</v>
      </c>
      <c r="CH33" s="57" cm="1">
        <f t="array" ref="CH33">SUMPRODUCT(
  IF($B33:$K33&lt;&gt;"",
     INDEX('Eurostat EB products IEA'!$A$4:$BN$135,
           MATCH($B33:$K33, 'Eurostat EB products IEA'!$A$4:$A$135, 0),
           MATCH(CH$1, 'Eurostat EB products IEA'!$A$4:$BN$4, 0)
     )
     * $L33:$U33,
     0
  )
)</f>
        <v>0</v>
      </c>
    </row>
    <row r="34" spans="1:86" x14ac:dyDescent="0.2">
      <c r="A34" t="s">
        <v>162</v>
      </c>
      <c r="B34" s="75"/>
      <c r="C34" s="77"/>
      <c r="D34" s="75"/>
      <c r="E34" s="77"/>
      <c r="F34" s="75"/>
      <c r="G34" s="77"/>
      <c r="H34" s="75"/>
      <c r="I34" s="77" t="s">
        <v>214</v>
      </c>
      <c r="J34" s="74" t="s">
        <v>242</v>
      </c>
      <c r="K34" s="78" t="s">
        <v>262</v>
      </c>
      <c r="L34" s="76"/>
      <c r="M34" s="79"/>
      <c r="N34" s="76"/>
      <c r="O34" s="79"/>
      <c r="P34" s="76"/>
      <c r="Q34" s="79"/>
      <c r="R34" s="76"/>
      <c r="S34" s="79">
        <v>-1</v>
      </c>
      <c r="T34" s="76">
        <v>1</v>
      </c>
      <c r="U34" s="79">
        <v>-1</v>
      </c>
      <c r="V34" s="65" t="s">
        <v>323</v>
      </c>
      <c r="W34" s="65" t="s">
        <v>323</v>
      </c>
      <c r="X34" s="17" cm="1">
        <f t="array" ref="X34">SUMPRODUCT(
  IF($B34:$K34&lt;&gt;"",
     INDEX('Eurostat EB products IEA'!$A$4:$BN$135,
           MATCH($B34:$K34, 'Eurostat EB products IEA'!$A$4:$A$135, 0),
           MATCH(X$1, 'Eurostat EB products IEA'!$A$4:$BN$4, 0)
     )
     * $L34:$U34,
     0
  )
)</f>
        <v>0</v>
      </c>
      <c r="Y34" s="17" cm="1">
        <f t="array" ref="Y34">SUMPRODUCT(
  IF($B34:$K34&lt;&gt;"",
     INDEX('Eurostat EB products IEA'!$A$4:$BN$135,
           MATCH($B34:$K34, 'Eurostat EB products IEA'!$A$4:$A$135, 0),
           MATCH(Y$1, 'Eurostat EB products IEA'!$A$4:$BN$4, 0)
     )
     * $L34:$U34,
     0
  )
)</f>
        <v>0</v>
      </c>
      <c r="Z34" s="17" cm="1">
        <f t="array" ref="Z34">SUMPRODUCT(
  IF($B34:$K34&lt;&gt;"",
     INDEX('Eurostat EB products IEA'!$A$4:$BN$135,
           MATCH($B34:$K34, 'Eurostat EB products IEA'!$A$4:$A$135, 0),
           MATCH(Z$1, 'Eurostat EB products IEA'!$A$4:$BN$4, 0)
     )
     * $L34:$U34,
     0
  )
)</f>
        <v>0</v>
      </c>
      <c r="AA34" s="17" cm="1">
        <f t="array" ref="AA34">SUMPRODUCT(
  IF($B34:$K34&lt;&gt;"",
     INDEX('Eurostat EB products IEA'!$A$4:$BN$135,
           MATCH($B34:$K34, 'Eurostat EB products IEA'!$A$4:$A$135, 0),
           MATCH(AA$1, 'Eurostat EB products IEA'!$A$4:$BN$4, 0)
     )
     * $L34:$U34,
     0
  )
)</f>
        <v>0</v>
      </c>
      <c r="AB34" s="17" cm="1">
        <f t="array" ref="AB34">SUMPRODUCT(
  IF($B34:$K34&lt;&gt;"",
     INDEX('Eurostat EB products IEA'!$A$4:$BN$135,
           MATCH($B34:$K34, 'Eurostat EB products IEA'!$A$4:$A$135, 0),
           MATCH(AB$1, 'Eurostat EB products IEA'!$A$4:$BN$4, 0)
     )
     * $L34:$U34,
     0
  )
)</f>
        <v>0</v>
      </c>
      <c r="AC34" s="17" cm="1">
        <f t="array" ref="AC34">SUMPRODUCT(
  IF($B34:$K34&lt;&gt;"",
     INDEX('Eurostat EB products IEA'!$A$4:$BN$135,
           MATCH($B34:$K34, 'Eurostat EB products IEA'!$A$4:$A$135, 0),
           MATCH(AC$1, 'Eurostat EB products IEA'!$A$4:$BN$4, 0)
     )
     * $L34:$U34,
     0
  )
)</f>
        <v>0</v>
      </c>
      <c r="AD34" s="17" cm="1">
        <f t="array" ref="AD34">SUMPRODUCT(
  IF($B34:$K34&lt;&gt;"",
     INDEX('Eurostat EB products IEA'!$A$4:$BN$135,
           MATCH($B34:$K34, 'Eurostat EB products IEA'!$A$4:$A$135, 0),
           MATCH(AD$1, 'Eurostat EB products IEA'!$A$4:$BN$4, 0)
     )
     * $L34:$U34,
     0
  )
)</f>
        <v>0</v>
      </c>
      <c r="AE34" s="17" cm="1">
        <f t="array" ref="AE34">SUMPRODUCT(
  IF($B34:$K34&lt;&gt;"",
     INDEX('Eurostat EB products IEA'!$A$4:$BN$135,
           MATCH($B34:$K34, 'Eurostat EB products IEA'!$A$4:$A$135, 0),
           MATCH(AE$1, 'Eurostat EB products IEA'!$A$4:$BN$4, 0)
     )
     * $L34:$U34,
     0
  )
)</f>
        <v>0</v>
      </c>
      <c r="AF34" s="17" cm="1">
        <f t="array" ref="AF34">SUMPRODUCT(
  IF($B34:$K34&lt;&gt;"",
     INDEX('Eurostat EB products IEA'!$A$4:$BN$135,
           MATCH($B34:$K34, 'Eurostat EB products IEA'!$A$4:$A$135, 0),
           MATCH(AF$1, 'Eurostat EB products IEA'!$A$4:$BN$4, 0)
     )
     * $L34:$U34,
     0
  )
)</f>
        <v>0</v>
      </c>
      <c r="AG34" s="17" cm="1">
        <f t="array" ref="AG34">SUMPRODUCT(
  IF($B34:$K34&lt;&gt;"",
     INDEX('Eurostat EB products IEA'!$A$4:$BN$135,
           MATCH($B34:$K34, 'Eurostat EB products IEA'!$A$4:$A$135, 0),
           MATCH(AG$1, 'Eurostat EB products IEA'!$A$4:$BN$4, 0)
     )
     * $L34:$U34,
     0
  )
)</f>
        <v>0</v>
      </c>
      <c r="AH34" s="17" cm="1">
        <f t="array" ref="AH34">SUMPRODUCT(
  IF($B34:$K34&lt;&gt;"",
     INDEX('Eurostat EB products IEA'!$A$4:$BN$135,
           MATCH($B34:$K34, 'Eurostat EB products IEA'!$A$4:$A$135, 0),
           MATCH(AH$1, 'Eurostat EB products IEA'!$A$4:$BN$4, 0)
     )
     * $L34:$U34,
     0
  )
)</f>
        <v>0</v>
      </c>
      <c r="AI34" s="17" cm="1">
        <f t="array" ref="AI34">SUMPRODUCT(
  IF($B34:$K34&lt;&gt;"",
     INDEX('Eurostat EB products IEA'!$A$4:$BN$135,
           MATCH($B34:$K34, 'Eurostat EB products IEA'!$A$4:$A$135, 0),
           MATCH(AI$1, 'Eurostat EB products IEA'!$A$4:$BN$4, 0)
     )
     * $L34:$U34,
     0
  )
)</f>
        <v>-7194.2259999999997</v>
      </c>
      <c r="AJ34" s="17" cm="1">
        <f t="array" ref="AJ34">SUMPRODUCT(
  IF($B34:$K34&lt;&gt;"",
     INDEX('Eurostat EB products IEA'!$A$4:$BN$135,
           MATCH($B34:$K34, 'Eurostat EB products IEA'!$A$4:$A$135, 0),
           MATCH(AJ$1, 'Eurostat EB products IEA'!$A$4:$BN$4, 0)
     )
     * $L34:$U34,
     0
  )
)</f>
        <v>-5597.1120000000001</v>
      </c>
      <c r="AK34" s="17" cm="1">
        <f t="array" ref="AK34">SUMPRODUCT(
  IF($B34:$K34&lt;&gt;"",
     INDEX('Eurostat EB products IEA'!$A$4:$BN$135,
           MATCH($B34:$K34, 'Eurostat EB products IEA'!$A$4:$A$135, 0),
           MATCH(AK$1, 'Eurostat EB products IEA'!$A$4:$BN$4, 0)
     )
     * $L34:$U34,
     0
  )
)</f>
        <v>0</v>
      </c>
      <c r="AL34" s="17" cm="1">
        <f t="array" ref="AL34">SUMPRODUCT(
  IF($B34:$K34&lt;&gt;"",
     INDEX('Eurostat EB products IEA'!$A$4:$BN$135,
           MATCH($B34:$K34, 'Eurostat EB products IEA'!$A$4:$A$135, 0),
           MATCH(AL$1, 'Eurostat EB products IEA'!$A$4:$BN$4, 0)
     )
     * $L34:$U34,
     0
  )
)</f>
        <v>0</v>
      </c>
      <c r="AM34" s="17" cm="1">
        <f t="array" ref="AM34">SUMPRODUCT(
  IF($B34:$K34&lt;&gt;"",
     INDEX('Eurostat EB products IEA'!$A$4:$BN$135,
           MATCH($B34:$K34, 'Eurostat EB products IEA'!$A$4:$A$135, 0),
           MATCH(AM$1, 'Eurostat EB products IEA'!$A$4:$BN$4, 0)
     )
     * $L34:$U34,
     0
  )
)</f>
        <v>-32451.208999999999</v>
      </c>
      <c r="AN34" s="65" t="s">
        <v>323</v>
      </c>
      <c r="AO34" s="17" cm="1">
        <f t="array" ref="AO34">SUMPRODUCT(
  IF($B34:$K34&lt;&gt;"",
     INDEX('Eurostat EB products IEA'!$A$4:$BN$135,
           MATCH($B34:$K34, 'Eurostat EB products IEA'!$A$4:$A$135, 0),
           MATCH(AO$1, 'Eurostat EB products IEA'!$A$4:$BN$4, 0)
     )
     * $L34:$U34,
     0
  )
)</f>
        <v>0</v>
      </c>
      <c r="AP34" s="17" cm="1">
        <f t="array" ref="AP34">SUMPRODUCT(
  IF($B34:$K34&lt;&gt;"",
     INDEX('Eurostat EB products IEA'!$A$4:$BN$135,
           MATCH($B34:$K34, 'Eurostat EB products IEA'!$A$4:$A$135, 0),
           MATCH(AP$1, 'Eurostat EB products IEA'!$A$4:$BN$4, 0)
     )
     * $L34:$U34,
     0
  )
)</f>
        <v>0</v>
      </c>
      <c r="AQ34" s="17" cm="1">
        <f t="array" ref="AQ34">SUMPRODUCT(
  IF($B34:$K34&lt;&gt;"",
     INDEX('Eurostat EB products IEA'!$A$4:$BN$135,
           MATCH($B34:$K34, 'Eurostat EB products IEA'!$A$4:$A$135, 0),
           MATCH(AQ$1, 'Eurostat EB products IEA'!$A$4:$BN$4, 0)
     )
     * $L34:$U34,
     0
  )
)</f>
        <v>0</v>
      </c>
      <c r="AR34" s="17" cm="1">
        <f t="array" ref="AR34">SUMPRODUCT(
  IF($B34:$K34&lt;&gt;"",
     INDEX('Eurostat EB products IEA'!$A$4:$BN$135,
           MATCH($B34:$K34, 'Eurostat EB products IEA'!$A$4:$A$135, 0),
           MATCH(AR$1, 'Eurostat EB products IEA'!$A$4:$BN$4, 0)
     )
     * $L34:$U34,
     0
  )
)</f>
        <v>0</v>
      </c>
      <c r="AS34" s="17" cm="1">
        <f t="array" ref="AS34">SUMPRODUCT(
  IF($B34:$K34&lt;&gt;"",
     INDEX('Eurostat EB products IEA'!$A$4:$BN$135,
           MATCH($B34:$K34, 'Eurostat EB products IEA'!$A$4:$A$135, 0),
           MATCH(AS$1, 'Eurostat EB products IEA'!$A$4:$BN$4, 0)
     )
     * $L34:$U34,
     0
  )
)</f>
        <v>0</v>
      </c>
      <c r="AT34" s="17" cm="1">
        <f t="array" ref="AT34">SUMPRODUCT(
  IF($B34:$K34&lt;&gt;"",
     INDEX('Eurostat EB products IEA'!$A$4:$BN$135,
           MATCH($B34:$K34, 'Eurostat EB products IEA'!$A$4:$A$135, 0),
           MATCH(AT$1, 'Eurostat EB products IEA'!$A$4:$BN$4, 0)
     )
     * $L34:$U34,
     0
  )
)</f>
        <v>-89172.464000000007</v>
      </c>
      <c r="AU34" s="17" cm="1">
        <f t="array" ref="AU34">SUMPRODUCT(
  IF($B34:$K34&lt;&gt;"",
     INDEX('Eurostat EB products IEA'!$A$4:$BN$135,
           MATCH($B34:$K34, 'Eurostat EB products IEA'!$A$4:$A$135, 0),
           MATCH(AU$1, 'Eurostat EB products IEA'!$A$4:$BN$4, 0)
     )
     * $L34:$U34,
     0
  )
)</f>
        <v>0</v>
      </c>
      <c r="AV34" s="17" cm="1">
        <f t="array" ref="AV34">SUMPRODUCT(
  IF($B34:$K34&lt;&gt;"",
     INDEX('Eurostat EB products IEA'!$A$4:$BN$135,
           MATCH($B34:$K34, 'Eurostat EB products IEA'!$A$4:$A$135, 0),
           MATCH(AV$1, 'Eurostat EB products IEA'!$A$4:$BN$4, 0)
     )
     * $L34:$U34,
     0
  )
)</f>
        <v>-4181.308</v>
      </c>
      <c r="AW34" s="17" cm="1">
        <f t="array" ref="AW34">SUMPRODUCT(
  IF($B34:$K34&lt;&gt;"",
     INDEX('Eurostat EB products IEA'!$A$4:$BN$135,
           MATCH($B34:$K34, 'Eurostat EB products IEA'!$A$4:$A$135, 0),
           MATCH(AW$1, 'Eurostat EB products IEA'!$A$4:$BN$4, 0)
     )
     * $L34:$U34,
     0
  )
)</f>
        <v>0</v>
      </c>
      <c r="AX34" s="17" cm="1">
        <f t="array" ref="AX34">SUMPRODUCT(
  IF($B34:$K34&lt;&gt;"",
     INDEX('Eurostat EB products IEA'!$A$4:$BN$135,
           MATCH($B34:$K34, 'Eurostat EB products IEA'!$A$4:$A$135, 0),
           MATCH(AX$1, 'Eurostat EB products IEA'!$A$4:$BN$4, 0)
     )
     * $L34:$U34,
     0
  )
)</f>
        <v>0</v>
      </c>
      <c r="AY34" s="17" cm="1">
        <f t="array" ref="AY34">SUMPRODUCT(
  IF($B34:$K34&lt;&gt;"",
     INDEX('Eurostat EB products IEA'!$A$4:$BN$135,
           MATCH($B34:$K34, 'Eurostat EB products IEA'!$A$4:$A$135, 0),
           MATCH(AY$1, 'Eurostat EB products IEA'!$A$4:$BN$4, 0)
     )
     * $L34:$U34,
     0
  )
)</f>
        <v>0</v>
      </c>
      <c r="AZ34" s="17" cm="1">
        <f t="array" ref="AZ34">SUMPRODUCT(
  IF($B34:$K34&lt;&gt;"",
     INDEX('Eurostat EB products IEA'!$A$4:$BN$135,
           MATCH($B34:$K34, 'Eurostat EB products IEA'!$A$4:$A$135, 0),
           MATCH(AZ$1, 'Eurostat EB products IEA'!$A$4:$BN$4, 0)
     )
     * $L34:$U34,
     0
  )
)</f>
        <v>0</v>
      </c>
      <c r="BA34" s="17" cm="1">
        <f t="array" ref="BA34">SUMPRODUCT(
  IF($B34:$K34&lt;&gt;"",
     INDEX('Eurostat EB products IEA'!$A$4:$BN$135,
           MATCH($B34:$K34, 'Eurostat EB products IEA'!$A$4:$A$135, 0),
           MATCH(BA$1, 'Eurostat EB products IEA'!$A$4:$BN$4, 0)
     )
     * $L34:$U34,
     0
  )
)</f>
        <v>0</v>
      </c>
      <c r="BB34" s="17" cm="1">
        <f t="array" ref="BB34">SUMPRODUCT(
  IF($B34:$K34&lt;&gt;"",
     INDEX('Eurostat EB products IEA'!$A$4:$BN$135,
           MATCH($B34:$K34, 'Eurostat EB products IEA'!$A$4:$A$135, 0),
           MATCH(BB$1, 'Eurostat EB products IEA'!$A$4:$BN$4, 0)
     )
     * $L34:$U34,
     0
  )
)</f>
        <v>-8.1969999999999992</v>
      </c>
      <c r="BC34" s="17" cm="1">
        <f t="array" ref="BC34">SUMPRODUCT(
  IF($B34:$K34&lt;&gt;"",
     INDEX('Eurostat EB products IEA'!$A$4:$BN$135,
           MATCH($B34:$K34, 'Eurostat EB products IEA'!$A$4:$A$135, 0),
           MATCH(BC$1, 'Eurostat EB products IEA'!$A$4:$BN$4, 0)
     )
     * $L34:$U34,
     0
  )
)</f>
        <v>0</v>
      </c>
      <c r="BD34" s="17" cm="1">
        <f t="array" ref="BD34">SUMPRODUCT(
  IF($B34:$K34&lt;&gt;"",
     INDEX('Eurostat EB products IEA'!$A$4:$BN$135,
           MATCH($B34:$K34, 'Eurostat EB products IEA'!$A$4:$A$135, 0),
           MATCH(BD$1, 'Eurostat EB products IEA'!$A$4:$BN$4, 0)
     )
     * $L34:$U34,
     0
  )
)</f>
        <v>0</v>
      </c>
      <c r="BE34" s="17" cm="1">
        <f t="array" ref="BE34">SUMPRODUCT(
  IF($B34:$K34&lt;&gt;"",
     INDEX('Eurostat EB products IEA'!$A$4:$BN$135,
           MATCH($B34:$K34, 'Eurostat EB products IEA'!$A$4:$A$135, 0),
           MATCH(BE$1, 'Eurostat EB products IEA'!$A$4:$BN$4, 0)
     )
     * $L34:$U34,
     0
  )
)</f>
        <v>0</v>
      </c>
      <c r="BF34" s="17" cm="1">
        <f t="array" ref="BF34">SUMPRODUCT(
  IF($B34:$K34&lt;&gt;"",
     INDEX('Eurostat EB products IEA'!$A$4:$BN$135,
           MATCH($B34:$K34, 'Eurostat EB products IEA'!$A$4:$A$135, 0),
           MATCH(BF$1, 'Eurostat EB products IEA'!$A$4:$BN$4, 0)
     )
     * $L34:$U34,
     0
  )
)</f>
        <v>0</v>
      </c>
      <c r="BG34" s="17" cm="1">
        <f t="array" ref="BG34">SUMPRODUCT(
  IF($B34:$K34&lt;&gt;"",
     INDEX('Eurostat EB products IEA'!$A$4:$BN$135,
           MATCH($B34:$K34, 'Eurostat EB products IEA'!$A$4:$A$135, 0),
           MATCH(BG$1, 'Eurostat EB products IEA'!$A$4:$BN$4, 0)
     )
     * $L34:$U34,
     0
  )
)</f>
        <v>0</v>
      </c>
      <c r="BH34" s="17" cm="1">
        <f t="array" ref="BH34">SUMPRODUCT(
  IF($B34:$K34&lt;&gt;"",
     INDEX('Eurostat EB products IEA'!$A$4:$BN$135,
           MATCH($B34:$K34, 'Eurostat EB products IEA'!$A$4:$A$135, 0),
           MATCH(BH$1, 'Eurostat EB products IEA'!$A$4:$BN$4, 0)
     )
     * $L34:$U34,
     0
  )
)</f>
        <v>0</v>
      </c>
      <c r="BI34" s="17" cm="1">
        <f t="array" ref="BI34">SUMPRODUCT(
  IF($B34:$K34&lt;&gt;"",
     INDEX('Eurostat EB products IEA'!$A$4:$BN$135,
           MATCH($B34:$K34, 'Eurostat EB products IEA'!$A$4:$A$135, 0),
           MATCH(BI$1, 'Eurostat EB products IEA'!$A$4:$BN$4, 0)
     )
     * $L34:$U34,
     0
  )
)</f>
        <v>-10670.291999999999</v>
      </c>
      <c r="BJ34" s="17" cm="1">
        <f t="array" ref="BJ34">SUMPRODUCT(
  IF($B34:$K34&lt;&gt;"",
     INDEX('Eurostat EB products IEA'!$A$4:$BN$135,
           MATCH($B34:$K34, 'Eurostat EB products IEA'!$A$4:$A$135, 0),
           MATCH(BJ$1, 'Eurostat EB products IEA'!$A$4:$BN$4, 0)
     )
     * $L34:$U34,
     0
  )
)</f>
        <v>0</v>
      </c>
      <c r="BK34" s="17" cm="1">
        <f t="array" ref="BK34">SUMPRODUCT(
  IF($B34:$K34&lt;&gt;"",
     INDEX('Eurostat EB products IEA'!$A$4:$BN$135,
           MATCH($B34:$K34, 'Eurostat EB products IEA'!$A$4:$A$135, 0),
           MATCH(BK$1, 'Eurostat EB products IEA'!$A$4:$BN$4, 0)
     )
     * $L34:$U34,
     0
  )
)</f>
        <v>0</v>
      </c>
      <c r="BL34" s="17" cm="1">
        <f t="array" ref="BL34">SUMPRODUCT(
  IF($B34:$K34&lt;&gt;"",
     INDEX('Eurostat EB products IEA'!$A$4:$BN$135,
           MATCH($B34:$K34, 'Eurostat EB products IEA'!$A$4:$A$135, 0),
           MATCH(BL$1, 'Eurostat EB products IEA'!$A$4:$BN$4, 0)
     )
     * $L34:$U34,
     0
  )
)</f>
        <v>0</v>
      </c>
      <c r="BM34" s="17" cm="1">
        <f t="array" ref="BM34">SUMPRODUCT(
  IF($B34:$K34&lt;&gt;"",
     INDEX('Eurostat EB products IEA'!$A$4:$BN$135,
           MATCH($B34:$K34, 'Eurostat EB products IEA'!$A$4:$A$135, 0),
           MATCH(BM$1, 'Eurostat EB products IEA'!$A$4:$BN$4, 0)
     )
     * $L34:$U34,
     0
  )
)</f>
        <v>0</v>
      </c>
      <c r="BN34" s="17" cm="1">
        <f t="array" ref="BN34">SUMPRODUCT(
  IF($B34:$K34&lt;&gt;"",
     INDEX('Eurostat EB products IEA'!$A$4:$BN$135,
           MATCH($B34:$K34, 'Eurostat EB products IEA'!$A$4:$A$135, 0),
           MATCH(BN$1, 'Eurostat EB products IEA'!$A$4:$BN$4, 0)
     )
     * $L34:$U34,
     0
  )
)</f>
        <v>0</v>
      </c>
      <c r="BO34" s="17" cm="1">
        <f t="array" ref="BO34">SUMPRODUCT(
  IF($B34:$K34&lt;&gt;"",
     INDEX('Eurostat EB products IEA'!$A$4:$BN$135,
           MATCH($B34:$K34, 'Eurostat EB products IEA'!$A$4:$A$135, 0),
           MATCH(BO$1, 'Eurostat EB products IEA'!$A$4:$BN$4, 0)
     )
     * $L34:$U34,
     0
  )
)</f>
        <v>0</v>
      </c>
      <c r="BP34" s="17" cm="1">
        <f t="array" ref="BP34">SUMPRODUCT(
  IF($B34:$K34&lt;&gt;"",
     INDEX('Eurostat EB products IEA'!$A$4:$BN$135,
           MATCH($B34:$K34, 'Eurostat EB products IEA'!$A$4:$A$135, 0),
           MATCH(BP$1, 'Eurostat EB products IEA'!$A$4:$BN$4, 0)
     )
     * $L34:$U34,
     0
  )
)</f>
        <v>0</v>
      </c>
      <c r="BQ34" s="17" cm="1">
        <f t="array" ref="BQ34">SUMPRODUCT(
  IF($B34:$K34&lt;&gt;"",
     INDEX('Eurostat EB products IEA'!$A$4:$BN$135,
           MATCH($B34:$K34, 'Eurostat EB products IEA'!$A$4:$A$135, 0),
           MATCH(BQ$1, 'Eurostat EB products IEA'!$A$4:$BN$4, 0)
     )
     * $L34:$U34,
     0
  )
)</f>
        <v>0</v>
      </c>
      <c r="BR34" s="17" cm="1">
        <f t="array" ref="BR34">SUMPRODUCT(
  IF($B34:$K34&lt;&gt;"",
     INDEX('Eurostat EB products IEA'!$A$4:$BN$135,
           MATCH($B34:$K34, 'Eurostat EB products IEA'!$A$4:$A$135, 0),
           MATCH(BR$1, 'Eurostat EB products IEA'!$A$4:$BN$4, 0)
     )
     * $L34:$U34,
     0
  )
)</f>
        <v>0</v>
      </c>
      <c r="BS34" s="65">
        <v>0</v>
      </c>
      <c r="BT34" s="17" cm="1">
        <f t="array" ref="BT34">SUMPRODUCT(
  IF($B34:$K34&lt;&gt;"",
     INDEX('Eurostat EB products IEA'!$A$4:$BN$135,
           MATCH($B34:$K34, 'Eurostat EB products IEA'!$A$4:$A$135, 0),
           MATCH(BT$1, 'Eurostat EB products IEA'!$A$4:$BN$4, 0)
     )
     * $L34:$U34,
     0
  )
)</f>
        <v>0</v>
      </c>
      <c r="BU34" s="65">
        <v>0</v>
      </c>
      <c r="BV34" s="65">
        <v>0</v>
      </c>
      <c r="BW34" s="17" cm="1">
        <f t="array" ref="BW34">SUMPRODUCT(
  IF($B34:$K34&lt;&gt;"",
     INDEX('Eurostat EB products IEA'!$A$4:$BN$135,
           MATCH($B34:$K34, 'Eurostat EB products IEA'!$A$4:$A$135, 0),
           MATCH(BW$1, 'Eurostat EB products IEA'!$A$4:$BN$4, 0)
     )
     * $L34:$U34,
     0
  )
)</f>
        <v>0</v>
      </c>
      <c r="BX34" s="17" cm="1">
        <f t="array" ref="BX34">SUMPRODUCT(
  IF($B34:$K34&lt;&gt;"",
     INDEX('Eurostat EB products IEA'!$A$4:$BN$135,
           MATCH($B34:$K34, 'Eurostat EB products IEA'!$A$4:$A$135, 0),
           MATCH(BX$1, 'Eurostat EB products IEA'!$A$4:$BN$4, 0)
     )
     * $L34:$U34,
     0
  )
)</f>
        <v>0</v>
      </c>
      <c r="BY34" s="17" cm="1">
        <f t="array" ref="BY34">SUMPRODUCT(
  IF($B34:$K34&lt;&gt;"",
     INDEX('Eurostat EB products IEA'!$A$4:$BN$135,
           MATCH($B34:$K34, 'Eurostat EB products IEA'!$A$4:$A$135, 0),
           MATCH(BY$1, 'Eurostat EB products IEA'!$A$4:$BN$4, 0)
     )
     * $L34:$U34,
     0
  )
)</f>
        <v>0</v>
      </c>
      <c r="BZ34" s="17" cm="1">
        <f t="array" ref="BZ34">SUMPRODUCT(
  IF($B34:$K34&lt;&gt;"",
     INDEX('Eurostat EB products IEA'!$A$4:$BN$135,
           MATCH($B34:$K34, 'Eurostat EB products IEA'!$A$4:$A$135, 0),
           MATCH(BZ$1, 'Eurostat EB products IEA'!$A$4:$BN$4, 0)
     )
     * $L34:$U34,
     0
  )
)</f>
        <v>0</v>
      </c>
      <c r="CA34" s="17" cm="1">
        <f t="array" ref="CA34">SUMPRODUCT(
  IF($B34:$K34&lt;&gt;"",
     INDEX('Eurostat EB products IEA'!$A$4:$BN$135,
           MATCH($B34:$K34, 'Eurostat EB products IEA'!$A$4:$A$135, 0),
           MATCH(CA$1, 'Eurostat EB products IEA'!$A$4:$BN$4, 0)
     )
     * $L34:$U34,
     0
  )
)</f>
        <v>0</v>
      </c>
      <c r="CB34" s="17" cm="1">
        <f t="array" ref="CB34">SUMPRODUCT(
  IF($B34:$K34&lt;&gt;"",
     INDEX('Eurostat EB products IEA'!$A$4:$BN$135,
           MATCH($B34:$K34, 'Eurostat EB products IEA'!$A$4:$A$135, 0),
           MATCH(CB$1, 'Eurostat EB products IEA'!$A$4:$BN$4, 0)
     )
     * $L34:$U34,
     0
  )
)</f>
        <v>0</v>
      </c>
      <c r="CC34" s="17" cm="1">
        <f t="array" ref="CC34">SUMPRODUCT(
  IF($B34:$K34&lt;&gt;"",
     INDEX('Eurostat EB products IEA'!$A$4:$BN$135,
           MATCH($B34:$K34, 'Eurostat EB products IEA'!$A$4:$A$135, 0),
           MATCH(CC$1, 'Eurostat EB products IEA'!$A$4:$BN$4, 0)
     )
     * $L34:$U34,
     0
  )
)</f>
        <v>0</v>
      </c>
      <c r="CD34" s="65">
        <v>0</v>
      </c>
      <c r="CE34" s="17" cm="1">
        <f t="array" ref="CE34">SUMPRODUCT(
  IF($B34:$K34&lt;&gt;"",
     INDEX('Eurostat EB products IEA'!$A$4:$BN$135,
           MATCH($B34:$K34, 'Eurostat EB products IEA'!$A$4:$A$135, 0),
           MATCH(CE$1, 'Eurostat EB products IEA'!$A$4:$BN$4, 0)
     )
     * $L34:$U34,
     0
  )
)</f>
        <v>-30941.248</v>
      </c>
      <c r="CF34" s="17" cm="1">
        <f t="array" ref="CF34">SUMPRODUCT(
  IF($B34:$K34&lt;&gt;"",
     INDEX('Eurostat EB products IEA'!$A$4:$BN$135,
           MATCH($B34:$K34, 'Eurostat EB products IEA'!$A$4:$A$135, 0),
           MATCH(CF$1, 'Eurostat EB products IEA'!$A$4:$BN$4, 0)
     )
     * $L34:$U34,
     0
  )
)</f>
        <v>-11311.2</v>
      </c>
      <c r="CG34" s="17" cm="1">
        <f t="array" ref="CG34">SUMPRODUCT(
  IF($B34:$K34&lt;&gt;"",
     INDEX('Eurostat EB products IEA'!$A$4:$BN$135,
           MATCH($B34:$K34, 'Eurostat EB products IEA'!$A$4:$A$135, 0),
           MATCH(CG$1, 'Eurostat EB products IEA'!$A$4:$BN$4, 0)
     )
     * $L34:$U34,
     0
  )
)</f>
        <v>-191527.25599999999</v>
      </c>
      <c r="CH34" s="17" cm="1">
        <f t="array" ref="CH34">SUMPRODUCT(
  IF($B34:$K34&lt;&gt;"",
     INDEX('Eurostat EB products IEA'!$A$4:$BN$135,
           MATCH($B34:$K34, 'Eurostat EB products IEA'!$A$4:$A$135, 0),
           MATCH(CH$1, 'Eurostat EB products IEA'!$A$4:$BN$4, 0)
     )
     * $L34:$U34,
     0
  )
)</f>
        <v>-4875.3059999999996</v>
      </c>
    </row>
    <row r="35" spans="1:86" x14ac:dyDescent="0.2">
      <c r="A35" t="s">
        <v>95</v>
      </c>
      <c r="B35" s="75"/>
      <c r="C35" s="77"/>
      <c r="D35" s="75"/>
      <c r="E35" s="77"/>
      <c r="F35" s="75"/>
      <c r="G35" s="77"/>
      <c r="H35" s="75"/>
      <c r="I35" s="77"/>
      <c r="J35" s="74"/>
      <c r="K35" s="78" t="s">
        <v>264</v>
      </c>
      <c r="L35" s="76"/>
      <c r="M35" s="79"/>
      <c r="N35" s="76"/>
      <c r="O35" s="79"/>
      <c r="P35" s="76"/>
      <c r="Q35" s="79"/>
      <c r="R35" s="76"/>
      <c r="S35" s="79"/>
      <c r="T35" s="76"/>
      <c r="U35" s="79">
        <v>-1</v>
      </c>
      <c r="V35" s="65" t="s">
        <v>323</v>
      </c>
      <c r="W35" s="65" t="s">
        <v>323</v>
      </c>
      <c r="X35" s="57" cm="1">
        <f t="array" ref="X35">SUMPRODUCT(
  IF($B35:$K35&lt;&gt;"",
     INDEX('Eurostat EB products IEA'!$A$4:$BN$135,
           MATCH($B35:$K35, 'Eurostat EB products IEA'!$A$4:$A$135, 0),
           MATCH(X$1, 'Eurostat EB products IEA'!$A$4:$BN$4, 0)
     )
     * $L35:$U35,
     0
  )
)</f>
        <v>0</v>
      </c>
      <c r="Y35" s="57" cm="1">
        <f t="array" ref="Y35">SUMPRODUCT(
  IF($B35:$K35&lt;&gt;"",
     INDEX('Eurostat EB products IEA'!$A$4:$BN$135,
           MATCH($B35:$K35, 'Eurostat EB products IEA'!$A$4:$A$135, 0),
           MATCH(Y$1, 'Eurostat EB products IEA'!$A$4:$BN$4, 0)
     )
     * $L35:$U35,
     0
  )
)</f>
        <v>0</v>
      </c>
      <c r="Z35" s="57" cm="1">
        <f t="array" ref="Z35">SUMPRODUCT(
  IF($B35:$K35&lt;&gt;"",
     INDEX('Eurostat EB products IEA'!$A$4:$BN$135,
           MATCH($B35:$K35, 'Eurostat EB products IEA'!$A$4:$A$135, 0),
           MATCH(Z$1, 'Eurostat EB products IEA'!$A$4:$BN$4, 0)
     )
     * $L35:$U35,
     0
  )
)</f>
        <v>0</v>
      </c>
      <c r="AA35" s="57" cm="1">
        <f t="array" ref="AA35">SUMPRODUCT(
  IF($B35:$K35&lt;&gt;"",
     INDEX('Eurostat EB products IEA'!$A$4:$BN$135,
           MATCH($B35:$K35, 'Eurostat EB products IEA'!$A$4:$A$135, 0),
           MATCH(AA$1, 'Eurostat EB products IEA'!$A$4:$BN$4, 0)
     )
     * $L35:$U35,
     0
  )
)</f>
        <v>0</v>
      </c>
      <c r="AB35" s="57" cm="1">
        <f t="array" ref="AB35">SUMPRODUCT(
  IF($B35:$K35&lt;&gt;"",
     INDEX('Eurostat EB products IEA'!$A$4:$BN$135,
           MATCH($B35:$K35, 'Eurostat EB products IEA'!$A$4:$A$135, 0),
           MATCH(AB$1, 'Eurostat EB products IEA'!$A$4:$BN$4, 0)
     )
     * $L35:$U35,
     0
  )
)</f>
        <v>0</v>
      </c>
      <c r="AC35" s="57" cm="1">
        <f t="array" ref="AC35">SUMPRODUCT(
  IF($B35:$K35&lt;&gt;"",
     INDEX('Eurostat EB products IEA'!$A$4:$BN$135,
           MATCH($B35:$K35, 'Eurostat EB products IEA'!$A$4:$A$135, 0),
           MATCH(AC$1, 'Eurostat EB products IEA'!$A$4:$BN$4, 0)
     )
     * $L35:$U35,
     0
  )
)</f>
        <v>0</v>
      </c>
      <c r="AD35" s="57" cm="1">
        <f t="array" ref="AD35">SUMPRODUCT(
  IF($B35:$K35&lt;&gt;"",
     INDEX('Eurostat EB products IEA'!$A$4:$BN$135,
           MATCH($B35:$K35, 'Eurostat EB products IEA'!$A$4:$A$135, 0),
           MATCH(AD$1, 'Eurostat EB products IEA'!$A$4:$BN$4, 0)
     )
     * $L35:$U35,
     0
  )
)</f>
        <v>0</v>
      </c>
      <c r="AE35" s="57" cm="1">
        <f t="array" ref="AE35">SUMPRODUCT(
  IF($B35:$K35&lt;&gt;"",
     INDEX('Eurostat EB products IEA'!$A$4:$BN$135,
           MATCH($B35:$K35, 'Eurostat EB products IEA'!$A$4:$A$135, 0),
           MATCH(AE$1, 'Eurostat EB products IEA'!$A$4:$BN$4, 0)
     )
     * $L35:$U35,
     0
  )
)</f>
        <v>0</v>
      </c>
      <c r="AF35" s="57" cm="1">
        <f t="array" ref="AF35">SUMPRODUCT(
  IF($B35:$K35&lt;&gt;"",
     INDEX('Eurostat EB products IEA'!$A$4:$BN$135,
           MATCH($B35:$K35, 'Eurostat EB products IEA'!$A$4:$A$135, 0),
           MATCH(AF$1, 'Eurostat EB products IEA'!$A$4:$BN$4, 0)
     )
     * $L35:$U35,
     0
  )
)</f>
        <v>0</v>
      </c>
      <c r="AG35" s="57" cm="1">
        <f t="array" ref="AG35">SUMPRODUCT(
  IF($B35:$K35&lt;&gt;"",
     INDEX('Eurostat EB products IEA'!$A$4:$BN$135,
           MATCH($B35:$K35, 'Eurostat EB products IEA'!$A$4:$A$135, 0),
           MATCH(AG$1, 'Eurostat EB products IEA'!$A$4:$BN$4, 0)
     )
     * $L35:$U35,
     0
  )
)</f>
        <v>0</v>
      </c>
      <c r="AH35" s="57" cm="1">
        <f t="array" ref="AH35">SUMPRODUCT(
  IF($B35:$K35&lt;&gt;"",
     INDEX('Eurostat EB products IEA'!$A$4:$BN$135,
           MATCH($B35:$K35, 'Eurostat EB products IEA'!$A$4:$A$135, 0),
           MATCH(AH$1, 'Eurostat EB products IEA'!$A$4:$BN$4, 0)
     )
     * $L35:$U35,
     0
  )
)</f>
        <v>0</v>
      </c>
      <c r="AI35" s="57" cm="1">
        <f t="array" ref="AI35">SUMPRODUCT(
  IF($B35:$K35&lt;&gt;"",
     INDEX('Eurostat EB products IEA'!$A$4:$BN$135,
           MATCH($B35:$K35, 'Eurostat EB products IEA'!$A$4:$A$135, 0),
           MATCH(AI$1, 'Eurostat EB products IEA'!$A$4:$BN$4, 0)
     )
     * $L35:$U35,
     0
  )
)</f>
        <v>0</v>
      </c>
      <c r="AJ35" s="57" cm="1">
        <f t="array" ref="AJ35">SUMPRODUCT(
  IF($B35:$K35&lt;&gt;"",
     INDEX('Eurostat EB products IEA'!$A$4:$BN$135,
           MATCH($B35:$K35, 'Eurostat EB products IEA'!$A$4:$A$135, 0),
           MATCH(AJ$1, 'Eurostat EB products IEA'!$A$4:$BN$4, 0)
     )
     * $L35:$U35,
     0
  )
)</f>
        <v>0</v>
      </c>
      <c r="AK35" s="57" cm="1">
        <f t="array" ref="AK35">SUMPRODUCT(
  IF($B35:$K35&lt;&gt;"",
     INDEX('Eurostat EB products IEA'!$A$4:$BN$135,
           MATCH($B35:$K35, 'Eurostat EB products IEA'!$A$4:$A$135, 0),
           MATCH(AK$1, 'Eurostat EB products IEA'!$A$4:$BN$4, 0)
     )
     * $L35:$U35,
     0
  )
)</f>
        <v>0</v>
      </c>
      <c r="AL35" s="57" cm="1">
        <f t="array" ref="AL35">SUMPRODUCT(
  IF($B35:$K35&lt;&gt;"",
     INDEX('Eurostat EB products IEA'!$A$4:$BN$135,
           MATCH($B35:$K35, 'Eurostat EB products IEA'!$A$4:$A$135, 0),
           MATCH(AL$1, 'Eurostat EB products IEA'!$A$4:$BN$4, 0)
     )
     * $L35:$U35,
     0
  )
)</f>
        <v>0</v>
      </c>
      <c r="AM35" s="57" cm="1">
        <f t="array" ref="AM35">SUMPRODUCT(
  IF($B35:$K35&lt;&gt;"",
     INDEX('Eurostat EB products IEA'!$A$4:$BN$135,
           MATCH($B35:$K35, 'Eurostat EB products IEA'!$A$4:$A$135, 0),
           MATCH(AM$1, 'Eurostat EB products IEA'!$A$4:$BN$4, 0)
     )
     * $L35:$U35,
     0
  )
)</f>
        <v>0</v>
      </c>
      <c r="AN35" s="65" t="s">
        <v>323</v>
      </c>
      <c r="AO35" s="57" cm="1">
        <f t="array" ref="AO35">SUMPRODUCT(
  IF($B35:$K35&lt;&gt;"",
     INDEX('Eurostat EB products IEA'!$A$4:$BN$135,
           MATCH($B35:$K35, 'Eurostat EB products IEA'!$A$4:$A$135, 0),
           MATCH(AO$1, 'Eurostat EB products IEA'!$A$4:$BN$4, 0)
     )
     * $L35:$U35,
     0
  )
)</f>
        <v>0</v>
      </c>
      <c r="AP35" s="57" cm="1">
        <f t="array" ref="AP35">SUMPRODUCT(
  IF($B35:$K35&lt;&gt;"",
     INDEX('Eurostat EB products IEA'!$A$4:$BN$135,
           MATCH($B35:$K35, 'Eurostat EB products IEA'!$A$4:$A$135, 0),
           MATCH(AP$1, 'Eurostat EB products IEA'!$A$4:$BN$4, 0)
     )
     * $L35:$U35,
     0
  )
)</f>
        <v>0</v>
      </c>
      <c r="AQ35" s="57" cm="1">
        <f t="array" ref="AQ35">SUMPRODUCT(
  IF($B35:$K35&lt;&gt;"",
     INDEX('Eurostat EB products IEA'!$A$4:$BN$135,
           MATCH($B35:$K35, 'Eurostat EB products IEA'!$A$4:$A$135, 0),
           MATCH(AQ$1, 'Eurostat EB products IEA'!$A$4:$BN$4, 0)
     )
     * $L35:$U35,
     0
  )
)</f>
        <v>0</v>
      </c>
      <c r="AR35" s="57" cm="1">
        <f t="array" ref="AR35">SUMPRODUCT(
  IF($B35:$K35&lt;&gt;"",
     INDEX('Eurostat EB products IEA'!$A$4:$BN$135,
           MATCH($B35:$K35, 'Eurostat EB products IEA'!$A$4:$A$135, 0),
           MATCH(AR$1, 'Eurostat EB products IEA'!$A$4:$BN$4, 0)
     )
     * $L35:$U35,
     0
  )
)</f>
        <v>0</v>
      </c>
      <c r="AS35" s="57" cm="1">
        <f t="array" ref="AS35">SUMPRODUCT(
  IF($B35:$K35&lt;&gt;"",
     INDEX('Eurostat EB products IEA'!$A$4:$BN$135,
           MATCH($B35:$K35, 'Eurostat EB products IEA'!$A$4:$A$135, 0),
           MATCH(AS$1, 'Eurostat EB products IEA'!$A$4:$BN$4, 0)
     )
     * $L35:$U35,
     0
  )
)</f>
        <v>0</v>
      </c>
      <c r="AT35" s="57" cm="1">
        <f t="array" ref="AT35">SUMPRODUCT(
  IF($B35:$K35&lt;&gt;"",
     INDEX('Eurostat EB products IEA'!$A$4:$BN$135,
           MATCH($B35:$K35, 'Eurostat EB products IEA'!$A$4:$A$135, 0),
           MATCH(AT$1, 'Eurostat EB products IEA'!$A$4:$BN$4, 0)
     )
     * $L35:$U35,
     0
  )
)</f>
        <v>0</v>
      </c>
      <c r="AU35" s="57" cm="1">
        <f t="array" ref="AU35">SUMPRODUCT(
  IF($B35:$K35&lt;&gt;"",
     INDEX('Eurostat EB products IEA'!$A$4:$BN$135,
           MATCH($B35:$K35, 'Eurostat EB products IEA'!$A$4:$A$135, 0),
           MATCH(AU$1, 'Eurostat EB products IEA'!$A$4:$BN$4, 0)
     )
     * $L35:$U35,
     0
  )
)</f>
        <v>0</v>
      </c>
      <c r="AV35" s="57" cm="1">
        <f t="array" ref="AV35">SUMPRODUCT(
  IF($B35:$K35&lt;&gt;"",
     INDEX('Eurostat EB products IEA'!$A$4:$BN$135,
           MATCH($B35:$K35, 'Eurostat EB products IEA'!$A$4:$A$135, 0),
           MATCH(AV$1, 'Eurostat EB products IEA'!$A$4:$BN$4, 0)
     )
     * $L35:$U35,
     0
  )
)</f>
        <v>0</v>
      </c>
      <c r="AW35" s="57" cm="1">
        <f t="array" ref="AW35">SUMPRODUCT(
  IF($B35:$K35&lt;&gt;"",
     INDEX('Eurostat EB products IEA'!$A$4:$BN$135,
           MATCH($B35:$K35, 'Eurostat EB products IEA'!$A$4:$A$135, 0),
           MATCH(AW$1, 'Eurostat EB products IEA'!$A$4:$BN$4, 0)
     )
     * $L35:$U35,
     0
  )
)</f>
        <v>0</v>
      </c>
      <c r="AX35" s="57" cm="1">
        <f t="array" ref="AX35">SUMPRODUCT(
  IF($B35:$K35&lt;&gt;"",
     INDEX('Eurostat EB products IEA'!$A$4:$BN$135,
           MATCH($B35:$K35, 'Eurostat EB products IEA'!$A$4:$A$135, 0),
           MATCH(AX$1, 'Eurostat EB products IEA'!$A$4:$BN$4, 0)
     )
     * $L35:$U35,
     0
  )
)</f>
        <v>0</v>
      </c>
      <c r="AY35" s="57" cm="1">
        <f t="array" ref="AY35">SUMPRODUCT(
  IF($B35:$K35&lt;&gt;"",
     INDEX('Eurostat EB products IEA'!$A$4:$BN$135,
           MATCH($B35:$K35, 'Eurostat EB products IEA'!$A$4:$A$135, 0),
           MATCH(AY$1, 'Eurostat EB products IEA'!$A$4:$BN$4, 0)
     )
     * $L35:$U35,
     0
  )
)</f>
        <v>0</v>
      </c>
      <c r="AZ35" s="57" cm="1">
        <f t="array" ref="AZ35">SUMPRODUCT(
  IF($B35:$K35&lt;&gt;"",
     INDEX('Eurostat EB products IEA'!$A$4:$BN$135,
           MATCH($B35:$K35, 'Eurostat EB products IEA'!$A$4:$A$135, 0),
           MATCH(AZ$1, 'Eurostat EB products IEA'!$A$4:$BN$4, 0)
     )
     * $L35:$U35,
     0
  )
)</f>
        <v>0</v>
      </c>
      <c r="BA35" s="57" cm="1">
        <f t="array" ref="BA35">SUMPRODUCT(
  IF($B35:$K35&lt;&gt;"",
     INDEX('Eurostat EB products IEA'!$A$4:$BN$135,
           MATCH($B35:$K35, 'Eurostat EB products IEA'!$A$4:$A$135, 0),
           MATCH(BA$1, 'Eurostat EB products IEA'!$A$4:$BN$4, 0)
     )
     * $L35:$U35,
     0
  )
)</f>
        <v>0</v>
      </c>
      <c r="BB35" s="57" cm="1">
        <f t="array" ref="BB35">SUMPRODUCT(
  IF($B35:$K35&lt;&gt;"",
     INDEX('Eurostat EB products IEA'!$A$4:$BN$135,
           MATCH($B35:$K35, 'Eurostat EB products IEA'!$A$4:$A$135, 0),
           MATCH(BB$1, 'Eurostat EB products IEA'!$A$4:$BN$4, 0)
     )
     * $L35:$U35,
     0
  )
)</f>
        <v>0</v>
      </c>
      <c r="BC35" s="57" cm="1">
        <f t="array" ref="BC35">SUMPRODUCT(
  IF($B35:$K35&lt;&gt;"",
     INDEX('Eurostat EB products IEA'!$A$4:$BN$135,
           MATCH($B35:$K35, 'Eurostat EB products IEA'!$A$4:$A$135, 0),
           MATCH(BC$1, 'Eurostat EB products IEA'!$A$4:$BN$4, 0)
     )
     * $L35:$U35,
     0
  )
)</f>
        <v>0</v>
      </c>
      <c r="BD35" s="57" cm="1">
        <f t="array" ref="BD35">SUMPRODUCT(
  IF($B35:$K35&lt;&gt;"",
     INDEX('Eurostat EB products IEA'!$A$4:$BN$135,
           MATCH($B35:$K35, 'Eurostat EB products IEA'!$A$4:$A$135, 0),
           MATCH(BD$1, 'Eurostat EB products IEA'!$A$4:$BN$4, 0)
     )
     * $L35:$U35,
     0
  )
)</f>
        <v>0</v>
      </c>
      <c r="BE35" s="57" cm="1">
        <f t="array" ref="BE35">SUMPRODUCT(
  IF($B35:$K35&lt;&gt;"",
     INDEX('Eurostat EB products IEA'!$A$4:$BN$135,
           MATCH($B35:$K35, 'Eurostat EB products IEA'!$A$4:$A$135, 0),
           MATCH(BE$1, 'Eurostat EB products IEA'!$A$4:$BN$4, 0)
     )
     * $L35:$U35,
     0
  )
)</f>
        <v>0</v>
      </c>
      <c r="BF35" s="57" cm="1">
        <f t="array" ref="BF35">SUMPRODUCT(
  IF($B35:$K35&lt;&gt;"",
     INDEX('Eurostat EB products IEA'!$A$4:$BN$135,
           MATCH($B35:$K35, 'Eurostat EB products IEA'!$A$4:$A$135, 0),
           MATCH(BF$1, 'Eurostat EB products IEA'!$A$4:$BN$4, 0)
     )
     * $L35:$U35,
     0
  )
)</f>
        <v>0</v>
      </c>
      <c r="BG35" s="57" cm="1">
        <f t="array" ref="BG35">SUMPRODUCT(
  IF($B35:$K35&lt;&gt;"",
     INDEX('Eurostat EB products IEA'!$A$4:$BN$135,
           MATCH($B35:$K35, 'Eurostat EB products IEA'!$A$4:$A$135, 0),
           MATCH(BG$1, 'Eurostat EB products IEA'!$A$4:$BN$4, 0)
     )
     * $L35:$U35,
     0
  )
)</f>
        <v>0</v>
      </c>
      <c r="BH35" s="57" cm="1">
        <f t="array" ref="BH35">SUMPRODUCT(
  IF($B35:$K35&lt;&gt;"",
     INDEX('Eurostat EB products IEA'!$A$4:$BN$135,
           MATCH($B35:$K35, 'Eurostat EB products IEA'!$A$4:$A$135, 0),
           MATCH(BH$1, 'Eurostat EB products IEA'!$A$4:$BN$4, 0)
     )
     * $L35:$U35,
     0
  )
)</f>
        <v>0</v>
      </c>
      <c r="BI35" s="57" cm="1">
        <f t="array" ref="BI35">SUMPRODUCT(
  IF($B35:$K35&lt;&gt;"",
     INDEX('Eurostat EB products IEA'!$A$4:$BN$135,
           MATCH($B35:$K35, 'Eurostat EB products IEA'!$A$4:$A$135, 0),
           MATCH(BI$1, 'Eurostat EB products IEA'!$A$4:$BN$4, 0)
     )
     * $L35:$U35,
     0
  )
)</f>
        <v>0</v>
      </c>
      <c r="BJ35" s="57" cm="1">
        <f t="array" ref="BJ35">SUMPRODUCT(
  IF($B35:$K35&lt;&gt;"",
     INDEX('Eurostat EB products IEA'!$A$4:$BN$135,
           MATCH($B35:$K35, 'Eurostat EB products IEA'!$A$4:$A$135, 0),
           MATCH(BJ$1, 'Eurostat EB products IEA'!$A$4:$BN$4, 0)
     )
     * $L35:$U35,
     0
  )
)</f>
        <v>0</v>
      </c>
      <c r="BK35" s="57" cm="1">
        <f t="array" ref="BK35">SUMPRODUCT(
  IF($B35:$K35&lt;&gt;"",
     INDEX('Eurostat EB products IEA'!$A$4:$BN$135,
           MATCH($B35:$K35, 'Eurostat EB products IEA'!$A$4:$A$135, 0),
           MATCH(BK$1, 'Eurostat EB products IEA'!$A$4:$BN$4, 0)
     )
     * $L35:$U35,
     0
  )
)</f>
        <v>0</v>
      </c>
      <c r="BL35" s="57" cm="1">
        <f t="array" ref="BL35">SUMPRODUCT(
  IF($B35:$K35&lt;&gt;"",
     INDEX('Eurostat EB products IEA'!$A$4:$BN$135,
           MATCH($B35:$K35, 'Eurostat EB products IEA'!$A$4:$A$135, 0),
           MATCH(BL$1, 'Eurostat EB products IEA'!$A$4:$BN$4, 0)
     )
     * $L35:$U35,
     0
  )
)</f>
        <v>0</v>
      </c>
      <c r="BM35" s="57" cm="1">
        <f t="array" ref="BM35">SUMPRODUCT(
  IF($B35:$K35&lt;&gt;"",
     INDEX('Eurostat EB products IEA'!$A$4:$BN$135,
           MATCH($B35:$K35, 'Eurostat EB products IEA'!$A$4:$A$135, 0),
           MATCH(BM$1, 'Eurostat EB products IEA'!$A$4:$BN$4, 0)
     )
     * $L35:$U35,
     0
  )
)</f>
        <v>0</v>
      </c>
      <c r="BN35" s="57" cm="1">
        <f t="array" ref="BN35">SUMPRODUCT(
  IF($B35:$K35&lt;&gt;"",
     INDEX('Eurostat EB products IEA'!$A$4:$BN$135,
           MATCH($B35:$K35, 'Eurostat EB products IEA'!$A$4:$A$135, 0),
           MATCH(BN$1, 'Eurostat EB products IEA'!$A$4:$BN$4, 0)
     )
     * $L35:$U35,
     0
  )
)</f>
        <v>0</v>
      </c>
      <c r="BO35" s="57" cm="1">
        <f t="array" ref="BO35">SUMPRODUCT(
  IF($B35:$K35&lt;&gt;"",
     INDEX('Eurostat EB products IEA'!$A$4:$BN$135,
           MATCH($B35:$K35, 'Eurostat EB products IEA'!$A$4:$A$135, 0),
           MATCH(BO$1, 'Eurostat EB products IEA'!$A$4:$BN$4, 0)
     )
     * $L35:$U35,
     0
  )
)</f>
        <v>0</v>
      </c>
      <c r="BP35" s="57" cm="1">
        <f t="array" ref="BP35">SUMPRODUCT(
  IF($B35:$K35&lt;&gt;"",
     INDEX('Eurostat EB products IEA'!$A$4:$BN$135,
           MATCH($B35:$K35, 'Eurostat EB products IEA'!$A$4:$A$135, 0),
           MATCH(BP$1, 'Eurostat EB products IEA'!$A$4:$BN$4, 0)
     )
     * $L35:$U35,
     0
  )
)</f>
        <v>0</v>
      </c>
      <c r="BQ35" s="57" cm="1">
        <f t="array" ref="BQ35">SUMPRODUCT(
  IF($B35:$K35&lt;&gt;"",
     INDEX('Eurostat EB products IEA'!$A$4:$BN$135,
           MATCH($B35:$K35, 'Eurostat EB products IEA'!$A$4:$A$135, 0),
           MATCH(BQ$1, 'Eurostat EB products IEA'!$A$4:$BN$4, 0)
     )
     * $L35:$U35,
     0
  )
)</f>
        <v>0</v>
      </c>
      <c r="BR35" s="57" cm="1">
        <f t="array" ref="BR35">SUMPRODUCT(
  IF($B35:$K35&lt;&gt;"",
     INDEX('Eurostat EB products IEA'!$A$4:$BN$135,
           MATCH($B35:$K35, 'Eurostat EB products IEA'!$A$4:$A$135, 0),
           MATCH(BR$1, 'Eurostat EB products IEA'!$A$4:$BN$4, 0)
     )
     * $L35:$U35,
     0
  )
)</f>
        <v>0</v>
      </c>
      <c r="BS35" s="65">
        <v>0</v>
      </c>
      <c r="BT35" s="57" cm="1">
        <f t="array" ref="BT35">SUMPRODUCT(
  IF($B35:$K35&lt;&gt;"",
     INDEX('Eurostat EB products IEA'!$A$4:$BN$135,
           MATCH($B35:$K35, 'Eurostat EB products IEA'!$A$4:$A$135, 0),
           MATCH(BT$1, 'Eurostat EB products IEA'!$A$4:$BN$4, 0)
     )
     * $L35:$U35,
     0
  )
)</f>
        <v>0</v>
      </c>
      <c r="BU35" s="65">
        <v>0</v>
      </c>
      <c r="BV35" s="65">
        <v>0</v>
      </c>
      <c r="BW35" s="57" cm="1">
        <f t="array" ref="BW35">SUMPRODUCT(
  IF($B35:$K35&lt;&gt;"",
     INDEX('Eurostat EB products IEA'!$A$4:$BN$135,
           MATCH($B35:$K35, 'Eurostat EB products IEA'!$A$4:$A$135, 0),
           MATCH(BW$1, 'Eurostat EB products IEA'!$A$4:$BN$4, 0)
     )
     * $L35:$U35,
     0
  )
)</f>
        <v>0</v>
      </c>
      <c r="BX35" s="57" cm="1">
        <f t="array" ref="BX35">SUMPRODUCT(
  IF($B35:$K35&lt;&gt;"",
     INDEX('Eurostat EB products IEA'!$A$4:$BN$135,
           MATCH($B35:$K35, 'Eurostat EB products IEA'!$A$4:$A$135, 0),
           MATCH(BX$1, 'Eurostat EB products IEA'!$A$4:$BN$4, 0)
     )
     * $L35:$U35,
     0
  )
)</f>
        <v>0</v>
      </c>
      <c r="BY35" s="57" cm="1">
        <f t="array" ref="BY35">SUMPRODUCT(
  IF($B35:$K35&lt;&gt;"",
     INDEX('Eurostat EB products IEA'!$A$4:$BN$135,
           MATCH($B35:$K35, 'Eurostat EB products IEA'!$A$4:$A$135, 0),
           MATCH(BY$1, 'Eurostat EB products IEA'!$A$4:$BN$4, 0)
     )
     * $L35:$U35,
     0
  )
)</f>
        <v>0</v>
      </c>
      <c r="BZ35" s="57" cm="1">
        <f t="array" ref="BZ35">SUMPRODUCT(
  IF($B35:$K35&lt;&gt;"",
     INDEX('Eurostat EB products IEA'!$A$4:$BN$135,
           MATCH($B35:$K35, 'Eurostat EB products IEA'!$A$4:$A$135, 0),
           MATCH(BZ$1, 'Eurostat EB products IEA'!$A$4:$BN$4, 0)
     )
     * $L35:$U35,
     0
  )
)</f>
        <v>0</v>
      </c>
      <c r="CA35" s="57" cm="1">
        <f t="array" ref="CA35">SUMPRODUCT(
  IF($B35:$K35&lt;&gt;"",
     INDEX('Eurostat EB products IEA'!$A$4:$BN$135,
           MATCH($B35:$K35, 'Eurostat EB products IEA'!$A$4:$A$135, 0),
           MATCH(CA$1, 'Eurostat EB products IEA'!$A$4:$BN$4, 0)
     )
     * $L35:$U35,
     0
  )
)</f>
        <v>0</v>
      </c>
      <c r="CB35" s="57" cm="1">
        <f t="array" ref="CB35">SUMPRODUCT(
  IF($B35:$K35&lt;&gt;"",
     INDEX('Eurostat EB products IEA'!$A$4:$BN$135,
           MATCH($B35:$K35, 'Eurostat EB products IEA'!$A$4:$A$135, 0),
           MATCH(CB$1, 'Eurostat EB products IEA'!$A$4:$BN$4, 0)
     )
     * $L35:$U35,
     0
  )
)</f>
        <v>0</v>
      </c>
      <c r="CC35" s="57" cm="1">
        <f t="array" ref="CC35">SUMPRODUCT(
  IF($B35:$K35&lt;&gt;"",
     INDEX('Eurostat EB products IEA'!$A$4:$BN$135,
           MATCH($B35:$K35, 'Eurostat EB products IEA'!$A$4:$A$135, 0),
           MATCH(CC$1, 'Eurostat EB products IEA'!$A$4:$BN$4, 0)
     )
     * $L35:$U35,
     0
  )
)</f>
        <v>0</v>
      </c>
      <c r="CD35" s="65">
        <v>0</v>
      </c>
      <c r="CE35" s="57" cm="1">
        <f t="array" ref="CE35">SUMPRODUCT(
  IF($B35:$K35&lt;&gt;"",
     INDEX('Eurostat EB products IEA'!$A$4:$BN$135,
           MATCH($B35:$K35, 'Eurostat EB products IEA'!$A$4:$A$135, 0),
           MATCH(CE$1, 'Eurostat EB products IEA'!$A$4:$BN$4, 0)
     )
     * $L35:$U35,
     0
  )
)</f>
        <v>0</v>
      </c>
      <c r="CF35" s="57" cm="1">
        <f t="array" ref="CF35">SUMPRODUCT(
  IF($B35:$K35&lt;&gt;"",
     INDEX('Eurostat EB products IEA'!$A$4:$BN$135,
           MATCH($B35:$K35, 'Eurostat EB products IEA'!$A$4:$A$135, 0),
           MATCH(CF$1, 'Eurostat EB products IEA'!$A$4:$BN$4, 0)
     )
     * $L35:$U35,
     0
  )
)</f>
        <v>0</v>
      </c>
      <c r="CG35" s="57" cm="1">
        <f t="array" ref="CG35">SUMPRODUCT(
  IF($B35:$K35&lt;&gt;"",
     INDEX('Eurostat EB products IEA'!$A$4:$BN$135,
           MATCH($B35:$K35, 'Eurostat EB products IEA'!$A$4:$A$135, 0),
           MATCH(CG$1, 'Eurostat EB products IEA'!$A$4:$BN$4, 0)
     )
     * $L35:$U35,
     0
  )
)</f>
        <v>0</v>
      </c>
      <c r="CH35" s="57" cm="1">
        <f t="array" ref="CH35">SUMPRODUCT(
  IF($B35:$K35&lt;&gt;"",
     INDEX('Eurostat EB products IEA'!$A$4:$BN$135,
           MATCH($B35:$K35, 'Eurostat EB products IEA'!$A$4:$A$135, 0),
           MATCH(CH$1, 'Eurostat EB products IEA'!$A$4:$BN$4, 0)
     )
     * $L35:$U35,
     0
  )
)</f>
        <v>0</v>
      </c>
    </row>
    <row r="36" spans="1:86" x14ac:dyDescent="0.2">
      <c r="A36" t="s">
        <v>163</v>
      </c>
      <c r="B36" s="75"/>
      <c r="C36" s="77"/>
      <c r="D36" s="75"/>
      <c r="E36" s="77"/>
      <c r="F36" s="75"/>
      <c r="G36" s="77"/>
      <c r="H36" s="75"/>
      <c r="I36" s="77"/>
      <c r="J36" s="74"/>
      <c r="K36" s="78" t="s">
        <v>265</v>
      </c>
      <c r="L36" s="76"/>
      <c r="M36" s="79"/>
      <c r="N36" s="76"/>
      <c r="O36" s="79"/>
      <c r="P36" s="76"/>
      <c r="Q36" s="79"/>
      <c r="R36" s="76"/>
      <c r="S36" s="79"/>
      <c r="T36" s="76"/>
      <c r="U36" s="79">
        <v>-1</v>
      </c>
      <c r="V36" s="65" t="s">
        <v>323</v>
      </c>
      <c r="W36" s="65" t="s">
        <v>323</v>
      </c>
      <c r="X36" s="17" cm="1">
        <f t="array" ref="X36">SUMPRODUCT(
  IF($B36:$K36&lt;&gt;"",
     INDEX('Eurostat EB products IEA'!$A$4:$BN$135,
           MATCH($B36:$K36, 'Eurostat EB products IEA'!$A$4:$A$135, 0),
           MATCH(X$1, 'Eurostat EB products IEA'!$A$4:$BN$4, 0)
     )
     * $L36:$U36,
     0
  )
)</f>
        <v>0</v>
      </c>
      <c r="Y36" s="17" cm="1">
        <f t="array" ref="Y36">SUMPRODUCT(
  IF($B36:$K36&lt;&gt;"",
     INDEX('Eurostat EB products IEA'!$A$4:$BN$135,
           MATCH($B36:$K36, 'Eurostat EB products IEA'!$A$4:$A$135, 0),
           MATCH(Y$1, 'Eurostat EB products IEA'!$A$4:$BN$4, 0)
     )
     * $L36:$U36,
     0
  )
)</f>
        <v>0</v>
      </c>
      <c r="Z36" s="17" cm="1">
        <f t="array" ref="Z36">SUMPRODUCT(
  IF($B36:$K36&lt;&gt;"",
     INDEX('Eurostat EB products IEA'!$A$4:$BN$135,
           MATCH($B36:$K36, 'Eurostat EB products IEA'!$A$4:$A$135, 0),
           MATCH(Z$1, 'Eurostat EB products IEA'!$A$4:$BN$4, 0)
     )
     * $L36:$U36,
     0
  )
)</f>
        <v>0</v>
      </c>
      <c r="AA36" s="17" cm="1">
        <f t="array" ref="AA36">SUMPRODUCT(
  IF($B36:$K36&lt;&gt;"",
     INDEX('Eurostat EB products IEA'!$A$4:$BN$135,
           MATCH($B36:$K36, 'Eurostat EB products IEA'!$A$4:$A$135, 0),
           MATCH(AA$1, 'Eurostat EB products IEA'!$A$4:$BN$4, 0)
     )
     * $L36:$U36,
     0
  )
)</f>
        <v>0</v>
      </c>
      <c r="AB36" s="17" cm="1">
        <f t="array" ref="AB36">SUMPRODUCT(
  IF($B36:$K36&lt;&gt;"",
     INDEX('Eurostat EB products IEA'!$A$4:$BN$135,
           MATCH($B36:$K36, 'Eurostat EB products IEA'!$A$4:$A$135, 0),
           MATCH(AB$1, 'Eurostat EB products IEA'!$A$4:$BN$4, 0)
     )
     * $L36:$U36,
     0
  )
)</f>
        <v>0</v>
      </c>
      <c r="AC36" s="17" cm="1">
        <f t="array" ref="AC36">SUMPRODUCT(
  IF($B36:$K36&lt;&gt;"",
     INDEX('Eurostat EB products IEA'!$A$4:$BN$135,
           MATCH($B36:$K36, 'Eurostat EB products IEA'!$A$4:$A$135, 0),
           MATCH(AC$1, 'Eurostat EB products IEA'!$A$4:$BN$4, 0)
     )
     * $L36:$U36,
     0
  )
)</f>
        <v>0</v>
      </c>
      <c r="AD36" s="17" cm="1">
        <f t="array" ref="AD36">SUMPRODUCT(
  IF($B36:$K36&lt;&gt;"",
     INDEX('Eurostat EB products IEA'!$A$4:$BN$135,
           MATCH($B36:$K36, 'Eurostat EB products IEA'!$A$4:$A$135, 0),
           MATCH(AD$1, 'Eurostat EB products IEA'!$A$4:$BN$4, 0)
     )
     * $L36:$U36,
     0
  )
)</f>
        <v>0</v>
      </c>
      <c r="AE36" s="17" cm="1">
        <f t="array" ref="AE36">SUMPRODUCT(
  IF($B36:$K36&lt;&gt;"",
     INDEX('Eurostat EB products IEA'!$A$4:$BN$135,
           MATCH($B36:$K36, 'Eurostat EB products IEA'!$A$4:$A$135, 0),
           MATCH(AE$1, 'Eurostat EB products IEA'!$A$4:$BN$4, 0)
     )
     * $L36:$U36,
     0
  )
)</f>
        <v>0</v>
      </c>
      <c r="AF36" s="17" cm="1">
        <f t="array" ref="AF36">SUMPRODUCT(
  IF($B36:$K36&lt;&gt;"",
     INDEX('Eurostat EB products IEA'!$A$4:$BN$135,
           MATCH($B36:$K36, 'Eurostat EB products IEA'!$A$4:$A$135, 0),
           MATCH(AF$1, 'Eurostat EB products IEA'!$A$4:$BN$4, 0)
     )
     * $L36:$U36,
     0
  )
)</f>
        <v>0</v>
      </c>
      <c r="AG36" s="17" cm="1">
        <f t="array" ref="AG36">SUMPRODUCT(
  IF($B36:$K36&lt;&gt;"",
     INDEX('Eurostat EB products IEA'!$A$4:$BN$135,
           MATCH($B36:$K36, 'Eurostat EB products IEA'!$A$4:$A$135, 0),
           MATCH(AG$1, 'Eurostat EB products IEA'!$A$4:$BN$4, 0)
     )
     * $L36:$U36,
     0
  )
)</f>
        <v>0</v>
      </c>
      <c r="AH36" s="17" cm="1">
        <f t="array" ref="AH36">SUMPRODUCT(
  IF($B36:$K36&lt;&gt;"",
     INDEX('Eurostat EB products IEA'!$A$4:$BN$135,
           MATCH($B36:$K36, 'Eurostat EB products IEA'!$A$4:$A$135, 0),
           MATCH(AH$1, 'Eurostat EB products IEA'!$A$4:$BN$4, 0)
     )
     * $L36:$U36,
     0
  )
)</f>
        <v>0</v>
      </c>
      <c r="AI36" s="17" cm="1">
        <f t="array" ref="AI36">SUMPRODUCT(
  IF($B36:$K36&lt;&gt;"",
     INDEX('Eurostat EB products IEA'!$A$4:$BN$135,
           MATCH($B36:$K36, 'Eurostat EB products IEA'!$A$4:$A$135, 0),
           MATCH(AI$1, 'Eurostat EB products IEA'!$A$4:$BN$4, 0)
     )
     * $L36:$U36,
     0
  )
)</f>
        <v>0</v>
      </c>
      <c r="AJ36" s="17" cm="1">
        <f t="array" ref="AJ36">SUMPRODUCT(
  IF($B36:$K36&lt;&gt;"",
     INDEX('Eurostat EB products IEA'!$A$4:$BN$135,
           MATCH($B36:$K36, 'Eurostat EB products IEA'!$A$4:$A$135, 0),
           MATCH(AJ$1, 'Eurostat EB products IEA'!$A$4:$BN$4, 0)
     )
     * $L36:$U36,
     0
  )
)</f>
        <v>0</v>
      </c>
      <c r="AK36" s="17" cm="1">
        <f t="array" ref="AK36">SUMPRODUCT(
  IF($B36:$K36&lt;&gt;"",
     INDEX('Eurostat EB products IEA'!$A$4:$BN$135,
           MATCH($B36:$K36, 'Eurostat EB products IEA'!$A$4:$A$135, 0),
           MATCH(AK$1, 'Eurostat EB products IEA'!$A$4:$BN$4, 0)
     )
     * $L36:$U36,
     0
  )
)</f>
        <v>0</v>
      </c>
      <c r="AL36" s="17" cm="1">
        <f t="array" ref="AL36">SUMPRODUCT(
  IF($B36:$K36&lt;&gt;"",
     INDEX('Eurostat EB products IEA'!$A$4:$BN$135,
           MATCH($B36:$K36, 'Eurostat EB products IEA'!$A$4:$A$135, 0),
           MATCH(AL$1, 'Eurostat EB products IEA'!$A$4:$BN$4, 0)
     )
     * $L36:$U36,
     0
  )
)</f>
        <v>0</v>
      </c>
      <c r="AM36" s="17" cm="1">
        <f t="array" ref="AM36">SUMPRODUCT(
  IF($B36:$K36&lt;&gt;"",
     INDEX('Eurostat EB products IEA'!$A$4:$BN$135,
           MATCH($B36:$K36, 'Eurostat EB products IEA'!$A$4:$A$135, 0),
           MATCH(AM$1, 'Eurostat EB products IEA'!$A$4:$BN$4, 0)
     )
     * $L36:$U36,
     0
  )
)</f>
        <v>-14138.665999999999</v>
      </c>
      <c r="AN36" s="65" t="s">
        <v>323</v>
      </c>
      <c r="AO36" s="17" cm="1">
        <f t="array" ref="AO36">SUMPRODUCT(
  IF($B36:$K36&lt;&gt;"",
     INDEX('Eurostat EB products IEA'!$A$4:$BN$135,
           MATCH($B36:$K36, 'Eurostat EB products IEA'!$A$4:$A$135, 0),
           MATCH(AO$1, 'Eurostat EB products IEA'!$A$4:$BN$4, 0)
     )
     * $L36:$U36,
     0
  )
)</f>
        <v>0</v>
      </c>
      <c r="AP36" s="17" cm="1">
        <f t="array" ref="AP36">SUMPRODUCT(
  IF($B36:$K36&lt;&gt;"",
     INDEX('Eurostat EB products IEA'!$A$4:$BN$135,
           MATCH($B36:$K36, 'Eurostat EB products IEA'!$A$4:$A$135, 0),
           MATCH(AP$1, 'Eurostat EB products IEA'!$A$4:$BN$4, 0)
     )
     * $L36:$U36,
     0
  )
)</f>
        <v>0</v>
      </c>
      <c r="AQ36" s="17" cm="1">
        <f t="array" ref="AQ36">SUMPRODUCT(
  IF($B36:$K36&lt;&gt;"",
     INDEX('Eurostat EB products IEA'!$A$4:$BN$135,
           MATCH($B36:$K36, 'Eurostat EB products IEA'!$A$4:$A$135, 0),
           MATCH(AQ$1, 'Eurostat EB products IEA'!$A$4:$BN$4, 0)
     )
     * $L36:$U36,
     0
  )
)</f>
        <v>0</v>
      </c>
      <c r="AR36" s="17" cm="1">
        <f t="array" ref="AR36">SUMPRODUCT(
  IF($B36:$K36&lt;&gt;"",
     INDEX('Eurostat EB products IEA'!$A$4:$BN$135,
           MATCH($B36:$K36, 'Eurostat EB products IEA'!$A$4:$A$135, 0),
           MATCH(AR$1, 'Eurostat EB products IEA'!$A$4:$BN$4, 0)
     )
     * $L36:$U36,
     0
  )
)</f>
        <v>0</v>
      </c>
      <c r="AS36" s="17" cm="1">
        <f t="array" ref="AS36">SUMPRODUCT(
  IF($B36:$K36&lt;&gt;"",
     INDEX('Eurostat EB products IEA'!$A$4:$BN$135,
           MATCH($B36:$K36, 'Eurostat EB products IEA'!$A$4:$A$135, 0),
           MATCH(AS$1, 'Eurostat EB products IEA'!$A$4:$BN$4, 0)
     )
     * $L36:$U36,
     0
  )
)</f>
        <v>0</v>
      </c>
      <c r="AT36" s="17" cm="1">
        <f t="array" ref="AT36">SUMPRODUCT(
  IF($B36:$K36&lt;&gt;"",
     INDEX('Eurostat EB products IEA'!$A$4:$BN$135,
           MATCH($B36:$K36, 'Eurostat EB products IEA'!$A$4:$A$135, 0),
           MATCH(AT$1, 'Eurostat EB products IEA'!$A$4:$BN$4, 0)
     )
     * $L36:$U36,
     0
  )
)</f>
        <v>0</v>
      </c>
      <c r="AU36" s="17" cm="1">
        <f t="array" ref="AU36">SUMPRODUCT(
  IF($B36:$K36&lt;&gt;"",
     INDEX('Eurostat EB products IEA'!$A$4:$BN$135,
           MATCH($B36:$K36, 'Eurostat EB products IEA'!$A$4:$A$135, 0),
           MATCH(AU$1, 'Eurostat EB products IEA'!$A$4:$BN$4, 0)
     )
     * $L36:$U36,
     0
  )
)</f>
        <v>0</v>
      </c>
      <c r="AV36" s="17" cm="1">
        <f t="array" ref="AV36">SUMPRODUCT(
  IF($B36:$K36&lt;&gt;"",
     INDEX('Eurostat EB products IEA'!$A$4:$BN$135,
           MATCH($B36:$K36, 'Eurostat EB products IEA'!$A$4:$A$135, 0),
           MATCH(AV$1, 'Eurostat EB products IEA'!$A$4:$BN$4, 0)
     )
     * $L36:$U36,
     0
  )
)</f>
        <v>0</v>
      </c>
      <c r="AW36" s="17" cm="1">
        <f t="array" ref="AW36">SUMPRODUCT(
  IF($B36:$K36&lt;&gt;"",
     INDEX('Eurostat EB products IEA'!$A$4:$BN$135,
           MATCH($B36:$K36, 'Eurostat EB products IEA'!$A$4:$A$135, 0),
           MATCH(AW$1, 'Eurostat EB products IEA'!$A$4:$BN$4, 0)
     )
     * $L36:$U36,
     0
  )
)</f>
        <v>0</v>
      </c>
      <c r="AX36" s="17" cm="1">
        <f t="array" ref="AX36">SUMPRODUCT(
  IF($B36:$K36&lt;&gt;"",
     INDEX('Eurostat EB products IEA'!$A$4:$BN$135,
           MATCH($B36:$K36, 'Eurostat EB products IEA'!$A$4:$A$135, 0),
           MATCH(AX$1, 'Eurostat EB products IEA'!$A$4:$BN$4, 0)
     )
     * $L36:$U36,
     0
  )
)</f>
        <v>0</v>
      </c>
      <c r="AY36" s="17" cm="1">
        <f t="array" ref="AY36">SUMPRODUCT(
  IF($B36:$K36&lt;&gt;"",
     INDEX('Eurostat EB products IEA'!$A$4:$BN$135,
           MATCH($B36:$K36, 'Eurostat EB products IEA'!$A$4:$A$135, 0),
           MATCH(AY$1, 'Eurostat EB products IEA'!$A$4:$BN$4, 0)
     )
     * $L36:$U36,
     0
  )
)</f>
        <v>0</v>
      </c>
      <c r="AZ36" s="17" cm="1">
        <f t="array" ref="AZ36">SUMPRODUCT(
  IF($B36:$K36&lt;&gt;"",
     INDEX('Eurostat EB products IEA'!$A$4:$BN$135,
           MATCH($B36:$K36, 'Eurostat EB products IEA'!$A$4:$A$135, 0),
           MATCH(AZ$1, 'Eurostat EB products IEA'!$A$4:$BN$4, 0)
     )
     * $L36:$U36,
     0
  )
)</f>
        <v>0</v>
      </c>
      <c r="BA36" s="17" cm="1">
        <f t="array" ref="BA36">SUMPRODUCT(
  IF($B36:$K36&lt;&gt;"",
     INDEX('Eurostat EB products IEA'!$A$4:$BN$135,
           MATCH($B36:$K36, 'Eurostat EB products IEA'!$A$4:$A$135, 0),
           MATCH(BA$1, 'Eurostat EB products IEA'!$A$4:$BN$4, 0)
     )
     * $L36:$U36,
     0
  )
)</f>
        <v>0</v>
      </c>
      <c r="BB36" s="17" cm="1">
        <f t="array" ref="BB36">SUMPRODUCT(
  IF($B36:$K36&lt;&gt;"",
     INDEX('Eurostat EB products IEA'!$A$4:$BN$135,
           MATCH($B36:$K36, 'Eurostat EB products IEA'!$A$4:$A$135, 0),
           MATCH(BB$1, 'Eurostat EB products IEA'!$A$4:$BN$4, 0)
     )
     * $L36:$U36,
     0
  )
)</f>
        <v>0</v>
      </c>
      <c r="BC36" s="17" cm="1">
        <f t="array" ref="BC36">SUMPRODUCT(
  IF($B36:$K36&lt;&gt;"",
     INDEX('Eurostat EB products IEA'!$A$4:$BN$135,
           MATCH($B36:$K36, 'Eurostat EB products IEA'!$A$4:$A$135, 0),
           MATCH(BC$1, 'Eurostat EB products IEA'!$A$4:$BN$4, 0)
     )
     * $L36:$U36,
     0
  )
)</f>
        <v>0</v>
      </c>
      <c r="BD36" s="17" cm="1">
        <f t="array" ref="BD36">SUMPRODUCT(
  IF($B36:$K36&lt;&gt;"",
     INDEX('Eurostat EB products IEA'!$A$4:$BN$135,
           MATCH($B36:$K36, 'Eurostat EB products IEA'!$A$4:$A$135, 0),
           MATCH(BD$1, 'Eurostat EB products IEA'!$A$4:$BN$4, 0)
     )
     * $L36:$U36,
     0
  )
)</f>
        <v>0</v>
      </c>
      <c r="BE36" s="17" cm="1">
        <f t="array" ref="BE36">SUMPRODUCT(
  IF($B36:$K36&lt;&gt;"",
     INDEX('Eurostat EB products IEA'!$A$4:$BN$135,
           MATCH($B36:$K36, 'Eurostat EB products IEA'!$A$4:$A$135, 0),
           MATCH(BE$1, 'Eurostat EB products IEA'!$A$4:$BN$4, 0)
     )
     * $L36:$U36,
     0
  )
)</f>
        <v>0</v>
      </c>
      <c r="BF36" s="17" cm="1">
        <f t="array" ref="BF36">SUMPRODUCT(
  IF($B36:$K36&lt;&gt;"",
     INDEX('Eurostat EB products IEA'!$A$4:$BN$135,
           MATCH($B36:$K36, 'Eurostat EB products IEA'!$A$4:$A$135, 0),
           MATCH(BF$1, 'Eurostat EB products IEA'!$A$4:$BN$4, 0)
     )
     * $L36:$U36,
     0
  )
)</f>
        <v>0</v>
      </c>
      <c r="BG36" s="17" cm="1">
        <f t="array" ref="BG36">SUMPRODUCT(
  IF($B36:$K36&lt;&gt;"",
     INDEX('Eurostat EB products IEA'!$A$4:$BN$135,
           MATCH($B36:$K36, 'Eurostat EB products IEA'!$A$4:$A$135, 0),
           MATCH(BG$1, 'Eurostat EB products IEA'!$A$4:$BN$4, 0)
     )
     * $L36:$U36,
     0
  )
)</f>
        <v>0</v>
      </c>
      <c r="BH36" s="17" cm="1">
        <f t="array" ref="BH36">SUMPRODUCT(
  IF($B36:$K36&lt;&gt;"",
     INDEX('Eurostat EB products IEA'!$A$4:$BN$135,
           MATCH($B36:$K36, 'Eurostat EB products IEA'!$A$4:$A$135, 0),
           MATCH(BH$1, 'Eurostat EB products IEA'!$A$4:$BN$4, 0)
     )
     * $L36:$U36,
     0
  )
)</f>
        <v>0</v>
      </c>
      <c r="BI36" s="17" cm="1">
        <f t="array" ref="BI36">SUMPRODUCT(
  IF($B36:$K36&lt;&gt;"",
     INDEX('Eurostat EB products IEA'!$A$4:$BN$135,
           MATCH($B36:$K36, 'Eurostat EB products IEA'!$A$4:$A$135, 0),
           MATCH(BI$1, 'Eurostat EB products IEA'!$A$4:$BN$4, 0)
     )
     * $L36:$U36,
     0
  )
)</f>
        <v>0</v>
      </c>
      <c r="BJ36" s="17" cm="1">
        <f t="array" ref="BJ36">SUMPRODUCT(
  IF($B36:$K36&lt;&gt;"",
     INDEX('Eurostat EB products IEA'!$A$4:$BN$135,
           MATCH($B36:$K36, 'Eurostat EB products IEA'!$A$4:$A$135, 0),
           MATCH(BJ$1, 'Eurostat EB products IEA'!$A$4:$BN$4, 0)
     )
     * $L36:$U36,
     0
  )
)</f>
        <v>0</v>
      </c>
      <c r="BK36" s="17" cm="1">
        <f t="array" ref="BK36">SUMPRODUCT(
  IF($B36:$K36&lt;&gt;"",
     INDEX('Eurostat EB products IEA'!$A$4:$BN$135,
           MATCH($B36:$K36, 'Eurostat EB products IEA'!$A$4:$A$135, 0),
           MATCH(BK$1, 'Eurostat EB products IEA'!$A$4:$BN$4, 0)
     )
     * $L36:$U36,
     0
  )
)</f>
        <v>0</v>
      </c>
      <c r="BL36" s="17" cm="1">
        <f t="array" ref="BL36">SUMPRODUCT(
  IF($B36:$K36&lt;&gt;"",
     INDEX('Eurostat EB products IEA'!$A$4:$BN$135,
           MATCH($B36:$K36, 'Eurostat EB products IEA'!$A$4:$A$135, 0),
           MATCH(BL$1, 'Eurostat EB products IEA'!$A$4:$BN$4, 0)
     )
     * $L36:$U36,
     0
  )
)</f>
        <v>0</v>
      </c>
      <c r="BM36" s="17" cm="1">
        <f t="array" ref="BM36">SUMPRODUCT(
  IF($B36:$K36&lt;&gt;"",
     INDEX('Eurostat EB products IEA'!$A$4:$BN$135,
           MATCH($B36:$K36, 'Eurostat EB products IEA'!$A$4:$A$135, 0),
           MATCH(BM$1, 'Eurostat EB products IEA'!$A$4:$BN$4, 0)
     )
     * $L36:$U36,
     0
  )
)</f>
        <v>0</v>
      </c>
      <c r="BN36" s="17" cm="1">
        <f t="array" ref="BN36">SUMPRODUCT(
  IF($B36:$K36&lt;&gt;"",
     INDEX('Eurostat EB products IEA'!$A$4:$BN$135,
           MATCH($B36:$K36, 'Eurostat EB products IEA'!$A$4:$A$135, 0),
           MATCH(BN$1, 'Eurostat EB products IEA'!$A$4:$BN$4, 0)
     )
     * $L36:$U36,
     0
  )
)</f>
        <v>0</v>
      </c>
      <c r="BO36" s="17" cm="1">
        <f t="array" ref="BO36">SUMPRODUCT(
  IF($B36:$K36&lt;&gt;"",
     INDEX('Eurostat EB products IEA'!$A$4:$BN$135,
           MATCH($B36:$K36, 'Eurostat EB products IEA'!$A$4:$A$135, 0),
           MATCH(BO$1, 'Eurostat EB products IEA'!$A$4:$BN$4, 0)
     )
     * $L36:$U36,
     0
  )
)</f>
        <v>0</v>
      </c>
      <c r="BP36" s="17" cm="1">
        <f t="array" ref="BP36">SUMPRODUCT(
  IF($B36:$K36&lt;&gt;"",
     INDEX('Eurostat EB products IEA'!$A$4:$BN$135,
           MATCH($B36:$K36, 'Eurostat EB products IEA'!$A$4:$A$135, 0),
           MATCH(BP$1, 'Eurostat EB products IEA'!$A$4:$BN$4, 0)
     )
     * $L36:$U36,
     0
  )
)</f>
        <v>0</v>
      </c>
      <c r="BQ36" s="17" cm="1">
        <f t="array" ref="BQ36">SUMPRODUCT(
  IF($B36:$K36&lt;&gt;"",
     INDEX('Eurostat EB products IEA'!$A$4:$BN$135,
           MATCH($B36:$K36, 'Eurostat EB products IEA'!$A$4:$A$135, 0),
           MATCH(BQ$1, 'Eurostat EB products IEA'!$A$4:$BN$4, 0)
     )
     * $L36:$U36,
     0
  )
)</f>
        <v>0</v>
      </c>
      <c r="BR36" s="17" cm="1">
        <f t="array" ref="BR36">SUMPRODUCT(
  IF($B36:$K36&lt;&gt;"",
     INDEX('Eurostat EB products IEA'!$A$4:$BN$135,
           MATCH($B36:$K36, 'Eurostat EB products IEA'!$A$4:$A$135, 0),
           MATCH(BR$1, 'Eurostat EB products IEA'!$A$4:$BN$4, 0)
     )
     * $L36:$U36,
     0
  )
)</f>
        <v>0</v>
      </c>
      <c r="BS36" s="65">
        <v>0</v>
      </c>
      <c r="BT36" s="17" cm="1">
        <f t="array" ref="BT36">SUMPRODUCT(
  IF($B36:$K36&lt;&gt;"",
     INDEX('Eurostat EB products IEA'!$A$4:$BN$135,
           MATCH($B36:$K36, 'Eurostat EB products IEA'!$A$4:$A$135, 0),
           MATCH(BT$1, 'Eurostat EB products IEA'!$A$4:$BN$4, 0)
     )
     * $L36:$U36,
     0
  )
)</f>
        <v>0</v>
      </c>
      <c r="BU36" s="65">
        <v>0</v>
      </c>
      <c r="BV36" s="65">
        <v>0</v>
      </c>
      <c r="BW36" s="17" cm="1">
        <f t="array" ref="BW36">SUMPRODUCT(
  IF($B36:$K36&lt;&gt;"",
     INDEX('Eurostat EB products IEA'!$A$4:$BN$135,
           MATCH($B36:$K36, 'Eurostat EB products IEA'!$A$4:$A$135, 0),
           MATCH(BW$1, 'Eurostat EB products IEA'!$A$4:$BN$4, 0)
     )
     * $L36:$U36,
     0
  )
)</f>
        <v>0</v>
      </c>
      <c r="BX36" s="17" cm="1">
        <f t="array" ref="BX36">SUMPRODUCT(
  IF($B36:$K36&lt;&gt;"",
     INDEX('Eurostat EB products IEA'!$A$4:$BN$135,
           MATCH($B36:$K36, 'Eurostat EB products IEA'!$A$4:$A$135, 0),
           MATCH(BX$1, 'Eurostat EB products IEA'!$A$4:$BN$4, 0)
     )
     * $L36:$U36,
     0
  )
)</f>
        <v>0</v>
      </c>
      <c r="BY36" s="17" cm="1">
        <f t="array" ref="BY36">SUMPRODUCT(
  IF($B36:$K36&lt;&gt;"",
     INDEX('Eurostat EB products IEA'!$A$4:$BN$135,
           MATCH($B36:$K36, 'Eurostat EB products IEA'!$A$4:$A$135, 0),
           MATCH(BY$1, 'Eurostat EB products IEA'!$A$4:$BN$4, 0)
     )
     * $L36:$U36,
     0
  )
)</f>
        <v>0</v>
      </c>
      <c r="BZ36" s="17" cm="1">
        <f t="array" ref="BZ36">SUMPRODUCT(
  IF($B36:$K36&lt;&gt;"",
     INDEX('Eurostat EB products IEA'!$A$4:$BN$135,
           MATCH($B36:$K36, 'Eurostat EB products IEA'!$A$4:$A$135, 0),
           MATCH(BZ$1, 'Eurostat EB products IEA'!$A$4:$BN$4, 0)
     )
     * $L36:$U36,
     0
  )
)</f>
        <v>0</v>
      </c>
      <c r="CA36" s="17" cm="1">
        <f t="array" ref="CA36">SUMPRODUCT(
  IF($B36:$K36&lt;&gt;"",
     INDEX('Eurostat EB products IEA'!$A$4:$BN$135,
           MATCH($B36:$K36, 'Eurostat EB products IEA'!$A$4:$A$135, 0),
           MATCH(CA$1, 'Eurostat EB products IEA'!$A$4:$BN$4, 0)
     )
     * $L36:$U36,
     0
  )
)</f>
        <v>0</v>
      </c>
      <c r="CB36" s="17" cm="1">
        <f t="array" ref="CB36">SUMPRODUCT(
  IF($B36:$K36&lt;&gt;"",
     INDEX('Eurostat EB products IEA'!$A$4:$BN$135,
           MATCH($B36:$K36, 'Eurostat EB products IEA'!$A$4:$A$135, 0),
           MATCH(CB$1, 'Eurostat EB products IEA'!$A$4:$BN$4, 0)
     )
     * $L36:$U36,
     0
  )
)</f>
        <v>0</v>
      </c>
      <c r="CC36" s="17" cm="1">
        <f t="array" ref="CC36">SUMPRODUCT(
  IF($B36:$K36&lt;&gt;"",
     INDEX('Eurostat EB products IEA'!$A$4:$BN$135,
           MATCH($B36:$K36, 'Eurostat EB products IEA'!$A$4:$A$135, 0),
           MATCH(CC$1, 'Eurostat EB products IEA'!$A$4:$BN$4, 0)
     )
     * $L36:$U36,
     0
  )
)</f>
        <v>0</v>
      </c>
      <c r="CD36" s="65">
        <v>0</v>
      </c>
      <c r="CE36" s="17" cm="1">
        <f t="array" ref="CE36">SUMPRODUCT(
  IF($B36:$K36&lt;&gt;"",
     INDEX('Eurostat EB products IEA'!$A$4:$BN$135,
           MATCH($B36:$K36, 'Eurostat EB products IEA'!$A$4:$A$135, 0),
           MATCH(CE$1, 'Eurostat EB products IEA'!$A$4:$BN$4, 0)
     )
     * $L36:$U36,
     0
  )
)</f>
        <v>-5381.9350000000004</v>
      </c>
      <c r="CF36" s="17" cm="1">
        <f t="array" ref="CF36">SUMPRODUCT(
  IF($B36:$K36&lt;&gt;"",
     INDEX('Eurostat EB products IEA'!$A$4:$BN$135,
           MATCH($B36:$K36, 'Eurostat EB products IEA'!$A$4:$A$135, 0),
           MATCH(CF$1, 'Eurostat EB products IEA'!$A$4:$BN$4, 0)
     )
     * $L36:$U36,
     0
  )
)</f>
        <v>0</v>
      </c>
      <c r="CG36" s="17" cm="1">
        <f t="array" ref="CG36">SUMPRODUCT(
  IF($B36:$K36&lt;&gt;"",
     INDEX('Eurostat EB products IEA'!$A$4:$BN$135,
           MATCH($B36:$K36, 'Eurostat EB products IEA'!$A$4:$A$135, 0),
           MATCH(CG$1, 'Eurostat EB products IEA'!$A$4:$BN$4, 0)
     )
     * $L36:$U36,
     0
  )
)</f>
        <v>-19520.600999999999</v>
      </c>
      <c r="CH36" s="17" cm="1">
        <f t="array" ref="CH36">SUMPRODUCT(
  IF($B36:$K36&lt;&gt;"",
     INDEX('Eurostat EB products IEA'!$A$4:$BN$135,
           MATCH($B36:$K36, 'Eurostat EB products IEA'!$A$4:$A$135, 0),
           MATCH(CH$1, 'Eurostat EB products IEA'!$A$4:$BN$4, 0)
     )
     * $L36:$U36,
     0
  )
)</f>
        <v>-503.11799999999999</v>
      </c>
    </row>
    <row r="37" spans="1:86" x14ac:dyDescent="0.2">
      <c r="A37" t="s">
        <v>87</v>
      </c>
      <c r="B37" s="75"/>
      <c r="C37" s="77"/>
      <c r="D37" s="75"/>
      <c r="E37" s="77"/>
      <c r="F37" s="75"/>
      <c r="G37" s="77"/>
      <c r="H37" s="75"/>
      <c r="I37" s="77"/>
      <c r="J37" s="74"/>
      <c r="K37" s="78" t="s">
        <v>270</v>
      </c>
      <c r="L37" s="76"/>
      <c r="M37" s="79"/>
      <c r="N37" s="76"/>
      <c r="O37" s="79"/>
      <c r="P37" s="76"/>
      <c r="Q37" s="79"/>
      <c r="R37" s="76"/>
      <c r="S37" s="79"/>
      <c r="T37" s="76"/>
      <c r="U37" s="79">
        <v>-1</v>
      </c>
      <c r="V37" s="65" t="s">
        <v>323</v>
      </c>
      <c r="W37" s="65" t="s">
        <v>323</v>
      </c>
      <c r="X37" s="57" cm="1">
        <f t="array" ref="X37">SUMPRODUCT(
  IF($B37:$K37&lt;&gt;"",
     INDEX('Eurostat EB products IEA'!$A$4:$BN$135,
           MATCH($B37:$K37, 'Eurostat EB products IEA'!$A$4:$A$135, 0),
           MATCH(X$1, 'Eurostat EB products IEA'!$A$4:$BN$4, 0)
     )
     * $L37:$U37,
     0
  )
)</f>
        <v>0</v>
      </c>
      <c r="Y37" s="57" cm="1">
        <f t="array" ref="Y37">SUMPRODUCT(
  IF($B37:$K37&lt;&gt;"",
     INDEX('Eurostat EB products IEA'!$A$4:$BN$135,
           MATCH($B37:$K37, 'Eurostat EB products IEA'!$A$4:$A$135, 0),
           MATCH(Y$1, 'Eurostat EB products IEA'!$A$4:$BN$4, 0)
     )
     * $L37:$U37,
     0
  )
)</f>
        <v>0</v>
      </c>
      <c r="Z37" s="57" cm="1">
        <f t="array" ref="Z37">SUMPRODUCT(
  IF($B37:$K37&lt;&gt;"",
     INDEX('Eurostat EB products IEA'!$A$4:$BN$135,
           MATCH($B37:$K37, 'Eurostat EB products IEA'!$A$4:$A$135, 0),
           MATCH(Z$1, 'Eurostat EB products IEA'!$A$4:$BN$4, 0)
     )
     * $L37:$U37,
     0
  )
)</f>
        <v>0</v>
      </c>
      <c r="AA37" s="57" cm="1">
        <f t="array" ref="AA37">SUMPRODUCT(
  IF($B37:$K37&lt;&gt;"",
     INDEX('Eurostat EB products IEA'!$A$4:$BN$135,
           MATCH($B37:$K37, 'Eurostat EB products IEA'!$A$4:$A$135, 0),
           MATCH(AA$1, 'Eurostat EB products IEA'!$A$4:$BN$4, 0)
     )
     * $L37:$U37,
     0
  )
)</f>
        <v>0</v>
      </c>
      <c r="AB37" s="57" cm="1">
        <f t="array" ref="AB37">SUMPRODUCT(
  IF($B37:$K37&lt;&gt;"",
     INDEX('Eurostat EB products IEA'!$A$4:$BN$135,
           MATCH($B37:$K37, 'Eurostat EB products IEA'!$A$4:$A$135, 0),
           MATCH(AB$1, 'Eurostat EB products IEA'!$A$4:$BN$4, 0)
     )
     * $L37:$U37,
     0
  )
)</f>
        <v>0</v>
      </c>
      <c r="AC37" s="57" cm="1">
        <f t="array" ref="AC37">SUMPRODUCT(
  IF($B37:$K37&lt;&gt;"",
     INDEX('Eurostat EB products IEA'!$A$4:$BN$135,
           MATCH($B37:$K37, 'Eurostat EB products IEA'!$A$4:$A$135, 0),
           MATCH(AC$1, 'Eurostat EB products IEA'!$A$4:$BN$4, 0)
     )
     * $L37:$U37,
     0
  )
)</f>
        <v>0</v>
      </c>
      <c r="AD37" s="57" cm="1">
        <f t="array" ref="AD37">SUMPRODUCT(
  IF($B37:$K37&lt;&gt;"",
     INDEX('Eurostat EB products IEA'!$A$4:$BN$135,
           MATCH($B37:$K37, 'Eurostat EB products IEA'!$A$4:$A$135, 0),
           MATCH(AD$1, 'Eurostat EB products IEA'!$A$4:$BN$4, 0)
     )
     * $L37:$U37,
     0
  )
)</f>
        <v>0</v>
      </c>
      <c r="AE37" s="57" cm="1">
        <f t="array" ref="AE37">SUMPRODUCT(
  IF($B37:$K37&lt;&gt;"",
     INDEX('Eurostat EB products IEA'!$A$4:$BN$135,
           MATCH($B37:$K37, 'Eurostat EB products IEA'!$A$4:$A$135, 0),
           MATCH(AE$1, 'Eurostat EB products IEA'!$A$4:$BN$4, 0)
     )
     * $L37:$U37,
     0
  )
)</f>
        <v>0</v>
      </c>
      <c r="AF37" s="57" cm="1">
        <f t="array" ref="AF37">SUMPRODUCT(
  IF($B37:$K37&lt;&gt;"",
     INDEX('Eurostat EB products IEA'!$A$4:$BN$135,
           MATCH($B37:$K37, 'Eurostat EB products IEA'!$A$4:$A$135, 0),
           MATCH(AF$1, 'Eurostat EB products IEA'!$A$4:$BN$4, 0)
     )
     * $L37:$U37,
     0
  )
)</f>
        <v>0</v>
      </c>
      <c r="AG37" s="57" cm="1">
        <f t="array" ref="AG37">SUMPRODUCT(
  IF($B37:$K37&lt;&gt;"",
     INDEX('Eurostat EB products IEA'!$A$4:$BN$135,
           MATCH($B37:$K37, 'Eurostat EB products IEA'!$A$4:$A$135, 0),
           MATCH(AG$1, 'Eurostat EB products IEA'!$A$4:$BN$4, 0)
     )
     * $L37:$U37,
     0
  )
)</f>
        <v>0</v>
      </c>
      <c r="AH37" s="57" cm="1">
        <f t="array" ref="AH37">SUMPRODUCT(
  IF($B37:$K37&lt;&gt;"",
     INDEX('Eurostat EB products IEA'!$A$4:$BN$135,
           MATCH($B37:$K37, 'Eurostat EB products IEA'!$A$4:$A$135, 0),
           MATCH(AH$1, 'Eurostat EB products IEA'!$A$4:$BN$4, 0)
     )
     * $L37:$U37,
     0
  )
)</f>
        <v>0</v>
      </c>
      <c r="AI37" s="57" cm="1">
        <f t="array" ref="AI37">SUMPRODUCT(
  IF($B37:$K37&lt;&gt;"",
     INDEX('Eurostat EB products IEA'!$A$4:$BN$135,
           MATCH($B37:$K37, 'Eurostat EB products IEA'!$A$4:$A$135, 0),
           MATCH(AI$1, 'Eurostat EB products IEA'!$A$4:$BN$4, 0)
     )
     * $L37:$U37,
     0
  )
)</f>
        <v>-426.66300000000001</v>
      </c>
      <c r="AJ37" s="57" cm="1">
        <f t="array" ref="AJ37">SUMPRODUCT(
  IF($B37:$K37&lt;&gt;"",
     INDEX('Eurostat EB products IEA'!$A$4:$BN$135,
           MATCH($B37:$K37, 'Eurostat EB products IEA'!$A$4:$A$135, 0),
           MATCH(AJ$1, 'Eurostat EB products IEA'!$A$4:$BN$4, 0)
     )
     * $L37:$U37,
     0
  )
)</f>
        <v>-5437.3429999999998</v>
      </c>
      <c r="AK37" s="57" cm="1">
        <f t="array" ref="AK37">SUMPRODUCT(
  IF($B37:$K37&lt;&gt;"",
     INDEX('Eurostat EB products IEA'!$A$4:$BN$135,
           MATCH($B37:$K37, 'Eurostat EB products IEA'!$A$4:$A$135, 0),
           MATCH(AK$1, 'Eurostat EB products IEA'!$A$4:$BN$4, 0)
     )
     * $L37:$U37,
     0
  )
)</f>
        <v>0</v>
      </c>
      <c r="AL37" s="57" cm="1">
        <f t="array" ref="AL37">SUMPRODUCT(
  IF($B37:$K37&lt;&gt;"",
     INDEX('Eurostat EB products IEA'!$A$4:$BN$135,
           MATCH($B37:$K37, 'Eurostat EB products IEA'!$A$4:$A$135, 0),
           MATCH(AL$1, 'Eurostat EB products IEA'!$A$4:$BN$4, 0)
     )
     * $L37:$U37,
     0
  )
)</f>
        <v>0</v>
      </c>
      <c r="AM37" s="57" cm="1">
        <f t="array" ref="AM37">SUMPRODUCT(
  IF($B37:$K37&lt;&gt;"",
     INDEX('Eurostat EB products IEA'!$A$4:$BN$135,
           MATCH($B37:$K37, 'Eurostat EB products IEA'!$A$4:$A$135, 0),
           MATCH(AM$1, 'Eurostat EB products IEA'!$A$4:$BN$4, 0)
     )
     * $L37:$U37,
     0
  )
)</f>
        <v>-524.42700000000002</v>
      </c>
      <c r="AN37" s="65" t="s">
        <v>323</v>
      </c>
      <c r="AO37" s="57" cm="1">
        <f t="array" ref="AO37">SUMPRODUCT(
  IF($B37:$K37&lt;&gt;"",
     INDEX('Eurostat EB products IEA'!$A$4:$BN$135,
           MATCH($B37:$K37, 'Eurostat EB products IEA'!$A$4:$A$135, 0),
           MATCH(AO$1, 'Eurostat EB products IEA'!$A$4:$BN$4, 0)
     )
     * $L37:$U37,
     0
  )
)</f>
        <v>0</v>
      </c>
      <c r="AP37" s="57" cm="1">
        <f t="array" ref="AP37">SUMPRODUCT(
  IF($B37:$K37&lt;&gt;"",
     INDEX('Eurostat EB products IEA'!$A$4:$BN$135,
           MATCH($B37:$K37, 'Eurostat EB products IEA'!$A$4:$A$135, 0),
           MATCH(AP$1, 'Eurostat EB products IEA'!$A$4:$BN$4, 0)
     )
     * $L37:$U37,
     0
  )
)</f>
        <v>0</v>
      </c>
      <c r="AQ37" s="57" cm="1">
        <f t="array" ref="AQ37">SUMPRODUCT(
  IF($B37:$K37&lt;&gt;"",
     INDEX('Eurostat EB products IEA'!$A$4:$BN$135,
           MATCH($B37:$K37, 'Eurostat EB products IEA'!$A$4:$A$135, 0),
           MATCH(AQ$1, 'Eurostat EB products IEA'!$A$4:$BN$4, 0)
     )
     * $L37:$U37,
     0
  )
)</f>
        <v>0</v>
      </c>
      <c r="AR37" s="57" cm="1">
        <f t="array" ref="AR37">SUMPRODUCT(
  IF($B37:$K37&lt;&gt;"",
     INDEX('Eurostat EB products IEA'!$A$4:$BN$135,
           MATCH($B37:$K37, 'Eurostat EB products IEA'!$A$4:$A$135, 0),
           MATCH(AR$1, 'Eurostat EB products IEA'!$A$4:$BN$4, 0)
     )
     * $L37:$U37,
     0
  )
)</f>
        <v>0</v>
      </c>
      <c r="AS37" s="57" cm="1">
        <f t="array" ref="AS37">SUMPRODUCT(
  IF($B37:$K37&lt;&gt;"",
     INDEX('Eurostat EB products IEA'!$A$4:$BN$135,
           MATCH($B37:$K37, 'Eurostat EB products IEA'!$A$4:$A$135, 0),
           MATCH(AS$1, 'Eurostat EB products IEA'!$A$4:$BN$4, 0)
     )
     * $L37:$U37,
     0
  )
)</f>
        <v>0</v>
      </c>
      <c r="AT37" s="57" cm="1">
        <f t="array" ref="AT37">SUMPRODUCT(
  IF($B37:$K37&lt;&gt;"",
     INDEX('Eurostat EB products IEA'!$A$4:$BN$135,
           MATCH($B37:$K37, 'Eurostat EB products IEA'!$A$4:$A$135, 0),
           MATCH(AT$1, 'Eurostat EB products IEA'!$A$4:$BN$4, 0)
     )
     * $L37:$U37,
     0
  )
)</f>
        <v>0</v>
      </c>
      <c r="AU37" s="57" cm="1">
        <f t="array" ref="AU37">SUMPRODUCT(
  IF($B37:$K37&lt;&gt;"",
     INDEX('Eurostat EB products IEA'!$A$4:$BN$135,
           MATCH($B37:$K37, 'Eurostat EB products IEA'!$A$4:$A$135, 0),
           MATCH(AU$1, 'Eurostat EB products IEA'!$A$4:$BN$4, 0)
     )
     * $L37:$U37,
     0
  )
)</f>
        <v>0</v>
      </c>
      <c r="AV37" s="57" cm="1">
        <f t="array" ref="AV37">SUMPRODUCT(
  IF($B37:$K37&lt;&gt;"",
     INDEX('Eurostat EB products IEA'!$A$4:$BN$135,
           MATCH($B37:$K37, 'Eurostat EB products IEA'!$A$4:$A$135, 0),
           MATCH(AV$1, 'Eurostat EB products IEA'!$A$4:$BN$4, 0)
     )
     * $L37:$U37,
     0
  )
)</f>
        <v>0</v>
      </c>
      <c r="AW37" s="57" cm="1">
        <f t="array" ref="AW37">SUMPRODUCT(
  IF($B37:$K37&lt;&gt;"",
     INDEX('Eurostat EB products IEA'!$A$4:$BN$135,
           MATCH($B37:$K37, 'Eurostat EB products IEA'!$A$4:$A$135, 0),
           MATCH(AW$1, 'Eurostat EB products IEA'!$A$4:$BN$4, 0)
     )
     * $L37:$U37,
     0
  )
)</f>
        <v>0</v>
      </c>
      <c r="AX37" s="57" cm="1">
        <f t="array" ref="AX37">SUMPRODUCT(
  IF($B37:$K37&lt;&gt;"",
     INDEX('Eurostat EB products IEA'!$A$4:$BN$135,
           MATCH($B37:$K37, 'Eurostat EB products IEA'!$A$4:$A$135, 0),
           MATCH(AX$1, 'Eurostat EB products IEA'!$A$4:$BN$4, 0)
     )
     * $L37:$U37,
     0
  )
)</f>
        <v>0</v>
      </c>
      <c r="AY37" s="57" cm="1">
        <f t="array" ref="AY37">SUMPRODUCT(
  IF($B37:$K37&lt;&gt;"",
     INDEX('Eurostat EB products IEA'!$A$4:$BN$135,
           MATCH($B37:$K37, 'Eurostat EB products IEA'!$A$4:$A$135, 0),
           MATCH(AY$1, 'Eurostat EB products IEA'!$A$4:$BN$4, 0)
     )
     * $L37:$U37,
     0
  )
)</f>
        <v>0</v>
      </c>
      <c r="AZ37" s="57" cm="1">
        <f t="array" ref="AZ37">SUMPRODUCT(
  IF($B37:$K37&lt;&gt;"",
     INDEX('Eurostat EB products IEA'!$A$4:$BN$135,
           MATCH($B37:$K37, 'Eurostat EB products IEA'!$A$4:$A$135, 0),
           MATCH(AZ$1, 'Eurostat EB products IEA'!$A$4:$BN$4, 0)
     )
     * $L37:$U37,
     0
  )
)</f>
        <v>0</v>
      </c>
      <c r="BA37" s="57" cm="1">
        <f t="array" ref="BA37">SUMPRODUCT(
  IF($B37:$K37&lt;&gt;"",
     INDEX('Eurostat EB products IEA'!$A$4:$BN$135,
           MATCH($B37:$K37, 'Eurostat EB products IEA'!$A$4:$A$135, 0),
           MATCH(BA$1, 'Eurostat EB products IEA'!$A$4:$BN$4, 0)
     )
     * $L37:$U37,
     0
  )
)</f>
        <v>0</v>
      </c>
      <c r="BB37" s="57" cm="1">
        <f t="array" ref="BB37">SUMPRODUCT(
  IF($B37:$K37&lt;&gt;"",
     INDEX('Eurostat EB products IEA'!$A$4:$BN$135,
           MATCH($B37:$K37, 'Eurostat EB products IEA'!$A$4:$A$135, 0),
           MATCH(BB$1, 'Eurostat EB products IEA'!$A$4:$BN$4, 0)
     )
     * $L37:$U37,
     0
  )
)</f>
        <v>0</v>
      </c>
      <c r="BC37" s="57" cm="1">
        <f t="array" ref="BC37">SUMPRODUCT(
  IF($B37:$K37&lt;&gt;"",
     INDEX('Eurostat EB products IEA'!$A$4:$BN$135,
           MATCH($B37:$K37, 'Eurostat EB products IEA'!$A$4:$A$135, 0),
           MATCH(BC$1, 'Eurostat EB products IEA'!$A$4:$BN$4, 0)
     )
     * $L37:$U37,
     0
  )
)</f>
        <v>0</v>
      </c>
      <c r="BD37" s="57" cm="1">
        <f t="array" ref="BD37">SUMPRODUCT(
  IF($B37:$K37&lt;&gt;"",
     INDEX('Eurostat EB products IEA'!$A$4:$BN$135,
           MATCH($B37:$K37, 'Eurostat EB products IEA'!$A$4:$A$135, 0),
           MATCH(BD$1, 'Eurostat EB products IEA'!$A$4:$BN$4, 0)
     )
     * $L37:$U37,
     0
  )
)</f>
        <v>0</v>
      </c>
      <c r="BE37" s="57" cm="1">
        <f t="array" ref="BE37">SUMPRODUCT(
  IF($B37:$K37&lt;&gt;"",
     INDEX('Eurostat EB products IEA'!$A$4:$BN$135,
           MATCH($B37:$K37, 'Eurostat EB products IEA'!$A$4:$A$135, 0),
           MATCH(BE$1, 'Eurostat EB products IEA'!$A$4:$BN$4, 0)
     )
     * $L37:$U37,
     0
  )
)</f>
        <v>0</v>
      </c>
      <c r="BF37" s="57" cm="1">
        <f t="array" ref="BF37">SUMPRODUCT(
  IF($B37:$K37&lt;&gt;"",
     INDEX('Eurostat EB products IEA'!$A$4:$BN$135,
           MATCH($B37:$K37, 'Eurostat EB products IEA'!$A$4:$A$135, 0),
           MATCH(BF$1, 'Eurostat EB products IEA'!$A$4:$BN$4, 0)
     )
     * $L37:$U37,
     0
  )
)</f>
        <v>0</v>
      </c>
      <c r="BG37" s="57" cm="1">
        <f t="array" ref="BG37">SUMPRODUCT(
  IF($B37:$K37&lt;&gt;"",
     INDEX('Eurostat EB products IEA'!$A$4:$BN$135,
           MATCH($B37:$K37, 'Eurostat EB products IEA'!$A$4:$A$135, 0),
           MATCH(BG$1, 'Eurostat EB products IEA'!$A$4:$BN$4, 0)
     )
     * $L37:$U37,
     0
  )
)</f>
        <v>0</v>
      </c>
      <c r="BH37" s="57" cm="1">
        <f t="array" ref="BH37">SUMPRODUCT(
  IF($B37:$K37&lt;&gt;"",
     INDEX('Eurostat EB products IEA'!$A$4:$BN$135,
           MATCH($B37:$K37, 'Eurostat EB products IEA'!$A$4:$A$135, 0),
           MATCH(BH$1, 'Eurostat EB products IEA'!$A$4:$BN$4, 0)
     )
     * $L37:$U37,
     0
  )
)</f>
        <v>0</v>
      </c>
      <c r="BI37" s="57" cm="1">
        <f t="array" ref="BI37">SUMPRODUCT(
  IF($B37:$K37&lt;&gt;"",
     INDEX('Eurostat EB products IEA'!$A$4:$BN$135,
           MATCH($B37:$K37, 'Eurostat EB products IEA'!$A$4:$A$135, 0),
           MATCH(BI$1, 'Eurostat EB products IEA'!$A$4:$BN$4, 0)
     )
     * $L37:$U37,
     0
  )
)</f>
        <v>0</v>
      </c>
      <c r="BJ37" s="57" cm="1">
        <f t="array" ref="BJ37">SUMPRODUCT(
  IF($B37:$K37&lt;&gt;"",
     INDEX('Eurostat EB products IEA'!$A$4:$BN$135,
           MATCH($B37:$K37, 'Eurostat EB products IEA'!$A$4:$A$135, 0),
           MATCH(BJ$1, 'Eurostat EB products IEA'!$A$4:$BN$4, 0)
     )
     * $L37:$U37,
     0
  )
)</f>
        <v>0</v>
      </c>
      <c r="BK37" s="57" cm="1">
        <f t="array" ref="BK37">SUMPRODUCT(
  IF($B37:$K37&lt;&gt;"",
     INDEX('Eurostat EB products IEA'!$A$4:$BN$135,
           MATCH($B37:$K37, 'Eurostat EB products IEA'!$A$4:$A$135, 0),
           MATCH(BK$1, 'Eurostat EB products IEA'!$A$4:$BN$4, 0)
     )
     * $L37:$U37,
     0
  )
)</f>
        <v>0</v>
      </c>
      <c r="BL37" s="57" cm="1">
        <f t="array" ref="BL37">SUMPRODUCT(
  IF($B37:$K37&lt;&gt;"",
     INDEX('Eurostat EB products IEA'!$A$4:$BN$135,
           MATCH($B37:$K37, 'Eurostat EB products IEA'!$A$4:$A$135, 0),
           MATCH(BL$1, 'Eurostat EB products IEA'!$A$4:$BN$4, 0)
     )
     * $L37:$U37,
     0
  )
)</f>
        <v>0</v>
      </c>
      <c r="BM37" s="57" cm="1">
        <f t="array" ref="BM37">SUMPRODUCT(
  IF($B37:$K37&lt;&gt;"",
     INDEX('Eurostat EB products IEA'!$A$4:$BN$135,
           MATCH($B37:$K37, 'Eurostat EB products IEA'!$A$4:$A$135, 0),
           MATCH(BM$1, 'Eurostat EB products IEA'!$A$4:$BN$4, 0)
     )
     * $L37:$U37,
     0
  )
)</f>
        <v>0</v>
      </c>
      <c r="BN37" s="57" cm="1">
        <f t="array" ref="BN37">SUMPRODUCT(
  IF($B37:$K37&lt;&gt;"",
     INDEX('Eurostat EB products IEA'!$A$4:$BN$135,
           MATCH($B37:$K37, 'Eurostat EB products IEA'!$A$4:$A$135, 0),
           MATCH(BN$1, 'Eurostat EB products IEA'!$A$4:$BN$4, 0)
     )
     * $L37:$U37,
     0
  )
)</f>
        <v>0</v>
      </c>
      <c r="BO37" s="57" cm="1">
        <f t="array" ref="BO37">SUMPRODUCT(
  IF($B37:$K37&lt;&gt;"",
     INDEX('Eurostat EB products IEA'!$A$4:$BN$135,
           MATCH($B37:$K37, 'Eurostat EB products IEA'!$A$4:$A$135, 0),
           MATCH(BO$1, 'Eurostat EB products IEA'!$A$4:$BN$4, 0)
     )
     * $L37:$U37,
     0
  )
)</f>
        <v>0</v>
      </c>
      <c r="BP37" s="57" cm="1">
        <f t="array" ref="BP37">SUMPRODUCT(
  IF($B37:$K37&lt;&gt;"",
     INDEX('Eurostat EB products IEA'!$A$4:$BN$135,
           MATCH($B37:$K37, 'Eurostat EB products IEA'!$A$4:$A$135, 0),
           MATCH(BP$1, 'Eurostat EB products IEA'!$A$4:$BN$4, 0)
     )
     * $L37:$U37,
     0
  )
)</f>
        <v>0</v>
      </c>
      <c r="BQ37" s="57" cm="1">
        <f t="array" ref="BQ37">SUMPRODUCT(
  IF($B37:$K37&lt;&gt;"",
     INDEX('Eurostat EB products IEA'!$A$4:$BN$135,
           MATCH($B37:$K37, 'Eurostat EB products IEA'!$A$4:$A$135, 0),
           MATCH(BQ$1, 'Eurostat EB products IEA'!$A$4:$BN$4, 0)
     )
     * $L37:$U37,
     0
  )
)</f>
        <v>0</v>
      </c>
      <c r="BR37" s="57" cm="1">
        <f t="array" ref="BR37">SUMPRODUCT(
  IF($B37:$K37&lt;&gt;"",
     INDEX('Eurostat EB products IEA'!$A$4:$BN$135,
           MATCH($B37:$K37, 'Eurostat EB products IEA'!$A$4:$A$135, 0),
           MATCH(BR$1, 'Eurostat EB products IEA'!$A$4:$BN$4, 0)
     )
     * $L37:$U37,
     0
  )
)</f>
        <v>0</v>
      </c>
      <c r="BS37" s="65">
        <v>0</v>
      </c>
      <c r="BT37" s="57" cm="1">
        <f t="array" ref="BT37">SUMPRODUCT(
  IF($B37:$K37&lt;&gt;"",
     INDEX('Eurostat EB products IEA'!$A$4:$BN$135,
           MATCH($B37:$K37, 'Eurostat EB products IEA'!$A$4:$A$135, 0),
           MATCH(BT$1, 'Eurostat EB products IEA'!$A$4:$BN$4, 0)
     )
     * $L37:$U37,
     0
  )
)</f>
        <v>0</v>
      </c>
      <c r="BU37" s="65">
        <v>0</v>
      </c>
      <c r="BV37" s="65">
        <v>0</v>
      </c>
      <c r="BW37" s="57" cm="1">
        <f t="array" ref="BW37">SUMPRODUCT(
  IF($B37:$K37&lt;&gt;"",
     INDEX('Eurostat EB products IEA'!$A$4:$BN$135,
           MATCH($B37:$K37, 'Eurostat EB products IEA'!$A$4:$A$135, 0),
           MATCH(BW$1, 'Eurostat EB products IEA'!$A$4:$BN$4, 0)
     )
     * $L37:$U37,
     0
  )
)</f>
        <v>0</v>
      </c>
      <c r="BX37" s="57" cm="1">
        <f t="array" ref="BX37">SUMPRODUCT(
  IF($B37:$K37&lt;&gt;"",
     INDEX('Eurostat EB products IEA'!$A$4:$BN$135,
           MATCH($B37:$K37, 'Eurostat EB products IEA'!$A$4:$A$135, 0),
           MATCH(BX$1, 'Eurostat EB products IEA'!$A$4:$BN$4, 0)
     )
     * $L37:$U37,
     0
  )
)</f>
        <v>0</v>
      </c>
      <c r="BY37" s="57" cm="1">
        <f t="array" ref="BY37">SUMPRODUCT(
  IF($B37:$K37&lt;&gt;"",
     INDEX('Eurostat EB products IEA'!$A$4:$BN$135,
           MATCH($B37:$K37, 'Eurostat EB products IEA'!$A$4:$A$135, 0),
           MATCH(BY$1, 'Eurostat EB products IEA'!$A$4:$BN$4, 0)
     )
     * $L37:$U37,
     0
  )
)</f>
        <v>0</v>
      </c>
      <c r="BZ37" s="57" cm="1">
        <f t="array" ref="BZ37">SUMPRODUCT(
  IF($B37:$K37&lt;&gt;"",
     INDEX('Eurostat EB products IEA'!$A$4:$BN$135,
           MATCH($B37:$K37, 'Eurostat EB products IEA'!$A$4:$A$135, 0),
           MATCH(BZ$1, 'Eurostat EB products IEA'!$A$4:$BN$4, 0)
     )
     * $L37:$U37,
     0
  )
)</f>
        <v>0</v>
      </c>
      <c r="CA37" s="57" cm="1">
        <f t="array" ref="CA37">SUMPRODUCT(
  IF($B37:$K37&lt;&gt;"",
     INDEX('Eurostat EB products IEA'!$A$4:$BN$135,
           MATCH($B37:$K37, 'Eurostat EB products IEA'!$A$4:$A$135, 0),
           MATCH(CA$1, 'Eurostat EB products IEA'!$A$4:$BN$4, 0)
     )
     * $L37:$U37,
     0
  )
)</f>
        <v>0</v>
      </c>
      <c r="CB37" s="57" cm="1">
        <f t="array" ref="CB37">SUMPRODUCT(
  IF($B37:$K37&lt;&gt;"",
     INDEX('Eurostat EB products IEA'!$A$4:$BN$135,
           MATCH($B37:$K37, 'Eurostat EB products IEA'!$A$4:$A$135, 0),
           MATCH(CB$1, 'Eurostat EB products IEA'!$A$4:$BN$4, 0)
     )
     * $L37:$U37,
     0
  )
)</f>
        <v>0</v>
      </c>
      <c r="CC37" s="57" cm="1">
        <f t="array" ref="CC37">SUMPRODUCT(
  IF($B37:$K37&lt;&gt;"",
     INDEX('Eurostat EB products IEA'!$A$4:$BN$135,
           MATCH($B37:$K37, 'Eurostat EB products IEA'!$A$4:$A$135, 0),
           MATCH(CC$1, 'Eurostat EB products IEA'!$A$4:$BN$4, 0)
     )
     * $L37:$U37,
     0
  )
)</f>
        <v>0</v>
      </c>
      <c r="CD37" s="65">
        <v>0</v>
      </c>
      <c r="CE37" s="57" cm="1">
        <f t="array" ref="CE37">SUMPRODUCT(
  IF($B37:$K37&lt;&gt;"",
     INDEX('Eurostat EB products IEA'!$A$4:$BN$135,
           MATCH($B37:$K37, 'Eurostat EB products IEA'!$A$4:$A$135, 0),
           MATCH(CE$1, 'Eurostat EB products IEA'!$A$4:$BN$4, 0)
     )
     * $L37:$U37,
     0
  )
)</f>
        <v>-384.97699999999998</v>
      </c>
      <c r="CF37" s="57" cm="1">
        <f t="array" ref="CF37">SUMPRODUCT(
  IF($B37:$K37&lt;&gt;"",
     INDEX('Eurostat EB products IEA'!$A$4:$BN$135,
           MATCH($B37:$K37, 'Eurostat EB products IEA'!$A$4:$A$135, 0),
           MATCH(CF$1, 'Eurostat EB products IEA'!$A$4:$BN$4, 0)
     )
     * $L37:$U37,
     0
  )
)</f>
        <v>0</v>
      </c>
      <c r="CG37" s="57" cm="1">
        <f t="array" ref="CG37">SUMPRODUCT(
  IF($B37:$K37&lt;&gt;"",
     INDEX('Eurostat EB products IEA'!$A$4:$BN$135,
           MATCH($B37:$K37, 'Eurostat EB products IEA'!$A$4:$A$135, 0),
           MATCH(CG$1, 'Eurostat EB products IEA'!$A$4:$BN$4, 0)
     )
     * $L37:$U37,
     0
  )
)</f>
        <v>-6773.41</v>
      </c>
      <c r="CH37" s="57" cm="1">
        <f t="array" ref="CH37">SUMPRODUCT(
  IF($B37:$K37&lt;&gt;"",
     INDEX('Eurostat EB products IEA'!$A$4:$BN$135,
           MATCH($B37:$K37, 'Eurostat EB products IEA'!$A$4:$A$135, 0),
           MATCH(CH$1, 'Eurostat EB products IEA'!$A$4:$BN$4, 0)
     )
     * $L37:$U37,
     0
  )
)</f>
        <v>-31.001000000000001</v>
      </c>
    </row>
    <row r="38" spans="1:86" x14ac:dyDescent="0.2">
      <c r="A38" t="s">
        <v>88</v>
      </c>
      <c r="B38" s="75"/>
      <c r="C38" s="77"/>
      <c r="D38" s="75"/>
      <c r="E38" s="77"/>
      <c r="F38" s="75"/>
      <c r="G38" s="77"/>
      <c r="H38" s="75"/>
      <c r="I38" s="77"/>
      <c r="J38" s="74"/>
      <c r="K38" s="78" t="s">
        <v>269</v>
      </c>
      <c r="L38" s="76"/>
      <c r="M38" s="79"/>
      <c r="N38" s="76"/>
      <c r="O38" s="79"/>
      <c r="P38" s="76"/>
      <c r="Q38" s="79"/>
      <c r="R38" s="76"/>
      <c r="S38" s="79"/>
      <c r="T38" s="76"/>
      <c r="U38" s="79">
        <v>-1</v>
      </c>
      <c r="V38" s="65" t="s">
        <v>323</v>
      </c>
      <c r="W38" s="65" t="s">
        <v>323</v>
      </c>
      <c r="X38" s="17" cm="1">
        <f t="array" ref="X38">SUMPRODUCT(
  IF($B38:$K38&lt;&gt;"",
     INDEX('Eurostat EB products IEA'!$A$4:$BN$135,
           MATCH($B38:$K38, 'Eurostat EB products IEA'!$A$4:$A$135, 0),
           MATCH(X$1, 'Eurostat EB products IEA'!$A$4:$BN$4, 0)
     )
     * $L38:$U38,
     0
  )
)</f>
        <v>0</v>
      </c>
      <c r="Y38" s="17" cm="1">
        <f t="array" ref="Y38">SUMPRODUCT(
  IF($B38:$K38&lt;&gt;"",
     INDEX('Eurostat EB products IEA'!$A$4:$BN$135,
           MATCH($B38:$K38, 'Eurostat EB products IEA'!$A$4:$A$135, 0),
           MATCH(Y$1, 'Eurostat EB products IEA'!$A$4:$BN$4, 0)
     )
     * $L38:$U38,
     0
  )
)</f>
        <v>0</v>
      </c>
      <c r="Z38" s="17" cm="1">
        <f t="array" ref="Z38">SUMPRODUCT(
  IF($B38:$K38&lt;&gt;"",
     INDEX('Eurostat EB products IEA'!$A$4:$BN$135,
           MATCH($B38:$K38, 'Eurostat EB products IEA'!$A$4:$A$135, 0),
           MATCH(Z$1, 'Eurostat EB products IEA'!$A$4:$BN$4, 0)
     )
     * $L38:$U38,
     0
  )
)</f>
        <v>0</v>
      </c>
      <c r="AA38" s="17" cm="1">
        <f t="array" ref="AA38">SUMPRODUCT(
  IF($B38:$K38&lt;&gt;"",
     INDEX('Eurostat EB products IEA'!$A$4:$BN$135,
           MATCH($B38:$K38, 'Eurostat EB products IEA'!$A$4:$A$135, 0),
           MATCH(AA$1, 'Eurostat EB products IEA'!$A$4:$BN$4, 0)
     )
     * $L38:$U38,
     0
  )
)</f>
        <v>0</v>
      </c>
      <c r="AB38" s="17" cm="1">
        <f t="array" ref="AB38">SUMPRODUCT(
  IF($B38:$K38&lt;&gt;"",
     INDEX('Eurostat EB products IEA'!$A$4:$BN$135,
           MATCH($B38:$K38, 'Eurostat EB products IEA'!$A$4:$A$135, 0),
           MATCH(AB$1, 'Eurostat EB products IEA'!$A$4:$BN$4, 0)
     )
     * $L38:$U38,
     0
  )
)</f>
        <v>0</v>
      </c>
      <c r="AC38" s="17" cm="1">
        <f t="array" ref="AC38">SUMPRODUCT(
  IF($B38:$K38&lt;&gt;"",
     INDEX('Eurostat EB products IEA'!$A$4:$BN$135,
           MATCH($B38:$K38, 'Eurostat EB products IEA'!$A$4:$A$135, 0),
           MATCH(AC$1, 'Eurostat EB products IEA'!$A$4:$BN$4, 0)
     )
     * $L38:$U38,
     0
  )
)</f>
        <v>0</v>
      </c>
      <c r="AD38" s="17" cm="1">
        <f t="array" ref="AD38">SUMPRODUCT(
  IF($B38:$K38&lt;&gt;"",
     INDEX('Eurostat EB products IEA'!$A$4:$BN$135,
           MATCH($B38:$K38, 'Eurostat EB products IEA'!$A$4:$A$135, 0),
           MATCH(AD$1, 'Eurostat EB products IEA'!$A$4:$BN$4, 0)
     )
     * $L38:$U38,
     0
  )
)</f>
        <v>0</v>
      </c>
      <c r="AE38" s="17" cm="1">
        <f t="array" ref="AE38">SUMPRODUCT(
  IF($B38:$K38&lt;&gt;"",
     INDEX('Eurostat EB products IEA'!$A$4:$BN$135,
           MATCH($B38:$K38, 'Eurostat EB products IEA'!$A$4:$A$135, 0),
           MATCH(AE$1, 'Eurostat EB products IEA'!$A$4:$BN$4, 0)
     )
     * $L38:$U38,
     0
  )
)</f>
        <v>0</v>
      </c>
      <c r="AF38" s="17" cm="1">
        <f t="array" ref="AF38">SUMPRODUCT(
  IF($B38:$K38&lt;&gt;"",
     INDEX('Eurostat EB products IEA'!$A$4:$BN$135,
           MATCH($B38:$K38, 'Eurostat EB products IEA'!$A$4:$A$135, 0),
           MATCH(AF$1, 'Eurostat EB products IEA'!$A$4:$BN$4, 0)
     )
     * $L38:$U38,
     0
  )
)</f>
        <v>0</v>
      </c>
      <c r="AG38" s="17" cm="1">
        <f t="array" ref="AG38">SUMPRODUCT(
  IF($B38:$K38&lt;&gt;"",
     INDEX('Eurostat EB products IEA'!$A$4:$BN$135,
           MATCH($B38:$K38, 'Eurostat EB products IEA'!$A$4:$A$135, 0),
           MATCH(AG$1, 'Eurostat EB products IEA'!$A$4:$BN$4, 0)
     )
     * $L38:$U38,
     0
  )
)</f>
        <v>0</v>
      </c>
      <c r="AH38" s="17" cm="1">
        <f t="array" ref="AH38">SUMPRODUCT(
  IF($B38:$K38&lt;&gt;"",
     INDEX('Eurostat EB products IEA'!$A$4:$BN$135,
           MATCH($B38:$K38, 'Eurostat EB products IEA'!$A$4:$A$135, 0),
           MATCH(AH$1, 'Eurostat EB products IEA'!$A$4:$BN$4, 0)
     )
     * $L38:$U38,
     0
  )
)</f>
        <v>0</v>
      </c>
      <c r="AI38" s="17" cm="1">
        <f t="array" ref="AI38">SUMPRODUCT(
  IF($B38:$K38&lt;&gt;"",
     INDEX('Eurostat EB products IEA'!$A$4:$BN$135,
           MATCH($B38:$K38, 'Eurostat EB products IEA'!$A$4:$A$135, 0),
           MATCH(AI$1, 'Eurostat EB products IEA'!$A$4:$BN$4, 0)
     )
     * $L38:$U38,
     0
  )
)</f>
        <v>0</v>
      </c>
      <c r="AJ38" s="17" cm="1">
        <f t="array" ref="AJ38">SUMPRODUCT(
  IF($B38:$K38&lt;&gt;"",
     INDEX('Eurostat EB products IEA'!$A$4:$BN$135,
           MATCH($B38:$K38, 'Eurostat EB products IEA'!$A$4:$A$135, 0),
           MATCH(AJ$1, 'Eurostat EB products IEA'!$A$4:$BN$4, 0)
     )
     * $L38:$U38,
     0
  )
)</f>
        <v>0</v>
      </c>
      <c r="AK38" s="17" cm="1">
        <f t="array" ref="AK38">SUMPRODUCT(
  IF($B38:$K38&lt;&gt;"",
     INDEX('Eurostat EB products IEA'!$A$4:$BN$135,
           MATCH($B38:$K38, 'Eurostat EB products IEA'!$A$4:$A$135, 0),
           MATCH(AK$1, 'Eurostat EB products IEA'!$A$4:$BN$4, 0)
     )
     * $L38:$U38,
     0
  )
)</f>
        <v>0</v>
      </c>
      <c r="AL38" s="17" cm="1">
        <f t="array" ref="AL38">SUMPRODUCT(
  IF($B38:$K38&lt;&gt;"",
     INDEX('Eurostat EB products IEA'!$A$4:$BN$135,
           MATCH($B38:$K38, 'Eurostat EB products IEA'!$A$4:$A$135, 0),
           MATCH(AL$1, 'Eurostat EB products IEA'!$A$4:$BN$4, 0)
     )
     * $L38:$U38,
     0
  )
)</f>
        <v>0</v>
      </c>
      <c r="AM38" s="17" cm="1">
        <f t="array" ref="AM38">SUMPRODUCT(
  IF($B38:$K38&lt;&gt;"",
     INDEX('Eurostat EB products IEA'!$A$4:$BN$135,
           MATCH($B38:$K38, 'Eurostat EB products IEA'!$A$4:$A$135, 0),
           MATCH(AM$1, 'Eurostat EB products IEA'!$A$4:$BN$4, 0)
     )
     * $L38:$U38,
     0
  )
)</f>
        <v>0</v>
      </c>
      <c r="AN38" s="65" t="s">
        <v>323</v>
      </c>
      <c r="AO38" s="17" cm="1">
        <f t="array" ref="AO38">SUMPRODUCT(
  IF($B38:$K38&lt;&gt;"",
     INDEX('Eurostat EB products IEA'!$A$4:$BN$135,
           MATCH($B38:$K38, 'Eurostat EB products IEA'!$A$4:$A$135, 0),
           MATCH(AO$1, 'Eurostat EB products IEA'!$A$4:$BN$4, 0)
     )
     * $L38:$U38,
     0
  )
)</f>
        <v>0</v>
      </c>
      <c r="AP38" s="17" cm="1">
        <f t="array" ref="AP38">SUMPRODUCT(
  IF($B38:$K38&lt;&gt;"",
     INDEX('Eurostat EB products IEA'!$A$4:$BN$135,
           MATCH($B38:$K38, 'Eurostat EB products IEA'!$A$4:$A$135, 0),
           MATCH(AP$1, 'Eurostat EB products IEA'!$A$4:$BN$4, 0)
     )
     * $L38:$U38,
     0
  )
)</f>
        <v>0</v>
      </c>
      <c r="AQ38" s="17" cm="1">
        <f t="array" ref="AQ38">SUMPRODUCT(
  IF($B38:$K38&lt;&gt;"",
     INDEX('Eurostat EB products IEA'!$A$4:$BN$135,
           MATCH($B38:$K38, 'Eurostat EB products IEA'!$A$4:$A$135, 0),
           MATCH(AQ$1, 'Eurostat EB products IEA'!$A$4:$BN$4, 0)
     )
     * $L38:$U38,
     0
  )
)</f>
        <v>0</v>
      </c>
      <c r="AR38" s="17" cm="1">
        <f t="array" ref="AR38">SUMPRODUCT(
  IF($B38:$K38&lt;&gt;"",
     INDEX('Eurostat EB products IEA'!$A$4:$BN$135,
           MATCH($B38:$K38, 'Eurostat EB products IEA'!$A$4:$A$135, 0),
           MATCH(AR$1, 'Eurostat EB products IEA'!$A$4:$BN$4, 0)
     )
     * $L38:$U38,
     0
  )
)</f>
        <v>0</v>
      </c>
      <c r="AS38" s="17" cm="1">
        <f t="array" ref="AS38">SUMPRODUCT(
  IF($B38:$K38&lt;&gt;"",
     INDEX('Eurostat EB products IEA'!$A$4:$BN$135,
           MATCH($B38:$K38, 'Eurostat EB products IEA'!$A$4:$A$135, 0),
           MATCH(AS$1, 'Eurostat EB products IEA'!$A$4:$BN$4, 0)
     )
     * $L38:$U38,
     0
  )
)</f>
        <v>0</v>
      </c>
      <c r="AT38" s="17" cm="1">
        <f t="array" ref="AT38">SUMPRODUCT(
  IF($B38:$K38&lt;&gt;"",
     INDEX('Eurostat EB products IEA'!$A$4:$BN$135,
           MATCH($B38:$K38, 'Eurostat EB products IEA'!$A$4:$A$135, 0),
           MATCH(AT$1, 'Eurostat EB products IEA'!$A$4:$BN$4, 0)
     )
     * $L38:$U38,
     0
  )
)</f>
        <v>0</v>
      </c>
      <c r="AU38" s="17" cm="1">
        <f t="array" ref="AU38">SUMPRODUCT(
  IF($B38:$K38&lt;&gt;"",
     INDEX('Eurostat EB products IEA'!$A$4:$BN$135,
           MATCH($B38:$K38, 'Eurostat EB products IEA'!$A$4:$A$135, 0),
           MATCH(AU$1, 'Eurostat EB products IEA'!$A$4:$BN$4, 0)
     )
     * $L38:$U38,
     0
  )
)</f>
        <v>0</v>
      </c>
      <c r="AV38" s="17" cm="1">
        <f t="array" ref="AV38">SUMPRODUCT(
  IF($B38:$K38&lt;&gt;"",
     INDEX('Eurostat EB products IEA'!$A$4:$BN$135,
           MATCH($B38:$K38, 'Eurostat EB products IEA'!$A$4:$A$135, 0),
           MATCH(AV$1, 'Eurostat EB products IEA'!$A$4:$BN$4, 0)
     )
     * $L38:$U38,
     0
  )
)</f>
        <v>0</v>
      </c>
      <c r="AW38" s="17" cm="1">
        <f t="array" ref="AW38">SUMPRODUCT(
  IF($B38:$K38&lt;&gt;"",
     INDEX('Eurostat EB products IEA'!$A$4:$BN$135,
           MATCH($B38:$K38, 'Eurostat EB products IEA'!$A$4:$A$135, 0),
           MATCH(AW$1, 'Eurostat EB products IEA'!$A$4:$BN$4, 0)
     )
     * $L38:$U38,
     0
  )
)</f>
        <v>0</v>
      </c>
      <c r="AX38" s="17" cm="1">
        <f t="array" ref="AX38">SUMPRODUCT(
  IF($B38:$K38&lt;&gt;"",
     INDEX('Eurostat EB products IEA'!$A$4:$BN$135,
           MATCH($B38:$K38, 'Eurostat EB products IEA'!$A$4:$A$135, 0),
           MATCH(AX$1, 'Eurostat EB products IEA'!$A$4:$BN$4, 0)
     )
     * $L38:$U38,
     0
  )
)</f>
        <v>0</v>
      </c>
      <c r="AY38" s="17" cm="1">
        <f t="array" ref="AY38">SUMPRODUCT(
  IF($B38:$K38&lt;&gt;"",
     INDEX('Eurostat EB products IEA'!$A$4:$BN$135,
           MATCH($B38:$K38, 'Eurostat EB products IEA'!$A$4:$A$135, 0),
           MATCH(AY$1, 'Eurostat EB products IEA'!$A$4:$BN$4, 0)
     )
     * $L38:$U38,
     0
  )
)</f>
        <v>0</v>
      </c>
      <c r="AZ38" s="17" cm="1">
        <f t="array" ref="AZ38">SUMPRODUCT(
  IF($B38:$K38&lt;&gt;"",
     INDEX('Eurostat EB products IEA'!$A$4:$BN$135,
           MATCH($B38:$K38, 'Eurostat EB products IEA'!$A$4:$A$135, 0),
           MATCH(AZ$1, 'Eurostat EB products IEA'!$A$4:$BN$4, 0)
     )
     * $L38:$U38,
     0
  )
)</f>
        <v>0</v>
      </c>
      <c r="BA38" s="17" cm="1">
        <f t="array" ref="BA38">SUMPRODUCT(
  IF($B38:$K38&lt;&gt;"",
     INDEX('Eurostat EB products IEA'!$A$4:$BN$135,
           MATCH($B38:$K38, 'Eurostat EB products IEA'!$A$4:$A$135, 0),
           MATCH(BA$1, 'Eurostat EB products IEA'!$A$4:$BN$4, 0)
     )
     * $L38:$U38,
     0
  )
)</f>
        <v>0</v>
      </c>
      <c r="BB38" s="17" cm="1">
        <f t="array" ref="BB38">SUMPRODUCT(
  IF($B38:$K38&lt;&gt;"",
     INDEX('Eurostat EB products IEA'!$A$4:$BN$135,
           MATCH($B38:$K38, 'Eurostat EB products IEA'!$A$4:$A$135, 0),
           MATCH(BB$1, 'Eurostat EB products IEA'!$A$4:$BN$4, 0)
     )
     * $L38:$U38,
     0
  )
)</f>
        <v>0</v>
      </c>
      <c r="BC38" s="17" cm="1">
        <f t="array" ref="BC38">SUMPRODUCT(
  IF($B38:$K38&lt;&gt;"",
     INDEX('Eurostat EB products IEA'!$A$4:$BN$135,
           MATCH($B38:$K38, 'Eurostat EB products IEA'!$A$4:$A$135, 0),
           MATCH(BC$1, 'Eurostat EB products IEA'!$A$4:$BN$4, 0)
     )
     * $L38:$U38,
     0
  )
)</f>
        <v>0</v>
      </c>
      <c r="BD38" s="17" cm="1">
        <f t="array" ref="BD38">SUMPRODUCT(
  IF($B38:$K38&lt;&gt;"",
     INDEX('Eurostat EB products IEA'!$A$4:$BN$135,
           MATCH($B38:$K38, 'Eurostat EB products IEA'!$A$4:$A$135, 0),
           MATCH(BD$1, 'Eurostat EB products IEA'!$A$4:$BN$4, 0)
     )
     * $L38:$U38,
     0
  )
)</f>
        <v>0</v>
      </c>
      <c r="BE38" s="17" cm="1">
        <f t="array" ref="BE38">SUMPRODUCT(
  IF($B38:$K38&lt;&gt;"",
     INDEX('Eurostat EB products IEA'!$A$4:$BN$135,
           MATCH($B38:$K38, 'Eurostat EB products IEA'!$A$4:$A$135, 0),
           MATCH(BE$1, 'Eurostat EB products IEA'!$A$4:$BN$4, 0)
     )
     * $L38:$U38,
     0
  )
)</f>
        <v>0</v>
      </c>
      <c r="BF38" s="17" cm="1">
        <f t="array" ref="BF38">SUMPRODUCT(
  IF($B38:$K38&lt;&gt;"",
     INDEX('Eurostat EB products IEA'!$A$4:$BN$135,
           MATCH($B38:$K38, 'Eurostat EB products IEA'!$A$4:$A$135, 0),
           MATCH(BF$1, 'Eurostat EB products IEA'!$A$4:$BN$4, 0)
     )
     * $L38:$U38,
     0
  )
)</f>
        <v>0</v>
      </c>
      <c r="BG38" s="17" cm="1">
        <f t="array" ref="BG38">SUMPRODUCT(
  IF($B38:$K38&lt;&gt;"",
     INDEX('Eurostat EB products IEA'!$A$4:$BN$135,
           MATCH($B38:$K38, 'Eurostat EB products IEA'!$A$4:$A$135, 0),
           MATCH(BG$1, 'Eurostat EB products IEA'!$A$4:$BN$4, 0)
     )
     * $L38:$U38,
     0
  )
)</f>
        <v>0</v>
      </c>
      <c r="BH38" s="17" cm="1">
        <f t="array" ref="BH38">SUMPRODUCT(
  IF($B38:$K38&lt;&gt;"",
     INDEX('Eurostat EB products IEA'!$A$4:$BN$135,
           MATCH($B38:$K38, 'Eurostat EB products IEA'!$A$4:$A$135, 0),
           MATCH(BH$1, 'Eurostat EB products IEA'!$A$4:$BN$4, 0)
     )
     * $L38:$U38,
     0
  )
)</f>
        <v>0</v>
      </c>
      <c r="BI38" s="17" cm="1">
        <f t="array" ref="BI38">SUMPRODUCT(
  IF($B38:$K38&lt;&gt;"",
     INDEX('Eurostat EB products IEA'!$A$4:$BN$135,
           MATCH($B38:$K38, 'Eurostat EB products IEA'!$A$4:$A$135, 0),
           MATCH(BI$1, 'Eurostat EB products IEA'!$A$4:$BN$4, 0)
     )
     * $L38:$U38,
     0
  )
)</f>
        <v>0</v>
      </c>
      <c r="BJ38" s="17" cm="1">
        <f t="array" ref="BJ38">SUMPRODUCT(
  IF($B38:$K38&lt;&gt;"",
     INDEX('Eurostat EB products IEA'!$A$4:$BN$135,
           MATCH($B38:$K38, 'Eurostat EB products IEA'!$A$4:$A$135, 0),
           MATCH(BJ$1, 'Eurostat EB products IEA'!$A$4:$BN$4, 0)
     )
     * $L38:$U38,
     0
  )
)</f>
        <v>0</v>
      </c>
      <c r="BK38" s="17" cm="1">
        <f t="array" ref="BK38">SUMPRODUCT(
  IF($B38:$K38&lt;&gt;"",
     INDEX('Eurostat EB products IEA'!$A$4:$BN$135,
           MATCH($B38:$K38, 'Eurostat EB products IEA'!$A$4:$A$135, 0),
           MATCH(BK$1, 'Eurostat EB products IEA'!$A$4:$BN$4, 0)
     )
     * $L38:$U38,
     0
  )
)</f>
        <v>0</v>
      </c>
      <c r="BL38" s="17" cm="1">
        <f t="array" ref="BL38">SUMPRODUCT(
  IF($B38:$K38&lt;&gt;"",
     INDEX('Eurostat EB products IEA'!$A$4:$BN$135,
           MATCH($B38:$K38, 'Eurostat EB products IEA'!$A$4:$A$135, 0),
           MATCH(BL$1, 'Eurostat EB products IEA'!$A$4:$BN$4, 0)
     )
     * $L38:$U38,
     0
  )
)</f>
        <v>0</v>
      </c>
      <c r="BM38" s="17" cm="1">
        <f t="array" ref="BM38">SUMPRODUCT(
  IF($B38:$K38&lt;&gt;"",
     INDEX('Eurostat EB products IEA'!$A$4:$BN$135,
           MATCH($B38:$K38, 'Eurostat EB products IEA'!$A$4:$A$135, 0),
           MATCH(BM$1, 'Eurostat EB products IEA'!$A$4:$BN$4, 0)
     )
     * $L38:$U38,
     0
  )
)</f>
        <v>0</v>
      </c>
      <c r="BN38" s="17" cm="1">
        <f t="array" ref="BN38">SUMPRODUCT(
  IF($B38:$K38&lt;&gt;"",
     INDEX('Eurostat EB products IEA'!$A$4:$BN$135,
           MATCH($B38:$K38, 'Eurostat EB products IEA'!$A$4:$A$135, 0),
           MATCH(BN$1, 'Eurostat EB products IEA'!$A$4:$BN$4, 0)
     )
     * $L38:$U38,
     0
  )
)</f>
        <v>0</v>
      </c>
      <c r="BO38" s="17" cm="1">
        <f t="array" ref="BO38">SUMPRODUCT(
  IF($B38:$K38&lt;&gt;"",
     INDEX('Eurostat EB products IEA'!$A$4:$BN$135,
           MATCH($B38:$K38, 'Eurostat EB products IEA'!$A$4:$A$135, 0),
           MATCH(BO$1, 'Eurostat EB products IEA'!$A$4:$BN$4, 0)
     )
     * $L38:$U38,
     0
  )
)</f>
        <v>0</v>
      </c>
      <c r="BP38" s="17" cm="1">
        <f t="array" ref="BP38">SUMPRODUCT(
  IF($B38:$K38&lt;&gt;"",
     INDEX('Eurostat EB products IEA'!$A$4:$BN$135,
           MATCH($B38:$K38, 'Eurostat EB products IEA'!$A$4:$A$135, 0),
           MATCH(BP$1, 'Eurostat EB products IEA'!$A$4:$BN$4, 0)
     )
     * $L38:$U38,
     0
  )
)</f>
        <v>0</v>
      </c>
      <c r="BQ38" s="17" cm="1">
        <f t="array" ref="BQ38">SUMPRODUCT(
  IF($B38:$K38&lt;&gt;"",
     INDEX('Eurostat EB products IEA'!$A$4:$BN$135,
           MATCH($B38:$K38, 'Eurostat EB products IEA'!$A$4:$A$135, 0),
           MATCH(BQ$1, 'Eurostat EB products IEA'!$A$4:$BN$4, 0)
     )
     * $L38:$U38,
     0
  )
)</f>
        <v>0</v>
      </c>
      <c r="BR38" s="17" cm="1">
        <f t="array" ref="BR38">SUMPRODUCT(
  IF($B38:$K38&lt;&gt;"",
     INDEX('Eurostat EB products IEA'!$A$4:$BN$135,
           MATCH($B38:$K38, 'Eurostat EB products IEA'!$A$4:$A$135, 0),
           MATCH(BR$1, 'Eurostat EB products IEA'!$A$4:$BN$4, 0)
     )
     * $L38:$U38,
     0
  )
)</f>
        <v>0</v>
      </c>
      <c r="BS38" s="65">
        <v>0</v>
      </c>
      <c r="BT38" s="17" cm="1">
        <f t="array" ref="BT38">SUMPRODUCT(
  IF($B38:$K38&lt;&gt;"",
     INDEX('Eurostat EB products IEA'!$A$4:$BN$135,
           MATCH($B38:$K38, 'Eurostat EB products IEA'!$A$4:$A$135, 0),
           MATCH(BT$1, 'Eurostat EB products IEA'!$A$4:$BN$4, 0)
     )
     * $L38:$U38,
     0
  )
)</f>
        <v>0</v>
      </c>
      <c r="BU38" s="65">
        <v>0</v>
      </c>
      <c r="BV38" s="65">
        <v>0</v>
      </c>
      <c r="BW38" s="17" cm="1">
        <f t="array" ref="BW38">SUMPRODUCT(
  IF($B38:$K38&lt;&gt;"",
     INDEX('Eurostat EB products IEA'!$A$4:$BN$135,
           MATCH($B38:$K38, 'Eurostat EB products IEA'!$A$4:$A$135, 0),
           MATCH(BW$1, 'Eurostat EB products IEA'!$A$4:$BN$4, 0)
     )
     * $L38:$U38,
     0
  )
)</f>
        <v>0</v>
      </c>
      <c r="BX38" s="17" cm="1">
        <f t="array" ref="BX38">SUMPRODUCT(
  IF($B38:$K38&lt;&gt;"",
     INDEX('Eurostat EB products IEA'!$A$4:$BN$135,
           MATCH($B38:$K38, 'Eurostat EB products IEA'!$A$4:$A$135, 0),
           MATCH(BX$1, 'Eurostat EB products IEA'!$A$4:$BN$4, 0)
     )
     * $L38:$U38,
     0
  )
)</f>
        <v>0</v>
      </c>
      <c r="BY38" s="17" cm="1">
        <f t="array" ref="BY38">SUMPRODUCT(
  IF($B38:$K38&lt;&gt;"",
     INDEX('Eurostat EB products IEA'!$A$4:$BN$135,
           MATCH($B38:$K38, 'Eurostat EB products IEA'!$A$4:$A$135, 0),
           MATCH(BY$1, 'Eurostat EB products IEA'!$A$4:$BN$4, 0)
     )
     * $L38:$U38,
     0
  )
)</f>
        <v>0</v>
      </c>
      <c r="BZ38" s="17" cm="1">
        <f t="array" ref="BZ38">SUMPRODUCT(
  IF($B38:$K38&lt;&gt;"",
     INDEX('Eurostat EB products IEA'!$A$4:$BN$135,
           MATCH($B38:$K38, 'Eurostat EB products IEA'!$A$4:$A$135, 0),
           MATCH(BZ$1, 'Eurostat EB products IEA'!$A$4:$BN$4, 0)
     )
     * $L38:$U38,
     0
  )
)</f>
        <v>0</v>
      </c>
      <c r="CA38" s="17" cm="1">
        <f t="array" ref="CA38">SUMPRODUCT(
  IF($B38:$K38&lt;&gt;"",
     INDEX('Eurostat EB products IEA'!$A$4:$BN$135,
           MATCH($B38:$K38, 'Eurostat EB products IEA'!$A$4:$A$135, 0),
           MATCH(CA$1, 'Eurostat EB products IEA'!$A$4:$BN$4, 0)
     )
     * $L38:$U38,
     0
  )
)</f>
        <v>0</v>
      </c>
      <c r="CB38" s="17" cm="1">
        <f t="array" ref="CB38">SUMPRODUCT(
  IF($B38:$K38&lt;&gt;"",
     INDEX('Eurostat EB products IEA'!$A$4:$BN$135,
           MATCH($B38:$K38, 'Eurostat EB products IEA'!$A$4:$A$135, 0),
           MATCH(CB$1, 'Eurostat EB products IEA'!$A$4:$BN$4, 0)
     )
     * $L38:$U38,
     0
  )
)</f>
        <v>0</v>
      </c>
      <c r="CC38" s="17" cm="1">
        <f t="array" ref="CC38">SUMPRODUCT(
  IF($B38:$K38&lt;&gt;"",
     INDEX('Eurostat EB products IEA'!$A$4:$BN$135,
           MATCH($B38:$K38, 'Eurostat EB products IEA'!$A$4:$A$135, 0),
           MATCH(CC$1, 'Eurostat EB products IEA'!$A$4:$BN$4, 0)
     )
     * $L38:$U38,
     0
  )
)</f>
        <v>0</v>
      </c>
      <c r="CD38" s="65">
        <v>0</v>
      </c>
      <c r="CE38" s="17" cm="1">
        <f t="array" ref="CE38">SUMPRODUCT(
  IF($B38:$K38&lt;&gt;"",
     INDEX('Eurostat EB products IEA'!$A$4:$BN$135,
           MATCH($B38:$K38, 'Eurostat EB products IEA'!$A$4:$A$135, 0),
           MATCH(CE$1, 'Eurostat EB products IEA'!$A$4:$BN$4, 0)
     )
     * $L38:$U38,
     0
  )
)</f>
        <v>0</v>
      </c>
      <c r="CF38" s="17" cm="1">
        <f t="array" ref="CF38">SUMPRODUCT(
  IF($B38:$K38&lt;&gt;"",
     INDEX('Eurostat EB products IEA'!$A$4:$BN$135,
           MATCH($B38:$K38, 'Eurostat EB products IEA'!$A$4:$A$135, 0),
           MATCH(CF$1, 'Eurostat EB products IEA'!$A$4:$BN$4, 0)
     )
     * $L38:$U38,
     0
  )
)</f>
        <v>0</v>
      </c>
      <c r="CG38" s="17" cm="1">
        <f t="array" ref="CG38">SUMPRODUCT(
  IF($B38:$K38&lt;&gt;"",
     INDEX('Eurostat EB products IEA'!$A$4:$BN$135,
           MATCH($B38:$K38, 'Eurostat EB products IEA'!$A$4:$A$135, 0),
           MATCH(CG$1, 'Eurostat EB products IEA'!$A$4:$BN$4, 0)
     )
     * $L38:$U38,
     0
  )
)</f>
        <v>0</v>
      </c>
      <c r="CH38" s="17" cm="1">
        <f t="array" ref="CH38">SUMPRODUCT(
  IF($B38:$K38&lt;&gt;"",
     INDEX('Eurostat EB products IEA'!$A$4:$BN$135,
           MATCH($B38:$K38, 'Eurostat EB products IEA'!$A$4:$A$135, 0),
           MATCH(CH$1, 'Eurostat EB products IEA'!$A$4:$BN$4, 0)
     )
     * $L38:$U38,
     0
  )
)</f>
        <v>0</v>
      </c>
    </row>
    <row r="39" spans="1:86" x14ac:dyDescent="0.2">
      <c r="A39" t="s">
        <v>164</v>
      </c>
      <c r="B39" s="75"/>
      <c r="C39" s="77"/>
      <c r="D39" s="75"/>
      <c r="E39" s="77"/>
      <c r="F39" s="75"/>
      <c r="G39" s="77"/>
      <c r="H39" s="75"/>
      <c r="I39" s="77"/>
      <c r="J39" s="74"/>
      <c r="K39" s="78" t="s">
        <v>275</v>
      </c>
      <c r="L39" s="76"/>
      <c r="M39" s="79"/>
      <c r="N39" s="76"/>
      <c r="O39" s="79"/>
      <c r="P39" s="76"/>
      <c r="Q39" s="79"/>
      <c r="R39" s="76"/>
      <c r="S39" s="79"/>
      <c r="T39" s="76"/>
      <c r="U39" s="79">
        <v>-1</v>
      </c>
      <c r="V39" s="65" t="s">
        <v>323</v>
      </c>
      <c r="W39" s="65" t="s">
        <v>323</v>
      </c>
      <c r="X39" s="57" cm="1">
        <f t="array" ref="X39">SUMPRODUCT(
  IF($B39:$K39&lt;&gt;"",
     INDEX('Eurostat EB products IEA'!$A$4:$BN$135,
           MATCH($B39:$K39, 'Eurostat EB products IEA'!$A$4:$A$135, 0),
           MATCH(X$1, 'Eurostat EB products IEA'!$A$4:$BN$4, 0)
     )
     * $L39:$U39,
     0
  )
)</f>
        <v>0</v>
      </c>
      <c r="Y39" s="57" cm="1">
        <f t="array" ref="Y39">SUMPRODUCT(
  IF($B39:$K39&lt;&gt;"",
     INDEX('Eurostat EB products IEA'!$A$4:$BN$135,
           MATCH($B39:$K39, 'Eurostat EB products IEA'!$A$4:$A$135, 0),
           MATCH(Y$1, 'Eurostat EB products IEA'!$A$4:$BN$4, 0)
     )
     * $L39:$U39,
     0
  )
)</f>
        <v>0</v>
      </c>
      <c r="Z39" s="57" cm="1">
        <f t="array" ref="Z39">SUMPRODUCT(
  IF($B39:$K39&lt;&gt;"",
     INDEX('Eurostat EB products IEA'!$A$4:$BN$135,
           MATCH($B39:$K39, 'Eurostat EB products IEA'!$A$4:$A$135, 0),
           MATCH(Z$1, 'Eurostat EB products IEA'!$A$4:$BN$4, 0)
     )
     * $L39:$U39,
     0
  )
)</f>
        <v>0</v>
      </c>
      <c r="AA39" s="57" cm="1">
        <f t="array" ref="AA39">SUMPRODUCT(
  IF($B39:$K39&lt;&gt;"",
     INDEX('Eurostat EB products IEA'!$A$4:$BN$135,
           MATCH($B39:$K39, 'Eurostat EB products IEA'!$A$4:$A$135, 0),
           MATCH(AA$1, 'Eurostat EB products IEA'!$A$4:$BN$4, 0)
     )
     * $L39:$U39,
     0
  )
)</f>
        <v>0</v>
      </c>
      <c r="AB39" s="57" cm="1">
        <f t="array" ref="AB39">SUMPRODUCT(
  IF($B39:$K39&lt;&gt;"",
     INDEX('Eurostat EB products IEA'!$A$4:$BN$135,
           MATCH($B39:$K39, 'Eurostat EB products IEA'!$A$4:$A$135, 0),
           MATCH(AB$1, 'Eurostat EB products IEA'!$A$4:$BN$4, 0)
     )
     * $L39:$U39,
     0
  )
)</f>
        <v>0</v>
      </c>
      <c r="AC39" s="57" cm="1">
        <f t="array" ref="AC39">SUMPRODUCT(
  IF($B39:$K39&lt;&gt;"",
     INDEX('Eurostat EB products IEA'!$A$4:$BN$135,
           MATCH($B39:$K39, 'Eurostat EB products IEA'!$A$4:$A$135, 0),
           MATCH(AC$1, 'Eurostat EB products IEA'!$A$4:$BN$4, 0)
     )
     * $L39:$U39,
     0
  )
)</f>
        <v>0</v>
      </c>
      <c r="AD39" s="57" cm="1">
        <f t="array" ref="AD39">SUMPRODUCT(
  IF($B39:$K39&lt;&gt;"",
     INDEX('Eurostat EB products IEA'!$A$4:$BN$135,
           MATCH($B39:$K39, 'Eurostat EB products IEA'!$A$4:$A$135, 0),
           MATCH(AD$1, 'Eurostat EB products IEA'!$A$4:$BN$4, 0)
     )
     * $L39:$U39,
     0
  )
)</f>
        <v>0</v>
      </c>
      <c r="AE39" s="57" cm="1">
        <f t="array" ref="AE39">SUMPRODUCT(
  IF($B39:$K39&lt;&gt;"",
     INDEX('Eurostat EB products IEA'!$A$4:$BN$135,
           MATCH($B39:$K39, 'Eurostat EB products IEA'!$A$4:$A$135, 0),
           MATCH(AE$1, 'Eurostat EB products IEA'!$A$4:$BN$4, 0)
     )
     * $L39:$U39,
     0
  )
)</f>
        <v>0</v>
      </c>
      <c r="AF39" s="57" cm="1">
        <f t="array" ref="AF39">SUMPRODUCT(
  IF($B39:$K39&lt;&gt;"",
     INDEX('Eurostat EB products IEA'!$A$4:$BN$135,
           MATCH($B39:$K39, 'Eurostat EB products IEA'!$A$4:$A$135, 0),
           MATCH(AF$1, 'Eurostat EB products IEA'!$A$4:$BN$4, 0)
     )
     * $L39:$U39,
     0
  )
)</f>
        <v>0</v>
      </c>
      <c r="AG39" s="57" cm="1">
        <f t="array" ref="AG39">SUMPRODUCT(
  IF($B39:$K39&lt;&gt;"",
     INDEX('Eurostat EB products IEA'!$A$4:$BN$135,
           MATCH($B39:$K39, 'Eurostat EB products IEA'!$A$4:$A$135, 0),
           MATCH(AG$1, 'Eurostat EB products IEA'!$A$4:$BN$4, 0)
     )
     * $L39:$U39,
     0
  )
)</f>
        <v>0</v>
      </c>
      <c r="AH39" s="57" cm="1">
        <f t="array" ref="AH39">SUMPRODUCT(
  IF($B39:$K39&lt;&gt;"",
     INDEX('Eurostat EB products IEA'!$A$4:$BN$135,
           MATCH($B39:$K39, 'Eurostat EB products IEA'!$A$4:$A$135, 0),
           MATCH(AH$1, 'Eurostat EB products IEA'!$A$4:$BN$4, 0)
     )
     * $L39:$U39,
     0
  )
)</f>
        <v>0</v>
      </c>
      <c r="AI39" s="57" cm="1">
        <f t="array" ref="AI39">SUMPRODUCT(
  IF($B39:$K39&lt;&gt;"",
     INDEX('Eurostat EB products IEA'!$A$4:$BN$135,
           MATCH($B39:$K39, 'Eurostat EB products IEA'!$A$4:$A$135, 0),
           MATCH(AI$1, 'Eurostat EB products IEA'!$A$4:$BN$4, 0)
     )
     * $L39:$U39,
     0
  )
)</f>
        <v>0</v>
      </c>
      <c r="AJ39" s="57" cm="1">
        <f t="array" ref="AJ39">SUMPRODUCT(
  IF($B39:$K39&lt;&gt;"",
     INDEX('Eurostat EB products IEA'!$A$4:$BN$135,
           MATCH($B39:$K39, 'Eurostat EB products IEA'!$A$4:$A$135, 0),
           MATCH(AJ$1, 'Eurostat EB products IEA'!$A$4:$BN$4, 0)
     )
     * $L39:$U39,
     0
  )
)</f>
        <v>0</v>
      </c>
      <c r="AK39" s="57" cm="1">
        <f t="array" ref="AK39">SUMPRODUCT(
  IF($B39:$K39&lt;&gt;"",
     INDEX('Eurostat EB products IEA'!$A$4:$BN$135,
           MATCH($B39:$K39, 'Eurostat EB products IEA'!$A$4:$A$135, 0),
           MATCH(AK$1, 'Eurostat EB products IEA'!$A$4:$BN$4, 0)
     )
     * $L39:$U39,
     0
  )
)</f>
        <v>0</v>
      </c>
      <c r="AL39" s="57" cm="1">
        <f t="array" ref="AL39">SUMPRODUCT(
  IF($B39:$K39&lt;&gt;"",
     INDEX('Eurostat EB products IEA'!$A$4:$BN$135,
           MATCH($B39:$K39, 'Eurostat EB products IEA'!$A$4:$A$135, 0),
           MATCH(AL$1, 'Eurostat EB products IEA'!$A$4:$BN$4, 0)
     )
     * $L39:$U39,
     0
  )
)</f>
        <v>0</v>
      </c>
      <c r="AM39" s="57" cm="1">
        <f t="array" ref="AM39">SUMPRODUCT(
  IF($B39:$K39&lt;&gt;"",
     INDEX('Eurostat EB products IEA'!$A$4:$BN$135,
           MATCH($B39:$K39, 'Eurostat EB products IEA'!$A$4:$A$135, 0),
           MATCH(AM$1, 'Eurostat EB products IEA'!$A$4:$BN$4, 0)
     )
     * $L39:$U39,
     0
  )
)</f>
        <v>0</v>
      </c>
      <c r="AN39" s="65" t="s">
        <v>323</v>
      </c>
      <c r="AO39" s="57" cm="1">
        <f t="array" ref="AO39">SUMPRODUCT(
  IF($B39:$K39&lt;&gt;"",
     INDEX('Eurostat EB products IEA'!$A$4:$BN$135,
           MATCH($B39:$K39, 'Eurostat EB products IEA'!$A$4:$A$135, 0),
           MATCH(AO$1, 'Eurostat EB products IEA'!$A$4:$BN$4, 0)
     )
     * $L39:$U39,
     0
  )
)</f>
        <v>0</v>
      </c>
      <c r="AP39" s="57" cm="1">
        <f t="array" ref="AP39">SUMPRODUCT(
  IF($B39:$K39&lt;&gt;"",
     INDEX('Eurostat EB products IEA'!$A$4:$BN$135,
           MATCH($B39:$K39, 'Eurostat EB products IEA'!$A$4:$A$135, 0),
           MATCH(AP$1, 'Eurostat EB products IEA'!$A$4:$BN$4, 0)
     )
     * $L39:$U39,
     0
  )
)</f>
        <v>0</v>
      </c>
      <c r="AQ39" s="57" cm="1">
        <f t="array" ref="AQ39">SUMPRODUCT(
  IF($B39:$K39&lt;&gt;"",
     INDEX('Eurostat EB products IEA'!$A$4:$BN$135,
           MATCH($B39:$K39, 'Eurostat EB products IEA'!$A$4:$A$135, 0),
           MATCH(AQ$1, 'Eurostat EB products IEA'!$A$4:$BN$4, 0)
     )
     * $L39:$U39,
     0
  )
)</f>
        <v>0</v>
      </c>
      <c r="AR39" s="57" cm="1">
        <f t="array" ref="AR39">SUMPRODUCT(
  IF($B39:$K39&lt;&gt;"",
     INDEX('Eurostat EB products IEA'!$A$4:$BN$135,
           MATCH($B39:$K39, 'Eurostat EB products IEA'!$A$4:$A$135, 0),
           MATCH(AR$1, 'Eurostat EB products IEA'!$A$4:$BN$4, 0)
     )
     * $L39:$U39,
     0
  )
)</f>
        <v>0</v>
      </c>
      <c r="AS39" s="57" cm="1">
        <f t="array" ref="AS39">SUMPRODUCT(
  IF($B39:$K39&lt;&gt;"",
     INDEX('Eurostat EB products IEA'!$A$4:$BN$135,
           MATCH($B39:$K39, 'Eurostat EB products IEA'!$A$4:$A$135, 0),
           MATCH(AS$1, 'Eurostat EB products IEA'!$A$4:$BN$4, 0)
     )
     * $L39:$U39,
     0
  )
)</f>
        <v>0</v>
      </c>
      <c r="AT39" s="57" cm="1">
        <f t="array" ref="AT39">SUMPRODUCT(
  IF($B39:$K39&lt;&gt;"",
     INDEX('Eurostat EB products IEA'!$A$4:$BN$135,
           MATCH($B39:$K39, 'Eurostat EB products IEA'!$A$4:$A$135, 0),
           MATCH(AT$1, 'Eurostat EB products IEA'!$A$4:$BN$4, 0)
     )
     * $L39:$U39,
     0
  )
)</f>
        <v>0</v>
      </c>
      <c r="AU39" s="57" cm="1">
        <f t="array" ref="AU39">SUMPRODUCT(
  IF($B39:$K39&lt;&gt;"",
     INDEX('Eurostat EB products IEA'!$A$4:$BN$135,
           MATCH($B39:$K39, 'Eurostat EB products IEA'!$A$4:$A$135, 0),
           MATCH(AU$1, 'Eurostat EB products IEA'!$A$4:$BN$4, 0)
     )
     * $L39:$U39,
     0
  )
)</f>
        <v>0</v>
      </c>
      <c r="AV39" s="57" cm="1">
        <f t="array" ref="AV39">SUMPRODUCT(
  IF($B39:$K39&lt;&gt;"",
     INDEX('Eurostat EB products IEA'!$A$4:$BN$135,
           MATCH($B39:$K39, 'Eurostat EB products IEA'!$A$4:$A$135, 0),
           MATCH(AV$1, 'Eurostat EB products IEA'!$A$4:$BN$4, 0)
     )
     * $L39:$U39,
     0
  )
)</f>
        <v>0</v>
      </c>
      <c r="AW39" s="57" cm="1">
        <f t="array" ref="AW39">SUMPRODUCT(
  IF($B39:$K39&lt;&gt;"",
     INDEX('Eurostat EB products IEA'!$A$4:$BN$135,
           MATCH($B39:$K39, 'Eurostat EB products IEA'!$A$4:$A$135, 0),
           MATCH(AW$1, 'Eurostat EB products IEA'!$A$4:$BN$4, 0)
     )
     * $L39:$U39,
     0
  )
)</f>
        <v>0</v>
      </c>
      <c r="AX39" s="57" cm="1">
        <f t="array" ref="AX39">SUMPRODUCT(
  IF($B39:$K39&lt;&gt;"",
     INDEX('Eurostat EB products IEA'!$A$4:$BN$135,
           MATCH($B39:$K39, 'Eurostat EB products IEA'!$A$4:$A$135, 0),
           MATCH(AX$1, 'Eurostat EB products IEA'!$A$4:$BN$4, 0)
     )
     * $L39:$U39,
     0
  )
)</f>
        <v>0</v>
      </c>
      <c r="AY39" s="57" cm="1">
        <f t="array" ref="AY39">SUMPRODUCT(
  IF($B39:$K39&lt;&gt;"",
     INDEX('Eurostat EB products IEA'!$A$4:$BN$135,
           MATCH($B39:$K39, 'Eurostat EB products IEA'!$A$4:$A$135, 0),
           MATCH(AY$1, 'Eurostat EB products IEA'!$A$4:$BN$4, 0)
     )
     * $L39:$U39,
     0
  )
)</f>
        <v>0</v>
      </c>
      <c r="AZ39" s="57" cm="1">
        <f t="array" ref="AZ39">SUMPRODUCT(
  IF($B39:$K39&lt;&gt;"",
     INDEX('Eurostat EB products IEA'!$A$4:$BN$135,
           MATCH($B39:$K39, 'Eurostat EB products IEA'!$A$4:$A$135, 0),
           MATCH(AZ$1, 'Eurostat EB products IEA'!$A$4:$BN$4, 0)
     )
     * $L39:$U39,
     0
  )
)</f>
        <v>0</v>
      </c>
      <c r="BA39" s="57" cm="1">
        <f t="array" ref="BA39">SUMPRODUCT(
  IF($B39:$K39&lt;&gt;"",
     INDEX('Eurostat EB products IEA'!$A$4:$BN$135,
           MATCH($B39:$K39, 'Eurostat EB products IEA'!$A$4:$A$135, 0),
           MATCH(BA$1, 'Eurostat EB products IEA'!$A$4:$BN$4, 0)
     )
     * $L39:$U39,
     0
  )
)</f>
        <v>0</v>
      </c>
      <c r="BB39" s="57" cm="1">
        <f t="array" ref="BB39">SUMPRODUCT(
  IF($B39:$K39&lt;&gt;"",
     INDEX('Eurostat EB products IEA'!$A$4:$BN$135,
           MATCH($B39:$K39, 'Eurostat EB products IEA'!$A$4:$A$135, 0),
           MATCH(BB$1, 'Eurostat EB products IEA'!$A$4:$BN$4, 0)
     )
     * $L39:$U39,
     0
  )
)</f>
        <v>0</v>
      </c>
      <c r="BC39" s="57" cm="1">
        <f t="array" ref="BC39">SUMPRODUCT(
  IF($B39:$K39&lt;&gt;"",
     INDEX('Eurostat EB products IEA'!$A$4:$BN$135,
           MATCH($B39:$K39, 'Eurostat EB products IEA'!$A$4:$A$135, 0),
           MATCH(BC$1, 'Eurostat EB products IEA'!$A$4:$BN$4, 0)
     )
     * $L39:$U39,
     0
  )
)</f>
        <v>0</v>
      </c>
      <c r="BD39" s="57" cm="1">
        <f t="array" ref="BD39">SUMPRODUCT(
  IF($B39:$K39&lt;&gt;"",
     INDEX('Eurostat EB products IEA'!$A$4:$BN$135,
           MATCH($B39:$K39, 'Eurostat EB products IEA'!$A$4:$A$135, 0),
           MATCH(BD$1, 'Eurostat EB products IEA'!$A$4:$BN$4, 0)
     )
     * $L39:$U39,
     0
  )
)</f>
        <v>0</v>
      </c>
      <c r="BE39" s="57" cm="1">
        <f t="array" ref="BE39">SUMPRODUCT(
  IF($B39:$K39&lt;&gt;"",
     INDEX('Eurostat EB products IEA'!$A$4:$BN$135,
           MATCH($B39:$K39, 'Eurostat EB products IEA'!$A$4:$A$135, 0),
           MATCH(BE$1, 'Eurostat EB products IEA'!$A$4:$BN$4, 0)
     )
     * $L39:$U39,
     0
  )
)</f>
        <v>0</v>
      </c>
      <c r="BF39" s="57" cm="1">
        <f t="array" ref="BF39">SUMPRODUCT(
  IF($B39:$K39&lt;&gt;"",
     INDEX('Eurostat EB products IEA'!$A$4:$BN$135,
           MATCH($B39:$K39, 'Eurostat EB products IEA'!$A$4:$A$135, 0),
           MATCH(BF$1, 'Eurostat EB products IEA'!$A$4:$BN$4, 0)
     )
     * $L39:$U39,
     0
  )
)</f>
        <v>0</v>
      </c>
      <c r="BG39" s="57" cm="1">
        <f t="array" ref="BG39">SUMPRODUCT(
  IF($B39:$K39&lt;&gt;"",
     INDEX('Eurostat EB products IEA'!$A$4:$BN$135,
           MATCH($B39:$K39, 'Eurostat EB products IEA'!$A$4:$A$135, 0),
           MATCH(BG$1, 'Eurostat EB products IEA'!$A$4:$BN$4, 0)
     )
     * $L39:$U39,
     0
  )
)</f>
        <v>0</v>
      </c>
      <c r="BH39" s="57" cm="1">
        <f t="array" ref="BH39">SUMPRODUCT(
  IF($B39:$K39&lt;&gt;"",
     INDEX('Eurostat EB products IEA'!$A$4:$BN$135,
           MATCH($B39:$K39, 'Eurostat EB products IEA'!$A$4:$A$135, 0),
           MATCH(BH$1, 'Eurostat EB products IEA'!$A$4:$BN$4, 0)
     )
     * $L39:$U39,
     0
  )
)</f>
        <v>0</v>
      </c>
      <c r="BI39" s="57" cm="1">
        <f t="array" ref="BI39">SUMPRODUCT(
  IF($B39:$K39&lt;&gt;"",
     INDEX('Eurostat EB products IEA'!$A$4:$BN$135,
           MATCH($B39:$K39, 'Eurostat EB products IEA'!$A$4:$A$135, 0),
           MATCH(BI$1, 'Eurostat EB products IEA'!$A$4:$BN$4, 0)
     )
     * $L39:$U39,
     0
  )
)</f>
        <v>0</v>
      </c>
      <c r="BJ39" s="57" cm="1">
        <f t="array" ref="BJ39">SUMPRODUCT(
  IF($B39:$K39&lt;&gt;"",
     INDEX('Eurostat EB products IEA'!$A$4:$BN$135,
           MATCH($B39:$K39, 'Eurostat EB products IEA'!$A$4:$A$135, 0),
           MATCH(BJ$1, 'Eurostat EB products IEA'!$A$4:$BN$4, 0)
     )
     * $L39:$U39,
     0
  )
)</f>
        <v>0</v>
      </c>
      <c r="BK39" s="57" cm="1">
        <f t="array" ref="BK39">SUMPRODUCT(
  IF($B39:$K39&lt;&gt;"",
     INDEX('Eurostat EB products IEA'!$A$4:$BN$135,
           MATCH($B39:$K39, 'Eurostat EB products IEA'!$A$4:$A$135, 0),
           MATCH(BK$1, 'Eurostat EB products IEA'!$A$4:$BN$4, 0)
     )
     * $L39:$U39,
     0
  )
)</f>
        <v>0</v>
      </c>
      <c r="BL39" s="57" cm="1">
        <f t="array" ref="BL39">SUMPRODUCT(
  IF($B39:$K39&lt;&gt;"",
     INDEX('Eurostat EB products IEA'!$A$4:$BN$135,
           MATCH($B39:$K39, 'Eurostat EB products IEA'!$A$4:$A$135, 0),
           MATCH(BL$1, 'Eurostat EB products IEA'!$A$4:$BN$4, 0)
     )
     * $L39:$U39,
     0
  )
)</f>
        <v>0</v>
      </c>
      <c r="BM39" s="57" cm="1">
        <f t="array" ref="BM39">SUMPRODUCT(
  IF($B39:$K39&lt;&gt;"",
     INDEX('Eurostat EB products IEA'!$A$4:$BN$135,
           MATCH($B39:$K39, 'Eurostat EB products IEA'!$A$4:$A$135, 0),
           MATCH(BM$1, 'Eurostat EB products IEA'!$A$4:$BN$4, 0)
     )
     * $L39:$U39,
     0
  )
)</f>
        <v>0</v>
      </c>
      <c r="BN39" s="57" cm="1">
        <f t="array" ref="BN39">SUMPRODUCT(
  IF($B39:$K39&lt;&gt;"",
     INDEX('Eurostat EB products IEA'!$A$4:$BN$135,
           MATCH($B39:$K39, 'Eurostat EB products IEA'!$A$4:$A$135, 0),
           MATCH(BN$1, 'Eurostat EB products IEA'!$A$4:$BN$4, 0)
     )
     * $L39:$U39,
     0
  )
)</f>
        <v>0</v>
      </c>
      <c r="BO39" s="57" cm="1">
        <f t="array" ref="BO39">SUMPRODUCT(
  IF($B39:$K39&lt;&gt;"",
     INDEX('Eurostat EB products IEA'!$A$4:$BN$135,
           MATCH($B39:$K39, 'Eurostat EB products IEA'!$A$4:$A$135, 0),
           MATCH(BO$1, 'Eurostat EB products IEA'!$A$4:$BN$4, 0)
     )
     * $L39:$U39,
     0
  )
)</f>
        <v>0</v>
      </c>
      <c r="BP39" s="57" cm="1">
        <f t="array" ref="BP39">SUMPRODUCT(
  IF($B39:$K39&lt;&gt;"",
     INDEX('Eurostat EB products IEA'!$A$4:$BN$135,
           MATCH($B39:$K39, 'Eurostat EB products IEA'!$A$4:$A$135, 0),
           MATCH(BP$1, 'Eurostat EB products IEA'!$A$4:$BN$4, 0)
     )
     * $L39:$U39,
     0
  )
)</f>
        <v>0</v>
      </c>
      <c r="BQ39" s="57" cm="1">
        <f t="array" ref="BQ39">SUMPRODUCT(
  IF($B39:$K39&lt;&gt;"",
     INDEX('Eurostat EB products IEA'!$A$4:$BN$135,
           MATCH($B39:$K39, 'Eurostat EB products IEA'!$A$4:$A$135, 0),
           MATCH(BQ$1, 'Eurostat EB products IEA'!$A$4:$BN$4, 0)
     )
     * $L39:$U39,
     0
  )
)</f>
        <v>0</v>
      </c>
      <c r="BR39" s="57" cm="1">
        <f t="array" ref="BR39">SUMPRODUCT(
  IF($B39:$K39&lt;&gt;"",
     INDEX('Eurostat EB products IEA'!$A$4:$BN$135,
           MATCH($B39:$K39, 'Eurostat EB products IEA'!$A$4:$A$135, 0),
           MATCH(BR$1, 'Eurostat EB products IEA'!$A$4:$BN$4, 0)
     )
     * $L39:$U39,
     0
  )
)</f>
        <v>0</v>
      </c>
      <c r="BS39" s="65">
        <v>0</v>
      </c>
      <c r="BT39" s="57" cm="1">
        <f t="array" ref="BT39">SUMPRODUCT(
  IF($B39:$K39&lt;&gt;"",
     INDEX('Eurostat EB products IEA'!$A$4:$BN$135,
           MATCH($B39:$K39, 'Eurostat EB products IEA'!$A$4:$A$135, 0),
           MATCH(BT$1, 'Eurostat EB products IEA'!$A$4:$BN$4, 0)
     )
     * $L39:$U39,
     0
  )
)</f>
        <v>0</v>
      </c>
      <c r="BU39" s="65">
        <v>0</v>
      </c>
      <c r="BV39" s="65">
        <v>0</v>
      </c>
      <c r="BW39" s="57" cm="1">
        <f t="array" ref="BW39">SUMPRODUCT(
  IF($B39:$K39&lt;&gt;"",
     INDEX('Eurostat EB products IEA'!$A$4:$BN$135,
           MATCH($B39:$K39, 'Eurostat EB products IEA'!$A$4:$A$135, 0),
           MATCH(BW$1, 'Eurostat EB products IEA'!$A$4:$BN$4, 0)
     )
     * $L39:$U39,
     0
  )
)</f>
        <v>0</v>
      </c>
      <c r="BX39" s="57" cm="1">
        <f t="array" ref="BX39">SUMPRODUCT(
  IF($B39:$K39&lt;&gt;"",
     INDEX('Eurostat EB products IEA'!$A$4:$BN$135,
           MATCH($B39:$K39, 'Eurostat EB products IEA'!$A$4:$A$135, 0),
           MATCH(BX$1, 'Eurostat EB products IEA'!$A$4:$BN$4, 0)
     )
     * $L39:$U39,
     0
  )
)</f>
        <v>0</v>
      </c>
      <c r="BY39" s="57" cm="1">
        <f t="array" ref="BY39">SUMPRODUCT(
  IF($B39:$K39&lt;&gt;"",
     INDEX('Eurostat EB products IEA'!$A$4:$BN$135,
           MATCH($B39:$K39, 'Eurostat EB products IEA'!$A$4:$A$135, 0),
           MATCH(BY$1, 'Eurostat EB products IEA'!$A$4:$BN$4, 0)
     )
     * $L39:$U39,
     0
  )
)</f>
        <v>0</v>
      </c>
      <c r="BZ39" s="57" cm="1">
        <f t="array" ref="BZ39">SUMPRODUCT(
  IF($B39:$K39&lt;&gt;"",
     INDEX('Eurostat EB products IEA'!$A$4:$BN$135,
           MATCH($B39:$K39, 'Eurostat EB products IEA'!$A$4:$A$135, 0),
           MATCH(BZ$1, 'Eurostat EB products IEA'!$A$4:$BN$4, 0)
     )
     * $L39:$U39,
     0
  )
)</f>
        <v>0</v>
      </c>
      <c r="CA39" s="57" cm="1">
        <f t="array" ref="CA39">SUMPRODUCT(
  IF($B39:$K39&lt;&gt;"",
     INDEX('Eurostat EB products IEA'!$A$4:$BN$135,
           MATCH($B39:$K39, 'Eurostat EB products IEA'!$A$4:$A$135, 0),
           MATCH(CA$1, 'Eurostat EB products IEA'!$A$4:$BN$4, 0)
     )
     * $L39:$U39,
     0
  )
)</f>
        <v>0</v>
      </c>
      <c r="CB39" s="57" cm="1">
        <f t="array" ref="CB39">SUMPRODUCT(
  IF($B39:$K39&lt;&gt;"",
     INDEX('Eurostat EB products IEA'!$A$4:$BN$135,
           MATCH($B39:$K39, 'Eurostat EB products IEA'!$A$4:$A$135, 0),
           MATCH(CB$1, 'Eurostat EB products IEA'!$A$4:$BN$4, 0)
     )
     * $L39:$U39,
     0
  )
)</f>
        <v>0</v>
      </c>
      <c r="CC39" s="57" cm="1">
        <f t="array" ref="CC39">SUMPRODUCT(
  IF($B39:$K39&lt;&gt;"",
     INDEX('Eurostat EB products IEA'!$A$4:$BN$135,
           MATCH($B39:$K39, 'Eurostat EB products IEA'!$A$4:$A$135, 0),
           MATCH(CC$1, 'Eurostat EB products IEA'!$A$4:$BN$4, 0)
     )
     * $L39:$U39,
     0
  )
)</f>
        <v>0</v>
      </c>
      <c r="CD39" s="65">
        <v>0</v>
      </c>
      <c r="CE39" s="57" cm="1">
        <f t="array" ref="CE39">SUMPRODUCT(
  IF($B39:$K39&lt;&gt;"",
     INDEX('Eurostat EB products IEA'!$A$4:$BN$135,
           MATCH($B39:$K39, 'Eurostat EB products IEA'!$A$4:$A$135, 0),
           MATCH(CE$1, 'Eurostat EB products IEA'!$A$4:$BN$4, 0)
     )
     * $L39:$U39,
     0
  )
)</f>
        <v>0</v>
      </c>
      <c r="CF39" s="57" cm="1">
        <f t="array" ref="CF39">SUMPRODUCT(
  IF($B39:$K39&lt;&gt;"",
     INDEX('Eurostat EB products IEA'!$A$4:$BN$135,
           MATCH($B39:$K39, 'Eurostat EB products IEA'!$A$4:$A$135, 0),
           MATCH(CF$1, 'Eurostat EB products IEA'!$A$4:$BN$4, 0)
     )
     * $L39:$U39,
     0
  )
)</f>
        <v>0</v>
      </c>
      <c r="CG39" s="57" cm="1">
        <f t="array" ref="CG39">SUMPRODUCT(
  IF($B39:$K39&lt;&gt;"",
     INDEX('Eurostat EB products IEA'!$A$4:$BN$135,
           MATCH($B39:$K39, 'Eurostat EB products IEA'!$A$4:$A$135, 0),
           MATCH(CG$1, 'Eurostat EB products IEA'!$A$4:$BN$4, 0)
     )
     * $L39:$U39,
     0
  )
)</f>
        <v>0</v>
      </c>
      <c r="CH39" s="57" cm="1">
        <f t="array" ref="CH39">SUMPRODUCT(
  IF($B39:$K39&lt;&gt;"",
     INDEX('Eurostat EB products IEA'!$A$4:$BN$135,
           MATCH($B39:$K39, 'Eurostat EB products IEA'!$A$4:$A$135, 0),
           MATCH(CH$1, 'Eurostat EB products IEA'!$A$4:$BN$4, 0)
     )
     * $L39:$U39,
     0
  )
)</f>
        <v>0</v>
      </c>
    </row>
    <row r="40" spans="1:86" x14ac:dyDescent="0.2">
      <c r="A40" t="s">
        <v>86</v>
      </c>
      <c r="B40" s="75"/>
      <c r="C40" s="77"/>
      <c r="D40" s="75"/>
      <c r="E40" s="77"/>
      <c r="F40" s="75"/>
      <c r="G40" s="77"/>
      <c r="H40" s="75"/>
      <c r="I40" s="77"/>
      <c r="J40" s="74"/>
      <c r="K40" s="78" t="s">
        <v>267</v>
      </c>
      <c r="L40" s="76"/>
      <c r="M40" s="79"/>
      <c r="N40" s="76"/>
      <c r="O40" s="79"/>
      <c r="P40" s="76"/>
      <c r="Q40" s="79"/>
      <c r="R40" s="76"/>
      <c r="S40" s="79"/>
      <c r="T40" s="76"/>
      <c r="U40" s="79">
        <v>-1</v>
      </c>
      <c r="V40" s="65" t="s">
        <v>323</v>
      </c>
      <c r="W40" s="65" t="s">
        <v>323</v>
      </c>
      <c r="X40" s="17" cm="1">
        <f t="array" ref="X40">SUMPRODUCT(
  IF($B40:$K40&lt;&gt;"",
     INDEX('Eurostat EB products IEA'!$A$4:$BN$135,
           MATCH($B40:$K40, 'Eurostat EB products IEA'!$A$4:$A$135, 0),
           MATCH(X$1, 'Eurostat EB products IEA'!$A$4:$BN$4, 0)
     )
     * $L40:$U40,
     0
  )
)</f>
        <v>0</v>
      </c>
      <c r="Y40" s="17" cm="1">
        <f t="array" ref="Y40">SUMPRODUCT(
  IF($B40:$K40&lt;&gt;"",
     INDEX('Eurostat EB products IEA'!$A$4:$BN$135,
           MATCH($B40:$K40, 'Eurostat EB products IEA'!$A$4:$A$135, 0),
           MATCH(Y$1, 'Eurostat EB products IEA'!$A$4:$BN$4, 0)
     )
     * $L40:$U40,
     0
  )
)</f>
        <v>0</v>
      </c>
      <c r="Z40" s="17" cm="1">
        <f t="array" ref="Z40">SUMPRODUCT(
  IF($B40:$K40&lt;&gt;"",
     INDEX('Eurostat EB products IEA'!$A$4:$BN$135,
           MATCH($B40:$K40, 'Eurostat EB products IEA'!$A$4:$A$135, 0),
           MATCH(Z$1, 'Eurostat EB products IEA'!$A$4:$BN$4, 0)
     )
     * $L40:$U40,
     0
  )
)</f>
        <v>0</v>
      </c>
      <c r="AA40" s="17" cm="1">
        <f t="array" ref="AA40">SUMPRODUCT(
  IF($B40:$K40&lt;&gt;"",
     INDEX('Eurostat EB products IEA'!$A$4:$BN$135,
           MATCH($B40:$K40, 'Eurostat EB products IEA'!$A$4:$A$135, 0),
           MATCH(AA$1, 'Eurostat EB products IEA'!$A$4:$BN$4, 0)
     )
     * $L40:$U40,
     0
  )
)</f>
        <v>0</v>
      </c>
      <c r="AB40" s="17" cm="1">
        <f t="array" ref="AB40">SUMPRODUCT(
  IF($B40:$K40&lt;&gt;"",
     INDEX('Eurostat EB products IEA'!$A$4:$BN$135,
           MATCH($B40:$K40, 'Eurostat EB products IEA'!$A$4:$A$135, 0),
           MATCH(AB$1, 'Eurostat EB products IEA'!$A$4:$BN$4, 0)
     )
     * $L40:$U40,
     0
  )
)</f>
        <v>0</v>
      </c>
      <c r="AC40" s="17" cm="1">
        <f t="array" ref="AC40">SUMPRODUCT(
  IF($B40:$K40&lt;&gt;"",
     INDEX('Eurostat EB products IEA'!$A$4:$BN$135,
           MATCH($B40:$K40, 'Eurostat EB products IEA'!$A$4:$A$135, 0),
           MATCH(AC$1, 'Eurostat EB products IEA'!$A$4:$BN$4, 0)
     )
     * $L40:$U40,
     0
  )
)</f>
        <v>0</v>
      </c>
      <c r="AD40" s="17" cm="1">
        <f t="array" ref="AD40">SUMPRODUCT(
  IF($B40:$K40&lt;&gt;"",
     INDEX('Eurostat EB products IEA'!$A$4:$BN$135,
           MATCH($B40:$K40, 'Eurostat EB products IEA'!$A$4:$A$135, 0),
           MATCH(AD$1, 'Eurostat EB products IEA'!$A$4:$BN$4, 0)
     )
     * $L40:$U40,
     0
  )
)</f>
        <v>0</v>
      </c>
      <c r="AE40" s="17" cm="1">
        <f t="array" ref="AE40">SUMPRODUCT(
  IF($B40:$K40&lt;&gt;"",
     INDEX('Eurostat EB products IEA'!$A$4:$BN$135,
           MATCH($B40:$K40, 'Eurostat EB products IEA'!$A$4:$A$135, 0),
           MATCH(AE$1, 'Eurostat EB products IEA'!$A$4:$BN$4, 0)
     )
     * $L40:$U40,
     0
  )
)</f>
        <v>0</v>
      </c>
      <c r="AF40" s="17" cm="1">
        <f t="array" ref="AF40">SUMPRODUCT(
  IF($B40:$K40&lt;&gt;"",
     INDEX('Eurostat EB products IEA'!$A$4:$BN$135,
           MATCH($B40:$K40, 'Eurostat EB products IEA'!$A$4:$A$135, 0),
           MATCH(AF$1, 'Eurostat EB products IEA'!$A$4:$BN$4, 0)
     )
     * $L40:$U40,
     0
  )
)</f>
        <v>0</v>
      </c>
      <c r="AG40" s="17" cm="1">
        <f t="array" ref="AG40">SUMPRODUCT(
  IF($B40:$K40&lt;&gt;"",
     INDEX('Eurostat EB products IEA'!$A$4:$BN$135,
           MATCH($B40:$K40, 'Eurostat EB products IEA'!$A$4:$A$135, 0),
           MATCH(AG$1, 'Eurostat EB products IEA'!$A$4:$BN$4, 0)
     )
     * $L40:$U40,
     0
  )
)</f>
        <v>0</v>
      </c>
      <c r="AH40" s="17" cm="1">
        <f t="array" ref="AH40">SUMPRODUCT(
  IF($B40:$K40&lt;&gt;"",
     INDEX('Eurostat EB products IEA'!$A$4:$BN$135,
           MATCH($B40:$K40, 'Eurostat EB products IEA'!$A$4:$A$135, 0),
           MATCH(AH$1, 'Eurostat EB products IEA'!$A$4:$BN$4, 0)
     )
     * $L40:$U40,
     0
  )
)</f>
        <v>0</v>
      </c>
      <c r="AI40" s="17" cm="1">
        <f t="array" ref="AI40">SUMPRODUCT(
  IF($B40:$K40&lt;&gt;"",
     INDEX('Eurostat EB products IEA'!$A$4:$BN$135,
           MATCH($B40:$K40, 'Eurostat EB products IEA'!$A$4:$A$135, 0),
           MATCH(AI$1, 'Eurostat EB products IEA'!$A$4:$BN$4, 0)
     )
     * $L40:$U40,
     0
  )
)</f>
        <v>-6767.5630000000001</v>
      </c>
      <c r="AJ40" s="17" cm="1">
        <f t="array" ref="AJ40">SUMPRODUCT(
  IF($B40:$K40&lt;&gt;"",
     INDEX('Eurostat EB products IEA'!$A$4:$BN$135,
           MATCH($B40:$K40, 'Eurostat EB products IEA'!$A$4:$A$135, 0),
           MATCH(AJ$1, 'Eurostat EB products IEA'!$A$4:$BN$4, 0)
     )
     * $L40:$U40,
     0
  )
)</f>
        <v>-159.76900000000001</v>
      </c>
      <c r="AK40" s="17" cm="1">
        <f t="array" ref="AK40">SUMPRODUCT(
  IF($B40:$K40&lt;&gt;"",
     INDEX('Eurostat EB products IEA'!$A$4:$BN$135,
           MATCH($B40:$K40, 'Eurostat EB products IEA'!$A$4:$A$135, 0),
           MATCH(AK$1, 'Eurostat EB products IEA'!$A$4:$BN$4, 0)
     )
     * $L40:$U40,
     0
  )
)</f>
        <v>0</v>
      </c>
      <c r="AL40" s="17" cm="1">
        <f t="array" ref="AL40">SUMPRODUCT(
  IF($B40:$K40&lt;&gt;"",
     INDEX('Eurostat EB products IEA'!$A$4:$BN$135,
           MATCH($B40:$K40, 'Eurostat EB products IEA'!$A$4:$A$135, 0),
           MATCH(AL$1, 'Eurostat EB products IEA'!$A$4:$BN$4, 0)
     )
     * $L40:$U40,
     0
  )
)</f>
        <v>0</v>
      </c>
      <c r="AM40" s="17" cm="1">
        <f t="array" ref="AM40">SUMPRODUCT(
  IF($B40:$K40&lt;&gt;"",
     INDEX('Eurostat EB products IEA'!$A$4:$BN$135,
           MATCH($B40:$K40, 'Eurostat EB products IEA'!$A$4:$A$135, 0),
           MATCH(AM$1, 'Eurostat EB products IEA'!$A$4:$BN$4, 0)
     )
     * $L40:$U40,
     0
  )
)</f>
        <v>0</v>
      </c>
      <c r="AN40" s="65" t="s">
        <v>323</v>
      </c>
      <c r="AO40" s="17" cm="1">
        <f t="array" ref="AO40">SUMPRODUCT(
  IF($B40:$K40&lt;&gt;"",
     INDEX('Eurostat EB products IEA'!$A$4:$BN$135,
           MATCH($B40:$K40, 'Eurostat EB products IEA'!$A$4:$A$135, 0),
           MATCH(AO$1, 'Eurostat EB products IEA'!$A$4:$BN$4, 0)
     )
     * $L40:$U40,
     0
  )
)</f>
        <v>0</v>
      </c>
      <c r="AP40" s="17" cm="1">
        <f t="array" ref="AP40">SUMPRODUCT(
  IF($B40:$K40&lt;&gt;"",
     INDEX('Eurostat EB products IEA'!$A$4:$BN$135,
           MATCH($B40:$K40, 'Eurostat EB products IEA'!$A$4:$A$135, 0),
           MATCH(AP$1, 'Eurostat EB products IEA'!$A$4:$BN$4, 0)
     )
     * $L40:$U40,
     0
  )
)</f>
        <v>0</v>
      </c>
      <c r="AQ40" s="17" cm="1">
        <f t="array" ref="AQ40">SUMPRODUCT(
  IF($B40:$K40&lt;&gt;"",
     INDEX('Eurostat EB products IEA'!$A$4:$BN$135,
           MATCH($B40:$K40, 'Eurostat EB products IEA'!$A$4:$A$135, 0),
           MATCH(AQ$1, 'Eurostat EB products IEA'!$A$4:$BN$4, 0)
     )
     * $L40:$U40,
     0
  )
)</f>
        <v>0</v>
      </c>
      <c r="AR40" s="17" cm="1">
        <f t="array" ref="AR40">SUMPRODUCT(
  IF($B40:$K40&lt;&gt;"",
     INDEX('Eurostat EB products IEA'!$A$4:$BN$135,
           MATCH($B40:$K40, 'Eurostat EB products IEA'!$A$4:$A$135, 0),
           MATCH(AR$1, 'Eurostat EB products IEA'!$A$4:$BN$4, 0)
     )
     * $L40:$U40,
     0
  )
)</f>
        <v>0</v>
      </c>
      <c r="AS40" s="17" cm="1">
        <f t="array" ref="AS40">SUMPRODUCT(
  IF($B40:$K40&lt;&gt;"",
     INDEX('Eurostat EB products IEA'!$A$4:$BN$135,
           MATCH($B40:$K40, 'Eurostat EB products IEA'!$A$4:$A$135, 0),
           MATCH(AS$1, 'Eurostat EB products IEA'!$A$4:$BN$4, 0)
     )
     * $L40:$U40,
     0
  )
)</f>
        <v>0</v>
      </c>
      <c r="AT40" s="17" cm="1">
        <f t="array" ref="AT40">SUMPRODUCT(
  IF($B40:$K40&lt;&gt;"",
     INDEX('Eurostat EB products IEA'!$A$4:$BN$135,
           MATCH($B40:$K40, 'Eurostat EB products IEA'!$A$4:$A$135, 0),
           MATCH(AT$1, 'Eurostat EB products IEA'!$A$4:$BN$4, 0)
     )
     * $L40:$U40,
     0
  )
)</f>
        <v>0</v>
      </c>
      <c r="AU40" s="17" cm="1">
        <f t="array" ref="AU40">SUMPRODUCT(
  IF($B40:$K40&lt;&gt;"",
     INDEX('Eurostat EB products IEA'!$A$4:$BN$135,
           MATCH($B40:$K40, 'Eurostat EB products IEA'!$A$4:$A$135, 0),
           MATCH(AU$1, 'Eurostat EB products IEA'!$A$4:$BN$4, 0)
     )
     * $L40:$U40,
     0
  )
)</f>
        <v>0</v>
      </c>
      <c r="AV40" s="17" cm="1">
        <f t="array" ref="AV40">SUMPRODUCT(
  IF($B40:$K40&lt;&gt;"",
     INDEX('Eurostat EB products IEA'!$A$4:$BN$135,
           MATCH($B40:$K40, 'Eurostat EB products IEA'!$A$4:$A$135, 0),
           MATCH(AV$1, 'Eurostat EB products IEA'!$A$4:$BN$4, 0)
     )
     * $L40:$U40,
     0
  )
)</f>
        <v>0</v>
      </c>
      <c r="AW40" s="17" cm="1">
        <f t="array" ref="AW40">SUMPRODUCT(
  IF($B40:$K40&lt;&gt;"",
     INDEX('Eurostat EB products IEA'!$A$4:$BN$135,
           MATCH($B40:$K40, 'Eurostat EB products IEA'!$A$4:$A$135, 0),
           MATCH(AW$1, 'Eurostat EB products IEA'!$A$4:$BN$4, 0)
     )
     * $L40:$U40,
     0
  )
)</f>
        <v>0</v>
      </c>
      <c r="AX40" s="17" cm="1">
        <f t="array" ref="AX40">SUMPRODUCT(
  IF($B40:$K40&lt;&gt;"",
     INDEX('Eurostat EB products IEA'!$A$4:$BN$135,
           MATCH($B40:$K40, 'Eurostat EB products IEA'!$A$4:$A$135, 0),
           MATCH(AX$1, 'Eurostat EB products IEA'!$A$4:$BN$4, 0)
     )
     * $L40:$U40,
     0
  )
)</f>
        <v>0</v>
      </c>
      <c r="AY40" s="17" cm="1">
        <f t="array" ref="AY40">SUMPRODUCT(
  IF($B40:$K40&lt;&gt;"",
     INDEX('Eurostat EB products IEA'!$A$4:$BN$135,
           MATCH($B40:$K40, 'Eurostat EB products IEA'!$A$4:$A$135, 0),
           MATCH(AY$1, 'Eurostat EB products IEA'!$A$4:$BN$4, 0)
     )
     * $L40:$U40,
     0
  )
)</f>
        <v>0</v>
      </c>
      <c r="AZ40" s="17" cm="1">
        <f t="array" ref="AZ40">SUMPRODUCT(
  IF($B40:$K40&lt;&gt;"",
     INDEX('Eurostat EB products IEA'!$A$4:$BN$135,
           MATCH($B40:$K40, 'Eurostat EB products IEA'!$A$4:$A$135, 0),
           MATCH(AZ$1, 'Eurostat EB products IEA'!$A$4:$BN$4, 0)
     )
     * $L40:$U40,
     0
  )
)</f>
        <v>0</v>
      </c>
      <c r="BA40" s="17" cm="1">
        <f t="array" ref="BA40">SUMPRODUCT(
  IF($B40:$K40&lt;&gt;"",
     INDEX('Eurostat EB products IEA'!$A$4:$BN$135,
           MATCH($B40:$K40, 'Eurostat EB products IEA'!$A$4:$A$135, 0),
           MATCH(BA$1, 'Eurostat EB products IEA'!$A$4:$BN$4, 0)
     )
     * $L40:$U40,
     0
  )
)</f>
        <v>0</v>
      </c>
      <c r="BB40" s="17" cm="1">
        <f t="array" ref="BB40">SUMPRODUCT(
  IF($B40:$K40&lt;&gt;"",
     INDEX('Eurostat EB products IEA'!$A$4:$BN$135,
           MATCH($B40:$K40, 'Eurostat EB products IEA'!$A$4:$A$135, 0),
           MATCH(BB$1, 'Eurostat EB products IEA'!$A$4:$BN$4, 0)
     )
     * $L40:$U40,
     0
  )
)</f>
        <v>0</v>
      </c>
      <c r="BC40" s="17" cm="1">
        <f t="array" ref="BC40">SUMPRODUCT(
  IF($B40:$K40&lt;&gt;"",
     INDEX('Eurostat EB products IEA'!$A$4:$BN$135,
           MATCH($B40:$K40, 'Eurostat EB products IEA'!$A$4:$A$135, 0),
           MATCH(BC$1, 'Eurostat EB products IEA'!$A$4:$BN$4, 0)
     )
     * $L40:$U40,
     0
  )
)</f>
        <v>0</v>
      </c>
      <c r="BD40" s="17" cm="1">
        <f t="array" ref="BD40">SUMPRODUCT(
  IF($B40:$K40&lt;&gt;"",
     INDEX('Eurostat EB products IEA'!$A$4:$BN$135,
           MATCH($B40:$K40, 'Eurostat EB products IEA'!$A$4:$A$135, 0),
           MATCH(BD$1, 'Eurostat EB products IEA'!$A$4:$BN$4, 0)
     )
     * $L40:$U40,
     0
  )
)</f>
        <v>0</v>
      </c>
      <c r="BE40" s="17" cm="1">
        <f t="array" ref="BE40">SUMPRODUCT(
  IF($B40:$K40&lt;&gt;"",
     INDEX('Eurostat EB products IEA'!$A$4:$BN$135,
           MATCH($B40:$K40, 'Eurostat EB products IEA'!$A$4:$A$135, 0),
           MATCH(BE$1, 'Eurostat EB products IEA'!$A$4:$BN$4, 0)
     )
     * $L40:$U40,
     0
  )
)</f>
        <v>0</v>
      </c>
      <c r="BF40" s="17" cm="1">
        <f t="array" ref="BF40">SUMPRODUCT(
  IF($B40:$K40&lt;&gt;"",
     INDEX('Eurostat EB products IEA'!$A$4:$BN$135,
           MATCH($B40:$K40, 'Eurostat EB products IEA'!$A$4:$A$135, 0),
           MATCH(BF$1, 'Eurostat EB products IEA'!$A$4:$BN$4, 0)
     )
     * $L40:$U40,
     0
  )
)</f>
        <v>0</v>
      </c>
      <c r="BG40" s="17" cm="1">
        <f t="array" ref="BG40">SUMPRODUCT(
  IF($B40:$K40&lt;&gt;"",
     INDEX('Eurostat EB products IEA'!$A$4:$BN$135,
           MATCH($B40:$K40, 'Eurostat EB products IEA'!$A$4:$A$135, 0),
           MATCH(BG$1, 'Eurostat EB products IEA'!$A$4:$BN$4, 0)
     )
     * $L40:$U40,
     0
  )
)</f>
        <v>0</v>
      </c>
      <c r="BH40" s="17" cm="1">
        <f t="array" ref="BH40">SUMPRODUCT(
  IF($B40:$K40&lt;&gt;"",
     INDEX('Eurostat EB products IEA'!$A$4:$BN$135,
           MATCH($B40:$K40, 'Eurostat EB products IEA'!$A$4:$A$135, 0),
           MATCH(BH$1, 'Eurostat EB products IEA'!$A$4:$BN$4, 0)
     )
     * $L40:$U40,
     0
  )
)</f>
        <v>0</v>
      </c>
      <c r="BI40" s="17" cm="1">
        <f t="array" ref="BI40">SUMPRODUCT(
  IF($B40:$K40&lt;&gt;"",
     INDEX('Eurostat EB products IEA'!$A$4:$BN$135,
           MATCH($B40:$K40, 'Eurostat EB products IEA'!$A$4:$A$135, 0),
           MATCH(BI$1, 'Eurostat EB products IEA'!$A$4:$BN$4, 0)
     )
     * $L40:$U40,
     0
  )
)</f>
        <v>0</v>
      </c>
      <c r="BJ40" s="17" cm="1">
        <f t="array" ref="BJ40">SUMPRODUCT(
  IF($B40:$K40&lt;&gt;"",
     INDEX('Eurostat EB products IEA'!$A$4:$BN$135,
           MATCH($B40:$K40, 'Eurostat EB products IEA'!$A$4:$A$135, 0),
           MATCH(BJ$1, 'Eurostat EB products IEA'!$A$4:$BN$4, 0)
     )
     * $L40:$U40,
     0
  )
)</f>
        <v>0</v>
      </c>
      <c r="BK40" s="17" cm="1">
        <f t="array" ref="BK40">SUMPRODUCT(
  IF($B40:$K40&lt;&gt;"",
     INDEX('Eurostat EB products IEA'!$A$4:$BN$135,
           MATCH($B40:$K40, 'Eurostat EB products IEA'!$A$4:$A$135, 0),
           MATCH(BK$1, 'Eurostat EB products IEA'!$A$4:$BN$4, 0)
     )
     * $L40:$U40,
     0
  )
)</f>
        <v>0</v>
      </c>
      <c r="BL40" s="17" cm="1">
        <f t="array" ref="BL40">SUMPRODUCT(
  IF($B40:$K40&lt;&gt;"",
     INDEX('Eurostat EB products IEA'!$A$4:$BN$135,
           MATCH($B40:$K40, 'Eurostat EB products IEA'!$A$4:$A$135, 0),
           MATCH(BL$1, 'Eurostat EB products IEA'!$A$4:$BN$4, 0)
     )
     * $L40:$U40,
     0
  )
)</f>
        <v>0</v>
      </c>
      <c r="BM40" s="17" cm="1">
        <f t="array" ref="BM40">SUMPRODUCT(
  IF($B40:$K40&lt;&gt;"",
     INDEX('Eurostat EB products IEA'!$A$4:$BN$135,
           MATCH($B40:$K40, 'Eurostat EB products IEA'!$A$4:$A$135, 0),
           MATCH(BM$1, 'Eurostat EB products IEA'!$A$4:$BN$4, 0)
     )
     * $L40:$U40,
     0
  )
)</f>
        <v>0</v>
      </c>
      <c r="BN40" s="17" cm="1">
        <f t="array" ref="BN40">SUMPRODUCT(
  IF($B40:$K40&lt;&gt;"",
     INDEX('Eurostat EB products IEA'!$A$4:$BN$135,
           MATCH($B40:$K40, 'Eurostat EB products IEA'!$A$4:$A$135, 0),
           MATCH(BN$1, 'Eurostat EB products IEA'!$A$4:$BN$4, 0)
     )
     * $L40:$U40,
     0
  )
)</f>
        <v>0</v>
      </c>
      <c r="BO40" s="17" cm="1">
        <f t="array" ref="BO40">SUMPRODUCT(
  IF($B40:$K40&lt;&gt;"",
     INDEX('Eurostat EB products IEA'!$A$4:$BN$135,
           MATCH($B40:$K40, 'Eurostat EB products IEA'!$A$4:$A$135, 0),
           MATCH(BO$1, 'Eurostat EB products IEA'!$A$4:$BN$4, 0)
     )
     * $L40:$U40,
     0
  )
)</f>
        <v>0</v>
      </c>
      <c r="BP40" s="17" cm="1">
        <f t="array" ref="BP40">SUMPRODUCT(
  IF($B40:$K40&lt;&gt;"",
     INDEX('Eurostat EB products IEA'!$A$4:$BN$135,
           MATCH($B40:$K40, 'Eurostat EB products IEA'!$A$4:$A$135, 0),
           MATCH(BP$1, 'Eurostat EB products IEA'!$A$4:$BN$4, 0)
     )
     * $L40:$U40,
     0
  )
)</f>
        <v>0</v>
      </c>
      <c r="BQ40" s="17" cm="1">
        <f t="array" ref="BQ40">SUMPRODUCT(
  IF($B40:$K40&lt;&gt;"",
     INDEX('Eurostat EB products IEA'!$A$4:$BN$135,
           MATCH($B40:$K40, 'Eurostat EB products IEA'!$A$4:$A$135, 0),
           MATCH(BQ$1, 'Eurostat EB products IEA'!$A$4:$BN$4, 0)
     )
     * $L40:$U40,
     0
  )
)</f>
        <v>0</v>
      </c>
      <c r="BR40" s="17" cm="1">
        <f t="array" ref="BR40">SUMPRODUCT(
  IF($B40:$K40&lt;&gt;"",
     INDEX('Eurostat EB products IEA'!$A$4:$BN$135,
           MATCH($B40:$K40, 'Eurostat EB products IEA'!$A$4:$A$135, 0),
           MATCH(BR$1, 'Eurostat EB products IEA'!$A$4:$BN$4, 0)
     )
     * $L40:$U40,
     0
  )
)</f>
        <v>0</v>
      </c>
      <c r="BS40" s="65">
        <v>0</v>
      </c>
      <c r="BT40" s="17" cm="1">
        <f t="array" ref="BT40">SUMPRODUCT(
  IF($B40:$K40&lt;&gt;"",
     INDEX('Eurostat EB products IEA'!$A$4:$BN$135,
           MATCH($B40:$K40, 'Eurostat EB products IEA'!$A$4:$A$135, 0),
           MATCH(BT$1, 'Eurostat EB products IEA'!$A$4:$BN$4, 0)
     )
     * $L40:$U40,
     0
  )
)</f>
        <v>0</v>
      </c>
      <c r="BU40" s="65">
        <v>0</v>
      </c>
      <c r="BV40" s="65">
        <v>0</v>
      </c>
      <c r="BW40" s="17" cm="1">
        <f t="array" ref="BW40">SUMPRODUCT(
  IF($B40:$K40&lt;&gt;"",
     INDEX('Eurostat EB products IEA'!$A$4:$BN$135,
           MATCH($B40:$K40, 'Eurostat EB products IEA'!$A$4:$A$135, 0),
           MATCH(BW$1, 'Eurostat EB products IEA'!$A$4:$BN$4, 0)
     )
     * $L40:$U40,
     0
  )
)</f>
        <v>0</v>
      </c>
      <c r="BX40" s="17" cm="1">
        <f t="array" ref="BX40">SUMPRODUCT(
  IF($B40:$K40&lt;&gt;"",
     INDEX('Eurostat EB products IEA'!$A$4:$BN$135,
           MATCH($B40:$K40, 'Eurostat EB products IEA'!$A$4:$A$135, 0),
           MATCH(BX$1, 'Eurostat EB products IEA'!$A$4:$BN$4, 0)
     )
     * $L40:$U40,
     0
  )
)</f>
        <v>0</v>
      </c>
      <c r="BY40" s="17" cm="1">
        <f t="array" ref="BY40">SUMPRODUCT(
  IF($B40:$K40&lt;&gt;"",
     INDEX('Eurostat EB products IEA'!$A$4:$BN$135,
           MATCH($B40:$K40, 'Eurostat EB products IEA'!$A$4:$A$135, 0),
           MATCH(BY$1, 'Eurostat EB products IEA'!$A$4:$BN$4, 0)
     )
     * $L40:$U40,
     0
  )
)</f>
        <v>0</v>
      </c>
      <c r="BZ40" s="17" cm="1">
        <f t="array" ref="BZ40">SUMPRODUCT(
  IF($B40:$K40&lt;&gt;"",
     INDEX('Eurostat EB products IEA'!$A$4:$BN$135,
           MATCH($B40:$K40, 'Eurostat EB products IEA'!$A$4:$A$135, 0),
           MATCH(BZ$1, 'Eurostat EB products IEA'!$A$4:$BN$4, 0)
     )
     * $L40:$U40,
     0
  )
)</f>
        <v>0</v>
      </c>
      <c r="CA40" s="17" cm="1">
        <f t="array" ref="CA40">SUMPRODUCT(
  IF($B40:$K40&lt;&gt;"",
     INDEX('Eurostat EB products IEA'!$A$4:$BN$135,
           MATCH($B40:$K40, 'Eurostat EB products IEA'!$A$4:$A$135, 0),
           MATCH(CA$1, 'Eurostat EB products IEA'!$A$4:$BN$4, 0)
     )
     * $L40:$U40,
     0
  )
)</f>
        <v>0</v>
      </c>
      <c r="CB40" s="17" cm="1">
        <f t="array" ref="CB40">SUMPRODUCT(
  IF($B40:$K40&lt;&gt;"",
     INDEX('Eurostat EB products IEA'!$A$4:$BN$135,
           MATCH($B40:$K40, 'Eurostat EB products IEA'!$A$4:$A$135, 0),
           MATCH(CB$1, 'Eurostat EB products IEA'!$A$4:$BN$4, 0)
     )
     * $L40:$U40,
     0
  )
)</f>
        <v>0</v>
      </c>
      <c r="CC40" s="17" cm="1">
        <f t="array" ref="CC40">SUMPRODUCT(
  IF($B40:$K40&lt;&gt;"",
     INDEX('Eurostat EB products IEA'!$A$4:$BN$135,
           MATCH($B40:$K40, 'Eurostat EB products IEA'!$A$4:$A$135, 0),
           MATCH(CC$1, 'Eurostat EB products IEA'!$A$4:$BN$4, 0)
     )
     * $L40:$U40,
     0
  )
)</f>
        <v>0</v>
      </c>
      <c r="CD40" s="65">
        <v>0</v>
      </c>
      <c r="CE40" s="17" cm="1">
        <f t="array" ref="CE40">SUMPRODUCT(
  IF($B40:$K40&lt;&gt;"",
     INDEX('Eurostat EB products IEA'!$A$4:$BN$135,
           MATCH($B40:$K40, 'Eurostat EB products IEA'!$A$4:$A$135, 0),
           MATCH(CE$1, 'Eurostat EB products IEA'!$A$4:$BN$4, 0)
     )
     * $L40:$U40,
     0
  )
)</f>
        <v>-317.60300000000001</v>
      </c>
      <c r="CF40" s="17" cm="1">
        <f t="array" ref="CF40">SUMPRODUCT(
  IF($B40:$K40&lt;&gt;"",
     INDEX('Eurostat EB products IEA'!$A$4:$BN$135,
           MATCH($B40:$K40, 'Eurostat EB products IEA'!$A$4:$A$135, 0),
           MATCH(CF$1, 'Eurostat EB products IEA'!$A$4:$BN$4, 0)
     )
     * $L40:$U40,
     0
  )
)</f>
        <v>-948.78499999999997</v>
      </c>
      <c r="CG40" s="17" cm="1">
        <f t="array" ref="CG40">SUMPRODUCT(
  IF($B40:$K40&lt;&gt;"",
     INDEX('Eurostat EB products IEA'!$A$4:$BN$135,
           MATCH($B40:$K40, 'Eurostat EB products IEA'!$A$4:$A$135, 0),
           MATCH(CG$1, 'Eurostat EB products IEA'!$A$4:$BN$4, 0)
     )
     * $L40:$U40,
     0
  )
)</f>
        <v>-8193.7189999999991</v>
      </c>
      <c r="CH40" s="17" cm="1">
        <f t="array" ref="CH40">SUMPRODUCT(
  IF($B40:$K40&lt;&gt;"",
     INDEX('Eurostat EB products IEA'!$A$4:$BN$135,
           MATCH($B40:$K40, 'Eurostat EB products IEA'!$A$4:$A$135, 0),
           MATCH(CH$1, 'Eurostat EB products IEA'!$A$4:$BN$4, 0)
     )
     * $L40:$U40,
     0
  )
)</f>
        <v>-229.42099999999999</v>
      </c>
    </row>
    <row r="41" spans="1:86" x14ac:dyDescent="0.2">
      <c r="A41" t="s">
        <v>89</v>
      </c>
      <c r="B41" s="75"/>
      <c r="C41" s="77"/>
      <c r="D41" s="75"/>
      <c r="E41" s="77"/>
      <c r="F41" s="75"/>
      <c r="G41" s="77"/>
      <c r="H41" s="75"/>
      <c r="I41" s="77"/>
      <c r="J41" s="74"/>
      <c r="K41" s="78" t="s">
        <v>266</v>
      </c>
      <c r="L41" s="76"/>
      <c r="M41" s="79"/>
      <c r="N41" s="76"/>
      <c r="O41" s="79"/>
      <c r="P41" s="76"/>
      <c r="Q41" s="79"/>
      <c r="R41" s="76"/>
      <c r="S41" s="79"/>
      <c r="T41" s="76"/>
      <c r="U41" s="79">
        <v>-1</v>
      </c>
      <c r="V41" s="65" t="s">
        <v>323</v>
      </c>
      <c r="W41" s="65" t="s">
        <v>323</v>
      </c>
      <c r="X41" s="57" cm="1">
        <f t="array" ref="X41">SUMPRODUCT(
  IF($B41:$K41&lt;&gt;"",
     INDEX('Eurostat EB products IEA'!$A$4:$BN$135,
           MATCH($B41:$K41, 'Eurostat EB products IEA'!$A$4:$A$135, 0),
           MATCH(X$1, 'Eurostat EB products IEA'!$A$4:$BN$4, 0)
     )
     * $L41:$U41,
     0
  )
)</f>
        <v>0</v>
      </c>
      <c r="Y41" s="57" cm="1">
        <f t="array" ref="Y41">SUMPRODUCT(
  IF($B41:$K41&lt;&gt;"",
     INDEX('Eurostat EB products IEA'!$A$4:$BN$135,
           MATCH($B41:$K41, 'Eurostat EB products IEA'!$A$4:$A$135, 0),
           MATCH(Y$1, 'Eurostat EB products IEA'!$A$4:$BN$4, 0)
     )
     * $L41:$U41,
     0
  )
)</f>
        <v>0</v>
      </c>
      <c r="Z41" s="57" cm="1">
        <f t="array" ref="Z41">SUMPRODUCT(
  IF($B41:$K41&lt;&gt;"",
     INDEX('Eurostat EB products IEA'!$A$4:$BN$135,
           MATCH($B41:$K41, 'Eurostat EB products IEA'!$A$4:$A$135, 0),
           MATCH(Z$1, 'Eurostat EB products IEA'!$A$4:$BN$4, 0)
     )
     * $L41:$U41,
     0
  )
)</f>
        <v>0</v>
      </c>
      <c r="AA41" s="57" cm="1">
        <f t="array" ref="AA41">SUMPRODUCT(
  IF($B41:$K41&lt;&gt;"",
     INDEX('Eurostat EB products IEA'!$A$4:$BN$135,
           MATCH($B41:$K41, 'Eurostat EB products IEA'!$A$4:$A$135, 0),
           MATCH(AA$1, 'Eurostat EB products IEA'!$A$4:$BN$4, 0)
     )
     * $L41:$U41,
     0
  )
)</f>
        <v>0</v>
      </c>
      <c r="AB41" s="57" cm="1">
        <f t="array" ref="AB41">SUMPRODUCT(
  IF($B41:$K41&lt;&gt;"",
     INDEX('Eurostat EB products IEA'!$A$4:$BN$135,
           MATCH($B41:$K41, 'Eurostat EB products IEA'!$A$4:$A$135, 0),
           MATCH(AB$1, 'Eurostat EB products IEA'!$A$4:$BN$4, 0)
     )
     * $L41:$U41,
     0
  )
)</f>
        <v>0</v>
      </c>
      <c r="AC41" s="57" cm="1">
        <f t="array" ref="AC41">SUMPRODUCT(
  IF($B41:$K41&lt;&gt;"",
     INDEX('Eurostat EB products IEA'!$A$4:$BN$135,
           MATCH($B41:$K41, 'Eurostat EB products IEA'!$A$4:$A$135, 0),
           MATCH(AC$1, 'Eurostat EB products IEA'!$A$4:$BN$4, 0)
     )
     * $L41:$U41,
     0
  )
)</f>
        <v>0</v>
      </c>
      <c r="AD41" s="57" cm="1">
        <f t="array" ref="AD41">SUMPRODUCT(
  IF($B41:$K41&lt;&gt;"",
     INDEX('Eurostat EB products IEA'!$A$4:$BN$135,
           MATCH($B41:$K41, 'Eurostat EB products IEA'!$A$4:$A$135, 0),
           MATCH(AD$1, 'Eurostat EB products IEA'!$A$4:$BN$4, 0)
     )
     * $L41:$U41,
     0
  )
)</f>
        <v>0</v>
      </c>
      <c r="AE41" s="57" cm="1">
        <f t="array" ref="AE41">SUMPRODUCT(
  IF($B41:$K41&lt;&gt;"",
     INDEX('Eurostat EB products IEA'!$A$4:$BN$135,
           MATCH($B41:$K41, 'Eurostat EB products IEA'!$A$4:$A$135, 0),
           MATCH(AE$1, 'Eurostat EB products IEA'!$A$4:$BN$4, 0)
     )
     * $L41:$U41,
     0
  )
)</f>
        <v>0</v>
      </c>
      <c r="AF41" s="57" cm="1">
        <f t="array" ref="AF41">SUMPRODUCT(
  IF($B41:$K41&lt;&gt;"",
     INDEX('Eurostat EB products IEA'!$A$4:$BN$135,
           MATCH($B41:$K41, 'Eurostat EB products IEA'!$A$4:$A$135, 0),
           MATCH(AF$1, 'Eurostat EB products IEA'!$A$4:$BN$4, 0)
     )
     * $L41:$U41,
     0
  )
)</f>
        <v>0</v>
      </c>
      <c r="AG41" s="57" cm="1">
        <f t="array" ref="AG41">SUMPRODUCT(
  IF($B41:$K41&lt;&gt;"",
     INDEX('Eurostat EB products IEA'!$A$4:$BN$135,
           MATCH($B41:$K41, 'Eurostat EB products IEA'!$A$4:$A$135, 0),
           MATCH(AG$1, 'Eurostat EB products IEA'!$A$4:$BN$4, 0)
     )
     * $L41:$U41,
     0
  )
)</f>
        <v>0</v>
      </c>
      <c r="AH41" s="57" cm="1">
        <f t="array" ref="AH41">SUMPRODUCT(
  IF($B41:$K41&lt;&gt;"",
     INDEX('Eurostat EB products IEA'!$A$4:$BN$135,
           MATCH($B41:$K41, 'Eurostat EB products IEA'!$A$4:$A$135, 0),
           MATCH(AH$1, 'Eurostat EB products IEA'!$A$4:$BN$4, 0)
     )
     * $L41:$U41,
     0
  )
)</f>
        <v>0</v>
      </c>
      <c r="AI41" s="57" cm="1">
        <f t="array" ref="AI41">SUMPRODUCT(
  IF($B41:$K41&lt;&gt;"",
     INDEX('Eurostat EB products IEA'!$A$4:$BN$135,
           MATCH($B41:$K41, 'Eurostat EB products IEA'!$A$4:$A$135, 0),
           MATCH(AI$1, 'Eurostat EB products IEA'!$A$4:$BN$4, 0)
     )
     * $L41:$U41,
     0
  )
)</f>
        <v>0</v>
      </c>
      <c r="AJ41" s="57" cm="1">
        <f t="array" ref="AJ41">SUMPRODUCT(
  IF($B41:$K41&lt;&gt;"",
     INDEX('Eurostat EB products IEA'!$A$4:$BN$135,
           MATCH($B41:$K41, 'Eurostat EB products IEA'!$A$4:$A$135, 0),
           MATCH(AJ$1, 'Eurostat EB products IEA'!$A$4:$BN$4, 0)
     )
     * $L41:$U41,
     0
  )
)</f>
        <v>0</v>
      </c>
      <c r="AK41" s="57" cm="1">
        <f t="array" ref="AK41">SUMPRODUCT(
  IF($B41:$K41&lt;&gt;"",
     INDEX('Eurostat EB products IEA'!$A$4:$BN$135,
           MATCH($B41:$K41, 'Eurostat EB products IEA'!$A$4:$A$135, 0),
           MATCH(AK$1, 'Eurostat EB products IEA'!$A$4:$BN$4, 0)
     )
     * $L41:$U41,
     0
  )
)</f>
        <v>0</v>
      </c>
      <c r="AL41" s="57" cm="1">
        <f t="array" ref="AL41">SUMPRODUCT(
  IF($B41:$K41&lt;&gt;"",
     INDEX('Eurostat EB products IEA'!$A$4:$BN$135,
           MATCH($B41:$K41, 'Eurostat EB products IEA'!$A$4:$A$135, 0),
           MATCH(AL$1, 'Eurostat EB products IEA'!$A$4:$BN$4, 0)
     )
     * $L41:$U41,
     0
  )
)</f>
        <v>0</v>
      </c>
      <c r="AM41" s="57" cm="1">
        <f t="array" ref="AM41">SUMPRODUCT(
  IF($B41:$K41&lt;&gt;"",
     INDEX('Eurostat EB products IEA'!$A$4:$BN$135,
           MATCH($B41:$K41, 'Eurostat EB products IEA'!$A$4:$A$135, 0),
           MATCH(AM$1, 'Eurostat EB products IEA'!$A$4:$BN$4, 0)
     )
     * $L41:$U41,
     0
  )
)</f>
        <v>0</v>
      </c>
      <c r="AN41" s="65" t="s">
        <v>323</v>
      </c>
      <c r="AO41" s="57" cm="1">
        <f t="array" ref="AO41">SUMPRODUCT(
  IF($B41:$K41&lt;&gt;"",
     INDEX('Eurostat EB products IEA'!$A$4:$BN$135,
           MATCH($B41:$K41, 'Eurostat EB products IEA'!$A$4:$A$135, 0),
           MATCH(AO$1, 'Eurostat EB products IEA'!$A$4:$BN$4, 0)
     )
     * $L41:$U41,
     0
  )
)</f>
        <v>0</v>
      </c>
      <c r="AP41" s="57" cm="1">
        <f t="array" ref="AP41">SUMPRODUCT(
  IF($B41:$K41&lt;&gt;"",
     INDEX('Eurostat EB products IEA'!$A$4:$BN$135,
           MATCH($B41:$K41, 'Eurostat EB products IEA'!$A$4:$A$135, 0),
           MATCH(AP$1, 'Eurostat EB products IEA'!$A$4:$BN$4, 0)
     )
     * $L41:$U41,
     0
  )
)</f>
        <v>0</v>
      </c>
      <c r="AQ41" s="57" cm="1">
        <f t="array" ref="AQ41">SUMPRODUCT(
  IF($B41:$K41&lt;&gt;"",
     INDEX('Eurostat EB products IEA'!$A$4:$BN$135,
           MATCH($B41:$K41, 'Eurostat EB products IEA'!$A$4:$A$135, 0),
           MATCH(AQ$1, 'Eurostat EB products IEA'!$A$4:$BN$4, 0)
     )
     * $L41:$U41,
     0
  )
)</f>
        <v>0</v>
      </c>
      <c r="AR41" s="57" cm="1">
        <f t="array" ref="AR41">SUMPRODUCT(
  IF($B41:$K41&lt;&gt;"",
     INDEX('Eurostat EB products IEA'!$A$4:$BN$135,
           MATCH($B41:$K41, 'Eurostat EB products IEA'!$A$4:$A$135, 0),
           MATCH(AR$1, 'Eurostat EB products IEA'!$A$4:$BN$4, 0)
     )
     * $L41:$U41,
     0
  )
)</f>
        <v>0</v>
      </c>
      <c r="AS41" s="57" cm="1">
        <f t="array" ref="AS41">SUMPRODUCT(
  IF($B41:$K41&lt;&gt;"",
     INDEX('Eurostat EB products IEA'!$A$4:$BN$135,
           MATCH($B41:$K41, 'Eurostat EB products IEA'!$A$4:$A$135, 0),
           MATCH(AS$1, 'Eurostat EB products IEA'!$A$4:$BN$4, 0)
     )
     * $L41:$U41,
     0
  )
)</f>
        <v>0</v>
      </c>
      <c r="AT41" s="57" cm="1">
        <f t="array" ref="AT41">SUMPRODUCT(
  IF($B41:$K41&lt;&gt;"",
     INDEX('Eurostat EB products IEA'!$A$4:$BN$135,
           MATCH($B41:$K41, 'Eurostat EB products IEA'!$A$4:$A$135, 0),
           MATCH(AT$1, 'Eurostat EB products IEA'!$A$4:$BN$4, 0)
     )
     * $L41:$U41,
     0
  )
)</f>
        <v>0</v>
      </c>
      <c r="AU41" s="57" cm="1">
        <f t="array" ref="AU41">SUMPRODUCT(
  IF($B41:$K41&lt;&gt;"",
     INDEX('Eurostat EB products IEA'!$A$4:$BN$135,
           MATCH($B41:$K41, 'Eurostat EB products IEA'!$A$4:$A$135, 0),
           MATCH(AU$1, 'Eurostat EB products IEA'!$A$4:$BN$4, 0)
     )
     * $L41:$U41,
     0
  )
)</f>
        <v>0</v>
      </c>
      <c r="AV41" s="57" cm="1">
        <f t="array" ref="AV41">SUMPRODUCT(
  IF($B41:$K41&lt;&gt;"",
     INDEX('Eurostat EB products IEA'!$A$4:$BN$135,
           MATCH($B41:$K41, 'Eurostat EB products IEA'!$A$4:$A$135, 0),
           MATCH(AV$1, 'Eurostat EB products IEA'!$A$4:$BN$4, 0)
     )
     * $L41:$U41,
     0
  )
)</f>
        <v>0</v>
      </c>
      <c r="AW41" s="57" cm="1">
        <f t="array" ref="AW41">SUMPRODUCT(
  IF($B41:$K41&lt;&gt;"",
     INDEX('Eurostat EB products IEA'!$A$4:$BN$135,
           MATCH($B41:$K41, 'Eurostat EB products IEA'!$A$4:$A$135, 0),
           MATCH(AW$1, 'Eurostat EB products IEA'!$A$4:$BN$4, 0)
     )
     * $L41:$U41,
     0
  )
)</f>
        <v>0</v>
      </c>
      <c r="AX41" s="57" cm="1">
        <f t="array" ref="AX41">SUMPRODUCT(
  IF($B41:$K41&lt;&gt;"",
     INDEX('Eurostat EB products IEA'!$A$4:$BN$135,
           MATCH($B41:$K41, 'Eurostat EB products IEA'!$A$4:$A$135, 0),
           MATCH(AX$1, 'Eurostat EB products IEA'!$A$4:$BN$4, 0)
     )
     * $L41:$U41,
     0
  )
)</f>
        <v>0</v>
      </c>
      <c r="AY41" s="57" cm="1">
        <f t="array" ref="AY41">SUMPRODUCT(
  IF($B41:$K41&lt;&gt;"",
     INDEX('Eurostat EB products IEA'!$A$4:$BN$135,
           MATCH($B41:$K41, 'Eurostat EB products IEA'!$A$4:$A$135, 0),
           MATCH(AY$1, 'Eurostat EB products IEA'!$A$4:$BN$4, 0)
     )
     * $L41:$U41,
     0
  )
)</f>
        <v>0</v>
      </c>
      <c r="AZ41" s="57" cm="1">
        <f t="array" ref="AZ41">SUMPRODUCT(
  IF($B41:$K41&lt;&gt;"",
     INDEX('Eurostat EB products IEA'!$A$4:$BN$135,
           MATCH($B41:$K41, 'Eurostat EB products IEA'!$A$4:$A$135, 0),
           MATCH(AZ$1, 'Eurostat EB products IEA'!$A$4:$BN$4, 0)
     )
     * $L41:$U41,
     0
  )
)</f>
        <v>0</v>
      </c>
      <c r="BA41" s="57" cm="1">
        <f t="array" ref="BA41">SUMPRODUCT(
  IF($B41:$K41&lt;&gt;"",
     INDEX('Eurostat EB products IEA'!$A$4:$BN$135,
           MATCH($B41:$K41, 'Eurostat EB products IEA'!$A$4:$A$135, 0),
           MATCH(BA$1, 'Eurostat EB products IEA'!$A$4:$BN$4, 0)
     )
     * $L41:$U41,
     0
  )
)</f>
        <v>0</v>
      </c>
      <c r="BB41" s="57" cm="1">
        <f t="array" ref="BB41">SUMPRODUCT(
  IF($B41:$K41&lt;&gt;"",
     INDEX('Eurostat EB products IEA'!$A$4:$BN$135,
           MATCH($B41:$K41, 'Eurostat EB products IEA'!$A$4:$A$135, 0),
           MATCH(BB$1, 'Eurostat EB products IEA'!$A$4:$BN$4, 0)
     )
     * $L41:$U41,
     0
  )
)</f>
        <v>0</v>
      </c>
      <c r="BC41" s="57" cm="1">
        <f t="array" ref="BC41">SUMPRODUCT(
  IF($B41:$K41&lt;&gt;"",
     INDEX('Eurostat EB products IEA'!$A$4:$BN$135,
           MATCH($B41:$K41, 'Eurostat EB products IEA'!$A$4:$A$135, 0),
           MATCH(BC$1, 'Eurostat EB products IEA'!$A$4:$BN$4, 0)
     )
     * $L41:$U41,
     0
  )
)</f>
        <v>0</v>
      </c>
      <c r="BD41" s="57" cm="1">
        <f t="array" ref="BD41">SUMPRODUCT(
  IF($B41:$K41&lt;&gt;"",
     INDEX('Eurostat EB products IEA'!$A$4:$BN$135,
           MATCH($B41:$K41, 'Eurostat EB products IEA'!$A$4:$A$135, 0),
           MATCH(BD$1, 'Eurostat EB products IEA'!$A$4:$BN$4, 0)
     )
     * $L41:$U41,
     0
  )
)</f>
        <v>0</v>
      </c>
      <c r="BE41" s="57" cm="1">
        <f t="array" ref="BE41">SUMPRODUCT(
  IF($B41:$K41&lt;&gt;"",
     INDEX('Eurostat EB products IEA'!$A$4:$BN$135,
           MATCH($B41:$K41, 'Eurostat EB products IEA'!$A$4:$A$135, 0),
           MATCH(BE$1, 'Eurostat EB products IEA'!$A$4:$BN$4, 0)
     )
     * $L41:$U41,
     0
  )
)</f>
        <v>0</v>
      </c>
      <c r="BF41" s="57" cm="1">
        <f t="array" ref="BF41">SUMPRODUCT(
  IF($B41:$K41&lt;&gt;"",
     INDEX('Eurostat EB products IEA'!$A$4:$BN$135,
           MATCH($B41:$K41, 'Eurostat EB products IEA'!$A$4:$A$135, 0),
           MATCH(BF$1, 'Eurostat EB products IEA'!$A$4:$BN$4, 0)
     )
     * $L41:$U41,
     0
  )
)</f>
        <v>0</v>
      </c>
      <c r="BG41" s="57" cm="1">
        <f t="array" ref="BG41">SUMPRODUCT(
  IF($B41:$K41&lt;&gt;"",
     INDEX('Eurostat EB products IEA'!$A$4:$BN$135,
           MATCH($B41:$K41, 'Eurostat EB products IEA'!$A$4:$A$135, 0),
           MATCH(BG$1, 'Eurostat EB products IEA'!$A$4:$BN$4, 0)
     )
     * $L41:$U41,
     0
  )
)</f>
        <v>0</v>
      </c>
      <c r="BH41" s="57" cm="1">
        <f t="array" ref="BH41">SUMPRODUCT(
  IF($B41:$K41&lt;&gt;"",
     INDEX('Eurostat EB products IEA'!$A$4:$BN$135,
           MATCH($B41:$K41, 'Eurostat EB products IEA'!$A$4:$A$135, 0),
           MATCH(BH$1, 'Eurostat EB products IEA'!$A$4:$BN$4, 0)
     )
     * $L41:$U41,
     0
  )
)</f>
        <v>0</v>
      </c>
      <c r="BI41" s="57" cm="1">
        <f t="array" ref="BI41">SUMPRODUCT(
  IF($B41:$K41&lt;&gt;"",
     INDEX('Eurostat EB products IEA'!$A$4:$BN$135,
           MATCH($B41:$K41, 'Eurostat EB products IEA'!$A$4:$A$135, 0),
           MATCH(BI$1, 'Eurostat EB products IEA'!$A$4:$BN$4, 0)
     )
     * $L41:$U41,
     0
  )
)</f>
        <v>0</v>
      </c>
      <c r="BJ41" s="57" cm="1">
        <f t="array" ref="BJ41">SUMPRODUCT(
  IF($B41:$K41&lt;&gt;"",
     INDEX('Eurostat EB products IEA'!$A$4:$BN$135,
           MATCH($B41:$K41, 'Eurostat EB products IEA'!$A$4:$A$135, 0),
           MATCH(BJ$1, 'Eurostat EB products IEA'!$A$4:$BN$4, 0)
     )
     * $L41:$U41,
     0
  )
)</f>
        <v>0</v>
      </c>
      <c r="BK41" s="57" cm="1">
        <f t="array" ref="BK41">SUMPRODUCT(
  IF($B41:$K41&lt;&gt;"",
     INDEX('Eurostat EB products IEA'!$A$4:$BN$135,
           MATCH($B41:$K41, 'Eurostat EB products IEA'!$A$4:$A$135, 0),
           MATCH(BK$1, 'Eurostat EB products IEA'!$A$4:$BN$4, 0)
     )
     * $L41:$U41,
     0
  )
)</f>
        <v>0</v>
      </c>
      <c r="BL41" s="57" cm="1">
        <f t="array" ref="BL41">SUMPRODUCT(
  IF($B41:$K41&lt;&gt;"",
     INDEX('Eurostat EB products IEA'!$A$4:$BN$135,
           MATCH($B41:$K41, 'Eurostat EB products IEA'!$A$4:$A$135, 0),
           MATCH(BL$1, 'Eurostat EB products IEA'!$A$4:$BN$4, 0)
     )
     * $L41:$U41,
     0
  )
)</f>
        <v>0</v>
      </c>
      <c r="BM41" s="57" cm="1">
        <f t="array" ref="BM41">SUMPRODUCT(
  IF($B41:$K41&lt;&gt;"",
     INDEX('Eurostat EB products IEA'!$A$4:$BN$135,
           MATCH($B41:$K41, 'Eurostat EB products IEA'!$A$4:$A$135, 0),
           MATCH(BM$1, 'Eurostat EB products IEA'!$A$4:$BN$4, 0)
     )
     * $L41:$U41,
     0
  )
)</f>
        <v>0</v>
      </c>
      <c r="BN41" s="57" cm="1">
        <f t="array" ref="BN41">SUMPRODUCT(
  IF($B41:$K41&lt;&gt;"",
     INDEX('Eurostat EB products IEA'!$A$4:$BN$135,
           MATCH($B41:$K41, 'Eurostat EB products IEA'!$A$4:$A$135, 0),
           MATCH(BN$1, 'Eurostat EB products IEA'!$A$4:$BN$4, 0)
     )
     * $L41:$U41,
     0
  )
)</f>
        <v>0</v>
      </c>
      <c r="BO41" s="57" cm="1">
        <f t="array" ref="BO41">SUMPRODUCT(
  IF($B41:$K41&lt;&gt;"",
     INDEX('Eurostat EB products IEA'!$A$4:$BN$135,
           MATCH($B41:$K41, 'Eurostat EB products IEA'!$A$4:$A$135, 0),
           MATCH(BO$1, 'Eurostat EB products IEA'!$A$4:$BN$4, 0)
     )
     * $L41:$U41,
     0
  )
)</f>
        <v>0</v>
      </c>
      <c r="BP41" s="57" cm="1">
        <f t="array" ref="BP41">SUMPRODUCT(
  IF($B41:$K41&lt;&gt;"",
     INDEX('Eurostat EB products IEA'!$A$4:$BN$135,
           MATCH($B41:$K41, 'Eurostat EB products IEA'!$A$4:$A$135, 0),
           MATCH(BP$1, 'Eurostat EB products IEA'!$A$4:$BN$4, 0)
     )
     * $L41:$U41,
     0
  )
)</f>
        <v>0</v>
      </c>
      <c r="BQ41" s="57" cm="1">
        <f t="array" ref="BQ41">SUMPRODUCT(
  IF($B41:$K41&lt;&gt;"",
     INDEX('Eurostat EB products IEA'!$A$4:$BN$135,
           MATCH($B41:$K41, 'Eurostat EB products IEA'!$A$4:$A$135, 0),
           MATCH(BQ$1, 'Eurostat EB products IEA'!$A$4:$BN$4, 0)
     )
     * $L41:$U41,
     0
  )
)</f>
        <v>0</v>
      </c>
      <c r="BR41" s="57" cm="1">
        <f t="array" ref="BR41">SUMPRODUCT(
  IF($B41:$K41&lt;&gt;"",
     INDEX('Eurostat EB products IEA'!$A$4:$BN$135,
           MATCH($B41:$K41, 'Eurostat EB products IEA'!$A$4:$A$135, 0),
           MATCH(BR$1, 'Eurostat EB products IEA'!$A$4:$BN$4, 0)
     )
     * $L41:$U41,
     0
  )
)</f>
        <v>0</v>
      </c>
      <c r="BS41" s="65">
        <v>0</v>
      </c>
      <c r="BT41" s="57" cm="1">
        <f t="array" ref="BT41">SUMPRODUCT(
  IF($B41:$K41&lt;&gt;"",
     INDEX('Eurostat EB products IEA'!$A$4:$BN$135,
           MATCH($B41:$K41, 'Eurostat EB products IEA'!$A$4:$A$135, 0),
           MATCH(BT$1, 'Eurostat EB products IEA'!$A$4:$BN$4, 0)
     )
     * $L41:$U41,
     0
  )
)</f>
        <v>0</v>
      </c>
      <c r="BU41" s="65">
        <v>0</v>
      </c>
      <c r="BV41" s="65">
        <v>0</v>
      </c>
      <c r="BW41" s="57" cm="1">
        <f t="array" ref="BW41">SUMPRODUCT(
  IF($B41:$K41&lt;&gt;"",
     INDEX('Eurostat EB products IEA'!$A$4:$BN$135,
           MATCH($B41:$K41, 'Eurostat EB products IEA'!$A$4:$A$135, 0),
           MATCH(BW$1, 'Eurostat EB products IEA'!$A$4:$BN$4, 0)
     )
     * $L41:$U41,
     0
  )
)</f>
        <v>0</v>
      </c>
      <c r="BX41" s="57" cm="1">
        <f t="array" ref="BX41">SUMPRODUCT(
  IF($B41:$K41&lt;&gt;"",
     INDEX('Eurostat EB products IEA'!$A$4:$BN$135,
           MATCH($B41:$K41, 'Eurostat EB products IEA'!$A$4:$A$135, 0),
           MATCH(BX$1, 'Eurostat EB products IEA'!$A$4:$BN$4, 0)
     )
     * $L41:$U41,
     0
  )
)</f>
        <v>0</v>
      </c>
      <c r="BY41" s="57" cm="1">
        <f t="array" ref="BY41">SUMPRODUCT(
  IF($B41:$K41&lt;&gt;"",
     INDEX('Eurostat EB products IEA'!$A$4:$BN$135,
           MATCH($B41:$K41, 'Eurostat EB products IEA'!$A$4:$A$135, 0),
           MATCH(BY$1, 'Eurostat EB products IEA'!$A$4:$BN$4, 0)
     )
     * $L41:$U41,
     0
  )
)</f>
        <v>0</v>
      </c>
      <c r="BZ41" s="57" cm="1">
        <f t="array" ref="BZ41">SUMPRODUCT(
  IF($B41:$K41&lt;&gt;"",
     INDEX('Eurostat EB products IEA'!$A$4:$BN$135,
           MATCH($B41:$K41, 'Eurostat EB products IEA'!$A$4:$A$135, 0),
           MATCH(BZ$1, 'Eurostat EB products IEA'!$A$4:$BN$4, 0)
     )
     * $L41:$U41,
     0
  )
)</f>
        <v>0</v>
      </c>
      <c r="CA41" s="57" cm="1">
        <f t="array" ref="CA41">SUMPRODUCT(
  IF($B41:$K41&lt;&gt;"",
     INDEX('Eurostat EB products IEA'!$A$4:$BN$135,
           MATCH($B41:$K41, 'Eurostat EB products IEA'!$A$4:$A$135, 0),
           MATCH(CA$1, 'Eurostat EB products IEA'!$A$4:$BN$4, 0)
     )
     * $L41:$U41,
     0
  )
)</f>
        <v>0</v>
      </c>
      <c r="CB41" s="57" cm="1">
        <f t="array" ref="CB41">SUMPRODUCT(
  IF($B41:$K41&lt;&gt;"",
     INDEX('Eurostat EB products IEA'!$A$4:$BN$135,
           MATCH($B41:$K41, 'Eurostat EB products IEA'!$A$4:$A$135, 0),
           MATCH(CB$1, 'Eurostat EB products IEA'!$A$4:$BN$4, 0)
     )
     * $L41:$U41,
     0
  )
)</f>
        <v>0</v>
      </c>
      <c r="CC41" s="57" cm="1">
        <f t="array" ref="CC41">SUMPRODUCT(
  IF($B41:$K41&lt;&gt;"",
     INDEX('Eurostat EB products IEA'!$A$4:$BN$135,
           MATCH($B41:$K41, 'Eurostat EB products IEA'!$A$4:$A$135, 0),
           MATCH(CC$1, 'Eurostat EB products IEA'!$A$4:$BN$4, 0)
     )
     * $L41:$U41,
     0
  )
)</f>
        <v>0</v>
      </c>
      <c r="CD41" s="65">
        <v>0</v>
      </c>
      <c r="CE41" s="57" cm="1">
        <f t="array" ref="CE41">SUMPRODUCT(
  IF($B41:$K41&lt;&gt;"",
     INDEX('Eurostat EB products IEA'!$A$4:$BN$135,
           MATCH($B41:$K41, 'Eurostat EB products IEA'!$A$4:$A$135, 0),
           MATCH(CE$1, 'Eurostat EB products IEA'!$A$4:$BN$4, 0)
     )
     * $L41:$U41,
     0
  )
)</f>
        <v>0</v>
      </c>
      <c r="CF41" s="57" cm="1">
        <f t="array" ref="CF41">SUMPRODUCT(
  IF($B41:$K41&lt;&gt;"",
     INDEX('Eurostat EB products IEA'!$A$4:$BN$135,
           MATCH($B41:$K41, 'Eurostat EB products IEA'!$A$4:$A$135, 0),
           MATCH(CF$1, 'Eurostat EB products IEA'!$A$4:$BN$4, 0)
     )
     * $L41:$U41,
     0
  )
)</f>
        <v>0</v>
      </c>
      <c r="CG41" s="57" cm="1">
        <f t="array" ref="CG41">SUMPRODUCT(
  IF($B41:$K41&lt;&gt;"",
     INDEX('Eurostat EB products IEA'!$A$4:$BN$135,
           MATCH($B41:$K41, 'Eurostat EB products IEA'!$A$4:$A$135, 0),
           MATCH(CG$1, 'Eurostat EB products IEA'!$A$4:$BN$4, 0)
     )
     * $L41:$U41,
     0
  )
)</f>
        <v>0</v>
      </c>
      <c r="CH41" s="57" cm="1">
        <f t="array" ref="CH41">SUMPRODUCT(
  IF($B41:$K41&lt;&gt;"",
     INDEX('Eurostat EB products IEA'!$A$4:$BN$135,
           MATCH($B41:$K41, 'Eurostat EB products IEA'!$A$4:$A$135, 0),
           MATCH(CH$1, 'Eurostat EB products IEA'!$A$4:$BN$4, 0)
     )
     * $L41:$U41,
     0
  )
)</f>
        <v>0</v>
      </c>
    </row>
    <row r="42" spans="1:86" x14ac:dyDescent="0.2">
      <c r="A42" t="s">
        <v>158</v>
      </c>
      <c r="B42" s="75"/>
      <c r="C42" s="77"/>
      <c r="D42" s="75"/>
      <c r="E42" s="77"/>
      <c r="F42" s="75"/>
      <c r="G42" s="77"/>
      <c r="H42" s="75"/>
      <c r="I42" s="77"/>
      <c r="J42" s="74"/>
      <c r="K42" s="78" t="s">
        <v>268</v>
      </c>
      <c r="L42" s="76"/>
      <c r="M42" s="79"/>
      <c r="N42" s="76"/>
      <c r="O42" s="79"/>
      <c r="P42" s="76"/>
      <c r="Q42" s="79"/>
      <c r="R42" s="76"/>
      <c r="S42" s="79"/>
      <c r="T42" s="76"/>
      <c r="U42" s="79">
        <v>-1</v>
      </c>
      <c r="V42" s="65" t="s">
        <v>323</v>
      </c>
      <c r="W42" s="65" t="s">
        <v>323</v>
      </c>
      <c r="X42" s="17" cm="1">
        <f t="array" ref="X42">SUMPRODUCT(
  IF($B42:$K42&lt;&gt;"",
     INDEX('Eurostat EB products IEA'!$A$4:$BN$135,
           MATCH($B42:$K42, 'Eurostat EB products IEA'!$A$4:$A$135, 0),
           MATCH(X$1, 'Eurostat EB products IEA'!$A$4:$BN$4, 0)
     )
     * $L42:$U42,
     0
  )
)</f>
        <v>0</v>
      </c>
      <c r="Y42" s="17" cm="1">
        <f t="array" ref="Y42">SUMPRODUCT(
  IF($B42:$K42&lt;&gt;"",
     INDEX('Eurostat EB products IEA'!$A$4:$BN$135,
           MATCH($B42:$K42, 'Eurostat EB products IEA'!$A$4:$A$135, 0),
           MATCH(Y$1, 'Eurostat EB products IEA'!$A$4:$BN$4, 0)
     )
     * $L42:$U42,
     0
  )
)</f>
        <v>0</v>
      </c>
      <c r="Z42" s="17" cm="1">
        <f t="array" ref="Z42">SUMPRODUCT(
  IF($B42:$K42&lt;&gt;"",
     INDEX('Eurostat EB products IEA'!$A$4:$BN$135,
           MATCH($B42:$K42, 'Eurostat EB products IEA'!$A$4:$A$135, 0),
           MATCH(Z$1, 'Eurostat EB products IEA'!$A$4:$BN$4, 0)
     )
     * $L42:$U42,
     0
  )
)</f>
        <v>0</v>
      </c>
      <c r="AA42" s="17" cm="1">
        <f t="array" ref="AA42">SUMPRODUCT(
  IF($B42:$K42&lt;&gt;"",
     INDEX('Eurostat EB products IEA'!$A$4:$BN$135,
           MATCH($B42:$K42, 'Eurostat EB products IEA'!$A$4:$A$135, 0),
           MATCH(AA$1, 'Eurostat EB products IEA'!$A$4:$BN$4, 0)
     )
     * $L42:$U42,
     0
  )
)</f>
        <v>0</v>
      </c>
      <c r="AB42" s="17" cm="1">
        <f t="array" ref="AB42">SUMPRODUCT(
  IF($B42:$K42&lt;&gt;"",
     INDEX('Eurostat EB products IEA'!$A$4:$BN$135,
           MATCH($B42:$K42, 'Eurostat EB products IEA'!$A$4:$A$135, 0),
           MATCH(AB$1, 'Eurostat EB products IEA'!$A$4:$BN$4, 0)
     )
     * $L42:$U42,
     0
  )
)</f>
        <v>0</v>
      </c>
      <c r="AC42" s="17" cm="1">
        <f t="array" ref="AC42">SUMPRODUCT(
  IF($B42:$K42&lt;&gt;"",
     INDEX('Eurostat EB products IEA'!$A$4:$BN$135,
           MATCH($B42:$K42, 'Eurostat EB products IEA'!$A$4:$A$135, 0),
           MATCH(AC$1, 'Eurostat EB products IEA'!$A$4:$BN$4, 0)
     )
     * $L42:$U42,
     0
  )
)</f>
        <v>0</v>
      </c>
      <c r="AD42" s="17" cm="1">
        <f t="array" ref="AD42">SUMPRODUCT(
  IF($B42:$K42&lt;&gt;"",
     INDEX('Eurostat EB products IEA'!$A$4:$BN$135,
           MATCH($B42:$K42, 'Eurostat EB products IEA'!$A$4:$A$135, 0),
           MATCH(AD$1, 'Eurostat EB products IEA'!$A$4:$BN$4, 0)
     )
     * $L42:$U42,
     0
  )
)</f>
        <v>0</v>
      </c>
      <c r="AE42" s="17" cm="1">
        <f t="array" ref="AE42">SUMPRODUCT(
  IF($B42:$K42&lt;&gt;"",
     INDEX('Eurostat EB products IEA'!$A$4:$BN$135,
           MATCH($B42:$K42, 'Eurostat EB products IEA'!$A$4:$A$135, 0),
           MATCH(AE$1, 'Eurostat EB products IEA'!$A$4:$BN$4, 0)
     )
     * $L42:$U42,
     0
  )
)</f>
        <v>0</v>
      </c>
      <c r="AF42" s="17" cm="1">
        <f t="array" ref="AF42">SUMPRODUCT(
  IF($B42:$K42&lt;&gt;"",
     INDEX('Eurostat EB products IEA'!$A$4:$BN$135,
           MATCH($B42:$K42, 'Eurostat EB products IEA'!$A$4:$A$135, 0),
           MATCH(AF$1, 'Eurostat EB products IEA'!$A$4:$BN$4, 0)
     )
     * $L42:$U42,
     0
  )
)</f>
        <v>0</v>
      </c>
      <c r="AG42" s="17" cm="1">
        <f t="array" ref="AG42">SUMPRODUCT(
  IF($B42:$K42&lt;&gt;"",
     INDEX('Eurostat EB products IEA'!$A$4:$BN$135,
           MATCH($B42:$K42, 'Eurostat EB products IEA'!$A$4:$A$135, 0),
           MATCH(AG$1, 'Eurostat EB products IEA'!$A$4:$BN$4, 0)
     )
     * $L42:$U42,
     0
  )
)</f>
        <v>0</v>
      </c>
      <c r="AH42" s="17" cm="1">
        <f t="array" ref="AH42">SUMPRODUCT(
  IF($B42:$K42&lt;&gt;"",
     INDEX('Eurostat EB products IEA'!$A$4:$BN$135,
           MATCH($B42:$K42, 'Eurostat EB products IEA'!$A$4:$A$135, 0),
           MATCH(AH$1, 'Eurostat EB products IEA'!$A$4:$BN$4, 0)
     )
     * $L42:$U42,
     0
  )
)</f>
        <v>0</v>
      </c>
      <c r="AI42" s="17" cm="1">
        <f t="array" ref="AI42">SUMPRODUCT(
  IF($B42:$K42&lt;&gt;"",
     INDEX('Eurostat EB products IEA'!$A$4:$BN$135,
           MATCH($B42:$K42, 'Eurostat EB products IEA'!$A$4:$A$135, 0),
           MATCH(AI$1, 'Eurostat EB products IEA'!$A$4:$BN$4, 0)
     )
     * $L42:$U42,
     0
  )
)</f>
        <v>0</v>
      </c>
      <c r="AJ42" s="17" cm="1">
        <f t="array" ref="AJ42">SUMPRODUCT(
  IF($B42:$K42&lt;&gt;"",
     INDEX('Eurostat EB products IEA'!$A$4:$BN$135,
           MATCH($B42:$K42, 'Eurostat EB products IEA'!$A$4:$A$135, 0),
           MATCH(AJ$1, 'Eurostat EB products IEA'!$A$4:$BN$4, 0)
     )
     * $L42:$U42,
     0
  )
)</f>
        <v>0</v>
      </c>
      <c r="AK42" s="17" cm="1">
        <f t="array" ref="AK42">SUMPRODUCT(
  IF($B42:$K42&lt;&gt;"",
     INDEX('Eurostat EB products IEA'!$A$4:$BN$135,
           MATCH($B42:$K42, 'Eurostat EB products IEA'!$A$4:$A$135, 0),
           MATCH(AK$1, 'Eurostat EB products IEA'!$A$4:$BN$4, 0)
     )
     * $L42:$U42,
     0
  )
)</f>
        <v>0</v>
      </c>
      <c r="AL42" s="17" cm="1">
        <f t="array" ref="AL42">SUMPRODUCT(
  IF($B42:$K42&lt;&gt;"",
     INDEX('Eurostat EB products IEA'!$A$4:$BN$135,
           MATCH($B42:$K42, 'Eurostat EB products IEA'!$A$4:$A$135, 0),
           MATCH(AL$1, 'Eurostat EB products IEA'!$A$4:$BN$4, 0)
     )
     * $L42:$U42,
     0
  )
)</f>
        <v>0</v>
      </c>
      <c r="AM42" s="17" cm="1">
        <f t="array" ref="AM42">SUMPRODUCT(
  IF($B42:$K42&lt;&gt;"",
     INDEX('Eurostat EB products IEA'!$A$4:$BN$135,
           MATCH($B42:$K42, 'Eurostat EB products IEA'!$A$4:$A$135, 0),
           MATCH(AM$1, 'Eurostat EB products IEA'!$A$4:$BN$4, 0)
     )
     * $L42:$U42,
     0
  )
)</f>
        <v>0</v>
      </c>
      <c r="AN42" s="65" t="s">
        <v>323</v>
      </c>
      <c r="AO42" s="17" cm="1">
        <f t="array" ref="AO42">SUMPRODUCT(
  IF($B42:$K42&lt;&gt;"",
     INDEX('Eurostat EB products IEA'!$A$4:$BN$135,
           MATCH($B42:$K42, 'Eurostat EB products IEA'!$A$4:$A$135, 0),
           MATCH(AO$1, 'Eurostat EB products IEA'!$A$4:$BN$4, 0)
     )
     * $L42:$U42,
     0
  )
)</f>
        <v>0</v>
      </c>
      <c r="AP42" s="17" cm="1">
        <f t="array" ref="AP42">SUMPRODUCT(
  IF($B42:$K42&lt;&gt;"",
     INDEX('Eurostat EB products IEA'!$A$4:$BN$135,
           MATCH($B42:$K42, 'Eurostat EB products IEA'!$A$4:$A$135, 0),
           MATCH(AP$1, 'Eurostat EB products IEA'!$A$4:$BN$4, 0)
     )
     * $L42:$U42,
     0
  )
)</f>
        <v>0</v>
      </c>
      <c r="AQ42" s="17" cm="1">
        <f t="array" ref="AQ42">SUMPRODUCT(
  IF($B42:$K42&lt;&gt;"",
     INDEX('Eurostat EB products IEA'!$A$4:$BN$135,
           MATCH($B42:$K42, 'Eurostat EB products IEA'!$A$4:$A$135, 0),
           MATCH(AQ$1, 'Eurostat EB products IEA'!$A$4:$BN$4, 0)
     )
     * $L42:$U42,
     0
  )
)</f>
        <v>0</v>
      </c>
      <c r="AR42" s="17" cm="1">
        <f t="array" ref="AR42">SUMPRODUCT(
  IF($B42:$K42&lt;&gt;"",
     INDEX('Eurostat EB products IEA'!$A$4:$BN$135,
           MATCH($B42:$K42, 'Eurostat EB products IEA'!$A$4:$A$135, 0),
           MATCH(AR$1, 'Eurostat EB products IEA'!$A$4:$BN$4, 0)
     )
     * $L42:$U42,
     0
  )
)</f>
        <v>0</v>
      </c>
      <c r="AS42" s="17" cm="1">
        <f t="array" ref="AS42">SUMPRODUCT(
  IF($B42:$K42&lt;&gt;"",
     INDEX('Eurostat EB products IEA'!$A$4:$BN$135,
           MATCH($B42:$K42, 'Eurostat EB products IEA'!$A$4:$A$135, 0),
           MATCH(AS$1, 'Eurostat EB products IEA'!$A$4:$BN$4, 0)
     )
     * $L42:$U42,
     0
  )
)</f>
        <v>0</v>
      </c>
      <c r="AT42" s="17" cm="1">
        <f t="array" ref="AT42">SUMPRODUCT(
  IF($B42:$K42&lt;&gt;"",
     INDEX('Eurostat EB products IEA'!$A$4:$BN$135,
           MATCH($B42:$K42, 'Eurostat EB products IEA'!$A$4:$A$135, 0),
           MATCH(AT$1, 'Eurostat EB products IEA'!$A$4:$BN$4, 0)
     )
     * $L42:$U42,
     0
  )
)</f>
        <v>0</v>
      </c>
      <c r="AU42" s="17" cm="1">
        <f t="array" ref="AU42">SUMPRODUCT(
  IF($B42:$K42&lt;&gt;"",
     INDEX('Eurostat EB products IEA'!$A$4:$BN$135,
           MATCH($B42:$K42, 'Eurostat EB products IEA'!$A$4:$A$135, 0),
           MATCH(AU$1, 'Eurostat EB products IEA'!$A$4:$BN$4, 0)
     )
     * $L42:$U42,
     0
  )
)</f>
        <v>0</v>
      </c>
      <c r="AV42" s="17" cm="1">
        <f t="array" ref="AV42">SUMPRODUCT(
  IF($B42:$K42&lt;&gt;"",
     INDEX('Eurostat EB products IEA'!$A$4:$BN$135,
           MATCH($B42:$K42, 'Eurostat EB products IEA'!$A$4:$A$135, 0),
           MATCH(AV$1, 'Eurostat EB products IEA'!$A$4:$BN$4, 0)
     )
     * $L42:$U42,
     0
  )
)</f>
        <v>0</v>
      </c>
      <c r="AW42" s="17" cm="1">
        <f t="array" ref="AW42">SUMPRODUCT(
  IF($B42:$K42&lt;&gt;"",
     INDEX('Eurostat EB products IEA'!$A$4:$BN$135,
           MATCH($B42:$K42, 'Eurostat EB products IEA'!$A$4:$A$135, 0),
           MATCH(AW$1, 'Eurostat EB products IEA'!$A$4:$BN$4, 0)
     )
     * $L42:$U42,
     0
  )
)</f>
        <v>0</v>
      </c>
      <c r="AX42" s="17" cm="1">
        <f t="array" ref="AX42">SUMPRODUCT(
  IF($B42:$K42&lt;&gt;"",
     INDEX('Eurostat EB products IEA'!$A$4:$BN$135,
           MATCH($B42:$K42, 'Eurostat EB products IEA'!$A$4:$A$135, 0),
           MATCH(AX$1, 'Eurostat EB products IEA'!$A$4:$BN$4, 0)
     )
     * $L42:$U42,
     0
  )
)</f>
        <v>0</v>
      </c>
      <c r="AY42" s="17" cm="1">
        <f t="array" ref="AY42">SUMPRODUCT(
  IF($B42:$K42&lt;&gt;"",
     INDEX('Eurostat EB products IEA'!$A$4:$BN$135,
           MATCH($B42:$K42, 'Eurostat EB products IEA'!$A$4:$A$135, 0),
           MATCH(AY$1, 'Eurostat EB products IEA'!$A$4:$BN$4, 0)
     )
     * $L42:$U42,
     0
  )
)</f>
        <v>0</v>
      </c>
      <c r="AZ42" s="17" cm="1">
        <f t="array" ref="AZ42">SUMPRODUCT(
  IF($B42:$K42&lt;&gt;"",
     INDEX('Eurostat EB products IEA'!$A$4:$BN$135,
           MATCH($B42:$K42, 'Eurostat EB products IEA'!$A$4:$A$135, 0),
           MATCH(AZ$1, 'Eurostat EB products IEA'!$A$4:$BN$4, 0)
     )
     * $L42:$U42,
     0
  )
)</f>
        <v>0</v>
      </c>
      <c r="BA42" s="17" cm="1">
        <f t="array" ref="BA42">SUMPRODUCT(
  IF($B42:$K42&lt;&gt;"",
     INDEX('Eurostat EB products IEA'!$A$4:$BN$135,
           MATCH($B42:$K42, 'Eurostat EB products IEA'!$A$4:$A$135, 0),
           MATCH(BA$1, 'Eurostat EB products IEA'!$A$4:$BN$4, 0)
     )
     * $L42:$U42,
     0
  )
)</f>
        <v>0</v>
      </c>
      <c r="BB42" s="17" cm="1">
        <f t="array" ref="BB42">SUMPRODUCT(
  IF($B42:$K42&lt;&gt;"",
     INDEX('Eurostat EB products IEA'!$A$4:$BN$135,
           MATCH($B42:$K42, 'Eurostat EB products IEA'!$A$4:$A$135, 0),
           MATCH(BB$1, 'Eurostat EB products IEA'!$A$4:$BN$4, 0)
     )
     * $L42:$U42,
     0
  )
)</f>
        <v>0</v>
      </c>
      <c r="BC42" s="17" cm="1">
        <f t="array" ref="BC42">SUMPRODUCT(
  IF($B42:$K42&lt;&gt;"",
     INDEX('Eurostat EB products IEA'!$A$4:$BN$135,
           MATCH($B42:$K42, 'Eurostat EB products IEA'!$A$4:$A$135, 0),
           MATCH(BC$1, 'Eurostat EB products IEA'!$A$4:$BN$4, 0)
     )
     * $L42:$U42,
     0
  )
)</f>
        <v>0</v>
      </c>
      <c r="BD42" s="17" cm="1">
        <f t="array" ref="BD42">SUMPRODUCT(
  IF($B42:$K42&lt;&gt;"",
     INDEX('Eurostat EB products IEA'!$A$4:$BN$135,
           MATCH($B42:$K42, 'Eurostat EB products IEA'!$A$4:$A$135, 0),
           MATCH(BD$1, 'Eurostat EB products IEA'!$A$4:$BN$4, 0)
     )
     * $L42:$U42,
     0
  )
)</f>
        <v>0</v>
      </c>
      <c r="BE42" s="17" cm="1">
        <f t="array" ref="BE42">SUMPRODUCT(
  IF($B42:$K42&lt;&gt;"",
     INDEX('Eurostat EB products IEA'!$A$4:$BN$135,
           MATCH($B42:$K42, 'Eurostat EB products IEA'!$A$4:$A$135, 0),
           MATCH(BE$1, 'Eurostat EB products IEA'!$A$4:$BN$4, 0)
     )
     * $L42:$U42,
     0
  )
)</f>
        <v>0</v>
      </c>
      <c r="BF42" s="17" cm="1">
        <f t="array" ref="BF42">SUMPRODUCT(
  IF($B42:$K42&lt;&gt;"",
     INDEX('Eurostat EB products IEA'!$A$4:$BN$135,
           MATCH($B42:$K42, 'Eurostat EB products IEA'!$A$4:$A$135, 0),
           MATCH(BF$1, 'Eurostat EB products IEA'!$A$4:$BN$4, 0)
     )
     * $L42:$U42,
     0
  )
)</f>
        <v>0</v>
      </c>
      <c r="BG42" s="17" cm="1">
        <f t="array" ref="BG42">SUMPRODUCT(
  IF($B42:$K42&lt;&gt;"",
     INDEX('Eurostat EB products IEA'!$A$4:$BN$135,
           MATCH($B42:$K42, 'Eurostat EB products IEA'!$A$4:$A$135, 0),
           MATCH(BG$1, 'Eurostat EB products IEA'!$A$4:$BN$4, 0)
     )
     * $L42:$U42,
     0
  )
)</f>
        <v>0</v>
      </c>
      <c r="BH42" s="17" cm="1">
        <f t="array" ref="BH42">SUMPRODUCT(
  IF($B42:$K42&lt;&gt;"",
     INDEX('Eurostat EB products IEA'!$A$4:$BN$135,
           MATCH($B42:$K42, 'Eurostat EB products IEA'!$A$4:$A$135, 0),
           MATCH(BH$1, 'Eurostat EB products IEA'!$A$4:$BN$4, 0)
     )
     * $L42:$U42,
     0
  )
)</f>
        <v>0</v>
      </c>
      <c r="BI42" s="17" cm="1">
        <f t="array" ref="BI42">SUMPRODUCT(
  IF($B42:$K42&lt;&gt;"",
     INDEX('Eurostat EB products IEA'!$A$4:$BN$135,
           MATCH($B42:$K42, 'Eurostat EB products IEA'!$A$4:$A$135, 0),
           MATCH(BI$1, 'Eurostat EB products IEA'!$A$4:$BN$4, 0)
     )
     * $L42:$U42,
     0
  )
)</f>
        <v>0</v>
      </c>
      <c r="BJ42" s="17" cm="1">
        <f t="array" ref="BJ42">SUMPRODUCT(
  IF($B42:$K42&lt;&gt;"",
     INDEX('Eurostat EB products IEA'!$A$4:$BN$135,
           MATCH($B42:$K42, 'Eurostat EB products IEA'!$A$4:$A$135, 0),
           MATCH(BJ$1, 'Eurostat EB products IEA'!$A$4:$BN$4, 0)
     )
     * $L42:$U42,
     0
  )
)</f>
        <v>0</v>
      </c>
      <c r="BK42" s="17" cm="1">
        <f t="array" ref="BK42">SUMPRODUCT(
  IF($B42:$K42&lt;&gt;"",
     INDEX('Eurostat EB products IEA'!$A$4:$BN$135,
           MATCH($B42:$K42, 'Eurostat EB products IEA'!$A$4:$A$135, 0),
           MATCH(BK$1, 'Eurostat EB products IEA'!$A$4:$BN$4, 0)
     )
     * $L42:$U42,
     0
  )
)</f>
        <v>0</v>
      </c>
      <c r="BL42" s="17" cm="1">
        <f t="array" ref="BL42">SUMPRODUCT(
  IF($B42:$K42&lt;&gt;"",
     INDEX('Eurostat EB products IEA'!$A$4:$BN$135,
           MATCH($B42:$K42, 'Eurostat EB products IEA'!$A$4:$A$135, 0),
           MATCH(BL$1, 'Eurostat EB products IEA'!$A$4:$BN$4, 0)
     )
     * $L42:$U42,
     0
  )
)</f>
        <v>0</v>
      </c>
      <c r="BM42" s="17" cm="1">
        <f t="array" ref="BM42">SUMPRODUCT(
  IF($B42:$K42&lt;&gt;"",
     INDEX('Eurostat EB products IEA'!$A$4:$BN$135,
           MATCH($B42:$K42, 'Eurostat EB products IEA'!$A$4:$A$135, 0),
           MATCH(BM$1, 'Eurostat EB products IEA'!$A$4:$BN$4, 0)
     )
     * $L42:$U42,
     0
  )
)</f>
        <v>0</v>
      </c>
      <c r="BN42" s="17" cm="1">
        <f t="array" ref="BN42">SUMPRODUCT(
  IF($B42:$K42&lt;&gt;"",
     INDEX('Eurostat EB products IEA'!$A$4:$BN$135,
           MATCH($B42:$K42, 'Eurostat EB products IEA'!$A$4:$A$135, 0),
           MATCH(BN$1, 'Eurostat EB products IEA'!$A$4:$BN$4, 0)
     )
     * $L42:$U42,
     0
  )
)</f>
        <v>0</v>
      </c>
      <c r="BO42" s="17" cm="1">
        <f t="array" ref="BO42">SUMPRODUCT(
  IF($B42:$K42&lt;&gt;"",
     INDEX('Eurostat EB products IEA'!$A$4:$BN$135,
           MATCH($B42:$K42, 'Eurostat EB products IEA'!$A$4:$A$135, 0),
           MATCH(BO$1, 'Eurostat EB products IEA'!$A$4:$BN$4, 0)
     )
     * $L42:$U42,
     0
  )
)</f>
        <v>0</v>
      </c>
      <c r="BP42" s="17" cm="1">
        <f t="array" ref="BP42">SUMPRODUCT(
  IF($B42:$K42&lt;&gt;"",
     INDEX('Eurostat EB products IEA'!$A$4:$BN$135,
           MATCH($B42:$K42, 'Eurostat EB products IEA'!$A$4:$A$135, 0),
           MATCH(BP$1, 'Eurostat EB products IEA'!$A$4:$BN$4, 0)
     )
     * $L42:$U42,
     0
  )
)</f>
        <v>0</v>
      </c>
      <c r="BQ42" s="17" cm="1">
        <f t="array" ref="BQ42">SUMPRODUCT(
  IF($B42:$K42&lt;&gt;"",
     INDEX('Eurostat EB products IEA'!$A$4:$BN$135,
           MATCH($B42:$K42, 'Eurostat EB products IEA'!$A$4:$A$135, 0),
           MATCH(BQ$1, 'Eurostat EB products IEA'!$A$4:$BN$4, 0)
     )
     * $L42:$U42,
     0
  )
)</f>
        <v>0</v>
      </c>
      <c r="BR42" s="17" cm="1">
        <f t="array" ref="BR42">SUMPRODUCT(
  IF($B42:$K42&lt;&gt;"",
     INDEX('Eurostat EB products IEA'!$A$4:$BN$135,
           MATCH($B42:$K42, 'Eurostat EB products IEA'!$A$4:$A$135, 0),
           MATCH(BR$1, 'Eurostat EB products IEA'!$A$4:$BN$4, 0)
     )
     * $L42:$U42,
     0
  )
)</f>
        <v>0</v>
      </c>
      <c r="BS42" s="65">
        <v>0</v>
      </c>
      <c r="BT42" s="17" cm="1">
        <f t="array" ref="BT42">SUMPRODUCT(
  IF($B42:$K42&lt;&gt;"",
     INDEX('Eurostat EB products IEA'!$A$4:$BN$135,
           MATCH($B42:$K42, 'Eurostat EB products IEA'!$A$4:$A$135, 0),
           MATCH(BT$1, 'Eurostat EB products IEA'!$A$4:$BN$4, 0)
     )
     * $L42:$U42,
     0
  )
)</f>
        <v>0</v>
      </c>
      <c r="BU42" s="65">
        <v>0</v>
      </c>
      <c r="BV42" s="65">
        <v>0</v>
      </c>
      <c r="BW42" s="17" cm="1">
        <f t="array" ref="BW42">SUMPRODUCT(
  IF($B42:$K42&lt;&gt;"",
     INDEX('Eurostat EB products IEA'!$A$4:$BN$135,
           MATCH($B42:$K42, 'Eurostat EB products IEA'!$A$4:$A$135, 0),
           MATCH(BW$1, 'Eurostat EB products IEA'!$A$4:$BN$4, 0)
     )
     * $L42:$U42,
     0
  )
)</f>
        <v>0</v>
      </c>
      <c r="BX42" s="17" cm="1">
        <f t="array" ref="BX42">SUMPRODUCT(
  IF($B42:$K42&lt;&gt;"",
     INDEX('Eurostat EB products IEA'!$A$4:$BN$135,
           MATCH($B42:$K42, 'Eurostat EB products IEA'!$A$4:$A$135, 0),
           MATCH(BX$1, 'Eurostat EB products IEA'!$A$4:$BN$4, 0)
     )
     * $L42:$U42,
     0
  )
)</f>
        <v>0</v>
      </c>
      <c r="BY42" s="17" cm="1">
        <f t="array" ref="BY42">SUMPRODUCT(
  IF($B42:$K42&lt;&gt;"",
     INDEX('Eurostat EB products IEA'!$A$4:$BN$135,
           MATCH($B42:$K42, 'Eurostat EB products IEA'!$A$4:$A$135, 0),
           MATCH(BY$1, 'Eurostat EB products IEA'!$A$4:$BN$4, 0)
     )
     * $L42:$U42,
     0
  )
)</f>
        <v>0</v>
      </c>
      <c r="BZ42" s="17" cm="1">
        <f t="array" ref="BZ42">SUMPRODUCT(
  IF($B42:$K42&lt;&gt;"",
     INDEX('Eurostat EB products IEA'!$A$4:$BN$135,
           MATCH($B42:$K42, 'Eurostat EB products IEA'!$A$4:$A$135, 0),
           MATCH(BZ$1, 'Eurostat EB products IEA'!$A$4:$BN$4, 0)
     )
     * $L42:$U42,
     0
  )
)</f>
        <v>0</v>
      </c>
      <c r="CA42" s="17" cm="1">
        <f t="array" ref="CA42">SUMPRODUCT(
  IF($B42:$K42&lt;&gt;"",
     INDEX('Eurostat EB products IEA'!$A$4:$BN$135,
           MATCH($B42:$K42, 'Eurostat EB products IEA'!$A$4:$A$135, 0),
           MATCH(CA$1, 'Eurostat EB products IEA'!$A$4:$BN$4, 0)
     )
     * $L42:$U42,
     0
  )
)</f>
        <v>0</v>
      </c>
      <c r="CB42" s="17" cm="1">
        <f t="array" ref="CB42">SUMPRODUCT(
  IF($B42:$K42&lt;&gt;"",
     INDEX('Eurostat EB products IEA'!$A$4:$BN$135,
           MATCH($B42:$K42, 'Eurostat EB products IEA'!$A$4:$A$135, 0),
           MATCH(CB$1, 'Eurostat EB products IEA'!$A$4:$BN$4, 0)
     )
     * $L42:$U42,
     0
  )
)</f>
        <v>0</v>
      </c>
      <c r="CC42" s="17" cm="1">
        <f t="array" ref="CC42">SUMPRODUCT(
  IF($B42:$K42&lt;&gt;"",
     INDEX('Eurostat EB products IEA'!$A$4:$BN$135,
           MATCH($B42:$K42, 'Eurostat EB products IEA'!$A$4:$A$135, 0),
           MATCH(CC$1, 'Eurostat EB products IEA'!$A$4:$BN$4, 0)
     )
     * $L42:$U42,
     0
  )
)</f>
        <v>0</v>
      </c>
      <c r="CD42" s="65">
        <v>0</v>
      </c>
      <c r="CE42" s="17" cm="1">
        <f t="array" ref="CE42">SUMPRODUCT(
  IF($B42:$K42&lt;&gt;"",
     INDEX('Eurostat EB products IEA'!$A$4:$BN$135,
           MATCH($B42:$K42, 'Eurostat EB products IEA'!$A$4:$A$135, 0),
           MATCH(CE$1, 'Eurostat EB products IEA'!$A$4:$BN$4, 0)
     )
     * $L42:$U42,
     0
  )
)</f>
        <v>0</v>
      </c>
      <c r="CF42" s="17" cm="1">
        <f t="array" ref="CF42">SUMPRODUCT(
  IF($B42:$K42&lt;&gt;"",
     INDEX('Eurostat EB products IEA'!$A$4:$BN$135,
           MATCH($B42:$K42, 'Eurostat EB products IEA'!$A$4:$A$135, 0),
           MATCH(CF$1, 'Eurostat EB products IEA'!$A$4:$BN$4, 0)
     )
     * $L42:$U42,
     0
  )
)</f>
        <v>0</v>
      </c>
      <c r="CG42" s="17" cm="1">
        <f t="array" ref="CG42">SUMPRODUCT(
  IF($B42:$K42&lt;&gt;"",
     INDEX('Eurostat EB products IEA'!$A$4:$BN$135,
           MATCH($B42:$K42, 'Eurostat EB products IEA'!$A$4:$A$135, 0),
           MATCH(CG$1, 'Eurostat EB products IEA'!$A$4:$BN$4, 0)
     )
     * $L42:$U42,
     0
  )
)</f>
        <v>0</v>
      </c>
      <c r="CH42" s="17" cm="1">
        <f t="array" ref="CH42">SUMPRODUCT(
  IF($B42:$K42&lt;&gt;"",
     INDEX('Eurostat EB products IEA'!$A$4:$BN$135,
           MATCH($B42:$K42, 'Eurostat EB products IEA'!$A$4:$A$135, 0),
           MATCH(CH$1, 'Eurostat EB products IEA'!$A$4:$BN$4, 0)
     )
     * $L42:$U42,
     0
  )
)</f>
        <v>0</v>
      </c>
    </row>
    <row r="43" spans="1:86" x14ac:dyDescent="0.2">
      <c r="A43" t="s">
        <v>159</v>
      </c>
      <c r="B43" s="75"/>
      <c r="C43" s="77"/>
      <c r="D43" s="75"/>
      <c r="E43" s="77"/>
      <c r="F43" s="75"/>
      <c r="G43" s="77"/>
      <c r="H43" s="75"/>
      <c r="I43" s="77"/>
      <c r="J43" s="74"/>
      <c r="K43" s="78" t="s">
        <v>271</v>
      </c>
      <c r="L43" s="76"/>
      <c r="M43" s="79"/>
      <c r="N43" s="76"/>
      <c r="O43" s="79"/>
      <c r="P43" s="76"/>
      <c r="Q43" s="79"/>
      <c r="R43" s="76"/>
      <c r="S43" s="79"/>
      <c r="T43" s="76"/>
      <c r="U43" s="79">
        <v>-1</v>
      </c>
      <c r="V43" s="65" t="s">
        <v>323</v>
      </c>
      <c r="W43" s="65" t="s">
        <v>323</v>
      </c>
      <c r="X43" s="57" cm="1">
        <f t="array" ref="X43">SUMPRODUCT(
  IF($B43:$K43&lt;&gt;"",
     INDEX('Eurostat EB products IEA'!$A$4:$BN$135,
           MATCH($B43:$K43, 'Eurostat EB products IEA'!$A$4:$A$135, 0),
           MATCH(X$1, 'Eurostat EB products IEA'!$A$4:$BN$4, 0)
     )
     * $L43:$U43,
     0
  )
)</f>
        <v>0</v>
      </c>
      <c r="Y43" s="57" cm="1">
        <f t="array" ref="Y43">SUMPRODUCT(
  IF($B43:$K43&lt;&gt;"",
     INDEX('Eurostat EB products IEA'!$A$4:$BN$135,
           MATCH($B43:$K43, 'Eurostat EB products IEA'!$A$4:$A$135, 0),
           MATCH(Y$1, 'Eurostat EB products IEA'!$A$4:$BN$4, 0)
     )
     * $L43:$U43,
     0
  )
)</f>
        <v>0</v>
      </c>
      <c r="Z43" s="57" cm="1">
        <f t="array" ref="Z43">SUMPRODUCT(
  IF($B43:$K43&lt;&gt;"",
     INDEX('Eurostat EB products IEA'!$A$4:$BN$135,
           MATCH($B43:$K43, 'Eurostat EB products IEA'!$A$4:$A$135, 0),
           MATCH(Z$1, 'Eurostat EB products IEA'!$A$4:$BN$4, 0)
     )
     * $L43:$U43,
     0
  )
)</f>
        <v>0</v>
      </c>
      <c r="AA43" s="57" cm="1">
        <f t="array" ref="AA43">SUMPRODUCT(
  IF($B43:$K43&lt;&gt;"",
     INDEX('Eurostat EB products IEA'!$A$4:$BN$135,
           MATCH($B43:$K43, 'Eurostat EB products IEA'!$A$4:$A$135, 0),
           MATCH(AA$1, 'Eurostat EB products IEA'!$A$4:$BN$4, 0)
     )
     * $L43:$U43,
     0
  )
)</f>
        <v>0</v>
      </c>
      <c r="AB43" s="57" cm="1">
        <f t="array" ref="AB43">SUMPRODUCT(
  IF($B43:$K43&lt;&gt;"",
     INDEX('Eurostat EB products IEA'!$A$4:$BN$135,
           MATCH($B43:$K43, 'Eurostat EB products IEA'!$A$4:$A$135, 0),
           MATCH(AB$1, 'Eurostat EB products IEA'!$A$4:$BN$4, 0)
     )
     * $L43:$U43,
     0
  )
)</f>
        <v>0</v>
      </c>
      <c r="AC43" s="57" cm="1">
        <f t="array" ref="AC43">SUMPRODUCT(
  IF($B43:$K43&lt;&gt;"",
     INDEX('Eurostat EB products IEA'!$A$4:$BN$135,
           MATCH($B43:$K43, 'Eurostat EB products IEA'!$A$4:$A$135, 0),
           MATCH(AC$1, 'Eurostat EB products IEA'!$A$4:$BN$4, 0)
     )
     * $L43:$U43,
     0
  )
)</f>
        <v>0</v>
      </c>
      <c r="AD43" s="57" cm="1">
        <f t="array" ref="AD43">SUMPRODUCT(
  IF($B43:$K43&lt;&gt;"",
     INDEX('Eurostat EB products IEA'!$A$4:$BN$135,
           MATCH($B43:$K43, 'Eurostat EB products IEA'!$A$4:$A$135, 0),
           MATCH(AD$1, 'Eurostat EB products IEA'!$A$4:$BN$4, 0)
     )
     * $L43:$U43,
     0
  )
)</f>
        <v>0</v>
      </c>
      <c r="AE43" s="57" cm="1">
        <f t="array" ref="AE43">SUMPRODUCT(
  IF($B43:$K43&lt;&gt;"",
     INDEX('Eurostat EB products IEA'!$A$4:$BN$135,
           MATCH($B43:$K43, 'Eurostat EB products IEA'!$A$4:$A$135, 0),
           MATCH(AE$1, 'Eurostat EB products IEA'!$A$4:$BN$4, 0)
     )
     * $L43:$U43,
     0
  )
)</f>
        <v>0</v>
      </c>
      <c r="AF43" s="57" cm="1">
        <f t="array" ref="AF43">SUMPRODUCT(
  IF($B43:$K43&lt;&gt;"",
     INDEX('Eurostat EB products IEA'!$A$4:$BN$135,
           MATCH($B43:$K43, 'Eurostat EB products IEA'!$A$4:$A$135, 0),
           MATCH(AF$1, 'Eurostat EB products IEA'!$A$4:$BN$4, 0)
     )
     * $L43:$U43,
     0
  )
)</f>
        <v>0</v>
      </c>
      <c r="AG43" s="57" cm="1">
        <f t="array" ref="AG43">SUMPRODUCT(
  IF($B43:$K43&lt;&gt;"",
     INDEX('Eurostat EB products IEA'!$A$4:$BN$135,
           MATCH($B43:$K43, 'Eurostat EB products IEA'!$A$4:$A$135, 0),
           MATCH(AG$1, 'Eurostat EB products IEA'!$A$4:$BN$4, 0)
     )
     * $L43:$U43,
     0
  )
)</f>
        <v>0</v>
      </c>
      <c r="AH43" s="57" cm="1">
        <f t="array" ref="AH43">SUMPRODUCT(
  IF($B43:$K43&lt;&gt;"",
     INDEX('Eurostat EB products IEA'!$A$4:$BN$135,
           MATCH($B43:$K43, 'Eurostat EB products IEA'!$A$4:$A$135, 0),
           MATCH(AH$1, 'Eurostat EB products IEA'!$A$4:$BN$4, 0)
     )
     * $L43:$U43,
     0
  )
)</f>
        <v>0</v>
      </c>
      <c r="AI43" s="57" cm="1">
        <f t="array" ref="AI43">SUMPRODUCT(
  IF($B43:$K43&lt;&gt;"",
     INDEX('Eurostat EB products IEA'!$A$4:$BN$135,
           MATCH($B43:$K43, 'Eurostat EB products IEA'!$A$4:$A$135, 0),
           MATCH(AI$1, 'Eurostat EB products IEA'!$A$4:$BN$4, 0)
     )
     * $L43:$U43,
     0
  )
)</f>
        <v>0</v>
      </c>
      <c r="AJ43" s="57" cm="1">
        <f t="array" ref="AJ43">SUMPRODUCT(
  IF($B43:$K43&lt;&gt;"",
     INDEX('Eurostat EB products IEA'!$A$4:$BN$135,
           MATCH($B43:$K43, 'Eurostat EB products IEA'!$A$4:$A$135, 0),
           MATCH(AJ$1, 'Eurostat EB products IEA'!$A$4:$BN$4, 0)
     )
     * $L43:$U43,
     0
  )
)</f>
        <v>0</v>
      </c>
      <c r="AK43" s="57" cm="1">
        <f t="array" ref="AK43">SUMPRODUCT(
  IF($B43:$K43&lt;&gt;"",
     INDEX('Eurostat EB products IEA'!$A$4:$BN$135,
           MATCH($B43:$K43, 'Eurostat EB products IEA'!$A$4:$A$135, 0),
           MATCH(AK$1, 'Eurostat EB products IEA'!$A$4:$BN$4, 0)
     )
     * $L43:$U43,
     0
  )
)</f>
        <v>0</v>
      </c>
      <c r="AL43" s="57" cm="1">
        <f t="array" ref="AL43">SUMPRODUCT(
  IF($B43:$K43&lt;&gt;"",
     INDEX('Eurostat EB products IEA'!$A$4:$BN$135,
           MATCH($B43:$K43, 'Eurostat EB products IEA'!$A$4:$A$135, 0),
           MATCH(AL$1, 'Eurostat EB products IEA'!$A$4:$BN$4, 0)
     )
     * $L43:$U43,
     0
  )
)</f>
        <v>0</v>
      </c>
      <c r="AM43" s="57" cm="1">
        <f t="array" ref="AM43">SUMPRODUCT(
  IF($B43:$K43&lt;&gt;"",
     INDEX('Eurostat EB products IEA'!$A$4:$BN$135,
           MATCH($B43:$K43, 'Eurostat EB products IEA'!$A$4:$A$135, 0),
           MATCH(AM$1, 'Eurostat EB products IEA'!$A$4:$BN$4, 0)
     )
     * $L43:$U43,
     0
  )
)</f>
        <v>-17101.123</v>
      </c>
      <c r="AN43" s="65" t="s">
        <v>323</v>
      </c>
      <c r="AO43" s="57" cm="1">
        <f t="array" ref="AO43">SUMPRODUCT(
  IF($B43:$K43&lt;&gt;"",
     INDEX('Eurostat EB products IEA'!$A$4:$BN$135,
           MATCH($B43:$K43, 'Eurostat EB products IEA'!$A$4:$A$135, 0),
           MATCH(AO$1, 'Eurostat EB products IEA'!$A$4:$BN$4, 0)
     )
     * $L43:$U43,
     0
  )
)</f>
        <v>0</v>
      </c>
      <c r="AP43" s="57" cm="1">
        <f t="array" ref="AP43">SUMPRODUCT(
  IF($B43:$K43&lt;&gt;"",
     INDEX('Eurostat EB products IEA'!$A$4:$BN$135,
           MATCH($B43:$K43, 'Eurostat EB products IEA'!$A$4:$A$135, 0),
           MATCH(AP$1, 'Eurostat EB products IEA'!$A$4:$BN$4, 0)
     )
     * $L43:$U43,
     0
  )
)</f>
        <v>0</v>
      </c>
      <c r="AQ43" s="57" cm="1">
        <f t="array" ref="AQ43">SUMPRODUCT(
  IF($B43:$K43&lt;&gt;"",
     INDEX('Eurostat EB products IEA'!$A$4:$BN$135,
           MATCH($B43:$K43, 'Eurostat EB products IEA'!$A$4:$A$135, 0),
           MATCH(AQ$1, 'Eurostat EB products IEA'!$A$4:$BN$4, 0)
     )
     * $L43:$U43,
     0
  )
)</f>
        <v>0</v>
      </c>
      <c r="AR43" s="57" cm="1">
        <f t="array" ref="AR43">SUMPRODUCT(
  IF($B43:$K43&lt;&gt;"",
     INDEX('Eurostat EB products IEA'!$A$4:$BN$135,
           MATCH($B43:$K43, 'Eurostat EB products IEA'!$A$4:$A$135, 0),
           MATCH(AR$1, 'Eurostat EB products IEA'!$A$4:$BN$4, 0)
     )
     * $L43:$U43,
     0
  )
)</f>
        <v>0</v>
      </c>
      <c r="AS43" s="57" cm="1">
        <f t="array" ref="AS43">SUMPRODUCT(
  IF($B43:$K43&lt;&gt;"",
     INDEX('Eurostat EB products IEA'!$A$4:$BN$135,
           MATCH($B43:$K43, 'Eurostat EB products IEA'!$A$4:$A$135, 0),
           MATCH(AS$1, 'Eurostat EB products IEA'!$A$4:$BN$4, 0)
     )
     * $L43:$U43,
     0
  )
)</f>
        <v>0</v>
      </c>
      <c r="AT43" s="57" cm="1">
        <f t="array" ref="AT43">SUMPRODUCT(
  IF($B43:$K43&lt;&gt;"",
     INDEX('Eurostat EB products IEA'!$A$4:$BN$135,
           MATCH($B43:$K43, 'Eurostat EB products IEA'!$A$4:$A$135, 0),
           MATCH(AT$1, 'Eurostat EB products IEA'!$A$4:$BN$4, 0)
     )
     * $L43:$U43,
     0
  )
)</f>
        <v>-89172.464000000007</v>
      </c>
      <c r="AU43" s="57" cm="1">
        <f t="array" ref="AU43">SUMPRODUCT(
  IF($B43:$K43&lt;&gt;"",
     INDEX('Eurostat EB products IEA'!$A$4:$BN$135,
           MATCH($B43:$K43, 'Eurostat EB products IEA'!$A$4:$A$135, 0),
           MATCH(AU$1, 'Eurostat EB products IEA'!$A$4:$BN$4, 0)
     )
     * $L43:$U43,
     0
  )
)</f>
        <v>0</v>
      </c>
      <c r="AV43" s="57" cm="1">
        <f t="array" ref="AV43">SUMPRODUCT(
  IF($B43:$K43&lt;&gt;"",
     INDEX('Eurostat EB products IEA'!$A$4:$BN$135,
           MATCH($B43:$K43, 'Eurostat EB products IEA'!$A$4:$A$135, 0),
           MATCH(AV$1, 'Eurostat EB products IEA'!$A$4:$BN$4, 0)
     )
     * $L43:$U43,
     0
  )
)</f>
        <v>-4181.308</v>
      </c>
      <c r="AW43" s="57" cm="1">
        <f t="array" ref="AW43">SUMPRODUCT(
  IF($B43:$K43&lt;&gt;"",
     INDEX('Eurostat EB products IEA'!$A$4:$BN$135,
           MATCH($B43:$K43, 'Eurostat EB products IEA'!$A$4:$A$135, 0),
           MATCH(AW$1, 'Eurostat EB products IEA'!$A$4:$BN$4, 0)
     )
     * $L43:$U43,
     0
  )
)</f>
        <v>0</v>
      </c>
      <c r="AX43" s="57" cm="1">
        <f t="array" ref="AX43">SUMPRODUCT(
  IF($B43:$K43&lt;&gt;"",
     INDEX('Eurostat EB products IEA'!$A$4:$BN$135,
           MATCH($B43:$K43, 'Eurostat EB products IEA'!$A$4:$A$135, 0),
           MATCH(AX$1, 'Eurostat EB products IEA'!$A$4:$BN$4, 0)
     )
     * $L43:$U43,
     0
  )
)</f>
        <v>0</v>
      </c>
      <c r="AY43" s="57" cm="1">
        <f t="array" ref="AY43">SUMPRODUCT(
  IF($B43:$K43&lt;&gt;"",
     INDEX('Eurostat EB products IEA'!$A$4:$BN$135,
           MATCH($B43:$K43, 'Eurostat EB products IEA'!$A$4:$A$135, 0),
           MATCH(AY$1, 'Eurostat EB products IEA'!$A$4:$BN$4, 0)
     )
     * $L43:$U43,
     0
  )
)</f>
        <v>0</v>
      </c>
      <c r="AZ43" s="57" cm="1">
        <f t="array" ref="AZ43">SUMPRODUCT(
  IF($B43:$K43&lt;&gt;"",
     INDEX('Eurostat EB products IEA'!$A$4:$BN$135,
           MATCH($B43:$K43, 'Eurostat EB products IEA'!$A$4:$A$135, 0),
           MATCH(AZ$1, 'Eurostat EB products IEA'!$A$4:$BN$4, 0)
     )
     * $L43:$U43,
     0
  )
)</f>
        <v>0</v>
      </c>
      <c r="BA43" s="57" cm="1">
        <f t="array" ref="BA43">SUMPRODUCT(
  IF($B43:$K43&lt;&gt;"",
     INDEX('Eurostat EB products IEA'!$A$4:$BN$135,
           MATCH($B43:$K43, 'Eurostat EB products IEA'!$A$4:$A$135, 0),
           MATCH(BA$1, 'Eurostat EB products IEA'!$A$4:$BN$4, 0)
     )
     * $L43:$U43,
     0
  )
)</f>
        <v>0</v>
      </c>
      <c r="BB43" s="57" cm="1">
        <f t="array" ref="BB43">SUMPRODUCT(
  IF($B43:$K43&lt;&gt;"",
     INDEX('Eurostat EB products IEA'!$A$4:$BN$135,
           MATCH($B43:$K43, 'Eurostat EB products IEA'!$A$4:$A$135, 0),
           MATCH(BB$1, 'Eurostat EB products IEA'!$A$4:$BN$4, 0)
     )
     * $L43:$U43,
     0
  )
)</f>
        <v>-4.5730000000000004</v>
      </c>
      <c r="BC43" s="57" cm="1">
        <f t="array" ref="BC43">SUMPRODUCT(
  IF($B43:$K43&lt;&gt;"",
     INDEX('Eurostat EB products IEA'!$A$4:$BN$135,
           MATCH($B43:$K43, 'Eurostat EB products IEA'!$A$4:$A$135, 0),
           MATCH(BC$1, 'Eurostat EB products IEA'!$A$4:$BN$4, 0)
     )
     * $L43:$U43,
     0
  )
)</f>
        <v>0</v>
      </c>
      <c r="BD43" s="57" cm="1">
        <f t="array" ref="BD43">SUMPRODUCT(
  IF($B43:$K43&lt;&gt;"",
     INDEX('Eurostat EB products IEA'!$A$4:$BN$135,
           MATCH($B43:$K43, 'Eurostat EB products IEA'!$A$4:$A$135, 0),
           MATCH(BD$1, 'Eurostat EB products IEA'!$A$4:$BN$4, 0)
     )
     * $L43:$U43,
     0
  )
)</f>
        <v>0</v>
      </c>
      <c r="BE43" s="57" cm="1">
        <f t="array" ref="BE43">SUMPRODUCT(
  IF($B43:$K43&lt;&gt;"",
     INDEX('Eurostat EB products IEA'!$A$4:$BN$135,
           MATCH($B43:$K43, 'Eurostat EB products IEA'!$A$4:$A$135, 0),
           MATCH(BE$1, 'Eurostat EB products IEA'!$A$4:$BN$4, 0)
     )
     * $L43:$U43,
     0
  )
)</f>
        <v>0</v>
      </c>
      <c r="BF43" s="57" cm="1">
        <f t="array" ref="BF43">SUMPRODUCT(
  IF($B43:$K43&lt;&gt;"",
     INDEX('Eurostat EB products IEA'!$A$4:$BN$135,
           MATCH($B43:$K43, 'Eurostat EB products IEA'!$A$4:$A$135, 0),
           MATCH(BF$1, 'Eurostat EB products IEA'!$A$4:$BN$4, 0)
     )
     * $L43:$U43,
     0
  )
)</f>
        <v>0</v>
      </c>
      <c r="BG43" s="57" cm="1">
        <f t="array" ref="BG43">SUMPRODUCT(
  IF($B43:$K43&lt;&gt;"",
     INDEX('Eurostat EB products IEA'!$A$4:$BN$135,
           MATCH($B43:$K43, 'Eurostat EB products IEA'!$A$4:$A$135, 0),
           MATCH(BG$1, 'Eurostat EB products IEA'!$A$4:$BN$4, 0)
     )
     * $L43:$U43,
     0
  )
)</f>
        <v>0</v>
      </c>
      <c r="BH43" s="57" cm="1">
        <f t="array" ref="BH43">SUMPRODUCT(
  IF($B43:$K43&lt;&gt;"",
     INDEX('Eurostat EB products IEA'!$A$4:$BN$135,
           MATCH($B43:$K43, 'Eurostat EB products IEA'!$A$4:$A$135, 0),
           MATCH(BH$1, 'Eurostat EB products IEA'!$A$4:$BN$4, 0)
     )
     * $L43:$U43,
     0
  )
)</f>
        <v>0</v>
      </c>
      <c r="BI43" s="57" cm="1">
        <f t="array" ref="BI43">SUMPRODUCT(
  IF($B43:$K43&lt;&gt;"",
     INDEX('Eurostat EB products IEA'!$A$4:$BN$135,
           MATCH($B43:$K43, 'Eurostat EB products IEA'!$A$4:$A$135, 0),
           MATCH(BI$1, 'Eurostat EB products IEA'!$A$4:$BN$4, 0)
     )
     * $L43:$U43,
     0
  )
)</f>
        <v>-10670.291999999999</v>
      </c>
      <c r="BJ43" s="57" cm="1">
        <f t="array" ref="BJ43">SUMPRODUCT(
  IF($B43:$K43&lt;&gt;"",
     INDEX('Eurostat EB products IEA'!$A$4:$BN$135,
           MATCH($B43:$K43, 'Eurostat EB products IEA'!$A$4:$A$135, 0),
           MATCH(BJ$1, 'Eurostat EB products IEA'!$A$4:$BN$4, 0)
     )
     * $L43:$U43,
     0
  )
)</f>
        <v>0</v>
      </c>
      <c r="BK43" s="57" cm="1">
        <f t="array" ref="BK43">SUMPRODUCT(
  IF($B43:$K43&lt;&gt;"",
     INDEX('Eurostat EB products IEA'!$A$4:$BN$135,
           MATCH($B43:$K43, 'Eurostat EB products IEA'!$A$4:$A$135, 0),
           MATCH(BK$1, 'Eurostat EB products IEA'!$A$4:$BN$4, 0)
     )
     * $L43:$U43,
     0
  )
)</f>
        <v>0</v>
      </c>
      <c r="BL43" s="57" cm="1">
        <f t="array" ref="BL43">SUMPRODUCT(
  IF($B43:$K43&lt;&gt;"",
     INDEX('Eurostat EB products IEA'!$A$4:$BN$135,
           MATCH($B43:$K43, 'Eurostat EB products IEA'!$A$4:$A$135, 0),
           MATCH(BL$1, 'Eurostat EB products IEA'!$A$4:$BN$4, 0)
     )
     * $L43:$U43,
     0
  )
)</f>
        <v>0</v>
      </c>
      <c r="BM43" s="57" cm="1">
        <f t="array" ref="BM43">SUMPRODUCT(
  IF($B43:$K43&lt;&gt;"",
     INDEX('Eurostat EB products IEA'!$A$4:$BN$135,
           MATCH($B43:$K43, 'Eurostat EB products IEA'!$A$4:$A$135, 0),
           MATCH(BM$1, 'Eurostat EB products IEA'!$A$4:$BN$4, 0)
     )
     * $L43:$U43,
     0
  )
)</f>
        <v>0</v>
      </c>
      <c r="BN43" s="57" cm="1">
        <f t="array" ref="BN43">SUMPRODUCT(
  IF($B43:$K43&lt;&gt;"",
     INDEX('Eurostat EB products IEA'!$A$4:$BN$135,
           MATCH($B43:$K43, 'Eurostat EB products IEA'!$A$4:$A$135, 0),
           MATCH(BN$1, 'Eurostat EB products IEA'!$A$4:$BN$4, 0)
     )
     * $L43:$U43,
     0
  )
)</f>
        <v>0</v>
      </c>
      <c r="BO43" s="57" cm="1">
        <f t="array" ref="BO43">SUMPRODUCT(
  IF($B43:$K43&lt;&gt;"",
     INDEX('Eurostat EB products IEA'!$A$4:$BN$135,
           MATCH($B43:$K43, 'Eurostat EB products IEA'!$A$4:$A$135, 0),
           MATCH(BO$1, 'Eurostat EB products IEA'!$A$4:$BN$4, 0)
     )
     * $L43:$U43,
     0
  )
)</f>
        <v>0</v>
      </c>
      <c r="BP43" s="57" cm="1">
        <f t="array" ref="BP43">SUMPRODUCT(
  IF($B43:$K43&lt;&gt;"",
     INDEX('Eurostat EB products IEA'!$A$4:$BN$135,
           MATCH($B43:$K43, 'Eurostat EB products IEA'!$A$4:$A$135, 0),
           MATCH(BP$1, 'Eurostat EB products IEA'!$A$4:$BN$4, 0)
     )
     * $L43:$U43,
     0
  )
)</f>
        <v>0</v>
      </c>
      <c r="BQ43" s="57" cm="1">
        <f t="array" ref="BQ43">SUMPRODUCT(
  IF($B43:$K43&lt;&gt;"",
     INDEX('Eurostat EB products IEA'!$A$4:$BN$135,
           MATCH($B43:$K43, 'Eurostat EB products IEA'!$A$4:$A$135, 0),
           MATCH(BQ$1, 'Eurostat EB products IEA'!$A$4:$BN$4, 0)
     )
     * $L43:$U43,
     0
  )
)</f>
        <v>0</v>
      </c>
      <c r="BR43" s="57" cm="1">
        <f t="array" ref="BR43">SUMPRODUCT(
  IF($B43:$K43&lt;&gt;"",
     INDEX('Eurostat EB products IEA'!$A$4:$BN$135,
           MATCH($B43:$K43, 'Eurostat EB products IEA'!$A$4:$A$135, 0),
           MATCH(BR$1, 'Eurostat EB products IEA'!$A$4:$BN$4, 0)
     )
     * $L43:$U43,
     0
  )
)</f>
        <v>0</v>
      </c>
      <c r="BS43" s="65">
        <v>0</v>
      </c>
      <c r="BT43" s="57" cm="1">
        <f t="array" ref="BT43">SUMPRODUCT(
  IF($B43:$K43&lt;&gt;"",
     INDEX('Eurostat EB products IEA'!$A$4:$BN$135,
           MATCH($B43:$K43, 'Eurostat EB products IEA'!$A$4:$A$135, 0),
           MATCH(BT$1, 'Eurostat EB products IEA'!$A$4:$BN$4, 0)
     )
     * $L43:$U43,
     0
  )
)</f>
        <v>0</v>
      </c>
      <c r="BU43" s="65">
        <v>0</v>
      </c>
      <c r="BV43" s="65">
        <v>0</v>
      </c>
      <c r="BW43" s="57" cm="1">
        <f t="array" ref="BW43">SUMPRODUCT(
  IF($B43:$K43&lt;&gt;"",
     INDEX('Eurostat EB products IEA'!$A$4:$BN$135,
           MATCH($B43:$K43, 'Eurostat EB products IEA'!$A$4:$A$135, 0),
           MATCH(BW$1, 'Eurostat EB products IEA'!$A$4:$BN$4, 0)
     )
     * $L43:$U43,
     0
  )
)</f>
        <v>0</v>
      </c>
      <c r="BX43" s="57" cm="1">
        <f t="array" ref="BX43">SUMPRODUCT(
  IF($B43:$K43&lt;&gt;"",
     INDEX('Eurostat EB products IEA'!$A$4:$BN$135,
           MATCH($B43:$K43, 'Eurostat EB products IEA'!$A$4:$A$135, 0),
           MATCH(BX$1, 'Eurostat EB products IEA'!$A$4:$BN$4, 0)
     )
     * $L43:$U43,
     0
  )
)</f>
        <v>0</v>
      </c>
      <c r="BY43" s="57" cm="1">
        <f t="array" ref="BY43">SUMPRODUCT(
  IF($B43:$K43&lt;&gt;"",
     INDEX('Eurostat EB products IEA'!$A$4:$BN$135,
           MATCH($B43:$K43, 'Eurostat EB products IEA'!$A$4:$A$135, 0),
           MATCH(BY$1, 'Eurostat EB products IEA'!$A$4:$BN$4, 0)
     )
     * $L43:$U43,
     0
  )
)</f>
        <v>0</v>
      </c>
      <c r="BZ43" s="57" cm="1">
        <f t="array" ref="BZ43">SUMPRODUCT(
  IF($B43:$K43&lt;&gt;"",
     INDEX('Eurostat EB products IEA'!$A$4:$BN$135,
           MATCH($B43:$K43, 'Eurostat EB products IEA'!$A$4:$A$135, 0),
           MATCH(BZ$1, 'Eurostat EB products IEA'!$A$4:$BN$4, 0)
     )
     * $L43:$U43,
     0
  )
)</f>
        <v>0</v>
      </c>
      <c r="CA43" s="57" cm="1">
        <f t="array" ref="CA43">SUMPRODUCT(
  IF($B43:$K43&lt;&gt;"",
     INDEX('Eurostat EB products IEA'!$A$4:$BN$135,
           MATCH($B43:$K43, 'Eurostat EB products IEA'!$A$4:$A$135, 0),
           MATCH(CA$1, 'Eurostat EB products IEA'!$A$4:$BN$4, 0)
     )
     * $L43:$U43,
     0
  )
)</f>
        <v>0</v>
      </c>
      <c r="CB43" s="57" cm="1">
        <f t="array" ref="CB43">SUMPRODUCT(
  IF($B43:$K43&lt;&gt;"",
     INDEX('Eurostat EB products IEA'!$A$4:$BN$135,
           MATCH($B43:$K43, 'Eurostat EB products IEA'!$A$4:$A$135, 0),
           MATCH(CB$1, 'Eurostat EB products IEA'!$A$4:$BN$4, 0)
     )
     * $L43:$U43,
     0
  )
)</f>
        <v>0</v>
      </c>
      <c r="CC43" s="57" cm="1">
        <f t="array" ref="CC43">SUMPRODUCT(
  IF($B43:$K43&lt;&gt;"",
     INDEX('Eurostat EB products IEA'!$A$4:$BN$135,
           MATCH($B43:$K43, 'Eurostat EB products IEA'!$A$4:$A$135, 0),
           MATCH(CC$1, 'Eurostat EB products IEA'!$A$4:$BN$4, 0)
     )
     * $L43:$U43,
     0
  )
)</f>
        <v>0</v>
      </c>
      <c r="CD43" s="65">
        <v>0</v>
      </c>
      <c r="CE43" s="57" cm="1">
        <f t="array" ref="CE43">SUMPRODUCT(
  IF($B43:$K43&lt;&gt;"",
     INDEX('Eurostat EB products IEA'!$A$4:$BN$135,
           MATCH($B43:$K43, 'Eurostat EB products IEA'!$A$4:$A$135, 0),
           MATCH(CE$1, 'Eurostat EB products IEA'!$A$4:$BN$4, 0)
     )
     * $L43:$U43,
     0
  )
)</f>
        <v>-9573.6059999999998</v>
      </c>
      <c r="CF43" s="57" cm="1">
        <f t="array" ref="CF43">SUMPRODUCT(
  IF($B43:$K43&lt;&gt;"",
     INDEX('Eurostat EB products IEA'!$A$4:$BN$135,
           MATCH($B43:$K43, 'Eurostat EB products IEA'!$A$4:$A$135, 0),
           MATCH(CF$1, 'Eurostat EB products IEA'!$A$4:$BN$4, 0)
     )
     * $L43:$U43,
     0
  )
)</f>
        <v>-8696.3790000000008</v>
      </c>
      <c r="CG43" s="57" cm="1">
        <f t="array" ref="CG43">SUMPRODUCT(
  IF($B43:$K43&lt;&gt;"",
     INDEX('Eurostat EB products IEA'!$A$4:$BN$135,
           MATCH($B43:$K43, 'Eurostat EB products IEA'!$A$4:$A$135, 0),
           MATCH(CG$1, 'Eurostat EB products IEA'!$A$4:$BN$4, 0)
     )
     * $L43:$U43,
     0
  )
)</f>
        <v>-139399.74600000001</v>
      </c>
      <c r="CH43" s="57" cm="1">
        <f t="array" ref="CH43">SUMPRODUCT(
  IF($B43:$K43&lt;&gt;"",
     INDEX('Eurostat EB products IEA'!$A$4:$BN$135,
           MATCH($B43:$K43, 'Eurostat EB products IEA'!$A$4:$A$135, 0),
           MATCH(CH$1, 'Eurostat EB products IEA'!$A$4:$BN$4, 0)
     )
     * $L43:$U43,
     0
  )
)</f>
        <v>-2721.5419999999999</v>
      </c>
    </row>
    <row r="44" spans="1:86" x14ac:dyDescent="0.2">
      <c r="A44" t="s">
        <v>90</v>
      </c>
      <c r="B44" s="75"/>
      <c r="C44" s="77"/>
      <c r="D44" s="75"/>
      <c r="E44" s="77"/>
      <c r="F44" s="75"/>
      <c r="G44" s="77"/>
      <c r="H44" s="75"/>
      <c r="I44" s="77"/>
      <c r="J44" s="74"/>
      <c r="K44" s="78" t="s">
        <v>273</v>
      </c>
      <c r="L44" s="76"/>
      <c r="M44" s="79"/>
      <c r="N44" s="76"/>
      <c r="O44" s="79"/>
      <c r="P44" s="76"/>
      <c r="Q44" s="79"/>
      <c r="R44" s="76"/>
      <c r="S44" s="79"/>
      <c r="T44" s="76"/>
      <c r="U44" s="79">
        <v>-1</v>
      </c>
      <c r="V44" s="65" t="s">
        <v>323</v>
      </c>
      <c r="W44" s="65" t="s">
        <v>323</v>
      </c>
      <c r="X44" s="17" cm="1">
        <f t="array" ref="X44">SUMPRODUCT(
  IF($B44:$K44&lt;&gt;"",
     INDEX('Eurostat EB products IEA'!$A$4:$BN$135,
           MATCH($B44:$K44, 'Eurostat EB products IEA'!$A$4:$A$135, 0),
           MATCH(X$1, 'Eurostat EB products IEA'!$A$4:$BN$4, 0)
     )
     * $L44:$U44,
     0
  )
)</f>
        <v>0</v>
      </c>
      <c r="Y44" s="17" cm="1">
        <f t="array" ref="Y44">SUMPRODUCT(
  IF($B44:$K44&lt;&gt;"",
     INDEX('Eurostat EB products IEA'!$A$4:$BN$135,
           MATCH($B44:$K44, 'Eurostat EB products IEA'!$A$4:$A$135, 0),
           MATCH(Y$1, 'Eurostat EB products IEA'!$A$4:$BN$4, 0)
     )
     * $L44:$U44,
     0
  )
)</f>
        <v>0</v>
      </c>
      <c r="Z44" s="17" cm="1">
        <f t="array" ref="Z44">SUMPRODUCT(
  IF($B44:$K44&lt;&gt;"",
     INDEX('Eurostat EB products IEA'!$A$4:$BN$135,
           MATCH($B44:$K44, 'Eurostat EB products IEA'!$A$4:$A$135, 0),
           MATCH(Z$1, 'Eurostat EB products IEA'!$A$4:$BN$4, 0)
     )
     * $L44:$U44,
     0
  )
)</f>
        <v>0</v>
      </c>
      <c r="AA44" s="17" cm="1">
        <f t="array" ref="AA44">SUMPRODUCT(
  IF($B44:$K44&lt;&gt;"",
     INDEX('Eurostat EB products IEA'!$A$4:$BN$135,
           MATCH($B44:$K44, 'Eurostat EB products IEA'!$A$4:$A$135, 0),
           MATCH(AA$1, 'Eurostat EB products IEA'!$A$4:$BN$4, 0)
     )
     * $L44:$U44,
     0
  )
)</f>
        <v>0</v>
      </c>
      <c r="AB44" s="17" cm="1">
        <f t="array" ref="AB44">SUMPRODUCT(
  IF($B44:$K44&lt;&gt;"",
     INDEX('Eurostat EB products IEA'!$A$4:$BN$135,
           MATCH($B44:$K44, 'Eurostat EB products IEA'!$A$4:$A$135, 0),
           MATCH(AB$1, 'Eurostat EB products IEA'!$A$4:$BN$4, 0)
     )
     * $L44:$U44,
     0
  )
)</f>
        <v>0</v>
      </c>
      <c r="AC44" s="17" cm="1">
        <f t="array" ref="AC44">SUMPRODUCT(
  IF($B44:$K44&lt;&gt;"",
     INDEX('Eurostat EB products IEA'!$A$4:$BN$135,
           MATCH($B44:$K44, 'Eurostat EB products IEA'!$A$4:$A$135, 0),
           MATCH(AC$1, 'Eurostat EB products IEA'!$A$4:$BN$4, 0)
     )
     * $L44:$U44,
     0
  )
)</f>
        <v>0</v>
      </c>
      <c r="AD44" s="17" cm="1">
        <f t="array" ref="AD44">SUMPRODUCT(
  IF($B44:$K44&lt;&gt;"",
     INDEX('Eurostat EB products IEA'!$A$4:$BN$135,
           MATCH($B44:$K44, 'Eurostat EB products IEA'!$A$4:$A$135, 0),
           MATCH(AD$1, 'Eurostat EB products IEA'!$A$4:$BN$4, 0)
     )
     * $L44:$U44,
     0
  )
)</f>
        <v>0</v>
      </c>
      <c r="AE44" s="17" cm="1">
        <f t="array" ref="AE44">SUMPRODUCT(
  IF($B44:$K44&lt;&gt;"",
     INDEX('Eurostat EB products IEA'!$A$4:$BN$135,
           MATCH($B44:$K44, 'Eurostat EB products IEA'!$A$4:$A$135, 0),
           MATCH(AE$1, 'Eurostat EB products IEA'!$A$4:$BN$4, 0)
     )
     * $L44:$U44,
     0
  )
)</f>
        <v>0</v>
      </c>
      <c r="AF44" s="17" cm="1">
        <f t="array" ref="AF44">SUMPRODUCT(
  IF($B44:$K44&lt;&gt;"",
     INDEX('Eurostat EB products IEA'!$A$4:$BN$135,
           MATCH($B44:$K44, 'Eurostat EB products IEA'!$A$4:$A$135, 0),
           MATCH(AF$1, 'Eurostat EB products IEA'!$A$4:$BN$4, 0)
     )
     * $L44:$U44,
     0
  )
)</f>
        <v>0</v>
      </c>
      <c r="AG44" s="17" cm="1">
        <f t="array" ref="AG44">SUMPRODUCT(
  IF($B44:$K44&lt;&gt;"",
     INDEX('Eurostat EB products IEA'!$A$4:$BN$135,
           MATCH($B44:$K44, 'Eurostat EB products IEA'!$A$4:$A$135, 0),
           MATCH(AG$1, 'Eurostat EB products IEA'!$A$4:$BN$4, 0)
     )
     * $L44:$U44,
     0
  )
)</f>
        <v>0</v>
      </c>
      <c r="AH44" s="17" cm="1">
        <f t="array" ref="AH44">SUMPRODUCT(
  IF($B44:$K44&lt;&gt;"",
     INDEX('Eurostat EB products IEA'!$A$4:$BN$135,
           MATCH($B44:$K44, 'Eurostat EB products IEA'!$A$4:$A$135, 0),
           MATCH(AH$1, 'Eurostat EB products IEA'!$A$4:$BN$4, 0)
     )
     * $L44:$U44,
     0
  )
)</f>
        <v>0</v>
      </c>
      <c r="AI44" s="17" cm="1">
        <f t="array" ref="AI44">SUMPRODUCT(
  IF($B44:$K44&lt;&gt;"",
     INDEX('Eurostat EB products IEA'!$A$4:$BN$135,
           MATCH($B44:$K44, 'Eurostat EB products IEA'!$A$4:$A$135, 0),
           MATCH(AI$1, 'Eurostat EB products IEA'!$A$4:$BN$4, 0)
     )
     * $L44:$U44,
     0
  )
)</f>
        <v>0</v>
      </c>
      <c r="AJ44" s="17" cm="1">
        <f t="array" ref="AJ44">SUMPRODUCT(
  IF($B44:$K44&lt;&gt;"",
     INDEX('Eurostat EB products IEA'!$A$4:$BN$135,
           MATCH($B44:$K44, 'Eurostat EB products IEA'!$A$4:$A$135, 0),
           MATCH(AJ$1, 'Eurostat EB products IEA'!$A$4:$BN$4, 0)
     )
     * $L44:$U44,
     0
  )
)</f>
        <v>0</v>
      </c>
      <c r="AK44" s="17" cm="1">
        <f t="array" ref="AK44">SUMPRODUCT(
  IF($B44:$K44&lt;&gt;"",
     INDEX('Eurostat EB products IEA'!$A$4:$BN$135,
           MATCH($B44:$K44, 'Eurostat EB products IEA'!$A$4:$A$135, 0),
           MATCH(AK$1, 'Eurostat EB products IEA'!$A$4:$BN$4, 0)
     )
     * $L44:$U44,
     0
  )
)</f>
        <v>0</v>
      </c>
      <c r="AL44" s="17" cm="1">
        <f t="array" ref="AL44">SUMPRODUCT(
  IF($B44:$K44&lt;&gt;"",
     INDEX('Eurostat EB products IEA'!$A$4:$BN$135,
           MATCH($B44:$K44, 'Eurostat EB products IEA'!$A$4:$A$135, 0),
           MATCH(AL$1, 'Eurostat EB products IEA'!$A$4:$BN$4, 0)
     )
     * $L44:$U44,
     0
  )
)</f>
        <v>0</v>
      </c>
      <c r="AM44" s="17" cm="1">
        <f t="array" ref="AM44">SUMPRODUCT(
  IF($B44:$K44&lt;&gt;"",
     INDEX('Eurostat EB products IEA'!$A$4:$BN$135,
           MATCH($B44:$K44, 'Eurostat EB products IEA'!$A$4:$A$135, 0),
           MATCH(AM$1, 'Eurostat EB products IEA'!$A$4:$BN$4, 0)
     )
     * $L44:$U44,
     0
  )
)</f>
        <v>0</v>
      </c>
      <c r="AN44" s="65" t="s">
        <v>323</v>
      </c>
      <c r="AO44" s="17" cm="1">
        <f t="array" ref="AO44">SUMPRODUCT(
  IF($B44:$K44&lt;&gt;"",
     INDEX('Eurostat EB products IEA'!$A$4:$BN$135,
           MATCH($B44:$K44, 'Eurostat EB products IEA'!$A$4:$A$135, 0),
           MATCH(AO$1, 'Eurostat EB products IEA'!$A$4:$BN$4, 0)
     )
     * $L44:$U44,
     0
  )
)</f>
        <v>0</v>
      </c>
      <c r="AP44" s="17" cm="1">
        <f t="array" ref="AP44">SUMPRODUCT(
  IF($B44:$K44&lt;&gt;"",
     INDEX('Eurostat EB products IEA'!$A$4:$BN$135,
           MATCH($B44:$K44, 'Eurostat EB products IEA'!$A$4:$A$135, 0),
           MATCH(AP$1, 'Eurostat EB products IEA'!$A$4:$BN$4, 0)
     )
     * $L44:$U44,
     0
  )
)</f>
        <v>0</v>
      </c>
      <c r="AQ44" s="17" cm="1">
        <f t="array" ref="AQ44">SUMPRODUCT(
  IF($B44:$K44&lt;&gt;"",
     INDEX('Eurostat EB products IEA'!$A$4:$BN$135,
           MATCH($B44:$K44, 'Eurostat EB products IEA'!$A$4:$A$135, 0),
           MATCH(AQ$1, 'Eurostat EB products IEA'!$A$4:$BN$4, 0)
     )
     * $L44:$U44,
     0
  )
)</f>
        <v>0</v>
      </c>
      <c r="AR44" s="17" cm="1">
        <f t="array" ref="AR44">SUMPRODUCT(
  IF($B44:$K44&lt;&gt;"",
     INDEX('Eurostat EB products IEA'!$A$4:$BN$135,
           MATCH($B44:$K44, 'Eurostat EB products IEA'!$A$4:$A$135, 0),
           MATCH(AR$1, 'Eurostat EB products IEA'!$A$4:$BN$4, 0)
     )
     * $L44:$U44,
     0
  )
)</f>
        <v>0</v>
      </c>
      <c r="AS44" s="17" cm="1">
        <f t="array" ref="AS44">SUMPRODUCT(
  IF($B44:$K44&lt;&gt;"",
     INDEX('Eurostat EB products IEA'!$A$4:$BN$135,
           MATCH($B44:$K44, 'Eurostat EB products IEA'!$A$4:$A$135, 0),
           MATCH(AS$1, 'Eurostat EB products IEA'!$A$4:$BN$4, 0)
     )
     * $L44:$U44,
     0
  )
)</f>
        <v>0</v>
      </c>
      <c r="AT44" s="17" cm="1">
        <f t="array" ref="AT44">SUMPRODUCT(
  IF($B44:$K44&lt;&gt;"",
     INDEX('Eurostat EB products IEA'!$A$4:$BN$135,
           MATCH($B44:$K44, 'Eurostat EB products IEA'!$A$4:$A$135, 0),
           MATCH(AT$1, 'Eurostat EB products IEA'!$A$4:$BN$4, 0)
     )
     * $L44:$U44,
     0
  )
)</f>
        <v>0</v>
      </c>
      <c r="AU44" s="17" cm="1">
        <f t="array" ref="AU44">SUMPRODUCT(
  IF($B44:$K44&lt;&gt;"",
     INDEX('Eurostat EB products IEA'!$A$4:$BN$135,
           MATCH($B44:$K44, 'Eurostat EB products IEA'!$A$4:$A$135, 0),
           MATCH(AU$1, 'Eurostat EB products IEA'!$A$4:$BN$4, 0)
     )
     * $L44:$U44,
     0
  )
)</f>
        <v>0</v>
      </c>
      <c r="AV44" s="17" cm="1">
        <f t="array" ref="AV44">SUMPRODUCT(
  IF($B44:$K44&lt;&gt;"",
     INDEX('Eurostat EB products IEA'!$A$4:$BN$135,
           MATCH($B44:$K44, 'Eurostat EB products IEA'!$A$4:$A$135, 0),
           MATCH(AV$1, 'Eurostat EB products IEA'!$A$4:$BN$4, 0)
     )
     * $L44:$U44,
     0
  )
)</f>
        <v>0</v>
      </c>
      <c r="AW44" s="17" cm="1">
        <f t="array" ref="AW44">SUMPRODUCT(
  IF($B44:$K44&lt;&gt;"",
     INDEX('Eurostat EB products IEA'!$A$4:$BN$135,
           MATCH($B44:$K44, 'Eurostat EB products IEA'!$A$4:$A$135, 0),
           MATCH(AW$1, 'Eurostat EB products IEA'!$A$4:$BN$4, 0)
     )
     * $L44:$U44,
     0
  )
)</f>
        <v>0</v>
      </c>
      <c r="AX44" s="17" cm="1">
        <f t="array" ref="AX44">SUMPRODUCT(
  IF($B44:$K44&lt;&gt;"",
     INDEX('Eurostat EB products IEA'!$A$4:$BN$135,
           MATCH($B44:$K44, 'Eurostat EB products IEA'!$A$4:$A$135, 0),
           MATCH(AX$1, 'Eurostat EB products IEA'!$A$4:$BN$4, 0)
     )
     * $L44:$U44,
     0
  )
)</f>
        <v>0</v>
      </c>
      <c r="AY44" s="17" cm="1">
        <f t="array" ref="AY44">SUMPRODUCT(
  IF($B44:$K44&lt;&gt;"",
     INDEX('Eurostat EB products IEA'!$A$4:$BN$135,
           MATCH($B44:$K44, 'Eurostat EB products IEA'!$A$4:$A$135, 0),
           MATCH(AY$1, 'Eurostat EB products IEA'!$A$4:$BN$4, 0)
     )
     * $L44:$U44,
     0
  )
)</f>
        <v>0</v>
      </c>
      <c r="AZ44" s="17" cm="1">
        <f t="array" ref="AZ44">SUMPRODUCT(
  IF($B44:$K44&lt;&gt;"",
     INDEX('Eurostat EB products IEA'!$A$4:$BN$135,
           MATCH($B44:$K44, 'Eurostat EB products IEA'!$A$4:$A$135, 0),
           MATCH(AZ$1, 'Eurostat EB products IEA'!$A$4:$BN$4, 0)
     )
     * $L44:$U44,
     0
  )
)</f>
        <v>0</v>
      </c>
      <c r="BA44" s="17" cm="1">
        <f t="array" ref="BA44">SUMPRODUCT(
  IF($B44:$K44&lt;&gt;"",
     INDEX('Eurostat EB products IEA'!$A$4:$BN$135,
           MATCH($B44:$K44, 'Eurostat EB products IEA'!$A$4:$A$135, 0),
           MATCH(BA$1, 'Eurostat EB products IEA'!$A$4:$BN$4, 0)
     )
     * $L44:$U44,
     0
  )
)</f>
        <v>0</v>
      </c>
      <c r="BB44" s="17" cm="1">
        <f t="array" ref="BB44">SUMPRODUCT(
  IF($B44:$K44&lt;&gt;"",
     INDEX('Eurostat EB products IEA'!$A$4:$BN$135,
           MATCH($B44:$K44, 'Eurostat EB products IEA'!$A$4:$A$135, 0),
           MATCH(BB$1, 'Eurostat EB products IEA'!$A$4:$BN$4, 0)
     )
     * $L44:$U44,
     0
  )
)</f>
        <v>0</v>
      </c>
      <c r="BC44" s="17" cm="1">
        <f t="array" ref="BC44">SUMPRODUCT(
  IF($B44:$K44&lt;&gt;"",
     INDEX('Eurostat EB products IEA'!$A$4:$BN$135,
           MATCH($B44:$K44, 'Eurostat EB products IEA'!$A$4:$A$135, 0),
           MATCH(BC$1, 'Eurostat EB products IEA'!$A$4:$BN$4, 0)
     )
     * $L44:$U44,
     0
  )
)</f>
        <v>0</v>
      </c>
      <c r="BD44" s="17" cm="1">
        <f t="array" ref="BD44">SUMPRODUCT(
  IF($B44:$K44&lt;&gt;"",
     INDEX('Eurostat EB products IEA'!$A$4:$BN$135,
           MATCH($B44:$K44, 'Eurostat EB products IEA'!$A$4:$A$135, 0),
           MATCH(BD$1, 'Eurostat EB products IEA'!$A$4:$BN$4, 0)
     )
     * $L44:$U44,
     0
  )
)</f>
        <v>0</v>
      </c>
      <c r="BE44" s="17" cm="1">
        <f t="array" ref="BE44">SUMPRODUCT(
  IF($B44:$K44&lt;&gt;"",
     INDEX('Eurostat EB products IEA'!$A$4:$BN$135,
           MATCH($B44:$K44, 'Eurostat EB products IEA'!$A$4:$A$135, 0),
           MATCH(BE$1, 'Eurostat EB products IEA'!$A$4:$BN$4, 0)
     )
     * $L44:$U44,
     0
  )
)</f>
        <v>0</v>
      </c>
      <c r="BF44" s="17" cm="1">
        <f t="array" ref="BF44">SUMPRODUCT(
  IF($B44:$K44&lt;&gt;"",
     INDEX('Eurostat EB products IEA'!$A$4:$BN$135,
           MATCH($B44:$K44, 'Eurostat EB products IEA'!$A$4:$A$135, 0),
           MATCH(BF$1, 'Eurostat EB products IEA'!$A$4:$BN$4, 0)
     )
     * $L44:$U44,
     0
  )
)</f>
        <v>0</v>
      </c>
      <c r="BG44" s="17" cm="1">
        <f t="array" ref="BG44">SUMPRODUCT(
  IF($B44:$K44&lt;&gt;"",
     INDEX('Eurostat EB products IEA'!$A$4:$BN$135,
           MATCH($B44:$K44, 'Eurostat EB products IEA'!$A$4:$A$135, 0),
           MATCH(BG$1, 'Eurostat EB products IEA'!$A$4:$BN$4, 0)
     )
     * $L44:$U44,
     0
  )
)</f>
        <v>0</v>
      </c>
      <c r="BH44" s="17" cm="1">
        <f t="array" ref="BH44">SUMPRODUCT(
  IF($B44:$K44&lt;&gt;"",
     INDEX('Eurostat EB products IEA'!$A$4:$BN$135,
           MATCH($B44:$K44, 'Eurostat EB products IEA'!$A$4:$A$135, 0),
           MATCH(BH$1, 'Eurostat EB products IEA'!$A$4:$BN$4, 0)
     )
     * $L44:$U44,
     0
  )
)</f>
        <v>0</v>
      </c>
      <c r="BI44" s="17" cm="1">
        <f t="array" ref="BI44">SUMPRODUCT(
  IF($B44:$K44&lt;&gt;"",
     INDEX('Eurostat EB products IEA'!$A$4:$BN$135,
           MATCH($B44:$K44, 'Eurostat EB products IEA'!$A$4:$A$135, 0),
           MATCH(BI$1, 'Eurostat EB products IEA'!$A$4:$BN$4, 0)
     )
     * $L44:$U44,
     0
  )
)</f>
        <v>0</v>
      </c>
      <c r="BJ44" s="17" cm="1">
        <f t="array" ref="BJ44">SUMPRODUCT(
  IF($B44:$K44&lt;&gt;"",
     INDEX('Eurostat EB products IEA'!$A$4:$BN$135,
           MATCH($B44:$K44, 'Eurostat EB products IEA'!$A$4:$A$135, 0),
           MATCH(BJ$1, 'Eurostat EB products IEA'!$A$4:$BN$4, 0)
     )
     * $L44:$U44,
     0
  )
)</f>
        <v>0</v>
      </c>
      <c r="BK44" s="17" cm="1">
        <f t="array" ref="BK44">SUMPRODUCT(
  IF($B44:$K44&lt;&gt;"",
     INDEX('Eurostat EB products IEA'!$A$4:$BN$135,
           MATCH($B44:$K44, 'Eurostat EB products IEA'!$A$4:$A$135, 0),
           MATCH(BK$1, 'Eurostat EB products IEA'!$A$4:$BN$4, 0)
     )
     * $L44:$U44,
     0
  )
)</f>
        <v>0</v>
      </c>
      <c r="BL44" s="17" cm="1">
        <f t="array" ref="BL44">SUMPRODUCT(
  IF($B44:$K44&lt;&gt;"",
     INDEX('Eurostat EB products IEA'!$A$4:$BN$135,
           MATCH($B44:$K44, 'Eurostat EB products IEA'!$A$4:$A$135, 0),
           MATCH(BL$1, 'Eurostat EB products IEA'!$A$4:$BN$4, 0)
     )
     * $L44:$U44,
     0
  )
)</f>
        <v>0</v>
      </c>
      <c r="BM44" s="17" cm="1">
        <f t="array" ref="BM44">SUMPRODUCT(
  IF($B44:$K44&lt;&gt;"",
     INDEX('Eurostat EB products IEA'!$A$4:$BN$135,
           MATCH($B44:$K44, 'Eurostat EB products IEA'!$A$4:$A$135, 0),
           MATCH(BM$1, 'Eurostat EB products IEA'!$A$4:$BN$4, 0)
     )
     * $L44:$U44,
     0
  )
)</f>
        <v>0</v>
      </c>
      <c r="BN44" s="17" cm="1">
        <f t="array" ref="BN44">SUMPRODUCT(
  IF($B44:$K44&lt;&gt;"",
     INDEX('Eurostat EB products IEA'!$A$4:$BN$135,
           MATCH($B44:$K44, 'Eurostat EB products IEA'!$A$4:$A$135, 0),
           MATCH(BN$1, 'Eurostat EB products IEA'!$A$4:$BN$4, 0)
     )
     * $L44:$U44,
     0
  )
)</f>
        <v>0</v>
      </c>
      <c r="BO44" s="17" cm="1">
        <f t="array" ref="BO44">SUMPRODUCT(
  IF($B44:$K44&lt;&gt;"",
     INDEX('Eurostat EB products IEA'!$A$4:$BN$135,
           MATCH($B44:$K44, 'Eurostat EB products IEA'!$A$4:$A$135, 0),
           MATCH(BO$1, 'Eurostat EB products IEA'!$A$4:$BN$4, 0)
     )
     * $L44:$U44,
     0
  )
)</f>
        <v>0</v>
      </c>
      <c r="BP44" s="17" cm="1">
        <f t="array" ref="BP44">SUMPRODUCT(
  IF($B44:$K44&lt;&gt;"",
     INDEX('Eurostat EB products IEA'!$A$4:$BN$135,
           MATCH($B44:$K44, 'Eurostat EB products IEA'!$A$4:$A$135, 0),
           MATCH(BP$1, 'Eurostat EB products IEA'!$A$4:$BN$4, 0)
     )
     * $L44:$U44,
     0
  )
)</f>
        <v>0</v>
      </c>
      <c r="BQ44" s="17" cm="1">
        <f t="array" ref="BQ44">SUMPRODUCT(
  IF($B44:$K44&lt;&gt;"",
     INDEX('Eurostat EB products IEA'!$A$4:$BN$135,
           MATCH($B44:$K44, 'Eurostat EB products IEA'!$A$4:$A$135, 0),
           MATCH(BQ$1, 'Eurostat EB products IEA'!$A$4:$BN$4, 0)
     )
     * $L44:$U44,
     0
  )
)</f>
        <v>0</v>
      </c>
      <c r="BR44" s="17" cm="1">
        <f t="array" ref="BR44">SUMPRODUCT(
  IF($B44:$K44&lt;&gt;"",
     INDEX('Eurostat EB products IEA'!$A$4:$BN$135,
           MATCH($B44:$K44, 'Eurostat EB products IEA'!$A$4:$A$135, 0),
           MATCH(BR$1, 'Eurostat EB products IEA'!$A$4:$BN$4, 0)
     )
     * $L44:$U44,
     0
  )
)</f>
        <v>0</v>
      </c>
      <c r="BS44" s="65">
        <v>0</v>
      </c>
      <c r="BT44" s="17" cm="1">
        <f t="array" ref="BT44">SUMPRODUCT(
  IF($B44:$K44&lt;&gt;"",
     INDEX('Eurostat EB products IEA'!$A$4:$BN$135,
           MATCH($B44:$K44, 'Eurostat EB products IEA'!$A$4:$A$135, 0),
           MATCH(BT$1, 'Eurostat EB products IEA'!$A$4:$BN$4, 0)
     )
     * $L44:$U44,
     0
  )
)</f>
        <v>0</v>
      </c>
      <c r="BU44" s="65">
        <v>0</v>
      </c>
      <c r="BV44" s="65">
        <v>0</v>
      </c>
      <c r="BW44" s="17" cm="1">
        <f t="array" ref="BW44">SUMPRODUCT(
  IF($B44:$K44&lt;&gt;"",
     INDEX('Eurostat EB products IEA'!$A$4:$BN$135,
           MATCH($B44:$K44, 'Eurostat EB products IEA'!$A$4:$A$135, 0),
           MATCH(BW$1, 'Eurostat EB products IEA'!$A$4:$BN$4, 0)
     )
     * $L44:$U44,
     0
  )
)</f>
        <v>0</v>
      </c>
      <c r="BX44" s="17" cm="1">
        <f t="array" ref="BX44">SUMPRODUCT(
  IF($B44:$K44&lt;&gt;"",
     INDEX('Eurostat EB products IEA'!$A$4:$BN$135,
           MATCH($B44:$K44, 'Eurostat EB products IEA'!$A$4:$A$135, 0),
           MATCH(BX$1, 'Eurostat EB products IEA'!$A$4:$BN$4, 0)
     )
     * $L44:$U44,
     0
  )
)</f>
        <v>0</v>
      </c>
      <c r="BY44" s="17" cm="1">
        <f t="array" ref="BY44">SUMPRODUCT(
  IF($B44:$K44&lt;&gt;"",
     INDEX('Eurostat EB products IEA'!$A$4:$BN$135,
           MATCH($B44:$K44, 'Eurostat EB products IEA'!$A$4:$A$135, 0),
           MATCH(BY$1, 'Eurostat EB products IEA'!$A$4:$BN$4, 0)
     )
     * $L44:$U44,
     0
  )
)</f>
        <v>0</v>
      </c>
      <c r="BZ44" s="17" cm="1">
        <f t="array" ref="BZ44">SUMPRODUCT(
  IF($B44:$K44&lt;&gt;"",
     INDEX('Eurostat EB products IEA'!$A$4:$BN$135,
           MATCH($B44:$K44, 'Eurostat EB products IEA'!$A$4:$A$135, 0),
           MATCH(BZ$1, 'Eurostat EB products IEA'!$A$4:$BN$4, 0)
     )
     * $L44:$U44,
     0
  )
)</f>
        <v>0</v>
      </c>
      <c r="CA44" s="17" cm="1">
        <f t="array" ref="CA44">SUMPRODUCT(
  IF($B44:$K44&lt;&gt;"",
     INDEX('Eurostat EB products IEA'!$A$4:$BN$135,
           MATCH($B44:$K44, 'Eurostat EB products IEA'!$A$4:$A$135, 0),
           MATCH(CA$1, 'Eurostat EB products IEA'!$A$4:$BN$4, 0)
     )
     * $L44:$U44,
     0
  )
)</f>
        <v>0</v>
      </c>
      <c r="CB44" s="17" cm="1">
        <f t="array" ref="CB44">SUMPRODUCT(
  IF($B44:$K44&lt;&gt;"",
     INDEX('Eurostat EB products IEA'!$A$4:$BN$135,
           MATCH($B44:$K44, 'Eurostat EB products IEA'!$A$4:$A$135, 0),
           MATCH(CB$1, 'Eurostat EB products IEA'!$A$4:$BN$4, 0)
     )
     * $L44:$U44,
     0
  )
)</f>
        <v>0</v>
      </c>
      <c r="CC44" s="17" cm="1">
        <f t="array" ref="CC44">SUMPRODUCT(
  IF($B44:$K44&lt;&gt;"",
     INDEX('Eurostat EB products IEA'!$A$4:$BN$135,
           MATCH($B44:$K44, 'Eurostat EB products IEA'!$A$4:$A$135, 0),
           MATCH(CC$1, 'Eurostat EB products IEA'!$A$4:$BN$4, 0)
     )
     * $L44:$U44,
     0
  )
)</f>
        <v>0</v>
      </c>
      <c r="CD44" s="65">
        <v>0</v>
      </c>
      <c r="CE44" s="17" cm="1">
        <f t="array" ref="CE44">SUMPRODUCT(
  IF($B44:$K44&lt;&gt;"",
     INDEX('Eurostat EB products IEA'!$A$4:$BN$135,
           MATCH($B44:$K44, 'Eurostat EB products IEA'!$A$4:$A$135, 0),
           MATCH(CE$1, 'Eurostat EB products IEA'!$A$4:$BN$4, 0)
     )
     * $L44:$U44,
     0
  )
)</f>
        <v>0</v>
      </c>
      <c r="CF44" s="17" cm="1">
        <f t="array" ref="CF44">SUMPRODUCT(
  IF($B44:$K44&lt;&gt;"",
     INDEX('Eurostat EB products IEA'!$A$4:$BN$135,
           MATCH($B44:$K44, 'Eurostat EB products IEA'!$A$4:$A$135, 0),
           MATCH(CF$1, 'Eurostat EB products IEA'!$A$4:$BN$4, 0)
     )
     * $L44:$U44,
     0
  )
)</f>
        <v>0</v>
      </c>
      <c r="CG44" s="17" cm="1">
        <f t="array" ref="CG44">SUMPRODUCT(
  IF($B44:$K44&lt;&gt;"",
     INDEX('Eurostat EB products IEA'!$A$4:$BN$135,
           MATCH($B44:$K44, 'Eurostat EB products IEA'!$A$4:$A$135, 0),
           MATCH(CG$1, 'Eurostat EB products IEA'!$A$4:$BN$4, 0)
     )
     * $L44:$U44,
     0
  )
)</f>
        <v>0</v>
      </c>
      <c r="CH44" s="17" cm="1">
        <f t="array" ref="CH44">SUMPRODUCT(
  IF($B44:$K44&lt;&gt;"",
     INDEX('Eurostat EB products IEA'!$A$4:$BN$135,
           MATCH($B44:$K44, 'Eurostat EB products IEA'!$A$4:$A$135, 0),
           MATCH(CH$1, 'Eurostat EB products IEA'!$A$4:$BN$4, 0)
     )
     * $L44:$U44,
     0
  )
)</f>
        <v>0</v>
      </c>
    </row>
    <row r="45" spans="1:86" x14ac:dyDescent="0.2">
      <c r="A45" t="s">
        <v>165</v>
      </c>
      <c r="B45" s="75"/>
      <c r="C45" s="77"/>
      <c r="D45" s="75"/>
      <c r="E45" s="77"/>
      <c r="F45" s="75"/>
      <c r="G45" s="77"/>
      <c r="H45" s="75"/>
      <c r="I45" s="77"/>
      <c r="J45" s="74"/>
      <c r="K45" s="78" t="s">
        <v>274</v>
      </c>
      <c r="L45" s="76"/>
      <c r="M45" s="79"/>
      <c r="N45" s="76"/>
      <c r="O45" s="79"/>
      <c r="P45" s="76"/>
      <c r="Q45" s="79"/>
      <c r="R45" s="76"/>
      <c r="S45" s="79"/>
      <c r="T45" s="76"/>
      <c r="U45" s="79">
        <v>-1</v>
      </c>
      <c r="V45" s="65" t="s">
        <v>323</v>
      </c>
      <c r="W45" s="65" t="s">
        <v>323</v>
      </c>
      <c r="X45" s="57" cm="1">
        <f t="array" ref="X45">SUMPRODUCT(
  IF($B45:$K45&lt;&gt;"",
     INDEX('Eurostat EB products IEA'!$A$4:$BN$135,
           MATCH($B45:$K45, 'Eurostat EB products IEA'!$A$4:$A$135, 0),
           MATCH(X$1, 'Eurostat EB products IEA'!$A$4:$BN$4, 0)
     )
     * $L45:$U45,
     0
  )
)</f>
        <v>0</v>
      </c>
      <c r="Y45" s="57" cm="1">
        <f t="array" ref="Y45">SUMPRODUCT(
  IF($B45:$K45&lt;&gt;"",
     INDEX('Eurostat EB products IEA'!$A$4:$BN$135,
           MATCH($B45:$K45, 'Eurostat EB products IEA'!$A$4:$A$135, 0),
           MATCH(Y$1, 'Eurostat EB products IEA'!$A$4:$BN$4, 0)
     )
     * $L45:$U45,
     0
  )
)</f>
        <v>0</v>
      </c>
      <c r="Z45" s="57" cm="1">
        <f t="array" ref="Z45">SUMPRODUCT(
  IF($B45:$K45&lt;&gt;"",
     INDEX('Eurostat EB products IEA'!$A$4:$BN$135,
           MATCH($B45:$K45, 'Eurostat EB products IEA'!$A$4:$A$135, 0),
           MATCH(Z$1, 'Eurostat EB products IEA'!$A$4:$BN$4, 0)
     )
     * $L45:$U45,
     0
  )
)</f>
        <v>0</v>
      </c>
      <c r="AA45" s="57" cm="1">
        <f t="array" ref="AA45">SUMPRODUCT(
  IF($B45:$K45&lt;&gt;"",
     INDEX('Eurostat EB products IEA'!$A$4:$BN$135,
           MATCH($B45:$K45, 'Eurostat EB products IEA'!$A$4:$A$135, 0),
           MATCH(AA$1, 'Eurostat EB products IEA'!$A$4:$BN$4, 0)
     )
     * $L45:$U45,
     0
  )
)</f>
        <v>0</v>
      </c>
      <c r="AB45" s="57" cm="1">
        <f t="array" ref="AB45">SUMPRODUCT(
  IF($B45:$K45&lt;&gt;"",
     INDEX('Eurostat EB products IEA'!$A$4:$BN$135,
           MATCH($B45:$K45, 'Eurostat EB products IEA'!$A$4:$A$135, 0),
           MATCH(AB$1, 'Eurostat EB products IEA'!$A$4:$BN$4, 0)
     )
     * $L45:$U45,
     0
  )
)</f>
        <v>0</v>
      </c>
      <c r="AC45" s="57" cm="1">
        <f t="array" ref="AC45">SUMPRODUCT(
  IF($B45:$K45&lt;&gt;"",
     INDEX('Eurostat EB products IEA'!$A$4:$BN$135,
           MATCH($B45:$K45, 'Eurostat EB products IEA'!$A$4:$A$135, 0),
           MATCH(AC$1, 'Eurostat EB products IEA'!$A$4:$BN$4, 0)
     )
     * $L45:$U45,
     0
  )
)</f>
        <v>0</v>
      </c>
      <c r="AD45" s="57" cm="1">
        <f t="array" ref="AD45">SUMPRODUCT(
  IF($B45:$K45&lt;&gt;"",
     INDEX('Eurostat EB products IEA'!$A$4:$BN$135,
           MATCH($B45:$K45, 'Eurostat EB products IEA'!$A$4:$A$135, 0),
           MATCH(AD$1, 'Eurostat EB products IEA'!$A$4:$BN$4, 0)
     )
     * $L45:$U45,
     0
  )
)</f>
        <v>0</v>
      </c>
      <c r="AE45" s="57" cm="1">
        <f t="array" ref="AE45">SUMPRODUCT(
  IF($B45:$K45&lt;&gt;"",
     INDEX('Eurostat EB products IEA'!$A$4:$BN$135,
           MATCH($B45:$K45, 'Eurostat EB products IEA'!$A$4:$A$135, 0),
           MATCH(AE$1, 'Eurostat EB products IEA'!$A$4:$BN$4, 0)
     )
     * $L45:$U45,
     0
  )
)</f>
        <v>0</v>
      </c>
      <c r="AF45" s="57" cm="1">
        <f t="array" ref="AF45">SUMPRODUCT(
  IF($B45:$K45&lt;&gt;"",
     INDEX('Eurostat EB products IEA'!$A$4:$BN$135,
           MATCH($B45:$K45, 'Eurostat EB products IEA'!$A$4:$A$135, 0),
           MATCH(AF$1, 'Eurostat EB products IEA'!$A$4:$BN$4, 0)
     )
     * $L45:$U45,
     0
  )
)</f>
        <v>0</v>
      </c>
      <c r="AG45" s="57" cm="1">
        <f t="array" ref="AG45">SUMPRODUCT(
  IF($B45:$K45&lt;&gt;"",
     INDEX('Eurostat EB products IEA'!$A$4:$BN$135,
           MATCH($B45:$K45, 'Eurostat EB products IEA'!$A$4:$A$135, 0),
           MATCH(AG$1, 'Eurostat EB products IEA'!$A$4:$BN$4, 0)
     )
     * $L45:$U45,
     0
  )
)</f>
        <v>0</v>
      </c>
      <c r="AH45" s="57" cm="1">
        <f t="array" ref="AH45">SUMPRODUCT(
  IF($B45:$K45&lt;&gt;"",
     INDEX('Eurostat EB products IEA'!$A$4:$BN$135,
           MATCH($B45:$K45, 'Eurostat EB products IEA'!$A$4:$A$135, 0),
           MATCH(AH$1, 'Eurostat EB products IEA'!$A$4:$BN$4, 0)
     )
     * $L45:$U45,
     0
  )
)</f>
        <v>0</v>
      </c>
      <c r="AI45" s="57" cm="1">
        <f t="array" ref="AI45">SUMPRODUCT(
  IF($B45:$K45&lt;&gt;"",
     INDEX('Eurostat EB products IEA'!$A$4:$BN$135,
           MATCH($B45:$K45, 'Eurostat EB products IEA'!$A$4:$A$135, 0),
           MATCH(AI$1, 'Eurostat EB products IEA'!$A$4:$BN$4, 0)
     )
     * $L45:$U45,
     0
  )
)</f>
        <v>0</v>
      </c>
      <c r="AJ45" s="57" cm="1">
        <f t="array" ref="AJ45">SUMPRODUCT(
  IF($B45:$K45&lt;&gt;"",
     INDEX('Eurostat EB products IEA'!$A$4:$BN$135,
           MATCH($B45:$K45, 'Eurostat EB products IEA'!$A$4:$A$135, 0),
           MATCH(AJ$1, 'Eurostat EB products IEA'!$A$4:$BN$4, 0)
     )
     * $L45:$U45,
     0
  )
)</f>
        <v>0</v>
      </c>
      <c r="AK45" s="57" cm="1">
        <f t="array" ref="AK45">SUMPRODUCT(
  IF($B45:$K45&lt;&gt;"",
     INDEX('Eurostat EB products IEA'!$A$4:$BN$135,
           MATCH($B45:$K45, 'Eurostat EB products IEA'!$A$4:$A$135, 0),
           MATCH(AK$1, 'Eurostat EB products IEA'!$A$4:$BN$4, 0)
     )
     * $L45:$U45,
     0
  )
)</f>
        <v>0</v>
      </c>
      <c r="AL45" s="57" cm="1">
        <f t="array" ref="AL45">SUMPRODUCT(
  IF($B45:$K45&lt;&gt;"",
     INDEX('Eurostat EB products IEA'!$A$4:$BN$135,
           MATCH($B45:$K45, 'Eurostat EB products IEA'!$A$4:$A$135, 0),
           MATCH(AL$1, 'Eurostat EB products IEA'!$A$4:$BN$4, 0)
     )
     * $L45:$U45,
     0
  )
)</f>
        <v>0</v>
      </c>
      <c r="AM45" s="57" cm="1">
        <f t="array" ref="AM45">SUMPRODUCT(
  IF($B45:$K45&lt;&gt;"",
     INDEX('Eurostat EB products IEA'!$A$4:$BN$135,
           MATCH($B45:$K45, 'Eurostat EB products IEA'!$A$4:$A$135, 0),
           MATCH(AM$1, 'Eurostat EB products IEA'!$A$4:$BN$4, 0)
     )
     * $L45:$U45,
     0
  )
)</f>
        <v>0</v>
      </c>
      <c r="AN45" s="65" t="s">
        <v>323</v>
      </c>
      <c r="AO45" s="57" cm="1">
        <f t="array" ref="AO45">SUMPRODUCT(
  IF($B45:$K45&lt;&gt;"",
     INDEX('Eurostat EB products IEA'!$A$4:$BN$135,
           MATCH($B45:$K45, 'Eurostat EB products IEA'!$A$4:$A$135, 0),
           MATCH(AO$1, 'Eurostat EB products IEA'!$A$4:$BN$4, 0)
     )
     * $L45:$U45,
     0
  )
)</f>
        <v>0</v>
      </c>
      <c r="AP45" s="57" cm="1">
        <f t="array" ref="AP45">SUMPRODUCT(
  IF($B45:$K45&lt;&gt;"",
     INDEX('Eurostat EB products IEA'!$A$4:$BN$135,
           MATCH($B45:$K45, 'Eurostat EB products IEA'!$A$4:$A$135, 0),
           MATCH(AP$1, 'Eurostat EB products IEA'!$A$4:$BN$4, 0)
     )
     * $L45:$U45,
     0
  )
)</f>
        <v>0</v>
      </c>
      <c r="AQ45" s="57" cm="1">
        <f t="array" ref="AQ45">SUMPRODUCT(
  IF($B45:$K45&lt;&gt;"",
     INDEX('Eurostat EB products IEA'!$A$4:$BN$135,
           MATCH($B45:$K45, 'Eurostat EB products IEA'!$A$4:$A$135, 0),
           MATCH(AQ$1, 'Eurostat EB products IEA'!$A$4:$BN$4, 0)
     )
     * $L45:$U45,
     0
  )
)</f>
        <v>0</v>
      </c>
      <c r="AR45" s="57" cm="1">
        <f t="array" ref="AR45">SUMPRODUCT(
  IF($B45:$K45&lt;&gt;"",
     INDEX('Eurostat EB products IEA'!$A$4:$BN$135,
           MATCH($B45:$K45, 'Eurostat EB products IEA'!$A$4:$A$135, 0),
           MATCH(AR$1, 'Eurostat EB products IEA'!$A$4:$BN$4, 0)
     )
     * $L45:$U45,
     0
  )
)</f>
        <v>0</v>
      </c>
      <c r="AS45" s="57" cm="1">
        <f t="array" ref="AS45">SUMPRODUCT(
  IF($B45:$K45&lt;&gt;"",
     INDEX('Eurostat EB products IEA'!$A$4:$BN$135,
           MATCH($B45:$K45, 'Eurostat EB products IEA'!$A$4:$A$135, 0),
           MATCH(AS$1, 'Eurostat EB products IEA'!$A$4:$BN$4, 0)
     )
     * $L45:$U45,
     0
  )
)</f>
        <v>0</v>
      </c>
      <c r="AT45" s="57" cm="1">
        <f t="array" ref="AT45">SUMPRODUCT(
  IF($B45:$K45&lt;&gt;"",
     INDEX('Eurostat EB products IEA'!$A$4:$BN$135,
           MATCH($B45:$K45, 'Eurostat EB products IEA'!$A$4:$A$135, 0),
           MATCH(AT$1, 'Eurostat EB products IEA'!$A$4:$BN$4, 0)
     )
     * $L45:$U45,
     0
  )
)</f>
        <v>0</v>
      </c>
      <c r="AU45" s="57" cm="1">
        <f t="array" ref="AU45">SUMPRODUCT(
  IF($B45:$K45&lt;&gt;"",
     INDEX('Eurostat EB products IEA'!$A$4:$BN$135,
           MATCH($B45:$K45, 'Eurostat EB products IEA'!$A$4:$A$135, 0),
           MATCH(AU$1, 'Eurostat EB products IEA'!$A$4:$BN$4, 0)
     )
     * $L45:$U45,
     0
  )
)</f>
        <v>0</v>
      </c>
      <c r="AV45" s="57" cm="1">
        <f t="array" ref="AV45">SUMPRODUCT(
  IF($B45:$K45&lt;&gt;"",
     INDEX('Eurostat EB products IEA'!$A$4:$BN$135,
           MATCH($B45:$K45, 'Eurostat EB products IEA'!$A$4:$A$135, 0),
           MATCH(AV$1, 'Eurostat EB products IEA'!$A$4:$BN$4, 0)
     )
     * $L45:$U45,
     0
  )
)</f>
        <v>0</v>
      </c>
      <c r="AW45" s="57" cm="1">
        <f t="array" ref="AW45">SUMPRODUCT(
  IF($B45:$K45&lt;&gt;"",
     INDEX('Eurostat EB products IEA'!$A$4:$BN$135,
           MATCH($B45:$K45, 'Eurostat EB products IEA'!$A$4:$A$135, 0),
           MATCH(AW$1, 'Eurostat EB products IEA'!$A$4:$BN$4, 0)
     )
     * $L45:$U45,
     0
  )
)</f>
        <v>0</v>
      </c>
      <c r="AX45" s="57" cm="1">
        <f t="array" ref="AX45">SUMPRODUCT(
  IF($B45:$K45&lt;&gt;"",
     INDEX('Eurostat EB products IEA'!$A$4:$BN$135,
           MATCH($B45:$K45, 'Eurostat EB products IEA'!$A$4:$A$135, 0),
           MATCH(AX$1, 'Eurostat EB products IEA'!$A$4:$BN$4, 0)
     )
     * $L45:$U45,
     0
  )
)</f>
        <v>0</v>
      </c>
      <c r="AY45" s="57" cm="1">
        <f t="array" ref="AY45">SUMPRODUCT(
  IF($B45:$K45&lt;&gt;"",
     INDEX('Eurostat EB products IEA'!$A$4:$BN$135,
           MATCH($B45:$K45, 'Eurostat EB products IEA'!$A$4:$A$135, 0),
           MATCH(AY$1, 'Eurostat EB products IEA'!$A$4:$BN$4, 0)
     )
     * $L45:$U45,
     0
  )
)</f>
        <v>0</v>
      </c>
      <c r="AZ45" s="57" cm="1">
        <f t="array" ref="AZ45">SUMPRODUCT(
  IF($B45:$K45&lt;&gt;"",
     INDEX('Eurostat EB products IEA'!$A$4:$BN$135,
           MATCH($B45:$K45, 'Eurostat EB products IEA'!$A$4:$A$135, 0),
           MATCH(AZ$1, 'Eurostat EB products IEA'!$A$4:$BN$4, 0)
     )
     * $L45:$U45,
     0
  )
)</f>
        <v>0</v>
      </c>
      <c r="BA45" s="57" cm="1">
        <f t="array" ref="BA45">SUMPRODUCT(
  IF($B45:$K45&lt;&gt;"",
     INDEX('Eurostat EB products IEA'!$A$4:$BN$135,
           MATCH($B45:$K45, 'Eurostat EB products IEA'!$A$4:$A$135, 0),
           MATCH(BA$1, 'Eurostat EB products IEA'!$A$4:$BN$4, 0)
     )
     * $L45:$U45,
     0
  )
)</f>
        <v>0</v>
      </c>
      <c r="BB45" s="57" cm="1">
        <f t="array" ref="BB45">SUMPRODUCT(
  IF($B45:$K45&lt;&gt;"",
     INDEX('Eurostat EB products IEA'!$A$4:$BN$135,
           MATCH($B45:$K45, 'Eurostat EB products IEA'!$A$4:$A$135, 0),
           MATCH(BB$1, 'Eurostat EB products IEA'!$A$4:$BN$4, 0)
     )
     * $L45:$U45,
     0
  )
)</f>
        <v>0</v>
      </c>
      <c r="BC45" s="57" cm="1">
        <f t="array" ref="BC45">SUMPRODUCT(
  IF($B45:$K45&lt;&gt;"",
     INDEX('Eurostat EB products IEA'!$A$4:$BN$135,
           MATCH($B45:$K45, 'Eurostat EB products IEA'!$A$4:$A$135, 0),
           MATCH(BC$1, 'Eurostat EB products IEA'!$A$4:$BN$4, 0)
     )
     * $L45:$U45,
     0
  )
)</f>
        <v>0</v>
      </c>
      <c r="BD45" s="57" cm="1">
        <f t="array" ref="BD45">SUMPRODUCT(
  IF($B45:$K45&lt;&gt;"",
     INDEX('Eurostat EB products IEA'!$A$4:$BN$135,
           MATCH($B45:$K45, 'Eurostat EB products IEA'!$A$4:$A$135, 0),
           MATCH(BD$1, 'Eurostat EB products IEA'!$A$4:$BN$4, 0)
     )
     * $L45:$U45,
     0
  )
)</f>
        <v>0</v>
      </c>
      <c r="BE45" s="57" cm="1">
        <f t="array" ref="BE45">SUMPRODUCT(
  IF($B45:$K45&lt;&gt;"",
     INDEX('Eurostat EB products IEA'!$A$4:$BN$135,
           MATCH($B45:$K45, 'Eurostat EB products IEA'!$A$4:$A$135, 0),
           MATCH(BE$1, 'Eurostat EB products IEA'!$A$4:$BN$4, 0)
     )
     * $L45:$U45,
     0
  )
)</f>
        <v>0</v>
      </c>
      <c r="BF45" s="57" cm="1">
        <f t="array" ref="BF45">SUMPRODUCT(
  IF($B45:$K45&lt;&gt;"",
     INDEX('Eurostat EB products IEA'!$A$4:$BN$135,
           MATCH($B45:$K45, 'Eurostat EB products IEA'!$A$4:$A$135, 0),
           MATCH(BF$1, 'Eurostat EB products IEA'!$A$4:$BN$4, 0)
     )
     * $L45:$U45,
     0
  )
)</f>
        <v>0</v>
      </c>
      <c r="BG45" s="57" cm="1">
        <f t="array" ref="BG45">SUMPRODUCT(
  IF($B45:$K45&lt;&gt;"",
     INDEX('Eurostat EB products IEA'!$A$4:$BN$135,
           MATCH($B45:$K45, 'Eurostat EB products IEA'!$A$4:$A$135, 0),
           MATCH(BG$1, 'Eurostat EB products IEA'!$A$4:$BN$4, 0)
     )
     * $L45:$U45,
     0
  )
)</f>
        <v>0</v>
      </c>
      <c r="BH45" s="57" cm="1">
        <f t="array" ref="BH45">SUMPRODUCT(
  IF($B45:$K45&lt;&gt;"",
     INDEX('Eurostat EB products IEA'!$A$4:$BN$135,
           MATCH($B45:$K45, 'Eurostat EB products IEA'!$A$4:$A$135, 0),
           MATCH(BH$1, 'Eurostat EB products IEA'!$A$4:$BN$4, 0)
     )
     * $L45:$U45,
     0
  )
)</f>
        <v>0</v>
      </c>
      <c r="BI45" s="57" cm="1">
        <f t="array" ref="BI45">SUMPRODUCT(
  IF($B45:$K45&lt;&gt;"",
     INDEX('Eurostat EB products IEA'!$A$4:$BN$135,
           MATCH($B45:$K45, 'Eurostat EB products IEA'!$A$4:$A$135, 0),
           MATCH(BI$1, 'Eurostat EB products IEA'!$A$4:$BN$4, 0)
     )
     * $L45:$U45,
     0
  )
)</f>
        <v>0</v>
      </c>
      <c r="BJ45" s="57" cm="1">
        <f t="array" ref="BJ45">SUMPRODUCT(
  IF($B45:$K45&lt;&gt;"",
     INDEX('Eurostat EB products IEA'!$A$4:$BN$135,
           MATCH($B45:$K45, 'Eurostat EB products IEA'!$A$4:$A$135, 0),
           MATCH(BJ$1, 'Eurostat EB products IEA'!$A$4:$BN$4, 0)
     )
     * $L45:$U45,
     0
  )
)</f>
        <v>0</v>
      </c>
      <c r="BK45" s="57" cm="1">
        <f t="array" ref="BK45">SUMPRODUCT(
  IF($B45:$K45&lt;&gt;"",
     INDEX('Eurostat EB products IEA'!$A$4:$BN$135,
           MATCH($B45:$K45, 'Eurostat EB products IEA'!$A$4:$A$135, 0),
           MATCH(BK$1, 'Eurostat EB products IEA'!$A$4:$BN$4, 0)
     )
     * $L45:$U45,
     0
  )
)</f>
        <v>0</v>
      </c>
      <c r="BL45" s="57" cm="1">
        <f t="array" ref="BL45">SUMPRODUCT(
  IF($B45:$K45&lt;&gt;"",
     INDEX('Eurostat EB products IEA'!$A$4:$BN$135,
           MATCH($B45:$K45, 'Eurostat EB products IEA'!$A$4:$A$135, 0),
           MATCH(BL$1, 'Eurostat EB products IEA'!$A$4:$BN$4, 0)
     )
     * $L45:$U45,
     0
  )
)</f>
        <v>0</v>
      </c>
      <c r="BM45" s="57" cm="1">
        <f t="array" ref="BM45">SUMPRODUCT(
  IF($B45:$K45&lt;&gt;"",
     INDEX('Eurostat EB products IEA'!$A$4:$BN$135,
           MATCH($B45:$K45, 'Eurostat EB products IEA'!$A$4:$A$135, 0),
           MATCH(BM$1, 'Eurostat EB products IEA'!$A$4:$BN$4, 0)
     )
     * $L45:$U45,
     0
  )
)</f>
        <v>0</v>
      </c>
      <c r="BN45" s="57" cm="1">
        <f t="array" ref="BN45">SUMPRODUCT(
  IF($B45:$K45&lt;&gt;"",
     INDEX('Eurostat EB products IEA'!$A$4:$BN$135,
           MATCH($B45:$K45, 'Eurostat EB products IEA'!$A$4:$A$135, 0),
           MATCH(BN$1, 'Eurostat EB products IEA'!$A$4:$BN$4, 0)
     )
     * $L45:$U45,
     0
  )
)</f>
        <v>0</v>
      </c>
      <c r="BO45" s="57" cm="1">
        <f t="array" ref="BO45">SUMPRODUCT(
  IF($B45:$K45&lt;&gt;"",
     INDEX('Eurostat EB products IEA'!$A$4:$BN$135,
           MATCH($B45:$K45, 'Eurostat EB products IEA'!$A$4:$A$135, 0),
           MATCH(BO$1, 'Eurostat EB products IEA'!$A$4:$BN$4, 0)
     )
     * $L45:$U45,
     0
  )
)</f>
        <v>0</v>
      </c>
      <c r="BP45" s="57" cm="1">
        <f t="array" ref="BP45">SUMPRODUCT(
  IF($B45:$K45&lt;&gt;"",
     INDEX('Eurostat EB products IEA'!$A$4:$BN$135,
           MATCH($B45:$K45, 'Eurostat EB products IEA'!$A$4:$A$135, 0),
           MATCH(BP$1, 'Eurostat EB products IEA'!$A$4:$BN$4, 0)
     )
     * $L45:$U45,
     0
  )
)</f>
        <v>0</v>
      </c>
      <c r="BQ45" s="57" cm="1">
        <f t="array" ref="BQ45">SUMPRODUCT(
  IF($B45:$K45&lt;&gt;"",
     INDEX('Eurostat EB products IEA'!$A$4:$BN$135,
           MATCH($B45:$K45, 'Eurostat EB products IEA'!$A$4:$A$135, 0),
           MATCH(BQ$1, 'Eurostat EB products IEA'!$A$4:$BN$4, 0)
     )
     * $L45:$U45,
     0
  )
)</f>
        <v>0</v>
      </c>
      <c r="BR45" s="57" cm="1">
        <f t="array" ref="BR45">SUMPRODUCT(
  IF($B45:$K45&lt;&gt;"",
     INDEX('Eurostat EB products IEA'!$A$4:$BN$135,
           MATCH($B45:$K45, 'Eurostat EB products IEA'!$A$4:$A$135, 0),
           MATCH(BR$1, 'Eurostat EB products IEA'!$A$4:$BN$4, 0)
     )
     * $L45:$U45,
     0
  )
)</f>
        <v>0</v>
      </c>
      <c r="BS45" s="65">
        <v>0</v>
      </c>
      <c r="BT45" s="57" cm="1">
        <f t="array" ref="BT45">SUMPRODUCT(
  IF($B45:$K45&lt;&gt;"",
     INDEX('Eurostat EB products IEA'!$A$4:$BN$135,
           MATCH($B45:$K45, 'Eurostat EB products IEA'!$A$4:$A$135, 0),
           MATCH(BT$1, 'Eurostat EB products IEA'!$A$4:$BN$4, 0)
     )
     * $L45:$U45,
     0
  )
)</f>
        <v>0</v>
      </c>
      <c r="BU45" s="65">
        <v>0</v>
      </c>
      <c r="BV45" s="65">
        <v>0</v>
      </c>
      <c r="BW45" s="57" cm="1">
        <f t="array" ref="BW45">SUMPRODUCT(
  IF($B45:$K45&lt;&gt;"",
     INDEX('Eurostat EB products IEA'!$A$4:$BN$135,
           MATCH($B45:$K45, 'Eurostat EB products IEA'!$A$4:$A$135, 0),
           MATCH(BW$1, 'Eurostat EB products IEA'!$A$4:$BN$4, 0)
     )
     * $L45:$U45,
     0
  )
)</f>
        <v>0</v>
      </c>
      <c r="BX45" s="57" cm="1">
        <f t="array" ref="BX45">SUMPRODUCT(
  IF($B45:$K45&lt;&gt;"",
     INDEX('Eurostat EB products IEA'!$A$4:$BN$135,
           MATCH($B45:$K45, 'Eurostat EB products IEA'!$A$4:$A$135, 0),
           MATCH(BX$1, 'Eurostat EB products IEA'!$A$4:$BN$4, 0)
     )
     * $L45:$U45,
     0
  )
)</f>
        <v>0</v>
      </c>
      <c r="BY45" s="57" cm="1">
        <f t="array" ref="BY45">SUMPRODUCT(
  IF($B45:$K45&lt;&gt;"",
     INDEX('Eurostat EB products IEA'!$A$4:$BN$135,
           MATCH($B45:$K45, 'Eurostat EB products IEA'!$A$4:$A$135, 0),
           MATCH(BY$1, 'Eurostat EB products IEA'!$A$4:$BN$4, 0)
     )
     * $L45:$U45,
     0
  )
)</f>
        <v>0</v>
      </c>
      <c r="BZ45" s="57" cm="1">
        <f t="array" ref="BZ45">SUMPRODUCT(
  IF($B45:$K45&lt;&gt;"",
     INDEX('Eurostat EB products IEA'!$A$4:$BN$135,
           MATCH($B45:$K45, 'Eurostat EB products IEA'!$A$4:$A$135, 0),
           MATCH(BZ$1, 'Eurostat EB products IEA'!$A$4:$BN$4, 0)
     )
     * $L45:$U45,
     0
  )
)</f>
        <v>0</v>
      </c>
      <c r="CA45" s="57" cm="1">
        <f t="array" ref="CA45">SUMPRODUCT(
  IF($B45:$K45&lt;&gt;"",
     INDEX('Eurostat EB products IEA'!$A$4:$BN$135,
           MATCH($B45:$K45, 'Eurostat EB products IEA'!$A$4:$A$135, 0),
           MATCH(CA$1, 'Eurostat EB products IEA'!$A$4:$BN$4, 0)
     )
     * $L45:$U45,
     0
  )
)</f>
        <v>0</v>
      </c>
      <c r="CB45" s="57" cm="1">
        <f t="array" ref="CB45">SUMPRODUCT(
  IF($B45:$K45&lt;&gt;"",
     INDEX('Eurostat EB products IEA'!$A$4:$BN$135,
           MATCH($B45:$K45, 'Eurostat EB products IEA'!$A$4:$A$135, 0),
           MATCH(CB$1, 'Eurostat EB products IEA'!$A$4:$BN$4, 0)
     )
     * $L45:$U45,
     0
  )
)</f>
        <v>0</v>
      </c>
      <c r="CC45" s="57" cm="1">
        <f t="array" ref="CC45">SUMPRODUCT(
  IF($B45:$K45&lt;&gt;"",
     INDEX('Eurostat EB products IEA'!$A$4:$BN$135,
           MATCH($B45:$K45, 'Eurostat EB products IEA'!$A$4:$A$135, 0),
           MATCH(CC$1, 'Eurostat EB products IEA'!$A$4:$BN$4, 0)
     )
     * $L45:$U45,
     0
  )
)</f>
        <v>0</v>
      </c>
      <c r="CD45" s="65">
        <v>0</v>
      </c>
      <c r="CE45" s="57" cm="1">
        <f t="array" ref="CE45">SUMPRODUCT(
  IF($B45:$K45&lt;&gt;"",
     INDEX('Eurostat EB products IEA'!$A$4:$BN$135,
           MATCH($B45:$K45, 'Eurostat EB products IEA'!$A$4:$A$135, 0),
           MATCH(CE$1, 'Eurostat EB products IEA'!$A$4:$BN$4, 0)
     )
     * $L45:$U45,
     0
  )
)</f>
        <v>0</v>
      </c>
      <c r="CF45" s="57" cm="1">
        <f t="array" ref="CF45">SUMPRODUCT(
  IF($B45:$K45&lt;&gt;"",
     INDEX('Eurostat EB products IEA'!$A$4:$BN$135,
           MATCH($B45:$K45, 'Eurostat EB products IEA'!$A$4:$A$135, 0),
           MATCH(CF$1, 'Eurostat EB products IEA'!$A$4:$BN$4, 0)
     )
     * $L45:$U45,
     0
  )
)</f>
        <v>0</v>
      </c>
      <c r="CG45" s="57" cm="1">
        <f t="array" ref="CG45">SUMPRODUCT(
  IF($B45:$K45&lt;&gt;"",
     INDEX('Eurostat EB products IEA'!$A$4:$BN$135,
           MATCH($B45:$K45, 'Eurostat EB products IEA'!$A$4:$A$135, 0),
           MATCH(CG$1, 'Eurostat EB products IEA'!$A$4:$BN$4, 0)
     )
     * $L45:$U45,
     0
  )
)</f>
        <v>0</v>
      </c>
      <c r="CH45" s="57" cm="1">
        <f t="array" ref="CH45">SUMPRODUCT(
  IF($B45:$K45&lt;&gt;"",
     INDEX('Eurostat EB products IEA'!$A$4:$BN$135,
           MATCH($B45:$K45, 'Eurostat EB products IEA'!$A$4:$A$135, 0),
           MATCH(CH$1, 'Eurostat EB products IEA'!$A$4:$BN$4, 0)
     )
     * $L45:$U45,
     0
  )
)</f>
        <v>0</v>
      </c>
    </row>
    <row r="46" spans="1:86" x14ac:dyDescent="0.2">
      <c r="A46" t="s">
        <v>97</v>
      </c>
      <c r="B46" s="75"/>
      <c r="C46" s="77"/>
      <c r="D46" s="75"/>
      <c r="E46" s="77"/>
      <c r="F46" s="75"/>
      <c r="G46" s="77"/>
      <c r="H46" s="75"/>
      <c r="I46" s="77"/>
      <c r="J46" s="74"/>
      <c r="K46" s="78" t="s">
        <v>276</v>
      </c>
      <c r="L46" s="76"/>
      <c r="M46" s="79"/>
      <c r="N46" s="76"/>
      <c r="O46" s="79"/>
      <c r="P46" s="76"/>
      <c r="Q46" s="79"/>
      <c r="R46" s="76"/>
      <c r="S46" s="79"/>
      <c r="T46" s="76"/>
      <c r="U46" s="79">
        <v>-1</v>
      </c>
      <c r="V46" s="65" t="s">
        <v>323</v>
      </c>
      <c r="W46" s="65" t="s">
        <v>323</v>
      </c>
      <c r="X46" s="17" cm="1">
        <f t="array" ref="X46">SUMPRODUCT(
  IF($B46:$K46&lt;&gt;"",
     INDEX('Eurostat EB products IEA'!$A$4:$BN$135,
           MATCH($B46:$K46, 'Eurostat EB products IEA'!$A$4:$A$135, 0),
           MATCH(X$1, 'Eurostat EB products IEA'!$A$4:$BN$4, 0)
     )
     * $L46:$U46,
     0
  )
)</f>
        <v>0</v>
      </c>
      <c r="Y46" s="17" cm="1">
        <f t="array" ref="Y46">SUMPRODUCT(
  IF($B46:$K46&lt;&gt;"",
     INDEX('Eurostat EB products IEA'!$A$4:$BN$135,
           MATCH($B46:$K46, 'Eurostat EB products IEA'!$A$4:$A$135, 0),
           MATCH(Y$1, 'Eurostat EB products IEA'!$A$4:$BN$4, 0)
     )
     * $L46:$U46,
     0
  )
)</f>
        <v>0</v>
      </c>
      <c r="Z46" s="17" cm="1">
        <f t="array" ref="Z46">SUMPRODUCT(
  IF($B46:$K46&lt;&gt;"",
     INDEX('Eurostat EB products IEA'!$A$4:$BN$135,
           MATCH($B46:$K46, 'Eurostat EB products IEA'!$A$4:$A$135, 0),
           MATCH(Z$1, 'Eurostat EB products IEA'!$A$4:$BN$4, 0)
     )
     * $L46:$U46,
     0
  )
)</f>
        <v>0</v>
      </c>
      <c r="AA46" s="17" cm="1">
        <f t="array" ref="AA46">SUMPRODUCT(
  IF($B46:$K46&lt;&gt;"",
     INDEX('Eurostat EB products IEA'!$A$4:$BN$135,
           MATCH($B46:$K46, 'Eurostat EB products IEA'!$A$4:$A$135, 0),
           MATCH(AA$1, 'Eurostat EB products IEA'!$A$4:$BN$4, 0)
     )
     * $L46:$U46,
     0
  )
)</f>
        <v>0</v>
      </c>
      <c r="AB46" s="17" cm="1">
        <f t="array" ref="AB46">SUMPRODUCT(
  IF($B46:$K46&lt;&gt;"",
     INDEX('Eurostat EB products IEA'!$A$4:$BN$135,
           MATCH($B46:$K46, 'Eurostat EB products IEA'!$A$4:$A$135, 0),
           MATCH(AB$1, 'Eurostat EB products IEA'!$A$4:$BN$4, 0)
     )
     * $L46:$U46,
     0
  )
)</f>
        <v>0</v>
      </c>
      <c r="AC46" s="17" cm="1">
        <f t="array" ref="AC46">SUMPRODUCT(
  IF($B46:$K46&lt;&gt;"",
     INDEX('Eurostat EB products IEA'!$A$4:$BN$135,
           MATCH($B46:$K46, 'Eurostat EB products IEA'!$A$4:$A$135, 0),
           MATCH(AC$1, 'Eurostat EB products IEA'!$A$4:$BN$4, 0)
     )
     * $L46:$U46,
     0
  )
)</f>
        <v>0</v>
      </c>
      <c r="AD46" s="17" cm="1">
        <f t="array" ref="AD46">SUMPRODUCT(
  IF($B46:$K46&lt;&gt;"",
     INDEX('Eurostat EB products IEA'!$A$4:$BN$135,
           MATCH($B46:$K46, 'Eurostat EB products IEA'!$A$4:$A$135, 0),
           MATCH(AD$1, 'Eurostat EB products IEA'!$A$4:$BN$4, 0)
     )
     * $L46:$U46,
     0
  )
)</f>
        <v>0</v>
      </c>
      <c r="AE46" s="17" cm="1">
        <f t="array" ref="AE46">SUMPRODUCT(
  IF($B46:$K46&lt;&gt;"",
     INDEX('Eurostat EB products IEA'!$A$4:$BN$135,
           MATCH($B46:$K46, 'Eurostat EB products IEA'!$A$4:$A$135, 0),
           MATCH(AE$1, 'Eurostat EB products IEA'!$A$4:$BN$4, 0)
     )
     * $L46:$U46,
     0
  )
)</f>
        <v>0</v>
      </c>
      <c r="AF46" s="17" cm="1">
        <f t="array" ref="AF46">SUMPRODUCT(
  IF($B46:$K46&lt;&gt;"",
     INDEX('Eurostat EB products IEA'!$A$4:$BN$135,
           MATCH($B46:$K46, 'Eurostat EB products IEA'!$A$4:$A$135, 0),
           MATCH(AF$1, 'Eurostat EB products IEA'!$A$4:$BN$4, 0)
     )
     * $L46:$U46,
     0
  )
)</f>
        <v>0</v>
      </c>
      <c r="AG46" s="17" cm="1">
        <f t="array" ref="AG46">SUMPRODUCT(
  IF($B46:$K46&lt;&gt;"",
     INDEX('Eurostat EB products IEA'!$A$4:$BN$135,
           MATCH($B46:$K46, 'Eurostat EB products IEA'!$A$4:$A$135, 0),
           MATCH(AG$1, 'Eurostat EB products IEA'!$A$4:$BN$4, 0)
     )
     * $L46:$U46,
     0
  )
)</f>
        <v>0</v>
      </c>
      <c r="AH46" s="17" cm="1">
        <f t="array" ref="AH46">SUMPRODUCT(
  IF($B46:$K46&lt;&gt;"",
     INDEX('Eurostat EB products IEA'!$A$4:$BN$135,
           MATCH($B46:$K46, 'Eurostat EB products IEA'!$A$4:$A$135, 0),
           MATCH(AH$1, 'Eurostat EB products IEA'!$A$4:$BN$4, 0)
     )
     * $L46:$U46,
     0
  )
)</f>
        <v>0</v>
      </c>
      <c r="AI46" s="17" cm="1">
        <f t="array" ref="AI46">SUMPRODUCT(
  IF($B46:$K46&lt;&gt;"",
     INDEX('Eurostat EB products IEA'!$A$4:$BN$135,
           MATCH($B46:$K46, 'Eurostat EB products IEA'!$A$4:$A$135, 0),
           MATCH(AI$1, 'Eurostat EB products IEA'!$A$4:$BN$4, 0)
     )
     * $L46:$U46,
     0
  )
)</f>
        <v>0</v>
      </c>
      <c r="AJ46" s="17" cm="1">
        <f t="array" ref="AJ46">SUMPRODUCT(
  IF($B46:$K46&lt;&gt;"",
     INDEX('Eurostat EB products IEA'!$A$4:$BN$135,
           MATCH($B46:$K46, 'Eurostat EB products IEA'!$A$4:$A$135, 0),
           MATCH(AJ$1, 'Eurostat EB products IEA'!$A$4:$BN$4, 0)
     )
     * $L46:$U46,
     0
  )
)</f>
        <v>0</v>
      </c>
      <c r="AK46" s="17" cm="1">
        <f t="array" ref="AK46">SUMPRODUCT(
  IF($B46:$K46&lt;&gt;"",
     INDEX('Eurostat EB products IEA'!$A$4:$BN$135,
           MATCH($B46:$K46, 'Eurostat EB products IEA'!$A$4:$A$135, 0),
           MATCH(AK$1, 'Eurostat EB products IEA'!$A$4:$BN$4, 0)
     )
     * $L46:$U46,
     0
  )
)</f>
        <v>0</v>
      </c>
      <c r="AL46" s="17" cm="1">
        <f t="array" ref="AL46">SUMPRODUCT(
  IF($B46:$K46&lt;&gt;"",
     INDEX('Eurostat EB products IEA'!$A$4:$BN$135,
           MATCH($B46:$K46, 'Eurostat EB products IEA'!$A$4:$A$135, 0),
           MATCH(AL$1, 'Eurostat EB products IEA'!$A$4:$BN$4, 0)
     )
     * $L46:$U46,
     0
  )
)</f>
        <v>0</v>
      </c>
      <c r="AM46" s="17" cm="1">
        <f t="array" ref="AM46">SUMPRODUCT(
  IF($B46:$K46&lt;&gt;"",
     INDEX('Eurostat EB products IEA'!$A$4:$BN$135,
           MATCH($B46:$K46, 'Eurostat EB products IEA'!$A$4:$A$135, 0),
           MATCH(AM$1, 'Eurostat EB products IEA'!$A$4:$BN$4, 0)
     )
     * $L46:$U46,
     0
  )
)</f>
        <v>0</v>
      </c>
      <c r="AN46" s="65" t="s">
        <v>323</v>
      </c>
      <c r="AO46" s="17" cm="1">
        <f t="array" ref="AO46">SUMPRODUCT(
  IF($B46:$K46&lt;&gt;"",
     INDEX('Eurostat EB products IEA'!$A$4:$BN$135,
           MATCH($B46:$K46, 'Eurostat EB products IEA'!$A$4:$A$135, 0),
           MATCH(AO$1, 'Eurostat EB products IEA'!$A$4:$BN$4, 0)
     )
     * $L46:$U46,
     0
  )
)</f>
        <v>0</v>
      </c>
      <c r="AP46" s="17" cm="1">
        <f t="array" ref="AP46">SUMPRODUCT(
  IF($B46:$K46&lt;&gt;"",
     INDEX('Eurostat EB products IEA'!$A$4:$BN$135,
           MATCH($B46:$K46, 'Eurostat EB products IEA'!$A$4:$A$135, 0),
           MATCH(AP$1, 'Eurostat EB products IEA'!$A$4:$BN$4, 0)
     )
     * $L46:$U46,
     0
  )
)</f>
        <v>0</v>
      </c>
      <c r="AQ46" s="17" cm="1">
        <f t="array" ref="AQ46">SUMPRODUCT(
  IF($B46:$K46&lt;&gt;"",
     INDEX('Eurostat EB products IEA'!$A$4:$BN$135,
           MATCH($B46:$K46, 'Eurostat EB products IEA'!$A$4:$A$135, 0),
           MATCH(AQ$1, 'Eurostat EB products IEA'!$A$4:$BN$4, 0)
     )
     * $L46:$U46,
     0
  )
)</f>
        <v>0</v>
      </c>
      <c r="AR46" s="17" cm="1">
        <f t="array" ref="AR46">SUMPRODUCT(
  IF($B46:$K46&lt;&gt;"",
     INDEX('Eurostat EB products IEA'!$A$4:$BN$135,
           MATCH($B46:$K46, 'Eurostat EB products IEA'!$A$4:$A$135, 0),
           MATCH(AR$1, 'Eurostat EB products IEA'!$A$4:$BN$4, 0)
     )
     * $L46:$U46,
     0
  )
)</f>
        <v>0</v>
      </c>
      <c r="AS46" s="17" cm="1">
        <f t="array" ref="AS46">SUMPRODUCT(
  IF($B46:$K46&lt;&gt;"",
     INDEX('Eurostat EB products IEA'!$A$4:$BN$135,
           MATCH($B46:$K46, 'Eurostat EB products IEA'!$A$4:$A$135, 0),
           MATCH(AS$1, 'Eurostat EB products IEA'!$A$4:$BN$4, 0)
     )
     * $L46:$U46,
     0
  )
)</f>
        <v>0</v>
      </c>
      <c r="AT46" s="17" cm="1">
        <f t="array" ref="AT46">SUMPRODUCT(
  IF($B46:$K46&lt;&gt;"",
     INDEX('Eurostat EB products IEA'!$A$4:$BN$135,
           MATCH($B46:$K46, 'Eurostat EB products IEA'!$A$4:$A$135, 0),
           MATCH(AT$1, 'Eurostat EB products IEA'!$A$4:$BN$4, 0)
     )
     * $L46:$U46,
     0
  )
)</f>
        <v>0</v>
      </c>
      <c r="AU46" s="17" cm="1">
        <f t="array" ref="AU46">SUMPRODUCT(
  IF($B46:$K46&lt;&gt;"",
     INDEX('Eurostat EB products IEA'!$A$4:$BN$135,
           MATCH($B46:$K46, 'Eurostat EB products IEA'!$A$4:$A$135, 0),
           MATCH(AU$1, 'Eurostat EB products IEA'!$A$4:$BN$4, 0)
     )
     * $L46:$U46,
     0
  )
)</f>
        <v>0</v>
      </c>
      <c r="AV46" s="17" cm="1">
        <f t="array" ref="AV46">SUMPRODUCT(
  IF($B46:$K46&lt;&gt;"",
     INDEX('Eurostat EB products IEA'!$A$4:$BN$135,
           MATCH($B46:$K46, 'Eurostat EB products IEA'!$A$4:$A$135, 0),
           MATCH(AV$1, 'Eurostat EB products IEA'!$A$4:$BN$4, 0)
     )
     * $L46:$U46,
     0
  )
)</f>
        <v>0</v>
      </c>
      <c r="AW46" s="17" cm="1">
        <f t="array" ref="AW46">SUMPRODUCT(
  IF($B46:$K46&lt;&gt;"",
     INDEX('Eurostat EB products IEA'!$A$4:$BN$135,
           MATCH($B46:$K46, 'Eurostat EB products IEA'!$A$4:$A$135, 0),
           MATCH(AW$1, 'Eurostat EB products IEA'!$A$4:$BN$4, 0)
     )
     * $L46:$U46,
     0
  )
)</f>
        <v>0</v>
      </c>
      <c r="AX46" s="17" cm="1">
        <f t="array" ref="AX46">SUMPRODUCT(
  IF($B46:$K46&lt;&gt;"",
     INDEX('Eurostat EB products IEA'!$A$4:$BN$135,
           MATCH($B46:$K46, 'Eurostat EB products IEA'!$A$4:$A$135, 0),
           MATCH(AX$1, 'Eurostat EB products IEA'!$A$4:$BN$4, 0)
     )
     * $L46:$U46,
     0
  )
)</f>
        <v>0</v>
      </c>
      <c r="AY46" s="17" cm="1">
        <f t="array" ref="AY46">SUMPRODUCT(
  IF($B46:$K46&lt;&gt;"",
     INDEX('Eurostat EB products IEA'!$A$4:$BN$135,
           MATCH($B46:$K46, 'Eurostat EB products IEA'!$A$4:$A$135, 0),
           MATCH(AY$1, 'Eurostat EB products IEA'!$A$4:$BN$4, 0)
     )
     * $L46:$U46,
     0
  )
)</f>
        <v>0</v>
      </c>
      <c r="AZ46" s="17" cm="1">
        <f t="array" ref="AZ46">SUMPRODUCT(
  IF($B46:$K46&lt;&gt;"",
     INDEX('Eurostat EB products IEA'!$A$4:$BN$135,
           MATCH($B46:$K46, 'Eurostat EB products IEA'!$A$4:$A$135, 0),
           MATCH(AZ$1, 'Eurostat EB products IEA'!$A$4:$BN$4, 0)
     )
     * $L46:$U46,
     0
  )
)</f>
        <v>0</v>
      </c>
      <c r="BA46" s="17" cm="1">
        <f t="array" ref="BA46">SUMPRODUCT(
  IF($B46:$K46&lt;&gt;"",
     INDEX('Eurostat EB products IEA'!$A$4:$BN$135,
           MATCH($B46:$K46, 'Eurostat EB products IEA'!$A$4:$A$135, 0),
           MATCH(BA$1, 'Eurostat EB products IEA'!$A$4:$BN$4, 0)
     )
     * $L46:$U46,
     0
  )
)</f>
        <v>0</v>
      </c>
      <c r="BB46" s="17" cm="1">
        <f t="array" ref="BB46">SUMPRODUCT(
  IF($B46:$K46&lt;&gt;"",
     INDEX('Eurostat EB products IEA'!$A$4:$BN$135,
           MATCH($B46:$K46, 'Eurostat EB products IEA'!$A$4:$A$135, 0),
           MATCH(BB$1, 'Eurostat EB products IEA'!$A$4:$BN$4, 0)
     )
     * $L46:$U46,
     0
  )
)</f>
        <v>0</v>
      </c>
      <c r="BC46" s="17" cm="1">
        <f t="array" ref="BC46">SUMPRODUCT(
  IF($B46:$K46&lt;&gt;"",
     INDEX('Eurostat EB products IEA'!$A$4:$BN$135,
           MATCH($B46:$K46, 'Eurostat EB products IEA'!$A$4:$A$135, 0),
           MATCH(BC$1, 'Eurostat EB products IEA'!$A$4:$BN$4, 0)
     )
     * $L46:$U46,
     0
  )
)</f>
        <v>0</v>
      </c>
      <c r="BD46" s="17" cm="1">
        <f t="array" ref="BD46">SUMPRODUCT(
  IF($B46:$K46&lt;&gt;"",
     INDEX('Eurostat EB products IEA'!$A$4:$BN$135,
           MATCH($B46:$K46, 'Eurostat EB products IEA'!$A$4:$A$135, 0),
           MATCH(BD$1, 'Eurostat EB products IEA'!$A$4:$BN$4, 0)
     )
     * $L46:$U46,
     0
  )
)</f>
        <v>0</v>
      </c>
      <c r="BE46" s="17" cm="1">
        <f t="array" ref="BE46">SUMPRODUCT(
  IF($B46:$K46&lt;&gt;"",
     INDEX('Eurostat EB products IEA'!$A$4:$BN$135,
           MATCH($B46:$K46, 'Eurostat EB products IEA'!$A$4:$A$135, 0),
           MATCH(BE$1, 'Eurostat EB products IEA'!$A$4:$BN$4, 0)
     )
     * $L46:$U46,
     0
  )
)</f>
        <v>0</v>
      </c>
      <c r="BF46" s="17" cm="1">
        <f t="array" ref="BF46">SUMPRODUCT(
  IF($B46:$K46&lt;&gt;"",
     INDEX('Eurostat EB products IEA'!$A$4:$BN$135,
           MATCH($B46:$K46, 'Eurostat EB products IEA'!$A$4:$A$135, 0),
           MATCH(BF$1, 'Eurostat EB products IEA'!$A$4:$BN$4, 0)
     )
     * $L46:$U46,
     0
  )
)</f>
        <v>0</v>
      </c>
      <c r="BG46" s="17" cm="1">
        <f t="array" ref="BG46">SUMPRODUCT(
  IF($B46:$K46&lt;&gt;"",
     INDEX('Eurostat EB products IEA'!$A$4:$BN$135,
           MATCH($B46:$K46, 'Eurostat EB products IEA'!$A$4:$A$135, 0),
           MATCH(BG$1, 'Eurostat EB products IEA'!$A$4:$BN$4, 0)
     )
     * $L46:$U46,
     0
  )
)</f>
        <v>0</v>
      </c>
      <c r="BH46" s="17" cm="1">
        <f t="array" ref="BH46">SUMPRODUCT(
  IF($B46:$K46&lt;&gt;"",
     INDEX('Eurostat EB products IEA'!$A$4:$BN$135,
           MATCH($B46:$K46, 'Eurostat EB products IEA'!$A$4:$A$135, 0),
           MATCH(BH$1, 'Eurostat EB products IEA'!$A$4:$BN$4, 0)
     )
     * $L46:$U46,
     0
  )
)</f>
        <v>0</v>
      </c>
      <c r="BI46" s="17" cm="1">
        <f t="array" ref="BI46">SUMPRODUCT(
  IF($B46:$K46&lt;&gt;"",
     INDEX('Eurostat EB products IEA'!$A$4:$BN$135,
           MATCH($B46:$K46, 'Eurostat EB products IEA'!$A$4:$A$135, 0),
           MATCH(BI$1, 'Eurostat EB products IEA'!$A$4:$BN$4, 0)
     )
     * $L46:$U46,
     0
  )
)</f>
        <v>0</v>
      </c>
      <c r="BJ46" s="17" cm="1">
        <f t="array" ref="BJ46">SUMPRODUCT(
  IF($B46:$K46&lt;&gt;"",
     INDEX('Eurostat EB products IEA'!$A$4:$BN$135,
           MATCH($B46:$K46, 'Eurostat EB products IEA'!$A$4:$A$135, 0),
           MATCH(BJ$1, 'Eurostat EB products IEA'!$A$4:$BN$4, 0)
     )
     * $L46:$U46,
     0
  )
)</f>
        <v>0</v>
      </c>
      <c r="BK46" s="17" cm="1">
        <f t="array" ref="BK46">SUMPRODUCT(
  IF($B46:$K46&lt;&gt;"",
     INDEX('Eurostat EB products IEA'!$A$4:$BN$135,
           MATCH($B46:$K46, 'Eurostat EB products IEA'!$A$4:$A$135, 0),
           MATCH(BK$1, 'Eurostat EB products IEA'!$A$4:$BN$4, 0)
     )
     * $L46:$U46,
     0
  )
)</f>
        <v>0</v>
      </c>
      <c r="BL46" s="17" cm="1">
        <f t="array" ref="BL46">SUMPRODUCT(
  IF($B46:$K46&lt;&gt;"",
     INDEX('Eurostat EB products IEA'!$A$4:$BN$135,
           MATCH($B46:$K46, 'Eurostat EB products IEA'!$A$4:$A$135, 0),
           MATCH(BL$1, 'Eurostat EB products IEA'!$A$4:$BN$4, 0)
     )
     * $L46:$U46,
     0
  )
)</f>
        <v>0</v>
      </c>
      <c r="BM46" s="17" cm="1">
        <f t="array" ref="BM46">SUMPRODUCT(
  IF($B46:$K46&lt;&gt;"",
     INDEX('Eurostat EB products IEA'!$A$4:$BN$135,
           MATCH($B46:$K46, 'Eurostat EB products IEA'!$A$4:$A$135, 0),
           MATCH(BM$1, 'Eurostat EB products IEA'!$A$4:$BN$4, 0)
     )
     * $L46:$U46,
     0
  )
)</f>
        <v>0</v>
      </c>
      <c r="BN46" s="17" cm="1">
        <f t="array" ref="BN46">SUMPRODUCT(
  IF($B46:$K46&lt;&gt;"",
     INDEX('Eurostat EB products IEA'!$A$4:$BN$135,
           MATCH($B46:$K46, 'Eurostat EB products IEA'!$A$4:$A$135, 0),
           MATCH(BN$1, 'Eurostat EB products IEA'!$A$4:$BN$4, 0)
     )
     * $L46:$U46,
     0
  )
)</f>
        <v>0</v>
      </c>
      <c r="BO46" s="17" cm="1">
        <f t="array" ref="BO46">SUMPRODUCT(
  IF($B46:$K46&lt;&gt;"",
     INDEX('Eurostat EB products IEA'!$A$4:$BN$135,
           MATCH($B46:$K46, 'Eurostat EB products IEA'!$A$4:$A$135, 0),
           MATCH(BO$1, 'Eurostat EB products IEA'!$A$4:$BN$4, 0)
     )
     * $L46:$U46,
     0
  )
)</f>
        <v>0</v>
      </c>
      <c r="BP46" s="17" cm="1">
        <f t="array" ref="BP46">SUMPRODUCT(
  IF($B46:$K46&lt;&gt;"",
     INDEX('Eurostat EB products IEA'!$A$4:$BN$135,
           MATCH($B46:$K46, 'Eurostat EB products IEA'!$A$4:$A$135, 0),
           MATCH(BP$1, 'Eurostat EB products IEA'!$A$4:$BN$4, 0)
     )
     * $L46:$U46,
     0
  )
)</f>
        <v>0</v>
      </c>
      <c r="BQ46" s="17" cm="1">
        <f t="array" ref="BQ46">SUMPRODUCT(
  IF($B46:$K46&lt;&gt;"",
     INDEX('Eurostat EB products IEA'!$A$4:$BN$135,
           MATCH($B46:$K46, 'Eurostat EB products IEA'!$A$4:$A$135, 0),
           MATCH(BQ$1, 'Eurostat EB products IEA'!$A$4:$BN$4, 0)
     )
     * $L46:$U46,
     0
  )
)</f>
        <v>0</v>
      </c>
      <c r="BR46" s="17" cm="1">
        <f t="array" ref="BR46">SUMPRODUCT(
  IF($B46:$K46&lt;&gt;"",
     INDEX('Eurostat EB products IEA'!$A$4:$BN$135,
           MATCH($B46:$K46, 'Eurostat EB products IEA'!$A$4:$A$135, 0),
           MATCH(BR$1, 'Eurostat EB products IEA'!$A$4:$BN$4, 0)
     )
     * $L46:$U46,
     0
  )
)</f>
        <v>0</v>
      </c>
      <c r="BS46" s="65">
        <v>0</v>
      </c>
      <c r="BT46" s="17" cm="1">
        <f t="array" ref="BT46">SUMPRODUCT(
  IF($B46:$K46&lt;&gt;"",
     INDEX('Eurostat EB products IEA'!$A$4:$BN$135,
           MATCH($B46:$K46, 'Eurostat EB products IEA'!$A$4:$A$135, 0),
           MATCH(BT$1, 'Eurostat EB products IEA'!$A$4:$BN$4, 0)
     )
     * $L46:$U46,
     0
  )
)</f>
        <v>0</v>
      </c>
      <c r="BU46" s="65">
        <v>0</v>
      </c>
      <c r="BV46" s="65">
        <v>0</v>
      </c>
      <c r="BW46" s="17" cm="1">
        <f t="array" ref="BW46">SUMPRODUCT(
  IF($B46:$K46&lt;&gt;"",
     INDEX('Eurostat EB products IEA'!$A$4:$BN$135,
           MATCH($B46:$K46, 'Eurostat EB products IEA'!$A$4:$A$135, 0),
           MATCH(BW$1, 'Eurostat EB products IEA'!$A$4:$BN$4, 0)
     )
     * $L46:$U46,
     0
  )
)</f>
        <v>0</v>
      </c>
      <c r="BX46" s="17" cm="1">
        <f t="array" ref="BX46">SUMPRODUCT(
  IF($B46:$K46&lt;&gt;"",
     INDEX('Eurostat EB products IEA'!$A$4:$BN$135,
           MATCH($B46:$K46, 'Eurostat EB products IEA'!$A$4:$A$135, 0),
           MATCH(BX$1, 'Eurostat EB products IEA'!$A$4:$BN$4, 0)
     )
     * $L46:$U46,
     0
  )
)</f>
        <v>0</v>
      </c>
      <c r="BY46" s="17" cm="1">
        <f t="array" ref="BY46">SUMPRODUCT(
  IF($B46:$K46&lt;&gt;"",
     INDEX('Eurostat EB products IEA'!$A$4:$BN$135,
           MATCH($B46:$K46, 'Eurostat EB products IEA'!$A$4:$A$135, 0),
           MATCH(BY$1, 'Eurostat EB products IEA'!$A$4:$BN$4, 0)
     )
     * $L46:$U46,
     0
  )
)</f>
        <v>0</v>
      </c>
      <c r="BZ46" s="17" cm="1">
        <f t="array" ref="BZ46">SUMPRODUCT(
  IF($B46:$K46&lt;&gt;"",
     INDEX('Eurostat EB products IEA'!$A$4:$BN$135,
           MATCH($B46:$K46, 'Eurostat EB products IEA'!$A$4:$A$135, 0),
           MATCH(BZ$1, 'Eurostat EB products IEA'!$A$4:$BN$4, 0)
     )
     * $L46:$U46,
     0
  )
)</f>
        <v>0</v>
      </c>
      <c r="CA46" s="17" cm="1">
        <f t="array" ref="CA46">SUMPRODUCT(
  IF($B46:$K46&lt;&gt;"",
     INDEX('Eurostat EB products IEA'!$A$4:$BN$135,
           MATCH($B46:$K46, 'Eurostat EB products IEA'!$A$4:$A$135, 0),
           MATCH(CA$1, 'Eurostat EB products IEA'!$A$4:$BN$4, 0)
     )
     * $L46:$U46,
     0
  )
)</f>
        <v>0</v>
      </c>
      <c r="CB46" s="17" cm="1">
        <f t="array" ref="CB46">SUMPRODUCT(
  IF($B46:$K46&lt;&gt;"",
     INDEX('Eurostat EB products IEA'!$A$4:$BN$135,
           MATCH($B46:$K46, 'Eurostat EB products IEA'!$A$4:$A$135, 0),
           MATCH(CB$1, 'Eurostat EB products IEA'!$A$4:$BN$4, 0)
     )
     * $L46:$U46,
     0
  )
)</f>
        <v>0</v>
      </c>
      <c r="CC46" s="17" cm="1">
        <f t="array" ref="CC46">SUMPRODUCT(
  IF($B46:$K46&lt;&gt;"",
     INDEX('Eurostat EB products IEA'!$A$4:$BN$135,
           MATCH($B46:$K46, 'Eurostat EB products IEA'!$A$4:$A$135, 0),
           MATCH(CC$1, 'Eurostat EB products IEA'!$A$4:$BN$4, 0)
     )
     * $L46:$U46,
     0
  )
)</f>
        <v>0</v>
      </c>
      <c r="CD46" s="65">
        <v>0</v>
      </c>
      <c r="CE46" s="17" cm="1">
        <f t="array" ref="CE46">SUMPRODUCT(
  IF($B46:$K46&lt;&gt;"",
     INDEX('Eurostat EB products IEA'!$A$4:$BN$135,
           MATCH($B46:$K46, 'Eurostat EB products IEA'!$A$4:$A$135, 0),
           MATCH(CE$1, 'Eurostat EB products IEA'!$A$4:$BN$4, 0)
     )
     * $L46:$U46,
     0
  )
)</f>
        <v>0</v>
      </c>
      <c r="CF46" s="17" cm="1">
        <f t="array" ref="CF46">SUMPRODUCT(
  IF($B46:$K46&lt;&gt;"",
     INDEX('Eurostat EB products IEA'!$A$4:$BN$135,
           MATCH($B46:$K46, 'Eurostat EB products IEA'!$A$4:$A$135, 0),
           MATCH(CF$1, 'Eurostat EB products IEA'!$A$4:$BN$4, 0)
     )
     * $L46:$U46,
     0
  )
)</f>
        <v>0</v>
      </c>
      <c r="CG46" s="17" cm="1">
        <f t="array" ref="CG46">SUMPRODUCT(
  IF($B46:$K46&lt;&gt;"",
     INDEX('Eurostat EB products IEA'!$A$4:$BN$135,
           MATCH($B46:$K46, 'Eurostat EB products IEA'!$A$4:$A$135, 0),
           MATCH(CG$1, 'Eurostat EB products IEA'!$A$4:$BN$4, 0)
     )
     * $L46:$U46,
     0
  )
)</f>
        <v>0</v>
      </c>
      <c r="CH46" s="17" cm="1">
        <f t="array" ref="CH46">SUMPRODUCT(
  IF($B46:$K46&lt;&gt;"",
     INDEX('Eurostat EB products IEA'!$A$4:$BN$135,
           MATCH($B46:$K46, 'Eurostat EB products IEA'!$A$4:$A$135, 0),
           MATCH(CH$1, 'Eurostat EB products IEA'!$A$4:$BN$4, 0)
     )
     * $L46:$U46,
     0
  )
)</f>
        <v>0</v>
      </c>
    </row>
    <row r="47" spans="1:86" x14ac:dyDescent="0.2">
      <c r="A47" t="s">
        <v>166</v>
      </c>
      <c r="B47" s="75"/>
      <c r="C47" s="77"/>
      <c r="D47" s="75"/>
      <c r="E47" s="77"/>
      <c r="F47" s="75"/>
      <c r="G47" s="77"/>
      <c r="H47" s="75"/>
      <c r="I47" s="77"/>
      <c r="J47" s="74"/>
      <c r="K47" s="78" t="s">
        <v>263</v>
      </c>
      <c r="L47" s="76"/>
      <c r="M47" s="79"/>
      <c r="N47" s="76"/>
      <c r="O47" s="79"/>
      <c r="P47" s="76"/>
      <c r="Q47" s="79"/>
      <c r="R47" s="76"/>
      <c r="S47" s="79"/>
      <c r="T47" s="76"/>
      <c r="U47" s="79">
        <v>-1</v>
      </c>
      <c r="V47" s="65" t="s">
        <v>323</v>
      </c>
      <c r="W47" s="65" t="s">
        <v>323</v>
      </c>
      <c r="X47" s="57" cm="1">
        <f t="array" ref="X47">SUMPRODUCT(
  IF($B47:$K47&lt;&gt;"",
     INDEX('Eurostat EB products IEA'!$A$4:$BN$135,
           MATCH($B47:$K47, 'Eurostat EB products IEA'!$A$4:$A$135, 0),
           MATCH(X$1, 'Eurostat EB products IEA'!$A$4:$BN$4, 0)
     )
     * $L47:$U47,
     0
  )
)</f>
        <v>0</v>
      </c>
      <c r="Y47" s="57" cm="1">
        <f t="array" ref="Y47">SUMPRODUCT(
  IF($B47:$K47&lt;&gt;"",
     INDEX('Eurostat EB products IEA'!$A$4:$BN$135,
           MATCH($B47:$K47, 'Eurostat EB products IEA'!$A$4:$A$135, 0),
           MATCH(Y$1, 'Eurostat EB products IEA'!$A$4:$BN$4, 0)
     )
     * $L47:$U47,
     0
  )
)</f>
        <v>0</v>
      </c>
      <c r="Z47" s="57" cm="1">
        <f t="array" ref="Z47">SUMPRODUCT(
  IF($B47:$K47&lt;&gt;"",
     INDEX('Eurostat EB products IEA'!$A$4:$BN$135,
           MATCH($B47:$K47, 'Eurostat EB products IEA'!$A$4:$A$135, 0),
           MATCH(Z$1, 'Eurostat EB products IEA'!$A$4:$BN$4, 0)
     )
     * $L47:$U47,
     0
  )
)</f>
        <v>0</v>
      </c>
      <c r="AA47" s="57" cm="1">
        <f t="array" ref="AA47">SUMPRODUCT(
  IF($B47:$K47&lt;&gt;"",
     INDEX('Eurostat EB products IEA'!$A$4:$BN$135,
           MATCH($B47:$K47, 'Eurostat EB products IEA'!$A$4:$A$135, 0),
           MATCH(AA$1, 'Eurostat EB products IEA'!$A$4:$BN$4, 0)
     )
     * $L47:$U47,
     0
  )
)</f>
        <v>0</v>
      </c>
      <c r="AB47" s="57" cm="1">
        <f t="array" ref="AB47">SUMPRODUCT(
  IF($B47:$K47&lt;&gt;"",
     INDEX('Eurostat EB products IEA'!$A$4:$BN$135,
           MATCH($B47:$K47, 'Eurostat EB products IEA'!$A$4:$A$135, 0),
           MATCH(AB$1, 'Eurostat EB products IEA'!$A$4:$BN$4, 0)
     )
     * $L47:$U47,
     0
  )
)</f>
        <v>0</v>
      </c>
      <c r="AC47" s="57" cm="1">
        <f t="array" ref="AC47">SUMPRODUCT(
  IF($B47:$K47&lt;&gt;"",
     INDEX('Eurostat EB products IEA'!$A$4:$BN$135,
           MATCH($B47:$K47, 'Eurostat EB products IEA'!$A$4:$A$135, 0),
           MATCH(AC$1, 'Eurostat EB products IEA'!$A$4:$BN$4, 0)
     )
     * $L47:$U47,
     0
  )
)</f>
        <v>0</v>
      </c>
      <c r="AD47" s="57" cm="1">
        <f t="array" ref="AD47">SUMPRODUCT(
  IF($B47:$K47&lt;&gt;"",
     INDEX('Eurostat EB products IEA'!$A$4:$BN$135,
           MATCH($B47:$K47, 'Eurostat EB products IEA'!$A$4:$A$135, 0),
           MATCH(AD$1, 'Eurostat EB products IEA'!$A$4:$BN$4, 0)
     )
     * $L47:$U47,
     0
  )
)</f>
        <v>0</v>
      </c>
      <c r="AE47" s="57" cm="1">
        <f t="array" ref="AE47">SUMPRODUCT(
  IF($B47:$K47&lt;&gt;"",
     INDEX('Eurostat EB products IEA'!$A$4:$BN$135,
           MATCH($B47:$K47, 'Eurostat EB products IEA'!$A$4:$A$135, 0),
           MATCH(AE$1, 'Eurostat EB products IEA'!$A$4:$BN$4, 0)
     )
     * $L47:$U47,
     0
  )
)</f>
        <v>0</v>
      </c>
      <c r="AF47" s="57" cm="1">
        <f t="array" ref="AF47">SUMPRODUCT(
  IF($B47:$K47&lt;&gt;"",
     INDEX('Eurostat EB products IEA'!$A$4:$BN$135,
           MATCH($B47:$K47, 'Eurostat EB products IEA'!$A$4:$A$135, 0),
           MATCH(AF$1, 'Eurostat EB products IEA'!$A$4:$BN$4, 0)
     )
     * $L47:$U47,
     0
  )
)</f>
        <v>0</v>
      </c>
      <c r="AG47" s="57" cm="1">
        <f t="array" ref="AG47">SUMPRODUCT(
  IF($B47:$K47&lt;&gt;"",
     INDEX('Eurostat EB products IEA'!$A$4:$BN$135,
           MATCH($B47:$K47, 'Eurostat EB products IEA'!$A$4:$A$135, 0),
           MATCH(AG$1, 'Eurostat EB products IEA'!$A$4:$BN$4, 0)
     )
     * $L47:$U47,
     0
  )
)</f>
        <v>0</v>
      </c>
      <c r="AH47" s="57" cm="1">
        <f t="array" ref="AH47">SUMPRODUCT(
  IF($B47:$K47&lt;&gt;"",
     INDEX('Eurostat EB products IEA'!$A$4:$BN$135,
           MATCH($B47:$K47, 'Eurostat EB products IEA'!$A$4:$A$135, 0),
           MATCH(AH$1, 'Eurostat EB products IEA'!$A$4:$BN$4, 0)
     )
     * $L47:$U47,
     0
  )
)</f>
        <v>0</v>
      </c>
      <c r="AI47" s="57" cm="1">
        <f t="array" ref="AI47">SUMPRODUCT(
  IF($B47:$K47&lt;&gt;"",
     INDEX('Eurostat EB products IEA'!$A$4:$BN$135,
           MATCH($B47:$K47, 'Eurostat EB products IEA'!$A$4:$A$135, 0),
           MATCH(AI$1, 'Eurostat EB products IEA'!$A$4:$BN$4, 0)
     )
     * $L47:$U47,
     0
  )
)</f>
        <v>0</v>
      </c>
      <c r="AJ47" s="57" cm="1">
        <f t="array" ref="AJ47">SUMPRODUCT(
  IF($B47:$K47&lt;&gt;"",
     INDEX('Eurostat EB products IEA'!$A$4:$BN$135,
           MATCH($B47:$K47, 'Eurostat EB products IEA'!$A$4:$A$135, 0),
           MATCH(AJ$1, 'Eurostat EB products IEA'!$A$4:$BN$4, 0)
     )
     * $L47:$U47,
     0
  )
)</f>
        <v>0</v>
      </c>
      <c r="AK47" s="57" cm="1">
        <f t="array" ref="AK47">SUMPRODUCT(
  IF($B47:$K47&lt;&gt;"",
     INDEX('Eurostat EB products IEA'!$A$4:$BN$135,
           MATCH($B47:$K47, 'Eurostat EB products IEA'!$A$4:$A$135, 0),
           MATCH(AK$1, 'Eurostat EB products IEA'!$A$4:$BN$4, 0)
     )
     * $L47:$U47,
     0
  )
)</f>
        <v>0</v>
      </c>
      <c r="AL47" s="57" cm="1">
        <f t="array" ref="AL47">SUMPRODUCT(
  IF($B47:$K47&lt;&gt;"",
     INDEX('Eurostat EB products IEA'!$A$4:$BN$135,
           MATCH($B47:$K47, 'Eurostat EB products IEA'!$A$4:$A$135, 0),
           MATCH(AL$1, 'Eurostat EB products IEA'!$A$4:$BN$4, 0)
     )
     * $L47:$U47,
     0
  )
)</f>
        <v>0</v>
      </c>
      <c r="AM47" s="57" cm="1">
        <f t="array" ref="AM47">SUMPRODUCT(
  IF($B47:$K47&lt;&gt;"",
     INDEX('Eurostat EB products IEA'!$A$4:$BN$135,
           MATCH($B47:$K47, 'Eurostat EB products IEA'!$A$4:$A$135, 0),
           MATCH(AM$1, 'Eurostat EB products IEA'!$A$4:$BN$4, 0)
     )
     * $L47:$U47,
     0
  )
)</f>
        <v>-20.163</v>
      </c>
      <c r="AN47" s="65" t="s">
        <v>323</v>
      </c>
      <c r="AO47" s="57" cm="1">
        <f t="array" ref="AO47">SUMPRODUCT(
  IF($B47:$K47&lt;&gt;"",
     INDEX('Eurostat EB products IEA'!$A$4:$BN$135,
           MATCH($B47:$K47, 'Eurostat EB products IEA'!$A$4:$A$135, 0),
           MATCH(AO$1, 'Eurostat EB products IEA'!$A$4:$BN$4, 0)
     )
     * $L47:$U47,
     0
  )
)</f>
        <v>0</v>
      </c>
      <c r="AP47" s="57" cm="1">
        <f t="array" ref="AP47">SUMPRODUCT(
  IF($B47:$K47&lt;&gt;"",
     INDEX('Eurostat EB products IEA'!$A$4:$BN$135,
           MATCH($B47:$K47, 'Eurostat EB products IEA'!$A$4:$A$135, 0),
           MATCH(AP$1, 'Eurostat EB products IEA'!$A$4:$BN$4, 0)
     )
     * $L47:$U47,
     0
  )
)</f>
        <v>0</v>
      </c>
      <c r="AQ47" s="57" cm="1">
        <f t="array" ref="AQ47">SUMPRODUCT(
  IF($B47:$K47&lt;&gt;"",
     INDEX('Eurostat EB products IEA'!$A$4:$BN$135,
           MATCH($B47:$K47, 'Eurostat EB products IEA'!$A$4:$A$135, 0),
           MATCH(AQ$1, 'Eurostat EB products IEA'!$A$4:$BN$4, 0)
     )
     * $L47:$U47,
     0
  )
)</f>
        <v>0</v>
      </c>
      <c r="AR47" s="57" cm="1">
        <f t="array" ref="AR47">SUMPRODUCT(
  IF($B47:$K47&lt;&gt;"",
     INDEX('Eurostat EB products IEA'!$A$4:$BN$135,
           MATCH($B47:$K47, 'Eurostat EB products IEA'!$A$4:$A$135, 0),
           MATCH(AR$1, 'Eurostat EB products IEA'!$A$4:$BN$4, 0)
     )
     * $L47:$U47,
     0
  )
)</f>
        <v>0</v>
      </c>
      <c r="AS47" s="57" cm="1">
        <f t="array" ref="AS47">SUMPRODUCT(
  IF($B47:$K47&lt;&gt;"",
     INDEX('Eurostat EB products IEA'!$A$4:$BN$135,
           MATCH($B47:$K47, 'Eurostat EB products IEA'!$A$4:$A$135, 0),
           MATCH(AS$1, 'Eurostat EB products IEA'!$A$4:$BN$4, 0)
     )
     * $L47:$U47,
     0
  )
)</f>
        <v>0</v>
      </c>
      <c r="AT47" s="57" cm="1">
        <f t="array" ref="AT47">SUMPRODUCT(
  IF($B47:$K47&lt;&gt;"",
     INDEX('Eurostat EB products IEA'!$A$4:$BN$135,
           MATCH($B47:$K47, 'Eurostat EB products IEA'!$A$4:$A$135, 0),
           MATCH(AT$1, 'Eurostat EB products IEA'!$A$4:$BN$4, 0)
     )
     * $L47:$U47,
     0
  )
)</f>
        <v>0</v>
      </c>
      <c r="AU47" s="57" cm="1">
        <f t="array" ref="AU47">SUMPRODUCT(
  IF($B47:$K47&lt;&gt;"",
     INDEX('Eurostat EB products IEA'!$A$4:$BN$135,
           MATCH($B47:$K47, 'Eurostat EB products IEA'!$A$4:$A$135, 0),
           MATCH(AU$1, 'Eurostat EB products IEA'!$A$4:$BN$4, 0)
     )
     * $L47:$U47,
     0
  )
)</f>
        <v>0</v>
      </c>
      <c r="AV47" s="57" cm="1">
        <f t="array" ref="AV47">SUMPRODUCT(
  IF($B47:$K47&lt;&gt;"",
     INDEX('Eurostat EB products IEA'!$A$4:$BN$135,
           MATCH($B47:$K47, 'Eurostat EB products IEA'!$A$4:$A$135, 0),
           MATCH(AV$1, 'Eurostat EB products IEA'!$A$4:$BN$4, 0)
     )
     * $L47:$U47,
     0
  )
)</f>
        <v>0</v>
      </c>
      <c r="AW47" s="57" cm="1">
        <f t="array" ref="AW47">SUMPRODUCT(
  IF($B47:$K47&lt;&gt;"",
     INDEX('Eurostat EB products IEA'!$A$4:$BN$135,
           MATCH($B47:$K47, 'Eurostat EB products IEA'!$A$4:$A$135, 0),
           MATCH(AW$1, 'Eurostat EB products IEA'!$A$4:$BN$4, 0)
     )
     * $L47:$U47,
     0
  )
)</f>
        <v>0</v>
      </c>
      <c r="AX47" s="57" cm="1">
        <f t="array" ref="AX47">SUMPRODUCT(
  IF($B47:$K47&lt;&gt;"",
     INDEX('Eurostat EB products IEA'!$A$4:$BN$135,
           MATCH($B47:$K47, 'Eurostat EB products IEA'!$A$4:$A$135, 0),
           MATCH(AX$1, 'Eurostat EB products IEA'!$A$4:$BN$4, 0)
     )
     * $L47:$U47,
     0
  )
)</f>
        <v>0</v>
      </c>
      <c r="AY47" s="57" cm="1">
        <f t="array" ref="AY47">SUMPRODUCT(
  IF($B47:$K47&lt;&gt;"",
     INDEX('Eurostat EB products IEA'!$A$4:$BN$135,
           MATCH($B47:$K47, 'Eurostat EB products IEA'!$A$4:$A$135, 0),
           MATCH(AY$1, 'Eurostat EB products IEA'!$A$4:$BN$4, 0)
     )
     * $L47:$U47,
     0
  )
)</f>
        <v>0</v>
      </c>
      <c r="AZ47" s="57" cm="1">
        <f t="array" ref="AZ47">SUMPRODUCT(
  IF($B47:$K47&lt;&gt;"",
     INDEX('Eurostat EB products IEA'!$A$4:$BN$135,
           MATCH($B47:$K47, 'Eurostat EB products IEA'!$A$4:$A$135, 0),
           MATCH(AZ$1, 'Eurostat EB products IEA'!$A$4:$BN$4, 0)
     )
     * $L47:$U47,
     0
  )
)</f>
        <v>0</v>
      </c>
      <c r="BA47" s="57" cm="1">
        <f t="array" ref="BA47">SUMPRODUCT(
  IF($B47:$K47&lt;&gt;"",
     INDEX('Eurostat EB products IEA'!$A$4:$BN$135,
           MATCH($B47:$K47, 'Eurostat EB products IEA'!$A$4:$A$135, 0),
           MATCH(BA$1, 'Eurostat EB products IEA'!$A$4:$BN$4, 0)
     )
     * $L47:$U47,
     0
  )
)</f>
        <v>0</v>
      </c>
      <c r="BB47" s="57" cm="1">
        <f t="array" ref="BB47">SUMPRODUCT(
  IF($B47:$K47&lt;&gt;"",
     INDEX('Eurostat EB products IEA'!$A$4:$BN$135,
           MATCH($B47:$K47, 'Eurostat EB products IEA'!$A$4:$A$135, 0),
           MATCH(BB$1, 'Eurostat EB products IEA'!$A$4:$BN$4, 0)
     )
     * $L47:$U47,
     0
  )
)</f>
        <v>-3.6240000000000001</v>
      </c>
      <c r="BC47" s="57" cm="1">
        <f t="array" ref="BC47">SUMPRODUCT(
  IF($B47:$K47&lt;&gt;"",
     INDEX('Eurostat EB products IEA'!$A$4:$BN$135,
           MATCH($B47:$K47, 'Eurostat EB products IEA'!$A$4:$A$135, 0),
           MATCH(BC$1, 'Eurostat EB products IEA'!$A$4:$BN$4, 0)
     )
     * $L47:$U47,
     0
  )
)</f>
        <v>0</v>
      </c>
      <c r="BD47" s="57" cm="1">
        <f t="array" ref="BD47">SUMPRODUCT(
  IF($B47:$K47&lt;&gt;"",
     INDEX('Eurostat EB products IEA'!$A$4:$BN$135,
           MATCH($B47:$K47, 'Eurostat EB products IEA'!$A$4:$A$135, 0),
           MATCH(BD$1, 'Eurostat EB products IEA'!$A$4:$BN$4, 0)
     )
     * $L47:$U47,
     0
  )
)</f>
        <v>0</v>
      </c>
      <c r="BE47" s="57" cm="1">
        <f t="array" ref="BE47">SUMPRODUCT(
  IF($B47:$K47&lt;&gt;"",
     INDEX('Eurostat EB products IEA'!$A$4:$BN$135,
           MATCH($B47:$K47, 'Eurostat EB products IEA'!$A$4:$A$135, 0),
           MATCH(BE$1, 'Eurostat EB products IEA'!$A$4:$BN$4, 0)
     )
     * $L47:$U47,
     0
  )
)</f>
        <v>0</v>
      </c>
      <c r="BF47" s="57" cm="1">
        <f t="array" ref="BF47">SUMPRODUCT(
  IF($B47:$K47&lt;&gt;"",
     INDEX('Eurostat EB products IEA'!$A$4:$BN$135,
           MATCH($B47:$K47, 'Eurostat EB products IEA'!$A$4:$A$135, 0),
           MATCH(BF$1, 'Eurostat EB products IEA'!$A$4:$BN$4, 0)
     )
     * $L47:$U47,
     0
  )
)</f>
        <v>0</v>
      </c>
      <c r="BG47" s="57" cm="1">
        <f t="array" ref="BG47">SUMPRODUCT(
  IF($B47:$K47&lt;&gt;"",
     INDEX('Eurostat EB products IEA'!$A$4:$BN$135,
           MATCH($B47:$K47, 'Eurostat EB products IEA'!$A$4:$A$135, 0),
           MATCH(BG$1, 'Eurostat EB products IEA'!$A$4:$BN$4, 0)
     )
     * $L47:$U47,
     0
  )
)</f>
        <v>0</v>
      </c>
      <c r="BH47" s="57" cm="1">
        <f t="array" ref="BH47">SUMPRODUCT(
  IF($B47:$K47&lt;&gt;"",
     INDEX('Eurostat EB products IEA'!$A$4:$BN$135,
           MATCH($B47:$K47, 'Eurostat EB products IEA'!$A$4:$A$135, 0),
           MATCH(BH$1, 'Eurostat EB products IEA'!$A$4:$BN$4, 0)
     )
     * $L47:$U47,
     0
  )
)</f>
        <v>0</v>
      </c>
      <c r="BI47" s="57" cm="1">
        <f t="array" ref="BI47">SUMPRODUCT(
  IF($B47:$K47&lt;&gt;"",
     INDEX('Eurostat EB products IEA'!$A$4:$BN$135,
           MATCH($B47:$K47, 'Eurostat EB products IEA'!$A$4:$A$135, 0),
           MATCH(BI$1, 'Eurostat EB products IEA'!$A$4:$BN$4, 0)
     )
     * $L47:$U47,
     0
  )
)</f>
        <v>0</v>
      </c>
      <c r="BJ47" s="57" cm="1">
        <f t="array" ref="BJ47">SUMPRODUCT(
  IF($B47:$K47&lt;&gt;"",
     INDEX('Eurostat EB products IEA'!$A$4:$BN$135,
           MATCH($B47:$K47, 'Eurostat EB products IEA'!$A$4:$A$135, 0),
           MATCH(BJ$1, 'Eurostat EB products IEA'!$A$4:$BN$4, 0)
     )
     * $L47:$U47,
     0
  )
)</f>
        <v>0</v>
      </c>
      <c r="BK47" s="57" cm="1">
        <f t="array" ref="BK47">SUMPRODUCT(
  IF($B47:$K47&lt;&gt;"",
     INDEX('Eurostat EB products IEA'!$A$4:$BN$135,
           MATCH($B47:$K47, 'Eurostat EB products IEA'!$A$4:$A$135, 0),
           MATCH(BK$1, 'Eurostat EB products IEA'!$A$4:$BN$4, 0)
     )
     * $L47:$U47,
     0
  )
)</f>
        <v>0</v>
      </c>
      <c r="BL47" s="57" cm="1">
        <f t="array" ref="BL47">SUMPRODUCT(
  IF($B47:$K47&lt;&gt;"",
     INDEX('Eurostat EB products IEA'!$A$4:$BN$135,
           MATCH($B47:$K47, 'Eurostat EB products IEA'!$A$4:$A$135, 0),
           MATCH(BL$1, 'Eurostat EB products IEA'!$A$4:$BN$4, 0)
     )
     * $L47:$U47,
     0
  )
)</f>
        <v>0</v>
      </c>
      <c r="BM47" s="57" cm="1">
        <f t="array" ref="BM47">SUMPRODUCT(
  IF($B47:$K47&lt;&gt;"",
     INDEX('Eurostat EB products IEA'!$A$4:$BN$135,
           MATCH($B47:$K47, 'Eurostat EB products IEA'!$A$4:$A$135, 0),
           MATCH(BM$1, 'Eurostat EB products IEA'!$A$4:$BN$4, 0)
     )
     * $L47:$U47,
     0
  )
)</f>
        <v>0</v>
      </c>
      <c r="BN47" s="57" cm="1">
        <f t="array" ref="BN47">SUMPRODUCT(
  IF($B47:$K47&lt;&gt;"",
     INDEX('Eurostat EB products IEA'!$A$4:$BN$135,
           MATCH($B47:$K47, 'Eurostat EB products IEA'!$A$4:$A$135, 0),
           MATCH(BN$1, 'Eurostat EB products IEA'!$A$4:$BN$4, 0)
     )
     * $L47:$U47,
     0
  )
)</f>
        <v>0</v>
      </c>
      <c r="BO47" s="57" cm="1">
        <f t="array" ref="BO47">SUMPRODUCT(
  IF($B47:$K47&lt;&gt;"",
     INDEX('Eurostat EB products IEA'!$A$4:$BN$135,
           MATCH($B47:$K47, 'Eurostat EB products IEA'!$A$4:$A$135, 0),
           MATCH(BO$1, 'Eurostat EB products IEA'!$A$4:$BN$4, 0)
     )
     * $L47:$U47,
     0
  )
)</f>
        <v>0</v>
      </c>
      <c r="BP47" s="57" cm="1">
        <f t="array" ref="BP47">SUMPRODUCT(
  IF($B47:$K47&lt;&gt;"",
     INDEX('Eurostat EB products IEA'!$A$4:$BN$135,
           MATCH($B47:$K47, 'Eurostat EB products IEA'!$A$4:$A$135, 0),
           MATCH(BP$1, 'Eurostat EB products IEA'!$A$4:$BN$4, 0)
     )
     * $L47:$U47,
     0
  )
)</f>
        <v>0</v>
      </c>
      <c r="BQ47" s="57" cm="1">
        <f t="array" ref="BQ47">SUMPRODUCT(
  IF($B47:$K47&lt;&gt;"",
     INDEX('Eurostat EB products IEA'!$A$4:$BN$135,
           MATCH($B47:$K47, 'Eurostat EB products IEA'!$A$4:$A$135, 0),
           MATCH(BQ$1, 'Eurostat EB products IEA'!$A$4:$BN$4, 0)
     )
     * $L47:$U47,
     0
  )
)</f>
        <v>0</v>
      </c>
      <c r="BR47" s="57" cm="1">
        <f t="array" ref="BR47">SUMPRODUCT(
  IF($B47:$K47&lt;&gt;"",
     INDEX('Eurostat EB products IEA'!$A$4:$BN$135,
           MATCH($B47:$K47, 'Eurostat EB products IEA'!$A$4:$A$135, 0),
           MATCH(BR$1, 'Eurostat EB products IEA'!$A$4:$BN$4, 0)
     )
     * $L47:$U47,
     0
  )
)</f>
        <v>0</v>
      </c>
      <c r="BS47" s="65">
        <v>0</v>
      </c>
      <c r="BT47" s="57" cm="1">
        <f t="array" ref="BT47">SUMPRODUCT(
  IF($B47:$K47&lt;&gt;"",
     INDEX('Eurostat EB products IEA'!$A$4:$BN$135,
           MATCH($B47:$K47, 'Eurostat EB products IEA'!$A$4:$A$135, 0),
           MATCH(BT$1, 'Eurostat EB products IEA'!$A$4:$BN$4, 0)
     )
     * $L47:$U47,
     0
  )
)</f>
        <v>0</v>
      </c>
      <c r="BU47" s="65">
        <v>0</v>
      </c>
      <c r="BV47" s="65">
        <v>0</v>
      </c>
      <c r="BW47" s="57" cm="1">
        <f t="array" ref="BW47">SUMPRODUCT(
  IF($B47:$K47&lt;&gt;"",
     INDEX('Eurostat EB products IEA'!$A$4:$BN$135,
           MATCH($B47:$K47, 'Eurostat EB products IEA'!$A$4:$A$135, 0),
           MATCH(BW$1, 'Eurostat EB products IEA'!$A$4:$BN$4, 0)
     )
     * $L47:$U47,
     0
  )
)</f>
        <v>0</v>
      </c>
      <c r="BX47" s="57" cm="1">
        <f t="array" ref="BX47">SUMPRODUCT(
  IF($B47:$K47&lt;&gt;"",
     INDEX('Eurostat EB products IEA'!$A$4:$BN$135,
           MATCH($B47:$K47, 'Eurostat EB products IEA'!$A$4:$A$135, 0),
           MATCH(BX$1, 'Eurostat EB products IEA'!$A$4:$BN$4, 0)
     )
     * $L47:$U47,
     0
  )
)</f>
        <v>0</v>
      </c>
      <c r="BY47" s="57" cm="1">
        <f t="array" ref="BY47">SUMPRODUCT(
  IF($B47:$K47&lt;&gt;"",
     INDEX('Eurostat EB products IEA'!$A$4:$BN$135,
           MATCH($B47:$K47, 'Eurostat EB products IEA'!$A$4:$A$135, 0),
           MATCH(BY$1, 'Eurostat EB products IEA'!$A$4:$BN$4, 0)
     )
     * $L47:$U47,
     0
  )
)</f>
        <v>0</v>
      </c>
      <c r="BZ47" s="57" cm="1">
        <f t="array" ref="BZ47">SUMPRODUCT(
  IF($B47:$K47&lt;&gt;"",
     INDEX('Eurostat EB products IEA'!$A$4:$BN$135,
           MATCH($B47:$K47, 'Eurostat EB products IEA'!$A$4:$A$135, 0),
           MATCH(BZ$1, 'Eurostat EB products IEA'!$A$4:$BN$4, 0)
     )
     * $L47:$U47,
     0
  )
)</f>
        <v>0</v>
      </c>
      <c r="CA47" s="57" cm="1">
        <f t="array" ref="CA47">SUMPRODUCT(
  IF($B47:$K47&lt;&gt;"",
     INDEX('Eurostat EB products IEA'!$A$4:$BN$135,
           MATCH($B47:$K47, 'Eurostat EB products IEA'!$A$4:$A$135, 0),
           MATCH(CA$1, 'Eurostat EB products IEA'!$A$4:$BN$4, 0)
     )
     * $L47:$U47,
     0
  )
)</f>
        <v>0</v>
      </c>
      <c r="CB47" s="57" cm="1">
        <f t="array" ref="CB47">SUMPRODUCT(
  IF($B47:$K47&lt;&gt;"",
     INDEX('Eurostat EB products IEA'!$A$4:$BN$135,
           MATCH($B47:$K47, 'Eurostat EB products IEA'!$A$4:$A$135, 0),
           MATCH(CB$1, 'Eurostat EB products IEA'!$A$4:$BN$4, 0)
     )
     * $L47:$U47,
     0
  )
)</f>
        <v>0</v>
      </c>
      <c r="CC47" s="57" cm="1">
        <f t="array" ref="CC47">SUMPRODUCT(
  IF($B47:$K47&lt;&gt;"",
     INDEX('Eurostat EB products IEA'!$A$4:$BN$135,
           MATCH($B47:$K47, 'Eurostat EB products IEA'!$A$4:$A$135, 0),
           MATCH(CC$1, 'Eurostat EB products IEA'!$A$4:$BN$4, 0)
     )
     * $L47:$U47,
     0
  )
)</f>
        <v>0</v>
      </c>
      <c r="CD47" s="65">
        <v>0</v>
      </c>
      <c r="CE47" s="57" cm="1">
        <f t="array" ref="CE47">SUMPRODUCT(
  IF($B47:$K47&lt;&gt;"",
     INDEX('Eurostat EB products IEA'!$A$4:$BN$135,
           MATCH($B47:$K47, 'Eurostat EB products IEA'!$A$4:$A$135, 0),
           MATCH(CE$1, 'Eurostat EB products IEA'!$A$4:$BN$4, 0)
     )
     * $L47:$U47,
     0
  )
)</f>
        <v>-13668.019</v>
      </c>
      <c r="CF47" s="57" cm="1">
        <f t="array" ref="CF47">SUMPRODUCT(
  IF($B47:$K47&lt;&gt;"",
     INDEX('Eurostat EB products IEA'!$A$4:$BN$135,
           MATCH($B47:$K47, 'Eurostat EB products IEA'!$A$4:$A$135, 0),
           MATCH(CF$1, 'Eurostat EB products IEA'!$A$4:$BN$4, 0)
     )
     * $L47:$U47,
     0
  )
)</f>
        <v>0</v>
      </c>
      <c r="CG47" s="57" cm="1">
        <f t="array" ref="CG47">SUMPRODUCT(
  IF($B47:$K47&lt;&gt;"",
     INDEX('Eurostat EB products IEA'!$A$4:$BN$135,
           MATCH($B47:$K47, 'Eurostat EB products IEA'!$A$4:$A$135, 0),
           MATCH(CG$1, 'Eurostat EB products IEA'!$A$4:$BN$4, 0)
     )
     * $L47:$U47,
     0
  )
)</f>
        <v>-13691.806</v>
      </c>
      <c r="CH47" s="57" cm="1">
        <f t="array" ref="CH47">SUMPRODUCT(
  IF($B47:$K47&lt;&gt;"",
     INDEX('Eurostat EB products IEA'!$A$4:$BN$135,
           MATCH($B47:$K47, 'Eurostat EB products IEA'!$A$4:$A$135, 0),
           MATCH(CH$1, 'Eurostat EB products IEA'!$A$4:$BN$4, 0)
     )
     * $L47:$U47,
     0
  )
)</f>
        <v>-910.14200000000005</v>
      </c>
    </row>
    <row r="48" spans="1:86" x14ac:dyDescent="0.2">
      <c r="A48" t="s">
        <v>167</v>
      </c>
      <c r="B48" s="75"/>
      <c r="C48" s="77"/>
      <c r="D48" s="75"/>
      <c r="E48" s="77"/>
      <c r="F48" s="75"/>
      <c r="G48" s="77"/>
      <c r="H48" s="75"/>
      <c r="I48" s="77"/>
      <c r="J48" s="74" t="s">
        <v>214</v>
      </c>
      <c r="K48" s="78" t="s">
        <v>242</v>
      </c>
      <c r="L48" s="76"/>
      <c r="M48" s="79"/>
      <c r="N48" s="76"/>
      <c r="O48" s="79"/>
      <c r="P48" s="76"/>
      <c r="Q48" s="79"/>
      <c r="R48" s="76"/>
      <c r="S48" s="79"/>
      <c r="T48" s="76">
        <v>-1</v>
      </c>
      <c r="U48" s="79">
        <v>1</v>
      </c>
      <c r="V48" s="65" t="s">
        <v>323</v>
      </c>
      <c r="W48" s="65" t="s">
        <v>323</v>
      </c>
      <c r="X48" s="17" cm="1">
        <f t="array" ref="X48">SUMPRODUCT(
  IF($B48:$K48&lt;&gt;"",
     INDEX('Eurostat EB products IEA'!$A$4:$BN$135,
           MATCH($B48:$K48, 'Eurostat EB products IEA'!$A$4:$A$135, 0),
           MATCH(X$1, 'Eurostat EB products IEA'!$A$4:$BN$4, 0)
     )
     * $L48:$U48,
     0
  )
)</f>
        <v>0</v>
      </c>
      <c r="Y48" s="17" cm="1">
        <f t="array" ref="Y48">SUMPRODUCT(
  IF($B48:$K48&lt;&gt;"",
     INDEX('Eurostat EB products IEA'!$A$4:$BN$135,
           MATCH($B48:$K48, 'Eurostat EB products IEA'!$A$4:$A$135, 0),
           MATCH(Y$1, 'Eurostat EB products IEA'!$A$4:$BN$4, 0)
     )
     * $L48:$U48,
     0
  )
)</f>
        <v>0</v>
      </c>
      <c r="Z48" s="17" cm="1">
        <f t="array" ref="Z48">SUMPRODUCT(
  IF($B48:$K48&lt;&gt;"",
     INDEX('Eurostat EB products IEA'!$A$4:$BN$135,
           MATCH($B48:$K48, 'Eurostat EB products IEA'!$A$4:$A$135, 0),
           MATCH(Z$1, 'Eurostat EB products IEA'!$A$4:$BN$4, 0)
     )
     * $L48:$U48,
     0
  )
)</f>
        <v>0</v>
      </c>
      <c r="AA48" s="17" cm="1">
        <f t="array" ref="AA48">SUMPRODUCT(
  IF($B48:$K48&lt;&gt;"",
     INDEX('Eurostat EB products IEA'!$A$4:$BN$135,
           MATCH($B48:$K48, 'Eurostat EB products IEA'!$A$4:$A$135, 0),
           MATCH(AA$1, 'Eurostat EB products IEA'!$A$4:$BN$4, 0)
     )
     * $L48:$U48,
     0
  )
)</f>
        <v>0</v>
      </c>
      <c r="AB48" s="17" cm="1">
        <f t="array" ref="AB48">SUMPRODUCT(
  IF($B48:$K48&lt;&gt;"",
     INDEX('Eurostat EB products IEA'!$A$4:$BN$135,
           MATCH($B48:$K48, 'Eurostat EB products IEA'!$A$4:$A$135, 0),
           MATCH(AB$1, 'Eurostat EB products IEA'!$A$4:$BN$4, 0)
     )
     * $L48:$U48,
     0
  )
)</f>
        <v>0</v>
      </c>
      <c r="AC48" s="17" cm="1">
        <f t="array" ref="AC48">SUMPRODUCT(
  IF($B48:$K48&lt;&gt;"",
     INDEX('Eurostat EB products IEA'!$A$4:$BN$135,
           MATCH($B48:$K48, 'Eurostat EB products IEA'!$A$4:$A$135, 0),
           MATCH(AC$1, 'Eurostat EB products IEA'!$A$4:$BN$4, 0)
     )
     * $L48:$U48,
     0
  )
)</f>
        <v>0</v>
      </c>
      <c r="AD48" s="17" cm="1">
        <f t="array" ref="AD48">SUMPRODUCT(
  IF($B48:$K48&lt;&gt;"",
     INDEX('Eurostat EB products IEA'!$A$4:$BN$135,
           MATCH($B48:$K48, 'Eurostat EB products IEA'!$A$4:$A$135, 0),
           MATCH(AD$1, 'Eurostat EB products IEA'!$A$4:$BN$4, 0)
     )
     * $L48:$U48,
     0
  )
)</f>
        <v>0</v>
      </c>
      <c r="AE48" s="17" cm="1">
        <f t="array" ref="AE48">SUMPRODUCT(
  IF($B48:$K48&lt;&gt;"",
     INDEX('Eurostat EB products IEA'!$A$4:$BN$135,
           MATCH($B48:$K48, 'Eurostat EB products IEA'!$A$4:$A$135, 0),
           MATCH(AE$1, 'Eurostat EB products IEA'!$A$4:$BN$4, 0)
     )
     * $L48:$U48,
     0
  )
)</f>
        <v>0</v>
      </c>
      <c r="AF48" s="17" cm="1">
        <f t="array" ref="AF48">SUMPRODUCT(
  IF($B48:$K48&lt;&gt;"",
     INDEX('Eurostat EB products IEA'!$A$4:$BN$135,
           MATCH($B48:$K48, 'Eurostat EB products IEA'!$A$4:$A$135, 0),
           MATCH(AF$1, 'Eurostat EB products IEA'!$A$4:$BN$4, 0)
     )
     * $L48:$U48,
     0
  )
)</f>
        <v>0</v>
      </c>
      <c r="AG48" s="17" cm="1">
        <f t="array" ref="AG48">SUMPRODUCT(
  IF($B48:$K48&lt;&gt;"",
     INDEX('Eurostat EB products IEA'!$A$4:$BN$135,
           MATCH($B48:$K48, 'Eurostat EB products IEA'!$A$4:$A$135, 0),
           MATCH(AG$1, 'Eurostat EB products IEA'!$A$4:$BN$4, 0)
     )
     * $L48:$U48,
     0
  )
)</f>
        <v>0</v>
      </c>
      <c r="AH48" s="17" cm="1">
        <f t="array" ref="AH48">SUMPRODUCT(
  IF($B48:$K48&lt;&gt;"",
     INDEX('Eurostat EB products IEA'!$A$4:$BN$135,
           MATCH($B48:$K48, 'Eurostat EB products IEA'!$A$4:$A$135, 0),
           MATCH(AH$1, 'Eurostat EB products IEA'!$A$4:$BN$4, 0)
     )
     * $L48:$U48,
     0
  )
)</f>
        <v>0</v>
      </c>
      <c r="AI48" s="17" cm="1">
        <f t="array" ref="AI48">SUMPRODUCT(
  IF($B48:$K48&lt;&gt;"",
     INDEX('Eurostat EB products IEA'!$A$4:$BN$135,
           MATCH($B48:$K48, 'Eurostat EB products IEA'!$A$4:$A$135, 0),
           MATCH(AI$1, 'Eurostat EB products IEA'!$A$4:$BN$4, 0)
     )
     * $L48:$U48,
     0
  )
)</f>
        <v>0</v>
      </c>
      <c r="AJ48" s="17" cm="1">
        <f t="array" ref="AJ48">SUMPRODUCT(
  IF($B48:$K48&lt;&gt;"",
     INDEX('Eurostat EB products IEA'!$A$4:$BN$135,
           MATCH($B48:$K48, 'Eurostat EB products IEA'!$A$4:$A$135, 0),
           MATCH(AJ$1, 'Eurostat EB products IEA'!$A$4:$BN$4, 0)
     )
     * $L48:$U48,
     0
  )
)</f>
        <v>0</v>
      </c>
      <c r="AK48" s="17" cm="1">
        <f t="array" ref="AK48">SUMPRODUCT(
  IF($B48:$K48&lt;&gt;"",
     INDEX('Eurostat EB products IEA'!$A$4:$BN$135,
           MATCH($B48:$K48, 'Eurostat EB products IEA'!$A$4:$A$135, 0),
           MATCH(AK$1, 'Eurostat EB products IEA'!$A$4:$BN$4, 0)
     )
     * $L48:$U48,
     0
  )
)</f>
        <v>0</v>
      </c>
      <c r="AL48" s="17" cm="1">
        <f t="array" ref="AL48">SUMPRODUCT(
  IF($B48:$K48&lt;&gt;"",
     INDEX('Eurostat EB products IEA'!$A$4:$BN$135,
           MATCH($B48:$K48, 'Eurostat EB products IEA'!$A$4:$A$135, 0),
           MATCH(AL$1, 'Eurostat EB products IEA'!$A$4:$BN$4, 0)
     )
     * $L48:$U48,
     0
  )
)</f>
        <v>0</v>
      </c>
      <c r="AM48" s="17" cm="1">
        <f t="array" ref="AM48">SUMPRODUCT(
  IF($B48:$K48&lt;&gt;"",
     INDEX('Eurostat EB products IEA'!$A$4:$BN$135,
           MATCH($B48:$K48, 'Eurostat EB products IEA'!$A$4:$A$135, 0),
           MATCH(AM$1, 'Eurostat EB products IEA'!$A$4:$BN$4, 0)
     )
     * $L48:$U48,
     0
  )
)</f>
        <v>0</v>
      </c>
      <c r="AN48" s="65" t="s">
        <v>323</v>
      </c>
      <c r="AO48" s="17" cm="1">
        <f t="array" ref="AO48">SUMPRODUCT(
  IF($B48:$K48&lt;&gt;"",
     INDEX('Eurostat EB products IEA'!$A$4:$BN$135,
           MATCH($B48:$K48, 'Eurostat EB products IEA'!$A$4:$A$135, 0),
           MATCH(AO$1, 'Eurostat EB products IEA'!$A$4:$BN$4, 0)
     )
     * $L48:$U48,
     0
  )
)</f>
        <v>0</v>
      </c>
      <c r="AP48" s="17" cm="1">
        <f t="array" ref="AP48">SUMPRODUCT(
  IF($B48:$K48&lt;&gt;"",
     INDEX('Eurostat EB products IEA'!$A$4:$BN$135,
           MATCH($B48:$K48, 'Eurostat EB products IEA'!$A$4:$A$135, 0),
           MATCH(AP$1, 'Eurostat EB products IEA'!$A$4:$BN$4, 0)
     )
     * $L48:$U48,
     0
  )
)</f>
        <v>0</v>
      </c>
      <c r="AQ48" s="17" cm="1">
        <f t="array" ref="AQ48">SUMPRODUCT(
  IF($B48:$K48&lt;&gt;"",
     INDEX('Eurostat EB products IEA'!$A$4:$BN$135,
           MATCH($B48:$K48, 'Eurostat EB products IEA'!$A$4:$A$135, 0),
           MATCH(AQ$1, 'Eurostat EB products IEA'!$A$4:$BN$4, 0)
     )
     * $L48:$U48,
     0
  )
)</f>
        <v>0</v>
      </c>
      <c r="AR48" s="17" cm="1">
        <f t="array" ref="AR48">SUMPRODUCT(
  IF($B48:$K48&lt;&gt;"",
     INDEX('Eurostat EB products IEA'!$A$4:$BN$135,
           MATCH($B48:$K48, 'Eurostat EB products IEA'!$A$4:$A$135, 0),
           MATCH(AR$1, 'Eurostat EB products IEA'!$A$4:$BN$4, 0)
     )
     * $L48:$U48,
     0
  )
)</f>
        <v>0</v>
      </c>
      <c r="AS48" s="17" cm="1">
        <f t="array" ref="AS48">SUMPRODUCT(
  IF($B48:$K48&lt;&gt;"",
     INDEX('Eurostat EB products IEA'!$A$4:$BN$135,
           MATCH($B48:$K48, 'Eurostat EB products IEA'!$A$4:$A$135, 0),
           MATCH(AS$1, 'Eurostat EB products IEA'!$A$4:$BN$4, 0)
     )
     * $L48:$U48,
     0
  )
)</f>
        <v>0</v>
      </c>
      <c r="AT48" s="17" cm="1">
        <f t="array" ref="AT48">SUMPRODUCT(
  IF($B48:$K48&lt;&gt;"",
     INDEX('Eurostat EB products IEA'!$A$4:$BN$135,
           MATCH($B48:$K48, 'Eurostat EB products IEA'!$A$4:$A$135, 0),
           MATCH(AT$1, 'Eurostat EB products IEA'!$A$4:$BN$4, 0)
     )
     * $L48:$U48,
     0
  )
)</f>
        <v>0</v>
      </c>
      <c r="AU48" s="17" cm="1">
        <f t="array" ref="AU48">SUMPRODUCT(
  IF($B48:$K48&lt;&gt;"",
     INDEX('Eurostat EB products IEA'!$A$4:$BN$135,
           MATCH($B48:$K48, 'Eurostat EB products IEA'!$A$4:$A$135, 0),
           MATCH(AU$1, 'Eurostat EB products IEA'!$A$4:$BN$4, 0)
     )
     * $L48:$U48,
     0
  )
)</f>
        <v>0</v>
      </c>
      <c r="AV48" s="17" cm="1">
        <f t="array" ref="AV48">SUMPRODUCT(
  IF($B48:$K48&lt;&gt;"",
     INDEX('Eurostat EB products IEA'!$A$4:$BN$135,
           MATCH($B48:$K48, 'Eurostat EB products IEA'!$A$4:$A$135, 0),
           MATCH(AV$1, 'Eurostat EB products IEA'!$A$4:$BN$4, 0)
     )
     * $L48:$U48,
     0
  )
)</f>
        <v>0</v>
      </c>
      <c r="AW48" s="17" cm="1">
        <f t="array" ref="AW48">SUMPRODUCT(
  IF($B48:$K48&lt;&gt;"",
     INDEX('Eurostat EB products IEA'!$A$4:$BN$135,
           MATCH($B48:$K48, 'Eurostat EB products IEA'!$A$4:$A$135, 0),
           MATCH(AW$1, 'Eurostat EB products IEA'!$A$4:$BN$4, 0)
     )
     * $L48:$U48,
     0
  )
)</f>
        <v>0</v>
      </c>
      <c r="AX48" s="17" cm="1">
        <f t="array" ref="AX48">SUMPRODUCT(
  IF($B48:$K48&lt;&gt;"",
     INDEX('Eurostat EB products IEA'!$A$4:$BN$135,
           MATCH($B48:$K48, 'Eurostat EB products IEA'!$A$4:$A$135, 0),
           MATCH(AX$1, 'Eurostat EB products IEA'!$A$4:$BN$4, 0)
     )
     * $L48:$U48,
     0
  )
)</f>
        <v>0</v>
      </c>
      <c r="AY48" s="17" cm="1">
        <f t="array" ref="AY48">SUMPRODUCT(
  IF($B48:$K48&lt;&gt;"",
     INDEX('Eurostat EB products IEA'!$A$4:$BN$135,
           MATCH($B48:$K48, 'Eurostat EB products IEA'!$A$4:$A$135, 0),
           MATCH(AY$1, 'Eurostat EB products IEA'!$A$4:$BN$4, 0)
     )
     * $L48:$U48,
     0
  )
)</f>
        <v>0</v>
      </c>
      <c r="AZ48" s="17" cm="1">
        <f t="array" ref="AZ48">SUMPRODUCT(
  IF($B48:$K48&lt;&gt;"",
     INDEX('Eurostat EB products IEA'!$A$4:$BN$135,
           MATCH($B48:$K48, 'Eurostat EB products IEA'!$A$4:$A$135, 0),
           MATCH(AZ$1, 'Eurostat EB products IEA'!$A$4:$BN$4, 0)
     )
     * $L48:$U48,
     0
  )
)</f>
        <v>0</v>
      </c>
      <c r="BA48" s="17" cm="1">
        <f t="array" ref="BA48">SUMPRODUCT(
  IF($B48:$K48&lt;&gt;"",
     INDEX('Eurostat EB products IEA'!$A$4:$BN$135,
           MATCH($B48:$K48, 'Eurostat EB products IEA'!$A$4:$A$135, 0),
           MATCH(BA$1, 'Eurostat EB products IEA'!$A$4:$BN$4, 0)
     )
     * $L48:$U48,
     0
  )
)</f>
        <v>0</v>
      </c>
      <c r="BB48" s="17" cm="1">
        <f t="array" ref="BB48">SUMPRODUCT(
  IF($B48:$K48&lt;&gt;"",
     INDEX('Eurostat EB products IEA'!$A$4:$BN$135,
           MATCH($B48:$K48, 'Eurostat EB products IEA'!$A$4:$A$135, 0),
           MATCH(BB$1, 'Eurostat EB products IEA'!$A$4:$BN$4, 0)
     )
     * $L48:$U48,
     0
  )
)</f>
        <v>0</v>
      </c>
      <c r="BC48" s="17" cm="1">
        <f t="array" ref="BC48">SUMPRODUCT(
  IF($B48:$K48&lt;&gt;"",
     INDEX('Eurostat EB products IEA'!$A$4:$BN$135,
           MATCH($B48:$K48, 'Eurostat EB products IEA'!$A$4:$A$135, 0),
           MATCH(BC$1, 'Eurostat EB products IEA'!$A$4:$BN$4, 0)
     )
     * $L48:$U48,
     0
  )
)</f>
        <v>0</v>
      </c>
      <c r="BD48" s="17" cm="1">
        <f t="array" ref="BD48">SUMPRODUCT(
  IF($B48:$K48&lt;&gt;"",
     INDEX('Eurostat EB products IEA'!$A$4:$BN$135,
           MATCH($B48:$K48, 'Eurostat EB products IEA'!$A$4:$A$135, 0),
           MATCH(BD$1, 'Eurostat EB products IEA'!$A$4:$BN$4, 0)
     )
     * $L48:$U48,
     0
  )
)</f>
        <v>0</v>
      </c>
      <c r="BE48" s="17" cm="1">
        <f t="array" ref="BE48">SUMPRODUCT(
  IF($B48:$K48&lt;&gt;"",
     INDEX('Eurostat EB products IEA'!$A$4:$BN$135,
           MATCH($B48:$K48, 'Eurostat EB products IEA'!$A$4:$A$135, 0),
           MATCH(BE$1, 'Eurostat EB products IEA'!$A$4:$BN$4, 0)
     )
     * $L48:$U48,
     0
  )
)</f>
        <v>0</v>
      </c>
      <c r="BF48" s="17" cm="1">
        <f t="array" ref="BF48">SUMPRODUCT(
  IF($B48:$K48&lt;&gt;"",
     INDEX('Eurostat EB products IEA'!$A$4:$BN$135,
           MATCH($B48:$K48, 'Eurostat EB products IEA'!$A$4:$A$135, 0),
           MATCH(BF$1, 'Eurostat EB products IEA'!$A$4:$BN$4, 0)
     )
     * $L48:$U48,
     0
  )
)</f>
        <v>0</v>
      </c>
      <c r="BG48" s="17" cm="1">
        <f t="array" ref="BG48">SUMPRODUCT(
  IF($B48:$K48&lt;&gt;"",
     INDEX('Eurostat EB products IEA'!$A$4:$BN$135,
           MATCH($B48:$K48, 'Eurostat EB products IEA'!$A$4:$A$135, 0),
           MATCH(BG$1, 'Eurostat EB products IEA'!$A$4:$BN$4, 0)
     )
     * $L48:$U48,
     0
  )
)</f>
        <v>0</v>
      </c>
      <c r="BH48" s="17" cm="1">
        <f t="array" ref="BH48">SUMPRODUCT(
  IF($B48:$K48&lt;&gt;"",
     INDEX('Eurostat EB products IEA'!$A$4:$BN$135,
           MATCH($B48:$K48, 'Eurostat EB products IEA'!$A$4:$A$135, 0),
           MATCH(BH$1, 'Eurostat EB products IEA'!$A$4:$BN$4, 0)
     )
     * $L48:$U48,
     0
  )
)</f>
        <v>0</v>
      </c>
      <c r="BI48" s="17" cm="1">
        <f t="array" ref="BI48">SUMPRODUCT(
  IF($B48:$K48&lt;&gt;"",
     INDEX('Eurostat EB products IEA'!$A$4:$BN$135,
           MATCH($B48:$K48, 'Eurostat EB products IEA'!$A$4:$A$135, 0),
           MATCH(BI$1, 'Eurostat EB products IEA'!$A$4:$BN$4, 0)
     )
     * $L48:$U48,
     0
  )
)</f>
        <v>0</v>
      </c>
      <c r="BJ48" s="17" cm="1">
        <f t="array" ref="BJ48">SUMPRODUCT(
  IF($B48:$K48&lt;&gt;"",
     INDEX('Eurostat EB products IEA'!$A$4:$BN$135,
           MATCH($B48:$K48, 'Eurostat EB products IEA'!$A$4:$A$135, 0),
           MATCH(BJ$1, 'Eurostat EB products IEA'!$A$4:$BN$4, 0)
     )
     * $L48:$U48,
     0
  )
)</f>
        <v>0</v>
      </c>
      <c r="BK48" s="17" cm="1">
        <f t="array" ref="BK48">SUMPRODUCT(
  IF($B48:$K48&lt;&gt;"",
     INDEX('Eurostat EB products IEA'!$A$4:$BN$135,
           MATCH($B48:$K48, 'Eurostat EB products IEA'!$A$4:$A$135, 0),
           MATCH(BK$1, 'Eurostat EB products IEA'!$A$4:$BN$4, 0)
     )
     * $L48:$U48,
     0
  )
)</f>
        <v>0</v>
      </c>
      <c r="BL48" s="17" cm="1">
        <f t="array" ref="BL48">SUMPRODUCT(
  IF($B48:$K48&lt;&gt;"",
     INDEX('Eurostat EB products IEA'!$A$4:$BN$135,
           MATCH($B48:$K48, 'Eurostat EB products IEA'!$A$4:$A$135, 0),
           MATCH(BL$1, 'Eurostat EB products IEA'!$A$4:$BN$4, 0)
     )
     * $L48:$U48,
     0
  )
)</f>
        <v>0</v>
      </c>
      <c r="BM48" s="17" cm="1">
        <f t="array" ref="BM48">SUMPRODUCT(
  IF($B48:$K48&lt;&gt;"",
     INDEX('Eurostat EB products IEA'!$A$4:$BN$135,
           MATCH($B48:$K48, 'Eurostat EB products IEA'!$A$4:$A$135, 0),
           MATCH(BM$1, 'Eurostat EB products IEA'!$A$4:$BN$4, 0)
     )
     * $L48:$U48,
     0
  )
)</f>
        <v>0</v>
      </c>
      <c r="BN48" s="17" cm="1">
        <f t="array" ref="BN48">SUMPRODUCT(
  IF($B48:$K48&lt;&gt;"",
     INDEX('Eurostat EB products IEA'!$A$4:$BN$135,
           MATCH($B48:$K48, 'Eurostat EB products IEA'!$A$4:$A$135, 0),
           MATCH(BN$1, 'Eurostat EB products IEA'!$A$4:$BN$4, 0)
     )
     * $L48:$U48,
     0
  )
)</f>
        <v>0</v>
      </c>
      <c r="BO48" s="17" cm="1">
        <f t="array" ref="BO48">SUMPRODUCT(
  IF($B48:$K48&lt;&gt;"",
     INDEX('Eurostat EB products IEA'!$A$4:$BN$135,
           MATCH($B48:$K48, 'Eurostat EB products IEA'!$A$4:$A$135, 0),
           MATCH(BO$1, 'Eurostat EB products IEA'!$A$4:$BN$4, 0)
     )
     * $L48:$U48,
     0
  )
)</f>
        <v>0</v>
      </c>
      <c r="BP48" s="17" cm="1">
        <f t="array" ref="BP48">SUMPRODUCT(
  IF($B48:$K48&lt;&gt;"",
     INDEX('Eurostat EB products IEA'!$A$4:$BN$135,
           MATCH($B48:$K48, 'Eurostat EB products IEA'!$A$4:$A$135, 0),
           MATCH(BP$1, 'Eurostat EB products IEA'!$A$4:$BN$4, 0)
     )
     * $L48:$U48,
     0
  )
)</f>
        <v>0</v>
      </c>
      <c r="BQ48" s="17" cm="1">
        <f t="array" ref="BQ48">SUMPRODUCT(
  IF($B48:$K48&lt;&gt;"",
     INDEX('Eurostat EB products IEA'!$A$4:$BN$135,
           MATCH($B48:$K48, 'Eurostat EB products IEA'!$A$4:$A$135, 0),
           MATCH(BQ$1, 'Eurostat EB products IEA'!$A$4:$BN$4, 0)
     )
     * $L48:$U48,
     0
  )
)</f>
        <v>0</v>
      </c>
      <c r="BR48" s="17" cm="1">
        <f t="array" ref="BR48">SUMPRODUCT(
  IF($B48:$K48&lt;&gt;"",
     INDEX('Eurostat EB products IEA'!$A$4:$BN$135,
           MATCH($B48:$K48, 'Eurostat EB products IEA'!$A$4:$A$135, 0),
           MATCH(BR$1, 'Eurostat EB products IEA'!$A$4:$BN$4, 0)
     )
     * $L48:$U48,
     0
  )
)</f>
        <v>0</v>
      </c>
      <c r="BS48" s="65">
        <v>0</v>
      </c>
      <c r="BT48" s="17" cm="1">
        <f t="array" ref="BT48">SUMPRODUCT(
  IF($B48:$K48&lt;&gt;"",
     INDEX('Eurostat EB products IEA'!$A$4:$BN$135,
           MATCH($B48:$K48, 'Eurostat EB products IEA'!$A$4:$A$135, 0),
           MATCH(BT$1, 'Eurostat EB products IEA'!$A$4:$BN$4, 0)
     )
     * $L48:$U48,
     0
  )
)</f>
        <v>0</v>
      </c>
      <c r="BU48" s="65">
        <v>0</v>
      </c>
      <c r="BV48" s="65">
        <v>0</v>
      </c>
      <c r="BW48" s="17" cm="1">
        <f t="array" ref="BW48">SUMPRODUCT(
  IF($B48:$K48&lt;&gt;"",
     INDEX('Eurostat EB products IEA'!$A$4:$BN$135,
           MATCH($B48:$K48, 'Eurostat EB products IEA'!$A$4:$A$135, 0),
           MATCH(BW$1, 'Eurostat EB products IEA'!$A$4:$BN$4, 0)
     )
     * $L48:$U48,
     0
  )
)</f>
        <v>0</v>
      </c>
      <c r="BX48" s="17" cm="1">
        <f t="array" ref="BX48">SUMPRODUCT(
  IF($B48:$K48&lt;&gt;"",
     INDEX('Eurostat EB products IEA'!$A$4:$BN$135,
           MATCH($B48:$K48, 'Eurostat EB products IEA'!$A$4:$A$135, 0),
           MATCH(BX$1, 'Eurostat EB products IEA'!$A$4:$BN$4, 0)
     )
     * $L48:$U48,
     0
  )
)</f>
        <v>0</v>
      </c>
      <c r="BY48" s="17" cm="1">
        <f t="array" ref="BY48">SUMPRODUCT(
  IF($B48:$K48&lt;&gt;"",
     INDEX('Eurostat EB products IEA'!$A$4:$BN$135,
           MATCH($B48:$K48, 'Eurostat EB products IEA'!$A$4:$A$135, 0),
           MATCH(BY$1, 'Eurostat EB products IEA'!$A$4:$BN$4, 0)
     )
     * $L48:$U48,
     0
  )
)</f>
        <v>0</v>
      </c>
      <c r="BZ48" s="17" cm="1">
        <f t="array" ref="BZ48">SUMPRODUCT(
  IF($B48:$K48&lt;&gt;"",
     INDEX('Eurostat EB products IEA'!$A$4:$BN$135,
           MATCH($B48:$K48, 'Eurostat EB products IEA'!$A$4:$A$135, 0),
           MATCH(BZ$1, 'Eurostat EB products IEA'!$A$4:$BN$4, 0)
     )
     * $L48:$U48,
     0
  )
)</f>
        <v>0</v>
      </c>
      <c r="CA48" s="17" cm="1">
        <f t="array" ref="CA48">SUMPRODUCT(
  IF($B48:$K48&lt;&gt;"",
     INDEX('Eurostat EB products IEA'!$A$4:$BN$135,
           MATCH($B48:$K48, 'Eurostat EB products IEA'!$A$4:$A$135, 0),
           MATCH(CA$1, 'Eurostat EB products IEA'!$A$4:$BN$4, 0)
     )
     * $L48:$U48,
     0
  )
)</f>
        <v>0</v>
      </c>
      <c r="CB48" s="17" cm="1">
        <f t="array" ref="CB48">SUMPRODUCT(
  IF($B48:$K48&lt;&gt;"",
     INDEX('Eurostat EB products IEA'!$A$4:$BN$135,
           MATCH($B48:$K48, 'Eurostat EB products IEA'!$A$4:$A$135, 0),
           MATCH(CB$1, 'Eurostat EB products IEA'!$A$4:$BN$4, 0)
     )
     * $L48:$U48,
     0
  )
)</f>
        <v>0</v>
      </c>
      <c r="CC48" s="17" cm="1">
        <f t="array" ref="CC48">SUMPRODUCT(
  IF($B48:$K48&lt;&gt;"",
     INDEX('Eurostat EB products IEA'!$A$4:$BN$135,
           MATCH($B48:$K48, 'Eurostat EB products IEA'!$A$4:$A$135, 0),
           MATCH(CC$1, 'Eurostat EB products IEA'!$A$4:$BN$4, 0)
     )
     * $L48:$U48,
     0
  )
)</f>
        <v>0</v>
      </c>
      <c r="CD48" s="65">
        <v>0</v>
      </c>
      <c r="CE48" s="17" cm="1">
        <f t="array" ref="CE48">SUMPRODUCT(
  IF($B48:$K48&lt;&gt;"",
     INDEX('Eurostat EB products IEA'!$A$4:$BN$135,
           MATCH($B48:$K48, 'Eurostat EB products IEA'!$A$4:$A$135, 0),
           MATCH(CE$1, 'Eurostat EB products IEA'!$A$4:$BN$4, 0)
     )
     * $L48:$U48,
     0
  )
)</f>
        <v>0</v>
      </c>
      <c r="CF48" s="17" cm="1">
        <f t="array" ref="CF48">SUMPRODUCT(
  IF($B48:$K48&lt;&gt;"",
     INDEX('Eurostat EB products IEA'!$A$4:$BN$135,
           MATCH($B48:$K48, 'Eurostat EB products IEA'!$A$4:$A$135, 0),
           MATCH(CF$1, 'Eurostat EB products IEA'!$A$4:$BN$4, 0)
     )
     * $L48:$U48,
     0
  )
)</f>
        <v>0</v>
      </c>
      <c r="CG48" s="17" cm="1">
        <f t="array" ref="CG48">SUMPRODUCT(
  IF($B48:$K48&lt;&gt;"",
     INDEX('Eurostat EB products IEA'!$A$4:$BN$135,
           MATCH($B48:$K48, 'Eurostat EB products IEA'!$A$4:$A$135, 0),
           MATCH(CG$1, 'Eurostat EB products IEA'!$A$4:$BN$4, 0)
     )
     * $L48:$U48,
     0
  )
)</f>
        <v>0</v>
      </c>
      <c r="CH48" s="17" cm="1">
        <f t="array" ref="CH48">SUMPRODUCT(
  IF($B48:$K48&lt;&gt;"",
     INDEX('Eurostat EB products IEA'!$A$4:$BN$135,
           MATCH($B48:$K48, 'Eurostat EB products IEA'!$A$4:$A$135, 0),
           MATCH(CH$1, 'Eurostat EB products IEA'!$A$4:$BN$4, 0)
     )
     * $L48:$U48,
     0
  )
)</f>
        <v>0</v>
      </c>
    </row>
    <row r="49" spans="1:86" x14ac:dyDescent="0.2">
      <c r="A49" t="s">
        <v>96</v>
      </c>
      <c r="B49" s="75"/>
      <c r="C49" s="77"/>
      <c r="D49" s="75"/>
      <c r="E49" s="77"/>
      <c r="F49" s="75"/>
      <c r="G49" s="77"/>
      <c r="H49" s="75"/>
      <c r="I49" s="77"/>
      <c r="J49" s="74"/>
      <c r="K49" s="78" t="s">
        <v>272</v>
      </c>
      <c r="L49" s="76"/>
      <c r="M49" s="79"/>
      <c r="N49" s="76"/>
      <c r="O49" s="79"/>
      <c r="P49" s="76"/>
      <c r="Q49" s="79"/>
      <c r="R49" s="76"/>
      <c r="S49" s="79"/>
      <c r="T49" s="76"/>
      <c r="U49" s="79">
        <v>-1</v>
      </c>
      <c r="V49" s="65" t="s">
        <v>323</v>
      </c>
      <c r="W49" s="65" t="s">
        <v>323</v>
      </c>
      <c r="X49" s="57" cm="1">
        <f t="array" ref="X49">SUMPRODUCT(
  IF($B49:$K49&lt;&gt;"",
     INDEX('Eurostat EB products IEA'!$A$4:$BN$135,
           MATCH($B49:$K49, 'Eurostat EB products IEA'!$A$4:$A$135, 0),
           MATCH(X$1, 'Eurostat EB products IEA'!$A$4:$BN$4, 0)
     )
     * $L49:$U49,
     0
  )
)</f>
        <v>0</v>
      </c>
      <c r="Y49" s="57" cm="1">
        <f t="array" ref="Y49">SUMPRODUCT(
  IF($B49:$K49&lt;&gt;"",
     INDEX('Eurostat EB products IEA'!$A$4:$BN$135,
           MATCH($B49:$K49, 'Eurostat EB products IEA'!$A$4:$A$135, 0),
           MATCH(Y$1, 'Eurostat EB products IEA'!$A$4:$BN$4, 0)
     )
     * $L49:$U49,
     0
  )
)</f>
        <v>0</v>
      </c>
      <c r="Z49" s="57" cm="1">
        <f t="array" ref="Z49">SUMPRODUCT(
  IF($B49:$K49&lt;&gt;"",
     INDEX('Eurostat EB products IEA'!$A$4:$BN$135,
           MATCH($B49:$K49, 'Eurostat EB products IEA'!$A$4:$A$135, 0),
           MATCH(Z$1, 'Eurostat EB products IEA'!$A$4:$BN$4, 0)
     )
     * $L49:$U49,
     0
  )
)</f>
        <v>0</v>
      </c>
      <c r="AA49" s="57" cm="1">
        <f t="array" ref="AA49">SUMPRODUCT(
  IF($B49:$K49&lt;&gt;"",
     INDEX('Eurostat EB products IEA'!$A$4:$BN$135,
           MATCH($B49:$K49, 'Eurostat EB products IEA'!$A$4:$A$135, 0),
           MATCH(AA$1, 'Eurostat EB products IEA'!$A$4:$BN$4, 0)
     )
     * $L49:$U49,
     0
  )
)</f>
        <v>0</v>
      </c>
      <c r="AB49" s="57" cm="1">
        <f t="array" ref="AB49">SUMPRODUCT(
  IF($B49:$K49&lt;&gt;"",
     INDEX('Eurostat EB products IEA'!$A$4:$BN$135,
           MATCH($B49:$K49, 'Eurostat EB products IEA'!$A$4:$A$135, 0),
           MATCH(AB$1, 'Eurostat EB products IEA'!$A$4:$BN$4, 0)
     )
     * $L49:$U49,
     0
  )
)</f>
        <v>0</v>
      </c>
      <c r="AC49" s="57" cm="1">
        <f t="array" ref="AC49">SUMPRODUCT(
  IF($B49:$K49&lt;&gt;"",
     INDEX('Eurostat EB products IEA'!$A$4:$BN$135,
           MATCH($B49:$K49, 'Eurostat EB products IEA'!$A$4:$A$135, 0),
           MATCH(AC$1, 'Eurostat EB products IEA'!$A$4:$BN$4, 0)
     )
     * $L49:$U49,
     0
  )
)</f>
        <v>0</v>
      </c>
      <c r="AD49" s="57" cm="1">
        <f t="array" ref="AD49">SUMPRODUCT(
  IF($B49:$K49&lt;&gt;"",
     INDEX('Eurostat EB products IEA'!$A$4:$BN$135,
           MATCH($B49:$K49, 'Eurostat EB products IEA'!$A$4:$A$135, 0),
           MATCH(AD$1, 'Eurostat EB products IEA'!$A$4:$BN$4, 0)
     )
     * $L49:$U49,
     0
  )
)</f>
        <v>0</v>
      </c>
      <c r="AE49" s="57" cm="1">
        <f t="array" ref="AE49">SUMPRODUCT(
  IF($B49:$K49&lt;&gt;"",
     INDEX('Eurostat EB products IEA'!$A$4:$BN$135,
           MATCH($B49:$K49, 'Eurostat EB products IEA'!$A$4:$A$135, 0),
           MATCH(AE$1, 'Eurostat EB products IEA'!$A$4:$BN$4, 0)
     )
     * $L49:$U49,
     0
  )
)</f>
        <v>0</v>
      </c>
      <c r="AF49" s="57" cm="1">
        <f t="array" ref="AF49">SUMPRODUCT(
  IF($B49:$K49&lt;&gt;"",
     INDEX('Eurostat EB products IEA'!$A$4:$BN$135,
           MATCH($B49:$K49, 'Eurostat EB products IEA'!$A$4:$A$135, 0),
           MATCH(AF$1, 'Eurostat EB products IEA'!$A$4:$BN$4, 0)
     )
     * $L49:$U49,
     0
  )
)</f>
        <v>0</v>
      </c>
      <c r="AG49" s="57" cm="1">
        <f t="array" ref="AG49">SUMPRODUCT(
  IF($B49:$K49&lt;&gt;"",
     INDEX('Eurostat EB products IEA'!$A$4:$BN$135,
           MATCH($B49:$K49, 'Eurostat EB products IEA'!$A$4:$A$135, 0),
           MATCH(AG$1, 'Eurostat EB products IEA'!$A$4:$BN$4, 0)
     )
     * $L49:$U49,
     0
  )
)</f>
        <v>0</v>
      </c>
      <c r="AH49" s="57" cm="1">
        <f t="array" ref="AH49">SUMPRODUCT(
  IF($B49:$K49&lt;&gt;"",
     INDEX('Eurostat EB products IEA'!$A$4:$BN$135,
           MATCH($B49:$K49, 'Eurostat EB products IEA'!$A$4:$A$135, 0),
           MATCH(AH$1, 'Eurostat EB products IEA'!$A$4:$BN$4, 0)
     )
     * $L49:$U49,
     0
  )
)</f>
        <v>0</v>
      </c>
      <c r="AI49" s="57" cm="1">
        <f t="array" ref="AI49">SUMPRODUCT(
  IF($B49:$K49&lt;&gt;"",
     INDEX('Eurostat EB products IEA'!$A$4:$BN$135,
           MATCH($B49:$K49, 'Eurostat EB products IEA'!$A$4:$A$135, 0),
           MATCH(AI$1, 'Eurostat EB products IEA'!$A$4:$BN$4, 0)
     )
     * $L49:$U49,
     0
  )
)</f>
        <v>0</v>
      </c>
      <c r="AJ49" s="57" cm="1">
        <f t="array" ref="AJ49">SUMPRODUCT(
  IF($B49:$K49&lt;&gt;"",
     INDEX('Eurostat EB products IEA'!$A$4:$BN$135,
           MATCH($B49:$K49, 'Eurostat EB products IEA'!$A$4:$A$135, 0),
           MATCH(AJ$1, 'Eurostat EB products IEA'!$A$4:$BN$4, 0)
     )
     * $L49:$U49,
     0
  )
)</f>
        <v>0</v>
      </c>
      <c r="AK49" s="57" cm="1">
        <f t="array" ref="AK49">SUMPRODUCT(
  IF($B49:$K49&lt;&gt;"",
     INDEX('Eurostat EB products IEA'!$A$4:$BN$135,
           MATCH($B49:$K49, 'Eurostat EB products IEA'!$A$4:$A$135, 0),
           MATCH(AK$1, 'Eurostat EB products IEA'!$A$4:$BN$4, 0)
     )
     * $L49:$U49,
     0
  )
)</f>
        <v>0</v>
      </c>
      <c r="AL49" s="57" cm="1">
        <f t="array" ref="AL49">SUMPRODUCT(
  IF($B49:$K49&lt;&gt;"",
     INDEX('Eurostat EB products IEA'!$A$4:$BN$135,
           MATCH($B49:$K49, 'Eurostat EB products IEA'!$A$4:$A$135, 0),
           MATCH(AL$1, 'Eurostat EB products IEA'!$A$4:$BN$4, 0)
     )
     * $L49:$U49,
     0
  )
)</f>
        <v>0</v>
      </c>
      <c r="AM49" s="57" cm="1">
        <f t="array" ref="AM49">SUMPRODUCT(
  IF($B49:$K49&lt;&gt;"",
     INDEX('Eurostat EB products IEA'!$A$4:$BN$135,
           MATCH($B49:$K49, 'Eurostat EB products IEA'!$A$4:$A$135, 0),
           MATCH(AM$1, 'Eurostat EB products IEA'!$A$4:$BN$4, 0)
     )
     * $L49:$U49,
     0
  )
)</f>
        <v>0</v>
      </c>
      <c r="AN49" s="65" t="s">
        <v>323</v>
      </c>
      <c r="AO49" s="57" cm="1">
        <f t="array" ref="AO49">SUMPRODUCT(
  IF($B49:$K49&lt;&gt;"",
     INDEX('Eurostat EB products IEA'!$A$4:$BN$135,
           MATCH($B49:$K49, 'Eurostat EB products IEA'!$A$4:$A$135, 0),
           MATCH(AO$1, 'Eurostat EB products IEA'!$A$4:$BN$4, 0)
     )
     * $L49:$U49,
     0
  )
)</f>
        <v>0</v>
      </c>
      <c r="AP49" s="57" cm="1">
        <f t="array" ref="AP49">SUMPRODUCT(
  IF($B49:$K49&lt;&gt;"",
     INDEX('Eurostat EB products IEA'!$A$4:$BN$135,
           MATCH($B49:$K49, 'Eurostat EB products IEA'!$A$4:$A$135, 0),
           MATCH(AP$1, 'Eurostat EB products IEA'!$A$4:$BN$4, 0)
     )
     * $L49:$U49,
     0
  )
)</f>
        <v>0</v>
      </c>
      <c r="AQ49" s="57" cm="1">
        <f t="array" ref="AQ49">SUMPRODUCT(
  IF($B49:$K49&lt;&gt;"",
     INDEX('Eurostat EB products IEA'!$A$4:$BN$135,
           MATCH($B49:$K49, 'Eurostat EB products IEA'!$A$4:$A$135, 0),
           MATCH(AQ$1, 'Eurostat EB products IEA'!$A$4:$BN$4, 0)
     )
     * $L49:$U49,
     0
  )
)</f>
        <v>0</v>
      </c>
      <c r="AR49" s="57" cm="1">
        <f t="array" ref="AR49">SUMPRODUCT(
  IF($B49:$K49&lt;&gt;"",
     INDEX('Eurostat EB products IEA'!$A$4:$BN$135,
           MATCH($B49:$K49, 'Eurostat EB products IEA'!$A$4:$A$135, 0),
           MATCH(AR$1, 'Eurostat EB products IEA'!$A$4:$BN$4, 0)
     )
     * $L49:$U49,
     0
  )
)</f>
        <v>0</v>
      </c>
      <c r="AS49" s="57" cm="1">
        <f t="array" ref="AS49">SUMPRODUCT(
  IF($B49:$K49&lt;&gt;"",
     INDEX('Eurostat EB products IEA'!$A$4:$BN$135,
           MATCH($B49:$K49, 'Eurostat EB products IEA'!$A$4:$A$135, 0),
           MATCH(AS$1, 'Eurostat EB products IEA'!$A$4:$BN$4, 0)
     )
     * $L49:$U49,
     0
  )
)</f>
        <v>0</v>
      </c>
      <c r="AT49" s="57" cm="1">
        <f t="array" ref="AT49">SUMPRODUCT(
  IF($B49:$K49&lt;&gt;"",
     INDEX('Eurostat EB products IEA'!$A$4:$BN$135,
           MATCH($B49:$K49, 'Eurostat EB products IEA'!$A$4:$A$135, 0),
           MATCH(AT$1, 'Eurostat EB products IEA'!$A$4:$BN$4, 0)
     )
     * $L49:$U49,
     0
  )
)</f>
        <v>0</v>
      </c>
      <c r="AU49" s="57" cm="1">
        <f t="array" ref="AU49">SUMPRODUCT(
  IF($B49:$K49&lt;&gt;"",
     INDEX('Eurostat EB products IEA'!$A$4:$BN$135,
           MATCH($B49:$K49, 'Eurostat EB products IEA'!$A$4:$A$135, 0),
           MATCH(AU$1, 'Eurostat EB products IEA'!$A$4:$BN$4, 0)
     )
     * $L49:$U49,
     0
  )
)</f>
        <v>0</v>
      </c>
      <c r="AV49" s="57" cm="1">
        <f t="array" ref="AV49">SUMPRODUCT(
  IF($B49:$K49&lt;&gt;"",
     INDEX('Eurostat EB products IEA'!$A$4:$BN$135,
           MATCH($B49:$K49, 'Eurostat EB products IEA'!$A$4:$A$135, 0),
           MATCH(AV$1, 'Eurostat EB products IEA'!$A$4:$BN$4, 0)
     )
     * $L49:$U49,
     0
  )
)</f>
        <v>0</v>
      </c>
      <c r="AW49" s="57" cm="1">
        <f t="array" ref="AW49">SUMPRODUCT(
  IF($B49:$K49&lt;&gt;"",
     INDEX('Eurostat EB products IEA'!$A$4:$BN$135,
           MATCH($B49:$K49, 'Eurostat EB products IEA'!$A$4:$A$135, 0),
           MATCH(AW$1, 'Eurostat EB products IEA'!$A$4:$BN$4, 0)
     )
     * $L49:$U49,
     0
  )
)</f>
        <v>0</v>
      </c>
      <c r="AX49" s="57" cm="1">
        <f t="array" ref="AX49">SUMPRODUCT(
  IF($B49:$K49&lt;&gt;"",
     INDEX('Eurostat EB products IEA'!$A$4:$BN$135,
           MATCH($B49:$K49, 'Eurostat EB products IEA'!$A$4:$A$135, 0),
           MATCH(AX$1, 'Eurostat EB products IEA'!$A$4:$BN$4, 0)
     )
     * $L49:$U49,
     0
  )
)</f>
        <v>0</v>
      </c>
      <c r="AY49" s="57" cm="1">
        <f t="array" ref="AY49">SUMPRODUCT(
  IF($B49:$K49&lt;&gt;"",
     INDEX('Eurostat EB products IEA'!$A$4:$BN$135,
           MATCH($B49:$K49, 'Eurostat EB products IEA'!$A$4:$A$135, 0),
           MATCH(AY$1, 'Eurostat EB products IEA'!$A$4:$BN$4, 0)
     )
     * $L49:$U49,
     0
  )
)</f>
        <v>0</v>
      </c>
      <c r="AZ49" s="57" cm="1">
        <f t="array" ref="AZ49">SUMPRODUCT(
  IF($B49:$K49&lt;&gt;"",
     INDEX('Eurostat EB products IEA'!$A$4:$BN$135,
           MATCH($B49:$K49, 'Eurostat EB products IEA'!$A$4:$A$135, 0),
           MATCH(AZ$1, 'Eurostat EB products IEA'!$A$4:$BN$4, 0)
     )
     * $L49:$U49,
     0
  )
)</f>
        <v>0</v>
      </c>
      <c r="BA49" s="57" cm="1">
        <f t="array" ref="BA49">SUMPRODUCT(
  IF($B49:$K49&lt;&gt;"",
     INDEX('Eurostat EB products IEA'!$A$4:$BN$135,
           MATCH($B49:$K49, 'Eurostat EB products IEA'!$A$4:$A$135, 0),
           MATCH(BA$1, 'Eurostat EB products IEA'!$A$4:$BN$4, 0)
     )
     * $L49:$U49,
     0
  )
)</f>
        <v>0</v>
      </c>
      <c r="BB49" s="57" cm="1">
        <f t="array" ref="BB49">SUMPRODUCT(
  IF($B49:$K49&lt;&gt;"",
     INDEX('Eurostat EB products IEA'!$A$4:$BN$135,
           MATCH($B49:$K49, 'Eurostat EB products IEA'!$A$4:$A$135, 0),
           MATCH(BB$1, 'Eurostat EB products IEA'!$A$4:$BN$4, 0)
     )
     * $L49:$U49,
     0
  )
)</f>
        <v>0</v>
      </c>
      <c r="BC49" s="57" cm="1">
        <f t="array" ref="BC49">SUMPRODUCT(
  IF($B49:$K49&lt;&gt;"",
     INDEX('Eurostat EB products IEA'!$A$4:$BN$135,
           MATCH($B49:$K49, 'Eurostat EB products IEA'!$A$4:$A$135, 0),
           MATCH(BC$1, 'Eurostat EB products IEA'!$A$4:$BN$4, 0)
     )
     * $L49:$U49,
     0
  )
)</f>
        <v>0</v>
      </c>
      <c r="BD49" s="57" cm="1">
        <f t="array" ref="BD49">SUMPRODUCT(
  IF($B49:$K49&lt;&gt;"",
     INDEX('Eurostat EB products IEA'!$A$4:$BN$135,
           MATCH($B49:$K49, 'Eurostat EB products IEA'!$A$4:$A$135, 0),
           MATCH(BD$1, 'Eurostat EB products IEA'!$A$4:$BN$4, 0)
     )
     * $L49:$U49,
     0
  )
)</f>
        <v>0</v>
      </c>
      <c r="BE49" s="57" cm="1">
        <f t="array" ref="BE49">SUMPRODUCT(
  IF($B49:$K49&lt;&gt;"",
     INDEX('Eurostat EB products IEA'!$A$4:$BN$135,
           MATCH($B49:$K49, 'Eurostat EB products IEA'!$A$4:$A$135, 0),
           MATCH(BE$1, 'Eurostat EB products IEA'!$A$4:$BN$4, 0)
     )
     * $L49:$U49,
     0
  )
)</f>
        <v>0</v>
      </c>
      <c r="BF49" s="57" cm="1">
        <f t="array" ref="BF49">SUMPRODUCT(
  IF($B49:$K49&lt;&gt;"",
     INDEX('Eurostat EB products IEA'!$A$4:$BN$135,
           MATCH($B49:$K49, 'Eurostat EB products IEA'!$A$4:$A$135, 0),
           MATCH(BF$1, 'Eurostat EB products IEA'!$A$4:$BN$4, 0)
     )
     * $L49:$U49,
     0
  )
)</f>
        <v>0</v>
      </c>
      <c r="BG49" s="57" cm="1">
        <f t="array" ref="BG49">SUMPRODUCT(
  IF($B49:$K49&lt;&gt;"",
     INDEX('Eurostat EB products IEA'!$A$4:$BN$135,
           MATCH($B49:$K49, 'Eurostat EB products IEA'!$A$4:$A$135, 0),
           MATCH(BG$1, 'Eurostat EB products IEA'!$A$4:$BN$4, 0)
     )
     * $L49:$U49,
     0
  )
)</f>
        <v>0</v>
      </c>
      <c r="BH49" s="57" cm="1">
        <f t="array" ref="BH49">SUMPRODUCT(
  IF($B49:$K49&lt;&gt;"",
     INDEX('Eurostat EB products IEA'!$A$4:$BN$135,
           MATCH($B49:$K49, 'Eurostat EB products IEA'!$A$4:$A$135, 0),
           MATCH(BH$1, 'Eurostat EB products IEA'!$A$4:$BN$4, 0)
     )
     * $L49:$U49,
     0
  )
)</f>
        <v>0</v>
      </c>
      <c r="BI49" s="57" cm="1">
        <f t="array" ref="BI49">SUMPRODUCT(
  IF($B49:$K49&lt;&gt;"",
     INDEX('Eurostat EB products IEA'!$A$4:$BN$135,
           MATCH($B49:$K49, 'Eurostat EB products IEA'!$A$4:$A$135, 0),
           MATCH(BI$1, 'Eurostat EB products IEA'!$A$4:$BN$4, 0)
     )
     * $L49:$U49,
     0
  )
)</f>
        <v>0</v>
      </c>
      <c r="BJ49" s="57" cm="1">
        <f t="array" ref="BJ49">SUMPRODUCT(
  IF($B49:$K49&lt;&gt;"",
     INDEX('Eurostat EB products IEA'!$A$4:$BN$135,
           MATCH($B49:$K49, 'Eurostat EB products IEA'!$A$4:$A$135, 0),
           MATCH(BJ$1, 'Eurostat EB products IEA'!$A$4:$BN$4, 0)
     )
     * $L49:$U49,
     0
  )
)</f>
        <v>0</v>
      </c>
      <c r="BK49" s="57" cm="1">
        <f t="array" ref="BK49">SUMPRODUCT(
  IF($B49:$K49&lt;&gt;"",
     INDEX('Eurostat EB products IEA'!$A$4:$BN$135,
           MATCH($B49:$K49, 'Eurostat EB products IEA'!$A$4:$A$135, 0),
           MATCH(BK$1, 'Eurostat EB products IEA'!$A$4:$BN$4, 0)
     )
     * $L49:$U49,
     0
  )
)</f>
        <v>0</v>
      </c>
      <c r="BL49" s="57" cm="1">
        <f t="array" ref="BL49">SUMPRODUCT(
  IF($B49:$K49&lt;&gt;"",
     INDEX('Eurostat EB products IEA'!$A$4:$BN$135,
           MATCH($B49:$K49, 'Eurostat EB products IEA'!$A$4:$A$135, 0),
           MATCH(BL$1, 'Eurostat EB products IEA'!$A$4:$BN$4, 0)
     )
     * $L49:$U49,
     0
  )
)</f>
        <v>0</v>
      </c>
      <c r="BM49" s="57" cm="1">
        <f t="array" ref="BM49">SUMPRODUCT(
  IF($B49:$K49&lt;&gt;"",
     INDEX('Eurostat EB products IEA'!$A$4:$BN$135,
           MATCH($B49:$K49, 'Eurostat EB products IEA'!$A$4:$A$135, 0),
           MATCH(BM$1, 'Eurostat EB products IEA'!$A$4:$BN$4, 0)
     )
     * $L49:$U49,
     0
  )
)</f>
        <v>0</v>
      </c>
      <c r="BN49" s="57" cm="1">
        <f t="array" ref="BN49">SUMPRODUCT(
  IF($B49:$K49&lt;&gt;"",
     INDEX('Eurostat EB products IEA'!$A$4:$BN$135,
           MATCH($B49:$K49, 'Eurostat EB products IEA'!$A$4:$A$135, 0),
           MATCH(BN$1, 'Eurostat EB products IEA'!$A$4:$BN$4, 0)
     )
     * $L49:$U49,
     0
  )
)</f>
        <v>0</v>
      </c>
      <c r="BO49" s="57" cm="1">
        <f t="array" ref="BO49">SUMPRODUCT(
  IF($B49:$K49&lt;&gt;"",
     INDEX('Eurostat EB products IEA'!$A$4:$BN$135,
           MATCH($B49:$K49, 'Eurostat EB products IEA'!$A$4:$A$135, 0),
           MATCH(BO$1, 'Eurostat EB products IEA'!$A$4:$BN$4, 0)
     )
     * $L49:$U49,
     0
  )
)</f>
        <v>0</v>
      </c>
      <c r="BP49" s="57" cm="1">
        <f t="array" ref="BP49">SUMPRODUCT(
  IF($B49:$K49&lt;&gt;"",
     INDEX('Eurostat EB products IEA'!$A$4:$BN$135,
           MATCH($B49:$K49, 'Eurostat EB products IEA'!$A$4:$A$135, 0),
           MATCH(BP$1, 'Eurostat EB products IEA'!$A$4:$BN$4, 0)
     )
     * $L49:$U49,
     0
  )
)</f>
        <v>0</v>
      </c>
      <c r="BQ49" s="57" cm="1">
        <f t="array" ref="BQ49">SUMPRODUCT(
  IF($B49:$K49&lt;&gt;"",
     INDEX('Eurostat EB products IEA'!$A$4:$BN$135,
           MATCH($B49:$K49, 'Eurostat EB products IEA'!$A$4:$A$135, 0),
           MATCH(BQ$1, 'Eurostat EB products IEA'!$A$4:$BN$4, 0)
     )
     * $L49:$U49,
     0
  )
)</f>
        <v>0</v>
      </c>
      <c r="BR49" s="57" cm="1">
        <f t="array" ref="BR49">SUMPRODUCT(
  IF($B49:$K49&lt;&gt;"",
     INDEX('Eurostat EB products IEA'!$A$4:$BN$135,
           MATCH($B49:$K49, 'Eurostat EB products IEA'!$A$4:$A$135, 0),
           MATCH(BR$1, 'Eurostat EB products IEA'!$A$4:$BN$4, 0)
     )
     * $L49:$U49,
     0
  )
)</f>
        <v>0</v>
      </c>
      <c r="BS49" s="65">
        <v>0</v>
      </c>
      <c r="BT49" s="57" cm="1">
        <f t="array" ref="BT49">SUMPRODUCT(
  IF($B49:$K49&lt;&gt;"",
     INDEX('Eurostat EB products IEA'!$A$4:$BN$135,
           MATCH($B49:$K49, 'Eurostat EB products IEA'!$A$4:$A$135, 0),
           MATCH(BT$1, 'Eurostat EB products IEA'!$A$4:$BN$4, 0)
     )
     * $L49:$U49,
     0
  )
)</f>
        <v>0</v>
      </c>
      <c r="BU49" s="65">
        <v>0</v>
      </c>
      <c r="BV49" s="65">
        <v>0</v>
      </c>
      <c r="BW49" s="57" cm="1">
        <f t="array" ref="BW49">SUMPRODUCT(
  IF($B49:$K49&lt;&gt;"",
     INDEX('Eurostat EB products IEA'!$A$4:$BN$135,
           MATCH($B49:$K49, 'Eurostat EB products IEA'!$A$4:$A$135, 0),
           MATCH(BW$1, 'Eurostat EB products IEA'!$A$4:$BN$4, 0)
     )
     * $L49:$U49,
     0
  )
)</f>
        <v>0</v>
      </c>
      <c r="BX49" s="57" cm="1">
        <f t="array" ref="BX49">SUMPRODUCT(
  IF($B49:$K49&lt;&gt;"",
     INDEX('Eurostat EB products IEA'!$A$4:$BN$135,
           MATCH($B49:$K49, 'Eurostat EB products IEA'!$A$4:$A$135, 0),
           MATCH(BX$1, 'Eurostat EB products IEA'!$A$4:$BN$4, 0)
     )
     * $L49:$U49,
     0
  )
)</f>
        <v>0</v>
      </c>
      <c r="BY49" s="57" cm="1">
        <f t="array" ref="BY49">SUMPRODUCT(
  IF($B49:$K49&lt;&gt;"",
     INDEX('Eurostat EB products IEA'!$A$4:$BN$135,
           MATCH($B49:$K49, 'Eurostat EB products IEA'!$A$4:$A$135, 0),
           MATCH(BY$1, 'Eurostat EB products IEA'!$A$4:$BN$4, 0)
     )
     * $L49:$U49,
     0
  )
)</f>
        <v>0</v>
      </c>
      <c r="BZ49" s="57" cm="1">
        <f t="array" ref="BZ49">SUMPRODUCT(
  IF($B49:$K49&lt;&gt;"",
     INDEX('Eurostat EB products IEA'!$A$4:$BN$135,
           MATCH($B49:$K49, 'Eurostat EB products IEA'!$A$4:$A$135, 0),
           MATCH(BZ$1, 'Eurostat EB products IEA'!$A$4:$BN$4, 0)
     )
     * $L49:$U49,
     0
  )
)</f>
        <v>0</v>
      </c>
      <c r="CA49" s="57" cm="1">
        <f t="array" ref="CA49">SUMPRODUCT(
  IF($B49:$K49&lt;&gt;"",
     INDEX('Eurostat EB products IEA'!$A$4:$BN$135,
           MATCH($B49:$K49, 'Eurostat EB products IEA'!$A$4:$A$135, 0),
           MATCH(CA$1, 'Eurostat EB products IEA'!$A$4:$BN$4, 0)
     )
     * $L49:$U49,
     0
  )
)</f>
        <v>0</v>
      </c>
      <c r="CB49" s="57" cm="1">
        <f t="array" ref="CB49">SUMPRODUCT(
  IF($B49:$K49&lt;&gt;"",
     INDEX('Eurostat EB products IEA'!$A$4:$BN$135,
           MATCH($B49:$K49, 'Eurostat EB products IEA'!$A$4:$A$135, 0),
           MATCH(CB$1, 'Eurostat EB products IEA'!$A$4:$BN$4, 0)
     )
     * $L49:$U49,
     0
  )
)</f>
        <v>0</v>
      </c>
      <c r="CC49" s="57" cm="1">
        <f t="array" ref="CC49">SUMPRODUCT(
  IF($B49:$K49&lt;&gt;"",
     INDEX('Eurostat EB products IEA'!$A$4:$BN$135,
           MATCH($B49:$K49, 'Eurostat EB products IEA'!$A$4:$A$135, 0),
           MATCH(CC$1, 'Eurostat EB products IEA'!$A$4:$BN$4, 0)
     )
     * $L49:$U49,
     0
  )
)</f>
        <v>0</v>
      </c>
      <c r="CD49" s="65">
        <v>0</v>
      </c>
      <c r="CE49" s="57" cm="1">
        <f t="array" ref="CE49">SUMPRODUCT(
  IF($B49:$K49&lt;&gt;"",
     INDEX('Eurostat EB products IEA'!$A$4:$BN$135,
           MATCH($B49:$K49, 'Eurostat EB products IEA'!$A$4:$A$135, 0),
           MATCH(CE$1, 'Eurostat EB products IEA'!$A$4:$BN$4, 0)
     )
     * $L49:$U49,
     0
  )
)</f>
        <v>-566.87</v>
      </c>
      <c r="CF49" s="57" cm="1">
        <f t="array" ref="CF49">SUMPRODUCT(
  IF($B49:$K49&lt;&gt;"",
     INDEX('Eurostat EB products IEA'!$A$4:$BN$135,
           MATCH($B49:$K49, 'Eurostat EB products IEA'!$A$4:$A$135, 0),
           MATCH(CF$1, 'Eurostat EB products IEA'!$A$4:$BN$4, 0)
     )
     * $L49:$U49,
     0
  )
)</f>
        <v>0</v>
      </c>
      <c r="CG49" s="57" cm="1">
        <f t="array" ref="CG49">SUMPRODUCT(
  IF($B49:$K49&lt;&gt;"",
     INDEX('Eurostat EB products IEA'!$A$4:$BN$135,
           MATCH($B49:$K49, 'Eurostat EB products IEA'!$A$4:$A$135, 0),
           MATCH(CG$1, 'Eurostat EB products IEA'!$A$4:$BN$4, 0)
     )
     * $L49:$U49,
     0
  )
)</f>
        <v>-566.87</v>
      </c>
      <c r="CH49" s="57" cm="1">
        <f t="array" ref="CH49">SUMPRODUCT(
  IF($B49:$K49&lt;&gt;"",
     INDEX('Eurostat EB products IEA'!$A$4:$BN$135,
           MATCH($B49:$K49, 'Eurostat EB products IEA'!$A$4:$A$135, 0),
           MATCH(CH$1, 'Eurostat EB products IEA'!$A$4:$BN$4, 0)
     )
     * $L49:$U49,
     0
  )
)</f>
        <v>-37.738999999999997</v>
      </c>
    </row>
    <row r="50" spans="1:86" x14ac:dyDescent="0.2">
      <c r="A50" t="s">
        <v>92</v>
      </c>
      <c r="B50" s="75"/>
      <c r="C50" s="77"/>
      <c r="D50" s="75"/>
      <c r="E50" s="77"/>
      <c r="F50" s="75"/>
      <c r="G50" s="77"/>
      <c r="H50" s="75"/>
      <c r="I50" s="77"/>
      <c r="J50" s="74"/>
      <c r="K50" s="78" t="s">
        <v>277</v>
      </c>
      <c r="L50" s="76"/>
      <c r="M50" s="79"/>
      <c r="N50" s="76"/>
      <c r="O50" s="79"/>
      <c r="P50" s="76"/>
      <c r="Q50" s="79"/>
      <c r="R50" s="76"/>
      <c r="S50" s="79"/>
      <c r="T50" s="76"/>
      <c r="U50" s="79">
        <v>-1</v>
      </c>
      <c r="V50" s="65" t="s">
        <v>323</v>
      </c>
      <c r="W50" s="65" t="s">
        <v>323</v>
      </c>
      <c r="X50" s="17" cm="1">
        <f t="array" ref="X50">SUMPRODUCT(
  IF($B50:$K50&lt;&gt;"",
     INDEX('Eurostat EB products IEA'!$A$4:$BN$135,
           MATCH($B50:$K50, 'Eurostat EB products IEA'!$A$4:$A$135, 0),
           MATCH(X$1, 'Eurostat EB products IEA'!$A$4:$BN$4, 0)
     )
     * $L50:$U50,
     0
  )
)</f>
        <v>0</v>
      </c>
      <c r="Y50" s="17" cm="1">
        <f t="array" ref="Y50">SUMPRODUCT(
  IF($B50:$K50&lt;&gt;"",
     INDEX('Eurostat EB products IEA'!$A$4:$BN$135,
           MATCH($B50:$K50, 'Eurostat EB products IEA'!$A$4:$A$135, 0),
           MATCH(Y$1, 'Eurostat EB products IEA'!$A$4:$BN$4, 0)
     )
     * $L50:$U50,
     0
  )
)</f>
        <v>0</v>
      </c>
      <c r="Z50" s="17" cm="1">
        <f t="array" ref="Z50">SUMPRODUCT(
  IF($B50:$K50&lt;&gt;"",
     INDEX('Eurostat EB products IEA'!$A$4:$BN$135,
           MATCH($B50:$K50, 'Eurostat EB products IEA'!$A$4:$A$135, 0),
           MATCH(Z$1, 'Eurostat EB products IEA'!$A$4:$BN$4, 0)
     )
     * $L50:$U50,
     0
  )
)</f>
        <v>0</v>
      </c>
      <c r="AA50" s="17" cm="1">
        <f t="array" ref="AA50">SUMPRODUCT(
  IF($B50:$K50&lt;&gt;"",
     INDEX('Eurostat EB products IEA'!$A$4:$BN$135,
           MATCH($B50:$K50, 'Eurostat EB products IEA'!$A$4:$A$135, 0),
           MATCH(AA$1, 'Eurostat EB products IEA'!$A$4:$BN$4, 0)
     )
     * $L50:$U50,
     0
  )
)</f>
        <v>0</v>
      </c>
      <c r="AB50" s="17" cm="1">
        <f t="array" ref="AB50">SUMPRODUCT(
  IF($B50:$K50&lt;&gt;"",
     INDEX('Eurostat EB products IEA'!$A$4:$BN$135,
           MATCH($B50:$K50, 'Eurostat EB products IEA'!$A$4:$A$135, 0),
           MATCH(AB$1, 'Eurostat EB products IEA'!$A$4:$BN$4, 0)
     )
     * $L50:$U50,
     0
  )
)</f>
        <v>0</v>
      </c>
      <c r="AC50" s="17" cm="1">
        <f t="array" ref="AC50">SUMPRODUCT(
  IF($B50:$K50&lt;&gt;"",
     INDEX('Eurostat EB products IEA'!$A$4:$BN$135,
           MATCH($B50:$K50, 'Eurostat EB products IEA'!$A$4:$A$135, 0),
           MATCH(AC$1, 'Eurostat EB products IEA'!$A$4:$BN$4, 0)
     )
     * $L50:$U50,
     0
  )
)</f>
        <v>0</v>
      </c>
      <c r="AD50" s="17" cm="1">
        <f t="array" ref="AD50">SUMPRODUCT(
  IF($B50:$K50&lt;&gt;"",
     INDEX('Eurostat EB products IEA'!$A$4:$BN$135,
           MATCH($B50:$K50, 'Eurostat EB products IEA'!$A$4:$A$135, 0),
           MATCH(AD$1, 'Eurostat EB products IEA'!$A$4:$BN$4, 0)
     )
     * $L50:$U50,
     0
  )
)</f>
        <v>0</v>
      </c>
      <c r="AE50" s="17" cm="1">
        <f t="array" ref="AE50">SUMPRODUCT(
  IF($B50:$K50&lt;&gt;"",
     INDEX('Eurostat EB products IEA'!$A$4:$BN$135,
           MATCH($B50:$K50, 'Eurostat EB products IEA'!$A$4:$A$135, 0),
           MATCH(AE$1, 'Eurostat EB products IEA'!$A$4:$BN$4, 0)
     )
     * $L50:$U50,
     0
  )
)</f>
        <v>0</v>
      </c>
      <c r="AF50" s="17" cm="1">
        <f t="array" ref="AF50">SUMPRODUCT(
  IF($B50:$K50&lt;&gt;"",
     INDEX('Eurostat EB products IEA'!$A$4:$BN$135,
           MATCH($B50:$K50, 'Eurostat EB products IEA'!$A$4:$A$135, 0),
           MATCH(AF$1, 'Eurostat EB products IEA'!$A$4:$BN$4, 0)
     )
     * $L50:$U50,
     0
  )
)</f>
        <v>0</v>
      </c>
      <c r="AG50" s="17" cm="1">
        <f t="array" ref="AG50">SUMPRODUCT(
  IF($B50:$K50&lt;&gt;"",
     INDEX('Eurostat EB products IEA'!$A$4:$BN$135,
           MATCH($B50:$K50, 'Eurostat EB products IEA'!$A$4:$A$135, 0),
           MATCH(AG$1, 'Eurostat EB products IEA'!$A$4:$BN$4, 0)
     )
     * $L50:$U50,
     0
  )
)</f>
        <v>0</v>
      </c>
      <c r="AH50" s="17" cm="1">
        <f t="array" ref="AH50">SUMPRODUCT(
  IF($B50:$K50&lt;&gt;"",
     INDEX('Eurostat EB products IEA'!$A$4:$BN$135,
           MATCH($B50:$K50, 'Eurostat EB products IEA'!$A$4:$A$135, 0),
           MATCH(AH$1, 'Eurostat EB products IEA'!$A$4:$BN$4, 0)
     )
     * $L50:$U50,
     0
  )
)</f>
        <v>0</v>
      </c>
      <c r="AI50" s="17" cm="1">
        <f t="array" ref="AI50">SUMPRODUCT(
  IF($B50:$K50&lt;&gt;"",
     INDEX('Eurostat EB products IEA'!$A$4:$BN$135,
           MATCH($B50:$K50, 'Eurostat EB products IEA'!$A$4:$A$135, 0),
           MATCH(AI$1, 'Eurostat EB products IEA'!$A$4:$BN$4, 0)
     )
     * $L50:$U50,
     0
  )
)</f>
        <v>0</v>
      </c>
      <c r="AJ50" s="17" cm="1">
        <f t="array" ref="AJ50">SUMPRODUCT(
  IF($B50:$K50&lt;&gt;"",
     INDEX('Eurostat EB products IEA'!$A$4:$BN$135,
           MATCH($B50:$K50, 'Eurostat EB products IEA'!$A$4:$A$135, 0),
           MATCH(AJ$1, 'Eurostat EB products IEA'!$A$4:$BN$4, 0)
     )
     * $L50:$U50,
     0
  )
)</f>
        <v>0</v>
      </c>
      <c r="AK50" s="17" cm="1">
        <f t="array" ref="AK50">SUMPRODUCT(
  IF($B50:$K50&lt;&gt;"",
     INDEX('Eurostat EB products IEA'!$A$4:$BN$135,
           MATCH($B50:$K50, 'Eurostat EB products IEA'!$A$4:$A$135, 0),
           MATCH(AK$1, 'Eurostat EB products IEA'!$A$4:$BN$4, 0)
     )
     * $L50:$U50,
     0
  )
)</f>
        <v>0</v>
      </c>
      <c r="AL50" s="17" cm="1">
        <f t="array" ref="AL50">SUMPRODUCT(
  IF($B50:$K50&lt;&gt;"",
     INDEX('Eurostat EB products IEA'!$A$4:$BN$135,
           MATCH($B50:$K50, 'Eurostat EB products IEA'!$A$4:$A$135, 0),
           MATCH(AL$1, 'Eurostat EB products IEA'!$A$4:$BN$4, 0)
     )
     * $L50:$U50,
     0
  )
)</f>
        <v>0</v>
      </c>
      <c r="AM50" s="17" cm="1">
        <f t="array" ref="AM50">SUMPRODUCT(
  IF($B50:$K50&lt;&gt;"",
     INDEX('Eurostat EB products IEA'!$A$4:$BN$135,
           MATCH($B50:$K50, 'Eurostat EB products IEA'!$A$4:$A$135, 0),
           MATCH(AM$1, 'Eurostat EB products IEA'!$A$4:$BN$4, 0)
     )
     * $L50:$U50,
     0
  )
)</f>
        <v>0</v>
      </c>
      <c r="AN50" s="65" t="s">
        <v>323</v>
      </c>
      <c r="AO50" s="17" cm="1">
        <f t="array" ref="AO50">SUMPRODUCT(
  IF($B50:$K50&lt;&gt;"",
     INDEX('Eurostat EB products IEA'!$A$4:$BN$135,
           MATCH($B50:$K50, 'Eurostat EB products IEA'!$A$4:$A$135, 0),
           MATCH(AO$1, 'Eurostat EB products IEA'!$A$4:$BN$4, 0)
     )
     * $L50:$U50,
     0
  )
)</f>
        <v>0</v>
      </c>
      <c r="AP50" s="17" cm="1">
        <f t="array" ref="AP50">SUMPRODUCT(
  IF($B50:$K50&lt;&gt;"",
     INDEX('Eurostat EB products IEA'!$A$4:$BN$135,
           MATCH($B50:$K50, 'Eurostat EB products IEA'!$A$4:$A$135, 0),
           MATCH(AP$1, 'Eurostat EB products IEA'!$A$4:$BN$4, 0)
     )
     * $L50:$U50,
     0
  )
)</f>
        <v>0</v>
      </c>
      <c r="AQ50" s="17" cm="1">
        <f t="array" ref="AQ50">SUMPRODUCT(
  IF($B50:$K50&lt;&gt;"",
     INDEX('Eurostat EB products IEA'!$A$4:$BN$135,
           MATCH($B50:$K50, 'Eurostat EB products IEA'!$A$4:$A$135, 0),
           MATCH(AQ$1, 'Eurostat EB products IEA'!$A$4:$BN$4, 0)
     )
     * $L50:$U50,
     0
  )
)</f>
        <v>0</v>
      </c>
      <c r="AR50" s="17" cm="1">
        <f t="array" ref="AR50">SUMPRODUCT(
  IF($B50:$K50&lt;&gt;"",
     INDEX('Eurostat EB products IEA'!$A$4:$BN$135,
           MATCH($B50:$K50, 'Eurostat EB products IEA'!$A$4:$A$135, 0),
           MATCH(AR$1, 'Eurostat EB products IEA'!$A$4:$BN$4, 0)
     )
     * $L50:$U50,
     0
  )
)</f>
        <v>0</v>
      </c>
      <c r="AS50" s="17" cm="1">
        <f t="array" ref="AS50">SUMPRODUCT(
  IF($B50:$K50&lt;&gt;"",
     INDEX('Eurostat EB products IEA'!$A$4:$BN$135,
           MATCH($B50:$K50, 'Eurostat EB products IEA'!$A$4:$A$135, 0),
           MATCH(AS$1, 'Eurostat EB products IEA'!$A$4:$BN$4, 0)
     )
     * $L50:$U50,
     0
  )
)</f>
        <v>0</v>
      </c>
      <c r="AT50" s="17" cm="1">
        <f t="array" ref="AT50">SUMPRODUCT(
  IF($B50:$K50&lt;&gt;"",
     INDEX('Eurostat EB products IEA'!$A$4:$BN$135,
           MATCH($B50:$K50, 'Eurostat EB products IEA'!$A$4:$A$135, 0),
           MATCH(AT$1, 'Eurostat EB products IEA'!$A$4:$BN$4, 0)
     )
     * $L50:$U50,
     0
  )
)</f>
        <v>0</v>
      </c>
      <c r="AU50" s="17" cm="1">
        <f t="array" ref="AU50">SUMPRODUCT(
  IF($B50:$K50&lt;&gt;"",
     INDEX('Eurostat EB products IEA'!$A$4:$BN$135,
           MATCH($B50:$K50, 'Eurostat EB products IEA'!$A$4:$A$135, 0),
           MATCH(AU$1, 'Eurostat EB products IEA'!$A$4:$BN$4, 0)
     )
     * $L50:$U50,
     0
  )
)</f>
        <v>0</v>
      </c>
      <c r="AV50" s="17" cm="1">
        <f t="array" ref="AV50">SUMPRODUCT(
  IF($B50:$K50&lt;&gt;"",
     INDEX('Eurostat EB products IEA'!$A$4:$BN$135,
           MATCH($B50:$K50, 'Eurostat EB products IEA'!$A$4:$A$135, 0),
           MATCH(AV$1, 'Eurostat EB products IEA'!$A$4:$BN$4, 0)
     )
     * $L50:$U50,
     0
  )
)</f>
        <v>0</v>
      </c>
      <c r="AW50" s="17" cm="1">
        <f t="array" ref="AW50">SUMPRODUCT(
  IF($B50:$K50&lt;&gt;"",
     INDEX('Eurostat EB products IEA'!$A$4:$BN$135,
           MATCH($B50:$K50, 'Eurostat EB products IEA'!$A$4:$A$135, 0),
           MATCH(AW$1, 'Eurostat EB products IEA'!$A$4:$BN$4, 0)
     )
     * $L50:$U50,
     0
  )
)</f>
        <v>0</v>
      </c>
      <c r="AX50" s="17" cm="1">
        <f t="array" ref="AX50">SUMPRODUCT(
  IF($B50:$K50&lt;&gt;"",
     INDEX('Eurostat EB products IEA'!$A$4:$BN$135,
           MATCH($B50:$K50, 'Eurostat EB products IEA'!$A$4:$A$135, 0),
           MATCH(AX$1, 'Eurostat EB products IEA'!$A$4:$BN$4, 0)
     )
     * $L50:$U50,
     0
  )
)</f>
        <v>0</v>
      </c>
      <c r="AY50" s="17" cm="1">
        <f t="array" ref="AY50">SUMPRODUCT(
  IF($B50:$K50&lt;&gt;"",
     INDEX('Eurostat EB products IEA'!$A$4:$BN$135,
           MATCH($B50:$K50, 'Eurostat EB products IEA'!$A$4:$A$135, 0),
           MATCH(AY$1, 'Eurostat EB products IEA'!$A$4:$BN$4, 0)
     )
     * $L50:$U50,
     0
  )
)</f>
        <v>0</v>
      </c>
      <c r="AZ50" s="17" cm="1">
        <f t="array" ref="AZ50">SUMPRODUCT(
  IF($B50:$K50&lt;&gt;"",
     INDEX('Eurostat EB products IEA'!$A$4:$BN$135,
           MATCH($B50:$K50, 'Eurostat EB products IEA'!$A$4:$A$135, 0),
           MATCH(AZ$1, 'Eurostat EB products IEA'!$A$4:$BN$4, 0)
     )
     * $L50:$U50,
     0
  )
)</f>
        <v>0</v>
      </c>
      <c r="BA50" s="17" cm="1">
        <f t="array" ref="BA50">SUMPRODUCT(
  IF($B50:$K50&lt;&gt;"",
     INDEX('Eurostat EB products IEA'!$A$4:$BN$135,
           MATCH($B50:$K50, 'Eurostat EB products IEA'!$A$4:$A$135, 0),
           MATCH(BA$1, 'Eurostat EB products IEA'!$A$4:$BN$4, 0)
     )
     * $L50:$U50,
     0
  )
)</f>
        <v>0</v>
      </c>
      <c r="BB50" s="17" cm="1">
        <f t="array" ref="BB50">SUMPRODUCT(
  IF($B50:$K50&lt;&gt;"",
     INDEX('Eurostat EB products IEA'!$A$4:$BN$135,
           MATCH($B50:$K50, 'Eurostat EB products IEA'!$A$4:$A$135, 0),
           MATCH(BB$1, 'Eurostat EB products IEA'!$A$4:$BN$4, 0)
     )
     * $L50:$U50,
     0
  )
)</f>
        <v>0</v>
      </c>
      <c r="BC50" s="17" cm="1">
        <f t="array" ref="BC50">SUMPRODUCT(
  IF($B50:$K50&lt;&gt;"",
     INDEX('Eurostat EB products IEA'!$A$4:$BN$135,
           MATCH($B50:$K50, 'Eurostat EB products IEA'!$A$4:$A$135, 0),
           MATCH(BC$1, 'Eurostat EB products IEA'!$A$4:$BN$4, 0)
     )
     * $L50:$U50,
     0
  )
)</f>
        <v>0</v>
      </c>
      <c r="BD50" s="17" cm="1">
        <f t="array" ref="BD50">SUMPRODUCT(
  IF($B50:$K50&lt;&gt;"",
     INDEX('Eurostat EB products IEA'!$A$4:$BN$135,
           MATCH($B50:$K50, 'Eurostat EB products IEA'!$A$4:$A$135, 0),
           MATCH(BD$1, 'Eurostat EB products IEA'!$A$4:$BN$4, 0)
     )
     * $L50:$U50,
     0
  )
)</f>
        <v>0</v>
      </c>
      <c r="BE50" s="17" cm="1">
        <f t="array" ref="BE50">SUMPRODUCT(
  IF($B50:$K50&lt;&gt;"",
     INDEX('Eurostat EB products IEA'!$A$4:$BN$135,
           MATCH($B50:$K50, 'Eurostat EB products IEA'!$A$4:$A$135, 0),
           MATCH(BE$1, 'Eurostat EB products IEA'!$A$4:$BN$4, 0)
     )
     * $L50:$U50,
     0
  )
)</f>
        <v>0</v>
      </c>
      <c r="BF50" s="17" cm="1">
        <f t="array" ref="BF50">SUMPRODUCT(
  IF($B50:$K50&lt;&gt;"",
     INDEX('Eurostat EB products IEA'!$A$4:$BN$135,
           MATCH($B50:$K50, 'Eurostat EB products IEA'!$A$4:$A$135, 0),
           MATCH(BF$1, 'Eurostat EB products IEA'!$A$4:$BN$4, 0)
     )
     * $L50:$U50,
     0
  )
)</f>
        <v>0</v>
      </c>
      <c r="BG50" s="17" cm="1">
        <f t="array" ref="BG50">SUMPRODUCT(
  IF($B50:$K50&lt;&gt;"",
     INDEX('Eurostat EB products IEA'!$A$4:$BN$135,
           MATCH($B50:$K50, 'Eurostat EB products IEA'!$A$4:$A$135, 0),
           MATCH(BG$1, 'Eurostat EB products IEA'!$A$4:$BN$4, 0)
     )
     * $L50:$U50,
     0
  )
)</f>
        <v>0</v>
      </c>
      <c r="BH50" s="17" cm="1">
        <f t="array" ref="BH50">SUMPRODUCT(
  IF($B50:$K50&lt;&gt;"",
     INDEX('Eurostat EB products IEA'!$A$4:$BN$135,
           MATCH($B50:$K50, 'Eurostat EB products IEA'!$A$4:$A$135, 0),
           MATCH(BH$1, 'Eurostat EB products IEA'!$A$4:$BN$4, 0)
     )
     * $L50:$U50,
     0
  )
)</f>
        <v>0</v>
      </c>
      <c r="BI50" s="17" cm="1">
        <f t="array" ref="BI50">SUMPRODUCT(
  IF($B50:$K50&lt;&gt;"",
     INDEX('Eurostat EB products IEA'!$A$4:$BN$135,
           MATCH($B50:$K50, 'Eurostat EB products IEA'!$A$4:$A$135, 0),
           MATCH(BI$1, 'Eurostat EB products IEA'!$A$4:$BN$4, 0)
     )
     * $L50:$U50,
     0
  )
)</f>
        <v>0</v>
      </c>
      <c r="BJ50" s="17" cm="1">
        <f t="array" ref="BJ50">SUMPRODUCT(
  IF($B50:$K50&lt;&gt;"",
     INDEX('Eurostat EB products IEA'!$A$4:$BN$135,
           MATCH($B50:$K50, 'Eurostat EB products IEA'!$A$4:$A$135, 0),
           MATCH(BJ$1, 'Eurostat EB products IEA'!$A$4:$BN$4, 0)
     )
     * $L50:$U50,
     0
  )
)</f>
        <v>0</v>
      </c>
      <c r="BK50" s="17" cm="1">
        <f t="array" ref="BK50">SUMPRODUCT(
  IF($B50:$K50&lt;&gt;"",
     INDEX('Eurostat EB products IEA'!$A$4:$BN$135,
           MATCH($B50:$K50, 'Eurostat EB products IEA'!$A$4:$A$135, 0),
           MATCH(BK$1, 'Eurostat EB products IEA'!$A$4:$BN$4, 0)
     )
     * $L50:$U50,
     0
  )
)</f>
        <v>0</v>
      </c>
      <c r="BL50" s="17" cm="1">
        <f t="array" ref="BL50">SUMPRODUCT(
  IF($B50:$K50&lt;&gt;"",
     INDEX('Eurostat EB products IEA'!$A$4:$BN$135,
           MATCH($B50:$K50, 'Eurostat EB products IEA'!$A$4:$A$135, 0),
           MATCH(BL$1, 'Eurostat EB products IEA'!$A$4:$BN$4, 0)
     )
     * $L50:$U50,
     0
  )
)</f>
        <v>0</v>
      </c>
      <c r="BM50" s="17" cm="1">
        <f t="array" ref="BM50">SUMPRODUCT(
  IF($B50:$K50&lt;&gt;"",
     INDEX('Eurostat EB products IEA'!$A$4:$BN$135,
           MATCH($B50:$K50, 'Eurostat EB products IEA'!$A$4:$A$135, 0),
           MATCH(BM$1, 'Eurostat EB products IEA'!$A$4:$BN$4, 0)
     )
     * $L50:$U50,
     0
  )
)</f>
        <v>0</v>
      </c>
      <c r="BN50" s="17" cm="1">
        <f t="array" ref="BN50">SUMPRODUCT(
  IF($B50:$K50&lt;&gt;"",
     INDEX('Eurostat EB products IEA'!$A$4:$BN$135,
           MATCH($B50:$K50, 'Eurostat EB products IEA'!$A$4:$A$135, 0),
           MATCH(BN$1, 'Eurostat EB products IEA'!$A$4:$BN$4, 0)
     )
     * $L50:$U50,
     0
  )
)</f>
        <v>0</v>
      </c>
      <c r="BO50" s="17" cm="1">
        <f t="array" ref="BO50">SUMPRODUCT(
  IF($B50:$K50&lt;&gt;"",
     INDEX('Eurostat EB products IEA'!$A$4:$BN$135,
           MATCH($B50:$K50, 'Eurostat EB products IEA'!$A$4:$A$135, 0),
           MATCH(BO$1, 'Eurostat EB products IEA'!$A$4:$BN$4, 0)
     )
     * $L50:$U50,
     0
  )
)</f>
        <v>0</v>
      </c>
      <c r="BP50" s="17" cm="1">
        <f t="array" ref="BP50">SUMPRODUCT(
  IF($B50:$K50&lt;&gt;"",
     INDEX('Eurostat EB products IEA'!$A$4:$BN$135,
           MATCH($B50:$K50, 'Eurostat EB products IEA'!$A$4:$A$135, 0),
           MATCH(BP$1, 'Eurostat EB products IEA'!$A$4:$BN$4, 0)
     )
     * $L50:$U50,
     0
  )
)</f>
        <v>0</v>
      </c>
      <c r="BQ50" s="17" cm="1">
        <f t="array" ref="BQ50">SUMPRODUCT(
  IF($B50:$K50&lt;&gt;"",
     INDEX('Eurostat EB products IEA'!$A$4:$BN$135,
           MATCH($B50:$K50, 'Eurostat EB products IEA'!$A$4:$A$135, 0),
           MATCH(BQ$1, 'Eurostat EB products IEA'!$A$4:$BN$4, 0)
     )
     * $L50:$U50,
     0
  )
)</f>
        <v>0</v>
      </c>
      <c r="BR50" s="17" cm="1">
        <f t="array" ref="BR50">SUMPRODUCT(
  IF($B50:$K50&lt;&gt;"",
     INDEX('Eurostat EB products IEA'!$A$4:$BN$135,
           MATCH($B50:$K50, 'Eurostat EB products IEA'!$A$4:$A$135, 0),
           MATCH(BR$1, 'Eurostat EB products IEA'!$A$4:$BN$4, 0)
     )
     * $L50:$U50,
     0
  )
)</f>
        <v>0</v>
      </c>
      <c r="BS50" s="65">
        <v>0</v>
      </c>
      <c r="BT50" s="17" cm="1">
        <f t="array" ref="BT50">SUMPRODUCT(
  IF($B50:$K50&lt;&gt;"",
     INDEX('Eurostat EB products IEA'!$A$4:$BN$135,
           MATCH($B50:$K50, 'Eurostat EB products IEA'!$A$4:$A$135, 0),
           MATCH(BT$1, 'Eurostat EB products IEA'!$A$4:$BN$4, 0)
     )
     * $L50:$U50,
     0
  )
)</f>
        <v>0</v>
      </c>
      <c r="BU50" s="65">
        <v>0</v>
      </c>
      <c r="BV50" s="65">
        <v>0</v>
      </c>
      <c r="BW50" s="17" cm="1">
        <f t="array" ref="BW50">SUMPRODUCT(
  IF($B50:$K50&lt;&gt;"",
     INDEX('Eurostat EB products IEA'!$A$4:$BN$135,
           MATCH($B50:$K50, 'Eurostat EB products IEA'!$A$4:$A$135, 0),
           MATCH(BW$1, 'Eurostat EB products IEA'!$A$4:$BN$4, 0)
     )
     * $L50:$U50,
     0
  )
)</f>
        <v>0</v>
      </c>
      <c r="BX50" s="17" cm="1">
        <f t="array" ref="BX50">SUMPRODUCT(
  IF($B50:$K50&lt;&gt;"",
     INDEX('Eurostat EB products IEA'!$A$4:$BN$135,
           MATCH($B50:$K50, 'Eurostat EB products IEA'!$A$4:$A$135, 0),
           MATCH(BX$1, 'Eurostat EB products IEA'!$A$4:$BN$4, 0)
     )
     * $L50:$U50,
     0
  )
)</f>
        <v>0</v>
      </c>
      <c r="BY50" s="17" cm="1">
        <f t="array" ref="BY50">SUMPRODUCT(
  IF($B50:$K50&lt;&gt;"",
     INDEX('Eurostat EB products IEA'!$A$4:$BN$135,
           MATCH($B50:$K50, 'Eurostat EB products IEA'!$A$4:$A$135, 0),
           MATCH(BY$1, 'Eurostat EB products IEA'!$A$4:$BN$4, 0)
     )
     * $L50:$U50,
     0
  )
)</f>
        <v>0</v>
      </c>
      <c r="BZ50" s="17" cm="1">
        <f t="array" ref="BZ50">SUMPRODUCT(
  IF($B50:$K50&lt;&gt;"",
     INDEX('Eurostat EB products IEA'!$A$4:$BN$135,
           MATCH($B50:$K50, 'Eurostat EB products IEA'!$A$4:$A$135, 0),
           MATCH(BZ$1, 'Eurostat EB products IEA'!$A$4:$BN$4, 0)
     )
     * $L50:$U50,
     0
  )
)</f>
        <v>0</v>
      </c>
      <c r="CA50" s="17" cm="1">
        <f t="array" ref="CA50">SUMPRODUCT(
  IF($B50:$K50&lt;&gt;"",
     INDEX('Eurostat EB products IEA'!$A$4:$BN$135,
           MATCH($B50:$K50, 'Eurostat EB products IEA'!$A$4:$A$135, 0),
           MATCH(CA$1, 'Eurostat EB products IEA'!$A$4:$BN$4, 0)
     )
     * $L50:$U50,
     0
  )
)</f>
        <v>0</v>
      </c>
      <c r="CB50" s="17" cm="1">
        <f t="array" ref="CB50">SUMPRODUCT(
  IF($B50:$K50&lt;&gt;"",
     INDEX('Eurostat EB products IEA'!$A$4:$BN$135,
           MATCH($B50:$K50, 'Eurostat EB products IEA'!$A$4:$A$135, 0),
           MATCH(CB$1, 'Eurostat EB products IEA'!$A$4:$BN$4, 0)
     )
     * $L50:$U50,
     0
  )
)</f>
        <v>0</v>
      </c>
      <c r="CC50" s="17" cm="1">
        <f t="array" ref="CC50">SUMPRODUCT(
  IF($B50:$K50&lt;&gt;"",
     INDEX('Eurostat EB products IEA'!$A$4:$BN$135,
           MATCH($B50:$K50, 'Eurostat EB products IEA'!$A$4:$A$135, 0),
           MATCH(CC$1, 'Eurostat EB products IEA'!$A$4:$BN$4, 0)
     )
     * $L50:$U50,
     0
  )
)</f>
        <v>0</v>
      </c>
      <c r="CD50" s="65">
        <v>0</v>
      </c>
      <c r="CE50" s="17" cm="1">
        <f t="array" ref="CE50">SUMPRODUCT(
  IF($B50:$K50&lt;&gt;"",
     INDEX('Eurostat EB products IEA'!$A$4:$BN$135,
           MATCH($B50:$K50, 'Eurostat EB products IEA'!$A$4:$A$135, 0),
           MATCH(CE$1, 'Eurostat EB products IEA'!$A$4:$BN$4, 0)
     )
     * $L50:$U50,
     0
  )
)</f>
        <v>0</v>
      </c>
      <c r="CF50" s="17" cm="1">
        <f t="array" ref="CF50">SUMPRODUCT(
  IF($B50:$K50&lt;&gt;"",
     INDEX('Eurostat EB products IEA'!$A$4:$BN$135,
           MATCH($B50:$K50, 'Eurostat EB products IEA'!$A$4:$A$135, 0),
           MATCH(CF$1, 'Eurostat EB products IEA'!$A$4:$BN$4, 0)
     )
     * $L50:$U50,
     0
  )
)</f>
        <v>0</v>
      </c>
      <c r="CG50" s="17" cm="1">
        <f t="array" ref="CG50">SUMPRODUCT(
  IF($B50:$K50&lt;&gt;"",
     INDEX('Eurostat EB products IEA'!$A$4:$BN$135,
           MATCH($B50:$K50, 'Eurostat EB products IEA'!$A$4:$A$135, 0),
           MATCH(CG$1, 'Eurostat EB products IEA'!$A$4:$BN$4, 0)
     )
     * $L50:$U50,
     0
  )
)</f>
        <v>0</v>
      </c>
      <c r="CH50" s="17" cm="1">
        <f t="array" ref="CH50">SUMPRODUCT(
  IF($B50:$K50&lt;&gt;"",
     INDEX('Eurostat EB products IEA'!$A$4:$BN$135,
           MATCH($B50:$K50, 'Eurostat EB products IEA'!$A$4:$A$135, 0),
           MATCH(CH$1, 'Eurostat EB products IEA'!$A$4:$BN$4, 0)
     )
     * $L50:$U50,
     0
  )
)</f>
        <v>0</v>
      </c>
    </row>
    <row r="51" spans="1:86" x14ac:dyDescent="0.2">
      <c r="A51" t="s">
        <v>168</v>
      </c>
      <c r="B51" s="75"/>
      <c r="C51" s="77"/>
      <c r="D51" s="75"/>
      <c r="E51" s="77"/>
      <c r="F51" s="75"/>
      <c r="G51" s="77"/>
      <c r="H51" s="75"/>
      <c r="I51" s="77"/>
      <c r="J51" s="74"/>
      <c r="K51" s="78" t="s">
        <v>278</v>
      </c>
      <c r="L51" s="76"/>
      <c r="M51" s="79"/>
      <c r="N51" s="76"/>
      <c r="O51" s="79"/>
      <c r="P51" s="76"/>
      <c r="Q51" s="79"/>
      <c r="R51" s="76"/>
      <c r="S51" s="79"/>
      <c r="T51" s="76"/>
      <c r="U51" s="79">
        <v>-1</v>
      </c>
      <c r="V51" s="65" t="s">
        <v>323</v>
      </c>
      <c r="W51" s="65" t="s">
        <v>323</v>
      </c>
      <c r="X51" s="57" cm="1">
        <f t="array" ref="X51">SUMPRODUCT(
  IF($B51:$K51&lt;&gt;"",
     INDEX('Eurostat EB products IEA'!$A$4:$BN$135,
           MATCH($B51:$K51, 'Eurostat EB products IEA'!$A$4:$A$135, 0),
           MATCH(X$1, 'Eurostat EB products IEA'!$A$4:$BN$4, 0)
     )
     * $L51:$U51,
     0
  )
)</f>
        <v>0</v>
      </c>
      <c r="Y51" s="57" cm="1">
        <f t="array" ref="Y51">SUMPRODUCT(
  IF($B51:$K51&lt;&gt;"",
     INDEX('Eurostat EB products IEA'!$A$4:$BN$135,
           MATCH($B51:$K51, 'Eurostat EB products IEA'!$A$4:$A$135, 0),
           MATCH(Y$1, 'Eurostat EB products IEA'!$A$4:$BN$4, 0)
     )
     * $L51:$U51,
     0
  )
)</f>
        <v>0</v>
      </c>
      <c r="Z51" s="57" cm="1">
        <f t="array" ref="Z51">SUMPRODUCT(
  IF($B51:$K51&lt;&gt;"",
     INDEX('Eurostat EB products IEA'!$A$4:$BN$135,
           MATCH($B51:$K51, 'Eurostat EB products IEA'!$A$4:$A$135, 0),
           MATCH(Z$1, 'Eurostat EB products IEA'!$A$4:$BN$4, 0)
     )
     * $L51:$U51,
     0
  )
)</f>
        <v>0</v>
      </c>
      <c r="AA51" s="57" cm="1">
        <f t="array" ref="AA51">SUMPRODUCT(
  IF($B51:$K51&lt;&gt;"",
     INDEX('Eurostat EB products IEA'!$A$4:$BN$135,
           MATCH($B51:$K51, 'Eurostat EB products IEA'!$A$4:$A$135, 0),
           MATCH(AA$1, 'Eurostat EB products IEA'!$A$4:$BN$4, 0)
     )
     * $L51:$U51,
     0
  )
)</f>
        <v>0</v>
      </c>
      <c r="AB51" s="57" cm="1">
        <f t="array" ref="AB51">SUMPRODUCT(
  IF($B51:$K51&lt;&gt;"",
     INDEX('Eurostat EB products IEA'!$A$4:$BN$135,
           MATCH($B51:$K51, 'Eurostat EB products IEA'!$A$4:$A$135, 0),
           MATCH(AB$1, 'Eurostat EB products IEA'!$A$4:$BN$4, 0)
     )
     * $L51:$U51,
     0
  )
)</f>
        <v>0</v>
      </c>
      <c r="AC51" s="57" cm="1">
        <f t="array" ref="AC51">SUMPRODUCT(
  IF($B51:$K51&lt;&gt;"",
     INDEX('Eurostat EB products IEA'!$A$4:$BN$135,
           MATCH($B51:$K51, 'Eurostat EB products IEA'!$A$4:$A$135, 0),
           MATCH(AC$1, 'Eurostat EB products IEA'!$A$4:$BN$4, 0)
     )
     * $L51:$U51,
     0
  )
)</f>
        <v>0</v>
      </c>
      <c r="AD51" s="57" cm="1">
        <f t="array" ref="AD51">SUMPRODUCT(
  IF($B51:$K51&lt;&gt;"",
     INDEX('Eurostat EB products IEA'!$A$4:$BN$135,
           MATCH($B51:$K51, 'Eurostat EB products IEA'!$A$4:$A$135, 0),
           MATCH(AD$1, 'Eurostat EB products IEA'!$A$4:$BN$4, 0)
     )
     * $L51:$U51,
     0
  )
)</f>
        <v>0</v>
      </c>
      <c r="AE51" s="57" cm="1">
        <f t="array" ref="AE51">SUMPRODUCT(
  IF($B51:$K51&lt;&gt;"",
     INDEX('Eurostat EB products IEA'!$A$4:$BN$135,
           MATCH($B51:$K51, 'Eurostat EB products IEA'!$A$4:$A$135, 0),
           MATCH(AE$1, 'Eurostat EB products IEA'!$A$4:$BN$4, 0)
     )
     * $L51:$U51,
     0
  )
)</f>
        <v>0</v>
      </c>
      <c r="AF51" s="57" cm="1">
        <f t="array" ref="AF51">SUMPRODUCT(
  IF($B51:$K51&lt;&gt;"",
     INDEX('Eurostat EB products IEA'!$A$4:$BN$135,
           MATCH($B51:$K51, 'Eurostat EB products IEA'!$A$4:$A$135, 0),
           MATCH(AF$1, 'Eurostat EB products IEA'!$A$4:$BN$4, 0)
     )
     * $L51:$U51,
     0
  )
)</f>
        <v>0</v>
      </c>
      <c r="AG51" s="57" cm="1">
        <f t="array" ref="AG51">SUMPRODUCT(
  IF($B51:$K51&lt;&gt;"",
     INDEX('Eurostat EB products IEA'!$A$4:$BN$135,
           MATCH($B51:$K51, 'Eurostat EB products IEA'!$A$4:$A$135, 0),
           MATCH(AG$1, 'Eurostat EB products IEA'!$A$4:$BN$4, 0)
     )
     * $L51:$U51,
     0
  )
)</f>
        <v>0</v>
      </c>
      <c r="AH51" s="57" cm="1">
        <f t="array" ref="AH51">SUMPRODUCT(
  IF($B51:$K51&lt;&gt;"",
     INDEX('Eurostat EB products IEA'!$A$4:$BN$135,
           MATCH($B51:$K51, 'Eurostat EB products IEA'!$A$4:$A$135, 0),
           MATCH(AH$1, 'Eurostat EB products IEA'!$A$4:$BN$4, 0)
     )
     * $L51:$U51,
     0
  )
)</f>
        <v>0</v>
      </c>
      <c r="AI51" s="57" cm="1">
        <f t="array" ref="AI51">SUMPRODUCT(
  IF($B51:$K51&lt;&gt;"",
     INDEX('Eurostat EB products IEA'!$A$4:$BN$135,
           MATCH($B51:$K51, 'Eurostat EB products IEA'!$A$4:$A$135, 0),
           MATCH(AI$1, 'Eurostat EB products IEA'!$A$4:$BN$4, 0)
     )
     * $L51:$U51,
     0
  )
)</f>
        <v>0</v>
      </c>
      <c r="AJ51" s="57" cm="1">
        <f t="array" ref="AJ51">SUMPRODUCT(
  IF($B51:$K51&lt;&gt;"",
     INDEX('Eurostat EB products IEA'!$A$4:$BN$135,
           MATCH($B51:$K51, 'Eurostat EB products IEA'!$A$4:$A$135, 0),
           MATCH(AJ$1, 'Eurostat EB products IEA'!$A$4:$BN$4, 0)
     )
     * $L51:$U51,
     0
  )
)</f>
        <v>0</v>
      </c>
      <c r="AK51" s="57" cm="1">
        <f t="array" ref="AK51">SUMPRODUCT(
  IF($B51:$K51&lt;&gt;"",
     INDEX('Eurostat EB products IEA'!$A$4:$BN$135,
           MATCH($B51:$K51, 'Eurostat EB products IEA'!$A$4:$A$135, 0),
           MATCH(AK$1, 'Eurostat EB products IEA'!$A$4:$BN$4, 0)
     )
     * $L51:$U51,
     0
  )
)</f>
        <v>0</v>
      </c>
      <c r="AL51" s="57" cm="1">
        <f t="array" ref="AL51">SUMPRODUCT(
  IF($B51:$K51&lt;&gt;"",
     INDEX('Eurostat EB products IEA'!$A$4:$BN$135,
           MATCH($B51:$K51, 'Eurostat EB products IEA'!$A$4:$A$135, 0),
           MATCH(AL$1, 'Eurostat EB products IEA'!$A$4:$BN$4, 0)
     )
     * $L51:$U51,
     0
  )
)</f>
        <v>0</v>
      </c>
      <c r="AM51" s="57" cm="1">
        <f t="array" ref="AM51">SUMPRODUCT(
  IF($B51:$K51&lt;&gt;"",
     INDEX('Eurostat EB products IEA'!$A$4:$BN$135,
           MATCH($B51:$K51, 'Eurostat EB products IEA'!$A$4:$A$135, 0),
           MATCH(AM$1, 'Eurostat EB products IEA'!$A$4:$BN$4, 0)
     )
     * $L51:$U51,
     0
  )
)</f>
        <v>-666.83</v>
      </c>
      <c r="AN51" s="65" t="s">
        <v>323</v>
      </c>
      <c r="AO51" s="57" cm="1">
        <f t="array" ref="AO51">SUMPRODUCT(
  IF($B51:$K51&lt;&gt;"",
     INDEX('Eurostat EB products IEA'!$A$4:$BN$135,
           MATCH($B51:$K51, 'Eurostat EB products IEA'!$A$4:$A$135, 0),
           MATCH(AO$1, 'Eurostat EB products IEA'!$A$4:$BN$4, 0)
     )
     * $L51:$U51,
     0
  )
)</f>
        <v>0</v>
      </c>
      <c r="AP51" s="57" cm="1">
        <f t="array" ref="AP51">SUMPRODUCT(
  IF($B51:$K51&lt;&gt;"",
     INDEX('Eurostat EB products IEA'!$A$4:$BN$135,
           MATCH($B51:$K51, 'Eurostat EB products IEA'!$A$4:$A$135, 0),
           MATCH(AP$1, 'Eurostat EB products IEA'!$A$4:$BN$4, 0)
     )
     * $L51:$U51,
     0
  )
)</f>
        <v>0</v>
      </c>
      <c r="AQ51" s="57" cm="1">
        <f t="array" ref="AQ51">SUMPRODUCT(
  IF($B51:$K51&lt;&gt;"",
     INDEX('Eurostat EB products IEA'!$A$4:$BN$135,
           MATCH($B51:$K51, 'Eurostat EB products IEA'!$A$4:$A$135, 0),
           MATCH(AQ$1, 'Eurostat EB products IEA'!$A$4:$BN$4, 0)
     )
     * $L51:$U51,
     0
  )
)</f>
        <v>0</v>
      </c>
      <c r="AR51" s="57" cm="1">
        <f t="array" ref="AR51">SUMPRODUCT(
  IF($B51:$K51&lt;&gt;"",
     INDEX('Eurostat EB products IEA'!$A$4:$BN$135,
           MATCH($B51:$K51, 'Eurostat EB products IEA'!$A$4:$A$135, 0),
           MATCH(AR$1, 'Eurostat EB products IEA'!$A$4:$BN$4, 0)
     )
     * $L51:$U51,
     0
  )
)</f>
        <v>0</v>
      </c>
      <c r="AS51" s="57" cm="1">
        <f t="array" ref="AS51">SUMPRODUCT(
  IF($B51:$K51&lt;&gt;"",
     INDEX('Eurostat EB products IEA'!$A$4:$BN$135,
           MATCH($B51:$K51, 'Eurostat EB products IEA'!$A$4:$A$135, 0),
           MATCH(AS$1, 'Eurostat EB products IEA'!$A$4:$BN$4, 0)
     )
     * $L51:$U51,
     0
  )
)</f>
        <v>0</v>
      </c>
      <c r="AT51" s="57" cm="1">
        <f t="array" ref="AT51">SUMPRODUCT(
  IF($B51:$K51&lt;&gt;"",
     INDEX('Eurostat EB products IEA'!$A$4:$BN$135,
           MATCH($B51:$K51, 'Eurostat EB products IEA'!$A$4:$A$135, 0),
           MATCH(AT$1, 'Eurostat EB products IEA'!$A$4:$BN$4, 0)
     )
     * $L51:$U51,
     0
  )
)</f>
        <v>0</v>
      </c>
      <c r="AU51" s="57" cm="1">
        <f t="array" ref="AU51">SUMPRODUCT(
  IF($B51:$K51&lt;&gt;"",
     INDEX('Eurostat EB products IEA'!$A$4:$BN$135,
           MATCH($B51:$K51, 'Eurostat EB products IEA'!$A$4:$A$135, 0),
           MATCH(AU$1, 'Eurostat EB products IEA'!$A$4:$BN$4, 0)
     )
     * $L51:$U51,
     0
  )
)</f>
        <v>0</v>
      </c>
      <c r="AV51" s="57" cm="1">
        <f t="array" ref="AV51">SUMPRODUCT(
  IF($B51:$K51&lt;&gt;"",
     INDEX('Eurostat EB products IEA'!$A$4:$BN$135,
           MATCH($B51:$K51, 'Eurostat EB products IEA'!$A$4:$A$135, 0),
           MATCH(AV$1, 'Eurostat EB products IEA'!$A$4:$BN$4, 0)
     )
     * $L51:$U51,
     0
  )
)</f>
        <v>0</v>
      </c>
      <c r="AW51" s="57" cm="1">
        <f t="array" ref="AW51">SUMPRODUCT(
  IF($B51:$K51&lt;&gt;"",
     INDEX('Eurostat EB products IEA'!$A$4:$BN$135,
           MATCH($B51:$K51, 'Eurostat EB products IEA'!$A$4:$A$135, 0),
           MATCH(AW$1, 'Eurostat EB products IEA'!$A$4:$BN$4, 0)
     )
     * $L51:$U51,
     0
  )
)</f>
        <v>0</v>
      </c>
      <c r="AX51" s="57" cm="1">
        <f t="array" ref="AX51">SUMPRODUCT(
  IF($B51:$K51&lt;&gt;"",
     INDEX('Eurostat EB products IEA'!$A$4:$BN$135,
           MATCH($B51:$K51, 'Eurostat EB products IEA'!$A$4:$A$135, 0),
           MATCH(AX$1, 'Eurostat EB products IEA'!$A$4:$BN$4, 0)
     )
     * $L51:$U51,
     0
  )
)</f>
        <v>0</v>
      </c>
      <c r="AY51" s="57" cm="1">
        <f t="array" ref="AY51">SUMPRODUCT(
  IF($B51:$K51&lt;&gt;"",
     INDEX('Eurostat EB products IEA'!$A$4:$BN$135,
           MATCH($B51:$K51, 'Eurostat EB products IEA'!$A$4:$A$135, 0),
           MATCH(AY$1, 'Eurostat EB products IEA'!$A$4:$BN$4, 0)
     )
     * $L51:$U51,
     0
  )
)</f>
        <v>0</v>
      </c>
      <c r="AZ51" s="57" cm="1">
        <f t="array" ref="AZ51">SUMPRODUCT(
  IF($B51:$K51&lt;&gt;"",
     INDEX('Eurostat EB products IEA'!$A$4:$BN$135,
           MATCH($B51:$K51, 'Eurostat EB products IEA'!$A$4:$A$135, 0),
           MATCH(AZ$1, 'Eurostat EB products IEA'!$A$4:$BN$4, 0)
     )
     * $L51:$U51,
     0
  )
)</f>
        <v>0</v>
      </c>
      <c r="BA51" s="57" cm="1">
        <f t="array" ref="BA51">SUMPRODUCT(
  IF($B51:$K51&lt;&gt;"",
     INDEX('Eurostat EB products IEA'!$A$4:$BN$135,
           MATCH($B51:$K51, 'Eurostat EB products IEA'!$A$4:$A$135, 0),
           MATCH(BA$1, 'Eurostat EB products IEA'!$A$4:$BN$4, 0)
     )
     * $L51:$U51,
     0
  )
)</f>
        <v>0</v>
      </c>
      <c r="BB51" s="57" cm="1">
        <f t="array" ref="BB51">SUMPRODUCT(
  IF($B51:$K51&lt;&gt;"",
     INDEX('Eurostat EB products IEA'!$A$4:$BN$135,
           MATCH($B51:$K51, 'Eurostat EB products IEA'!$A$4:$A$135, 0),
           MATCH(BB$1, 'Eurostat EB products IEA'!$A$4:$BN$4, 0)
     )
     * $L51:$U51,
     0
  )
)</f>
        <v>0</v>
      </c>
      <c r="BC51" s="57" cm="1">
        <f t="array" ref="BC51">SUMPRODUCT(
  IF($B51:$K51&lt;&gt;"",
     INDEX('Eurostat EB products IEA'!$A$4:$BN$135,
           MATCH($B51:$K51, 'Eurostat EB products IEA'!$A$4:$A$135, 0),
           MATCH(BC$1, 'Eurostat EB products IEA'!$A$4:$BN$4, 0)
     )
     * $L51:$U51,
     0
  )
)</f>
        <v>0</v>
      </c>
      <c r="BD51" s="57" cm="1">
        <f t="array" ref="BD51">SUMPRODUCT(
  IF($B51:$K51&lt;&gt;"",
     INDEX('Eurostat EB products IEA'!$A$4:$BN$135,
           MATCH($B51:$K51, 'Eurostat EB products IEA'!$A$4:$A$135, 0),
           MATCH(BD$1, 'Eurostat EB products IEA'!$A$4:$BN$4, 0)
     )
     * $L51:$U51,
     0
  )
)</f>
        <v>0</v>
      </c>
      <c r="BE51" s="57" cm="1">
        <f t="array" ref="BE51">SUMPRODUCT(
  IF($B51:$K51&lt;&gt;"",
     INDEX('Eurostat EB products IEA'!$A$4:$BN$135,
           MATCH($B51:$K51, 'Eurostat EB products IEA'!$A$4:$A$135, 0),
           MATCH(BE$1, 'Eurostat EB products IEA'!$A$4:$BN$4, 0)
     )
     * $L51:$U51,
     0
  )
)</f>
        <v>0</v>
      </c>
      <c r="BF51" s="57" cm="1">
        <f t="array" ref="BF51">SUMPRODUCT(
  IF($B51:$K51&lt;&gt;"",
     INDEX('Eurostat EB products IEA'!$A$4:$BN$135,
           MATCH($B51:$K51, 'Eurostat EB products IEA'!$A$4:$A$135, 0),
           MATCH(BF$1, 'Eurostat EB products IEA'!$A$4:$BN$4, 0)
     )
     * $L51:$U51,
     0
  )
)</f>
        <v>0</v>
      </c>
      <c r="BG51" s="57" cm="1">
        <f t="array" ref="BG51">SUMPRODUCT(
  IF($B51:$K51&lt;&gt;"",
     INDEX('Eurostat EB products IEA'!$A$4:$BN$135,
           MATCH($B51:$K51, 'Eurostat EB products IEA'!$A$4:$A$135, 0),
           MATCH(BG$1, 'Eurostat EB products IEA'!$A$4:$BN$4, 0)
     )
     * $L51:$U51,
     0
  )
)</f>
        <v>0</v>
      </c>
      <c r="BH51" s="57" cm="1">
        <f t="array" ref="BH51">SUMPRODUCT(
  IF($B51:$K51&lt;&gt;"",
     INDEX('Eurostat EB products IEA'!$A$4:$BN$135,
           MATCH($B51:$K51, 'Eurostat EB products IEA'!$A$4:$A$135, 0),
           MATCH(BH$1, 'Eurostat EB products IEA'!$A$4:$BN$4, 0)
     )
     * $L51:$U51,
     0
  )
)</f>
        <v>0</v>
      </c>
      <c r="BI51" s="57" cm="1">
        <f t="array" ref="BI51">SUMPRODUCT(
  IF($B51:$K51&lt;&gt;"",
     INDEX('Eurostat EB products IEA'!$A$4:$BN$135,
           MATCH($B51:$K51, 'Eurostat EB products IEA'!$A$4:$A$135, 0),
           MATCH(BI$1, 'Eurostat EB products IEA'!$A$4:$BN$4, 0)
     )
     * $L51:$U51,
     0
  )
)</f>
        <v>0</v>
      </c>
      <c r="BJ51" s="57" cm="1">
        <f t="array" ref="BJ51">SUMPRODUCT(
  IF($B51:$K51&lt;&gt;"",
     INDEX('Eurostat EB products IEA'!$A$4:$BN$135,
           MATCH($B51:$K51, 'Eurostat EB products IEA'!$A$4:$A$135, 0),
           MATCH(BJ$1, 'Eurostat EB products IEA'!$A$4:$BN$4, 0)
     )
     * $L51:$U51,
     0
  )
)</f>
        <v>0</v>
      </c>
      <c r="BK51" s="57" cm="1">
        <f t="array" ref="BK51">SUMPRODUCT(
  IF($B51:$K51&lt;&gt;"",
     INDEX('Eurostat EB products IEA'!$A$4:$BN$135,
           MATCH($B51:$K51, 'Eurostat EB products IEA'!$A$4:$A$135, 0),
           MATCH(BK$1, 'Eurostat EB products IEA'!$A$4:$BN$4, 0)
     )
     * $L51:$U51,
     0
  )
)</f>
        <v>0</v>
      </c>
      <c r="BL51" s="57" cm="1">
        <f t="array" ref="BL51">SUMPRODUCT(
  IF($B51:$K51&lt;&gt;"",
     INDEX('Eurostat EB products IEA'!$A$4:$BN$135,
           MATCH($B51:$K51, 'Eurostat EB products IEA'!$A$4:$A$135, 0),
           MATCH(BL$1, 'Eurostat EB products IEA'!$A$4:$BN$4, 0)
     )
     * $L51:$U51,
     0
  )
)</f>
        <v>0</v>
      </c>
      <c r="BM51" s="57" cm="1">
        <f t="array" ref="BM51">SUMPRODUCT(
  IF($B51:$K51&lt;&gt;"",
     INDEX('Eurostat EB products IEA'!$A$4:$BN$135,
           MATCH($B51:$K51, 'Eurostat EB products IEA'!$A$4:$A$135, 0),
           MATCH(BM$1, 'Eurostat EB products IEA'!$A$4:$BN$4, 0)
     )
     * $L51:$U51,
     0
  )
)</f>
        <v>0</v>
      </c>
      <c r="BN51" s="57" cm="1">
        <f t="array" ref="BN51">SUMPRODUCT(
  IF($B51:$K51&lt;&gt;"",
     INDEX('Eurostat EB products IEA'!$A$4:$BN$135,
           MATCH($B51:$K51, 'Eurostat EB products IEA'!$A$4:$A$135, 0),
           MATCH(BN$1, 'Eurostat EB products IEA'!$A$4:$BN$4, 0)
     )
     * $L51:$U51,
     0
  )
)</f>
        <v>0</v>
      </c>
      <c r="BO51" s="57" cm="1">
        <f t="array" ref="BO51">SUMPRODUCT(
  IF($B51:$K51&lt;&gt;"",
     INDEX('Eurostat EB products IEA'!$A$4:$BN$135,
           MATCH($B51:$K51, 'Eurostat EB products IEA'!$A$4:$A$135, 0),
           MATCH(BO$1, 'Eurostat EB products IEA'!$A$4:$BN$4, 0)
     )
     * $L51:$U51,
     0
  )
)</f>
        <v>0</v>
      </c>
      <c r="BP51" s="57" cm="1">
        <f t="array" ref="BP51">SUMPRODUCT(
  IF($B51:$K51&lt;&gt;"",
     INDEX('Eurostat EB products IEA'!$A$4:$BN$135,
           MATCH($B51:$K51, 'Eurostat EB products IEA'!$A$4:$A$135, 0),
           MATCH(BP$1, 'Eurostat EB products IEA'!$A$4:$BN$4, 0)
     )
     * $L51:$U51,
     0
  )
)</f>
        <v>0</v>
      </c>
      <c r="BQ51" s="57" cm="1">
        <f t="array" ref="BQ51">SUMPRODUCT(
  IF($B51:$K51&lt;&gt;"",
     INDEX('Eurostat EB products IEA'!$A$4:$BN$135,
           MATCH($B51:$K51, 'Eurostat EB products IEA'!$A$4:$A$135, 0),
           MATCH(BQ$1, 'Eurostat EB products IEA'!$A$4:$BN$4, 0)
     )
     * $L51:$U51,
     0
  )
)</f>
        <v>0</v>
      </c>
      <c r="BR51" s="57" cm="1">
        <f t="array" ref="BR51">SUMPRODUCT(
  IF($B51:$K51&lt;&gt;"",
     INDEX('Eurostat EB products IEA'!$A$4:$BN$135,
           MATCH($B51:$K51, 'Eurostat EB products IEA'!$A$4:$A$135, 0),
           MATCH(BR$1, 'Eurostat EB products IEA'!$A$4:$BN$4, 0)
     )
     * $L51:$U51,
     0
  )
)</f>
        <v>0</v>
      </c>
      <c r="BS51" s="65">
        <v>0</v>
      </c>
      <c r="BT51" s="57" cm="1">
        <f t="array" ref="BT51">SUMPRODUCT(
  IF($B51:$K51&lt;&gt;"",
     INDEX('Eurostat EB products IEA'!$A$4:$BN$135,
           MATCH($B51:$K51, 'Eurostat EB products IEA'!$A$4:$A$135, 0),
           MATCH(BT$1, 'Eurostat EB products IEA'!$A$4:$BN$4, 0)
     )
     * $L51:$U51,
     0
  )
)</f>
        <v>0</v>
      </c>
      <c r="BU51" s="65">
        <v>0</v>
      </c>
      <c r="BV51" s="65">
        <v>0</v>
      </c>
      <c r="BW51" s="57" cm="1">
        <f t="array" ref="BW51">SUMPRODUCT(
  IF($B51:$K51&lt;&gt;"",
     INDEX('Eurostat EB products IEA'!$A$4:$BN$135,
           MATCH($B51:$K51, 'Eurostat EB products IEA'!$A$4:$A$135, 0),
           MATCH(BW$1, 'Eurostat EB products IEA'!$A$4:$BN$4, 0)
     )
     * $L51:$U51,
     0
  )
)</f>
        <v>0</v>
      </c>
      <c r="BX51" s="57" cm="1">
        <f t="array" ref="BX51">SUMPRODUCT(
  IF($B51:$K51&lt;&gt;"",
     INDEX('Eurostat EB products IEA'!$A$4:$BN$135,
           MATCH($B51:$K51, 'Eurostat EB products IEA'!$A$4:$A$135, 0),
           MATCH(BX$1, 'Eurostat EB products IEA'!$A$4:$BN$4, 0)
     )
     * $L51:$U51,
     0
  )
)</f>
        <v>0</v>
      </c>
      <c r="BY51" s="57" cm="1">
        <f t="array" ref="BY51">SUMPRODUCT(
  IF($B51:$K51&lt;&gt;"",
     INDEX('Eurostat EB products IEA'!$A$4:$BN$135,
           MATCH($B51:$K51, 'Eurostat EB products IEA'!$A$4:$A$135, 0),
           MATCH(BY$1, 'Eurostat EB products IEA'!$A$4:$BN$4, 0)
     )
     * $L51:$U51,
     0
  )
)</f>
        <v>0</v>
      </c>
      <c r="BZ51" s="57" cm="1">
        <f t="array" ref="BZ51">SUMPRODUCT(
  IF($B51:$K51&lt;&gt;"",
     INDEX('Eurostat EB products IEA'!$A$4:$BN$135,
           MATCH($B51:$K51, 'Eurostat EB products IEA'!$A$4:$A$135, 0),
           MATCH(BZ$1, 'Eurostat EB products IEA'!$A$4:$BN$4, 0)
     )
     * $L51:$U51,
     0
  )
)</f>
        <v>0</v>
      </c>
      <c r="CA51" s="57" cm="1">
        <f t="array" ref="CA51">SUMPRODUCT(
  IF($B51:$K51&lt;&gt;"",
     INDEX('Eurostat EB products IEA'!$A$4:$BN$135,
           MATCH($B51:$K51, 'Eurostat EB products IEA'!$A$4:$A$135, 0),
           MATCH(CA$1, 'Eurostat EB products IEA'!$A$4:$BN$4, 0)
     )
     * $L51:$U51,
     0
  )
)</f>
        <v>0</v>
      </c>
      <c r="CB51" s="57" cm="1">
        <f t="array" ref="CB51">SUMPRODUCT(
  IF($B51:$K51&lt;&gt;"",
     INDEX('Eurostat EB products IEA'!$A$4:$BN$135,
           MATCH($B51:$K51, 'Eurostat EB products IEA'!$A$4:$A$135, 0),
           MATCH(CB$1, 'Eurostat EB products IEA'!$A$4:$BN$4, 0)
     )
     * $L51:$U51,
     0
  )
)</f>
        <v>0</v>
      </c>
      <c r="CC51" s="57" cm="1">
        <f t="array" ref="CC51">SUMPRODUCT(
  IF($B51:$K51&lt;&gt;"",
     INDEX('Eurostat EB products IEA'!$A$4:$BN$135,
           MATCH($B51:$K51, 'Eurostat EB products IEA'!$A$4:$A$135, 0),
           MATCH(CC$1, 'Eurostat EB products IEA'!$A$4:$BN$4, 0)
     )
     * $L51:$U51,
     0
  )
)</f>
        <v>0</v>
      </c>
      <c r="CD51" s="65">
        <v>0</v>
      </c>
      <c r="CE51" s="57" cm="1">
        <f t="array" ref="CE51">SUMPRODUCT(
  IF($B51:$K51&lt;&gt;"",
     INDEX('Eurostat EB products IEA'!$A$4:$BN$135,
           MATCH($B51:$K51, 'Eurostat EB products IEA'!$A$4:$A$135, 0),
           MATCH(CE$1, 'Eurostat EB products IEA'!$A$4:$BN$4, 0)
     )
     * $L51:$U51,
     0
  )
)</f>
        <v>-1048.2370000000001</v>
      </c>
      <c r="CF51" s="57" cm="1">
        <f t="array" ref="CF51">SUMPRODUCT(
  IF($B51:$K51&lt;&gt;"",
     INDEX('Eurostat EB products IEA'!$A$4:$BN$135,
           MATCH($B51:$K51, 'Eurostat EB products IEA'!$A$4:$A$135, 0),
           MATCH(CF$1, 'Eurostat EB products IEA'!$A$4:$BN$4, 0)
     )
     * $L51:$U51,
     0
  )
)</f>
        <v>-1666.0360000000001</v>
      </c>
      <c r="CG51" s="57" cm="1">
        <f t="array" ref="CG51">SUMPRODUCT(
  IF($B51:$K51&lt;&gt;"",
     INDEX('Eurostat EB products IEA'!$A$4:$BN$135,
           MATCH($B51:$K51, 'Eurostat EB products IEA'!$A$4:$A$135, 0),
           MATCH(CG$1, 'Eurostat EB products IEA'!$A$4:$BN$4, 0)
     )
     * $L51:$U51,
     0
  )
)</f>
        <v>-3381.1030000000001</v>
      </c>
      <c r="CH51" s="57" cm="1">
        <f t="array" ref="CH51">SUMPRODUCT(
  IF($B51:$K51&lt;&gt;"",
     INDEX('Eurostat EB products IEA'!$A$4:$BN$135,
           MATCH($B51:$K51, 'Eurostat EB products IEA'!$A$4:$A$135, 0),
           MATCH(CH$1, 'Eurostat EB products IEA'!$A$4:$BN$4, 0)
     )
     * $L51:$U51,
     0
  )
)</f>
        <v>-442.34300000000002</v>
      </c>
    </row>
    <row r="52" spans="1:86" x14ac:dyDescent="0.2">
      <c r="A52" t="s">
        <v>169</v>
      </c>
      <c r="B52" s="75"/>
      <c r="C52" s="77"/>
      <c r="D52" s="75"/>
      <c r="E52" s="77"/>
      <c r="F52" s="75"/>
      <c r="G52" s="77"/>
      <c r="H52" s="75"/>
      <c r="I52" s="77"/>
      <c r="J52" s="74"/>
      <c r="K52" s="78" t="s">
        <v>98</v>
      </c>
      <c r="L52" s="76"/>
      <c r="M52" s="79"/>
      <c r="N52" s="76"/>
      <c r="O52" s="79"/>
      <c r="P52" s="76"/>
      <c r="Q52" s="79"/>
      <c r="R52" s="76"/>
      <c r="S52" s="79"/>
      <c r="T52" s="76"/>
      <c r="U52" s="79">
        <v>-1</v>
      </c>
      <c r="V52" s="65" t="s">
        <v>323</v>
      </c>
      <c r="W52" s="65" t="s">
        <v>323</v>
      </c>
      <c r="X52" s="17" cm="1">
        <f t="array" ref="X52">SUMPRODUCT(
  IF($B52:$K52&lt;&gt;"",
     INDEX('Eurostat EB products IEA'!$A$4:$BN$135,
           MATCH($B52:$K52, 'Eurostat EB products IEA'!$A$4:$A$135, 0),
           MATCH(X$1, 'Eurostat EB products IEA'!$A$4:$BN$4, 0)
     )
     * $L52:$U52,
     0
  )
)</f>
        <v>0</v>
      </c>
      <c r="Y52" s="17" cm="1">
        <f t="array" ref="Y52">SUMPRODUCT(
  IF($B52:$K52&lt;&gt;"",
     INDEX('Eurostat EB products IEA'!$A$4:$BN$135,
           MATCH($B52:$K52, 'Eurostat EB products IEA'!$A$4:$A$135, 0),
           MATCH(Y$1, 'Eurostat EB products IEA'!$A$4:$BN$4, 0)
     )
     * $L52:$U52,
     0
  )
)</f>
        <v>0</v>
      </c>
      <c r="Z52" s="17" cm="1">
        <f t="array" ref="Z52">SUMPRODUCT(
  IF($B52:$K52&lt;&gt;"",
     INDEX('Eurostat EB products IEA'!$A$4:$BN$135,
           MATCH($B52:$K52, 'Eurostat EB products IEA'!$A$4:$A$135, 0),
           MATCH(Z$1, 'Eurostat EB products IEA'!$A$4:$BN$4, 0)
     )
     * $L52:$U52,
     0
  )
)</f>
        <v>0</v>
      </c>
      <c r="AA52" s="17" cm="1">
        <f t="array" ref="AA52">SUMPRODUCT(
  IF($B52:$K52&lt;&gt;"",
     INDEX('Eurostat EB products IEA'!$A$4:$BN$135,
           MATCH($B52:$K52, 'Eurostat EB products IEA'!$A$4:$A$135, 0),
           MATCH(AA$1, 'Eurostat EB products IEA'!$A$4:$BN$4, 0)
     )
     * $L52:$U52,
     0
  )
)</f>
        <v>0</v>
      </c>
      <c r="AB52" s="17" cm="1">
        <f t="array" ref="AB52">SUMPRODUCT(
  IF($B52:$K52&lt;&gt;"",
     INDEX('Eurostat EB products IEA'!$A$4:$BN$135,
           MATCH($B52:$K52, 'Eurostat EB products IEA'!$A$4:$A$135, 0),
           MATCH(AB$1, 'Eurostat EB products IEA'!$A$4:$BN$4, 0)
     )
     * $L52:$U52,
     0
  )
)</f>
        <v>0</v>
      </c>
      <c r="AC52" s="17" cm="1">
        <f t="array" ref="AC52">SUMPRODUCT(
  IF($B52:$K52&lt;&gt;"",
     INDEX('Eurostat EB products IEA'!$A$4:$BN$135,
           MATCH($B52:$K52, 'Eurostat EB products IEA'!$A$4:$A$135, 0),
           MATCH(AC$1, 'Eurostat EB products IEA'!$A$4:$BN$4, 0)
     )
     * $L52:$U52,
     0
  )
)</f>
        <v>0</v>
      </c>
      <c r="AD52" s="17" cm="1">
        <f t="array" ref="AD52">SUMPRODUCT(
  IF($B52:$K52&lt;&gt;"",
     INDEX('Eurostat EB products IEA'!$A$4:$BN$135,
           MATCH($B52:$K52, 'Eurostat EB products IEA'!$A$4:$A$135, 0),
           MATCH(AD$1, 'Eurostat EB products IEA'!$A$4:$BN$4, 0)
     )
     * $L52:$U52,
     0
  )
)</f>
        <v>0</v>
      </c>
      <c r="AE52" s="17" cm="1">
        <f t="array" ref="AE52">SUMPRODUCT(
  IF($B52:$K52&lt;&gt;"",
     INDEX('Eurostat EB products IEA'!$A$4:$BN$135,
           MATCH($B52:$K52, 'Eurostat EB products IEA'!$A$4:$A$135, 0),
           MATCH(AE$1, 'Eurostat EB products IEA'!$A$4:$BN$4, 0)
     )
     * $L52:$U52,
     0
  )
)</f>
        <v>0</v>
      </c>
      <c r="AF52" s="17" cm="1">
        <f t="array" ref="AF52">SUMPRODUCT(
  IF($B52:$K52&lt;&gt;"",
     INDEX('Eurostat EB products IEA'!$A$4:$BN$135,
           MATCH($B52:$K52, 'Eurostat EB products IEA'!$A$4:$A$135, 0),
           MATCH(AF$1, 'Eurostat EB products IEA'!$A$4:$BN$4, 0)
     )
     * $L52:$U52,
     0
  )
)</f>
        <v>0</v>
      </c>
      <c r="AG52" s="17" cm="1">
        <f t="array" ref="AG52">SUMPRODUCT(
  IF($B52:$K52&lt;&gt;"",
     INDEX('Eurostat EB products IEA'!$A$4:$BN$135,
           MATCH($B52:$K52, 'Eurostat EB products IEA'!$A$4:$A$135, 0),
           MATCH(AG$1, 'Eurostat EB products IEA'!$A$4:$BN$4, 0)
     )
     * $L52:$U52,
     0
  )
)</f>
        <v>0</v>
      </c>
      <c r="AH52" s="17" cm="1">
        <f t="array" ref="AH52">SUMPRODUCT(
  IF($B52:$K52&lt;&gt;"",
     INDEX('Eurostat EB products IEA'!$A$4:$BN$135,
           MATCH($B52:$K52, 'Eurostat EB products IEA'!$A$4:$A$135, 0),
           MATCH(AH$1, 'Eurostat EB products IEA'!$A$4:$BN$4, 0)
     )
     * $L52:$U52,
     0
  )
)</f>
        <v>0</v>
      </c>
      <c r="AI52" s="17" cm="1">
        <f t="array" ref="AI52">SUMPRODUCT(
  IF($B52:$K52&lt;&gt;"",
     INDEX('Eurostat EB products IEA'!$A$4:$BN$135,
           MATCH($B52:$K52, 'Eurostat EB products IEA'!$A$4:$A$135, 0),
           MATCH(AI$1, 'Eurostat EB products IEA'!$A$4:$BN$4, 0)
     )
     * $L52:$U52,
     0
  )
)</f>
        <v>0</v>
      </c>
      <c r="AJ52" s="17" cm="1">
        <f t="array" ref="AJ52">SUMPRODUCT(
  IF($B52:$K52&lt;&gt;"",
     INDEX('Eurostat EB products IEA'!$A$4:$BN$135,
           MATCH($B52:$K52, 'Eurostat EB products IEA'!$A$4:$A$135, 0),
           MATCH(AJ$1, 'Eurostat EB products IEA'!$A$4:$BN$4, 0)
     )
     * $L52:$U52,
     0
  )
)</f>
        <v>0</v>
      </c>
      <c r="AK52" s="17" cm="1">
        <f t="array" ref="AK52">SUMPRODUCT(
  IF($B52:$K52&lt;&gt;"",
     INDEX('Eurostat EB products IEA'!$A$4:$BN$135,
           MATCH($B52:$K52, 'Eurostat EB products IEA'!$A$4:$A$135, 0),
           MATCH(AK$1, 'Eurostat EB products IEA'!$A$4:$BN$4, 0)
     )
     * $L52:$U52,
     0
  )
)</f>
        <v>0</v>
      </c>
      <c r="AL52" s="17" cm="1">
        <f t="array" ref="AL52">SUMPRODUCT(
  IF($B52:$K52&lt;&gt;"",
     INDEX('Eurostat EB products IEA'!$A$4:$BN$135,
           MATCH($B52:$K52, 'Eurostat EB products IEA'!$A$4:$A$135, 0),
           MATCH(AL$1, 'Eurostat EB products IEA'!$A$4:$BN$4, 0)
     )
     * $L52:$U52,
     0
  )
)</f>
        <v>0</v>
      </c>
      <c r="AM52" s="17" cm="1">
        <f t="array" ref="AM52">SUMPRODUCT(
  IF($B52:$K52&lt;&gt;"",
     INDEX('Eurostat EB products IEA'!$A$4:$BN$135,
           MATCH($B52:$K52, 'Eurostat EB products IEA'!$A$4:$A$135, 0),
           MATCH(AM$1, 'Eurostat EB products IEA'!$A$4:$BN$4, 0)
     )
     * $L52:$U52,
     0
  )
)</f>
        <v>-47.442999999999998</v>
      </c>
      <c r="AN52" s="65" t="s">
        <v>323</v>
      </c>
      <c r="AO52" s="17" cm="1">
        <f t="array" ref="AO52">SUMPRODUCT(
  IF($B52:$K52&lt;&gt;"",
     INDEX('Eurostat EB products IEA'!$A$4:$BN$135,
           MATCH($B52:$K52, 'Eurostat EB products IEA'!$A$4:$A$135, 0),
           MATCH(AO$1, 'Eurostat EB products IEA'!$A$4:$BN$4, 0)
     )
     * $L52:$U52,
     0
  )
)</f>
        <v>0</v>
      </c>
      <c r="AP52" s="17" cm="1">
        <f t="array" ref="AP52">SUMPRODUCT(
  IF($B52:$K52&lt;&gt;"",
     INDEX('Eurostat EB products IEA'!$A$4:$BN$135,
           MATCH($B52:$K52, 'Eurostat EB products IEA'!$A$4:$A$135, 0),
           MATCH(AP$1, 'Eurostat EB products IEA'!$A$4:$BN$4, 0)
     )
     * $L52:$U52,
     0
  )
)</f>
        <v>0</v>
      </c>
      <c r="AQ52" s="17" cm="1">
        <f t="array" ref="AQ52">SUMPRODUCT(
  IF($B52:$K52&lt;&gt;"",
     INDEX('Eurostat EB products IEA'!$A$4:$BN$135,
           MATCH($B52:$K52, 'Eurostat EB products IEA'!$A$4:$A$135, 0),
           MATCH(AQ$1, 'Eurostat EB products IEA'!$A$4:$BN$4, 0)
     )
     * $L52:$U52,
     0
  )
)</f>
        <v>0</v>
      </c>
      <c r="AR52" s="17" cm="1">
        <f t="array" ref="AR52">SUMPRODUCT(
  IF($B52:$K52&lt;&gt;"",
     INDEX('Eurostat EB products IEA'!$A$4:$BN$135,
           MATCH($B52:$K52, 'Eurostat EB products IEA'!$A$4:$A$135, 0),
           MATCH(AR$1, 'Eurostat EB products IEA'!$A$4:$BN$4, 0)
     )
     * $L52:$U52,
     0
  )
)</f>
        <v>0</v>
      </c>
      <c r="AS52" s="17" cm="1">
        <f t="array" ref="AS52">SUMPRODUCT(
  IF($B52:$K52&lt;&gt;"",
     INDEX('Eurostat EB products IEA'!$A$4:$BN$135,
           MATCH($B52:$K52, 'Eurostat EB products IEA'!$A$4:$A$135, 0),
           MATCH(AS$1, 'Eurostat EB products IEA'!$A$4:$BN$4, 0)
     )
     * $L52:$U52,
     0
  )
)</f>
        <v>0</v>
      </c>
      <c r="AT52" s="17" cm="1">
        <f t="array" ref="AT52">SUMPRODUCT(
  IF($B52:$K52&lt;&gt;"",
     INDEX('Eurostat EB products IEA'!$A$4:$BN$135,
           MATCH($B52:$K52, 'Eurostat EB products IEA'!$A$4:$A$135, 0),
           MATCH(AT$1, 'Eurostat EB products IEA'!$A$4:$BN$4, 0)
     )
     * $L52:$U52,
     0
  )
)</f>
        <v>0</v>
      </c>
      <c r="AU52" s="17" cm="1">
        <f t="array" ref="AU52">SUMPRODUCT(
  IF($B52:$K52&lt;&gt;"",
     INDEX('Eurostat EB products IEA'!$A$4:$BN$135,
           MATCH($B52:$K52, 'Eurostat EB products IEA'!$A$4:$A$135, 0),
           MATCH(AU$1, 'Eurostat EB products IEA'!$A$4:$BN$4, 0)
     )
     * $L52:$U52,
     0
  )
)</f>
        <v>0</v>
      </c>
      <c r="AV52" s="17" cm="1">
        <f t="array" ref="AV52">SUMPRODUCT(
  IF($B52:$K52&lt;&gt;"",
     INDEX('Eurostat EB products IEA'!$A$4:$BN$135,
           MATCH($B52:$K52, 'Eurostat EB products IEA'!$A$4:$A$135, 0),
           MATCH(AV$1, 'Eurostat EB products IEA'!$A$4:$BN$4, 0)
     )
     * $L52:$U52,
     0
  )
)</f>
        <v>0</v>
      </c>
      <c r="AW52" s="17" cm="1">
        <f t="array" ref="AW52">SUMPRODUCT(
  IF($B52:$K52&lt;&gt;"",
     INDEX('Eurostat EB products IEA'!$A$4:$BN$135,
           MATCH($B52:$K52, 'Eurostat EB products IEA'!$A$4:$A$135, 0),
           MATCH(AW$1, 'Eurostat EB products IEA'!$A$4:$BN$4, 0)
     )
     * $L52:$U52,
     0
  )
)</f>
        <v>0</v>
      </c>
      <c r="AX52" s="17" cm="1">
        <f t="array" ref="AX52">SUMPRODUCT(
  IF($B52:$K52&lt;&gt;"",
     INDEX('Eurostat EB products IEA'!$A$4:$BN$135,
           MATCH($B52:$K52, 'Eurostat EB products IEA'!$A$4:$A$135, 0),
           MATCH(AX$1, 'Eurostat EB products IEA'!$A$4:$BN$4, 0)
     )
     * $L52:$U52,
     0
  )
)</f>
        <v>0</v>
      </c>
      <c r="AY52" s="17" cm="1">
        <f t="array" ref="AY52">SUMPRODUCT(
  IF($B52:$K52&lt;&gt;"",
     INDEX('Eurostat EB products IEA'!$A$4:$BN$135,
           MATCH($B52:$K52, 'Eurostat EB products IEA'!$A$4:$A$135, 0),
           MATCH(AY$1, 'Eurostat EB products IEA'!$A$4:$BN$4, 0)
     )
     * $L52:$U52,
     0
  )
)</f>
        <v>0</v>
      </c>
      <c r="AZ52" s="17" cm="1">
        <f t="array" ref="AZ52">SUMPRODUCT(
  IF($B52:$K52&lt;&gt;"",
     INDEX('Eurostat EB products IEA'!$A$4:$BN$135,
           MATCH($B52:$K52, 'Eurostat EB products IEA'!$A$4:$A$135, 0),
           MATCH(AZ$1, 'Eurostat EB products IEA'!$A$4:$BN$4, 0)
     )
     * $L52:$U52,
     0
  )
)</f>
        <v>0</v>
      </c>
      <c r="BA52" s="17" cm="1">
        <f t="array" ref="BA52">SUMPRODUCT(
  IF($B52:$K52&lt;&gt;"",
     INDEX('Eurostat EB products IEA'!$A$4:$BN$135,
           MATCH($B52:$K52, 'Eurostat EB products IEA'!$A$4:$A$135, 0),
           MATCH(BA$1, 'Eurostat EB products IEA'!$A$4:$BN$4, 0)
     )
     * $L52:$U52,
     0
  )
)</f>
        <v>0</v>
      </c>
      <c r="BB52" s="17" cm="1">
        <f t="array" ref="BB52">SUMPRODUCT(
  IF($B52:$K52&lt;&gt;"",
     INDEX('Eurostat EB products IEA'!$A$4:$BN$135,
           MATCH($B52:$K52, 'Eurostat EB products IEA'!$A$4:$A$135, 0),
           MATCH(BB$1, 'Eurostat EB products IEA'!$A$4:$BN$4, 0)
     )
     * $L52:$U52,
     0
  )
)</f>
        <v>0</v>
      </c>
      <c r="BC52" s="17" cm="1">
        <f t="array" ref="BC52">SUMPRODUCT(
  IF($B52:$K52&lt;&gt;"",
     INDEX('Eurostat EB products IEA'!$A$4:$BN$135,
           MATCH($B52:$K52, 'Eurostat EB products IEA'!$A$4:$A$135, 0),
           MATCH(BC$1, 'Eurostat EB products IEA'!$A$4:$BN$4, 0)
     )
     * $L52:$U52,
     0
  )
)</f>
        <v>0</v>
      </c>
      <c r="BD52" s="17" cm="1">
        <f t="array" ref="BD52">SUMPRODUCT(
  IF($B52:$K52&lt;&gt;"",
     INDEX('Eurostat EB products IEA'!$A$4:$BN$135,
           MATCH($B52:$K52, 'Eurostat EB products IEA'!$A$4:$A$135, 0),
           MATCH(BD$1, 'Eurostat EB products IEA'!$A$4:$BN$4, 0)
     )
     * $L52:$U52,
     0
  )
)</f>
        <v>0</v>
      </c>
      <c r="BE52" s="17" cm="1">
        <f t="array" ref="BE52">SUMPRODUCT(
  IF($B52:$K52&lt;&gt;"",
     INDEX('Eurostat EB products IEA'!$A$4:$BN$135,
           MATCH($B52:$K52, 'Eurostat EB products IEA'!$A$4:$A$135, 0),
           MATCH(BE$1, 'Eurostat EB products IEA'!$A$4:$BN$4, 0)
     )
     * $L52:$U52,
     0
  )
)</f>
        <v>0</v>
      </c>
      <c r="BF52" s="17" cm="1">
        <f t="array" ref="BF52">SUMPRODUCT(
  IF($B52:$K52&lt;&gt;"",
     INDEX('Eurostat EB products IEA'!$A$4:$BN$135,
           MATCH($B52:$K52, 'Eurostat EB products IEA'!$A$4:$A$135, 0),
           MATCH(BF$1, 'Eurostat EB products IEA'!$A$4:$BN$4, 0)
     )
     * $L52:$U52,
     0
  )
)</f>
        <v>0</v>
      </c>
      <c r="BG52" s="17" cm="1">
        <f t="array" ref="BG52">SUMPRODUCT(
  IF($B52:$K52&lt;&gt;"",
     INDEX('Eurostat EB products IEA'!$A$4:$BN$135,
           MATCH($B52:$K52, 'Eurostat EB products IEA'!$A$4:$A$135, 0),
           MATCH(BG$1, 'Eurostat EB products IEA'!$A$4:$BN$4, 0)
     )
     * $L52:$U52,
     0
  )
)</f>
        <v>0</v>
      </c>
      <c r="BH52" s="17" cm="1">
        <f t="array" ref="BH52">SUMPRODUCT(
  IF($B52:$K52&lt;&gt;"",
     INDEX('Eurostat EB products IEA'!$A$4:$BN$135,
           MATCH($B52:$K52, 'Eurostat EB products IEA'!$A$4:$A$135, 0),
           MATCH(BH$1, 'Eurostat EB products IEA'!$A$4:$BN$4, 0)
     )
     * $L52:$U52,
     0
  )
)</f>
        <v>0</v>
      </c>
      <c r="BI52" s="17" cm="1">
        <f t="array" ref="BI52">SUMPRODUCT(
  IF($B52:$K52&lt;&gt;"",
     INDEX('Eurostat EB products IEA'!$A$4:$BN$135,
           MATCH($B52:$K52, 'Eurostat EB products IEA'!$A$4:$A$135, 0),
           MATCH(BI$1, 'Eurostat EB products IEA'!$A$4:$BN$4, 0)
     )
     * $L52:$U52,
     0
  )
)</f>
        <v>0</v>
      </c>
      <c r="BJ52" s="17" cm="1">
        <f t="array" ref="BJ52">SUMPRODUCT(
  IF($B52:$K52&lt;&gt;"",
     INDEX('Eurostat EB products IEA'!$A$4:$BN$135,
           MATCH($B52:$K52, 'Eurostat EB products IEA'!$A$4:$A$135, 0),
           MATCH(BJ$1, 'Eurostat EB products IEA'!$A$4:$BN$4, 0)
     )
     * $L52:$U52,
     0
  )
)</f>
        <v>0</v>
      </c>
      <c r="BK52" s="17" cm="1">
        <f t="array" ref="BK52">SUMPRODUCT(
  IF($B52:$K52&lt;&gt;"",
     INDEX('Eurostat EB products IEA'!$A$4:$BN$135,
           MATCH($B52:$K52, 'Eurostat EB products IEA'!$A$4:$A$135, 0),
           MATCH(BK$1, 'Eurostat EB products IEA'!$A$4:$BN$4, 0)
     )
     * $L52:$U52,
     0
  )
)</f>
        <v>0</v>
      </c>
      <c r="BL52" s="17" cm="1">
        <f t="array" ref="BL52">SUMPRODUCT(
  IF($B52:$K52&lt;&gt;"",
     INDEX('Eurostat EB products IEA'!$A$4:$BN$135,
           MATCH($B52:$K52, 'Eurostat EB products IEA'!$A$4:$A$135, 0),
           MATCH(BL$1, 'Eurostat EB products IEA'!$A$4:$BN$4, 0)
     )
     * $L52:$U52,
     0
  )
)</f>
        <v>0</v>
      </c>
      <c r="BM52" s="17" cm="1">
        <f t="array" ref="BM52">SUMPRODUCT(
  IF($B52:$K52&lt;&gt;"",
     INDEX('Eurostat EB products IEA'!$A$4:$BN$135,
           MATCH($B52:$K52, 'Eurostat EB products IEA'!$A$4:$A$135, 0),
           MATCH(BM$1, 'Eurostat EB products IEA'!$A$4:$BN$4, 0)
     )
     * $L52:$U52,
     0
  )
)</f>
        <v>0</v>
      </c>
      <c r="BN52" s="17" cm="1">
        <f t="array" ref="BN52">SUMPRODUCT(
  IF($B52:$K52&lt;&gt;"",
     INDEX('Eurostat EB products IEA'!$A$4:$BN$135,
           MATCH($B52:$K52, 'Eurostat EB products IEA'!$A$4:$A$135, 0),
           MATCH(BN$1, 'Eurostat EB products IEA'!$A$4:$BN$4, 0)
     )
     * $L52:$U52,
     0
  )
)</f>
        <v>0</v>
      </c>
      <c r="BO52" s="17" cm="1">
        <f t="array" ref="BO52">SUMPRODUCT(
  IF($B52:$K52&lt;&gt;"",
     INDEX('Eurostat EB products IEA'!$A$4:$BN$135,
           MATCH($B52:$K52, 'Eurostat EB products IEA'!$A$4:$A$135, 0),
           MATCH(BO$1, 'Eurostat EB products IEA'!$A$4:$BN$4, 0)
     )
     * $L52:$U52,
     0
  )
)</f>
        <v>0</v>
      </c>
      <c r="BP52" s="17" cm="1">
        <f t="array" ref="BP52">SUMPRODUCT(
  IF($B52:$K52&lt;&gt;"",
     INDEX('Eurostat EB products IEA'!$A$4:$BN$135,
           MATCH($B52:$K52, 'Eurostat EB products IEA'!$A$4:$A$135, 0),
           MATCH(BP$1, 'Eurostat EB products IEA'!$A$4:$BN$4, 0)
     )
     * $L52:$U52,
     0
  )
)</f>
        <v>0</v>
      </c>
      <c r="BQ52" s="17" cm="1">
        <f t="array" ref="BQ52">SUMPRODUCT(
  IF($B52:$K52&lt;&gt;"",
     INDEX('Eurostat EB products IEA'!$A$4:$BN$135,
           MATCH($B52:$K52, 'Eurostat EB products IEA'!$A$4:$A$135, 0),
           MATCH(BQ$1, 'Eurostat EB products IEA'!$A$4:$BN$4, 0)
     )
     * $L52:$U52,
     0
  )
)</f>
        <v>0</v>
      </c>
      <c r="BR52" s="17" cm="1">
        <f t="array" ref="BR52">SUMPRODUCT(
  IF($B52:$K52&lt;&gt;"",
     INDEX('Eurostat EB products IEA'!$A$4:$BN$135,
           MATCH($B52:$K52, 'Eurostat EB products IEA'!$A$4:$A$135, 0),
           MATCH(BR$1, 'Eurostat EB products IEA'!$A$4:$BN$4, 0)
     )
     * $L52:$U52,
     0
  )
)</f>
        <v>0</v>
      </c>
      <c r="BS52" s="65">
        <v>0</v>
      </c>
      <c r="BT52" s="17" cm="1">
        <f t="array" ref="BT52">SUMPRODUCT(
  IF($B52:$K52&lt;&gt;"",
     INDEX('Eurostat EB products IEA'!$A$4:$BN$135,
           MATCH($B52:$K52, 'Eurostat EB products IEA'!$A$4:$A$135, 0),
           MATCH(BT$1, 'Eurostat EB products IEA'!$A$4:$BN$4, 0)
     )
     * $L52:$U52,
     0
  )
)</f>
        <v>0</v>
      </c>
      <c r="BU52" s="65">
        <v>0</v>
      </c>
      <c r="BV52" s="65">
        <v>0</v>
      </c>
      <c r="BW52" s="17" cm="1">
        <f t="array" ref="BW52">SUMPRODUCT(
  IF($B52:$K52&lt;&gt;"",
     INDEX('Eurostat EB products IEA'!$A$4:$BN$135,
           MATCH($B52:$K52, 'Eurostat EB products IEA'!$A$4:$A$135, 0),
           MATCH(BW$1, 'Eurostat EB products IEA'!$A$4:$BN$4, 0)
     )
     * $L52:$U52,
     0
  )
)</f>
        <v>0</v>
      </c>
      <c r="BX52" s="17" cm="1">
        <f t="array" ref="BX52">SUMPRODUCT(
  IF($B52:$K52&lt;&gt;"",
     INDEX('Eurostat EB products IEA'!$A$4:$BN$135,
           MATCH($B52:$K52, 'Eurostat EB products IEA'!$A$4:$A$135, 0),
           MATCH(BX$1, 'Eurostat EB products IEA'!$A$4:$BN$4, 0)
     )
     * $L52:$U52,
     0
  )
)</f>
        <v>0</v>
      </c>
      <c r="BY52" s="17" cm="1">
        <f t="array" ref="BY52">SUMPRODUCT(
  IF($B52:$K52&lt;&gt;"",
     INDEX('Eurostat EB products IEA'!$A$4:$BN$135,
           MATCH($B52:$K52, 'Eurostat EB products IEA'!$A$4:$A$135, 0),
           MATCH(BY$1, 'Eurostat EB products IEA'!$A$4:$BN$4, 0)
     )
     * $L52:$U52,
     0
  )
)</f>
        <v>0</v>
      </c>
      <c r="BZ52" s="17" cm="1">
        <f t="array" ref="BZ52">SUMPRODUCT(
  IF($B52:$K52&lt;&gt;"",
     INDEX('Eurostat EB products IEA'!$A$4:$BN$135,
           MATCH($B52:$K52, 'Eurostat EB products IEA'!$A$4:$A$135, 0),
           MATCH(BZ$1, 'Eurostat EB products IEA'!$A$4:$BN$4, 0)
     )
     * $L52:$U52,
     0
  )
)</f>
        <v>0</v>
      </c>
      <c r="CA52" s="17" cm="1">
        <f t="array" ref="CA52">SUMPRODUCT(
  IF($B52:$K52&lt;&gt;"",
     INDEX('Eurostat EB products IEA'!$A$4:$BN$135,
           MATCH($B52:$K52, 'Eurostat EB products IEA'!$A$4:$A$135, 0),
           MATCH(CA$1, 'Eurostat EB products IEA'!$A$4:$BN$4, 0)
     )
     * $L52:$U52,
     0
  )
)</f>
        <v>0</v>
      </c>
      <c r="CB52" s="17" cm="1">
        <f t="array" ref="CB52">SUMPRODUCT(
  IF($B52:$K52&lt;&gt;"",
     INDEX('Eurostat EB products IEA'!$A$4:$BN$135,
           MATCH($B52:$K52, 'Eurostat EB products IEA'!$A$4:$A$135, 0),
           MATCH(CB$1, 'Eurostat EB products IEA'!$A$4:$BN$4, 0)
     )
     * $L52:$U52,
     0
  )
)</f>
        <v>0</v>
      </c>
      <c r="CC52" s="17" cm="1">
        <f t="array" ref="CC52">SUMPRODUCT(
  IF($B52:$K52&lt;&gt;"",
     INDEX('Eurostat EB products IEA'!$A$4:$BN$135,
           MATCH($B52:$K52, 'Eurostat EB products IEA'!$A$4:$A$135, 0),
           MATCH(CC$1, 'Eurostat EB products IEA'!$A$4:$BN$4, 0)
     )
     * $L52:$U52,
     0
  )
)</f>
        <v>0</v>
      </c>
      <c r="CD52" s="65">
        <v>0</v>
      </c>
      <c r="CE52" s="17" cm="1">
        <f t="array" ref="CE52">SUMPRODUCT(
  IF($B52:$K52&lt;&gt;"",
     INDEX('Eurostat EB products IEA'!$A$4:$BN$135,
           MATCH($B52:$K52, 'Eurostat EB products IEA'!$A$4:$A$135, 0),
           MATCH(CE$1, 'Eurostat EB products IEA'!$A$4:$BN$4, 0)
     )
     * $L52:$U52,
     0
  )
)</f>
        <v>-18101.606</v>
      </c>
      <c r="CF52" s="17" cm="1">
        <f t="array" ref="CF52">SUMPRODUCT(
  IF($B52:$K52&lt;&gt;"",
     INDEX('Eurostat EB products IEA'!$A$4:$BN$135,
           MATCH($B52:$K52, 'Eurostat EB products IEA'!$A$4:$A$135, 0),
           MATCH(CF$1, 'Eurostat EB products IEA'!$A$4:$BN$4, 0)
     )
     * $L52:$U52,
     0
  )
)</f>
        <v>-7619.5709999999999</v>
      </c>
      <c r="CG52" s="17" cm="1">
        <f t="array" ref="CG52">SUMPRODUCT(
  IF($B52:$K52&lt;&gt;"",
     INDEX('Eurostat EB products IEA'!$A$4:$BN$135,
           MATCH($B52:$K52, 'Eurostat EB products IEA'!$A$4:$A$135, 0),
           MATCH(CG$1, 'Eurostat EB products IEA'!$A$4:$BN$4, 0)
     )
     * $L52:$U52,
     0
  )
)</f>
        <v>-25768.62</v>
      </c>
      <c r="CH52" s="17" cm="1">
        <f t="array" ref="CH52">SUMPRODUCT(
  IF($B52:$K52&lt;&gt;"",
     INDEX('Eurostat EB products IEA'!$A$4:$BN$135,
           MATCH($B52:$K52, 'Eurostat EB products IEA'!$A$4:$A$135, 0),
           MATCH(CH$1, 'Eurostat EB products IEA'!$A$4:$BN$4, 0)
     )
     * $L52:$U52,
     0
  )
)</f>
        <v>-2878.2260000000001</v>
      </c>
    </row>
    <row r="53" spans="1:86" x14ac:dyDescent="0.2">
      <c r="A53" t="s">
        <v>170</v>
      </c>
      <c r="B53" s="75"/>
      <c r="C53" s="77"/>
      <c r="D53" s="75"/>
      <c r="E53" s="77"/>
      <c r="F53" s="75"/>
      <c r="G53" s="77"/>
      <c r="H53" s="75"/>
      <c r="I53" s="77"/>
      <c r="J53" s="74" t="s">
        <v>286</v>
      </c>
      <c r="K53" s="78" t="s">
        <v>279</v>
      </c>
      <c r="L53" s="76"/>
      <c r="M53" s="79"/>
      <c r="N53" s="76"/>
      <c r="O53" s="79"/>
      <c r="P53" s="76"/>
      <c r="Q53" s="79"/>
      <c r="R53" s="76"/>
      <c r="S53" s="79"/>
      <c r="T53" s="76">
        <v>1</v>
      </c>
      <c r="U53" s="79">
        <v>1</v>
      </c>
      <c r="V53" s="65" t="s">
        <v>323</v>
      </c>
      <c r="W53" s="65" t="s">
        <v>323</v>
      </c>
      <c r="X53" s="57" cm="1">
        <f t="array" ref="X53">SUMPRODUCT(
  IF($B53:$K53&lt;&gt;"",
     INDEX('Eurostat EB products IEA'!$A$4:$BN$135,
           MATCH($B53:$K53, 'Eurostat EB products IEA'!$A$4:$A$135, 0),
           MATCH(X$1, 'Eurostat EB products IEA'!$A$4:$BN$4, 0)
     )
     * $L53:$U53,
     0
  )
)</f>
        <v>76.707999999999998</v>
      </c>
      <c r="Y53" s="57" cm="1">
        <f t="array" ref="Y53">SUMPRODUCT(
  IF($B53:$K53&lt;&gt;"",
     INDEX('Eurostat EB products IEA'!$A$4:$BN$135,
           MATCH($B53:$K53, 'Eurostat EB products IEA'!$A$4:$A$135, 0),
           MATCH(Y$1, 'Eurostat EB products IEA'!$A$4:$BN$4, 0)
     )
     * $L53:$U53,
     0
  )
)</f>
        <v>66.251999999999995</v>
      </c>
      <c r="Z53" s="57" cm="1">
        <f t="array" ref="Z53">SUMPRODUCT(
  IF($B53:$K53&lt;&gt;"",
     INDEX('Eurostat EB products IEA'!$A$4:$BN$135,
           MATCH($B53:$K53, 'Eurostat EB products IEA'!$A$4:$A$135, 0),
           MATCH(Z$1, 'Eurostat EB products IEA'!$A$4:$BN$4, 0)
     )
     * $L53:$U53,
     0
  )
)</f>
        <v>294.52499999999998</v>
      </c>
      <c r="AA53" s="57" cm="1">
        <f t="array" ref="AA53">SUMPRODUCT(
  IF($B53:$K53&lt;&gt;"",
     INDEX('Eurostat EB products IEA'!$A$4:$BN$135,
           MATCH($B53:$K53, 'Eurostat EB products IEA'!$A$4:$A$135, 0),
           MATCH(AA$1, 'Eurostat EB products IEA'!$A$4:$BN$4, 0)
     )
     * $L53:$U53,
     0
  )
)</f>
        <v>0</v>
      </c>
      <c r="AB53" s="57" cm="1">
        <f t="array" ref="AB53">SUMPRODUCT(
  IF($B53:$K53&lt;&gt;"",
     INDEX('Eurostat EB products IEA'!$A$4:$BN$135,
           MATCH($B53:$K53, 'Eurostat EB products IEA'!$A$4:$A$135, 0),
           MATCH(AB$1, 'Eurostat EB products IEA'!$A$4:$BN$4, 0)
     )
     * $L53:$U53,
     0
  )
)</f>
        <v>312.82</v>
      </c>
      <c r="AC53" s="57" cm="1">
        <f t="array" ref="AC53">SUMPRODUCT(
  IF($B53:$K53&lt;&gt;"",
     INDEX('Eurostat EB products IEA'!$A$4:$BN$135,
           MATCH($B53:$K53, 'Eurostat EB products IEA'!$A$4:$A$135, 0),
           MATCH(AC$1, 'Eurostat EB products IEA'!$A$4:$BN$4, 0)
     )
     * $L53:$U53,
     0
  )
)</f>
        <v>0</v>
      </c>
      <c r="AD53" s="57" cm="1">
        <f t="array" ref="AD53">SUMPRODUCT(
  IF($B53:$K53&lt;&gt;"",
     INDEX('Eurostat EB products IEA'!$A$4:$BN$135,
           MATCH($B53:$K53, 'Eurostat EB products IEA'!$A$4:$A$135, 0),
           MATCH(AD$1, 'Eurostat EB products IEA'!$A$4:$BN$4, 0)
     )
     * $L53:$U53,
     0
  )
)</f>
        <v>3903.7599999999998</v>
      </c>
      <c r="AE53" s="57" cm="1">
        <f t="array" ref="AE53">SUMPRODUCT(
  IF($B53:$K53&lt;&gt;"",
     INDEX('Eurostat EB products IEA'!$A$4:$BN$135,
           MATCH($B53:$K53, 'Eurostat EB products IEA'!$A$4:$A$135, 0),
           MATCH(AE$1, 'Eurostat EB products IEA'!$A$4:$BN$4, 0)
     )
     * $L53:$U53,
     0
  )
)</f>
        <v>0</v>
      </c>
      <c r="AF53" s="57" cm="1">
        <f t="array" ref="AF53">SUMPRODUCT(
  IF($B53:$K53&lt;&gt;"",
     INDEX('Eurostat EB products IEA'!$A$4:$BN$135,
           MATCH($B53:$K53, 'Eurostat EB products IEA'!$A$4:$A$135, 0),
           MATCH(AF$1, 'Eurostat EB products IEA'!$A$4:$BN$4, 0)
     )
     * $L53:$U53,
     0
  )
)</f>
        <v>917.98699999999997</v>
      </c>
      <c r="AG53" s="57" cm="1">
        <f t="array" ref="AG53">SUMPRODUCT(
  IF($B53:$K53&lt;&gt;"",
     INDEX('Eurostat EB products IEA'!$A$4:$BN$135,
           MATCH($B53:$K53, 'Eurostat EB products IEA'!$A$4:$A$135, 0),
           MATCH(AG$1, 'Eurostat EB products IEA'!$A$4:$BN$4, 0)
     )
     * $L53:$U53,
     0
  )
)</f>
        <v>0</v>
      </c>
      <c r="AH53" s="57" cm="1">
        <f t="array" ref="AH53">SUMPRODUCT(
  IF($B53:$K53&lt;&gt;"",
     INDEX('Eurostat EB products IEA'!$A$4:$BN$135,
           MATCH($B53:$K53, 'Eurostat EB products IEA'!$A$4:$A$135, 0),
           MATCH(AH$1, 'Eurostat EB products IEA'!$A$4:$BN$4, 0)
     )
     * $L53:$U53,
     0
  )
)</f>
        <v>0</v>
      </c>
      <c r="AI53" s="57" cm="1">
        <f t="array" ref="AI53">SUMPRODUCT(
  IF($B53:$K53&lt;&gt;"",
     INDEX('Eurostat EB products IEA'!$A$4:$BN$135,
           MATCH($B53:$K53, 'Eurostat EB products IEA'!$A$4:$A$135, 0),
           MATCH(AI$1, 'Eurostat EB products IEA'!$A$4:$BN$4, 0)
     )
     * $L53:$U53,
     0
  )
)</f>
        <v>6393.5039999999999</v>
      </c>
      <c r="AJ53" s="57" cm="1">
        <f t="array" ref="AJ53">SUMPRODUCT(
  IF($B53:$K53&lt;&gt;"",
     INDEX('Eurostat EB products IEA'!$A$4:$BN$135,
           MATCH($B53:$K53, 'Eurostat EB products IEA'!$A$4:$A$135, 0),
           MATCH(AJ$1, 'Eurostat EB products IEA'!$A$4:$BN$4, 0)
     )
     * $L53:$U53,
     0
  )
)</f>
        <v>4792.902</v>
      </c>
      <c r="AK53" s="57" cm="1">
        <f t="array" ref="AK53">SUMPRODUCT(
  IF($B53:$K53&lt;&gt;"",
     INDEX('Eurostat EB products IEA'!$A$4:$BN$135,
           MATCH($B53:$K53, 'Eurostat EB products IEA'!$A$4:$A$135, 0),
           MATCH(AK$1, 'Eurostat EB products IEA'!$A$4:$BN$4, 0)
     )
     * $L53:$U53,
     0
  )
)</f>
        <v>0</v>
      </c>
      <c r="AL53" s="57" cm="1">
        <f t="array" ref="AL53">SUMPRODUCT(
  IF($B53:$K53&lt;&gt;"",
     INDEX('Eurostat EB products IEA'!$A$4:$BN$135,
           MATCH($B53:$K53, 'Eurostat EB products IEA'!$A$4:$A$135, 0),
           MATCH(AL$1, 'Eurostat EB products IEA'!$A$4:$BN$4, 0)
     )
     * $L53:$U53,
     0
  )
)</f>
        <v>0</v>
      </c>
      <c r="AM53" s="57" cm="1">
        <f t="array" ref="AM53">SUMPRODUCT(
  IF($B53:$K53&lt;&gt;"",
     INDEX('Eurostat EB products IEA'!$A$4:$BN$135,
           MATCH($B53:$K53, 'Eurostat EB products IEA'!$A$4:$A$135, 0),
           MATCH(AM$1, 'Eurostat EB products IEA'!$A$4:$BN$4, 0)
     )
     * $L53:$U53,
     0
  )
)</f>
        <v>600299.1</v>
      </c>
      <c r="AN53" s="65" t="s">
        <v>323</v>
      </c>
      <c r="AO53" s="57" cm="1">
        <f t="array" ref="AO53">SUMPRODUCT(
  IF($B53:$K53&lt;&gt;"",
     INDEX('Eurostat EB products IEA'!$A$4:$BN$135,
           MATCH($B53:$K53, 'Eurostat EB products IEA'!$A$4:$A$135, 0),
           MATCH(AO$1, 'Eurostat EB products IEA'!$A$4:$BN$4, 0)
     )
     * $L53:$U53,
     0
  )
)</f>
        <v>0</v>
      </c>
      <c r="AP53" s="57" cm="1">
        <f t="array" ref="AP53">SUMPRODUCT(
  IF($B53:$K53&lt;&gt;"",
     INDEX('Eurostat EB products IEA'!$A$4:$BN$135,
           MATCH($B53:$K53, 'Eurostat EB products IEA'!$A$4:$A$135, 0),
           MATCH(AP$1, 'Eurostat EB products IEA'!$A$4:$BN$4, 0)
     )
     * $L53:$U53,
     0
  )
)</f>
        <v>113287.74400000001</v>
      </c>
      <c r="AQ53" s="57" cm="1">
        <f t="array" ref="AQ53">SUMPRODUCT(
  IF($B53:$K53&lt;&gt;"",
     INDEX('Eurostat EB products IEA'!$A$4:$BN$135,
           MATCH($B53:$K53, 'Eurostat EB products IEA'!$A$4:$A$135, 0),
           MATCH(AQ$1, 'Eurostat EB products IEA'!$A$4:$BN$4, 0)
     )
     * $L53:$U53,
     0
  )
)</f>
        <v>0</v>
      </c>
      <c r="AR53" s="57" cm="1">
        <f t="array" ref="AR53">SUMPRODUCT(
  IF($B53:$K53&lt;&gt;"",
     INDEX('Eurostat EB products IEA'!$A$4:$BN$135,
           MATCH($B53:$K53, 'Eurostat EB products IEA'!$A$4:$A$135, 0),
           MATCH(AR$1, 'Eurostat EB products IEA'!$A$4:$BN$4, 0)
     )
     * $L53:$U53,
     0
  )
)</f>
        <v>0</v>
      </c>
      <c r="AS53" s="57" cm="1">
        <f t="array" ref="AS53">SUMPRODUCT(
  IF($B53:$K53&lt;&gt;"",
     INDEX('Eurostat EB products IEA'!$A$4:$BN$135,
           MATCH($B53:$K53, 'Eurostat EB products IEA'!$A$4:$A$135, 0),
           MATCH(AS$1, 'Eurostat EB products IEA'!$A$4:$BN$4, 0)
     )
     * $L53:$U53,
     0
  )
)</f>
        <v>0</v>
      </c>
      <c r="AT53" s="57" cm="1">
        <f t="array" ref="AT53">SUMPRODUCT(
  IF($B53:$K53&lt;&gt;"",
     INDEX('Eurostat EB products IEA'!$A$4:$BN$135,
           MATCH($B53:$K53, 'Eurostat EB products IEA'!$A$4:$A$135, 0),
           MATCH(AT$1, 'Eurostat EB products IEA'!$A$4:$BN$4, 0)
     )
     * $L53:$U53,
     0
  )
)</f>
        <v>103516.201</v>
      </c>
      <c r="AU53" s="57" cm="1">
        <f t="array" ref="AU53">SUMPRODUCT(
  IF($B53:$K53&lt;&gt;"",
     INDEX('Eurostat EB products IEA'!$A$4:$BN$135,
           MATCH($B53:$K53, 'Eurostat EB products IEA'!$A$4:$A$135, 0),
           MATCH(AU$1, 'Eurostat EB products IEA'!$A$4:$BN$4, 0)
     )
     * $L53:$U53,
     0
  )
)</f>
        <v>0</v>
      </c>
      <c r="AV53" s="57" cm="1">
        <f t="array" ref="AV53">SUMPRODUCT(
  IF($B53:$K53&lt;&gt;"",
     INDEX('Eurostat EB products IEA'!$A$4:$BN$135,
           MATCH($B53:$K53, 'Eurostat EB products IEA'!$A$4:$A$135, 0),
           MATCH(AV$1, 'Eurostat EB products IEA'!$A$4:$BN$4, 0)
     )
     * $L53:$U53,
     0
  )
)</f>
        <v>78636.838000000003</v>
      </c>
      <c r="AW53" s="57" cm="1">
        <f t="array" ref="AW53">SUMPRODUCT(
  IF($B53:$K53&lt;&gt;"",
     INDEX('Eurostat EB products IEA'!$A$4:$BN$135,
           MATCH($B53:$K53, 'Eurostat EB products IEA'!$A$4:$A$135, 0),
           MATCH(AW$1, 'Eurostat EB products IEA'!$A$4:$BN$4, 0)
     )
     * $L53:$U53,
     0
  )
)</f>
        <v>171929.75099999999</v>
      </c>
      <c r="AX53" s="57" cm="1">
        <f t="array" ref="AX53">SUMPRODUCT(
  IF($B53:$K53&lt;&gt;"",
     INDEX('Eurostat EB products IEA'!$A$4:$BN$135,
           MATCH($B53:$K53, 'Eurostat EB products IEA'!$A$4:$A$135, 0),
           MATCH(AX$1, 'Eurostat EB products IEA'!$A$4:$BN$4, 0)
     )
     * $L53:$U53,
     0
  )
)</f>
        <v>56.847000000000001</v>
      </c>
      <c r="AY53" s="57" cm="1">
        <f t="array" ref="AY53">SUMPRODUCT(
  IF($B53:$K53&lt;&gt;"",
     INDEX('Eurostat EB products IEA'!$A$4:$BN$135,
           MATCH($B53:$K53, 'Eurostat EB products IEA'!$A$4:$A$135, 0),
           MATCH(AY$1, 'Eurostat EB products IEA'!$A$4:$BN$4, 0)
     )
     * $L53:$U53,
     0
  )
)</f>
        <v>0</v>
      </c>
      <c r="AZ53" s="57" cm="1">
        <f t="array" ref="AZ53">SUMPRODUCT(
  IF($B53:$K53&lt;&gt;"",
     INDEX('Eurostat EB products IEA'!$A$4:$BN$135,
           MATCH($B53:$K53, 'Eurostat EB products IEA'!$A$4:$A$135, 0),
           MATCH(AZ$1, 'Eurostat EB products IEA'!$A$4:$BN$4, 0)
     )
     * $L53:$U53,
     0
  )
)</f>
        <v>1938.453</v>
      </c>
      <c r="BA53" s="57" cm="1">
        <f t="array" ref="BA53">SUMPRODUCT(
  IF($B53:$K53&lt;&gt;"",
     INDEX('Eurostat EB products IEA'!$A$4:$BN$135,
           MATCH($B53:$K53, 'Eurostat EB products IEA'!$A$4:$A$135, 0),
           MATCH(BA$1, 'Eurostat EB products IEA'!$A$4:$BN$4, 0)
     )
     * $L53:$U53,
     0
  )
)</f>
        <v>1574.8739999999998</v>
      </c>
      <c r="BB53" s="57" cm="1">
        <f t="array" ref="BB53">SUMPRODUCT(
  IF($B53:$K53&lt;&gt;"",
     INDEX('Eurostat EB products IEA'!$A$4:$BN$135,
           MATCH($B53:$K53, 'Eurostat EB products IEA'!$A$4:$A$135, 0),
           MATCH(BB$1, 'Eurostat EB products IEA'!$A$4:$BN$4, 0)
     )
     * $L53:$U53,
     0
  )
)</f>
        <v>233804.76300000001</v>
      </c>
      <c r="BC53" s="57" cm="1">
        <f t="array" ref="BC53">SUMPRODUCT(
  IF($B53:$K53&lt;&gt;"",
     INDEX('Eurostat EB products IEA'!$A$4:$BN$135,
           MATCH($B53:$K53, 'Eurostat EB products IEA'!$A$4:$A$135, 0),
           MATCH(BC$1, 'Eurostat EB products IEA'!$A$4:$BN$4, 0)
     )
     * $L53:$U53,
     0
  )
)</f>
        <v>0</v>
      </c>
      <c r="BD53" s="57" cm="1">
        <f t="array" ref="BD53">SUMPRODUCT(
  IF($B53:$K53&lt;&gt;"",
     INDEX('Eurostat EB products IEA'!$A$4:$BN$135,
           MATCH($B53:$K53, 'Eurostat EB products IEA'!$A$4:$A$135, 0),
           MATCH(BD$1, 'Eurostat EB products IEA'!$A$4:$BN$4, 0)
     )
     * $L53:$U53,
     0
  )
)</f>
        <v>163893.617</v>
      </c>
      <c r="BE53" s="57" cm="1">
        <f t="array" ref="BE53">SUMPRODUCT(
  IF($B53:$K53&lt;&gt;"",
     INDEX('Eurostat EB products IEA'!$A$4:$BN$135,
           MATCH($B53:$K53, 'Eurostat EB products IEA'!$A$4:$A$135, 0),
           MATCH(BE$1, 'Eurostat EB products IEA'!$A$4:$BN$4, 0)
     )
     * $L53:$U53,
     0
  )
)</f>
        <v>761.42600000000004</v>
      </c>
      <c r="BF53" s="57" cm="1">
        <f t="array" ref="BF53">SUMPRODUCT(
  IF($B53:$K53&lt;&gt;"",
     INDEX('Eurostat EB products IEA'!$A$4:$BN$135,
           MATCH($B53:$K53, 'Eurostat EB products IEA'!$A$4:$A$135, 0),
           MATCH(BF$1, 'Eurostat EB products IEA'!$A$4:$BN$4, 0)
     )
     * $L53:$U53,
     0
  )
)</f>
        <v>6290.674</v>
      </c>
      <c r="BG53" s="57" cm="1">
        <f t="array" ref="BG53">SUMPRODUCT(
  IF($B53:$K53&lt;&gt;"",
     INDEX('Eurostat EB products IEA'!$A$4:$BN$135,
           MATCH($B53:$K53, 'Eurostat EB products IEA'!$A$4:$A$135, 0),
           MATCH(BG$1, 'Eurostat EB products IEA'!$A$4:$BN$4, 0)
     )
     * $L53:$U53,
     0
  )
)</f>
        <v>3839.2550000000001</v>
      </c>
      <c r="BH53" s="57" cm="1">
        <f t="array" ref="BH53">SUMPRODUCT(
  IF($B53:$K53&lt;&gt;"",
     INDEX('Eurostat EB products IEA'!$A$4:$BN$135,
           MATCH($B53:$K53, 'Eurostat EB products IEA'!$A$4:$A$135, 0),
           MATCH(BH$1, 'Eurostat EB products IEA'!$A$4:$BN$4, 0)
     )
     * $L53:$U53,
     0
  )
)</f>
        <v>809.70799999999997</v>
      </c>
      <c r="BI53" s="57" cm="1">
        <f t="array" ref="BI53">SUMPRODUCT(
  IF($B53:$K53&lt;&gt;"",
     INDEX('Eurostat EB products IEA'!$A$4:$BN$135,
           MATCH($B53:$K53, 'Eurostat EB products IEA'!$A$4:$A$135, 0),
           MATCH(BI$1, 'Eurostat EB products IEA'!$A$4:$BN$4, 0)
     )
     * $L53:$U53,
     0
  )
)</f>
        <v>14776.728999999999</v>
      </c>
      <c r="BJ53" s="57" cm="1">
        <f t="array" ref="BJ53">SUMPRODUCT(
  IF($B53:$K53&lt;&gt;"",
     INDEX('Eurostat EB products IEA'!$A$4:$BN$135,
           MATCH($B53:$K53, 'Eurostat EB products IEA'!$A$4:$A$135, 0),
           MATCH(BJ$1, 'Eurostat EB products IEA'!$A$4:$BN$4, 0)
     )
     * $L53:$U53,
     0
  )
)</f>
        <v>6374.55</v>
      </c>
      <c r="BK53" s="57" cm="1">
        <f t="array" ref="BK53">SUMPRODUCT(
  IF($B53:$K53&lt;&gt;"",
     INDEX('Eurostat EB products IEA'!$A$4:$BN$135,
           MATCH($B53:$K53, 'Eurostat EB products IEA'!$A$4:$A$135, 0),
           MATCH(BK$1, 'Eurostat EB products IEA'!$A$4:$BN$4, 0)
     )
     * $L53:$U53,
     0
  )
)</f>
        <v>631.01400000000001</v>
      </c>
      <c r="BL53" s="57" cm="1">
        <f t="array" ref="BL53">SUMPRODUCT(
  IF($B53:$K53&lt;&gt;"",
     INDEX('Eurostat EB products IEA'!$A$4:$BN$135,
           MATCH($B53:$K53, 'Eurostat EB products IEA'!$A$4:$A$135, 0),
           MATCH(BL$1, 'Eurostat EB products IEA'!$A$4:$BN$4, 0)
     )
     * $L53:$U53,
     0
  )
)</f>
        <v>1510.0820000000001</v>
      </c>
      <c r="BM53" s="57" cm="1">
        <f t="array" ref="BM53">SUMPRODUCT(
  IF($B53:$K53&lt;&gt;"",
     INDEX('Eurostat EB products IEA'!$A$4:$BN$135,
           MATCH($B53:$K53, 'Eurostat EB products IEA'!$A$4:$A$135, 0),
           MATCH(BM$1, 'Eurostat EB products IEA'!$A$4:$BN$4, 0)
     )
     * $L53:$U53,
     0
  )
)</f>
        <v>1339.13</v>
      </c>
      <c r="BN53" s="57" cm="1">
        <f t="array" ref="BN53">SUMPRODUCT(
  IF($B53:$K53&lt;&gt;"",
     INDEX('Eurostat EB products IEA'!$A$4:$BN$135,
           MATCH($B53:$K53, 'Eurostat EB products IEA'!$A$4:$A$135, 0),
           MATCH(BN$1, 'Eurostat EB products IEA'!$A$4:$BN$4, 0)
     )
     * $L53:$U53,
     0
  )
)</f>
        <v>25605.462</v>
      </c>
      <c r="BO53" s="57" cm="1">
        <f t="array" ref="BO53">SUMPRODUCT(
  IF($B53:$K53&lt;&gt;"",
     INDEX('Eurostat EB products IEA'!$A$4:$BN$135,
           MATCH($B53:$K53, 'Eurostat EB products IEA'!$A$4:$A$135, 0),
           MATCH(BO$1, 'Eurostat EB products IEA'!$A$4:$BN$4, 0)
     )
     * $L53:$U53,
     0
  )
)</f>
        <v>4526.3789999999999</v>
      </c>
      <c r="BP53" s="57" cm="1">
        <f t="array" ref="BP53">SUMPRODUCT(
  IF($B53:$K53&lt;&gt;"",
     INDEX('Eurostat EB products IEA'!$A$4:$BN$135,
           MATCH($B53:$K53, 'Eurostat EB products IEA'!$A$4:$A$135, 0),
           MATCH(BP$1, 'Eurostat EB products IEA'!$A$4:$BN$4, 0)
     )
     * $L53:$U53,
     0
  )
)</f>
        <v>10780.532999999999</v>
      </c>
      <c r="BQ53" s="57" cm="1">
        <f t="array" ref="BQ53">SUMPRODUCT(
  IF($B53:$K53&lt;&gt;"",
     INDEX('Eurostat EB products IEA'!$A$4:$BN$135,
           MATCH($B53:$K53, 'Eurostat EB products IEA'!$A$4:$A$135, 0),
           MATCH(BQ$1, 'Eurostat EB products IEA'!$A$4:$BN$4, 0)
     )
     * $L53:$U53,
     0
  )
)</f>
        <v>14730.06</v>
      </c>
      <c r="BR53" s="57" cm="1">
        <f t="array" ref="BR53">SUMPRODUCT(
  IF($B53:$K53&lt;&gt;"",
     INDEX('Eurostat EB products IEA'!$A$4:$BN$135,
           MATCH($B53:$K53, 'Eurostat EB products IEA'!$A$4:$A$135, 0),
           MATCH(BR$1, 'Eurostat EB products IEA'!$A$4:$BN$4, 0)
     )
     * $L53:$U53,
     0
  )
)</f>
        <v>529.77599999999995</v>
      </c>
      <c r="BS53" s="65">
        <v>0</v>
      </c>
      <c r="BT53" s="57" cm="1">
        <f t="array" ref="BT53">SUMPRODUCT(
  IF($B53:$K53&lt;&gt;"",
     INDEX('Eurostat EB products IEA'!$A$4:$BN$135,
           MATCH($B53:$K53, 'Eurostat EB products IEA'!$A$4:$A$135, 0),
           MATCH(BT$1, 'Eurostat EB products IEA'!$A$4:$BN$4, 0)
     )
     * $L53:$U53,
     0
  )
)</f>
        <v>270</v>
      </c>
      <c r="BU53" s="65">
        <v>0</v>
      </c>
      <c r="BV53" s="65">
        <v>0</v>
      </c>
      <c r="BW53" s="57" cm="1">
        <f t="array" ref="BW53">SUMPRODUCT(
  IF($B53:$K53&lt;&gt;"",
     INDEX('Eurostat EB products IEA'!$A$4:$BN$135,
           MATCH($B53:$K53, 'Eurostat EB products IEA'!$A$4:$A$135, 0),
           MATCH(BW$1, 'Eurostat EB products IEA'!$A$4:$BN$4, 0)
     )
     * $L53:$U53,
     0
  )
)</f>
        <v>0</v>
      </c>
      <c r="BX53" s="57" cm="1">
        <f t="array" ref="BX53">SUMPRODUCT(
  IF($B53:$K53&lt;&gt;"",
     INDEX('Eurostat EB products IEA'!$A$4:$BN$135,
           MATCH($B53:$K53, 'Eurostat EB products IEA'!$A$4:$A$135, 0),
           MATCH(BX$1, 'Eurostat EB products IEA'!$A$4:$BN$4, 0)
     )
     * $L53:$U53,
     0
  )
)</f>
        <v>0</v>
      </c>
      <c r="BY53" s="57" cm="1">
        <f t="array" ref="BY53">SUMPRODUCT(
  IF($B53:$K53&lt;&gt;"",
     INDEX('Eurostat EB products IEA'!$A$4:$BN$135,
           MATCH($B53:$K53, 'Eurostat EB products IEA'!$A$4:$A$135, 0),
           MATCH(BY$1, 'Eurostat EB products IEA'!$A$4:$BN$4, 0)
     )
     * $L53:$U53,
     0
  )
)</f>
        <v>6797.51</v>
      </c>
      <c r="BZ53" s="57" cm="1">
        <f t="array" ref="BZ53">SUMPRODUCT(
  IF($B53:$K53&lt;&gt;"",
     INDEX('Eurostat EB products IEA'!$A$4:$BN$135,
           MATCH($B53:$K53, 'Eurostat EB products IEA'!$A$4:$A$135, 0),
           MATCH(BZ$1, 'Eurostat EB products IEA'!$A$4:$BN$4, 0)
     )
     * $L53:$U53,
     0
  )
)</f>
        <v>0</v>
      </c>
      <c r="CA53" s="57" cm="1">
        <f t="array" ref="CA53">SUMPRODUCT(
  IF($B53:$K53&lt;&gt;"",
     INDEX('Eurostat EB products IEA'!$A$4:$BN$135,
           MATCH($B53:$K53, 'Eurostat EB products IEA'!$A$4:$A$135, 0),
           MATCH(CA$1, 'Eurostat EB products IEA'!$A$4:$BN$4, 0)
     )
     * $L53:$U53,
     0
  )
)</f>
        <v>1176</v>
      </c>
      <c r="CB53" s="57" cm="1">
        <f t="array" ref="CB53">SUMPRODUCT(
  IF($B53:$K53&lt;&gt;"",
     INDEX('Eurostat EB products IEA'!$A$4:$BN$135,
           MATCH($B53:$K53, 'Eurostat EB products IEA'!$A$4:$A$135, 0),
           MATCH(CB$1, 'Eurostat EB products IEA'!$A$4:$BN$4, 0)
     )
     * $L53:$U53,
     0
  )
)</f>
        <v>0</v>
      </c>
      <c r="CC53" s="57" cm="1">
        <f t="array" ref="CC53">SUMPRODUCT(
  IF($B53:$K53&lt;&gt;"",
     INDEX('Eurostat EB products IEA'!$A$4:$BN$135,
           MATCH($B53:$K53, 'Eurostat EB products IEA'!$A$4:$A$135, 0),
           MATCH(CC$1, 'Eurostat EB products IEA'!$A$4:$BN$4, 0)
     )
     * $L53:$U53,
     0
  )
)</f>
        <v>0</v>
      </c>
      <c r="CD53" s="65">
        <v>0</v>
      </c>
      <c r="CE53" s="57" cm="1">
        <f t="array" ref="CE53">SUMPRODUCT(
  IF($B53:$K53&lt;&gt;"",
     INDEX('Eurostat EB products IEA'!$A$4:$BN$135,
           MATCH($B53:$K53, 'Eurostat EB products IEA'!$A$4:$A$135, 0),
           MATCH(CE$1, 'Eurostat EB products IEA'!$A$4:$BN$4, 0)
     )
     * $L53:$U53,
     0
  )
)</f>
        <v>366245.21899999998</v>
      </c>
      <c r="CF53" s="57" cm="1">
        <f t="array" ref="CF53">SUMPRODUCT(
  IF($B53:$K53&lt;&gt;"",
     INDEX('Eurostat EB products IEA'!$A$4:$BN$135,
           MATCH($B53:$K53, 'Eurostat EB products IEA'!$A$4:$A$135, 0),
           MATCH(CF$1, 'Eurostat EB products IEA'!$A$4:$BN$4, 0)
     )
     * $L53:$U53,
     0
  )
)</f>
        <v>68717.456000000006</v>
      </c>
      <c r="CG53" s="57" cm="1">
        <f t="array" ref="CG53">SUMPRODUCT(
  IF($B53:$K53&lt;&gt;"",
     INDEX('Eurostat EB products IEA'!$A$4:$BN$135,
           MATCH($B53:$K53, 'Eurostat EB products IEA'!$A$4:$A$135, 0),
           MATCH(CG$1, 'Eurostat EB products IEA'!$A$4:$BN$4, 0)
     )
     * $L53:$U53,
     0
  )
)</f>
        <v>2046932.2220000001</v>
      </c>
      <c r="CH53" s="57" cm="1">
        <f t="array" ref="CH53">SUMPRODUCT(
  IF($B53:$K53&lt;&gt;"",
     INDEX('Eurostat EB products IEA'!$A$4:$BN$135,
           MATCH($B53:$K53, 'Eurostat EB products IEA'!$A$4:$A$135, 0),
           MATCH(CH$1, 'Eurostat EB products IEA'!$A$4:$BN$4, 0)
     )
     * $L53:$U53,
     0
  )
)</f>
        <v>103568.338</v>
      </c>
    </row>
    <row r="54" spans="1:86" x14ac:dyDescent="0.2">
      <c r="A54" t="s">
        <v>171</v>
      </c>
      <c r="B54" s="75"/>
      <c r="C54" s="77"/>
      <c r="D54" s="75"/>
      <c r="E54" s="77"/>
      <c r="F54" s="75"/>
      <c r="G54" s="77"/>
      <c r="H54" s="75"/>
      <c r="I54" s="77"/>
      <c r="J54" s="74"/>
      <c r="K54" s="78" t="s">
        <v>287</v>
      </c>
      <c r="L54" s="76"/>
      <c r="M54" s="79"/>
      <c r="N54" s="76"/>
      <c r="O54" s="79"/>
      <c r="P54" s="76"/>
      <c r="Q54" s="79"/>
      <c r="R54" s="76"/>
      <c r="S54" s="79"/>
      <c r="T54" s="76"/>
      <c r="U54" s="79">
        <v>1</v>
      </c>
      <c r="V54" s="65" t="s">
        <v>323</v>
      </c>
      <c r="W54" s="65" t="s">
        <v>323</v>
      </c>
      <c r="X54" s="17" cm="1">
        <f t="array" ref="X54">SUMPRODUCT(
  IF($B54:$K54&lt;&gt;"",
     INDEX('Eurostat EB products IEA'!$A$4:$BN$135,
           MATCH($B54:$K54, 'Eurostat EB products IEA'!$A$4:$A$135, 0),
           MATCH(X$1, 'Eurostat EB products IEA'!$A$4:$BN$4, 0)
     )
     * $L54:$U54,
     0
  )
)</f>
        <v>0</v>
      </c>
      <c r="Y54" s="17" cm="1">
        <f t="array" ref="Y54">SUMPRODUCT(
  IF($B54:$K54&lt;&gt;"",
     INDEX('Eurostat EB products IEA'!$A$4:$BN$135,
           MATCH($B54:$K54, 'Eurostat EB products IEA'!$A$4:$A$135, 0),
           MATCH(Y$1, 'Eurostat EB products IEA'!$A$4:$BN$4, 0)
     )
     * $L54:$U54,
     0
  )
)</f>
        <v>47.326999999999998</v>
      </c>
      <c r="Z54" s="17" cm="1">
        <f t="array" ref="Z54">SUMPRODUCT(
  IF($B54:$K54&lt;&gt;"",
     INDEX('Eurostat EB products IEA'!$A$4:$BN$135,
           MATCH($B54:$K54, 'Eurostat EB products IEA'!$A$4:$A$135, 0),
           MATCH(Z$1, 'Eurostat EB products IEA'!$A$4:$BN$4, 0)
     )
     * $L54:$U54,
     0
  )
)</f>
        <v>294.52499999999998</v>
      </c>
      <c r="AA54" s="17" cm="1">
        <f t="array" ref="AA54">SUMPRODUCT(
  IF($B54:$K54&lt;&gt;"",
     INDEX('Eurostat EB products IEA'!$A$4:$BN$135,
           MATCH($B54:$K54, 'Eurostat EB products IEA'!$A$4:$A$135, 0),
           MATCH(AA$1, 'Eurostat EB products IEA'!$A$4:$BN$4, 0)
     )
     * $L54:$U54,
     0
  )
)</f>
        <v>0</v>
      </c>
      <c r="AB54" s="17" cm="1">
        <f t="array" ref="AB54">SUMPRODUCT(
  IF($B54:$K54&lt;&gt;"",
     INDEX('Eurostat EB products IEA'!$A$4:$BN$135,
           MATCH($B54:$K54, 'Eurostat EB products IEA'!$A$4:$A$135, 0),
           MATCH(AB$1, 'Eurostat EB products IEA'!$A$4:$BN$4, 0)
     )
     * $L54:$U54,
     0
  )
)</f>
        <v>0</v>
      </c>
      <c r="AC54" s="17" cm="1">
        <f t="array" ref="AC54">SUMPRODUCT(
  IF($B54:$K54&lt;&gt;"",
     INDEX('Eurostat EB products IEA'!$A$4:$BN$135,
           MATCH($B54:$K54, 'Eurostat EB products IEA'!$A$4:$A$135, 0),
           MATCH(AC$1, 'Eurostat EB products IEA'!$A$4:$BN$4, 0)
     )
     * $L54:$U54,
     0
  )
)</f>
        <v>0</v>
      </c>
      <c r="AD54" s="17" cm="1">
        <f t="array" ref="AD54">SUMPRODUCT(
  IF($B54:$K54&lt;&gt;"",
     INDEX('Eurostat EB products IEA'!$A$4:$BN$135,
           MATCH($B54:$K54, 'Eurostat EB products IEA'!$A$4:$A$135, 0),
           MATCH(AD$1, 'Eurostat EB products IEA'!$A$4:$BN$4, 0)
     )
     * $L54:$U54,
     0
  )
)</f>
        <v>3652.3609999999999</v>
      </c>
      <c r="AE54" s="17" cm="1">
        <f t="array" ref="AE54">SUMPRODUCT(
  IF($B54:$K54&lt;&gt;"",
     INDEX('Eurostat EB products IEA'!$A$4:$BN$135,
           MATCH($B54:$K54, 'Eurostat EB products IEA'!$A$4:$A$135, 0),
           MATCH(AE$1, 'Eurostat EB products IEA'!$A$4:$BN$4, 0)
     )
     * $L54:$U54,
     0
  )
)</f>
        <v>0</v>
      </c>
      <c r="AF54" s="17" cm="1">
        <f t="array" ref="AF54">SUMPRODUCT(
  IF($B54:$K54&lt;&gt;"",
     INDEX('Eurostat EB products IEA'!$A$4:$BN$135,
           MATCH($B54:$K54, 'Eurostat EB products IEA'!$A$4:$A$135, 0),
           MATCH(AF$1, 'Eurostat EB products IEA'!$A$4:$BN$4, 0)
     )
     * $L54:$U54,
     0
  )
)</f>
        <v>0</v>
      </c>
      <c r="AG54" s="17" cm="1">
        <f t="array" ref="AG54">SUMPRODUCT(
  IF($B54:$K54&lt;&gt;"",
     INDEX('Eurostat EB products IEA'!$A$4:$BN$135,
           MATCH($B54:$K54, 'Eurostat EB products IEA'!$A$4:$A$135, 0),
           MATCH(AG$1, 'Eurostat EB products IEA'!$A$4:$BN$4, 0)
     )
     * $L54:$U54,
     0
  )
)</f>
        <v>0</v>
      </c>
      <c r="AH54" s="17" cm="1">
        <f t="array" ref="AH54">SUMPRODUCT(
  IF($B54:$K54&lt;&gt;"",
     INDEX('Eurostat EB products IEA'!$A$4:$BN$135,
           MATCH($B54:$K54, 'Eurostat EB products IEA'!$A$4:$A$135, 0),
           MATCH(AH$1, 'Eurostat EB products IEA'!$A$4:$BN$4, 0)
     )
     * $L54:$U54,
     0
  )
)</f>
        <v>0</v>
      </c>
      <c r="AI54" s="17" cm="1">
        <f t="array" ref="AI54">SUMPRODUCT(
  IF($B54:$K54&lt;&gt;"",
     INDEX('Eurostat EB products IEA'!$A$4:$BN$135,
           MATCH($B54:$K54, 'Eurostat EB products IEA'!$A$4:$A$135, 0),
           MATCH(AI$1, 'Eurostat EB products IEA'!$A$4:$BN$4, 0)
     )
     * $L54:$U54,
     0
  )
)</f>
        <v>6393.5039999999999</v>
      </c>
      <c r="AJ54" s="17" cm="1">
        <f t="array" ref="AJ54">SUMPRODUCT(
  IF($B54:$K54&lt;&gt;"",
     INDEX('Eurostat EB products IEA'!$A$4:$BN$135,
           MATCH($B54:$K54, 'Eurostat EB products IEA'!$A$4:$A$135, 0),
           MATCH(AJ$1, 'Eurostat EB products IEA'!$A$4:$BN$4, 0)
     )
     * $L54:$U54,
     0
  )
)</f>
        <v>4792.902</v>
      </c>
      <c r="AK54" s="17" cm="1">
        <f t="array" ref="AK54">SUMPRODUCT(
  IF($B54:$K54&lt;&gt;"",
     INDEX('Eurostat EB products IEA'!$A$4:$BN$135,
           MATCH($B54:$K54, 'Eurostat EB products IEA'!$A$4:$A$135, 0),
           MATCH(AK$1, 'Eurostat EB products IEA'!$A$4:$BN$4, 0)
     )
     * $L54:$U54,
     0
  )
)</f>
        <v>0</v>
      </c>
      <c r="AL54" s="17" cm="1">
        <f t="array" ref="AL54">SUMPRODUCT(
  IF($B54:$K54&lt;&gt;"",
     INDEX('Eurostat EB products IEA'!$A$4:$BN$135,
           MATCH($B54:$K54, 'Eurostat EB products IEA'!$A$4:$A$135, 0),
           MATCH(AL$1, 'Eurostat EB products IEA'!$A$4:$BN$4, 0)
     )
     * $L54:$U54,
     0
  )
)</f>
        <v>0</v>
      </c>
      <c r="AM54" s="17" cm="1">
        <f t="array" ref="AM54">SUMPRODUCT(
  IF($B54:$K54&lt;&gt;"",
     INDEX('Eurostat EB products IEA'!$A$4:$BN$135,
           MATCH($B54:$K54, 'Eurostat EB products IEA'!$A$4:$A$135, 0),
           MATCH(AM$1, 'Eurostat EB products IEA'!$A$4:$BN$4, 0)
     )
     * $L54:$U54,
     0
  )
)</f>
        <v>176097.43599999999</v>
      </c>
      <c r="AN54" s="65" t="s">
        <v>323</v>
      </c>
      <c r="AO54" s="17" cm="1">
        <f t="array" ref="AO54">SUMPRODUCT(
  IF($B54:$K54&lt;&gt;"",
     INDEX('Eurostat EB products IEA'!$A$4:$BN$135,
           MATCH($B54:$K54, 'Eurostat EB products IEA'!$A$4:$A$135, 0),
           MATCH(AO$1, 'Eurostat EB products IEA'!$A$4:$BN$4, 0)
     )
     * $L54:$U54,
     0
  )
)</f>
        <v>0</v>
      </c>
      <c r="AP54" s="17" cm="1">
        <f t="array" ref="AP54">SUMPRODUCT(
  IF($B54:$K54&lt;&gt;"",
     INDEX('Eurostat EB products IEA'!$A$4:$BN$135,
           MATCH($B54:$K54, 'Eurostat EB products IEA'!$A$4:$A$135, 0),
           MATCH(AP$1, 'Eurostat EB products IEA'!$A$4:$BN$4, 0)
     )
     * $L54:$U54,
     0
  )
)</f>
        <v>0</v>
      </c>
      <c r="AQ54" s="17" cm="1">
        <f t="array" ref="AQ54">SUMPRODUCT(
  IF($B54:$K54&lt;&gt;"",
     INDEX('Eurostat EB products IEA'!$A$4:$BN$135,
           MATCH($B54:$K54, 'Eurostat EB products IEA'!$A$4:$A$135, 0),
           MATCH(AQ$1, 'Eurostat EB products IEA'!$A$4:$BN$4, 0)
     )
     * $L54:$U54,
     0
  )
)</f>
        <v>0</v>
      </c>
      <c r="AR54" s="17" cm="1">
        <f t="array" ref="AR54">SUMPRODUCT(
  IF($B54:$K54&lt;&gt;"",
     INDEX('Eurostat EB products IEA'!$A$4:$BN$135,
           MATCH($B54:$K54, 'Eurostat EB products IEA'!$A$4:$A$135, 0),
           MATCH(AR$1, 'Eurostat EB products IEA'!$A$4:$BN$4, 0)
     )
     * $L54:$U54,
     0
  )
)</f>
        <v>0</v>
      </c>
      <c r="AS54" s="17" cm="1">
        <f t="array" ref="AS54">SUMPRODUCT(
  IF($B54:$K54&lt;&gt;"",
     INDEX('Eurostat EB products IEA'!$A$4:$BN$135,
           MATCH($B54:$K54, 'Eurostat EB products IEA'!$A$4:$A$135, 0),
           MATCH(AS$1, 'Eurostat EB products IEA'!$A$4:$BN$4, 0)
     )
     * $L54:$U54,
     0
  )
)</f>
        <v>0</v>
      </c>
      <c r="AT54" s="17" cm="1">
        <f t="array" ref="AT54">SUMPRODUCT(
  IF($B54:$K54&lt;&gt;"",
     INDEX('Eurostat EB products IEA'!$A$4:$BN$135,
           MATCH($B54:$K54, 'Eurostat EB products IEA'!$A$4:$A$135, 0),
           MATCH(AT$1, 'Eurostat EB products IEA'!$A$4:$BN$4, 0)
     )
     * $L54:$U54,
     0
  )
)</f>
        <v>103516.201</v>
      </c>
      <c r="AU54" s="17" cm="1">
        <f t="array" ref="AU54">SUMPRODUCT(
  IF($B54:$K54&lt;&gt;"",
     INDEX('Eurostat EB products IEA'!$A$4:$BN$135,
           MATCH($B54:$K54, 'Eurostat EB products IEA'!$A$4:$A$135, 0),
           MATCH(AU$1, 'Eurostat EB products IEA'!$A$4:$BN$4, 0)
     )
     * $L54:$U54,
     0
  )
)</f>
        <v>0</v>
      </c>
      <c r="AV54" s="17" cm="1">
        <f t="array" ref="AV54">SUMPRODUCT(
  IF($B54:$K54&lt;&gt;"",
     INDEX('Eurostat EB products IEA'!$A$4:$BN$135,
           MATCH($B54:$K54, 'Eurostat EB products IEA'!$A$4:$A$135, 0),
           MATCH(AV$1, 'Eurostat EB products IEA'!$A$4:$BN$4, 0)
     )
     * $L54:$U54,
     0
  )
)</f>
        <v>730.46299999999997</v>
      </c>
      <c r="AW54" s="17" cm="1">
        <f t="array" ref="AW54">SUMPRODUCT(
  IF($B54:$K54&lt;&gt;"",
     INDEX('Eurostat EB products IEA'!$A$4:$BN$135,
           MATCH($B54:$K54, 'Eurostat EB products IEA'!$A$4:$A$135, 0),
           MATCH(AW$1, 'Eurostat EB products IEA'!$A$4:$BN$4, 0)
     )
     * $L54:$U54,
     0
  )
)</f>
        <v>259.90699999999998</v>
      </c>
      <c r="AX54" s="17" cm="1">
        <f t="array" ref="AX54">SUMPRODUCT(
  IF($B54:$K54&lt;&gt;"",
     INDEX('Eurostat EB products IEA'!$A$4:$BN$135,
           MATCH($B54:$K54, 'Eurostat EB products IEA'!$A$4:$A$135, 0),
           MATCH(AX$1, 'Eurostat EB products IEA'!$A$4:$BN$4, 0)
     )
     * $L54:$U54,
     0
  )
)</f>
        <v>0</v>
      </c>
      <c r="AY54" s="17" cm="1">
        <f t="array" ref="AY54">SUMPRODUCT(
  IF($B54:$K54&lt;&gt;"",
     INDEX('Eurostat EB products IEA'!$A$4:$BN$135,
           MATCH($B54:$K54, 'Eurostat EB products IEA'!$A$4:$A$135, 0),
           MATCH(AY$1, 'Eurostat EB products IEA'!$A$4:$BN$4, 0)
     )
     * $L54:$U54,
     0
  )
)</f>
        <v>0</v>
      </c>
      <c r="AZ54" s="17" cm="1">
        <f t="array" ref="AZ54">SUMPRODUCT(
  IF($B54:$K54&lt;&gt;"",
     INDEX('Eurostat EB products IEA'!$A$4:$BN$135,
           MATCH($B54:$K54, 'Eurostat EB products IEA'!$A$4:$A$135, 0),
           MATCH(AZ$1, 'Eurostat EB products IEA'!$A$4:$BN$4, 0)
     )
     * $L54:$U54,
     0
  )
)</f>
        <v>0</v>
      </c>
      <c r="BA54" s="17" cm="1">
        <f t="array" ref="BA54">SUMPRODUCT(
  IF($B54:$K54&lt;&gt;"",
     INDEX('Eurostat EB products IEA'!$A$4:$BN$135,
           MATCH($B54:$K54, 'Eurostat EB products IEA'!$A$4:$A$135, 0),
           MATCH(BA$1, 'Eurostat EB products IEA'!$A$4:$BN$4, 0)
     )
     * $L54:$U54,
     0
  )
)</f>
        <v>1.897</v>
      </c>
      <c r="BB54" s="17" cm="1">
        <f t="array" ref="BB54">SUMPRODUCT(
  IF($B54:$K54&lt;&gt;"",
     INDEX('Eurostat EB products IEA'!$A$4:$BN$135,
           MATCH($B54:$K54, 'Eurostat EB products IEA'!$A$4:$A$135, 0),
           MATCH(BB$1, 'Eurostat EB products IEA'!$A$4:$BN$4, 0)
     )
     * $L54:$U54,
     0
  )
)</f>
        <v>20604.415000000001</v>
      </c>
      <c r="BC54" s="17" cm="1">
        <f t="array" ref="BC54">SUMPRODUCT(
  IF($B54:$K54&lt;&gt;"",
     INDEX('Eurostat EB products IEA'!$A$4:$BN$135,
           MATCH($B54:$K54, 'Eurostat EB products IEA'!$A$4:$A$135, 0),
           MATCH(BC$1, 'Eurostat EB products IEA'!$A$4:$BN$4, 0)
     )
     * $L54:$U54,
     0
  )
)</f>
        <v>0</v>
      </c>
      <c r="BD54" s="17" cm="1">
        <f t="array" ref="BD54">SUMPRODUCT(
  IF($B54:$K54&lt;&gt;"",
     INDEX('Eurostat EB products IEA'!$A$4:$BN$135,
           MATCH($B54:$K54, 'Eurostat EB products IEA'!$A$4:$A$135, 0),
           MATCH(BD$1, 'Eurostat EB products IEA'!$A$4:$BN$4, 0)
     )
     * $L54:$U54,
     0
  )
)</f>
        <v>0</v>
      </c>
      <c r="BE54" s="17" cm="1">
        <f t="array" ref="BE54">SUMPRODUCT(
  IF($B54:$K54&lt;&gt;"",
     INDEX('Eurostat EB products IEA'!$A$4:$BN$135,
           MATCH($B54:$K54, 'Eurostat EB products IEA'!$A$4:$A$135, 0),
           MATCH(BE$1, 'Eurostat EB products IEA'!$A$4:$BN$4, 0)
     )
     * $L54:$U54,
     0
  )
)</f>
        <v>0</v>
      </c>
      <c r="BF54" s="17" cm="1">
        <f t="array" ref="BF54">SUMPRODUCT(
  IF($B54:$K54&lt;&gt;"",
     INDEX('Eurostat EB products IEA'!$A$4:$BN$135,
           MATCH($B54:$K54, 'Eurostat EB products IEA'!$A$4:$A$135, 0),
           MATCH(BF$1, 'Eurostat EB products IEA'!$A$4:$BN$4, 0)
     )
     * $L54:$U54,
     0
  )
)</f>
        <v>0</v>
      </c>
      <c r="BG54" s="17" cm="1">
        <f t="array" ref="BG54">SUMPRODUCT(
  IF($B54:$K54&lt;&gt;"",
     INDEX('Eurostat EB products IEA'!$A$4:$BN$135,
           MATCH($B54:$K54, 'Eurostat EB products IEA'!$A$4:$A$135, 0),
           MATCH(BG$1, 'Eurostat EB products IEA'!$A$4:$BN$4, 0)
     )
     * $L54:$U54,
     0
  )
)</f>
        <v>0</v>
      </c>
      <c r="BH54" s="17" cm="1">
        <f t="array" ref="BH54">SUMPRODUCT(
  IF($B54:$K54&lt;&gt;"",
     INDEX('Eurostat EB products IEA'!$A$4:$BN$135,
           MATCH($B54:$K54, 'Eurostat EB products IEA'!$A$4:$A$135, 0),
           MATCH(BH$1, 'Eurostat EB products IEA'!$A$4:$BN$4, 0)
     )
     * $L54:$U54,
     0
  )
)</f>
        <v>0</v>
      </c>
      <c r="BI54" s="17" cm="1">
        <f t="array" ref="BI54">SUMPRODUCT(
  IF($B54:$K54&lt;&gt;"",
     INDEX('Eurostat EB products IEA'!$A$4:$BN$135,
           MATCH($B54:$K54, 'Eurostat EB products IEA'!$A$4:$A$135, 0),
           MATCH(BI$1, 'Eurostat EB products IEA'!$A$4:$BN$4, 0)
     )
     * $L54:$U54,
     0
  )
)</f>
        <v>64.194999999999993</v>
      </c>
      <c r="BJ54" s="17" cm="1">
        <f t="array" ref="BJ54">SUMPRODUCT(
  IF($B54:$K54&lt;&gt;"",
     INDEX('Eurostat EB products IEA'!$A$4:$BN$135,
           MATCH($B54:$K54, 'Eurostat EB products IEA'!$A$4:$A$135, 0),
           MATCH(BJ$1, 'Eurostat EB products IEA'!$A$4:$BN$4, 0)
     )
     * $L54:$U54,
     0
  )
)</f>
        <v>648.56700000000001</v>
      </c>
      <c r="BK54" s="17" cm="1">
        <f t="array" ref="BK54">SUMPRODUCT(
  IF($B54:$K54&lt;&gt;"",
     INDEX('Eurostat EB products IEA'!$A$4:$BN$135,
           MATCH($B54:$K54, 'Eurostat EB products IEA'!$A$4:$A$135, 0),
           MATCH(BK$1, 'Eurostat EB products IEA'!$A$4:$BN$4, 0)
     )
     * $L54:$U54,
     0
  )
)</f>
        <v>592.08699999999999</v>
      </c>
      <c r="BL54" s="17" cm="1">
        <f t="array" ref="BL54">SUMPRODUCT(
  IF($B54:$K54&lt;&gt;"",
     INDEX('Eurostat EB products IEA'!$A$4:$BN$135,
           MATCH($B54:$K54, 'Eurostat EB products IEA'!$A$4:$A$135, 0),
           MATCH(BL$1, 'Eurostat EB products IEA'!$A$4:$BN$4, 0)
     )
     * $L54:$U54,
     0
  )
)</f>
        <v>0</v>
      </c>
      <c r="BM54" s="17" cm="1">
        <f t="array" ref="BM54">SUMPRODUCT(
  IF($B54:$K54&lt;&gt;"",
     INDEX('Eurostat EB products IEA'!$A$4:$BN$135,
           MATCH($B54:$K54, 'Eurostat EB products IEA'!$A$4:$A$135, 0),
           MATCH(BM$1, 'Eurostat EB products IEA'!$A$4:$BN$4, 0)
     )
     * $L54:$U54,
     0
  )
)</f>
        <v>0</v>
      </c>
      <c r="BN54" s="17" cm="1">
        <f t="array" ref="BN54">SUMPRODUCT(
  IF($B54:$K54&lt;&gt;"",
     INDEX('Eurostat EB products IEA'!$A$4:$BN$135,
           MATCH($B54:$K54, 'Eurostat EB products IEA'!$A$4:$A$135, 0),
           MATCH(BN$1, 'Eurostat EB products IEA'!$A$4:$BN$4, 0)
     )
     * $L54:$U54,
     0
  )
)</f>
        <v>3043.9540000000002</v>
      </c>
      <c r="BO54" s="17" cm="1">
        <f t="array" ref="BO54">SUMPRODUCT(
  IF($B54:$K54&lt;&gt;"",
     INDEX('Eurostat EB products IEA'!$A$4:$BN$135,
           MATCH($B54:$K54, 'Eurostat EB products IEA'!$A$4:$A$135, 0),
           MATCH(BO$1, 'Eurostat EB products IEA'!$A$4:$BN$4, 0)
     )
     * $L54:$U54,
     0
  )
)</f>
        <v>1728.771</v>
      </c>
      <c r="BP54" s="17" cm="1">
        <f t="array" ref="BP54">SUMPRODUCT(
  IF($B54:$K54&lt;&gt;"",
     INDEX('Eurostat EB products IEA'!$A$4:$BN$135,
           MATCH($B54:$K54, 'Eurostat EB products IEA'!$A$4:$A$135, 0),
           MATCH(BP$1, 'Eurostat EB products IEA'!$A$4:$BN$4, 0)
     )
     * $L54:$U54,
     0
  )
)</f>
        <v>0</v>
      </c>
      <c r="BQ54" s="17" cm="1">
        <f t="array" ref="BQ54">SUMPRODUCT(
  IF($B54:$K54&lt;&gt;"",
     INDEX('Eurostat EB products IEA'!$A$4:$BN$135,
           MATCH($B54:$K54, 'Eurostat EB products IEA'!$A$4:$A$135, 0),
           MATCH(BQ$1, 'Eurostat EB products IEA'!$A$4:$BN$4, 0)
     )
     * $L54:$U54,
     0
  )
)</f>
        <v>1414.422</v>
      </c>
      <c r="BR54" s="17" cm="1">
        <f t="array" ref="BR54">SUMPRODUCT(
  IF($B54:$K54&lt;&gt;"",
     INDEX('Eurostat EB products IEA'!$A$4:$BN$135,
           MATCH($B54:$K54, 'Eurostat EB products IEA'!$A$4:$A$135, 0),
           MATCH(BR$1, 'Eurostat EB products IEA'!$A$4:$BN$4, 0)
     )
     * $L54:$U54,
     0
  )
)</f>
        <v>272.16000000000003</v>
      </c>
      <c r="BS54" s="65">
        <v>0</v>
      </c>
      <c r="BT54" s="17" cm="1">
        <f t="array" ref="BT54">SUMPRODUCT(
  IF($B54:$K54&lt;&gt;"",
     INDEX('Eurostat EB products IEA'!$A$4:$BN$135,
           MATCH($B54:$K54, 'Eurostat EB products IEA'!$A$4:$A$135, 0),
           MATCH(BT$1, 'Eurostat EB products IEA'!$A$4:$BN$4, 0)
     )
     * $L54:$U54,
     0
  )
)</f>
        <v>0</v>
      </c>
      <c r="BU54" s="65">
        <v>0</v>
      </c>
      <c r="BV54" s="65">
        <v>0</v>
      </c>
      <c r="BW54" s="17" cm="1">
        <f t="array" ref="BW54">SUMPRODUCT(
  IF($B54:$K54&lt;&gt;"",
     INDEX('Eurostat EB products IEA'!$A$4:$BN$135,
           MATCH($B54:$K54, 'Eurostat EB products IEA'!$A$4:$A$135, 0),
           MATCH(BW$1, 'Eurostat EB products IEA'!$A$4:$BN$4, 0)
     )
     * $L54:$U54,
     0
  )
)</f>
        <v>0</v>
      </c>
      <c r="BX54" s="17" cm="1">
        <f t="array" ref="BX54">SUMPRODUCT(
  IF($B54:$K54&lt;&gt;"",
     INDEX('Eurostat EB products IEA'!$A$4:$BN$135,
           MATCH($B54:$K54, 'Eurostat EB products IEA'!$A$4:$A$135, 0),
           MATCH(BX$1, 'Eurostat EB products IEA'!$A$4:$BN$4, 0)
     )
     * $L54:$U54,
     0
  )
)</f>
        <v>0</v>
      </c>
      <c r="BY54" s="17" cm="1">
        <f t="array" ref="BY54">SUMPRODUCT(
  IF($B54:$K54&lt;&gt;"",
     INDEX('Eurostat EB products IEA'!$A$4:$BN$135,
           MATCH($B54:$K54, 'Eurostat EB products IEA'!$A$4:$A$135, 0),
           MATCH(BY$1, 'Eurostat EB products IEA'!$A$4:$BN$4, 0)
     )
     * $L54:$U54,
     0
  )
)</f>
        <v>0</v>
      </c>
      <c r="BZ54" s="17" cm="1">
        <f t="array" ref="BZ54">SUMPRODUCT(
  IF($B54:$K54&lt;&gt;"",
     INDEX('Eurostat EB products IEA'!$A$4:$BN$135,
           MATCH($B54:$K54, 'Eurostat EB products IEA'!$A$4:$A$135, 0),
           MATCH(BZ$1, 'Eurostat EB products IEA'!$A$4:$BN$4, 0)
     )
     * $L54:$U54,
     0
  )
)</f>
        <v>0</v>
      </c>
      <c r="CA54" s="17" cm="1">
        <f t="array" ref="CA54">SUMPRODUCT(
  IF($B54:$K54&lt;&gt;"",
     INDEX('Eurostat EB products IEA'!$A$4:$BN$135,
           MATCH($B54:$K54, 'Eurostat EB products IEA'!$A$4:$A$135, 0),
           MATCH(CA$1, 'Eurostat EB products IEA'!$A$4:$BN$4, 0)
     )
     * $L54:$U54,
     0
  )
)</f>
        <v>0</v>
      </c>
      <c r="CB54" s="17" cm="1">
        <f t="array" ref="CB54">SUMPRODUCT(
  IF($B54:$K54&lt;&gt;"",
     INDEX('Eurostat EB products IEA'!$A$4:$BN$135,
           MATCH($B54:$K54, 'Eurostat EB products IEA'!$A$4:$A$135, 0),
           MATCH(CB$1, 'Eurostat EB products IEA'!$A$4:$BN$4, 0)
     )
     * $L54:$U54,
     0
  )
)</f>
        <v>0</v>
      </c>
      <c r="CC54" s="17" cm="1">
        <f t="array" ref="CC54">SUMPRODUCT(
  IF($B54:$K54&lt;&gt;"",
     INDEX('Eurostat EB products IEA'!$A$4:$BN$135,
           MATCH($B54:$K54, 'Eurostat EB products IEA'!$A$4:$A$135, 0),
           MATCH(CC$1, 'Eurostat EB products IEA'!$A$4:$BN$4, 0)
     )
     * $L54:$U54,
     0
  )
)</f>
        <v>0</v>
      </c>
      <c r="CD54" s="65">
        <v>0</v>
      </c>
      <c r="CE54" s="17" cm="1">
        <f t="array" ref="CE54">SUMPRODUCT(
  IF($B54:$K54&lt;&gt;"",
     INDEX('Eurostat EB products IEA'!$A$4:$BN$135,
           MATCH($B54:$K54, 'Eurostat EB products IEA'!$A$4:$A$135, 0),
           MATCH(CE$1, 'Eurostat EB products IEA'!$A$4:$BN$4, 0)
     )
     * $L54:$U54,
     0
  )
)</f>
        <v>115158.823</v>
      </c>
      <c r="CF54" s="17" cm="1">
        <f t="array" ref="CF54">SUMPRODUCT(
  IF($B54:$K54&lt;&gt;"",
     INDEX('Eurostat EB products IEA'!$A$4:$BN$135,
           MATCH($B54:$K54, 'Eurostat EB products IEA'!$A$4:$A$135, 0),
           MATCH(CF$1, 'Eurostat EB products IEA'!$A$4:$BN$4, 0)
     )
     * $L54:$U54,
     0
  )
)</f>
        <v>47883.012999999999</v>
      </c>
      <c r="CG54" s="17" cm="1">
        <f t="array" ref="CG54">SUMPRODUCT(
  IF($B54:$K54&lt;&gt;"",
     INDEX('Eurostat EB products IEA'!$A$4:$BN$135,
           MATCH($B54:$K54, 'Eurostat EB products IEA'!$A$4:$A$135, 0),
           MATCH(CG$1, 'Eurostat EB products IEA'!$A$4:$BN$4, 0)
     )
     * $L54:$U54,
     0
  )
)</f>
        <v>487196.93</v>
      </c>
      <c r="CH54" s="17" cm="1">
        <f t="array" ref="CH54">SUMPRODUCT(
  IF($B54:$K54&lt;&gt;"",
     INDEX('Eurostat EB products IEA'!$A$4:$BN$135,
           MATCH($B54:$K54, 'Eurostat EB products IEA'!$A$4:$A$135, 0),
           MATCH(CH$1, 'Eurostat EB products IEA'!$A$4:$BN$4, 0)
     )
     * $L54:$U54,
     0
  )
)</f>
        <v>26440.892</v>
      </c>
    </row>
    <row r="55" spans="1:86" x14ac:dyDescent="0.2">
      <c r="A55" t="s">
        <v>172</v>
      </c>
      <c r="B55" s="75"/>
      <c r="C55" s="77"/>
      <c r="D55" s="75"/>
      <c r="E55" s="77"/>
      <c r="F55" s="75"/>
      <c r="G55" s="77"/>
      <c r="H55" s="75"/>
      <c r="I55" s="77"/>
      <c r="J55" s="74"/>
      <c r="K55" s="78" t="s">
        <v>288</v>
      </c>
      <c r="L55" s="76"/>
      <c r="M55" s="79"/>
      <c r="N55" s="76"/>
      <c r="O55" s="79"/>
      <c r="P55" s="76"/>
      <c r="Q55" s="79"/>
      <c r="R55" s="76"/>
      <c r="S55" s="79"/>
      <c r="T55" s="76"/>
      <c r="U55" s="79">
        <v>1</v>
      </c>
      <c r="V55" s="65" t="s">
        <v>323</v>
      </c>
      <c r="W55" s="65" t="s">
        <v>323</v>
      </c>
      <c r="X55" s="57" cm="1">
        <f t="array" ref="X55">SUMPRODUCT(
  IF($B55:$K55&lt;&gt;"",
     INDEX('Eurostat EB products IEA'!$A$4:$BN$135,
           MATCH($B55:$K55, 'Eurostat EB products IEA'!$A$4:$A$135, 0),
           MATCH(X$1, 'Eurostat EB products IEA'!$A$4:$BN$4, 0)
     )
     * $L55:$U55,
     0
  )
)</f>
        <v>0</v>
      </c>
      <c r="Y55" s="57" cm="1">
        <f t="array" ref="Y55">SUMPRODUCT(
  IF($B55:$K55&lt;&gt;"",
     INDEX('Eurostat EB products IEA'!$A$4:$BN$135,
           MATCH($B55:$K55, 'Eurostat EB products IEA'!$A$4:$A$135, 0),
           MATCH(Y$1, 'Eurostat EB products IEA'!$A$4:$BN$4, 0)
     )
     * $L55:$U55,
     0
  )
)</f>
        <v>34.386000000000003</v>
      </c>
      <c r="Z55" s="57" cm="1">
        <f t="array" ref="Z55">SUMPRODUCT(
  IF($B55:$K55&lt;&gt;"",
     INDEX('Eurostat EB products IEA'!$A$4:$BN$135,
           MATCH($B55:$K55, 'Eurostat EB products IEA'!$A$4:$A$135, 0),
           MATCH(Z$1, 'Eurostat EB products IEA'!$A$4:$BN$4, 0)
     )
     * $L55:$U55,
     0
  )
)</f>
        <v>0</v>
      </c>
      <c r="AA55" s="57" cm="1">
        <f t="array" ref="AA55">SUMPRODUCT(
  IF($B55:$K55&lt;&gt;"",
     INDEX('Eurostat EB products IEA'!$A$4:$BN$135,
           MATCH($B55:$K55, 'Eurostat EB products IEA'!$A$4:$A$135, 0),
           MATCH(AA$1, 'Eurostat EB products IEA'!$A$4:$BN$4, 0)
     )
     * $L55:$U55,
     0
  )
)</f>
        <v>0</v>
      </c>
      <c r="AB55" s="57" cm="1">
        <f t="array" ref="AB55">SUMPRODUCT(
  IF($B55:$K55&lt;&gt;"",
     INDEX('Eurostat EB products IEA'!$A$4:$BN$135,
           MATCH($B55:$K55, 'Eurostat EB products IEA'!$A$4:$A$135, 0),
           MATCH(AB$1, 'Eurostat EB products IEA'!$A$4:$BN$4, 0)
     )
     * $L55:$U55,
     0
  )
)</f>
        <v>0</v>
      </c>
      <c r="AC55" s="57" cm="1">
        <f t="array" ref="AC55">SUMPRODUCT(
  IF($B55:$K55&lt;&gt;"",
     INDEX('Eurostat EB products IEA'!$A$4:$BN$135,
           MATCH($B55:$K55, 'Eurostat EB products IEA'!$A$4:$A$135, 0),
           MATCH(AC$1, 'Eurostat EB products IEA'!$A$4:$BN$4, 0)
     )
     * $L55:$U55,
     0
  )
)</f>
        <v>0</v>
      </c>
      <c r="AD55" s="57" cm="1">
        <f t="array" ref="AD55">SUMPRODUCT(
  IF($B55:$K55&lt;&gt;"",
     INDEX('Eurostat EB products IEA'!$A$4:$BN$135,
           MATCH($B55:$K55, 'Eurostat EB products IEA'!$A$4:$A$135, 0),
           MATCH(AD$1, 'Eurostat EB products IEA'!$A$4:$BN$4, 0)
     )
     * $L55:$U55,
     0
  )
)</f>
        <v>2930.712</v>
      </c>
      <c r="AE55" s="57" cm="1">
        <f t="array" ref="AE55">SUMPRODUCT(
  IF($B55:$K55&lt;&gt;"",
     INDEX('Eurostat EB products IEA'!$A$4:$BN$135,
           MATCH($B55:$K55, 'Eurostat EB products IEA'!$A$4:$A$135, 0),
           MATCH(AE$1, 'Eurostat EB products IEA'!$A$4:$BN$4, 0)
     )
     * $L55:$U55,
     0
  )
)</f>
        <v>0</v>
      </c>
      <c r="AF55" s="57" cm="1">
        <f t="array" ref="AF55">SUMPRODUCT(
  IF($B55:$K55&lt;&gt;"",
     INDEX('Eurostat EB products IEA'!$A$4:$BN$135,
           MATCH($B55:$K55, 'Eurostat EB products IEA'!$A$4:$A$135, 0),
           MATCH(AF$1, 'Eurostat EB products IEA'!$A$4:$BN$4, 0)
     )
     * $L55:$U55,
     0
  )
)</f>
        <v>0</v>
      </c>
      <c r="AG55" s="57" cm="1">
        <f t="array" ref="AG55">SUMPRODUCT(
  IF($B55:$K55&lt;&gt;"",
     INDEX('Eurostat EB products IEA'!$A$4:$BN$135,
           MATCH($B55:$K55, 'Eurostat EB products IEA'!$A$4:$A$135, 0),
           MATCH(AG$1, 'Eurostat EB products IEA'!$A$4:$BN$4, 0)
     )
     * $L55:$U55,
     0
  )
)</f>
        <v>0</v>
      </c>
      <c r="AH55" s="57" cm="1">
        <f t="array" ref="AH55">SUMPRODUCT(
  IF($B55:$K55&lt;&gt;"",
     INDEX('Eurostat EB products IEA'!$A$4:$BN$135,
           MATCH($B55:$K55, 'Eurostat EB products IEA'!$A$4:$A$135, 0),
           MATCH(AH$1, 'Eurostat EB products IEA'!$A$4:$BN$4, 0)
     )
     * $L55:$U55,
     0
  )
)</f>
        <v>0</v>
      </c>
      <c r="AI55" s="57" cm="1">
        <f t="array" ref="AI55">SUMPRODUCT(
  IF($B55:$K55&lt;&gt;"",
     INDEX('Eurostat EB products IEA'!$A$4:$BN$135,
           MATCH($B55:$K55, 'Eurostat EB products IEA'!$A$4:$A$135, 0),
           MATCH(AI$1, 'Eurostat EB products IEA'!$A$4:$BN$4, 0)
     )
     * $L55:$U55,
     0
  )
)</f>
        <v>6393.5039999999999</v>
      </c>
      <c r="AJ55" s="57" cm="1">
        <f t="array" ref="AJ55">SUMPRODUCT(
  IF($B55:$K55&lt;&gt;"",
     INDEX('Eurostat EB products IEA'!$A$4:$BN$135,
           MATCH($B55:$K55, 'Eurostat EB products IEA'!$A$4:$A$135, 0),
           MATCH(AJ$1, 'Eurostat EB products IEA'!$A$4:$BN$4, 0)
     )
     * $L55:$U55,
     0
  )
)</f>
        <v>4792.902</v>
      </c>
      <c r="AK55" s="57" cm="1">
        <f t="array" ref="AK55">SUMPRODUCT(
  IF($B55:$K55&lt;&gt;"",
     INDEX('Eurostat EB products IEA'!$A$4:$BN$135,
           MATCH($B55:$K55, 'Eurostat EB products IEA'!$A$4:$A$135, 0),
           MATCH(AK$1, 'Eurostat EB products IEA'!$A$4:$BN$4, 0)
     )
     * $L55:$U55,
     0
  )
)</f>
        <v>0</v>
      </c>
      <c r="AL55" s="57" cm="1">
        <f t="array" ref="AL55">SUMPRODUCT(
  IF($B55:$K55&lt;&gt;"",
     INDEX('Eurostat EB products IEA'!$A$4:$BN$135,
           MATCH($B55:$K55, 'Eurostat EB products IEA'!$A$4:$A$135, 0),
           MATCH(AL$1, 'Eurostat EB products IEA'!$A$4:$BN$4, 0)
     )
     * $L55:$U55,
     0
  )
)</f>
        <v>0</v>
      </c>
      <c r="AM55" s="57" cm="1">
        <f t="array" ref="AM55">SUMPRODUCT(
  IF($B55:$K55&lt;&gt;"",
     INDEX('Eurostat EB products IEA'!$A$4:$BN$135,
           MATCH($B55:$K55, 'Eurostat EB products IEA'!$A$4:$A$135, 0),
           MATCH(AM$1, 'Eurostat EB products IEA'!$A$4:$BN$4, 0)
     )
     * $L55:$U55,
     0
  )
)</f>
        <v>7183.5</v>
      </c>
      <c r="AN55" s="65" t="s">
        <v>323</v>
      </c>
      <c r="AO55" s="57" cm="1">
        <f t="array" ref="AO55">SUMPRODUCT(
  IF($B55:$K55&lt;&gt;"",
     INDEX('Eurostat EB products IEA'!$A$4:$BN$135,
           MATCH($B55:$K55, 'Eurostat EB products IEA'!$A$4:$A$135, 0),
           MATCH(AO$1, 'Eurostat EB products IEA'!$A$4:$BN$4, 0)
     )
     * $L55:$U55,
     0
  )
)</f>
        <v>0</v>
      </c>
      <c r="AP55" s="57" cm="1">
        <f t="array" ref="AP55">SUMPRODUCT(
  IF($B55:$K55&lt;&gt;"",
     INDEX('Eurostat EB products IEA'!$A$4:$BN$135,
           MATCH($B55:$K55, 'Eurostat EB products IEA'!$A$4:$A$135, 0),
           MATCH(AP$1, 'Eurostat EB products IEA'!$A$4:$BN$4, 0)
     )
     * $L55:$U55,
     0
  )
)</f>
        <v>0</v>
      </c>
      <c r="AQ55" s="57" cm="1">
        <f t="array" ref="AQ55">SUMPRODUCT(
  IF($B55:$K55&lt;&gt;"",
     INDEX('Eurostat EB products IEA'!$A$4:$BN$135,
           MATCH($B55:$K55, 'Eurostat EB products IEA'!$A$4:$A$135, 0),
           MATCH(AQ$1, 'Eurostat EB products IEA'!$A$4:$BN$4, 0)
     )
     * $L55:$U55,
     0
  )
)</f>
        <v>0</v>
      </c>
      <c r="AR55" s="57" cm="1">
        <f t="array" ref="AR55">SUMPRODUCT(
  IF($B55:$K55&lt;&gt;"",
     INDEX('Eurostat EB products IEA'!$A$4:$BN$135,
           MATCH($B55:$K55, 'Eurostat EB products IEA'!$A$4:$A$135, 0),
           MATCH(AR$1, 'Eurostat EB products IEA'!$A$4:$BN$4, 0)
     )
     * $L55:$U55,
     0
  )
)</f>
        <v>0</v>
      </c>
      <c r="AS55" s="57" cm="1">
        <f t="array" ref="AS55">SUMPRODUCT(
  IF($B55:$K55&lt;&gt;"",
     INDEX('Eurostat EB products IEA'!$A$4:$BN$135,
           MATCH($B55:$K55, 'Eurostat EB products IEA'!$A$4:$A$135, 0),
           MATCH(AS$1, 'Eurostat EB products IEA'!$A$4:$BN$4, 0)
     )
     * $L55:$U55,
     0
  )
)</f>
        <v>0</v>
      </c>
      <c r="AT55" s="57" cm="1">
        <f t="array" ref="AT55">SUMPRODUCT(
  IF($B55:$K55&lt;&gt;"",
     INDEX('Eurostat EB products IEA'!$A$4:$BN$135,
           MATCH($B55:$K55, 'Eurostat EB products IEA'!$A$4:$A$135, 0),
           MATCH(AT$1, 'Eurostat EB products IEA'!$A$4:$BN$4, 0)
     )
     * $L55:$U55,
     0
  )
)</f>
        <v>0</v>
      </c>
      <c r="AU55" s="57" cm="1">
        <f t="array" ref="AU55">SUMPRODUCT(
  IF($B55:$K55&lt;&gt;"",
     INDEX('Eurostat EB products IEA'!$A$4:$BN$135,
           MATCH($B55:$K55, 'Eurostat EB products IEA'!$A$4:$A$135, 0),
           MATCH(AU$1, 'Eurostat EB products IEA'!$A$4:$BN$4, 0)
     )
     * $L55:$U55,
     0
  )
)</f>
        <v>0</v>
      </c>
      <c r="AV55" s="57" cm="1">
        <f t="array" ref="AV55">SUMPRODUCT(
  IF($B55:$K55&lt;&gt;"",
     INDEX('Eurostat EB products IEA'!$A$4:$BN$135,
           MATCH($B55:$K55, 'Eurostat EB products IEA'!$A$4:$A$135, 0),
           MATCH(AV$1, 'Eurostat EB products IEA'!$A$4:$BN$4, 0)
     )
     * $L55:$U55,
     0
  )
)</f>
        <v>33.308</v>
      </c>
      <c r="AW55" s="57" cm="1">
        <f t="array" ref="AW55">SUMPRODUCT(
  IF($B55:$K55&lt;&gt;"",
     INDEX('Eurostat EB products IEA'!$A$4:$BN$135,
           MATCH($B55:$K55, 'Eurostat EB products IEA'!$A$4:$A$135, 0),
           MATCH(AW$1, 'Eurostat EB products IEA'!$A$4:$BN$4, 0)
     )
     * $L55:$U55,
     0
  )
)</f>
        <v>0</v>
      </c>
      <c r="AX55" s="57" cm="1">
        <f t="array" ref="AX55">SUMPRODUCT(
  IF($B55:$K55&lt;&gt;"",
     INDEX('Eurostat EB products IEA'!$A$4:$BN$135,
           MATCH($B55:$K55, 'Eurostat EB products IEA'!$A$4:$A$135, 0),
           MATCH(AX$1, 'Eurostat EB products IEA'!$A$4:$BN$4, 0)
     )
     * $L55:$U55,
     0
  )
)</f>
        <v>0</v>
      </c>
      <c r="AY55" s="57" cm="1">
        <f t="array" ref="AY55">SUMPRODUCT(
  IF($B55:$K55&lt;&gt;"",
     INDEX('Eurostat EB products IEA'!$A$4:$BN$135,
           MATCH($B55:$K55, 'Eurostat EB products IEA'!$A$4:$A$135, 0),
           MATCH(AY$1, 'Eurostat EB products IEA'!$A$4:$BN$4, 0)
     )
     * $L55:$U55,
     0
  )
)</f>
        <v>0</v>
      </c>
      <c r="AZ55" s="57" cm="1">
        <f t="array" ref="AZ55">SUMPRODUCT(
  IF($B55:$K55&lt;&gt;"",
     INDEX('Eurostat EB products IEA'!$A$4:$BN$135,
           MATCH($B55:$K55, 'Eurostat EB products IEA'!$A$4:$A$135, 0),
           MATCH(AZ$1, 'Eurostat EB products IEA'!$A$4:$BN$4, 0)
     )
     * $L55:$U55,
     0
  )
)</f>
        <v>0</v>
      </c>
      <c r="BA55" s="57" cm="1">
        <f t="array" ref="BA55">SUMPRODUCT(
  IF($B55:$K55&lt;&gt;"",
     INDEX('Eurostat EB products IEA'!$A$4:$BN$135,
           MATCH($B55:$K55, 'Eurostat EB products IEA'!$A$4:$A$135, 0),
           MATCH(BA$1, 'Eurostat EB products IEA'!$A$4:$BN$4, 0)
     )
     * $L55:$U55,
     0
  )
)</f>
        <v>0</v>
      </c>
      <c r="BB55" s="57" cm="1">
        <f t="array" ref="BB55">SUMPRODUCT(
  IF($B55:$K55&lt;&gt;"",
     INDEX('Eurostat EB products IEA'!$A$4:$BN$135,
           MATCH($B55:$K55, 'Eurostat EB products IEA'!$A$4:$A$135, 0),
           MATCH(BB$1, 'Eurostat EB products IEA'!$A$4:$BN$4, 0)
     )
     * $L55:$U55,
     0
  )
)</f>
        <v>104.83199999999999</v>
      </c>
      <c r="BC55" s="57" cm="1">
        <f t="array" ref="BC55">SUMPRODUCT(
  IF($B55:$K55&lt;&gt;"",
     INDEX('Eurostat EB products IEA'!$A$4:$BN$135,
           MATCH($B55:$K55, 'Eurostat EB products IEA'!$A$4:$A$135, 0),
           MATCH(BC$1, 'Eurostat EB products IEA'!$A$4:$BN$4, 0)
     )
     * $L55:$U55,
     0
  )
)</f>
        <v>0</v>
      </c>
      <c r="BD55" s="57" cm="1">
        <f t="array" ref="BD55">SUMPRODUCT(
  IF($B55:$K55&lt;&gt;"",
     INDEX('Eurostat EB products IEA'!$A$4:$BN$135,
           MATCH($B55:$K55, 'Eurostat EB products IEA'!$A$4:$A$135, 0),
           MATCH(BD$1, 'Eurostat EB products IEA'!$A$4:$BN$4, 0)
     )
     * $L55:$U55,
     0
  )
)</f>
        <v>0</v>
      </c>
      <c r="BE55" s="57" cm="1">
        <f t="array" ref="BE55">SUMPRODUCT(
  IF($B55:$K55&lt;&gt;"",
     INDEX('Eurostat EB products IEA'!$A$4:$BN$135,
           MATCH($B55:$K55, 'Eurostat EB products IEA'!$A$4:$A$135, 0),
           MATCH(BE$1, 'Eurostat EB products IEA'!$A$4:$BN$4, 0)
     )
     * $L55:$U55,
     0
  )
)</f>
        <v>0</v>
      </c>
      <c r="BF55" s="57" cm="1">
        <f t="array" ref="BF55">SUMPRODUCT(
  IF($B55:$K55&lt;&gt;"",
     INDEX('Eurostat EB products IEA'!$A$4:$BN$135,
           MATCH($B55:$K55, 'Eurostat EB products IEA'!$A$4:$A$135, 0),
           MATCH(BF$1, 'Eurostat EB products IEA'!$A$4:$BN$4, 0)
     )
     * $L55:$U55,
     0
  )
)</f>
        <v>0</v>
      </c>
      <c r="BG55" s="57" cm="1">
        <f t="array" ref="BG55">SUMPRODUCT(
  IF($B55:$K55&lt;&gt;"",
     INDEX('Eurostat EB products IEA'!$A$4:$BN$135,
           MATCH($B55:$K55, 'Eurostat EB products IEA'!$A$4:$A$135, 0),
           MATCH(BG$1, 'Eurostat EB products IEA'!$A$4:$BN$4, 0)
     )
     * $L55:$U55,
     0
  )
)</f>
        <v>0</v>
      </c>
      <c r="BH55" s="57" cm="1">
        <f t="array" ref="BH55">SUMPRODUCT(
  IF($B55:$K55&lt;&gt;"",
     INDEX('Eurostat EB products IEA'!$A$4:$BN$135,
           MATCH($B55:$K55, 'Eurostat EB products IEA'!$A$4:$A$135, 0),
           MATCH(BH$1, 'Eurostat EB products IEA'!$A$4:$BN$4, 0)
     )
     * $L55:$U55,
     0
  )
)</f>
        <v>0</v>
      </c>
      <c r="BI55" s="57" cm="1">
        <f t="array" ref="BI55">SUMPRODUCT(
  IF($B55:$K55&lt;&gt;"",
     INDEX('Eurostat EB products IEA'!$A$4:$BN$135,
           MATCH($B55:$K55, 'Eurostat EB products IEA'!$A$4:$A$135, 0),
           MATCH(BI$1, 'Eurostat EB products IEA'!$A$4:$BN$4, 0)
     )
     * $L55:$U55,
     0
  )
)</f>
        <v>64.194999999999993</v>
      </c>
      <c r="BJ55" s="57" cm="1">
        <f t="array" ref="BJ55">SUMPRODUCT(
  IF($B55:$K55&lt;&gt;"",
     INDEX('Eurostat EB products IEA'!$A$4:$BN$135,
           MATCH($B55:$K55, 'Eurostat EB products IEA'!$A$4:$A$135, 0),
           MATCH(BJ$1, 'Eurostat EB products IEA'!$A$4:$BN$4, 0)
     )
     * $L55:$U55,
     0
  )
)</f>
        <v>2.2389999999999999</v>
      </c>
      <c r="BK55" s="57" cm="1">
        <f t="array" ref="BK55">SUMPRODUCT(
  IF($B55:$K55&lt;&gt;"",
     INDEX('Eurostat EB products IEA'!$A$4:$BN$135,
           MATCH($B55:$K55, 'Eurostat EB products IEA'!$A$4:$A$135, 0),
           MATCH(BK$1, 'Eurostat EB products IEA'!$A$4:$BN$4, 0)
     )
     * $L55:$U55,
     0
  )
)</f>
        <v>0</v>
      </c>
      <c r="BL55" s="57" cm="1">
        <f t="array" ref="BL55">SUMPRODUCT(
  IF($B55:$K55&lt;&gt;"",
     INDEX('Eurostat EB products IEA'!$A$4:$BN$135,
           MATCH($B55:$K55, 'Eurostat EB products IEA'!$A$4:$A$135, 0),
           MATCH(BL$1, 'Eurostat EB products IEA'!$A$4:$BN$4, 0)
     )
     * $L55:$U55,
     0
  )
)</f>
        <v>0</v>
      </c>
      <c r="BM55" s="57" cm="1">
        <f t="array" ref="BM55">SUMPRODUCT(
  IF($B55:$K55&lt;&gt;"",
     INDEX('Eurostat EB products IEA'!$A$4:$BN$135,
           MATCH($B55:$K55, 'Eurostat EB products IEA'!$A$4:$A$135, 0),
           MATCH(BM$1, 'Eurostat EB products IEA'!$A$4:$BN$4, 0)
     )
     * $L55:$U55,
     0
  )
)</f>
        <v>0</v>
      </c>
      <c r="BN55" s="57" cm="1">
        <f t="array" ref="BN55">SUMPRODUCT(
  IF($B55:$K55&lt;&gt;"",
     INDEX('Eurostat EB products IEA'!$A$4:$BN$135,
           MATCH($B55:$K55, 'Eurostat EB products IEA'!$A$4:$A$135, 0),
           MATCH(BN$1, 'Eurostat EB products IEA'!$A$4:$BN$4, 0)
     )
     * $L55:$U55,
     0
  )
)</f>
        <v>0</v>
      </c>
      <c r="BO55" s="57" cm="1">
        <f t="array" ref="BO55">SUMPRODUCT(
  IF($B55:$K55&lt;&gt;"",
     INDEX('Eurostat EB products IEA'!$A$4:$BN$135,
           MATCH($B55:$K55, 'Eurostat EB products IEA'!$A$4:$A$135, 0),
           MATCH(BO$1, 'Eurostat EB products IEA'!$A$4:$BN$4, 0)
     )
     * $L55:$U55,
     0
  )
)</f>
        <v>0</v>
      </c>
      <c r="BP55" s="57" cm="1">
        <f t="array" ref="BP55">SUMPRODUCT(
  IF($B55:$K55&lt;&gt;"",
     INDEX('Eurostat EB products IEA'!$A$4:$BN$135,
           MATCH($B55:$K55, 'Eurostat EB products IEA'!$A$4:$A$135, 0),
           MATCH(BP$1, 'Eurostat EB products IEA'!$A$4:$BN$4, 0)
     )
     * $L55:$U55,
     0
  )
)</f>
        <v>0</v>
      </c>
      <c r="BQ55" s="57" cm="1">
        <f t="array" ref="BQ55">SUMPRODUCT(
  IF($B55:$K55&lt;&gt;"",
     INDEX('Eurostat EB products IEA'!$A$4:$BN$135,
           MATCH($B55:$K55, 'Eurostat EB products IEA'!$A$4:$A$135, 0),
           MATCH(BQ$1, 'Eurostat EB products IEA'!$A$4:$BN$4, 0)
     )
     * $L55:$U55,
     0
  )
)</f>
        <v>0</v>
      </c>
      <c r="BR55" s="57" cm="1">
        <f t="array" ref="BR55">SUMPRODUCT(
  IF($B55:$K55&lt;&gt;"",
     INDEX('Eurostat EB products IEA'!$A$4:$BN$135,
           MATCH($B55:$K55, 'Eurostat EB products IEA'!$A$4:$A$135, 0),
           MATCH(BR$1, 'Eurostat EB products IEA'!$A$4:$BN$4, 0)
     )
     * $L55:$U55,
     0
  )
)</f>
        <v>0</v>
      </c>
      <c r="BS55" s="65">
        <v>0</v>
      </c>
      <c r="BT55" s="57" cm="1">
        <f t="array" ref="BT55">SUMPRODUCT(
  IF($B55:$K55&lt;&gt;"",
     INDEX('Eurostat EB products IEA'!$A$4:$BN$135,
           MATCH($B55:$K55, 'Eurostat EB products IEA'!$A$4:$A$135, 0),
           MATCH(BT$1, 'Eurostat EB products IEA'!$A$4:$BN$4, 0)
     )
     * $L55:$U55,
     0
  )
)</f>
        <v>0</v>
      </c>
      <c r="BU55" s="65">
        <v>0</v>
      </c>
      <c r="BV55" s="65">
        <v>0</v>
      </c>
      <c r="BW55" s="57" cm="1">
        <f t="array" ref="BW55">SUMPRODUCT(
  IF($B55:$K55&lt;&gt;"",
     INDEX('Eurostat EB products IEA'!$A$4:$BN$135,
           MATCH($B55:$K55, 'Eurostat EB products IEA'!$A$4:$A$135, 0),
           MATCH(BW$1, 'Eurostat EB products IEA'!$A$4:$BN$4, 0)
     )
     * $L55:$U55,
     0
  )
)</f>
        <v>0</v>
      </c>
      <c r="BX55" s="57" cm="1">
        <f t="array" ref="BX55">SUMPRODUCT(
  IF($B55:$K55&lt;&gt;"",
     INDEX('Eurostat EB products IEA'!$A$4:$BN$135,
           MATCH($B55:$K55, 'Eurostat EB products IEA'!$A$4:$A$135, 0),
           MATCH(BX$1, 'Eurostat EB products IEA'!$A$4:$BN$4, 0)
     )
     * $L55:$U55,
     0
  )
)</f>
        <v>0</v>
      </c>
      <c r="BY55" s="57" cm="1">
        <f t="array" ref="BY55">SUMPRODUCT(
  IF($B55:$K55&lt;&gt;"",
     INDEX('Eurostat EB products IEA'!$A$4:$BN$135,
           MATCH($B55:$K55, 'Eurostat EB products IEA'!$A$4:$A$135, 0),
           MATCH(BY$1, 'Eurostat EB products IEA'!$A$4:$BN$4, 0)
     )
     * $L55:$U55,
     0
  )
)</f>
        <v>0</v>
      </c>
      <c r="BZ55" s="57" cm="1">
        <f t="array" ref="BZ55">SUMPRODUCT(
  IF($B55:$K55&lt;&gt;"",
     INDEX('Eurostat EB products IEA'!$A$4:$BN$135,
           MATCH($B55:$K55, 'Eurostat EB products IEA'!$A$4:$A$135, 0),
           MATCH(BZ$1, 'Eurostat EB products IEA'!$A$4:$BN$4, 0)
     )
     * $L55:$U55,
     0
  )
)</f>
        <v>0</v>
      </c>
      <c r="CA55" s="57" cm="1">
        <f t="array" ref="CA55">SUMPRODUCT(
  IF($B55:$K55&lt;&gt;"",
     INDEX('Eurostat EB products IEA'!$A$4:$BN$135,
           MATCH($B55:$K55, 'Eurostat EB products IEA'!$A$4:$A$135, 0),
           MATCH(CA$1, 'Eurostat EB products IEA'!$A$4:$BN$4, 0)
     )
     * $L55:$U55,
     0
  )
)</f>
        <v>0</v>
      </c>
      <c r="CB55" s="57" cm="1">
        <f t="array" ref="CB55">SUMPRODUCT(
  IF($B55:$K55&lt;&gt;"",
     INDEX('Eurostat EB products IEA'!$A$4:$BN$135,
           MATCH($B55:$K55, 'Eurostat EB products IEA'!$A$4:$A$135, 0),
           MATCH(CB$1, 'Eurostat EB products IEA'!$A$4:$BN$4, 0)
     )
     * $L55:$U55,
     0
  )
)</f>
        <v>0</v>
      </c>
      <c r="CC55" s="57" cm="1">
        <f t="array" ref="CC55">SUMPRODUCT(
  IF($B55:$K55&lt;&gt;"",
     INDEX('Eurostat EB products IEA'!$A$4:$BN$135,
           MATCH($B55:$K55, 'Eurostat EB products IEA'!$A$4:$A$135, 0),
           MATCH(CC$1, 'Eurostat EB products IEA'!$A$4:$BN$4, 0)
     )
     * $L55:$U55,
     0
  )
)</f>
        <v>0</v>
      </c>
      <c r="CD55" s="65">
        <v>0</v>
      </c>
      <c r="CE55" s="57" cm="1">
        <f t="array" ref="CE55">SUMPRODUCT(
  IF($B55:$K55&lt;&gt;"",
     INDEX('Eurostat EB products IEA'!$A$4:$BN$135,
           MATCH($B55:$K55, 'Eurostat EB products IEA'!$A$4:$A$135, 0),
           MATCH(CE$1, 'Eurostat EB products IEA'!$A$4:$BN$4, 0)
     )
     * $L55:$U55,
     0
  )
)</f>
        <v>6857.442</v>
      </c>
      <c r="CF55" s="57" cm="1">
        <f t="array" ref="CF55">SUMPRODUCT(
  IF($B55:$K55&lt;&gt;"",
     INDEX('Eurostat EB products IEA'!$A$4:$BN$135,
           MATCH($B55:$K55, 'Eurostat EB products IEA'!$A$4:$A$135, 0),
           MATCH(CF$1, 'Eurostat EB products IEA'!$A$4:$BN$4, 0)
     )
     * $L55:$U55,
     0
  )
)</f>
        <v>48.027000000000001</v>
      </c>
      <c r="CG55" s="57" cm="1">
        <f t="array" ref="CG55">SUMPRODUCT(
  IF($B55:$K55&lt;&gt;"",
     INDEX('Eurostat EB products IEA'!$A$4:$BN$135,
           MATCH($B55:$K55, 'Eurostat EB products IEA'!$A$4:$A$135, 0),
           MATCH(CG$1, 'Eurostat EB products IEA'!$A$4:$BN$4, 0)
     )
     * $L55:$U55,
     0
  )
)</f>
        <v>28445.046999999999</v>
      </c>
      <c r="CH55" s="57" cm="1">
        <f t="array" ref="CH55">SUMPRODUCT(
  IF($B55:$K55&lt;&gt;"",
     INDEX('Eurostat EB products IEA'!$A$4:$BN$135,
           MATCH($B55:$K55, 'Eurostat EB products IEA'!$A$4:$A$135, 0),
           MATCH(CH$1, 'Eurostat EB products IEA'!$A$4:$BN$4, 0)
     )
     * $L55:$U55,
     0
  )
)</f>
        <v>540.65099999999995</v>
      </c>
    </row>
    <row r="56" spans="1:86" x14ac:dyDescent="0.2">
      <c r="A56" t="s">
        <v>173</v>
      </c>
      <c r="B56" s="75"/>
      <c r="C56" s="77"/>
      <c r="D56" s="75"/>
      <c r="E56" s="77"/>
      <c r="F56" s="75"/>
      <c r="G56" s="77"/>
      <c r="H56" s="75"/>
      <c r="I56" s="77"/>
      <c r="J56" s="74"/>
      <c r="K56" s="78" t="s">
        <v>289</v>
      </c>
      <c r="L56" s="76"/>
      <c r="M56" s="79"/>
      <c r="N56" s="76"/>
      <c r="O56" s="79"/>
      <c r="P56" s="76"/>
      <c r="Q56" s="79"/>
      <c r="R56" s="76"/>
      <c r="S56" s="79"/>
      <c r="T56" s="76"/>
      <c r="U56" s="79">
        <v>1</v>
      </c>
      <c r="V56" s="65" t="s">
        <v>323</v>
      </c>
      <c r="W56" s="65" t="s">
        <v>323</v>
      </c>
      <c r="X56" s="17" cm="1">
        <f t="array" ref="X56">SUMPRODUCT(
  IF($B56:$K56&lt;&gt;"",
     INDEX('Eurostat EB products IEA'!$A$4:$BN$135,
           MATCH($B56:$K56, 'Eurostat EB products IEA'!$A$4:$A$135, 0),
           MATCH(X$1, 'Eurostat EB products IEA'!$A$4:$BN$4, 0)
     )
     * $L56:$U56,
     0
  )
)</f>
        <v>0</v>
      </c>
      <c r="Y56" s="17" cm="1">
        <f t="array" ref="Y56">SUMPRODUCT(
  IF($B56:$K56&lt;&gt;"",
     INDEX('Eurostat EB products IEA'!$A$4:$BN$135,
           MATCH($B56:$K56, 'Eurostat EB products IEA'!$A$4:$A$135, 0),
           MATCH(Y$1, 'Eurostat EB products IEA'!$A$4:$BN$4, 0)
     )
     * $L56:$U56,
     0
  )
)</f>
        <v>0</v>
      </c>
      <c r="Z56" s="17" cm="1">
        <f t="array" ref="Z56">SUMPRODUCT(
  IF($B56:$K56&lt;&gt;"",
     INDEX('Eurostat EB products IEA'!$A$4:$BN$135,
           MATCH($B56:$K56, 'Eurostat EB products IEA'!$A$4:$A$135, 0),
           MATCH(Z$1, 'Eurostat EB products IEA'!$A$4:$BN$4, 0)
     )
     * $L56:$U56,
     0
  )
)</f>
        <v>0</v>
      </c>
      <c r="AA56" s="17" cm="1">
        <f t="array" ref="AA56">SUMPRODUCT(
  IF($B56:$K56&lt;&gt;"",
     INDEX('Eurostat EB products IEA'!$A$4:$BN$135,
           MATCH($B56:$K56, 'Eurostat EB products IEA'!$A$4:$A$135, 0),
           MATCH(AA$1, 'Eurostat EB products IEA'!$A$4:$BN$4, 0)
     )
     * $L56:$U56,
     0
  )
)</f>
        <v>0</v>
      </c>
      <c r="AB56" s="17" cm="1">
        <f t="array" ref="AB56">SUMPRODUCT(
  IF($B56:$K56&lt;&gt;"",
     INDEX('Eurostat EB products IEA'!$A$4:$BN$135,
           MATCH($B56:$K56, 'Eurostat EB products IEA'!$A$4:$A$135, 0),
           MATCH(AB$1, 'Eurostat EB products IEA'!$A$4:$BN$4, 0)
     )
     * $L56:$U56,
     0
  )
)</f>
        <v>0</v>
      </c>
      <c r="AC56" s="17" cm="1">
        <f t="array" ref="AC56">SUMPRODUCT(
  IF($B56:$K56&lt;&gt;"",
     INDEX('Eurostat EB products IEA'!$A$4:$BN$135,
           MATCH($B56:$K56, 'Eurostat EB products IEA'!$A$4:$A$135, 0),
           MATCH(AC$1, 'Eurostat EB products IEA'!$A$4:$BN$4, 0)
     )
     * $L56:$U56,
     0
  )
)</f>
        <v>0</v>
      </c>
      <c r="AD56" s="17" cm="1">
        <f t="array" ref="AD56">SUMPRODUCT(
  IF($B56:$K56&lt;&gt;"",
     INDEX('Eurostat EB products IEA'!$A$4:$BN$135,
           MATCH($B56:$K56, 'Eurostat EB products IEA'!$A$4:$A$135, 0),
           MATCH(AD$1, 'Eurostat EB products IEA'!$A$4:$BN$4, 0)
     )
     * $L56:$U56,
     0
  )
)</f>
        <v>0</v>
      </c>
      <c r="AE56" s="17" cm="1">
        <f t="array" ref="AE56">SUMPRODUCT(
  IF($B56:$K56&lt;&gt;"",
     INDEX('Eurostat EB products IEA'!$A$4:$BN$135,
           MATCH($B56:$K56, 'Eurostat EB products IEA'!$A$4:$A$135, 0),
           MATCH(AE$1, 'Eurostat EB products IEA'!$A$4:$BN$4, 0)
     )
     * $L56:$U56,
     0
  )
)</f>
        <v>0</v>
      </c>
      <c r="AF56" s="17" cm="1">
        <f t="array" ref="AF56">SUMPRODUCT(
  IF($B56:$K56&lt;&gt;"",
     INDEX('Eurostat EB products IEA'!$A$4:$BN$135,
           MATCH($B56:$K56, 'Eurostat EB products IEA'!$A$4:$A$135, 0),
           MATCH(AF$1, 'Eurostat EB products IEA'!$A$4:$BN$4, 0)
     )
     * $L56:$U56,
     0
  )
)</f>
        <v>0</v>
      </c>
      <c r="AG56" s="17" cm="1">
        <f t="array" ref="AG56">SUMPRODUCT(
  IF($B56:$K56&lt;&gt;"",
     INDEX('Eurostat EB products IEA'!$A$4:$BN$135,
           MATCH($B56:$K56, 'Eurostat EB products IEA'!$A$4:$A$135, 0),
           MATCH(AG$1, 'Eurostat EB products IEA'!$A$4:$BN$4, 0)
     )
     * $L56:$U56,
     0
  )
)</f>
        <v>0</v>
      </c>
      <c r="AH56" s="17" cm="1">
        <f t="array" ref="AH56">SUMPRODUCT(
  IF($B56:$K56&lt;&gt;"",
     INDEX('Eurostat EB products IEA'!$A$4:$BN$135,
           MATCH($B56:$K56, 'Eurostat EB products IEA'!$A$4:$A$135, 0),
           MATCH(AH$1, 'Eurostat EB products IEA'!$A$4:$BN$4, 0)
     )
     * $L56:$U56,
     0
  )
)</f>
        <v>0</v>
      </c>
      <c r="AI56" s="17" cm="1">
        <f t="array" ref="AI56">SUMPRODUCT(
  IF($B56:$K56&lt;&gt;"",
     INDEX('Eurostat EB products IEA'!$A$4:$BN$135,
           MATCH($B56:$K56, 'Eurostat EB products IEA'!$A$4:$A$135, 0),
           MATCH(AI$1, 'Eurostat EB products IEA'!$A$4:$BN$4, 0)
     )
     * $L56:$U56,
     0
  )
)</f>
        <v>0</v>
      </c>
      <c r="AJ56" s="17" cm="1">
        <f t="array" ref="AJ56">SUMPRODUCT(
  IF($B56:$K56&lt;&gt;"",
     INDEX('Eurostat EB products IEA'!$A$4:$BN$135,
           MATCH($B56:$K56, 'Eurostat EB products IEA'!$A$4:$A$135, 0),
           MATCH(AJ$1, 'Eurostat EB products IEA'!$A$4:$BN$4, 0)
     )
     * $L56:$U56,
     0
  )
)</f>
        <v>0</v>
      </c>
      <c r="AK56" s="17" cm="1">
        <f t="array" ref="AK56">SUMPRODUCT(
  IF($B56:$K56&lt;&gt;"",
     INDEX('Eurostat EB products IEA'!$A$4:$BN$135,
           MATCH($B56:$K56, 'Eurostat EB products IEA'!$A$4:$A$135, 0),
           MATCH(AK$1, 'Eurostat EB products IEA'!$A$4:$BN$4, 0)
     )
     * $L56:$U56,
     0
  )
)</f>
        <v>0</v>
      </c>
      <c r="AL56" s="17" cm="1">
        <f t="array" ref="AL56">SUMPRODUCT(
  IF($B56:$K56&lt;&gt;"",
     INDEX('Eurostat EB products IEA'!$A$4:$BN$135,
           MATCH($B56:$K56, 'Eurostat EB products IEA'!$A$4:$A$135, 0),
           MATCH(AL$1, 'Eurostat EB products IEA'!$A$4:$BN$4, 0)
     )
     * $L56:$U56,
     0
  )
)</f>
        <v>0</v>
      </c>
      <c r="AM56" s="17" cm="1">
        <f t="array" ref="AM56">SUMPRODUCT(
  IF($B56:$K56&lt;&gt;"",
     INDEX('Eurostat EB products IEA'!$A$4:$BN$135,
           MATCH($B56:$K56, 'Eurostat EB products IEA'!$A$4:$A$135, 0),
           MATCH(AM$1, 'Eurostat EB products IEA'!$A$4:$BN$4, 0)
     )
     * $L56:$U56,
     0
  )
)</f>
        <v>70345.629000000001</v>
      </c>
      <c r="AN56" s="65" t="s">
        <v>323</v>
      </c>
      <c r="AO56" s="17" cm="1">
        <f t="array" ref="AO56">SUMPRODUCT(
  IF($B56:$K56&lt;&gt;"",
     INDEX('Eurostat EB products IEA'!$A$4:$BN$135,
           MATCH($B56:$K56, 'Eurostat EB products IEA'!$A$4:$A$135, 0),
           MATCH(AO$1, 'Eurostat EB products IEA'!$A$4:$BN$4, 0)
     )
     * $L56:$U56,
     0
  )
)</f>
        <v>0</v>
      </c>
      <c r="AP56" s="17" cm="1">
        <f t="array" ref="AP56">SUMPRODUCT(
  IF($B56:$K56&lt;&gt;"",
     INDEX('Eurostat EB products IEA'!$A$4:$BN$135,
           MATCH($B56:$K56, 'Eurostat EB products IEA'!$A$4:$A$135, 0),
           MATCH(AP$1, 'Eurostat EB products IEA'!$A$4:$BN$4, 0)
     )
     * $L56:$U56,
     0
  )
)</f>
        <v>0</v>
      </c>
      <c r="AQ56" s="17" cm="1">
        <f t="array" ref="AQ56">SUMPRODUCT(
  IF($B56:$K56&lt;&gt;"",
     INDEX('Eurostat EB products IEA'!$A$4:$BN$135,
           MATCH($B56:$K56, 'Eurostat EB products IEA'!$A$4:$A$135, 0),
           MATCH(AQ$1, 'Eurostat EB products IEA'!$A$4:$BN$4, 0)
     )
     * $L56:$U56,
     0
  )
)</f>
        <v>0</v>
      </c>
      <c r="AR56" s="17" cm="1">
        <f t="array" ref="AR56">SUMPRODUCT(
  IF($B56:$K56&lt;&gt;"",
     INDEX('Eurostat EB products IEA'!$A$4:$BN$135,
           MATCH($B56:$K56, 'Eurostat EB products IEA'!$A$4:$A$135, 0),
           MATCH(AR$1, 'Eurostat EB products IEA'!$A$4:$BN$4, 0)
     )
     * $L56:$U56,
     0
  )
)</f>
        <v>0</v>
      </c>
      <c r="AS56" s="17" cm="1">
        <f t="array" ref="AS56">SUMPRODUCT(
  IF($B56:$K56&lt;&gt;"",
     INDEX('Eurostat EB products IEA'!$A$4:$BN$135,
           MATCH($B56:$K56, 'Eurostat EB products IEA'!$A$4:$A$135, 0),
           MATCH(AS$1, 'Eurostat EB products IEA'!$A$4:$BN$4, 0)
     )
     * $L56:$U56,
     0
  )
)</f>
        <v>0</v>
      </c>
      <c r="AT56" s="17" cm="1">
        <f t="array" ref="AT56">SUMPRODUCT(
  IF($B56:$K56&lt;&gt;"",
     INDEX('Eurostat EB products IEA'!$A$4:$BN$135,
           MATCH($B56:$K56, 'Eurostat EB products IEA'!$A$4:$A$135, 0),
           MATCH(AT$1, 'Eurostat EB products IEA'!$A$4:$BN$4, 0)
     )
     * $L56:$U56,
     0
  )
)</f>
        <v>103516.201</v>
      </c>
      <c r="AU56" s="17" cm="1">
        <f t="array" ref="AU56">SUMPRODUCT(
  IF($B56:$K56&lt;&gt;"",
     INDEX('Eurostat EB products IEA'!$A$4:$BN$135,
           MATCH($B56:$K56, 'Eurostat EB products IEA'!$A$4:$A$135, 0),
           MATCH(AU$1, 'Eurostat EB products IEA'!$A$4:$BN$4, 0)
     )
     * $L56:$U56,
     0
  )
)</f>
        <v>0</v>
      </c>
      <c r="AV56" s="17" cm="1">
        <f t="array" ref="AV56">SUMPRODUCT(
  IF($B56:$K56&lt;&gt;"",
     INDEX('Eurostat EB products IEA'!$A$4:$BN$135,
           MATCH($B56:$K56, 'Eurostat EB products IEA'!$A$4:$A$135, 0),
           MATCH(AV$1, 'Eurostat EB products IEA'!$A$4:$BN$4, 0)
     )
     * $L56:$U56,
     0
  )
)</f>
        <v>40.945</v>
      </c>
      <c r="AW56" s="17" cm="1">
        <f t="array" ref="AW56">SUMPRODUCT(
  IF($B56:$K56&lt;&gt;"",
     INDEX('Eurostat EB products IEA'!$A$4:$BN$135,
           MATCH($B56:$K56, 'Eurostat EB products IEA'!$A$4:$A$135, 0),
           MATCH(AW$1, 'Eurostat EB products IEA'!$A$4:$BN$4, 0)
     )
     * $L56:$U56,
     0
  )
)</f>
        <v>0</v>
      </c>
      <c r="AX56" s="17" cm="1">
        <f t="array" ref="AX56">SUMPRODUCT(
  IF($B56:$K56&lt;&gt;"",
     INDEX('Eurostat EB products IEA'!$A$4:$BN$135,
           MATCH($B56:$K56, 'Eurostat EB products IEA'!$A$4:$A$135, 0),
           MATCH(AX$1, 'Eurostat EB products IEA'!$A$4:$BN$4, 0)
     )
     * $L56:$U56,
     0
  )
)</f>
        <v>0</v>
      </c>
      <c r="AY56" s="17" cm="1">
        <f t="array" ref="AY56">SUMPRODUCT(
  IF($B56:$K56&lt;&gt;"",
     INDEX('Eurostat EB products IEA'!$A$4:$BN$135,
           MATCH($B56:$K56, 'Eurostat EB products IEA'!$A$4:$A$135, 0),
           MATCH(AY$1, 'Eurostat EB products IEA'!$A$4:$BN$4, 0)
     )
     * $L56:$U56,
     0
  )
)</f>
        <v>0</v>
      </c>
      <c r="AZ56" s="17" cm="1">
        <f t="array" ref="AZ56">SUMPRODUCT(
  IF($B56:$K56&lt;&gt;"",
     INDEX('Eurostat EB products IEA'!$A$4:$BN$135,
           MATCH($B56:$K56, 'Eurostat EB products IEA'!$A$4:$A$135, 0),
           MATCH(AZ$1, 'Eurostat EB products IEA'!$A$4:$BN$4, 0)
     )
     * $L56:$U56,
     0
  )
)</f>
        <v>0</v>
      </c>
      <c r="BA56" s="17" cm="1">
        <f t="array" ref="BA56">SUMPRODUCT(
  IF($B56:$K56&lt;&gt;"",
     INDEX('Eurostat EB products IEA'!$A$4:$BN$135,
           MATCH($B56:$K56, 'Eurostat EB products IEA'!$A$4:$A$135, 0),
           MATCH(BA$1, 'Eurostat EB products IEA'!$A$4:$BN$4, 0)
     )
     * $L56:$U56,
     0
  )
)</f>
        <v>0</v>
      </c>
      <c r="BB56" s="17" cm="1">
        <f t="array" ref="BB56">SUMPRODUCT(
  IF($B56:$K56&lt;&gt;"",
     INDEX('Eurostat EB products IEA'!$A$4:$BN$135,
           MATCH($B56:$K56, 'Eurostat EB products IEA'!$A$4:$A$135, 0),
           MATCH(BB$1, 'Eurostat EB products IEA'!$A$4:$BN$4, 0)
     )
     * $L56:$U56,
     0
  )
)</f>
        <v>75.668999999999997</v>
      </c>
      <c r="BC56" s="17" cm="1">
        <f t="array" ref="BC56">SUMPRODUCT(
  IF($B56:$K56&lt;&gt;"",
     INDEX('Eurostat EB products IEA'!$A$4:$BN$135,
           MATCH($B56:$K56, 'Eurostat EB products IEA'!$A$4:$A$135, 0),
           MATCH(BC$1, 'Eurostat EB products IEA'!$A$4:$BN$4, 0)
     )
     * $L56:$U56,
     0
  )
)</f>
        <v>0</v>
      </c>
      <c r="BD56" s="17" cm="1">
        <f t="array" ref="BD56">SUMPRODUCT(
  IF($B56:$K56&lt;&gt;"",
     INDEX('Eurostat EB products IEA'!$A$4:$BN$135,
           MATCH($B56:$K56, 'Eurostat EB products IEA'!$A$4:$A$135, 0),
           MATCH(BD$1, 'Eurostat EB products IEA'!$A$4:$BN$4, 0)
     )
     * $L56:$U56,
     0
  )
)</f>
        <v>0</v>
      </c>
      <c r="BE56" s="17" cm="1">
        <f t="array" ref="BE56">SUMPRODUCT(
  IF($B56:$K56&lt;&gt;"",
     INDEX('Eurostat EB products IEA'!$A$4:$BN$135,
           MATCH($B56:$K56, 'Eurostat EB products IEA'!$A$4:$A$135, 0),
           MATCH(BE$1, 'Eurostat EB products IEA'!$A$4:$BN$4, 0)
     )
     * $L56:$U56,
     0
  )
)</f>
        <v>0</v>
      </c>
      <c r="BF56" s="17" cm="1">
        <f t="array" ref="BF56">SUMPRODUCT(
  IF($B56:$K56&lt;&gt;"",
     INDEX('Eurostat EB products IEA'!$A$4:$BN$135,
           MATCH($B56:$K56, 'Eurostat EB products IEA'!$A$4:$A$135, 0),
           MATCH(BF$1, 'Eurostat EB products IEA'!$A$4:$BN$4, 0)
     )
     * $L56:$U56,
     0
  )
)</f>
        <v>0</v>
      </c>
      <c r="BG56" s="17" cm="1">
        <f t="array" ref="BG56">SUMPRODUCT(
  IF($B56:$K56&lt;&gt;"",
     INDEX('Eurostat EB products IEA'!$A$4:$BN$135,
           MATCH($B56:$K56, 'Eurostat EB products IEA'!$A$4:$A$135, 0),
           MATCH(BG$1, 'Eurostat EB products IEA'!$A$4:$BN$4, 0)
     )
     * $L56:$U56,
     0
  )
)</f>
        <v>0</v>
      </c>
      <c r="BH56" s="17" cm="1">
        <f t="array" ref="BH56">SUMPRODUCT(
  IF($B56:$K56&lt;&gt;"",
     INDEX('Eurostat EB products IEA'!$A$4:$BN$135,
           MATCH($B56:$K56, 'Eurostat EB products IEA'!$A$4:$A$135, 0),
           MATCH(BH$1, 'Eurostat EB products IEA'!$A$4:$BN$4, 0)
     )
     * $L56:$U56,
     0
  )
)</f>
        <v>0</v>
      </c>
      <c r="BI56" s="17" cm="1">
        <f t="array" ref="BI56">SUMPRODUCT(
  IF($B56:$K56&lt;&gt;"",
     INDEX('Eurostat EB products IEA'!$A$4:$BN$135,
           MATCH($B56:$K56, 'Eurostat EB products IEA'!$A$4:$A$135, 0),
           MATCH(BI$1, 'Eurostat EB products IEA'!$A$4:$BN$4, 0)
     )
     * $L56:$U56,
     0
  )
)</f>
        <v>0</v>
      </c>
      <c r="BJ56" s="17" cm="1">
        <f t="array" ref="BJ56">SUMPRODUCT(
  IF($B56:$K56&lt;&gt;"",
     INDEX('Eurostat EB products IEA'!$A$4:$BN$135,
           MATCH($B56:$K56, 'Eurostat EB products IEA'!$A$4:$A$135, 0),
           MATCH(BJ$1, 'Eurostat EB products IEA'!$A$4:$BN$4, 0)
     )
     * $L56:$U56,
     0
  )
)</f>
        <v>644.82600000000002</v>
      </c>
      <c r="BK56" s="17" cm="1">
        <f t="array" ref="BK56">SUMPRODUCT(
  IF($B56:$K56&lt;&gt;"",
     INDEX('Eurostat EB products IEA'!$A$4:$BN$135,
           MATCH($B56:$K56, 'Eurostat EB products IEA'!$A$4:$A$135, 0),
           MATCH(BK$1, 'Eurostat EB products IEA'!$A$4:$BN$4, 0)
     )
     * $L56:$U56,
     0
  )
)</f>
        <v>405.91800000000001</v>
      </c>
      <c r="BL56" s="17" cm="1">
        <f t="array" ref="BL56">SUMPRODUCT(
  IF($B56:$K56&lt;&gt;"",
     INDEX('Eurostat EB products IEA'!$A$4:$BN$135,
           MATCH($B56:$K56, 'Eurostat EB products IEA'!$A$4:$A$135, 0),
           MATCH(BL$1, 'Eurostat EB products IEA'!$A$4:$BN$4, 0)
     )
     * $L56:$U56,
     0
  )
)</f>
        <v>0</v>
      </c>
      <c r="BM56" s="17" cm="1">
        <f t="array" ref="BM56">SUMPRODUCT(
  IF($B56:$K56&lt;&gt;"",
     INDEX('Eurostat EB products IEA'!$A$4:$BN$135,
           MATCH($B56:$K56, 'Eurostat EB products IEA'!$A$4:$A$135, 0),
           MATCH(BM$1, 'Eurostat EB products IEA'!$A$4:$BN$4, 0)
     )
     * $L56:$U56,
     0
  )
)</f>
        <v>0</v>
      </c>
      <c r="BN56" s="17" cm="1">
        <f t="array" ref="BN56">SUMPRODUCT(
  IF($B56:$K56&lt;&gt;"",
     INDEX('Eurostat EB products IEA'!$A$4:$BN$135,
           MATCH($B56:$K56, 'Eurostat EB products IEA'!$A$4:$A$135, 0),
           MATCH(BN$1, 'Eurostat EB products IEA'!$A$4:$BN$4, 0)
     )
     * $L56:$U56,
     0
  )
)</f>
        <v>0</v>
      </c>
      <c r="BO56" s="17" cm="1">
        <f t="array" ref="BO56">SUMPRODUCT(
  IF($B56:$K56&lt;&gt;"",
     INDEX('Eurostat EB products IEA'!$A$4:$BN$135,
           MATCH($B56:$K56, 'Eurostat EB products IEA'!$A$4:$A$135, 0),
           MATCH(BO$1, 'Eurostat EB products IEA'!$A$4:$BN$4, 0)
     )
     * $L56:$U56,
     0
  )
)</f>
        <v>0</v>
      </c>
      <c r="BP56" s="17" cm="1">
        <f t="array" ref="BP56">SUMPRODUCT(
  IF($B56:$K56&lt;&gt;"",
     INDEX('Eurostat EB products IEA'!$A$4:$BN$135,
           MATCH($B56:$K56, 'Eurostat EB products IEA'!$A$4:$A$135, 0),
           MATCH(BP$1, 'Eurostat EB products IEA'!$A$4:$BN$4, 0)
     )
     * $L56:$U56,
     0
  )
)</f>
        <v>0</v>
      </c>
      <c r="BQ56" s="17" cm="1">
        <f t="array" ref="BQ56">SUMPRODUCT(
  IF($B56:$K56&lt;&gt;"",
     INDEX('Eurostat EB products IEA'!$A$4:$BN$135,
           MATCH($B56:$K56, 'Eurostat EB products IEA'!$A$4:$A$135, 0),
           MATCH(BQ$1, 'Eurostat EB products IEA'!$A$4:$BN$4, 0)
     )
     * $L56:$U56,
     0
  )
)</f>
        <v>0</v>
      </c>
      <c r="BR56" s="17" cm="1">
        <f t="array" ref="BR56">SUMPRODUCT(
  IF($B56:$K56&lt;&gt;"",
     INDEX('Eurostat EB products IEA'!$A$4:$BN$135,
           MATCH($B56:$K56, 'Eurostat EB products IEA'!$A$4:$A$135, 0),
           MATCH(BR$1, 'Eurostat EB products IEA'!$A$4:$BN$4, 0)
     )
     * $L56:$U56,
     0
  )
)</f>
        <v>220.68</v>
      </c>
      <c r="BS56" s="65">
        <v>0</v>
      </c>
      <c r="BT56" s="17" cm="1">
        <f t="array" ref="BT56">SUMPRODUCT(
  IF($B56:$K56&lt;&gt;"",
     INDEX('Eurostat EB products IEA'!$A$4:$BN$135,
           MATCH($B56:$K56, 'Eurostat EB products IEA'!$A$4:$A$135, 0),
           MATCH(BT$1, 'Eurostat EB products IEA'!$A$4:$BN$4, 0)
     )
     * $L56:$U56,
     0
  )
)</f>
        <v>0</v>
      </c>
      <c r="BU56" s="65">
        <v>0</v>
      </c>
      <c r="BV56" s="65">
        <v>0</v>
      </c>
      <c r="BW56" s="17" cm="1">
        <f t="array" ref="BW56">SUMPRODUCT(
  IF($B56:$K56&lt;&gt;"",
     INDEX('Eurostat EB products IEA'!$A$4:$BN$135,
           MATCH($B56:$K56, 'Eurostat EB products IEA'!$A$4:$A$135, 0),
           MATCH(BW$1, 'Eurostat EB products IEA'!$A$4:$BN$4, 0)
     )
     * $L56:$U56,
     0
  )
)</f>
        <v>0</v>
      </c>
      <c r="BX56" s="17" cm="1">
        <f t="array" ref="BX56">SUMPRODUCT(
  IF($B56:$K56&lt;&gt;"",
     INDEX('Eurostat EB products IEA'!$A$4:$BN$135,
           MATCH($B56:$K56, 'Eurostat EB products IEA'!$A$4:$A$135, 0),
           MATCH(BX$1, 'Eurostat EB products IEA'!$A$4:$BN$4, 0)
     )
     * $L56:$U56,
     0
  )
)</f>
        <v>0</v>
      </c>
      <c r="BY56" s="17" cm="1">
        <f t="array" ref="BY56">SUMPRODUCT(
  IF($B56:$K56&lt;&gt;"",
     INDEX('Eurostat EB products IEA'!$A$4:$BN$135,
           MATCH($B56:$K56, 'Eurostat EB products IEA'!$A$4:$A$135, 0),
           MATCH(BY$1, 'Eurostat EB products IEA'!$A$4:$BN$4, 0)
     )
     * $L56:$U56,
     0
  )
)</f>
        <v>0</v>
      </c>
      <c r="BZ56" s="17" cm="1">
        <f t="array" ref="BZ56">SUMPRODUCT(
  IF($B56:$K56&lt;&gt;"",
     INDEX('Eurostat EB products IEA'!$A$4:$BN$135,
           MATCH($B56:$K56, 'Eurostat EB products IEA'!$A$4:$A$135, 0),
           MATCH(BZ$1, 'Eurostat EB products IEA'!$A$4:$BN$4, 0)
     )
     * $L56:$U56,
     0
  )
)</f>
        <v>0</v>
      </c>
      <c r="CA56" s="17" cm="1">
        <f t="array" ref="CA56">SUMPRODUCT(
  IF($B56:$K56&lt;&gt;"",
     INDEX('Eurostat EB products IEA'!$A$4:$BN$135,
           MATCH($B56:$K56, 'Eurostat EB products IEA'!$A$4:$A$135, 0),
           MATCH(CA$1, 'Eurostat EB products IEA'!$A$4:$BN$4, 0)
     )
     * $L56:$U56,
     0
  )
)</f>
        <v>0</v>
      </c>
      <c r="CB56" s="17" cm="1">
        <f t="array" ref="CB56">SUMPRODUCT(
  IF($B56:$K56&lt;&gt;"",
     INDEX('Eurostat EB products IEA'!$A$4:$BN$135,
           MATCH($B56:$K56, 'Eurostat EB products IEA'!$A$4:$A$135, 0),
           MATCH(CB$1, 'Eurostat EB products IEA'!$A$4:$BN$4, 0)
     )
     * $L56:$U56,
     0
  )
)</f>
        <v>0</v>
      </c>
      <c r="CC56" s="17" cm="1">
        <f t="array" ref="CC56">SUMPRODUCT(
  IF($B56:$K56&lt;&gt;"",
     INDEX('Eurostat EB products IEA'!$A$4:$BN$135,
           MATCH($B56:$K56, 'Eurostat EB products IEA'!$A$4:$A$135, 0),
           MATCH(CC$1, 'Eurostat EB products IEA'!$A$4:$BN$4, 0)
     )
     * $L56:$U56,
     0
  )
)</f>
        <v>0</v>
      </c>
      <c r="CD56" s="65">
        <v>0</v>
      </c>
      <c r="CE56" s="17" cm="1">
        <f t="array" ref="CE56">SUMPRODUCT(
  IF($B56:$K56&lt;&gt;"",
     INDEX('Eurostat EB products IEA'!$A$4:$BN$135,
           MATCH($B56:$K56, 'Eurostat EB products IEA'!$A$4:$A$135, 0),
           MATCH(CE$1, 'Eurostat EB products IEA'!$A$4:$BN$4, 0)
     )
     * $L56:$U56,
     0
  )
)</f>
        <v>43191.173000000003</v>
      </c>
      <c r="CF56" s="17" cm="1">
        <f t="array" ref="CF56">SUMPRODUCT(
  IF($B56:$K56&lt;&gt;"",
     INDEX('Eurostat EB products IEA'!$A$4:$BN$135,
           MATCH($B56:$K56, 'Eurostat EB products IEA'!$A$4:$A$135, 0),
           MATCH(CF$1, 'Eurostat EB products IEA'!$A$4:$BN$4, 0)
     )
     * $L56:$U56,
     0
  )
)</f>
        <v>43704.775000000001</v>
      </c>
      <c r="CG56" s="17" cm="1">
        <f t="array" ref="CG56">SUMPRODUCT(
  IF($B56:$K56&lt;&gt;"",
     INDEX('Eurostat EB products IEA'!$A$4:$BN$135,
           MATCH($B56:$K56, 'Eurostat EB products IEA'!$A$4:$A$135, 0),
           MATCH(CG$1, 'Eurostat EB products IEA'!$A$4:$BN$4, 0)
     )
     * $L56:$U56,
     0
  )
)</f>
        <v>262145.81599999999</v>
      </c>
      <c r="CH56" s="17" cm="1">
        <f t="array" ref="CH56">SUMPRODUCT(
  IF($B56:$K56&lt;&gt;"",
     INDEX('Eurostat EB products IEA'!$A$4:$BN$135,
           MATCH($B56:$K56, 'Eurostat EB products IEA'!$A$4:$A$135, 0),
           MATCH(CH$1, 'Eurostat EB products IEA'!$A$4:$BN$4, 0)
     )
     * $L56:$U56,
     0
  )
)</f>
        <v>13410.675999999999</v>
      </c>
    </row>
    <row r="57" spans="1:86" x14ac:dyDescent="0.2">
      <c r="A57" t="s">
        <v>101</v>
      </c>
      <c r="B57" s="75"/>
      <c r="C57" s="77"/>
      <c r="D57" s="75"/>
      <c r="E57" s="77"/>
      <c r="F57" s="75"/>
      <c r="G57" s="77"/>
      <c r="H57" s="75"/>
      <c r="I57" s="77"/>
      <c r="J57" s="74"/>
      <c r="K57" s="78" t="s">
        <v>290</v>
      </c>
      <c r="L57" s="76"/>
      <c r="M57" s="79"/>
      <c r="N57" s="76"/>
      <c r="O57" s="79"/>
      <c r="P57" s="76"/>
      <c r="Q57" s="79"/>
      <c r="R57" s="76"/>
      <c r="S57" s="79"/>
      <c r="T57" s="76"/>
      <c r="U57" s="79">
        <v>1</v>
      </c>
      <c r="V57" s="65" t="s">
        <v>323</v>
      </c>
      <c r="W57" s="65" t="s">
        <v>323</v>
      </c>
      <c r="X57" s="57" cm="1">
        <f t="array" ref="X57">SUMPRODUCT(
  IF($B57:$K57&lt;&gt;"",
     INDEX('Eurostat EB products IEA'!$A$4:$BN$135,
           MATCH($B57:$K57, 'Eurostat EB products IEA'!$A$4:$A$135, 0),
           MATCH(X$1, 'Eurostat EB products IEA'!$A$4:$BN$4, 0)
     )
     * $L57:$U57,
     0
  )
)</f>
        <v>0</v>
      </c>
      <c r="Y57" s="57" cm="1">
        <f t="array" ref="Y57">SUMPRODUCT(
  IF($B57:$K57&lt;&gt;"",
     INDEX('Eurostat EB products IEA'!$A$4:$BN$135,
           MATCH($B57:$K57, 'Eurostat EB products IEA'!$A$4:$A$135, 0),
           MATCH(Y$1, 'Eurostat EB products IEA'!$A$4:$BN$4, 0)
     )
     * $L57:$U57,
     0
  )
)</f>
        <v>0</v>
      </c>
      <c r="Z57" s="57" cm="1">
        <f t="array" ref="Z57">SUMPRODUCT(
  IF($B57:$K57&lt;&gt;"",
     INDEX('Eurostat EB products IEA'!$A$4:$BN$135,
           MATCH($B57:$K57, 'Eurostat EB products IEA'!$A$4:$A$135, 0),
           MATCH(Z$1, 'Eurostat EB products IEA'!$A$4:$BN$4, 0)
     )
     * $L57:$U57,
     0
  )
)</f>
        <v>0</v>
      </c>
      <c r="AA57" s="57" cm="1">
        <f t="array" ref="AA57">SUMPRODUCT(
  IF($B57:$K57&lt;&gt;"",
     INDEX('Eurostat EB products IEA'!$A$4:$BN$135,
           MATCH($B57:$K57, 'Eurostat EB products IEA'!$A$4:$A$135, 0),
           MATCH(AA$1, 'Eurostat EB products IEA'!$A$4:$BN$4, 0)
     )
     * $L57:$U57,
     0
  )
)</f>
        <v>0</v>
      </c>
      <c r="AB57" s="57" cm="1">
        <f t="array" ref="AB57">SUMPRODUCT(
  IF($B57:$K57&lt;&gt;"",
     INDEX('Eurostat EB products IEA'!$A$4:$BN$135,
           MATCH($B57:$K57, 'Eurostat EB products IEA'!$A$4:$A$135, 0),
           MATCH(AB$1, 'Eurostat EB products IEA'!$A$4:$BN$4, 0)
     )
     * $L57:$U57,
     0
  )
)</f>
        <v>0</v>
      </c>
      <c r="AC57" s="57" cm="1">
        <f t="array" ref="AC57">SUMPRODUCT(
  IF($B57:$K57&lt;&gt;"",
     INDEX('Eurostat EB products IEA'!$A$4:$BN$135,
           MATCH($B57:$K57, 'Eurostat EB products IEA'!$A$4:$A$135, 0),
           MATCH(AC$1, 'Eurostat EB products IEA'!$A$4:$BN$4, 0)
     )
     * $L57:$U57,
     0
  )
)</f>
        <v>0</v>
      </c>
      <c r="AD57" s="57" cm="1">
        <f t="array" ref="AD57">SUMPRODUCT(
  IF($B57:$K57&lt;&gt;"",
     INDEX('Eurostat EB products IEA'!$A$4:$BN$135,
           MATCH($B57:$K57, 'Eurostat EB products IEA'!$A$4:$A$135, 0),
           MATCH(AD$1, 'Eurostat EB products IEA'!$A$4:$BN$4, 0)
     )
     * $L57:$U57,
     0
  )
)</f>
        <v>0</v>
      </c>
      <c r="AE57" s="57" cm="1">
        <f t="array" ref="AE57">SUMPRODUCT(
  IF($B57:$K57&lt;&gt;"",
     INDEX('Eurostat EB products IEA'!$A$4:$BN$135,
           MATCH($B57:$K57, 'Eurostat EB products IEA'!$A$4:$A$135, 0),
           MATCH(AE$1, 'Eurostat EB products IEA'!$A$4:$BN$4, 0)
     )
     * $L57:$U57,
     0
  )
)</f>
        <v>0</v>
      </c>
      <c r="AF57" s="57" cm="1">
        <f t="array" ref="AF57">SUMPRODUCT(
  IF($B57:$K57&lt;&gt;"",
     INDEX('Eurostat EB products IEA'!$A$4:$BN$135,
           MATCH($B57:$K57, 'Eurostat EB products IEA'!$A$4:$A$135, 0),
           MATCH(AF$1, 'Eurostat EB products IEA'!$A$4:$BN$4, 0)
     )
     * $L57:$U57,
     0
  )
)</f>
        <v>0</v>
      </c>
      <c r="AG57" s="57" cm="1">
        <f t="array" ref="AG57">SUMPRODUCT(
  IF($B57:$K57&lt;&gt;"",
     INDEX('Eurostat EB products IEA'!$A$4:$BN$135,
           MATCH($B57:$K57, 'Eurostat EB products IEA'!$A$4:$A$135, 0),
           MATCH(AG$1, 'Eurostat EB products IEA'!$A$4:$BN$4, 0)
     )
     * $L57:$U57,
     0
  )
)</f>
        <v>0</v>
      </c>
      <c r="AH57" s="57" cm="1">
        <f t="array" ref="AH57">SUMPRODUCT(
  IF($B57:$K57&lt;&gt;"",
     INDEX('Eurostat EB products IEA'!$A$4:$BN$135,
           MATCH($B57:$K57, 'Eurostat EB products IEA'!$A$4:$A$135, 0),
           MATCH(AH$1, 'Eurostat EB products IEA'!$A$4:$BN$4, 0)
     )
     * $L57:$U57,
     0
  )
)</f>
        <v>0</v>
      </c>
      <c r="AI57" s="57" cm="1">
        <f t="array" ref="AI57">SUMPRODUCT(
  IF($B57:$K57&lt;&gt;"",
     INDEX('Eurostat EB products IEA'!$A$4:$BN$135,
           MATCH($B57:$K57, 'Eurostat EB products IEA'!$A$4:$A$135, 0),
           MATCH(AI$1, 'Eurostat EB products IEA'!$A$4:$BN$4, 0)
     )
     * $L57:$U57,
     0
  )
)</f>
        <v>0</v>
      </c>
      <c r="AJ57" s="57" cm="1">
        <f t="array" ref="AJ57">SUMPRODUCT(
  IF($B57:$K57&lt;&gt;"",
     INDEX('Eurostat EB products IEA'!$A$4:$BN$135,
           MATCH($B57:$K57, 'Eurostat EB products IEA'!$A$4:$A$135, 0),
           MATCH(AJ$1, 'Eurostat EB products IEA'!$A$4:$BN$4, 0)
     )
     * $L57:$U57,
     0
  )
)</f>
        <v>0</v>
      </c>
      <c r="AK57" s="57" cm="1">
        <f t="array" ref="AK57">SUMPRODUCT(
  IF($B57:$K57&lt;&gt;"",
     INDEX('Eurostat EB products IEA'!$A$4:$BN$135,
           MATCH($B57:$K57, 'Eurostat EB products IEA'!$A$4:$A$135, 0),
           MATCH(AK$1, 'Eurostat EB products IEA'!$A$4:$BN$4, 0)
     )
     * $L57:$U57,
     0
  )
)</f>
        <v>0</v>
      </c>
      <c r="AL57" s="57" cm="1">
        <f t="array" ref="AL57">SUMPRODUCT(
  IF($B57:$K57&lt;&gt;"",
     INDEX('Eurostat EB products IEA'!$A$4:$BN$135,
           MATCH($B57:$K57, 'Eurostat EB products IEA'!$A$4:$A$135, 0),
           MATCH(AL$1, 'Eurostat EB products IEA'!$A$4:$BN$4, 0)
     )
     * $L57:$U57,
     0
  )
)</f>
        <v>0</v>
      </c>
      <c r="AM57" s="57" cm="1">
        <f t="array" ref="AM57">SUMPRODUCT(
  IF($B57:$K57&lt;&gt;"",
     INDEX('Eurostat EB products IEA'!$A$4:$BN$135,
           MATCH($B57:$K57, 'Eurostat EB products IEA'!$A$4:$A$135, 0),
           MATCH(AM$1, 'Eurostat EB products IEA'!$A$4:$BN$4, 0)
     )
     * $L57:$U57,
     0
  )
)</f>
        <v>1821.0119999999999</v>
      </c>
      <c r="AN57" s="65" t="s">
        <v>323</v>
      </c>
      <c r="AO57" s="57" cm="1">
        <f t="array" ref="AO57">SUMPRODUCT(
  IF($B57:$K57&lt;&gt;"",
     INDEX('Eurostat EB products IEA'!$A$4:$BN$135,
           MATCH($B57:$K57, 'Eurostat EB products IEA'!$A$4:$A$135, 0),
           MATCH(AO$1, 'Eurostat EB products IEA'!$A$4:$BN$4, 0)
     )
     * $L57:$U57,
     0
  )
)</f>
        <v>0</v>
      </c>
      <c r="AP57" s="57" cm="1">
        <f t="array" ref="AP57">SUMPRODUCT(
  IF($B57:$K57&lt;&gt;"",
     INDEX('Eurostat EB products IEA'!$A$4:$BN$135,
           MATCH($B57:$K57, 'Eurostat EB products IEA'!$A$4:$A$135, 0),
           MATCH(AP$1, 'Eurostat EB products IEA'!$A$4:$BN$4, 0)
     )
     * $L57:$U57,
     0
  )
)</f>
        <v>0</v>
      </c>
      <c r="AQ57" s="57" cm="1">
        <f t="array" ref="AQ57">SUMPRODUCT(
  IF($B57:$K57&lt;&gt;"",
     INDEX('Eurostat EB products IEA'!$A$4:$BN$135,
           MATCH($B57:$K57, 'Eurostat EB products IEA'!$A$4:$A$135, 0),
           MATCH(AQ$1, 'Eurostat EB products IEA'!$A$4:$BN$4, 0)
     )
     * $L57:$U57,
     0
  )
)</f>
        <v>0</v>
      </c>
      <c r="AR57" s="57" cm="1">
        <f t="array" ref="AR57">SUMPRODUCT(
  IF($B57:$K57&lt;&gt;"",
     INDEX('Eurostat EB products IEA'!$A$4:$BN$135,
           MATCH($B57:$K57, 'Eurostat EB products IEA'!$A$4:$A$135, 0),
           MATCH(AR$1, 'Eurostat EB products IEA'!$A$4:$BN$4, 0)
     )
     * $L57:$U57,
     0
  )
)</f>
        <v>0</v>
      </c>
      <c r="AS57" s="57" cm="1">
        <f t="array" ref="AS57">SUMPRODUCT(
  IF($B57:$K57&lt;&gt;"",
     INDEX('Eurostat EB products IEA'!$A$4:$BN$135,
           MATCH($B57:$K57, 'Eurostat EB products IEA'!$A$4:$A$135, 0),
           MATCH(AS$1, 'Eurostat EB products IEA'!$A$4:$BN$4, 0)
     )
     * $L57:$U57,
     0
  )
)</f>
        <v>0</v>
      </c>
      <c r="AT57" s="57" cm="1">
        <f t="array" ref="AT57">SUMPRODUCT(
  IF($B57:$K57&lt;&gt;"",
     INDEX('Eurostat EB products IEA'!$A$4:$BN$135,
           MATCH($B57:$K57, 'Eurostat EB products IEA'!$A$4:$A$135, 0),
           MATCH(AT$1, 'Eurostat EB products IEA'!$A$4:$BN$4, 0)
     )
     * $L57:$U57,
     0
  )
)</f>
        <v>0</v>
      </c>
      <c r="AU57" s="57" cm="1">
        <f t="array" ref="AU57">SUMPRODUCT(
  IF($B57:$K57&lt;&gt;"",
     INDEX('Eurostat EB products IEA'!$A$4:$BN$135,
           MATCH($B57:$K57, 'Eurostat EB products IEA'!$A$4:$A$135, 0),
           MATCH(AU$1, 'Eurostat EB products IEA'!$A$4:$BN$4, 0)
     )
     * $L57:$U57,
     0
  )
)</f>
        <v>0</v>
      </c>
      <c r="AV57" s="57" cm="1">
        <f t="array" ref="AV57">SUMPRODUCT(
  IF($B57:$K57&lt;&gt;"",
     INDEX('Eurostat EB products IEA'!$A$4:$BN$135,
           MATCH($B57:$K57, 'Eurostat EB products IEA'!$A$4:$A$135, 0),
           MATCH(AV$1, 'Eurostat EB products IEA'!$A$4:$BN$4, 0)
     )
     * $L57:$U57,
     0
  )
)</f>
        <v>9.7170000000000005</v>
      </c>
      <c r="AW57" s="57" cm="1">
        <f t="array" ref="AW57">SUMPRODUCT(
  IF($B57:$K57&lt;&gt;"",
     INDEX('Eurostat EB products IEA'!$A$4:$BN$135,
           MATCH($B57:$K57, 'Eurostat EB products IEA'!$A$4:$A$135, 0),
           MATCH(AW$1, 'Eurostat EB products IEA'!$A$4:$BN$4, 0)
     )
     * $L57:$U57,
     0
  )
)</f>
        <v>0</v>
      </c>
      <c r="AX57" s="57" cm="1">
        <f t="array" ref="AX57">SUMPRODUCT(
  IF($B57:$K57&lt;&gt;"",
     INDEX('Eurostat EB products IEA'!$A$4:$BN$135,
           MATCH($B57:$K57, 'Eurostat EB products IEA'!$A$4:$A$135, 0),
           MATCH(AX$1, 'Eurostat EB products IEA'!$A$4:$BN$4, 0)
     )
     * $L57:$U57,
     0
  )
)</f>
        <v>0</v>
      </c>
      <c r="AY57" s="57" cm="1">
        <f t="array" ref="AY57">SUMPRODUCT(
  IF($B57:$K57&lt;&gt;"",
     INDEX('Eurostat EB products IEA'!$A$4:$BN$135,
           MATCH($B57:$K57, 'Eurostat EB products IEA'!$A$4:$A$135, 0),
           MATCH(AY$1, 'Eurostat EB products IEA'!$A$4:$BN$4, 0)
     )
     * $L57:$U57,
     0
  )
)</f>
        <v>0</v>
      </c>
      <c r="AZ57" s="57" cm="1">
        <f t="array" ref="AZ57">SUMPRODUCT(
  IF($B57:$K57&lt;&gt;"",
     INDEX('Eurostat EB products IEA'!$A$4:$BN$135,
           MATCH($B57:$K57, 'Eurostat EB products IEA'!$A$4:$A$135, 0),
           MATCH(AZ$1, 'Eurostat EB products IEA'!$A$4:$BN$4, 0)
     )
     * $L57:$U57,
     0
  )
)</f>
        <v>0</v>
      </c>
      <c r="BA57" s="57" cm="1">
        <f t="array" ref="BA57">SUMPRODUCT(
  IF($B57:$K57&lt;&gt;"",
     INDEX('Eurostat EB products IEA'!$A$4:$BN$135,
           MATCH($B57:$K57, 'Eurostat EB products IEA'!$A$4:$A$135, 0),
           MATCH(BA$1, 'Eurostat EB products IEA'!$A$4:$BN$4, 0)
     )
     * $L57:$U57,
     0
  )
)</f>
        <v>0</v>
      </c>
      <c r="BB57" s="57" cm="1">
        <f t="array" ref="BB57">SUMPRODUCT(
  IF($B57:$K57&lt;&gt;"",
     INDEX('Eurostat EB products IEA'!$A$4:$BN$135,
           MATCH($B57:$K57, 'Eurostat EB products IEA'!$A$4:$A$135, 0),
           MATCH(BB$1, 'Eurostat EB products IEA'!$A$4:$BN$4, 0)
     )
     * $L57:$U57,
     0
  )
)</f>
        <v>36.798999999999999</v>
      </c>
      <c r="BC57" s="57" cm="1">
        <f t="array" ref="BC57">SUMPRODUCT(
  IF($B57:$K57&lt;&gt;"",
     INDEX('Eurostat EB products IEA'!$A$4:$BN$135,
           MATCH($B57:$K57, 'Eurostat EB products IEA'!$A$4:$A$135, 0),
           MATCH(BC$1, 'Eurostat EB products IEA'!$A$4:$BN$4, 0)
     )
     * $L57:$U57,
     0
  )
)</f>
        <v>0</v>
      </c>
      <c r="BD57" s="57" cm="1">
        <f t="array" ref="BD57">SUMPRODUCT(
  IF($B57:$K57&lt;&gt;"",
     INDEX('Eurostat EB products IEA'!$A$4:$BN$135,
           MATCH($B57:$K57, 'Eurostat EB products IEA'!$A$4:$A$135, 0),
           MATCH(BD$1, 'Eurostat EB products IEA'!$A$4:$BN$4, 0)
     )
     * $L57:$U57,
     0
  )
)</f>
        <v>0</v>
      </c>
      <c r="BE57" s="57" cm="1">
        <f t="array" ref="BE57">SUMPRODUCT(
  IF($B57:$K57&lt;&gt;"",
     INDEX('Eurostat EB products IEA'!$A$4:$BN$135,
           MATCH($B57:$K57, 'Eurostat EB products IEA'!$A$4:$A$135, 0),
           MATCH(BE$1, 'Eurostat EB products IEA'!$A$4:$BN$4, 0)
     )
     * $L57:$U57,
     0
  )
)</f>
        <v>0</v>
      </c>
      <c r="BF57" s="57" cm="1">
        <f t="array" ref="BF57">SUMPRODUCT(
  IF($B57:$K57&lt;&gt;"",
     INDEX('Eurostat EB products IEA'!$A$4:$BN$135,
           MATCH($B57:$K57, 'Eurostat EB products IEA'!$A$4:$A$135, 0),
           MATCH(BF$1, 'Eurostat EB products IEA'!$A$4:$BN$4, 0)
     )
     * $L57:$U57,
     0
  )
)</f>
        <v>0</v>
      </c>
      <c r="BG57" s="57" cm="1">
        <f t="array" ref="BG57">SUMPRODUCT(
  IF($B57:$K57&lt;&gt;"",
     INDEX('Eurostat EB products IEA'!$A$4:$BN$135,
           MATCH($B57:$K57, 'Eurostat EB products IEA'!$A$4:$A$135, 0),
           MATCH(BG$1, 'Eurostat EB products IEA'!$A$4:$BN$4, 0)
     )
     * $L57:$U57,
     0
  )
)</f>
        <v>0</v>
      </c>
      <c r="BH57" s="57" cm="1">
        <f t="array" ref="BH57">SUMPRODUCT(
  IF($B57:$K57&lt;&gt;"",
     INDEX('Eurostat EB products IEA'!$A$4:$BN$135,
           MATCH($B57:$K57, 'Eurostat EB products IEA'!$A$4:$A$135, 0),
           MATCH(BH$1, 'Eurostat EB products IEA'!$A$4:$BN$4, 0)
     )
     * $L57:$U57,
     0
  )
)</f>
        <v>0</v>
      </c>
      <c r="BI57" s="57" cm="1">
        <f t="array" ref="BI57">SUMPRODUCT(
  IF($B57:$K57&lt;&gt;"",
     INDEX('Eurostat EB products IEA'!$A$4:$BN$135,
           MATCH($B57:$K57, 'Eurostat EB products IEA'!$A$4:$A$135, 0),
           MATCH(BI$1, 'Eurostat EB products IEA'!$A$4:$BN$4, 0)
     )
     * $L57:$U57,
     0
  )
)</f>
        <v>0</v>
      </c>
      <c r="BJ57" s="57" cm="1">
        <f t="array" ref="BJ57">SUMPRODUCT(
  IF($B57:$K57&lt;&gt;"",
     INDEX('Eurostat EB products IEA'!$A$4:$BN$135,
           MATCH($B57:$K57, 'Eurostat EB products IEA'!$A$4:$A$135, 0),
           MATCH(BJ$1, 'Eurostat EB products IEA'!$A$4:$BN$4, 0)
     )
     * $L57:$U57,
     0
  )
)</f>
        <v>0</v>
      </c>
      <c r="BK57" s="57" cm="1">
        <f t="array" ref="BK57">SUMPRODUCT(
  IF($B57:$K57&lt;&gt;"",
     INDEX('Eurostat EB products IEA'!$A$4:$BN$135,
           MATCH($B57:$K57, 'Eurostat EB products IEA'!$A$4:$A$135, 0),
           MATCH(BK$1, 'Eurostat EB products IEA'!$A$4:$BN$4, 0)
     )
     * $L57:$U57,
     0
  )
)</f>
        <v>0</v>
      </c>
      <c r="BL57" s="57" cm="1">
        <f t="array" ref="BL57">SUMPRODUCT(
  IF($B57:$K57&lt;&gt;"",
     INDEX('Eurostat EB products IEA'!$A$4:$BN$135,
           MATCH($B57:$K57, 'Eurostat EB products IEA'!$A$4:$A$135, 0),
           MATCH(BL$1, 'Eurostat EB products IEA'!$A$4:$BN$4, 0)
     )
     * $L57:$U57,
     0
  )
)</f>
        <v>0</v>
      </c>
      <c r="BM57" s="57" cm="1">
        <f t="array" ref="BM57">SUMPRODUCT(
  IF($B57:$K57&lt;&gt;"",
     INDEX('Eurostat EB products IEA'!$A$4:$BN$135,
           MATCH($B57:$K57, 'Eurostat EB products IEA'!$A$4:$A$135, 0),
           MATCH(BM$1, 'Eurostat EB products IEA'!$A$4:$BN$4, 0)
     )
     * $L57:$U57,
     0
  )
)</f>
        <v>0</v>
      </c>
      <c r="BN57" s="57" cm="1">
        <f t="array" ref="BN57">SUMPRODUCT(
  IF($B57:$K57&lt;&gt;"",
     INDEX('Eurostat EB products IEA'!$A$4:$BN$135,
           MATCH($B57:$K57, 'Eurostat EB products IEA'!$A$4:$A$135, 0),
           MATCH(BN$1, 'Eurostat EB products IEA'!$A$4:$BN$4, 0)
     )
     * $L57:$U57,
     0
  )
)</f>
        <v>0</v>
      </c>
      <c r="BO57" s="57" cm="1">
        <f t="array" ref="BO57">SUMPRODUCT(
  IF($B57:$K57&lt;&gt;"",
     INDEX('Eurostat EB products IEA'!$A$4:$BN$135,
           MATCH($B57:$K57, 'Eurostat EB products IEA'!$A$4:$A$135, 0),
           MATCH(BO$1, 'Eurostat EB products IEA'!$A$4:$BN$4, 0)
     )
     * $L57:$U57,
     0
  )
)</f>
        <v>0</v>
      </c>
      <c r="BP57" s="57" cm="1">
        <f t="array" ref="BP57">SUMPRODUCT(
  IF($B57:$K57&lt;&gt;"",
     INDEX('Eurostat EB products IEA'!$A$4:$BN$135,
           MATCH($B57:$K57, 'Eurostat EB products IEA'!$A$4:$A$135, 0),
           MATCH(BP$1, 'Eurostat EB products IEA'!$A$4:$BN$4, 0)
     )
     * $L57:$U57,
     0
  )
)</f>
        <v>0</v>
      </c>
      <c r="BQ57" s="57" cm="1">
        <f t="array" ref="BQ57">SUMPRODUCT(
  IF($B57:$K57&lt;&gt;"",
     INDEX('Eurostat EB products IEA'!$A$4:$BN$135,
           MATCH($B57:$K57, 'Eurostat EB products IEA'!$A$4:$A$135, 0),
           MATCH(BQ$1, 'Eurostat EB products IEA'!$A$4:$BN$4, 0)
     )
     * $L57:$U57,
     0
  )
)</f>
        <v>0</v>
      </c>
      <c r="BR57" s="57" cm="1">
        <f t="array" ref="BR57">SUMPRODUCT(
  IF($B57:$K57&lt;&gt;"",
     INDEX('Eurostat EB products IEA'!$A$4:$BN$135,
           MATCH($B57:$K57, 'Eurostat EB products IEA'!$A$4:$A$135, 0),
           MATCH(BR$1, 'Eurostat EB products IEA'!$A$4:$BN$4, 0)
     )
     * $L57:$U57,
     0
  )
)</f>
        <v>0</v>
      </c>
      <c r="BS57" s="65">
        <v>0</v>
      </c>
      <c r="BT57" s="57" cm="1">
        <f t="array" ref="BT57">SUMPRODUCT(
  IF($B57:$K57&lt;&gt;"",
     INDEX('Eurostat EB products IEA'!$A$4:$BN$135,
           MATCH($B57:$K57, 'Eurostat EB products IEA'!$A$4:$A$135, 0),
           MATCH(BT$1, 'Eurostat EB products IEA'!$A$4:$BN$4, 0)
     )
     * $L57:$U57,
     0
  )
)</f>
        <v>0</v>
      </c>
      <c r="BU57" s="65">
        <v>0</v>
      </c>
      <c r="BV57" s="65">
        <v>0</v>
      </c>
      <c r="BW57" s="57" cm="1">
        <f t="array" ref="BW57">SUMPRODUCT(
  IF($B57:$K57&lt;&gt;"",
     INDEX('Eurostat EB products IEA'!$A$4:$BN$135,
           MATCH($B57:$K57, 'Eurostat EB products IEA'!$A$4:$A$135, 0),
           MATCH(BW$1, 'Eurostat EB products IEA'!$A$4:$BN$4, 0)
     )
     * $L57:$U57,
     0
  )
)</f>
        <v>0</v>
      </c>
      <c r="BX57" s="57" cm="1">
        <f t="array" ref="BX57">SUMPRODUCT(
  IF($B57:$K57&lt;&gt;"",
     INDEX('Eurostat EB products IEA'!$A$4:$BN$135,
           MATCH($B57:$K57, 'Eurostat EB products IEA'!$A$4:$A$135, 0),
           MATCH(BX$1, 'Eurostat EB products IEA'!$A$4:$BN$4, 0)
     )
     * $L57:$U57,
     0
  )
)</f>
        <v>0</v>
      </c>
      <c r="BY57" s="57" cm="1">
        <f t="array" ref="BY57">SUMPRODUCT(
  IF($B57:$K57&lt;&gt;"",
     INDEX('Eurostat EB products IEA'!$A$4:$BN$135,
           MATCH($B57:$K57, 'Eurostat EB products IEA'!$A$4:$A$135, 0),
           MATCH(BY$1, 'Eurostat EB products IEA'!$A$4:$BN$4, 0)
     )
     * $L57:$U57,
     0
  )
)</f>
        <v>0</v>
      </c>
      <c r="BZ57" s="57" cm="1">
        <f t="array" ref="BZ57">SUMPRODUCT(
  IF($B57:$K57&lt;&gt;"",
     INDEX('Eurostat EB products IEA'!$A$4:$BN$135,
           MATCH($B57:$K57, 'Eurostat EB products IEA'!$A$4:$A$135, 0),
           MATCH(BZ$1, 'Eurostat EB products IEA'!$A$4:$BN$4, 0)
     )
     * $L57:$U57,
     0
  )
)</f>
        <v>0</v>
      </c>
      <c r="CA57" s="57" cm="1">
        <f t="array" ref="CA57">SUMPRODUCT(
  IF($B57:$K57&lt;&gt;"",
     INDEX('Eurostat EB products IEA'!$A$4:$BN$135,
           MATCH($B57:$K57, 'Eurostat EB products IEA'!$A$4:$A$135, 0),
           MATCH(CA$1, 'Eurostat EB products IEA'!$A$4:$BN$4, 0)
     )
     * $L57:$U57,
     0
  )
)</f>
        <v>0</v>
      </c>
      <c r="CB57" s="57" cm="1">
        <f t="array" ref="CB57">SUMPRODUCT(
  IF($B57:$K57&lt;&gt;"",
     INDEX('Eurostat EB products IEA'!$A$4:$BN$135,
           MATCH($B57:$K57, 'Eurostat EB products IEA'!$A$4:$A$135, 0),
           MATCH(CB$1, 'Eurostat EB products IEA'!$A$4:$BN$4, 0)
     )
     * $L57:$U57,
     0
  )
)</f>
        <v>0</v>
      </c>
      <c r="CC57" s="57" cm="1">
        <f t="array" ref="CC57">SUMPRODUCT(
  IF($B57:$K57&lt;&gt;"",
     INDEX('Eurostat EB products IEA'!$A$4:$BN$135,
           MATCH($B57:$K57, 'Eurostat EB products IEA'!$A$4:$A$135, 0),
           MATCH(CC$1, 'Eurostat EB products IEA'!$A$4:$BN$4, 0)
     )
     * $L57:$U57,
     0
  )
)</f>
        <v>0</v>
      </c>
      <c r="CD57" s="65">
        <v>0</v>
      </c>
      <c r="CE57" s="57" cm="1">
        <f t="array" ref="CE57">SUMPRODUCT(
  IF($B57:$K57&lt;&gt;"",
     INDEX('Eurostat EB products IEA'!$A$4:$BN$135,
           MATCH($B57:$K57, 'Eurostat EB products IEA'!$A$4:$A$135, 0),
           MATCH(CE$1, 'Eurostat EB products IEA'!$A$4:$BN$4, 0)
     )
     * $L57:$U57,
     0
  )
)</f>
        <v>3786.3719999999998</v>
      </c>
      <c r="CF57" s="57" cm="1">
        <f t="array" ref="CF57">SUMPRODUCT(
  IF($B57:$K57&lt;&gt;"",
     INDEX('Eurostat EB products IEA'!$A$4:$BN$135,
           MATCH($B57:$K57, 'Eurostat EB products IEA'!$A$4:$A$135, 0),
           MATCH(CF$1, 'Eurostat EB products IEA'!$A$4:$BN$4, 0)
     )
     * $L57:$U57,
     0
  )
)</f>
        <v>1E-3</v>
      </c>
      <c r="CG57" s="57" cm="1">
        <f t="array" ref="CG57">SUMPRODUCT(
  IF($B57:$K57&lt;&gt;"",
     INDEX('Eurostat EB products IEA'!$A$4:$BN$135,
           MATCH($B57:$K57, 'Eurostat EB products IEA'!$A$4:$A$135, 0),
           MATCH(CG$1, 'Eurostat EB products IEA'!$A$4:$BN$4, 0)
     )
     * $L57:$U57,
     0
  )
)</f>
        <v>5653.9009999999998</v>
      </c>
      <c r="CH57" s="57" cm="1">
        <f t="array" ref="CH57">SUMPRODUCT(
  IF($B57:$K57&lt;&gt;"",
     INDEX('Eurostat EB products IEA'!$A$4:$BN$135,
           MATCH($B57:$K57, 'Eurostat EB products IEA'!$A$4:$A$135, 0),
           MATCH(CH$1, 'Eurostat EB products IEA'!$A$4:$BN$4, 0)
     )
     * $L57:$U57,
     0
  )
)</f>
        <v>270.72699999999998</v>
      </c>
    </row>
    <row r="58" spans="1:86" x14ac:dyDescent="0.2">
      <c r="A58" t="s">
        <v>102</v>
      </c>
      <c r="B58" s="75"/>
      <c r="C58" s="77"/>
      <c r="D58" s="75"/>
      <c r="E58" s="77"/>
      <c r="F58" s="75"/>
      <c r="G58" s="77"/>
      <c r="H58" s="75"/>
      <c r="I58" s="77"/>
      <c r="J58" s="74"/>
      <c r="K58" s="78" t="s">
        <v>291</v>
      </c>
      <c r="L58" s="76"/>
      <c r="M58" s="79"/>
      <c r="N58" s="76"/>
      <c r="O58" s="79"/>
      <c r="P58" s="76"/>
      <c r="Q58" s="79"/>
      <c r="R58" s="76"/>
      <c r="S58" s="79"/>
      <c r="T58" s="76"/>
      <c r="U58" s="79">
        <v>1</v>
      </c>
      <c r="V58" s="65" t="s">
        <v>323</v>
      </c>
      <c r="W58" s="65" t="s">
        <v>323</v>
      </c>
      <c r="X58" s="17" cm="1">
        <f t="array" ref="X58">SUMPRODUCT(
  IF($B58:$K58&lt;&gt;"",
     INDEX('Eurostat EB products IEA'!$A$4:$BN$135,
           MATCH($B58:$K58, 'Eurostat EB products IEA'!$A$4:$A$135, 0),
           MATCH(X$1, 'Eurostat EB products IEA'!$A$4:$BN$4, 0)
     )
     * $L58:$U58,
     0
  )
)</f>
        <v>0</v>
      </c>
      <c r="Y58" s="17" cm="1">
        <f t="array" ref="Y58">SUMPRODUCT(
  IF($B58:$K58&lt;&gt;"",
     INDEX('Eurostat EB products IEA'!$A$4:$BN$135,
           MATCH($B58:$K58, 'Eurostat EB products IEA'!$A$4:$A$135, 0),
           MATCH(Y$1, 'Eurostat EB products IEA'!$A$4:$BN$4, 0)
     )
     * $L58:$U58,
     0
  )
)</f>
        <v>12.941000000000001</v>
      </c>
      <c r="Z58" s="17" cm="1">
        <f t="array" ref="Z58">SUMPRODUCT(
  IF($B58:$K58&lt;&gt;"",
     INDEX('Eurostat EB products IEA'!$A$4:$BN$135,
           MATCH($B58:$K58, 'Eurostat EB products IEA'!$A$4:$A$135, 0),
           MATCH(Z$1, 'Eurostat EB products IEA'!$A$4:$BN$4, 0)
     )
     * $L58:$U58,
     0
  )
)</f>
        <v>0</v>
      </c>
      <c r="AA58" s="17" cm="1">
        <f t="array" ref="AA58">SUMPRODUCT(
  IF($B58:$K58&lt;&gt;"",
     INDEX('Eurostat EB products IEA'!$A$4:$BN$135,
           MATCH($B58:$K58, 'Eurostat EB products IEA'!$A$4:$A$135, 0),
           MATCH(AA$1, 'Eurostat EB products IEA'!$A$4:$BN$4, 0)
     )
     * $L58:$U58,
     0
  )
)</f>
        <v>0</v>
      </c>
      <c r="AB58" s="17" cm="1">
        <f t="array" ref="AB58">SUMPRODUCT(
  IF($B58:$K58&lt;&gt;"",
     INDEX('Eurostat EB products IEA'!$A$4:$BN$135,
           MATCH($B58:$K58, 'Eurostat EB products IEA'!$A$4:$A$135, 0),
           MATCH(AB$1, 'Eurostat EB products IEA'!$A$4:$BN$4, 0)
     )
     * $L58:$U58,
     0
  )
)</f>
        <v>0</v>
      </c>
      <c r="AC58" s="17" cm="1">
        <f t="array" ref="AC58">SUMPRODUCT(
  IF($B58:$K58&lt;&gt;"",
     INDEX('Eurostat EB products IEA'!$A$4:$BN$135,
           MATCH($B58:$K58, 'Eurostat EB products IEA'!$A$4:$A$135, 0),
           MATCH(AC$1, 'Eurostat EB products IEA'!$A$4:$BN$4, 0)
     )
     * $L58:$U58,
     0
  )
)</f>
        <v>0</v>
      </c>
      <c r="AD58" s="17" cm="1">
        <f t="array" ref="AD58">SUMPRODUCT(
  IF($B58:$K58&lt;&gt;"",
     INDEX('Eurostat EB products IEA'!$A$4:$BN$135,
           MATCH($B58:$K58, 'Eurostat EB products IEA'!$A$4:$A$135, 0),
           MATCH(AD$1, 'Eurostat EB products IEA'!$A$4:$BN$4, 0)
     )
     * $L58:$U58,
     0
  )
)</f>
        <v>721.649</v>
      </c>
      <c r="AE58" s="17" cm="1">
        <f t="array" ref="AE58">SUMPRODUCT(
  IF($B58:$K58&lt;&gt;"",
     INDEX('Eurostat EB products IEA'!$A$4:$BN$135,
           MATCH($B58:$K58, 'Eurostat EB products IEA'!$A$4:$A$135, 0),
           MATCH(AE$1, 'Eurostat EB products IEA'!$A$4:$BN$4, 0)
     )
     * $L58:$U58,
     0
  )
)</f>
        <v>0</v>
      </c>
      <c r="AF58" s="17" cm="1">
        <f t="array" ref="AF58">SUMPRODUCT(
  IF($B58:$K58&lt;&gt;"",
     INDEX('Eurostat EB products IEA'!$A$4:$BN$135,
           MATCH($B58:$K58, 'Eurostat EB products IEA'!$A$4:$A$135, 0),
           MATCH(AF$1, 'Eurostat EB products IEA'!$A$4:$BN$4, 0)
     )
     * $L58:$U58,
     0
  )
)</f>
        <v>0</v>
      </c>
      <c r="AG58" s="17" cm="1">
        <f t="array" ref="AG58">SUMPRODUCT(
  IF($B58:$K58&lt;&gt;"",
     INDEX('Eurostat EB products IEA'!$A$4:$BN$135,
           MATCH($B58:$K58, 'Eurostat EB products IEA'!$A$4:$A$135, 0),
           MATCH(AG$1, 'Eurostat EB products IEA'!$A$4:$BN$4, 0)
     )
     * $L58:$U58,
     0
  )
)</f>
        <v>0</v>
      </c>
      <c r="AH58" s="17" cm="1">
        <f t="array" ref="AH58">SUMPRODUCT(
  IF($B58:$K58&lt;&gt;"",
     INDEX('Eurostat EB products IEA'!$A$4:$BN$135,
           MATCH($B58:$K58, 'Eurostat EB products IEA'!$A$4:$A$135, 0),
           MATCH(AH$1, 'Eurostat EB products IEA'!$A$4:$BN$4, 0)
     )
     * $L58:$U58,
     0
  )
)</f>
        <v>0</v>
      </c>
      <c r="AI58" s="17" cm="1">
        <f t="array" ref="AI58">SUMPRODUCT(
  IF($B58:$K58&lt;&gt;"",
     INDEX('Eurostat EB products IEA'!$A$4:$BN$135,
           MATCH($B58:$K58, 'Eurostat EB products IEA'!$A$4:$A$135, 0),
           MATCH(AI$1, 'Eurostat EB products IEA'!$A$4:$BN$4, 0)
     )
     * $L58:$U58,
     0
  )
)</f>
        <v>0</v>
      </c>
      <c r="AJ58" s="17" cm="1">
        <f t="array" ref="AJ58">SUMPRODUCT(
  IF($B58:$K58&lt;&gt;"",
     INDEX('Eurostat EB products IEA'!$A$4:$BN$135,
           MATCH($B58:$K58, 'Eurostat EB products IEA'!$A$4:$A$135, 0),
           MATCH(AJ$1, 'Eurostat EB products IEA'!$A$4:$BN$4, 0)
     )
     * $L58:$U58,
     0
  )
)</f>
        <v>0</v>
      </c>
      <c r="AK58" s="17" cm="1">
        <f t="array" ref="AK58">SUMPRODUCT(
  IF($B58:$K58&lt;&gt;"",
     INDEX('Eurostat EB products IEA'!$A$4:$BN$135,
           MATCH($B58:$K58, 'Eurostat EB products IEA'!$A$4:$A$135, 0),
           MATCH(AK$1, 'Eurostat EB products IEA'!$A$4:$BN$4, 0)
     )
     * $L58:$U58,
     0
  )
)</f>
        <v>0</v>
      </c>
      <c r="AL58" s="17" cm="1">
        <f t="array" ref="AL58">SUMPRODUCT(
  IF($B58:$K58&lt;&gt;"",
     INDEX('Eurostat EB products IEA'!$A$4:$BN$135,
           MATCH($B58:$K58, 'Eurostat EB products IEA'!$A$4:$A$135, 0),
           MATCH(AL$1, 'Eurostat EB products IEA'!$A$4:$BN$4, 0)
     )
     * $L58:$U58,
     0
  )
)</f>
        <v>0</v>
      </c>
      <c r="AM58" s="17" cm="1">
        <f t="array" ref="AM58">SUMPRODUCT(
  IF($B58:$K58&lt;&gt;"",
     INDEX('Eurostat EB products IEA'!$A$4:$BN$135,
           MATCH($B58:$K58, 'Eurostat EB products IEA'!$A$4:$A$135, 0),
           MATCH(AM$1, 'Eurostat EB products IEA'!$A$4:$BN$4, 0)
     )
     * $L58:$U58,
     0
  )
)</f>
        <v>16545.536</v>
      </c>
      <c r="AN58" s="65" t="s">
        <v>323</v>
      </c>
      <c r="AO58" s="17" cm="1">
        <f t="array" ref="AO58">SUMPRODUCT(
  IF($B58:$K58&lt;&gt;"",
     INDEX('Eurostat EB products IEA'!$A$4:$BN$135,
           MATCH($B58:$K58, 'Eurostat EB products IEA'!$A$4:$A$135, 0),
           MATCH(AO$1, 'Eurostat EB products IEA'!$A$4:$BN$4, 0)
     )
     * $L58:$U58,
     0
  )
)</f>
        <v>0</v>
      </c>
      <c r="AP58" s="17" cm="1">
        <f t="array" ref="AP58">SUMPRODUCT(
  IF($B58:$K58&lt;&gt;"",
     INDEX('Eurostat EB products IEA'!$A$4:$BN$135,
           MATCH($B58:$K58, 'Eurostat EB products IEA'!$A$4:$A$135, 0),
           MATCH(AP$1, 'Eurostat EB products IEA'!$A$4:$BN$4, 0)
     )
     * $L58:$U58,
     0
  )
)</f>
        <v>0</v>
      </c>
      <c r="AQ58" s="17" cm="1">
        <f t="array" ref="AQ58">SUMPRODUCT(
  IF($B58:$K58&lt;&gt;"",
     INDEX('Eurostat EB products IEA'!$A$4:$BN$135,
           MATCH($B58:$K58, 'Eurostat EB products IEA'!$A$4:$A$135, 0),
           MATCH(AQ$1, 'Eurostat EB products IEA'!$A$4:$BN$4, 0)
     )
     * $L58:$U58,
     0
  )
)</f>
        <v>0</v>
      </c>
      <c r="AR58" s="17" cm="1">
        <f t="array" ref="AR58">SUMPRODUCT(
  IF($B58:$K58&lt;&gt;"",
     INDEX('Eurostat EB products IEA'!$A$4:$BN$135,
           MATCH($B58:$K58, 'Eurostat EB products IEA'!$A$4:$A$135, 0),
           MATCH(AR$1, 'Eurostat EB products IEA'!$A$4:$BN$4, 0)
     )
     * $L58:$U58,
     0
  )
)</f>
        <v>0</v>
      </c>
      <c r="AS58" s="17" cm="1">
        <f t="array" ref="AS58">SUMPRODUCT(
  IF($B58:$K58&lt;&gt;"",
     INDEX('Eurostat EB products IEA'!$A$4:$BN$135,
           MATCH($B58:$K58, 'Eurostat EB products IEA'!$A$4:$A$135, 0),
           MATCH(AS$1, 'Eurostat EB products IEA'!$A$4:$BN$4, 0)
     )
     * $L58:$U58,
     0
  )
)</f>
        <v>0</v>
      </c>
      <c r="AT58" s="17" cm="1">
        <f t="array" ref="AT58">SUMPRODUCT(
  IF($B58:$K58&lt;&gt;"",
     INDEX('Eurostat EB products IEA'!$A$4:$BN$135,
           MATCH($B58:$K58, 'Eurostat EB products IEA'!$A$4:$A$135, 0),
           MATCH(AT$1, 'Eurostat EB products IEA'!$A$4:$BN$4, 0)
     )
     * $L58:$U58,
     0
  )
)</f>
        <v>0</v>
      </c>
      <c r="AU58" s="17" cm="1">
        <f t="array" ref="AU58">SUMPRODUCT(
  IF($B58:$K58&lt;&gt;"",
     INDEX('Eurostat EB products IEA'!$A$4:$BN$135,
           MATCH($B58:$K58, 'Eurostat EB products IEA'!$A$4:$A$135, 0),
           MATCH(AU$1, 'Eurostat EB products IEA'!$A$4:$BN$4, 0)
     )
     * $L58:$U58,
     0
  )
)</f>
        <v>0</v>
      </c>
      <c r="AV58" s="17" cm="1">
        <f t="array" ref="AV58">SUMPRODUCT(
  IF($B58:$K58&lt;&gt;"",
     INDEX('Eurostat EB products IEA'!$A$4:$BN$135,
           MATCH($B58:$K58, 'Eurostat EB products IEA'!$A$4:$A$135, 0),
           MATCH(AV$1, 'Eurostat EB products IEA'!$A$4:$BN$4, 0)
     )
     * $L58:$U58,
     0
  )
)</f>
        <v>31.274000000000001</v>
      </c>
      <c r="AW58" s="17" cm="1">
        <f t="array" ref="AW58">SUMPRODUCT(
  IF($B58:$K58&lt;&gt;"",
     INDEX('Eurostat EB products IEA'!$A$4:$BN$135,
           MATCH($B58:$K58, 'Eurostat EB products IEA'!$A$4:$A$135, 0),
           MATCH(AW$1, 'Eurostat EB products IEA'!$A$4:$BN$4, 0)
     )
     * $L58:$U58,
     0
  )
)</f>
        <v>0</v>
      </c>
      <c r="AX58" s="17" cm="1">
        <f t="array" ref="AX58">SUMPRODUCT(
  IF($B58:$K58&lt;&gt;"",
     INDEX('Eurostat EB products IEA'!$A$4:$BN$135,
           MATCH($B58:$K58, 'Eurostat EB products IEA'!$A$4:$A$135, 0),
           MATCH(AX$1, 'Eurostat EB products IEA'!$A$4:$BN$4, 0)
     )
     * $L58:$U58,
     0
  )
)</f>
        <v>0</v>
      </c>
      <c r="AY58" s="17" cm="1">
        <f t="array" ref="AY58">SUMPRODUCT(
  IF($B58:$K58&lt;&gt;"",
     INDEX('Eurostat EB products IEA'!$A$4:$BN$135,
           MATCH($B58:$K58, 'Eurostat EB products IEA'!$A$4:$A$135, 0),
           MATCH(AY$1, 'Eurostat EB products IEA'!$A$4:$BN$4, 0)
     )
     * $L58:$U58,
     0
  )
)</f>
        <v>0</v>
      </c>
      <c r="AZ58" s="17" cm="1">
        <f t="array" ref="AZ58">SUMPRODUCT(
  IF($B58:$K58&lt;&gt;"",
     INDEX('Eurostat EB products IEA'!$A$4:$BN$135,
           MATCH($B58:$K58, 'Eurostat EB products IEA'!$A$4:$A$135, 0),
           MATCH(AZ$1, 'Eurostat EB products IEA'!$A$4:$BN$4, 0)
     )
     * $L58:$U58,
     0
  )
)</f>
        <v>0</v>
      </c>
      <c r="BA58" s="17" cm="1">
        <f t="array" ref="BA58">SUMPRODUCT(
  IF($B58:$K58&lt;&gt;"",
     INDEX('Eurostat EB products IEA'!$A$4:$BN$135,
           MATCH($B58:$K58, 'Eurostat EB products IEA'!$A$4:$A$135, 0),
           MATCH(BA$1, 'Eurostat EB products IEA'!$A$4:$BN$4, 0)
     )
     * $L58:$U58,
     0
  )
)</f>
        <v>0.129</v>
      </c>
      <c r="BB58" s="17" cm="1">
        <f t="array" ref="BB58">SUMPRODUCT(
  IF($B58:$K58&lt;&gt;"",
     INDEX('Eurostat EB products IEA'!$A$4:$BN$135,
           MATCH($B58:$K58, 'Eurostat EB products IEA'!$A$4:$A$135, 0),
           MATCH(BB$1, 'Eurostat EB products IEA'!$A$4:$BN$4, 0)
     )
     * $L58:$U58,
     0
  )
)</f>
        <v>76.832999999999998</v>
      </c>
      <c r="BC58" s="17" cm="1">
        <f t="array" ref="BC58">SUMPRODUCT(
  IF($B58:$K58&lt;&gt;"",
     INDEX('Eurostat EB products IEA'!$A$4:$BN$135,
           MATCH($B58:$K58, 'Eurostat EB products IEA'!$A$4:$A$135, 0),
           MATCH(BC$1, 'Eurostat EB products IEA'!$A$4:$BN$4, 0)
     )
     * $L58:$U58,
     0
  )
)</f>
        <v>0</v>
      </c>
      <c r="BD58" s="17" cm="1">
        <f t="array" ref="BD58">SUMPRODUCT(
  IF($B58:$K58&lt;&gt;"",
     INDEX('Eurostat EB products IEA'!$A$4:$BN$135,
           MATCH($B58:$K58, 'Eurostat EB products IEA'!$A$4:$A$135, 0),
           MATCH(BD$1, 'Eurostat EB products IEA'!$A$4:$BN$4, 0)
     )
     * $L58:$U58,
     0
  )
)</f>
        <v>0</v>
      </c>
      <c r="BE58" s="17" cm="1">
        <f t="array" ref="BE58">SUMPRODUCT(
  IF($B58:$K58&lt;&gt;"",
     INDEX('Eurostat EB products IEA'!$A$4:$BN$135,
           MATCH($B58:$K58, 'Eurostat EB products IEA'!$A$4:$A$135, 0),
           MATCH(BE$1, 'Eurostat EB products IEA'!$A$4:$BN$4, 0)
     )
     * $L58:$U58,
     0
  )
)</f>
        <v>0</v>
      </c>
      <c r="BF58" s="17" cm="1">
        <f t="array" ref="BF58">SUMPRODUCT(
  IF($B58:$K58&lt;&gt;"",
     INDEX('Eurostat EB products IEA'!$A$4:$BN$135,
           MATCH($B58:$K58, 'Eurostat EB products IEA'!$A$4:$A$135, 0),
           MATCH(BF$1, 'Eurostat EB products IEA'!$A$4:$BN$4, 0)
     )
     * $L58:$U58,
     0
  )
)</f>
        <v>0</v>
      </c>
      <c r="BG58" s="17" cm="1">
        <f t="array" ref="BG58">SUMPRODUCT(
  IF($B58:$K58&lt;&gt;"",
     INDEX('Eurostat EB products IEA'!$A$4:$BN$135,
           MATCH($B58:$K58, 'Eurostat EB products IEA'!$A$4:$A$135, 0),
           MATCH(BG$1, 'Eurostat EB products IEA'!$A$4:$BN$4, 0)
     )
     * $L58:$U58,
     0
  )
)</f>
        <v>0</v>
      </c>
      <c r="BH58" s="17" cm="1">
        <f t="array" ref="BH58">SUMPRODUCT(
  IF($B58:$K58&lt;&gt;"",
     INDEX('Eurostat EB products IEA'!$A$4:$BN$135,
           MATCH($B58:$K58, 'Eurostat EB products IEA'!$A$4:$A$135, 0),
           MATCH(BH$1, 'Eurostat EB products IEA'!$A$4:$BN$4, 0)
     )
     * $L58:$U58,
     0
  )
)</f>
        <v>0</v>
      </c>
      <c r="BI58" s="17" cm="1">
        <f t="array" ref="BI58">SUMPRODUCT(
  IF($B58:$K58&lt;&gt;"",
     INDEX('Eurostat EB products IEA'!$A$4:$BN$135,
           MATCH($B58:$K58, 'Eurostat EB products IEA'!$A$4:$A$135, 0),
           MATCH(BI$1, 'Eurostat EB products IEA'!$A$4:$BN$4, 0)
     )
     * $L58:$U58,
     0
  )
)</f>
        <v>0</v>
      </c>
      <c r="BJ58" s="17" cm="1">
        <f t="array" ref="BJ58">SUMPRODUCT(
  IF($B58:$K58&lt;&gt;"",
     INDEX('Eurostat EB products IEA'!$A$4:$BN$135,
           MATCH($B58:$K58, 'Eurostat EB products IEA'!$A$4:$A$135, 0),
           MATCH(BJ$1, 'Eurostat EB products IEA'!$A$4:$BN$4, 0)
     )
     * $L58:$U58,
     0
  )
)</f>
        <v>9.5000000000000001E-2</v>
      </c>
      <c r="BK58" s="17" cm="1">
        <f t="array" ref="BK58">SUMPRODUCT(
  IF($B58:$K58&lt;&gt;"",
     INDEX('Eurostat EB products IEA'!$A$4:$BN$135,
           MATCH($B58:$K58, 'Eurostat EB products IEA'!$A$4:$A$135, 0),
           MATCH(BK$1, 'Eurostat EB products IEA'!$A$4:$BN$4, 0)
     )
     * $L58:$U58,
     0
  )
)</f>
        <v>0</v>
      </c>
      <c r="BL58" s="17" cm="1">
        <f t="array" ref="BL58">SUMPRODUCT(
  IF($B58:$K58&lt;&gt;"",
     INDEX('Eurostat EB products IEA'!$A$4:$BN$135,
           MATCH($B58:$K58, 'Eurostat EB products IEA'!$A$4:$A$135, 0),
           MATCH(BL$1, 'Eurostat EB products IEA'!$A$4:$BN$4, 0)
     )
     * $L58:$U58,
     0
  )
)</f>
        <v>0</v>
      </c>
      <c r="BM58" s="17" cm="1">
        <f t="array" ref="BM58">SUMPRODUCT(
  IF($B58:$K58&lt;&gt;"",
     INDEX('Eurostat EB products IEA'!$A$4:$BN$135,
           MATCH($B58:$K58, 'Eurostat EB products IEA'!$A$4:$A$135, 0),
           MATCH(BM$1, 'Eurostat EB products IEA'!$A$4:$BN$4, 0)
     )
     * $L58:$U58,
     0
  )
)</f>
        <v>0</v>
      </c>
      <c r="BN58" s="17" cm="1">
        <f t="array" ref="BN58">SUMPRODUCT(
  IF($B58:$K58&lt;&gt;"",
     INDEX('Eurostat EB products IEA'!$A$4:$BN$135,
           MATCH($B58:$K58, 'Eurostat EB products IEA'!$A$4:$A$135, 0),
           MATCH(BN$1, 'Eurostat EB products IEA'!$A$4:$BN$4, 0)
     )
     * $L58:$U58,
     0
  )
)</f>
        <v>0</v>
      </c>
      <c r="BO58" s="17" cm="1">
        <f t="array" ref="BO58">SUMPRODUCT(
  IF($B58:$K58&lt;&gt;"",
     INDEX('Eurostat EB products IEA'!$A$4:$BN$135,
           MATCH($B58:$K58, 'Eurostat EB products IEA'!$A$4:$A$135, 0),
           MATCH(BO$1, 'Eurostat EB products IEA'!$A$4:$BN$4, 0)
     )
     * $L58:$U58,
     0
  )
)</f>
        <v>0</v>
      </c>
      <c r="BP58" s="17" cm="1">
        <f t="array" ref="BP58">SUMPRODUCT(
  IF($B58:$K58&lt;&gt;"",
     INDEX('Eurostat EB products IEA'!$A$4:$BN$135,
           MATCH($B58:$K58, 'Eurostat EB products IEA'!$A$4:$A$135, 0),
           MATCH(BP$1, 'Eurostat EB products IEA'!$A$4:$BN$4, 0)
     )
     * $L58:$U58,
     0
  )
)</f>
        <v>0</v>
      </c>
      <c r="BQ58" s="17" cm="1">
        <f t="array" ref="BQ58">SUMPRODUCT(
  IF($B58:$K58&lt;&gt;"",
     INDEX('Eurostat EB products IEA'!$A$4:$BN$135,
           MATCH($B58:$K58, 'Eurostat EB products IEA'!$A$4:$A$135, 0),
           MATCH(BQ$1, 'Eurostat EB products IEA'!$A$4:$BN$4, 0)
     )
     * $L58:$U58,
     0
  )
)</f>
        <v>0</v>
      </c>
      <c r="BR58" s="17" cm="1">
        <f t="array" ref="BR58">SUMPRODUCT(
  IF($B58:$K58&lt;&gt;"",
     INDEX('Eurostat EB products IEA'!$A$4:$BN$135,
           MATCH($B58:$K58, 'Eurostat EB products IEA'!$A$4:$A$135, 0),
           MATCH(BR$1, 'Eurostat EB products IEA'!$A$4:$BN$4, 0)
     )
     * $L58:$U58,
     0
  )
)</f>
        <v>0</v>
      </c>
      <c r="BS58" s="65">
        <v>0</v>
      </c>
      <c r="BT58" s="17" cm="1">
        <f t="array" ref="BT58">SUMPRODUCT(
  IF($B58:$K58&lt;&gt;"",
     INDEX('Eurostat EB products IEA'!$A$4:$BN$135,
           MATCH($B58:$K58, 'Eurostat EB products IEA'!$A$4:$A$135, 0),
           MATCH(BT$1, 'Eurostat EB products IEA'!$A$4:$BN$4, 0)
     )
     * $L58:$U58,
     0
  )
)</f>
        <v>0</v>
      </c>
      <c r="BU58" s="65">
        <v>0</v>
      </c>
      <c r="BV58" s="65">
        <v>0</v>
      </c>
      <c r="BW58" s="17" cm="1">
        <f t="array" ref="BW58">SUMPRODUCT(
  IF($B58:$K58&lt;&gt;"",
     INDEX('Eurostat EB products IEA'!$A$4:$BN$135,
           MATCH($B58:$K58, 'Eurostat EB products IEA'!$A$4:$A$135, 0),
           MATCH(BW$1, 'Eurostat EB products IEA'!$A$4:$BN$4, 0)
     )
     * $L58:$U58,
     0
  )
)</f>
        <v>0</v>
      </c>
      <c r="BX58" s="17" cm="1">
        <f t="array" ref="BX58">SUMPRODUCT(
  IF($B58:$K58&lt;&gt;"",
     INDEX('Eurostat EB products IEA'!$A$4:$BN$135,
           MATCH($B58:$K58, 'Eurostat EB products IEA'!$A$4:$A$135, 0),
           MATCH(BX$1, 'Eurostat EB products IEA'!$A$4:$BN$4, 0)
     )
     * $L58:$U58,
     0
  )
)</f>
        <v>0</v>
      </c>
      <c r="BY58" s="17" cm="1">
        <f t="array" ref="BY58">SUMPRODUCT(
  IF($B58:$K58&lt;&gt;"",
     INDEX('Eurostat EB products IEA'!$A$4:$BN$135,
           MATCH($B58:$K58, 'Eurostat EB products IEA'!$A$4:$A$135, 0),
           MATCH(BY$1, 'Eurostat EB products IEA'!$A$4:$BN$4, 0)
     )
     * $L58:$U58,
     0
  )
)</f>
        <v>0</v>
      </c>
      <c r="BZ58" s="17" cm="1">
        <f t="array" ref="BZ58">SUMPRODUCT(
  IF($B58:$K58&lt;&gt;"",
     INDEX('Eurostat EB products IEA'!$A$4:$BN$135,
           MATCH($B58:$K58, 'Eurostat EB products IEA'!$A$4:$A$135, 0),
           MATCH(BZ$1, 'Eurostat EB products IEA'!$A$4:$BN$4, 0)
     )
     * $L58:$U58,
     0
  )
)</f>
        <v>0</v>
      </c>
      <c r="CA58" s="17" cm="1">
        <f t="array" ref="CA58">SUMPRODUCT(
  IF($B58:$K58&lt;&gt;"",
     INDEX('Eurostat EB products IEA'!$A$4:$BN$135,
           MATCH($B58:$K58, 'Eurostat EB products IEA'!$A$4:$A$135, 0),
           MATCH(CA$1, 'Eurostat EB products IEA'!$A$4:$BN$4, 0)
     )
     * $L58:$U58,
     0
  )
)</f>
        <v>0</v>
      </c>
      <c r="CB58" s="17" cm="1">
        <f t="array" ref="CB58">SUMPRODUCT(
  IF($B58:$K58&lt;&gt;"",
     INDEX('Eurostat EB products IEA'!$A$4:$BN$135,
           MATCH($B58:$K58, 'Eurostat EB products IEA'!$A$4:$A$135, 0),
           MATCH(CB$1, 'Eurostat EB products IEA'!$A$4:$BN$4, 0)
     )
     * $L58:$U58,
     0
  )
)</f>
        <v>0</v>
      </c>
      <c r="CC58" s="17" cm="1">
        <f t="array" ref="CC58">SUMPRODUCT(
  IF($B58:$K58&lt;&gt;"",
     INDEX('Eurostat EB products IEA'!$A$4:$BN$135,
           MATCH($B58:$K58, 'Eurostat EB products IEA'!$A$4:$A$135, 0),
           MATCH(CC$1, 'Eurostat EB products IEA'!$A$4:$BN$4, 0)
     )
     * $L58:$U58,
     0
  )
)</f>
        <v>0</v>
      </c>
      <c r="CD58" s="65">
        <v>0</v>
      </c>
      <c r="CE58" s="17" cm="1">
        <f t="array" ref="CE58">SUMPRODUCT(
  IF($B58:$K58&lt;&gt;"",
     INDEX('Eurostat EB products IEA'!$A$4:$BN$135,
           MATCH($B58:$K58, 'Eurostat EB products IEA'!$A$4:$A$135, 0),
           MATCH(CE$1, 'Eurostat EB products IEA'!$A$4:$BN$4, 0)
     )
     * $L58:$U58,
     0
  )
)</f>
        <v>3897.1660000000002</v>
      </c>
      <c r="CF58" s="17" cm="1">
        <f t="array" ref="CF58">SUMPRODUCT(
  IF($B58:$K58&lt;&gt;"",
     INDEX('Eurostat EB products IEA'!$A$4:$BN$135,
           MATCH($B58:$K58, 'Eurostat EB products IEA'!$A$4:$A$135, 0),
           MATCH(CF$1, 'Eurostat EB products IEA'!$A$4:$BN$4, 0)
     )
     * $L58:$U58,
     0
  )
)</f>
        <v>0.39800000000000002</v>
      </c>
      <c r="CG58" s="17" cm="1">
        <f t="array" ref="CG58">SUMPRODUCT(
  IF($B58:$K58&lt;&gt;"",
     INDEX('Eurostat EB products IEA'!$A$4:$BN$135,
           MATCH($B58:$K58, 'Eurostat EB products IEA'!$A$4:$A$135, 0),
           MATCH(CG$1, 'Eurostat EB products IEA'!$A$4:$BN$4, 0)
     )
     * $L58:$U58,
     0
  )
)</f>
        <v>21286.021000000001</v>
      </c>
      <c r="CH58" s="17" cm="1">
        <f t="array" ref="CH58">SUMPRODUCT(
  IF($B58:$K58&lt;&gt;"",
     INDEX('Eurostat EB products IEA'!$A$4:$BN$135,
           MATCH($B58:$K58, 'Eurostat EB products IEA'!$A$4:$A$135, 0),
           MATCH(CH$1, 'Eurostat EB products IEA'!$A$4:$BN$4, 0)
     )
     * $L58:$U58,
     0
  )
)</f>
        <v>429.012</v>
      </c>
    </row>
    <row r="59" spans="1:86" x14ac:dyDescent="0.2">
      <c r="A59" t="s">
        <v>103</v>
      </c>
      <c r="B59" s="75"/>
      <c r="C59" s="77"/>
      <c r="D59" s="75"/>
      <c r="E59" s="77"/>
      <c r="F59" s="75"/>
      <c r="G59" s="77"/>
      <c r="H59" s="75"/>
      <c r="I59" s="77"/>
      <c r="J59" s="74"/>
      <c r="K59" s="78" t="s">
        <v>292</v>
      </c>
      <c r="L59" s="76"/>
      <c r="M59" s="79"/>
      <c r="N59" s="76"/>
      <c r="O59" s="79"/>
      <c r="P59" s="76"/>
      <c r="Q59" s="79"/>
      <c r="R59" s="76"/>
      <c r="S59" s="79"/>
      <c r="T59" s="76"/>
      <c r="U59" s="79">
        <v>1</v>
      </c>
      <c r="V59" s="65" t="s">
        <v>323</v>
      </c>
      <c r="W59" s="65" t="s">
        <v>323</v>
      </c>
      <c r="X59" s="57" cm="1">
        <f t="array" ref="X59">SUMPRODUCT(
  IF($B59:$K59&lt;&gt;"",
     INDEX('Eurostat EB products IEA'!$A$4:$BN$135,
           MATCH($B59:$K59, 'Eurostat EB products IEA'!$A$4:$A$135, 0),
           MATCH(X$1, 'Eurostat EB products IEA'!$A$4:$BN$4, 0)
     )
     * $L59:$U59,
     0
  )
)</f>
        <v>0</v>
      </c>
      <c r="Y59" s="57" cm="1">
        <f t="array" ref="Y59">SUMPRODUCT(
  IF($B59:$K59&lt;&gt;"",
     INDEX('Eurostat EB products IEA'!$A$4:$BN$135,
           MATCH($B59:$K59, 'Eurostat EB products IEA'!$A$4:$A$135, 0),
           MATCH(Y$1, 'Eurostat EB products IEA'!$A$4:$BN$4, 0)
     )
     * $L59:$U59,
     0
  )
)</f>
        <v>0</v>
      </c>
      <c r="Z59" s="57" cm="1">
        <f t="array" ref="Z59">SUMPRODUCT(
  IF($B59:$K59&lt;&gt;"",
     INDEX('Eurostat EB products IEA'!$A$4:$BN$135,
           MATCH($B59:$K59, 'Eurostat EB products IEA'!$A$4:$A$135, 0),
           MATCH(Z$1, 'Eurostat EB products IEA'!$A$4:$BN$4, 0)
     )
     * $L59:$U59,
     0
  )
)</f>
        <v>0</v>
      </c>
      <c r="AA59" s="57" cm="1">
        <f t="array" ref="AA59">SUMPRODUCT(
  IF($B59:$K59&lt;&gt;"",
     INDEX('Eurostat EB products IEA'!$A$4:$BN$135,
           MATCH($B59:$K59, 'Eurostat EB products IEA'!$A$4:$A$135, 0),
           MATCH(AA$1, 'Eurostat EB products IEA'!$A$4:$BN$4, 0)
     )
     * $L59:$U59,
     0
  )
)</f>
        <v>0</v>
      </c>
      <c r="AB59" s="57" cm="1">
        <f t="array" ref="AB59">SUMPRODUCT(
  IF($B59:$K59&lt;&gt;"",
     INDEX('Eurostat EB products IEA'!$A$4:$BN$135,
           MATCH($B59:$K59, 'Eurostat EB products IEA'!$A$4:$A$135, 0),
           MATCH(AB$1, 'Eurostat EB products IEA'!$A$4:$BN$4, 0)
     )
     * $L59:$U59,
     0
  )
)</f>
        <v>0</v>
      </c>
      <c r="AC59" s="57" cm="1">
        <f t="array" ref="AC59">SUMPRODUCT(
  IF($B59:$K59&lt;&gt;"",
     INDEX('Eurostat EB products IEA'!$A$4:$BN$135,
           MATCH($B59:$K59, 'Eurostat EB products IEA'!$A$4:$A$135, 0),
           MATCH(AC$1, 'Eurostat EB products IEA'!$A$4:$BN$4, 0)
     )
     * $L59:$U59,
     0
  )
)</f>
        <v>0</v>
      </c>
      <c r="AD59" s="57" cm="1">
        <f t="array" ref="AD59">SUMPRODUCT(
  IF($B59:$K59&lt;&gt;"",
     INDEX('Eurostat EB products IEA'!$A$4:$BN$135,
           MATCH($B59:$K59, 'Eurostat EB products IEA'!$A$4:$A$135, 0),
           MATCH(AD$1, 'Eurostat EB products IEA'!$A$4:$BN$4, 0)
     )
     * $L59:$U59,
     0
  )
)</f>
        <v>0</v>
      </c>
      <c r="AE59" s="57" cm="1">
        <f t="array" ref="AE59">SUMPRODUCT(
  IF($B59:$K59&lt;&gt;"",
     INDEX('Eurostat EB products IEA'!$A$4:$BN$135,
           MATCH($B59:$K59, 'Eurostat EB products IEA'!$A$4:$A$135, 0),
           MATCH(AE$1, 'Eurostat EB products IEA'!$A$4:$BN$4, 0)
     )
     * $L59:$U59,
     0
  )
)</f>
        <v>0</v>
      </c>
      <c r="AF59" s="57" cm="1">
        <f t="array" ref="AF59">SUMPRODUCT(
  IF($B59:$K59&lt;&gt;"",
     INDEX('Eurostat EB products IEA'!$A$4:$BN$135,
           MATCH($B59:$K59, 'Eurostat EB products IEA'!$A$4:$A$135, 0),
           MATCH(AF$1, 'Eurostat EB products IEA'!$A$4:$BN$4, 0)
     )
     * $L59:$U59,
     0
  )
)</f>
        <v>0</v>
      </c>
      <c r="AG59" s="57" cm="1">
        <f t="array" ref="AG59">SUMPRODUCT(
  IF($B59:$K59&lt;&gt;"",
     INDEX('Eurostat EB products IEA'!$A$4:$BN$135,
           MATCH($B59:$K59, 'Eurostat EB products IEA'!$A$4:$A$135, 0),
           MATCH(AG$1, 'Eurostat EB products IEA'!$A$4:$BN$4, 0)
     )
     * $L59:$U59,
     0
  )
)</f>
        <v>0</v>
      </c>
      <c r="AH59" s="57" cm="1">
        <f t="array" ref="AH59">SUMPRODUCT(
  IF($B59:$K59&lt;&gt;"",
     INDEX('Eurostat EB products IEA'!$A$4:$BN$135,
           MATCH($B59:$K59, 'Eurostat EB products IEA'!$A$4:$A$135, 0),
           MATCH(AH$1, 'Eurostat EB products IEA'!$A$4:$BN$4, 0)
     )
     * $L59:$U59,
     0
  )
)</f>
        <v>0</v>
      </c>
      <c r="AI59" s="57" cm="1">
        <f t="array" ref="AI59">SUMPRODUCT(
  IF($B59:$K59&lt;&gt;"",
     INDEX('Eurostat EB products IEA'!$A$4:$BN$135,
           MATCH($B59:$K59, 'Eurostat EB products IEA'!$A$4:$A$135, 0),
           MATCH(AI$1, 'Eurostat EB products IEA'!$A$4:$BN$4, 0)
     )
     * $L59:$U59,
     0
  )
)</f>
        <v>0</v>
      </c>
      <c r="AJ59" s="57" cm="1">
        <f t="array" ref="AJ59">SUMPRODUCT(
  IF($B59:$K59&lt;&gt;"",
     INDEX('Eurostat EB products IEA'!$A$4:$BN$135,
           MATCH($B59:$K59, 'Eurostat EB products IEA'!$A$4:$A$135, 0),
           MATCH(AJ$1, 'Eurostat EB products IEA'!$A$4:$BN$4, 0)
     )
     * $L59:$U59,
     0
  )
)</f>
        <v>0</v>
      </c>
      <c r="AK59" s="57" cm="1">
        <f t="array" ref="AK59">SUMPRODUCT(
  IF($B59:$K59&lt;&gt;"",
     INDEX('Eurostat EB products IEA'!$A$4:$BN$135,
           MATCH($B59:$K59, 'Eurostat EB products IEA'!$A$4:$A$135, 0),
           MATCH(AK$1, 'Eurostat EB products IEA'!$A$4:$BN$4, 0)
     )
     * $L59:$U59,
     0
  )
)</f>
        <v>0</v>
      </c>
      <c r="AL59" s="57" cm="1">
        <f t="array" ref="AL59">SUMPRODUCT(
  IF($B59:$K59&lt;&gt;"",
     INDEX('Eurostat EB products IEA'!$A$4:$BN$135,
           MATCH($B59:$K59, 'Eurostat EB products IEA'!$A$4:$A$135, 0),
           MATCH(AL$1, 'Eurostat EB products IEA'!$A$4:$BN$4, 0)
     )
     * $L59:$U59,
     0
  )
)</f>
        <v>0</v>
      </c>
      <c r="AM59" s="57" cm="1">
        <f t="array" ref="AM59">SUMPRODUCT(
  IF($B59:$K59&lt;&gt;"",
     INDEX('Eurostat EB products IEA'!$A$4:$BN$135,
           MATCH($B59:$K59, 'Eurostat EB products IEA'!$A$4:$A$135, 0),
           MATCH(AM$1, 'Eurostat EB products IEA'!$A$4:$BN$4, 0)
     )
     * $L59:$U59,
     0
  )
)</f>
        <v>1493.05</v>
      </c>
      <c r="AN59" s="65" t="s">
        <v>323</v>
      </c>
      <c r="AO59" s="57" cm="1">
        <f t="array" ref="AO59">SUMPRODUCT(
  IF($B59:$K59&lt;&gt;"",
     INDEX('Eurostat EB products IEA'!$A$4:$BN$135,
           MATCH($B59:$K59, 'Eurostat EB products IEA'!$A$4:$A$135, 0),
           MATCH(AO$1, 'Eurostat EB products IEA'!$A$4:$BN$4, 0)
     )
     * $L59:$U59,
     0
  )
)</f>
        <v>0</v>
      </c>
      <c r="AP59" s="57" cm="1">
        <f t="array" ref="AP59">SUMPRODUCT(
  IF($B59:$K59&lt;&gt;"",
     INDEX('Eurostat EB products IEA'!$A$4:$BN$135,
           MATCH($B59:$K59, 'Eurostat EB products IEA'!$A$4:$A$135, 0),
           MATCH(AP$1, 'Eurostat EB products IEA'!$A$4:$BN$4, 0)
     )
     * $L59:$U59,
     0
  )
)</f>
        <v>0</v>
      </c>
      <c r="AQ59" s="57" cm="1">
        <f t="array" ref="AQ59">SUMPRODUCT(
  IF($B59:$K59&lt;&gt;"",
     INDEX('Eurostat EB products IEA'!$A$4:$BN$135,
           MATCH($B59:$K59, 'Eurostat EB products IEA'!$A$4:$A$135, 0),
           MATCH(AQ$1, 'Eurostat EB products IEA'!$A$4:$BN$4, 0)
     )
     * $L59:$U59,
     0
  )
)</f>
        <v>0</v>
      </c>
      <c r="AR59" s="57" cm="1">
        <f t="array" ref="AR59">SUMPRODUCT(
  IF($B59:$K59&lt;&gt;"",
     INDEX('Eurostat EB products IEA'!$A$4:$BN$135,
           MATCH($B59:$K59, 'Eurostat EB products IEA'!$A$4:$A$135, 0),
           MATCH(AR$1, 'Eurostat EB products IEA'!$A$4:$BN$4, 0)
     )
     * $L59:$U59,
     0
  )
)</f>
        <v>0</v>
      </c>
      <c r="AS59" s="57" cm="1">
        <f t="array" ref="AS59">SUMPRODUCT(
  IF($B59:$K59&lt;&gt;"",
     INDEX('Eurostat EB products IEA'!$A$4:$BN$135,
           MATCH($B59:$K59, 'Eurostat EB products IEA'!$A$4:$A$135, 0),
           MATCH(AS$1, 'Eurostat EB products IEA'!$A$4:$BN$4, 0)
     )
     * $L59:$U59,
     0
  )
)</f>
        <v>0</v>
      </c>
      <c r="AT59" s="57" cm="1">
        <f t="array" ref="AT59">SUMPRODUCT(
  IF($B59:$K59&lt;&gt;"",
     INDEX('Eurostat EB products IEA'!$A$4:$BN$135,
           MATCH($B59:$K59, 'Eurostat EB products IEA'!$A$4:$A$135, 0),
           MATCH(AT$1, 'Eurostat EB products IEA'!$A$4:$BN$4, 0)
     )
     * $L59:$U59,
     0
  )
)</f>
        <v>0</v>
      </c>
      <c r="AU59" s="57" cm="1">
        <f t="array" ref="AU59">SUMPRODUCT(
  IF($B59:$K59&lt;&gt;"",
     INDEX('Eurostat EB products IEA'!$A$4:$BN$135,
           MATCH($B59:$K59, 'Eurostat EB products IEA'!$A$4:$A$135, 0),
           MATCH(AU$1, 'Eurostat EB products IEA'!$A$4:$BN$4, 0)
     )
     * $L59:$U59,
     0
  )
)</f>
        <v>0</v>
      </c>
      <c r="AV59" s="57" cm="1">
        <f t="array" ref="AV59">SUMPRODUCT(
  IF($B59:$K59&lt;&gt;"",
     INDEX('Eurostat EB products IEA'!$A$4:$BN$135,
           MATCH($B59:$K59, 'Eurostat EB products IEA'!$A$4:$A$135, 0),
           MATCH(AV$1, 'Eurostat EB products IEA'!$A$4:$BN$4, 0)
     )
     * $L59:$U59,
     0
  )
)</f>
        <v>18.71</v>
      </c>
      <c r="AW59" s="57" cm="1">
        <f t="array" ref="AW59">SUMPRODUCT(
  IF($B59:$K59&lt;&gt;"",
     INDEX('Eurostat EB products IEA'!$A$4:$BN$135,
           MATCH($B59:$K59, 'Eurostat EB products IEA'!$A$4:$A$135, 0),
           MATCH(AW$1, 'Eurostat EB products IEA'!$A$4:$BN$4, 0)
     )
     * $L59:$U59,
     0
  )
)</f>
        <v>0</v>
      </c>
      <c r="AX59" s="57" cm="1">
        <f t="array" ref="AX59">SUMPRODUCT(
  IF($B59:$K59&lt;&gt;"",
     INDEX('Eurostat EB products IEA'!$A$4:$BN$135,
           MATCH($B59:$K59, 'Eurostat EB products IEA'!$A$4:$A$135, 0),
           MATCH(AX$1, 'Eurostat EB products IEA'!$A$4:$BN$4, 0)
     )
     * $L59:$U59,
     0
  )
)</f>
        <v>0</v>
      </c>
      <c r="AY59" s="57" cm="1">
        <f t="array" ref="AY59">SUMPRODUCT(
  IF($B59:$K59&lt;&gt;"",
     INDEX('Eurostat EB products IEA'!$A$4:$BN$135,
           MATCH($B59:$K59, 'Eurostat EB products IEA'!$A$4:$A$135, 0),
           MATCH(AY$1, 'Eurostat EB products IEA'!$A$4:$BN$4, 0)
     )
     * $L59:$U59,
     0
  )
)</f>
        <v>0</v>
      </c>
      <c r="AZ59" s="57" cm="1">
        <f t="array" ref="AZ59">SUMPRODUCT(
  IF($B59:$K59&lt;&gt;"",
     INDEX('Eurostat EB products IEA'!$A$4:$BN$135,
           MATCH($B59:$K59, 'Eurostat EB products IEA'!$A$4:$A$135, 0),
           MATCH(AZ$1, 'Eurostat EB products IEA'!$A$4:$BN$4, 0)
     )
     * $L59:$U59,
     0
  )
)</f>
        <v>0</v>
      </c>
      <c r="BA59" s="57" cm="1">
        <f t="array" ref="BA59">SUMPRODUCT(
  IF($B59:$K59&lt;&gt;"",
     INDEX('Eurostat EB products IEA'!$A$4:$BN$135,
           MATCH($B59:$K59, 'Eurostat EB products IEA'!$A$4:$A$135, 0),
           MATCH(BA$1, 'Eurostat EB products IEA'!$A$4:$BN$4, 0)
     )
     * $L59:$U59,
     0
  )
)</f>
        <v>0</v>
      </c>
      <c r="BB59" s="57" cm="1">
        <f t="array" ref="BB59">SUMPRODUCT(
  IF($B59:$K59&lt;&gt;"",
     INDEX('Eurostat EB products IEA'!$A$4:$BN$135,
           MATCH($B59:$K59, 'Eurostat EB products IEA'!$A$4:$A$135, 0),
           MATCH(BB$1, 'Eurostat EB products IEA'!$A$4:$BN$4, 0)
     )
     * $L59:$U59,
     0
  )
)</f>
        <v>0.17299999999999999</v>
      </c>
      <c r="BC59" s="57" cm="1">
        <f t="array" ref="BC59">SUMPRODUCT(
  IF($B59:$K59&lt;&gt;"",
     INDEX('Eurostat EB products IEA'!$A$4:$BN$135,
           MATCH($B59:$K59, 'Eurostat EB products IEA'!$A$4:$A$135, 0),
           MATCH(BC$1, 'Eurostat EB products IEA'!$A$4:$BN$4, 0)
     )
     * $L59:$U59,
     0
  )
)</f>
        <v>0</v>
      </c>
      <c r="BD59" s="57" cm="1">
        <f t="array" ref="BD59">SUMPRODUCT(
  IF($B59:$K59&lt;&gt;"",
     INDEX('Eurostat EB products IEA'!$A$4:$BN$135,
           MATCH($B59:$K59, 'Eurostat EB products IEA'!$A$4:$A$135, 0),
           MATCH(BD$1, 'Eurostat EB products IEA'!$A$4:$BN$4, 0)
     )
     * $L59:$U59,
     0
  )
)</f>
        <v>0</v>
      </c>
      <c r="BE59" s="57" cm="1">
        <f t="array" ref="BE59">SUMPRODUCT(
  IF($B59:$K59&lt;&gt;"",
     INDEX('Eurostat EB products IEA'!$A$4:$BN$135,
           MATCH($B59:$K59, 'Eurostat EB products IEA'!$A$4:$A$135, 0),
           MATCH(BE$1, 'Eurostat EB products IEA'!$A$4:$BN$4, 0)
     )
     * $L59:$U59,
     0
  )
)</f>
        <v>0</v>
      </c>
      <c r="BF59" s="57" cm="1">
        <f t="array" ref="BF59">SUMPRODUCT(
  IF($B59:$K59&lt;&gt;"",
     INDEX('Eurostat EB products IEA'!$A$4:$BN$135,
           MATCH($B59:$K59, 'Eurostat EB products IEA'!$A$4:$A$135, 0),
           MATCH(BF$1, 'Eurostat EB products IEA'!$A$4:$BN$4, 0)
     )
     * $L59:$U59,
     0
  )
)</f>
        <v>0</v>
      </c>
      <c r="BG59" s="57" cm="1">
        <f t="array" ref="BG59">SUMPRODUCT(
  IF($B59:$K59&lt;&gt;"",
     INDEX('Eurostat EB products IEA'!$A$4:$BN$135,
           MATCH($B59:$K59, 'Eurostat EB products IEA'!$A$4:$A$135, 0),
           MATCH(BG$1, 'Eurostat EB products IEA'!$A$4:$BN$4, 0)
     )
     * $L59:$U59,
     0
  )
)</f>
        <v>0</v>
      </c>
      <c r="BH59" s="57" cm="1">
        <f t="array" ref="BH59">SUMPRODUCT(
  IF($B59:$K59&lt;&gt;"",
     INDEX('Eurostat EB products IEA'!$A$4:$BN$135,
           MATCH($B59:$K59, 'Eurostat EB products IEA'!$A$4:$A$135, 0),
           MATCH(BH$1, 'Eurostat EB products IEA'!$A$4:$BN$4, 0)
     )
     * $L59:$U59,
     0
  )
)</f>
        <v>0</v>
      </c>
      <c r="BI59" s="57" cm="1">
        <f t="array" ref="BI59">SUMPRODUCT(
  IF($B59:$K59&lt;&gt;"",
     INDEX('Eurostat EB products IEA'!$A$4:$BN$135,
           MATCH($B59:$K59, 'Eurostat EB products IEA'!$A$4:$A$135, 0),
           MATCH(BI$1, 'Eurostat EB products IEA'!$A$4:$BN$4, 0)
     )
     * $L59:$U59,
     0
  )
)</f>
        <v>0</v>
      </c>
      <c r="BJ59" s="57" cm="1">
        <f t="array" ref="BJ59">SUMPRODUCT(
  IF($B59:$K59&lt;&gt;"",
     INDEX('Eurostat EB products IEA'!$A$4:$BN$135,
           MATCH($B59:$K59, 'Eurostat EB products IEA'!$A$4:$A$135, 0),
           MATCH(BJ$1, 'Eurostat EB products IEA'!$A$4:$BN$4, 0)
     )
     * $L59:$U59,
     0
  )
)</f>
        <v>0</v>
      </c>
      <c r="BK59" s="57" cm="1">
        <f t="array" ref="BK59">SUMPRODUCT(
  IF($B59:$K59&lt;&gt;"",
     INDEX('Eurostat EB products IEA'!$A$4:$BN$135,
           MATCH($B59:$K59, 'Eurostat EB products IEA'!$A$4:$A$135, 0),
           MATCH(BK$1, 'Eurostat EB products IEA'!$A$4:$BN$4, 0)
     )
     * $L59:$U59,
     0
  )
)</f>
        <v>0</v>
      </c>
      <c r="BL59" s="57" cm="1">
        <f t="array" ref="BL59">SUMPRODUCT(
  IF($B59:$K59&lt;&gt;"",
     INDEX('Eurostat EB products IEA'!$A$4:$BN$135,
           MATCH($B59:$K59, 'Eurostat EB products IEA'!$A$4:$A$135, 0),
           MATCH(BL$1, 'Eurostat EB products IEA'!$A$4:$BN$4, 0)
     )
     * $L59:$U59,
     0
  )
)</f>
        <v>0</v>
      </c>
      <c r="BM59" s="57" cm="1">
        <f t="array" ref="BM59">SUMPRODUCT(
  IF($B59:$K59&lt;&gt;"",
     INDEX('Eurostat EB products IEA'!$A$4:$BN$135,
           MATCH($B59:$K59, 'Eurostat EB products IEA'!$A$4:$A$135, 0),
           MATCH(BM$1, 'Eurostat EB products IEA'!$A$4:$BN$4, 0)
     )
     * $L59:$U59,
     0
  )
)</f>
        <v>0</v>
      </c>
      <c r="BN59" s="57" cm="1">
        <f t="array" ref="BN59">SUMPRODUCT(
  IF($B59:$K59&lt;&gt;"",
     INDEX('Eurostat EB products IEA'!$A$4:$BN$135,
           MATCH($B59:$K59, 'Eurostat EB products IEA'!$A$4:$A$135, 0),
           MATCH(BN$1, 'Eurostat EB products IEA'!$A$4:$BN$4, 0)
     )
     * $L59:$U59,
     0
  )
)</f>
        <v>0</v>
      </c>
      <c r="BO59" s="57" cm="1">
        <f t="array" ref="BO59">SUMPRODUCT(
  IF($B59:$K59&lt;&gt;"",
     INDEX('Eurostat EB products IEA'!$A$4:$BN$135,
           MATCH($B59:$K59, 'Eurostat EB products IEA'!$A$4:$A$135, 0),
           MATCH(BO$1, 'Eurostat EB products IEA'!$A$4:$BN$4, 0)
     )
     * $L59:$U59,
     0
  )
)</f>
        <v>0</v>
      </c>
      <c r="BP59" s="57" cm="1">
        <f t="array" ref="BP59">SUMPRODUCT(
  IF($B59:$K59&lt;&gt;"",
     INDEX('Eurostat EB products IEA'!$A$4:$BN$135,
           MATCH($B59:$K59, 'Eurostat EB products IEA'!$A$4:$A$135, 0),
           MATCH(BP$1, 'Eurostat EB products IEA'!$A$4:$BN$4, 0)
     )
     * $L59:$U59,
     0
  )
)</f>
        <v>0</v>
      </c>
      <c r="BQ59" s="57" cm="1">
        <f t="array" ref="BQ59">SUMPRODUCT(
  IF($B59:$K59&lt;&gt;"",
     INDEX('Eurostat EB products IEA'!$A$4:$BN$135,
           MATCH($B59:$K59, 'Eurostat EB products IEA'!$A$4:$A$135, 0),
           MATCH(BQ$1, 'Eurostat EB products IEA'!$A$4:$BN$4, 0)
     )
     * $L59:$U59,
     0
  )
)</f>
        <v>0</v>
      </c>
      <c r="BR59" s="57" cm="1">
        <f t="array" ref="BR59">SUMPRODUCT(
  IF($B59:$K59&lt;&gt;"",
     INDEX('Eurostat EB products IEA'!$A$4:$BN$135,
           MATCH($B59:$K59, 'Eurostat EB products IEA'!$A$4:$A$135, 0),
           MATCH(BR$1, 'Eurostat EB products IEA'!$A$4:$BN$4, 0)
     )
     * $L59:$U59,
     0
  )
)</f>
        <v>0</v>
      </c>
      <c r="BS59" s="65">
        <v>0</v>
      </c>
      <c r="BT59" s="57" cm="1">
        <f t="array" ref="BT59">SUMPRODUCT(
  IF($B59:$K59&lt;&gt;"",
     INDEX('Eurostat EB products IEA'!$A$4:$BN$135,
           MATCH($B59:$K59, 'Eurostat EB products IEA'!$A$4:$A$135, 0),
           MATCH(BT$1, 'Eurostat EB products IEA'!$A$4:$BN$4, 0)
     )
     * $L59:$U59,
     0
  )
)</f>
        <v>0</v>
      </c>
      <c r="BU59" s="65">
        <v>0</v>
      </c>
      <c r="BV59" s="65">
        <v>0</v>
      </c>
      <c r="BW59" s="57" cm="1">
        <f t="array" ref="BW59">SUMPRODUCT(
  IF($B59:$K59&lt;&gt;"",
     INDEX('Eurostat EB products IEA'!$A$4:$BN$135,
           MATCH($B59:$K59, 'Eurostat EB products IEA'!$A$4:$A$135, 0),
           MATCH(BW$1, 'Eurostat EB products IEA'!$A$4:$BN$4, 0)
     )
     * $L59:$U59,
     0
  )
)</f>
        <v>0</v>
      </c>
      <c r="BX59" s="57" cm="1">
        <f t="array" ref="BX59">SUMPRODUCT(
  IF($B59:$K59&lt;&gt;"",
     INDEX('Eurostat EB products IEA'!$A$4:$BN$135,
           MATCH($B59:$K59, 'Eurostat EB products IEA'!$A$4:$A$135, 0),
           MATCH(BX$1, 'Eurostat EB products IEA'!$A$4:$BN$4, 0)
     )
     * $L59:$U59,
     0
  )
)</f>
        <v>0</v>
      </c>
      <c r="BY59" s="57" cm="1">
        <f t="array" ref="BY59">SUMPRODUCT(
  IF($B59:$K59&lt;&gt;"",
     INDEX('Eurostat EB products IEA'!$A$4:$BN$135,
           MATCH($B59:$K59, 'Eurostat EB products IEA'!$A$4:$A$135, 0),
           MATCH(BY$1, 'Eurostat EB products IEA'!$A$4:$BN$4, 0)
     )
     * $L59:$U59,
     0
  )
)</f>
        <v>0</v>
      </c>
      <c r="BZ59" s="57" cm="1">
        <f t="array" ref="BZ59">SUMPRODUCT(
  IF($B59:$K59&lt;&gt;"",
     INDEX('Eurostat EB products IEA'!$A$4:$BN$135,
           MATCH($B59:$K59, 'Eurostat EB products IEA'!$A$4:$A$135, 0),
           MATCH(BZ$1, 'Eurostat EB products IEA'!$A$4:$BN$4, 0)
     )
     * $L59:$U59,
     0
  )
)</f>
        <v>0</v>
      </c>
      <c r="CA59" s="57" cm="1">
        <f t="array" ref="CA59">SUMPRODUCT(
  IF($B59:$K59&lt;&gt;"",
     INDEX('Eurostat EB products IEA'!$A$4:$BN$135,
           MATCH($B59:$K59, 'Eurostat EB products IEA'!$A$4:$A$135, 0),
           MATCH(CA$1, 'Eurostat EB products IEA'!$A$4:$BN$4, 0)
     )
     * $L59:$U59,
     0
  )
)</f>
        <v>0</v>
      </c>
      <c r="CB59" s="57" cm="1">
        <f t="array" ref="CB59">SUMPRODUCT(
  IF($B59:$K59&lt;&gt;"",
     INDEX('Eurostat EB products IEA'!$A$4:$BN$135,
           MATCH($B59:$K59, 'Eurostat EB products IEA'!$A$4:$A$135, 0),
           MATCH(CB$1, 'Eurostat EB products IEA'!$A$4:$BN$4, 0)
     )
     * $L59:$U59,
     0
  )
)</f>
        <v>0</v>
      </c>
      <c r="CC59" s="57" cm="1">
        <f t="array" ref="CC59">SUMPRODUCT(
  IF($B59:$K59&lt;&gt;"",
     INDEX('Eurostat EB products IEA'!$A$4:$BN$135,
           MATCH($B59:$K59, 'Eurostat EB products IEA'!$A$4:$A$135, 0),
           MATCH(CC$1, 'Eurostat EB products IEA'!$A$4:$BN$4, 0)
     )
     * $L59:$U59,
     0
  )
)</f>
        <v>0</v>
      </c>
      <c r="CD59" s="65">
        <v>0</v>
      </c>
      <c r="CE59" s="57" cm="1">
        <f t="array" ref="CE59">SUMPRODUCT(
  IF($B59:$K59&lt;&gt;"",
     INDEX('Eurostat EB products IEA'!$A$4:$BN$135,
           MATCH($B59:$K59, 'Eurostat EB products IEA'!$A$4:$A$135, 0),
           MATCH(CE$1, 'Eurostat EB products IEA'!$A$4:$BN$4, 0)
     )
     * $L59:$U59,
     0
  )
)</f>
        <v>1873.31</v>
      </c>
      <c r="CF59" s="57" cm="1">
        <f t="array" ref="CF59">SUMPRODUCT(
  IF($B59:$K59&lt;&gt;"",
     INDEX('Eurostat EB products IEA'!$A$4:$BN$135,
           MATCH($B59:$K59, 'Eurostat EB products IEA'!$A$4:$A$135, 0),
           MATCH(CF$1, 'Eurostat EB products IEA'!$A$4:$BN$4, 0)
     )
     * $L59:$U59,
     0
  )
)</f>
        <v>18.053999999999998</v>
      </c>
      <c r="CG59" s="57" cm="1">
        <f t="array" ref="CG59">SUMPRODUCT(
  IF($B59:$K59&lt;&gt;"",
     INDEX('Eurostat EB products IEA'!$A$4:$BN$135,
           MATCH($B59:$K59, 'Eurostat EB products IEA'!$A$4:$A$135, 0),
           MATCH(CG$1, 'Eurostat EB products IEA'!$A$4:$BN$4, 0)
     )
     * $L59:$U59,
     0
  )
)</f>
        <v>3403.297</v>
      </c>
      <c r="CH59" s="57" cm="1">
        <f t="array" ref="CH59">SUMPRODUCT(
  IF($B59:$K59&lt;&gt;"",
     INDEX('Eurostat EB products IEA'!$A$4:$BN$135,
           MATCH($B59:$K59, 'Eurostat EB products IEA'!$A$4:$A$135, 0),
           MATCH(CH$1, 'Eurostat EB products IEA'!$A$4:$BN$4, 0)
     )
     * $L59:$U59,
     0
  )
)</f>
        <v>143.97</v>
      </c>
    </row>
    <row r="60" spans="1:86" x14ac:dyDescent="0.2">
      <c r="A60" t="s">
        <v>104</v>
      </c>
      <c r="B60" s="75"/>
      <c r="C60" s="77"/>
      <c r="D60" s="75"/>
      <c r="E60" s="77"/>
      <c r="F60" s="75"/>
      <c r="G60" s="77"/>
      <c r="H60" s="75"/>
      <c r="I60" s="77"/>
      <c r="J60" s="74"/>
      <c r="K60" s="78" t="s">
        <v>293</v>
      </c>
      <c r="L60" s="76"/>
      <c r="M60" s="79"/>
      <c r="N60" s="76"/>
      <c r="O60" s="79"/>
      <c r="P60" s="76"/>
      <c r="Q60" s="79"/>
      <c r="R60" s="76"/>
      <c r="S60" s="79"/>
      <c r="T60" s="76"/>
      <c r="U60" s="79">
        <v>1</v>
      </c>
      <c r="V60" s="65" t="s">
        <v>323</v>
      </c>
      <c r="W60" s="65" t="s">
        <v>323</v>
      </c>
      <c r="X60" s="17" cm="1">
        <f t="array" ref="X60">SUMPRODUCT(
  IF($B60:$K60&lt;&gt;"",
     INDEX('Eurostat EB products IEA'!$A$4:$BN$135,
           MATCH($B60:$K60, 'Eurostat EB products IEA'!$A$4:$A$135, 0),
           MATCH(X$1, 'Eurostat EB products IEA'!$A$4:$BN$4, 0)
     )
     * $L60:$U60,
     0
  )
)</f>
        <v>0</v>
      </c>
      <c r="Y60" s="17" cm="1">
        <f t="array" ref="Y60">SUMPRODUCT(
  IF($B60:$K60&lt;&gt;"",
     INDEX('Eurostat EB products IEA'!$A$4:$BN$135,
           MATCH($B60:$K60, 'Eurostat EB products IEA'!$A$4:$A$135, 0),
           MATCH(Y$1, 'Eurostat EB products IEA'!$A$4:$BN$4, 0)
     )
     * $L60:$U60,
     0
  )
)</f>
        <v>0</v>
      </c>
      <c r="Z60" s="17" cm="1">
        <f t="array" ref="Z60">SUMPRODUCT(
  IF($B60:$K60&lt;&gt;"",
     INDEX('Eurostat EB products IEA'!$A$4:$BN$135,
           MATCH($B60:$K60, 'Eurostat EB products IEA'!$A$4:$A$135, 0),
           MATCH(Z$1, 'Eurostat EB products IEA'!$A$4:$BN$4, 0)
     )
     * $L60:$U60,
     0
  )
)</f>
        <v>0</v>
      </c>
      <c r="AA60" s="17" cm="1">
        <f t="array" ref="AA60">SUMPRODUCT(
  IF($B60:$K60&lt;&gt;"",
     INDEX('Eurostat EB products IEA'!$A$4:$BN$135,
           MATCH($B60:$K60, 'Eurostat EB products IEA'!$A$4:$A$135, 0),
           MATCH(AA$1, 'Eurostat EB products IEA'!$A$4:$BN$4, 0)
     )
     * $L60:$U60,
     0
  )
)</f>
        <v>0</v>
      </c>
      <c r="AB60" s="17" cm="1">
        <f t="array" ref="AB60">SUMPRODUCT(
  IF($B60:$K60&lt;&gt;"",
     INDEX('Eurostat EB products IEA'!$A$4:$BN$135,
           MATCH($B60:$K60, 'Eurostat EB products IEA'!$A$4:$A$135, 0),
           MATCH(AB$1, 'Eurostat EB products IEA'!$A$4:$BN$4, 0)
     )
     * $L60:$U60,
     0
  )
)</f>
        <v>0</v>
      </c>
      <c r="AC60" s="17" cm="1">
        <f t="array" ref="AC60">SUMPRODUCT(
  IF($B60:$K60&lt;&gt;"",
     INDEX('Eurostat EB products IEA'!$A$4:$BN$135,
           MATCH($B60:$K60, 'Eurostat EB products IEA'!$A$4:$A$135, 0),
           MATCH(AC$1, 'Eurostat EB products IEA'!$A$4:$BN$4, 0)
     )
     * $L60:$U60,
     0
  )
)</f>
        <v>0</v>
      </c>
      <c r="AD60" s="17" cm="1">
        <f t="array" ref="AD60">SUMPRODUCT(
  IF($B60:$K60&lt;&gt;"",
     INDEX('Eurostat EB products IEA'!$A$4:$BN$135,
           MATCH($B60:$K60, 'Eurostat EB products IEA'!$A$4:$A$135, 0),
           MATCH(AD$1, 'Eurostat EB products IEA'!$A$4:$BN$4, 0)
     )
     * $L60:$U60,
     0
  )
)</f>
        <v>0</v>
      </c>
      <c r="AE60" s="17" cm="1">
        <f t="array" ref="AE60">SUMPRODUCT(
  IF($B60:$K60&lt;&gt;"",
     INDEX('Eurostat EB products IEA'!$A$4:$BN$135,
           MATCH($B60:$K60, 'Eurostat EB products IEA'!$A$4:$A$135, 0),
           MATCH(AE$1, 'Eurostat EB products IEA'!$A$4:$BN$4, 0)
     )
     * $L60:$U60,
     0
  )
)</f>
        <v>0</v>
      </c>
      <c r="AF60" s="17" cm="1">
        <f t="array" ref="AF60">SUMPRODUCT(
  IF($B60:$K60&lt;&gt;"",
     INDEX('Eurostat EB products IEA'!$A$4:$BN$135,
           MATCH($B60:$K60, 'Eurostat EB products IEA'!$A$4:$A$135, 0),
           MATCH(AF$1, 'Eurostat EB products IEA'!$A$4:$BN$4, 0)
     )
     * $L60:$U60,
     0
  )
)</f>
        <v>0</v>
      </c>
      <c r="AG60" s="17" cm="1">
        <f t="array" ref="AG60">SUMPRODUCT(
  IF($B60:$K60&lt;&gt;"",
     INDEX('Eurostat EB products IEA'!$A$4:$BN$135,
           MATCH($B60:$K60, 'Eurostat EB products IEA'!$A$4:$A$135, 0),
           MATCH(AG$1, 'Eurostat EB products IEA'!$A$4:$BN$4, 0)
     )
     * $L60:$U60,
     0
  )
)</f>
        <v>0</v>
      </c>
      <c r="AH60" s="17" cm="1">
        <f t="array" ref="AH60">SUMPRODUCT(
  IF($B60:$K60&lt;&gt;"",
     INDEX('Eurostat EB products IEA'!$A$4:$BN$135,
           MATCH($B60:$K60, 'Eurostat EB products IEA'!$A$4:$A$135, 0),
           MATCH(AH$1, 'Eurostat EB products IEA'!$A$4:$BN$4, 0)
     )
     * $L60:$U60,
     0
  )
)</f>
        <v>0</v>
      </c>
      <c r="AI60" s="17" cm="1">
        <f t="array" ref="AI60">SUMPRODUCT(
  IF($B60:$K60&lt;&gt;"",
     INDEX('Eurostat EB products IEA'!$A$4:$BN$135,
           MATCH($B60:$K60, 'Eurostat EB products IEA'!$A$4:$A$135, 0),
           MATCH(AI$1, 'Eurostat EB products IEA'!$A$4:$BN$4, 0)
     )
     * $L60:$U60,
     0
  )
)</f>
        <v>0</v>
      </c>
      <c r="AJ60" s="17" cm="1">
        <f t="array" ref="AJ60">SUMPRODUCT(
  IF($B60:$K60&lt;&gt;"",
     INDEX('Eurostat EB products IEA'!$A$4:$BN$135,
           MATCH($B60:$K60, 'Eurostat EB products IEA'!$A$4:$A$135, 0),
           MATCH(AJ$1, 'Eurostat EB products IEA'!$A$4:$BN$4, 0)
     )
     * $L60:$U60,
     0
  )
)</f>
        <v>0</v>
      </c>
      <c r="AK60" s="17" cm="1">
        <f t="array" ref="AK60">SUMPRODUCT(
  IF($B60:$K60&lt;&gt;"",
     INDEX('Eurostat EB products IEA'!$A$4:$BN$135,
           MATCH($B60:$K60, 'Eurostat EB products IEA'!$A$4:$A$135, 0),
           MATCH(AK$1, 'Eurostat EB products IEA'!$A$4:$BN$4, 0)
     )
     * $L60:$U60,
     0
  )
)</f>
        <v>0</v>
      </c>
      <c r="AL60" s="17" cm="1">
        <f t="array" ref="AL60">SUMPRODUCT(
  IF($B60:$K60&lt;&gt;"",
     INDEX('Eurostat EB products IEA'!$A$4:$BN$135,
           MATCH($B60:$K60, 'Eurostat EB products IEA'!$A$4:$A$135, 0),
           MATCH(AL$1, 'Eurostat EB products IEA'!$A$4:$BN$4, 0)
     )
     * $L60:$U60,
     0
  )
)</f>
        <v>0</v>
      </c>
      <c r="AM60" s="17" cm="1">
        <f t="array" ref="AM60">SUMPRODUCT(
  IF($B60:$K60&lt;&gt;"",
     INDEX('Eurostat EB products IEA'!$A$4:$BN$135,
           MATCH($B60:$K60, 'Eurostat EB products IEA'!$A$4:$A$135, 0),
           MATCH(AM$1, 'Eurostat EB products IEA'!$A$4:$BN$4, 0)
     )
     * $L60:$U60,
     0
  )
)</f>
        <v>7683.8440000000001</v>
      </c>
      <c r="AN60" s="65" t="s">
        <v>323</v>
      </c>
      <c r="AO60" s="17" cm="1">
        <f t="array" ref="AO60">SUMPRODUCT(
  IF($B60:$K60&lt;&gt;"",
     INDEX('Eurostat EB products IEA'!$A$4:$BN$135,
           MATCH($B60:$K60, 'Eurostat EB products IEA'!$A$4:$A$135, 0),
           MATCH(AO$1, 'Eurostat EB products IEA'!$A$4:$BN$4, 0)
     )
     * $L60:$U60,
     0
  )
)</f>
        <v>0</v>
      </c>
      <c r="AP60" s="17" cm="1">
        <f t="array" ref="AP60">SUMPRODUCT(
  IF($B60:$K60&lt;&gt;"",
     INDEX('Eurostat EB products IEA'!$A$4:$BN$135,
           MATCH($B60:$K60, 'Eurostat EB products IEA'!$A$4:$A$135, 0),
           MATCH(AP$1, 'Eurostat EB products IEA'!$A$4:$BN$4, 0)
     )
     * $L60:$U60,
     0
  )
)</f>
        <v>0</v>
      </c>
      <c r="AQ60" s="17" cm="1">
        <f t="array" ref="AQ60">SUMPRODUCT(
  IF($B60:$K60&lt;&gt;"",
     INDEX('Eurostat EB products IEA'!$A$4:$BN$135,
           MATCH($B60:$K60, 'Eurostat EB products IEA'!$A$4:$A$135, 0),
           MATCH(AQ$1, 'Eurostat EB products IEA'!$A$4:$BN$4, 0)
     )
     * $L60:$U60,
     0
  )
)</f>
        <v>0</v>
      </c>
      <c r="AR60" s="17" cm="1">
        <f t="array" ref="AR60">SUMPRODUCT(
  IF($B60:$K60&lt;&gt;"",
     INDEX('Eurostat EB products IEA'!$A$4:$BN$135,
           MATCH($B60:$K60, 'Eurostat EB products IEA'!$A$4:$A$135, 0),
           MATCH(AR$1, 'Eurostat EB products IEA'!$A$4:$BN$4, 0)
     )
     * $L60:$U60,
     0
  )
)</f>
        <v>0</v>
      </c>
      <c r="AS60" s="17" cm="1">
        <f t="array" ref="AS60">SUMPRODUCT(
  IF($B60:$K60&lt;&gt;"",
     INDEX('Eurostat EB products IEA'!$A$4:$BN$135,
           MATCH($B60:$K60, 'Eurostat EB products IEA'!$A$4:$A$135, 0),
           MATCH(AS$1, 'Eurostat EB products IEA'!$A$4:$BN$4, 0)
     )
     * $L60:$U60,
     0
  )
)</f>
        <v>0</v>
      </c>
      <c r="AT60" s="17" cm="1">
        <f t="array" ref="AT60">SUMPRODUCT(
  IF($B60:$K60&lt;&gt;"",
     INDEX('Eurostat EB products IEA'!$A$4:$BN$135,
           MATCH($B60:$K60, 'Eurostat EB products IEA'!$A$4:$A$135, 0),
           MATCH(AT$1, 'Eurostat EB products IEA'!$A$4:$BN$4, 0)
     )
     * $L60:$U60,
     0
  )
)</f>
        <v>0</v>
      </c>
      <c r="AU60" s="17" cm="1">
        <f t="array" ref="AU60">SUMPRODUCT(
  IF($B60:$K60&lt;&gt;"",
     INDEX('Eurostat EB products IEA'!$A$4:$BN$135,
           MATCH($B60:$K60, 'Eurostat EB products IEA'!$A$4:$A$135, 0),
           MATCH(AU$1, 'Eurostat EB products IEA'!$A$4:$BN$4, 0)
     )
     * $L60:$U60,
     0
  )
)</f>
        <v>0</v>
      </c>
      <c r="AV60" s="17" cm="1">
        <f t="array" ref="AV60">SUMPRODUCT(
  IF($B60:$K60&lt;&gt;"",
     INDEX('Eurostat EB products IEA'!$A$4:$BN$135,
           MATCH($B60:$K60, 'Eurostat EB products IEA'!$A$4:$A$135, 0),
           MATCH(AV$1, 'Eurostat EB products IEA'!$A$4:$BN$4, 0)
     )
     * $L60:$U60,
     0
  )
)</f>
        <v>93.641000000000005</v>
      </c>
      <c r="AW60" s="17" cm="1">
        <f t="array" ref="AW60">SUMPRODUCT(
  IF($B60:$K60&lt;&gt;"",
     INDEX('Eurostat EB products IEA'!$A$4:$BN$135,
           MATCH($B60:$K60, 'Eurostat EB products IEA'!$A$4:$A$135, 0),
           MATCH(AW$1, 'Eurostat EB products IEA'!$A$4:$BN$4, 0)
     )
     * $L60:$U60,
     0
  )
)</f>
        <v>0</v>
      </c>
      <c r="AX60" s="17" cm="1">
        <f t="array" ref="AX60">SUMPRODUCT(
  IF($B60:$K60&lt;&gt;"",
     INDEX('Eurostat EB products IEA'!$A$4:$BN$135,
           MATCH($B60:$K60, 'Eurostat EB products IEA'!$A$4:$A$135, 0),
           MATCH(AX$1, 'Eurostat EB products IEA'!$A$4:$BN$4, 0)
     )
     * $L60:$U60,
     0
  )
)</f>
        <v>0</v>
      </c>
      <c r="AY60" s="17" cm="1">
        <f t="array" ref="AY60">SUMPRODUCT(
  IF($B60:$K60&lt;&gt;"",
     INDEX('Eurostat EB products IEA'!$A$4:$BN$135,
           MATCH($B60:$K60, 'Eurostat EB products IEA'!$A$4:$A$135, 0),
           MATCH(AY$1, 'Eurostat EB products IEA'!$A$4:$BN$4, 0)
     )
     * $L60:$U60,
     0
  )
)</f>
        <v>0</v>
      </c>
      <c r="AZ60" s="17" cm="1">
        <f t="array" ref="AZ60">SUMPRODUCT(
  IF($B60:$K60&lt;&gt;"",
     INDEX('Eurostat EB products IEA'!$A$4:$BN$135,
           MATCH($B60:$K60, 'Eurostat EB products IEA'!$A$4:$A$135, 0),
           MATCH(AZ$1, 'Eurostat EB products IEA'!$A$4:$BN$4, 0)
     )
     * $L60:$U60,
     0
  )
)</f>
        <v>0</v>
      </c>
      <c r="BA60" s="17" cm="1">
        <f t="array" ref="BA60">SUMPRODUCT(
  IF($B60:$K60&lt;&gt;"",
     INDEX('Eurostat EB products IEA'!$A$4:$BN$135,
           MATCH($B60:$K60, 'Eurostat EB products IEA'!$A$4:$A$135, 0),
           MATCH(BA$1, 'Eurostat EB products IEA'!$A$4:$BN$4, 0)
     )
     * $L60:$U60,
     0
  )
)</f>
        <v>1.7669999999999999</v>
      </c>
      <c r="BB60" s="17" cm="1">
        <f t="array" ref="BB60">SUMPRODUCT(
  IF($B60:$K60&lt;&gt;"",
     INDEX('Eurostat EB products IEA'!$A$4:$BN$135,
           MATCH($B60:$K60, 'Eurostat EB products IEA'!$A$4:$A$135, 0),
           MATCH(BB$1, 'Eurostat EB products IEA'!$A$4:$BN$4, 0)
     )
     * $L60:$U60,
     0
  )
)</f>
        <v>77.049000000000007</v>
      </c>
      <c r="BC60" s="17" cm="1">
        <f t="array" ref="BC60">SUMPRODUCT(
  IF($B60:$K60&lt;&gt;"",
     INDEX('Eurostat EB products IEA'!$A$4:$BN$135,
           MATCH($B60:$K60, 'Eurostat EB products IEA'!$A$4:$A$135, 0),
           MATCH(BC$1, 'Eurostat EB products IEA'!$A$4:$BN$4, 0)
     )
     * $L60:$U60,
     0
  )
)</f>
        <v>0</v>
      </c>
      <c r="BD60" s="17" cm="1">
        <f t="array" ref="BD60">SUMPRODUCT(
  IF($B60:$K60&lt;&gt;"",
     INDEX('Eurostat EB products IEA'!$A$4:$BN$135,
           MATCH($B60:$K60, 'Eurostat EB products IEA'!$A$4:$A$135, 0),
           MATCH(BD$1, 'Eurostat EB products IEA'!$A$4:$BN$4, 0)
     )
     * $L60:$U60,
     0
  )
)</f>
        <v>0</v>
      </c>
      <c r="BE60" s="17" cm="1">
        <f t="array" ref="BE60">SUMPRODUCT(
  IF($B60:$K60&lt;&gt;"",
     INDEX('Eurostat EB products IEA'!$A$4:$BN$135,
           MATCH($B60:$K60, 'Eurostat EB products IEA'!$A$4:$A$135, 0),
           MATCH(BE$1, 'Eurostat EB products IEA'!$A$4:$BN$4, 0)
     )
     * $L60:$U60,
     0
  )
)</f>
        <v>0</v>
      </c>
      <c r="BF60" s="17" cm="1">
        <f t="array" ref="BF60">SUMPRODUCT(
  IF($B60:$K60&lt;&gt;"",
     INDEX('Eurostat EB products IEA'!$A$4:$BN$135,
           MATCH($B60:$K60, 'Eurostat EB products IEA'!$A$4:$A$135, 0),
           MATCH(BF$1, 'Eurostat EB products IEA'!$A$4:$BN$4, 0)
     )
     * $L60:$U60,
     0
  )
)</f>
        <v>0</v>
      </c>
      <c r="BG60" s="17" cm="1">
        <f t="array" ref="BG60">SUMPRODUCT(
  IF($B60:$K60&lt;&gt;"",
     INDEX('Eurostat EB products IEA'!$A$4:$BN$135,
           MATCH($B60:$K60, 'Eurostat EB products IEA'!$A$4:$A$135, 0),
           MATCH(BG$1, 'Eurostat EB products IEA'!$A$4:$BN$4, 0)
     )
     * $L60:$U60,
     0
  )
)</f>
        <v>0</v>
      </c>
      <c r="BH60" s="17" cm="1">
        <f t="array" ref="BH60">SUMPRODUCT(
  IF($B60:$K60&lt;&gt;"",
     INDEX('Eurostat EB products IEA'!$A$4:$BN$135,
           MATCH($B60:$K60, 'Eurostat EB products IEA'!$A$4:$A$135, 0),
           MATCH(BH$1, 'Eurostat EB products IEA'!$A$4:$BN$4, 0)
     )
     * $L60:$U60,
     0
  )
)</f>
        <v>0</v>
      </c>
      <c r="BI60" s="17" cm="1">
        <f t="array" ref="BI60">SUMPRODUCT(
  IF($B60:$K60&lt;&gt;"",
     INDEX('Eurostat EB products IEA'!$A$4:$BN$135,
           MATCH($B60:$K60, 'Eurostat EB products IEA'!$A$4:$A$135, 0),
           MATCH(BI$1, 'Eurostat EB products IEA'!$A$4:$BN$4, 0)
     )
     * $L60:$U60,
     0
  )
)</f>
        <v>0</v>
      </c>
      <c r="BJ60" s="17" cm="1">
        <f t="array" ref="BJ60">SUMPRODUCT(
  IF($B60:$K60&lt;&gt;"",
     INDEX('Eurostat EB products IEA'!$A$4:$BN$135,
           MATCH($B60:$K60, 'Eurostat EB products IEA'!$A$4:$A$135, 0),
           MATCH(BJ$1, 'Eurostat EB products IEA'!$A$4:$BN$4, 0)
     )
     * $L60:$U60,
     0
  )
)</f>
        <v>0</v>
      </c>
      <c r="BK60" s="17" cm="1">
        <f t="array" ref="BK60">SUMPRODUCT(
  IF($B60:$K60&lt;&gt;"",
     INDEX('Eurostat EB products IEA'!$A$4:$BN$135,
           MATCH($B60:$K60, 'Eurostat EB products IEA'!$A$4:$A$135, 0),
           MATCH(BK$1, 'Eurostat EB products IEA'!$A$4:$BN$4, 0)
     )
     * $L60:$U60,
     0
  )
)</f>
        <v>0</v>
      </c>
      <c r="BL60" s="17" cm="1">
        <f t="array" ref="BL60">SUMPRODUCT(
  IF($B60:$K60&lt;&gt;"",
     INDEX('Eurostat EB products IEA'!$A$4:$BN$135,
           MATCH($B60:$K60, 'Eurostat EB products IEA'!$A$4:$A$135, 0),
           MATCH(BL$1, 'Eurostat EB products IEA'!$A$4:$BN$4, 0)
     )
     * $L60:$U60,
     0
  )
)</f>
        <v>0</v>
      </c>
      <c r="BM60" s="17" cm="1">
        <f t="array" ref="BM60">SUMPRODUCT(
  IF($B60:$K60&lt;&gt;"",
     INDEX('Eurostat EB products IEA'!$A$4:$BN$135,
           MATCH($B60:$K60, 'Eurostat EB products IEA'!$A$4:$A$135, 0),
           MATCH(BM$1, 'Eurostat EB products IEA'!$A$4:$BN$4, 0)
     )
     * $L60:$U60,
     0
  )
)</f>
        <v>0</v>
      </c>
      <c r="BN60" s="17" cm="1">
        <f t="array" ref="BN60">SUMPRODUCT(
  IF($B60:$K60&lt;&gt;"",
     INDEX('Eurostat EB products IEA'!$A$4:$BN$135,
           MATCH($B60:$K60, 'Eurostat EB products IEA'!$A$4:$A$135, 0),
           MATCH(BN$1, 'Eurostat EB products IEA'!$A$4:$BN$4, 0)
     )
     * $L60:$U60,
     0
  )
)</f>
        <v>0</v>
      </c>
      <c r="BO60" s="17" cm="1">
        <f t="array" ref="BO60">SUMPRODUCT(
  IF($B60:$K60&lt;&gt;"",
     INDEX('Eurostat EB products IEA'!$A$4:$BN$135,
           MATCH($B60:$K60, 'Eurostat EB products IEA'!$A$4:$A$135, 0),
           MATCH(BO$1, 'Eurostat EB products IEA'!$A$4:$BN$4, 0)
     )
     * $L60:$U60,
     0
  )
)</f>
        <v>0</v>
      </c>
      <c r="BP60" s="17" cm="1">
        <f t="array" ref="BP60">SUMPRODUCT(
  IF($B60:$K60&lt;&gt;"",
     INDEX('Eurostat EB products IEA'!$A$4:$BN$135,
           MATCH($B60:$K60, 'Eurostat EB products IEA'!$A$4:$A$135, 0),
           MATCH(BP$1, 'Eurostat EB products IEA'!$A$4:$BN$4, 0)
     )
     * $L60:$U60,
     0
  )
)</f>
        <v>0</v>
      </c>
      <c r="BQ60" s="17" cm="1">
        <f t="array" ref="BQ60">SUMPRODUCT(
  IF($B60:$K60&lt;&gt;"",
     INDEX('Eurostat EB products IEA'!$A$4:$BN$135,
           MATCH($B60:$K60, 'Eurostat EB products IEA'!$A$4:$A$135, 0),
           MATCH(BQ$1, 'Eurostat EB products IEA'!$A$4:$BN$4, 0)
     )
     * $L60:$U60,
     0
  )
)</f>
        <v>0</v>
      </c>
      <c r="BR60" s="17" cm="1">
        <f t="array" ref="BR60">SUMPRODUCT(
  IF($B60:$K60&lt;&gt;"",
     INDEX('Eurostat EB products IEA'!$A$4:$BN$135,
           MATCH($B60:$K60, 'Eurostat EB products IEA'!$A$4:$A$135, 0),
           MATCH(BR$1, 'Eurostat EB products IEA'!$A$4:$BN$4, 0)
     )
     * $L60:$U60,
     0
  )
)</f>
        <v>0</v>
      </c>
      <c r="BS60" s="65">
        <v>0</v>
      </c>
      <c r="BT60" s="17" cm="1">
        <f t="array" ref="BT60">SUMPRODUCT(
  IF($B60:$K60&lt;&gt;"",
     INDEX('Eurostat EB products IEA'!$A$4:$BN$135,
           MATCH($B60:$K60, 'Eurostat EB products IEA'!$A$4:$A$135, 0),
           MATCH(BT$1, 'Eurostat EB products IEA'!$A$4:$BN$4, 0)
     )
     * $L60:$U60,
     0
  )
)</f>
        <v>0</v>
      </c>
      <c r="BU60" s="65">
        <v>0</v>
      </c>
      <c r="BV60" s="65">
        <v>0</v>
      </c>
      <c r="BW60" s="17" cm="1">
        <f t="array" ref="BW60">SUMPRODUCT(
  IF($B60:$K60&lt;&gt;"",
     INDEX('Eurostat EB products IEA'!$A$4:$BN$135,
           MATCH($B60:$K60, 'Eurostat EB products IEA'!$A$4:$A$135, 0),
           MATCH(BW$1, 'Eurostat EB products IEA'!$A$4:$BN$4, 0)
     )
     * $L60:$U60,
     0
  )
)</f>
        <v>0</v>
      </c>
      <c r="BX60" s="17" cm="1">
        <f t="array" ref="BX60">SUMPRODUCT(
  IF($B60:$K60&lt;&gt;"",
     INDEX('Eurostat EB products IEA'!$A$4:$BN$135,
           MATCH($B60:$K60, 'Eurostat EB products IEA'!$A$4:$A$135, 0),
           MATCH(BX$1, 'Eurostat EB products IEA'!$A$4:$BN$4, 0)
     )
     * $L60:$U60,
     0
  )
)</f>
        <v>0</v>
      </c>
      <c r="BY60" s="17" cm="1">
        <f t="array" ref="BY60">SUMPRODUCT(
  IF($B60:$K60&lt;&gt;"",
     INDEX('Eurostat EB products IEA'!$A$4:$BN$135,
           MATCH($B60:$K60, 'Eurostat EB products IEA'!$A$4:$A$135, 0),
           MATCH(BY$1, 'Eurostat EB products IEA'!$A$4:$BN$4, 0)
     )
     * $L60:$U60,
     0
  )
)</f>
        <v>0</v>
      </c>
      <c r="BZ60" s="17" cm="1">
        <f t="array" ref="BZ60">SUMPRODUCT(
  IF($B60:$K60&lt;&gt;"",
     INDEX('Eurostat EB products IEA'!$A$4:$BN$135,
           MATCH($B60:$K60, 'Eurostat EB products IEA'!$A$4:$A$135, 0),
           MATCH(BZ$1, 'Eurostat EB products IEA'!$A$4:$BN$4, 0)
     )
     * $L60:$U60,
     0
  )
)</f>
        <v>0</v>
      </c>
      <c r="CA60" s="17" cm="1">
        <f t="array" ref="CA60">SUMPRODUCT(
  IF($B60:$K60&lt;&gt;"",
     INDEX('Eurostat EB products IEA'!$A$4:$BN$135,
           MATCH($B60:$K60, 'Eurostat EB products IEA'!$A$4:$A$135, 0),
           MATCH(CA$1, 'Eurostat EB products IEA'!$A$4:$BN$4, 0)
     )
     * $L60:$U60,
     0
  )
)</f>
        <v>0</v>
      </c>
      <c r="CB60" s="17" cm="1">
        <f t="array" ref="CB60">SUMPRODUCT(
  IF($B60:$K60&lt;&gt;"",
     INDEX('Eurostat EB products IEA'!$A$4:$BN$135,
           MATCH($B60:$K60, 'Eurostat EB products IEA'!$A$4:$A$135, 0),
           MATCH(CB$1, 'Eurostat EB products IEA'!$A$4:$BN$4, 0)
     )
     * $L60:$U60,
     0
  )
)</f>
        <v>0</v>
      </c>
      <c r="CC60" s="17" cm="1">
        <f t="array" ref="CC60">SUMPRODUCT(
  IF($B60:$K60&lt;&gt;"",
     INDEX('Eurostat EB products IEA'!$A$4:$BN$135,
           MATCH($B60:$K60, 'Eurostat EB products IEA'!$A$4:$A$135, 0),
           MATCH(CC$1, 'Eurostat EB products IEA'!$A$4:$BN$4, 0)
     )
     * $L60:$U60,
     0
  )
)</f>
        <v>0</v>
      </c>
      <c r="CD60" s="65">
        <v>0</v>
      </c>
      <c r="CE60" s="17" cm="1">
        <f t="array" ref="CE60">SUMPRODUCT(
  IF($B60:$K60&lt;&gt;"",
     INDEX('Eurostat EB products IEA'!$A$4:$BN$135,
           MATCH($B60:$K60, 'Eurostat EB products IEA'!$A$4:$A$135, 0),
           MATCH(CE$1, 'Eurostat EB products IEA'!$A$4:$BN$4, 0)
     )
     * $L60:$U60,
     0
  )
)</f>
        <v>11080.249</v>
      </c>
      <c r="CF60" s="17" cm="1">
        <f t="array" ref="CF60">SUMPRODUCT(
  IF($B60:$K60&lt;&gt;"",
     INDEX('Eurostat EB products IEA'!$A$4:$BN$135,
           MATCH($B60:$K60, 'Eurostat EB products IEA'!$A$4:$A$135, 0),
           MATCH(CF$1, 'Eurostat EB products IEA'!$A$4:$BN$4, 0)
     )
     * $L60:$U60,
     0
  )
)</f>
        <v>70.864999999999995</v>
      </c>
      <c r="CG60" s="17" cm="1">
        <f t="array" ref="CG60">SUMPRODUCT(
  IF($B60:$K60&lt;&gt;"",
     INDEX('Eurostat EB products IEA'!$A$4:$BN$135,
           MATCH($B60:$K60, 'Eurostat EB products IEA'!$A$4:$A$135, 0),
           MATCH(CG$1, 'Eurostat EB products IEA'!$A$4:$BN$4, 0)
     )
     * $L60:$U60,
     0
  )
)</f>
        <v>19007.415000000001</v>
      </c>
      <c r="CH60" s="17" cm="1">
        <f t="array" ref="CH60">SUMPRODUCT(
  IF($B60:$K60&lt;&gt;"",
     INDEX('Eurostat EB products IEA'!$A$4:$BN$135,
           MATCH($B60:$K60, 'Eurostat EB products IEA'!$A$4:$A$135, 0),
           MATCH(CH$1, 'Eurostat EB products IEA'!$A$4:$BN$4, 0)
     )
     * $L60:$U60,
     0
  )
)</f>
        <v>831.91800000000001</v>
      </c>
    </row>
    <row r="61" spans="1:86" x14ac:dyDescent="0.2">
      <c r="A61" t="s">
        <v>174</v>
      </c>
      <c r="B61" s="75"/>
      <c r="C61" s="77"/>
      <c r="D61" s="75"/>
      <c r="E61" s="77"/>
      <c r="F61" s="75"/>
      <c r="G61" s="77"/>
      <c r="H61" s="75"/>
      <c r="I61" s="77"/>
      <c r="J61" s="74"/>
      <c r="K61" s="78" t="s">
        <v>294</v>
      </c>
      <c r="L61" s="76"/>
      <c r="M61" s="79"/>
      <c r="N61" s="76"/>
      <c r="O61" s="79"/>
      <c r="P61" s="76"/>
      <c r="Q61" s="79"/>
      <c r="R61" s="76"/>
      <c r="S61" s="79"/>
      <c r="T61" s="76"/>
      <c r="U61" s="79">
        <v>1</v>
      </c>
      <c r="V61" s="65" t="s">
        <v>323</v>
      </c>
      <c r="W61" s="65" t="s">
        <v>323</v>
      </c>
      <c r="X61" s="57" cm="1">
        <f t="array" ref="X61">SUMPRODUCT(
  IF($B61:$K61&lt;&gt;"",
     INDEX('Eurostat EB products IEA'!$A$4:$BN$135,
           MATCH($B61:$K61, 'Eurostat EB products IEA'!$A$4:$A$135, 0),
           MATCH(X$1, 'Eurostat EB products IEA'!$A$4:$BN$4, 0)
     )
     * $L61:$U61,
     0
  )
)</f>
        <v>0</v>
      </c>
      <c r="Y61" s="57" cm="1">
        <f t="array" ref="Y61">SUMPRODUCT(
  IF($B61:$K61&lt;&gt;"",
     INDEX('Eurostat EB products IEA'!$A$4:$BN$135,
           MATCH($B61:$K61, 'Eurostat EB products IEA'!$A$4:$A$135, 0),
           MATCH(Y$1, 'Eurostat EB products IEA'!$A$4:$BN$4, 0)
     )
     * $L61:$U61,
     0
  )
)</f>
        <v>0</v>
      </c>
      <c r="Z61" s="57" cm="1">
        <f t="array" ref="Z61">SUMPRODUCT(
  IF($B61:$K61&lt;&gt;"",
     INDEX('Eurostat EB products IEA'!$A$4:$BN$135,
           MATCH($B61:$K61, 'Eurostat EB products IEA'!$A$4:$A$135, 0),
           MATCH(Z$1, 'Eurostat EB products IEA'!$A$4:$BN$4, 0)
     )
     * $L61:$U61,
     0
  )
)</f>
        <v>0</v>
      </c>
      <c r="AA61" s="57" cm="1">
        <f t="array" ref="AA61">SUMPRODUCT(
  IF($B61:$K61&lt;&gt;"",
     INDEX('Eurostat EB products IEA'!$A$4:$BN$135,
           MATCH($B61:$K61, 'Eurostat EB products IEA'!$A$4:$A$135, 0),
           MATCH(AA$1, 'Eurostat EB products IEA'!$A$4:$BN$4, 0)
     )
     * $L61:$U61,
     0
  )
)</f>
        <v>0</v>
      </c>
      <c r="AB61" s="57" cm="1">
        <f t="array" ref="AB61">SUMPRODUCT(
  IF($B61:$K61&lt;&gt;"",
     INDEX('Eurostat EB products IEA'!$A$4:$BN$135,
           MATCH($B61:$K61, 'Eurostat EB products IEA'!$A$4:$A$135, 0),
           MATCH(AB$1, 'Eurostat EB products IEA'!$A$4:$BN$4, 0)
     )
     * $L61:$U61,
     0
  )
)</f>
        <v>0</v>
      </c>
      <c r="AC61" s="57" cm="1">
        <f t="array" ref="AC61">SUMPRODUCT(
  IF($B61:$K61&lt;&gt;"",
     INDEX('Eurostat EB products IEA'!$A$4:$BN$135,
           MATCH($B61:$K61, 'Eurostat EB products IEA'!$A$4:$A$135, 0),
           MATCH(AC$1, 'Eurostat EB products IEA'!$A$4:$BN$4, 0)
     )
     * $L61:$U61,
     0
  )
)</f>
        <v>0</v>
      </c>
      <c r="AD61" s="57" cm="1">
        <f t="array" ref="AD61">SUMPRODUCT(
  IF($B61:$K61&lt;&gt;"",
     INDEX('Eurostat EB products IEA'!$A$4:$BN$135,
           MATCH($B61:$K61, 'Eurostat EB products IEA'!$A$4:$A$135, 0),
           MATCH(AD$1, 'Eurostat EB products IEA'!$A$4:$BN$4, 0)
     )
     * $L61:$U61,
     0
  )
)</f>
        <v>0</v>
      </c>
      <c r="AE61" s="57" cm="1">
        <f t="array" ref="AE61">SUMPRODUCT(
  IF($B61:$K61&lt;&gt;"",
     INDEX('Eurostat EB products IEA'!$A$4:$BN$135,
           MATCH($B61:$K61, 'Eurostat EB products IEA'!$A$4:$A$135, 0),
           MATCH(AE$1, 'Eurostat EB products IEA'!$A$4:$BN$4, 0)
     )
     * $L61:$U61,
     0
  )
)</f>
        <v>0</v>
      </c>
      <c r="AF61" s="57" cm="1">
        <f t="array" ref="AF61">SUMPRODUCT(
  IF($B61:$K61&lt;&gt;"",
     INDEX('Eurostat EB products IEA'!$A$4:$BN$135,
           MATCH($B61:$K61, 'Eurostat EB products IEA'!$A$4:$A$135, 0),
           MATCH(AF$1, 'Eurostat EB products IEA'!$A$4:$BN$4, 0)
     )
     * $L61:$U61,
     0
  )
)</f>
        <v>0</v>
      </c>
      <c r="AG61" s="57" cm="1">
        <f t="array" ref="AG61">SUMPRODUCT(
  IF($B61:$K61&lt;&gt;"",
     INDEX('Eurostat EB products IEA'!$A$4:$BN$135,
           MATCH($B61:$K61, 'Eurostat EB products IEA'!$A$4:$A$135, 0),
           MATCH(AG$1, 'Eurostat EB products IEA'!$A$4:$BN$4, 0)
     )
     * $L61:$U61,
     0
  )
)</f>
        <v>0</v>
      </c>
      <c r="AH61" s="57" cm="1">
        <f t="array" ref="AH61">SUMPRODUCT(
  IF($B61:$K61&lt;&gt;"",
     INDEX('Eurostat EB products IEA'!$A$4:$BN$135,
           MATCH($B61:$K61, 'Eurostat EB products IEA'!$A$4:$A$135, 0),
           MATCH(AH$1, 'Eurostat EB products IEA'!$A$4:$BN$4, 0)
     )
     * $L61:$U61,
     0
  )
)</f>
        <v>0</v>
      </c>
      <c r="AI61" s="57" cm="1">
        <f t="array" ref="AI61">SUMPRODUCT(
  IF($B61:$K61&lt;&gt;"",
     INDEX('Eurostat EB products IEA'!$A$4:$BN$135,
           MATCH($B61:$K61, 'Eurostat EB products IEA'!$A$4:$A$135, 0),
           MATCH(AI$1, 'Eurostat EB products IEA'!$A$4:$BN$4, 0)
     )
     * $L61:$U61,
     0
  )
)</f>
        <v>0</v>
      </c>
      <c r="AJ61" s="57" cm="1">
        <f t="array" ref="AJ61">SUMPRODUCT(
  IF($B61:$K61&lt;&gt;"",
     INDEX('Eurostat EB products IEA'!$A$4:$BN$135,
           MATCH($B61:$K61, 'Eurostat EB products IEA'!$A$4:$A$135, 0),
           MATCH(AJ$1, 'Eurostat EB products IEA'!$A$4:$BN$4, 0)
     )
     * $L61:$U61,
     0
  )
)</f>
        <v>0</v>
      </c>
      <c r="AK61" s="57" cm="1">
        <f t="array" ref="AK61">SUMPRODUCT(
  IF($B61:$K61&lt;&gt;"",
     INDEX('Eurostat EB products IEA'!$A$4:$BN$135,
           MATCH($B61:$K61, 'Eurostat EB products IEA'!$A$4:$A$135, 0),
           MATCH(AK$1, 'Eurostat EB products IEA'!$A$4:$BN$4, 0)
     )
     * $L61:$U61,
     0
  )
)</f>
        <v>0</v>
      </c>
      <c r="AL61" s="57" cm="1">
        <f t="array" ref="AL61">SUMPRODUCT(
  IF($B61:$K61&lt;&gt;"",
     INDEX('Eurostat EB products IEA'!$A$4:$BN$135,
           MATCH($B61:$K61, 'Eurostat EB products IEA'!$A$4:$A$135, 0),
           MATCH(AL$1, 'Eurostat EB products IEA'!$A$4:$BN$4, 0)
     )
     * $L61:$U61,
     0
  )
)</f>
        <v>0</v>
      </c>
      <c r="AM61" s="57" cm="1">
        <f t="array" ref="AM61">SUMPRODUCT(
  IF($B61:$K61&lt;&gt;"",
     INDEX('Eurostat EB products IEA'!$A$4:$BN$135,
           MATCH($B61:$K61, 'Eurostat EB products IEA'!$A$4:$A$135, 0),
           MATCH(AM$1, 'Eurostat EB products IEA'!$A$4:$BN$4, 0)
     )
     * $L61:$U61,
     0
  )
)</f>
        <v>1581.3979999999999</v>
      </c>
      <c r="AN61" s="65" t="s">
        <v>323</v>
      </c>
      <c r="AO61" s="57" cm="1">
        <f t="array" ref="AO61">SUMPRODUCT(
  IF($B61:$K61&lt;&gt;"",
     INDEX('Eurostat EB products IEA'!$A$4:$BN$135,
           MATCH($B61:$K61, 'Eurostat EB products IEA'!$A$4:$A$135, 0),
           MATCH(AO$1, 'Eurostat EB products IEA'!$A$4:$BN$4, 0)
     )
     * $L61:$U61,
     0
  )
)</f>
        <v>0</v>
      </c>
      <c r="AP61" s="57" cm="1">
        <f t="array" ref="AP61">SUMPRODUCT(
  IF($B61:$K61&lt;&gt;"",
     INDEX('Eurostat EB products IEA'!$A$4:$BN$135,
           MATCH($B61:$K61, 'Eurostat EB products IEA'!$A$4:$A$135, 0),
           MATCH(AP$1, 'Eurostat EB products IEA'!$A$4:$BN$4, 0)
     )
     * $L61:$U61,
     0
  )
)</f>
        <v>0</v>
      </c>
      <c r="AQ61" s="57" cm="1">
        <f t="array" ref="AQ61">SUMPRODUCT(
  IF($B61:$K61&lt;&gt;"",
     INDEX('Eurostat EB products IEA'!$A$4:$BN$135,
           MATCH($B61:$K61, 'Eurostat EB products IEA'!$A$4:$A$135, 0),
           MATCH(AQ$1, 'Eurostat EB products IEA'!$A$4:$BN$4, 0)
     )
     * $L61:$U61,
     0
  )
)</f>
        <v>0</v>
      </c>
      <c r="AR61" s="57" cm="1">
        <f t="array" ref="AR61">SUMPRODUCT(
  IF($B61:$K61&lt;&gt;"",
     INDEX('Eurostat EB products IEA'!$A$4:$BN$135,
           MATCH($B61:$K61, 'Eurostat EB products IEA'!$A$4:$A$135, 0),
           MATCH(AR$1, 'Eurostat EB products IEA'!$A$4:$BN$4, 0)
     )
     * $L61:$U61,
     0
  )
)</f>
        <v>0</v>
      </c>
      <c r="AS61" s="57" cm="1">
        <f t="array" ref="AS61">SUMPRODUCT(
  IF($B61:$K61&lt;&gt;"",
     INDEX('Eurostat EB products IEA'!$A$4:$BN$135,
           MATCH($B61:$K61, 'Eurostat EB products IEA'!$A$4:$A$135, 0),
           MATCH(AS$1, 'Eurostat EB products IEA'!$A$4:$BN$4, 0)
     )
     * $L61:$U61,
     0
  )
)</f>
        <v>0</v>
      </c>
      <c r="AT61" s="57" cm="1">
        <f t="array" ref="AT61">SUMPRODUCT(
  IF($B61:$K61&lt;&gt;"",
     INDEX('Eurostat EB products IEA'!$A$4:$BN$135,
           MATCH($B61:$K61, 'Eurostat EB products IEA'!$A$4:$A$135, 0),
           MATCH(AT$1, 'Eurostat EB products IEA'!$A$4:$BN$4, 0)
     )
     * $L61:$U61,
     0
  )
)</f>
        <v>0</v>
      </c>
      <c r="AU61" s="57" cm="1">
        <f t="array" ref="AU61">SUMPRODUCT(
  IF($B61:$K61&lt;&gt;"",
     INDEX('Eurostat EB products IEA'!$A$4:$BN$135,
           MATCH($B61:$K61, 'Eurostat EB products IEA'!$A$4:$A$135, 0),
           MATCH(AU$1, 'Eurostat EB products IEA'!$A$4:$BN$4, 0)
     )
     * $L61:$U61,
     0
  )
)</f>
        <v>0</v>
      </c>
      <c r="AV61" s="57" cm="1">
        <f t="array" ref="AV61">SUMPRODUCT(
  IF($B61:$K61&lt;&gt;"",
     INDEX('Eurostat EB products IEA'!$A$4:$BN$135,
           MATCH($B61:$K61, 'Eurostat EB products IEA'!$A$4:$A$135, 0),
           MATCH(AV$1, 'Eurostat EB products IEA'!$A$4:$BN$4, 0)
     )
     * $L61:$U61,
     0
  )
)</f>
        <v>3.073</v>
      </c>
      <c r="AW61" s="57" cm="1">
        <f t="array" ref="AW61">SUMPRODUCT(
  IF($B61:$K61&lt;&gt;"",
     INDEX('Eurostat EB products IEA'!$A$4:$BN$135,
           MATCH($B61:$K61, 'Eurostat EB products IEA'!$A$4:$A$135, 0),
           MATCH(AW$1, 'Eurostat EB products IEA'!$A$4:$BN$4, 0)
     )
     * $L61:$U61,
     0
  )
)</f>
        <v>0</v>
      </c>
      <c r="AX61" s="57" cm="1">
        <f t="array" ref="AX61">SUMPRODUCT(
  IF($B61:$K61&lt;&gt;"",
     INDEX('Eurostat EB products IEA'!$A$4:$BN$135,
           MATCH($B61:$K61, 'Eurostat EB products IEA'!$A$4:$A$135, 0),
           MATCH(AX$1, 'Eurostat EB products IEA'!$A$4:$BN$4, 0)
     )
     * $L61:$U61,
     0
  )
)</f>
        <v>0</v>
      </c>
      <c r="AY61" s="57" cm="1">
        <f t="array" ref="AY61">SUMPRODUCT(
  IF($B61:$K61&lt;&gt;"",
     INDEX('Eurostat EB products IEA'!$A$4:$BN$135,
           MATCH($B61:$K61, 'Eurostat EB products IEA'!$A$4:$A$135, 0),
           MATCH(AY$1, 'Eurostat EB products IEA'!$A$4:$BN$4, 0)
     )
     * $L61:$U61,
     0
  )
)</f>
        <v>0</v>
      </c>
      <c r="AZ61" s="57" cm="1">
        <f t="array" ref="AZ61">SUMPRODUCT(
  IF($B61:$K61&lt;&gt;"",
     INDEX('Eurostat EB products IEA'!$A$4:$BN$135,
           MATCH($B61:$K61, 'Eurostat EB products IEA'!$A$4:$A$135, 0),
           MATCH(AZ$1, 'Eurostat EB products IEA'!$A$4:$BN$4, 0)
     )
     * $L61:$U61,
     0
  )
)</f>
        <v>0</v>
      </c>
      <c r="BA61" s="57" cm="1">
        <f t="array" ref="BA61">SUMPRODUCT(
  IF($B61:$K61&lt;&gt;"",
     INDEX('Eurostat EB products IEA'!$A$4:$BN$135,
           MATCH($B61:$K61, 'Eurostat EB products IEA'!$A$4:$A$135, 0),
           MATCH(BA$1, 'Eurostat EB products IEA'!$A$4:$BN$4, 0)
     )
     * $L61:$U61,
     0
  )
)</f>
        <v>0</v>
      </c>
      <c r="BB61" s="57" cm="1">
        <f t="array" ref="BB61">SUMPRODUCT(
  IF($B61:$K61&lt;&gt;"",
     INDEX('Eurostat EB products IEA'!$A$4:$BN$135,
           MATCH($B61:$K61, 'Eurostat EB products IEA'!$A$4:$A$135, 0),
           MATCH(BB$1, 'Eurostat EB products IEA'!$A$4:$BN$4, 0)
     )
     * $L61:$U61,
     0
  )
)</f>
        <v>94.606999999999999</v>
      </c>
      <c r="BC61" s="57" cm="1">
        <f t="array" ref="BC61">SUMPRODUCT(
  IF($B61:$K61&lt;&gt;"",
     INDEX('Eurostat EB products IEA'!$A$4:$BN$135,
           MATCH($B61:$K61, 'Eurostat EB products IEA'!$A$4:$A$135, 0),
           MATCH(BC$1, 'Eurostat EB products IEA'!$A$4:$BN$4, 0)
     )
     * $L61:$U61,
     0
  )
)</f>
        <v>0</v>
      </c>
      <c r="BD61" s="57" cm="1">
        <f t="array" ref="BD61">SUMPRODUCT(
  IF($B61:$K61&lt;&gt;"",
     INDEX('Eurostat EB products IEA'!$A$4:$BN$135,
           MATCH($B61:$K61, 'Eurostat EB products IEA'!$A$4:$A$135, 0),
           MATCH(BD$1, 'Eurostat EB products IEA'!$A$4:$BN$4, 0)
     )
     * $L61:$U61,
     0
  )
)</f>
        <v>0</v>
      </c>
      <c r="BE61" s="57" cm="1">
        <f t="array" ref="BE61">SUMPRODUCT(
  IF($B61:$K61&lt;&gt;"",
     INDEX('Eurostat EB products IEA'!$A$4:$BN$135,
           MATCH($B61:$K61, 'Eurostat EB products IEA'!$A$4:$A$135, 0),
           MATCH(BE$1, 'Eurostat EB products IEA'!$A$4:$BN$4, 0)
     )
     * $L61:$U61,
     0
  )
)</f>
        <v>0</v>
      </c>
      <c r="BF61" s="57" cm="1">
        <f t="array" ref="BF61">SUMPRODUCT(
  IF($B61:$K61&lt;&gt;"",
     INDEX('Eurostat EB products IEA'!$A$4:$BN$135,
           MATCH($B61:$K61, 'Eurostat EB products IEA'!$A$4:$A$135, 0),
           MATCH(BF$1, 'Eurostat EB products IEA'!$A$4:$BN$4, 0)
     )
     * $L61:$U61,
     0
  )
)</f>
        <v>0</v>
      </c>
      <c r="BG61" s="57" cm="1">
        <f t="array" ref="BG61">SUMPRODUCT(
  IF($B61:$K61&lt;&gt;"",
     INDEX('Eurostat EB products IEA'!$A$4:$BN$135,
           MATCH($B61:$K61, 'Eurostat EB products IEA'!$A$4:$A$135, 0),
           MATCH(BG$1, 'Eurostat EB products IEA'!$A$4:$BN$4, 0)
     )
     * $L61:$U61,
     0
  )
)</f>
        <v>0</v>
      </c>
      <c r="BH61" s="57" cm="1">
        <f t="array" ref="BH61">SUMPRODUCT(
  IF($B61:$K61&lt;&gt;"",
     INDEX('Eurostat EB products IEA'!$A$4:$BN$135,
           MATCH($B61:$K61, 'Eurostat EB products IEA'!$A$4:$A$135, 0),
           MATCH(BH$1, 'Eurostat EB products IEA'!$A$4:$BN$4, 0)
     )
     * $L61:$U61,
     0
  )
)</f>
        <v>0</v>
      </c>
      <c r="BI61" s="57" cm="1">
        <f t="array" ref="BI61">SUMPRODUCT(
  IF($B61:$K61&lt;&gt;"",
     INDEX('Eurostat EB products IEA'!$A$4:$BN$135,
           MATCH($B61:$K61, 'Eurostat EB products IEA'!$A$4:$A$135, 0),
           MATCH(BI$1, 'Eurostat EB products IEA'!$A$4:$BN$4, 0)
     )
     * $L61:$U61,
     0
  )
)</f>
        <v>0</v>
      </c>
      <c r="BJ61" s="57" cm="1">
        <f t="array" ref="BJ61">SUMPRODUCT(
  IF($B61:$K61&lt;&gt;"",
     INDEX('Eurostat EB products IEA'!$A$4:$BN$135,
           MATCH($B61:$K61, 'Eurostat EB products IEA'!$A$4:$A$135, 0),
           MATCH(BJ$1, 'Eurostat EB products IEA'!$A$4:$BN$4, 0)
     )
     * $L61:$U61,
     0
  )
)</f>
        <v>1.1200000000000001</v>
      </c>
      <c r="BK61" s="57" cm="1">
        <f t="array" ref="BK61">SUMPRODUCT(
  IF($B61:$K61&lt;&gt;"",
     INDEX('Eurostat EB products IEA'!$A$4:$BN$135,
           MATCH($B61:$K61, 'Eurostat EB products IEA'!$A$4:$A$135, 0),
           MATCH(BK$1, 'Eurostat EB products IEA'!$A$4:$BN$4, 0)
     )
     * $L61:$U61,
     0
  )
)</f>
        <v>0</v>
      </c>
      <c r="BL61" s="57" cm="1">
        <f t="array" ref="BL61">SUMPRODUCT(
  IF($B61:$K61&lt;&gt;"",
     INDEX('Eurostat EB products IEA'!$A$4:$BN$135,
           MATCH($B61:$K61, 'Eurostat EB products IEA'!$A$4:$A$135, 0),
           MATCH(BL$1, 'Eurostat EB products IEA'!$A$4:$BN$4, 0)
     )
     * $L61:$U61,
     0
  )
)</f>
        <v>0</v>
      </c>
      <c r="BM61" s="57" cm="1">
        <f t="array" ref="BM61">SUMPRODUCT(
  IF($B61:$K61&lt;&gt;"",
     INDEX('Eurostat EB products IEA'!$A$4:$BN$135,
           MATCH($B61:$K61, 'Eurostat EB products IEA'!$A$4:$A$135, 0),
           MATCH(BM$1, 'Eurostat EB products IEA'!$A$4:$BN$4, 0)
     )
     * $L61:$U61,
     0
  )
)</f>
        <v>0</v>
      </c>
      <c r="BN61" s="57" cm="1">
        <f t="array" ref="BN61">SUMPRODUCT(
  IF($B61:$K61&lt;&gt;"",
     INDEX('Eurostat EB products IEA'!$A$4:$BN$135,
           MATCH($B61:$K61, 'Eurostat EB products IEA'!$A$4:$A$135, 0),
           MATCH(BN$1, 'Eurostat EB products IEA'!$A$4:$BN$4, 0)
     )
     * $L61:$U61,
     0
  )
)</f>
        <v>0</v>
      </c>
      <c r="BO61" s="57" cm="1">
        <f t="array" ref="BO61">SUMPRODUCT(
  IF($B61:$K61&lt;&gt;"",
     INDEX('Eurostat EB products IEA'!$A$4:$BN$135,
           MATCH($B61:$K61, 'Eurostat EB products IEA'!$A$4:$A$135, 0),
           MATCH(BO$1, 'Eurostat EB products IEA'!$A$4:$BN$4, 0)
     )
     * $L61:$U61,
     0
  )
)</f>
        <v>0</v>
      </c>
      <c r="BP61" s="57" cm="1">
        <f t="array" ref="BP61">SUMPRODUCT(
  IF($B61:$K61&lt;&gt;"",
     INDEX('Eurostat EB products IEA'!$A$4:$BN$135,
           MATCH($B61:$K61, 'Eurostat EB products IEA'!$A$4:$A$135, 0),
           MATCH(BP$1, 'Eurostat EB products IEA'!$A$4:$BN$4, 0)
     )
     * $L61:$U61,
     0
  )
)</f>
        <v>0</v>
      </c>
      <c r="BQ61" s="57" cm="1">
        <f t="array" ref="BQ61">SUMPRODUCT(
  IF($B61:$K61&lt;&gt;"",
     INDEX('Eurostat EB products IEA'!$A$4:$BN$135,
           MATCH($B61:$K61, 'Eurostat EB products IEA'!$A$4:$A$135, 0),
           MATCH(BQ$1, 'Eurostat EB products IEA'!$A$4:$BN$4, 0)
     )
     * $L61:$U61,
     0
  )
)</f>
        <v>0</v>
      </c>
      <c r="BR61" s="57" cm="1">
        <f t="array" ref="BR61">SUMPRODUCT(
  IF($B61:$K61&lt;&gt;"",
     INDEX('Eurostat EB products IEA'!$A$4:$BN$135,
           MATCH($B61:$K61, 'Eurostat EB products IEA'!$A$4:$A$135, 0),
           MATCH(BR$1, 'Eurostat EB products IEA'!$A$4:$BN$4, 0)
     )
     * $L61:$U61,
     0
  )
)</f>
        <v>0</v>
      </c>
      <c r="BS61" s="65">
        <v>0</v>
      </c>
      <c r="BT61" s="57" cm="1">
        <f t="array" ref="BT61">SUMPRODUCT(
  IF($B61:$K61&lt;&gt;"",
     INDEX('Eurostat EB products IEA'!$A$4:$BN$135,
           MATCH($B61:$K61, 'Eurostat EB products IEA'!$A$4:$A$135, 0),
           MATCH(BT$1, 'Eurostat EB products IEA'!$A$4:$BN$4, 0)
     )
     * $L61:$U61,
     0
  )
)</f>
        <v>0</v>
      </c>
      <c r="BU61" s="65">
        <v>0</v>
      </c>
      <c r="BV61" s="65">
        <v>0</v>
      </c>
      <c r="BW61" s="57" cm="1">
        <f t="array" ref="BW61">SUMPRODUCT(
  IF($B61:$K61&lt;&gt;"",
     INDEX('Eurostat EB products IEA'!$A$4:$BN$135,
           MATCH($B61:$K61, 'Eurostat EB products IEA'!$A$4:$A$135, 0),
           MATCH(BW$1, 'Eurostat EB products IEA'!$A$4:$BN$4, 0)
     )
     * $L61:$U61,
     0
  )
)</f>
        <v>0</v>
      </c>
      <c r="BX61" s="57" cm="1">
        <f t="array" ref="BX61">SUMPRODUCT(
  IF($B61:$K61&lt;&gt;"",
     INDEX('Eurostat EB products IEA'!$A$4:$BN$135,
           MATCH($B61:$K61, 'Eurostat EB products IEA'!$A$4:$A$135, 0),
           MATCH(BX$1, 'Eurostat EB products IEA'!$A$4:$BN$4, 0)
     )
     * $L61:$U61,
     0
  )
)</f>
        <v>0</v>
      </c>
      <c r="BY61" s="57" cm="1">
        <f t="array" ref="BY61">SUMPRODUCT(
  IF($B61:$K61&lt;&gt;"",
     INDEX('Eurostat EB products IEA'!$A$4:$BN$135,
           MATCH($B61:$K61, 'Eurostat EB products IEA'!$A$4:$A$135, 0),
           MATCH(BY$1, 'Eurostat EB products IEA'!$A$4:$BN$4, 0)
     )
     * $L61:$U61,
     0
  )
)</f>
        <v>0</v>
      </c>
      <c r="BZ61" s="57" cm="1">
        <f t="array" ref="BZ61">SUMPRODUCT(
  IF($B61:$K61&lt;&gt;"",
     INDEX('Eurostat EB products IEA'!$A$4:$BN$135,
           MATCH($B61:$K61, 'Eurostat EB products IEA'!$A$4:$A$135, 0),
           MATCH(BZ$1, 'Eurostat EB products IEA'!$A$4:$BN$4, 0)
     )
     * $L61:$U61,
     0
  )
)</f>
        <v>0</v>
      </c>
      <c r="CA61" s="57" cm="1">
        <f t="array" ref="CA61">SUMPRODUCT(
  IF($B61:$K61&lt;&gt;"",
     INDEX('Eurostat EB products IEA'!$A$4:$BN$135,
           MATCH($B61:$K61, 'Eurostat EB products IEA'!$A$4:$A$135, 0),
           MATCH(CA$1, 'Eurostat EB products IEA'!$A$4:$BN$4, 0)
     )
     * $L61:$U61,
     0
  )
)</f>
        <v>0</v>
      </c>
      <c r="CB61" s="57" cm="1">
        <f t="array" ref="CB61">SUMPRODUCT(
  IF($B61:$K61&lt;&gt;"",
     INDEX('Eurostat EB products IEA'!$A$4:$BN$135,
           MATCH($B61:$K61, 'Eurostat EB products IEA'!$A$4:$A$135, 0),
           MATCH(CB$1, 'Eurostat EB products IEA'!$A$4:$BN$4, 0)
     )
     * $L61:$U61,
     0
  )
)</f>
        <v>0</v>
      </c>
      <c r="CC61" s="57" cm="1">
        <f t="array" ref="CC61">SUMPRODUCT(
  IF($B61:$K61&lt;&gt;"",
     INDEX('Eurostat EB products IEA'!$A$4:$BN$135,
           MATCH($B61:$K61, 'Eurostat EB products IEA'!$A$4:$A$135, 0),
           MATCH(CC$1, 'Eurostat EB products IEA'!$A$4:$BN$4, 0)
     )
     * $L61:$U61,
     0
  )
)</f>
        <v>0</v>
      </c>
      <c r="CD61" s="65">
        <v>0</v>
      </c>
      <c r="CE61" s="57" cm="1">
        <f t="array" ref="CE61">SUMPRODUCT(
  IF($B61:$K61&lt;&gt;"",
     INDEX('Eurostat EB products IEA'!$A$4:$BN$135,
           MATCH($B61:$K61, 'Eurostat EB products IEA'!$A$4:$A$135, 0),
           MATCH(CE$1, 'Eurostat EB products IEA'!$A$4:$BN$4, 0)
     )
     * $L61:$U61,
     0
  )
)</f>
        <v>894.95600000000002</v>
      </c>
      <c r="CF61" s="57" cm="1">
        <f t="array" ref="CF61">SUMPRODUCT(
  IF($B61:$K61&lt;&gt;"",
     INDEX('Eurostat EB products IEA'!$A$4:$BN$135,
           MATCH($B61:$K61, 'Eurostat EB products IEA'!$A$4:$A$135, 0),
           MATCH(CF$1, 'Eurostat EB products IEA'!$A$4:$BN$4, 0)
     )
     * $L61:$U61,
     0
  )
)</f>
        <v>1866.9480000000001</v>
      </c>
      <c r="CG61" s="57" cm="1">
        <f t="array" ref="CG61">SUMPRODUCT(
  IF($B61:$K61&lt;&gt;"",
     INDEX('Eurostat EB products IEA'!$A$4:$BN$135,
           MATCH($B61:$K61, 'Eurostat EB products IEA'!$A$4:$A$135, 0),
           MATCH(CG$1, 'Eurostat EB products IEA'!$A$4:$BN$4, 0)
     )
     * $L61:$U61,
     0
  )
)</f>
        <v>4442.1030000000001</v>
      </c>
      <c r="CH61" s="57" cm="1">
        <f t="array" ref="CH61">SUMPRODUCT(
  IF($B61:$K61&lt;&gt;"",
     INDEX('Eurostat EB products IEA'!$A$4:$BN$135,
           MATCH($B61:$K61, 'Eurostat EB products IEA'!$A$4:$A$135, 0),
           MATCH(CH$1, 'Eurostat EB products IEA'!$A$4:$BN$4, 0)
     )
     * $L61:$U61,
     0
  )
)</f>
        <v>485.61</v>
      </c>
    </row>
    <row r="62" spans="1:86" x14ac:dyDescent="0.2">
      <c r="A62" t="s">
        <v>175</v>
      </c>
      <c r="B62" s="75"/>
      <c r="C62" s="77"/>
      <c r="D62" s="75"/>
      <c r="E62" s="77"/>
      <c r="F62" s="75"/>
      <c r="G62" s="77"/>
      <c r="H62" s="75"/>
      <c r="I62" s="77"/>
      <c r="J62" s="74"/>
      <c r="K62" s="78" t="s">
        <v>295</v>
      </c>
      <c r="L62" s="76"/>
      <c r="M62" s="79"/>
      <c r="N62" s="76"/>
      <c r="O62" s="79"/>
      <c r="P62" s="76"/>
      <c r="Q62" s="79"/>
      <c r="R62" s="76"/>
      <c r="S62" s="79"/>
      <c r="T62" s="76"/>
      <c r="U62" s="79">
        <v>1</v>
      </c>
      <c r="V62" s="65" t="s">
        <v>323</v>
      </c>
      <c r="W62" s="65" t="s">
        <v>323</v>
      </c>
      <c r="X62" s="17" cm="1">
        <f t="array" ref="X62">SUMPRODUCT(
  IF($B62:$K62&lt;&gt;"",
     INDEX('Eurostat EB products IEA'!$A$4:$BN$135,
           MATCH($B62:$K62, 'Eurostat EB products IEA'!$A$4:$A$135, 0),
           MATCH(X$1, 'Eurostat EB products IEA'!$A$4:$BN$4, 0)
     )
     * $L62:$U62,
     0
  )
)</f>
        <v>0</v>
      </c>
      <c r="Y62" s="17" cm="1">
        <f t="array" ref="Y62">SUMPRODUCT(
  IF($B62:$K62&lt;&gt;"",
     INDEX('Eurostat EB products IEA'!$A$4:$BN$135,
           MATCH($B62:$K62, 'Eurostat EB products IEA'!$A$4:$A$135, 0),
           MATCH(Y$1, 'Eurostat EB products IEA'!$A$4:$BN$4, 0)
     )
     * $L62:$U62,
     0
  )
)</f>
        <v>0</v>
      </c>
      <c r="Z62" s="17" cm="1">
        <f t="array" ref="Z62">SUMPRODUCT(
  IF($B62:$K62&lt;&gt;"",
     INDEX('Eurostat EB products IEA'!$A$4:$BN$135,
           MATCH($B62:$K62, 'Eurostat EB products IEA'!$A$4:$A$135, 0),
           MATCH(Z$1, 'Eurostat EB products IEA'!$A$4:$BN$4, 0)
     )
     * $L62:$U62,
     0
  )
)</f>
        <v>294.52499999999998</v>
      </c>
      <c r="AA62" s="17" cm="1">
        <f t="array" ref="AA62">SUMPRODUCT(
  IF($B62:$K62&lt;&gt;"",
     INDEX('Eurostat EB products IEA'!$A$4:$BN$135,
           MATCH($B62:$K62, 'Eurostat EB products IEA'!$A$4:$A$135, 0),
           MATCH(AA$1, 'Eurostat EB products IEA'!$A$4:$BN$4, 0)
     )
     * $L62:$U62,
     0
  )
)</f>
        <v>0</v>
      </c>
      <c r="AB62" s="17" cm="1">
        <f t="array" ref="AB62">SUMPRODUCT(
  IF($B62:$K62&lt;&gt;"",
     INDEX('Eurostat EB products IEA'!$A$4:$BN$135,
           MATCH($B62:$K62, 'Eurostat EB products IEA'!$A$4:$A$135, 0),
           MATCH(AB$1, 'Eurostat EB products IEA'!$A$4:$BN$4, 0)
     )
     * $L62:$U62,
     0
  )
)</f>
        <v>0</v>
      </c>
      <c r="AC62" s="17" cm="1">
        <f t="array" ref="AC62">SUMPRODUCT(
  IF($B62:$K62&lt;&gt;"",
     INDEX('Eurostat EB products IEA'!$A$4:$BN$135,
           MATCH($B62:$K62, 'Eurostat EB products IEA'!$A$4:$A$135, 0),
           MATCH(AC$1, 'Eurostat EB products IEA'!$A$4:$BN$4, 0)
     )
     * $L62:$U62,
     0
  )
)</f>
        <v>0</v>
      </c>
      <c r="AD62" s="17" cm="1">
        <f t="array" ref="AD62">SUMPRODUCT(
  IF($B62:$K62&lt;&gt;"",
     INDEX('Eurostat EB products IEA'!$A$4:$BN$135,
           MATCH($B62:$K62, 'Eurostat EB products IEA'!$A$4:$A$135, 0),
           MATCH(AD$1, 'Eurostat EB products IEA'!$A$4:$BN$4, 0)
     )
     * $L62:$U62,
     0
  )
)</f>
        <v>0</v>
      </c>
      <c r="AE62" s="17" cm="1">
        <f t="array" ref="AE62">SUMPRODUCT(
  IF($B62:$K62&lt;&gt;"",
     INDEX('Eurostat EB products IEA'!$A$4:$BN$135,
           MATCH($B62:$K62, 'Eurostat EB products IEA'!$A$4:$A$135, 0),
           MATCH(AE$1, 'Eurostat EB products IEA'!$A$4:$BN$4, 0)
     )
     * $L62:$U62,
     0
  )
)</f>
        <v>0</v>
      </c>
      <c r="AF62" s="17" cm="1">
        <f t="array" ref="AF62">SUMPRODUCT(
  IF($B62:$K62&lt;&gt;"",
     INDEX('Eurostat EB products IEA'!$A$4:$BN$135,
           MATCH($B62:$K62, 'Eurostat EB products IEA'!$A$4:$A$135, 0),
           MATCH(AF$1, 'Eurostat EB products IEA'!$A$4:$BN$4, 0)
     )
     * $L62:$U62,
     0
  )
)</f>
        <v>0</v>
      </c>
      <c r="AG62" s="17" cm="1">
        <f t="array" ref="AG62">SUMPRODUCT(
  IF($B62:$K62&lt;&gt;"",
     INDEX('Eurostat EB products IEA'!$A$4:$BN$135,
           MATCH($B62:$K62, 'Eurostat EB products IEA'!$A$4:$A$135, 0),
           MATCH(AG$1, 'Eurostat EB products IEA'!$A$4:$BN$4, 0)
     )
     * $L62:$U62,
     0
  )
)</f>
        <v>0</v>
      </c>
      <c r="AH62" s="17" cm="1">
        <f t="array" ref="AH62">SUMPRODUCT(
  IF($B62:$K62&lt;&gt;"",
     INDEX('Eurostat EB products IEA'!$A$4:$BN$135,
           MATCH($B62:$K62, 'Eurostat EB products IEA'!$A$4:$A$135, 0),
           MATCH(AH$1, 'Eurostat EB products IEA'!$A$4:$BN$4, 0)
     )
     * $L62:$U62,
     0
  )
)</f>
        <v>0</v>
      </c>
      <c r="AI62" s="17" cm="1">
        <f t="array" ref="AI62">SUMPRODUCT(
  IF($B62:$K62&lt;&gt;"",
     INDEX('Eurostat EB products IEA'!$A$4:$BN$135,
           MATCH($B62:$K62, 'Eurostat EB products IEA'!$A$4:$A$135, 0),
           MATCH(AI$1, 'Eurostat EB products IEA'!$A$4:$BN$4, 0)
     )
     * $L62:$U62,
     0
  )
)</f>
        <v>0</v>
      </c>
      <c r="AJ62" s="17" cm="1">
        <f t="array" ref="AJ62">SUMPRODUCT(
  IF($B62:$K62&lt;&gt;"",
     INDEX('Eurostat EB products IEA'!$A$4:$BN$135,
           MATCH($B62:$K62, 'Eurostat EB products IEA'!$A$4:$A$135, 0),
           MATCH(AJ$1, 'Eurostat EB products IEA'!$A$4:$BN$4, 0)
     )
     * $L62:$U62,
     0
  )
)</f>
        <v>0</v>
      </c>
      <c r="AK62" s="17" cm="1">
        <f t="array" ref="AK62">SUMPRODUCT(
  IF($B62:$K62&lt;&gt;"",
     INDEX('Eurostat EB products IEA'!$A$4:$BN$135,
           MATCH($B62:$K62, 'Eurostat EB products IEA'!$A$4:$A$135, 0),
           MATCH(AK$1, 'Eurostat EB products IEA'!$A$4:$BN$4, 0)
     )
     * $L62:$U62,
     0
  )
)</f>
        <v>0</v>
      </c>
      <c r="AL62" s="17" cm="1">
        <f t="array" ref="AL62">SUMPRODUCT(
  IF($B62:$K62&lt;&gt;"",
     INDEX('Eurostat EB products IEA'!$A$4:$BN$135,
           MATCH($B62:$K62, 'Eurostat EB products IEA'!$A$4:$A$135, 0),
           MATCH(AL$1, 'Eurostat EB products IEA'!$A$4:$BN$4, 0)
     )
     * $L62:$U62,
     0
  )
)</f>
        <v>0</v>
      </c>
      <c r="AM62" s="17" cm="1">
        <f t="array" ref="AM62">SUMPRODUCT(
  IF($B62:$K62&lt;&gt;"",
     INDEX('Eurostat EB products IEA'!$A$4:$BN$135,
           MATCH($B62:$K62, 'Eurostat EB products IEA'!$A$4:$A$135, 0),
           MATCH(AM$1, 'Eurostat EB products IEA'!$A$4:$BN$4, 0)
     )
     * $L62:$U62,
     0
  )
)</f>
        <v>50801.394999999997</v>
      </c>
      <c r="AN62" s="65" t="s">
        <v>323</v>
      </c>
      <c r="AO62" s="17" cm="1">
        <f t="array" ref="AO62">SUMPRODUCT(
  IF($B62:$K62&lt;&gt;"",
     INDEX('Eurostat EB products IEA'!$A$4:$BN$135,
           MATCH($B62:$K62, 'Eurostat EB products IEA'!$A$4:$A$135, 0),
           MATCH(AO$1, 'Eurostat EB products IEA'!$A$4:$BN$4, 0)
     )
     * $L62:$U62,
     0
  )
)</f>
        <v>0</v>
      </c>
      <c r="AP62" s="17" cm="1">
        <f t="array" ref="AP62">SUMPRODUCT(
  IF($B62:$K62&lt;&gt;"",
     INDEX('Eurostat EB products IEA'!$A$4:$BN$135,
           MATCH($B62:$K62, 'Eurostat EB products IEA'!$A$4:$A$135, 0),
           MATCH(AP$1, 'Eurostat EB products IEA'!$A$4:$BN$4, 0)
     )
     * $L62:$U62,
     0
  )
)</f>
        <v>0</v>
      </c>
      <c r="AQ62" s="17" cm="1">
        <f t="array" ref="AQ62">SUMPRODUCT(
  IF($B62:$K62&lt;&gt;"",
     INDEX('Eurostat EB products IEA'!$A$4:$BN$135,
           MATCH($B62:$K62, 'Eurostat EB products IEA'!$A$4:$A$135, 0),
           MATCH(AQ$1, 'Eurostat EB products IEA'!$A$4:$BN$4, 0)
     )
     * $L62:$U62,
     0
  )
)</f>
        <v>0</v>
      </c>
      <c r="AR62" s="17" cm="1">
        <f t="array" ref="AR62">SUMPRODUCT(
  IF($B62:$K62&lt;&gt;"",
     INDEX('Eurostat EB products IEA'!$A$4:$BN$135,
           MATCH($B62:$K62, 'Eurostat EB products IEA'!$A$4:$A$135, 0),
           MATCH(AR$1, 'Eurostat EB products IEA'!$A$4:$BN$4, 0)
     )
     * $L62:$U62,
     0
  )
)</f>
        <v>0</v>
      </c>
      <c r="AS62" s="17" cm="1">
        <f t="array" ref="AS62">SUMPRODUCT(
  IF($B62:$K62&lt;&gt;"",
     INDEX('Eurostat EB products IEA'!$A$4:$BN$135,
           MATCH($B62:$K62, 'Eurostat EB products IEA'!$A$4:$A$135, 0),
           MATCH(AS$1, 'Eurostat EB products IEA'!$A$4:$BN$4, 0)
     )
     * $L62:$U62,
     0
  )
)</f>
        <v>0</v>
      </c>
      <c r="AT62" s="17" cm="1">
        <f t="array" ref="AT62">SUMPRODUCT(
  IF($B62:$K62&lt;&gt;"",
     INDEX('Eurostat EB products IEA'!$A$4:$BN$135,
           MATCH($B62:$K62, 'Eurostat EB products IEA'!$A$4:$A$135, 0),
           MATCH(AT$1, 'Eurostat EB products IEA'!$A$4:$BN$4, 0)
     )
     * $L62:$U62,
     0
  )
)</f>
        <v>0</v>
      </c>
      <c r="AU62" s="17" cm="1">
        <f t="array" ref="AU62">SUMPRODUCT(
  IF($B62:$K62&lt;&gt;"",
     INDEX('Eurostat EB products IEA'!$A$4:$BN$135,
           MATCH($B62:$K62, 'Eurostat EB products IEA'!$A$4:$A$135, 0),
           MATCH(AU$1, 'Eurostat EB products IEA'!$A$4:$BN$4, 0)
     )
     * $L62:$U62,
     0
  )
)</f>
        <v>0</v>
      </c>
      <c r="AV62" s="17" cm="1">
        <f t="array" ref="AV62">SUMPRODUCT(
  IF($B62:$K62&lt;&gt;"",
     INDEX('Eurostat EB products IEA'!$A$4:$BN$135,
           MATCH($B62:$K62, 'Eurostat EB products IEA'!$A$4:$A$135, 0),
           MATCH(AV$1, 'Eurostat EB products IEA'!$A$4:$BN$4, 0)
     )
     * $L62:$U62,
     0
  )
)</f>
        <v>31.228999999999999</v>
      </c>
      <c r="AW62" s="17" cm="1">
        <f t="array" ref="AW62">SUMPRODUCT(
  IF($B62:$K62&lt;&gt;"",
     INDEX('Eurostat EB products IEA'!$A$4:$BN$135,
           MATCH($B62:$K62, 'Eurostat EB products IEA'!$A$4:$A$135, 0),
           MATCH(AW$1, 'Eurostat EB products IEA'!$A$4:$BN$4, 0)
     )
     * $L62:$U62,
     0
  )
)</f>
        <v>0</v>
      </c>
      <c r="AX62" s="17" cm="1">
        <f t="array" ref="AX62">SUMPRODUCT(
  IF($B62:$K62&lt;&gt;"",
     INDEX('Eurostat EB products IEA'!$A$4:$BN$135,
           MATCH($B62:$K62, 'Eurostat EB products IEA'!$A$4:$A$135, 0),
           MATCH(AX$1, 'Eurostat EB products IEA'!$A$4:$BN$4, 0)
     )
     * $L62:$U62,
     0
  )
)</f>
        <v>0</v>
      </c>
      <c r="AY62" s="17" cm="1">
        <f t="array" ref="AY62">SUMPRODUCT(
  IF($B62:$K62&lt;&gt;"",
     INDEX('Eurostat EB products IEA'!$A$4:$BN$135,
           MATCH($B62:$K62, 'Eurostat EB products IEA'!$A$4:$A$135, 0),
           MATCH(AY$1, 'Eurostat EB products IEA'!$A$4:$BN$4, 0)
     )
     * $L62:$U62,
     0
  )
)</f>
        <v>0</v>
      </c>
      <c r="AZ62" s="17" cm="1">
        <f t="array" ref="AZ62">SUMPRODUCT(
  IF($B62:$K62&lt;&gt;"",
     INDEX('Eurostat EB products IEA'!$A$4:$BN$135,
           MATCH($B62:$K62, 'Eurostat EB products IEA'!$A$4:$A$135, 0),
           MATCH(AZ$1, 'Eurostat EB products IEA'!$A$4:$BN$4, 0)
     )
     * $L62:$U62,
     0
  )
)</f>
        <v>0</v>
      </c>
      <c r="BA62" s="17" cm="1">
        <f t="array" ref="BA62">SUMPRODUCT(
  IF($B62:$K62&lt;&gt;"",
     INDEX('Eurostat EB products IEA'!$A$4:$BN$135,
           MATCH($B62:$K62, 'Eurostat EB products IEA'!$A$4:$A$135, 0),
           MATCH(BA$1, 'Eurostat EB products IEA'!$A$4:$BN$4, 0)
     )
     * $L62:$U62,
     0
  )
)</f>
        <v>0</v>
      </c>
      <c r="BB62" s="17" cm="1">
        <f t="array" ref="BB62">SUMPRODUCT(
  IF($B62:$K62&lt;&gt;"",
     INDEX('Eurostat EB products IEA'!$A$4:$BN$135,
           MATCH($B62:$K62, 'Eurostat EB products IEA'!$A$4:$A$135, 0),
           MATCH(BB$1, 'Eurostat EB products IEA'!$A$4:$BN$4, 0)
     )
     * $L62:$U62,
     0
  )
)</f>
        <v>38.956000000000003</v>
      </c>
      <c r="BC62" s="17" cm="1">
        <f t="array" ref="BC62">SUMPRODUCT(
  IF($B62:$K62&lt;&gt;"",
     INDEX('Eurostat EB products IEA'!$A$4:$BN$135,
           MATCH($B62:$K62, 'Eurostat EB products IEA'!$A$4:$A$135, 0),
           MATCH(BC$1, 'Eurostat EB products IEA'!$A$4:$BN$4, 0)
     )
     * $L62:$U62,
     0
  )
)</f>
        <v>0</v>
      </c>
      <c r="BD62" s="17" cm="1">
        <f t="array" ref="BD62">SUMPRODUCT(
  IF($B62:$K62&lt;&gt;"",
     INDEX('Eurostat EB products IEA'!$A$4:$BN$135,
           MATCH($B62:$K62, 'Eurostat EB products IEA'!$A$4:$A$135, 0),
           MATCH(BD$1, 'Eurostat EB products IEA'!$A$4:$BN$4, 0)
     )
     * $L62:$U62,
     0
  )
)</f>
        <v>0</v>
      </c>
      <c r="BE62" s="17" cm="1">
        <f t="array" ref="BE62">SUMPRODUCT(
  IF($B62:$K62&lt;&gt;"",
     INDEX('Eurostat EB products IEA'!$A$4:$BN$135,
           MATCH($B62:$K62, 'Eurostat EB products IEA'!$A$4:$A$135, 0),
           MATCH(BE$1, 'Eurostat EB products IEA'!$A$4:$BN$4, 0)
     )
     * $L62:$U62,
     0
  )
)</f>
        <v>0</v>
      </c>
      <c r="BF62" s="17" cm="1">
        <f t="array" ref="BF62">SUMPRODUCT(
  IF($B62:$K62&lt;&gt;"",
     INDEX('Eurostat EB products IEA'!$A$4:$BN$135,
           MATCH($B62:$K62, 'Eurostat EB products IEA'!$A$4:$A$135, 0),
           MATCH(BF$1, 'Eurostat EB products IEA'!$A$4:$BN$4, 0)
     )
     * $L62:$U62,
     0
  )
)</f>
        <v>0</v>
      </c>
      <c r="BG62" s="17" cm="1">
        <f t="array" ref="BG62">SUMPRODUCT(
  IF($B62:$K62&lt;&gt;"",
     INDEX('Eurostat EB products IEA'!$A$4:$BN$135,
           MATCH($B62:$K62, 'Eurostat EB products IEA'!$A$4:$A$135, 0),
           MATCH(BG$1, 'Eurostat EB products IEA'!$A$4:$BN$4, 0)
     )
     * $L62:$U62,
     0
  )
)</f>
        <v>0</v>
      </c>
      <c r="BH62" s="17" cm="1">
        <f t="array" ref="BH62">SUMPRODUCT(
  IF($B62:$K62&lt;&gt;"",
     INDEX('Eurostat EB products IEA'!$A$4:$BN$135,
           MATCH($B62:$K62, 'Eurostat EB products IEA'!$A$4:$A$135, 0),
           MATCH(BH$1, 'Eurostat EB products IEA'!$A$4:$BN$4, 0)
     )
     * $L62:$U62,
     0
  )
)</f>
        <v>0</v>
      </c>
      <c r="BI62" s="17" cm="1">
        <f t="array" ref="BI62">SUMPRODUCT(
  IF($B62:$K62&lt;&gt;"",
     INDEX('Eurostat EB products IEA'!$A$4:$BN$135,
           MATCH($B62:$K62, 'Eurostat EB products IEA'!$A$4:$A$135, 0),
           MATCH(BI$1, 'Eurostat EB products IEA'!$A$4:$BN$4, 0)
     )
     * $L62:$U62,
     0
  )
)</f>
        <v>0</v>
      </c>
      <c r="BJ62" s="17" cm="1">
        <f t="array" ref="BJ62">SUMPRODUCT(
  IF($B62:$K62&lt;&gt;"",
     INDEX('Eurostat EB products IEA'!$A$4:$BN$135,
           MATCH($B62:$K62, 'Eurostat EB products IEA'!$A$4:$A$135, 0),
           MATCH(BJ$1, 'Eurostat EB products IEA'!$A$4:$BN$4, 0)
     )
     * $L62:$U62,
     0
  )
)</f>
        <v>0.16700000000000001</v>
      </c>
      <c r="BK62" s="17" cm="1">
        <f t="array" ref="BK62">SUMPRODUCT(
  IF($B62:$K62&lt;&gt;"",
     INDEX('Eurostat EB products IEA'!$A$4:$BN$135,
           MATCH($B62:$K62, 'Eurostat EB products IEA'!$A$4:$A$135, 0),
           MATCH(BK$1, 'Eurostat EB products IEA'!$A$4:$BN$4, 0)
     )
     * $L62:$U62,
     0
  )
)</f>
        <v>0</v>
      </c>
      <c r="BL62" s="17" cm="1">
        <f t="array" ref="BL62">SUMPRODUCT(
  IF($B62:$K62&lt;&gt;"",
     INDEX('Eurostat EB products IEA'!$A$4:$BN$135,
           MATCH($B62:$K62, 'Eurostat EB products IEA'!$A$4:$A$135, 0),
           MATCH(BL$1, 'Eurostat EB products IEA'!$A$4:$BN$4, 0)
     )
     * $L62:$U62,
     0
  )
)</f>
        <v>0</v>
      </c>
      <c r="BM62" s="17" cm="1">
        <f t="array" ref="BM62">SUMPRODUCT(
  IF($B62:$K62&lt;&gt;"",
     INDEX('Eurostat EB products IEA'!$A$4:$BN$135,
           MATCH($B62:$K62, 'Eurostat EB products IEA'!$A$4:$A$135, 0),
           MATCH(BM$1, 'Eurostat EB products IEA'!$A$4:$BN$4, 0)
     )
     * $L62:$U62,
     0
  )
)</f>
        <v>0</v>
      </c>
      <c r="BN62" s="17" cm="1">
        <f t="array" ref="BN62">SUMPRODUCT(
  IF($B62:$K62&lt;&gt;"",
     INDEX('Eurostat EB products IEA'!$A$4:$BN$135,
           MATCH($B62:$K62, 'Eurostat EB products IEA'!$A$4:$A$135, 0),
           MATCH(BN$1, 'Eurostat EB products IEA'!$A$4:$BN$4, 0)
     )
     * $L62:$U62,
     0
  )
)</f>
        <v>0</v>
      </c>
      <c r="BO62" s="17" cm="1">
        <f t="array" ref="BO62">SUMPRODUCT(
  IF($B62:$K62&lt;&gt;"",
     INDEX('Eurostat EB products IEA'!$A$4:$BN$135,
           MATCH($B62:$K62, 'Eurostat EB products IEA'!$A$4:$A$135, 0),
           MATCH(BO$1, 'Eurostat EB products IEA'!$A$4:$BN$4, 0)
     )
     * $L62:$U62,
     0
  )
)</f>
        <v>1239.7670000000001</v>
      </c>
      <c r="BP62" s="17" cm="1">
        <f t="array" ref="BP62">SUMPRODUCT(
  IF($B62:$K62&lt;&gt;"",
     INDEX('Eurostat EB products IEA'!$A$4:$BN$135,
           MATCH($B62:$K62, 'Eurostat EB products IEA'!$A$4:$A$135, 0),
           MATCH(BP$1, 'Eurostat EB products IEA'!$A$4:$BN$4, 0)
     )
     * $L62:$U62,
     0
  )
)</f>
        <v>0</v>
      </c>
      <c r="BQ62" s="17" cm="1">
        <f t="array" ref="BQ62">SUMPRODUCT(
  IF($B62:$K62&lt;&gt;"",
     INDEX('Eurostat EB products IEA'!$A$4:$BN$135,
           MATCH($B62:$K62, 'Eurostat EB products IEA'!$A$4:$A$135, 0),
           MATCH(BQ$1, 'Eurostat EB products IEA'!$A$4:$BN$4, 0)
     )
     * $L62:$U62,
     0
  )
)</f>
        <v>0</v>
      </c>
      <c r="BR62" s="17" cm="1">
        <f t="array" ref="BR62">SUMPRODUCT(
  IF($B62:$K62&lt;&gt;"",
     INDEX('Eurostat EB products IEA'!$A$4:$BN$135,
           MATCH($B62:$K62, 'Eurostat EB products IEA'!$A$4:$A$135, 0),
           MATCH(BR$1, 'Eurostat EB products IEA'!$A$4:$BN$4, 0)
     )
     * $L62:$U62,
     0
  )
)</f>
        <v>51.48</v>
      </c>
      <c r="BS62" s="65">
        <v>0</v>
      </c>
      <c r="BT62" s="17" cm="1">
        <f t="array" ref="BT62">SUMPRODUCT(
  IF($B62:$K62&lt;&gt;"",
     INDEX('Eurostat EB products IEA'!$A$4:$BN$135,
           MATCH($B62:$K62, 'Eurostat EB products IEA'!$A$4:$A$135, 0),
           MATCH(BT$1, 'Eurostat EB products IEA'!$A$4:$BN$4, 0)
     )
     * $L62:$U62,
     0
  )
)</f>
        <v>0</v>
      </c>
      <c r="BU62" s="65">
        <v>0</v>
      </c>
      <c r="BV62" s="65">
        <v>0</v>
      </c>
      <c r="BW62" s="17" cm="1">
        <f t="array" ref="BW62">SUMPRODUCT(
  IF($B62:$K62&lt;&gt;"",
     INDEX('Eurostat EB products IEA'!$A$4:$BN$135,
           MATCH($B62:$K62, 'Eurostat EB products IEA'!$A$4:$A$135, 0),
           MATCH(BW$1, 'Eurostat EB products IEA'!$A$4:$BN$4, 0)
     )
     * $L62:$U62,
     0
  )
)</f>
        <v>0</v>
      </c>
      <c r="BX62" s="17" cm="1">
        <f t="array" ref="BX62">SUMPRODUCT(
  IF($B62:$K62&lt;&gt;"",
     INDEX('Eurostat EB products IEA'!$A$4:$BN$135,
           MATCH($B62:$K62, 'Eurostat EB products IEA'!$A$4:$A$135, 0),
           MATCH(BX$1, 'Eurostat EB products IEA'!$A$4:$BN$4, 0)
     )
     * $L62:$U62,
     0
  )
)</f>
        <v>0</v>
      </c>
      <c r="BY62" s="17" cm="1">
        <f t="array" ref="BY62">SUMPRODUCT(
  IF($B62:$K62&lt;&gt;"",
     INDEX('Eurostat EB products IEA'!$A$4:$BN$135,
           MATCH($B62:$K62, 'Eurostat EB products IEA'!$A$4:$A$135, 0),
           MATCH(BY$1, 'Eurostat EB products IEA'!$A$4:$BN$4, 0)
     )
     * $L62:$U62,
     0
  )
)</f>
        <v>0</v>
      </c>
      <c r="BZ62" s="17" cm="1">
        <f t="array" ref="BZ62">SUMPRODUCT(
  IF($B62:$K62&lt;&gt;"",
     INDEX('Eurostat EB products IEA'!$A$4:$BN$135,
           MATCH($B62:$K62, 'Eurostat EB products IEA'!$A$4:$A$135, 0),
           MATCH(BZ$1, 'Eurostat EB products IEA'!$A$4:$BN$4, 0)
     )
     * $L62:$U62,
     0
  )
)</f>
        <v>0</v>
      </c>
      <c r="CA62" s="17" cm="1">
        <f t="array" ref="CA62">SUMPRODUCT(
  IF($B62:$K62&lt;&gt;"",
     INDEX('Eurostat EB products IEA'!$A$4:$BN$135,
           MATCH($B62:$K62, 'Eurostat EB products IEA'!$A$4:$A$135, 0),
           MATCH(CA$1, 'Eurostat EB products IEA'!$A$4:$BN$4, 0)
     )
     * $L62:$U62,
     0
  )
)</f>
        <v>0</v>
      </c>
      <c r="CB62" s="17" cm="1">
        <f t="array" ref="CB62">SUMPRODUCT(
  IF($B62:$K62&lt;&gt;"",
     INDEX('Eurostat EB products IEA'!$A$4:$BN$135,
           MATCH($B62:$K62, 'Eurostat EB products IEA'!$A$4:$A$135, 0),
           MATCH(CB$1, 'Eurostat EB products IEA'!$A$4:$BN$4, 0)
     )
     * $L62:$U62,
     0
  )
)</f>
        <v>0</v>
      </c>
      <c r="CC62" s="17" cm="1">
        <f t="array" ref="CC62">SUMPRODUCT(
  IF($B62:$K62&lt;&gt;"",
     INDEX('Eurostat EB products IEA'!$A$4:$BN$135,
           MATCH($B62:$K62, 'Eurostat EB products IEA'!$A$4:$A$135, 0),
           MATCH(CC$1, 'Eurostat EB products IEA'!$A$4:$BN$4, 0)
     )
     * $L62:$U62,
     0
  )
)</f>
        <v>0</v>
      </c>
      <c r="CD62" s="65">
        <v>0</v>
      </c>
      <c r="CE62" s="17" cm="1">
        <f t="array" ref="CE62">SUMPRODUCT(
  IF($B62:$K62&lt;&gt;"",
     INDEX('Eurostat EB products IEA'!$A$4:$BN$135,
           MATCH($B62:$K62, 'Eurostat EB products IEA'!$A$4:$A$135, 0),
           MATCH(CE$1, 'Eurostat EB products IEA'!$A$4:$BN$4, 0)
     )
     * $L62:$U62,
     0
  )
)</f>
        <v>24213.146000000001</v>
      </c>
      <c r="CF62" s="17" cm="1">
        <f t="array" ref="CF62">SUMPRODUCT(
  IF($B62:$K62&lt;&gt;"",
     INDEX('Eurostat EB products IEA'!$A$4:$BN$135,
           MATCH($B62:$K62, 'Eurostat EB products IEA'!$A$4:$A$135, 0),
           MATCH(CF$1, 'Eurostat EB products IEA'!$A$4:$BN$4, 0)
     )
     * $L62:$U62,
     0
  )
)</f>
        <v>1244.7650000000001</v>
      </c>
      <c r="CG62" s="17" cm="1">
        <f t="array" ref="CG62">SUMPRODUCT(
  IF($B62:$K62&lt;&gt;"",
     INDEX('Eurostat EB products IEA'!$A$4:$BN$135,
           MATCH($B62:$K62, 'Eurostat EB products IEA'!$A$4:$A$135, 0),
           MATCH(CG$1, 'Eurostat EB products IEA'!$A$4:$BN$4, 0)
     )
     * $L62:$U62,
     0
  )
)</f>
        <v>77915.429999999993</v>
      </c>
      <c r="CH62" s="17" cm="1">
        <f t="array" ref="CH62">SUMPRODUCT(
  IF($B62:$K62&lt;&gt;"",
     INDEX('Eurostat EB products IEA'!$A$4:$BN$135,
           MATCH($B62:$K62, 'Eurostat EB products IEA'!$A$4:$A$135, 0),
           MATCH(CH$1, 'Eurostat EB products IEA'!$A$4:$BN$4, 0)
     )
     * $L62:$U62,
     0
  )
)</f>
        <v>3696.8180000000002</v>
      </c>
    </row>
    <row r="63" spans="1:86" x14ac:dyDescent="0.2">
      <c r="A63" t="s">
        <v>176</v>
      </c>
      <c r="B63" s="75"/>
      <c r="C63" s="77"/>
      <c r="D63" s="75"/>
      <c r="E63" s="77"/>
      <c r="F63" s="75"/>
      <c r="G63" s="77"/>
      <c r="H63" s="75"/>
      <c r="I63" s="77"/>
      <c r="J63" s="74"/>
      <c r="K63" s="78" t="s">
        <v>296</v>
      </c>
      <c r="L63" s="76"/>
      <c r="M63" s="79"/>
      <c r="N63" s="76"/>
      <c r="O63" s="79"/>
      <c r="P63" s="76"/>
      <c r="Q63" s="79"/>
      <c r="R63" s="76"/>
      <c r="S63" s="79"/>
      <c r="T63" s="76"/>
      <c r="U63" s="79">
        <v>1</v>
      </c>
      <c r="V63" s="65" t="s">
        <v>323</v>
      </c>
      <c r="W63" s="65" t="s">
        <v>323</v>
      </c>
      <c r="X63" s="57" cm="1">
        <f t="array" ref="X63">SUMPRODUCT(
  IF($B63:$K63&lt;&gt;"",
     INDEX('Eurostat EB products IEA'!$A$4:$BN$135,
           MATCH($B63:$K63, 'Eurostat EB products IEA'!$A$4:$A$135, 0),
           MATCH(X$1, 'Eurostat EB products IEA'!$A$4:$BN$4, 0)
     )
     * $L63:$U63,
     0
  )
)</f>
        <v>0</v>
      </c>
      <c r="Y63" s="57" cm="1">
        <f t="array" ref="Y63">SUMPRODUCT(
  IF($B63:$K63&lt;&gt;"",
     INDEX('Eurostat EB products IEA'!$A$4:$BN$135,
           MATCH($B63:$K63, 'Eurostat EB products IEA'!$A$4:$A$135, 0),
           MATCH(Y$1, 'Eurostat EB products IEA'!$A$4:$BN$4, 0)
     )
     * $L63:$U63,
     0
  )
)</f>
        <v>0</v>
      </c>
      <c r="Z63" s="57" cm="1">
        <f t="array" ref="Z63">SUMPRODUCT(
  IF($B63:$K63&lt;&gt;"",
     INDEX('Eurostat EB products IEA'!$A$4:$BN$135,
           MATCH($B63:$K63, 'Eurostat EB products IEA'!$A$4:$A$135, 0),
           MATCH(Z$1, 'Eurostat EB products IEA'!$A$4:$BN$4, 0)
     )
     * $L63:$U63,
     0
  )
)</f>
        <v>0</v>
      </c>
      <c r="AA63" s="57" cm="1">
        <f t="array" ref="AA63">SUMPRODUCT(
  IF($B63:$K63&lt;&gt;"",
     INDEX('Eurostat EB products IEA'!$A$4:$BN$135,
           MATCH($B63:$K63, 'Eurostat EB products IEA'!$A$4:$A$135, 0),
           MATCH(AA$1, 'Eurostat EB products IEA'!$A$4:$BN$4, 0)
     )
     * $L63:$U63,
     0
  )
)</f>
        <v>0</v>
      </c>
      <c r="AB63" s="57" cm="1">
        <f t="array" ref="AB63">SUMPRODUCT(
  IF($B63:$K63&lt;&gt;"",
     INDEX('Eurostat EB products IEA'!$A$4:$BN$135,
           MATCH($B63:$K63, 'Eurostat EB products IEA'!$A$4:$A$135, 0),
           MATCH(AB$1, 'Eurostat EB products IEA'!$A$4:$BN$4, 0)
     )
     * $L63:$U63,
     0
  )
)</f>
        <v>0</v>
      </c>
      <c r="AC63" s="57" cm="1">
        <f t="array" ref="AC63">SUMPRODUCT(
  IF($B63:$K63&lt;&gt;"",
     INDEX('Eurostat EB products IEA'!$A$4:$BN$135,
           MATCH($B63:$K63, 'Eurostat EB products IEA'!$A$4:$A$135, 0),
           MATCH(AC$1, 'Eurostat EB products IEA'!$A$4:$BN$4, 0)
     )
     * $L63:$U63,
     0
  )
)</f>
        <v>0</v>
      </c>
      <c r="AD63" s="57" cm="1">
        <f t="array" ref="AD63">SUMPRODUCT(
  IF($B63:$K63&lt;&gt;"",
     INDEX('Eurostat EB products IEA'!$A$4:$BN$135,
           MATCH($B63:$K63, 'Eurostat EB products IEA'!$A$4:$A$135, 0),
           MATCH(AD$1, 'Eurostat EB products IEA'!$A$4:$BN$4, 0)
     )
     * $L63:$U63,
     0
  )
)</f>
        <v>0</v>
      </c>
      <c r="AE63" s="57" cm="1">
        <f t="array" ref="AE63">SUMPRODUCT(
  IF($B63:$K63&lt;&gt;"",
     INDEX('Eurostat EB products IEA'!$A$4:$BN$135,
           MATCH($B63:$K63, 'Eurostat EB products IEA'!$A$4:$A$135, 0),
           MATCH(AE$1, 'Eurostat EB products IEA'!$A$4:$BN$4, 0)
     )
     * $L63:$U63,
     0
  )
)</f>
        <v>0</v>
      </c>
      <c r="AF63" s="57" cm="1">
        <f t="array" ref="AF63">SUMPRODUCT(
  IF($B63:$K63&lt;&gt;"",
     INDEX('Eurostat EB products IEA'!$A$4:$BN$135,
           MATCH($B63:$K63, 'Eurostat EB products IEA'!$A$4:$A$135, 0),
           MATCH(AF$1, 'Eurostat EB products IEA'!$A$4:$BN$4, 0)
     )
     * $L63:$U63,
     0
  )
)</f>
        <v>0</v>
      </c>
      <c r="AG63" s="57" cm="1">
        <f t="array" ref="AG63">SUMPRODUCT(
  IF($B63:$K63&lt;&gt;"",
     INDEX('Eurostat EB products IEA'!$A$4:$BN$135,
           MATCH($B63:$K63, 'Eurostat EB products IEA'!$A$4:$A$135, 0),
           MATCH(AG$1, 'Eurostat EB products IEA'!$A$4:$BN$4, 0)
     )
     * $L63:$U63,
     0
  )
)</f>
        <v>0</v>
      </c>
      <c r="AH63" s="57" cm="1">
        <f t="array" ref="AH63">SUMPRODUCT(
  IF($B63:$K63&lt;&gt;"",
     INDEX('Eurostat EB products IEA'!$A$4:$BN$135,
           MATCH($B63:$K63, 'Eurostat EB products IEA'!$A$4:$A$135, 0),
           MATCH(AH$1, 'Eurostat EB products IEA'!$A$4:$BN$4, 0)
     )
     * $L63:$U63,
     0
  )
)</f>
        <v>0</v>
      </c>
      <c r="AI63" s="57" cm="1">
        <f t="array" ref="AI63">SUMPRODUCT(
  IF($B63:$K63&lt;&gt;"",
     INDEX('Eurostat EB products IEA'!$A$4:$BN$135,
           MATCH($B63:$K63, 'Eurostat EB products IEA'!$A$4:$A$135, 0),
           MATCH(AI$1, 'Eurostat EB products IEA'!$A$4:$BN$4, 0)
     )
     * $L63:$U63,
     0
  )
)</f>
        <v>0</v>
      </c>
      <c r="AJ63" s="57" cm="1">
        <f t="array" ref="AJ63">SUMPRODUCT(
  IF($B63:$K63&lt;&gt;"",
     INDEX('Eurostat EB products IEA'!$A$4:$BN$135,
           MATCH($B63:$K63, 'Eurostat EB products IEA'!$A$4:$A$135, 0),
           MATCH(AJ$1, 'Eurostat EB products IEA'!$A$4:$BN$4, 0)
     )
     * $L63:$U63,
     0
  )
)</f>
        <v>0</v>
      </c>
      <c r="AK63" s="57" cm="1">
        <f t="array" ref="AK63">SUMPRODUCT(
  IF($B63:$K63&lt;&gt;"",
     INDEX('Eurostat EB products IEA'!$A$4:$BN$135,
           MATCH($B63:$K63, 'Eurostat EB products IEA'!$A$4:$A$135, 0),
           MATCH(AK$1, 'Eurostat EB products IEA'!$A$4:$BN$4, 0)
     )
     * $L63:$U63,
     0
  )
)</f>
        <v>0</v>
      </c>
      <c r="AL63" s="57" cm="1">
        <f t="array" ref="AL63">SUMPRODUCT(
  IF($B63:$K63&lt;&gt;"",
     INDEX('Eurostat EB products IEA'!$A$4:$BN$135,
           MATCH($B63:$K63, 'Eurostat EB products IEA'!$A$4:$A$135, 0),
           MATCH(AL$1, 'Eurostat EB products IEA'!$A$4:$BN$4, 0)
     )
     * $L63:$U63,
     0
  )
)</f>
        <v>0</v>
      </c>
      <c r="AM63" s="57" cm="1">
        <f t="array" ref="AM63">SUMPRODUCT(
  IF($B63:$K63&lt;&gt;"",
     INDEX('Eurostat EB products IEA'!$A$4:$BN$135,
           MATCH($B63:$K63, 'Eurostat EB products IEA'!$A$4:$A$135, 0),
           MATCH(AM$1, 'Eurostat EB products IEA'!$A$4:$BN$4, 0)
     )
     * $L63:$U63,
     0
  )
)</f>
        <v>9934.5470000000005</v>
      </c>
      <c r="AN63" s="65" t="s">
        <v>323</v>
      </c>
      <c r="AO63" s="57" cm="1">
        <f t="array" ref="AO63">SUMPRODUCT(
  IF($B63:$K63&lt;&gt;"",
     INDEX('Eurostat EB products IEA'!$A$4:$BN$135,
           MATCH($B63:$K63, 'Eurostat EB products IEA'!$A$4:$A$135, 0),
           MATCH(AO$1, 'Eurostat EB products IEA'!$A$4:$BN$4, 0)
     )
     * $L63:$U63,
     0
  )
)</f>
        <v>0</v>
      </c>
      <c r="AP63" s="57" cm="1">
        <f t="array" ref="AP63">SUMPRODUCT(
  IF($B63:$K63&lt;&gt;"",
     INDEX('Eurostat EB products IEA'!$A$4:$BN$135,
           MATCH($B63:$K63, 'Eurostat EB products IEA'!$A$4:$A$135, 0),
           MATCH(AP$1, 'Eurostat EB products IEA'!$A$4:$BN$4, 0)
     )
     * $L63:$U63,
     0
  )
)</f>
        <v>0</v>
      </c>
      <c r="AQ63" s="57" cm="1">
        <f t="array" ref="AQ63">SUMPRODUCT(
  IF($B63:$K63&lt;&gt;"",
     INDEX('Eurostat EB products IEA'!$A$4:$BN$135,
           MATCH($B63:$K63, 'Eurostat EB products IEA'!$A$4:$A$135, 0),
           MATCH(AQ$1, 'Eurostat EB products IEA'!$A$4:$BN$4, 0)
     )
     * $L63:$U63,
     0
  )
)</f>
        <v>0</v>
      </c>
      <c r="AR63" s="57" cm="1">
        <f t="array" ref="AR63">SUMPRODUCT(
  IF($B63:$K63&lt;&gt;"",
     INDEX('Eurostat EB products IEA'!$A$4:$BN$135,
           MATCH($B63:$K63, 'Eurostat EB products IEA'!$A$4:$A$135, 0),
           MATCH(AR$1, 'Eurostat EB products IEA'!$A$4:$BN$4, 0)
     )
     * $L63:$U63,
     0
  )
)</f>
        <v>0</v>
      </c>
      <c r="AS63" s="57" cm="1">
        <f t="array" ref="AS63">SUMPRODUCT(
  IF($B63:$K63&lt;&gt;"",
     INDEX('Eurostat EB products IEA'!$A$4:$BN$135,
           MATCH($B63:$K63, 'Eurostat EB products IEA'!$A$4:$A$135, 0),
           MATCH(AS$1, 'Eurostat EB products IEA'!$A$4:$BN$4, 0)
     )
     * $L63:$U63,
     0
  )
)</f>
        <v>0</v>
      </c>
      <c r="AT63" s="57" cm="1">
        <f t="array" ref="AT63">SUMPRODUCT(
  IF($B63:$K63&lt;&gt;"",
     INDEX('Eurostat EB products IEA'!$A$4:$BN$135,
           MATCH($B63:$K63, 'Eurostat EB products IEA'!$A$4:$A$135, 0),
           MATCH(AT$1, 'Eurostat EB products IEA'!$A$4:$BN$4, 0)
     )
     * $L63:$U63,
     0
  )
)</f>
        <v>0</v>
      </c>
      <c r="AU63" s="57" cm="1">
        <f t="array" ref="AU63">SUMPRODUCT(
  IF($B63:$K63&lt;&gt;"",
     INDEX('Eurostat EB products IEA'!$A$4:$BN$135,
           MATCH($B63:$K63, 'Eurostat EB products IEA'!$A$4:$A$135, 0),
           MATCH(AU$1, 'Eurostat EB products IEA'!$A$4:$BN$4, 0)
     )
     * $L63:$U63,
     0
  )
)</f>
        <v>0</v>
      </c>
      <c r="AV63" s="57" cm="1">
        <f t="array" ref="AV63">SUMPRODUCT(
  IF($B63:$K63&lt;&gt;"",
     INDEX('Eurostat EB products IEA'!$A$4:$BN$135,
           MATCH($B63:$K63, 'Eurostat EB products IEA'!$A$4:$A$135, 0),
           MATCH(AV$1, 'Eurostat EB products IEA'!$A$4:$BN$4, 0)
     )
     * $L63:$U63,
     0
  )
)</f>
        <v>43.656999999999996</v>
      </c>
      <c r="AW63" s="57" cm="1">
        <f t="array" ref="AW63">SUMPRODUCT(
  IF($B63:$K63&lt;&gt;"",
     INDEX('Eurostat EB products IEA'!$A$4:$BN$135,
           MATCH($B63:$K63, 'Eurostat EB products IEA'!$A$4:$A$135, 0),
           MATCH(AW$1, 'Eurostat EB products IEA'!$A$4:$BN$4, 0)
     )
     * $L63:$U63,
     0
  )
)</f>
        <v>0</v>
      </c>
      <c r="AX63" s="57" cm="1">
        <f t="array" ref="AX63">SUMPRODUCT(
  IF($B63:$K63&lt;&gt;"",
     INDEX('Eurostat EB products IEA'!$A$4:$BN$135,
           MATCH($B63:$K63, 'Eurostat EB products IEA'!$A$4:$A$135, 0),
           MATCH(AX$1, 'Eurostat EB products IEA'!$A$4:$BN$4, 0)
     )
     * $L63:$U63,
     0
  )
)</f>
        <v>0</v>
      </c>
      <c r="AY63" s="57" cm="1">
        <f t="array" ref="AY63">SUMPRODUCT(
  IF($B63:$K63&lt;&gt;"",
     INDEX('Eurostat EB products IEA'!$A$4:$BN$135,
           MATCH($B63:$K63, 'Eurostat EB products IEA'!$A$4:$A$135, 0),
           MATCH(AY$1, 'Eurostat EB products IEA'!$A$4:$BN$4, 0)
     )
     * $L63:$U63,
     0
  )
)</f>
        <v>0</v>
      </c>
      <c r="AZ63" s="57" cm="1">
        <f t="array" ref="AZ63">SUMPRODUCT(
  IF($B63:$K63&lt;&gt;"",
     INDEX('Eurostat EB products IEA'!$A$4:$BN$135,
           MATCH($B63:$K63, 'Eurostat EB products IEA'!$A$4:$A$135, 0),
           MATCH(AZ$1, 'Eurostat EB products IEA'!$A$4:$BN$4, 0)
     )
     * $L63:$U63,
     0
  )
)</f>
        <v>0</v>
      </c>
      <c r="BA63" s="57" cm="1">
        <f t="array" ref="BA63">SUMPRODUCT(
  IF($B63:$K63&lt;&gt;"",
     INDEX('Eurostat EB products IEA'!$A$4:$BN$135,
           MATCH($B63:$K63, 'Eurostat EB products IEA'!$A$4:$A$135, 0),
           MATCH(BA$1, 'Eurostat EB products IEA'!$A$4:$BN$4, 0)
     )
     * $L63:$U63,
     0
  )
)</f>
        <v>0</v>
      </c>
      <c r="BB63" s="57" cm="1">
        <f t="array" ref="BB63">SUMPRODUCT(
  IF($B63:$K63&lt;&gt;"",
     INDEX('Eurostat EB products IEA'!$A$4:$BN$135,
           MATCH($B63:$K63, 'Eurostat EB products IEA'!$A$4:$A$135, 0),
           MATCH(BB$1, 'Eurostat EB products IEA'!$A$4:$BN$4, 0)
     )
     * $L63:$U63,
     0
  )
)</f>
        <v>6.7729999999999997</v>
      </c>
      <c r="BC63" s="57" cm="1">
        <f t="array" ref="BC63">SUMPRODUCT(
  IF($B63:$K63&lt;&gt;"",
     INDEX('Eurostat EB products IEA'!$A$4:$BN$135,
           MATCH($B63:$K63, 'Eurostat EB products IEA'!$A$4:$A$135, 0),
           MATCH(BC$1, 'Eurostat EB products IEA'!$A$4:$BN$4, 0)
     )
     * $L63:$U63,
     0
  )
)</f>
        <v>0</v>
      </c>
      <c r="BD63" s="57" cm="1">
        <f t="array" ref="BD63">SUMPRODUCT(
  IF($B63:$K63&lt;&gt;"",
     INDEX('Eurostat EB products IEA'!$A$4:$BN$135,
           MATCH($B63:$K63, 'Eurostat EB products IEA'!$A$4:$A$135, 0),
           MATCH(BD$1, 'Eurostat EB products IEA'!$A$4:$BN$4, 0)
     )
     * $L63:$U63,
     0
  )
)</f>
        <v>0</v>
      </c>
      <c r="BE63" s="57" cm="1">
        <f t="array" ref="BE63">SUMPRODUCT(
  IF($B63:$K63&lt;&gt;"",
     INDEX('Eurostat EB products IEA'!$A$4:$BN$135,
           MATCH($B63:$K63, 'Eurostat EB products IEA'!$A$4:$A$135, 0),
           MATCH(BE$1, 'Eurostat EB products IEA'!$A$4:$BN$4, 0)
     )
     * $L63:$U63,
     0
  )
)</f>
        <v>0</v>
      </c>
      <c r="BF63" s="57" cm="1">
        <f t="array" ref="BF63">SUMPRODUCT(
  IF($B63:$K63&lt;&gt;"",
     INDEX('Eurostat EB products IEA'!$A$4:$BN$135,
           MATCH($B63:$K63, 'Eurostat EB products IEA'!$A$4:$A$135, 0),
           MATCH(BF$1, 'Eurostat EB products IEA'!$A$4:$BN$4, 0)
     )
     * $L63:$U63,
     0
  )
)</f>
        <v>0</v>
      </c>
      <c r="BG63" s="57" cm="1">
        <f t="array" ref="BG63">SUMPRODUCT(
  IF($B63:$K63&lt;&gt;"",
     INDEX('Eurostat EB products IEA'!$A$4:$BN$135,
           MATCH($B63:$K63, 'Eurostat EB products IEA'!$A$4:$A$135, 0),
           MATCH(BG$1, 'Eurostat EB products IEA'!$A$4:$BN$4, 0)
     )
     * $L63:$U63,
     0
  )
)</f>
        <v>0</v>
      </c>
      <c r="BH63" s="57" cm="1">
        <f t="array" ref="BH63">SUMPRODUCT(
  IF($B63:$K63&lt;&gt;"",
     INDEX('Eurostat EB products IEA'!$A$4:$BN$135,
           MATCH($B63:$K63, 'Eurostat EB products IEA'!$A$4:$A$135, 0),
           MATCH(BH$1, 'Eurostat EB products IEA'!$A$4:$BN$4, 0)
     )
     * $L63:$U63,
     0
  )
)</f>
        <v>0</v>
      </c>
      <c r="BI63" s="57" cm="1">
        <f t="array" ref="BI63">SUMPRODUCT(
  IF($B63:$K63&lt;&gt;"",
     INDEX('Eurostat EB products IEA'!$A$4:$BN$135,
           MATCH($B63:$K63, 'Eurostat EB products IEA'!$A$4:$A$135, 0),
           MATCH(BI$1, 'Eurostat EB products IEA'!$A$4:$BN$4, 0)
     )
     * $L63:$U63,
     0
  )
)</f>
        <v>0</v>
      </c>
      <c r="BJ63" s="57" cm="1">
        <f t="array" ref="BJ63">SUMPRODUCT(
  IF($B63:$K63&lt;&gt;"",
     INDEX('Eurostat EB products IEA'!$A$4:$BN$135,
           MATCH($B63:$K63, 'Eurostat EB products IEA'!$A$4:$A$135, 0),
           MATCH(BJ$1, 'Eurostat EB products IEA'!$A$4:$BN$4, 0)
     )
     * $L63:$U63,
     0
  )
)</f>
        <v>0.11899999999999999</v>
      </c>
      <c r="BK63" s="57" cm="1">
        <f t="array" ref="BK63">SUMPRODUCT(
  IF($B63:$K63&lt;&gt;"",
     INDEX('Eurostat EB products IEA'!$A$4:$BN$135,
           MATCH($B63:$K63, 'Eurostat EB products IEA'!$A$4:$A$135, 0),
           MATCH(BK$1, 'Eurostat EB products IEA'!$A$4:$BN$4, 0)
     )
     * $L63:$U63,
     0
  )
)</f>
        <v>186.16900000000001</v>
      </c>
      <c r="BL63" s="57" cm="1">
        <f t="array" ref="BL63">SUMPRODUCT(
  IF($B63:$K63&lt;&gt;"",
     INDEX('Eurostat EB products IEA'!$A$4:$BN$135,
           MATCH($B63:$K63, 'Eurostat EB products IEA'!$A$4:$A$135, 0),
           MATCH(BL$1, 'Eurostat EB products IEA'!$A$4:$BN$4, 0)
     )
     * $L63:$U63,
     0
  )
)</f>
        <v>0</v>
      </c>
      <c r="BM63" s="57" cm="1">
        <f t="array" ref="BM63">SUMPRODUCT(
  IF($B63:$K63&lt;&gt;"",
     INDEX('Eurostat EB products IEA'!$A$4:$BN$135,
           MATCH($B63:$K63, 'Eurostat EB products IEA'!$A$4:$A$135, 0),
           MATCH(BM$1, 'Eurostat EB products IEA'!$A$4:$BN$4, 0)
     )
     * $L63:$U63,
     0
  )
)</f>
        <v>0</v>
      </c>
      <c r="BN63" s="57" cm="1">
        <f t="array" ref="BN63">SUMPRODUCT(
  IF($B63:$K63&lt;&gt;"",
     INDEX('Eurostat EB products IEA'!$A$4:$BN$135,
           MATCH($B63:$K63, 'Eurostat EB products IEA'!$A$4:$A$135, 0),
           MATCH(BN$1, 'Eurostat EB products IEA'!$A$4:$BN$4, 0)
     )
     * $L63:$U63,
     0
  )
)</f>
        <v>0</v>
      </c>
      <c r="BO63" s="57" cm="1">
        <f t="array" ref="BO63">SUMPRODUCT(
  IF($B63:$K63&lt;&gt;"",
     INDEX('Eurostat EB products IEA'!$A$4:$BN$135,
           MATCH($B63:$K63, 'Eurostat EB products IEA'!$A$4:$A$135, 0),
           MATCH(BO$1, 'Eurostat EB products IEA'!$A$4:$BN$4, 0)
     )
     * $L63:$U63,
     0
  )
)</f>
        <v>392.61700000000002</v>
      </c>
      <c r="BP63" s="57" cm="1">
        <f t="array" ref="BP63">SUMPRODUCT(
  IF($B63:$K63&lt;&gt;"",
     INDEX('Eurostat EB products IEA'!$A$4:$BN$135,
           MATCH($B63:$K63, 'Eurostat EB products IEA'!$A$4:$A$135, 0),
           MATCH(BP$1, 'Eurostat EB products IEA'!$A$4:$BN$4, 0)
     )
     * $L63:$U63,
     0
  )
)</f>
        <v>0</v>
      </c>
      <c r="BQ63" s="57" cm="1">
        <f t="array" ref="BQ63">SUMPRODUCT(
  IF($B63:$K63&lt;&gt;"",
     INDEX('Eurostat EB products IEA'!$A$4:$BN$135,
           MATCH($B63:$K63, 'Eurostat EB products IEA'!$A$4:$A$135, 0),
           MATCH(BQ$1, 'Eurostat EB products IEA'!$A$4:$BN$4, 0)
     )
     * $L63:$U63,
     0
  )
)</f>
        <v>0</v>
      </c>
      <c r="BR63" s="57" cm="1">
        <f t="array" ref="BR63">SUMPRODUCT(
  IF($B63:$K63&lt;&gt;"",
     INDEX('Eurostat EB products IEA'!$A$4:$BN$135,
           MATCH($B63:$K63, 'Eurostat EB products IEA'!$A$4:$A$135, 0),
           MATCH(BR$1, 'Eurostat EB products IEA'!$A$4:$BN$4, 0)
     )
     * $L63:$U63,
     0
  )
)</f>
        <v>0</v>
      </c>
      <c r="BS63" s="65">
        <v>0</v>
      </c>
      <c r="BT63" s="57" cm="1">
        <f t="array" ref="BT63">SUMPRODUCT(
  IF($B63:$K63&lt;&gt;"",
     INDEX('Eurostat EB products IEA'!$A$4:$BN$135,
           MATCH($B63:$K63, 'Eurostat EB products IEA'!$A$4:$A$135, 0),
           MATCH(BT$1, 'Eurostat EB products IEA'!$A$4:$BN$4, 0)
     )
     * $L63:$U63,
     0
  )
)</f>
        <v>0</v>
      </c>
      <c r="BU63" s="65">
        <v>0</v>
      </c>
      <c r="BV63" s="65">
        <v>0</v>
      </c>
      <c r="BW63" s="57" cm="1">
        <f t="array" ref="BW63">SUMPRODUCT(
  IF($B63:$K63&lt;&gt;"",
     INDEX('Eurostat EB products IEA'!$A$4:$BN$135,
           MATCH($B63:$K63, 'Eurostat EB products IEA'!$A$4:$A$135, 0),
           MATCH(BW$1, 'Eurostat EB products IEA'!$A$4:$BN$4, 0)
     )
     * $L63:$U63,
     0
  )
)</f>
        <v>0</v>
      </c>
      <c r="BX63" s="57" cm="1">
        <f t="array" ref="BX63">SUMPRODUCT(
  IF($B63:$K63&lt;&gt;"",
     INDEX('Eurostat EB products IEA'!$A$4:$BN$135,
           MATCH($B63:$K63, 'Eurostat EB products IEA'!$A$4:$A$135, 0),
           MATCH(BX$1, 'Eurostat EB products IEA'!$A$4:$BN$4, 0)
     )
     * $L63:$U63,
     0
  )
)</f>
        <v>0</v>
      </c>
      <c r="BY63" s="57" cm="1">
        <f t="array" ref="BY63">SUMPRODUCT(
  IF($B63:$K63&lt;&gt;"",
     INDEX('Eurostat EB products IEA'!$A$4:$BN$135,
           MATCH($B63:$K63, 'Eurostat EB products IEA'!$A$4:$A$135, 0),
           MATCH(BY$1, 'Eurostat EB products IEA'!$A$4:$BN$4, 0)
     )
     * $L63:$U63,
     0
  )
)</f>
        <v>0</v>
      </c>
      <c r="BZ63" s="57" cm="1">
        <f t="array" ref="BZ63">SUMPRODUCT(
  IF($B63:$K63&lt;&gt;"",
     INDEX('Eurostat EB products IEA'!$A$4:$BN$135,
           MATCH($B63:$K63, 'Eurostat EB products IEA'!$A$4:$A$135, 0),
           MATCH(BZ$1, 'Eurostat EB products IEA'!$A$4:$BN$4, 0)
     )
     * $L63:$U63,
     0
  )
)</f>
        <v>0</v>
      </c>
      <c r="CA63" s="57" cm="1">
        <f t="array" ref="CA63">SUMPRODUCT(
  IF($B63:$K63&lt;&gt;"",
     INDEX('Eurostat EB products IEA'!$A$4:$BN$135,
           MATCH($B63:$K63, 'Eurostat EB products IEA'!$A$4:$A$135, 0),
           MATCH(CA$1, 'Eurostat EB products IEA'!$A$4:$BN$4, 0)
     )
     * $L63:$U63,
     0
  )
)</f>
        <v>0</v>
      </c>
      <c r="CB63" s="57" cm="1">
        <f t="array" ref="CB63">SUMPRODUCT(
  IF($B63:$K63&lt;&gt;"",
     INDEX('Eurostat EB products IEA'!$A$4:$BN$135,
           MATCH($B63:$K63, 'Eurostat EB products IEA'!$A$4:$A$135, 0),
           MATCH(CB$1, 'Eurostat EB products IEA'!$A$4:$BN$4, 0)
     )
     * $L63:$U63,
     0
  )
)</f>
        <v>0</v>
      </c>
      <c r="CC63" s="57" cm="1">
        <f t="array" ref="CC63">SUMPRODUCT(
  IF($B63:$K63&lt;&gt;"",
     INDEX('Eurostat EB products IEA'!$A$4:$BN$135,
           MATCH($B63:$K63, 'Eurostat EB products IEA'!$A$4:$A$135, 0),
           MATCH(CC$1, 'Eurostat EB products IEA'!$A$4:$BN$4, 0)
     )
     * $L63:$U63,
     0
  )
)</f>
        <v>0</v>
      </c>
      <c r="CD63" s="65">
        <v>0</v>
      </c>
      <c r="CE63" s="57" cm="1">
        <f t="array" ref="CE63">SUMPRODUCT(
  IF($B63:$K63&lt;&gt;"",
     INDEX('Eurostat EB products IEA'!$A$4:$BN$135,
           MATCH($B63:$K63, 'Eurostat EB products IEA'!$A$4:$A$135, 0),
           MATCH(CE$1, 'Eurostat EB products IEA'!$A$4:$BN$4, 0)
     )
     * $L63:$U63,
     0
  )
)</f>
        <v>5855.3059999999996</v>
      </c>
      <c r="CF63" s="57" cm="1">
        <f t="array" ref="CF63">SUMPRODUCT(
  IF($B63:$K63&lt;&gt;"",
     INDEX('Eurostat EB products IEA'!$A$4:$BN$135,
           MATCH($B63:$K63, 'Eurostat EB products IEA'!$A$4:$A$135, 0),
           MATCH(CF$1, 'Eurostat EB products IEA'!$A$4:$BN$4, 0)
     )
     * $L63:$U63,
     0
  )
)</f>
        <v>156.697</v>
      </c>
      <c r="CG63" s="57" cm="1">
        <f t="array" ref="CG63">SUMPRODUCT(
  IF($B63:$K63&lt;&gt;"",
     INDEX('Eurostat EB products IEA'!$A$4:$BN$135,
           MATCH($B63:$K63, 'Eurostat EB products IEA'!$A$4:$A$135, 0),
           MATCH(CG$1, 'Eurostat EB products IEA'!$A$4:$BN$4, 0)
     )
     * $L63:$U63,
     0
  )
)</f>
        <v>16575.885999999999</v>
      </c>
      <c r="CH63" s="57" cm="1">
        <f t="array" ref="CH63">SUMPRODUCT(
  IF($B63:$K63&lt;&gt;"",
     INDEX('Eurostat EB products IEA'!$A$4:$BN$135,
           MATCH($B63:$K63, 'Eurostat EB products IEA'!$A$4:$A$135, 0),
           MATCH(CH$1, 'Eurostat EB products IEA'!$A$4:$BN$4, 0)
     )
     * $L63:$U63,
     0
  )
)</f>
        <v>918.58500000000004</v>
      </c>
    </row>
    <row r="64" spans="1:86" x14ac:dyDescent="0.2">
      <c r="A64" t="s">
        <v>177</v>
      </c>
      <c r="B64" s="75"/>
      <c r="C64" s="77"/>
      <c r="D64" s="75"/>
      <c r="E64" s="77"/>
      <c r="F64" s="75"/>
      <c r="G64" s="77"/>
      <c r="H64" s="75"/>
      <c r="I64" s="77"/>
      <c r="J64" s="74"/>
      <c r="K64" s="78" t="s">
        <v>297</v>
      </c>
      <c r="L64" s="76"/>
      <c r="M64" s="79"/>
      <c r="N64" s="76"/>
      <c r="O64" s="79"/>
      <c r="P64" s="76"/>
      <c r="Q64" s="79"/>
      <c r="R64" s="76"/>
      <c r="S64" s="79"/>
      <c r="T64" s="76"/>
      <c r="U64" s="79">
        <v>1</v>
      </c>
      <c r="V64" s="65" t="s">
        <v>323</v>
      </c>
      <c r="W64" s="65" t="s">
        <v>323</v>
      </c>
      <c r="X64" s="17" cm="1">
        <f t="array" ref="X64">SUMPRODUCT(
  IF($B64:$K64&lt;&gt;"",
     INDEX('Eurostat EB products IEA'!$A$4:$BN$135,
           MATCH($B64:$K64, 'Eurostat EB products IEA'!$A$4:$A$135, 0),
           MATCH(X$1, 'Eurostat EB products IEA'!$A$4:$BN$4, 0)
     )
     * $L64:$U64,
     0
  )
)</f>
        <v>0</v>
      </c>
      <c r="Y64" s="17" cm="1">
        <f t="array" ref="Y64">SUMPRODUCT(
  IF($B64:$K64&lt;&gt;"",
     INDEX('Eurostat EB products IEA'!$A$4:$BN$135,
           MATCH($B64:$K64, 'Eurostat EB products IEA'!$A$4:$A$135, 0),
           MATCH(Y$1, 'Eurostat EB products IEA'!$A$4:$BN$4, 0)
     )
     * $L64:$U64,
     0
  )
)</f>
        <v>0</v>
      </c>
      <c r="Z64" s="17" cm="1">
        <f t="array" ref="Z64">SUMPRODUCT(
  IF($B64:$K64&lt;&gt;"",
     INDEX('Eurostat EB products IEA'!$A$4:$BN$135,
           MATCH($B64:$K64, 'Eurostat EB products IEA'!$A$4:$A$135, 0),
           MATCH(Z$1, 'Eurostat EB products IEA'!$A$4:$BN$4, 0)
     )
     * $L64:$U64,
     0
  )
)</f>
        <v>0</v>
      </c>
      <c r="AA64" s="17" cm="1">
        <f t="array" ref="AA64">SUMPRODUCT(
  IF($B64:$K64&lt;&gt;"",
     INDEX('Eurostat EB products IEA'!$A$4:$BN$135,
           MATCH($B64:$K64, 'Eurostat EB products IEA'!$A$4:$A$135, 0),
           MATCH(AA$1, 'Eurostat EB products IEA'!$A$4:$BN$4, 0)
     )
     * $L64:$U64,
     0
  )
)</f>
        <v>0</v>
      </c>
      <c r="AB64" s="17" cm="1">
        <f t="array" ref="AB64">SUMPRODUCT(
  IF($B64:$K64&lt;&gt;"",
     INDEX('Eurostat EB products IEA'!$A$4:$BN$135,
           MATCH($B64:$K64, 'Eurostat EB products IEA'!$A$4:$A$135, 0),
           MATCH(AB$1, 'Eurostat EB products IEA'!$A$4:$BN$4, 0)
     )
     * $L64:$U64,
     0
  )
)</f>
        <v>0</v>
      </c>
      <c r="AC64" s="17" cm="1">
        <f t="array" ref="AC64">SUMPRODUCT(
  IF($B64:$K64&lt;&gt;"",
     INDEX('Eurostat EB products IEA'!$A$4:$BN$135,
           MATCH($B64:$K64, 'Eurostat EB products IEA'!$A$4:$A$135, 0),
           MATCH(AC$1, 'Eurostat EB products IEA'!$A$4:$BN$4, 0)
     )
     * $L64:$U64,
     0
  )
)</f>
        <v>0</v>
      </c>
      <c r="AD64" s="17" cm="1">
        <f t="array" ref="AD64">SUMPRODUCT(
  IF($B64:$K64&lt;&gt;"",
     INDEX('Eurostat EB products IEA'!$A$4:$BN$135,
           MATCH($B64:$K64, 'Eurostat EB products IEA'!$A$4:$A$135, 0),
           MATCH(AD$1, 'Eurostat EB products IEA'!$A$4:$BN$4, 0)
     )
     * $L64:$U64,
     0
  )
)</f>
        <v>0</v>
      </c>
      <c r="AE64" s="17" cm="1">
        <f t="array" ref="AE64">SUMPRODUCT(
  IF($B64:$K64&lt;&gt;"",
     INDEX('Eurostat EB products IEA'!$A$4:$BN$135,
           MATCH($B64:$K64, 'Eurostat EB products IEA'!$A$4:$A$135, 0),
           MATCH(AE$1, 'Eurostat EB products IEA'!$A$4:$BN$4, 0)
     )
     * $L64:$U64,
     0
  )
)</f>
        <v>0</v>
      </c>
      <c r="AF64" s="17" cm="1">
        <f t="array" ref="AF64">SUMPRODUCT(
  IF($B64:$K64&lt;&gt;"",
     INDEX('Eurostat EB products IEA'!$A$4:$BN$135,
           MATCH($B64:$K64, 'Eurostat EB products IEA'!$A$4:$A$135, 0),
           MATCH(AF$1, 'Eurostat EB products IEA'!$A$4:$BN$4, 0)
     )
     * $L64:$U64,
     0
  )
)</f>
        <v>0</v>
      </c>
      <c r="AG64" s="17" cm="1">
        <f t="array" ref="AG64">SUMPRODUCT(
  IF($B64:$K64&lt;&gt;"",
     INDEX('Eurostat EB products IEA'!$A$4:$BN$135,
           MATCH($B64:$K64, 'Eurostat EB products IEA'!$A$4:$A$135, 0),
           MATCH(AG$1, 'Eurostat EB products IEA'!$A$4:$BN$4, 0)
     )
     * $L64:$U64,
     0
  )
)</f>
        <v>0</v>
      </c>
      <c r="AH64" s="17" cm="1">
        <f t="array" ref="AH64">SUMPRODUCT(
  IF($B64:$K64&lt;&gt;"",
     INDEX('Eurostat EB products IEA'!$A$4:$BN$135,
           MATCH($B64:$K64, 'Eurostat EB products IEA'!$A$4:$A$135, 0),
           MATCH(AH$1, 'Eurostat EB products IEA'!$A$4:$BN$4, 0)
     )
     * $L64:$U64,
     0
  )
)</f>
        <v>0</v>
      </c>
      <c r="AI64" s="17" cm="1">
        <f t="array" ref="AI64">SUMPRODUCT(
  IF($B64:$K64&lt;&gt;"",
     INDEX('Eurostat EB products IEA'!$A$4:$BN$135,
           MATCH($B64:$K64, 'Eurostat EB products IEA'!$A$4:$A$135, 0),
           MATCH(AI$1, 'Eurostat EB products IEA'!$A$4:$BN$4, 0)
     )
     * $L64:$U64,
     0
  )
)</f>
        <v>0</v>
      </c>
      <c r="AJ64" s="17" cm="1">
        <f t="array" ref="AJ64">SUMPRODUCT(
  IF($B64:$K64&lt;&gt;"",
     INDEX('Eurostat EB products IEA'!$A$4:$BN$135,
           MATCH($B64:$K64, 'Eurostat EB products IEA'!$A$4:$A$135, 0),
           MATCH(AJ$1, 'Eurostat EB products IEA'!$A$4:$BN$4, 0)
     )
     * $L64:$U64,
     0
  )
)</f>
        <v>0</v>
      </c>
      <c r="AK64" s="17" cm="1">
        <f t="array" ref="AK64">SUMPRODUCT(
  IF($B64:$K64&lt;&gt;"",
     INDEX('Eurostat EB products IEA'!$A$4:$BN$135,
           MATCH($B64:$K64, 'Eurostat EB products IEA'!$A$4:$A$135, 0),
           MATCH(AK$1, 'Eurostat EB products IEA'!$A$4:$BN$4, 0)
     )
     * $L64:$U64,
     0
  )
)</f>
        <v>0</v>
      </c>
      <c r="AL64" s="17" cm="1">
        <f t="array" ref="AL64">SUMPRODUCT(
  IF($B64:$K64&lt;&gt;"",
     INDEX('Eurostat EB products IEA'!$A$4:$BN$135,
           MATCH($B64:$K64, 'Eurostat EB products IEA'!$A$4:$A$135, 0),
           MATCH(AL$1, 'Eurostat EB products IEA'!$A$4:$BN$4, 0)
     )
     * $L64:$U64,
     0
  )
)</f>
        <v>0</v>
      </c>
      <c r="AM64" s="17" cm="1">
        <f t="array" ref="AM64">SUMPRODUCT(
  IF($B64:$K64&lt;&gt;"",
     INDEX('Eurostat EB products IEA'!$A$4:$BN$135,
           MATCH($B64:$K64, 'Eurostat EB products IEA'!$A$4:$A$135, 0),
           MATCH(AM$1, 'Eurostat EB products IEA'!$A$4:$BN$4, 0)
     )
     * $L64:$U64,
     0
  )
)</f>
        <v>687.13499999999999</v>
      </c>
      <c r="AN64" s="65" t="s">
        <v>323</v>
      </c>
      <c r="AO64" s="17" cm="1">
        <f t="array" ref="AO64">SUMPRODUCT(
  IF($B64:$K64&lt;&gt;"",
     INDEX('Eurostat EB products IEA'!$A$4:$BN$135,
           MATCH($B64:$K64, 'Eurostat EB products IEA'!$A$4:$A$135, 0),
           MATCH(AO$1, 'Eurostat EB products IEA'!$A$4:$BN$4, 0)
     )
     * $L64:$U64,
     0
  )
)</f>
        <v>0</v>
      </c>
      <c r="AP64" s="17" cm="1">
        <f t="array" ref="AP64">SUMPRODUCT(
  IF($B64:$K64&lt;&gt;"",
     INDEX('Eurostat EB products IEA'!$A$4:$BN$135,
           MATCH($B64:$K64, 'Eurostat EB products IEA'!$A$4:$A$135, 0),
           MATCH(AP$1, 'Eurostat EB products IEA'!$A$4:$BN$4, 0)
     )
     * $L64:$U64,
     0
  )
)</f>
        <v>0</v>
      </c>
      <c r="AQ64" s="17" cm="1">
        <f t="array" ref="AQ64">SUMPRODUCT(
  IF($B64:$K64&lt;&gt;"",
     INDEX('Eurostat EB products IEA'!$A$4:$BN$135,
           MATCH($B64:$K64, 'Eurostat EB products IEA'!$A$4:$A$135, 0),
           MATCH(AQ$1, 'Eurostat EB products IEA'!$A$4:$BN$4, 0)
     )
     * $L64:$U64,
     0
  )
)</f>
        <v>0</v>
      </c>
      <c r="AR64" s="17" cm="1">
        <f t="array" ref="AR64">SUMPRODUCT(
  IF($B64:$K64&lt;&gt;"",
     INDEX('Eurostat EB products IEA'!$A$4:$BN$135,
           MATCH($B64:$K64, 'Eurostat EB products IEA'!$A$4:$A$135, 0),
           MATCH(AR$1, 'Eurostat EB products IEA'!$A$4:$BN$4, 0)
     )
     * $L64:$U64,
     0
  )
)</f>
        <v>0</v>
      </c>
      <c r="AS64" s="17" cm="1">
        <f t="array" ref="AS64">SUMPRODUCT(
  IF($B64:$K64&lt;&gt;"",
     INDEX('Eurostat EB products IEA'!$A$4:$BN$135,
           MATCH($B64:$K64, 'Eurostat EB products IEA'!$A$4:$A$135, 0),
           MATCH(AS$1, 'Eurostat EB products IEA'!$A$4:$BN$4, 0)
     )
     * $L64:$U64,
     0
  )
)</f>
        <v>0</v>
      </c>
      <c r="AT64" s="17" cm="1">
        <f t="array" ref="AT64">SUMPRODUCT(
  IF($B64:$K64&lt;&gt;"",
     INDEX('Eurostat EB products IEA'!$A$4:$BN$135,
           MATCH($B64:$K64, 'Eurostat EB products IEA'!$A$4:$A$135, 0),
           MATCH(AT$1, 'Eurostat EB products IEA'!$A$4:$BN$4, 0)
     )
     * $L64:$U64,
     0
  )
)</f>
        <v>0</v>
      </c>
      <c r="AU64" s="17" cm="1">
        <f t="array" ref="AU64">SUMPRODUCT(
  IF($B64:$K64&lt;&gt;"",
     INDEX('Eurostat EB products IEA'!$A$4:$BN$135,
           MATCH($B64:$K64, 'Eurostat EB products IEA'!$A$4:$A$135, 0),
           MATCH(AU$1, 'Eurostat EB products IEA'!$A$4:$BN$4, 0)
     )
     * $L64:$U64,
     0
  )
)</f>
        <v>0</v>
      </c>
      <c r="AV64" s="17" cm="1">
        <f t="array" ref="AV64">SUMPRODUCT(
  IF($B64:$K64&lt;&gt;"",
     INDEX('Eurostat EB products IEA'!$A$4:$BN$135,
           MATCH($B64:$K64, 'Eurostat EB products IEA'!$A$4:$A$135, 0),
           MATCH(AV$1, 'Eurostat EB products IEA'!$A$4:$BN$4, 0)
     )
     * $L64:$U64,
     0
  )
)</f>
        <v>2.169</v>
      </c>
      <c r="AW64" s="17" cm="1">
        <f t="array" ref="AW64">SUMPRODUCT(
  IF($B64:$K64&lt;&gt;"",
     INDEX('Eurostat EB products IEA'!$A$4:$BN$135,
           MATCH($B64:$K64, 'Eurostat EB products IEA'!$A$4:$A$135, 0),
           MATCH(AW$1, 'Eurostat EB products IEA'!$A$4:$BN$4, 0)
     )
     * $L64:$U64,
     0
  )
)</f>
        <v>0</v>
      </c>
      <c r="AX64" s="17" cm="1">
        <f t="array" ref="AX64">SUMPRODUCT(
  IF($B64:$K64&lt;&gt;"",
     INDEX('Eurostat EB products IEA'!$A$4:$BN$135,
           MATCH($B64:$K64, 'Eurostat EB products IEA'!$A$4:$A$135, 0),
           MATCH(AX$1, 'Eurostat EB products IEA'!$A$4:$BN$4, 0)
     )
     * $L64:$U64,
     0
  )
)</f>
        <v>0</v>
      </c>
      <c r="AY64" s="17" cm="1">
        <f t="array" ref="AY64">SUMPRODUCT(
  IF($B64:$K64&lt;&gt;"",
     INDEX('Eurostat EB products IEA'!$A$4:$BN$135,
           MATCH($B64:$K64, 'Eurostat EB products IEA'!$A$4:$A$135, 0),
           MATCH(AY$1, 'Eurostat EB products IEA'!$A$4:$BN$4, 0)
     )
     * $L64:$U64,
     0
  )
)</f>
        <v>0</v>
      </c>
      <c r="AZ64" s="17" cm="1">
        <f t="array" ref="AZ64">SUMPRODUCT(
  IF($B64:$K64&lt;&gt;"",
     INDEX('Eurostat EB products IEA'!$A$4:$BN$135,
           MATCH($B64:$K64, 'Eurostat EB products IEA'!$A$4:$A$135, 0),
           MATCH(AZ$1, 'Eurostat EB products IEA'!$A$4:$BN$4, 0)
     )
     * $L64:$U64,
     0
  )
)</f>
        <v>0</v>
      </c>
      <c r="BA64" s="17" cm="1">
        <f t="array" ref="BA64">SUMPRODUCT(
  IF($B64:$K64&lt;&gt;"",
     INDEX('Eurostat EB products IEA'!$A$4:$BN$135,
           MATCH($B64:$K64, 'Eurostat EB products IEA'!$A$4:$A$135, 0),
           MATCH(BA$1, 'Eurostat EB products IEA'!$A$4:$BN$4, 0)
     )
     * $L64:$U64,
     0
  )
)</f>
        <v>0</v>
      </c>
      <c r="BB64" s="17" cm="1">
        <f t="array" ref="BB64">SUMPRODUCT(
  IF($B64:$K64&lt;&gt;"",
     INDEX('Eurostat EB products IEA'!$A$4:$BN$135,
           MATCH($B64:$K64, 'Eurostat EB products IEA'!$A$4:$A$135, 0),
           MATCH(BB$1, 'Eurostat EB products IEA'!$A$4:$BN$4, 0)
     )
     * $L64:$U64,
     0
  )
)</f>
        <v>24.202000000000002</v>
      </c>
      <c r="BC64" s="17" cm="1">
        <f t="array" ref="BC64">SUMPRODUCT(
  IF($B64:$K64&lt;&gt;"",
     INDEX('Eurostat EB products IEA'!$A$4:$BN$135,
           MATCH($B64:$K64, 'Eurostat EB products IEA'!$A$4:$A$135, 0),
           MATCH(BC$1, 'Eurostat EB products IEA'!$A$4:$BN$4, 0)
     )
     * $L64:$U64,
     0
  )
)</f>
        <v>0</v>
      </c>
      <c r="BD64" s="17" cm="1">
        <f t="array" ref="BD64">SUMPRODUCT(
  IF($B64:$K64&lt;&gt;"",
     INDEX('Eurostat EB products IEA'!$A$4:$BN$135,
           MATCH($B64:$K64, 'Eurostat EB products IEA'!$A$4:$A$135, 0),
           MATCH(BD$1, 'Eurostat EB products IEA'!$A$4:$BN$4, 0)
     )
     * $L64:$U64,
     0
  )
)</f>
        <v>0</v>
      </c>
      <c r="BE64" s="17" cm="1">
        <f t="array" ref="BE64">SUMPRODUCT(
  IF($B64:$K64&lt;&gt;"",
     INDEX('Eurostat EB products IEA'!$A$4:$BN$135,
           MATCH($B64:$K64, 'Eurostat EB products IEA'!$A$4:$A$135, 0),
           MATCH(BE$1, 'Eurostat EB products IEA'!$A$4:$BN$4, 0)
     )
     * $L64:$U64,
     0
  )
)</f>
        <v>0</v>
      </c>
      <c r="BF64" s="17" cm="1">
        <f t="array" ref="BF64">SUMPRODUCT(
  IF($B64:$K64&lt;&gt;"",
     INDEX('Eurostat EB products IEA'!$A$4:$BN$135,
           MATCH($B64:$K64, 'Eurostat EB products IEA'!$A$4:$A$135, 0),
           MATCH(BF$1, 'Eurostat EB products IEA'!$A$4:$BN$4, 0)
     )
     * $L64:$U64,
     0
  )
)</f>
        <v>0</v>
      </c>
      <c r="BG64" s="17" cm="1">
        <f t="array" ref="BG64">SUMPRODUCT(
  IF($B64:$K64&lt;&gt;"",
     INDEX('Eurostat EB products IEA'!$A$4:$BN$135,
           MATCH($B64:$K64, 'Eurostat EB products IEA'!$A$4:$A$135, 0),
           MATCH(BG$1, 'Eurostat EB products IEA'!$A$4:$BN$4, 0)
     )
     * $L64:$U64,
     0
  )
)</f>
        <v>0</v>
      </c>
      <c r="BH64" s="17" cm="1">
        <f t="array" ref="BH64">SUMPRODUCT(
  IF($B64:$K64&lt;&gt;"",
     INDEX('Eurostat EB products IEA'!$A$4:$BN$135,
           MATCH($B64:$K64, 'Eurostat EB products IEA'!$A$4:$A$135, 0),
           MATCH(BH$1, 'Eurostat EB products IEA'!$A$4:$BN$4, 0)
     )
     * $L64:$U64,
     0
  )
)</f>
        <v>0</v>
      </c>
      <c r="BI64" s="17" cm="1">
        <f t="array" ref="BI64">SUMPRODUCT(
  IF($B64:$K64&lt;&gt;"",
     INDEX('Eurostat EB products IEA'!$A$4:$BN$135,
           MATCH($B64:$K64, 'Eurostat EB products IEA'!$A$4:$A$135, 0),
           MATCH(BI$1, 'Eurostat EB products IEA'!$A$4:$BN$4, 0)
     )
     * $L64:$U64,
     0
  )
)</f>
        <v>0</v>
      </c>
      <c r="BJ64" s="17" cm="1">
        <f t="array" ref="BJ64">SUMPRODUCT(
  IF($B64:$K64&lt;&gt;"",
     INDEX('Eurostat EB products IEA'!$A$4:$BN$135,
           MATCH($B64:$K64, 'Eurostat EB products IEA'!$A$4:$A$135, 0),
           MATCH(BJ$1, 'Eurostat EB products IEA'!$A$4:$BN$4, 0)
     )
     * $L64:$U64,
     0
  )
)</f>
        <v>0</v>
      </c>
      <c r="BK64" s="17" cm="1">
        <f t="array" ref="BK64">SUMPRODUCT(
  IF($B64:$K64&lt;&gt;"",
     INDEX('Eurostat EB products IEA'!$A$4:$BN$135,
           MATCH($B64:$K64, 'Eurostat EB products IEA'!$A$4:$A$135, 0),
           MATCH(BK$1, 'Eurostat EB products IEA'!$A$4:$BN$4, 0)
     )
     * $L64:$U64,
     0
  )
)</f>
        <v>0</v>
      </c>
      <c r="BL64" s="17" cm="1">
        <f t="array" ref="BL64">SUMPRODUCT(
  IF($B64:$K64&lt;&gt;"",
     INDEX('Eurostat EB products IEA'!$A$4:$BN$135,
           MATCH($B64:$K64, 'Eurostat EB products IEA'!$A$4:$A$135, 0),
           MATCH(BL$1, 'Eurostat EB products IEA'!$A$4:$BN$4, 0)
     )
     * $L64:$U64,
     0
  )
)</f>
        <v>0</v>
      </c>
      <c r="BM64" s="17" cm="1">
        <f t="array" ref="BM64">SUMPRODUCT(
  IF($B64:$K64&lt;&gt;"",
     INDEX('Eurostat EB products IEA'!$A$4:$BN$135,
           MATCH($B64:$K64, 'Eurostat EB products IEA'!$A$4:$A$135, 0),
           MATCH(BM$1, 'Eurostat EB products IEA'!$A$4:$BN$4, 0)
     )
     * $L64:$U64,
     0
  )
)</f>
        <v>0</v>
      </c>
      <c r="BN64" s="17" cm="1">
        <f t="array" ref="BN64">SUMPRODUCT(
  IF($B64:$K64&lt;&gt;"",
     INDEX('Eurostat EB products IEA'!$A$4:$BN$135,
           MATCH($B64:$K64, 'Eurostat EB products IEA'!$A$4:$A$135, 0),
           MATCH(BN$1, 'Eurostat EB products IEA'!$A$4:$BN$4, 0)
     )
     * $L64:$U64,
     0
  )
)</f>
        <v>881.14800000000002</v>
      </c>
      <c r="BO64" s="17" cm="1">
        <f t="array" ref="BO64">SUMPRODUCT(
  IF($B64:$K64&lt;&gt;"",
     INDEX('Eurostat EB products IEA'!$A$4:$BN$135,
           MATCH($B64:$K64, 'Eurostat EB products IEA'!$A$4:$A$135, 0),
           MATCH(BO$1, 'Eurostat EB products IEA'!$A$4:$BN$4, 0)
     )
     * $L64:$U64,
     0
  )
)</f>
        <v>0</v>
      </c>
      <c r="BP64" s="17" cm="1">
        <f t="array" ref="BP64">SUMPRODUCT(
  IF($B64:$K64&lt;&gt;"",
     INDEX('Eurostat EB products IEA'!$A$4:$BN$135,
           MATCH($B64:$K64, 'Eurostat EB products IEA'!$A$4:$A$135, 0),
           MATCH(BP$1, 'Eurostat EB products IEA'!$A$4:$BN$4, 0)
     )
     * $L64:$U64,
     0
  )
)</f>
        <v>0</v>
      </c>
      <c r="BQ64" s="17" cm="1">
        <f t="array" ref="BQ64">SUMPRODUCT(
  IF($B64:$K64&lt;&gt;"",
     INDEX('Eurostat EB products IEA'!$A$4:$BN$135,
           MATCH($B64:$K64, 'Eurostat EB products IEA'!$A$4:$A$135, 0),
           MATCH(BQ$1, 'Eurostat EB products IEA'!$A$4:$BN$4, 0)
     )
     * $L64:$U64,
     0
  )
)</f>
        <v>0</v>
      </c>
      <c r="BR64" s="17" cm="1">
        <f t="array" ref="BR64">SUMPRODUCT(
  IF($B64:$K64&lt;&gt;"",
     INDEX('Eurostat EB products IEA'!$A$4:$BN$135,
           MATCH($B64:$K64, 'Eurostat EB products IEA'!$A$4:$A$135, 0),
           MATCH(BR$1, 'Eurostat EB products IEA'!$A$4:$BN$4, 0)
     )
     * $L64:$U64,
     0
  )
)</f>
        <v>0</v>
      </c>
      <c r="BS64" s="65">
        <v>0</v>
      </c>
      <c r="BT64" s="17" cm="1">
        <f t="array" ref="BT64">SUMPRODUCT(
  IF($B64:$K64&lt;&gt;"",
     INDEX('Eurostat EB products IEA'!$A$4:$BN$135,
           MATCH($B64:$K64, 'Eurostat EB products IEA'!$A$4:$A$135, 0),
           MATCH(BT$1, 'Eurostat EB products IEA'!$A$4:$BN$4, 0)
     )
     * $L64:$U64,
     0
  )
)</f>
        <v>0</v>
      </c>
      <c r="BU64" s="65">
        <v>0</v>
      </c>
      <c r="BV64" s="65">
        <v>0</v>
      </c>
      <c r="BW64" s="17" cm="1">
        <f t="array" ref="BW64">SUMPRODUCT(
  IF($B64:$K64&lt;&gt;"",
     INDEX('Eurostat EB products IEA'!$A$4:$BN$135,
           MATCH($B64:$K64, 'Eurostat EB products IEA'!$A$4:$A$135, 0),
           MATCH(BW$1, 'Eurostat EB products IEA'!$A$4:$BN$4, 0)
     )
     * $L64:$U64,
     0
  )
)</f>
        <v>0</v>
      </c>
      <c r="BX64" s="17" cm="1">
        <f t="array" ref="BX64">SUMPRODUCT(
  IF($B64:$K64&lt;&gt;"",
     INDEX('Eurostat EB products IEA'!$A$4:$BN$135,
           MATCH($B64:$K64, 'Eurostat EB products IEA'!$A$4:$A$135, 0),
           MATCH(BX$1, 'Eurostat EB products IEA'!$A$4:$BN$4, 0)
     )
     * $L64:$U64,
     0
  )
)</f>
        <v>0</v>
      </c>
      <c r="BY64" s="17" cm="1">
        <f t="array" ref="BY64">SUMPRODUCT(
  IF($B64:$K64&lt;&gt;"",
     INDEX('Eurostat EB products IEA'!$A$4:$BN$135,
           MATCH($B64:$K64, 'Eurostat EB products IEA'!$A$4:$A$135, 0),
           MATCH(BY$1, 'Eurostat EB products IEA'!$A$4:$BN$4, 0)
     )
     * $L64:$U64,
     0
  )
)</f>
        <v>0</v>
      </c>
      <c r="BZ64" s="17" cm="1">
        <f t="array" ref="BZ64">SUMPRODUCT(
  IF($B64:$K64&lt;&gt;"",
     INDEX('Eurostat EB products IEA'!$A$4:$BN$135,
           MATCH($B64:$K64, 'Eurostat EB products IEA'!$A$4:$A$135, 0),
           MATCH(BZ$1, 'Eurostat EB products IEA'!$A$4:$BN$4, 0)
     )
     * $L64:$U64,
     0
  )
)</f>
        <v>0</v>
      </c>
      <c r="CA64" s="17" cm="1">
        <f t="array" ref="CA64">SUMPRODUCT(
  IF($B64:$K64&lt;&gt;"",
     INDEX('Eurostat EB products IEA'!$A$4:$BN$135,
           MATCH($B64:$K64, 'Eurostat EB products IEA'!$A$4:$A$135, 0),
           MATCH(CA$1, 'Eurostat EB products IEA'!$A$4:$BN$4, 0)
     )
     * $L64:$U64,
     0
  )
)</f>
        <v>0</v>
      </c>
      <c r="CB64" s="17" cm="1">
        <f t="array" ref="CB64">SUMPRODUCT(
  IF($B64:$K64&lt;&gt;"",
     INDEX('Eurostat EB products IEA'!$A$4:$BN$135,
           MATCH($B64:$K64, 'Eurostat EB products IEA'!$A$4:$A$135, 0),
           MATCH(CB$1, 'Eurostat EB products IEA'!$A$4:$BN$4, 0)
     )
     * $L64:$U64,
     0
  )
)</f>
        <v>0</v>
      </c>
      <c r="CC64" s="17" cm="1">
        <f t="array" ref="CC64">SUMPRODUCT(
  IF($B64:$K64&lt;&gt;"",
     INDEX('Eurostat EB products IEA'!$A$4:$BN$135,
           MATCH($B64:$K64, 'Eurostat EB products IEA'!$A$4:$A$135, 0),
           MATCH(CC$1, 'Eurostat EB products IEA'!$A$4:$BN$4, 0)
     )
     * $L64:$U64,
     0
  )
)</f>
        <v>0</v>
      </c>
      <c r="CD64" s="65">
        <v>0</v>
      </c>
      <c r="CE64" s="17" cm="1">
        <f t="array" ref="CE64">SUMPRODUCT(
  IF($B64:$K64&lt;&gt;"",
     INDEX('Eurostat EB products IEA'!$A$4:$BN$135,
           MATCH($B64:$K64, 'Eurostat EB products IEA'!$A$4:$A$135, 0),
           MATCH(CE$1, 'Eurostat EB products IEA'!$A$4:$BN$4, 0)
     )
     * $L64:$U64,
     0
  )
)</f>
        <v>1108.0039999999999</v>
      </c>
      <c r="CF64" s="17" cm="1">
        <f t="array" ref="CF64">SUMPRODUCT(
  IF($B64:$K64&lt;&gt;"",
     INDEX('Eurostat EB products IEA'!$A$4:$BN$135,
           MATCH($B64:$K64, 'Eurostat EB products IEA'!$A$4:$A$135, 0),
           MATCH(CF$1, 'Eurostat EB products IEA'!$A$4:$BN$4, 0)
     )
     * $L64:$U64,
     0
  )
)</f>
        <v>6.8319999999999999</v>
      </c>
      <c r="CG64" s="17" cm="1">
        <f t="array" ref="CG64">SUMPRODUCT(
  IF($B64:$K64&lt;&gt;"",
     INDEX('Eurostat EB products IEA'!$A$4:$BN$135,
           MATCH($B64:$K64, 'Eurostat EB products IEA'!$A$4:$A$135, 0),
           MATCH(CG$1, 'Eurostat EB products IEA'!$A$4:$BN$4, 0)
     )
     * $L64:$U64,
     0
  )
)</f>
        <v>2709.49</v>
      </c>
      <c r="CH64" s="17" cm="1">
        <f t="array" ref="CH64">SUMPRODUCT(
  IF($B64:$K64&lt;&gt;"",
     INDEX('Eurostat EB products IEA'!$A$4:$BN$135,
           MATCH($B64:$K64, 'Eurostat EB products IEA'!$A$4:$A$135, 0),
           MATCH(CH$1, 'Eurostat EB products IEA'!$A$4:$BN$4, 0)
     )
     * $L64:$U64,
     0
  )
)</f>
        <v>963.45</v>
      </c>
    </row>
    <row r="65" spans="1:86" x14ac:dyDescent="0.2">
      <c r="A65" t="s">
        <v>105</v>
      </c>
      <c r="B65" s="75"/>
      <c r="C65" s="77"/>
      <c r="D65" s="75"/>
      <c r="E65" s="77"/>
      <c r="F65" s="75"/>
      <c r="G65" s="77"/>
      <c r="H65" s="75"/>
      <c r="I65" s="77"/>
      <c r="J65" s="74"/>
      <c r="K65" s="78" t="s">
        <v>298</v>
      </c>
      <c r="L65" s="76"/>
      <c r="M65" s="79"/>
      <c r="N65" s="76"/>
      <c r="O65" s="79"/>
      <c r="P65" s="76"/>
      <c r="Q65" s="79"/>
      <c r="R65" s="76"/>
      <c r="S65" s="79"/>
      <c r="T65" s="76"/>
      <c r="U65" s="79">
        <v>1</v>
      </c>
      <c r="V65" s="65" t="s">
        <v>323</v>
      </c>
      <c r="W65" s="65" t="s">
        <v>323</v>
      </c>
      <c r="X65" s="57" cm="1">
        <f t="array" ref="X65">SUMPRODUCT(
  IF($B65:$K65&lt;&gt;"",
     INDEX('Eurostat EB products IEA'!$A$4:$BN$135,
           MATCH($B65:$K65, 'Eurostat EB products IEA'!$A$4:$A$135, 0),
           MATCH(X$1, 'Eurostat EB products IEA'!$A$4:$BN$4, 0)
     )
     * $L65:$U65,
     0
  )
)</f>
        <v>0</v>
      </c>
      <c r="Y65" s="57" cm="1">
        <f t="array" ref="Y65">SUMPRODUCT(
  IF($B65:$K65&lt;&gt;"",
     INDEX('Eurostat EB products IEA'!$A$4:$BN$135,
           MATCH($B65:$K65, 'Eurostat EB products IEA'!$A$4:$A$135, 0),
           MATCH(Y$1, 'Eurostat EB products IEA'!$A$4:$BN$4, 0)
     )
     * $L65:$U65,
     0
  )
)</f>
        <v>0</v>
      </c>
      <c r="Z65" s="57" cm="1">
        <f t="array" ref="Z65">SUMPRODUCT(
  IF($B65:$K65&lt;&gt;"",
     INDEX('Eurostat EB products IEA'!$A$4:$BN$135,
           MATCH($B65:$K65, 'Eurostat EB products IEA'!$A$4:$A$135, 0),
           MATCH(Z$1, 'Eurostat EB products IEA'!$A$4:$BN$4, 0)
     )
     * $L65:$U65,
     0
  )
)</f>
        <v>0</v>
      </c>
      <c r="AA65" s="57" cm="1">
        <f t="array" ref="AA65">SUMPRODUCT(
  IF($B65:$K65&lt;&gt;"",
     INDEX('Eurostat EB products IEA'!$A$4:$BN$135,
           MATCH($B65:$K65, 'Eurostat EB products IEA'!$A$4:$A$135, 0),
           MATCH(AA$1, 'Eurostat EB products IEA'!$A$4:$BN$4, 0)
     )
     * $L65:$U65,
     0
  )
)</f>
        <v>0</v>
      </c>
      <c r="AB65" s="57" cm="1">
        <f t="array" ref="AB65">SUMPRODUCT(
  IF($B65:$K65&lt;&gt;"",
     INDEX('Eurostat EB products IEA'!$A$4:$BN$135,
           MATCH($B65:$K65, 'Eurostat EB products IEA'!$A$4:$A$135, 0),
           MATCH(AB$1, 'Eurostat EB products IEA'!$A$4:$BN$4, 0)
     )
     * $L65:$U65,
     0
  )
)</f>
        <v>0</v>
      </c>
      <c r="AC65" s="57" cm="1">
        <f t="array" ref="AC65">SUMPRODUCT(
  IF($B65:$K65&lt;&gt;"",
     INDEX('Eurostat EB products IEA'!$A$4:$BN$135,
           MATCH($B65:$K65, 'Eurostat EB products IEA'!$A$4:$A$135, 0),
           MATCH(AC$1, 'Eurostat EB products IEA'!$A$4:$BN$4, 0)
     )
     * $L65:$U65,
     0
  )
)</f>
        <v>0</v>
      </c>
      <c r="AD65" s="57" cm="1">
        <f t="array" ref="AD65">SUMPRODUCT(
  IF($B65:$K65&lt;&gt;"",
     INDEX('Eurostat EB products IEA'!$A$4:$BN$135,
           MATCH($B65:$K65, 'Eurostat EB products IEA'!$A$4:$A$135, 0),
           MATCH(AD$1, 'Eurostat EB products IEA'!$A$4:$BN$4, 0)
     )
     * $L65:$U65,
     0
  )
)</f>
        <v>0</v>
      </c>
      <c r="AE65" s="57" cm="1">
        <f t="array" ref="AE65">SUMPRODUCT(
  IF($B65:$K65&lt;&gt;"",
     INDEX('Eurostat EB products IEA'!$A$4:$BN$135,
           MATCH($B65:$K65, 'Eurostat EB products IEA'!$A$4:$A$135, 0),
           MATCH(AE$1, 'Eurostat EB products IEA'!$A$4:$BN$4, 0)
     )
     * $L65:$U65,
     0
  )
)</f>
        <v>0</v>
      </c>
      <c r="AF65" s="57" cm="1">
        <f t="array" ref="AF65">SUMPRODUCT(
  IF($B65:$K65&lt;&gt;"",
     INDEX('Eurostat EB products IEA'!$A$4:$BN$135,
           MATCH($B65:$K65, 'Eurostat EB products IEA'!$A$4:$A$135, 0),
           MATCH(AF$1, 'Eurostat EB products IEA'!$A$4:$BN$4, 0)
     )
     * $L65:$U65,
     0
  )
)</f>
        <v>0</v>
      </c>
      <c r="AG65" s="57" cm="1">
        <f t="array" ref="AG65">SUMPRODUCT(
  IF($B65:$K65&lt;&gt;"",
     INDEX('Eurostat EB products IEA'!$A$4:$BN$135,
           MATCH($B65:$K65, 'Eurostat EB products IEA'!$A$4:$A$135, 0),
           MATCH(AG$1, 'Eurostat EB products IEA'!$A$4:$BN$4, 0)
     )
     * $L65:$U65,
     0
  )
)</f>
        <v>0</v>
      </c>
      <c r="AH65" s="57" cm="1">
        <f t="array" ref="AH65">SUMPRODUCT(
  IF($B65:$K65&lt;&gt;"",
     INDEX('Eurostat EB products IEA'!$A$4:$BN$135,
           MATCH($B65:$K65, 'Eurostat EB products IEA'!$A$4:$A$135, 0),
           MATCH(AH$1, 'Eurostat EB products IEA'!$A$4:$BN$4, 0)
     )
     * $L65:$U65,
     0
  )
)</f>
        <v>0</v>
      </c>
      <c r="AI65" s="57" cm="1">
        <f t="array" ref="AI65">SUMPRODUCT(
  IF($B65:$K65&lt;&gt;"",
     INDEX('Eurostat EB products IEA'!$A$4:$BN$135,
           MATCH($B65:$K65, 'Eurostat EB products IEA'!$A$4:$A$135, 0),
           MATCH(AI$1, 'Eurostat EB products IEA'!$A$4:$BN$4, 0)
     )
     * $L65:$U65,
     0
  )
)</f>
        <v>0</v>
      </c>
      <c r="AJ65" s="57" cm="1">
        <f t="array" ref="AJ65">SUMPRODUCT(
  IF($B65:$K65&lt;&gt;"",
     INDEX('Eurostat EB products IEA'!$A$4:$BN$135,
           MATCH($B65:$K65, 'Eurostat EB products IEA'!$A$4:$A$135, 0),
           MATCH(AJ$1, 'Eurostat EB products IEA'!$A$4:$BN$4, 0)
     )
     * $L65:$U65,
     0
  )
)</f>
        <v>0</v>
      </c>
      <c r="AK65" s="57" cm="1">
        <f t="array" ref="AK65">SUMPRODUCT(
  IF($B65:$K65&lt;&gt;"",
     INDEX('Eurostat EB products IEA'!$A$4:$BN$135,
           MATCH($B65:$K65, 'Eurostat EB products IEA'!$A$4:$A$135, 0),
           MATCH(AK$1, 'Eurostat EB products IEA'!$A$4:$BN$4, 0)
     )
     * $L65:$U65,
     0
  )
)</f>
        <v>0</v>
      </c>
      <c r="AL65" s="57" cm="1">
        <f t="array" ref="AL65">SUMPRODUCT(
  IF($B65:$K65&lt;&gt;"",
     INDEX('Eurostat EB products IEA'!$A$4:$BN$135,
           MATCH($B65:$K65, 'Eurostat EB products IEA'!$A$4:$A$135, 0),
           MATCH(AL$1, 'Eurostat EB products IEA'!$A$4:$BN$4, 0)
     )
     * $L65:$U65,
     0
  )
)</f>
        <v>0</v>
      </c>
      <c r="AM65" s="57" cm="1">
        <f t="array" ref="AM65">SUMPRODUCT(
  IF($B65:$K65&lt;&gt;"",
     INDEX('Eurostat EB products IEA'!$A$4:$BN$135,
           MATCH($B65:$K65, 'Eurostat EB products IEA'!$A$4:$A$135, 0),
           MATCH(AM$1, 'Eurostat EB products IEA'!$A$4:$BN$4, 0)
     )
     * $L65:$U65,
     0
  )
)</f>
        <v>2405.913</v>
      </c>
      <c r="AN65" s="65" t="s">
        <v>323</v>
      </c>
      <c r="AO65" s="57" cm="1">
        <f t="array" ref="AO65">SUMPRODUCT(
  IF($B65:$K65&lt;&gt;"",
     INDEX('Eurostat EB products IEA'!$A$4:$BN$135,
           MATCH($B65:$K65, 'Eurostat EB products IEA'!$A$4:$A$135, 0),
           MATCH(AO$1, 'Eurostat EB products IEA'!$A$4:$BN$4, 0)
     )
     * $L65:$U65,
     0
  )
)</f>
        <v>0</v>
      </c>
      <c r="AP65" s="57" cm="1">
        <f t="array" ref="AP65">SUMPRODUCT(
  IF($B65:$K65&lt;&gt;"",
     INDEX('Eurostat EB products IEA'!$A$4:$BN$135,
           MATCH($B65:$K65, 'Eurostat EB products IEA'!$A$4:$A$135, 0),
           MATCH(AP$1, 'Eurostat EB products IEA'!$A$4:$BN$4, 0)
     )
     * $L65:$U65,
     0
  )
)</f>
        <v>0</v>
      </c>
      <c r="AQ65" s="57" cm="1">
        <f t="array" ref="AQ65">SUMPRODUCT(
  IF($B65:$K65&lt;&gt;"",
     INDEX('Eurostat EB products IEA'!$A$4:$BN$135,
           MATCH($B65:$K65, 'Eurostat EB products IEA'!$A$4:$A$135, 0),
           MATCH(AQ$1, 'Eurostat EB products IEA'!$A$4:$BN$4, 0)
     )
     * $L65:$U65,
     0
  )
)</f>
        <v>0</v>
      </c>
      <c r="AR65" s="57" cm="1">
        <f t="array" ref="AR65">SUMPRODUCT(
  IF($B65:$K65&lt;&gt;"",
     INDEX('Eurostat EB products IEA'!$A$4:$BN$135,
           MATCH($B65:$K65, 'Eurostat EB products IEA'!$A$4:$A$135, 0),
           MATCH(AR$1, 'Eurostat EB products IEA'!$A$4:$BN$4, 0)
     )
     * $L65:$U65,
     0
  )
)</f>
        <v>0</v>
      </c>
      <c r="AS65" s="57" cm="1">
        <f t="array" ref="AS65">SUMPRODUCT(
  IF($B65:$K65&lt;&gt;"",
     INDEX('Eurostat EB products IEA'!$A$4:$BN$135,
           MATCH($B65:$K65, 'Eurostat EB products IEA'!$A$4:$A$135, 0),
           MATCH(AS$1, 'Eurostat EB products IEA'!$A$4:$BN$4, 0)
     )
     * $L65:$U65,
     0
  )
)</f>
        <v>0</v>
      </c>
      <c r="AT65" s="57" cm="1">
        <f t="array" ref="AT65">SUMPRODUCT(
  IF($B65:$K65&lt;&gt;"",
     INDEX('Eurostat EB products IEA'!$A$4:$BN$135,
           MATCH($B65:$K65, 'Eurostat EB products IEA'!$A$4:$A$135, 0),
           MATCH(AT$1, 'Eurostat EB products IEA'!$A$4:$BN$4, 0)
     )
     * $L65:$U65,
     0
  )
)</f>
        <v>0</v>
      </c>
      <c r="AU65" s="57" cm="1">
        <f t="array" ref="AU65">SUMPRODUCT(
  IF($B65:$K65&lt;&gt;"",
     INDEX('Eurostat EB products IEA'!$A$4:$BN$135,
           MATCH($B65:$K65, 'Eurostat EB products IEA'!$A$4:$A$135, 0),
           MATCH(AU$1, 'Eurostat EB products IEA'!$A$4:$BN$4, 0)
     )
     * $L65:$U65,
     0
  )
)</f>
        <v>0</v>
      </c>
      <c r="AV65" s="57" cm="1">
        <f t="array" ref="AV65">SUMPRODUCT(
  IF($B65:$K65&lt;&gt;"",
     INDEX('Eurostat EB products IEA'!$A$4:$BN$135,
           MATCH($B65:$K65, 'Eurostat EB products IEA'!$A$4:$A$135, 0),
           MATCH(AV$1, 'Eurostat EB products IEA'!$A$4:$BN$4, 0)
     )
     * $L65:$U65,
     0
  )
)</f>
        <v>134.13399999999999</v>
      </c>
      <c r="AW65" s="57" cm="1">
        <f t="array" ref="AW65">SUMPRODUCT(
  IF($B65:$K65&lt;&gt;"",
     INDEX('Eurostat EB products IEA'!$A$4:$BN$135,
           MATCH($B65:$K65, 'Eurostat EB products IEA'!$A$4:$A$135, 0),
           MATCH(AW$1, 'Eurostat EB products IEA'!$A$4:$BN$4, 0)
     )
     * $L65:$U65,
     0
  )
)</f>
        <v>259.90699999999998</v>
      </c>
      <c r="AX65" s="57" cm="1">
        <f t="array" ref="AX65">SUMPRODUCT(
  IF($B65:$K65&lt;&gt;"",
     INDEX('Eurostat EB products IEA'!$A$4:$BN$135,
           MATCH($B65:$K65, 'Eurostat EB products IEA'!$A$4:$A$135, 0),
           MATCH(AX$1, 'Eurostat EB products IEA'!$A$4:$BN$4, 0)
     )
     * $L65:$U65,
     0
  )
)</f>
        <v>0</v>
      </c>
      <c r="AY65" s="57" cm="1">
        <f t="array" ref="AY65">SUMPRODUCT(
  IF($B65:$K65&lt;&gt;"",
     INDEX('Eurostat EB products IEA'!$A$4:$BN$135,
           MATCH($B65:$K65, 'Eurostat EB products IEA'!$A$4:$A$135, 0),
           MATCH(AY$1, 'Eurostat EB products IEA'!$A$4:$BN$4, 0)
     )
     * $L65:$U65,
     0
  )
)</f>
        <v>0</v>
      </c>
      <c r="AZ65" s="57" cm="1">
        <f t="array" ref="AZ65">SUMPRODUCT(
  IF($B65:$K65&lt;&gt;"",
     INDEX('Eurostat EB products IEA'!$A$4:$BN$135,
           MATCH($B65:$K65, 'Eurostat EB products IEA'!$A$4:$A$135, 0),
           MATCH(AZ$1, 'Eurostat EB products IEA'!$A$4:$BN$4, 0)
     )
     * $L65:$U65,
     0
  )
)</f>
        <v>0</v>
      </c>
      <c r="BA65" s="57" cm="1">
        <f t="array" ref="BA65">SUMPRODUCT(
  IF($B65:$K65&lt;&gt;"",
     INDEX('Eurostat EB products IEA'!$A$4:$BN$135,
           MATCH($B65:$K65, 'Eurostat EB products IEA'!$A$4:$A$135, 0),
           MATCH(BA$1, 'Eurostat EB products IEA'!$A$4:$BN$4, 0)
     )
     * $L65:$U65,
     0
  )
)</f>
        <v>0</v>
      </c>
      <c r="BB65" s="57" cm="1">
        <f t="array" ref="BB65">SUMPRODUCT(
  IF($B65:$K65&lt;&gt;"",
     INDEX('Eurostat EB products IEA'!$A$4:$BN$135,
           MATCH($B65:$K65, 'Eurostat EB products IEA'!$A$4:$A$135, 0),
           MATCH(BB$1, 'Eurostat EB products IEA'!$A$4:$BN$4, 0)
     )
     * $L65:$U65,
     0
  )
)</f>
        <v>20065.674999999999</v>
      </c>
      <c r="BC65" s="57" cm="1">
        <f t="array" ref="BC65">SUMPRODUCT(
  IF($B65:$K65&lt;&gt;"",
     INDEX('Eurostat EB products IEA'!$A$4:$BN$135,
           MATCH($B65:$K65, 'Eurostat EB products IEA'!$A$4:$A$135, 0),
           MATCH(BC$1, 'Eurostat EB products IEA'!$A$4:$BN$4, 0)
     )
     * $L65:$U65,
     0
  )
)</f>
        <v>0</v>
      </c>
      <c r="BD65" s="57" cm="1">
        <f t="array" ref="BD65">SUMPRODUCT(
  IF($B65:$K65&lt;&gt;"",
     INDEX('Eurostat EB products IEA'!$A$4:$BN$135,
           MATCH($B65:$K65, 'Eurostat EB products IEA'!$A$4:$A$135, 0),
           MATCH(BD$1, 'Eurostat EB products IEA'!$A$4:$BN$4, 0)
     )
     * $L65:$U65,
     0
  )
)</f>
        <v>0</v>
      </c>
      <c r="BE65" s="57" cm="1">
        <f t="array" ref="BE65">SUMPRODUCT(
  IF($B65:$K65&lt;&gt;"",
     INDEX('Eurostat EB products IEA'!$A$4:$BN$135,
           MATCH($B65:$K65, 'Eurostat EB products IEA'!$A$4:$A$135, 0),
           MATCH(BE$1, 'Eurostat EB products IEA'!$A$4:$BN$4, 0)
     )
     * $L65:$U65,
     0
  )
)</f>
        <v>0</v>
      </c>
      <c r="BF65" s="57" cm="1">
        <f t="array" ref="BF65">SUMPRODUCT(
  IF($B65:$K65&lt;&gt;"",
     INDEX('Eurostat EB products IEA'!$A$4:$BN$135,
           MATCH($B65:$K65, 'Eurostat EB products IEA'!$A$4:$A$135, 0),
           MATCH(BF$1, 'Eurostat EB products IEA'!$A$4:$BN$4, 0)
     )
     * $L65:$U65,
     0
  )
)</f>
        <v>0</v>
      </c>
      <c r="BG65" s="57" cm="1">
        <f t="array" ref="BG65">SUMPRODUCT(
  IF($B65:$K65&lt;&gt;"",
     INDEX('Eurostat EB products IEA'!$A$4:$BN$135,
           MATCH($B65:$K65, 'Eurostat EB products IEA'!$A$4:$A$135, 0),
           MATCH(BG$1, 'Eurostat EB products IEA'!$A$4:$BN$4, 0)
     )
     * $L65:$U65,
     0
  )
)</f>
        <v>0</v>
      </c>
      <c r="BH65" s="57" cm="1">
        <f t="array" ref="BH65">SUMPRODUCT(
  IF($B65:$K65&lt;&gt;"",
     INDEX('Eurostat EB products IEA'!$A$4:$BN$135,
           MATCH($B65:$K65, 'Eurostat EB products IEA'!$A$4:$A$135, 0),
           MATCH(BH$1, 'Eurostat EB products IEA'!$A$4:$BN$4, 0)
     )
     * $L65:$U65,
     0
  )
)</f>
        <v>0</v>
      </c>
      <c r="BI65" s="57" cm="1">
        <f t="array" ref="BI65">SUMPRODUCT(
  IF($B65:$K65&lt;&gt;"",
     INDEX('Eurostat EB products IEA'!$A$4:$BN$135,
           MATCH($B65:$K65, 'Eurostat EB products IEA'!$A$4:$A$135, 0),
           MATCH(BI$1, 'Eurostat EB products IEA'!$A$4:$BN$4, 0)
     )
     * $L65:$U65,
     0
  )
)</f>
        <v>0</v>
      </c>
      <c r="BJ65" s="57" cm="1">
        <f t="array" ref="BJ65">SUMPRODUCT(
  IF($B65:$K65&lt;&gt;"",
     INDEX('Eurostat EB products IEA'!$A$4:$BN$135,
           MATCH($B65:$K65, 'Eurostat EB products IEA'!$A$4:$A$135, 0),
           MATCH(BJ$1, 'Eurostat EB products IEA'!$A$4:$BN$4, 0)
     )
     * $L65:$U65,
     0
  )
)</f>
        <v>0</v>
      </c>
      <c r="BK65" s="57" cm="1">
        <f t="array" ref="BK65">SUMPRODUCT(
  IF($B65:$K65&lt;&gt;"",
     INDEX('Eurostat EB products IEA'!$A$4:$BN$135,
           MATCH($B65:$K65, 'Eurostat EB products IEA'!$A$4:$A$135, 0),
           MATCH(BK$1, 'Eurostat EB products IEA'!$A$4:$BN$4, 0)
     )
     * $L65:$U65,
     0
  )
)</f>
        <v>0</v>
      </c>
      <c r="BL65" s="57" cm="1">
        <f t="array" ref="BL65">SUMPRODUCT(
  IF($B65:$K65&lt;&gt;"",
     INDEX('Eurostat EB products IEA'!$A$4:$BN$135,
           MATCH($B65:$K65, 'Eurostat EB products IEA'!$A$4:$A$135, 0),
           MATCH(BL$1, 'Eurostat EB products IEA'!$A$4:$BN$4, 0)
     )
     * $L65:$U65,
     0
  )
)</f>
        <v>0</v>
      </c>
      <c r="BM65" s="57" cm="1">
        <f t="array" ref="BM65">SUMPRODUCT(
  IF($B65:$K65&lt;&gt;"",
     INDEX('Eurostat EB products IEA'!$A$4:$BN$135,
           MATCH($B65:$K65, 'Eurostat EB products IEA'!$A$4:$A$135, 0),
           MATCH(BM$1, 'Eurostat EB products IEA'!$A$4:$BN$4, 0)
     )
     * $L65:$U65,
     0
  )
)</f>
        <v>0</v>
      </c>
      <c r="BN65" s="57" cm="1">
        <f t="array" ref="BN65">SUMPRODUCT(
  IF($B65:$K65&lt;&gt;"",
     INDEX('Eurostat EB products IEA'!$A$4:$BN$135,
           MATCH($B65:$K65, 'Eurostat EB products IEA'!$A$4:$A$135, 0),
           MATCH(BN$1, 'Eurostat EB products IEA'!$A$4:$BN$4, 0)
     )
     * $L65:$U65,
     0
  )
)</f>
        <v>412.36500000000001</v>
      </c>
      <c r="BO65" s="57" cm="1">
        <f t="array" ref="BO65">SUMPRODUCT(
  IF($B65:$K65&lt;&gt;"",
     INDEX('Eurostat EB products IEA'!$A$4:$BN$135,
           MATCH($B65:$K65, 'Eurostat EB products IEA'!$A$4:$A$135, 0),
           MATCH(BO$1, 'Eurostat EB products IEA'!$A$4:$BN$4, 0)
     )
     * $L65:$U65,
     0
  )
)</f>
        <v>0</v>
      </c>
      <c r="BP65" s="57" cm="1">
        <f t="array" ref="BP65">SUMPRODUCT(
  IF($B65:$K65&lt;&gt;"",
     INDEX('Eurostat EB products IEA'!$A$4:$BN$135,
           MATCH($B65:$K65, 'Eurostat EB products IEA'!$A$4:$A$135, 0),
           MATCH(BP$1, 'Eurostat EB products IEA'!$A$4:$BN$4, 0)
     )
     * $L65:$U65,
     0
  )
)</f>
        <v>0</v>
      </c>
      <c r="BQ65" s="57" cm="1">
        <f t="array" ref="BQ65">SUMPRODUCT(
  IF($B65:$K65&lt;&gt;"",
     INDEX('Eurostat EB products IEA'!$A$4:$BN$135,
           MATCH($B65:$K65, 'Eurostat EB products IEA'!$A$4:$A$135, 0),
           MATCH(BQ$1, 'Eurostat EB products IEA'!$A$4:$BN$4, 0)
     )
     * $L65:$U65,
     0
  )
)</f>
        <v>1414.422</v>
      </c>
      <c r="BR65" s="57" cm="1">
        <f t="array" ref="BR65">SUMPRODUCT(
  IF($B65:$K65&lt;&gt;"",
     INDEX('Eurostat EB products IEA'!$A$4:$BN$135,
           MATCH($B65:$K65, 'Eurostat EB products IEA'!$A$4:$A$135, 0),
           MATCH(BR$1, 'Eurostat EB products IEA'!$A$4:$BN$4, 0)
     )
     * $L65:$U65,
     0
  )
)</f>
        <v>0</v>
      </c>
      <c r="BS65" s="65">
        <v>0</v>
      </c>
      <c r="BT65" s="57" cm="1">
        <f t="array" ref="BT65">SUMPRODUCT(
  IF($B65:$K65&lt;&gt;"",
     INDEX('Eurostat EB products IEA'!$A$4:$BN$135,
           MATCH($B65:$K65, 'Eurostat EB products IEA'!$A$4:$A$135, 0),
           MATCH(BT$1, 'Eurostat EB products IEA'!$A$4:$BN$4, 0)
     )
     * $L65:$U65,
     0
  )
)</f>
        <v>0</v>
      </c>
      <c r="BU65" s="65">
        <v>0</v>
      </c>
      <c r="BV65" s="65">
        <v>0</v>
      </c>
      <c r="BW65" s="57" cm="1">
        <f t="array" ref="BW65">SUMPRODUCT(
  IF($B65:$K65&lt;&gt;"",
     INDEX('Eurostat EB products IEA'!$A$4:$BN$135,
           MATCH($B65:$K65, 'Eurostat EB products IEA'!$A$4:$A$135, 0),
           MATCH(BW$1, 'Eurostat EB products IEA'!$A$4:$BN$4, 0)
     )
     * $L65:$U65,
     0
  )
)</f>
        <v>0</v>
      </c>
      <c r="BX65" s="57" cm="1">
        <f t="array" ref="BX65">SUMPRODUCT(
  IF($B65:$K65&lt;&gt;"",
     INDEX('Eurostat EB products IEA'!$A$4:$BN$135,
           MATCH($B65:$K65, 'Eurostat EB products IEA'!$A$4:$A$135, 0),
           MATCH(BX$1, 'Eurostat EB products IEA'!$A$4:$BN$4, 0)
     )
     * $L65:$U65,
     0
  )
)</f>
        <v>0</v>
      </c>
      <c r="BY65" s="57" cm="1">
        <f t="array" ref="BY65">SUMPRODUCT(
  IF($B65:$K65&lt;&gt;"",
     INDEX('Eurostat EB products IEA'!$A$4:$BN$135,
           MATCH($B65:$K65, 'Eurostat EB products IEA'!$A$4:$A$135, 0),
           MATCH(BY$1, 'Eurostat EB products IEA'!$A$4:$BN$4, 0)
     )
     * $L65:$U65,
     0
  )
)</f>
        <v>0</v>
      </c>
      <c r="BZ65" s="57" cm="1">
        <f t="array" ref="BZ65">SUMPRODUCT(
  IF($B65:$K65&lt;&gt;"",
     INDEX('Eurostat EB products IEA'!$A$4:$BN$135,
           MATCH($B65:$K65, 'Eurostat EB products IEA'!$A$4:$A$135, 0),
           MATCH(BZ$1, 'Eurostat EB products IEA'!$A$4:$BN$4, 0)
     )
     * $L65:$U65,
     0
  )
)</f>
        <v>0</v>
      </c>
      <c r="CA65" s="57" cm="1">
        <f t="array" ref="CA65">SUMPRODUCT(
  IF($B65:$K65&lt;&gt;"",
     INDEX('Eurostat EB products IEA'!$A$4:$BN$135,
           MATCH($B65:$K65, 'Eurostat EB products IEA'!$A$4:$A$135, 0),
           MATCH(CA$1, 'Eurostat EB products IEA'!$A$4:$BN$4, 0)
     )
     * $L65:$U65,
     0
  )
)</f>
        <v>0</v>
      </c>
      <c r="CB65" s="57" cm="1">
        <f t="array" ref="CB65">SUMPRODUCT(
  IF($B65:$K65&lt;&gt;"",
     INDEX('Eurostat EB products IEA'!$A$4:$BN$135,
           MATCH($B65:$K65, 'Eurostat EB products IEA'!$A$4:$A$135, 0),
           MATCH(CB$1, 'Eurostat EB products IEA'!$A$4:$BN$4, 0)
     )
     * $L65:$U65,
     0
  )
)</f>
        <v>0</v>
      </c>
      <c r="CC65" s="57" cm="1">
        <f t="array" ref="CC65">SUMPRODUCT(
  IF($B65:$K65&lt;&gt;"",
     INDEX('Eurostat EB products IEA'!$A$4:$BN$135,
           MATCH($B65:$K65, 'Eurostat EB products IEA'!$A$4:$A$135, 0),
           MATCH(CC$1, 'Eurostat EB products IEA'!$A$4:$BN$4, 0)
     )
     * $L65:$U65,
     0
  )
)</f>
        <v>0</v>
      </c>
      <c r="CD65" s="65">
        <v>0</v>
      </c>
      <c r="CE65" s="57" cm="1">
        <f t="array" ref="CE65">SUMPRODUCT(
  IF($B65:$K65&lt;&gt;"",
     INDEX('Eurostat EB products IEA'!$A$4:$BN$135,
           MATCH($B65:$K65, 'Eurostat EB products IEA'!$A$4:$A$135, 0),
           MATCH(CE$1, 'Eurostat EB products IEA'!$A$4:$BN$4, 0)
     )
     * $L65:$U65,
     0
  )
)</f>
        <v>4057.585</v>
      </c>
      <c r="CF65" s="57" cm="1">
        <f t="array" ref="CF65">SUMPRODUCT(
  IF($B65:$K65&lt;&gt;"",
     INDEX('Eurostat EB products IEA'!$A$4:$BN$135,
           MATCH($B65:$K65, 'Eurostat EB products IEA'!$A$4:$A$135, 0),
           MATCH(CF$1, 'Eurostat EB products IEA'!$A$4:$BN$4, 0)
     )
     * $L65:$U65,
     0
  )
)</f>
        <v>0</v>
      </c>
      <c r="CG65" s="57" cm="1">
        <f t="array" ref="CG65">SUMPRODUCT(
  IF($B65:$K65&lt;&gt;"",
     INDEX('Eurostat EB products IEA'!$A$4:$BN$135,
           MATCH($B65:$K65, 'Eurostat EB products IEA'!$A$4:$A$135, 0),
           MATCH(CG$1, 'Eurostat EB products IEA'!$A$4:$BN$4, 0)
     )
     * $L65:$U65,
     0
  )
)</f>
        <v>28750.002</v>
      </c>
      <c r="CH65" s="57" cm="1">
        <f t="array" ref="CH65">SUMPRODUCT(
  IF($B65:$K65&lt;&gt;"",
     INDEX('Eurostat EB products IEA'!$A$4:$BN$135,
           MATCH($B65:$K65, 'Eurostat EB products IEA'!$A$4:$A$135, 0),
           MATCH(CH$1, 'Eurostat EB products IEA'!$A$4:$BN$4, 0)
     )
     * $L65:$U65,
     0
  )
)</f>
        <v>2121.5610000000001</v>
      </c>
    </row>
    <row r="66" spans="1:86" x14ac:dyDescent="0.2">
      <c r="A66" t="s">
        <v>178</v>
      </c>
      <c r="B66" s="75"/>
      <c r="C66" s="77"/>
      <c r="D66" s="75"/>
      <c r="E66" s="77"/>
      <c r="F66" s="75"/>
      <c r="G66" s="77"/>
      <c r="H66" s="75"/>
      <c r="I66" s="77"/>
      <c r="J66" s="74"/>
      <c r="K66" s="78" t="s">
        <v>299</v>
      </c>
      <c r="L66" s="76"/>
      <c r="M66" s="79"/>
      <c r="N66" s="76"/>
      <c r="O66" s="79"/>
      <c r="P66" s="76"/>
      <c r="Q66" s="79"/>
      <c r="R66" s="76"/>
      <c r="S66" s="79"/>
      <c r="T66" s="76"/>
      <c r="U66" s="79">
        <v>1</v>
      </c>
      <c r="V66" s="65" t="s">
        <v>323</v>
      </c>
      <c r="W66" s="65" t="s">
        <v>323</v>
      </c>
      <c r="X66" s="17" cm="1">
        <f t="array" ref="X66">SUMPRODUCT(
  IF($B66:$K66&lt;&gt;"",
     INDEX('Eurostat EB products IEA'!$A$4:$BN$135,
           MATCH($B66:$K66, 'Eurostat EB products IEA'!$A$4:$A$135, 0),
           MATCH(X$1, 'Eurostat EB products IEA'!$A$4:$BN$4, 0)
     )
     * $L66:$U66,
     0
  )
)</f>
        <v>0</v>
      </c>
      <c r="Y66" s="17" cm="1">
        <f t="array" ref="Y66">SUMPRODUCT(
  IF($B66:$K66&lt;&gt;"",
     INDEX('Eurostat EB products IEA'!$A$4:$BN$135,
           MATCH($B66:$K66, 'Eurostat EB products IEA'!$A$4:$A$135, 0),
           MATCH(Y$1, 'Eurostat EB products IEA'!$A$4:$BN$4, 0)
     )
     * $L66:$U66,
     0
  )
)</f>
        <v>0</v>
      </c>
      <c r="Z66" s="17" cm="1">
        <f t="array" ref="Z66">SUMPRODUCT(
  IF($B66:$K66&lt;&gt;"",
     INDEX('Eurostat EB products IEA'!$A$4:$BN$135,
           MATCH($B66:$K66, 'Eurostat EB products IEA'!$A$4:$A$135, 0),
           MATCH(Z$1, 'Eurostat EB products IEA'!$A$4:$BN$4, 0)
     )
     * $L66:$U66,
     0
  )
)</f>
        <v>0</v>
      </c>
      <c r="AA66" s="17" cm="1">
        <f t="array" ref="AA66">SUMPRODUCT(
  IF($B66:$K66&lt;&gt;"",
     INDEX('Eurostat EB products IEA'!$A$4:$BN$135,
           MATCH($B66:$K66, 'Eurostat EB products IEA'!$A$4:$A$135, 0),
           MATCH(AA$1, 'Eurostat EB products IEA'!$A$4:$BN$4, 0)
     )
     * $L66:$U66,
     0
  )
)</f>
        <v>0</v>
      </c>
      <c r="AB66" s="17" cm="1">
        <f t="array" ref="AB66">SUMPRODUCT(
  IF($B66:$K66&lt;&gt;"",
     INDEX('Eurostat EB products IEA'!$A$4:$BN$135,
           MATCH($B66:$K66, 'Eurostat EB products IEA'!$A$4:$A$135, 0),
           MATCH(AB$1, 'Eurostat EB products IEA'!$A$4:$BN$4, 0)
     )
     * $L66:$U66,
     0
  )
)</f>
        <v>0</v>
      </c>
      <c r="AC66" s="17" cm="1">
        <f t="array" ref="AC66">SUMPRODUCT(
  IF($B66:$K66&lt;&gt;"",
     INDEX('Eurostat EB products IEA'!$A$4:$BN$135,
           MATCH($B66:$K66, 'Eurostat EB products IEA'!$A$4:$A$135, 0),
           MATCH(AC$1, 'Eurostat EB products IEA'!$A$4:$BN$4, 0)
     )
     * $L66:$U66,
     0
  )
)</f>
        <v>0</v>
      </c>
      <c r="AD66" s="17" cm="1">
        <f t="array" ref="AD66">SUMPRODUCT(
  IF($B66:$K66&lt;&gt;"",
     INDEX('Eurostat EB products IEA'!$A$4:$BN$135,
           MATCH($B66:$K66, 'Eurostat EB products IEA'!$A$4:$A$135, 0),
           MATCH(AD$1, 'Eurostat EB products IEA'!$A$4:$BN$4, 0)
     )
     * $L66:$U66,
     0
  )
)</f>
        <v>0</v>
      </c>
      <c r="AE66" s="17" cm="1">
        <f t="array" ref="AE66">SUMPRODUCT(
  IF($B66:$K66&lt;&gt;"",
     INDEX('Eurostat EB products IEA'!$A$4:$BN$135,
           MATCH($B66:$K66, 'Eurostat EB products IEA'!$A$4:$A$135, 0),
           MATCH(AE$1, 'Eurostat EB products IEA'!$A$4:$BN$4, 0)
     )
     * $L66:$U66,
     0
  )
)</f>
        <v>0</v>
      </c>
      <c r="AF66" s="17" cm="1">
        <f t="array" ref="AF66">SUMPRODUCT(
  IF($B66:$K66&lt;&gt;"",
     INDEX('Eurostat EB products IEA'!$A$4:$BN$135,
           MATCH($B66:$K66, 'Eurostat EB products IEA'!$A$4:$A$135, 0),
           MATCH(AF$1, 'Eurostat EB products IEA'!$A$4:$BN$4, 0)
     )
     * $L66:$U66,
     0
  )
)</f>
        <v>0</v>
      </c>
      <c r="AG66" s="17" cm="1">
        <f t="array" ref="AG66">SUMPRODUCT(
  IF($B66:$K66&lt;&gt;"",
     INDEX('Eurostat EB products IEA'!$A$4:$BN$135,
           MATCH($B66:$K66, 'Eurostat EB products IEA'!$A$4:$A$135, 0),
           MATCH(AG$1, 'Eurostat EB products IEA'!$A$4:$BN$4, 0)
     )
     * $L66:$U66,
     0
  )
)</f>
        <v>0</v>
      </c>
      <c r="AH66" s="17" cm="1">
        <f t="array" ref="AH66">SUMPRODUCT(
  IF($B66:$K66&lt;&gt;"",
     INDEX('Eurostat EB products IEA'!$A$4:$BN$135,
           MATCH($B66:$K66, 'Eurostat EB products IEA'!$A$4:$A$135, 0),
           MATCH(AH$1, 'Eurostat EB products IEA'!$A$4:$BN$4, 0)
     )
     * $L66:$U66,
     0
  )
)</f>
        <v>0</v>
      </c>
      <c r="AI66" s="17" cm="1">
        <f t="array" ref="AI66">SUMPRODUCT(
  IF($B66:$K66&lt;&gt;"",
     INDEX('Eurostat EB products IEA'!$A$4:$BN$135,
           MATCH($B66:$K66, 'Eurostat EB products IEA'!$A$4:$A$135, 0),
           MATCH(AI$1, 'Eurostat EB products IEA'!$A$4:$BN$4, 0)
     )
     * $L66:$U66,
     0
  )
)</f>
        <v>0</v>
      </c>
      <c r="AJ66" s="17" cm="1">
        <f t="array" ref="AJ66">SUMPRODUCT(
  IF($B66:$K66&lt;&gt;"",
     INDEX('Eurostat EB products IEA'!$A$4:$BN$135,
           MATCH($B66:$K66, 'Eurostat EB products IEA'!$A$4:$A$135, 0),
           MATCH(AJ$1, 'Eurostat EB products IEA'!$A$4:$BN$4, 0)
     )
     * $L66:$U66,
     0
  )
)</f>
        <v>0</v>
      </c>
      <c r="AK66" s="17" cm="1">
        <f t="array" ref="AK66">SUMPRODUCT(
  IF($B66:$K66&lt;&gt;"",
     INDEX('Eurostat EB products IEA'!$A$4:$BN$135,
           MATCH($B66:$K66, 'Eurostat EB products IEA'!$A$4:$A$135, 0),
           MATCH(AK$1, 'Eurostat EB products IEA'!$A$4:$BN$4, 0)
     )
     * $L66:$U66,
     0
  )
)</f>
        <v>0</v>
      </c>
      <c r="AL66" s="17" cm="1">
        <f t="array" ref="AL66">SUMPRODUCT(
  IF($B66:$K66&lt;&gt;"",
     INDEX('Eurostat EB products IEA'!$A$4:$BN$135,
           MATCH($B66:$K66, 'Eurostat EB products IEA'!$A$4:$A$135, 0),
           MATCH(AL$1, 'Eurostat EB products IEA'!$A$4:$BN$4, 0)
     )
     * $L66:$U66,
     0
  )
)</f>
        <v>0</v>
      </c>
      <c r="AM66" s="17" cm="1">
        <f t="array" ref="AM66">SUMPRODUCT(
  IF($B66:$K66&lt;&gt;"",
     INDEX('Eurostat EB products IEA'!$A$4:$BN$135,
           MATCH($B66:$K66, 'Eurostat EB products IEA'!$A$4:$A$135, 0),
           MATCH(AM$1, 'Eurostat EB products IEA'!$A$4:$BN$4, 0)
     )
     * $L66:$U66,
     0
  )
)</f>
        <v>2135.3560000000002</v>
      </c>
      <c r="AN66" s="65" t="s">
        <v>323</v>
      </c>
      <c r="AO66" s="17" cm="1">
        <f t="array" ref="AO66">SUMPRODUCT(
  IF($B66:$K66&lt;&gt;"",
     INDEX('Eurostat EB products IEA'!$A$4:$BN$135,
           MATCH($B66:$K66, 'Eurostat EB products IEA'!$A$4:$A$135, 0),
           MATCH(AO$1, 'Eurostat EB products IEA'!$A$4:$BN$4, 0)
     )
     * $L66:$U66,
     0
  )
)</f>
        <v>0</v>
      </c>
      <c r="AP66" s="17" cm="1">
        <f t="array" ref="AP66">SUMPRODUCT(
  IF($B66:$K66&lt;&gt;"",
     INDEX('Eurostat EB products IEA'!$A$4:$BN$135,
           MATCH($B66:$K66, 'Eurostat EB products IEA'!$A$4:$A$135, 0),
           MATCH(AP$1, 'Eurostat EB products IEA'!$A$4:$BN$4, 0)
     )
     * $L66:$U66,
     0
  )
)</f>
        <v>0</v>
      </c>
      <c r="AQ66" s="17" cm="1">
        <f t="array" ref="AQ66">SUMPRODUCT(
  IF($B66:$K66&lt;&gt;"",
     INDEX('Eurostat EB products IEA'!$A$4:$BN$135,
           MATCH($B66:$K66, 'Eurostat EB products IEA'!$A$4:$A$135, 0),
           MATCH(AQ$1, 'Eurostat EB products IEA'!$A$4:$BN$4, 0)
     )
     * $L66:$U66,
     0
  )
)</f>
        <v>0</v>
      </c>
      <c r="AR66" s="17" cm="1">
        <f t="array" ref="AR66">SUMPRODUCT(
  IF($B66:$K66&lt;&gt;"",
     INDEX('Eurostat EB products IEA'!$A$4:$BN$135,
           MATCH($B66:$K66, 'Eurostat EB products IEA'!$A$4:$A$135, 0),
           MATCH(AR$1, 'Eurostat EB products IEA'!$A$4:$BN$4, 0)
     )
     * $L66:$U66,
     0
  )
)</f>
        <v>0</v>
      </c>
      <c r="AS66" s="17" cm="1">
        <f t="array" ref="AS66">SUMPRODUCT(
  IF($B66:$K66&lt;&gt;"",
     INDEX('Eurostat EB products IEA'!$A$4:$BN$135,
           MATCH($B66:$K66, 'Eurostat EB products IEA'!$A$4:$A$135, 0),
           MATCH(AS$1, 'Eurostat EB products IEA'!$A$4:$BN$4, 0)
     )
     * $L66:$U66,
     0
  )
)</f>
        <v>0</v>
      </c>
      <c r="AT66" s="17" cm="1">
        <f t="array" ref="AT66">SUMPRODUCT(
  IF($B66:$K66&lt;&gt;"",
     INDEX('Eurostat EB products IEA'!$A$4:$BN$135,
           MATCH($B66:$K66, 'Eurostat EB products IEA'!$A$4:$A$135, 0),
           MATCH(AT$1, 'Eurostat EB products IEA'!$A$4:$BN$4, 0)
     )
     * $L66:$U66,
     0
  )
)</f>
        <v>0</v>
      </c>
      <c r="AU66" s="17" cm="1">
        <f t="array" ref="AU66">SUMPRODUCT(
  IF($B66:$K66&lt;&gt;"",
     INDEX('Eurostat EB products IEA'!$A$4:$BN$135,
           MATCH($B66:$K66, 'Eurostat EB products IEA'!$A$4:$A$135, 0),
           MATCH(AU$1, 'Eurostat EB products IEA'!$A$4:$BN$4, 0)
     )
     * $L66:$U66,
     0
  )
)</f>
        <v>0</v>
      </c>
      <c r="AV66" s="17" cm="1">
        <f t="array" ref="AV66">SUMPRODUCT(
  IF($B66:$K66&lt;&gt;"",
     INDEX('Eurostat EB products IEA'!$A$4:$BN$135,
           MATCH($B66:$K66, 'Eurostat EB products IEA'!$A$4:$A$135, 0),
           MATCH(AV$1, 'Eurostat EB products IEA'!$A$4:$BN$4, 0)
     )
     * $L66:$U66,
     0
  )
)</f>
        <v>24.765999999999998</v>
      </c>
      <c r="AW66" s="17" cm="1">
        <f t="array" ref="AW66">SUMPRODUCT(
  IF($B66:$K66&lt;&gt;"",
     INDEX('Eurostat EB products IEA'!$A$4:$BN$135,
           MATCH($B66:$K66, 'Eurostat EB products IEA'!$A$4:$A$135, 0),
           MATCH(AW$1, 'Eurostat EB products IEA'!$A$4:$BN$4, 0)
     )
     * $L66:$U66,
     0
  )
)</f>
        <v>0</v>
      </c>
      <c r="AX66" s="17" cm="1">
        <f t="array" ref="AX66">SUMPRODUCT(
  IF($B66:$K66&lt;&gt;"",
     INDEX('Eurostat EB products IEA'!$A$4:$BN$135,
           MATCH($B66:$K66, 'Eurostat EB products IEA'!$A$4:$A$135, 0),
           MATCH(AX$1, 'Eurostat EB products IEA'!$A$4:$BN$4, 0)
     )
     * $L66:$U66,
     0
  )
)</f>
        <v>0</v>
      </c>
      <c r="AY66" s="17" cm="1">
        <f t="array" ref="AY66">SUMPRODUCT(
  IF($B66:$K66&lt;&gt;"",
     INDEX('Eurostat EB products IEA'!$A$4:$BN$135,
           MATCH($B66:$K66, 'Eurostat EB products IEA'!$A$4:$A$135, 0),
           MATCH(AY$1, 'Eurostat EB products IEA'!$A$4:$BN$4, 0)
     )
     * $L66:$U66,
     0
  )
)</f>
        <v>0</v>
      </c>
      <c r="AZ66" s="17" cm="1">
        <f t="array" ref="AZ66">SUMPRODUCT(
  IF($B66:$K66&lt;&gt;"",
     INDEX('Eurostat EB products IEA'!$A$4:$BN$135,
           MATCH($B66:$K66, 'Eurostat EB products IEA'!$A$4:$A$135, 0),
           MATCH(AZ$1, 'Eurostat EB products IEA'!$A$4:$BN$4, 0)
     )
     * $L66:$U66,
     0
  )
)</f>
        <v>0</v>
      </c>
      <c r="BA66" s="17" cm="1">
        <f t="array" ref="BA66">SUMPRODUCT(
  IF($B66:$K66&lt;&gt;"",
     INDEX('Eurostat EB products IEA'!$A$4:$BN$135,
           MATCH($B66:$K66, 'Eurostat EB products IEA'!$A$4:$A$135, 0),
           MATCH(BA$1, 'Eurostat EB products IEA'!$A$4:$BN$4, 0)
     )
     * $L66:$U66,
     0
  )
)</f>
        <v>0</v>
      </c>
      <c r="BB66" s="17" cm="1">
        <f t="array" ref="BB66">SUMPRODUCT(
  IF($B66:$K66&lt;&gt;"",
     INDEX('Eurostat EB products IEA'!$A$4:$BN$135,
           MATCH($B66:$K66, 'Eurostat EB products IEA'!$A$4:$A$135, 0),
           MATCH(BB$1, 'Eurostat EB products IEA'!$A$4:$BN$4, 0)
     )
     * $L66:$U66,
     0
  )
)</f>
        <v>0</v>
      </c>
      <c r="BC66" s="17" cm="1">
        <f t="array" ref="BC66">SUMPRODUCT(
  IF($B66:$K66&lt;&gt;"",
     INDEX('Eurostat EB products IEA'!$A$4:$BN$135,
           MATCH($B66:$K66, 'Eurostat EB products IEA'!$A$4:$A$135, 0),
           MATCH(BC$1, 'Eurostat EB products IEA'!$A$4:$BN$4, 0)
     )
     * $L66:$U66,
     0
  )
)</f>
        <v>0</v>
      </c>
      <c r="BD66" s="17" cm="1">
        <f t="array" ref="BD66">SUMPRODUCT(
  IF($B66:$K66&lt;&gt;"",
     INDEX('Eurostat EB products IEA'!$A$4:$BN$135,
           MATCH($B66:$K66, 'Eurostat EB products IEA'!$A$4:$A$135, 0),
           MATCH(BD$1, 'Eurostat EB products IEA'!$A$4:$BN$4, 0)
     )
     * $L66:$U66,
     0
  )
)</f>
        <v>0</v>
      </c>
      <c r="BE66" s="17" cm="1">
        <f t="array" ref="BE66">SUMPRODUCT(
  IF($B66:$K66&lt;&gt;"",
     INDEX('Eurostat EB products IEA'!$A$4:$BN$135,
           MATCH($B66:$K66, 'Eurostat EB products IEA'!$A$4:$A$135, 0),
           MATCH(BE$1, 'Eurostat EB products IEA'!$A$4:$BN$4, 0)
     )
     * $L66:$U66,
     0
  )
)</f>
        <v>0</v>
      </c>
      <c r="BF66" s="17" cm="1">
        <f t="array" ref="BF66">SUMPRODUCT(
  IF($B66:$K66&lt;&gt;"",
     INDEX('Eurostat EB products IEA'!$A$4:$BN$135,
           MATCH($B66:$K66, 'Eurostat EB products IEA'!$A$4:$A$135, 0),
           MATCH(BF$1, 'Eurostat EB products IEA'!$A$4:$BN$4, 0)
     )
     * $L66:$U66,
     0
  )
)</f>
        <v>0</v>
      </c>
      <c r="BG66" s="17" cm="1">
        <f t="array" ref="BG66">SUMPRODUCT(
  IF($B66:$K66&lt;&gt;"",
     INDEX('Eurostat EB products IEA'!$A$4:$BN$135,
           MATCH($B66:$K66, 'Eurostat EB products IEA'!$A$4:$A$135, 0),
           MATCH(BG$1, 'Eurostat EB products IEA'!$A$4:$BN$4, 0)
     )
     * $L66:$U66,
     0
  )
)</f>
        <v>0</v>
      </c>
      <c r="BH66" s="17" cm="1">
        <f t="array" ref="BH66">SUMPRODUCT(
  IF($B66:$K66&lt;&gt;"",
     INDEX('Eurostat EB products IEA'!$A$4:$BN$135,
           MATCH($B66:$K66, 'Eurostat EB products IEA'!$A$4:$A$135, 0),
           MATCH(BH$1, 'Eurostat EB products IEA'!$A$4:$BN$4, 0)
     )
     * $L66:$U66,
     0
  )
)</f>
        <v>0</v>
      </c>
      <c r="BI66" s="17" cm="1">
        <f t="array" ref="BI66">SUMPRODUCT(
  IF($B66:$K66&lt;&gt;"",
     INDEX('Eurostat EB products IEA'!$A$4:$BN$135,
           MATCH($B66:$K66, 'Eurostat EB products IEA'!$A$4:$A$135, 0),
           MATCH(BI$1, 'Eurostat EB products IEA'!$A$4:$BN$4, 0)
     )
     * $L66:$U66,
     0
  )
)</f>
        <v>0</v>
      </c>
      <c r="BJ66" s="17" cm="1">
        <f t="array" ref="BJ66">SUMPRODUCT(
  IF($B66:$K66&lt;&gt;"",
     INDEX('Eurostat EB products IEA'!$A$4:$BN$135,
           MATCH($B66:$K66, 'Eurostat EB products IEA'!$A$4:$A$135, 0),
           MATCH(BJ$1, 'Eurostat EB products IEA'!$A$4:$BN$4, 0)
     )
     * $L66:$U66,
     0
  )
)</f>
        <v>0</v>
      </c>
      <c r="BK66" s="17" cm="1">
        <f t="array" ref="BK66">SUMPRODUCT(
  IF($B66:$K66&lt;&gt;"",
     INDEX('Eurostat EB products IEA'!$A$4:$BN$135,
           MATCH($B66:$K66, 'Eurostat EB products IEA'!$A$4:$A$135, 0),
           MATCH(BK$1, 'Eurostat EB products IEA'!$A$4:$BN$4, 0)
     )
     * $L66:$U66,
     0
  )
)</f>
        <v>0</v>
      </c>
      <c r="BL66" s="17" cm="1">
        <f t="array" ref="BL66">SUMPRODUCT(
  IF($B66:$K66&lt;&gt;"",
     INDEX('Eurostat EB products IEA'!$A$4:$BN$135,
           MATCH($B66:$K66, 'Eurostat EB products IEA'!$A$4:$A$135, 0),
           MATCH(BL$1, 'Eurostat EB products IEA'!$A$4:$BN$4, 0)
     )
     * $L66:$U66,
     0
  )
)</f>
        <v>0</v>
      </c>
      <c r="BM66" s="17" cm="1">
        <f t="array" ref="BM66">SUMPRODUCT(
  IF($B66:$K66&lt;&gt;"",
     INDEX('Eurostat EB products IEA'!$A$4:$BN$135,
           MATCH($B66:$K66, 'Eurostat EB products IEA'!$A$4:$A$135, 0),
           MATCH(BM$1, 'Eurostat EB products IEA'!$A$4:$BN$4, 0)
     )
     * $L66:$U66,
     0
  )
)</f>
        <v>0</v>
      </c>
      <c r="BN66" s="17" cm="1">
        <f t="array" ref="BN66">SUMPRODUCT(
  IF($B66:$K66&lt;&gt;"",
     INDEX('Eurostat EB products IEA'!$A$4:$BN$135,
           MATCH($B66:$K66, 'Eurostat EB products IEA'!$A$4:$A$135, 0),
           MATCH(BN$1, 'Eurostat EB products IEA'!$A$4:$BN$4, 0)
     )
     * $L66:$U66,
     0
  )
)</f>
        <v>0</v>
      </c>
      <c r="BO66" s="17" cm="1">
        <f t="array" ref="BO66">SUMPRODUCT(
  IF($B66:$K66&lt;&gt;"",
     INDEX('Eurostat EB products IEA'!$A$4:$BN$135,
           MATCH($B66:$K66, 'Eurostat EB products IEA'!$A$4:$A$135, 0),
           MATCH(BO$1, 'Eurostat EB products IEA'!$A$4:$BN$4, 0)
     )
     * $L66:$U66,
     0
  )
)</f>
        <v>0</v>
      </c>
      <c r="BP66" s="17" cm="1">
        <f t="array" ref="BP66">SUMPRODUCT(
  IF($B66:$K66&lt;&gt;"",
     INDEX('Eurostat EB products IEA'!$A$4:$BN$135,
           MATCH($B66:$K66, 'Eurostat EB products IEA'!$A$4:$A$135, 0),
           MATCH(BP$1, 'Eurostat EB products IEA'!$A$4:$BN$4, 0)
     )
     * $L66:$U66,
     0
  )
)</f>
        <v>0</v>
      </c>
      <c r="BQ66" s="17" cm="1">
        <f t="array" ref="BQ66">SUMPRODUCT(
  IF($B66:$K66&lt;&gt;"",
     INDEX('Eurostat EB products IEA'!$A$4:$BN$135,
           MATCH($B66:$K66, 'Eurostat EB products IEA'!$A$4:$A$135, 0),
           MATCH(BQ$1, 'Eurostat EB products IEA'!$A$4:$BN$4, 0)
     )
     * $L66:$U66,
     0
  )
)</f>
        <v>0</v>
      </c>
      <c r="BR66" s="17" cm="1">
        <f t="array" ref="BR66">SUMPRODUCT(
  IF($B66:$K66&lt;&gt;"",
     INDEX('Eurostat EB products IEA'!$A$4:$BN$135,
           MATCH($B66:$K66, 'Eurostat EB products IEA'!$A$4:$A$135, 0),
           MATCH(BR$1, 'Eurostat EB products IEA'!$A$4:$BN$4, 0)
     )
     * $L66:$U66,
     0
  )
)</f>
        <v>0</v>
      </c>
      <c r="BS66" s="65">
        <v>0</v>
      </c>
      <c r="BT66" s="17" cm="1">
        <f t="array" ref="BT66">SUMPRODUCT(
  IF($B66:$K66&lt;&gt;"",
     INDEX('Eurostat EB products IEA'!$A$4:$BN$135,
           MATCH($B66:$K66, 'Eurostat EB products IEA'!$A$4:$A$135, 0),
           MATCH(BT$1, 'Eurostat EB products IEA'!$A$4:$BN$4, 0)
     )
     * $L66:$U66,
     0
  )
)</f>
        <v>0</v>
      </c>
      <c r="BU66" s="65">
        <v>0</v>
      </c>
      <c r="BV66" s="65">
        <v>0</v>
      </c>
      <c r="BW66" s="17" cm="1">
        <f t="array" ref="BW66">SUMPRODUCT(
  IF($B66:$K66&lt;&gt;"",
     INDEX('Eurostat EB products IEA'!$A$4:$BN$135,
           MATCH($B66:$K66, 'Eurostat EB products IEA'!$A$4:$A$135, 0),
           MATCH(BW$1, 'Eurostat EB products IEA'!$A$4:$BN$4, 0)
     )
     * $L66:$U66,
     0
  )
)</f>
        <v>0</v>
      </c>
      <c r="BX66" s="17" cm="1">
        <f t="array" ref="BX66">SUMPRODUCT(
  IF($B66:$K66&lt;&gt;"",
     INDEX('Eurostat EB products IEA'!$A$4:$BN$135,
           MATCH($B66:$K66, 'Eurostat EB products IEA'!$A$4:$A$135, 0),
           MATCH(BX$1, 'Eurostat EB products IEA'!$A$4:$BN$4, 0)
     )
     * $L66:$U66,
     0
  )
)</f>
        <v>0</v>
      </c>
      <c r="BY66" s="17" cm="1">
        <f t="array" ref="BY66">SUMPRODUCT(
  IF($B66:$K66&lt;&gt;"",
     INDEX('Eurostat EB products IEA'!$A$4:$BN$135,
           MATCH($B66:$K66, 'Eurostat EB products IEA'!$A$4:$A$135, 0),
           MATCH(BY$1, 'Eurostat EB products IEA'!$A$4:$BN$4, 0)
     )
     * $L66:$U66,
     0
  )
)</f>
        <v>0</v>
      </c>
      <c r="BZ66" s="17" cm="1">
        <f t="array" ref="BZ66">SUMPRODUCT(
  IF($B66:$K66&lt;&gt;"",
     INDEX('Eurostat EB products IEA'!$A$4:$BN$135,
           MATCH($B66:$K66, 'Eurostat EB products IEA'!$A$4:$A$135, 0),
           MATCH(BZ$1, 'Eurostat EB products IEA'!$A$4:$BN$4, 0)
     )
     * $L66:$U66,
     0
  )
)</f>
        <v>0</v>
      </c>
      <c r="CA66" s="17" cm="1">
        <f t="array" ref="CA66">SUMPRODUCT(
  IF($B66:$K66&lt;&gt;"",
     INDEX('Eurostat EB products IEA'!$A$4:$BN$135,
           MATCH($B66:$K66, 'Eurostat EB products IEA'!$A$4:$A$135, 0),
           MATCH(CA$1, 'Eurostat EB products IEA'!$A$4:$BN$4, 0)
     )
     * $L66:$U66,
     0
  )
)</f>
        <v>0</v>
      </c>
      <c r="CB66" s="17" cm="1">
        <f t="array" ref="CB66">SUMPRODUCT(
  IF($B66:$K66&lt;&gt;"",
     INDEX('Eurostat EB products IEA'!$A$4:$BN$135,
           MATCH($B66:$K66, 'Eurostat EB products IEA'!$A$4:$A$135, 0),
           MATCH(CB$1, 'Eurostat EB products IEA'!$A$4:$BN$4, 0)
     )
     * $L66:$U66,
     0
  )
)</f>
        <v>0</v>
      </c>
      <c r="CC66" s="17" cm="1">
        <f t="array" ref="CC66">SUMPRODUCT(
  IF($B66:$K66&lt;&gt;"",
     INDEX('Eurostat EB products IEA'!$A$4:$BN$135,
           MATCH($B66:$K66, 'Eurostat EB products IEA'!$A$4:$A$135, 0),
           MATCH(CC$1, 'Eurostat EB products IEA'!$A$4:$BN$4, 0)
     )
     * $L66:$U66,
     0
  )
)</f>
        <v>0</v>
      </c>
      <c r="CD66" s="65">
        <v>0</v>
      </c>
      <c r="CE66" s="17" cm="1">
        <f t="array" ref="CE66">SUMPRODUCT(
  IF($B66:$K66&lt;&gt;"",
     INDEX('Eurostat EB products IEA'!$A$4:$BN$135,
           MATCH($B66:$K66, 'Eurostat EB products IEA'!$A$4:$A$135, 0),
           MATCH(CE$1, 'Eurostat EB products IEA'!$A$4:$BN$4, 0)
     )
     * $L66:$U66,
     0
  )
)</f>
        <v>1427.008</v>
      </c>
      <c r="CF66" s="17" cm="1">
        <f t="array" ref="CF66">SUMPRODUCT(
  IF($B66:$K66&lt;&gt;"",
     INDEX('Eurostat EB products IEA'!$A$4:$BN$135,
           MATCH($B66:$K66, 'Eurostat EB products IEA'!$A$4:$A$135, 0),
           MATCH(CF$1, 'Eurostat EB products IEA'!$A$4:$BN$4, 0)
     )
     * $L66:$U66,
     0
  )
)</f>
        <v>369.76</v>
      </c>
      <c r="CG66" s="17" cm="1">
        <f t="array" ref="CG66">SUMPRODUCT(
  IF($B66:$K66&lt;&gt;"",
     INDEX('Eurostat EB products IEA'!$A$4:$BN$135,
           MATCH($B66:$K66, 'Eurostat EB products IEA'!$A$4:$A$135, 0),
           MATCH(CG$1, 'Eurostat EB products IEA'!$A$4:$BN$4, 0)
     )
     * $L66:$U66,
     0
  )
)</f>
        <v>3956.89</v>
      </c>
      <c r="CH66" s="17" cm="1">
        <f t="array" ref="CH66">SUMPRODUCT(
  IF($B66:$K66&lt;&gt;"",
     INDEX('Eurostat EB products IEA'!$A$4:$BN$135,
           MATCH($B66:$K66, 'Eurostat EB products IEA'!$A$4:$A$135, 0),
           MATCH(CH$1, 'Eurostat EB products IEA'!$A$4:$BN$4, 0)
     )
     * $L66:$U66,
     0
  )
)</f>
        <v>198.04300000000001</v>
      </c>
    </row>
    <row r="67" spans="1:86" x14ac:dyDescent="0.2">
      <c r="A67" t="s">
        <v>179</v>
      </c>
      <c r="B67" s="75"/>
      <c r="C67" s="77"/>
      <c r="D67" s="75"/>
      <c r="E67" s="77"/>
      <c r="F67" s="75"/>
      <c r="G67" s="77"/>
      <c r="H67" s="75"/>
      <c r="I67" s="77"/>
      <c r="J67" s="74"/>
      <c r="K67" s="78" t="s">
        <v>300</v>
      </c>
      <c r="L67" s="76"/>
      <c r="M67" s="79"/>
      <c r="N67" s="76"/>
      <c r="O67" s="79"/>
      <c r="P67" s="76"/>
      <c r="Q67" s="79"/>
      <c r="R67" s="76"/>
      <c r="S67" s="79"/>
      <c r="T67" s="76"/>
      <c r="U67" s="79">
        <v>1</v>
      </c>
      <c r="V67" s="65" t="s">
        <v>323</v>
      </c>
      <c r="W67" s="65" t="s">
        <v>323</v>
      </c>
      <c r="X67" s="57" cm="1">
        <f t="array" ref="X67">SUMPRODUCT(
  IF($B67:$K67&lt;&gt;"",
     INDEX('Eurostat EB products IEA'!$A$4:$BN$135,
           MATCH($B67:$K67, 'Eurostat EB products IEA'!$A$4:$A$135, 0),
           MATCH(X$1, 'Eurostat EB products IEA'!$A$4:$BN$4, 0)
     )
     * $L67:$U67,
     0
  )
)</f>
        <v>0</v>
      </c>
      <c r="Y67" s="57" cm="1">
        <f t="array" ref="Y67">SUMPRODUCT(
  IF($B67:$K67&lt;&gt;"",
     INDEX('Eurostat EB products IEA'!$A$4:$BN$135,
           MATCH($B67:$K67, 'Eurostat EB products IEA'!$A$4:$A$135, 0),
           MATCH(Y$1, 'Eurostat EB products IEA'!$A$4:$BN$4, 0)
     )
     * $L67:$U67,
     0
  )
)</f>
        <v>0</v>
      </c>
      <c r="Z67" s="57" cm="1">
        <f t="array" ref="Z67">SUMPRODUCT(
  IF($B67:$K67&lt;&gt;"",
     INDEX('Eurostat EB products IEA'!$A$4:$BN$135,
           MATCH($B67:$K67, 'Eurostat EB products IEA'!$A$4:$A$135, 0),
           MATCH(Z$1, 'Eurostat EB products IEA'!$A$4:$BN$4, 0)
     )
     * $L67:$U67,
     0
  )
)</f>
        <v>0</v>
      </c>
      <c r="AA67" s="57" cm="1">
        <f t="array" ref="AA67">SUMPRODUCT(
  IF($B67:$K67&lt;&gt;"",
     INDEX('Eurostat EB products IEA'!$A$4:$BN$135,
           MATCH($B67:$K67, 'Eurostat EB products IEA'!$A$4:$A$135, 0),
           MATCH(AA$1, 'Eurostat EB products IEA'!$A$4:$BN$4, 0)
     )
     * $L67:$U67,
     0
  )
)</f>
        <v>0</v>
      </c>
      <c r="AB67" s="57" cm="1">
        <f t="array" ref="AB67">SUMPRODUCT(
  IF($B67:$K67&lt;&gt;"",
     INDEX('Eurostat EB products IEA'!$A$4:$BN$135,
           MATCH($B67:$K67, 'Eurostat EB products IEA'!$A$4:$A$135, 0),
           MATCH(AB$1, 'Eurostat EB products IEA'!$A$4:$BN$4, 0)
     )
     * $L67:$U67,
     0
  )
)</f>
        <v>0</v>
      </c>
      <c r="AC67" s="57" cm="1">
        <f t="array" ref="AC67">SUMPRODUCT(
  IF($B67:$K67&lt;&gt;"",
     INDEX('Eurostat EB products IEA'!$A$4:$BN$135,
           MATCH($B67:$K67, 'Eurostat EB products IEA'!$A$4:$A$135, 0),
           MATCH(AC$1, 'Eurostat EB products IEA'!$A$4:$BN$4, 0)
     )
     * $L67:$U67,
     0
  )
)</f>
        <v>0</v>
      </c>
      <c r="AD67" s="57" cm="1">
        <f t="array" ref="AD67">SUMPRODUCT(
  IF($B67:$K67&lt;&gt;"",
     INDEX('Eurostat EB products IEA'!$A$4:$BN$135,
           MATCH($B67:$K67, 'Eurostat EB products IEA'!$A$4:$A$135, 0),
           MATCH(AD$1, 'Eurostat EB products IEA'!$A$4:$BN$4, 0)
     )
     * $L67:$U67,
     0
  )
)</f>
        <v>0</v>
      </c>
      <c r="AE67" s="57" cm="1">
        <f t="array" ref="AE67">SUMPRODUCT(
  IF($B67:$K67&lt;&gt;"",
     INDEX('Eurostat EB products IEA'!$A$4:$BN$135,
           MATCH($B67:$K67, 'Eurostat EB products IEA'!$A$4:$A$135, 0),
           MATCH(AE$1, 'Eurostat EB products IEA'!$A$4:$BN$4, 0)
     )
     * $L67:$U67,
     0
  )
)</f>
        <v>0</v>
      </c>
      <c r="AF67" s="57" cm="1">
        <f t="array" ref="AF67">SUMPRODUCT(
  IF($B67:$K67&lt;&gt;"",
     INDEX('Eurostat EB products IEA'!$A$4:$BN$135,
           MATCH($B67:$K67, 'Eurostat EB products IEA'!$A$4:$A$135, 0),
           MATCH(AF$1, 'Eurostat EB products IEA'!$A$4:$BN$4, 0)
     )
     * $L67:$U67,
     0
  )
)</f>
        <v>0</v>
      </c>
      <c r="AG67" s="57" cm="1">
        <f t="array" ref="AG67">SUMPRODUCT(
  IF($B67:$K67&lt;&gt;"",
     INDEX('Eurostat EB products IEA'!$A$4:$BN$135,
           MATCH($B67:$K67, 'Eurostat EB products IEA'!$A$4:$A$135, 0),
           MATCH(AG$1, 'Eurostat EB products IEA'!$A$4:$BN$4, 0)
     )
     * $L67:$U67,
     0
  )
)</f>
        <v>0</v>
      </c>
      <c r="AH67" s="57" cm="1">
        <f t="array" ref="AH67">SUMPRODUCT(
  IF($B67:$K67&lt;&gt;"",
     INDEX('Eurostat EB products IEA'!$A$4:$BN$135,
           MATCH($B67:$K67, 'Eurostat EB products IEA'!$A$4:$A$135, 0),
           MATCH(AH$1, 'Eurostat EB products IEA'!$A$4:$BN$4, 0)
     )
     * $L67:$U67,
     0
  )
)</f>
        <v>0</v>
      </c>
      <c r="AI67" s="57" cm="1">
        <f t="array" ref="AI67">SUMPRODUCT(
  IF($B67:$K67&lt;&gt;"",
     INDEX('Eurostat EB products IEA'!$A$4:$BN$135,
           MATCH($B67:$K67, 'Eurostat EB products IEA'!$A$4:$A$135, 0),
           MATCH(AI$1, 'Eurostat EB products IEA'!$A$4:$BN$4, 0)
     )
     * $L67:$U67,
     0
  )
)</f>
        <v>0</v>
      </c>
      <c r="AJ67" s="57" cm="1">
        <f t="array" ref="AJ67">SUMPRODUCT(
  IF($B67:$K67&lt;&gt;"",
     INDEX('Eurostat EB products IEA'!$A$4:$BN$135,
           MATCH($B67:$K67, 'Eurostat EB products IEA'!$A$4:$A$135, 0),
           MATCH(AJ$1, 'Eurostat EB products IEA'!$A$4:$BN$4, 0)
     )
     * $L67:$U67,
     0
  )
)</f>
        <v>0</v>
      </c>
      <c r="AK67" s="57" cm="1">
        <f t="array" ref="AK67">SUMPRODUCT(
  IF($B67:$K67&lt;&gt;"",
     INDEX('Eurostat EB products IEA'!$A$4:$BN$135,
           MATCH($B67:$K67, 'Eurostat EB products IEA'!$A$4:$A$135, 0),
           MATCH(AK$1, 'Eurostat EB products IEA'!$A$4:$BN$4, 0)
     )
     * $L67:$U67,
     0
  )
)</f>
        <v>0</v>
      </c>
      <c r="AL67" s="57" cm="1">
        <f t="array" ref="AL67">SUMPRODUCT(
  IF($B67:$K67&lt;&gt;"",
     INDEX('Eurostat EB products IEA'!$A$4:$BN$135,
           MATCH($B67:$K67, 'Eurostat EB products IEA'!$A$4:$A$135, 0),
           MATCH(AL$1, 'Eurostat EB products IEA'!$A$4:$BN$4, 0)
     )
     * $L67:$U67,
     0
  )
)</f>
        <v>0</v>
      </c>
      <c r="AM67" s="57" cm="1">
        <f t="array" ref="AM67">SUMPRODUCT(
  IF($B67:$K67&lt;&gt;"",
     INDEX('Eurostat EB products IEA'!$A$4:$BN$135,
           MATCH($B67:$K67, 'Eurostat EB products IEA'!$A$4:$A$135, 0),
           MATCH(AM$1, 'Eurostat EB products IEA'!$A$4:$BN$4, 0)
     )
     * $L67:$U67,
     0
  )
)</f>
        <v>3479.12</v>
      </c>
      <c r="AN67" s="65" t="s">
        <v>323</v>
      </c>
      <c r="AO67" s="57" cm="1">
        <f t="array" ref="AO67">SUMPRODUCT(
  IF($B67:$K67&lt;&gt;"",
     INDEX('Eurostat EB products IEA'!$A$4:$BN$135,
           MATCH($B67:$K67, 'Eurostat EB products IEA'!$A$4:$A$135, 0),
           MATCH(AO$1, 'Eurostat EB products IEA'!$A$4:$BN$4, 0)
     )
     * $L67:$U67,
     0
  )
)</f>
        <v>0</v>
      </c>
      <c r="AP67" s="57" cm="1">
        <f t="array" ref="AP67">SUMPRODUCT(
  IF($B67:$K67&lt;&gt;"",
     INDEX('Eurostat EB products IEA'!$A$4:$BN$135,
           MATCH($B67:$K67, 'Eurostat EB products IEA'!$A$4:$A$135, 0),
           MATCH(AP$1, 'Eurostat EB products IEA'!$A$4:$BN$4, 0)
     )
     * $L67:$U67,
     0
  )
)</f>
        <v>0</v>
      </c>
      <c r="AQ67" s="57" cm="1">
        <f t="array" ref="AQ67">SUMPRODUCT(
  IF($B67:$K67&lt;&gt;"",
     INDEX('Eurostat EB products IEA'!$A$4:$BN$135,
           MATCH($B67:$K67, 'Eurostat EB products IEA'!$A$4:$A$135, 0),
           MATCH(AQ$1, 'Eurostat EB products IEA'!$A$4:$BN$4, 0)
     )
     * $L67:$U67,
     0
  )
)</f>
        <v>0</v>
      </c>
      <c r="AR67" s="57" cm="1">
        <f t="array" ref="AR67">SUMPRODUCT(
  IF($B67:$K67&lt;&gt;"",
     INDEX('Eurostat EB products IEA'!$A$4:$BN$135,
           MATCH($B67:$K67, 'Eurostat EB products IEA'!$A$4:$A$135, 0),
           MATCH(AR$1, 'Eurostat EB products IEA'!$A$4:$BN$4, 0)
     )
     * $L67:$U67,
     0
  )
)</f>
        <v>0</v>
      </c>
      <c r="AS67" s="57" cm="1">
        <f t="array" ref="AS67">SUMPRODUCT(
  IF($B67:$K67&lt;&gt;"",
     INDEX('Eurostat EB products IEA'!$A$4:$BN$135,
           MATCH($B67:$K67, 'Eurostat EB products IEA'!$A$4:$A$135, 0),
           MATCH(AS$1, 'Eurostat EB products IEA'!$A$4:$BN$4, 0)
     )
     * $L67:$U67,
     0
  )
)</f>
        <v>0</v>
      </c>
      <c r="AT67" s="57" cm="1">
        <f t="array" ref="AT67">SUMPRODUCT(
  IF($B67:$K67&lt;&gt;"",
     INDEX('Eurostat EB products IEA'!$A$4:$BN$135,
           MATCH($B67:$K67, 'Eurostat EB products IEA'!$A$4:$A$135, 0),
           MATCH(AT$1, 'Eurostat EB products IEA'!$A$4:$BN$4, 0)
     )
     * $L67:$U67,
     0
  )
)</f>
        <v>0</v>
      </c>
      <c r="AU67" s="57" cm="1">
        <f t="array" ref="AU67">SUMPRODUCT(
  IF($B67:$K67&lt;&gt;"",
     INDEX('Eurostat EB products IEA'!$A$4:$BN$135,
           MATCH($B67:$K67, 'Eurostat EB products IEA'!$A$4:$A$135, 0),
           MATCH(AU$1, 'Eurostat EB products IEA'!$A$4:$BN$4, 0)
     )
     * $L67:$U67,
     0
  )
)</f>
        <v>0</v>
      </c>
      <c r="AV67" s="57" cm="1">
        <f t="array" ref="AV67">SUMPRODUCT(
  IF($B67:$K67&lt;&gt;"",
     INDEX('Eurostat EB products IEA'!$A$4:$BN$135,
           MATCH($B67:$K67, 'Eurostat EB products IEA'!$A$4:$A$135, 0),
           MATCH(AV$1, 'Eurostat EB products IEA'!$A$4:$BN$4, 0)
     )
     * $L67:$U67,
     0
  )
)</f>
        <v>263.83999999999997</v>
      </c>
      <c r="AW67" s="57" cm="1">
        <f t="array" ref="AW67">SUMPRODUCT(
  IF($B67:$K67&lt;&gt;"",
     INDEX('Eurostat EB products IEA'!$A$4:$BN$135,
           MATCH($B67:$K67, 'Eurostat EB products IEA'!$A$4:$A$135, 0),
           MATCH(AW$1, 'Eurostat EB products IEA'!$A$4:$BN$4, 0)
     )
     * $L67:$U67,
     0
  )
)</f>
        <v>0</v>
      </c>
      <c r="AX67" s="57" cm="1">
        <f t="array" ref="AX67">SUMPRODUCT(
  IF($B67:$K67&lt;&gt;"",
     INDEX('Eurostat EB products IEA'!$A$4:$BN$135,
           MATCH($B67:$K67, 'Eurostat EB products IEA'!$A$4:$A$135, 0),
           MATCH(AX$1, 'Eurostat EB products IEA'!$A$4:$BN$4, 0)
     )
     * $L67:$U67,
     0
  )
)</f>
        <v>0</v>
      </c>
      <c r="AY67" s="57" cm="1">
        <f t="array" ref="AY67">SUMPRODUCT(
  IF($B67:$K67&lt;&gt;"",
     INDEX('Eurostat EB products IEA'!$A$4:$BN$135,
           MATCH($B67:$K67, 'Eurostat EB products IEA'!$A$4:$A$135, 0),
           MATCH(AY$1, 'Eurostat EB products IEA'!$A$4:$BN$4, 0)
     )
     * $L67:$U67,
     0
  )
)</f>
        <v>0</v>
      </c>
      <c r="AZ67" s="57" cm="1">
        <f t="array" ref="AZ67">SUMPRODUCT(
  IF($B67:$K67&lt;&gt;"",
     INDEX('Eurostat EB products IEA'!$A$4:$BN$135,
           MATCH($B67:$K67, 'Eurostat EB products IEA'!$A$4:$A$135, 0),
           MATCH(AZ$1, 'Eurostat EB products IEA'!$A$4:$BN$4, 0)
     )
     * $L67:$U67,
     0
  )
)</f>
        <v>0</v>
      </c>
      <c r="BA67" s="57" cm="1">
        <f t="array" ref="BA67">SUMPRODUCT(
  IF($B67:$K67&lt;&gt;"",
     INDEX('Eurostat EB products IEA'!$A$4:$BN$135,
           MATCH($B67:$K67, 'Eurostat EB products IEA'!$A$4:$A$135, 0),
           MATCH(BA$1, 'Eurostat EB products IEA'!$A$4:$BN$4, 0)
     )
     * $L67:$U67,
     0
  )
)</f>
        <v>0</v>
      </c>
      <c r="BB67" s="57" cm="1">
        <f t="array" ref="BB67">SUMPRODUCT(
  IF($B67:$K67&lt;&gt;"",
     INDEX('Eurostat EB products IEA'!$A$4:$BN$135,
           MATCH($B67:$K67, 'Eurostat EB products IEA'!$A$4:$A$135, 0),
           MATCH(BB$1, 'Eurostat EB products IEA'!$A$4:$BN$4, 0)
     )
     * $L67:$U67,
     0
  )
)</f>
        <v>2.847</v>
      </c>
      <c r="BC67" s="57" cm="1">
        <f t="array" ref="BC67">SUMPRODUCT(
  IF($B67:$K67&lt;&gt;"",
     INDEX('Eurostat EB products IEA'!$A$4:$BN$135,
           MATCH($B67:$K67, 'Eurostat EB products IEA'!$A$4:$A$135, 0),
           MATCH(BC$1, 'Eurostat EB products IEA'!$A$4:$BN$4, 0)
     )
     * $L67:$U67,
     0
  )
)</f>
        <v>0</v>
      </c>
      <c r="BD67" s="57" cm="1">
        <f t="array" ref="BD67">SUMPRODUCT(
  IF($B67:$K67&lt;&gt;"",
     INDEX('Eurostat EB products IEA'!$A$4:$BN$135,
           MATCH($B67:$K67, 'Eurostat EB products IEA'!$A$4:$A$135, 0),
           MATCH(BD$1, 'Eurostat EB products IEA'!$A$4:$BN$4, 0)
     )
     * $L67:$U67,
     0
  )
)</f>
        <v>0</v>
      </c>
      <c r="BE67" s="57" cm="1">
        <f t="array" ref="BE67">SUMPRODUCT(
  IF($B67:$K67&lt;&gt;"",
     INDEX('Eurostat EB products IEA'!$A$4:$BN$135,
           MATCH($B67:$K67, 'Eurostat EB products IEA'!$A$4:$A$135, 0),
           MATCH(BE$1, 'Eurostat EB products IEA'!$A$4:$BN$4, 0)
     )
     * $L67:$U67,
     0
  )
)</f>
        <v>0</v>
      </c>
      <c r="BF67" s="57" cm="1">
        <f t="array" ref="BF67">SUMPRODUCT(
  IF($B67:$K67&lt;&gt;"",
     INDEX('Eurostat EB products IEA'!$A$4:$BN$135,
           MATCH($B67:$K67, 'Eurostat EB products IEA'!$A$4:$A$135, 0),
           MATCH(BF$1, 'Eurostat EB products IEA'!$A$4:$BN$4, 0)
     )
     * $L67:$U67,
     0
  )
)</f>
        <v>0</v>
      </c>
      <c r="BG67" s="57" cm="1">
        <f t="array" ref="BG67">SUMPRODUCT(
  IF($B67:$K67&lt;&gt;"",
     INDEX('Eurostat EB products IEA'!$A$4:$BN$135,
           MATCH($B67:$K67, 'Eurostat EB products IEA'!$A$4:$A$135, 0),
           MATCH(BG$1, 'Eurostat EB products IEA'!$A$4:$BN$4, 0)
     )
     * $L67:$U67,
     0
  )
)</f>
        <v>0</v>
      </c>
      <c r="BH67" s="57" cm="1">
        <f t="array" ref="BH67">SUMPRODUCT(
  IF($B67:$K67&lt;&gt;"",
     INDEX('Eurostat EB products IEA'!$A$4:$BN$135,
           MATCH($B67:$K67, 'Eurostat EB products IEA'!$A$4:$A$135, 0),
           MATCH(BH$1, 'Eurostat EB products IEA'!$A$4:$BN$4, 0)
     )
     * $L67:$U67,
     0
  )
)</f>
        <v>0</v>
      </c>
      <c r="BI67" s="57" cm="1">
        <f t="array" ref="BI67">SUMPRODUCT(
  IF($B67:$K67&lt;&gt;"",
     INDEX('Eurostat EB products IEA'!$A$4:$BN$135,
           MATCH($B67:$K67, 'Eurostat EB products IEA'!$A$4:$A$135, 0),
           MATCH(BI$1, 'Eurostat EB products IEA'!$A$4:$BN$4, 0)
     )
     * $L67:$U67,
     0
  )
)</f>
        <v>0</v>
      </c>
      <c r="BJ67" s="57" cm="1">
        <f t="array" ref="BJ67">SUMPRODUCT(
  IF($B67:$K67&lt;&gt;"",
     INDEX('Eurostat EB products IEA'!$A$4:$BN$135,
           MATCH($B67:$K67, 'Eurostat EB products IEA'!$A$4:$A$135, 0),
           MATCH(BJ$1, 'Eurostat EB products IEA'!$A$4:$BN$4, 0)
     )
     * $L67:$U67,
     0
  )
)</f>
        <v>0</v>
      </c>
      <c r="BK67" s="57" cm="1">
        <f t="array" ref="BK67">SUMPRODUCT(
  IF($B67:$K67&lt;&gt;"",
     INDEX('Eurostat EB products IEA'!$A$4:$BN$135,
           MATCH($B67:$K67, 'Eurostat EB products IEA'!$A$4:$A$135, 0),
           MATCH(BK$1, 'Eurostat EB products IEA'!$A$4:$BN$4, 0)
     )
     * $L67:$U67,
     0
  )
)</f>
        <v>0</v>
      </c>
      <c r="BL67" s="57" cm="1">
        <f t="array" ref="BL67">SUMPRODUCT(
  IF($B67:$K67&lt;&gt;"",
     INDEX('Eurostat EB products IEA'!$A$4:$BN$135,
           MATCH($B67:$K67, 'Eurostat EB products IEA'!$A$4:$A$135, 0),
           MATCH(BL$1, 'Eurostat EB products IEA'!$A$4:$BN$4, 0)
     )
     * $L67:$U67,
     0
  )
)</f>
        <v>0</v>
      </c>
      <c r="BM67" s="57" cm="1">
        <f t="array" ref="BM67">SUMPRODUCT(
  IF($B67:$K67&lt;&gt;"",
     INDEX('Eurostat EB products IEA'!$A$4:$BN$135,
           MATCH($B67:$K67, 'Eurostat EB products IEA'!$A$4:$A$135, 0),
           MATCH(BM$1, 'Eurostat EB products IEA'!$A$4:$BN$4, 0)
     )
     * $L67:$U67,
     0
  )
)</f>
        <v>0</v>
      </c>
      <c r="BN67" s="57" cm="1">
        <f t="array" ref="BN67">SUMPRODUCT(
  IF($B67:$K67&lt;&gt;"",
     INDEX('Eurostat EB products IEA'!$A$4:$BN$135,
           MATCH($B67:$K67, 'Eurostat EB products IEA'!$A$4:$A$135, 0),
           MATCH(BN$1, 'Eurostat EB products IEA'!$A$4:$BN$4, 0)
     )
     * $L67:$U67,
     0
  )
)</f>
        <v>1750.441</v>
      </c>
      <c r="BO67" s="57" cm="1">
        <f t="array" ref="BO67">SUMPRODUCT(
  IF($B67:$K67&lt;&gt;"",
     INDEX('Eurostat EB products IEA'!$A$4:$BN$135,
           MATCH($B67:$K67, 'Eurostat EB products IEA'!$A$4:$A$135, 0),
           MATCH(BO$1, 'Eurostat EB products IEA'!$A$4:$BN$4, 0)
     )
     * $L67:$U67,
     0
  )
)</f>
        <v>96.387</v>
      </c>
      <c r="BP67" s="57" cm="1">
        <f t="array" ref="BP67">SUMPRODUCT(
  IF($B67:$K67&lt;&gt;"",
     INDEX('Eurostat EB products IEA'!$A$4:$BN$135,
           MATCH($B67:$K67, 'Eurostat EB products IEA'!$A$4:$A$135, 0),
           MATCH(BP$1, 'Eurostat EB products IEA'!$A$4:$BN$4, 0)
     )
     * $L67:$U67,
     0
  )
)</f>
        <v>0</v>
      </c>
      <c r="BQ67" s="57" cm="1">
        <f t="array" ref="BQ67">SUMPRODUCT(
  IF($B67:$K67&lt;&gt;"",
     INDEX('Eurostat EB products IEA'!$A$4:$BN$135,
           MATCH($B67:$K67, 'Eurostat EB products IEA'!$A$4:$A$135, 0),
           MATCH(BQ$1, 'Eurostat EB products IEA'!$A$4:$BN$4, 0)
     )
     * $L67:$U67,
     0
  )
)</f>
        <v>0</v>
      </c>
      <c r="BR67" s="57" cm="1">
        <f t="array" ref="BR67">SUMPRODUCT(
  IF($B67:$K67&lt;&gt;"",
     INDEX('Eurostat EB products IEA'!$A$4:$BN$135,
           MATCH($B67:$K67, 'Eurostat EB products IEA'!$A$4:$A$135, 0),
           MATCH(BR$1, 'Eurostat EB products IEA'!$A$4:$BN$4, 0)
     )
     * $L67:$U67,
     0
  )
)</f>
        <v>0</v>
      </c>
      <c r="BS67" s="65">
        <v>0</v>
      </c>
      <c r="BT67" s="57" cm="1">
        <f t="array" ref="BT67">SUMPRODUCT(
  IF($B67:$K67&lt;&gt;"",
     INDEX('Eurostat EB products IEA'!$A$4:$BN$135,
           MATCH($B67:$K67, 'Eurostat EB products IEA'!$A$4:$A$135, 0),
           MATCH(BT$1, 'Eurostat EB products IEA'!$A$4:$BN$4, 0)
     )
     * $L67:$U67,
     0
  )
)</f>
        <v>0</v>
      </c>
      <c r="BU67" s="65">
        <v>0</v>
      </c>
      <c r="BV67" s="65">
        <v>0</v>
      </c>
      <c r="BW67" s="57" cm="1">
        <f t="array" ref="BW67">SUMPRODUCT(
  IF($B67:$K67&lt;&gt;"",
     INDEX('Eurostat EB products IEA'!$A$4:$BN$135,
           MATCH($B67:$K67, 'Eurostat EB products IEA'!$A$4:$A$135, 0),
           MATCH(BW$1, 'Eurostat EB products IEA'!$A$4:$BN$4, 0)
     )
     * $L67:$U67,
     0
  )
)</f>
        <v>0</v>
      </c>
      <c r="BX67" s="57" cm="1">
        <f t="array" ref="BX67">SUMPRODUCT(
  IF($B67:$K67&lt;&gt;"",
     INDEX('Eurostat EB products IEA'!$A$4:$BN$135,
           MATCH($B67:$K67, 'Eurostat EB products IEA'!$A$4:$A$135, 0),
           MATCH(BX$1, 'Eurostat EB products IEA'!$A$4:$BN$4, 0)
     )
     * $L67:$U67,
     0
  )
)</f>
        <v>0</v>
      </c>
      <c r="BY67" s="57" cm="1">
        <f t="array" ref="BY67">SUMPRODUCT(
  IF($B67:$K67&lt;&gt;"",
     INDEX('Eurostat EB products IEA'!$A$4:$BN$135,
           MATCH($B67:$K67, 'Eurostat EB products IEA'!$A$4:$A$135, 0),
           MATCH(BY$1, 'Eurostat EB products IEA'!$A$4:$BN$4, 0)
     )
     * $L67:$U67,
     0
  )
)</f>
        <v>0</v>
      </c>
      <c r="BZ67" s="57" cm="1">
        <f t="array" ref="BZ67">SUMPRODUCT(
  IF($B67:$K67&lt;&gt;"",
     INDEX('Eurostat EB products IEA'!$A$4:$BN$135,
           MATCH($B67:$K67, 'Eurostat EB products IEA'!$A$4:$A$135, 0),
           MATCH(BZ$1, 'Eurostat EB products IEA'!$A$4:$BN$4, 0)
     )
     * $L67:$U67,
     0
  )
)</f>
        <v>0</v>
      </c>
      <c r="CA67" s="57" cm="1">
        <f t="array" ref="CA67">SUMPRODUCT(
  IF($B67:$K67&lt;&gt;"",
     INDEX('Eurostat EB products IEA'!$A$4:$BN$135,
           MATCH($B67:$K67, 'Eurostat EB products IEA'!$A$4:$A$135, 0),
           MATCH(CA$1, 'Eurostat EB products IEA'!$A$4:$BN$4, 0)
     )
     * $L67:$U67,
     0
  )
)</f>
        <v>0</v>
      </c>
      <c r="CB67" s="57" cm="1">
        <f t="array" ref="CB67">SUMPRODUCT(
  IF($B67:$K67&lt;&gt;"",
     INDEX('Eurostat EB products IEA'!$A$4:$BN$135,
           MATCH($B67:$K67, 'Eurostat EB products IEA'!$A$4:$A$135, 0),
           MATCH(CB$1, 'Eurostat EB products IEA'!$A$4:$BN$4, 0)
     )
     * $L67:$U67,
     0
  )
)</f>
        <v>0</v>
      </c>
      <c r="CC67" s="57" cm="1">
        <f t="array" ref="CC67">SUMPRODUCT(
  IF($B67:$K67&lt;&gt;"",
     INDEX('Eurostat EB products IEA'!$A$4:$BN$135,
           MATCH($B67:$K67, 'Eurostat EB products IEA'!$A$4:$A$135, 0),
           MATCH(CC$1, 'Eurostat EB products IEA'!$A$4:$BN$4, 0)
     )
     * $L67:$U67,
     0
  )
)</f>
        <v>0</v>
      </c>
      <c r="CD67" s="65">
        <v>0</v>
      </c>
      <c r="CE67" s="57" cm="1">
        <f t="array" ref="CE67">SUMPRODUCT(
  IF($B67:$K67&lt;&gt;"",
     INDEX('Eurostat EB products IEA'!$A$4:$BN$135,
           MATCH($B67:$K67, 'Eurostat EB products IEA'!$A$4:$A$135, 0),
           MATCH(CE$1, 'Eurostat EB products IEA'!$A$4:$BN$4, 0)
     )
     * $L67:$U67,
     0
  )
)</f>
        <v>6917.1049999999996</v>
      </c>
      <c r="CF67" s="57" cm="1">
        <f t="array" ref="CF67">SUMPRODUCT(
  IF($B67:$K67&lt;&gt;"",
     INDEX('Eurostat EB products IEA'!$A$4:$BN$135,
           MATCH($B67:$K67, 'Eurostat EB products IEA'!$A$4:$A$135, 0),
           MATCH(CF$1, 'Eurostat EB products IEA'!$A$4:$BN$4, 0)
     )
     * $L67:$U67,
     0
  )
)</f>
        <v>395.89100000000002</v>
      </c>
      <c r="CG67" s="57" cm="1">
        <f t="array" ref="CG67">SUMPRODUCT(
  IF($B67:$K67&lt;&gt;"",
     INDEX('Eurostat EB products IEA'!$A$4:$BN$135,
           MATCH($B67:$K67, 'Eurostat EB products IEA'!$A$4:$A$135, 0),
           MATCH(CG$1, 'Eurostat EB products IEA'!$A$4:$BN$4, 0)
     )
     * $L67:$U67,
     0
  )
)</f>
        <v>12905.630999999999</v>
      </c>
      <c r="CH67" s="57" cm="1">
        <f t="array" ref="CH67">SUMPRODUCT(
  IF($B67:$K67&lt;&gt;"",
     INDEX('Eurostat EB products IEA'!$A$4:$BN$135,
           MATCH($B67:$K67, 'Eurostat EB products IEA'!$A$4:$A$135, 0),
           MATCH(CH$1, 'Eurostat EB products IEA'!$A$4:$BN$4, 0)
     )
     * $L67:$U67,
     0
  )
)</f>
        <v>2429.87</v>
      </c>
    </row>
    <row r="68" spans="1:86" x14ac:dyDescent="0.2">
      <c r="A68" t="s">
        <v>180</v>
      </c>
      <c r="B68" s="75"/>
      <c r="C68" s="77"/>
      <c r="D68" s="75"/>
      <c r="E68" s="77"/>
      <c r="F68" s="75"/>
      <c r="G68" s="77"/>
      <c r="H68" s="75"/>
      <c r="I68" s="77"/>
      <c r="J68" s="74"/>
      <c r="K68" s="78" t="s">
        <v>301</v>
      </c>
      <c r="L68" s="76"/>
      <c r="M68" s="79"/>
      <c r="N68" s="76"/>
      <c r="O68" s="79"/>
      <c r="P68" s="76"/>
      <c r="Q68" s="79"/>
      <c r="R68" s="76"/>
      <c r="S68" s="79"/>
      <c r="T68" s="76"/>
      <c r="U68" s="79">
        <v>1</v>
      </c>
      <c r="V68" s="65" t="s">
        <v>323</v>
      </c>
      <c r="W68" s="65" t="s">
        <v>323</v>
      </c>
      <c r="X68" s="17" cm="1">
        <f t="array" ref="X68">SUMPRODUCT(
  IF($B68:$K68&lt;&gt;"",
     INDEX('Eurostat EB products IEA'!$A$4:$BN$135,
           MATCH($B68:$K68, 'Eurostat EB products IEA'!$A$4:$A$135, 0),
           MATCH(X$1, 'Eurostat EB products IEA'!$A$4:$BN$4, 0)
     )
     * $L68:$U68,
     0
  )
)</f>
        <v>0</v>
      </c>
      <c r="Y68" s="17" cm="1">
        <f t="array" ref="Y68">SUMPRODUCT(
  IF($B68:$K68&lt;&gt;"",
     INDEX('Eurostat EB products IEA'!$A$4:$BN$135,
           MATCH($B68:$K68, 'Eurostat EB products IEA'!$A$4:$A$135, 0),
           MATCH(Y$1, 'Eurostat EB products IEA'!$A$4:$BN$4, 0)
     )
     * $L68:$U68,
     0
  )
)</f>
        <v>0</v>
      </c>
      <c r="Z68" s="17" cm="1">
        <f t="array" ref="Z68">SUMPRODUCT(
  IF($B68:$K68&lt;&gt;"",
     INDEX('Eurostat EB products IEA'!$A$4:$BN$135,
           MATCH($B68:$K68, 'Eurostat EB products IEA'!$A$4:$A$135, 0),
           MATCH(Z$1, 'Eurostat EB products IEA'!$A$4:$BN$4, 0)
     )
     * $L68:$U68,
     0
  )
)</f>
        <v>0</v>
      </c>
      <c r="AA68" s="17" cm="1">
        <f t="array" ref="AA68">SUMPRODUCT(
  IF($B68:$K68&lt;&gt;"",
     INDEX('Eurostat EB products IEA'!$A$4:$BN$135,
           MATCH($B68:$K68, 'Eurostat EB products IEA'!$A$4:$A$135, 0),
           MATCH(AA$1, 'Eurostat EB products IEA'!$A$4:$BN$4, 0)
     )
     * $L68:$U68,
     0
  )
)</f>
        <v>0</v>
      </c>
      <c r="AB68" s="17" cm="1">
        <f t="array" ref="AB68">SUMPRODUCT(
  IF($B68:$K68&lt;&gt;"",
     INDEX('Eurostat EB products IEA'!$A$4:$BN$135,
           MATCH($B68:$K68, 'Eurostat EB products IEA'!$A$4:$A$135, 0),
           MATCH(AB$1, 'Eurostat EB products IEA'!$A$4:$BN$4, 0)
     )
     * $L68:$U68,
     0
  )
)</f>
        <v>0</v>
      </c>
      <c r="AC68" s="17" cm="1">
        <f t="array" ref="AC68">SUMPRODUCT(
  IF($B68:$K68&lt;&gt;"",
     INDEX('Eurostat EB products IEA'!$A$4:$BN$135,
           MATCH($B68:$K68, 'Eurostat EB products IEA'!$A$4:$A$135, 0),
           MATCH(AC$1, 'Eurostat EB products IEA'!$A$4:$BN$4, 0)
     )
     * $L68:$U68,
     0
  )
)</f>
        <v>0</v>
      </c>
      <c r="AD68" s="17" cm="1">
        <f t="array" ref="AD68">SUMPRODUCT(
  IF($B68:$K68&lt;&gt;"",
     INDEX('Eurostat EB products IEA'!$A$4:$BN$135,
           MATCH($B68:$K68, 'Eurostat EB products IEA'!$A$4:$A$135, 0),
           MATCH(AD$1, 'Eurostat EB products IEA'!$A$4:$BN$4, 0)
     )
     * $L68:$U68,
     0
  )
)</f>
        <v>0</v>
      </c>
      <c r="AE68" s="17" cm="1">
        <f t="array" ref="AE68">SUMPRODUCT(
  IF($B68:$K68&lt;&gt;"",
     INDEX('Eurostat EB products IEA'!$A$4:$BN$135,
           MATCH($B68:$K68, 'Eurostat EB products IEA'!$A$4:$A$135, 0),
           MATCH(AE$1, 'Eurostat EB products IEA'!$A$4:$BN$4, 0)
     )
     * $L68:$U68,
     0
  )
)</f>
        <v>0</v>
      </c>
      <c r="AF68" s="17" cm="1">
        <f t="array" ref="AF68">SUMPRODUCT(
  IF($B68:$K68&lt;&gt;"",
     INDEX('Eurostat EB products IEA'!$A$4:$BN$135,
           MATCH($B68:$K68, 'Eurostat EB products IEA'!$A$4:$A$135, 0),
           MATCH(AF$1, 'Eurostat EB products IEA'!$A$4:$BN$4, 0)
     )
     * $L68:$U68,
     0
  )
)</f>
        <v>0</v>
      </c>
      <c r="AG68" s="17" cm="1">
        <f t="array" ref="AG68">SUMPRODUCT(
  IF($B68:$K68&lt;&gt;"",
     INDEX('Eurostat EB products IEA'!$A$4:$BN$135,
           MATCH($B68:$K68, 'Eurostat EB products IEA'!$A$4:$A$135, 0),
           MATCH(AG$1, 'Eurostat EB products IEA'!$A$4:$BN$4, 0)
     )
     * $L68:$U68,
     0
  )
)</f>
        <v>0</v>
      </c>
      <c r="AH68" s="17" cm="1">
        <f t="array" ref="AH68">SUMPRODUCT(
  IF($B68:$K68&lt;&gt;"",
     INDEX('Eurostat EB products IEA'!$A$4:$BN$135,
           MATCH($B68:$K68, 'Eurostat EB products IEA'!$A$4:$A$135, 0),
           MATCH(AH$1, 'Eurostat EB products IEA'!$A$4:$BN$4, 0)
     )
     * $L68:$U68,
     0
  )
)</f>
        <v>0</v>
      </c>
      <c r="AI68" s="17" cm="1">
        <f t="array" ref="AI68">SUMPRODUCT(
  IF($B68:$K68&lt;&gt;"",
     INDEX('Eurostat EB products IEA'!$A$4:$BN$135,
           MATCH($B68:$K68, 'Eurostat EB products IEA'!$A$4:$A$135, 0),
           MATCH(AI$1, 'Eurostat EB products IEA'!$A$4:$BN$4, 0)
     )
     * $L68:$U68,
     0
  )
)</f>
        <v>0</v>
      </c>
      <c r="AJ68" s="17" cm="1">
        <f t="array" ref="AJ68">SUMPRODUCT(
  IF($B68:$K68&lt;&gt;"",
     INDEX('Eurostat EB products IEA'!$A$4:$BN$135,
           MATCH($B68:$K68, 'Eurostat EB products IEA'!$A$4:$A$135, 0),
           MATCH(AJ$1, 'Eurostat EB products IEA'!$A$4:$BN$4, 0)
     )
     * $L68:$U68,
     0
  )
)</f>
        <v>0</v>
      </c>
      <c r="AK68" s="17" cm="1">
        <f t="array" ref="AK68">SUMPRODUCT(
  IF($B68:$K68&lt;&gt;"",
     INDEX('Eurostat EB products IEA'!$A$4:$BN$135,
           MATCH($B68:$K68, 'Eurostat EB products IEA'!$A$4:$A$135, 0),
           MATCH(AK$1, 'Eurostat EB products IEA'!$A$4:$BN$4, 0)
     )
     * $L68:$U68,
     0
  )
)</f>
        <v>0</v>
      </c>
      <c r="AL68" s="17" cm="1">
        <f t="array" ref="AL68">SUMPRODUCT(
  IF($B68:$K68&lt;&gt;"",
     INDEX('Eurostat EB products IEA'!$A$4:$BN$135,
           MATCH($B68:$K68, 'Eurostat EB products IEA'!$A$4:$A$135, 0),
           MATCH(AL$1, 'Eurostat EB products IEA'!$A$4:$BN$4, 0)
     )
     * $L68:$U68,
     0
  )
)</f>
        <v>0</v>
      </c>
      <c r="AM68" s="17" cm="1">
        <f t="array" ref="AM68">SUMPRODUCT(
  IF($B68:$K68&lt;&gt;"",
     INDEX('Eurostat EB products IEA'!$A$4:$BN$135,
           MATCH($B68:$K68, 'Eurostat EB products IEA'!$A$4:$A$135, 0),
           MATCH(AM$1, 'Eurostat EB products IEA'!$A$4:$BN$4, 0)
     )
     * $L68:$U68,
     0
  )
)</f>
        <v>2672.3560000000002</v>
      </c>
      <c r="AN68" s="65" t="s">
        <v>323</v>
      </c>
      <c r="AO68" s="17" cm="1">
        <f t="array" ref="AO68">SUMPRODUCT(
  IF($B68:$K68&lt;&gt;"",
     INDEX('Eurostat EB products IEA'!$A$4:$BN$135,
           MATCH($B68:$K68, 'Eurostat EB products IEA'!$A$4:$A$135, 0),
           MATCH(AO$1, 'Eurostat EB products IEA'!$A$4:$BN$4, 0)
     )
     * $L68:$U68,
     0
  )
)</f>
        <v>0</v>
      </c>
      <c r="AP68" s="17" cm="1">
        <f t="array" ref="AP68">SUMPRODUCT(
  IF($B68:$K68&lt;&gt;"",
     INDEX('Eurostat EB products IEA'!$A$4:$BN$135,
           MATCH($B68:$K68, 'Eurostat EB products IEA'!$A$4:$A$135, 0),
           MATCH(AP$1, 'Eurostat EB products IEA'!$A$4:$BN$4, 0)
     )
     * $L68:$U68,
     0
  )
)</f>
        <v>0</v>
      </c>
      <c r="AQ68" s="17" cm="1">
        <f t="array" ref="AQ68">SUMPRODUCT(
  IF($B68:$K68&lt;&gt;"",
     INDEX('Eurostat EB products IEA'!$A$4:$BN$135,
           MATCH($B68:$K68, 'Eurostat EB products IEA'!$A$4:$A$135, 0),
           MATCH(AQ$1, 'Eurostat EB products IEA'!$A$4:$BN$4, 0)
     )
     * $L68:$U68,
     0
  )
)</f>
        <v>0</v>
      </c>
      <c r="AR68" s="17" cm="1">
        <f t="array" ref="AR68">SUMPRODUCT(
  IF($B68:$K68&lt;&gt;"",
     INDEX('Eurostat EB products IEA'!$A$4:$BN$135,
           MATCH($B68:$K68, 'Eurostat EB products IEA'!$A$4:$A$135, 0),
           MATCH(AR$1, 'Eurostat EB products IEA'!$A$4:$BN$4, 0)
     )
     * $L68:$U68,
     0
  )
)</f>
        <v>0</v>
      </c>
      <c r="AS68" s="17" cm="1">
        <f t="array" ref="AS68">SUMPRODUCT(
  IF($B68:$K68&lt;&gt;"",
     INDEX('Eurostat EB products IEA'!$A$4:$BN$135,
           MATCH($B68:$K68, 'Eurostat EB products IEA'!$A$4:$A$135, 0),
           MATCH(AS$1, 'Eurostat EB products IEA'!$A$4:$BN$4, 0)
     )
     * $L68:$U68,
     0
  )
)</f>
        <v>0</v>
      </c>
      <c r="AT68" s="17" cm="1">
        <f t="array" ref="AT68">SUMPRODUCT(
  IF($B68:$K68&lt;&gt;"",
     INDEX('Eurostat EB products IEA'!$A$4:$BN$135,
           MATCH($B68:$K68, 'Eurostat EB products IEA'!$A$4:$A$135, 0),
           MATCH(AT$1, 'Eurostat EB products IEA'!$A$4:$BN$4, 0)
     )
     * $L68:$U68,
     0
  )
)</f>
        <v>0</v>
      </c>
      <c r="AU68" s="17" cm="1">
        <f t="array" ref="AU68">SUMPRODUCT(
  IF($B68:$K68&lt;&gt;"",
     INDEX('Eurostat EB products IEA'!$A$4:$BN$135,
           MATCH($B68:$K68, 'Eurostat EB products IEA'!$A$4:$A$135, 0),
           MATCH(AU$1, 'Eurostat EB products IEA'!$A$4:$BN$4, 0)
     )
     * $L68:$U68,
     0
  )
)</f>
        <v>0</v>
      </c>
      <c r="AV68" s="17" cm="1">
        <f t="array" ref="AV68">SUMPRODUCT(
  IF($B68:$K68&lt;&gt;"",
     INDEX('Eurostat EB products IEA'!$A$4:$BN$135,
           MATCH($B68:$K68, 'Eurostat EB products IEA'!$A$4:$A$135, 0),
           MATCH(AV$1, 'Eurostat EB products IEA'!$A$4:$BN$4, 0)
     )
     * $L68:$U68,
     0
  )
)</f>
        <v>4965.326</v>
      </c>
      <c r="AW68" s="17" cm="1">
        <f t="array" ref="AW68">SUMPRODUCT(
  IF($B68:$K68&lt;&gt;"",
     INDEX('Eurostat EB products IEA'!$A$4:$BN$135,
           MATCH($B68:$K68, 'Eurostat EB products IEA'!$A$4:$A$135, 0),
           MATCH(AW$1, 'Eurostat EB products IEA'!$A$4:$BN$4, 0)
     )
     * $L68:$U68,
     0
  )
)</f>
        <v>169944.13200000001</v>
      </c>
      <c r="AX68" s="17" cm="1">
        <f t="array" ref="AX68">SUMPRODUCT(
  IF($B68:$K68&lt;&gt;"",
     INDEX('Eurostat EB products IEA'!$A$4:$BN$135,
           MATCH($B68:$K68, 'Eurostat EB products IEA'!$A$4:$A$135, 0),
           MATCH(AX$1, 'Eurostat EB products IEA'!$A$4:$BN$4, 0)
     )
     * $L68:$U68,
     0
  )
)</f>
        <v>56.847000000000001</v>
      </c>
      <c r="AY68" s="17" cm="1">
        <f t="array" ref="AY68">SUMPRODUCT(
  IF($B68:$K68&lt;&gt;"",
     INDEX('Eurostat EB products IEA'!$A$4:$BN$135,
           MATCH($B68:$K68, 'Eurostat EB products IEA'!$A$4:$A$135, 0),
           MATCH(AY$1, 'Eurostat EB products IEA'!$A$4:$BN$4, 0)
     )
     * $L68:$U68,
     0
  )
)</f>
        <v>0</v>
      </c>
      <c r="AZ68" s="17" cm="1">
        <f t="array" ref="AZ68">SUMPRODUCT(
  IF($B68:$K68&lt;&gt;"",
     INDEX('Eurostat EB products IEA'!$A$4:$BN$135,
           MATCH($B68:$K68, 'Eurostat EB products IEA'!$A$4:$A$135, 0),
           MATCH(AZ$1, 'Eurostat EB products IEA'!$A$4:$BN$4, 0)
     )
     * $L68:$U68,
     0
  )
)</f>
        <v>349.70499999999998</v>
      </c>
      <c r="BA68" s="17" cm="1">
        <f t="array" ref="BA68">SUMPRODUCT(
  IF($B68:$K68&lt;&gt;"",
     INDEX('Eurostat EB products IEA'!$A$4:$BN$135,
           MATCH($B68:$K68, 'Eurostat EB products IEA'!$A$4:$A$135, 0),
           MATCH(BA$1, 'Eurostat EB products IEA'!$A$4:$BN$4, 0)
     )
     * $L68:$U68,
     0
  )
)</f>
        <v>0</v>
      </c>
      <c r="BB68" s="17" cm="1">
        <f t="array" ref="BB68">SUMPRODUCT(
  IF($B68:$K68&lt;&gt;"",
     INDEX('Eurostat EB products IEA'!$A$4:$BN$135,
           MATCH($B68:$K68, 'Eurostat EB products IEA'!$A$4:$A$135, 0),
           MATCH(BB$1, 'Eurostat EB products IEA'!$A$4:$BN$4, 0)
     )
     * $L68:$U68,
     0
  )
)</f>
        <v>182757.81099999999</v>
      </c>
      <c r="BC68" s="17" cm="1">
        <f t="array" ref="BC68">SUMPRODUCT(
  IF($B68:$K68&lt;&gt;"",
     INDEX('Eurostat EB products IEA'!$A$4:$BN$135,
           MATCH($B68:$K68, 'Eurostat EB products IEA'!$A$4:$A$135, 0),
           MATCH(BC$1, 'Eurostat EB products IEA'!$A$4:$BN$4, 0)
     )
     * $L68:$U68,
     0
  )
)</f>
        <v>0</v>
      </c>
      <c r="BD68" s="17" cm="1">
        <f t="array" ref="BD68">SUMPRODUCT(
  IF($B68:$K68&lt;&gt;"",
     INDEX('Eurostat EB products IEA'!$A$4:$BN$135,
           MATCH($B68:$K68, 'Eurostat EB products IEA'!$A$4:$A$135, 0),
           MATCH(BD$1, 'Eurostat EB products IEA'!$A$4:$BN$4, 0)
     )
     * $L68:$U68,
     0
  )
)</f>
        <v>0</v>
      </c>
      <c r="BE68" s="17" cm="1">
        <f t="array" ref="BE68">SUMPRODUCT(
  IF($B68:$K68&lt;&gt;"",
     INDEX('Eurostat EB products IEA'!$A$4:$BN$135,
           MATCH($B68:$K68, 'Eurostat EB products IEA'!$A$4:$A$135, 0),
           MATCH(BE$1, 'Eurostat EB products IEA'!$A$4:$BN$4, 0)
     )
     * $L68:$U68,
     0
  )
)</f>
        <v>0</v>
      </c>
      <c r="BF68" s="17" cm="1">
        <f t="array" ref="BF68">SUMPRODUCT(
  IF($B68:$K68&lt;&gt;"",
     INDEX('Eurostat EB products IEA'!$A$4:$BN$135,
           MATCH($B68:$K68, 'Eurostat EB products IEA'!$A$4:$A$135, 0),
           MATCH(BF$1, 'Eurostat EB products IEA'!$A$4:$BN$4, 0)
     )
     * $L68:$U68,
     0
  )
)</f>
        <v>0</v>
      </c>
      <c r="BG68" s="17" cm="1">
        <f t="array" ref="BG68">SUMPRODUCT(
  IF($B68:$K68&lt;&gt;"",
     INDEX('Eurostat EB products IEA'!$A$4:$BN$135,
           MATCH($B68:$K68, 'Eurostat EB products IEA'!$A$4:$A$135, 0),
           MATCH(BG$1, 'Eurostat EB products IEA'!$A$4:$BN$4, 0)
     )
     * $L68:$U68,
     0
  )
)</f>
        <v>0</v>
      </c>
      <c r="BH68" s="17" cm="1">
        <f t="array" ref="BH68">SUMPRODUCT(
  IF($B68:$K68&lt;&gt;"",
     INDEX('Eurostat EB products IEA'!$A$4:$BN$135,
           MATCH($B68:$K68, 'Eurostat EB products IEA'!$A$4:$A$135, 0),
           MATCH(BH$1, 'Eurostat EB products IEA'!$A$4:$BN$4, 0)
     )
     * $L68:$U68,
     0
  )
)</f>
        <v>0</v>
      </c>
      <c r="BI68" s="17" cm="1">
        <f t="array" ref="BI68">SUMPRODUCT(
  IF($B68:$K68&lt;&gt;"",
     INDEX('Eurostat EB products IEA'!$A$4:$BN$135,
           MATCH($B68:$K68, 'Eurostat EB products IEA'!$A$4:$A$135, 0),
           MATCH(BI$1, 'Eurostat EB products IEA'!$A$4:$BN$4, 0)
     )
     * $L68:$U68,
     0
  )
)</f>
        <v>0</v>
      </c>
      <c r="BJ68" s="17" cm="1">
        <f t="array" ref="BJ68">SUMPRODUCT(
  IF($B68:$K68&lt;&gt;"",
     INDEX('Eurostat EB products IEA'!$A$4:$BN$135,
           MATCH($B68:$K68, 'Eurostat EB products IEA'!$A$4:$A$135, 0),
           MATCH(BJ$1, 'Eurostat EB products IEA'!$A$4:$BN$4, 0)
     )
     * $L68:$U68,
     0
  )
)</f>
        <v>0</v>
      </c>
      <c r="BK68" s="17" cm="1">
        <f t="array" ref="BK68">SUMPRODUCT(
  IF($B68:$K68&lt;&gt;"",
     INDEX('Eurostat EB products IEA'!$A$4:$BN$135,
           MATCH($B68:$K68, 'Eurostat EB products IEA'!$A$4:$A$135, 0),
           MATCH(BK$1, 'Eurostat EB products IEA'!$A$4:$BN$4, 0)
     )
     * $L68:$U68,
     0
  )
)</f>
        <v>0</v>
      </c>
      <c r="BL68" s="17" cm="1">
        <f t="array" ref="BL68">SUMPRODUCT(
  IF($B68:$K68&lt;&gt;"",
     INDEX('Eurostat EB products IEA'!$A$4:$BN$135,
           MATCH($B68:$K68, 'Eurostat EB products IEA'!$A$4:$A$135, 0),
           MATCH(BL$1, 'Eurostat EB products IEA'!$A$4:$BN$4, 0)
     )
     * $L68:$U68,
     0
  )
)</f>
        <v>0</v>
      </c>
      <c r="BM68" s="17" cm="1">
        <f t="array" ref="BM68">SUMPRODUCT(
  IF($B68:$K68&lt;&gt;"",
     INDEX('Eurostat EB products IEA'!$A$4:$BN$135,
           MATCH($B68:$K68, 'Eurostat EB products IEA'!$A$4:$A$135, 0),
           MATCH(BM$1, 'Eurostat EB products IEA'!$A$4:$BN$4, 0)
     )
     * $L68:$U68,
     0
  )
)</f>
        <v>0</v>
      </c>
      <c r="BN68" s="17" cm="1">
        <f t="array" ref="BN68">SUMPRODUCT(
  IF($B68:$K68&lt;&gt;"",
     INDEX('Eurostat EB products IEA'!$A$4:$BN$135,
           MATCH($B68:$K68, 'Eurostat EB products IEA'!$A$4:$A$135, 0),
           MATCH(BN$1, 'Eurostat EB products IEA'!$A$4:$BN$4, 0)
     )
     * $L68:$U68,
     0
  )
)</f>
        <v>0</v>
      </c>
      <c r="BO68" s="17" cm="1">
        <f t="array" ref="BO68">SUMPRODUCT(
  IF($B68:$K68&lt;&gt;"",
     INDEX('Eurostat EB products IEA'!$A$4:$BN$135,
           MATCH($B68:$K68, 'Eurostat EB products IEA'!$A$4:$A$135, 0),
           MATCH(BO$1, 'Eurostat EB products IEA'!$A$4:$BN$4, 0)
     )
     * $L68:$U68,
     0
  )
)</f>
        <v>0</v>
      </c>
      <c r="BP68" s="17" cm="1">
        <f t="array" ref="BP68">SUMPRODUCT(
  IF($B68:$K68&lt;&gt;"",
     INDEX('Eurostat EB products IEA'!$A$4:$BN$135,
           MATCH($B68:$K68, 'Eurostat EB products IEA'!$A$4:$A$135, 0),
           MATCH(BP$1, 'Eurostat EB products IEA'!$A$4:$BN$4, 0)
     )
     * $L68:$U68,
     0
  )
)</f>
        <v>10780.532999999999</v>
      </c>
      <c r="BQ68" s="17" cm="1">
        <f t="array" ref="BQ68">SUMPRODUCT(
  IF($B68:$K68&lt;&gt;"",
     INDEX('Eurostat EB products IEA'!$A$4:$BN$135,
           MATCH($B68:$K68, 'Eurostat EB products IEA'!$A$4:$A$135, 0),
           MATCH(BQ$1, 'Eurostat EB products IEA'!$A$4:$BN$4, 0)
     )
     * $L68:$U68,
     0
  )
)</f>
        <v>12097.383</v>
      </c>
      <c r="BR68" s="17" cm="1">
        <f t="array" ref="BR68">SUMPRODUCT(
  IF($B68:$K68&lt;&gt;"",
     INDEX('Eurostat EB products IEA'!$A$4:$BN$135,
           MATCH($B68:$K68, 'Eurostat EB products IEA'!$A$4:$A$135, 0),
           MATCH(BR$1, 'Eurostat EB products IEA'!$A$4:$BN$4, 0)
     )
     * $L68:$U68,
     0
  )
)</f>
        <v>0</v>
      </c>
      <c r="BS68" s="65">
        <v>0</v>
      </c>
      <c r="BT68" s="17" cm="1">
        <f t="array" ref="BT68">SUMPRODUCT(
  IF($B68:$K68&lt;&gt;"",
     INDEX('Eurostat EB products IEA'!$A$4:$BN$135,
           MATCH($B68:$K68, 'Eurostat EB products IEA'!$A$4:$A$135, 0),
           MATCH(BT$1, 'Eurostat EB products IEA'!$A$4:$BN$4, 0)
     )
     * $L68:$U68,
     0
  )
)</f>
        <v>0</v>
      </c>
      <c r="BU68" s="65">
        <v>0</v>
      </c>
      <c r="BV68" s="65">
        <v>0</v>
      </c>
      <c r="BW68" s="17" cm="1">
        <f t="array" ref="BW68">SUMPRODUCT(
  IF($B68:$K68&lt;&gt;"",
     INDEX('Eurostat EB products IEA'!$A$4:$BN$135,
           MATCH($B68:$K68, 'Eurostat EB products IEA'!$A$4:$A$135, 0),
           MATCH(BW$1, 'Eurostat EB products IEA'!$A$4:$BN$4, 0)
     )
     * $L68:$U68,
     0
  )
)</f>
        <v>0</v>
      </c>
      <c r="BX68" s="17" cm="1">
        <f t="array" ref="BX68">SUMPRODUCT(
  IF($B68:$K68&lt;&gt;"",
     INDEX('Eurostat EB products IEA'!$A$4:$BN$135,
           MATCH($B68:$K68, 'Eurostat EB products IEA'!$A$4:$A$135, 0),
           MATCH(BX$1, 'Eurostat EB products IEA'!$A$4:$BN$4, 0)
     )
     * $L68:$U68,
     0
  )
)</f>
        <v>0</v>
      </c>
      <c r="BY68" s="17" cm="1">
        <f t="array" ref="BY68">SUMPRODUCT(
  IF($B68:$K68&lt;&gt;"",
     INDEX('Eurostat EB products IEA'!$A$4:$BN$135,
           MATCH($B68:$K68, 'Eurostat EB products IEA'!$A$4:$A$135, 0),
           MATCH(BY$1, 'Eurostat EB products IEA'!$A$4:$BN$4, 0)
     )
     * $L68:$U68,
     0
  )
)</f>
        <v>0</v>
      </c>
      <c r="BZ68" s="17" cm="1">
        <f t="array" ref="BZ68">SUMPRODUCT(
  IF($B68:$K68&lt;&gt;"",
     INDEX('Eurostat EB products IEA'!$A$4:$BN$135,
           MATCH($B68:$K68, 'Eurostat EB products IEA'!$A$4:$A$135, 0),
           MATCH(BZ$1, 'Eurostat EB products IEA'!$A$4:$BN$4, 0)
     )
     * $L68:$U68,
     0
  )
)</f>
        <v>0</v>
      </c>
      <c r="CA68" s="17" cm="1">
        <f t="array" ref="CA68">SUMPRODUCT(
  IF($B68:$K68&lt;&gt;"",
     INDEX('Eurostat EB products IEA'!$A$4:$BN$135,
           MATCH($B68:$K68, 'Eurostat EB products IEA'!$A$4:$A$135, 0),
           MATCH(CA$1, 'Eurostat EB products IEA'!$A$4:$BN$4, 0)
     )
     * $L68:$U68,
     0
  )
)</f>
        <v>0</v>
      </c>
      <c r="CB68" s="17" cm="1">
        <f t="array" ref="CB68">SUMPRODUCT(
  IF($B68:$K68&lt;&gt;"",
     INDEX('Eurostat EB products IEA'!$A$4:$BN$135,
           MATCH($B68:$K68, 'Eurostat EB products IEA'!$A$4:$A$135, 0),
           MATCH(CB$1, 'Eurostat EB products IEA'!$A$4:$BN$4, 0)
     )
     * $L68:$U68,
     0
  )
)</f>
        <v>0</v>
      </c>
      <c r="CC68" s="17" cm="1">
        <f t="array" ref="CC68">SUMPRODUCT(
  IF($B68:$K68&lt;&gt;"",
     INDEX('Eurostat EB products IEA'!$A$4:$BN$135,
           MATCH($B68:$K68, 'Eurostat EB products IEA'!$A$4:$A$135, 0),
           MATCH(CC$1, 'Eurostat EB products IEA'!$A$4:$BN$4, 0)
     )
     * $L68:$U68,
     0
  )
)</f>
        <v>0</v>
      </c>
      <c r="CD68" s="65">
        <v>0</v>
      </c>
      <c r="CE68" s="17" cm="1">
        <f t="array" ref="CE68">SUMPRODUCT(
  IF($B68:$K68&lt;&gt;"",
     INDEX('Eurostat EB products IEA'!$A$4:$BN$135,
           MATCH($B68:$K68, 'Eurostat EB products IEA'!$A$4:$A$135, 0),
           MATCH(CE$1, 'Eurostat EB products IEA'!$A$4:$BN$4, 0)
     )
     * $L68:$U68,
     0
  )
)</f>
        <v>13980.179</v>
      </c>
      <c r="CF68" s="17" cm="1">
        <f t="array" ref="CF68">SUMPRODUCT(
  IF($B68:$K68&lt;&gt;"",
     INDEX('Eurostat EB products IEA'!$A$4:$BN$135,
           MATCH($B68:$K68, 'Eurostat EB products IEA'!$A$4:$A$135, 0),
           MATCH(CF$1, 'Eurostat EB products IEA'!$A$4:$BN$4, 0)
     )
     * $L68:$U68,
     0
  )
)</f>
        <v>0</v>
      </c>
      <c r="CG68" s="17" cm="1">
        <f t="array" ref="CG68">SUMPRODUCT(
  IF($B68:$K68&lt;&gt;"",
     INDEX('Eurostat EB products IEA'!$A$4:$BN$135,
           MATCH($B68:$K68, 'Eurostat EB products IEA'!$A$4:$A$135, 0),
           MATCH(CG$1, 'Eurostat EB products IEA'!$A$4:$BN$4, 0)
     )
     * $L68:$U68,
     0
  )
)</f>
        <v>397604.27299999999</v>
      </c>
      <c r="CH68" s="17" cm="1">
        <f t="array" ref="CH68">SUMPRODUCT(
  IF($B68:$K68&lt;&gt;"",
     INDEX('Eurostat EB products IEA'!$A$4:$BN$135,
           MATCH($B68:$K68, 'Eurostat EB products IEA'!$A$4:$A$135, 0),
           MATCH(CH$1, 'Eurostat EB products IEA'!$A$4:$BN$4, 0)
     )
     * $L68:$U68,
     0
  )
)</f>
        <v>23836.006000000001</v>
      </c>
    </row>
    <row r="69" spans="1:86" x14ac:dyDescent="0.2">
      <c r="A69" t="s">
        <v>108</v>
      </c>
      <c r="B69" s="75"/>
      <c r="C69" s="77"/>
      <c r="D69" s="75"/>
      <c r="E69" s="77"/>
      <c r="F69" s="75"/>
      <c r="G69" s="77"/>
      <c r="H69" s="75"/>
      <c r="I69" s="77"/>
      <c r="J69" s="74"/>
      <c r="K69" s="78" t="s">
        <v>304</v>
      </c>
      <c r="L69" s="76"/>
      <c r="M69" s="79"/>
      <c r="N69" s="76"/>
      <c r="O69" s="79"/>
      <c r="P69" s="76"/>
      <c r="Q69" s="79"/>
      <c r="R69" s="76"/>
      <c r="S69" s="79"/>
      <c r="T69" s="76"/>
      <c r="U69" s="79">
        <v>1</v>
      </c>
      <c r="V69" s="65" t="s">
        <v>323</v>
      </c>
      <c r="W69" s="65" t="s">
        <v>323</v>
      </c>
      <c r="X69" s="57" cm="1">
        <f t="array" ref="X69">SUMPRODUCT(
  IF($B69:$K69&lt;&gt;"",
     INDEX('Eurostat EB products IEA'!$A$4:$BN$135,
           MATCH($B69:$K69, 'Eurostat EB products IEA'!$A$4:$A$135, 0),
           MATCH(X$1, 'Eurostat EB products IEA'!$A$4:$BN$4, 0)
     )
     * $L69:$U69,
     0
  )
)</f>
        <v>0</v>
      </c>
      <c r="Y69" s="57" cm="1">
        <f t="array" ref="Y69">SUMPRODUCT(
  IF($B69:$K69&lt;&gt;"",
     INDEX('Eurostat EB products IEA'!$A$4:$BN$135,
           MATCH($B69:$K69, 'Eurostat EB products IEA'!$A$4:$A$135, 0),
           MATCH(Y$1, 'Eurostat EB products IEA'!$A$4:$BN$4, 0)
     )
     * $L69:$U69,
     0
  )
)</f>
        <v>0</v>
      </c>
      <c r="Z69" s="57" cm="1">
        <f t="array" ref="Z69">SUMPRODUCT(
  IF($B69:$K69&lt;&gt;"",
     INDEX('Eurostat EB products IEA'!$A$4:$BN$135,
           MATCH($B69:$K69, 'Eurostat EB products IEA'!$A$4:$A$135, 0),
           MATCH(Z$1, 'Eurostat EB products IEA'!$A$4:$BN$4, 0)
     )
     * $L69:$U69,
     0
  )
)</f>
        <v>0</v>
      </c>
      <c r="AA69" s="57" cm="1">
        <f t="array" ref="AA69">SUMPRODUCT(
  IF($B69:$K69&lt;&gt;"",
     INDEX('Eurostat EB products IEA'!$A$4:$BN$135,
           MATCH($B69:$K69, 'Eurostat EB products IEA'!$A$4:$A$135, 0),
           MATCH(AA$1, 'Eurostat EB products IEA'!$A$4:$BN$4, 0)
     )
     * $L69:$U69,
     0
  )
)</f>
        <v>0</v>
      </c>
      <c r="AB69" s="57" cm="1">
        <f t="array" ref="AB69">SUMPRODUCT(
  IF($B69:$K69&lt;&gt;"",
     INDEX('Eurostat EB products IEA'!$A$4:$BN$135,
           MATCH($B69:$K69, 'Eurostat EB products IEA'!$A$4:$A$135, 0),
           MATCH(AB$1, 'Eurostat EB products IEA'!$A$4:$BN$4, 0)
     )
     * $L69:$U69,
     0
  )
)</f>
        <v>0</v>
      </c>
      <c r="AC69" s="57" cm="1">
        <f t="array" ref="AC69">SUMPRODUCT(
  IF($B69:$K69&lt;&gt;"",
     INDEX('Eurostat EB products IEA'!$A$4:$BN$135,
           MATCH($B69:$K69, 'Eurostat EB products IEA'!$A$4:$A$135, 0),
           MATCH(AC$1, 'Eurostat EB products IEA'!$A$4:$BN$4, 0)
     )
     * $L69:$U69,
     0
  )
)</f>
        <v>0</v>
      </c>
      <c r="AD69" s="57" cm="1">
        <f t="array" ref="AD69">SUMPRODUCT(
  IF($B69:$K69&lt;&gt;"",
     INDEX('Eurostat EB products IEA'!$A$4:$BN$135,
           MATCH($B69:$K69, 'Eurostat EB products IEA'!$A$4:$A$135, 0),
           MATCH(AD$1, 'Eurostat EB products IEA'!$A$4:$BN$4, 0)
     )
     * $L69:$U69,
     0
  )
)</f>
        <v>0</v>
      </c>
      <c r="AE69" s="57" cm="1">
        <f t="array" ref="AE69">SUMPRODUCT(
  IF($B69:$K69&lt;&gt;"",
     INDEX('Eurostat EB products IEA'!$A$4:$BN$135,
           MATCH($B69:$K69, 'Eurostat EB products IEA'!$A$4:$A$135, 0),
           MATCH(AE$1, 'Eurostat EB products IEA'!$A$4:$BN$4, 0)
     )
     * $L69:$U69,
     0
  )
)</f>
        <v>0</v>
      </c>
      <c r="AF69" s="57" cm="1">
        <f t="array" ref="AF69">SUMPRODUCT(
  IF($B69:$K69&lt;&gt;"",
     INDEX('Eurostat EB products IEA'!$A$4:$BN$135,
           MATCH($B69:$K69, 'Eurostat EB products IEA'!$A$4:$A$135, 0),
           MATCH(AF$1, 'Eurostat EB products IEA'!$A$4:$BN$4, 0)
     )
     * $L69:$U69,
     0
  )
)</f>
        <v>0</v>
      </c>
      <c r="AG69" s="57" cm="1">
        <f t="array" ref="AG69">SUMPRODUCT(
  IF($B69:$K69&lt;&gt;"",
     INDEX('Eurostat EB products IEA'!$A$4:$BN$135,
           MATCH($B69:$K69, 'Eurostat EB products IEA'!$A$4:$A$135, 0),
           MATCH(AG$1, 'Eurostat EB products IEA'!$A$4:$BN$4, 0)
     )
     * $L69:$U69,
     0
  )
)</f>
        <v>0</v>
      </c>
      <c r="AH69" s="57" cm="1">
        <f t="array" ref="AH69">SUMPRODUCT(
  IF($B69:$K69&lt;&gt;"",
     INDEX('Eurostat EB products IEA'!$A$4:$BN$135,
           MATCH($B69:$K69, 'Eurostat EB products IEA'!$A$4:$A$135, 0),
           MATCH(AH$1, 'Eurostat EB products IEA'!$A$4:$BN$4, 0)
     )
     * $L69:$U69,
     0
  )
)</f>
        <v>0</v>
      </c>
      <c r="AI69" s="57" cm="1">
        <f t="array" ref="AI69">SUMPRODUCT(
  IF($B69:$K69&lt;&gt;"",
     INDEX('Eurostat EB products IEA'!$A$4:$BN$135,
           MATCH($B69:$K69, 'Eurostat EB products IEA'!$A$4:$A$135, 0),
           MATCH(AI$1, 'Eurostat EB products IEA'!$A$4:$BN$4, 0)
     )
     * $L69:$U69,
     0
  )
)</f>
        <v>0</v>
      </c>
      <c r="AJ69" s="57" cm="1">
        <f t="array" ref="AJ69">SUMPRODUCT(
  IF($B69:$K69&lt;&gt;"",
     INDEX('Eurostat EB products IEA'!$A$4:$BN$135,
           MATCH($B69:$K69, 'Eurostat EB products IEA'!$A$4:$A$135, 0),
           MATCH(AJ$1, 'Eurostat EB products IEA'!$A$4:$BN$4, 0)
     )
     * $L69:$U69,
     0
  )
)</f>
        <v>0</v>
      </c>
      <c r="AK69" s="57" cm="1">
        <f t="array" ref="AK69">SUMPRODUCT(
  IF($B69:$K69&lt;&gt;"",
     INDEX('Eurostat EB products IEA'!$A$4:$BN$135,
           MATCH($B69:$K69, 'Eurostat EB products IEA'!$A$4:$A$135, 0),
           MATCH(AK$1, 'Eurostat EB products IEA'!$A$4:$BN$4, 0)
     )
     * $L69:$U69,
     0
  )
)</f>
        <v>0</v>
      </c>
      <c r="AL69" s="57" cm="1">
        <f t="array" ref="AL69">SUMPRODUCT(
  IF($B69:$K69&lt;&gt;"",
     INDEX('Eurostat EB products IEA'!$A$4:$BN$135,
           MATCH($B69:$K69, 'Eurostat EB products IEA'!$A$4:$A$135, 0),
           MATCH(AL$1, 'Eurostat EB products IEA'!$A$4:$BN$4, 0)
     )
     * $L69:$U69,
     0
  )
)</f>
        <v>0</v>
      </c>
      <c r="AM69" s="57" cm="1">
        <f t="array" ref="AM69">SUMPRODUCT(
  IF($B69:$K69&lt;&gt;"",
     INDEX('Eurostat EB products IEA'!$A$4:$BN$135,
           MATCH($B69:$K69, 'Eurostat EB products IEA'!$A$4:$A$135, 0),
           MATCH(AM$1, 'Eurostat EB products IEA'!$A$4:$BN$4, 0)
     )
     * $L69:$U69,
     0
  )
)</f>
        <v>0</v>
      </c>
      <c r="AN69" s="65" t="s">
        <v>323</v>
      </c>
      <c r="AO69" s="57" cm="1">
        <f t="array" ref="AO69">SUMPRODUCT(
  IF($B69:$K69&lt;&gt;"",
     INDEX('Eurostat EB products IEA'!$A$4:$BN$135,
           MATCH($B69:$K69, 'Eurostat EB products IEA'!$A$4:$A$135, 0),
           MATCH(AO$1, 'Eurostat EB products IEA'!$A$4:$BN$4, 0)
     )
     * $L69:$U69,
     0
  )
)</f>
        <v>0</v>
      </c>
      <c r="AP69" s="57" cm="1">
        <f t="array" ref="AP69">SUMPRODUCT(
  IF($B69:$K69&lt;&gt;"",
     INDEX('Eurostat EB products IEA'!$A$4:$BN$135,
           MATCH($B69:$K69, 'Eurostat EB products IEA'!$A$4:$A$135, 0),
           MATCH(AP$1, 'Eurostat EB products IEA'!$A$4:$BN$4, 0)
     )
     * $L69:$U69,
     0
  )
)</f>
        <v>0</v>
      </c>
      <c r="AQ69" s="57" cm="1">
        <f t="array" ref="AQ69">SUMPRODUCT(
  IF($B69:$K69&lt;&gt;"",
     INDEX('Eurostat EB products IEA'!$A$4:$BN$135,
           MATCH($B69:$K69, 'Eurostat EB products IEA'!$A$4:$A$135, 0),
           MATCH(AQ$1, 'Eurostat EB products IEA'!$A$4:$BN$4, 0)
     )
     * $L69:$U69,
     0
  )
)</f>
        <v>0</v>
      </c>
      <c r="AR69" s="57" cm="1">
        <f t="array" ref="AR69">SUMPRODUCT(
  IF($B69:$K69&lt;&gt;"",
     INDEX('Eurostat EB products IEA'!$A$4:$BN$135,
           MATCH($B69:$K69, 'Eurostat EB products IEA'!$A$4:$A$135, 0),
           MATCH(AR$1, 'Eurostat EB products IEA'!$A$4:$BN$4, 0)
     )
     * $L69:$U69,
     0
  )
)</f>
        <v>0</v>
      </c>
      <c r="AS69" s="57" cm="1">
        <f t="array" ref="AS69">SUMPRODUCT(
  IF($B69:$K69&lt;&gt;"",
     INDEX('Eurostat EB products IEA'!$A$4:$BN$135,
           MATCH($B69:$K69, 'Eurostat EB products IEA'!$A$4:$A$135, 0),
           MATCH(AS$1, 'Eurostat EB products IEA'!$A$4:$BN$4, 0)
     )
     * $L69:$U69,
     0
  )
)</f>
        <v>0</v>
      </c>
      <c r="AT69" s="57" cm="1">
        <f t="array" ref="AT69">SUMPRODUCT(
  IF($B69:$K69&lt;&gt;"",
     INDEX('Eurostat EB products IEA'!$A$4:$BN$135,
           MATCH($B69:$K69, 'Eurostat EB products IEA'!$A$4:$A$135, 0),
           MATCH(AT$1, 'Eurostat EB products IEA'!$A$4:$BN$4, 0)
     )
     * $L69:$U69,
     0
  )
)</f>
        <v>0</v>
      </c>
      <c r="AU69" s="57" cm="1">
        <f t="array" ref="AU69">SUMPRODUCT(
  IF($B69:$K69&lt;&gt;"",
     INDEX('Eurostat EB products IEA'!$A$4:$BN$135,
           MATCH($B69:$K69, 'Eurostat EB products IEA'!$A$4:$A$135, 0),
           MATCH(AU$1, 'Eurostat EB products IEA'!$A$4:$BN$4, 0)
     )
     * $L69:$U69,
     0
  )
)</f>
        <v>0</v>
      </c>
      <c r="AV69" s="57" cm="1">
        <f t="array" ref="AV69">SUMPRODUCT(
  IF($B69:$K69&lt;&gt;"",
     INDEX('Eurostat EB products IEA'!$A$4:$BN$135,
           MATCH($B69:$K69, 'Eurostat EB products IEA'!$A$4:$A$135, 0),
           MATCH(AV$1, 'Eurostat EB products IEA'!$A$4:$BN$4, 0)
     )
     * $L69:$U69,
     0
  )
)</f>
        <v>0</v>
      </c>
      <c r="AW69" s="57" cm="1">
        <f t="array" ref="AW69">SUMPRODUCT(
  IF($B69:$K69&lt;&gt;"",
     INDEX('Eurostat EB products IEA'!$A$4:$BN$135,
           MATCH($B69:$K69, 'Eurostat EB products IEA'!$A$4:$A$135, 0),
           MATCH(AW$1, 'Eurostat EB products IEA'!$A$4:$BN$4, 0)
     )
     * $L69:$U69,
     0
  )
)</f>
        <v>0</v>
      </c>
      <c r="AX69" s="57" cm="1">
        <f t="array" ref="AX69">SUMPRODUCT(
  IF($B69:$K69&lt;&gt;"",
     INDEX('Eurostat EB products IEA'!$A$4:$BN$135,
           MATCH($B69:$K69, 'Eurostat EB products IEA'!$A$4:$A$135, 0),
           MATCH(AX$1, 'Eurostat EB products IEA'!$A$4:$BN$4, 0)
     )
     * $L69:$U69,
     0
  )
)</f>
        <v>56.847000000000001</v>
      </c>
      <c r="AY69" s="57" cm="1">
        <f t="array" ref="AY69">SUMPRODUCT(
  IF($B69:$K69&lt;&gt;"",
     INDEX('Eurostat EB products IEA'!$A$4:$BN$135,
           MATCH($B69:$K69, 'Eurostat EB products IEA'!$A$4:$A$135, 0),
           MATCH(AY$1, 'Eurostat EB products IEA'!$A$4:$BN$4, 0)
     )
     * $L69:$U69,
     0
  )
)</f>
        <v>0</v>
      </c>
      <c r="AZ69" s="57" cm="1">
        <f t="array" ref="AZ69">SUMPRODUCT(
  IF($B69:$K69&lt;&gt;"",
     INDEX('Eurostat EB products IEA'!$A$4:$BN$135,
           MATCH($B69:$K69, 'Eurostat EB products IEA'!$A$4:$A$135, 0),
           MATCH(AZ$1, 'Eurostat EB products IEA'!$A$4:$BN$4, 0)
     )
     * $L69:$U69,
     0
  )
)</f>
        <v>349.70499999999998</v>
      </c>
      <c r="BA69" s="57" cm="1">
        <f t="array" ref="BA69">SUMPRODUCT(
  IF($B69:$K69&lt;&gt;"",
     INDEX('Eurostat EB products IEA'!$A$4:$BN$135,
           MATCH($B69:$K69, 'Eurostat EB products IEA'!$A$4:$A$135, 0),
           MATCH(BA$1, 'Eurostat EB products IEA'!$A$4:$BN$4, 0)
     )
     * $L69:$U69,
     0
  )
)</f>
        <v>0</v>
      </c>
      <c r="BB69" s="57" cm="1">
        <f t="array" ref="BB69">SUMPRODUCT(
  IF($B69:$K69&lt;&gt;"",
     INDEX('Eurostat EB products IEA'!$A$4:$BN$135,
           MATCH($B69:$K69, 'Eurostat EB products IEA'!$A$4:$A$135, 0),
           MATCH(BB$1, 'Eurostat EB products IEA'!$A$4:$BN$4, 0)
     )
     * $L69:$U69,
     0
  )
)</f>
        <v>0</v>
      </c>
      <c r="BC69" s="57" cm="1">
        <f t="array" ref="BC69">SUMPRODUCT(
  IF($B69:$K69&lt;&gt;"",
     INDEX('Eurostat EB products IEA'!$A$4:$BN$135,
           MATCH($B69:$K69, 'Eurostat EB products IEA'!$A$4:$A$135, 0),
           MATCH(BC$1, 'Eurostat EB products IEA'!$A$4:$BN$4, 0)
     )
     * $L69:$U69,
     0
  )
)</f>
        <v>0</v>
      </c>
      <c r="BD69" s="57" cm="1">
        <f t="array" ref="BD69">SUMPRODUCT(
  IF($B69:$K69&lt;&gt;"",
     INDEX('Eurostat EB products IEA'!$A$4:$BN$135,
           MATCH($B69:$K69, 'Eurostat EB products IEA'!$A$4:$A$135, 0),
           MATCH(BD$1, 'Eurostat EB products IEA'!$A$4:$BN$4, 0)
     )
     * $L69:$U69,
     0
  )
)</f>
        <v>0</v>
      </c>
      <c r="BE69" s="57" cm="1">
        <f t="array" ref="BE69">SUMPRODUCT(
  IF($B69:$K69&lt;&gt;"",
     INDEX('Eurostat EB products IEA'!$A$4:$BN$135,
           MATCH($B69:$K69, 'Eurostat EB products IEA'!$A$4:$A$135, 0),
           MATCH(BE$1, 'Eurostat EB products IEA'!$A$4:$BN$4, 0)
     )
     * $L69:$U69,
     0
  )
)</f>
        <v>0</v>
      </c>
      <c r="BF69" s="57" cm="1">
        <f t="array" ref="BF69">SUMPRODUCT(
  IF($B69:$K69&lt;&gt;"",
     INDEX('Eurostat EB products IEA'!$A$4:$BN$135,
           MATCH($B69:$K69, 'Eurostat EB products IEA'!$A$4:$A$135, 0),
           MATCH(BF$1, 'Eurostat EB products IEA'!$A$4:$BN$4, 0)
     )
     * $L69:$U69,
     0
  )
)</f>
        <v>0</v>
      </c>
      <c r="BG69" s="57" cm="1">
        <f t="array" ref="BG69">SUMPRODUCT(
  IF($B69:$K69&lt;&gt;"",
     INDEX('Eurostat EB products IEA'!$A$4:$BN$135,
           MATCH($B69:$K69, 'Eurostat EB products IEA'!$A$4:$A$135, 0),
           MATCH(BG$1, 'Eurostat EB products IEA'!$A$4:$BN$4, 0)
     )
     * $L69:$U69,
     0
  )
)</f>
        <v>0</v>
      </c>
      <c r="BH69" s="57" cm="1">
        <f t="array" ref="BH69">SUMPRODUCT(
  IF($B69:$K69&lt;&gt;"",
     INDEX('Eurostat EB products IEA'!$A$4:$BN$135,
           MATCH($B69:$K69, 'Eurostat EB products IEA'!$A$4:$A$135, 0),
           MATCH(BH$1, 'Eurostat EB products IEA'!$A$4:$BN$4, 0)
     )
     * $L69:$U69,
     0
  )
)</f>
        <v>0</v>
      </c>
      <c r="BI69" s="57" cm="1">
        <f t="array" ref="BI69">SUMPRODUCT(
  IF($B69:$K69&lt;&gt;"",
     INDEX('Eurostat EB products IEA'!$A$4:$BN$135,
           MATCH($B69:$K69, 'Eurostat EB products IEA'!$A$4:$A$135, 0),
           MATCH(BI$1, 'Eurostat EB products IEA'!$A$4:$BN$4, 0)
     )
     * $L69:$U69,
     0
  )
)</f>
        <v>0</v>
      </c>
      <c r="BJ69" s="57" cm="1">
        <f t="array" ref="BJ69">SUMPRODUCT(
  IF($B69:$K69&lt;&gt;"",
     INDEX('Eurostat EB products IEA'!$A$4:$BN$135,
           MATCH($B69:$K69, 'Eurostat EB products IEA'!$A$4:$A$135, 0),
           MATCH(BJ$1, 'Eurostat EB products IEA'!$A$4:$BN$4, 0)
     )
     * $L69:$U69,
     0
  )
)</f>
        <v>0</v>
      </c>
      <c r="BK69" s="57" cm="1">
        <f t="array" ref="BK69">SUMPRODUCT(
  IF($B69:$K69&lt;&gt;"",
     INDEX('Eurostat EB products IEA'!$A$4:$BN$135,
           MATCH($B69:$K69, 'Eurostat EB products IEA'!$A$4:$A$135, 0),
           MATCH(BK$1, 'Eurostat EB products IEA'!$A$4:$BN$4, 0)
     )
     * $L69:$U69,
     0
  )
)</f>
        <v>0</v>
      </c>
      <c r="BL69" s="57" cm="1">
        <f t="array" ref="BL69">SUMPRODUCT(
  IF($B69:$K69&lt;&gt;"",
     INDEX('Eurostat EB products IEA'!$A$4:$BN$135,
           MATCH($B69:$K69, 'Eurostat EB products IEA'!$A$4:$A$135, 0),
           MATCH(BL$1, 'Eurostat EB products IEA'!$A$4:$BN$4, 0)
     )
     * $L69:$U69,
     0
  )
)</f>
        <v>0</v>
      </c>
      <c r="BM69" s="57" cm="1">
        <f t="array" ref="BM69">SUMPRODUCT(
  IF($B69:$K69&lt;&gt;"",
     INDEX('Eurostat EB products IEA'!$A$4:$BN$135,
           MATCH($B69:$K69, 'Eurostat EB products IEA'!$A$4:$A$135, 0),
           MATCH(BM$1, 'Eurostat EB products IEA'!$A$4:$BN$4, 0)
     )
     * $L69:$U69,
     0
  )
)</f>
        <v>0</v>
      </c>
      <c r="BN69" s="57" cm="1">
        <f t="array" ref="BN69">SUMPRODUCT(
  IF($B69:$K69&lt;&gt;"",
     INDEX('Eurostat EB products IEA'!$A$4:$BN$135,
           MATCH($B69:$K69, 'Eurostat EB products IEA'!$A$4:$A$135, 0),
           MATCH(BN$1, 'Eurostat EB products IEA'!$A$4:$BN$4, 0)
     )
     * $L69:$U69,
     0
  )
)</f>
        <v>0</v>
      </c>
      <c r="BO69" s="57" cm="1">
        <f t="array" ref="BO69">SUMPRODUCT(
  IF($B69:$K69&lt;&gt;"",
     INDEX('Eurostat EB products IEA'!$A$4:$BN$135,
           MATCH($B69:$K69, 'Eurostat EB products IEA'!$A$4:$A$135, 0),
           MATCH(BO$1, 'Eurostat EB products IEA'!$A$4:$BN$4, 0)
     )
     * $L69:$U69,
     0
  )
)</f>
        <v>0</v>
      </c>
      <c r="BP69" s="57" cm="1">
        <f t="array" ref="BP69">SUMPRODUCT(
  IF($B69:$K69&lt;&gt;"",
     INDEX('Eurostat EB products IEA'!$A$4:$BN$135,
           MATCH($B69:$K69, 'Eurostat EB products IEA'!$A$4:$A$135, 0),
           MATCH(BP$1, 'Eurostat EB products IEA'!$A$4:$BN$4, 0)
     )
     * $L69:$U69,
     0
  )
)</f>
        <v>0</v>
      </c>
      <c r="BQ69" s="57" cm="1">
        <f t="array" ref="BQ69">SUMPRODUCT(
  IF($B69:$K69&lt;&gt;"",
     INDEX('Eurostat EB products IEA'!$A$4:$BN$135,
           MATCH($B69:$K69, 'Eurostat EB products IEA'!$A$4:$A$135, 0),
           MATCH(BQ$1, 'Eurostat EB products IEA'!$A$4:$BN$4, 0)
     )
     * $L69:$U69,
     0
  )
)</f>
        <v>0</v>
      </c>
      <c r="BR69" s="57" cm="1">
        <f t="array" ref="BR69">SUMPRODUCT(
  IF($B69:$K69&lt;&gt;"",
     INDEX('Eurostat EB products IEA'!$A$4:$BN$135,
           MATCH($B69:$K69, 'Eurostat EB products IEA'!$A$4:$A$135, 0),
           MATCH(BR$1, 'Eurostat EB products IEA'!$A$4:$BN$4, 0)
     )
     * $L69:$U69,
     0
  )
)</f>
        <v>0</v>
      </c>
      <c r="BS69" s="65">
        <v>0</v>
      </c>
      <c r="BT69" s="57" cm="1">
        <f t="array" ref="BT69">SUMPRODUCT(
  IF($B69:$K69&lt;&gt;"",
     INDEX('Eurostat EB products IEA'!$A$4:$BN$135,
           MATCH($B69:$K69, 'Eurostat EB products IEA'!$A$4:$A$135, 0),
           MATCH(BT$1, 'Eurostat EB products IEA'!$A$4:$BN$4, 0)
     )
     * $L69:$U69,
     0
  )
)</f>
        <v>0</v>
      </c>
      <c r="BU69" s="65">
        <v>0</v>
      </c>
      <c r="BV69" s="65">
        <v>0</v>
      </c>
      <c r="BW69" s="57" cm="1">
        <f t="array" ref="BW69">SUMPRODUCT(
  IF($B69:$K69&lt;&gt;"",
     INDEX('Eurostat EB products IEA'!$A$4:$BN$135,
           MATCH($B69:$K69, 'Eurostat EB products IEA'!$A$4:$A$135, 0),
           MATCH(BW$1, 'Eurostat EB products IEA'!$A$4:$BN$4, 0)
     )
     * $L69:$U69,
     0
  )
)</f>
        <v>0</v>
      </c>
      <c r="BX69" s="57" cm="1">
        <f t="array" ref="BX69">SUMPRODUCT(
  IF($B69:$K69&lt;&gt;"",
     INDEX('Eurostat EB products IEA'!$A$4:$BN$135,
           MATCH($B69:$K69, 'Eurostat EB products IEA'!$A$4:$A$135, 0),
           MATCH(BX$1, 'Eurostat EB products IEA'!$A$4:$BN$4, 0)
     )
     * $L69:$U69,
     0
  )
)</f>
        <v>0</v>
      </c>
      <c r="BY69" s="57" cm="1">
        <f t="array" ref="BY69">SUMPRODUCT(
  IF($B69:$K69&lt;&gt;"",
     INDEX('Eurostat EB products IEA'!$A$4:$BN$135,
           MATCH($B69:$K69, 'Eurostat EB products IEA'!$A$4:$A$135, 0),
           MATCH(BY$1, 'Eurostat EB products IEA'!$A$4:$BN$4, 0)
     )
     * $L69:$U69,
     0
  )
)</f>
        <v>0</v>
      </c>
      <c r="BZ69" s="57" cm="1">
        <f t="array" ref="BZ69">SUMPRODUCT(
  IF($B69:$K69&lt;&gt;"",
     INDEX('Eurostat EB products IEA'!$A$4:$BN$135,
           MATCH($B69:$K69, 'Eurostat EB products IEA'!$A$4:$A$135, 0),
           MATCH(BZ$1, 'Eurostat EB products IEA'!$A$4:$BN$4, 0)
     )
     * $L69:$U69,
     0
  )
)</f>
        <v>0</v>
      </c>
      <c r="CA69" s="57" cm="1">
        <f t="array" ref="CA69">SUMPRODUCT(
  IF($B69:$K69&lt;&gt;"",
     INDEX('Eurostat EB products IEA'!$A$4:$BN$135,
           MATCH($B69:$K69, 'Eurostat EB products IEA'!$A$4:$A$135, 0),
           MATCH(CA$1, 'Eurostat EB products IEA'!$A$4:$BN$4, 0)
     )
     * $L69:$U69,
     0
  )
)</f>
        <v>0</v>
      </c>
      <c r="CB69" s="57" cm="1">
        <f t="array" ref="CB69">SUMPRODUCT(
  IF($B69:$K69&lt;&gt;"",
     INDEX('Eurostat EB products IEA'!$A$4:$BN$135,
           MATCH($B69:$K69, 'Eurostat EB products IEA'!$A$4:$A$135, 0),
           MATCH(CB$1, 'Eurostat EB products IEA'!$A$4:$BN$4, 0)
     )
     * $L69:$U69,
     0
  )
)</f>
        <v>0</v>
      </c>
      <c r="CC69" s="57" cm="1">
        <f t="array" ref="CC69">SUMPRODUCT(
  IF($B69:$K69&lt;&gt;"",
     INDEX('Eurostat EB products IEA'!$A$4:$BN$135,
           MATCH($B69:$K69, 'Eurostat EB products IEA'!$A$4:$A$135, 0),
           MATCH(CC$1, 'Eurostat EB products IEA'!$A$4:$BN$4, 0)
     )
     * $L69:$U69,
     0
  )
)</f>
        <v>0</v>
      </c>
      <c r="CD69" s="65">
        <v>0</v>
      </c>
      <c r="CE69" s="57" cm="1">
        <f t="array" ref="CE69">SUMPRODUCT(
  IF($B69:$K69&lt;&gt;"",
     INDEX('Eurostat EB products IEA'!$A$4:$BN$135,
           MATCH($B69:$K69, 'Eurostat EB products IEA'!$A$4:$A$135, 0),
           MATCH(CE$1, 'Eurostat EB products IEA'!$A$4:$BN$4, 0)
     )
     * $L69:$U69,
     0
  )
)</f>
        <v>0</v>
      </c>
      <c r="CF69" s="57" cm="1">
        <f t="array" ref="CF69">SUMPRODUCT(
  IF($B69:$K69&lt;&gt;"",
     INDEX('Eurostat EB products IEA'!$A$4:$BN$135,
           MATCH($B69:$K69, 'Eurostat EB products IEA'!$A$4:$A$135, 0),
           MATCH(CF$1, 'Eurostat EB products IEA'!$A$4:$BN$4, 0)
     )
     * $L69:$U69,
     0
  )
)</f>
        <v>0</v>
      </c>
      <c r="CG69" s="57" cm="1">
        <f t="array" ref="CG69">SUMPRODUCT(
  IF($B69:$K69&lt;&gt;"",
     INDEX('Eurostat EB products IEA'!$A$4:$BN$135,
           MATCH($B69:$K69, 'Eurostat EB products IEA'!$A$4:$A$135, 0),
           MATCH(CG$1, 'Eurostat EB products IEA'!$A$4:$BN$4, 0)
     )
     * $L69:$U69,
     0
  )
)</f>
        <v>406.553</v>
      </c>
      <c r="CH69" s="57" cm="1">
        <f t="array" ref="CH69">SUMPRODUCT(
  IF($B69:$K69&lt;&gt;"",
     INDEX('Eurostat EB products IEA'!$A$4:$BN$135,
           MATCH($B69:$K69, 'Eurostat EB products IEA'!$A$4:$A$135, 0),
           MATCH(CH$1, 'Eurostat EB products IEA'!$A$4:$BN$4, 0)
     )
     * $L69:$U69,
     0
  )
)</f>
        <v>0</v>
      </c>
    </row>
    <row r="70" spans="1:86" x14ac:dyDescent="0.2">
      <c r="A70" t="s">
        <v>107</v>
      </c>
      <c r="B70" s="75"/>
      <c r="C70" s="77"/>
      <c r="D70" s="75"/>
      <c r="E70" s="77"/>
      <c r="F70" s="75"/>
      <c r="G70" s="77"/>
      <c r="H70" s="75"/>
      <c r="I70" s="77"/>
      <c r="J70" s="74"/>
      <c r="K70" s="78" t="s">
        <v>303</v>
      </c>
      <c r="L70" s="76"/>
      <c r="M70" s="79"/>
      <c r="N70" s="76"/>
      <c r="O70" s="79"/>
      <c r="P70" s="76"/>
      <c r="Q70" s="79"/>
      <c r="R70" s="76"/>
      <c r="S70" s="79"/>
      <c r="T70" s="76"/>
      <c r="U70" s="79">
        <v>1</v>
      </c>
      <c r="V70" s="65" t="s">
        <v>323</v>
      </c>
      <c r="W70" s="65" t="s">
        <v>323</v>
      </c>
      <c r="X70" s="17" cm="1">
        <f t="array" ref="X70">SUMPRODUCT(
  IF($B70:$K70&lt;&gt;"",
     INDEX('Eurostat EB products IEA'!$A$4:$BN$135,
           MATCH($B70:$K70, 'Eurostat EB products IEA'!$A$4:$A$135, 0),
           MATCH(X$1, 'Eurostat EB products IEA'!$A$4:$BN$4, 0)
     )
     * $L70:$U70,
     0
  )
)</f>
        <v>0</v>
      </c>
      <c r="Y70" s="17" cm="1">
        <f t="array" ref="Y70">SUMPRODUCT(
  IF($B70:$K70&lt;&gt;"",
     INDEX('Eurostat EB products IEA'!$A$4:$BN$135,
           MATCH($B70:$K70, 'Eurostat EB products IEA'!$A$4:$A$135, 0),
           MATCH(Y$1, 'Eurostat EB products IEA'!$A$4:$BN$4, 0)
     )
     * $L70:$U70,
     0
  )
)</f>
        <v>0</v>
      </c>
      <c r="Z70" s="17" cm="1">
        <f t="array" ref="Z70">SUMPRODUCT(
  IF($B70:$K70&lt;&gt;"",
     INDEX('Eurostat EB products IEA'!$A$4:$BN$135,
           MATCH($B70:$K70, 'Eurostat EB products IEA'!$A$4:$A$135, 0),
           MATCH(Z$1, 'Eurostat EB products IEA'!$A$4:$BN$4, 0)
     )
     * $L70:$U70,
     0
  )
)</f>
        <v>0</v>
      </c>
      <c r="AA70" s="17" cm="1">
        <f t="array" ref="AA70">SUMPRODUCT(
  IF($B70:$K70&lt;&gt;"",
     INDEX('Eurostat EB products IEA'!$A$4:$BN$135,
           MATCH($B70:$K70, 'Eurostat EB products IEA'!$A$4:$A$135, 0),
           MATCH(AA$1, 'Eurostat EB products IEA'!$A$4:$BN$4, 0)
     )
     * $L70:$U70,
     0
  )
)</f>
        <v>0</v>
      </c>
      <c r="AB70" s="17" cm="1">
        <f t="array" ref="AB70">SUMPRODUCT(
  IF($B70:$K70&lt;&gt;"",
     INDEX('Eurostat EB products IEA'!$A$4:$BN$135,
           MATCH($B70:$K70, 'Eurostat EB products IEA'!$A$4:$A$135, 0),
           MATCH(AB$1, 'Eurostat EB products IEA'!$A$4:$BN$4, 0)
     )
     * $L70:$U70,
     0
  )
)</f>
        <v>0</v>
      </c>
      <c r="AC70" s="17" cm="1">
        <f t="array" ref="AC70">SUMPRODUCT(
  IF($B70:$K70&lt;&gt;"",
     INDEX('Eurostat EB products IEA'!$A$4:$BN$135,
           MATCH($B70:$K70, 'Eurostat EB products IEA'!$A$4:$A$135, 0),
           MATCH(AC$1, 'Eurostat EB products IEA'!$A$4:$BN$4, 0)
     )
     * $L70:$U70,
     0
  )
)</f>
        <v>0</v>
      </c>
      <c r="AD70" s="17" cm="1">
        <f t="array" ref="AD70">SUMPRODUCT(
  IF($B70:$K70&lt;&gt;"",
     INDEX('Eurostat EB products IEA'!$A$4:$BN$135,
           MATCH($B70:$K70, 'Eurostat EB products IEA'!$A$4:$A$135, 0),
           MATCH(AD$1, 'Eurostat EB products IEA'!$A$4:$BN$4, 0)
     )
     * $L70:$U70,
     0
  )
)</f>
        <v>0</v>
      </c>
      <c r="AE70" s="17" cm="1">
        <f t="array" ref="AE70">SUMPRODUCT(
  IF($B70:$K70&lt;&gt;"",
     INDEX('Eurostat EB products IEA'!$A$4:$BN$135,
           MATCH($B70:$K70, 'Eurostat EB products IEA'!$A$4:$A$135, 0),
           MATCH(AE$1, 'Eurostat EB products IEA'!$A$4:$BN$4, 0)
     )
     * $L70:$U70,
     0
  )
)</f>
        <v>0</v>
      </c>
      <c r="AF70" s="17" cm="1">
        <f t="array" ref="AF70">SUMPRODUCT(
  IF($B70:$K70&lt;&gt;"",
     INDEX('Eurostat EB products IEA'!$A$4:$BN$135,
           MATCH($B70:$K70, 'Eurostat EB products IEA'!$A$4:$A$135, 0),
           MATCH(AF$1, 'Eurostat EB products IEA'!$A$4:$BN$4, 0)
     )
     * $L70:$U70,
     0
  )
)</f>
        <v>0</v>
      </c>
      <c r="AG70" s="17" cm="1">
        <f t="array" ref="AG70">SUMPRODUCT(
  IF($B70:$K70&lt;&gt;"",
     INDEX('Eurostat EB products IEA'!$A$4:$BN$135,
           MATCH($B70:$K70, 'Eurostat EB products IEA'!$A$4:$A$135, 0),
           MATCH(AG$1, 'Eurostat EB products IEA'!$A$4:$BN$4, 0)
     )
     * $L70:$U70,
     0
  )
)</f>
        <v>0</v>
      </c>
      <c r="AH70" s="17" cm="1">
        <f t="array" ref="AH70">SUMPRODUCT(
  IF($B70:$K70&lt;&gt;"",
     INDEX('Eurostat EB products IEA'!$A$4:$BN$135,
           MATCH($B70:$K70, 'Eurostat EB products IEA'!$A$4:$A$135, 0),
           MATCH(AH$1, 'Eurostat EB products IEA'!$A$4:$BN$4, 0)
     )
     * $L70:$U70,
     0
  )
)</f>
        <v>0</v>
      </c>
      <c r="AI70" s="17" cm="1">
        <f t="array" ref="AI70">SUMPRODUCT(
  IF($B70:$K70&lt;&gt;"",
     INDEX('Eurostat EB products IEA'!$A$4:$BN$135,
           MATCH($B70:$K70, 'Eurostat EB products IEA'!$A$4:$A$135, 0),
           MATCH(AI$1, 'Eurostat EB products IEA'!$A$4:$BN$4, 0)
     )
     * $L70:$U70,
     0
  )
)</f>
        <v>0</v>
      </c>
      <c r="AJ70" s="17" cm="1">
        <f t="array" ref="AJ70">SUMPRODUCT(
  IF($B70:$K70&lt;&gt;"",
     INDEX('Eurostat EB products IEA'!$A$4:$BN$135,
           MATCH($B70:$K70, 'Eurostat EB products IEA'!$A$4:$A$135, 0),
           MATCH(AJ$1, 'Eurostat EB products IEA'!$A$4:$BN$4, 0)
     )
     * $L70:$U70,
     0
  )
)</f>
        <v>0</v>
      </c>
      <c r="AK70" s="17" cm="1">
        <f t="array" ref="AK70">SUMPRODUCT(
  IF($B70:$K70&lt;&gt;"",
     INDEX('Eurostat EB products IEA'!$A$4:$BN$135,
           MATCH($B70:$K70, 'Eurostat EB products IEA'!$A$4:$A$135, 0),
           MATCH(AK$1, 'Eurostat EB products IEA'!$A$4:$BN$4, 0)
     )
     * $L70:$U70,
     0
  )
)</f>
        <v>0</v>
      </c>
      <c r="AL70" s="17" cm="1">
        <f t="array" ref="AL70">SUMPRODUCT(
  IF($B70:$K70&lt;&gt;"",
     INDEX('Eurostat EB products IEA'!$A$4:$BN$135,
           MATCH($B70:$K70, 'Eurostat EB products IEA'!$A$4:$A$135, 0),
           MATCH(AL$1, 'Eurostat EB products IEA'!$A$4:$BN$4, 0)
     )
     * $L70:$U70,
     0
  )
)</f>
        <v>0</v>
      </c>
      <c r="AM70" s="17" cm="1">
        <f t="array" ref="AM70">SUMPRODUCT(
  IF($B70:$K70&lt;&gt;"",
     INDEX('Eurostat EB products IEA'!$A$4:$BN$135,
           MATCH($B70:$K70, 'Eurostat EB products IEA'!$A$4:$A$135, 0),
           MATCH(AM$1, 'Eurostat EB products IEA'!$A$4:$BN$4, 0)
     )
     * $L70:$U70,
     0
  )
)</f>
        <v>2448.2550000000001</v>
      </c>
      <c r="AN70" s="65" t="s">
        <v>323</v>
      </c>
      <c r="AO70" s="17" cm="1">
        <f t="array" ref="AO70">SUMPRODUCT(
  IF($B70:$K70&lt;&gt;"",
     INDEX('Eurostat EB products IEA'!$A$4:$BN$135,
           MATCH($B70:$K70, 'Eurostat EB products IEA'!$A$4:$A$135, 0),
           MATCH(AO$1, 'Eurostat EB products IEA'!$A$4:$BN$4, 0)
     )
     * $L70:$U70,
     0
  )
)</f>
        <v>0</v>
      </c>
      <c r="AP70" s="17" cm="1">
        <f t="array" ref="AP70">SUMPRODUCT(
  IF($B70:$K70&lt;&gt;"",
     INDEX('Eurostat EB products IEA'!$A$4:$BN$135,
           MATCH($B70:$K70, 'Eurostat EB products IEA'!$A$4:$A$135, 0),
           MATCH(AP$1, 'Eurostat EB products IEA'!$A$4:$BN$4, 0)
     )
     * $L70:$U70,
     0
  )
)</f>
        <v>0</v>
      </c>
      <c r="AQ70" s="17" cm="1">
        <f t="array" ref="AQ70">SUMPRODUCT(
  IF($B70:$K70&lt;&gt;"",
     INDEX('Eurostat EB products IEA'!$A$4:$BN$135,
           MATCH($B70:$K70, 'Eurostat EB products IEA'!$A$4:$A$135, 0),
           MATCH(AQ$1, 'Eurostat EB products IEA'!$A$4:$BN$4, 0)
     )
     * $L70:$U70,
     0
  )
)</f>
        <v>0</v>
      </c>
      <c r="AR70" s="17" cm="1">
        <f t="array" ref="AR70">SUMPRODUCT(
  IF($B70:$K70&lt;&gt;"",
     INDEX('Eurostat EB products IEA'!$A$4:$BN$135,
           MATCH($B70:$K70, 'Eurostat EB products IEA'!$A$4:$A$135, 0),
           MATCH(AR$1, 'Eurostat EB products IEA'!$A$4:$BN$4, 0)
     )
     * $L70:$U70,
     0
  )
)</f>
        <v>0</v>
      </c>
      <c r="AS70" s="17" cm="1">
        <f t="array" ref="AS70">SUMPRODUCT(
  IF($B70:$K70&lt;&gt;"",
     INDEX('Eurostat EB products IEA'!$A$4:$BN$135,
           MATCH($B70:$K70, 'Eurostat EB products IEA'!$A$4:$A$135, 0),
           MATCH(AS$1, 'Eurostat EB products IEA'!$A$4:$BN$4, 0)
     )
     * $L70:$U70,
     0
  )
)</f>
        <v>0</v>
      </c>
      <c r="AT70" s="17" cm="1">
        <f t="array" ref="AT70">SUMPRODUCT(
  IF($B70:$K70&lt;&gt;"",
     INDEX('Eurostat EB products IEA'!$A$4:$BN$135,
           MATCH($B70:$K70, 'Eurostat EB products IEA'!$A$4:$A$135, 0),
           MATCH(AT$1, 'Eurostat EB products IEA'!$A$4:$BN$4, 0)
     )
     * $L70:$U70,
     0
  )
)</f>
        <v>0</v>
      </c>
      <c r="AU70" s="17" cm="1">
        <f t="array" ref="AU70">SUMPRODUCT(
  IF($B70:$K70&lt;&gt;"",
     INDEX('Eurostat EB products IEA'!$A$4:$BN$135,
           MATCH($B70:$K70, 'Eurostat EB products IEA'!$A$4:$A$135, 0),
           MATCH(AU$1, 'Eurostat EB products IEA'!$A$4:$BN$4, 0)
     )
     * $L70:$U70,
     0
  )
)</f>
        <v>0</v>
      </c>
      <c r="AV70" s="17" cm="1">
        <f t="array" ref="AV70">SUMPRODUCT(
  IF($B70:$K70&lt;&gt;"",
     INDEX('Eurostat EB products IEA'!$A$4:$BN$135,
           MATCH($B70:$K70, 'Eurostat EB products IEA'!$A$4:$A$135, 0),
           MATCH(AV$1, 'Eurostat EB products IEA'!$A$4:$BN$4, 0)
     )
     * $L70:$U70,
     0
  )
)</f>
        <v>4965.326</v>
      </c>
      <c r="AW70" s="17" cm="1">
        <f t="array" ref="AW70">SUMPRODUCT(
  IF($B70:$K70&lt;&gt;"",
     INDEX('Eurostat EB products IEA'!$A$4:$BN$135,
           MATCH($B70:$K70, 'Eurostat EB products IEA'!$A$4:$A$135, 0),
           MATCH(AW$1, 'Eurostat EB products IEA'!$A$4:$BN$4, 0)
     )
     * $L70:$U70,
     0
  )
)</f>
        <v>168369.96400000001</v>
      </c>
      <c r="AX70" s="17" cm="1">
        <f t="array" ref="AX70">SUMPRODUCT(
  IF($B70:$K70&lt;&gt;"",
     INDEX('Eurostat EB products IEA'!$A$4:$BN$135,
           MATCH($B70:$K70, 'Eurostat EB products IEA'!$A$4:$A$135, 0),
           MATCH(AX$1, 'Eurostat EB products IEA'!$A$4:$BN$4, 0)
     )
     * $L70:$U70,
     0
  )
)</f>
        <v>0</v>
      </c>
      <c r="AY70" s="17" cm="1">
        <f t="array" ref="AY70">SUMPRODUCT(
  IF($B70:$K70&lt;&gt;"",
     INDEX('Eurostat EB products IEA'!$A$4:$BN$135,
           MATCH($B70:$K70, 'Eurostat EB products IEA'!$A$4:$A$135, 0),
           MATCH(AY$1, 'Eurostat EB products IEA'!$A$4:$BN$4, 0)
     )
     * $L70:$U70,
     0
  )
)</f>
        <v>0</v>
      </c>
      <c r="AZ70" s="17" cm="1">
        <f t="array" ref="AZ70">SUMPRODUCT(
  IF($B70:$K70&lt;&gt;"",
     INDEX('Eurostat EB products IEA'!$A$4:$BN$135,
           MATCH($B70:$K70, 'Eurostat EB products IEA'!$A$4:$A$135, 0),
           MATCH(AZ$1, 'Eurostat EB products IEA'!$A$4:$BN$4, 0)
     )
     * $L70:$U70,
     0
  )
)</f>
        <v>0</v>
      </c>
      <c r="BA70" s="17" cm="1">
        <f t="array" ref="BA70">SUMPRODUCT(
  IF($B70:$K70&lt;&gt;"",
     INDEX('Eurostat EB products IEA'!$A$4:$BN$135,
           MATCH($B70:$K70, 'Eurostat EB products IEA'!$A$4:$A$135, 0),
           MATCH(BA$1, 'Eurostat EB products IEA'!$A$4:$BN$4, 0)
     )
     * $L70:$U70,
     0
  )
)</f>
        <v>0</v>
      </c>
      <c r="BB70" s="17" cm="1">
        <f t="array" ref="BB70">SUMPRODUCT(
  IF($B70:$K70&lt;&gt;"",
     INDEX('Eurostat EB products IEA'!$A$4:$BN$135,
           MATCH($B70:$K70, 'Eurostat EB products IEA'!$A$4:$A$135, 0),
           MATCH(BB$1, 'Eurostat EB products IEA'!$A$4:$BN$4, 0)
     )
     * $L70:$U70,
     0
  )
)</f>
        <v>170617.92300000001</v>
      </c>
      <c r="BC70" s="17" cm="1">
        <f t="array" ref="BC70">SUMPRODUCT(
  IF($B70:$K70&lt;&gt;"",
     INDEX('Eurostat EB products IEA'!$A$4:$BN$135,
           MATCH($B70:$K70, 'Eurostat EB products IEA'!$A$4:$A$135, 0),
           MATCH(BC$1, 'Eurostat EB products IEA'!$A$4:$BN$4, 0)
     )
     * $L70:$U70,
     0
  )
)</f>
        <v>0</v>
      </c>
      <c r="BD70" s="17" cm="1">
        <f t="array" ref="BD70">SUMPRODUCT(
  IF($B70:$K70&lt;&gt;"",
     INDEX('Eurostat EB products IEA'!$A$4:$BN$135,
           MATCH($B70:$K70, 'Eurostat EB products IEA'!$A$4:$A$135, 0),
           MATCH(BD$1, 'Eurostat EB products IEA'!$A$4:$BN$4, 0)
     )
     * $L70:$U70,
     0
  )
)</f>
        <v>0</v>
      </c>
      <c r="BE70" s="17" cm="1">
        <f t="array" ref="BE70">SUMPRODUCT(
  IF($B70:$K70&lt;&gt;"",
     INDEX('Eurostat EB products IEA'!$A$4:$BN$135,
           MATCH($B70:$K70, 'Eurostat EB products IEA'!$A$4:$A$135, 0),
           MATCH(BE$1, 'Eurostat EB products IEA'!$A$4:$BN$4, 0)
     )
     * $L70:$U70,
     0
  )
)</f>
        <v>0</v>
      </c>
      <c r="BF70" s="17" cm="1">
        <f t="array" ref="BF70">SUMPRODUCT(
  IF($B70:$K70&lt;&gt;"",
     INDEX('Eurostat EB products IEA'!$A$4:$BN$135,
           MATCH($B70:$K70, 'Eurostat EB products IEA'!$A$4:$A$135, 0),
           MATCH(BF$1, 'Eurostat EB products IEA'!$A$4:$BN$4, 0)
     )
     * $L70:$U70,
     0
  )
)</f>
        <v>0</v>
      </c>
      <c r="BG70" s="17" cm="1">
        <f t="array" ref="BG70">SUMPRODUCT(
  IF($B70:$K70&lt;&gt;"",
     INDEX('Eurostat EB products IEA'!$A$4:$BN$135,
           MATCH($B70:$K70, 'Eurostat EB products IEA'!$A$4:$A$135, 0),
           MATCH(BG$1, 'Eurostat EB products IEA'!$A$4:$BN$4, 0)
     )
     * $L70:$U70,
     0
  )
)</f>
        <v>0</v>
      </c>
      <c r="BH70" s="17" cm="1">
        <f t="array" ref="BH70">SUMPRODUCT(
  IF($B70:$K70&lt;&gt;"",
     INDEX('Eurostat EB products IEA'!$A$4:$BN$135,
           MATCH($B70:$K70, 'Eurostat EB products IEA'!$A$4:$A$135, 0),
           MATCH(BH$1, 'Eurostat EB products IEA'!$A$4:$BN$4, 0)
     )
     * $L70:$U70,
     0
  )
)</f>
        <v>0</v>
      </c>
      <c r="BI70" s="17" cm="1">
        <f t="array" ref="BI70">SUMPRODUCT(
  IF($B70:$K70&lt;&gt;"",
     INDEX('Eurostat EB products IEA'!$A$4:$BN$135,
           MATCH($B70:$K70, 'Eurostat EB products IEA'!$A$4:$A$135, 0),
           MATCH(BI$1, 'Eurostat EB products IEA'!$A$4:$BN$4, 0)
     )
     * $L70:$U70,
     0
  )
)</f>
        <v>0</v>
      </c>
      <c r="BJ70" s="17" cm="1">
        <f t="array" ref="BJ70">SUMPRODUCT(
  IF($B70:$K70&lt;&gt;"",
     INDEX('Eurostat EB products IEA'!$A$4:$BN$135,
           MATCH($B70:$K70, 'Eurostat EB products IEA'!$A$4:$A$135, 0),
           MATCH(BJ$1, 'Eurostat EB products IEA'!$A$4:$BN$4, 0)
     )
     * $L70:$U70,
     0
  )
)</f>
        <v>0</v>
      </c>
      <c r="BK70" s="17" cm="1">
        <f t="array" ref="BK70">SUMPRODUCT(
  IF($B70:$K70&lt;&gt;"",
     INDEX('Eurostat EB products IEA'!$A$4:$BN$135,
           MATCH($B70:$K70, 'Eurostat EB products IEA'!$A$4:$A$135, 0),
           MATCH(BK$1, 'Eurostat EB products IEA'!$A$4:$BN$4, 0)
     )
     * $L70:$U70,
     0
  )
)</f>
        <v>0</v>
      </c>
      <c r="BL70" s="17" cm="1">
        <f t="array" ref="BL70">SUMPRODUCT(
  IF($B70:$K70&lt;&gt;"",
     INDEX('Eurostat EB products IEA'!$A$4:$BN$135,
           MATCH($B70:$K70, 'Eurostat EB products IEA'!$A$4:$A$135, 0),
           MATCH(BL$1, 'Eurostat EB products IEA'!$A$4:$BN$4, 0)
     )
     * $L70:$U70,
     0
  )
)</f>
        <v>0</v>
      </c>
      <c r="BM70" s="17" cm="1">
        <f t="array" ref="BM70">SUMPRODUCT(
  IF($B70:$K70&lt;&gt;"",
     INDEX('Eurostat EB products IEA'!$A$4:$BN$135,
           MATCH($B70:$K70, 'Eurostat EB products IEA'!$A$4:$A$135, 0),
           MATCH(BM$1, 'Eurostat EB products IEA'!$A$4:$BN$4, 0)
     )
     * $L70:$U70,
     0
  )
)</f>
        <v>0</v>
      </c>
      <c r="BN70" s="17" cm="1">
        <f t="array" ref="BN70">SUMPRODUCT(
  IF($B70:$K70&lt;&gt;"",
     INDEX('Eurostat EB products IEA'!$A$4:$BN$135,
           MATCH($B70:$K70, 'Eurostat EB products IEA'!$A$4:$A$135, 0),
           MATCH(BN$1, 'Eurostat EB products IEA'!$A$4:$BN$4, 0)
     )
     * $L70:$U70,
     0
  )
)</f>
        <v>0</v>
      </c>
      <c r="BO70" s="17" cm="1">
        <f t="array" ref="BO70">SUMPRODUCT(
  IF($B70:$K70&lt;&gt;"",
     INDEX('Eurostat EB products IEA'!$A$4:$BN$135,
           MATCH($B70:$K70, 'Eurostat EB products IEA'!$A$4:$A$135, 0),
           MATCH(BO$1, 'Eurostat EB products IEA'!$A$4:$BN$4, 0)
     )
     * $L70:$U70,
     0
  )
)</f>
        <v>0</v>
      </c>
      <c r="BP70" s="17" cm="1">
        <f t="array" ref="BP70">SUMPRODUCT(
  IF($B70:$K70&lt;&gt;"",
     INDEX('Eurostat EB products IEA'!$A$4:$BN$135,
           MATCH($B70:$K70, 'Eurostat EB products IEA'!$A$4:$A$135, 0),
           MATCH(BP$1, 'Eurostat EB products IEA'!$A$4:$BN$4, 0)
     )
     * $L70:$U70,
     0
  )
)</f>
        <v>10780.532999999999</v>
      </c>
      <c r="BQ70" s="17" cm="1">
        <f t="array" ref="BQ70">SUMPRODUCT(
  IF($B70:$K70&lt;&gt;"",
     INDEX('Eurostat EB products IEA'!$A$4:$BN$135,
           MATCH($B70:$K70, 'Eurostat EB products IEA'!$A$4:$A$135, 0),
           MATCH(BQ$1, 'Eurostat EB products IEA'!$A$4:$BN$4, 0)
     )
     * $L70:$U70,
     0
  )
)</f>
        <v>11989.163</v>
      </c>
      <c r="BR70" s="17" cm="1">
        <f t="array" ref="BR70">SUMPRODUCT(
  IF($B70:$K70&lt;&gt;"",
     INDEX('Eurostat EB products IEA'!$A$4:$BN$135,
           MATCH($B70:$K70, 'Eurostat EB products IEA'!$A$4:$A$135, 0),
           MATCH(BR$1, 'Eurostat EB products IEA'!$A$4:$BN$4, 0)
     )
     * $L70:$U70,
     0
  )
)</f>
        <v>0</v>
      </c>
      <c r="BS70" s="65">
        <v>0</v>
      </c>
      <c r="BT70" s="17" cm="1">
        <f t="array" ref="BT70">SUMPRODUCT(
  IF($B70:$K70&lt;&gt;"",
     INDEX('Eurostat EB products IEA'!$A$4:$BN$135,
           MATCH($B70:$K70, 'Eurostat EB products IEA'!$A$4:$A$135, 0),
           MATCH(BT$1, 'Eurostat EB products IEA'!$A$4:$BN$4, 0)
     )
     * $L70:$U70,
     0
  )
)</f>
        <v>0</v>
      </c>
      <c r="BU70" s="65">
        <v>0</v>
      </c>
      <c r="BV70" s="65">
        <v>0</v>
      </c>
      <c r="BW70" s="17" cm="1">
        <f t="array" ref="BW70">SUMPRODUCT(
  IF($B70:$K70&lt;&gt;"",
     INDEX('Eurostat EB products IEA'!$A$4:$BN$135,
           MATCH($B70:$K70, 'Eurostat EB products IEA'!$A$4:$A$135, 0),
           MATCH(BW$1, 'Eurostat EB products IEA'!$A$4:$BN$4, 0)
     )
     * $L70:$U70,
     0
  )
)</f>
        <v>0</v>
      </c>
      <c r="BX70" s="17" cm="1">
        <f t="array" ref="BX70">SUMPRODUCT(
  IF($B70:$K70&lt;&gt;"",
     INDEX('Eurostat EB products IEA'!$A$4:$BN$135,
           MATCH($B70:$K70, 'Eurostat EB products IEA'!$A$4:$A$135, 0),
           MATCH(BX$1, 'Eurostat EB products IEA'!$A$4:$BN$4, 0)
     )
     * $L70:$U70,
     0
  )
)</f>
        <v>0</v>
      </c>
      <c r="BY70" s="17" cm="1">
        <f t="array" ref="BY70">SUMPRODUCT(
  IF($B70:$K70&lt;&gt;"",
     INDEX('Eurostat EB products IEA'!$A$4:$BN$135,
           MATCH($B70:$K70, 'Eurostat EB products IEA'!$A$4:$A$135, 0),
           MATCH(BY$1, 'Eurostat EB products IEA'!$A$4:$BN$4, 0)
     )
     * $L70:$U70,
     0
  )
)</f>
        <v>0</v>
      </c>
      <c r="BZ70" s="17" cm="1">
        <f t="array" ref="BZ70">SUMPRODUCT(
  IF($B70:$K70&lt;&gt;"",
     INDEX('Eurostat EB products IEA'!$A$4:$BN$135,
           MATCH($B70:$K70, 'Eurostat EB products IEA'!$A$4:$A$135, 0),
           MATCH(BZ$1, 'Eurostat EB products IEA'!$A$4:$BN$4, 0)
     )
     * $L70:$U70,
     0
  )
)</f>
        <v>0</v>
      </c>
      <c r="CA70" s="17" cm="1">
        <f t="array" ref="CA70">SUMPRODUCT(
  IF($B70:$K70&lt;&gt;"",
     INDEX('Eurostat EB products IEA'!$A$4:$BN$135,
           MATCH($B70:$K70, 'Eurostat EB products IEA'!$A$4:$A$135, 0),
           MATCH(CA$1, 'Eurostat EB products IEA'!$A$4:$BN$4, 0)
     )
     * $L70:$U70,
     0
  )
)</f>
        <v>0</v>
      </c>
      <c r="CB70" s="17" cm="1">
        <f t="array" ref="CB70">SUMPRODUCT(
  IF($B70:$K70&lt;&gt;"",
     INDEX('Eurostat EB products IEA'!$A$4:$BN$135,
           MATCH($B70:$K70, 'Eurostat EB products IEA'!$A$4:$A$135, 0),
           MATCH(CB$1, 'Eurostat EB products IEA'!$A$4:$BN$4, 0)
     )
     * $L70:$U70,
     0
  )
)</f>
        <v>0</v>
      </c>
      <c r="CC70" s="17" cm="1">
        <f t="array" ref="CC70">SUMPRODUCT(
  IF($B70:$K70&lt;&gt;"",
     INDEX('Eurostat EB products IEA'!$A$4:$BN$135,
           MATCH($B70:$K70, 'Eurostat EB products IEA'!$A$4:$A$135, 0),
           MATCH(CC$1, 'Eurostat EB products IEA'!$A$4:$BN$4, 0)
     )
     * $L70:$U70,
     0
  )
)</f>
        <v>0</v>
      </c>
      <c r="CD70" s="65">
        <v>0</v>
      </c>
      <c r="CE70" s="17" cm="1">
        <f t="array" ref="CE70">SUMPRODUCT(
  IF($B70:$K70&lt;&gt;"",
     INDEX('Eurostat EB products IEA'!$A$4:$BN$135,
           MATCH($B70:$K70, 'Eurostat EB products IEA'!$A$4:$A$135, 0),
           MATCH(CE$1, 'Eurostat EB products IEA'!$A$4:$BN$4, 0)
     )
     * $L70:$U70,
     0
  )
)</f>
        <v>7947.8779999999997</v>
      </c>
      <c r="CF70" s="17" cm="1">
        <f t="array" ref="CF70">SUMPRODUCT(
  IF($B70:$K70&lt;&gt;"",
     INDEX('Eurostat EB products IEA'!$A$4:$BN$135,
           MATCH($B70:$K70, 'Eurostat EB products IEA'!$A$4:$A$135, 0),
           MATCH(CF$1, 'Eurostat EB products IEA'!$A$4:$BN$4, 0)
     )
     * $L70:$U70,
     0
  )
)</f>
        <v>0</v>
      </c>
      <c r="CG70" s="17" cm="1">
        <f t="array" ref="CG70">SUMPRODUCT(
  IF($B70:$K70&lt;&gt;"",
     INDEX('Eurostat EB products IEA'!$A$4:$BN$135,
           MATCH($B70:$K70, 'Eurostat EB products IEA'!$A$4:$A$135, 0),
           MATCH(CG$1, 'Eurostat EB products IEA'!$A$4:$BN$4, 0)
     )
     * $L70:$U70,
     0
  )
)</f>
        <v>377119.04200000002</v>
      </c>
      <c r="CH70" s="17" cm="1">
        <f t="array" ref="CH70">SUMPRODUCT(
  IF($B70:$K70&lt;&gt;"",
     INDEX('Eurostat EB products IEA'!$A$4:$BN$135,
           MATCH($B70:$K70, 'Eurostat EB products IEA'!$A$4:$A$135, 0),
           MATCH(CH$1, 'Eurostat EB products IEA'!$A$4:$BN$4, 0)
     )
     * $L70:$U70,
     0
  )
)</f>
        <v>23323.896000000001</v>
      </c>
    </row>
    <row r="71" spans="1:86" x14ac:dyDescent="0.2">
      <c r="A71" t="s">
        <v>106</v>
      </c>
      <c r="B71" s="75"/>
      <c r="C71" s="77"/>
      <c r="D71" s="75"/>
      <c r="E71" s="77"/>
      <c r="F71" s="75"/>
      <c r="G71" s="77"/>
      <c r="H71" s="75"/>
      <c r="I71" s="77"/>
      <c r="J71" s="74"/>
      <c r="K71" s="78" t="s">
        <v>302</v>
      </c>
      <c r="L71" s="76"/>
      <c r="M71" s="79"/>
      <c r="N71" s="76"/>
      <c r="O71" s="79"/>
      <c r="P71" s="76"/>
      <c r="Q71" s="79"/>
      <c r="R71" s="76"/>
      <c r="S71" s="79"/>
      <c r="T71" s="76"/>
      <c r="U71" s="79">
        <v>1</v>
      </c>
      <c r="V71" s="65" t="s">
        <v>323</v>
      </c>
      <c r="W71" s="65" t="s">
        <v>323</v>
      </c>
      <c r="X71" s="57" cm="1">
        <f t="array" ref="X71">SUMPRODUCT(
  IF($B71:$K71&lt;&gt;"",
     INDEX('Eurostat EB products IEA'!$A$4:$BN$135,
           MATCH($B71:$K71, 'Eurostat EB products IEA'!$A$4:$A$135, 0),
           MATCH(X$1, 'Eurostat EB products IEA'!$A$4:$BN$4, 0)
     )
     * $L71:$U71,
     0
  )
)</f>
        <v>0</v>
      </c>
      <c r="Y71" s="57" cm="1">
        <f t="array" ref="Y71">SUMPRODUCT(
  IF($B71:$K71&lt;&gt;"",
     INDEX('Eurostat EB products IEA'!$A$4:$BN$135,
           MATCH($B71:$K71, 'Eurostat EB products IEA'!$A$4:$A$135, 0),
           MATCH(Y$1, 'Eurostat EB products IEA'!$A$4:$BN$4, 0)
     )
     * $L71:$U71,
     0
  )
)</f>
        <v>0</v>
      </c>
      <c r="Z71" s="57" cm="1">
        <f t="array" ref="Z71">SUMPRODUCT(
  IF($B71:$K71&lt;&gt;"",
     INDEX('Eurostat EB products IEA'!$A$4:$BN$135,
           MATCH($B71:$K71, 'Eurostat EB products IEA'!$A$4:$A$135, 0),
           MATCH(Z$1, 'Eurostat EB products IEA'!$A$4:$BN$4, 0)
     )
     * $L71:$U71,
     0
  )
)</f>
        <v>0</v>
      </c>
      <c r="AA71" s="57" cm="1">
        <f t="array" ref="AA71">SUMPRODUCT(
  IF($B71:$K71&lt;&gt;"",
     INDEX('Eurostat EB products IEA'!$A$4:$BN$135,
           MATCH($B71:$K71, 'Eurostat EB products IEA'!$A$4:$A$135, 0),
           MATCH(AA$1, 'Eurostat EB products IEA'!$A$4:$BN$4, 0)
     )
     * $L71:$U71,
     0
  )
)</f>
        <v>0</v>
      </c>
      <c r="AB71" s="57" cm="1">
        <f t="array" ref="AB71">SUMPRODUCT(
  IF($B71:$K71&lt;&gt;"",
     INDEX('Eurostat EB products IEA'!$A$4:$BN$135,
           MATCH($B71:$K71, 'Eurostat EB products IEA'!$A$4:$A$135, 0),
           MATCH(AB$1, 'Eurostat EB products IEA'!$A$4:$BN$4, 0)
     )
     * $L71:$U71,
     0
  )
)</f>
        <v>0</v>
      </c>
      <c r="AC71" s="57" cm="1">
        <f t="array" ref="AC71">SUMPRODUCT(
  IF($B71:$K71&lt;&gt;"",
     INDEX('Eurostat EB products IEA'!$A$4:$BN$135,
           MATCH($B71:$K71, 'Eurostat EB products IEA'!$A$4:$A$135, 0),
           MATCH(AC$1, 'Eurostat EB products IEA'!$A$4:$BN$4, 0)
     )
     * $L71:$U71,
     0
  )
)</f>
        <v>0</v>
      </c>
      <c r="AD71" s="57" cm="1">
        <f t="array" ref="AD71">SUMPRODUCT(
  IF($B71:$K71&lt;&gt;"",
     INDEX('Eurostat EB products IEA'!$A$4:$BN$135,
           MATCH($B71:$K71, 'Eurostat EB products IEA'!$A$4:$A$135, 0),
           MATCH(AD$1, 'Eurostat EB products IEA'!$A$4:$BN$4, 0)
     )
     * $L71:$U71,
     0
  )
)</f>
        <v>0</v>
      </c>
      <c r="AE71" s="57" cm="1">
        <f t="array" ref="AE71">SUMPRODUCT(
  IF($B71:$K71&lt;&gt;"",
     INDEX('Eurostat EB products IEA'!$A$4:$BN$135,
           MATCH($B71:$K71, 'Eurostat EB products IEA'!$A$4:$A$135, 0),
           MATCH(AE$1, 'Eurostat EB products IEA'!$A$4:$BN$4, 0)
     )
     * $L71:$U71,
     0
  )
)</f>
        <v>0</v>
      </c>
      <c r="AF71" s="57" cm="1">
        <f t="array" ref="AF71">SUMPRODUCT(
  IF($B71:$K71&lt;&gt;"",
     INDEX('Eurostat EB products IEA'!$A$4:$BN$135,
           MATCH($B71:$K71, 'Eurostat EB products IEA'!$A$4:$A$135, 0),
           MATCH(AF$1, 'Eurostat EB products IEA'!$A$4:$BN$4, 0)
     )
     * $L71:$U71,
     0
  )
)</f>
        <v>0</v>
      </c>
      <c r="AG71" s="57" cm="1">
        <f t="array" ref="AG71">SUMPRODUCT(
  IF($B71:$K71&lt;&gt;"",
     INDEX('Eurostat EB products IEA'!$A$4:$BN$135,
           MATCH($B71:$K71, 'Eurostat EB products IEA'!$A$4:$A$135, 0),
           MATCH(AG$1, 'Eurostat EB products IEA'!$A$4:$BN$4, 0)
     )
     * $L71:$U71,
     0
  )
)</f>
        <v>0</v>
      </c>
      <c r="AH71" s="57" cm="1">
        <f t="array" ref="AH71">SUMPRODUCT(
  IF($B71:$K71&lt;&gt;"",
     INDEX('Eurostat EB products IEA'!$A$4:$BN$135,
           MATCH($B71:$K71, 'Eurostat EB products IEA'!$A$4:$A$135, 0),
           MATCH(AH$1, 'Eurostat EB products IEA'!$A$4:$BN$4, 0)
     )
     * $L71:$U71,
     0
  )
)</f>
        <v>0</v>
      </c>
      <c r="AI71" s="57" cm="1">
        <f t="array" ref="AI71">SUMPRODUCT(
  IF($B71:$K71&lt;&gt;"",
     INDEX('Eurostat EB products IEA'!$A$4:$BN$135,
           MATCH($B71:$K71, 'Eurostat EB products IEA'!$A$4:$A$135, 0),
           MATCH(AI$1, 'Eurostat EB products IEA'!$A$4:$BN$4, 0)
     )
     * $L71:$U71,
     0
  )
)</f>
        <v>0</v>
      </c>
      <c r="AJ71" s="57" cm="1">
        <f t="array" ref="AJ71">SUMPRODUCT(
  IF($B71:$K71&lt;&gt;"",
     INDEX('Eurostat EB products IEA'!$A$4:$BN$135,
           MATCH($B71:$K71, 'Eurostat EB products IEA'!$A$4:$A$135, 0),
           MATCH(AJ$1, 'Eurostat EB products IEA'!$A$4:$BN$4, 0)
     )
     * $L71:$U71,
     0
  )
)</f>
        <v>0</v>
      </c>
      <c r="AK71" s="57" cm="1">
        <f t="array" ref="AK71">SUMPRODUCT(
  IF($B71:$K71&lt;&gt;"",
     INDEX('Eurostat EB products IEA'!$A$4:$BN$135,
           MATCH($B71:$K71, 'Eurostat EB products IEA'!$A$4:$A$135, 0),
           MATCH(AK$1, 'Eurostat EB products IEA'!$A$4:$BN$4, 0)
     )
     * $L71:$U71,
     0
  )
)</f>
        <v>0</v>
      </c>
      <c r="AL71" s="57" cm="1">
        <f t="array" ref="AL71">SUMPRODUCT(
  IF($B71:$K71&lt;&gt;"",
     INDEX('Eurostat EB products IEA'!$A$4:$BN$135,
           MATCH($B71:$K71, 'Eurostat EB products IEA'!$A$4:$A$135, 0),
           MATCH(AL$1, 'Eurostat EB products IEA'!$A$4:$BN$4, 0)
     )
     * $L71:$U71,
     0
  )
)</f>
        <v>0</v>
      </c>
      <c r="AM71" s="57" cm="1">
        <f t="array" ref="AM71">SUMPRODUCT(
  IF($B71:$K71&lt;&gt;"",
     INDEX('Eurostat EB products IEA'!$A$4:$BN$135,
           MATCH($B71:$K71, 'Eurostat EB products IEA'!$A$4:$A$135, 0),
           MATCH(AM$1, 'Eurostat EB products IEA'!$A$4:$BN$4, 0)
     )
     * $L71:$U71,
     0
  )
)</f>
        <v>0</v>
      </c>
      <c r="AN71" s="65" t="s">
        <v>323</v>
      </c>
      <c r="AO71" s="57" cm="1">
        <f t="array" ref="AO71">SUMPRODUCT(
  IF($B71:$K71&lt;&gt;"",
     INDEX('Eurostat EB products IEA'!$A$4:$BN$135,
           MATCH($B71:$K71, 'Eurostat EB products IEA'!$A$4:$A$135, 0),
           MATCH(AO$1, 'Eurostat EB products IEA'!$A$4:$BN$4, 0)
     )
     * $L71:$U71,
     0
  )
)</f>
        <v>0</v>
      </c>
      <c r="AP71" s="57" cm="1">
        <f t="array" ref="AP71">SUMPRODUCT(
  IF($B71:$K71&lt;&gt;"",
     INDEX('Eurostat EB products IEA'!$A$4:$BN$135,
           MATCH($B71:$K71, 'Eurostat EB products IEA'!$A$4:$A$135, 0),
           MATCH(AP$1, 'Eurostat EB products IEA'!$A$4:$BN$4, 0)
     )
     * $L71:$U71,
     0
  )
)</f>
        <v>0</v>
      </c>
      <c r="AQ71" s="57" cm="1">
        <f t="array" ref="AQ71">SUMPRODUCT(
  IF($B71:$K71&lt;&gt;"",
     INDEX('Eurostat EB products IEA'!$A$4:$BN$135,
           MATCH($B71:$K71, 'Eurostat EB products IEA'!$A$4:$A$135, 0),
           MATCH(AQ$1, 'Eurostat EB products IEA'!$A$4:$BN$4, 0)
     )
     * $L71:$U71,
     0
  )
)</f>
        <v>0</v>
      </c>
      <c r="AR71" s="57" cm="1">
        <f t="array" ref="AR71">SUMPRODUCT(
  IF($B71:$K71&lt;&gt;"",
     INDEX('Eurostat EB products IEA'!$A$4:$BN$135,
           MATCH($B71:$K71, 'Eurostat EB products IEA'!$A$4:$A$135, 0),
           MATCH(AR$1, 'Eurostat EB products IEA'!$A$4:$BN$4, 0)
     )
     * $L71:$U71,
     0
  )
)</f>
        <v>0</v>
      </c>
      <c r="AS71" s="57" cm="1">
        <f t="array" ref="AS71">SUMPRODUCT(
  IF($B71:$K71&lt;&gt;"",
     INDEX('Eurostat EB products IEA'!$A$4:$BN$135,
           MATCH($B71:$K71, 'Eurostat EB products IEA'!$A$4:$A$135, 0),
           MATCH(AS$1, 'Eurostat EB products IEA'!$A$4:$BN$4, 0)
     )
     * $L71:$U71,
     0
  )
)</f>
        <v>0</v>
      </c>
      <c r="AT71" s="57" cm="1">
        <f t="array" ref="AT71">SUMPRODUCT(
  IF($B71:$K71&lt;&gt;"",
     INDEX('Eurostat EB products IEA'!$A$4:$BN$135,
           MATCH($B71:$K71, 'Eurostat EB products IEA'!$A$4:$A$135, 0),
           MATCH(AT$1, 'Eurostat EB products IEA'!$A$4:$BN$4, 0)
     )
     * $L71:$U71,
     0
  )
)</f>
        <v>0</v>
      </c>
      <c r="AU71" s="57" cm="1">
        <f t="array" ref="AU71">SUMPRODUCT(
  IF($B71:$K71&lt;&gt;"",
     INDEX('Eurostat EB products IEA'!$A$4:$BN$135,
           MATCH($B71:$K71, 'Eurostat EB products IEA'!$A$4:$A$135, 0),
           MATCH(AU$1, 'Eurostat EB products IEA'!$A$4:$BN$4, 0)
     )
     * $L71:$U71,
     0
  )
)</f>
        <v>0</v>
      </c>
      <c r="AV71" s="57" cm="1">
        <f t="array" ref="AV71">SUMPRODUCT(
  IF($B71:$K71&lt;&gt;"",
     INDEX('Eurostat EB products IEA'!$A$4:$BN$135,
           MATCH($B71:$K71, 'Eurostat EB products IEA'!$A$4:$A$135, 0),
           MATCH(AV$1, 'Eurostat EB products IEA'!$A$4:$BN$4, 0)
     )
     * $L71:$U71,
     0
  )
)</f>
        <v>0</v>
      </c>
      <c r="AW71" s="57" cm="1">
        <f t="array" ref="AW71">SUMPRODUCT(
  IF($B71:$K71&lt;&gt;"",
     INDEX('Eurostat EB products IEA'!$A$4:$BN$135,
           MATCH($B71:$K71, 'Eurostat EB products IEA'!$A$4:$A$135, 0),
           MATCH(AW$1, 'Eurostat EB products IEA'!$A$4:$BN$4, 0)
     )
     * $L71:$U71,
     0
  )
)</f>
        <v>0</v>
      </c>
      <c r="AX71" s="57" cm="1">
        <f t="array" ref="AX71">SUMPRODUCT(
  IF($B71:$K71&lt;&gt;"",
     INDEX('Eurostat EB products IEA'!$A$4:$BN$135,
           MATCH($B71:$K71, 'Eurostat EB products IEA'!$A$4:$A$135, 0),
           MATCH(AX$1, 'Eurostat EB products IEA'!$A$4:$BN$4, 0)
     )
     * $L71:$U71,
     0
  )
)</f>
        <v>0</v>
      </c>
      <c r="AY71" s="57" cm="1">
        <f t="array" ref="AY71">SUMPRODUCT(
  IF($B71:$K71&lt;&gt;"",
     INDEX('Eurostat EB products IEA'!$A$4:$BN$135,
           MATCH($B71:$K71, 'Eurostat EB products IEA'!$A$4:$A$135, 0),
           MATCH(AY$1, 'Eurostat EB products IEA'!$A$4:$BN$4, 0)
     )
     * $L71:$U71,
     0
  )
)</f>
        <v>0</v>
      </c>
      <c r="AZ71" s="57" cm="1">
        <f t="array" ref="AZ71">SUMPRODUCT(
  IF($B71:$K71&lt;&gt;"",
     INDEX('Eurostat EB products IEA'!$A$4:$BN$135,
           MATCH($B71:$K71, 'Eurostat EB products IEA'!$A$4:$A$135, 0),
           MATCH(AZ$1, 'Eurostat EB products IEA'!$A$4:$BN$4, 0)
     )
     * $L71:$U71,
     0
  )
)</f>
        <v>0</v>
      </c>
      <c r="BA71" s="57" cm="1">
        <f t="array" ref="BA71">SUMPRODUCT(
  IF($B71:$K71&lt;&gt;"",
     INDEX('Eurostat EB products IEA'!$A$4:$BN$135,
           MATCH($B71:$K71, 'Eurostat EB products IEA'!$A$4:$A$135, 0),
           MATCH(BA$1, 'Eurostat EB products IEA'!$A$4:$BN$4, 0)
     )
     * $L71:$U71,
     0
  )
)</f>
        <v>0</v>
      </c>
      <c r="BB71" s="57" cm="1">
        <f t="array" ref="BB71">SUMPRODUCT(
  IF($B71:$K71&lt;&gt;"",
     INDEX('Eurostat EB products IEA'!$A$4:$BN$135,
           MATCH($B71:$K71, 'Eurostat EB products IEA'!$A$4:$A$135, 0),
           MATCH(BB$1, 'Eurostat EB products IEA'!$A$4:$BN$4, 0)
     )
     * $L71:$U71,
     0
  )
)</f>
        <v>928.64400000000001</v>
      </c>
      <c r="BC71" s="57" cm="1">
        <f t="array" ref="BC71">SUMPRODUCT(
  IF($B71:$K71&lt;&gt;"",
     INDEX('Eurostat EB products IEA'!$A$4:$BN$135,
           MATCH($B71:$K71, 'Eurostat EB products IEA'!$A$4:$A$135, 0),
           MATCH(BC$1, 'Eurostat EB products IEA'!$A$4:$BN$4, 0)
     )
     * $L71:$U71,
     0
  )
)</f>
        <v>0</v>
      </c>
      <c r="BD71" s="57" cm="1">
        <f t="array" ref="BD71">SUMPRODUCT(
  IF($B71:$K71&lt;&gt;"",
     INDEX('Eurostat EB products IEA'!$A$4:$BN$135,
           MATCH($B71:$K71, 'Eurostat EB products IEA'!$A$4:$A$135, 0),
           MATCH(BD$1, 'Eurostat EB products IEA'!$A$4:$BN$4, 0)
     )
     * $L71:$U71,
     0
  )
)</f>
        <v>0</v>
      </c>
      <c r="BE71" s="57" cm="1">
        <f t="array" ref="BE71">SUMPRODUCT(
  IF($B71:$K71&lt;&gt;"",
     INDEX('Eurostat EB products IEA'!$A$4:$BN$135,
           MATCH($B71:$K71, 'Eurostat EB products IEA'!$A$4:$A$135, 0),
           MATCH(BE$1, 'Eurostat EB products IEA'!$A$4:$BN$4, 0)
     )
     * $L71:$U71,
     0
  )
)</f>
        <v>0</v>
      </c>
      <c r="BF71" s="57" cm="1">
        <f t="array" ref="BF71">SUMPRODUCT(
  IF($B71:$K71&lt;&gt;"",
     INDEX('Eurostat EB products IEA'!$A$4:$BN$135,
           MATCH($B71:$K71, 'Eurostat EB products IEA'!$A$4:$A$135, 0),
           MATCH(BF$1, 'Eurostat EB products IEA'!$A$4:$BN$4, 0)
     )
     * $L71:$U71,
     0
  )
)</f>
        <v>0</v>
      </c>
      <c r="BG71" s="57" cm="1">
        <f t="array" ref="BG71">SUMPRODUCT(
  IF($B71:$K71&lt;&gt;"",
     INDEX('Eurostat EB products IEA'!$A$4:$BN$135,
           MATCH($B71:$K71, 'Eurostat EB products IEA'!$A$4:$A$135, 0),
           MATCH(BG$1, 'Eurostat EB products IEA'!$A$4:$BN$4, 0)
     )
     * $L71:$U71,
     0
  )
)</f>
        <v>0</v>
      </c>
      <c r="BH71" s="57" cm="1">
        <f t="array" ref="BH71">SUMPRODUCT(
  IF($B71:$K71&lt;&gt;"",
     INDEX('Eurostat EB products IEA'!$A$4:$BN$135,
           MATCH($B71:$K71, 'Eurostat EB products IEA'!$A$4:$A$135, 0),
           MATCH(BH$1, 'Eurostat EB products IEA'!$A$4:$BN$4, 0)
     )
     * $L71:$U71,
     0
  )
)</f>
        <v>0</v>
      </c>
      <c r="BI71" s="57" cm="1">
        <f t="array" ref="BI71">SUMPRODUCT(
  IF($B71:$K71&lt;&gt;"",
     INDEX('Eurostat EB products IEA'!$A$4:$BN$135,
           MATCH($B71:$K71, 'Eurostat EB products IEA'!$A$4:$A$135, 0),
           MATCH(BI$1, 'Eurostat EB products IEA'!$A$4:$BN$4, 0)
     )
     * $L71:$U71,
     0
  )
)</f>
        <v>0</v>
      </c>
      <c r="BJ71" s="57" cm="1">
        <f t="array" ref="BJ71">SUMPRODUCT(
  IF($B71:$K71&lt;&gt;"",
     INDEX('Eurostat EB products IEA'!$A$4:$BN$135,
           MATCH($B71:$K71, 'Eurostat EB products IEA'!$A$4:$A$135, 0),
           MATCH(BJ$1, 'Eurostat EB products IEA'!$A$4:$BN$4, 0)
     )
     * $L71:$U71,
     0
  )
)</f>
        <v>0</v>
      </c>
      <c r="BK71" s="57" cm="1">
        <f t="array" ref="BK71">SUMPRODUCT(
  IF($B71:$K71&lt;&gt;"",
     INDEX('Eurostat EB products IEA'!$A$4:$BN$135,
           MATCH($B71:$K71, 'Eurostat EB products IEA'!$A$4:$A$135, 0),
           MATCH(BK$1, 'Eurostat EB products IEA'!$A$4:$BN$4, 0)
     )
     * $L71:$U71,
     0
  )
)</f>
        <v>0</v>
      </c>
      <c r="BL71" s="57" cm="1">
        <f t="array" ref="BL71">SUMPRODUCT(
  IF($B71:$K71&lt;&gt;"",
     INDEX('Eurostat EB products IEA'!$A$4:$BN$135,
           MATCH($B71:$K71, 'Eurostat EB products IEA'!$A$4:$A$135, 0),
           MATCH(BL$1, 'Eurostat EB products IEA'!$A$4:$BN$4, 0)
     )
     * $L71:$U71,
     0
  )
)</f>
        <v>0</v>
      </c>
      <c r="BM71" s="57" cm="1">
        <f t="array" ref="BM71">SUMPRODUCT(
  IF($B71:$K71&lt;&gt;"",
     INDEX('Eurostat EB products IEA'!$A$4:$BN$135,
           MATCH($B71:$K71, 'Eurostat EB products IEA'!$A$4:$A$135, 0),
           MATCH(BM$1, 'Eurostat EB products IEA'!$A$4:$BN$4, 0)
     )
     * $L71:$U71,
     0
  )
)</f>
        <v>0</v>
      </c>
      <c r="BN71" s="57" cm="1">
        <f t="array" ref="BN71">SUMPRODUCT(
  IF($B71:$K71&lt;&gt;"",
     INDEX('Eurostat EB products IEA'!$A$4:$BN$135,
           MATCH($B71:$K71, 'Eurostat EB products IEA'!$A$4:$A$135, 0),
           MATCH(BN$1, 'Eurostat EB products IEA'!$A$4:$BN$4, 0)
     )
     * $L71:$U71,
     0
  )
)</f>
        <v>0</v>
      </c>
      <c r="BO71" s="57" cm="1">
        <f t="array" ref="BO71">SUMPRODUCT(
  IF($B71:$K71&lt;&gt;"",
     INDEX('Eurostat EB products IEA'!$A$4:$BN$135,
           MATCH($B71:$K71, 'Eurostat EB products IEA'!$A$4:$A$135, 0),
           MATCH(BO$1, 'Eurostat EB products IEA'!$A$4:$BN$4, 0)
     )
     * $L71:$U71,
     0
  )
)</f>
        <v>0</v>
      </c>
      <c r="BP71" s="57" cm="1">
        <f t="array" ref="BP71">SUMPRODUCT(
  IF($B71:$K71&lt;&gt;"",
     INDEX('Eurostat EB products IEA'!$A$4:$BN$135,
           MATCH($B71:$K71, 'Eurostat EB products IEA'!$A$4:$A$135, 0),
           MATCH(BP$1, 'Eurostat EB products IEA'!$A$4:$BN$4, 0)
     )
     * $L71:$U71,
     0
  )
)</f>
        <v>0</v>
      </c>
      <c r="BQ71" s="57" cm="1">
        <f t="array" ref="BQ71">SUMPRODUCT(
  IF($B71:$K71&lt;&gt;"",
     INDEX('Eurostat EB products IEA'!$A$4:$BN$135,
           MATCH($B71:$K71, 'Eurostat EB products IEA'!$A$4:$A$135, 0),
           MATCH(BQ$1, 'Eurostat EB products IEA'!$A$4:$BN$4, 0)
     )
     * $L71:$U71,
     0
  )
)</f>
        <v>65.677000000000007</v>
      </c>
      <c r="BR71" s="57" cm="1">
        <f t="array" ref="BR71">SUMPRODUCT(
  IF($B71:$K71&lt;&gt;"",
     INDEX('Eurostat EB products IEA'!$A$4:$BN$135,
           MATCH($B71:$K71, 'Eurostat EB products IEA'!$A$4:$A$135, 0),
           MATCH(BR$1, 'Eurostat EB products IEA'!$A$4:$BN$4, 0)
     )
     * $L71:$U71,
     0
  )
)</f>
        <v>0</v>
      </c>
      <c r="BS71" s="65">
        <v>0</v>
      </c>
      <c r="BT71" s="57" cm="1">
        <f t="array" ref="BT71">SUMPRODUCT(
  IF($B71:$K71&lt;&gt;"",
     INDEX('Eurostat EB products IEA'!$A$4:$BN$135,
           MATCH($B71:$K71, 'Eurostat EB products IEA'!$A$4:$A$135, 0),
           MATCH(BT$1, 'Eurostat EB products IEA'!$A$4:$BN$4, 0)
     )
     * $L71:$U71,
     0
  )
)</f>
        <v>0</v>
      </c>
      <c r="BU71" s="65">
        <v>0</v>
      </c>
      <c r="BV71" s="65">
        <v>0</v>
      </c>
      <c r="BW71" s="57" cm="1">
        <f t="array" ref="BW71">SUMPRODUCT(
  IF($B71:$K71&lt;&gt;"",
     INDEX('Eurostat EB products IEA'!$A$4:$BN$135,
           MATCH($B71:$K71, 'Eurostat EB products IEA'!$A$4:$A$135, 0),
           MATCH(BW$1, 'Eurostat EB products IEA'!$A$4:$BN$4, 0)
     )
     * $L71:$U71,
     0
  )
)</f>
        <v>0</v>
      </c>
      <c r="BX71" s="57" cm="1">
        <f t="array" ref="BX71">SUMPRODUCT(
  IF($B71:$K71&lt;&gt;"",
     INDEX('Eurostat EB products IEA'!$A$4:$BN$135,
           MATCH($B71:$K71, 'Eurostat EB products IEA'!$A$4:$A$135, 0),
           MATCH(BX$1, 'Eurostat EB products IEA'!$A$4:$BN$4, 0)
     )
     * $L71:$U71,
     0
  )
)</f>
        <v>0</v>
      </c>
      <c r="BY71" s="57" cm="1">
        <f t="array" ref="BY71">SUMPRODUCT(
  IF($B71:$K71&lt;&gt;"",
     INDEX('Eurostat EB products IEA'!$A$4:$BN$135,
           MATCH($B71:$K71, 'Eurostat EB products IEA'!$A$4:$A$135, 0),
           MATCH(BY$1, 'Eurostat EB products IEA'!$A$4:$BN$4, 0)
     )
     * $L71:$U71,
     0
  )
)</f>
        <v>0</v>
      </c>
      <c r="BZ71" s="57" cm="1">
        <f t="array" ref="BZ71">SUMPRODUCT(
  IF($B71:$K71&lt;&gt;"",
     INDEX('Eurostat EB products IEA'!$A$4:$BN$135,
           MATCH($B71:$K71, 'Eurostat EB products IEA'!$A$4:$A$135, 0),
           MATCH(BZ$1, 'Eurostat EB products IEA'!$A$4:$BN$4, 0)
     )
     * $L71:$U71,
     0
  )
)</f>
        <v>0</v>
      </c>
      <c r="CA71" s="57" cm="1">
        <f t="array" ref="CA71">SUMPRODUCT(
  IF($B71:$K71&lt;&gt;"",
     INDEX('Eurostat EB products IEA'!$A$4:$BN$135,
           MATCH($B71:$K71, 'Eurostat EB products IEA'!$A$4:$A$135, 0),
           MATCH(CA$1, 'Eurostat EB products IEA'!$A$4:$BN$4, 0)
     )
     * $L71:$U71,
     0
  )
)</f>
        <v>0</v>
      </c>
      <c r="CB71" s="57" cm="1">
        <f t="array" ref="CB71">SUMPRODUCT(
  IF($B71:$K71&lt;&gt;"",
     INDEX('Eurostat EB products IEA'!$A$4:$BN$135,
           MATCH($B71:$K71, 'Eurostat EB products IEA'!$A$4:$A$135, 0),
           MATCH(CB$1, 'Eurostat EB products IEA'!$A$4:$BN$4, 0)
     )
     * $L71:$U71,
     0
  )
)</f>
        <v>0</v>
      </c>
      <c r="CC71" s="57" cm="1">
        <f t="array" ref="CC71">SUMPRODUCT(
  IF($B71:$K71&lt;&gt;"",
     INDEX('Eurostat EB products IEA'!$A$4:$BN$135,
           MATCH($B71:$K71, 'Eurostat EB products IEA'!$A$4:$A$135, 0),
           MATCH(CC$1, 'Eurostat EB products IEA'!$A$4:$BN$4, 0)
     )
     * $L71:$U71,
     0
  )
)</f>
        <v>0</v>
      </c>
      <c r="CD71" s="65">
        <v>0</v>
      </c>
      <c r="CE71" s="57" cm="1">
        <f t="array" ref="CE71">SUMPRODUCT(
  IF($B71:$K71&lt;&gt;"",
     INDEX('Eurostat EB products IEA'!$A$4:$BN$135,
           MATCH($B71:$K71, 'Eurostat EB products IEA'!$A$4:$A$135, 0),
           MATCH(CE$1, 'Eurostat EB products IEA'!$A$4:$BN$4, 0)
     )
     * $L71:$U71,
     0
  )
)</f>
        <v>6032.3</v>
      </c>
      <c r="CF71" s="57" cm="1">
        <f t="array" ref="CF71">SUMPRODUCT(
  IF($B71:$K71&lt;&gt;"",
     INDEX('Eurostat EB products IEA'!$A$4:$BN$135,
           MATCH($B71:$K71, 'Eurostat EB products IEA'!$A$4:$A$135, 0),
           MATCH(CF$1, 'Eurostat EB products IEA'!$A$4:$BN$4, 0)
     )
     * $L71:$U71,
     0
  )
)</f>
        <v>0</v>
      </c>
      <c r="CG71" s="57" cm="1">
        <f t="array" ref="CG71">SUMPRODUCT(
  IF($B71:$K71&lt;&gt;"",
     INDEX('Eurostat EB products IEA'!$A$4:$BN$135,
           MATCH($B71:$K71, 'Eurostat EB products IEA'!$A$4:$A$135, 0),
           MATCH(CG$1, 'Eurostat EB products IEA'!$A$4:$BN$4, 0)
     )
     * $L71:$U71,
     0
  )
)</f>
        <v>7026.6210000000001</v>
      </c>
      <c r="CH71" s="57" cm="1">
        <f t="array" ref="CH71">SUMPRODUCT(
  IF($B71:$K71&lt;&gt;"",
     INDEX('Eurostat EB products IEA'!$A$4:$BN$135,
           MATCH($B71:$K71, 'Eurostat EB products IEA'!$A$4:$A$135, 0),
           MATCH(CH$1, 'Eurostat EB products IEA'!$A$4:$BN$4, 0)
     )
     * $L71:$U71,
     0
  )
)</f>
        <v>467.27199999999999</v>
      </c>
    </row>
    <row r="72" spans="1:86" x14ac:dyDescent="0.2">
      <c r="A72" t="s">
        <v>110</v>
      </c>
      <c r="B72" s="75"/>
      <c r="C72" s="77"/>
      <c r="D72" s="75"/>
      <c r="E72" s="77"/>
      <c r="F72" s="75"/>
      <c r="G72" s="77"/>
      <c r="H72" s="75"/>
      <c r="I72" s="77"/>
      <c r="J72" s="74"/>
      <c r="K72" s="78" t="s">
        <v>306</v>
      </c>
      <c r="L72" s="76"/>
      <c r="M72" s="79"/>
      <c r="N72" s="76"/>
      <c r="O72" s="79"/>
      <c r="P72" s="76"/>
      <c r="Q72" s="79"/>
      <c r="R72" s="76"/>
      <c r="S72" s="79"/>
      <c r="T72" s="76"/>
      <c r="U72" s="79">
        <v>1</v>
      </c>
      <c r="V72" s="65" t="s">
        <v>323</v>
      </c>
      <c r="W72" s="65" t="s">
        <v>323</v>
      </c>
      <c r="X72" s="17" cm="1">
        <f t="array" ref="X72">SUMPRODUCT(
  IF($B72:$K72&lt;&gt;"",
     INDEX('Eurostat EB products IEA'!$A$4:$BN$135,
           MATCH($B72:$K72, 'Eurostat EB products IEA'!$A$4:$A$135, 0),
           MATCH(X$1, 'Eurostat EB products IEA'!$A$4:$BN$4, 0)
     )
     * $L72:$U72,
     0
  )
)</f>
        <v>0</v>
      </c>
      <c r="Y72" s="17" cm="1">
        <f t="array" ref="Y72">SUMPRODUCT(
  IF($B72:$K72&lt;&gt;"",
     INDEX('Eurostat EB products IEA'!$A$4:$BN$135,
           MATCH($B72:$K72, 'Eurostat EB products IEA'!$A$4:$A$135, 0),
           MATCH(Y$1, 'Eurostat EB products IEA'!$A$4:$BN$4, 0)
     )
     * $L72:$U72,
     0
  )
)</f>
        <v>0</v>
      </c>
      <c r="Z72" s="17" cm="1">
        <f t="array" ref="Z72">SUMPRODUCT(
  IF($B72:$K72&lt;&gt;"",
     INDEX('Eurostat EB products IEA'!$A$4:$BN$135,
           MATCH($B72:$K72, 'Eurostat EB products IEA'!$A$4:$A$135, 0),
           MATCH(Z$1, 'Eurostat EB products IEA'!$A$4:$BN$4, 0)
     )
     * $L72:$U72,
     0
  )
)</f>
        <v>0</v>
      </c>
      <c r="AA72" s="17" cm="1">
        <f t="array" ref="AA72">SUMPRODUCT(
  IF($B72:$K72&lt;&gt;"",
     INDEX('Eurostat EB products IEA'!$A$4:$BN$135,
           MATCH($B72:$K72, 'Eurostat EB products IEA'!$A$4:$A$135, 0),
           MATCH(AA$1, 'Eurostat EB products IEA'!$A$4:$BN$4, 0)
     )
     * $L72:$U72,
     0
  )
)</f>
        <v>0</v>
      </c>
      <c r="AB72" s="17" cm="1">
        <f t="array" ref="AB72">SUMPRODUCT(
  IF($B72:$K72&lt;&gt;"",
     INDEX('Eurostat EB products IEA'!$A$4:$BN$135,
           MATCH($B72:$K72, 'Eurostat EB products IEA'!$A$4:$A$135, 0),
           MATCH(AB$1, 'Eurostat EB products IEA'!$A$4:$BN$4, 0)
     )
     * $L72:$U72,
     0
  )
)</f>
        <v>0</v>
      </c>
      <c r="AC72" s="17" cm="1">
        <f t="array" ref="AC72">SUMPRODUCT(
  IF($B72:$K72&lt;&gt;"",
     INDEX('Eurostat EB products IEA'!$A$4:$BN$135,
           MATCH($B72:$K72, 'Eurostat EB products IEA'!$A$4:$A$135, 0),
           MATCH(AC$1, 'Eurostat EB products IEA'!$A$4:$BN$4, 0)
     )
     * $L72:$U72,
     0
  )
)</f>
        <v>0</v>
      </c>
      <c r="AD72" s="17" cm="1">
        <f t="array" ref="AD72">SUMPRODUCT(
  IF($B72:$K72&lt;&gt;"",
     INDEX('Eurostat EB products IEA'!$A$4:$BN$135,
           MATCH($B72:$K72, 'Eurostat EB products IEA'!$A$4:$A$135, 0),
           MATCH(AD$1, 'Eurostat EB products IEA'!$A$4:$BN$4, 0)
     )
     * $L72:$U72,
     0
  )
)</f>
        <v>0</v>
      </c>
      <c r="AE72" s="17" cm="1">
        <f t="array" ref="AE72">SUMPRODUCT(
  IF($B72:$K72&lt;&gt;"",
     INDEX('Eurostat EB products IEA'!$A$4:$BN$135,
           MATCH($B72:$K72, 'Eurostat EB products IEA'!$A$4:$A$135, 0),
           MATCH(AE$1, 'Eurostat EB products IEA'!$A$4:$BN$4, 0)
     )
     * $L72:$U72,
     0
  )
)</f>
        <v>0</v>
      </c>
      <c r="AF72" s="17" cm="1">
        <f t="array" ref="AF72">SUMPRODUCT(
  IF($B72:$K72&lt;&gt;"",
     INDEX('Eurostat EB products IEA'!$A$4:$BN$135,
           MATCH($B72:$K72, 'Eurostat EB products IEA'!$A$4:$A$135, 0),
           MATCH(AF$1, 'Eurostat EB products IEA'!$A$4:$BN$4, 0)
     )
     * $L72:$U72,
     0
  )
)</f>
        <v>0</v>
      </c>
      <c r="AG72" s="17" cm="1">
        <f t="array" ref="AG72">SUMPRODUCT(
  IF($B72:$K72&lt;&gt;"",
     INDEX('Eurostat EB products IEA'!$A$4:$BN$135,
           MATCH($B72:$K72, 'Eurostat EB products IEA'!$A$4:$A$135, 0),
           MATCH(AG$1, 'Eurostat EB products IEA'!$A$4:$BN$4, 0)
     )
     * $L72:$U72,
     0
  )
)</f>
        <v>0</v>
      </c>
      <c r="AH72" s="17" cm="1">
        <f t="array" ref="AH72">SUMPRODUCT(
  IF($B72:$K72&lt;&gt;"",
     INDEX('Eurostat EB products IEA'!$A$4:$BN$135,
           MATCH($B72:$K72, 'Eurostat EB products IEA'!$A$4:$A$135, 0),
           MATCH(AH$1, 'Eurostat EB products IEA'!$A$4:$BN$4, 0)
     )
     * $L72:$U72,
     0
  )
)</f>
        <v>0</v>
      </c>
      <c r="AI72" s="17" cm="1">
        <f t="array" ref="AI72">SUMPRODUCT(
  IF($B72:$K72&lt;&gt;"",
     INDEX('Eurostat EB products IEA'!$A$4:$BN$135,
           MATCH($B72:$K72, 'Eurostat EB products IEA'!$A$4:$A$135, 0),
           MATCH(AI$1, 'Eurostat EB products IEA'!$A$4:$BN$4, 0)
     )
     * $L72:$U72,
     0
  )
)</f>
        <v>0</v>
      </c>
      <c r="AJ72" s="17" cm="1">
        <f t="array" ref="AJ72">SUMPRODUCT(
  IF($B72:$K72&lt;&gt;"",
     INDEX('Eurostat EB products IEA'!$A$4:$BN$135,
           MATCH($B72:$K72, 'Eurostat EB products IEA'!$A$4:$A$135, 0),
           MATCH(AJ$1, 'Eurostat EB products IEA'!$A$4:$BN$4, 0)
     )
     * $L72:$U72,
     0
  )
)</f>
        <v>0</v>
      </c>
      <c r="AK72" s="17" cm="1">
        <f t="array" ref="AK72">SUMPRODUCT(
  IF($B72:$K72&lt;&gt;"",
     INDEX('Eurostat EB products IEA'!$A$4:$BN$135,
           MATCH($B72:$K72, 'Eurostat EB products IEA'!$A$4:$A$135, 0),
           MATCH(AK$1, 'Eurostat EB products IEA'!$A$4:$BN$4, 0)
     )
     * $L72:$U72,
     0
  )
)</f>
        <v>0</v>
      </c>
      <c r="AL72" s="17" cm="1">
        <f t="array" ref="AL72">SUMPRODUCT(
  IF($B72:$K72&lt;&gt;"",
     INDEX('Eurostat EB products IEA'!$A$4:$BN$135,
           MATCH($B72:$K72, 'Eurostat EB products IEA'!$A$4:$A$135, 0),
           MATCH(AL$1, 'Eurostat EB products IEA'!$A$4:$BN$4, 0)
     )
     * $L72:$U72,
     0
  )
)</f>
        <v>0</v>
      </c>
      <c r="AM72" s="17" cm="1">
        <f t="array" ref="AM72">SUMPRODUCT(
  IF($B72:$K72&lt;&gt;"",
     INDEX('Eurostat EB products IEA'!$A$4:$BN$135,
           MATCH($B72:$K72, 'Eurostat EB products IEA'!$A$4:$A$135, 0),
           MATCH(AM$1, 'Eurostat EB products IEA'!$A$4:$BN$4, 0)
     )
     * $L72:$U72,
     0
  )
)</f>
        <v>0</v>
      </c>
      <c r="AN72" s="65" t="s">
        <v>323</v>
      </c>
      <c r="AO72" s="17" cm="1">
        <f t="array" ref="AO72">SUMPRODUCT(
  IF($B72:$K72&lt;&gt;"",
     INDEX('Eurostat EB products IEA'!$A$4:$BN$135,
           MATCH($B72:$K72, 'Eurostat EB products IEA'!$A$4:$A$135, 0),
           MATCH(AO$1, 'Eurostat EB products IEA'!$A$4:$BN$4, 0)
     )
     * $L72:$U72,
     0
  )
)</f>
        <v>0</v>
      </c>
      <c r="AP72" s="17" cm="1">
        <f t="array" ref="AP72">SUMPRODUCT(
  IF($B72:$K72&lt;&gt;"",
     INDEX('Eurostat EB products IEA'!$A$4:$BN$135,
           MATCH($B72:$K72, 'Eurostat EB products IEA'!$A$4:$A$135, 0),
           MATCH(AP$1, 'Eurostat EB products IEA'!$A$4:$BN$4, 0)
     )
     * $L72:$U72,
     0
  )
)</f>
        <v>0</v>
      </c>
      <c r="AQ72" s="17" cm="1">
        <f t="array" ref="AQ72">SUMPRODUCT(
  IF($B72:$K72&lt;&gt;"",
     INDEX('Eurostat EB products IEA'!$A$4:$BN$135,
           MATCH($B72:$K72, 'Eurostat EB products IEA'!$A$4:$A$135, 0),
           MATCH(AQ$1, 'Eurostat EB products IEA'!$A$4:$BN$4, 0)
     )
     * $L72:$U72,
     0
  )
)</f>
        <v>0</v>
      </c>
      <c r="AR72" s="17" cm="1">
        <f t="array" ref="AR72">SUMPRODUCT(
  IF($B72:$K72&lt;&gt;"",
     INDEX('Eurostat EB products IEA'!$A$4:$BN$135,
           MATCH($B72:$K72, 'Eurostat EB products IEA'!$A$4:$A$135, 0),
           MATCH(AR$1, 'Eurostat EB products IEA'!$A$4:$BN$4, 0)
     )
     * $L72:$U72,
     0
  )
)</f>
        <v>0</v>
      </c>
      <c r="AS72" s="17" cm="1">
        <f t="array" ref="AS72">SUMPRODUCT(
  IF($B72:$K72&lt;&gt;"",
     INDEX('Eurostat EB products IEA'!$A$4:$BN$135,
           MATCH($B72:$K72, 'Eurostat EB products IEA'!$A$4:$A$135, 0),
           MATCH(AS$1, 'Eurostat EB products IEA'!$A$4:$BN$4, 0)
     )
     * $L72:$U72,
     0
  )
)</f>
        <v>0</v>
      </c>
      <c r="AT72" s="17" cm="1">
        <f t="array" ref="AT72">SUMPRODUCT(
  IF($B72:$K72&lt;&gt;"",
     INDEX('Eurostat EB products IEA'!$A$4:$BN$135,
           MATCH($B72:$K72, 'Eurostat EB products IEA'!$A$4:$A$135, 0),
           MATCH(AT$1, 'Eurostat EB products IEA'!$A$4:$BN$4, 0)
     )
     * $L72:$U72,
     0
  )
)</f>
        <v>0</v>
      </c>
      <c r="AU72" s="17" cm="1">
        <f t="array" ref="AU72">SUMPRODUCT(
  IF($B72:$K72&lt;&gt;"",
     INDEX('Eurostat EB products IEA'!$A$4:$BN$135,
           MATCH($B72:$K72, 'Eurostat EB products IEA'!$A$4:$A$135, 0),
           MATCH(AU$1, 'Eurostat EB products IEA'!$A$4:$BN$4, 0)
     )
     * $L72:$U72,
     0
  )
)</f>
        <v>0</v>
      </c>
      <c r="AV72" s="17" cm="1">
        <f t="array" ref="AV72">SUMPRODUCT(
  IF($B72:$K72&lt;&gt;"",
     INDEX('Eurostat EB products IEA'!$A$4:$BN$135,
           MATCH($B72:$K72, 'Eurostat EB products IEA'!$A$4:$A$135, 0),
           MATCH(AV$1, 'Eurostat EB products IEA'!$A$4:$BN$4, 0)
     )
     * $L72:$U72,
     0
  )
)</f>
        <v>0</v>
      </c>
      <c r="AW72" s="17" cm="1">
        <f t="array" ref="AW72">SUMPRODUCT(
  IF($B72:$K72&lt;&gt;"",
     INDEX('Eurostat EB products IEA'!$A$4:$BN$135,
           MATCH($B72:$K72, 'Eurostat EB products IEA'!$A$4:$A$135, 0),
           MATCH(AW$1, 'Eurostat EB products IEA'!$A$4:$BN$4, 0)
     )
     * $L72:$U72,
     0
  )
)</f>
        <v>0</v>
      </c>
      <c r="AX72" s="17" cm="1">
        <f t="array" ref="AX72">SUMPRODUCT(
  IF($B72:$K72&lt;&gt;"",
     INDEX('Eurostat EB products IEA'!$A$4:$BN$135,
           MATCH($B72:$K72, 'Eurostat EB products IEA'!$A$4:$A$135, 0),
           MATCH(AX$1, 'Eurostat EB products IEA'!$A$4:$BN$4, 0)
     )
     * $L72:$U72,
     0
  )
)</f>
        <v>0</v>
      </c>
      <c r="AY72" s="17" cm="1">
        <f t="array" ref="AY72">SUMPRODUCT(
  IF($B72:$K72&lt;&gt;"",
     INDEX('Eurostat EB products IEA'!$A$4:$BN$135,
           MATCH($B72:$K72, 'Eurostat EB products IEA'!$A$4:$A$135, 0),
           MATCH(AY$1, 'Eurostat EB products IEA'!$A$4:$BN$4, 0)
     )
     * $L72:$U72,
     0
  )
)</f>
        <v>0</v>
      </c>
      <c r="AZ72" s="17" cm="1">
        <f t="array" ref="AZ72">SUMPRODUCT(
  IF($B72:$K72&lt;&gt;"",
     INDEX('Eurostat EB products IEA'!$A$4:$BN$135,
           MATCH($B72:$K72, 'Eurostat EB products IEA'!$A$4:$A$135, 0),
           MATCH(AZ$1, 'Eurostat EB products IEA'!$A$4:$BN$4, 0)
     )
     * $L72:$U72,
     0
  )
)</f>
        <v>0</v>
      </c>
      <c r="BA72" s="17" cm="1">
        <f t="array" ref="BA72">SUMPRODUCT(
  IF($B72:$K72&lt;&gt;"",
     INDEX('Eurostat EB products IEA'!$A$4:$BN$135,
           MATCH($B72:$K72, 'Eurostat EB products IEA'!$A$4:$A$135, 0),
           MATCH(BA$1, 'Eurostat EB products IEA'!$A$4:$BN$4, 0)
     )
     * $L72:$U72,
     0
  )
)</f>
        <v>0</v>
      </c>
      <c r="BB72" s="17" cm="1">
        <f t="array" ref="BB72">SUMPRODUCT(
  IF($B72:$K72&lt;&gt;"",
     INDEX('Eurostat EB products IEA'!$A$4:$BN$135,
           MATCH($B72:$K72, 'Eurostat EB products IEA'!$A$4:$A$135, 0),
           MATCH(BB$1, 'Eurostat EB products IEA'!$A$4:$BN$4, 0)
     )
     * $L72:$U72,
     0
  )
)</f>
        <v>0</v>
      </c>
      <c r="BC72" s="17" cm="1">
        <f t="array" ref="BC72">SUMPRODUCT(
  IF($B72:$K72&lt;&gt;"",
     INDEX('Eurostat EB products IEA'!$A$4:$BN$135,
           MATCH($B72:$K72, 'Eurostat EB products IEA'!$A$4:$A$135, 0),
           MATCH(BC$1, 'Eurostat EB products IEA'!$A$4:$BN$4, 0)
     )
     * $L72:$U72,
     0
  )
)</f>
        <v>0</v>
      </c>
      <c r="BD72" s="17" cm="1">
        <f t="array" ref="BD72">SUMPRODUCT(
  IF($B72:$K72&lt;&gt;"",
     INDEX('Eurostat EB products IEA'!$A$4:$BN$135,
           MATCH($B72:$K72, 'Eurostat EB products IEA'!$A$4:$A$135, 0),
           MATCH(BD$1, 'Eurostat EB products IEA'!$A$4:$BN$4, 0)
     )
     * $L72:$U72,
     0
  )
)</f>
        <v>0</v>
      </c>
      <c r="BE72" s="17" cm="1">
        <f t="array" ref="BE72">SUMPRODUCT(
  IF($B72:$K72&lt;&gt;"",
     INDEX('Eurostat EB products IEA'!$A$4:$BN$135,
           MATCH($B72:$K72, 'Eurostat EB products IEA'!$A$4:$A$135, 0),
           MATCH(BE$1, 'Eurostat EB products IEA'!$A$4:$BN$4, 0)
     )
     * $L72:$U72,
     0
  )
)</f>
        <v>0</v>
      </c>
      <c r="BF72" s="17" cm="1">
        <f t="array" ref="BF72">SUMPRODUCT(
  IF($B72:$K72&lt;&gt;"",
     INDEX('Eurostat EB products IEA'!$A$4:$BN$135,
           MATCH($B72:$K72, 'Eurostat EB products IEA'!$A$4:$A$135, 0),
           MATCH(BF$1, 'Eurostat EB products IEA'!$A$4:$BN$4, 0)
     )
     * $L72:$U72,
     0
  )
)</f>
        <v>0</v>
      </c>
      <c r="BG72" s="17" cm="1">
        <f t="array" ref="BG72">SUMPRODUCT(
  IF($B72:$K72&lt;&gt;"",
     INDEX('Eurostat EB products IEA'!$A$4:$BN$135,
           MATCH($B72:$K72, 'Eurostat EB products IEA'!$A$4:$A$135, 0),
           MATCH(BG$1, 'Eurostat EB products IEA'!$A$4:$BN$4, 0)
     )
     * $L72:$U72,
     0
  )
)</f>
        <v>0</v>
      </c>
      <c r="BH72" s="17" cm="1">
        <f t="array" ref="BH72">SUMPRODUCT(
  IF($B72:$K72&lt;&gt;"",
     INDEX('Eurostat EB products IEA'!$A$4:$BN$135,
           MATCH($B72:$K72, 'Eurostat EB products IEA'!$A$4:$A$135, 0),
           MATCH(BH$1, 'Eurostat EB products IEA'!$A$4:$BN$4, 0)
     )
     * $L72:$U72,
     0
  )
)</f>
        <v>0</v>
      </c>
      <c r="BI72" s="17" cm="1">
        <f t="array" ref="BI72">SUMPRODUCT(
  IF($B72:$K72&lt;&gt;"",
     INDEX('Eurostat EB products IEA'!$A$4:$BN$135,
           MATCH($B72:$K72, 'Eurostat EB products IEA'!$A$4:$A$135, 0),
           MATCH(BI$1, 'Eurostat EB products IEA'!$A$4:$BN$4, 0)
     )
     * $L72:$U72,
     0
  )
)</f>
        <v>0</v>
      </c>
      <c r="BJ72" s="17" cm="1">
        <f t="array" ref="BJ72">SUMPRODUCT(
  IF($B72:$K72&lt;&gt;"",
     INDEX('Eurostat EB products IEA'!$A$4:$BN$135,
           MATCH($B72:$K72, 'Eurostat EB products IEA'!$A$4:$A$135, 0),
           MATCH(BJ$1, 'Eurostat EB products IEA'!$A$4:$BN$4, 0)
     )
     * $L72:$U72,
     0
  )
)</f>
        <v>0</v>
      </c>
      <c r="BK72" s="17" cm="1">
        <f t="array" ref="BK72">SUMPRODUCT(
  IF($B72:$K72&lt;&gt;"",
     INDEX('Eurostat EB products IEA'!$A$4:$BN$135,
           MATCH($B72:$K72, 'Eurostat EB products IEA'!$A$4:$A$135, 0),
           MATCH(BK$1, 'Eurostat EB products IEA'!$A$4:$BN$4, 0)
     )
     * $L72:$U72,
     0
  )
)</f>
        <v>0</v>
      </c>
      <c r="BL72" s="17" cm="1">
        <f t="array" ref="BL72">SUMPRODUCT(
  IF($B72:$K72&lt;&gt;"",
     INDEX('Eurostat EB products IEA'!$A$4:$BN$135,
           MATCH($B72:$K72, 'Eurostat EB products IEA'!$A$4:$A$135, 0),
           MATCH(BL$1, 'Eurostat EB products IEA'!$A$4:$BN$4, 0)
     )
     * $L72:$U72,
     0
  )
)</f>
        <v>0</v>
      </c>
      <c r="BM72" s="17" cm="1">
        <f t="array" ref="BM72">SUMPRODUCT(
  IF($B72:$K72&lt;&gt;"",
     INDEX('Eurostat EB products IEA'!$A$4:$BN$135,
           MATCH($B72:$K72, 'Eurostat EB products IEA'!$A$4:$A$135, 0),
           MATCH(BM$1, 'Eurostat EB products IEA'!$A$4:$BN$4, 0)
     )
     * $L72:$U72,
     0
  )
)</f>
        <v>0</v>
      </c>
      <c r="BN72" s="17" cm="1">
        <f t="array" ref="BN72">SUMPRODUCT(
  IF($B72:$K72&lt;&gt;"",
     INDEX('Eurostat EB products IEA'!$A$4:$BN$135,
           MATCH($B72:$K72, 'Eurostat EB products IEA'!$A$4:$A$135, 0),
           MATCH(BN$1, 'Eurostat EB products IEA'!$A$4:$BN$4, 0)
     )
     * $L72:$U72,
     0
  )
)</f>
        <v>0</v>
      </c>
      <c r="BO72" s="17" cm="1">
        <f t="array" ref="BO72">SUMPRODUCT(
  IF($B72:$K72&lt;&gt;"",
     INDEX('Eurostat EB products IEA'!$A$4:$BN$135,
           MATCH($B72:$K72, 'Eurostat EB products IEA'!$A$4:$A$135, 0),
           MATCH(BO$1, 'Eurostat EB products IEA'!$A$4:$BN$4, 0)
     )
     * $L72:$U72,
     0
  )
)</f>
        <v>0</v>
      </c>
      <c r="BP72" s="17" cm="1">
        <f t="array" ref="BP72">SUMPRODUCT(
  IF($B72:$K72&lt;&gt;"",
     INDEX('Eurostat EB products IEA'!$A$4:$BN$135,
           MATCH($B72:$K72, 'Eurostat EB products IEA'!$A$4:$A$135, 0),
           MATCH(BP$1, 'Eurostat EB products IEA'!$A$4:$BN$4, 0)
     )
     * $L72:$U72,
     0
  )
)</f>
        <v>0</v>
      </c>
      <c r="BQ72" s="17" cm="1">
        <f t="array" ref="BQ72">SUMPRODUCT(
  IF($B72:$K72&lt;&gt;"",
     INDEX('Eurostat EB products IEA'!$A$4:$BN$135,
           MATCH($B72:$K72, 'Eurostat EB products IEA'!$A$4:$A$135, 0),
           MATCH(BQ$1, 'Eurostat EB products IEA'!$A$4:$BN$4, 0)
     )
     * $L72:$U72,
     0
  )
)</f>
        <v>0</v>
      </c>
      <c r="BR72" s="17" cm="1">
        <f t="array" ref="BR72">SUMPRODUCT(
  IF($B72:$K72&lt;&gt;"",
     INDEX('Eurostat EB products IEA'!$A$4:$BN$135,
           MATCH($B72:$K72, 'Eurostat EB products IEA'!$A$4:$A$135, 0),
           MATCH(BR$1, 'Eurostat EB products IEA'!$A$4:$BN$4, 0)
     )
     * $L72:$U72,
     0
  )
)</f>
        <v>0</v>
      </c>
      <c r="BS72" s="65">
        <v>0</v>
      </c>
      <c r="BT72" s="17" cm="1">
        <f t="array" ref="BT72">SUMPRODUCT(
  IF($B72:$K72&lt;&gt;"",
     INDEX('Eurostat EB products IEA'!$A$4:$BN$135,
           MATCH($B72:$K72, 'Eurostat EB products IEA'!$A$4:$A$135, 0),
           MATCH(BT$1, 'Eurostat EB products IEA'!$A$4:$BN$4, 0)
     )
     * $L72:$U72,
     0
  )
)</f>
        <v>0</v>
      </c>
      <c r="BU72" s="65">
        <v>0</v>
      </c>
      <c r="BV72" s="65">
        <v>0</v>
      </c>
      <c r="BW72" s="17" cm="1">
        <f t="array" ref="BW72">SUMPRODUCT(
  IF($B72:$K72&lt;&gt;"",
     INDEX('Eurostat EB products IEA'!$A$4:$BN$135,
           MATCH($B72:$K72, 'Eurostat EB products IEA'!$A$4:$A$135, 0),
           MATCH(BW$1, 'Eurostat EB products IEA'!$A$4:$BN$4, 0)
     )
     * $L72:$U72,
     0
  )
)</f>
        <v>0</v>
      </c>
      <c r="BX72" s="17" cm="1">
        <f t="array" ref="BX72">SUMPRODUCT(
  IF($B72:$K72&lt;&gt;"",
     INDEX('Eurostat EB products IEA'!$A$4:$BN$135,
           MATCH($B72:$K72, 'Eurostat EB products IEA'!$A$4:$A$135, 0),
           MATCH(BX$1, 'Eurostat EB products IEA'!$A$4:$BN$4, 0)
     )
     * $L72:$U72,
     0
  )
)</f>
        <v>0</v>
      </c>
      <c r="BY72" s="17" cm="1">
        <f t="array" ref="BY72">SUMPRODUCT(
  IF($B72:$K72&lt;&gt;"",
     INDEX('Eurostat EB products IEA'!$A$4:$BN$135,
           MATCH($B72:$K72, 'Eurostat EB products IEA'!$A$4:$A$135, 0),
           MATCH(BY$1, 'Eurostat EB products IEA'!$A$4:$BN$4, 0)
     )
     * $L72:$U72,
     0
  )
)</f>
        <v>0</v>
      </c>
      <c r="BZ72" s="17" cm="1">
        <f t="array" ref="BZ72">SUMPRODUCT(
  IF($B72:$K72&lt;&gt;"",
     INDEX('Eurostat EB products IEA'!$A$4:$BN$135,
           MATCH($B72:$K72, 'Eurostat EB products IEA'!$A$4:$A$135, 0),
           MATCH(BZ$1, 'Eurostat EB products IEA'!$A$4:$BN$4, 0)
     )
     * $L72:$U72,
     0
  )
)</f>
        <v>0</v>
      </c>
      <c r="CA72" s="17" cm="1">
        <f t="array" ref="CA72">SUMPRODUCT(
  IF($B72:$K72&lt;&gt;"",
     INDEX('Eurostat EB products IEA'!$A$4:$BN$135,
           MATCH($B72:$K72, 'Eurostat EB products IEA'!$A$4:$A$135, 0),
           MATCH(CA$1, 'Eurostat EB products IEA'!$A$4:$BN$4, 0)
     )
     * $L72:$U72,
     0
  )
)</f>
        <v>0</v>
      </c>
      <c r="CB72" s="17" cm="1">
        <f t="array" ref="CB72">SUMPRODUCT(
  IF($B72:$K72&lt;&gt;"",
     INDEX('Eurostat EB products IEA'!$A$4:$BN$135,
           MATCH($B72:$K72, 'Eurostat EB products IEA'!$A$4:$A$135, 0),
           MATCH(CB$1, 'Eurostat EB products IEA'!$A$4:$BN$4, 0)
     )
     * $L72:$U72,
     0
  )
)</f>
        <v>0</v>
      </c>
      <c r="CC72" s="17" cm="1">
        <f t="array" ref="CC72">SUMPRODUCT(
  IF($B72:$K72&lt;&gt;"",
     INDEX('Eurostat EB products IEA'!$A$4:$BN$135,
           MATCH($B72:$K72, 'Eurostat EB products IEA'!$A$4:$A$135, 0),
           MATCH(CC$1, 'Eurostat EB products IEA'!$A$4:$BN$4, 0)
     )
     * $L72:$U72,
     0
  )
)</f>
        <v>0</v>
      </c>
      <c r="CD72" s="65">
        <v>0</v>
      </c>
      <c r="CE72" s="17" cm="1">
        <f t="array" ref="CE72">SUMPRODUCT(
  IF($B72:$K72&lt;&gt;"",
     INDEX('Eurostat EB products IEA'!$A$4:$BN$135,
           MATCH($B72:$K72, 'Eurostat EB products IEA'!$A$4:$A$135, 0),
           MATCH(CE$1, 'Eurostat EB products IEA'!$A$4:$BN$4, 0)
     )
     * $L72:$U72,
     0
  )
)</f>
        <v>0</v>
      </c>
      <c r="CF72" s="17" cm="1">
        <f t="array" ref="CF72">SUMPRODUCT(
  IF($B72:$K72&lt;&gt;"",
     INDEX('Eurostat EB products IEA'!$A$4:$BN$135,
           MATCH($B72:$K72, 'Eurostat EB products IEA'!$A$4:$A$135, 0),
           MATCH(CF$1, 'Eurostat EB products IEA'!$A$4:$BN$4, 0)
     )
     * $L72:$U72,
     0
  )
)</f>
        <v>0</v>
      </c>
      <c r="CG72" s="17" cm="1">
        <f t="array" ref="CG72">SUMPRODUCT(
  IF($B72:$K72&lt;&gt;"",
     INDEX('Eurostat EB products IEA'!$A$4:$BN$135,
           MATCH($B72:$K72, 'Eurostat EB products IEA'!$A$4:$A$135, 0),
           MATCH(CG$1, 'Eurostat EB products IEA'!$A$4:$BN$4, 0)
     )
     * $L72:$U72,
     0
  )
)</f>
        <v>0</v>
      </c>
      <c r="CH72" s="17" cm="1">
        <f t="array" ref="CH72">SUMPRODUCT(
  IF($B72:$K72&lt;&gt;"",
     INDEX('Eurostat EB products IEA'!$A$4:$BN$135,
           MATCH($B72:$K72, 'Eurostat EB products IEA'!$A$4:$A$135, 0),
           MATCH(CH$1, 'Eurostat EB products IEA'!$A$4:$BN$4, 0)
     )
     * $L72:$U72,
     0
  )
)</f>
        <v>0</v>
      </c>
    </row>
    <row r="73" spans="1:86" x14ac:dyDescent="0.2">
      <c r="A73" t="s">
        <v>109</v>
      </c>
      <c r="B73" s="75"/>
      <c r="C73" s="77"/>
      <c r="D73" s="75"/>
      <c r="E73" s="77"/>
      <c r="F73" s="75"/>
      <c r="G73" s="77"/>
      <c r="H73" s="75"/>
      <c r="I73" s="77"/>
      <c r="J73" s="74"/>
      <c r="K73" s="78" t="s">
        <v>305</v>
      </c>
      <c r="L73" s="76"/>
      <c r="M73" s="79"/>
      <c r="N73" s="76"/>
      <c r="O73" s="79"/>
      <c r="P73" s="76"/>
      <c r="Q73" s="79"/>
      <c r="R73" s="76"/>
      <c r="S73" s="79"/>
      <c r="T73" s="76"/>
      <c r="U73" s="79">
        <v>1</v>
      </c>
      <c r="V73" s="65" t="s">
        <v>323</v>
      </c>
      <c r="W73" s="65" t="s">
        <v>323</v>
      </c>
      <c r="X73" s="57" cm="1">
        <f t="array" ref="X73">SUMPRODUCT(
  IF($B73:$K73&lt;&gt;"",
     INDEX('Eurostat EB products IEA'!$A$4:$BN$135,
           MATCH($B73:$K73, 'Eurostat EB products IEA'!$A$4:$A$135, 0),
           MATCH(X$1, 'Eurostat EB products IEA'!$A$4:$BN$4, 0)
     )
     * $L73:$U73,
     0
  )
)</f>
        <v>0</v>
      </c>
      <c r="Y73" s="57" cm="1">
        <f t="array" ref="Y73">SUMPRODUCT(
  IF($B73:$K73&lt;&gt;"",
     INDEX('Eurostat EB products IEA'!$A$4:$BN$135,
           MATCH($B73:$K73, 'Eurostat EB products IEA'!$A$4:$A$135, 0),
           MATCH(Y$1, 'Eurostat EB products IEA'!$A$4:$BN$4, 0)
     )
     * $L73:$U73,
     0
  )
)</f>
        <v>0</v>
      </c>
      <c r="Z73" s="57" cm="1">
        <f t="array" ref="Z73">SUMPRODUCT(
  IF($B73:$K73&lt;&gt;"",
     INDEX('Eurostat EB products IEA'!$A$4:$BN$135,
           MATCH($B73:$K73, 'Eurostat EB products IEA'!$A$4:$A$135, 0),
           MATCH(Z$1, 'Eurostat EB products IEA'!$A$4:$BN$4, 0)
     )
     * $L73:$U73,
     0
  )
)</f>
        <v>0</v>
      </c>
      <c r="AA73" s="57" cm="1">
        <f t="array" ref="AA73">SUMPRODUCT(
  IF($B73:$K73&lt;&gt;"",
     INDEX('Eurostat EB products IEA'!$A$4:$BN$135,
           MATCH($B73:$K73, 'Eurostat EB products IEA'!$A$4:$A$135, 0),
           MATCH(AA$1, 'Eurostat EB products IEA'!$A$4:$BN$4, 0)
     )
     * $L73:$U73,
     0
  )
)</f>
        <v>0</v>
      </c>
      <c r="AB73" s="57" cm="1">
        <f t="array" ref="AB73">SUMPRODUCT(
  IF($B73:$K73&lt;&gt;"",
     INDEX('Eurostat EB products IEA'!$A$4:$BN$135,
           MATCH($B73:$K73, 'Eurostat EB products IEA'!$A$4:$A$135, 0),
           MATCH(AB$1, 'Eurostat EB products IEA'!$A$4:$BN$4, 0)
     )
     * $L73:$U73,
     0
  )
)</f>
        <v>0</v>
      </c>
      <c r="AC73" s="57" cm="1">
        <f t="array" ref="AC73">SUMPRODUCT(
  IF($B73:$K73&lt;&gt;"",
     INDEX('Eurostat EB products IEA'!$A$4:$BN$135,
           MATCH($B73:$K73, 'Eurostat EB products IEA'!$A$4:$A$135, 0),
           MATCH(AC$1, 'Eurostat EB products IEA'!$A$4:$BN$4, 0)
     )
     * $L73:$U73,
     0
  )
)</f>
        <v>0</v>
      </c>
      <c r="AD73" s="57" cm="1">
        <f t="array" ref="AD73">SUMPRODUCT(
  IF($B73:$K73&lt;&gt;"",
     INDEX('Eurostat EB products IEA'!$A$4:$BN$135,
           MATCH($B73:$K73, 'Eurostat EB products IEA'!$A$4:$A$135, 0),
           MATCH(AD$1, 'Eurostat EB products IEA'!$A$4:$BN$4, 0)
     )
     * $L73:$U73,
     0
  )
)</f>
        <v>0</v>
      </c>
      <c r="AE73" s="57" cm="1">
        <f t="array" ref="AE73">SUMPRODUCT(
  IF($B73:$K73&lt;&gt;"",
     INDEX('Eurostat EB products IEA'!$A$4:$BN$135,
           MATCH($B73:$K73, 'Eurostat EB products IEA'!$A$4:$A$135, 0),
           MATCH(AE$1, 'Eurostat EB products IEA'!$A$4:$BN$4, 0)
     )
     * $L73:$U73,
     0
  )
)</f>
        <v>0</v>
      </c>
      <c r="AF73" s="57" cm="1">
        <f t="array" ref="AF73">SUMPRODUCT(
  IF($B73:$K73&lt;&gt;"",
     INDEX('Eurostat EB products IEA'!$A$4:$BN$135,
           MATCH($B73:$K73, 'Eurostat EB products IEA'!$A$4:$A$135, 0),
           MATCH(AF$1, 'Eurostat EB products IEA'!$A$4:$BN$4, 0)
     )
     * $L73:$U73,
     0
  )
)</f>
        <v>0</v>
      </c>
      <c r="AG73" s="57" cm="1">
        <f t="array" ref="AG73">SUMPRODUCT(
  IF($B73:$K73&lt;&gt;"",
     INDEX('Eurostat EB products IEA'!$A$4:$BN$135,
           MATCH($B73:$K73, 'Eurostat EB products IEA'!$A$4:$A$135, 0),
           MATCH(AG$1, 'Eurostat EB products IEA'!$A$4:$BN$4, 0)
     )
     * $L73:$U73,
     0
  )
)</f>
        <v>0</v>
      </c>
      <c r="AH73" s="57" cm="1">
        <f t="array" ref="AH73">SUMPRODUCT(
  IF($B73:$K73&lt;&gt;"",
     INDEX('Eurostat EB products IEA'!$A$4:$BN$135,
           MATCH($B73:$K73, 'Eurostat EB products IEA'!$A$4:$A$135, 0),
           MATCH(AH$1, 'Eurostat EB products IEA'!$A$4:$BN$4, 0)
     )
     * $L73:$U73,
     0
  )
)</f>
        <v>0</v>
      </c>
      <c r="AI73" s="57" cm="1">
        <f t="array" ref="AI73">SUMPRODUCT(
  IF($B73:$K73&lt;&gt;"",
     INDEX('Eurostat EB products IEA'!$A$4:$BN$135,
           MATCH($B73:$K73, 'Eurostat EB products IEA'!$A$4:$A$135, 0),
           MATCH(AI$1, 'Eurostat EB products IEA'!$A$4:$BN$4, 0)
     )
     * $L73:$U73,
     0
  )
)</f>
        <v>0</v>
      </c>
      <c r="AJ73" s="57" cm="1">
        <f t="array" ref="AJ73">SUMPRODUCT(
  IF($B73:$K73&lt;&gt;"",
     INDEX('Eurostat EB products IEA'!$A$4:$BN$135,
           MATCH($B73:$K73, 'Eurostat EB products IEA'!$A$4:$A$135, 0),
           MATCH(AJ$1, 'Eurostat EB products IEA'!$A$4:$BN$4, 0)
     )
     * $L73:$U73,
     0
  )
)</f>
        <v>0</v>
      </c>
      <c r="AK73" s="57" cm="1">
        <f t="array" ref="AK73">SUMPRODUCT(
  IF($B73:$K73&lt;&gt;"",
     INDEX('Eurostat EB products IEA'!$A$4:$BN$135,
           MATCH($B73:$K73, 'Eurostat EB products IEA'!$A$4:$A$135, 0),
           MATCH(AK$1, 'Eurostat EB products IEA'!$A$4:$BN$4, 0)
     )
     * $L73:$U73,
     0
  )
)</f>
        <v>0</v>
      </c>
      <c r="AL73" s="57" cm="1">
        <f t="array" ref="AL73">SUMPRODUCT(
  IF($B73:$K73&lt;&gt;"",
     INDEX('Eurostat EB products IEA'!$A$4:$BN$135,
           MATCH($B73:$K73, 'Eurostat EB products IEA'!$A$4:$A$135, 0),
           MATCH(AL$1, 'Eurostat EB products IEA'!$A$4:$BN$4, 0)
     )
     * $L73:$U73,
     0
  )
)</f>
        <v>0</v>
      </c>
      <c r="AM73" s="57" cm="1">
        <f t="array" ref="AM73">SUMPRODUCT(
  IF($B73:$K73&lt;&gt;"",
     INDEX('Eurostat EB products IEA'!$A$4:$BN$135,
           MATCH($B73:$K73, 'Eurostat EB products IEA'!$A$4:$A$135, 0),
           MATCH(AM$1, 'Eurostat EB products IEA'!$A$4:$BN$4, 0)
     )
     * $L73:$U73,
     0
  )
)</f>
        <v>0</v>
      </c>
      <c r="AN73" s="65" t="s">
        <v>323</v>
      </c>
      <c r="AO73" s="57" cm="1">
        <f t="array" ref="AO73">SUMPRODUCT(
  IF($B73:$K73&lt;&gt;"",
     INDEX('Eurostat EB products IEA'!$A$4:$BN$135,
           MATCH($B73:$K73, 'Eurostat EB products IEA'!$A$4:$A$135, 0),
           MATCH(AO$1, 'Eurostat EB products IEA'!$A$4:$BN$4, 0)
     )
     * $L73:$U73,
     0
  )
)</f>
        <v>0</v>
      </c>
      <c r="AP73" s="57" cm="1">
        <f t="array" ref="AP73">SUMPRODUCT(
  IF($B73:$K73&lt;&gt;"",
     INDEX('Eurostat EB products IEA'!$A$4:$BN$135,
           MATCH($B73:$K73, 'Eurostat EB products IEA'!$A$4:$A$135, 0),
           MATCH(AP$1, 'Eurostat EB products IEA'!$A$4:$BN$4, 0)
     )
     * $L73:$U73,
     0
  )
)</f>
        <v>0</v>
      </c>
      <c r="AQ73" s="57" cm="1">
        <f t="array" ref="AQ73">SUMPRODUCT(
  IF($B73:$K73&lt;&gt;"",
     INDEX('Eurostat EB products IEA'!$A$4:$BN$135,
           MATCH($B73:$K73, 'Eurostat EB products IEA'!$A$4:$A$135, 0),
           MATCH(AQ$1, 'Eurostat EB products IEA'!$A$4:$BN$4, 0)
     )
     * $L73:$U73,
     0
  )
)</f>
        <v>0</v>
      </c>
      <c r="AR73" s="57" cm="1">
        <f t="array" ref="AR73">SUMPRODUCT(
  IF($B73:$K73&lt;&gt;"",
     INDEX('Eurostat EB products IEA'!$A$4:$BN$135,
           MATCH($B73:$K73, 'Eurostat EB products IEA'!$A$4:$A$135, 0),
           MATCH(AR$1, 'Eurostat EB products IEA'!$A$4:$BN$4, 0)
     )
     * $L73:$U73,
     0
  )
)</f>
        <v>0</v>
      </c>
      <c r="AS73" s="57" cm="1">
        <f t="array" ref="AS73">SUMPRODUCT(
  IF($B73:$K73&lt;&gt;"",
     INDEX('Eurostat EB products IEA'!$A$4:$BN$135,
           MATCH($B73:$K73, 'Eurostat EB products IEA'!$A$4:$A$135, 0),
           MATCH(AS$1, 'Eurostat EB products IEA'!$A$4:$BN$4, 0)
     )
     * $L73:$U73,
     0
  )
)</f>
        <v>0</v>
      </c>
      <c r="AT73" s="57" cm="1">
        <f t="array" ref="AT73">SUMPRODUCT(
  IF($B73:$K73&lt;&gt;"",
     INDEX('Eurostat EB products IEA'!$A$4:$BN$135,
           MATCH($B73:$K73, 'Eurostat EB products IEA'!$A$4:$A$135, 0),
           MATCH(AT$1, 'Eurostat EB products IEA'!$A$4:$BN$4, 0)
     )
     * $L73:$U73,
     0
  )
)</f>
        <v>0</v>
      </c>
      <c r="AU73" s="57" cm="1">
        <f t="array" ref="AU73">SUMPRODUCT(
  IF($B73:$K73&lt;&gt;"",
     INDEX('Eurostat EB products IEA'!$A$4:$BN$135,
           MATCH($B73:$K73, 'Eurostat EB products IEA'!$A$4:$A$135, 0),
           MATCH(AU$1, 'Eurostat EB products IEA'!$A$4:$BN$4, 0)
     )
     * $L73:$U73,
     0
  )
)</f>
        <v>0</v>
      </c>
      <c r="AV73" s="57" cm="1">
        <f t="array" ref="AV73">SUMPRODUCT(
  IF($B73:$K73&lt;&gt;"",
     INDEX('Eurostat EB products IEA'!$A$4:$BN$135,
           MATCH($B73:$K73, 'Eurostat EB products IEA'!$A$4:$A$135, 0),
           MATCH(AV$1, 'Eurostat EB products IEA'!$A$4:$BN$4, 0)
     )
     * $L73:$U73,
     0
  )
)</f>
        <v>0</v>
      </c>
      <c r="AW73" s="57" cm="1">
        <f t="array" ref="AW73">SUMPRODUCT(
  IF($B73:$K73&lt;&gt;"",
     INDEX('Eurostat EB products IEA'!$A$4:$BN$135,
           MATCH($B73:$K73, 'Eurostat EB products IEA'!$A$4:$A$135, 0),
           MATCH(AW$1, 'Eurostat EB products IEA'!$A$4:$BN$4, 0)
     )
     * $L73:$U73,
     0
  )
)</f>
        <v>1574.1679999999999</v>
      </c>
      <c r="AX73" s="57" cm="1">
        <f t="array" ref="AX73">SUMPRODUCT(
  IF($B73:$K73&lt;&gt;"",
     INDEX('Eurostat EB products IEA'!$A$4:$BN$135,
           MATCH($B73:$K73, 'Eurostat EB products IEA'!$A$4:$A$135, 0),
           MATCH(AX$1, 'Eurostat EB products IEA'!$A$4:$BN$4, 0)
     )
     * $L73:$U73,
     0
  )
)</f>
        <v>0</v>
      </c>
      <c r="AY73" s="57" cm="1">
        <f t="array" ref="AY73">SUMPRODUCT(
  IF($B73:$K73&lt;&gt;"",
     INDEX('Eurostat EB products IEA'!$A$4:$BN$135,
           MATCH($B73:$K73, 'Eurostat EB products IEA'!$A$4:$A$135, 0),
           MATCH(AY$1, 'Eurostat EB products IEA'!$A$4:$BN$4, 0)
     )
     * $L73:$U73,
     0
  )
)</f>
        <v>0</v>
      </c>
      <c r="AZ73" s="57" cm="1">
        <f t="array" ref="AZ73">SUMPRODUCT(
  IF($B73:$K73&lt;&gt;"",
     INDEX('Eurostat EB products IEA'!$A$4:$BN$135,
           MATCH($B73:$K73, 'Eurostat EB products IEA'!$A$4:$A$135, 0),
           MATCH(AZ$1, 'Eurostat EB products IEA'!$A$4:$BN$4, 0)
     )
     * $L73:$U73,
     0
  )
)</f>
        <v>0</v>
      </c>
      <c r="BA73" s="57" cm="1">
        <f t="array" ref="BA73">SUMPRODUCT(
  IF($B73:$K73&lt;&gt;"",
     INDEX('Eurostat EB products IEA'!$A$4:$BN$135,
           MATCH($B73:$K73, 'Eurostat EB products IEA'!$A$4:$A$135, 0),
           MATCH(BA$1, 'Eurostat EB products IEA'!$A$4:$BN$4, 0)
     )
     * $L73:$U73,
     0
  )
)</f>
        <v>0</v>
      </c>
      <c r="BB73" s="57" cm="1">
        <f t="array" ref="BB73">SUMPRODUCT(
  IF($B73:$K73&lt;&gt;"",
     INDEX('Eurostat EB products IEA'!$A$4:$BN$135,
           MATCH($B73:$K73, 'Eurostat EB products IEA'!$A$4:$A$135, 0),
           MATCH(BB$1, 'Eurostat EB products IEA'!$A$4:$BN$4, 0)
     )
     * $L73:$U73,
     0
  )
)</f>
        <v>11211.244000000001</v>
      </c>
      <c r="BC73" s="57" cm="1">
        <f t="array" ref="BC73">SUMPRODUCT(
  IF($B73:$K73&lt;&gt;"",
     INDEX('Eurostat EB products IEA'!$A$4:$BN$135,
           MATCH($B73:$K73, 'Eurostat EB products IEA'!$A$4:$A$135, 0),
           MATCH(BC$1, 'Eurostat EB products IEA'!$A$4:$BN$4, 0)
     )
     * $L73:$U73,
     0
  )
)</f>
        <v>0</v>
      </c>
      <c r="BD73" s="57" cm="1">
        <f t="array" ref="BD73">SUMPRODUCT(
  IF($B73:$K73&lt;&gt;"",
     INDEX('Eurostat EB products IEA'!$A$4:$BN$135,
           MATCH($B73:$K73, 'Eurostat EB products IEA'!$A$4:$A$135, 0),
           MATCH(BD$1, 'Eurostat EB products IEA'!$A$4:$BN$4, 0)
     )
     * $L73:$U73,
     0
  )
)</f>
        <v>0</v>
      </c>
      <c r="BE73" s="57" cm="1">
        <f t="array" ref="BE73">SUMPRODUCT(
  IF($B73:$K73&lt;&gt;"",
     INDEX('Eurostat EB products IEA'!$A$4:$BN$135,
           MATCH($B73:$K73, 'Eurostat EB products IEA'!$A$4:$A$135, 0),
           MATCH(BE$1, 'Eurostat EB products IEA'!$A$4:$BN$4, 0)
     )
     * $L73:$U73,
     0
  )
)</f>
        <v>0</v>
      </c>
      <c r="BF73" s="57" cm="1">
        <f t="array" ref="BF73">SUMPRODUCT(
  IF($B73:$K73&lt;&gt;"",
     INDEX('Eurostat EB products IEA'!$A$4:$BN$135,
           MATCH($B73:$K73, 'Eurostat EB products IEA'!$A$4:$A$135, 0),
           MATCH(BF$1, 'Eurostat EB products IEA'!$A$4:$BN$4, 0)
     )
     * $L73:$U73,
     0
  )
)</f>
        <v>0</v>
      </c>
      <c r="BG73" s="57" cm="1">
        <f t="array" ref="BG73">SUMPRODUCT(
  IF($B73:$K73&lt;&gt;"",
     INDEX('Eurostat EB products IEA'!$A$4:$BN$135,
           MATCH($B73:$K73, 'Eurostat EB products IEA'!$A$4:$A$135, 0),
           MATCH(BG$1, 'Eurostat EB products IEA'!$A$4:$BN$4, 0)
     )
     * $L73:$U73,
     0
  )
)</f>
        <v>0</v>
      </c>
      <c r="BH73" s="57" cm="1">
        <f t="array" ref="BH73">SUMPRODUCT(
  IF($B73:$K73&lt;&gt;"",
     INDEX('Eurostat EB products IEA'!$A$4:$BN$135,
           MATCH($B73:$K73, 'Eurostat EB products IEA'!$A$4:$A$135, 0),
           MATCH(BH$1, 'Eurostat EB products IEA'!$A$4:$BN$4, 0)
     )
     * $L73:$U73,
     0
  )
)</f>
        <v>0</v>
      </c>
      <c r="BI73" s="57" cm="1">
        <f t="array" ref="BI73">SUMPRODUCT(
  IF($B73:$K73&lt;&gt;"",
     INDEX('Eurostat EB products IEA'!$A$4:$BN$135,
           MATCH($B73:$K73, 'Eurostat EB products IEA'!$A$4:$A$135, 0),
           MATCH(BI$1, 'Eurostat EB products IEA'!$A$4:$BN$4, 0)
     )
     * $L73:$U73,
     0
  )
)</f>
        <v>0</v>
      </c>
      <c r="BJ73" s="57" cm="1">
        <f t="array" ref="BJ73">SUMPRODUCT(
  IF($B73:$K73&lt;&gt;"",
     INDEX('Eurostat EB products IEA'!$A$4:$BN$135,
           MATCH($B73:$K73, 'Eurostat EB products IEA'!$A$4:$A$135, 0),
           MATCH(BJ$1, 'Eurostat EB products IEA'!$A$4:$BN$4, 0)
     )
     * $L73:$U73,
     0
  )
)</f>
        <v>0</v>
      </c>
      <c r="BK73" s="57" cm="1">
        <f t="array" ref="BK73">SUMPRODUCT(
  IF($B73:$K73&lt;&gt;"",
     INDEX('Eurostat EB products IEA'!$A$4:$BN$135,
           MATCH($B73:$K73, 'Eurostat EB products IEA'!$A$4:$A$135, 0),
           MATCH(BK$1, 'Eurostat EB products IEA'!$A$4:$BN$4, 0)
     )
     * $L73:$U73,
     0
  )
)</f>
        <v>0</v>
      </c>
      <c r="BL73" s="57" cm="1">
        <f t="array" ref="BL73">SUMPRODUCT(
  IF($B73:$K73&lt;&gt;"",
     INDEX('Eurostat EB products IEA'!$A$4:$BN$135,
           MATCH($B73:$K73, 'Eurostat EB products IEA'!$A$4:$A$135, 0),
           MATCH(BL$1, 'Eurostat EB products IEA'!$A$4:$BN$4, 0)
     )
     * $L73:$U73,
     0
  )
)</f>
        <v>0</v>
      </c>
      <c r="BM73" s="57" cm="1">
        <f t="array" ref="BM73">SUMPRODUCT(
  IF($B73:$K73&lt;&gt;"",
     INDEX('Eurostat EB products IEA'!$A$4:$BN$135,
           MATCH($B73:$K73, 'Eurostat EB products IEA'!$A$4:$A$135, 0),
           MATCH(BM$1, 'Eurostat EB products IEA'!$A$4:$BN$4, 0)
     )
     * $L73:$U73,
     0
  )
)</f>
        <v>0</v>
      </c>
      <c r="BN73" s="57" cm="1">
        <f t="array" ref="BN73">SUMPRODUCT(
  IF($B73:$K73&lt;&gt;"",
     INDEX('Eurostat EB products IEA'!$A$4:$BN$135,
           MATCH($B73:$K73, 'Eurostat EB products IEA'!$A$4:$A$135, 0),
           MATCH(BN$1, 'Eurostat EB products IEA'!$A$4:$BN$4, 0)
     )
     * $L73:$U73,
     0
  )
)</f>
        <v>0</v>
      </c>
      <c r="BO73" s="57" cm="1">
        <f t="array" ref="BO73">SUMPRODUCT(
  IF($B73:$K73&lt;&gt;"",
     INDEX('Eurostat EB products IEA'!$A$4:$BN$135,
           MATCH($B73:$K73, 'Eurostat EB products IEA'!$A$4:$A$135, 0),
           MATCH(BO$1, 'Eurostat EB products IEA'!$A$4:$BN$4, 0)
     )
     * $L73:$U73,
     0
  )
)</f>
        <v>0</v>
      </c>
      <c r="BP73" s="57" cm="1">
        <f t="array" ref="BP73">SUMPRODUCT(
  IF($B73:$K73&lt;&gt;"",
     INDEX('Eurostat EB products IEA'!$A$4:$BN$135,
           MATCH($B73:$K73, 'Eurostat EB products IEA'!$A$4:$A$135, 0),
           MATCH(BP$1, 'Eurostat EB products IEA'!$A$4:$BN$4, 0)
     )
     * $L73:$U73,
     0
  )
)</f>
        <v>0</v>
      </c>
      <c r="BQ73" s="57" cm="1">
        <f t="array" ref="BQ73">SUMPRODUCT(
  IF($B73:$K73&lt;&gt;"",
     INDEX('Eurostat EB products IEA'!$A$4:$BN$135,
           MATCH($B73:$K73, 'Eurostat EB products IEA'!$A$4:$A$135, 0),
           MATCH(BQ$1, 'Eurostat EB products IEA'!$A$4:$BN$4, 0)
     )
     * $L73:$U73,
     0
  )
)</f>
        <v>42.542999999999999</v>
      </c>
      <c r="BR73" s="57" cm="1">
        <f t="array" ref="BR73">SUMPRODUCT(
  IF($B73:$K73&lt;&gt;"",
     INDEX('Eurostat EB products IEA'!$A$4:$BN$135,
           MATCH($B73:$K73, 'Eurostat EB products IEA'!$A$4:$A$135, 0),
           MATCH(BR$1, 'Eurostat EB products IEA'!$A$4:$BN$4, 0)
     )
     * $L73:$U73,
     0
  )
)</f>
        <v>0</v>
      </c>
      <c r="BS73" s="65">
        <v>0</v>
      </c>
      <c r="BT73" s="57" cm="1">
        <f t="array" ref="BT73">SUMPRODUCT(
  IF($B73:$K73&lt;&gt;"",
     INDEX('Eurostat EB products IEA'!$A$4:$BN$135,
           MATCH($B73:$K73, 'Eurostat EB products IEA'!$A$4:$A$135, 0),
           MATCH(BT$1, 'Eurostat EB products IEA'!$A$4:$BN$4, 0)
     )
     * $L73:$U73,
     0
  )
)</f>
        <v>0</v>
      </c>
      <c r="BU73" s="65">
        <v>0</v>
      </c>
      <c r="BV73" s="65">
        <v>0</v>
      </c>
      <c r="BW73" s="57" cm="1">
        <f t="array" ref="BW73">SUMPRODUCT(
  IF($B73:$K73&lt;&gt;"",
     INDEX('Eurostat EB products IEA'!$A$4:$BN$135,
           MATCH($B73:$K73, 'Eurostat EB products IEA'!$A$4:$A$135, 0),
           MATCH(BW$1, 'Eurostat EB products IEA'!$A$4:$BN$4, 0)
     )
     * $L73:$U73,
     0
  )
)</f>
        <v>0</v>
      </c>
      <c r="BX73" s="57" cm="1">
        <f t="array" ref="BX73">SUMPRODUCT(
  IF($B73:$K73&lt;&gt;"",
     INDEX('Eurostat EB products IEA'!$A$4:$BN$135,
           MATCH($B73:$K73, 'Eurostat EB products IEA'!$A$4:$A$135, 0),
           MATCH(BX$1, 'Eurostat EB products IEA'!$A$4:$BN$4, 0)
     )
     * $L73:$U73,
     0
  )
)</f>
        <v>0</v>
      </c>
      <c r="BY73" s="57" cm="1">
        <f t="array" ref="BY73">SUMPRODUCT(
  IF($B73:$K73&lt;&gt;"",
     INDEX('Eurostat EB products IEA'!$A$4:$BN$135,
           MATCH($B73:$K73, 'Eurostat EB products IEA'!$A$4:$A$135, 0),
           MATCH(BY$1, 'Eurostat EB products IEA'!$A$4:$BN$4, 0)
     )
     * $L73:$U73,
     0
  )
)</f>
        <v>0</v>
      </c>
      <c r="BZ73" s="57" cm="1">
        <f t="array" ref="BZ73">SUMPRODUCT(
  IF($B73:$K73&lt;&gt;"",
     INDEX('Eurostat EB products IEA'!$A$4:$BN$135,
           MATCH($B73:$K73, 'Eurostat EB products IEA'!$A$4:$A$135, 0),
           MATCH(BZ$1, 'Eurostat EB products IEA'!$A$4:$BN$4, 0)
     )
     * $L73:$U73,
     0
  )
)</f>
        <v>0</v>
      </c>
      <c r="CA73" s="57" cm="1">
        <f t="array" ref="CA73">SUMPRODUCT(
  IF($B73:$K73&lt;&gt;"",
     INDEX('Eurostat EB products IEA'!$A$4:$BN$135,
           MATCH($B73:$K73, 'Eurostat EB products IEA'!$A$4:$A$135, 0),
           MATCH(CA$1, 'Eurostat EB products IEA'!$A$4:$BN$4, 0)
     )
     * $L73:$U73,
     0
  )
)</f>
        <v>0</v>
      </c>
      <c r="CB73" s="57" cm="1">
        <f t="array" ref="CB73">SUMPRODUCT(
  IF($B73:$K73&lt;&gt;"",
     INDEX('Eurostat EB products IEA'!$A$4:$BN$135,
           MATCH($B73:$K73, 'Eurostat EB products IEA'!$A$4:$A$135, 0),
           MATCH(CB$1, 'Eurostat EB products IEA'!$A$4:$BN$4, 0)
     )
     * $L73:$U73,
     0
  )
)</f>
        <v>0</v>
      </c>
      <c r="CC73" s="57" cm="1">
        <f t="array" ref="CC73">SUMPRODUCT(
  IF($B73:$K73&lt;&gt;"",
     INDEX('Eurostat EB products IEA'!$A$4:$BN$135,
           MATCH($B73:$K73, 'Eurostat EB products IEA'!$A$4:$A$135, 0),
           MATCH(CC$1, 'Eurostat EB products IEA'!$A$4:$BN$4, 0)
     )
     * $L73:$U73,
     0
  )
)</f>
        <v>0</v>
      </c>
      <c r="CD73" s="65">
        <v>0</v>
      </c>
      <c r="CE73" s="57" cm="1">
        <f t="array" ref="CE73">SUMPRODUCT(
  IF($B73:$K73&lt;&gt;"",
     INDEX('Eurostat EB products IEA'!$A$4:$BN$135,
           MATCH($B73:$K73, 'Eurostat EB products IEA'!$A$4:$A$135, 0),
           MATCH(CE$1, 'Eurostat EB products IEA'!$A$4:$BN$4, 0)
     )
     * $L73:$U73,
     0
  )
)</f>
        <v>0</v>
      </c>
      <c r="CF73" s="57" cm="1">
        <f t="array" ref="CF73">SUMPRODUCT(
  IF($B73:$K73&lt;&gt;"",
     INDEX('Eurostat EB products IEA'!$A$4:$BN$135,
           MATCH($B73:$K73, 'Eurostat EB products IEA'!$A$4:$A$135, 0),
           MATCH(CF$1, 'Eurostat EB products IEA'!$A$4:$BN$4, 0)
     )
     * $L73:$U73,
     0
  )
)</f>
        <v>0</v>
      </c>
      <c r="CG73" s="57" cm="1">
        <f t="array" ref="CG73">SUMPRODUCT(
  IF($B73:$K73&lt;&gt;"",
     INDEX('Eurostat EB products IEA'!$A$4:$BN$135,
           MATCH($B73:$K73, 'Eurostat EB products IEA'!$A$4:$A$135, 0),
           MATCH(CG$1, 'Eurostat EB products IEA'!$A$4:$BN$4, 0)
     )
     * $L73:$U73,
     0
  )
)</f>
        <v>12827.955</v>
      </c>
      <c r="CH73" s="57" cm="1">
        <f t="array" ref="CH73">SUMPRODUCT(
  IF($B73:$K73&lt;&gt;"",
     INDEX('Eurostat EB products IEA'!$A$4:$BN$135,
           MATCH($B73:$K73, 'Eurostat EB products IEA'!$A$4:$A$135, 0),
           MATCH(CH$1, 'Eurostat EB products IEA'!$A$4:$BN$4, 0)
     )
     * $L73:$U73,
     0
  )
)</f>
        <v>42.542999999999999</v>
      </c>
    </row>
    <row r="74" spans="1:86" x14ac:dyDescent="0.2">
      <c r="A74" t="s">
        <v>181</v>
      </c>
      <c r="B74" s="75"/>
      <c r="C74" s="77"/>
      <c r="D74" s="75"/>
      <c r="E74" s="77"/>
      <c r="F74" s="75"/>
      <c r="G74" s="77"/>
      <c r="H74" s="75"/>
      <c r="I74" s="77"/>
      <c r="J74" s="74"/>
      <c r="K74" s="78" t="s">
        <v>307</v>
      </c>
      <c r="L74" s="76"/>
      <c r="M74" s="79"/>
      <c r="N74" s="76"/>
      <c r="O74" s="79"/>
      <c r="P74" s="76"/>
      <c r="Q74" s="79"/>
      <c r="R74" s="76"/>
      <c r="S74" s="79"/>
      <c r="T74" s="76"/>
      <c r="U74" s="79">
        <v>1</v>
      </c>
      <c r="V74" s="65" t="s">
        <v>323</v>
      </c>
      <c r="W74" s="65" t="s">
        <v>323</v>
      </c>
      <c r="X74" s="17" cm="1">
        <f t="array" ref="X74">SUMPRODUCT(
  IF($B74:$K74&lt;&gt;"",
     INDEX('Eurostat EB products IEA'!$A$4:$BN$135,
           MATCH($B74:$K74, 'Eurostat EB products IEA'!$A$4:$A$135, 0),
           MATCH(X$1, 'Eurostat EB products IEA'!$A$4:$BN$4, 0)
     )
     * $L74:$U74,
     0
  )
)</f>
        <v>0</v>
      </c>
      <c r="Y74" s="17" cm="1">
        <f t="array" ref="Y74">SUMPRODUCT(
  IF($B74:$K74&lt;&gt;"",
     INDEX('Eurostat EB products IEA'!$A$4:$BN$135,
           MATCH($B74:$K74, 'Eurostat EB products IEA'!$A$4:$A$135, 0),
           MATCH(Y$1, 'Eurostat EB products IEA'!$A$4:$BN$4, 0)
     )
     * $L74:$U74,
     0
  )
)</f>
        <v>0</v>
      </c>
      <c r="Z74" s="17" cm="1">
        <f t="array" ref="Z74">SUMPRODUCT(
  IF($B74:$K74&lt;&gt;"",
     INDEX('Eurostat EB products IEA'!$A$4:$BN$135,
           MATCH($B74:$K74, 'Eurostat EB products IEA'!$A$4:$A$135, 0),
           MATCH(Z$1, 'Eurostat EB products IEA'!$A$4:$BN$4, 0)
     )
     * $L74:$U74,
     0
  )
)</f>
        <v>0</v>
      </c>
      <c r="AA74" s="17" cm="1">
        <f t="array" ref="AA74">SUMPRODUCT(
  IF($B74:$K74&lt;&gt;"",
     INDEX('Eurostat EB products IEA'!$A$4:$BN$135,
           MATCH($B74:$K74, 'Eurostat EB products IEA'!$A$4:$A$135, 0),
           MATCH(AA$1, 'Eurostat EB products IEA'!$A$4:$BN$4, 0)
     )
     * $L74:$U74,
     0
  )
)</f>
        <v>0</v>
      </c>
      <c r="AB74" s="17" cm="1">
        <f t="array" ref="AB74">SUMPRODUCT(
  IF($B74:$K74&lt;&gt;"",
     INDEX('Eurostat EB products IEA'!$A$4:$BN$135,
           MATCH($B74:$K74, 'Eurostat EB products IEA'!$A$4:$A$135, 0),
           MATCH(AB$1, 'Eurostat EB products IEA'!$A$4:$BN$4, 0)
     )
     * $L74:$U74,
     0
  )
)</f>
        <v>0</v>
      </c>
      <c r="AC74" s="17" cm="1">
        <f t="array" ref="AC74">SUMPRODUCT(
  IF($B74:$K74&lt;&gt;"",
     INDEX('Eurostat EB products IEA'!$A$4:$BN$135,
           MATCH($B74:$K74, 'Eurostat EB products IEA'!$A$4:$A$135, 0),
           MATCH(AC$1, 'Eurostat EB products IEA'!$A$4:$BN$4, 0)
     )
     * $L74:$U74,
     0
  )
)</f>
        <v>0</v>
      </c>
      <c r="AD74" s="17" cm="1">
        <f t="array" ref="AD74">SUMPRODUCT(
  IF($B74:$K74&lt;&gt;"",
     INDEX('Eurostat EB products IEA'!$A$4:$BN$135,
           MATCH($B74:$K74, 'Eurostat EB products IEA'!$A$4:$A$135, 0),
           MATCH(AD$1, 'Eurostat EB products IEA'!$A$4:$BN$4, 0)
     )
     * $L74:$U74,
     0
  )
)</f>
        <v>0</v>
      </c>
      <c r="AE74" s="17" cm="1">
        <f t="array" ref="AE74">SUMPRODUCT(
  IF($B74:$K74&lt;&gt;"",
     INDEX('Eurostat EB products IEA'!$A$4:$BN$135,
           MATCH($B74:$K74, 'Eurostat EB products IEA'!$A$4:$A$135, 0),
           MATCH(AE$1, 'Eurostat EB products IEA'!$A$4:$BN$4, 0)
     )
     * $L74:$U74,
     0
  )
)</f>
        <v>0</v>
      </c>
      <c r="AF74" s="17" cm="1">
        <f t="array" ref="AF74">SUMPRODUCT(
  IF($B74:$K74&lt;&gt;"",
     INDEX('Eurostat EB products IEA'!$A$4:$BN$135,
           MATCH($B74:$K74, 'Eurostat EB products IEA'!$A$4:$A$135, 0),
           MATCH(AF$1, 'Eurostat EB products IEA'!$A$4:$BN$4, 0)
     )
     * $L74:$U74,
     0
  )
)</f>
        <v>0</v>
      </c>
      <c r="AG74" s="17" cm="1">
        <f t="array" ref="AG74">SUMPRODUCT(
  IF($B74:$K74&lt;&gt;"",
     INDEX('Eurostat EB products IEA'!$A$4:$BN$135,
           MATCH($B74:$K74, 'Eurostat EB products IEA'!$A$4:$A$135, 0),
           MATCH(AG$1, 'Eurostat EB products IEA'!$A$4:$BN$4, 0)
     )
     * $L74:$U74,
     0
  )
)</f>
        <v>0</v>
      </c>
      <c r="AH74" s="17" cm="1">
        <f t="array" ref="AH74">SUMPRODUCT(
  IF($B74:$K74&lt;&gt;"",
     INDEX('Eurostat EB products IEA'!$A$4:$BN$135,
           MATCH($B74:$K74, 'Eurostat EB products IEA'!$A$4:$A$135, 0),
           MATCH(AH$1, 'Eurostat EB products IEA'!$A$4:$BN$4, 0)
     )
     * $L74:$U74,
     0
  )
)</f>
        <v>0</v>
      </c>
      <c r="AI74" s="17" cm="1">
        <f t="array" ref="AI74">SUMPRODUCT(
  IF($B74:$K74&lt;&gt;"",
     INDEX('Eurostat EB products IEA'!$A$4:$BN$135,
           MATCH($B74:$K74, 'Eurostat EB products IEA'!$A$4:$A$135, 0),
           MATCH(AI$1, 'Eurostat EB products IEA'!$A$4:$BN$4, 0)
     )
     * $L74:$U74,
     0
  )
)</f>
        <v>0</v>
      </c>
      <c r="AJ74" s="17" cm="1">
        <f t="array" ref="AJ74">SUMPRODUCT(
  IF($B74:$K74&lt;&gt;"",
     INDEX('Eurostat EB products IEA'!$A$4:$BN$135,
           MATCH($B74:$K74, 'Eurostat EB products IEA'!$A$4:$A$135, 0),
           MATCH(AJ$1, 'Eurostat EB products IEA'!$A$4:$BN$4, 0)
     )
     * $L74:$U74,
     0
  )
)</f>
        <v>0</v>
      </c>
      <c r="AK74" s="17" cm="1">
        <f t="array" ref="AK74">SUMPRODUCT(
  IF($B74:$K74&lt;&gt;"",
     INDEX('Eurostat EB products IEA'!$A$4:$BN$135,
           MATCH($B74:$K74, 'Eurostat EB products IEA'!$A$4:$A$135, 0),
           MATCH(AK$1, 'Eurostat EB products IEA'!$A$4:$BN$4, 0)
     )
     * $L74:$U74,
     0
  )
)</f>
        <v>0</v>
      </c>
      <c r="AL74" s="17" cm="1">
        <f t="array" ref="AL74">SUMPRODUCT(
  IF($B74:$K74&lt;&gt;"",
     INDEX('Eurostat EB products IEA'!$A$4:$BN$135,
           MATCH($B74:$K74, 'Eurostat EB products IEA'!$A$4:$A$135, 0),
           MATCH(AL$1, 'Eurostat EB products IEA'!$A$4:$BN$4, 0)
     )
     * $L74:$U74,
     0
  )
)</f>
        <v>0</v>
      </c>
      <c r="AM74" s="17" cm="1">
        <f t="array" ref="AM74">SUMPRODUCT(
  IF($B74:$K74&lt;&gt;"",
     INDEX('Eurostat EB products IEA'!$A$4:$BN$135,
           MATCH($B74:$K74, 'Eurostat EB products IEA'!$A$4:$A$135, 0),
           MATCH(AM$1, 'Eurostat EB products IEA'!$A$4:$BN$4, 0)
     )
     * $L74:$U74,
     0
  )
)</f>
        <v>224.102</v>
      </c>
      <c r="AN74" s="65" t="s">
        <v>323</v>
      </c>
      <c r="AO74" s="17" cm="1">
        <f t="array" ref="AO74">SUMPRODUCT(
  IF($B74:$K74&lt;&gt;"",
     INDEX('Eurostat EB products IEA'!$A$4:$BN$135,
           MATCH($B74:$K74, 'Eurostat EB products IEA'!$A$4:$A$135, 0),
           MATCH(AO$1, 'Eurostat EB products IEA'!$A$4:$BN$4, 0)
     )
     * $L74:$U74,
     0
  )
)</f>
        <v>0</v>
      </c>
      <c r="AP74" s="17" cm="1">
        <f t="array" ref="AP74">SUMPRODUCT(
  IF($B74:$K74&lt;&gt;"",
     INDEX('Eurostat EB products IEA'!$A$4:$BN$135,
           MATCH($B74:$K74, 'Eurostat EB products IEA'!$A$4:$A$135, 0),
           MATCH(AP$1, 'Eurostat EB products IEA'!$A$4:$BN$4, 0)
     )
     * $L74:$U74,
     0
  )
)</f>
        <v>0</v>
      </c>
      <c r="AQ74" s="17" cm="1">
        <f t="array" ref="AQ74">SUMPRODUCT(
  IF($B74:$K74&lt;&gt;"",
     INDEX('Eurostat EB products IEA'!$A$4:$BN$135,
           MATCH($B74:$K74, 'Eurostat EB products IEA'!$A$4:$A$135, 0),
           MATCH(AQ$1, 'Eurostat EB products IEA'!$A$4:$BN$4, 0)
     )
     * $L74:$U74,
     0
  )
)</f>
        <v>0</v>
      </c>
      <c r="AR74" s="17" cm="1">
        <f t="array" ref="AR74">SUMPRODUCT(
  IF($B74:$K74&lt;&gt;"",
     INDEX('Eurostat EB products IEA'!$A$4:$BN$135,
           MATCH($B74:$K74, 'Eurostat EB products IEA'!$A$4:$A$135, 0),
           MATCH(AR$1, 'Eurostat EB products IEA'!$A$4:$BN$4, 0)
     )
     * $L74:$U74,
     0
  )
)</f>
        <v>0</v>
      </c>
      <c r="AS74" s="17" cm="1">
        <f t="array" ref="AS74">SUMPRODUCT(
  IF($B74:$K74&lt;&gt;"",
     INDEX('Eurostat EB products IEA'!$A$4:$BN$135,
           MATCH($B74:$K74, 'Eurostat EB products IEA'!$A$4:$A$135, 0),
           MATCH(AS$1, 'Eurostat EB products IEA'!$A$4:$BN$4, 0)
     )
     * $L74:$U74,
     0
  )
)</f>
        <v>0</v>
      </c>
      <c r="AT74" s="17" cm="1">
        <f t="array" ref="AT74">SUMPRODUCT(
  IF($B74:$K74&lt;&gt;"",
     INDEX('Eurostat EB products IEA'!$A$4:$BN$135,
           MATCH($B74:$K74, 'Eurostat EB products IEA'!$A$4:$A$135, 0),
           MATCH(AT$1, 'Eurostat EB products IEA'!$A$4:$BN$4, 0)
     )
     * $L74:$U74,
     0
  )
)</f>
        <v>0</v>
      </c>
      <c r="AU74" s="17" cm="1">
        <f t="array" ref="AU74">SUMPRODUCT(
  IF($B74:$K74&lt;&gt;"",
     INDEX('Eurostat EB products IEA'!$A$4:$BN$135,
           MATCH($B74:$K74, 'Eurostat EB products IEA'!$A$4:$A$135, 0),
           MATCH(AU$1, 'Eurostat EB products IEA'!$A$4:$BN$4, 0)
     )
     * $L74:$U74,
     0
  )
)</f>
        <v>0</v>
      </c>
      <c r="AV74" s="17" cm="1">
        <f t="array" ref="AV74">SUMPRODUCT(
  IF($B74:$K74&lt;&gt;"",
     INDEX('Eurostat EB products IEA'!$A$4:$BN$135,
           MATCH($B74:$K74, 'Eurostat EB products IEA'!$A$4:$A$135, 0),
           MATCH(AV$1, 'Eurostat EB products IEA'!$A$4:$BN$4, 0)
     )
     * $L74:$U74,
     0
  )
)</f>
        <v>0</v>
      </c>
      <c r="AW74" s="17" cm="1">
        <f t="array" ref="AW74">SUMPRODUCT(
  IF($B74:$K74&lt;&gt;"",
     INDEX('Eurostat EB products IEA'!$A$4:$BN$135,
           MATCH($B74:$K74, 'Eurostat EB products IEA'!$A$4:$A$135, 0),
           MATCH(AW$1, 'Eurostat EB products IEA'!$A$4:$BN$4, 0)
     )
     * $L74:$U74,
     0
  )
)</f>
        <v>0</v>
      </c>
      <c r="AX74" s="17" cm="1">
        <f t="array" ref="AX74">SUMPRODUCT(
  IF($B74:$K74&lt;&gt;"",
     INDEX('Eurostat EB products IEA'!$A$4:$BN$135,
           MATCH($B74:$K74, 'Eurostat EB products IEA'!$A$4:$A$135, 0),
           MATCH(AX$1, 'Eurostat EB products IEA'!$A$4:$BN$4, 0)
     )
     * $L74:$U74,
     0
  )
)</f>
        <v>0</v>
      </c>
      <c r="AY74" s="17" cm="1">
        <f t="array" ref="AY74">SUMPRODUCT(
  IF($B74:$K74&lt;&gt;"",
     INDEX('Eurostat EB products IEA'!$A$4:$BN$135,
           MATCH($B74:$K74, 'Eurostat EB products IEA'!$A$4:$A$135, 0),
           MATCH(AY$1, 'Eurostat EB products IEA'!$A$4:$BN$4, 0)
     )
     * $L74:$U74,
     0
  )
)</f>
        <v>0</v>
      </c>
      <c r="AZ74" s="17" cm="1">
        <f t="array" ref="AZ74">SUMPRODUCT(
  IF($B74:$K74&lt;&gt;"",
     INDEX('Eurostat EB products IEA'!$A$4:$BN$135,
           MATCH($B74:$K74, 'Eurostat EB products IEA'!$A$4:$A$135, 0),
           MATCH(AZ$1, 'Eurostat EB products IEA'!$A$4:$BN$4, 0)
     )
     * $L74:$U74,
     0
  )
)</f>
        <v>0</v>
      </c>
      <c r="BA74" s="17" cm="1">
        <f t="array" ref="BA74">SUMPRODUCT(
  IF($B74:$K74&lt;&gt;"",
     INDEX('Eurostat EB products IEA'!$A$4:$BN$135,
           MATCH($B74:$K74, 'Eurostat EB products IEA'!$A$4:$A$135, 0),
           MATCH(BA$1, 'Eurostat EB products IEA'!$A$4:$BN$4, 0)
     )
     * $L74:$U74,
     0
  )
)</f>
        <v>0</v>
      </c>
      <c r="BB74" s="17" cm="1">
        <f t="array" ref="BB74">SUMPRODUCT(
  IF($B74:$K74&lt;&gt;"",
     INDEX('Eurostat EB products IEA'!$A$4:$BN$135,
           MATCH($B74:$K74, 'Eurostat EB products IEA'!$A$4:$A$135, 0),
           MATCH(BB$1, 'Eurostat EB products IEA'!$A$4:$BN$4, 0)
     )
     * $L74:$U74,
     0
  )
)</f>
        <v>0</v>
      </c>
      <c r="BC74" s="17" cm="1">
        <f t="array" ref="BC74">SUMPRODUCT(
  IF($B74:$K74&lt;&gt;"",
     INDEX('Eurostat EB products IEA'!$A$4:$BN$135,
           MATCH($B74:$K74, 'Eurostat EB products IEA'!$A$4:$A$135, 0),
           MATCH(BC$1, 'Eurostat EB products IEA'!$A$4:$BN$4, 0)
     )
     * $L74:$U74,
     0
  )
)</f>
        <v>0</v>
      </c>
      <c r="BD74" s="17" cm="1">
        <f t="array" ref="BD74">SUMPRODUCT(
  IF($B74:$K74&lt;&gt;"",
     INDEX('Eurostat EB products IEA'!$A$4:$BN$135,
           MATCH($B74:$K74, 'Eurostat EB products IEA'!$A$4:$A$135, 0),
           MATCH(BD$1, 'Eurostat EB products IEA'!$A$4:$BN$4, 0)
     )
     * $L74:$U74,
     0
  )
)</f>
        <v>0</v>
      </c>
      <c r="BE74" s="17" cm="1">
        <f t="array" ref="BE74">SUMPRODUCT(
  IF($B74:$K74&lt;&gt;"",
     INDEX('Eurostat EB products IEA'!$A$4:$BN$135,
           MATCH($B74:$K74, 'Eurostat EB products IEA'!$A$4:$A$135, 0),
           MATCH(BE$1, 'Eurostat EB products IEA'!$A$4:$BN$4, 0)
     )
     * $L74:$U74,
     0
  )
)</f>
        <v>0</v>
      </c>
      <c r="BF74" s="17" cm="1">
        <f t="array" ref="BF74">SUMPRODUCT(
  IF($B74:$K74&lt;&gt;"",
     INDEX('Eurostat EB products IEA'!$A$4:$BN$135,
           MATCH($B74:$K74, 'Eurostat EB products IEA'!$A$4:$A$135, 0),
           MATCH(BF$1, 'Eurostat EB products IEA'!$A$4:$BN$4, 0)
     )
     * $L74:$U74,
     0
  )
)</f>
        <v>0</v>
      </c>
      <c r="BG74" s="17" cm="1">
        <f t="array" ref="BG74">SUMPRODUCT(
  IF($B74:$K74&lt;&gt;"",
     INDEX('Eurostat EB products IEA'!$A$4:$BN$135,
           MATCH($B74:$K74, 'Eurostat EB products IEA'!$A$4:$A$135, 0),
           MATCH(BG$1, 'Eurostat EB products IEA'!$A$4:$BN$4, 0)
     )
     * $L74:$U74,
     0
  )
)</f>
        <v>0</v>
      </c>
      <c r="BH74" s="17" cm="1">
        <f t="array" ref="BH74">SUMPRODUCT(
  IF($B74:$K74&lt;&gt;"",
     INDEX('Eurostat EB products IEA'!$A$4:$BN$135,
           MATCH($B74:$K74, 'Eurostat EB products IEA'!$A$4:$A$135, 0),
           MATCH(BH$1, 'Eurostat EB products IEA'!$A$4:$BN$4, 0)
     )
     * $L74:$U74,
     0
  )
)</f>
        <v>0</v>
      </c>
      <c r="BI74" s="17" cm="1">
        <f t="array" ref="BI74">SUMPRODUCT(
  IF($B74:$K74&lt;&gt;"",
     INDEX('Eurostat EB products IEA'!$A$4:$BN$135,
           MATCH($B74:$K74, 'Eurostat EB products IEA'!$A$4:$A$135, 0),
           MATCH(BI$1, 'Eurostat EB products IEA'!$A$4:$BN$4, 0)
     )
     * $L74:$U74,
     0
  )
)</f>
        <v>0</v>
      </c>
      <c r="BJ74" s="17" cm="1">
        <f t="array" ref="BJ74">SUMPRODUCT(
  IF($B74:$K74&lt;&gt;"",
     INDEX('Eurostat EB products IEA'!$A$4:$BN$135,
           MATCH($B74:$K74, 'Eurostat EB products IEA'!$A$4:$A$135, 0),
           MATCH(BJ$1, 'Eurostat EB products IEA'!$A$4:$BN$4, 0)
     )
     * $L74:$U74,
     0
  )
)</f>
        <v>0</v>
      </c>
      <c r="BK74" s="17" cm="1">
        <f t="array" ref="BK74">SUMPRODUCT(
  IF($B74:$K74&lt;&gt;"",
     INDEX('Eurostat EB products IEA'!$A$4:$BN$135,
           MATCH($B74:$K74, 'Eurostat EB products IEA'!$A$4:$A$135, 0),
           MATCH(BK$1, 'Eurostat EB products IEA'!$A$4:$BN$4, 0)
     )
     * $L74:$U74,
     0
  )
)</f>
        <v>0</v>
      </c>
      <c r="BL74" s="17" cm="1">
        <f t="array" ref="BL74">SUMPRODUCT(
  IF($B74:$K74&lt;&gt;"",
     INDEX('Eurostat EB products IEA'!$A$4:$BN$135,
           MATCH($B74:$K74, 'Eurostat EB products IEA'!$A$4:$A$135, 0),
           MATCH(BL$1, 'Eurostat EB products IEA'!$A$4:$BN$4, 0)
     )
     * $L74:$U74,
     0
  )
)</f>
        <v>0</v>
      </c>
      <c r="BM74" s="17" cm="1">
        <f t="array" ref="BM74">SUMPRODUCT(
  IF($B74:$K74&lt;&gt;"",
     INDEX('Eurostat EB products IEA'!$A$4:$BN$135,
           MATCH($B74:$K74, 'Eurostat EB products IEA'!$A$4:$A$135, 0),
           MATCH(BM$1, 'Eurostat EB products IEA'!$A$4:$BN$4, 0)
     )
     * $L74:$U74,
     0
  )
)</f>
        <v>0</v>
      </c>
      <c r="BN74" s="17" cm="1">
        <f t="array" ref="BN74">SUMPRODUCT(
  IF($B74:$K74&lt;&gt;"",
     INDEX('Eurostat EB products IEA'!$A$4:$BN$135,
           MATCH($B74:$K74, 'Eurostat EB products IEA'!$A$4:$A$135, 0),
           MATCH(BN$1, 'Eurostat EB products IEA'!$A$4:$BN$4, 0)
     )
     * $L74:$U74,
     0
  )
)</f>
        <v>0</v>
      </c>
      <c r="BO74" s="17" cm="1">
        <f t="array" ref="BO74">SUMPRODUCT(
  IF($B74:$K74&lt;&gt;"",
     INDEX('Eurostat EB products IEA'!$A$4:$BN$135,
           MATCH($B74:$K74, 'Eurostat EB products IEA'!$A$4:$A$135, 0),
           MATCH(BO$1, 'Eurostat EB products IEA'!$A$4:$BN$4, 0)
     )
     * $L74:$U74,
     0
  )
)</f>
        <v>0</v>
      </c>
      <c r="BP74" s="17" cm="1">
        <f t="array" ref="BP74">SUMPRODUCT(
  IF($B74:$K74&lt;&gt;"",
     INDEX('Eurostat EB products IEA'!$A$4:$BN$135,
           MATCH($B74:$K74, 'Eurostat EB products IEA'!$A$4:$A$135, 0),
           MATCH(BP$1, 'Eurostat EB products IEA'!$A$4:$BN$4, 0)
     )
     * $L74:$U74,
     0
  )
)</f>
        <v>0</v>
      </c>
      <c r="BQ74" s="17" cm="1">
        <f t="array" ref="BQ74">SUMPRODUCT(
  IF($B74:$K74&lt;&gt;"",
     INDEX('Eurostat EB products IEA'!$A$4:$BN$135,
           MATCH($B74:$K74, 'Eurostat EB products IEA'!$A$4:$A$135, 0),
           MATCH(BQ$1, 'Eurostat EB products IEA'!$A$4:$BN$4, 0)
     )
     * $L74:$U74,
     0
  )
)</f>
        <v>0</v>
      </c>
      <c r="BR74" s="17" cm="1">
        <f t="array" ref="BR74">SUMPRODUCT(
  IF($B74:$K74&lt;&gt;"",
     INDEX('Eurostat EB products IEA'!$A$4:$BN$135,
           MATCH($B74:$K74, 'Eurostat EB products IEA'!$A$4:$A$135, 0),
           MATCH(BR$1, 'Eurostat EB products IEA'!$A$4:$BN$4, 0)
     )
     * $L74:$U74,
     0
  )
)</f>
        <v>0</v>
      </c>
      <c r="BS74" s="65">
        <v>0</v>
      </c>
      <c r="BT74" s="17" cm="1">
        <f t="array" ref="BT74">SUMPRODUCT(
  IF($B74:$K74&lt;&gt;"",
     INDEX('Eurostat EB products IEA'!$A$4:$BN$135,
           MATCH($B74:$K74, 'Eurostat EB products IEA'!$A$4:$A$135, 0),
           MATCH(BT$1, 'Eurostat EB products IEA'!$A$4:$BN$4, 0)
     )
     * $L74:$U74,
     0
  )
)</f>
        <v>0</v>
      </c>
      <c r="BU74" s="65">
        <v>0</v>
      </c>
      <c r="BV74" s="65">
        <v>0</v>
      </c>
      <c r="BW74" s="17" cm="1">
        <f t="array" ref="BW74">SUMPRODUCT(
  IF($B74:$K74&lt;&gt;"",
     INDEX('Eurostat EB products IEA'!$A$4:$BN$135,
           MATCH($B74:$K74, 'Eurostat EB products IEA'!$A$4:$A$135, 0),
           MATCH(BW$1, 'Eurostat EB products IEA'!$A$4:$BN$4, 0)
     )
     * $L74:$U74,
     0
  )
)</f>
        <v>0</v>
      </c>
      <c r="BX74" s="17" cm="1">
        <f t="array" ref="BX74">SUMPRODUCT(
  IF($B74:$K74&lt;&gt;"",
     INDEX('Eurostat EB products IEA'!$A$4:$BN$135,
           MATCH($B74:$K74, 'Eurostat EB products IEA'!$A$4:$A$135, 0),
           MATCH(BX$1, 'Eurostat EB products IEA'!$A$4:$BN$4, 0)
     )
     * $L74:$U74,
     0
  )
)</f>
        <v>0</v>
      </c>
      <c r="BY74" s="17" cm="1">
        <f t="array" ref="BY74">SUMPRODUCT(
  IF($B74:$K74&lt;&gt;"",
     INDEX('Eurostat EB products IEA'!$A$4:$BN$135,
           MATCH($B74:$K74, 'Eurostat EB products IEA'!$A$4:$A$135, 0),
           MATCH(BY$1, 'Eurostat EB products IEA'!$A$4:$BN$4, 0)
     )
     * $L74:$U74,
     0
  )
)</f>
        <v>0</v>
      </c>
      <c r="BZ74" s="17" cm="1">
        <f t="array" ref="BZ74">SUMPRODUCT(
  IF($B74:$K74&lt;&gt;"",
     INDEX('Eurostat EB products IEA'!$A$4:$BN$135,
           MATCH($B74:$K74, 'Eurostat EB products IEA'!$A$4:$A$135, 0),
           MATCH(BZ$1, 'Eurostat EB products IEA'!$A$4:$BN$4, 0)
     )
     * $L74:$U74,
     0
  )
)</f>
        <v>0</v>
      </c>
      <c r="CA74" s="17" cm="1">
        <f t="array" ref="CA74">SUMPRODUCT(
  IF($B74:$K74&lt;&gt;"",
     INDEX('Eurostat EB products IEA'!$A$4:$BN$135,
           MATCH($B74:$K74, 'Eurostat EB products IEA'!$A$4:$A$135, 0),
           MATCH(CA$1, 'Eurostat EB products IEA'!$A$4:$BN$4, 0)
     )
     * $L74:$U74,
     0
  )
)</f>
        <v>0</v>
      </c>
      <c r="CB74" s="17" cm="1">
        <f t="array" ref="CB74">SUMPRODUCT(
  IF($B74:$K74&lt;&gt;"",
     INDEX('Eurostat EB products IEA'!$A$4:$BN$135,
           MATCH($B74:$K74, 'Eurostat EB products IEA'!$A$4:$A$135, 0),
           MATCH(CB$1, 'Eurostat EB products IEA'!$A$4:$BN$4, 0)
     )
     * $L74:$U74,
     0
  )
)</f>
        <v>0</v>
      </c>
      <c r="CC74" s="17" cm="1">
        <f t="array" ref="CC74">SUMPRODUCT(
  IF($B74:$K74&lt;&gt;"",
     INDEX('Eurostat EB products IEA'!$A$4:$BN$135,
           MATCH($B74:$K74, 'Eurostat EB products IEA'!$A$4:$A$135, 0),
           MATCH(CC$1, 'Eurostat EB products IEA'!$A$4:$BN$4, 0)
     )
     * $L74:$U74,
     0
  )
)</f>
        <v>0</v>
      </c>
      <c r="CD74" s="65">
        <v>0</v>
      </c>
      <c r="CE74" s="17" cm="1">
        <f t="array" ref="CE74">SUMPRODUCT(
  IF($B74:$K74&lt;&gt;"",
     INDEX('Eurostat EB products IEA'!$A$4:$BN$135,
           MATCH($B74:$K74, 'Eurostat EB products IEA'!$A$4:$A$135, 0),
           MATCH(CE$1, 'Eurostat EB products IEA'!$A$4:$BN$4, 0)
     )
     * $L74:$U74,
     0
  )
)</f>
        <v>0</v>
      </c>
      <c r="CF74" s="17" cm="1">
        <f t="array" ref="CF74">SUMPRODUCT(
  IF($B74:$K74&lt;&gt;"",
     INDEX('Eurostat EB products IEA'!$A$4:$BN$135,
           MATCH($B74:$K74, 'Eurostat EB products IEA'!$A$4:$A$135, 0),
           MATCH(CF$1, 'Eurostat EB products IEA'!$A$4:$BN$4, 0)
     )
     * $L74:$U74,
     0
  )
)</f>
        <v>0</v>
      </c>
      <c r="CG74" s="17" cm="1">
        <f t="array" ref="CG74">SUMPRODUCT(
  IF($B74:$K74&lt;&gt;"",
     INDEX('Eurostat EB products IEA'!$A$4:$BN$135,
           MATCH($B74:$K74, 'Eurostat EB products IEA'!$A$4:$A$135, 0),
           MATCH(CG$1, 'Eurostat EB products IEA'!$A$4:$BN$4, 0)
     )
     * $L74:$U74,
     0
  )
)</f>
        <v>224.102</v>
      </c>
      <c r="CH74" s="17" cm="1">
        <f t="array" ref="CH74">SUMPRODUCT(
  IF($B74:$K74&lt;&gt;"",
     INDEX('Eurostat EB products IEA'!$A$4:$BN$135,
           MATCH($B74:$K74, 'Eurostat EB products IEA'!$A$4:$A$135, 0),
           MATCH(CH$1, 'Eurostat EB products IEA'!$A$4:$BN$4, 0)
     )
     * $L74:$U74,
     0
  )
)</f>
        <v>2.2949999999999999</v>
      </c>
    </row>
    <row r="75" spans="1:86" x14ac:dyDescent="0.2">
      <c r="A75" t="s">
        <v>182</v>
      </c>
      <c r="B75" s="75"/>
      <c r="C75" s="77"/>
      <c r="D75" s="75"/>
      <c r="E75" s="77"/>
      <c r="F75" s="75"/>
      <c r="G75" s="77"/>
      <c r="H75" s="75"/>
      <c r="I75" s="77"/>
      <c r="J75" s="74"/>
      <c r="K75" s="78" t="s">
        <v>308</v>
      </c>
      <c r="L75" s="76"/>
      <c r="M75" s="79"/>
      <c r="N75" s="76"/>
      <c r="O75" s="79"/>
      <c r="P75" s="76"/>
      <c r="Q75" s="79"/>
      <c r="R75" s="76"/>
      <c r="S75" s="79"/>
      <c r="T75" s="76"/>
      <c r="U75" s="79">
        <v>1</v>
      </c>
      <c r="V75" s="65" t="s">
        <v>323</v>
      </c>
      <c r="W75" s="65" t="s">
        <v>323</v>
      </c>
      <c r="X75" s="57" cm="1">
        <f t="array" ref="X75">SUMPRODUCT(
  IF($B75:$K75&lt;&gt;"",
     INDEX('Eurostat EB products IEA'!$A$4:$BN$135,
           MATCH($B75:$K75, 'Eurostat EB products IEA'!$A$4:$A$135, 0),
           MATCH(X$1, 'Eurostat EB products IEA'!$A$4:$BN$4, 0)
     )
     * $L75:$U75,
     0
  )
)</f>
        <v>2.4910000000000001</v>
      </c>
      <c r="Y75" s="57" cm="1">
        <f t="array" ref="Y75">SUMPRODUCT(
  IF($B75:$K75&lt;&gt;"",
     INDEX('Eurostat EB products IEA'!$A$4:$BN$135,
           MATCH($B75:$K75, 'Eurostat EB products IEA'!$A$4:$A$135, 0),
           MATCH(Y$1, 'Eurostat EB products IEA'!$A$4:$BN$4, 0)
     )
     * $L75:$U75,
     0
  )
)</f>
        <v>0</v>
      </c>
      <c r="Z75" s="57" cm="1">
        <f t="array" ref="Z75">SUMPRODUCT(
  IF($B75:$K75&lt;&gt;"",
     INDEX('Eurostat EB products IEA'!$A$4:$BN$135,
           MATCH($B75:$K75, 'Eurostat EB products IEA'!$A$4:$A$135, 0),
           MATCH(Z$1, 'Eurostat EB products IEA'!$A$4:$BN$4, 0)
     )
     * $L75:$U75,
     0
  )
)</f>
        <v>0</v>
      </c>
      <c r="AA75" s="57" cm="1">
        <f t="array" ref="AA75">SUMPRODUCT(
  IF($B75:$K75&lt;&gt;"",
     INDEX('Eurostat EB products IEA'!$A$4:$BN$135,
           MATCH($B75:$K75, 'Eurostat EB products IEA'!$A$4:$A$135, 0),
           MATCH(AA$1, 'Eurostat EB products IEA'!$A$4:$BN$4, 0)
     )
     * $L75:$U75,
     0
  )
)</f>
        <v>0</v>
      </c>
      <c r="AB75" s="57" cm="1">
        <f t="array" ref="AB75">SUMPRODUCT(
  IF($B75:$K75&lt;&gt;"",
     INDEX('Eurostat EB products IEA'!$A$4:$BN$135,
           MATCH($B75:$K75, 'Eurostat EB products IEA'!$A$4:$A$135, 0),
           MATCH(AB$1, 'Eurostat EB products IEA'!$A$4:$BN$4, 0)
     )
     * $L75:$U75,
     0
  )
)</f>
        <v>312.82</v>
      </c>
      <c r="AC75" s="57" cm="1">
        <f t="array" ref="AC75">SUMPRODUCT(
  IF($B75:$K75&lt;&gt;"",
     INDEX('Eurostat EB products IEA'!$A$4:$BN$135,
           MATCH($B75:$K75, 'Eurostat EB products IEA'!$A$4:$A$135, 0),
           MATCH(AC$1, 'Eurostat EB products IEA'!$A$4:$BN$4, 0)
     )
     * $L75:$U75,
     0
  )
)</f>
        <v>0</v>
      </c>
      <c r="AD75" s="57" cm="1">
        <f t="array" ref="AD75">SUMPRODUCT(
  IF($B75:$K75&lt;&gt;"",
     INDEX('Eurostat EB products IEA'!$A$4:$BN$135,
           MATCH($B75:$K75, 'Eurostat EB products IEA'!$A$4:$A$135, 0),
           MATCH(AD$1, 'Eurostat EB products IEA'!$A$4:$BN$4, 0)
     )
     * $L75:$U75,
     0
  )
)</f>
        <v>0</v>
      </c>
      <c r="AE75" s="57" cm="1">
        <f t="array" ref="AE75">SUMPRODUCT(
  IF($B75:$K75&lt;&gt;"",
     INDEX('Eurostat EB products IEA'!$A$4:$BN$135,
           MATCH($B75:$K75, 'Eurostat EB products IEA'!$A$4:$A$135, 0),
           MATCH(AE$1, 'Eurostat EB products IEA'!$A$4:$BN$4, 0)
     )
     * $L75:$U75,
     0
  )
)</f>
        <v>0</v>
      </c>
      <c r="AF75" s="57" cm="1">
        <f t="array" ref="AF75">SUMPRODUCT(
  IF($B75:$K75&lt;&gt;"",
     INDEX('Eurostat EB products IEA'!$A$4:$BN$135,
           MATCH($B75:$K75, 'Eurostat EB products IEA'!$A$4:$A$135, 0),
           MATCH(AF$1, 'Eurostat EB products IEA'!$A$4:$BN$4, 0)
     )
     * $L75:$U75,
     0
  )
)</f>
        <v>0</v>
      </c>
      <c r="AG75" s="57" cm="1">
        <f t="array" ref="AG75">SUMPRODUCT(
  IF($B75:$K75&lt;&gt;"",
     INDEX('Eurostat EB products IEA'!$A$4:$BN$135,
           MATCH($B75:$K75, 'Eurostat EB products IEA'!$A$4:$A$135, 0),
           MATCH(AG$1, 'Eurostat EB products IEA'!$A$4:$BN$4, 0)
     )
     * $L75:$U75,
     0
  )
)</f>
        <v>0</v>
      </c>
      <c r="AH75" s="57" cm="1">
        <f t="array" ref="AH75">SUMPRODUCT(
  IF($B75:$K75&lt;&gt;"",
     INDEX('Eurostat EB products IEA'!$A$4:$BN$135,
           MATCH($B75:$K75, 'Eurostat EB products IEA'!$A$4:$A$135, 0),
           MATCH(AH$1, 'Eurostat EB products IEA'!$A$4:$BN$4, 0)
     )
     * $L75:$U75,
     0
  )
)</f>
        <v>0</v>
      </c>
      <c r="AI75" s="57" cm="1">
        <f t="array" ref="AI75">SUMPRODUCT(
  IF($B75:$K75&lt;&gt;"",
     INDEX('Eurostat EB products IEA'!$A$4:$BN$135,
           MATCH($B75:$K75, 'Eurostat EB products IEA'!$A$4:$A$135, 0),
           MATCH(AI$1, 'Eurostat EB products IEA'!$A$4:$BN$4, 0)
     )
     * $L75:$U75,
     0
  )
)</f>
        <v>0</v>
      </c>
      <c r="AJ75" s="57" cm="1">
        <f t="array" ref="AJ75">SUMPRODUCT(
  IF($B75:$K75&lt;&gt;"",
     INDEX('Eurostat EB products IEA'!$A$4:$BN$135,
           MATCH($B75:$K75, 'Eurostat EB products IEA'!$A$4:$A$135, 0),
           MATCH(AJ$1, 'Eurostat EB products IEA'!$A$4:$BN$4, 0)
     )
     * $L75:$U75,
     0
  )
)</f>
        <v>0</v>
      </c>
      <c r="AK75" s="57" cm="1">
        <f t="array" ref="AK75">SUMPRODUCT(
  IF($B75:$K75&lt;&gt;"",
     INDEX('Eurostat EB products IEA'!$A$4:$BN$135,
           MATCH($B75:$K75, 'Eurostat EB products IEA'!$A$4:$A$135, 0),
           MATCH(AK$1, 'Eurostat EB products IEA'!$A$4:$BN$4, 0)
     )
     * $L75:$U75,
     0
  )
)</f>
        <v>0</v>
      </c>
      <c r="AL75" s="57" cm="1">
        <f t="array" ref="AL75">SUMPRODUCT(
  IF($B75:$K75&lt;&gt;"",
     INDEX('Eurostat EB products IEA'!$A$4:$BN$135,
           MATCH($B75:$K75, 'Eurostat EB products IEA'!$A$4:$A$135, 0),
           MATCH(AL$1, 'Eurostat EB products IEA'!$A$4:$BN$4, 0)
     )
     * $L75:$U75,
     0
  )
)</f>
        <v>0</v>
      </c>
      <c r="AM75" s="57" cm="1">
        <f t="array" ref="AM75">SUMPRODUCT(
  IF($B75:$K75&lt;&gt;"",
     INDEX('Eurostat EB products IEA'!$A$4:$BN$135,
           MATCH($B75:$K75, 'Eurostat EB products IEA'!$A$4:$A$135, 0),
           MATCH(AM$1, 'Eurostat EB products IEA'!$A$4:$BN$4, 0)
     )
     * $L75:$U75,
     0
  )
)</f>
        <v>354512.56099999999</v>
      </c>
      <c r="AN75" s="65" t="s">
        <v>323</v>
      </c>
      <c r="AO75" s="57" cm="1">
        <f t="array" ref="AO75">SUMPRODUCT(
  IF($B75:$K75&lt;&gt;"",
     INDEX('Eurostat EB products IEA'!$A$4:$BN$135,
           MATCH($B75:$K75, 'Eurostat EB products IEA'!$A$4:$A$135, 0),
           MATCH(AO$1, 'Eurostat EB products IEA'!$A$4:$BN$4, 0)
     )
     * $L75:$U75,
     0
  )
)</f>
        <v>0</v>
      </c>
      <c r="AP75" s="57" cm="1">
        <f t="array" ref="AP75">SUMPRODUCT(
  IF($B75:$K75&lt;&gt;"",
     INDEX('Eurostat EB products IEA'!$A$4:$BN$135,
           MATCH($B75:$K75, 'Eurostat EB products IEA'!$A$4:$A$135, 0),
           MATCH(AP$1, 'Eurostat EB products IEA'!$A$4:$BN$4, 0)
     )
     * $L75:$U75,
     0
  )
)</f>
        <v>0</v>
      </c>
      <c r="AQ75" s="57" cm="1">
        <f t="array" ref="AQ75">SUMPRODUCT(
  IF($B75:$K75&lt;&gt;"",
     INDEX('Eurostat EB products IEA'!$A$4:$BN$135,
           MATCH($B75:$K75, 'Eurostat EB products IEA'!$A$4:$A$135, 0),
           MATCH(AQ$1, 'Eurostat EB products IEA'!$A$4:$BN$4, 0)
     )
     * $L75:$U75,
     0
  )
)</f>
        <v>0</v>
      </c>
      <c r="AR75" s="57" cm="1">
        <f t="array" ref="AR75">SUMPRODUCT(
  IF($B75:$K75&lt;&gt;"",
     INDEX('Eurostat EB products IEA'!$A$4:$BN$135,
           MATCH($B75:$K75, 'Eurostat EB products IEA'!$A$4:$A$135, 0),
           MATCH(AR$1, 'Eurostat EB products IEA'!$A$4:$BN$4, 0)
     )
     * $L75:$U75,
     0
  )
)</f>
        <v>0</v>
      </c>
      <c r="AS75" s="57" cm="1">
        <f t="array" ref="AS75">SUMPRODUCT(
  IF($B75:$K75&lt;&gt;"",
     INDEX('Eurostat EB products IEA'!$A$4:$BN$135,
           MATCH($B75:$K75, 'Eurostat EB products IEA'!$A$4:$A$135, 0),
           MATCH(AS$1, 'Eurostat EB products IEA'!$A$4:$BN$4, 0)
     )
     * $L75:$U75,
     0
  )
)</f>
        <v>0</v>
      </c>
      <c r="AT75" s="57" cm="1">
        <f t="array" ref="AT75">SUMPRODUCT(
  IF($B75:$K75&lt;&gt;"",
     INDEX('Eurostat EB products IEA'!$A$4:$BN$135,
           MATCH($B75:$K75, 'Eurostat EB products IEA'!$A$4:$A$135, 0),
           MATCH(AT$1, 'Eurostat EB products IEA'!$A$4:$BN$4, 0)
     )
     * $L75:$U75,
     0
  )
)</f>
        <v>0</v>
      </c>
      <c r="AU75" s="57" cm="1">
        <f t="array" ref="AU75">SUMPRODUCT(
  IF($B75:$K75&lt;&gt;"",
     INDEX('Eurostat EB products IEA'!$A$4:$BN$135,
           MATCH($B75:$K75, 'Eurostat EB products IEA'!$A$4:$A$135, 0),
           MATCH(AU$1, 'Eurostat EB products IEA'!$A$4:$BN$4, 0)
     )
     * $L75:$U75,
     0
  )
)</f>
        <v>0</v>
      </c>
      <c r="AV75" s="57" cm="1">
        <f t="array" ref="AV75">SUMPRODUCT(
  IF($B75:$K75&lt;&gt;"",
     INDEX('Eurostat EB products IEA'!$A$4:$BN$135,
           MATCH($B75:$K75, 'Eurostat EB products IEA'!$A$4:$A$135, 0),
           MATCH(AV$1, 'Eurostat EB products IEA'!$A$4:$BN$4, 0)
     )
     * $L75:$U75,
     0
  )
)</f>
        <v>3811.806</v>
      </c>
      <c r="AW75" s="57" cm="1">
        <f t="array" ref="AW75">SUMPRODUCT(
  IF($B75:$K75&lt;&gt;"",
     INDEX('Eurostat EB products IEA'!$A$4:$BN$135,
           MATCH($B75:$K75, 'Eurostat EB products IEA'!$A$4:$A$135, 0),
           MATCH(AW$1, 'Eurostat EB products IEA'!$A$4:$BN$4, 0)
     )
     * $L75:$U75,
     0
  )
)</f>
        <v>1725.712</v>
      </c>
      <c r="AX75" s="57" cm="1">
        <f t="array" ref="AX75">SUMPRODUCT(
  IF($B75:$K75&lt;&gt;"",
     INDEX('Eurostat EB products IEA'!$A$4:$BN$135,
           MATCH($B75:$K75, 'Eurostat EB products IEA'!$A$4:$A$135, 0),
           MATCH(AX$1, 'Eurostat EB products IEA'!$A$4:$BN$4, 0)
     )
     * $L75:$U75,
     0
  )
)</f>
        <v>0</v>
      </c>
      <c r="AY75" s="57" cm="1">
        <f t="array" ref="AY75">SUMPRODUCT(
  IF($B75:$K75&lt;&gt;"",
     INDEX('Eurostat EB products IEA'!$A$4:$BN$135,
           MATCH($B75:$K75, 'Eurostat EB products IEA'!$A$4:$A$135, 0),
           MATCH(AY$1, 'Eurostat EB products IEA'!$A$4:$BN$4, 0)
     )
     * $L75:$U75,
     0
  )
)</f>
        <v>0</v>
      </c>
      <c r="AZ75" s="57" cm="1">
        <f t="array" ref="AZ75">SUMPRODUCT(
  IF($B75:$K75&lt;&gt;"",
     INDEX('Eurostat EB products IEA'!$A$4:$BN$135,
           MATCH($B75:$K75, 'Eurostat EB products IEA'!$A$4:$A$135, 0),
           MATCH(AZ$1, 'Eurostat EB products IEA'!$A$4:$BN$4, 0)
     )
     * $L75:$U75,
     0
  )
)</f>
        <v>1588.748</v>
      </c>
      <c r="BA75" s="57" cm="1">
        <f t="array" ref="BA75">SUMPRODUCT(
  IF($B75:$K75&lt;&gt;"",
     INDEX('Eurostat EB products IEA'!$A$4:$BN$135,
           MATCH($B75:$K75, 'Eurostat EB products IEA'!$A$4:$A$135, 0),
           MATCH(BA$1, 'Eurostat EB products IEA'!$A$4:$BN$4, 0)
     )
     * $L75:$U75,
     0
  )
)</f>
        <v>216.02099999999999</v>
      </c>
      <c r="BB75" s="57" cm="1">
        <f t="array" ref="BB75">SUMPRODUCT(
  IF($B75:$K75&lt;&gt;"",
     INDEX('Eurostat EB products IEA'!$A$4:$BN$135,
           MATCH($B75:$K75, 'Eurostat EB products IEA'!$A$4:$A$135, 0),
           MATCH(BB$1, 'Eurostat EB products IEA'!$A$4:$BN$4, 0)
     )
     * $L75:$U75,
     0
  )
)</f>
        <v>30417.817999999999</v>
      </c>
      <c r="BC75" s="57" cm="1">
        <f t="array" ref="BC75">SUMPRODUCT(
  IF($B75:$K75&lt;&gt;"",
     INDEX('Eurostat EB products IEA'!$A$4:$BN$135,
           MATCH($B75:$K75, 'Eurostat EB products IEA'!$A$4:$A$135, 0),
           MATCH(BC$1, 'Eurostat EB products IEA'!$A$4:$BN$4, 0)
     )
     * $L75:$U75,
     0
  )
)</f>
        <v>0</v>
      </c>
      <c r="BD75" s="57" cm="1">
        <f t="array" ref="BD75">SUMPRODUCT(
  IF($B75:$K75&lt;&gt;"",
     INDEX('Eurostat EB products IEA'!$A$4:$BN$135,
           MATCH($B75:$K75, 'Eurostat EB products IEA'!$A$4:$A$135, 0),
           MATCH(BD$1, 'Eurostat EB products IEA'!$A$4:$BN$4, 0)
     )
     * $L75:$U75,
     0
  )
)</f>
        <v>0</v>
      </c>
      <c r="BE75" s="57" cm="1">
        <f t="array" ref="BE75">SUMPRODUCT(
  IF($B75:$K75&lt;&gt;"",
     INDEX('Eurostat EB products IEA'!$A$4:$BN$135,
           MATCH($B75:$K75, 'Eurostat EB products IEA'!$A$4:$A$135, 0),
           MATCH(BE$1, 'Eurostat EB products IEA'!$A$4:$BN$4, 0)
     )
     * $L75:$U75,
     0
  )
)</f>
        <v>0</v>
      </c>
      <c r="BF75" s="57" cm="1">
        <f t="array" ref="BF75">SUMPRODUCT(
  IF($B75:$K75&lt;&gt;"",
     INDEX('Eurostat EB products IEA'!$A$4:$BN$135,
           MATCH($B75:$K75, 'Eurostat EB products IEA'!$A$4:$A$135, 0),
           MATCH(BF$1, 'Eurostat EB products IEA'!$A$4:$BN$4, 0)
     )
     * $L75:$U75,
     0
  )
)</f>
        <v>0</v>
      </c>
      <c r="BG75" s="57" cm="1">
        <f t="array" ref="BG75">SUMPRODUCT(
  IF($B75:$K75&lt;&gt;"",
     INDEX('Eurostat EB products IEA'!$A$4:$BN$135,
           MATCH($B75:$K75, 'Eurostat EB products IEA'!$A$4:$A$135, 0),
           MATCH(BG$1, 'Eurostat EB products IEA'!$A$4:$BN$4, 0)
     )
     * $L75:$U75,
     0
  )
)</f>
        <v>0</v>
      </c>
      <c r="BH75" s="57" cm="1">
        <f t="array" ref="BH75">SUMPRODUCT(
  IF($B75:$K75&lt;&gt;"",
     INDEX('Eurostat EB products IEA'!$A$4:$BN$135,
           MATCH($B75:$K75, 'Eurostat EB products IEA'!$A$4:$A$135, 0),
           MATCH(BH$1, 'Eurostat EB products IEA'!$A$4:$BN$4, 0)
     )
     * $L75:$U75,
     0
  )
)</f>
        <v>0</v>
      </c>
      <c r="BI75" s="57" cm="1">
        <f t="array" ref="BI75">SUMPRODUCT(
  IF($B75:$K75&lt;&gt;"",
     INDEX('Eurostat EB products IEA'!$A$4:$BN$135,
           MATCH($B75:$K75, 'Eurostat EB products IEA'!$A$4:$A$135, 0),
           MATCH(BI$1, 'Eurostat EB products IEA'!$A$4:$BN$4, 0)
     )
     * $L75:$U75,
     0
  )
)</f>
        <v>0</v>
      </c>
      <c r="BJ75" s="57" cm="1">
        <f t="array" ref="BJ75">SUMPRODUCT(
  IF($B75:$K75&lt;&gt;"",
     INDEX('Eurostat EB products IEA'!$A$4:$BN$135,
           MATCH($B75:$K75, 'Eurostat EB products IEA'!$A$4:$A$135, 0),
           MATCH(BJ$1, 'Eurostat EB products IEA'!$A$4:$BN$4, 0)
     )
     * $L75:$U75,
     0
  )
)</f>
        <v>0</v>
      </c>
      <c r="BK75" s="57" cm="1">
        <f t="array" ref="BK75">SUMPRODUCT(
  IF($B75:$K75&lt;&gt;"",
     INDEX('Eurostat EB products IEA'!$A$4:$BN$135,
           MATCH($B75:$K75, 'Eurostat EB products IEA'!$A$4:$A$135, 0),
           MATCH(BK$1, 'Eurostat EB products IEA'!$A$4:$BN$4, 0)
     )
     * $L75:$U75,
     0
  )
)</f>
        <v>38.927</v>
      </c>
      <c r="BL75" s="57" cm="1">
        <f t="array" ref="BL75">SUMPRODUCT(
  IF($B75:$K75&lt;&gt;"",
     INDEX('Eurostat EB products IEA'!$A$4:$BN$135,
           MATCH($B75:$K75, 'Eurostat EB products IEA'!$A$4:$A$135, 0),
           MATCH(BL$1, 'Eurostat EB products IEA'!$A$4:$BN$4, 0)
     )
     * $L75:$U75,
     0
  )
)</f>
        <v>1510.0820000000001</v>
      </c>
      <c r="BM75" s="57" cm="1">
        <f t="array" ref="BM75">SUMPRODUCT(
  IF($B75:$K75&lt;&gt;"",
     INDEX('Eurostat EB products IEA'!$A$4:$BN$135,
           MATCH($B75:$K75, 'Eurostat EB products IEA'!$A$4:$A$135, 0),
           MATCH(BM$1, 'Eurostat EB products IEA'!$A$4:$BN$4, 0)
     )
     * $L75:$U75,
     0
  )
)</f>
        <v>1339.13</v>
      </c>
      <c r="BN75" s="57" cm="1">
        <f t="array" ref="BN75">SUMPRODUCT(
  IF($B75:$K75&lt;&gt;"",
     INDEX('Eurostat EB products IEA'!$A$4:$BN$135,
           MATCH($B75:$K75, 'Eurostat EB products IEA'!$A$4:$A$135, 0),
           MATCH(BN$1, 'Eurostat EB products IEA'!$A$4:$BN$4, 0)
     )
     * $L75:$U75,
     0
  )
)</f>
        <v>22561.508000000002</v>
      </c>
      <c r="BO75" s="57" cm="1">
        <f t="array" ref="BO75">SUMPRODUCT(
  IF($B75:$K75&lt;&gt;"",
     INDEX('Eurostat EB products IEA'!$A$4:$BN$135,
           MATCH($B75:$K75, 'Eurostat EB products IEA'!$A$4:$A$135, 0),
           MATCH(BO$1, 'Eurostat EB products IEA'!$A$4:$BN$4, 0)
     )
     * $L75:$U75,
     0
  )
)</f>
        <v>2797.6080000000002</v>
      </c>
      <c r="BP75" s="57" cm="1">
        <f t="array" ref="BP75">SUMPRODUCT(
  IF($B75:$K75&lt;&gt;"",
     INDEX('Eurostat EB products IEA'!$A$4:$BN$135,
           MATCH($B75:$K75, 'Eurostat EB products IEA'!$A$4:$A$135, 0),
           MATCH(BP$1, 'Eurostat EB products IEA'!$A$4:$BN$4, 0)
     )
     * $L75:$U75,
     0
  )
)</f>
        <v>0</v>
      </c>
      <c r="BQ75" s="57" cm="1">
        <f t="array" ref="BQ75">SUMPRODUCT(
  IF($B75:$K75&lt;&gt;"",
     INDEX('Eurostat EB products IEA'!$A$4:$BN$135,
           MATCH($B75:$K75, 'Eurostat EB products IEA'!$A$4:$A$135, 0),
           MATCH(BQ$1, 'Eurostat EB products IEA'!$A$4:$BN$4, 0)
     )
     * $L75:$U75,
     0
  )
)</f>
        <v>1218.2550000000001</v>
      </c>
      <c r="BR75" s="57" cm="1">
        <f t="array" ref="BR75">SUMPRODUCT(
  IF($B75:$K75&lt;&gt;"",
     INDEX('Eurostat EB products IEA'!$A$4:$BN$135,
           MATCH($B75:$K75, 'Eurostat EB products IEA'!$A$4:$A$135, 0),
           MATCH(BR$1, 'Eurostat EB products IEA'!$A$4:$BN$4, 0)
     )
     * $L75:$U75,
     0
  )
)</f>
        <v>257.61599999999999</v>
      </c>
      <c r="BS75" s="65">
        <v>0</v>
      </c>
      <c r="BT75" s="57" cm="1">
        <f t="array" ref="BT75">SUMPRODUCT(
  IF($B75:$K75&lt;&gt;"",
     INDEX('Eurostat EB products IEA'!$A$4:$BN$135,
           MATCH($B75:$K75, 'Eurostat EB products IEA'!$A$4:$A$135, 0),
           MATCH(BT$1, 'Eurostat EB products IEA'!$A$4:$BN$4, 0)
     )
     * $L75:$U75,
     0
  )
)</f>
        <v>270</v>
      </c>
      <c r="BU75" s="65">
        <v>0</v>
      </c>
      <c r="BV75" s="65">
        <v>0</v>
      </c>
      <c r="BW75" s="57" cm="1">
        <f t="array" ref="BW75">SUMPRODUCT(
  IF($B75:$K75&lt;&gt;"",
     INDEX('Eurostat EB products IEA'!$A$4:$BN$135,
           MATCH($B75:$K75, 'Eurostat EB products IEA'!$A$4:$A$135, 0),
           MATCH(BW$1, 'Eurostat EB products IEA'!$A$4:$BN$4, 0)
     )
     * $L75:$U75,
     0
  )
)</f>
        <v>0</v>
      </c>
      <c r="BX75" s="57" cm="1">
        <f t="array" ref="BX75">SUMPRODUCT(
  IF($B75:$K75&lt;&gt;"",
     INDEX('Eurostat EB products IEA'!$A$4:$BN$135,
           MATCH($B75:$K75, 'Eurostat EB products IEA'!$A$4:$A$135, 0),
           MATCH(BX$1, 'Eurostat EB products IEA'!$A$4:$BN$4, 0)
     )
     * $L75:$U75,
     0
  )
)</f>
        <v>0</v>
      </c>
      <c r="BY75" s="57" cm="1">
        <f t="array" ref="BY75">SUMPRODUCT(
  IF($B75:$K75&lt;&gt;"",
     INDEX('Eurostat EB products IEA'!$A$4:$BN$135,
           MATCH($B75:$K75, 'Eurostat EB products IEA'!$A$4:$A$135, 0),
           MATCH(BY$1, 'Eurostat EB products IEA'!$A$4:$BN$4, 0)
     )
     * $L75:$U75,
     0
  )
)</f>
        <v>6797.51</v>
      </c>
      <c r="BZ75" s="57" cm="1">
        <f t="array" ref="BZ75">SUMPRODUCT(
  IF($B75:$K75&lt;&gt;"",
     INDEX('Eurostat EB products IEA'!$A$4:$BN$135,
           MATCH($B75:$K75, 'Eurostat EB products IEA'!$A$4:$A$135, 0),
           MATCH(BZ$1, 'Eurostat EB products IEA'!$A$4:$BN$4, 0)
     )
     * $L75:$U75,
     0
  )
)</f>
        <v>0</v>
      </c>
      <c r="CA75" s="57" cm="1">
        <f t="array" ref="CA75">SUMPRODUCT(
  IF($B75:$K75&lt;&gt;"",
     INDEX('Eurostat EB products IEA'!$A$4:$BN$135,
           MATCH($B75:$K75, 'Eurostat EB products IEA'!$A$4:$A$135, 0),
           MATCH(CA$1, 'Eurostat EB products IEA'!$A$4:$BN$4, 0)
     )
     * $L75:$U75,
     0
  )
)</f>
        <v>1176</v>
      </c>
      <c r="CB75" s="57" cm="1">
        <f t="array" ref="CB75">SUMPRODUCT(
  IF($B75:$K75&lt;&gt;"",
     INDEX('Eurostat EB products IEA'!$A$4:$BN$135,
           MATCH($B75:$K75, 'Eurostat EB products IEA'!$A$4:$A$135, 0),
           MATCH(CB$1, 'Eurostat EB products IEA'!$A$4:$BN$4, 0)
     )
     * $L75:$U75,
     0
  )
)</f>
        <v>0</v>
      </c>
      <c r="CC75" s="57" cm="1">
        <f t="array" ref="CC75">SUMPRODUCT(
  IF($B75:$K75&lt;&gt;"",
     INDEX('Eurostat EB products IEA'!$A$4:$BN$135,
           MATCH($B75:$K75, 'Eurostat EB products IEA'!$A$4:$A$135, 0),
           MATCH(CC$1, 'Eurostat EB products IEA'!$A$4:$BN$4, 0)
     )
     * $L75:$U75,
     0
  )
)</f>
        <v>0</v>
      </c>
      <c r="CD75" s="65">
        <v>0</v>
      </c>
      <c r="CE75" s="57" cm="1">
        <f t="array" ref="CE75">SUMPRODUCT(
  IF($B75:$K75&lt;&gt;"",
     INDEX('Eurostat EB products IEA'!$A$4:$BN$135,
           MATCH($B75:$K75, 'Eurostat EB products IEA'!$A$4:$A$135, 0),
           MATCH(CE$1, 'Eurostat EB products IEA'!$A$4:$BN$4, 0)
     )
     * $L75:$U75,
     0
  )
)</f>
        <v>237106.217</v>
      </c>
      <c r="CF75" s="57" cm="1">
        <f t="array" ref="CF75">SUMPRODUCT(
  IF($B75:$K75&lt;&gt;"",
     INDEX('Eurostat EB products IEA'!$A$4:$BN$135,
           MATCH($B75:$K75, 'Eurostat EB products IEA'!$A$4:$A$135, 0),
           MATCH(CF$1, 'Eurostat EB products IEA'!$A$4:$BN$4, 0)
     )
     * $L75:$U75,
     0
  )
)</f>
        <v>20834.442999999999</v>
      </c>
      <c r="CG75" s="57" cm="1">
        <f t="array" ref="CG75">SUMPRODUCT(
  IF($B75:$K75&lt;&gt;"",
     INDEX('Eurostat EB products IEA'!$A$4:$BN$135,
           MATCH($B75:$K75, 'Eurostat EB products IEA'!$A$4:$A$135, 0),
           MATCH(CG$1, 'Eurostat EB products IEA'!$A$4:$BN$4, 0)
     )
     * $L75:$U75,
     0
  )
)</f>
        <v>714019.88399999996</v>
      </c>
      <c r="CH75" s="57" cm="1">
        <f t="array" ref="CH75">SUMPRODUCT(
  IF($B75:$K75&lt;&gt;"",
     INDEX('Eurostat EB products IEA'!$A$4:$BN$135,
           MATCH($B75:$K75, 'Eurostat EB products IEA'!$A$4:$A$135, 0),
           MATCH(CH$1, 'Eurostat EB products IEA'!$A$4:$BN$4, 0)
     )
     * $L75:$U75,
     0
  )
)</f>
        <v>52604.993999999999</v>
      </c>
    </row>
    <row r="76" spans="1:86" x14ac:dyDescent="0.2">
      <c r="A76" t="s">
        <v>183</v>
      </c>
      <c r="B76" s="75"/>
      <c r="C76" s="77"/>
      <c r="D76" s="75"/>
      <c r="E76" s="77"/>
      <c r="F76" s="75"/>
      <c r="G76" s="77"/>
      <c r="H76" s="75"/>
      <c r="I76" s="77"/>
      <c r="J76" s="74"/>
      <c r="K76" s="78" t="s">
        <v>310</v>
      </c>
      <c r="L76" s="76"/>
      <c r="M76" s="79"/>
      <c r="N76" s="76"/>
      <c r="O76" s="79"/>
      <c r="P76" s="76"/>
      <c r="Q76" s="79"/>
      <c r="R76" s="76"/>
      <c r="S76" s="79"/>
      <c r="T76" s="76"/>
      <c r="U76" s="79">
        <v>1</v>
      </c>
      <c r="V76" s="65" t="s">
        <v>323</v>
      </c>
      <c r="W76" s="65" t="s">
        <v>323</v>
      </c>
      <c r="X76" s="17" cm="1">
        <f t="array" ref="X76">SUMPRODUCT(
  IF($B76:$K76&lt;&gt;"",
     INDEX('Eurostat EB products IEA'!$A$4:$BN$135,
           MATCH($B76:$K76, 'Eurostat EB products IEA'!$A$4:$A$135, 0),
           MATCH(X$1, 'Eurostat EB products IEA'!$A$4:$BN$4, 0)
     )
     * $L76:$U76,
     0
  )
)</f>
        <v>2.4910000000000001</v>
      </c>
      <c r="Y76" s="17" cm="1">
        <f t="array" ref="Y76">SUMPRODUCT(
  IF($B76:$K76&lt;&gt;"",
     INDEX('Eurostat EB products IEA'!$A$4:$BN$135,
           MATCH($B76:$K76, 'Eurostat EB products IEA'!$A$4:$A$135, 0),
           MATCH(Y$1, 'Eurostat EB products IEA'!$A$4:$BN$4, 0)
     )
     * $L76:$U76,
     0
  )
)</f>
        <v>0</v>
      </c>
      <c r="Z76" s="17" cm="1">
        <f t="array" ref="Z76">SUMPRODUCT(
  IF($B76:$K76&lt;&gt;"",
     INDEX('Eurostat EB products IEA'!$A$4:$BN$135,
           MATCH($B76:$K76, 'Eurostat EB products IEA'!$A$4:$A$135, 0),
           MATCH(Z$1, 'Eurostat EB products IEA'!$A$4:$BN$4, 0)
     )
     * $L76:$U76,
     0
  )
)</f>
        <v>0</v>
      </c>
      <c r="AA76" s="17" cm="1">
        <f t="array" ref="AA76">SUMPRODUCT(
  IF($B76:$K76&lt;&gt;"",
     INDEX('Eurostat EB products IEA'!$A$4:$BN$135,
           MATCH($B76:$K76, 'Eurostat EB products IEA'!$A$4:$A$135, 0),
           MATCH(AA$1, 'Eurostat EB products IEA'!$A$4:$BN$4, 0)
     )
     * $L76:$U76,
     0
  )
)</f>
        <v>0</v>
      </c>
      <c r="AB76" s="17" cm="1">
        <f t="array" ref="AB76">SUMPRODUCT(
  IF($B76:$K76&lt;&gt;"",
     INDEX('Eurostat EB products IEA'!$A$4:$BN$135,
           MATCH($B76:$K76, 'Eurostat EB products IEA'!$A$4:$A$135, 0),
           MATCH(AB$1, 'Eurostat EB products IEA'!$A$4:$BN$4, 0)
     )
     * $L76:$U76,
     0
  )
)</f>
        <v>0</v>
      </c>
      <c r="AC76" s="17" cm="1">
        <f t="array" ref="AC76">SUMPRODUCT(
  IF($B76:$K76&lt;&gt;"",
     INDEX('Eurostat EB products IEA'!$A$4:$BN$135,
           MATCH($B76:$K76, 'Eurostat EB products IEA'!$A$4:$A$135, 0),
           MATCH(AC$1, 'Eurostat EB products IEA'!$A$4:$BN$4, 0)
     )
     * $L76:$U76,
     0
  )
)</f>
        <v>0</v>
      </c>
      <c r="AD76" s="17" cm="1">
        <f t="array" ref="AD76">SUMPRODUCT(
  IF($B76:$K76&lt;&gt;"",
     INDEX('Eurostat EB products IEA'!$A$4:$BN$135,
           MATCH($B76:$K76, 'Eurostat EB products IEA'!$A$4:$A$135, 0),
           MATCH(AD$1, 'Eurostat EB products IEA'!$A$4:$BN$4, 0)
     )
     * $L76:$U76,
     0
  )
)</f>
        <v>0</v>
      </c>
      <c r="AE76" s="17" cm="1">
        <f t="array" ref="AE76">SUMPRODUCT(
  IF($B76:$K76&lt;&gt;"",
     INDEX('Eurostat EB products IEA'!$A$4:$BN$135,
           MATCH($B76:$K76, 'Eurostat EB products IEA'!$A$4:$A$135, 0),
           MATCH(AE$1, 'Eurostat EB products IEA'!$A$4:$BN$4, 0)
     )
     * $L76:$U76,
     0
  )
)</f>
        <v>0</v>
      </c>
      <c r="AF76" s="17" cm="1">
        <f t="array" ref="AF76">SUMPRODUCT(
  IF($B76:$K76&lt;&gt;"",
     INDEX('Eurostat EB products IEA'!$A$4:$BN$135,
           MATCH($B76:$K76, 'Eurostat EB products IEA'!$A$4:$A$135, 0),
           MATCH(AF$1, 'Eurostat EB products IEA'!$A$4:$BN$4, 0)
     )
     * $L76:$U76,
     0
  )
)</f>
        <v>0</v>
      </c>
      <c r="AG76" s="17" cm="1">
        <f t="array" ref="AG76">SUMPRODUCT(
  IF($B76:$K76&lt;&gt;"",
     INDEX('Eurostat EB products IEA'!$A$4:$BN$135,
           MATCH($B76:$K76, 'Eurostat EB products IEA'!$A$4:$A$135, 0),
           MATCH(AG$1, 'Eurostat EB products IEA'!$A$4:$BN$4, 0)
     )
     * $L76:$U76,
     0
  )
)</f>
        <v>0</v>
      </c>
      <c r="AH76" s="17" cm="1">
        <f t="array" ref="AH76">SUMPRODUCT(
  IF($B76:$K76&lt;&gt;"",
     INDEX('Eurostat EB products IEA'!$A$4:$BN$135,
           MATCH($B76:$K76, 'Eurostat EB products IEA'!$A$4:$A$135, 0),
           MATCH(AH$1, 'Eurostat EB products IEA'!$A$4:$BN$4, 0)
     )
     * $L76:$U76,
     0
  )
)</f>
        <v>0</v>
      </c>
      <c r="AI76" s="17" cm="1">
        <f t="array" ref="AI76">SUMPRODUCT(
  IF($B76:$K76&lt;&gt;"",
     INDEX('Eurostat EB products IEA'!$A$4:$BN$135,
           MATCH($B76:$K76, 'Eurostat EB products IEA'!$A$4:$A$135, 0),
           MATCH(AI$1, 'Eurostat EB products IEA'!$A$4:$BN$4, 0)
     )
     * $L76:$U76,
     0
  )
)</f>
        <v>0</v>
      </c>
      <c r="AJ76" s="17" cm="1">
        <f t="array" ref="AJ76">SUMPRODUCT(
  IF($B76:$K76&lt;&gt;"",
     INDEX('Eurostat EB products IEA'!$A$4:$BN$135,
           MATCH($B76:$K76, 'Eurostat EB products IEA'!$A$4:$A$135, 0),
           MATCH(AJ$1, 'Eurostat EB products IEA'!$A$4:$BN$4, 0)
     )
     * $L76:$U76,
     0
  )
)</f>
        <v>0</v>
      </c>
      <c r="AK76" s="17" cm="1">
        <f t="array" ref="AK76">SUMPRODUCT(
  IF($B76:$K76&lt;&gt;"",
     INDEX('Eurostat EB products IEA'!$A$4:$BN$135,
           MATCH($B76:$K76, 'Eurostat EB products IEA'!$A$4:$A$135, 0),
           MATCH(AK$1, 'Eurostat EB products IEA'!$A$4:$BN$4, 0)
     )
     * $L76:$U76,
     0
  )
)</f>
        <v>0</v>
      </c>
      <c r="AL76" s="17" cm="1">
        <f t="array" ref="AL76">SUMPRODUCT(
  IF($B76:$K76&lt;&gt;"",
     INDEX('Eurostat EB products IEA'!$A$4:$BN$135,
           MATCH($B76:$K76, 'Eurostat EB products IEA'!$A$4:$A$135, 0),
           MATCH(AL$1, 'Eurostat EB products IEA'!$A$4:$BN$4, 0)
     )
     * $L76:$U76,
     0
  )
)</f>
        <v>0</v>
      </c>
      <c r="AM76" s="17" cm="1">
        <f t="array" ref="AM76">SUMPRODUCT(
  IF($B76:$K76&lt;&gt;"",
     INDEX('Eurostat EB products IEA'!$A$4:$BN$135,
           MATCH($B76:$K76, 'Eurostat EB products IEA'!$A$4:$A$135, 0),
           MATCH(AM$1, 'Eurostat EB products IEA'!$A$4:$BN$4, 0)
     )
     * $L76:$U76,
     0
  )
)</f>
        <v>201182.98499999999</v>
      </c>
      <c r="AN76" s="65" t="s">
        <v>323</v>
      </c>
      <c r="AO76" s="17" cm="1">
        <f t="array" ref="AO76">SUMPRODUCT(
  IF($B76:$K76&lt;&gt;"",
     INDEX('Eurostat EB products IEA'!$A$4:$BN$135,
           MATCH($B76:$K76, 'Eurostat EB products IEA'!$A$4:$A$135, 0),
           MATCH(AO$1, 'Eurostat EB products IEA'!$A$4:$BN$4, 0)
     )
     * $L76:$U76,
     0
  )
)</f>
        <v>0</v>
      </c>
      <c r="AP76" s="17" cm="1">
        <f t="array" ref="AP76">SUMPRODUCT(
  IF($B76:$K76&lt;&gt;"",
     INDEX('Eurostat EB products IEA'!$A$4:$BN$135,
           MATCH($B76:$K76, 'Eurostat EB products IEA'!$A$4:$A$135, 0),
           MATCH(AP$1, 'Eurostat EB products IEA'!$A$4:$BN$4, 0)
     )
     * $L76:$U76,
     0
  )
)</f>
        <v>0</v>
      </c>
      <c r="AQ76" s="17" cm="1">
        <f t="array" ref="AQ76">SUMPRODUCT(
  IF($B76:$K76&lt;&gt;"",
     INDEX('Eurostat EB products IEA'!$A$4:$BN$135,
           MATCH($B76:$K76, 'Eurostat EB products IEA'!$A$4:$A$135, 0),
           MATCH(AQ$1, 'Eurostat EB products IEA'!$A$4:$BN$4, 0)
     )
     * $L76:$U76,
     0
  )
)</f>
        <v>0</v>
      </c>
      <c r="AR76" s="17" cm="1">
        <f t="array" ref="AR76">SUMPRODUCT(
  IF($B76:$K76&lt;&gt;"",
     INDEX('Eurostat EB products IEA'!$A$4:$BN$135,
           MATCH($B76:$K76, 'Eurostat EB products IEA'!$A$4:$A$135, 0),
           MATCH(AR$1, 'Eurostat EB products IEA'!$A$4:$BN$4, 0)
     )
     * $L76:$U76,
     0
  )
)</f>
        <v>0</v>
      </c>
      <c r="AS76" s="17" cm="1">
        <f t="array" ref="AS76">SUMPRODUCT(
  IF($B76:$K76&lt;&gt;"",
     INDEX('Eurostat EB products IEA'!$A$4:$BN$135,
           MATCH($B76:$K76, 'Eurostat EB products IEA'!$A$4:$A$135, 0),
           MATCH(AS$1, 'Eurostat EB products IEA'!$A$4:$BN$4, 0)
     )
     * $L76:$U76,
     0
  )
)</f>
        <v>0</v>
      </c>
      <c r="AT76" s="17" cm="1">
        <f t="array" ref="AT76">SUMPRODUCT(
  IF($B76:$K76&lt;&gt;"",
     INDEX('Eurostat EB products IEA'!$A$4:$BN$135,
           MATCH($B76:$K76, 'Eurostat EB products IEA'!$A$4:$A$135, 0),
           MATCH(AT$1, 'Eurostat EB products IEA'!$A$4:$BN$4, 0)
     )
     * $L76:$U76,
     0
  )
)</f>
        <v>0</v>
      </c>
      <c r="AU76" s="17" cm="1">
        <f t="array" ref="AU76">SUMPRODUCT(
  IF($B76:$K76&lt;&gt;"",
     INDEX('Eurostat EB products IEA'!$A$4:$BN$135,
           MATCH($B76:$K76, 'Eurostat EB products IEA'!$A$4:$A$135, 0),
           MATCH(AU$1, 'Eurostat EB products IEA'!$A$4:$BN$4, 0)
     )
     * $L76:$U76,
     0
  )
)</f>
        <v>0</v>
      </c>
      <c r="AV76" s="17" cm="1">
        <f t="array" ref="AV76">SUMPRODUCT(
  IF($B76:$K76&lt;&gt;"",
     INDEX('Eurostat EB products IEA'!$A$4:$BN$135,
           MATCH($B76:$K76, 'Eurostat EB products IEA'!$A$4:$A$135, 0),
           MATCH(AV$1, 'Eurostat EB products IEA'!$A$4:$BN$4, 0)
     )
     * $L76:$U76,
     0
  )
)</f>
        <v>971.84199999999998</v>
      </c>
      <c r="AW76" s="17" cm="1">
        <f t="array" ref="AW76">SUMPRODUCT(
  IF($B76:$K76&lt;&gt;"",
     INDEX('Eurostat EB products IEA'!$A$4:$BN$135,
           MATCH($B76:$K76, 'Eurostat EB products IEA'!$A$4:$A$135, 0),
           MATCH(AW$1, 'Eurostat EB products IEA'!$A$4:$BN$4, 0)
     )
     * $L76:$U76,
     0
  )
)</f>
        <v>960.197</v>
      </c>
      <c r="AX76" s="17" cm="1">
        <f t="array" ref="AX76">SUMPRODUCT(
  IF($B76:$K76&lt;&gt;"",
     INDEX('Eurostat EB products IEA'!$A$4:$BN$135,
           MATCH($B76:$K76, 'Eurostat EB products IEA'!$A$4:$A$135, 0),
           MATCH(AX$1, 'Eurostat EB products IEA'!$A$4:$BN$4, 0)
     )
     * $L76:$U76,
     0
  )
)</f>
        <v>0</v>
      </c>
      <c r="AY76" s="17" cm="1">
        <f t="array" ref="AY76">SUMPRODUCT(
  IF($B76:$K76&lt;&gt;"",
     INDEX('Eurostat EB products IEA'!$A$4:$BN$135,
           MATCH($B76:$K76, 'Eurostat EB products IEA'!$A$4:$A$135, 0),
           MATCH(AY$1, 'Eurostat EB products IEA'!$A$4:$BN$4, 0)
     )
     * $L76:$U76,
     0
  )
)</f>
        <v>0</v>
      </c>
      <c r="AZ76" s="17" cm="1">
        <f t="array" ref="AZ76">SUMPRODUCT(
  IF($B76:$K76&lt;&gt;"",
     INDEX('Eurostat EB products IEA'!$A$4:$BN$135,
           MATCH($B76:$K76, 'Eurostat EB products IEA'!$A$4:$A$135, 0),
           MATCH(AZ$1, 'Eurostat EB products IEA'!$A$4:$BN$4, 0)
     )
     * $L76:$U76,
     0
  )
)</f>
        <v>0</v>
      </c>
      <c r="BA76" s="17" cm="1">
        <f t="array" ref="BA76">SUMPRODUCT(
  IF($B76:$K76&lt;&gt;"",
     INDEX('Eurostat EB products IEA'!$A$4:$BN$135,
           MATCH($B76:$K76, 'Eurostat EB products IEA'!$A$4:$A$135, 0),
           MATCH(BA$1, 'Eurostat EB products IEA'!$A$4:$BN$4, 0)
     )
     * $L76:$U76,
     0
  )
)</f>
        <v>216.02099999999999</v>
      </c>
      <c r="BB76" s="17" cm="1">
        <f t="array" ref="BB76">SUMPRODUCT(
  IF($B76:$K76&lt;&gt;"",
     INDEX('Eurostat EB products IEA'!$A$4:$BN$135,
           MATCH($B76:$K76, 'Eurostat EB products IEA'!$A$4:$A$135, 0),
           MATCH(BB$1, 'Eurostat EB products IEA'!$A$4:$BN$4, 0)
     )
     * $L76:$U76,
     0
  )
)</f>
        <v>304.22699999999998</v>
      </c>
      <c r="BC76" s="17" cm="1">
        <f t="array" ref="BC76">SUMPRODUCT(
  IF($B76:$K76&lt;&gt;"",
     INDEX('Eurostat EB products IEA'!$A$4:$BN$135,
           MATCH($B76:$K76, 'Eurostat EB products IEA'!$A$4:$A$135, 0),
           MATCH(BC$1, 'Eurostat EB products IEA'!$A$4:$BN$4, 0)
     )
     * $L76:$U76,
     0
  )
)</f>
        <v>0</v>
      </c>
      <c r="BD76" s="17" cm="1">
        <f t="array" ref="BD76">SUMPRODUCT(
  IF($B76:$K76&lt;&gt;"",
     INDEX('Eurostat EB products IEA'!$A$4:$BN$135,
           MATCH($B76:$K76, 'Eurostat EB products IEA'!$A$4:$A$135, 0),
           MATCH(BD$1, 'Eurostat EB products IEA'!$A$4:$BN$4, 0)
     )
     * $L76:$U76,
     0
  )
)</f>
        <v>0</v>
      </c>
      <c r="BE76" s="17" cm="1">
        <f t="array" ref="BE76">SUMPRODUCT(
  IF($B76:$K76&lt;&gt;"",
     INDEX('Eurostat EB products IEA'!$A$4:$BN$135,
           MATCH($B76:$K76, 'Eurostat EB products IEA'!$A$4:$A$135, 0),
           MATCH(BE$1, 'Eurostat EB products IEA'!$A$4:$BN$4, 0)
     )
     * $L76:$U76,
     0
  )
)</f>
        <v>0</v>
      </c>
      <c r="BF76" s="17" cm="1">
        <f t="array" ref="BF76">SUMPRODUCT(
  IF($B76:$K76&lt;&gt;"",
     INDEX('Eurostat EB products IEA'!$A$4:$BN$135,
           MATCH($B76:$K76, 'Eurostat EB products IEA'!$A$4:$A$135, 0),
           MATCH(BF$1, 'Eurostat EB products IEA'!$A$4:$BN$4, 0)
     )
     * $L76:$U76,
     0
  )
)</f>
        <v>0</v>
      </c>
      <c r="BG76" s="17" cm="1">
        <f t="array" ref="BG76">SUMPRODUCT(
  IF($B76:$K76&lt;&gt;"",
     INDEX('Eurostat EB products IEA'!$A$4:$BN$135,
           MATCH($B76:$K76, 'Eurostat EB products IEA'!$A$4:$A$135, 0),
           MATCH(BG$1, 'Eurostat EB products IEA'!$A$4:$BN$4, 0)
     )
     * $L76:$U76,
     0
  )
)</f>
        <v>0</v>
      </c>
      <c r="BH76" s="17" cm="1">
        <f t="array" ref="BH76">SUMPRODUCT(
  IF($B76:$K76&lt;&gt;"",
     INDEX('Eurostat EB products IEA'!$A$4:$BN$135,
           MATCH($B76:$K76, 'Eurostat EB products IEA'!$A$4:$A$135, 0),
           MATCH(BH$1, 'Eurostat EB products IEA'!$A$4:$BN$4, 0)
     )
     * $L76:$U76,
     0
  )
)</f>
        <v>0</v>
      </c>
      <c r="BI76" s="17" cm="1">
        <f t="array" ref="BI76">SUMPRODUCT(
  IF($B76:$K76&lt;&gt;"",
     INDEX('Eurostat EB products IEA'!$A$4:$BN$135,
           MATCH($B76:$K76, 'Eurostat EB products IEA'!$A$4:$A$135, 0),
           MATCH(BI$1, 'Eurostat EB products IEA'!$A$4:$BN$4, 0)
     )
     * $L76:$U76,
     0
  )
)</f>
        <v>0</v>
      </c>
      <c r="BJ76" s="17" cm="1">
        <f t="array" ref="BJ76">SUMPRODUCT(
  IF($B76:$K76&lt;&gt;"",
     INDEX('Eurostat EB products IEA'!$A$4:$BN$135,
           MATCH($B76:$K76, 'Eurostat EB products IEA'!$A$4:$A$135, 0),
           MATCH(BJ$1, 'Eurostat EB products IEA'!$A$4:$BN$4, 0)
     )
     * $L76:$U76,
     0
  )
)</f>
        <v>0</v>
      </c>
      <c r="BK76" s="17" cm="1">
        <f t="array" ref="BK76">SUMPRODUCT(
  IF($B76:$K76&lt;&gt;"",
     INDEX('Eurostat EB products IEA'!$A$4:$BN$135,
           MATCH($B76:$K76, 'Eurostat EB products IEA'!$A$4:$A$135, 0),
           MATCH(BK$1, 'Eurostat EB products IEA'!$A$4:$BN$4, 0)
     )
     * $L76:$U76,
     0
  )
)</f>
        <v>0</v>
      </c>
      <c r="BL76" s="17" cm="1">
        <f t="array" ref="BL76">SUMPRODUCT(
  IF($B76:$K76&lt;&gt;"",
     INDEX('Eurostat EB products IEA'!$A$4:$BN$135,
           MATCH($B76:$K76, 'Eurostat EB products IEA'!$A$4:$A$135, 0),
           MATCH(BL$1, 'Eurostat EB products IEA'!$A$4:$BN$4, 0)
     )
     * $L76:$U76,
     0
  )
)</f>
        <v>0</v>
      </c>
      <c r="BM76" s="17" cm="1">
        <f t="array" ref="BM76">SUMPRODUCT(
  IF($B76:$K76&lt;&gt;"",
     INDEX('Eurostat EB products IEA'!$A$4:$BN$135,
           MATCH($B76:$K76, 'Eurostat EB products IEA'!$A$4:$A$135, 0),
           MATCH(BM$1, 'Eurostat EB products IEA'!$A$4:$BN$4, 0)
     )
     * $L76:$U76,
     0
  )
)</f>
        <v>0</v>
      </c>
      <c r="BN76" s="17" cm="1">
        <f t="array" ref="BN76">SUMPRODUCT(
  IF($B76:$K76&lt;&gt;"",
     INDEX('Eurostat EB products IEA'!$A$4:$BN$135,
           MATCH($B76:$K76, 'Eurostat EB products IEA'!$A$4:$A$135, 0),
           MATCH(BN$1, 'Eurostat EB products IEA'!$A$4:$BN$4, 0)
     )
     * $L76:$U76,
     0
  )
)</f>
        <v>15909.628000000001</v>
      </c>
      <c r="BO76" s="17" cm="1">
        <f t="array" ref="BO76">SUMPRODUCT(
  IF($B76:$K76&lt;&gt;"",
     INDEX('Eurostat EB products IEA'!$A$4:$BN$135,
           MATCH($B76:$K76, 'Eurostat EB products IEA'!$A$4:$A$135, 0),
           MATCH(BO$1, 'Eurostat EB products IEA'!$A$4:$BN$4, 0)
     )
     * $L76:$U76,
     0
  )
)</f>
        <v>0</v>
      </c>
      <c r="BP76" s="17" cm="1">
        <f t="array" ref="BP76">SUMPRODUCT(
  IF($B76:$K76&lt;&gt;"",
     INDEX('Eurostat EB products IEA'!$A$4:$BN$135,
           MATCH($B76:$K76, 'Eurostat EB products IEA'!$A$4:$A$135, 0),
           MATCH(BP$1, 'Eurostat EB products IEA'!$A$4:$BN$4, 0)
     )
     * $L76:$U76,
     0
  )
)</f>
        <v>0</v>
      </c>
      <c r="BQ76" s="17" cm="1">
        <f t="array" ref="BQ76">SUMPRODUCT(
  IF($B76:$K76&lt;&gt;"",
     INDEX('Eurostat EB products IEA'!$A$4:$BN$135,
           MATCH($B76:$K76, 'Eurostat EB products IEA'!$A$4:$A$135, 0),
           MATCH(BQ$1, 'Eurostat EB products IEA'!$A$4:$BN$4, 0)
     )
     * $L76:$U76,
     0
  )
)</f>
        <v>0</v>
      </c>
      <c r="BR76" s="17" cm="1">
        <f t="array" ref="BR76">SUMPRODUCT(
  IF($B76:$K76&lt;&gt;"",
     INDEX('Eurostat EB products IEA'!$A$4:$BN$135,
           MATCH($B76:$K76, 'Eurostat EB products IEA'!$A$4:$A$135, 0),
           MATCH(BR$1, 'Eurostat EB products IEA'!$A$4:$BN$4, 0)
     )
     * $L76:$U76,
     0
  )
)</f>
        <v>0</v>
      </c>
      <c r="BS76" s="65">
        <v>0</v>
      </c>
      <c r="BT76" s="17" cm="1">
        <f t="array" ref="BT76">SUMPRODUCT(
  IF($B76:$K76&lt;&gt;"",
     INDEX('Eurostat EB products IEA'!$A$4:$BN$135,
           MATCH($B76:$K76, 'Eurostat EB products IEA'!$A$4:$A$135, 0),
           MATCH(BT$1, 'Eurostat EB products IEA'!$A$4:$BN$4, 0)
     )
     * $L76:$U76,
     0
  )
)</f>
        <v>270</v>
      </c>
      <c r="BU76" s="65">
        <v>0</v>
      </c>
      <c r="BV76" s="65">
        <v>0</v>
      </c>
      <c r="BW76" s="17" cm="1">
        <f t="array" ref="BW76">SUMPRODUCT(
  IF($B76:$K76&lt;&gt;"",
     INDEX('Eurostat EB products IEA'!$A$4:$BN$135,
           MATCH($B76:$K76, 'Eurostat EB products IEA'!$A$4:$A$135, 0),
           MATCH(BW$1, 'Eurostat EB products IEA'!$A$4:$BN$4, 0)
     )
     * $L76:$U76,
     0
  )
)</f>
        <v>0</v>
      </c>
      <c r="BX76" s="17" cm="1">
        <f t="array" ref="BX76">SUMPRODUCT(
  IF($B76:$K76&lt;&gt;"",
     INDEX('Eurostat EB products IEA'!$A$4:$BN$135,
           MATCH($B76:$K76, 'Eurostat EB products IEA'!$A$4:$A$135, 0),
           MATCH(BX$1, 'Eurostat EB products IEA'!$A$4:$BN$4, 0)
     )
     * $L76:$U76,
     0
  )
)</f>
        <v>0</v>
      </c>
      <c r="BY76" s="17" cm="1">
        <f t="array" ref="BY76">SUMPRODUCT(
  IF($B76:$K76&lt;&gt;"",
     INDEX('Eurostat EB products IEA'!$A$4:$BN$135,
           MATCH($B76:$K76, 'Eurostat EB products IEA'!$A$4:$A$135, 0),
           MATCH(BY$1, 'Eurostat EB products IEA'!$A$4:$BN$4, 0)
     )
     * $L76:$U76,
     0
  )
)</f>
        <v>0</v>
      </c>
      <c r="BZ76" s="17" cm="1">
        <f t="array" ref="BZ76">SUMPRODUCT(
  IF($B76:$K76&lt;&gt;"",
     INDEX('Eurostat EB products IEA'!$A$4:$BN$135,
           MATCH($B76:$K76, 'Eurostat EB products IEA'!$A$4:$A$135, 0),
           MATCH(BZ$1, 'Eurostat EB products IEA'!$A$4:$BN$4, 0)
     )
     * $L76:$U76,
     0
  )
)</f>
        <v>0</v>
      </c>
      <c r="CA76" s="17" cm="1">
        <f t="array" ref="CA76">SUMPRODUCT(
  IF($B76:$K76&lt;&gt;"",
     INDEX('Eurostat EB products IEA'!$A$4:$BN$135,
           MATCH($B76:$K76, 'Eurostat EB products IEA'!$A$4:$A$135, 0),
           MATCH(CA$1, 'Eurostat EB products IEA'!$A$4:$BN$4, 0)
     )
     * $L76:$U76,
     0
  )
)</f>
        <v>941</v>
      </c>
      <c r="CB76" s="17" cm="1">
        <f t="array" ref="CB76">SUMPRODUCT(
  IF($B76:$K76&lt;&gt;"",
     INDEX('Eurostat EB products IEA'!$A$4:$BN$135,
           MATCH($B76:$K76, 'Eurostat EB products IEA'!$A$4:$A$135, 0),
           MATCH(CB$1, 'Eurostat EB products IEA'!$A$4:$BN$4, 0)
     )
     * $L76:$U76,
     0
  )
)</f>
        <v>0</v>
      </c>
      <c r="CC76" s="17" cm="1">
        <f t="array" ref="CC76">SUMPRODUCT(
  IF($B76:$K76&lt;&gt;"",
     INDEX('Eurostat EB products IEA'!$A$4:$BN$135,
           MATCH($B76:$K76, 'Eurostat EB products IEA'!$A$4:$A$135, 0),
           MATCH(CC$1, 'Eurostat EB products IEA'!$A$4:$BN$4, 0)
     )
     * $L76:$U76,
     0
  )
)</f>
        <v>0</v>
      </c>
      <c r="CD76" s="65">
        <v>0</v>
      </c>
      <c r="CE76" s="17" cm="1">
        <f t="array" ref="CE76">SUMPRODUCT(
  IF($B76:$K76&lt;&gt;"",
     INDEX('Eurostat EB products IEA'!$A$4:$BN$135,
           MATCH($B76:$K76, 'Eurostat EB products IEA'!$A$4:$A$135, 0),
           MATCH(CE$1, 'Eurostat EB products IEA'!$A$4:$BN$4, 0)
     )
     * $L76:$U76,
     0
  )
)</f>
        <v>76764.740000000005</v>
      </c>
      <c r="CF76" s="17" cm="1">
        <f t="array" ref="CF76">SUMPRODUCT(
  IF($B76:$K76&lt;&gt;"",
     INDEX('Eurostat EB products IEA'!$A$4:$BN$135,
           MATCH($B76:$K76, 'Eurostat EB products IEA'!$A$4:$A$135, 0),
           MATCH(CF$1, 'Eurostat EB products IEA'!$A$4:$BN$4, 0)
     )
     * $L76:$U76,
     0
  )
)</f>
        <v>9906.2569999999996</v>
      </c>
      <c r="CG76" s="17" cm="1">
        <f t="array" ref="CG76">SUMPRODUCT(
  IF($B76:$K76&lt;&gt;"",
     INDEX('Eurostat EB products IEA'!$A$4:$BN$135,
           MATCH($B76:$K76, 'Eurostat EB products IEA'!$A$4:$A$135, 0),
           MATCH(CG$1, 'Eurostat EB products IEA'!$A$4:$BN$4, 0)
     )
     * $L76:$U76,
     0
  )
)</f>
        <v>322798.72899999999</v>
      </c>
      <c r="CH76" s="17" cm="1">
        <f t="array" ref="CH76">SUMPRODUCT(
  IF($B76:$K76&lt;&gt;"",
     INDEX('Eurostat EB products IEA'!$A$4:$BN$135,
           MATCH($B76:$K76, 'Eurostat EB products IEA'!$A$4:$A$135, 0),
           MATCH(CH$1, 'Eurostat EB products IEA'!$A$4:$BN$4, 0)
     )
     * $L76:$U76,
     0
  )
)</f>
        <v>25525.481</v>
      </c>
    </row>
    <row r="77" spans="1:86" x14ac:dyDescent="0.2">
      <c r="A77" t="s">
        <v>184</v>
      </c>
      <c r="B77" s="75"/>
      <c r="C77" s="77"/>
      <c r="D77" s="75"/>
      <c r="E77" s="77"/>
      <c r="F77" s="75"/>
      <c r="G77" s="77"/>
      <c r="H77" s="75"/>
      <c r="I77" s="77"/>
      <c r="J77" s="74"/>
      <c r="K77" s="78" t="s">
        <v>309</v>
      </c>
      <c r="L77" s="76"/>
      <c r="M77" s="79"/>
      <c r="N77" s="76"/>
      <c r="O77" s="79"/>
      <c r="P77" s="76"/>
      <c r="Q77" s="79"/>
      <c r="R77" s="76"/>
      <c r="S77" s="79"/>
      <c r="T77" s="76"/>
      <c r="U77" s="79">
        <v>1</v>
      </c>
      <c r="V77" s="65" t="s">
        <v>323</v>
      </c>
      <c r="W77" s="65" t="s">
        <v>323</v>
      </c>
      <c r="X77" s="57" cm="1">
        <f t="array" ref="X77">SUMPRODUCT(
  IF($B77:$K77&lt;&gt;"",
     INDEX('Eurostat EB products IEA'!$A$4:$BN$135,
           MATCH($B77:$K77, 'Eurostat EB products IEA'!$A$4:$A$135, 0),
           MATCH(X$1, 'Eurostat EB products IEA'!$A$4:$BN$4, 0)
     )
     * $L77:$U77,
     0
  )
)</f>
        <v>0</v>
      </c>
      <c r="Y77" s="57" cm="1">
        <f t="array" ref="Y77">SUMPRODUCT(
  IF($B77:$K77&lt;&gt;"",
     INDEX('Eurostat EB products IEA'!$A$4:$BN$135,
           MATCH($B77:$K77, 'Eurostat EB products IEA'!$A$4:$A$135, 0),
           MATCH(Y$1, 'Eurostat EB products IEA'!$A$4:$BN$4, 0)
     )
     * $L77:$U77,
     0
  )
)</f>
        <v>0</v>
      </c>
      <c r="Z77" s="57" cm="1">
        <f t="array" ref="Z77">SUMPRODUCT(
  IF($B77:$K77&lt;&gt;"",
     INDEX('Eurostat EB products IEA'!$A$4:$BN$135,
           MATCH($B77:$K77, 'Eurostat EB products IEA'!$A$4:$A$135, 0),
           MATCH(Z$1, 'Eurostat EB products IEA'!$A$4:$BN$4, 0)
     )
     * $L77:$U77,
     0
  )
)</f>
        <v>0</v>
      </c>
      <c r="AA77" s="57" cm="1">
        <f t="array" ref="AA77">SUMPRODUCT(
  IF($B77:$K77&lt;&gt;"",
     INDEX('Eurostat EB products IEA'!$A$4:$BN$135,
           MATCH($B77:$K77, 'Eurostat EB products IEA'!$A$4:$A$135, 0),
           MATCH(AA$1, 'Eurostat EB products IEA'!$A$4:$BN$4, 0)
     )
     * $L77:$U77,
     0
  )
)</f>
        <v>0</v>
      </c>
      <c r="AB77" s="57" cm="1">
        <f t="array" ref="AB77">SUMPRODUCT(
  IF($B77:$K77&lt;&gt;"",
     INDEX('Eurostat EB products IEA'!$A$4:$BN$135,
           MATCH($B77:$K77, 'Eurostat EB products IEA'!$A$4:$A$135, 0),
           MATCH(AB$1, 'Eurostat EB products IEA'!$A$4:$BN$4, 0)
     )
     * $L77:$U77,
     0
  )
)</f>
        <v>312.82</v>
      </c>
      <c r="AC77" s="57" cm="1">
        <f t="array" ref="AC77">SUMPRODUCT(
  IF($B77:$K77&lt;&gt;"",
     INDEX('Eurostat EB products IEA'!$A$4:$BN$135,
           MATCH($B77:$K77, 'Eurostat EB products IEA'!$A$4:$A$135, 0),
           MATCH(AC$1, 'Eurostat EB products IEA'!$A$4:$BN$4, 0)
     )
     * $L77:$U77,
     0
  )
)</f>
        <v>0</v>
      </c>
      <c r="AD77" s="57" cm="1">
        <f t="array" ref="AD77">SUMPRODUCT(
  IF($B77:$K77&lt;&gt;"",
     INDEX('Eurostat EB products IEA'!$A$4:$BN$135,
           MATCH($B77:$K77, 'Eurostat EB products IEA'!$A$4:$A$135, 0),
           MATCH(AD$1, 'Eurostat EB products IEA'!$A$4:$BN$4, 0)
     )
     * $L77:$U77,
     0
  )
)</f>
        <v>0</v>
      </c>
      <c r="AE77" s="57" cm="1">
        <f t="array" ref="AE77">SUMPRODUCT(
  IF($B77:$K77&lt;&gt;"",
     INDEX('Eurostat EB products IEA'!$A$4:$BN$135,
           MATCH($B77:$K77, 'Eurostat EB products IEA'!$A$4:$A$135, 0),
           MATCH(AE$1, 'Eurostat EB products IEA'!$A$4:$BN$4, 0)
     )
     * $L77:$U77,
     0
  )
)</f>
        <v>0</v>
      </c>
      <c r="AF77" s="57" cm="1">
        <f t="array" ref="AF77">SUMPRODUCT(
  IF($B77:$K77&lt;&gt;"",
     INDEX('Eurostat EB products IEA'!$A$4:$BN$135,
           MATCH($B77:$K77, 'Eurostat EB products IEA'!$A$4:$A$135, 0),
           MATCH(AF$1, 'Eurostat EB products IEA'!$A$4:$BN$4, 0)
     )
     * $L77:$U77,
     0
  )
)</f>
        <v>0</v>
      </c>
      <c r="AG77" s="57" cm="1">
        <f t="array" ref="AG77">SUMPRODUCT(
  IF($B77:$K77&lt;&gt;"",
     INDEX('Eurostat EB products IEA'!$A$4:$BN$135,
           MATCH($B77:$K77, 'Eurostat EB products IEA'!$A$4:$A$135, 0),
           MATCH(AG$1, 'Eurostat EB products IEA'!$A$4:$BN$4, 0)
     )
     * $L77:$U77,
     0
  )
)</f>
        <v>0</v>
      </c>
      <c r="AH77" s="57" cm="1">
        <f t="array" ref="AH77">SUMPRODUCT(
  IF($B77:$K77&lt;&gt;"",
     INDEX('Eurostat EB products IEA'!$A$4:$BN$135,
           MATCH($B77:$K77, 'Eurostat EB products IEA'!$A$4:$A$135, 0),
           MATCH(AH$1, 'Eurostat EB products IEA'!$A$4:$BN$4, 0)
     )
     * $L77:$U77,
     0
  )
)</f>
        <v>0</v>
      </c>
      <c r="AI77" s="57" cm="1">
        <f t="array" ref="AI77">SUMPRODUCT(
  IF($B77:$K77&lt;&gt;"",
     INDEX('Eurostat EB products IEA'!$A$4:$BN$135,
           MATCH($B77:$K77, 'Eurostat EB products IEA'!$A$4:$A$135, 0),
           MATCH(AI$1, 'Eurostat EB products IEA'!$A$4:$BN$4, 0)
     )
     * $L77:$U77,
     0
  )
)</f>
        <v>0</v>
      </c>
      <c r="AJ77" s="57" cm="1">
        <f t="array" ref="AJ77">SUMPRODUCT(
  IF($B77:$K77&lt;&gt;"",
     INDEX('Eurostat EB products IEA'!$A$4:$BN$135,
           MATCH($B77:$K77, 'Eurostat EB products IEA'!$A$4:$A$135, 0),
           MATCH(AJ$1, 'Eurostat EB products IEA'!$A$4:$BN$4, 0)
     )
     * $L77:$U77,
     0
  )
)</f>
        <v>0</v>
      </c>
      <c r="AK77" s="57" cm="1">
        <f t="array" ref="AK77">SUMPRODUCT(
  IF($B77:$K77&lt;&gt;"",
     INDEX('Eurostat EB products IEA'!$A$4:$BN$135,
           MATCH($B77:$K77, 'Eurostat EB products IEA'!$A$4:$A$135, 0),
           MATCH(AK$1, 'Eurostat EB products IEA'!$A$4:$BN$4, 0)
     )
     * $L77:$U77,
     0
  )
)</f>
        <v>0</v>
      </c>
      <c r="AL77" s="57" cm="1">
        <f t="array" ref="AL77">SUMPRODUCT(
  IF($B77:$K77&lt;&gt;"",
     INDEX('Eurostat EB products IEA'!$A$4:$BN$135,
           MATCH($B77:$K77, 'Eurostat EB products IEA'!$A$4:$A$135, 0),
           MATCH(AL$1, 'Eurostat EB products IEA'!$A$4:$BN$4, 0)
     )
     * $L77:$U77,
     0
  )
)</f>
        <v>0</v>
      </c>
      <c r="AM77" s="57" cm="1">
        <f t="array" ref="AM77">SUMPRODUCT(
  IF($B77:$K77&lt;&gt;"",
     INDEX('Eurostat EB products IEA'!$A$4:$BN$135,
           MATCH($B77:$K77, 'Eurostat EB products IEA'!$A$4:$A$135, 0),
           MATCH(AM$1, 'Eurostat EB products IEA'!$A$4:$BN$4, 0)
     )
     * $L77:$U77,
     0
  )
)</f>
        <v>88881.618000000002</v>
      </c>
      <c r="AN77" s="65" t="s">
        <v>323</v>
      </c>
      <c r="AO77" s="57" cm="1">
        <f t="array" ref="AO77">SUMPRODUCT(
  IF($B77:$K77&lt;&gt;"",
     INDEX('Eurostat EB products IEA'!$A$4:$BN$135,
           MATCH($B77:$K77, 'Eurostat EB products IEA'!$A$4:$A$135, 0),
           MATCH(AO$1, 'Eurostat EB products IEA'!$A$4:$BN$4, 0)
     )
     * $L77:$U77,
     0
  )
)</f>
        <v>0</v>
      </c>
      <c r="AP77" s="57" cm="1">
        <f t="array" ref="AP77">SUMPRODUCT(
  IF($B77:$K77&lt;&gt;"",
     INDEX('Eurostat EB products IEA'!$A$4:$BN$135,
           MATCH($B77:$K77, 'Eurostat EB products IEA'!$A$4:$A$135, 0),
           MATCH(AP$1, 'Eurostat EB products IEA'!$A$4:$BN$4, 0)
     )
     * $L77:$U77,
     0
  )
)</f>
        <v>0</v>
      </c>
      <c r="AQ77" s="57" cm="1">
        <f t="array" ref="AQ77">SUMPRODUCT(
  IF($B77:$K77&lt;&gt;"",
     INDEX('Eurostat EB products IEA'!$A$4:$BN$135,
           MATCH($B77:$K77, 'Eurostat EB products IEA'!$A$4:$A$135, 0),
           MATCH(AQ$1, 'Eurostat EB products IEA'!$A$4:$BN$4, 0)
     )
     * $L77:$U77,
     0
  )
)</f>
        <v>0</v>
      </c>
      <c r="AR77" s="57" cm="1">
        <f t="array" ref="AR77">SUMPRODUCT(
  IF($B77:$K77&lt;&gt;"",
     INDEX('Eurostat EB products IEA'!$A$4:$BN$135,
           MATCH($B77:$K77, 'Eurostat EB products IEA'!$A$4:$A$135, 0),
           MATCH(AR$1, 'Eurostat EB products IEA'!$A$4:$BN$4, 0)
     )
     * $L77:$U77,
     0
  )
)</f>
        <v>0</v>
      </c>
      <c r="AS77" s="57" cm="1">
        <f t="array" ref="AS77">SUMPRODUCT(
  IF($B77:$K77&lt;&gt;"",
     INDEX('Eurostat EB products IEA'!$A$4:$BN$135,
           MATCH($B77:$K77, 'Eurostat EB products IEA'!$A$4:$A$135, 0),
           MATCH(AS$1, 'Eurostat EB products IEA'!$A$4:$BN$4, 0)
     )
     * $L77:$U77,
     0
  )
)</f>
        <v>0</v>
      </c>
      <c r="AT77" s="57" cm="1">
        <f t="array" ref="AT77">SUMPRODUCT(
  IF($B77:$K77&lt;&gt;"",
     INDEX('Eurostat EB products IEA'!$A$4:$BN$135,
           MATCH($B77:$K77, 'Eurostat EB products IEA'!$A$4:$A$135, 0),
           MATCH(AT$1, 'Eurostat EB products IEA'!$A$4:$BN$4, 0)
     )
     * $L77:$U77,
     0
  )
)</f>
        <v>0</v>
      </c>
      <c r="AU77" s="57" cm="1">
        <f t="array" ref="AU77">SUMPRODUCT(
  IF($B77:$K77&lt;&gt;"",
     INDEX('Eurostat EB products IEA'!$A$4:$BN$135,
           MATCH($B77:$K77, 'Eurostat EB products IEA'!$A$4:$A$135, 0),
           MATCH(AU$1, 'Eurostat EB products IEA'!$A$4:$BN$4, 0)
     )
     * $L77:$U77,
     0
  )
)</f>
        <v>0</v>
      </c>
      <c r="AV77" s="57" cm="1">
        <f t="array" ref="AV77">SUMPRODUCT(
  IF($B77:$K77&lt;&gt;"",
     INDEX('Eurostat EB products IEA'!$A$4:$BN$135,
           MATCH($B77:$K77, 'Eurostat EB products IEA'!$A$4:$A$135, 0),
           MATCH(AV$1, 'Eurostat EB products IEA'!$A$4:$BN$4, 0)
     )
     * $L77:$U77,
     0
  )
)</f>
        <v>1640.029</v>
      </c>
      <c r="AW77" s="57" cm="1">
        <f t="array" ref="AW77">SUMPRODUCT(
  IF($B77:$K77&lt;&gt;"",
     INDEX('Eurostat EB products IEA'!$A$4:$BN$135,
           MATCH($B77:$K77, 'Eurostat EB products IEA'!$A$4:$A$135, 0),
           MATCH(AW$1, 'Eurostat EB products IEA'!$A$4:$BN$4, 0)
     )
     * $L77:$U77,
     0
  )
)</f>
        <v>414.26600000000002</v>
      </c>
      <c r="AX77" s="57" cm="1">
        <f t="array" ref="AX77">SUMPRODUCT(
  IF($B77:$K77&lt;&gt;"",
     INDEX('Eurostat EB products IEA'!$A$4:$BN$135,
           MATCH($B77:$K77, 'Eurostat EB products IEA'!$A$4:$A$135, 0),
           MATCH(AX$1, 'Eurostat EB products IEA'!$A$4:$BN$4, 0)
     )
     * $L77:$U77,
     0
  )
)</f>
        <v>0</v>
      </c>
      <c r="AY77" s="57" cm="1">
        <f t="array" ref="AY77">SUMPRODUCT(
  IF($B77:$K77&lt;&gt;"",
     INDEX('Eurostat EB products IEA'!$A$4:$BN$135,
           MATCH($B77:$K77, 'Eurostat EB products IEA'!$A$4:$A$135, 0),
           MATCH(AY$1, 'Eurostat EB products IEA'!$A$4:$BN$4, 0)
     )
     * $L77:$U77,
     0
  )
)</f>
        <v>0</v>
      </c>
      <c r="AZ77" s="57" cm="1">
        <f t="array" ref="AZ77">SUMPRODUCT(
  IF($B77:$K77&lt;&gt;"",
     INDEX('Eurostat EB products IEA'!$A$4:$BN$135,
           MATCH($B77:$K77, 'Eurostat EB products IEA'!$A$4:$A$135, 0),
           MATCH(AZ$1, 'Eurostat EB products IEA'!$A$4:$BN$4, 0)
     )
     * $L77:$U77,
     0
  )
)</f>
        <v>0</v>
      </c>
      <c r="BA77" s="57" cm="1">
        <f t="array" ref="BA77">SUMPRODUCT(
  IF($B77:$K77&lt;&gt;"",
     INDEX('Eurostat EB products IEA'!$A$4:$BN$135,
           MATCH($B77:$K77, 'Eurostat EB products IEA'!$A$4:$A$135, 0),
           MATCH(BA$1, 'Eurostat EB products IEA'!$A$4:$BN$4, 0)
     )
     * $L77:$U77,
     0
  )
)</f>
        <v>0</v>
      </c>
      <c r="BB77" s="57" cm="1">
        <f t="array" ref="BB77">SUMPRODUCT(
  IF($B77:$K77&lt;&gt;"",
     INDEX('Eurostat EB products IEA'!$A$4:$BN$135,
           MATCH($B77:$K77, 'Eurostat EB products IEA'!$A$4:$A$135, 0),
           MATCH(BB$1, 'Eurostat EB products IEA'!$A$4:$BN$4, 0)
     )
     * $L77:$U77,
     0
  )
)</f>
        <v>6074.15</v>
      </c>
      <c r="BC77" s="57" cm="1">
        <f t="array" ref="BC77">SUMPRODUCT(
  IF($B77:$K77&lt;&gt;"",
     INDEX('Eurostat EB products IEA'!$A$4:$BN$135,
           MATCH($B77:$K77, 'Eurostat EB products IEA'!$A$4:$A$135, 0),
           MATCH(BC$1, 'Eurostat EB products IEA'!$A$4:$BN$4, 0)
     )
     * $L77:$U77,
     0
  )
)</f>
        <v>0</v>
      </c>
      <c r="BD77" s="57" cm="1">
        <f t="array" ref="BD77">SUMPRODUCT(
  IF($B77:$K77&lt;&gt;"",
     INDEX('Eurostat EB products IEA'!$A$4:$BN$135,
           MATCH($B77:$K77, 'Eurostat EB products IEA'!$A$4:$A$135, 0),
           MATCH(BD$1, 'Eurostat EB products IEA'!$A$4:$BN$4, 0)
     )
     * $L77:$U77,
     0
  )
)</f>
        <v>0</v>
      </c>
      <c r="BE77" s="57" cm="1">
        <f t="array" ref="BE77">SUMPRODUCT(
  IF($B77:$K77&lt;&gt;"",
     INDEX('Eurostat EB products IEA'!$A$4:$BN$135,
           MATCH($B77:$K77, 'Eurostat EB products IEA'!$A$4:$A$135, 0),
           MATCH(BE$1, 'Eurostat EB products IEA'!$A$4:$BN$4, 0)
     )
     * $L77:$U77,
     0
  )
)</f>
        <v>0</v>
      </c>
      <c r="BF77" s="57" cm="1">
        <f t="array" ref="BF77">SUMPRODUCT(
  IF($B77:$K77&lt;&gt;"",
     INDEX('Eurostat EB products IEA'!$A$4:$BN$135,
           MATCH($B77:$K77, 'Eurostat EB products IEA'!$A$4:$A$135, 0),
           MATCH(BF$1, 'Eurostat EB products IEA'!$A$4:$BN$4, 0)
     )
     * $L77:$U77,
     0
  )
)</f>
        <v>0</v>
      </c>
      <c r="BG77" s="57" cm="1">
        <f t="array" ref="BG77">SUMPRODUCT(
  IF($B77:$K77&lt;&gt;"",
     INDEX('Eurostat EB products IEA'!$A$4:$BN$135,
           MATCH($B77:$K77, 'Eurostat EB products IEA'!$A$4:$A$135, 0),
           MATCH(BG$1, 'Eurostat EB products IEA'!$A$4:$BN$4, 0)
     )
     * $L77:$U77,
     0
  )
)</f>
        <v>0</v>
      </c>
      <c r="BH77" s="57" cm="1">
        <f t="array" ref="BH77">SUMPRODUCT(
  IF($B77:$K77&lt;&gt;"",
     INDEX('Eurostat EB products IEA'!$A$4:$BN$135,
           MATCH($B77:$K77, 'Eurostat EB products IEA'!$A$4:$A$135, 0),
           MATCH(BH$1, 'Eurostat EB products IEA'!$A$4:$BN$4, 0)
     )
     * $L77:$U77,
     0
  )
)</f>
        <v>0</v>
      </c>
      <c r="BI77" s="57" cm="1">
        <f t="array" ref="BI77">SUMPRODUCT(
  IF($B77:$K77&lt;&gt;"",
     INDEX('Eurostat EB products IEA'!$A$4:$BN$135,
           MATCH($B77:$K77, 'Eurostat EB products IEA'!$A$4:$A$135, 0),
           MATCH(BI$1, 'Eurostat EB products IEA'!$A$4:$BN$4, 0)
     )
     * $L77:$U77,
     0
  )
)</f>
        <v>0</v>
      </c>
      <c r="BJ77" s="57" cm="1">
        <f t="array" ref="BJ77">SUMPRODUCT(
  IF($B77:$K77&lt;&gt;"",
     INDEX('Eurostat EB products IEA'!$A$4:$BN$135,
           MATCH($B77:$K77, 'Eurostat EB products IEA'!$A$4:$A$135, 0),
           MATCH(BJ$1, 'Eurostat EB products IEA'!$A$4:$BN$4, 0)
     )
     * $L77:$U77,
     0
  )
)</f>
        <v>0</v>
      </c>
      <c r="BK77" s="57" cm="1">
        <f t="array" ref="BK77">SUMPRODUCT(
  IF($B77:$K77&lt;&gt;"",
     INDEX('Eurostat EB products IEA'!$A$4:$BN$135,
           MATCH($B77:$K77, 'Eurostat EB products IEA'!$A$4:$A$135, 0),
           MATCH(BK$1, 'Eurostat EB products IEA'!$A$4:$BN$4, 0)
     )
     * $L77:$U77,
     0
  )
)</f>
        <v>38.927</v>
      </c>
      <c r="BL77" s="57" cm="1">
        <f t="array" ref="BL77">SUMPRODUCT(
  IF($B77:$K77&lt;&gt;"",
     INDEX('Eurostat EB products IEA'!$A$4:$BN$135,
           MATCH($B77:$K77, 'Eurostat EB products IEA'!$A$4:$A$135, 0),
           MATCH(BL$1, 'Eurostat EB products IEA'!$A$4:$BN$4, 0)
     )
     * $L77:$U77,
     0
  )
)</f>
        <v>1510.0820000000001</v>
      </c>
      <c r="BM77" s="57" cm="1">
        <f t="array" ref="BM77">SUMPRODUCT(
  IF($B77:$K77&lt;&gt;"",
     INDEX('Eurostat EB products IEA'!$A$4:$BN$135,
           MATCH($B77:$K77, 'Eurostat EB products IEA'!$A$4:$A$135, 0),
           MATCH(BM$1, 'Eurostat EB products IEA'!$A$4:$BN$4, 0)
     )
     * $L77:$U77,
     0
  )
)</f>
        <v>1339.13</v>
      </c>
      <c r="BN77" s="57" cm="1">
        <f t="array" ref="BN77">SUMPRODUCT(
  IF($B77:$K77&lt;&gt;"",
     INDEX('Eurostat EB products IEA'!$A$4:$BN$135,
           MATCH($B77:$K77, 'Eurostat EB products IEA'!$A$4:$A$135, 0),
           MATCH(BN$1, 'Eurostat EB products IEA'!$A$4:$BN$4, 0)
     )
     * $L77:$U77,
     0
  )
)</f>
        <v>3384.3</v>
      </c>
      <c r="BO77" s="57" cm="1">
        <f t="array" ref="BO77">SUMPRODUCT(
  IF($B77:$K77&lt;&gt;"",
     INDEX('Eurostat EB products IEA'!$A$4:$BN$135,
           MATCH($B77:$K77, 'Eurostat EB products IEA'!$A$4:$A$135, 0),
           MATCH(BO$1, 'Eurostat EB products IEA'!$A$4:$BN$4, 0)
     )
     * $L77:$U77,
     0
  )
)</f>
        <v>1304.9739999999999</v>
      </c>
      <c r="BP77" s="57" cm="1">
        <f t="array" ref="BP77">SUMPRODUCT(
  IF($B77:$K77&lt;&gt;"",
     INDEX('Eurostat EB products IEA'!$A$4:$BN$135,
           MATCH($B77:$K77, 'Eurostat EB products IEA'!$A$4:$A$135, 0),
           MATCH(BP$1, 'Eurostat EB products IEA'!$A$4:$BN$4, 0)
     )
     * $L77:$U77,
     0
  )
)</f>
        <v>0</v>
      </c>
      <c r="BQ77" s="57" cm="1">
        <f t="array" ref="BQ77">SUMPRODUCT(
  IF($B77:$K77&lt;&gt;"",
     INDEX('Eurostat EB products IEA'!$A$4:$BN$135,
           MATCH($B77:$K77, 'Eurostat EB products IEA'!$A$4:$A$135, 0),
           MATCH(BQ$1, 'Eurostat EB products IEA'!$A$4:$BN$4, 0)
     )
     * $L77:$U77,
     0
  )
)</f>
        <v>0</v>
      </c>
      <c r="BR77" s="57" cm="1">
        <f t="array" ref="BR77">SUMPRODUCT(
  IF($B77:$K77&lt;&gt;"",
     INDEX('Eurostat EB products IEA'!$A$4:$BN$135,
           MATCH($B77:$K77, 'Eurostat EB products IEA'!$A$4:$A$135, 0),
           MATCH(BR$1, 'Eurostat EB products IEA'!$A$4:$BN$4, 0)
     )
     * $L77:$U77,
     0
  )
)</f>
        <v>257.61599999999999</v>
      </c>
      <c r="BS77" s="65">
        <v>0</v>
      </c>
      <c r="BT77" s="57" cm="1">
        <f t="array" ref="BT77">SUMPRODUCT(
  IF($B77:$K77&lt;&gt;"",
     INDEX('Eurostat EB products IEA'!$A$4:$BN$135,
           MATCH($B77:$K77, 'Eurostat EB products IEA'!$A$4:$A$135, 0),
           MATCH(BT$1, 'Eurostat EB products IEA'!$A$4:$BN$4, 0)
     )
     * $L77:$U77,
     0
  )
)</f>
        <v>0</v>
      </c>
      <c r="BU77" s="65">
        <v>0</v>
      </c>
      <c r="BV77" s="65">
        <v>0</v>
      </c>
      <c r="BW77" s="57" cm="1">
        <f t="array" ref="BW77">SUMPRODUCT(
  IF($B77:$K77&lt;&gt;"",
     INDEX('Eurostat EB products IEA'!$A$4:$BN$135,
           MATCH($B77:$K77, 'Eurostat EB products IEA'!$A$4:$A$135, 0),
           MATCH(BW$1, 'Eurostat EB products IEA'!$A$4:$BN$4, 0)
     )
     * $L77:$U77,
     0
  )
)</f>
        <v>0</v>
      </c>
      <c r="BX77" s="57" cm="1">
        <f t="array" ref="BX77">SUMPRODUCT(
  IF($B77:$K77&lt;&gt;"",
     INDEX('Eurostat EB products IEA'!$A$4:$BN$135,
           MATCH($B77:$K77, 'Eurostat EB products IEA'!$A$4:$A$135, 0),
           MATCH(BX$1, 'Eurostat EB products IEA'!$A$4:$BN$4, 0)
     )
     * $L77:$U77,
     0
  )
)</f>
        <v>0</v>
      </c>
      <c r="BY77" s="57" cm="1">
        <f t="array" ref="BY77">SUMPRODUCT(
  IF($B77:$K77&lt;&gt;"",
     INDEX('Eurostat EB products IEA'!$A$4:$BN$135,
           MATCH($B77:$K77, 'Eurostat EB products IEA'!$A$4:$A$135, 0),
           MATCH(BY$1, 'Eurostat EB products IEA'!$A$4:$BN$4, 0)
     )
     * $L77:$U77,
     0
  )
)</f>
        <v>0</v>
      </c>
      <c r="BZ77" s="57" cm="1">
        <f t="array" ref="BZ77">SUMPRODUCT(
  IF($B77:$K77&lt;&gt;"",
     INDEX('Eurostat EB products IEA'!$A$4:$BN$135,
           MATCH($B77:$K77, 'Eurostat EB products IEA'!$A$4:$A$135, 0),
           MATCH(BZ$1, 'Eurostat EB products IEA'!$A$4:$BN$4, 0)
     )
     * $L77:$U77,
     0
  )
)</f>
        <v>0</v>
      </c>
      <c r="CA77" s="57" cm="1">
        <f t="array" ref="CA77">SUMPRODUCT(
  IF($B77:$K77&lt;&gt;"",
     INDEX('Eurostat EB products IEA'!$A$4:$BN$135,
           MATCH($B77:$K77, 'Eurostat EB products IEA'!$A$4:$A$135, 0),
           MATCH(CA$1, 'Eurostat EB products IEA'!$A$4:$BN$4, 0)
     )
     * $L77:$U77,
     0
  )
)</f>
        <v>235</v>
      </c>
      <c r="CB77" s="57" cm="1">
        <f t="array" ref="CB77">SUMPRODUCT(
  IF($B77:$K77&lt;&gt;"",
     INDEX('Eurostat EB products IEA'!$A$4:$BN$135,
           MATCH($B77:$K77, 'Eurostat EB products IEA'!$A$4:$A$135, 0),
           MATCH(CB$1, 'Eurostat EB products IEA'!$A$4:$BN$4, 0)
     )
     * $L77:$U77,
     0
  )
)</f>
        <v>0</v>
      </c>
      <c r="CC77" s="57" cm="1">
        <f t="array" ref="CC77">SUMPRODUCT(
  IF($B77:$K77&lt;&gt;"",
     INDEX('Eurostat EB products IEA'!$A$4:$BN$135,
           MATCH($B77:$K77, 'Eurostat EB products IEA'!$A$4:$A$135, 0),
           MATCH(CC$1, 'Eurostat EB products IEA'!$A$4:$BN$4, 0)
     )
     * $L77:$U77,
     0
  )
)</f>
        <v>0</v>
      </c>
      <c r="CD77" s="65">
        <v>0</v>
      </c>
      <c r="CE77" s="57" cm="1">
        <f t="array" ref="CE77">SUMPRODUCT(
  IF($B77:$K77&lt;&gt;"",
     INDEX('Eurostat EB products IEA'!$A$4:$BN$135,
           MATCH($B77:$K77, 'Eurostat EB products IEA'!$A$4:$A$135, 0),
           MATCH(CE$1, 'Eurostat EB products IEA'!$A$4:$BN$4, 0)
     )
     * $L77:$U77,
     0
  )
)</f>
        <v>133931.92300000001</v>
      </c>
      <c r="CF77" s="57" cm="1">
        <f t="array" ref="CF77">SUMPRODUCT(
  IF($B77:$K77&lt;&gt;"",
     INDEX('Eurostat EB products IEA'!$A$4:$BN$135,
           MATCH($B77:$K77, 'Eurostat EB products IEA'!$A$4:$A$135, 0),
           MATCH(CF$1, 'Eurostat EB products IEA'!$A$4:$BN$4, 0)
     )
     * $L77:$U77,
     0
  )
)</f>
        <v>8464.2999999999993</v>
      </c>
      <c r="CG77" s="57" cm="1">
        <f t="array" ref="CG77">SUMPRODUCT(
  IF($B77:$K77&lt;&gt;"",
     INDEX('Eurostat EB products IEA'!$A$4:$BN$135,
           MATCH($B77:$K77, 'Eurostat EB products IEA'!$A$4:$A$135, 0),
           MATCH(CG$1, 'Eurostat EB products IEA'!$A$4:$BN$4, 0)
     )
     * $L77:$U77,
     0
  )
)</f>
        <v>257597.804</v>
      </c>
      <c r="CH77" s="57" cm="1">
        <f t="array" ref="CH77">SUMPRODUCT(
  IF($B77:$K77&lt;&gt;"",
     INDEX('Eurostat EB products IEA'!$A$4:$BN$135,
           MATCH($B77:$K77, 'Eurostat EB products IEA'!$A$4:$A$135, 0),
           MATCH(CH$1, 'Eurostat EB products IEA'!$A$4:$BN$4, 0)
     )
     * $L77:$U77,
     0
  )
)</f>
        <v>18141.848000000002</v>
      </c>
    </row>
    <row r="78" spans="1:86" x14ac:dyDescent="0.2">
      <c r="A78" t="s">
        <v>185</v>
      </c>
      <c r="B78" s="75"/>
      <c r="C78" s="77"/>
      <c r="D78" s="75"/>
      <c r="E78" s="77"/>
      <c r="F78" s="75"/>
      <c r="G78" s="77"/>
      <c r="H78" s="75"/>
      <c r="I78" s="77"/>
      <c r="J78" s="74"/>
      <c r="K78" s="78" t="s">
        <v>311</v>
      </c>
      <c r="L78" s="76"/>
      <c r="M78" s="79"/>
      <c r="N78" s="76"/>
      <c r="O78" s="79"/>
      <c r="P78" s="76"/>
      <c r="Q78" s="79"/>
      <c r="R78" s="76"/>
      <c r="S78" s="79"/>
      <c r="T78" s="76"/>
      <c r="U78" s="79">
        <v>1</v>
      </c>
      <c r="V78" s="65" t="s">
        <v>323</v>
      </c>
      <c r="W78" s="65" t="s">
        <v>323</v>
      </c>
      <c r="X78" s="17" cm="1">
        <f t="array" ref="X78">SUMPRODUCT(
  IF($B78:$K78&lt;&gt;"",
     INDEX('Eurostat EB products IEA'!$A$4:$BN$135,
           MATCH($B78:$K78, 'Eurostat EB products IEA'!$A$4:$A$135, 0),
           MATCH(X$1, 'Eurostat EB products IEA'!$A$4:$BN$4, 0)
     )
     * $L78:$U78,
     0
  )
)</f>
        <v>0</v>
      </c>
      <c r="Y78" s="17" cm="1">
        <f t="array" ref="Y78">SUMPRODUCT(
  IF($B78:$K78&lt;&gt;"",
     INDEX('Eurostat EB products IEA'!$A$4:$BN$135,
           MATCH($B78:$K78, 'Eurostat EB products IEA'!$A$4:$A$135, 0),
           MATCH(Y$1, 'Eurostat EB products IEA'!$A$4:$BN$4, 0)
     )
     * $L78:$U78,
     0
  )
)</f>
        <v>0</v>
      </c>
      <c r="Z78" s="17" cm="1">
        <f t="array" ref="Z78">SUMPRODUCT(
  IF($B78:$K78&lt;&gt;"",
     INDEX('Eurostat EB products IEA'!$A$4:$BN$135,
           MATCH($B78:$K78, 'Eurostat EB products IEA'!$A$4:$A$135, 0),
           MATCH(Z$1, 'Eurostat EB products IEA'!$A$4:$BN$4, 0)
     )
     * $L78:$U78,
     0
  )
)</f>
        <v>0</v>
      </c>
      <c r="AA78" s="17" cm="1">
        <f t="array" ref="AA78">SUMPRODUCT(
  IF($B78:$K78&lt;&gt;"",
     INDEX('Eurostat EB products IEA'!$A$4:$BN$135,
           MATCH($B78:$K78, 'Eurostat EB products IEA'!$A$4:$A$135, 0),
           MATCH(AA$1, 'Eurostat EB products IEA'!$A$4:$BN$4, 0)
     )
     * $L78:$U78,
     0
  )
)</f>
        <v>0</v>
      </c>
      <c r="AB78" s="17" cm="1">
        <f t="array" ref="AB78">SUMPRODUCT(
  IF($B78:$K78&lt;&gt;"",
     INDEX('Eurostat EB products IEA'!$A$4:$BN$135,
           MATCH($B78:$K78, 'Eurostat EB products IEA'!$A$4:$A$135, 0),
           MATCH(AB$1, 'Eurostat EB products IEA'!$A$4:$BN$4, 0)
     )
     * $L78:$U78,
     0
  )
)</f>
        <v>0</v>
      </c>
      <c r="AC78" s="17" cm="1">
        <f t="array" ref="AC78">SUMPRODUCT(
  IF($B78:$K78&lt;&gt;"",
     INDEX('Eurostat EB products IEA'!$A$4:$BN$135,
           MATCH($B78:$K78, 'Eurostat EB products IEA'!$A$4:$A$135, 0),
           MATCH(AC$1, 'Eurostat EB products IEA'!$A$4:$BN$4, 0)
     )
     * $L78:$U78,
     0
  )
)</f>
        <v>0</v>
      </c>
      <c r="AD78" s="17" cm="1">
        <f t="array" ref="AD78">SUMPRODUCT(
  IF($B78:$K78&lt;&gt;"",
     INDEX('Eurostat EB products IEA'!$A$4:$BN$135,
           MATCH($B78:$K78, 'Eurostat EB products IEA'!$A$4:$A$135, 0),
           MATCH(AD$1, 'Eurostat EB products IEA'!$A$4:$BN$4, 0)
     )
     * $L78:$U78,
     0
  )
)</f>
        <v>0</v>
      </c>
      <c r="AE78" s="17" cm="1">
        <f t="array" ref="AE78">SUMPRODUCT(
  IF($B78:$K78&lt;&gt;"",
     INDEX('Eurostat EB products IEA'!$A$4:$BN$135,
           MATCH($B78:$K78, 'Eurostat EB products IEA'!$A$4:$A$135, 0),
           MATCH(AE$1, 'Eurostat EB products IEA'!$A$4:$BN$4, 0)
     )
     * $L78:$U78,
     0
  )
)</f>
        <v>0</v>
      </c>
      <c r="AF78" s="17" cm="1">
        <f t="array" ref="AF78">SUMPRODUCT(
  IF($B78:$K78&lt;&gt;"",
     INDEX('Eurostat EB products IEA'!$A$4:$BN$135,
           MATCH($B78:$K78, 'Eurostat EB products IEA'!$A$4:$A$135, 0),
           MATCH(AF$1, 'Eurostat EB products IEA'!$A$4:$BN$4, 0)
     )
     * $L78:$U78,
     0
  )
)</f>
        <v>0</v>
      </c>
      <c r="AG78" s="17" cm="1">
        <f t="array" ref="AG78">SUMPRODUCT(
  IF($B78:$K78&lt;&gt;"",
     INDEX('Eurostat EB products IEA'!$A$4:$BN$135,
           MATCH($B78:$K78, 'Eurostat EB products IEA'!$A$4:$A$135, 0),
           MATCH(AG$1, 'Eurostat EB products IEA'!$A$4:$BN$4, 0)
     )
     * $L78:$U78,
     0
  )
)</f>
        <v>0</v>
      </c>
      <c r="AH78" s="17" cm="1">
        <f t="array" ref="AH78">SUMPRODUCT(
  IF($B78:$K78&lt;&gt;"",
     INDEX('Eurostat EB products IEA'!$A$4:$BN$135,
           MATCH($B78:$K78, 'Eurostat EB products IEA'!$A$4:$A$135, 0),
           MATCH(AH$1, 'Eurostat EB products IEA'!$A$4:$BN$4, 0)
     )
     * $L78:$U78,
     0
  )
)</f>
        <v>0</v>
      </c>
      <c r="AI78" s="17" cm="1">
        <f t="array" ref="AI78">SUMPRODUCT(
  IF($B78:$K78&lt;&gt;"",
     INDEX('Eurostat EB products IEA'!$A$4:$BN$135,
           MATCH($B78:$K78, 'Eurostat EB products IEA'!$A$4:$A$135, 0),
           MATCH(AI$1, 'Eurostat EB products IEA'!$A$4:$BN$4, 0)
     )
     * $L78:$U78,
     0
  )
)</f>
        <v>0</v>
      </c>
      <c r="AJ78" s="17" cm="1">
        <f t="array" ref="AJ78">SUMPRODUCT(
  IF($B78:$K78&lt;&gt;"",
     INDEX('Eurostat EB products IEA'!$A$4:$BN$135,
           MATCH($B78:$K78, 'Eurostat EB products IEA'!$A$4:$A$135, 0),
           MATCH(AJ$1, 'Eurostat EB products IEA'!$A$4:$BN$4, 0)
     )
     * $L78:$U78,
     0
  )
)</f>
        <v>0</v>
      </c>
      <c r="AK78" s="17" cm="1">
        <f t="array" ref="AK78">SUMPRODUCT(
  IF($B78:$K78&lt;&gt;"",
     INDEX('Eurostat EB products IEA'!$A$4:$BN$135,
           MATCH($B78:$K78, 'Eurostat EB products IEA'!$A$4:$A$135, 0),
           MATCH(AK$1, 'Eurostat EB products IEA'!$A$4:$BN$4, 0)
     )
     * $L78:$U78,
     0
  )
)</f>
        <v>0</v>
      </c>
      <c r="AL78" s="17" cm="1">
        <f t="array" ref="AL78">SUMPRODUCT(
  IF($B78:$K78&lt;&gt;"",
     INDEX('Eurostat EB products IEA'!$A$4:$BN$135,
           MATCH($B78:$K78, 'Eurostat EB products IEA'!$A$4:$A$135, 0),
           MATCH(AL$1, 'Eurostat EB products IEA'!$A$4:$BN$4, 0)
     )
     * $L78:$U78,
     0
  )
)</f>
        <v>0</v>
      </c>
      <c r="AM78" s="17" cm="1">
        <f t="array" ref="AM78">SUMPRODUCT(
  IF($B78:$K78&lt;&gt;"",
     INDEX('Eurostat EB products IEA'!$A$4:$BN$135,
           MATCH($B78:$K78, 'Eurostat EB products IEA'!$A$4:$A$135, 0),
           MATCH(AM$1, 'Eurostat EB products IEA'!$A$4:$BN$4, 0)
     )
     * $L78:$U78,
     0
  )
)</f>
        <v>64362.03</v>
      </c>
      <c r="AN78" s="65" t="s">
        <v>323</v>
      </c>
      <c r="AO78" s="17" cm="1">
        <f t="array" ref="AO78">SUMPRODUCT(
  IF($B78:$K78&lt;&gt;"",
     INDEX('Eurostat EB products IEA'!$A$4:$BN$135,
           MATCH($B78:$K78, 'Eurostat EB products IEA'!$A$4:$A$135, 0),
           MATCH(AO$1, 'Eurostat EB products IEA'!$A$4:$BN$4, 0)
     )
     * $L78:$U78,
     0
  )
)</f>
        <v>0</v>
      </c>
      <c r="AP78" s="17" cm="1">
        <f t="array" ref="AP78">SUMPRODUCT(
  IF($B78:$K78&lt;&gt;"",
     INDEX('Eurostat EB products IEA'!$A$4:$BN$135,
           MATCH($B78:$K78, 'Eurostat EB products IEA'!$A$4:$A$135, 0),
           MATCH(AP$1, 'Eurostat EB products IEA'!$A$4:$BN$4, 0)
     )
     * $L78:$U78,
     0
  )
)</f>
        <v>0</v>
      </c>
      <c r="AQ78" s="17" cm="1">
        <f t="array" ref="AQ78">SUMPRODUCT(
  IF($B78:$K78&lt;&gt;"",
     INDEX('Eurostat EB products IEA'!$A$4:$BN$135,
           MATCH($B78:$K78, 'Eurostat EB products IEA'!$A$4:$A$135, 0),
           MATCH(AQ$1, 'Eurostat EB products IEA'!$A$4:$BN$4, 0)
     )
     * $L78:$U78,
     0
  )
)</f>
        <v>0</v>
      </c>
      <c r="AR78" s="17" cm="1">
        <f t="array" ref="AR78">SUMPRODUCT(
  IF($B78:$K78&lt;&gt;"",
     INDEX('Eurostat EB products IEA'!$A$4:$BN$135,
           MATCH($B78:$K78, 'Eurostat EB products IEA'!$A$4:$A$135, 0),
           MATCH(AR$1, 'Eurostat EB products IEA'!$A$4:$BN$4, 0)
     )
     * $L78:$U78,
     0
  )
)</f>
        <v>0</v>
      </c>
      <c r="AS78" s="17" cm="1">
        <f t="array" ref="AS78">SUMPRODUCT(
  IF($B78:$K78&lt;&gt;"",
     INDEX('Eurostat EB products IEA'!$A$4:$BN$135,
           MATCH($B78:$K78, 'Eurostat EB products IEA'!$A$4:$A$135, 0),
           MATCH(AS$1, 'Eurostat EB products IEA'!$A$4:$BN$4, 0)
     )
     * $L78:$U78,
     0
  )
)</f>
        <v>0</v>
      </c>
      <c r="AT78" s="17" cm="1">
        <f t="array" ref="AT78">SUMPRODUCT(
  IF($B78:$K78&lt;&gt;"",
     INDEX('Eurostat EB products IEA'!$A$4:$BN$135,
           MATCH($B78:$K78, 'Eurostat EB products IEA'!$A$4:$A$135, 0),
           MATCH(AT$1, 'Eurostat EB products IEA'!$A$4:$BN$4, 0)
     )
     * $L78:$U78,
     0
  )
)</f>
        <v>0</v>
      </c>
      <c r="AU78" s="17" cm="1">
        <f t="array" ref="AU78">SUMPRODUCT(
  IF($B78:$K78&lt;&gt;"",
     INDEX('Eurostat EB products IEA'!$A$4:$BN$135,
           MATCH($B78:$K78, 'Eurostat EB products IEA'!$A$4:$A$135, 0),
           MATCH(AU$1, 'Eurostat EB products IEA'!$A$4:$BN$4, 0)
     )
     * $L78:$U78,
     0
  )
)</f>
        <v>0</v>
      </c>
      <c r="AV78" s="17" cm="1">
        <f t="array" ref="AV78">SUMPRODUCT(
  IF($B78:$K78&lt;&gt;"",
     INDEX('Eurostat EB products IEA'!$A$4:$BN$135,
           MATCH($B78:$K78, 'Eurostat EB products IEA'!$A$4:$A$135, 0),
           MATCH(AV$1, 'Eurostat EB products IEA'!$A$4:$BN$4, 0)
     )
     * $L78:$U78,
     0
  )
)</f>
        <v>1199.934</v>
      </c>
      <c r="AW78" s="17" cm="1">
        <f t="array" ref="AW78">SUMPRODUCT(
  IF($B78:$K78&lt;&gt;"",
     INDEX('Eurostat EB products IEA'!$A$4:$BN$135,
           MATCH($B78:$K78, 'Eurostat EB products IEA'!$A$4:$A$135, 0),
           MATCH(AW$1, 'Eurostat EB products IEA'!$A$4:$BN$4, 0)
     )
     * $L78:$U78,
     0
  )
)</f>
        <v>351.24900000000002</v>
      </c>
      <c r="AX78" s="17" cm="1">
        <f t="array" ref="AX78">SUMPRODUCT(
  IF($B78:$K78&lt;&gt;"",
     INDEX('Eurostat EB products IEA'!$A$4:$BN$135,
           MATCH($B78:$K78, 'Eurostat EB products IEA'!$A$4:$A$135, 0),
           MATCH(AX$1, 'Eurostat EB products IEA'!$A$4:$BN$4, 0)
     )
     * $L78:$U78,
     0
  )
)</f>
        <v>0</v>
      </c>
      <c r="AY78" s="17" cm="1">
        <f t="array" ref="AY78">SUMPRODUCT(
  IF($B78:$K78&lt;&gt;"",
     INDEX('Eurostat EB products IEA'!$A$4:$BN$135,
           MATCH($B78:$K78, 'Eurostat EB products IEA'!$A$4:$A$135, 0),
           MATCH(AY$1, 'Eurostat EB products IEA'!$A$4:$BN$4, 0)
     )
     * $L78:$U78,
     0
  )
)</f>
        <v>0</v>
      </c>
      <c r="AZ78" s="17" cm="1">
        <f t="array" ref="AZ78">SUMPRODUCT(
  IF($B78:$K78&lt;&gt;"",
     INDEX('Eurostat EB products IEA'!$A$4:$BN$135,
           MATCH($B78:$K78, 'Eurostat EB products IEA'!$A$4:$A$135, 0),
           MATCH(AZ$1, 'Eurostat EB products IEA'!$A$4:$BN$4, 0)
     )
     * $L78:$U78,
     0
  )
)</f>
        <v>0</v>
      </c>
      <c r="BA78" s="17" cm="1">
        <f t="array" ref="BA78">SUMPRODUCT(
  IF($B78:$K78&lt;&gt;"",
     INDEX('Eurostat EB products IEA'!$A$4:$BN$135,
           MATCH($B78:$K78, 'Eurostat EB products IEA'!$A$4:$A$135, 0),
           MATCH(BA$1, 'Eurostat EB products IEA'!$A$4:$BN$4, 0)
     )
     * $L78:$U78,
     0
  )
)</f>
        <v>0</v>
      </c>
      <c r="BB78" s="17" cm="1">
        <f t="array" ref="BB78">SUMPRODUCT(
  IF($B78:$K78&lt;&gt;"",
     INDEX('Eurostat EB products IEA'!$A$4:$BN$135,
           MATCH($B78:$K78, 'Eurostat EB products IEA'!$A$4:$A$135, 0),
           MATCH(BB$1, 'Eurostat EB products IEA'!$A$4:$BN$4, 0)
     )
     * $L78:$U78,
     0
  )
)</f>
        <v>17282.848999999998</v>
      </c>
      <c r="BC78" s="17" cm="1">
        <f t="array" ref="BC78">SUMPRODUCT(
  IF($B78:$K78&lt;&gt;"",
     INDEX('Eurostat EB products IEA'!$A$4:$BN$135,
           MATCH($B78:$K78, 'Eurostat EB products IEA'!$A$4:$A$135, 0),
           MATCH(BC$1, 'Eurostat EB products IEA'!$A$4:$BN$4, 0)
     )
     * $L78:$U78,
     0
  )
)</f>
        <v>0</v>
      </c>
      <c r="BD78" s="17" cm="1">
        <f t="array" ref="BD78">SUMPRODUCT(
  IF($B78:$K78&lt;&gt;"",
     INDEX('Eurostat EB products IEA'!$A$4:$BN$135,
           MATCH($B78:$K78, 'Eurostat EB products IEA'!$A$4:$A$135, 0),
           MATCH(BD$1, 'Eurostat EB products IEA'!$A$4:$BN$4, 0)
     )
     * $L78:$U78,
     0
  )
)</f>
        <v>0</v>
      </c>
      <c r="BE78" s="17" cm="1">
        <f t="array" ref="BE78">SUMPRODUCT(
  IF($B78:$K78&lt;&gt;"",
     INDEX('Eurostat EB products IEA'!$A$4:$BN$135,
           MATCH($B78:$K78, 'Eurostat EB products IEA'!$A$4:$A$135, 0),
           MATCH(BE$1, 'Eurostat EB products IEA'!$A$4:$BN$4, 0)
     )
     * $L78:$U78,
     0
  )
)</f>
        <v>0</v>
      </c>
      <c r="BF78" s="17" cm="1">
        <f t="array" ref="BF78">SUMPRODUCT(
  IF($B78:$K78&lt;&gt;"",
     INDEX('Eurostat EB products IEA'!$A$4:$BN$135,
           MATCH($B78:$K78, 'Eurostat EB products IEA'!$A$4:$A$135, 0),
           MATCH(BF$1, 'Eurostat EB products IEA'!$A$4:$BN$4, 0)
     )
     * $L78:$U78,
     0
  )
)</f>
        <v>0</v>
      </c>
      <c r="BG78" s="17" cm="1">
        <f t="array" ref="BG78">SUMPRODUCT(
  IF($B78:$K78&lt;&gt;"",
     INDEX('Eurostat EB products IEA'!$A$4:$BN$135,
           MATCH($B78:$K78, 'Eurostat EB products IEA'!$A$4:$A$135, 0),
           MATCH(BG$1, 'Eurostat EB products IEA'!$A$4:$BN$4, 0)
     )
     * $L78:$U78,
     0
  )
)</f>
        <v>0</v>
      </c>
      <c r="BH78" s="17" cm="1">
        <f t="array" ref="BH78">SUMPRODUCT(
  IF($B78:$K78&lt;&gt;"",
     INDEX('Eurostat EB products IEA'!$A$4:$BN$135,
           MATCH($B78:$K78, 'Eurostat EB products IEA'!$A$4:$A$135, 0),
           MATCH(BH$1, 'Eurostat EB products IEA'!$A$4:$BN$4, 0)
     )
     * $L78:$U78,
     0
  )
)</f>
        <v>0</v>
      </c>
      <c r="BI78" s="17" cm="1">
        <f t="array" ref="BI78">SUMPRODUCT(
  IF($B78:$K78&lt;&gt;"",
     INDEX('Eurostat EB products IEA'!$A$4:$BN$135,
           MATCH($B78:$K78, 'Eurostat EB products IEA'!$A$4:$A$135, 0),
           MATCH(BI$1, 'Eurostat EB products IEA'!$A$4:$BN$4, 0)
     )
     * $L78:$U78,
     0
  )
)</f>
        <v>0</v>
      </c>
      <c r="BJ78" s="17" cm="1">
        <f t="array" ref="BJ78">SUMPRODUCT(
  IF($B78:$K78&lt;&gt;"",
     INDEX('Eurostat EB products IEA'!$A$4:$BN$135,
           MATCH($B78:$K78, 'Eurostat EB products IEA'!$A$4:$A$135, 0),
           MATCH(BJ$1, 'Eurostat EB products IEA'!$A$4:$BN$4, 0)
     )
     * $L78:$U78,
     0
  )
)</f>
        <v>0</v>
      </c>
      <c r="BK78" s="17" cm="1">
        <f t="array" ref="BK78">SUMPRODUCT(
  IF($B78:$K78&lt;&gt;"",
     INDEX('Eurostat EB products IEA'!$A$4:$BN$135,
           MATCH($B78:$K78, 'Eurostat EB products IEA'!$A$4:$A$135, 0),
           MATCH(BK$1, 'Eurostat EB products IEA'!$A$4:$BN$4, 0)
     )
     * $L78:$U78,
     0
  )
)</f>
        <v>0</v>
      </c>
      <c r="BL78" s="17" cm="1">
        <f t="array" ref="BL78">SUMPRODUCT(
  IF($B78:$K78&lt;&gt;"",
     INDEX('Eurostat EB products IEA'!$A$4:$BN$135,
           MATCH($B78:$K78, 'Eurostat EB products IEA'!$A$4:$A$135, 0),
           MATCH(BL$1, 'Eurostat EB products IEA'!$A$4:$BN$4, 0)
     )
     * $L78:$U78,
     0
  )
)</f>
        <v>0</v>
      </c>
      <c r="BM78" s="17" cm="1">
        <f t="array" ref="BM78">SUMPRODUCT(
  IF($B78:$K78&lt;&gt;"",
     INDEX('Eurostat EB products IEA'!$A$4:$BN$135,
           MATCH($B78:$K78, 'Eurostat EB products IEA'!$A$4:$A$135, 0),
           MATCH(BM$1, 'Eurostat EB products IEA'!$A$4:$BN$4, 0)
     )
     * $L78:$U78,
     0
  )
)</f>
        <v>0</v>
      </c>
      <c r="BN78" s="17" cm="1">
        <f t="array" ref="BN78">SUMPRODUCT(
  IF($B78:$K78&lt;&gt;"",
     INDEX('Eurostat EB products IEA'!$A$4:$BN$135,
           MATCH($B78:$K78, 'Eurostat EB products IEA'!$A$4:$A$135, 0),
           MATCH(BN$1, 'Eurostat EB products IEA'!$A$4:$BN$4, 0)
     )
     * $L78:$U78,
     0
  )
)</f>
        <v>3267.58</v>
      </c>
      <c r="BO78" s="17" cm="1">
        <f t="array" ref="BO78">SUMPRODUCT(
  IF($B78:$K78&lt;&gt;"",
     INDEX('Eurostat EB products IEA'!$A$4:$BN$135,
           MATCH($B78:$K78, 'Eurostat EB products IEA'!$A$4:$A$135, 0),
           MATCH(BO$1, 'Eurostat EB products IEA'!$A$4:$BN$4, 0)
     )
     * $L78:$U78,
     0
  )
)</f>
        <v>1492.634</v>
      </c>
      <c r="BP78" s="17" cm="1">
        <f t="array" ref="BP78">SUMPRODUCT(
  IF($B78:$K78&lt;&gt;"",
     INDEX('Eurostat EB products IEA'!$A$4:$BN$135,
           MATCH($B78:$K78, 'Eurostat EB products IEA'!$A$4:$A$135, 0),
           MATCH(BP$1, 'Eurostat EB products IEA'!$A$4:$BN$4, 0)
     )
     * $L78:$U78,
     0
  )
)</f>
        <v>0</v>
      </c>
      <c r="BQ78" s="17" cm="1">
        <f t="array" ref="BQ78">SUMPRODUCT(
  IF($B78:$K78&lt;&gt;"",
     INDEX('Eurostat EB products IEA'!$A$4:$BN$135,
           MATCH($B78:$K78, 'Eurostat EB products IEA'!$A$4:$A$135, 0),
           MATCH(BQ$1, 'Eurostat EB products IEA'!$A$4:$BN$4, 0)
     )
     * $L78:$U78,
     0
  )
)</f>
        <v>1218.2550000000001</v>
      </c>
      <c r="BR78" s="17" cm="1">
        <f t="array" ref="BR78">SUMPRODUCT(
  IF($B78:$K78&lt;&gt;"",
     INDEX('Eurostat EB products IEA'!$A$4:$BN$135,
           MATCH($B78:$K78, 'Eurostat EB products IEA'!$A$4:$A$135, 0),
           MATCH(BR$1, 'Eurostat EB products IEA'!$A$4:$BN$4, 0)
     )
     * $L78:$U78,
     0
  )
)</f>
        <v>0</v>
      </c>
      <c r="BS78" s="65">
        <v>0</v>
      </c>
      <c r="BT78" s="17" cm="1">
        <f t="array" ref="BT78">SUMPRODUCT(
  IF($B78:$K78&lt;&gt;"",
     INDEX('Eurostat EB products IEA'!$A$4:$BN$135,
           MATCH($B78:$K78, 'Eurostat EB products IEA'!$A$4:$A$135, 0),
           MATCH(BT$1, 'Eurostat EB products IEA'!$A$4:$BN$4, 0)
     )
     * $L78:$U78,
     0
  )
)</f>
        <v>0</v>
      </c>
      <c r="BU78" s="65">
        <v>0</v>
      </c>
      <c r="BV78" s="65">
        <v>0</v>
      </c>
      <c r="BW78" s="17" cm="1">
        <f t="array" ref="BW78">SUMPRODUCT(
  IF($B78:$K78&lt;&gt;"",
     INDEX('Eurostat EB products IEA'!$A$4:$BN$135,
           MATCH($B78:$K78, 'Eurostat EB products IEA'!$A$4:$A$135, 0),
           MATCH(BW$1, 'Eurostat EB products IEA'!$A$4:$BN$4, 0)
     )
     * $L78:$U78,
     0
  )
)</f>
        <v>0</v>
      </c>
      <c r="BX78" s="17" cm="1">
        <f t="array" ref="BX78">SUMPRODUCT(
  IF($B78:$K78&lt;&gt;"",
     INDEX('Eurostat EB products IEA'!$A$4:$BN$135,
           MATCH($B78:$K78, 'Eurostat EB products IEA'!$A$4:$A$135, 0),
           MATCH(BX$1, 'Eurostat EB products IEA'!$A$4:$BN$4, 0)
     )
     * $L78:$U78,
     0
  )
)</f>
        <v>0</v>
      </c>
      <c r="BY78" s="17" cm="1">
        <f t="array" ref="BY78">SUMPRODUCT(
  IF($B78:$K78&lt;&gt;"",
     INDEX('Eurostat EB products IEA'!$A$4:$BN$135,
           MATCH($B78:$K78, 'Eurostat EB products IEA'!$A$4:$A$135, 0),
           MATCH(BY$1, 'Eurostat EB products IEA'!$A$4:$BN$4, 0)
     )
     * $L78:$U78,
     0
  )
)</f>
        <v>6797.51</v>
      </c>
      <c r="BZ78" s="17" cm="1">
        <f t="array" ref="BZ78">SUMPRODUCT(
  IF($B78:$K78&lt;&gt;"",
     INDEX('Eurostat EB products IEA'!$A$4:$BN$135,
           MATCH($B78:$K78, 'Eurostat EB products IEA'!$A$4:$A$135, 0),
           MATCH(BZ$1, 'Eurostat EB products IEA'!$A$4:$BN$4, 0)
     )
     * $L78:$U78,
     0
  )
)</f>
        <v>0</v>
      </c>
      <c r="CA78" s="17" cm="1">
        <f t="array" ref="CA78">SUMPRODUCT(
  IF($B78:$K78&lt;&gt;"",
     INDEX('Eurostat EB products IEA'!$A$4:$BN$135,
           MATCH($B78:$K78, 'Eurostat EB products IEA'!$A$4:$A$135, 0),
           MATCH(CA$1, 'Eurostat EB products IEA'!$A$4:$BN$4, 0)
     )
     * $L78:$U78,
     0
  )
)</f>
        <v>0</v>
      </c>
      <c r="CB78" s="17" cm="1">
        <f t="array" ref="CB78">SUMPRODUCT(
  IF($B78:$K78&lt;&gt;"",
     INDEX('Eurostat EB products IEA'!$A$4:$BN$135,
           MATCH($B78:$K78, 'Eurostat EB products IEA'!$A$4:$A$135, 0),
           MATCH(CB$1, 'Eurostat EB products IEA'!$A$4:$BN$4, 0)
     )
     * $L78:$U78,
     0
  )
)</f>
        <v>0</v>
      </c>
      <c r="CC78" s="17" cm="1">
        <f t="array" ref="CC78">SUMPRODUCT(
  IF($B78:$K78&lt;&gt;"",
     INDEX('Eurostat EB products IEA'!$A$4:$BN$135,
           MATCH($B78:$K78, 'Eurostat EB products IEA'!$A$4:$A$135, 0),
           MATCH(CC$1, 'Eurostat EB products IEA'!$A$4:$BN$4, 0)
     )
     * $L78:$U78,
     0
  )
)</f>
        <v>0</v>
      </c>
      <c r="CD78" s="65">
        <v>0</v>
      </c>
      <c r="CE78" s="17" cm="1">
        <f t="array" ref="CE78">SUMPRODUCT(
  IF($B78:$K78&lt;&gt;"",
     INDEX('Eurostat EB products IEA'!$A$4:$BN$135,
           MATCH($B78:$K78, 'Eurostat EB products IEA'!$A$4:$A$135, 0),
           MATCH(CE$1, 'Eurostat EB products IEA'!$A$4:$BN$4, 0)
     )
     * $L78:$U78,
     0
  )
)</f>
        <v>26409.553</v>
      </c>
      <c r="CF78" s="17" cm="1">
        <f t="array" ref="CF78">SUMPRODUCT(
  IF($B78:$K78&lt;&gt;"",
     INDEX('Eurostat EB products IEA'!$A$4:$BN$135,
           MATCH($B78:$K78, 'Eurostat EB products IEA'!$A$4:$A$135, 0),
           MATCH(CF$1, 'Eurostat EB products IEA'!$A$4:$BN$4, 0)
     )
     * $L78:$U78,
     0
  )
)</f>
        <v>2463.886</v>
      </c>
      <c r="CG78" s="17" cm="1">
        <f t="array" ref="CG78">SUMPRODUCT(
  IF($B78:$K78&lt;&gt;"",
     INDEX('Eurostat EB products IEA'!$A$4:$BN$135,
           MATCH($B78:$K78, 'Eurostat EB products IEA'!$A$4:$A$135, 0),
           MATCH(CG$1, 'Eurostat EB products IEA'!$A$4:$BN$4, 0)
     )
     * $L78:$U78,
     0
  )
)</f>
        <v>124845.48</v>
      </c>
      <c r="CH78" s="17" cm="1">
        <f t="array" ref="CH78">SUMPRODUCT(
  IF($B78:$K78&lt;&gt;"",
     INDEX('Eurostat EB products IEA'!$A$4:$BN$135,
           MATCH($B78:$K78, 'Eurostat EB products IEA'!$A$4:$A$135, 0),
           MATCH(CH$1, 'Eurostat EB products IEA'!$A$4:$BN$4, 0)
     )
     * $L78:$U78,
     0
  )
)</f>
        <v>8936.7849999999999</v>
      </c>
    </row>
    <row r="79" spans="1:86" x14ac:dyDescent="0.2">
      <c r="A79" t="s">
        <v>111</v>
      </c>
      <c r="B79" s="75"/>
      <c r="C79" s="77"/>
      <c r="D79" s="75"/>
      <c r="E79" s="77"/>
      <c r="F79" s="75"/>
      <c r="G79" s="77"/>
      <c r="H79" s="75"/>
      <c r="I79" s="77"/>
      <c r="J79" s="74"/>
      <c r="K79" s="78" t="s">
        <v>312</v>
      </c>
      <c r="L79" s="76"/>
      <c r="M79" s="79"/>
      <c r="N79" s="76"/>
      <c r="O79" s="79"/>
      <c r="P79" s="76"/>
      <c r="Q79" s="79"/>
      <c r="R79" s="76"/>
      <c r="S79" s="79"/>
      <c r="T79" s="76"/>
      <c r="U79" s="79">
        <v>1</v>
      </c>
      <c r="V79" s="65" t="s">
        <v>323</v>
      </c>
      <c r="W79" s="65" t="s">
        <v>323</v>
      </c>
      <c r="X79" s="57" cm="1">
        <f t="array" ref="X79">SUMPRODUCT(
  IF($B79:$K79&lt;&gt;"",
     INDEX('Eurostat EB products IEA'!$A$4:$BN$135,
           MATCH($B79:$K79, 'Eurostat EB products IEA'!$A$4:$A$135, 0),
           MATCH(X$1, 'Eurostat EB products IEA'!$A$4:$BN$4, 0)
     )
     * $L79:$U79,
     0
  )
)</f>
        <v>0</v>
      </c>
      <c r="Y79" s="57" cm="1">
        <f t="array" ref="Y79">SUMPRODUCT(
  IF($B79:$K79&lt;&gt;"",
     INDEX('Eurostat EB products IEA'!$A$4:$BN$135,
           MATCH($B79:$K79, 'Eurostat EB products IEA'!$A$4:$A$135, 0),
           MATCH(Y$1, 'Eurostat EB products IEA'!$A$4:$BN$4, 0)
     )
     * $L79:$U79,
     0
  )
)</f>
        <v>0</v>
      </c>
      <c r="Z79" s="57" cm="1">
        <f t="array" ref="Z79">SUMPRODUCT(
  IF($B79:$K79&lt;&gt;"",
     INDEX('Eurostat EB products IEA'!$A$4:$BN$135,
           MATCH($B79:$K79, 'Eurostat EB products IEA'!$A$4:$A$135, 0),
           MATCH(Z$1, 'Eurostat EB products IEA'!$A$4:$BN$4, 0)
     )
     * $L79:$U79,
     0
  )
)</f>
        <v>0</v>
      </c>
      <c r="AA79" s="57" cm="1">
        <f t="array" ref="AA79">SUMPRODUCT(
  IF($B79:$K79&lt;&gt;"",
     INDEX('Eurostat EB products IEA'!$A$4:$BN$135,
           MATCH($B79:$K79, 'Eurostat EB products IEA'!$A$4:$A$135, 0),
           MATCH(AA$1, 'Eurostat EB products IEA'!$A$4:$BN$4, 0)
     )
     * $L79:$U79,
     0
  )
)</f>
        <v>0</v>
      </c>
      <c r="AB79" s="57" cm="1">
        <f t="array" ref="AB79">SUMPRODUCT(
  IF($B79:$K79&lt;&gt;"",
     INDEX('Eurostat EB products IEA'!$A$4:$BN$135,
           MATCH($B79:$K79, 'Eurostat EB products IEA'!$A$4:$A$135, 0),
           MATCH(AB$1, 'Eurostat EB products IEA'!$A$4:$BN$4, 0)
     )
     * $L79:$U79,
     0
  )
)</f>
        <v>0</v>
      </c>
      <c r="AC79" s="57" cm="1">
        <f t="array" ref="AC79">SUMPRODUCT(
  IF($B79:$K79&lt;&gt;"",
     INDEX('Eurostat EB products IEA'!$A$4:$BN$135,
           MATCH($B79:$K79, 'Eurostat EB products IEA'!$A$4:$A$135, 0),
           MATCH(AC$1, 'Eurostat EB products IEA'!$A$4:$BN$4, 0)
     )
     * $L79:$U79,
     0
  )
)</f>
        <v>0</v>
      </c>
      <c r="AD79" s="57" cm="1">
        <f t="array" ref="AD79">SUMPRODUCT(
  IF($B79:$K79&lt;&gt;"",
     INDEX('Eurostat EB products IEA'!$A$4:$BN$135,
           MATCH($B79:$K79, 'Eurostat EB products IEA'!$A$4:$A$135, 0),
           MATCH(AD$1, 'Eurostat EB products IEA'!$A$4:$BN$4, 0)
     )
     * $L79:$U79,
     0
  )
)</f>
        <v>0</v>
      </c>
      <c r="AE79" s="57" cm="1">
        <f t="array" ref="AE79">SUMPRODUCT(
  IF($B79:$K79&lt;&gt;"",
     INDEX('Eurostat EB products IEA'!$A$4:$BN$135,
           MATCH($B79:$K79, 'Eurostat EB products IEA'!$A$4:$A$135, 0),
           MATCH(AE$1, 'Eurostat EB products IEA'!$A$4:$BN$4, 0)
     )
     * $L79:$U79,
     0
  )
)</f>
        <v>0</v>
      </c>
      <c r="AF79" s="57" cm="1">
        <f t="array" ref="AF79">SUMPRODUCT(
  IF($B79:$K79&lt;&gt;"",
     INDEX('Eurostat EB products IEA'!$A$4:$BN$135,
           MATCH($B79:$K79, 'Eurostat EB products IEA'!$A$4:$A$135, 0),
           MATCH(AF$1, 'Eurostat EB products IEA'!$A$4:$BN$4, 0)
     )
     * $L79:$U79,
     0
  )
)</f>
        <v>0</v>
      </c>
      <c r="AG79" s="57" cm="1">
        <f t="array" ref="AG79">SUMPRODUCT(
  IF($B79:$K79&lt;&gt;"",
     INDEX('Eurostat EB products IEA'!$A$4:$BN$135,
           MATCH($B79:$K79, 'Eurostat EB products IEA'!$A$4:$A$135, 0),
           MATCH(AG$1, 'Eurostat EB products IEA'!$A$4:$BN$4, 0)
     )
     * $L79:$U79,
     0
  )
)</f>
        <v>0</v>
      </c>
      <c r="AH79" s="57" cm="1">
        <f t="array" ref="AH79">SUMPRODUCT(
  IF($B79:$K79&lt;&gt;"",
     INDEX('Eurostat EB products IEA'!$A$4:$BN$135,
           MATCH($B79:$K79, 'Eurostat EB products IEA'!$A$4:$A$135, 0),
           MATCH(AH$1, 'Eurostat EB products IEA'!$A$4:$BN$4, 0)
     )
     * $L79:$U79,
     0
  )
)</f>
        <v>0</v>
      </c>
      <c r="AI79" s="57" cm="1">
        <f t="array" ref="AI79">SUMPRODUCT(
  IF($B79:$K79&lt;&gt;"",
     INDEX('Eurostat EB products IEA'!$A$4:$BN$135,
           MATCH($B79:$K79, 'Eurostat EB products IEA'!$A$4:$A$135, 0),
           MATCH(AI$1, 'Eurostat EB products IEA'!$A$4:$BN$4, 0)
     )
     * $L79:$U79,
     0
  )
)</f>
        <v>0</v>
      </c>
      <c r="AJ79" s="57" cm="1">
        <f t="array" ref="AJ79">SUMPRODUCT(
  IF($B79:$K79&lt;&gt;"",
     INDEX('Eurostat EB products IEA'!$A$4:$BN$135,
           MATCH($B79:$K79, 'Eurostat EB products IEA'!$A$4:$A$135, 0),
           MATCH(AJ$1, 'Eurostat EB products IEA'!$A$4:$BN$4, 0)
     )
     * $L79:$U79,
     0
  )
)</f>
        <v>0</v>
      </c>
      <c r="AK79" s="57" cm="1">
        <f t="array" ref="AK79">SUMPRODUCT(
  IF($B79:$K79&lt;&gt;"",
     INDEX('Eurostat EB products IEA'!$A$4:$BN$135,
           MATCH($B79:$K79, 'Eurostat EB products IEA'!$A$4:$A$135, 0),
           MATCH(AK$1, 'Eurostat EB products IEA'!$A$4:$BN$4, 0)
     )
     * $L79:$U79,
     0
  )
)</f>
        <v>0</v>
      </c>
      <c r="AL79" s="57" cm="1">
        <f t="array" ref="AL79">SUMPRODUCT(
  IF($B79:$K79&lt;&gt;"",
     INDEX('Eurostat EB products IEA'!$A$4:$BN$135,
           MATCH($B79:$K79, 'Eurostat EB products IEA'!$A$4:$A$135, 0),
           MATCH(AL$1, 'Eurostat EB products IEA'!$A$4:$BN$4, 0)
     )
     * $L79:$U79,
     0
  )
)</f>
        <v>0</v>
      </c>
      <c r="AM79" s="57" cm="1">
        <f t="array" ref="AM79">SUMPRODUCT(
  IF($B79:$K79&lt;&gt;"",
     INDEX('Eurostat EB products IEA'!$A$4:$BN$135,
           MATCH($B79:$K79, 'Eurostat EB products IEA'!$A$4:$A$135, 0),
           MATCH(AM$1, 'Eurostat EB products IEA'!$A$4:$BN$4, 0)
     )
     * $L79:$U79,
     0
  )
)</f>
        <v>0</v>
      </c>
      <c r="AN79" s="65" t="s">
        <v>323</v>
      </c>
      <c r="AO79" s="57" cm="1">
        <f t="array" ref="AO79">SUMPRODUCT(
  IF($B79:$K79&lt;&gt;"",
     INDEX('Eurostat EB products IEA'!$A$4:$BN$135,
           MATCH($B79:$K79, 'Eurostat EB products IEA'!$A$4:$A$135, 0),
           MATCH(AO$1, 'Eurostat EB products IEA'!$A$4:$BN$4, 0)
     )
     * $L79:$U79,
     0
  )
)</f>
        <v>0</v>
      </c>
      <c r="AP79" s="57" cm="1">
        <f t="array" ref="AP79">SUMPRODUCT(
  IF($B79:$K79&lt;&gt;"",
     INDEX('Eurostat EB products IEA'!$A$4:$BN$135,
           MATCH($B79:$K79, 'Eurostat EB products IEA'!$A$4:$A$135, 0),
           MATCH(AP$1, 'Eurostat EB products IEA'!$A$4:$BN$4, 0)
     )
     * $L79:$U79,
     0
  )
)</f>
        <v>0</v>
      </c>
      <c r="AQ79" s="57" cm="1">
        <f t="array" ref="AQ79">SUMPRODUCT(
  IF($B79:$K79&lt;&gt;"",
     INDEX('Eurostat EB products IEA'!$A$4:$BN$135,
           MATCH($B79:$K79, 'Eurostat EB products IEA'!$A$4:$A$135, 0),
           MATCH(AQ$1, 'Eurostat EB products IEA'!$A$4:$BN$4, 0)
     )
     * $L79:$U79,
     0
  )
)</f>
        <v>0</v>
      </c>
      <c r="AR79" s="57" cm="1">
        <f t="array" ref="AR79">SUMPRODUCT(
  IF($B79:$K79&lt;&gt;"",
     INDEX('Eurostat EB products IEA'!$A$4:$BN$135,
           MATCH($B79:$K79, 'Eurostat EB products IEA'!$A$4:$A$135, 0),
           MATCH(AR$1, 'Eurostat EB products IEA'!$A$4:$BN$4, 0)
     )
     * $L79:$U79,
     0
  )
)</f>
        <v>0</v>
      </c>
      <c r="AS79" s="57" cm="1">
        <f t="array" ref="AS79">SUMPRODUCT(
  IF($B79:$K79&lt;&gt;"",
     INDEX('Eurostat EB products IEA'!$A$4:$BN$135,
           MATCH($B79:$K79, 'Eurostat EB products IEA'!$A$4:$A$135, 0),
           MATCH(AS$1, 'Eurostat EB products IEA'!$A$4:$BN$4, 0)
     )
     * $L79:$U79,
     0
  )
)</f>
        <v>0</v>
      </c>
      <c r="AT79" s="57" cm="1">
        <f t="array" ref="AT79">SUMPRODUCT(
  IF($B79:$K79&lt;&gt;"",
     INDEX('Eurostat EB products IEA'!$A$4:$BN$135,
           MATCH($B79:$K79, 'Eurostat EB products IEA'!$A$4:$A$135, 0),
           MATCH(AT$1, 'Eurostat EB products IEA'!$A$4:$BN$4, 0)
     )
     * $L79:$U79,
     0
  )
)</f>
        <v>0</v>
      </c>
      <c r="AU79" s="57" cm="1">
        <f t="array" ref="AU79">SUMPRODUCT(
  IF($B79:$K79&lt;&gt;"",
     INDEX('Eurostat EB products IEA'!$A$4:$BN$135,
           MATCH($B79:$K79, 'Eurostat EB products IEA'!$A$4:$A$135, 0),
           MATCH(AU$1, 'Eurostat EB products IEA'!$A$4:$BN$4, 0)
     )
     * $L79:$U79,
     0
  )
)</f>
        <v>0</v>
      </c>
      <c r="AV79" s="57" cm="1">
        <f t="array" ref="AV79">SUMPRODUCT(
  IF($B79:$K79&lt;&gt;"",
     INDEX('Eurostat EB products IEA'!$A$4:$BN$135,
           MATCH($B79:$K79, 'Eurostat EB products IEA'!$A$4:$A$135, 0),
           MATCH(AV$1, 'Eurostat EB products IEA'!$A$4:$BN$4, 0)
     )
     * $L79:$U79,
     0
  )
)</f>
        <v>0</v>
      </c>
      <c r="AW79" s="57" cm="1">
        <f t="array" ref="AW79">SUMPRODUCT(
  IF($B79:$K79&lt;&gt;"",
     INDEX('Eurostat EB products IEA'!$A$4:$BN$135,
           MATCH($B79:$K79, 'Eurostat EB products IEA'!$A$4:$A$135, 0),
           MATCH(AW$1, 'Eurostat EB products IEA'!$A$4:$BN$4, 0)
     )
     * $L79:$U79,
     0
  )
)</f>
        <v>0</v>
      </c>
      <c r="AX79" s="57" cm="1">
        <f t="array" ref="AX79">SUMPRODUCT(
  IF($B79:$K79&lt;&gt;"",
     INDEX('Eurostat EB products IEA'!$A$4:$BN$135,
           MATCH($B79:$K79, 'Eurostat EB products IEA'!$A$4:$A$135, 0),
           MATCH(AX$1, 'Eurostat EB products IEA'!$A$4:$BN$4, 0)
     )
     * $L79:$U79,
     0
  )
)</f>
        <v>0</v>
      </c>
      <c r="AY79" s="57" cm="1">
        <f t="array" ref="AY79">SUMPRODUCT(
  IF($B79:$K79&lt;&gt;"",
     INDEX('Eurostat EB products IEA'!$A$4:$BN$135,
           MATCH($B79:$K79, 'Eurostat EB products IEA'!$A$4:$A$135, 0),
           MATCH(AY$1, 'Eurostat EB products IEA'!$A$4:$BN$4, 0)
     )
     * $L79:$U79,
     0
  )
)</f>
        <v>0</v>
      </c>
      <c r="AZ79" s="57" cm="1">
        <f t="array" ref="AZ79">SUMPRODUCT(
  IF($B79:$K79&lt;&gt;"",
     INDEX('Eurostat EB products IEA'!$A$4:$BN$135,
           MATCH($B79:$K79, 'Eurostat EB products IEA'!$A$4:$A$135, 0),
           MATCH(AZ$1, 'Eurostat EB products IEA'!$A$4:$BN$4, 0)
     )
     * $L79:$U79,
     0
  )
)</f>
        <v>0</v>
      </c>
      <c r="BA79" s="57" cm="1">
        <f t="array" ref="BA79">SUMPRODUCT(
  IF($B79:$K79&lt;&gt;"",
     INDEX('Eurostat EB products IEA'!$A$4:$BN$135,
           MATCH($B79:$K79, 'Eurostat EB products IEA'!$A$4:$A$135, 0),
           MATCH(BA$1, 'Eurostat EB products IEA'!$A$4:$BN$4, 0)
     )
     * $L79:$U79,
     0
  )
)</f>
        <v>0</v>
      </c>
      <c r="BB79" s="57" cm="1">
        <f t="array" ref="BB79">SUMPRODUCT(
  IF($B79:$K79&lt;&gt;"",
     INDEX('Eurostat EB products IEA'!$A$4:$BN$135,
           MATCH($B79:$K79, 'Eurostat EB products IEA'!$A$4:$A$135, 0),
           MATCH(BB$1, 'Eurostat EB products IEA'!$A$4:$BN$4, 0)
     )
     * $L79:$U79,
     0
  )
)</f>
        <v>4725.7479999999996</v>
      </c>
      <c r="BC79" s="57" cm="1">
        <f t="array" ref="BC79">SUMPRODUCT(
  IF($B79:$K79&lt;&gt;"",
     INDEX('Eurostat EB products IEA'!$A$4:$BN$135,
           MATCH($B79:$K79, 'Eurostat EB products IEA'!$A$4:$A$135, 0),
           MATCH(BC$1, 'Eurostat EB products IEA'!$A$4:$BN$4, 0)
     )
     * $L79:$U79,
     0
  )
)</f>
        <v>0</v>
      </c>
      <c r="BD79" s="57" cm="1">
        <f t="array" ref="BD79">SUMPRODUCT(
  IF($B79:$K79&lt;&gt;"",
     INDEX('Eurostat EB products IEA'!$A$4:$BN$135,
           MATCH($B79:$K79, 'Eurostat EB products IEA'!$A$4:$A$135, 0),
           MATCH(BD$1, 'Eurostat EB products IEA'!$A$4:$BN$4, 0)
     )
     * $L79:$U79,
     0
  )
)</f>
        <v>0</v>
      </c>
      <c r="BE79" s="57" cm="1">
        <f t="array" ref="BE79">SUMPRODUCT(
  IF($B79:$K79&lt;&gt;"",
     INDEX('Eurostat EB products IEA'!$A$4:$BN$135,
           MATCH($B79:$K79, 'Eurostat EB products IEA'!$A$4:$A$135, 0),
           MATCH(BE$1, 'Eurostat EB products IEA'!$A$4:$BN$4, 0)
     )
     * $L79:$U79,
     0
  )
)</f>
        <v>0</v>
      </c>
      <c r="BF79" s="57" cm="1">
        <f t="array" ref="BF79">SUMPRODUCT(
  IF($B79:$K79&lt;&gt;"",
     INDEX('Eurostat EB products IEA'!$A$4:$BN$135,
           MATCH($B79:$K79, 'Eurostat EB products IEA'!$A$4:$A$135, 0),
           MATCH(BF$1, 'Eurostat EB products IEA'!$A$4:$BN$4, 0)
     )
     * $L79:$U79,
     0
  )
)</f>
        <v>0</v>
      </c>
      <c r="BG79" s="57" cm="1">
        <f t="array" ref="BG79">SUMPRODUCT(
  IF($B79:$K79&lt;&gt;"",
     INDEX('Eurostat EB products IEA'!$A$4:$BN$135,
           MATCH($B79:$K79, 'Eurostat EB products IEA'!$A$4:$A$135, 0),
           MATCH(BG$1, 'Eurostat EB products IEA'!$A$4:$BN$4, 0)
     )
     * $L79:$U79,
     0
  )
)</f>
        <v>0</v>
      </c>
      <c r="BH79" s="57" cm="1">
        <f t="array" ref="BH79">SUMPRODUCT(
  IF($B79:$K79&lt;&gt;"",
     INDEX('Eurostat EB products IEA'!$A$4:$BN$135,
           MATCH($B79:$K79, 'Eurostat EB products IEA'!$A$4:$A$135, 0),
           MATCH(BH$1, 'Eurostat EB products IEA'!$A$4:$BN$4, 0)
     )
     * $L79:$U79,
     0
  )
)</f>
        <v>0</v>
      </c>
      <c r="BI79" s="57" cm="1">
        <f t="array" ref="BI79">SUMPRODUCT(
  IF($B79:$K79&lt;&gt;"",
     INDEX('Eurostat EB products IEA'!$A$4:$BN$135,
           MATCH($B79:$K79, 'Eurostat EB products IEA'!$A$4:$A$135, 0),
           MATCH(BI$1, 'Eurostat EB products IEA'!$A$4:$BN$4, 0)
     )
     * $L79:$U79,
     0
  )
)</f>
        <v>0</v>
      </c>
      <c r="BJ79" s="57" cm="1">
        <f t="array" ref="BJ79">SUMPRODUCT(
  IF($B79:$K79&lt;&gt;"",
     INDEX('Eurostat EB products IEA'!$A$4:$BN$135,
           MATCH($B79:$K79, 'Eurostat EB products IEA'!$A$4:$A$135, 0),
           MATCH(BJ$1, 'Eurostat EB products IEA'!$A$4:$BN$4, 0)
     )
     * $L79:$U79,
     0
  )
)</f>
        <v>0</v>
      </c>
      <c r="BK79" s="57" cm="1">
        <f t="array" ref="BK79">SUMPRODUCT(
  IF($B79:$K79&lt;&gt;"",
     INDEX('Eurostat EB products IEA'!$A$4:$BN$135,
           MATCH($B79:$K79, 'Eurostat EB products IEA'!$A$4:$A$135, 0),
           MATCH(BK$1, 'Eurostat EB products IEA'!$A$4:$BN$4, 0)
     )
     * $L79:$U79,
     0
  )
)</f>
        <v>0</v>
      </c>
      <c r="BL79" s="57" cm="1">
        <f t="array" ref="BL79">SUMPRODUCT(
  IF($B79:$K79&lt;&gt;"",
     INDEX('Eurostat EB products IEA'!$A$4:$BN$135,
           MATCH($B79:$K79, 'Eurostat EB products IEA'!$A$4:$A$135, 0),
           MATCH(BL$1, 'Eurostat EB products IEA'!$A$4:$BN$4, 0)
     )
     * $L79:$U79,
     0
  )
)</f>
        <v>0</v>
      </c>
      <c r="BM79" s="57" cm="1">
        <f t="array" ref="BM79">SUMPRODUCT(
  IF($B79:$K79&lt;&gt;"",
     INDEX('Eurostat EB products IEA'!$A$4:$BN$135,
           MATCH($B79:$K79, 'Eurostat EB products IEA'!$A$4:$A$135, 0),
           MATCH(BM$1, 'Eurostat EB products IEA'!$A$4:$BN$4, 0)
     )
     * $L79:$U79,
     0
  )
)</f>
        <v>0</v>
      </c>
      <c r="BN79" s="57" cm="1">
        <f t="array" ref="BN79">SUMPRODUCT(
  IF($B79:$K79&lt;&gt;"",
     INDEX('Eurostat EB products IEA'!$A$4:$BN$135,
           MATCH($B79:$K79, 'Eurostat EB products IEA'!$A$4:$A$135, 0),
           MATCH(BN$1, 'Eurostat EB products IEA'!$A$4:$BN$4, 0)
     )
     * $L79:$U79,
     0
  )
)</f>
        <v>0</v>
      </c>
      <c r="BO79" s="57" cm="1">
        <f t="array" ref="BO79">SUMPRODUCT(
  IF($B79:$K79&lt;&gt;"",
     INDEX('Eurostat EB products IEA'!$A$4:$BN$135,
           MATCH($B79:$K79, 'Eurostat EB products IEA'!$A$4:$A$135, 0),
           MATCH(BO$1, 'Eurostat EB products IEA'!$A$4:$BN$4, 0)
     )
     * $L79:$U79,
     0
  )
)</f>
        <v>0</v>
      </c>
      <c r="BP79" s="57" cm="1">
        <f t="array" ref="BP79">SUMPRODUCT(
  IF($B79:$K79&lt;&gt;"",
     INDEX('Eurostat EB products IEA'!$A$4:$BN$135,
           MATCH($B79:$K79, 'Eurostat EB products IEA'!$A$4:$A$135, 0),
           MATCH(BP$1, 'Eurostat EB products IEA'!$A$4:$BN$4, 0)
     )
     * $L79:$U79,
     0
  )
)</f>
        <v>0</v>
      </c>
      <c r="BQ79" s="57" cm="1">
        <f t="array" ref="BQ79">SUMPRODUCT(
  IF($B79:$K79&lt;&gt;"",
     INDEX('Eurostat EB products IEA'!$A$4:$BN$135,
           MATCH($B79:$K79, 'Eurostat EB products IEA'!$A$4:$A$135, 0),
           MATCH(BQ$1, 'Eurostat EB products IEA'!$A$4:$BN$4, 0)
     )
     * $L79:$U79,
     0
  )
)</f>
        <v>0</v>
      </c>
      <c r="BR79" s="57" cm="1">
        <f t="array" ref="BR79">SUMPRODUCT(
  IF($B79:$K79&lt;&gt;"",
     INDEX('Eurostat EB products IEA'!$A$4:$BN$135,
           MATCH($B79:$K79, 'Eurostat EB products IEA'!$A$4:$A$135, 0),
           MATCH(BR$1, 'Eurostat EB products IEA'!$A$4:$BN$4, 0)
     )
     * $L79:$U79,
     0
  )
)</f>
        <v>0</v>
      </c>
      <c r="BS79" s="65">
        <v>0</v>
      </c>
      <c r="BT79" s="57" cm="1">
        <f t="array" ref="BT79">SUMPRODUCT(
  IF($B79:$K79&lt;&gt;"",
     INDEX('Eurostat EB products IEA'!$A$4:$BN$135,
           MATCH($B79:$K79, 'Eurostat EB products IEA'!$A$4:$A$135, 0),
           MATCH(BT$1, 'Eurostat EB products IEA'!$A$4:$BN$4, 0)
     )
     * $L79:$U79,
     0
  )
)</f>
        <v>0</v>
      </c>
      <c r="BU79" s="65">
        <v>0</v>
      </c>
      <c r="BV79" s="65">
        <v>0</v>
      </c>
      <c r="BW79" s="57" cm="1">
        <f t="array" ref="BW79">SUMPRODUCT(
  IF($B79:$K79&lt;&gt;"",
     INDEX('Eurostat EB products IEA'!$A$4:$BN$135,
           MATCH($B79:$K79, 'Eurostat EB products IEA'!$A$4:$A$135, 0),
           MATCH(BW$1, 'Eurostat EB products IEA'!$A$4:$BN$4, 0)
     )
     * $L79:$U79,
     0
  )
)</f>
        <v>0</v>
      </c>
      <c r="BX79" s="57" cm="1">
        <f t="array" ref="BX79">SUMPRODUCT(
  IF($B79:$K79&lt;&gt;"",
     INDEX('Eurostat EB products IEA'!$A$4:$BN$135,
           MATCH($B79:$K79, 'Eurostat EB products IEA'!$A$4:$A$135, 0),
           MATCH(BX$1, 'Eurostat EB products IEA'!$A$4:$BN$4, 0)
     )
     * $L79:$U79,
     0
  )
)</f>
        <v>0</v>
      </c>
      <c r="BY79" s="57" cm="1">
        <f t="array" ref="BY79">SUMPRODUCT(
  IF($B79:$K79&lt;&gt;"",
     INDEX('Eurostat EB products IEA'!$A$4:$BN$135,
           MATCH($B79:$K79, 'Eurostat EB products IEA'!$A$4:$A$135, 0),
           MATCH(BY$1, 'Eurostat EB products IEA'!$A$4:$BN$4, 0)
     )
     * $L79:$U79,
     0
  )
)</f>
        <v>0</v>
      </c>
      <c r="BZ79" s="57" cm="1">
        <f t="array" ref="BZ79">SUMPRODUCT(
  IF($B79:$K79&lt;&gt;"",
     INDEX('Eurostat EB products IEA'!$A$4:$BN$135,
           MATCH($B79:$K79, 'Eurostat EB products IEA'!$A$4:$A$135, 0),
           MATCH(BZ$1, 'Eurostat EB products IEA'!$A$4:$BN$4, 0)
     )
     * $L79:$U79,
     0
  )
)</f>
        <v>0</v>
      </c>
      <c r="CA79" s="57" cm="1">
        <f t="array" ref="CA79">SUMPRODUCT(
  IF($B79:$K79&lt;&gt;"",
     INDEX('Eurostat EB products IEA'!$A$4:$BN$135,
           MATCH($B79:$K79, 'Eurostat EB products IEA'!$A$4:$A$135, 0),
           MATCH(CA$1, 'Eurostat EB products IEA'!$A$4:$BN$4, 0)
     )
     * $L79:$U79,
     0
  )
)</f>
        <v>0</v>
      </c>
      <c r="CB79" s="57" cm="1">
        <f t="array" ref="CB79">SUMPRODUCT(
  IF($B79:$K79&lt;&gt;"",
     INDEX('Eurostat EB products IEA'!$A$4:$BN$135,
           MATCH($B79:$K79, 'Eurostat EB products IEA'!$A$4:$A$135, 0),
           MATCH(CB$1, 'Eurostat EB products IEA'!$A$4:$BN$4, 0)
     )
     * $L79:$U79,
     0
  )
)</f>
        <v>0</v>
      </c>
      <c r="CC79" s="57" cm="1">
        <f t="array" ref="CC79">SUMPRODUCT(
  IF($B79:$K79&lt;&gt;"",
     INDEX('Eurostat EB products IEA'!$A$4:$BN$135,
           MATCH($B79:$K79, 'Eurostat EB products IEA'!$A$4:$A$135, 0),
           MATCH(CC$1, 'Eurostat EB products IEA'!$A$4:$BN$4, 0)
     )
     * $L79:$U79,
     0
  )
)</f>
        <v>0</v>
      </c>
      <c r="CD79" s="65">
        <v>0</v>
      </c>
      <c r="CE79" s="57" cm="1">
        <f t="array" ref="CE79">SUMPRODUCT(
  IF($B79:$K79&lt;&gt;"",
     INDEX('Eurostat EB products IEA'!$A$4:$BN$135,
           MATCH($B79:$K79, 'Eurostat EB products IEA'!$A$4:$A$135, 0),
           MATCH(CE$1, 'Eurostat EB products IEA'!$A$4:$BN$4, 0)
     )
     * $L79:$U79,
     0
  )
)</f>
        <v>0</v>
      </c>
      <c r="CF79" s="57" cm="1">
        <f t="array" ref="CF79">SUMPRODUCT(
  IF($B79:$K79&lt;&gt;"",
     INDEX('Eurostat EB products IEA'!$A$4:$BN$135,
           MATCH($B79:$K79, 'Eurostat EB products IEA'!$A$4:$A$135, 0),
           MATCH(CF$1, 'Eurostat EB products IEA'!$A$4:$BN$4, 0)
     )
     * $L79:$U79,
     0
  )
)</f>
        <v>0</v>
      </c>
      <c r="CG79" s="57" cm="1">
        <f t="array" ref="CG79">SUMPRODUCT(
  IF($B79:$K79&lt;&gt;"",
     INDEX('Eurostat EB products IEA'!$A$4:$BN$135,
           MATCH($B79:$K79, 'Eurostat EB products IEA'!$A$4:$A$135, 0),
           MATCH(CG$1, 'Eurostat EB products IEA'!$A$4:$BN$4, 0)
     )
     * $L79:$U79,
     0
  )
)</f>
        <v>4725.7479999999996</v>
      </c>
      <c r="CH79" s="57" cm="1">
        <f t="array" ref="CH79">SUMPRODUCT(
  IF($B79:$K79&lt;&gt;"",
     INDEX('Eurostat EB products IEA'!$A$4:$BN$135,
           MATCH($B79:$K79, 'Eurostat EB products IEA'!$A$4:$A$135, 0),
           MATCH(CH$1, 'Eurostat EB products IEA'!$A$4:$BN$4, 0)
     )
     * $L79:$U79,
     0
  )
)</f>
        <v>0</v>
      </c>
    </row>
    <row r="80" spans="1:86" x14ac:dyDescent="0.2">
      <c r="A80" t="s">
        <v>186</v>
      </c>
      <c r="B80" s="75"/>
      <c r="C80" s="77"/>
      <c r="D80" s="75"/>
      <c r="E80" s="77"/>
      <c r="F80" s="75"/>
      <c r="G80" s="77"/>
      <c r="H80" s="75"/>
      <c r="I80" s="77"/>
      <c r="J80" s="74"/>
      <c r="K80" s="78" t="s">
        <v>313</v>
      </c>
      <c r="L80" s="76"/>
      <c r="M80" s="79"/>
      <c r="N80" s="76"/>
      <c r="O80" s="79"/>
      <c r="P80" s="76"/>
      <c r="Q80" s="79"/>
      <c r="R80" s="76"/>
      <c r="S80" s="79"/>
      <c r="T80" s="76"/>
      <c r="U80" s="79">
        <v>1</v>
      </c>
      <c r="V80" s="65" t="s">
        <v>323</v>
      </c>
      <c r="W80" s="65" t="s">
        <v>323</v>
      </c>
      <c r="X80" s="17" cm="1">
        <f t="array" ref="X80">SUMPRODUCT(
  IF($B80:$K80&lt;&gt;"",
     INDEX('Eurostat EB products IEA'!$A$4:$BN$135,
           MATCH($B80:$K80, 'Eurostat EB products IEA'!$A$4:$A$135, 0),
           MATCH(X$1, 'Eurostat EB products IEA'!$A$4:$BN$4, 0)
     )
     * $L80:$U80,
     0
  )
)</f>
        <v>0</v>
      </c>
      <c r="Y80" s="17" cm="1">
        <f t="array" ref="Y80">SUMPRODUCT(
  IF($B80:$K80&lt;&gt;"",
     INDEX('Eurostat EB products IEA'!$A$4:$BN$135,
           MATCH($B80:$K80, 'Eurostat EB products IEA'!$A$4:$A$135, 0),
           MATCH(Y$1, 'Eurostat EB products IEA'!$A$4:$BN$4, 0)
     )
     * $L80:$U80,
     0
  )
)</f>
        <v>0</v>
      </c>
      <c r="Z80" s="17" cm="1">
        <f t="array" ref="Z80">SUMPRODUCT(
  IF($B80:$K80&lt;&gt;"",
     INDEX('Eurostat EB products IEA'!$A$4:$BN$135,
           MATCH($B80:$K80, 'Eurostat EB products IEA'!$A$4:$A$135, 0),
           MATCH(Z$1, 'Eurostat EB products IEA'!$A$4:$BN$4, 0)
     )
     * $L80:$U80,
     0
  )
)</f>
        <v>0</v>
      </c>
      <c r="AA80" s="17" cm="1">
        <f t="array" ref="AA80">SUMPRODUCT(
  IF($B80:$K80&lt;&gt;"",
     INDEX('Eurostat EB products IEA'!$A$4:$BN$135,
           MATCH($B80:$K80, 'Eurostat EB products IEA'!$A$4:$A$135, 0),
           MATCH(AA$1, 'Eurostat EB products IEA'!$A$4:$BN$4, 0)
     )
     * $L80:$U80,
     0
  )
)</f>
        <v>0</v>
      </c>
      <c r="AB80" s="17" cm="1">
        <f t="array" ref="AB80">SUMPRODUCT(
  IF($B80:$K80&lt;&gt;"",
     INDEX('Eurostat EB products IEA'!$A$4:$BN$135,
           MATCH($B80:$K80, 'Eurostat EB products IEA'!$A$4:$A$135, 0),
           MATCH(AB$1, 'Eurostat EB products IEA'!$A$4:$BN$4, 0)
     )
     * $L80:$U80,
     0
  )
)</f>
        <v>0</v>
      </c>
      <c r="AC80" s="17" cm="1">
        <f t="array" ref="AC80">SUMPRODUCT(
  IF($B80:$K80&lt;&gt;"",
     INDEX('Eurostat EB products IEA'!$A$4:$BN$135,
           MATCH($B80:$K80, 'Eurostat EB products IEA'!$A$4:$A$135, 0),
           MATCH(AC$1, 'Eurostat EB products IEA'!$A$4:$BN$4, 0)
     )
     * $L80:$U80,
     0
  )
)</f>
        <v>0</v>
      </c>
      <c r="AD80" s="17" cm="1">
        <f t="array" ref="AD80">SUMPRODUCT(
  IF($B80:$K80&lt;&gt;"",
     INDEX('Eurostat EB products IEA'!$A$4:$BN$135,
           MATCH($B80:$K80, 'Eurostat EB products IEA'!$A$4:$A$135, 0),
           MATCH(AD$1, 'Eurostat EB products IEA'!$A$4:$BN$4, 0)
     )
     * $L80:$U80,
     0
  )
)</f>
        <v>0</v>
      </c>
      <c r="AE80" s="17" cm="1">
        <f t="array" ref="AE80">SUMPRODUCT(
  IF($B80:$K80&lt;&gt;"",
     INDEX('Eurostat EB products IEA'!$A$4:$BN$135,
           MATCH($B80:$K80, 'Eurostat EB products IEA'!$A$4:$A$135, 0),
           MATCH(AE$1, 'Eurostat EB products IEA'!$A$4:$BN$4, 0)
     )
     * $L80:$U80,
     0
  )
)</f>
        <v>0</v>
      </c>
      <c r="AF80" s="17" cm="1">
        <f t="array" ref="AF80">SUMPRODUCT(
  IF($B80:$K80&lt;&gt;"",
     INDEX('Eurostat EB products IEA'!$A$4:$BN$135,
           MATCH($B80:$K80, 'Eurostat EB products IEA'!$A$4:$A$135, 0),
           MATCH(AF$1, 'Eurostat EB products IEA'!$A$4:$BN$4, 0)
     )
     * $L80:$U80,
     0
  )
)</f>
        <v>0</v>
      </c>
      <c r="AG80" s="17" cm="1">
        <f t="array" ref="AG80">SUMPRODUCT(
  IF($B80:$K80&lt;&gt;"",
     INDEX('Eurostat EB products IEA'!$A$4:$BN$135,
           MATCH($B80:$K80, 'Eurostat EB products IEA'!$A$4:$A$135, 0),
           MATCH(AG$1, 'Eurostat EB products IEA'!$A$4:$BN$4, 0)
     )
     * $L80:$U80,
     0
  )
)</f>
        <v>0</v>
      </c>
      <c r="AH80" s="17" cm="1">
        <f t="array" ref="AH80">SUMPRODUCT(
  IF($B80:$K80&lt;&gt;"",
     INDEX('Eurostat EB products IEA'!$A$4:$BN$135,
           MATCH($B80:$K80, 'Eurostat EB products IEA'!$A$4:$A$135, 0),
           MATCH(AH$1, 'Eurostat EB products IEA'!$A$4:$BN$4, 0)
     )
     * $L80:$U80,
     0
  )
)</f>
        <v>0</v>
      </c>
      <c r="AI80" s="17" cm="1">
        <f t="array" ref="AI80">SUMPRODUCT(
  IF($B80:$K80&lt;&gt;"",
     INDEX('Eurostat EB products IEA'!$A$4:$BN$135,
           MATCH($B80:$K80, 'Eurostat EB products IEA'!$A$4:$A$135, 0),
           MATCH(AI$1, 'Eurostat EB products IEA'!$A$4:$BN$4, 0)
     )
     * $L80:$U80,
     0
  )
)</f>
        <v>0</v>
      </c>
      <c r="AJ80" s="17" cm="1">
        <f t="array" ref="AJ80">SUMPRODUCT(
  IF($B80:$K80&lt;&gt;"",
     INDEX('Eurostat EB products IEA'!$A$4:$BN$135,
           MATCH($B80:$K80, 'Eurostat EB products IEA'!$A$4:$A$135, 0),
           MATCH(AJ$1, 'Eurostat EB products IEA'!$A$4:$BN$4, 0)
     )
     * $L80:$U80,
     0
  )
)</f>
        <v>0</v>
      </c>
      <c r="AK80" s="17" cm="1">
        <f t="array" ref="AK80">SUMPRODUCT(
  IF($B80:$K80&lt;&gt;"",
     INDEX('Eurostat EB products IEA'!$A$4:$BN$135,
           MATCH($B80:$K80, 'Eurostat EB products IEA'!$A$4:$A$135, 0),
           MATCH(AK$1, 'Eurostat EB products IEA'!$A$4:$BN$4, 0)
     )
     * $L80:$U80,
     0
  )
)</f>
        <v>0</v>
      </c>
      <c r="AL80" s="17" cm="1">
        <f t="array" ref="AL80">SUMPRODUCT(
  IF($B80:$K80&lt;&gt;"",
     INDEX('Eurostat EB products IEA'!$A$4:$BN$135,
           MATCH($B80:$K80, 'Eurostat EB products IEA'!$A$4:$A$135, 0),
           MATCH(AL$1, 'Eurostat EB products IEA'!$A$4:$BN$4, 0)
     )
     * $L80:$U80,
     0
  )
)</f>
        <v>0</v>
      </c>
      <c r="AM80" s="17" cm="1">
        <f t="array" ref="AM80">SUMPRODUCT(
  IF($B80:$K80&lt;&gt;"",
     INDEX('Eurostat EB products IEA'!$A$4:$BN$135,
           MATCH($B80:$K80, 'Eurostat EB products IEA'!$A$4:$A$135, 0),
           MATCH(AM$1, 'Eurostat EB products IEA'!$A$4:$BN$4, 0)
     )
     * $L80:$U80,
     0
  )
)</f>
        <v>85.927000000000007</v>
      </c>
      <c r="AN80" s="65" t="s">
        <v>323</v>
      </c>
      <c r="AO80" s="17" cm="1">
        <f t="array" ref="AO80">SUMPRODUCT(
  IF($B80:$K80&lt;&gt;"",
     INDEX('Eurostat EB products IEA'!$A$4:$BN$135,
           MATCH($B80:$K80, 'Eurostat EB products IEA'!$A$4:$A$135, 0),
           MATCH(AO$1, 'Eurostat EB products IEA'!$A$4:$BN$4, 0)
     )
     * $L80:$U80,
     0
  )
)</f>
        <v>0</v>
      </c>
      <c r="AP80" s="17" cm="1">
        <f t="array" ref="AP80">SUMPRODUCT(
  IF($B80:$K80&lt;&gt;"",
     INDEX('Eurostat EB products IEA'!$A$4:$BN$135,
           MATCH($B80:$K80, 'Eurostat EB products IEA'!$A$4:$A$135, 0),
           MATCH(AP$1, 'Eurostat EB products IEA'!$A$4:$BN$4, 0)
     )
     * $L80:$U80,
     0
  )
)</f>
        <v>0</v>
      </c>
      <c r="AQ80" s="17" cm="1">
        <f t="array" ref="AQ80">SUMPRODUCT(
  IF($B80:$K80&lt;&gt;"",
     INDEX('Eurostat EB products IEA'!$A$4:$BN$135,
           MATCH($B80:$K80, 'Eurostat EB products IEA'!$A$4:$A$135, 0),
           MATCH(AQ$1, 'Eurostat EB products IEA'!$A$4:$BN$4, 0)
     )
     * $L80:$U80,
     0
  )
)</f>
        <v>0</v>
      </c>
      <c r="AR80" s="17" cm="1">
        <f t="array" ref="AR80">SUMPRODUCT(
  IF($B80:$K80&lt;&gt;"",
     INDEX('Eurostat EB products IEA'!$A$4:$BN$135,
           MATCH($B80:$K80, 'Eurostat EB products IEA'!$A$4:$A$135, 0),
           MATCH(AR$1, 'Eurostat EB products IEA'!$A$4:$BN$4, 0)
     )
     * $L80:$U80,
     0
  )
)</f>
        <v>0</v>
      </c>
      <c r="AS80" s="17" cm="1">
        <f t="array" ref="AS80">SUMPRODUCT(
  IF($B80:$K80&lt;&gt;"",
     INDEX('Eurostat EB products IEA'!$A$4:$BN$135,
           MATCH($B80:$K80, 'Eurostat EB products IEA'!$A$4:$A$135, 0),
           MATCH(AS$1, 'Eurostat EB products IEA'!$A$4:$BN$4, 0)
     )
     * $L80:$U80,
     0
  )
)</f>
        <v>0</v>
      </c>
      <c r="AT80" s="17" cm="1">
        <f t="array" ref="AT80">SUMPRODUCT(
  IF($B80:$K80&lt;&gt;"",
     INDEX('Eurostat EB products IEA'!$A$4:$BN$135,
           MATCH($B80:$K80, 'Eurostat EB products IEA'!$A$4:$A$135, 0),
           MATCH(AT$1, 'Eurostat EB products IEA'!$A$4:$BN$4, 0)
     )
     * $L80:$U80,
     0
  )
)</f>
        <v>0</v>
      </c>
      <c r="AU80" s="17" cm="1">
        <f t="array" ref="AU80">SUMPRODUCT(
  IF($B80:$K80&lt;&gt;"",
     INDEX('Eurostat EB products IEA'!$A$4:$BN$135,
           MATCH($B80:$K80, 'Eurostat EB products IEA'!$A$4:$A$135, 0),
           MATCH(AU$1, 'Eurostat EB products IEA'!$A$4:$BN$4, 0)
     )
     * $L80:$U80,
     0
  )
)</f>
        <v>0</v>
      </c>
      <c r="AV80" s="17" cm="1">
        <f t="array" ref="AV80">SUMPRODUCT(
  IF($B80:$K80&lt;&gt;"",
     INDEX('Eurostat EB products IEA'!$A$4:$BN$135,
           MATCH($B80:$K80, 'Eurostat EB products IEA'!$A$4:$A$135, 0),
           MATCH(AV$1, 'Eurostat EB products IEA'!$A$4:$BN$4, 0)
     )
     * $L80:$U80,
     0
  )
)</f>
        <v>0</v>
      </c>
      <c r="AW80" s="17" cm="1">
        <f t="array" ref="AW80">SUMPRODUCT(
  IF($B80:$K80&lt;&gt;"",
     INDEX('Eurostat EB products IEA'!$A$4:$BN$135,
           MATCH($B80:$K80, 'Eurostat EB products IEA'!$A$4:$A$135, 0),
           MATCH(AW$1, 'Eurostat EB products IEA'!$A$4:$BN$4, 0)
     )
     * $L80:$U80,
     0
  )
)</f>
        <v>0</v>
      </c>
      <c r="AX80" s="17" cm="1">
        <f t="array" ref="AX80">SUMPRODUCT(
  IF($B80:$K80&lt;&gt;"",
     INDEX('Eurostat EB products IEA'!$A$4:$BN$135,
           MATCH($B80:$K80, 'Eurostat EB products IEA'!$A$4:$A$135, 0),
           MATCH(AX$1, 'Eurostat EB products IEA'!$A$4:$BN$4, 0)
     )
     * $L80:$U80,
     0
  )
)</f>
        <v>0</v>
      </c>
      <c r="AY80" s="17" cm="1">
        <f t="array" ref="AY80">SUMPRODUCT(
  IF($B80:$K80&lt;&gt;"",
     INDEX('Eurostat EB products IEA'!$A$4:$BN$135,
           MATCH($B80:$K80, 'Eurostat EB products IEA'!$A$4:$A$135, 0),
           MATCH(AY$1, 'Eurostat EB products IEA'!$A$4:$BN$4, 0)
     )
     * $L80:$U80,
     0
  )
)</f>
        <v>0</v>
      </c>
      <c r="AZ80" s="17" cm="1">
        <f t="array" ref="AZ80">SUMPRODUCT(
  IF($B80:$K80&lt;&gt;"",
     INDEX('Eurostat EB products IEA'!$A$4:$BN$135,
           MATCH($B80:$K80, 'Eurostat EB products IEA'!$A$4:$A$135, 0),
           MATCH(AZ$1, 'Eurostat EB products IEA'!$A$4:$BN$4, 0)
     )
     * $L80:$U80,
     0
  )
)</f>
        <v>1588.748</v>
      </c>
      <c r="BA80" s="17" cm="1">
        <f t="array" ref="BA80">SUMPRODUCT(
  IF($B80:$K80&lt;&gt;"",
     INDEX('Eurostat EB products IEA'!$A$4:$BN$135,
           MATCH($B80:$K80, 'Eurostat EB products IEA'!$A$4:$A$135, 0),
           MATCH(BA$1, 'Eurostat EB products IEA'!$A$4:$BN$4, 0)
     )
     * $L80:$U80,
     0
  )
)</f>
        <v>0</v>
      </c>
      <c r="BB80" s="17" cm="1">
        <f t="array" ref="BB80">SUMPRODUCT(
  IF($B80:$K80&lt;&gt;"",
     INDEX('Eurostat EB products IEA'!$A$4:$BN$135,
           MATCH($B80:$K80, 'Eurostat EB products IEA'!$A$4:$A$135, 0),
           MATCH(BB$1, 'Eurostat EB products IEA'!$A$4:$BN$4, 0)
     )
     * $L80:$U80,
     0
  )
)</f>
        <v>2030.8430000000001</v>
      </c>
      <c r="BC80" s="17" cm="1">
        <f t="array" ref="BC80">SUMPRODUCT(
  IF($B80:$K80&lt;&gt;"",
     INDEX('Eurostat EB products IEA'!$A$4:$BN$135,
           MATCH($B80:$K80, 'Eurostat EB products IEA'!$A$4:$A$135, 0),
           MATCH(BC$1, 'Eurostat EB products IEA'!$A$4:$BN$4, 0)
     )
     * $L80:$U80,
     0
  )
)</f>
        <v>0</v>
      </c>
      <c r="BD80" s="17" cm="1">
        <f t="array" ref="BD80">SUMPRODUCT(
  IF($B80:$K80&lt;&gt;"",
     INDEX('Eurostat EB products IEA'!$A$4:$BN$135,
           MATCH($B80:$K80, 'Eurostat EB products IEA'!$A$4:$A$135, 0),
           MATCH(BD$1, 'Eurostat EB products IEA'!$A$4:$BN$4, 0)
     )
     * $L80:$U80,
     0
  )
)</f>
        <v>0</v>
      </c>
      <c r="BE80" s="17" cm="1">
        <f t="array" ref="BE80">SUMPRODUCT(
  IF($B80:$K80&lt;&gt;"",
     INDEX('Eurostat EB products IEA'!$A$4:$BN$135,
           MATCH($B80:$K80, 'Eurostat EB products IEA'!$A$4:$A$135, 0),
           MATCH(BE$1, 'Eurostat EB products IEA'!$A$4:$BN$4, 0)
     )
     * $L80:$U80,
     0
  )
)</f>
        <v>0</v>
      </c>
      <c r="BF80" s="17" cm="1">
        <f t="array" ref="BF80">SUMPRODUCT(
  IF($B80:$K80&lt;&gt;"",
     INDEX('Eurostat EB products IEA'!$A$4:$BN$135,
           MATCH($B80:$K80, 'Eurostat EB products IEA'!$A$4:$A$135, 0),
           MATCH(BF$1, 'Eurostat EB products IEA'!$A$4:$BN$4, 0)
     )
     * $L80:$U80,
     0
  )
)</f>
        <v>0</v>
      </c>
      <c r="BG80" s="17" cm="1">
        <f t="array" ref="BG80">SUMPRODUCT(
  IF($B80:$K80&lt;&gt;"",
     INDEX('Eurostat EB products IEA'!$A$4:$BN$135,
           MATCH($B80:$K80, 'Eurostat EB products IEA'!$A$4:$A$135, 0),
           MATCH(BG$1, 'Eurostat EB products IEA'!$A$4:$BN$4, 0)
     )
     * $L80:$U80,
     0
  )
)</f>
        <v>0</v>
      </c>
      <c r="BH80" s="17" cm="1">
        <f t="array" ref="BH80">SUMPRODUCT(
  IF($B80:$K80&lt;&gt;"",
     INDEX('Eurostat EB products IEA'!$A$4:$BN$135,
           MATCH($B80:$K80, 'Eurostat EB products IEA'!$A$4:$A$135, 0),
           MATCH(BH$1, 'Eurostat EB products IEA'!$A$4:$BN$4, 0)
     )
     * $L80:$U80,
     0
  )
)</f>
        <v>0</v>
      </c>
      <c r="BI80" s="17" cm="1">
        <f t="array" ref="BI80">SUMPRODUCT(
  IF($B80:$K80&lt;&gt;"",
     INDEX('Eurostat EB products IEA'!$A$4:$BN$135,
           MATCH($B80:$K80, 'Eurostat EB products IEA'!$A$4:$A$135, 0),
           MATCH(BI$1, 'Eurostat EB products IEA'!$A$4:$BN$4, 0)
     )
     * $L80:$U80,
     0
  )
)</f>
        <v>0</v>
      </c>
      <c r="BJ80" s="17" cm="1">
        <f t="array" ref="BJ80">SUMPRODUCT(
  IF($B80:$K80&lt;&gt;"",
     INDEX('Eurostat EB products IEA'!$A$4:$BN$135,
           MATCH($B80:$K80, 'Eurostat EB products IEA'!$A$4:$A$135, 0),
           MATCH(BJ$1, 'Eurostat EB products IEA'!$A$4:$BN$4, 0)
     )
     * $L80:$U80,
     0
  )
)</f>
        <v>0</v>
      </c>
      <c r="BK80" s="17" cm="1">
        <f t="array" ref="BK80">SUMPRODUCT(
  IF($B80:$K80&lt;&gt;"",
     INDEX('Eurostat EB products IEA'!$A$4:$BN$135,
           MATCH($B80:$K80, 'Eurostat EB products IEA'!$A$4:$A$135, 0),
           MATCH(BK$1, 'Eurostat EB products IEA'!$A$4:$BN$4, 0)
     )
     * $L80:$U80,
     0
  )
)</f>
        <v>0</v>
      </c>
      <c r="BL80" s="17" cm="1">
        <f t="array" ref="BL80">SUMPRODUCT(
  IF($B80:$K80&lt;&gt;"",
     INDEX('Eurostat EB products IEA'!$A$4:$BN$135,
           MATCH($B80:$K80, 'Eurostat EB products IEA'!$A$4:$A$135, 0),
           MATCH(BL$1, 'Eurostat EB products IEA'!$A$4:$BN$4, 0)
     )
     * $L80:$U80,
     0
  )
)</f>
        <v>0</v>
      </c>
      <c r="BM80" s="17" cm="1">
        <f t="array" ref="BM80">SUMPRODUCT(
  IF($B80:$K80&lt;&gt;"",
     INDEX('Eurostat EB products IEA'!$A$4:$BN$135,
           MATCH($B80:$K80, 'Eurostat EB products IEA'!$A$4:$A$135, 0),
           MATCH(BM$1, 'Eurostat EB products IEA'!$A$4:$BN$4, 0)
     )
     * $L80:$U80,
     0
  )
)</f>
        <v>0</v>
      </c>
      <c r="BN80" s="17" cm="1">
        <f t="array" ref="BN80">SUMPRODUCT(
  IF($B80:$K80&lt;&gt;"",
     INDEX('Eurostat EB products IEA'!$A$4:$BN$135,
           MATCH($B80:$K80, 'Eurostat EB products IEA'!$A$4:$A$135, 0),
           MATCH(BN$1, 'Eurostat EB products IEA'!$A$4:$BN$4, 0)
     )
     * $L80:$U80,
     0
  )
)</f>
        <v>0</v>
      </c>
      <c r="BO80" s="17" cm="1">
        <f t="array" ref="BO80">SUMPRODUCT(
  IF($B80:$K80&lt;&gt;"",
     INDEX('Eurostat EB products IEA'!$A$4:$BN$135,
           MATCH($B80:$K80, 'Eurostat EB products IEA'!$A$4:$A$135, 0),
           MATCH(BO$1, 'Eurostat EB products IEA'!$A$4:$BN$4, 0)
     )
     * $L80:$U80,
     0
  )
)</f>
        <v>0</v>
      </c>
      <c r="BP80" s="17" cm="1">
        <f t="array" ref="BP80">SUMPRODUCT(
  IF($B80:$K80&lt;&gt;"",
     INDEX('Eurostat EB products IEA'!$A$4:$BN$135,
           MATCH($B80:$K80, 'Eurostat EB products IEA'!$A$4:$A$135, 0),
           MATCH(BP$1, 'Eurostat EB products IEA'!$A$4:$BN$4, 0)
     )
     * $L80:$U80,
     0
  )
)</f>
        <v>0</v>
      </c>
      <c r="BQ80" s="17" cm="1">
        <f t="array" ref="BQ80">SUMPRODUCT(
  IF($B80:$K80&lt;&gt;"",
     INDEX('Eurostat EB products IEA'!$A$4:$BN$135,
           MATCH($B80:$K80, 'Eurostat EB products IEA'!$A$4:$A$135, 0),
           MATCH(BQ$1, 'Eurostat EB products IEA'!$A$4:$BN$4, 0)
     )
     * $L80:$U80,
     0
  )
)</f>
        <v>0</v>
      </c>
      <c r="BR80" s="17" cm="1">
        <f t="array" ref="BR80">SUMPRODUCT(
  IF($B80:$K80&lt;&gt;"",
     INDEX('Eurostat EB products IEA'!$A$4:$BN$135,
           MATCH($B80:$K80, 'Eurostat EB products IEA'!$A$4:$A$135, 0),
           MATCH(BR$1, 'Eurostat EB products IEA'!$A$4:$BN$4, 0)
     )
     * $L80:$U80,
     0
  )
)</f>
        <v>0</v>
      </c>
      <c r="BS80" s="65">
        <v>0</v>
      </c>
      <c r="BT80" s="17" cm="1">
        <f t="array" ref="BT80">SUMPRODUCT(
  IF($B80:$K80&lt;&gt;"",
     INDEX('Eurostat EB products IEA'!$A$4:$BN$135,
           MATCH($B80:$K80, 'Eurostat EB products IEA'!$A$4:$A$135, 0),
           MATCH(BT$1, 'Eurostat EB products IEA'!$A$4:$BN$4, 0)
     )
     * $L80:$U80,
     0
  )
)</f>
        <v>0</v>
      </c>
      <c r="BU80" s="65">
        <v>0</v>
      </c>
      <c r="BV80" s="65">
        <v>0</v>
      </c>
      <c r="BW80" s="17" cm="1">
        <f t="array" ref="BW80">SUMPRODUCT(
  IF($B80:$K80&lt;&gt;"",
     INDEX('Eurostat EB products IEA'!$A$4:$BN$135,
           MATCH($B80:$K80, 'Eurostat EB products IEA'!$A$4:$A$135, 0),
           MATCH(BW$1, 'Eurostat EB products IEA'!$A$4:$BN$4, 0)
     )
     * $L80:$U80,
     0
  )
)</f>
        <v>0</v>
      </c>
      <c r="BX80" s="17" cm="1">
        <f t="array" ref="BX80">SUMPRODUCT(
  IF($B80:$K80&lt;&gt;"",
     INDEX('Eurostat EB products IEA'!$A$4:$BN$135,
           MATCH($B80:$K80, 'Eurostat EB products IEA'!$A$4:$A$135, 0),
           MATCH(BX$1, 'Eurostat EB products IEA'!$A$4:$BN$4, 0)
     )
     * $L80:$U80,
     0
  )
)</f>
        <v>0</v>
      </c>
      <c r="BY80" s="17" cm="1">
        <f t="array" ref="BY80">SUMPRODUCT(
  IF($B80:$K80&lt;&gt;"",
     INDEX('Eurostat EB products IEA'!$A$4:$BN$135,
           MATCH($B80:$K80, 'Eurostat EB products IEA'!$A$4:$A$135, 0),
           MATCH(BY$1, 'Eurostat EB products IEA'!$A$4:$BN$4, 0)
     )
     * $L80:$U80,
     0
  )
)</f>
        <v>0</v>
      </c>
      <c r="BZ80" s="17" cm="1">
        <f t="array" ref="BZ80">SUMPRODUCT(
  IF($B80:$K80&lt;&gt;"",
     INDEX('Eurostat EB products IEA'!$A$4:$BN$135,
           MATCH($B80:$K80, 'Eurostat EB products IEA'!$A$4:$A$135, 0),
           MATCH(BZ$1, 'Eurostat EB products IEA'!$A$4:$BN$4, 0)
     )
     * $L80:$U80,
     0
  )
)</f>
        <v>0</v>
      </c>
      <c r="CA80" s="17" cm="1">
        <f t="array" ref="CA80">SUMPRODUCT(
  IF($B80:$K80&lt;&gt;"",
     INDEX('Eurostat EB products IEA'!$A$4:$BN$135,
           MATCH($B80:$K80, 'Eurostat EB products IEA'!$A$4:$A$135, 0),
           MATCH(CA$1, 'Eurostat EB products IEA'!$A$4:$BN$4, 0)
     )
     * $L80:$U80,
     0
  )
)</f>
        <v>0</v>
      </c>
      <c r="CB80" s="17" cm="1">
        <f t="array" ref="CB80">SUMPRODUCT(
  IF($B80:$K80&lt;&gt;"",
     INDEX('Eurostat EB products IEA'!$A$4:$BN$135,
           MATCH($B80:$K80, 'Eurostat EB products IEA'!$A$4:$A$135, 0),
           MATCH(CB$1, 'Eurostat EB products IEA'!$A$4:$BN$4, 0)
     )
     * $L80:$U80,
     0
  )
)</f>
        <v>0</v>
      </c>
      <c r="CC80" s="17" cm="1">
        <f t="array" ref="CC80">SUMPRODUCT(
  IF($B80:$K80&lt;&gt;"",
     INDEX('Eurostat EB products IEA'!$A$4:$BN$135,
           MATCH($B80:$K80, 'Eurostat EB products IEA'!$A$4:$A$135, 0),
           MATCH(CC$1, 'Eurostat EB products IEA'!$A$4:$BN$4, 0)
     )
     * $L80:$U80,
     0
  )
)</f>
        <v>0</v>
      </c>
      <c r="CD80" s="65">
        <v>0</v>
      </c>
      <c r="CE80" s="17" cm="1">
        <f t="array" ref="CE80">SUMPRODUCT(
  IF($B80:$K80&lt;&gt;"",
     INDEX('Eurostat EB products IEA'!$A$4:$BN$135,
           MATCH($B80:$K80, 'Eurostat EB products IEA'!$A$4:$A$135, 0),
           MATCH(CE$1, 'Eurostat EB products IEA'!$A$4:$BN$4, 0)
     )
     * $L80:$U80,
     0
  )
)</f>
        <v>0</v>
      </c>
      <c r="CF80" s="17" cm="1">
        <f t="array" ref="CF80">SUMPRODUCT(
  IF($B80:$K80&lt;&gt;"",
     INDEX('Eurostat EB products IEA'!$A$4:$BN$135,
           MATCH($B80:$K80, 'Eurostat EB products IEA'!$A$4:$A$135, 0),
           MATCH(CF$1, 'Eurostat EB products IEA'!$A$4:$BN$4, 0)
     )
     * $L80:$U80,
     0
  )
)</f>
        <v>0</v>
      </c>
      <c r="CG80" s="17" cm="1">
        <f t="array" ref="CG80">SUMPRODUCT(
  IF($B80:$K80&lt;&gt;"",
     INDEX('Eurostat EB products IEA'!$A$4:$BN$135,
           MATCH($B80:$K80, 'Eurostat EB products IEA'!$A$4:$A$135, 0),
           MATCH(CG$1, 'Eurostat EB products IEA'!$A$4:$BN$4, 0)
     )
     * $L80:$U80,
     0
  )
)</f>
        <v>4052.123</v>
      </c>
      <c r="CH80" s="17" cm="1">
        <f t="array" ref="CH80">SUMPRODUCT(
  IF($B80:$K80&lt;&gt;"",
     INDEX('Eurostat EB products IEA'!$A$4:$BN$135,
           MATCH($B80:$K80, 'Eurostat EB products IEA'!$A$4:$A$135, 0),
           MATCH(CH$1, 'Eurostat EB products IEA'!$A$4:$BN$4, 0)
     )
     * $L80:$U80,
     0
  )
)</f>
        <v>0.88</v>
      </c>
    </row>
    <row r="81" spans="1:86" x14ac:dyDescent="0.2">
      <c r="A81" t="s">
        <v>187</v>
      </c>
      <c r="B81" s="75"/>
      <c r="C81" s="77"/>
      <c r="D81" s="75"/>
      <c r="E81" s="77"/>
      <c r="F81" s="75"/>
      <c r="G81" s="77"/>
      <c r="H81" s="75"/>
      <c r="I81" s="78" t="s">
        <v>285</v>
      </c>
      <c r="J81" s="74" t="s">
        <v>284</v>
      </c>
      <c r="K81" s="78" t="s">
        <v>280</v>
      </c>
      <c r="L81" s="76"/>
      <c r="M81" s="79"/>
      <c r="N81" s="76"/>
      <c r="O81" s="79"/>
      <c r="P81" s="76"/>
      <c r="Q81" s="79"/>
      <c r="R81" s="76"/>
      <c r="S81" s="79">
        <v>1</v>
      </c>
      <c r="T81" s="76">
        <v>1</v>
      </c>
      <c r="U81" s="79">
        <v>1</v>
      </c>
      <c r="V81" s="65" t="s">
        <v>323</v>
      </c>
      <c r="W81" s="65" t="s">
        <v>323</v>
      </c>
      <c r="X81" s="57" cm="1">
        <f t="array" ref="X81">SUMPRODUCT(
  IF($B81:$K81&lt;&gt;"",
     INDEX('Eurostat EB products IEA'!$A$4:$BN$135,
           MATCH($B81:$K81, 'Eurostat EB products IEA'!$A$4:$A$135, 0),
           MATCH(X$1, 'Eurostat EB products IEA'!$A$4:$BN$4, 0)
     )
     * $L81:$U81,
     0
  )
)</f>
        <v>74.216999999999999</v>
      </c>
      <c r="Y81" s="57" cm="1">
        <f t="array" ref="Y81">SUMPRODUCT(
  IF($B81:$K81&lt;&gt;"",
     INDEX('Eurostat EB products IEA'!$A$4:$BN$135,
           MATCH($B81:$K81, 'Eurostat EB products IEA'!$A$4:$A$135, 0),
           MATCH(Y$1, 'Eurostat EB products IEA'!$A$4:$BN$4, 0)
     )
     * $L81:$U81,
     0
  )
)</f>
        <v>18.925000000000001</v>
      </c>
      <c r="Z81" s="57" cm="1">
        <f t="array" ref="Z81">SUMPRODUCT(
  IF($B81:$K81&lt;&gt;"",
     INDEX('Eurostat EB products IEA'!$A$4:$BN$135,
           MATCH($B81:$K81, 'Eurostat EB products IEA'!$A$4:$A$135, 0),
           MATCH(Z$1, 'Eurostat EB products IEA'!$A$4:$BN$4, 0)
     )
     * $L81:$U81,
     0
  )
)</f>
        <v>0</v>
      </c>
      <c r="AA81" s="57" cm="1">
        <f t="array" ref="AA81">SUMPRODUCT(
  IF($B81:$K81&lt;&gt;"",
     INDEX('Eurostat EB products IEA'!$A$4:$BN$135,
           MATCH($B81:$K81, 'Eurostat EB products IEA'!$A$4:$A$135, 0),
           MATCH(AA$1, 'Eurostat EB products IEA'!$A$4:$BN$4, 0)
     )
     * $L81:$U81,
     0
  )
)</f>
        <v>0</v>
      </c>
      <c r="AB81" s="57" cm="1">
        <f t="array" ref="AB81">SUMPRODUCT(
  IF($B81:$K81&lt;&gt;"",
     INDEX('Eurostat EB products IEA'!$A$4:$BN$135,
           MATCH($B81:$K81, 'Eurostat EB products IEA'!$A$4:$A$135, 0),
           MATCH(AB$1, 'Eurostat EB products IEA'!$A$4:$BN$4, 0)
     )
     * $L81:$U81,
     0
  )
)</f>
        <v>0</v>
      </c>
      <c r="AC81" s="57" cm="1">
        <f t="array" ref="AC81">SUMPRODUCT(
  IF($B81:$K81&lt;&gt;"",
     INDEX('Eurostat EB products IEA'!$A$4:$BN$135,
           MATCH($B81:$K81, 'Eurostat EB products IEA'!$A$4:$A$135, 0),
           MATCH(AC$1, 'Eurostat EB products IEA'!$A$4:$BN$4, 0)
     )
     * $L81:$U81,
     0
  )
)</f>
        <v>0</v>
      </c>
      <c r="AD81" s="57" cm="1">
        <f t="array" ref="AD81">SUMPRODUCT(
  IF($B81:$K81&lt;&gt;"",
     INDEX('Eurostat EB products IEA'!$A$4:$BN$135,
           MATCH($B81:$K81, 'Eurostat EB products IEA'!$A$4:$A$135, 0),
           MATCH(AD$1, 'Eurostat EB products IEA'!$A$4:$BN$4, 0)
     )
     * $L81:$U81,
     0
  )
)</f>
        <v>251.399</v>
      </c>
      <c r="AE81" s="57" cm="1">
        <f t="array" ref="AE81">SUMPRODUCT(
  IF($B81:$K81&lt;&gt;"",
     INDEX('Eurostat EB products IEA'!$A$4:$BN$135,
           MATCH($B81:$K81, 'Eurostat EB products IEA'!$A$4:$A$135, 0),
           MATCH(AE$1, 'Eurostat EB products IEA'!$A$4:$BN$4, 0)
     )
     * $L81:$U81,
     0
  )
)</f>
        <v>0</v>
      </c>
      <c r="AF81" s="57" cm="1">
        <f t="array" ref="AF81">SUMPRODUCT(
  IF($B81:$K81&lt;&gt;"",
     INDEX('Eurostat EB products IEA'!$A$4:$BN$135,
           MATCH($B81:$K81, 'Eurostat EB products IEA'!$A$4:$A$135, 0),
           MATCH(AF$1, 'Eurostat EB products IEA'!$A$4:$BN$4, 0)
     )
     * $L81:$U81,
     0
  )
)</f>
        <v>917.98699999999997</v>
      </c>
      <c r="AG81" s="57" cm="1">
        <f t="array" ref="AG81">SUMPRODUCT(
  IF($B81:$K81&lt;&gt;"",
     INDEX('Eurostat EB products IEA'!$A$4:$BN$135,
           MATCH($B81:$K81, 'Eurostat EB products IEA'!$A$4:$A$135, 0),
           MATCH(AG$1, 'Eurostat EB products IEA'!$A$4:$BN$4, 0)
     )
     * $L81:$U81,
     0
  )
)</f>
        <v>0</v>
      </c>
      <c r="AH81" s="57" cm="1">
        <f t="array" ref="AH81">SUMPRODUCT(
  IF($B81:$K81&lt;&gt;"",
     INDEX('Eurostat EB products IEA'!$A$4:$BN$135,
           MATCH($B81:$K81, 'Eurostat EB products IEA'!$A$4:$A$135, 0),
           MATCH(AH$1, 'Eurostat EB products IEA'!$A$4:$BN$4, 0)
     )
     * $L81:$U81,
     0
  )
)</f>
        <v>0</v>
      </c>
      <c r="AI81" s="57" cm="1">
        <f t="array" ref="AI81">SUMPRODUCT(
  IF($B81:$K81&lt;&gt;"",
     INDEX('Eurostat EB products IEA'!$A$4:$BN$135,
           MATCH($B81:$K81, 'Eurostat EB products IEA'!$A$4:$A$135, 0),
           MATCH(AI$1, 'Eurostat EB products IEA'!$A$4:$BN$4, 0)
     )
     * $L81:$U81,
     0
  )
)</f>
        <v>0</v>
      </c>
      <c r="AJ81" s="57" cm="1">
        <f t="array" ref="AJ81">SUMPRODUCT(
  IF($B81:$K81&lt;&gt;"",
     INDEX('Eurostat EB products IEA'!$A$4:$BN$135,
           MATCH($B81:$K81, 'Eurostat EB products IEA'!$A$4:$A$135, 0),
           MATCH(AJ$1, 'Eurostat EB products IEA'!$A$4:$BN$4, 0)
     )
     * $L81:$U81,
     0
  )
)</f>
        <v>0</v>
      </c>
      <c r="AK81" s="57" cm="1">
        <f t="array" ref="AK81">SUMPRODUCT(
  IF($B81:$K81&lt;&gt;"",
     INDEX('Eurostat EB products IEA'!$A$4:$BN$135,
           MATCH($B81:$K81, 'Eurostat EB products IEA'!$A$4:$A$135, 0),
           MATCH(AK$1, 'Eurostat EB products IEA'!$A$4:$BN$4, 0)
     )
     * $L81:$U81,
     0
  )
)</f>
        <v>0</v>
      </c>
      <c r="AL81" s="57" cm="1">
        <f t="array" ref="AL81">SUMPRODUCT(
  IF($B81:$K81&lt;&gt;"",
     INDEX('Eurostat EB products IEA'!$A$4:$BN$135,
           MATCH($B81:$K81, 'Eurostat EB products IEA'!$A$4:$A$135, 0),
           MATCH(AL$1, 'Eurostat EB products IEA'!$A$4:$BN$4, 0)
     )
     * $L81:$U81,
     0
  )
)</f>
        <v>0</v>
      </c>
      <c r="AM81" s="57" cm="1">
        <f t="array" ref="AM81">SUMPRODUCT(
  IF($B81:$K81&lt;&gt;"",
     INDEX('Eurostat EB products IEA'!$A$4:$BN$135,
           MATCH($B81:$K81, 'Eurostat EB products IEA'!$A$4:$A$135, 0),
           MATCH(AM$1, 'Eurostat EB products IEA'!$A$4:$BN$4, 0)
     )
     * $L81:$U81,
     0
  )
)</f>
        <v>67016.748000000007</v>
      </c>
      <c r="AN81" s="65" t="s">
        <v>323</v>
      </c>
      <c r="AO81" s="57" cm="1">
        <f t="array" ref="AO81">SUMPRODUCT(
  IF($B81:$K81&lt;&gt;"",
     INDEX('Eurostat EB products IEA'!$A$4:$BN$135,
           MATCH($B81:$K81, 'Eurostat EB products IEA'!$A$4:$A$135, 0),
           MATCH(AO$1, 'Eurostat EB products IEA'!$A$4:$BN$4, 0)
     )
     * $L81:$U81,
     0
  )
)</f>
        <v>0</v>
      </c>
      <c r="AP81" s="57" cm="1">
        <f t="array" ref="AP81">SUMPRODUCT(
  IF($B81:$K81&lt;&gt;"",
     INDEX('Eurostat EB products IEA'!$A$4:$BN$135,
           MATCH($B81:$K81, 'Eurostat EB products IEA'!$A$4:$A$135, 0),
           MATCH(AP$1, 'Eurostat EB products IEA'!$A$4:$BN$4, 0)
     )
     * $L81:$U81,
     0
  )
)</f>
        <v>113287.74400000001</v>
      </c>
      <c r="AQ81" s="57" cm="1">
        <f t="array" ref="AQ81">SUMPRODUCT(
  IF($B81:$K81&lt;&gt;"",
     INDEX('Eurostat EB products IEA'!$A$4:$BN$135,
           MATCH($B81:$K81, 'Eurostat EB products IEA'!$A$4:$A$135, 0),
           MATCH(AQ$1, 'Eurostat EB products IEA'!$A$4:$BN$4, 0)
     )
     * $L81:$U81,
     0
  )
)</f>
        <v>0</v>
      </c>
      <c r="AR81" s="57" cm="1">
        <f t="array" ref="AR81">SUMPRODUCT(
  IF($B81:$K81&lt;&gt;"",
     INDEX('Eurostat EB products IEA'!$A$4:$BN$135,
           MATCH($B81:$K81, 'Eurostat EB products IEA'!$A$4:$A$135, 0),
           MATCH(AR$1, 'Eurostat EB products IEA'!$A$4:$BN$4, 0)
     )
     * $L81:$U81,
     0
  )
)</f>
        <v>0</v>
      </c>
      <c r="AS81" s="57" cm="1">
        <f t="array" ref="AS81">SUMPRODUCT(
  IF($B81:$K81&lt;&gt;"",
     INDEX('Eurostat EB products IEA'!$A$4:$BN$135,
           MATCH($B81:$K81, 'Eurostat EB products IEA'!$A$4:$A$135, 0),
           MATCH(AS$1, 'Eurostat EB products IEA'!$A$4:$BN$4, 0)
     )
     * $L81:$U81,
     0
  )
)</f>
        <v>0</v>
      </c>
      <c r="AT81" s="57" cm="1">
        <f t="array" ref="AT81">SUMPRODUCT(
  IF($B81:$K81&lt;&gt;"",
     INDEX('Eurostat EB products IEA'!$A$4:$BN$135,
           MATCH($B81:$K81, 'Eurostat EB products IEA'!$A$4:$A$135, 0),
           MATCH(AT$1, 'Eurostat EB products IEA'!$A$4:$BN$4, 0)
     )
     * $L81:$U81,
     0
  )
)</f>
        <v>0</v>
      </c>
      <c r="AU81" s="57" cm="1">
        <f t="array" ref="AU81">SUMPRODUCT(
  IF($B81:$K81&lt;&gt;"",
     INDEX('Eurostat EB products IEA'!$A$4:$BN$135,
           MATCH($B81:$K81, 'Eurostat EB products IEA'!$A$4:$A$135, 0),
           MATCH(AU$1, 'Eurostat EB products IEA'!$A$4:$BN$4, 0)
     )
     * $L81:$U81,
     0
  )
)</f>
        <v>0</v>
      </c>
      <c r="AV81" s="57" cm="1">
        <f t="array" ref="AV81">SUMPRODUCT(
  IF($B81:$K81&lt;&gt;"",
     INDEX('Eurostat EB products IEA'!$A$4:$BN$135,
           MATCH($B81:$K81, 'Eurostat EB products IEA'!$A$4:$A$135, 0),
           MATCH(AV$1, 'Eurostat EB products IEA'!$A$4:$BN$4, 0)
     )
     * $L81:$U81,
     0
  )
)</f>
        <v>69129.243000000002</v>
      </c>
      <c r="AW81" s="57" cm="1">
        <f t="array" ref="AW81">SUMPRODUCT(
  IF($B81:$K81&lt;&gt;"",
     INDEX('Eurostat EB products IEA'!$A$4:$BN$135,
           MATCH($B81:$K81, 'Eurostat EB products IEA'!$A$4:$A$135, 0),
           MATCH(AW$1, 'Eurostat EB products IEA'!$A$4:$BN$4, 0)
     )
     * $L81:$U81,
     0
  )
)</f>
        <v>0</v>
      </c>
      <c r="AX81" s="57" cm="1">
        <f t="array" ref="AX81">SUMPRODUCT(
  IF($B81:$K81&lt;&gt;"",
     INDEX('Eurostat EB products IEA'!$A$4:$BN$135,
           MATCH($B81:$K81, 'Eurostat EB products IEA'!$A$4:$A$135, 0),
           MATCH(AX$1, 'Eurostat EB products IEA'!$A$4:$BN$4, 0)
     )
     * $L81:$U81,
     0
  )
)</f>
        <v>0</v>
      </c>
      <c r="AY81" s="57" cm="1">
        <f t="array" ref="AY81">SUMPRODUCT(
  IF($B81:$K81&lt;&gt;"",
     INDEX('Eurostat EB products IEA'!$A$4:$BN$135,
           MATCH($B81:$K81, 'Eurostat EB products IEA'!$A$4:$A$135, 0),
           MATCH(AY$1, 'Eurostat EB products IEA'!$A$4:$BN$4, 0)
     )
     * $L81:$U81,
     0
  )
)</f>
        <v>0</v>
      </c>
      <c r="AZ81" s="57" cm="1">
        <f t="array" ref="AZ81">SUMPRODUCT(
  IF($B81:$K81&lt;&gt;"",
     INDEX('Eurostat EB products IEA'!$A$4:$BN$135,
           MATCH($B81:$K81, 'Eurostat EB products IEA'!$A$4:$A$135, 0),
           MATCH(AZ$1, 'Eurostat EB products IEA'!$A$4:$BN$4, 0)
     )
     * $L81:$U81,
     0
  )
)</f>
        <v>0</v>
      </c>
      <c r="BA81" s="57" cm="1">
        <f t="array" ref="BA81">SUMPRODUCT(
  IF($B81:$K81&lt;&gt;"",
     INDEX('Eurostat EB products IEA'!$A$4:$BN$135,
           MATCH($B81:$K81, 'Eurostat EB products IEA'!$A$4:$A$135, 0),
           MATCH(BA$1, 'Eurostat EB products IEA'!$A$4:$BN$4, 0)
     )
     * $L81:$U81,
     0
  )
)</f>
        <v>1356.9559999999999</v>
      </c>
      <c r="BB81" s="57" cm="1">
        <f t="array" ref="BB81">SUMPRODUCT(
  IF($B81:$K81&lt;&gt;"",
     INDEX('Eurostat EB products IEA'!$A$4:$BN$135,
           MATCH($B81:$K81, 'Eurostat EB products IEA'!$A$4:$A$135, 0),
           MATCH(BB$1, 'Eurostat EB products IEA'!$A$4:$BN$4, 0)
     )
     * $L81:$U81,
     0
  )
)</f>
        <v>24.72</v>
      </c>
      <c r="BC81" s="57" cm="1">
        <f t="array" ref="BC81">SUMPRODUCT(
  IF($B81:$K81&lt;&gt;"",
     INDEX('Eurostat EB products IEA'!$A$4:$BN$135,
           MATCH($B81:$K81, 'Eurostat EB products IEA'!$A$4:$A$135, 0),
           MATCH(BC$1, 'Eurostat EB products IEA'!$A$4:$BN$4, 0)
     )
     * $L81:$U81,
     0
  )
)</f>
        <v>0</v>
      </c>
      <c r="BD81" s="57" cm="1">
        <f t="array" ref="BD81">SUMPRODUCT(
  IF($B81:$K81&lt;&gt;"",
     INDEX('Eurostat EB products IEA'!$A$4:$BN$135,
           MATCH($B81:$K81, 'Eurostat EB products IEA'!$A$4:$A$135, 0),
           MATCH(BD$1, 'Eurostat EB products IEA'!$A$4:$BN$4, 0)
     )
     * $L81:$U81,
     0
  )
)</f>
        <v>163893.617</v>
      </c>
      <c r="BE81" s="57" cm="1">
        <f t="array" ref="BE81">SUMPRODUCT(
  IF($B81:$K81&lt;&gt;"",
     INDEX('Eurostat EB products IEA'!$A$4:$BN$135,
           MATCH($B81:$K81, 'Eurostat EB products IEA'!$A$4:$A$135, 0),
           MATCH(BE$1, 'Eurostat EB products IEA'!$A$4:$BN$4, 0)
     )
     * $L81:$U81,
     0
  )
)</f>
        <v>761.42600000000004</v>
      </c>
      <c r="BF81" s="57" cm="1">
        <f t="array" ref="BF81">SUMPRODUCT(
  IF($B81:$K81&lt;&gt;"",
     INDEX('Eurostat EB products IEA'!$A$4:$BN$135,
           MATCH($B81:$K81, 'Eurostat EB products IEA'!$A$4:$A$135, 0),
           MATCH(BF$1, 'Eurostat EB products IEA'!$A$4:$BN$4, 0)
     )
     * $L81:$U81,
     0
  )
)</f>
        <v>6290.6730000000007</v>
      </c>
      <c r="BG81" s="57" cm="1">
        <f t="array" ref="BG81">SUMPRODUCT(
  IF($B81:$K81&lt;&gt;"",
     INDEX('Eurostat EB products IEA'!$A$4:$BN$135,
           MATCH($B81:$K81, 'Eurostat EB products IEA'!$A$4:$A$135, 0),
           MATCH(BG$1, 'Eurostat EB products IEA'!$A$4:$BN$4, 0)
     )
     * $L81:$U81,
     0
  )
)</f>
        <v>3839.2550000000001</v>
      </c>
      <c r="BH81" s="57" cm="1">
        <f t="array" ref="BH81">SUMPRODUCT(
  IF($B81:$K81&lt;&gt;"",
     INDEX('Eurostat EB products IEA'!$A$4:$BN$135,
           MATCH($B81:$K81, 'Eurostat EB products IEA'!$A$4:$A$135, 0),
           MATCH(BH$1, 'Eurostat EB products IEA'!$A$4:$BN$4, 0)
     )
     * $L81:$U81,
     0
  )
)</f>
        <v>809.70799999999997</v>
      </c>
      <c r="BI81" s="57" cm="1">
        <f t="array" ref="BI81">SUMPRODUCT(
  IF($B81:$K81&lt;&gt;"",
     INDEX('Eurostat EB products IEA'!$A$4:$BN$135,
           MATCH($B81:$K81, 'Eurostat EB products IEA'!$A$4:$A$135, 0),
           MATCH(BI$1, 'Eurostat EB products IEA'!$A$4:$BN$4, 0)
     )
     * $L81:$U81,
     0
  )
)</f>
        <v>14712.534</v>
      </c>
      <c r="BJ81" s="57" cm="1">
        <f t="array" ref="BJ81">SUMPRODUCT(
  IF($B81:$K81&lt;&gt;"",
     INDEX('Eurostat EB products IEA'!$A$4:$BN$135,
           MATCH($B81:$K81, 'Eurostat EB products IEA'!$A$4:$A$135, 0),
           MATCH(BJ$1, 'Eurostat EB products IEA'!$A$4:$BN$4, 0)
     )
     * $L81:$U81,
     0
  )
)</f>
        <v>5725.9830000000002</v>
      </c>
      <c r="BK81" s="57" cm="1">
        <f t="array" ref="BK81">SUMPRODUCT(
  IF($B81:$K81&lt;&gt;"",
     INDEX('Eurostat EB products IEA'!$A$4:$BN$135,
           MATCH($B81:$K81, 'Eurostat EB products IEA'!$A$4:$A$135, 0),
           MATCH(BK$1, 'Eurostat EB products IEA'!$A$4:$BN$4, 0)
     )
     * $L81:$U81,
     0
  )
)</f>
        <v>0</v>
      </c>
      <c r="BL81" s="57" cm="1">
        <f t="array" ref="BL81">SUMPRODUCT(
  IF($B81:$K81&lt;&gt;"",
     INDEX('Eurostat EB products IEA'!$A$4:$BN$135,
           MATCH($B81:$K81, 'Eurostat EB products IEA'!$A$4:$A$135, 0),
           MATCH(BL$1, 'Eurostat EB products IEA'!$A$4:$BN$4, 0)
     )
     * $L81:$U81,
     0
  )
)</f>
        <v>0</v>
      </c>
      <c r="BM81" s="57" cm="1">
        <f t="array" ref="BM81">SUMPRODUCT(
  IF($B81:$K81&lt;&gt;"",
     INDEX('Eurostat EB products IEA'!$A$4:$BN$135,
           MATCH($B81:$K81, 'Eurostat EB products IEA'!$A$4:$A$135, 0),
           MATCH(BM$1, 'Eurostat EB products IEA'!$A$4:$BN$4, 0)
     )
     * $L81:$U81,
     0
  )
)</f>
        <v>0</v>
      </c>
      <c r="BN81" s="57" cm="1">
        <f t="array" ref="BN81">SUMPRODUCT(
  IF($B81:$K81&lt;&gt;"",
     INDEX('Eurostat EB products IEA'!$A$4:$BN$135,
           MATCH($B81:$K81, 'Eurostat EB products IEA'!$A$4:$A$135, 0),
           MATCH(BN$1, 'Eurostat EB products IEA'!$A$4:$BN$4, 0)
     )
     * $L81:$U81,
     0
  )
)</f>
        <v>0</v>
      </c>
      <c r="BO81" s="57" cm="1">
        <f t="array" ref="BO81">SUMPRODUCT(
  IF($B81:$K81&lt;&gt;"",
     INDEX('Eurostat EB products IEA'!$A$4:$BN$135,
           MATCH($B81:$K81, 'Eurostat EB products IEA'!$A$4:$A$135, 0),
           MATCH(BO$1, 'Eurostat EB products IEA'!$A$4:$BN$4, 0)
     )
     * $L81:$U81,
     0
  )
)</f>
        <v>0</v>
      </c>
      <c r="BP81" s="57" cm="1">
        <f t="array" ref="BP81">SUMPRODUCT(
  IF($B81:$K81&lt;&gt;"",
     INDEX('Eurostat EB products IEA'!$A$4:$BN$135,
           MATCH($B81:$K81, 'Eurostat EB products IEA'!$A$4:$A$135, 0),
           MATCH(BP$1, 'Eurostat EB products IEA'!$A$4:$BN$4, 0)
     )
     * $L81:$U81,
     0
  )
)</f>
        <v>0</v>
      </c>
      <c r="BQ81" s="57" cm="1">
        <f t="array" ref="BQ81">SUMPRODUCT(
  IF($B81:$K81&lt;&gt;"",
     INDEX('Eurostat EB products IEA'!$A$4:$BN$135,
           MATCH($B81:$K81, 'Eurostat EB products IEA'!$A$4:$A$135, 0),
           MATCH(BQ$1, 'Eurostat EB products IEA'!$A$4:$BN$4, 0)
     )
     * $L81:$U81,
     0
  )
)</f>
        <v>0</v>
      </c>
      <c r="BR81" s="57" cm="1">
        <f t="array" ref="BR81">SUMPRODUCT(
  IF($B81:$K81&lt;&gt;"",
     INDEX('Eurostat EB products IEA'!$A$4:$BN$135,
           MATCH($B81:$K81, 'Eurostat EB products IEA'!$A$4:$A$135, 0),
           MATCH(BR$1, 'Eurostat EB products IEA'!$A$4:$BN$4, 0)
     )
     * $L81:$U81,
     0
  )
)</f>
        <v>0</v>
      </c>
      <c r="BS81" s="65">
        <v>0</v>
      </c>
      <c r="BT81" s="57" cm="1">
        <f t="array" ref="BT81">SUMPRODUCT(
  IF($B81:$K81&lt;&gt;"",
     INDEX('Eurostat EB products IEA'!$A$4:$BN$135,
           MATCH($B81:$K81, 'Eurostat EB products IEA'!$A$4:$A$135, 0),
           MATCH(BT$1, 'Eurostat EB products IEA'!$A$4:$BN$4, 0)
     )
     * $L81:$U81,
     0
  )
)</f>
        <v>0</v>
      </c>
      <c r="BU81" s="65">
        <v>0</v>
      </c>
      <c r="BV81" s="65">
        <v>0</v>
      </c>
      <c r="BW81" s="57" cm="1">
        <f t="array" ref="BW81">SUMPRODUCT(
  IF($B81:$K81&lt;&gt;"",
     INDEX('Eurostat EB products IEA'!$A$4:$BN$135,
           MATCH($B81:$K81, 'Eurostat EB products IEA'!$A$4:$A$135, 0),
           MATCH(BW$1, 'Eurostat EB products IEA'!$A$4:$BN$4, 0)
     )
     * $L81:$U81,
     0
  )
)</f>
        <v>0</v>
      </c>
      <c r="BX81" s="57" cm="1">
        <f t="array" ref="BX81">SUMPRODUCT(
  IF($B81:$K81&lt;&gt;"",
     INDEX('Eurostat EB products IEA'!$A$4:$BN$135,
           MATCH($B81:$K81, 'Eurostat EB products IEA'!$A$4:$A$135, 0),
           MATCH(BX$1, 'Eurostat EB products IEA'!$A$4:$BN$4, 0)
     )
     * $L81:$U81,
     0
  )
)</f>
        <v>0</v>
      </c>
      <c r="BY81" s="57" cm="1">
        <f t="array" ref="BY81">SUMPRODUCT(
  IF($B81:$K81&lt;&gt;"",
     INDEX('Eurostat EB products IEA'!$A$4:$BN$135,
           MATCH($B81:$K81, 'Eurostat EB products IEA'!$A$4:$A$135, 0),
           MATCH(BY$1, 'Eurostat EB products IEA'!$A$4:$BN$4, 0)
     )
     * $L81:$U81,
     0
  )
)</f>
        <v>0</v>
      </c>
      <c r="BZ81" s="57" cm="1">
        <f t="array" ref="BZ81">SUMPRODUCT(
  IF($B81:$K81&lt;&gt;"",
     INDEX('Eurostat EB products IEA'!$A$4:$BN$135,
           MATCH($B81:$K81, 'Eurostat EB products IEA'!$A$4:$A$135, 0),
           MATCH(BZ$1, 'Eurostat EB products IEA'!$A$4:$BN$4, 0)
     )
     * $L81:$U81,
     0
  )
)</f>
        <v>0</v>
      </c>
      <c r="CA81" s="57" cm="1">
        <f t="array" ref="CA81">SUMPRODUCT(
  IF($B81:$K81&lt;&gt;"",
     INDEX('Eurostat EB products IEA'!$A$4:$BN$135,
           MATCH($B81:$K81, 'Eurostat EB products IEA'!$A$4:$A$135, 0),
           MATCH(CA$1, 'Eurostat EB products IEA'!$A$4:$BN$4, 0)
     )
     * $L81:$U81,
     0
  )
)</f>
        <v>0</v>
      </c>
      <c r="CB81" s="57" cm="1">
        <f t="array" ref="CB81">SUMPRODUCT(
  IF($B81:$K81&lt;&gt;"",
     INDEX('Eurostat EB products IEA'!$A$4:$BN$135,
           MATCH($B81:$K81, 'Eurostat EB products IEA'!$A$4:$A$135, 0),
           MATCH(CB$1, 'Eurostat EB products IEA'!$A$4:$BN$4, 0)
     )
     * $L81:$U81,
     0
  )
)</f>
        <v>0</v>
      </c>
      <c r="CC81" s="57" cm="1">
        <f t="array" ref="CC81">SUMPRODUCT(
  IF($B81:$K81&lt;&gt;"",
     INDEX('Eurostat EB products IEA'!$A$4:$BN$135,
           MATCH($B81:$K81, 'Eurostat EB products IEA'!$A$4:$A$135, 0),
           MATCH(CC$1, 'Eurostat EB products IEA'!$A$4:$BN$4, 0)
     )
     * $L81:$U81,
     0
  )
)</f>
        <v>0</v>
      </c>
      <c r="CD81" s="65">
        <v>0</v>
      </c>
      <c r="CE81" s="57" cm="1">
        <f t="array" ref="CE81">SUMPRODUCT(
  IF($B81:$K81&lt;&gt;"",
     INDEX('Eurostat EB products IEA'!$A$4:$BN$135,
           MATCH($B81:$K81, 'Eurostat EB products IEA'!$A$4:$A$135, 0),
           MATCH(CE$1, 'Eurostat EB products IEA'!$A$4:$BN$4, 0)
     )
     * $L81:$U81,
     0
  )
)</f>
        <v>0</v>
      </c>
      <c r="CF81" s="57" cm="1">
        <f t="array" ref="CF81">SUMPRODUCT(
  IF($B81:$K81&lt;&gt;"",
     INDEX('Eurostat EB products IEA'!$A$4:$BN$135,
           MATCH($B81:$K81, 'Eurostat EB products IEA'!$A$4:$A$135, 0),
           MATCH(CF$1, 'Eurostat EB products IEA'!$A$4:$BN$4, 0)
     )
     * $L81:$U81,
     0
  )
)</f>
        <v>0</v>
      </c>
      <c r="CG81" s="57" cm="1">
        <f t="array" ref="CG81">SUMPRODUCT(
  IF($B81:$K81&lt;&gt;"",
     INDEX('Eurostat EB products IEA'!$A$4:$BN$135,
           MATCH($B81:$K81, 'Eurostat EB products IEA'!$A$4:$A$135, 0),
           MATCH(CG$1, 'Eurostat EB products IEA'!$A$4:$BN$4, 0)
     )
     * $L81:$U81,
     0
  )
)</f>
        <v>448111.136</v>
      </c>
      <c r="CH81" s="57" cm="1">
        <f t="array" ref="CH81">SUMPRODUCT(
  IF($B81:$K81&lt;&gt;"",
     INDEX('Eurostat EB products IEA'!$A$4:$BN$135,
           MATCH($B81:$K81, 'Eurostat EB products IEA'!$A$4:$A$135, 0),
           MATCH(CH$1, 'Eurostat EB products IEA'!$A$4:$BN$4, 0)
     )
     * $L81:$U81,
     0
  )
)</f>
        <v>686.44600000000003</v>
      </c>
    </row>
    <row r="82" spans="1:86" x14ac:dyDescent="0.2">
      <c r="A82" t="s">
        <v>100</v>
      </c>
      <c r="B82" s="75"/>
      <c r="C82" s="77"/>
      <c r="D82" s="75"/>
      <c r="E82" s="77"/>
      <c r="F82" s="75"/>
      <c r="G82" s="77"/>
      <c r="H82" s="75"/>
      <c r="I82" s="77"/>
      <c r="J82" s="74"/>
      <c r="K82" s="78" t="s">
        <v>280</v>
      </c>
      <c r="L82" s="76"/>
      <c r="M82" s="79"/>
      <c r="N82" s="76"/>
      <c r="O82" s="79"/>
      <c r="P82" s="76"/>
      <c r="Q82" s="79"/>
      <c r="R82" s="76"/>
      <c r="S82" s="79"/>
      <c r="T82" s="76"/>
      <c r="U82" s="79">
        <v>1</v>
      </c>
      <c r="V82" s="65" t="s">
        <v>323</v>
      </c>
      <c r="W82" s="65" t="s">
        <v>323</v>
      </c>
      <c r="X82" s="17" cm="1">
        <f t="array" ref="X82">SUMPRODUCT(
  IF($B82:$K82&lt;&gt;"",
     INDEX('Eurostat EB products IEA'!$A$4:$BN$135,
           MATCH($B82:$K82, 'Eurostat EB products IEA'!$A$4:$A$135, 0),
           MATCH(X$1, 'Eurostat EB products IEA'!$A$4:$BN$4, 0)
     )
     * $L82:$U82,
     0
  )
)</f>
        <v>74.216999999999999</v>
      </c>
      <c r="Y82" s="17" cm="1">
        <f t="array" ref="Y82">SUMPRODUCT(
  IF($B82:$K82&lt;&gt;"",
     INDEX('Eurostat EB products IEA'!$A$4:$BN$135,
           MATCH($B82:$K82, 'Eurostat EB products IEA'!$A$4:$A$135, 0),
           MATCH(Y$1, 'Eurostat EB products IEA'!$A$4:$BN$4, 0)
     )
     * $L82:$U82,
     0
  )
)</f>
        <v>18.925000000000001</v>
      </c>
      <c r="Z82" s="17" cm="1">
        <f t="array" ref="Z82">SUMPRODUCT(
  IF($B82:$K82&lt;&gt;"",
     INDEX('Eurostat EB products IEA'!$A$4:$BN$135,
           MATCH($B82:$K82, 'Eurostat EB products IEA'!$A$4:$A$135, 0),
           MATCH(Z$1, 'Eurostat EB products IEA'!$A$4:$BN$4, 0)
     )
     * $L82:$U82,
     0
  )
)</f>
        <v>0</v>
      </c>
      <c r="AA82" s="17" cm="1">
        <f t="array" ref="AA82">SUMPRODUCT(
  IF($B82:$K82&lt;&gt;"",
     INDEX('Eurostat EB products IEA'!$A$4:$BN$135,
           MATCH($B82:$K82, 'Eurostat EB products IEA'!$A$4:$A$135, 0),
           MATCH(AA$1, 'Eurostat EB products IEA'!$A$4:$BN$4, 0)
     )
     * $L82:$U82,
     0
  )
)</f>
        <v>0</v>
      </c>
      <c r="AB82" s="17" cm="1">
        <f t="array" ref="AB82">SUMPRODUCT(
  IF($B82:$K82&lt;&gt;"",
     INDEX('Eurostat EB products IEA'!$A$4:$BN$135,
           MATCH($B82:$K82, 'Eurostat EB products IEA'!$A$4:$A$135, 0),
           MATCH(AB$1, 'Eurostat EB products IEA'!$A$4:$BN$4, 0)
     )
     * $L82:$U82,
     0
  )
)</f>
        <v>0</v>
      </c>
      <c r="AC82" s="17" cm="1">
        <f t="array" ref="AC82">SUMPRODUCT(
  IF($B82:$K82&lt;&gt;"",
     INDEX('Eurostat EB products IEA'!$A$4:$BN$135,
           MATCH($B82:$K82, 'Eurostat EB products IEA'!$A$4:$A$135, 0),
           MATCH(AC$1, 'Eurostat EB products IEA'!$A$4:$BN$4, 0)
     )
     * $L82:$U82,
     0
  )
)</f>
        <v>0</v>
      </c>
      <c r="AD82" s="17" cm="1">
        <f t="array" ref="AD82">SUMPRODUCT(
  IF($B82:$K82&lt;&gt;"",
     INDEX('Eurostat EB products IEA'!$A$4:$BN$135,
           MATCH($B82:$K82, 'Eurostat EB products IEA'!$A$4:$A$135, 0),
           MATCH(AD$1, 'Eurostat EB products IEA'!$A$4:$BN$4, 0)
     )
     * $L82:$U82,
     0
  )
)</f>
        <v>251.399</v>
      </c>
      <c r="AE82" s="17" cm="1">
        <f t="array" ref="AE82">SUMPRODUCT(
  IF($B82:$K82&lt;&gt;"",
     INDEX('Eurostat EB products IEA'!$A$4:$BN$135,
           MATCH($B82:$K82, 'Eurostat EB products IEA'!$A$4:$A$135, 0),
           MATCH(AE$1, 'Eurostat EB products IEA'!$A$4:$BN$4, 0)
     )
     * $L82:$U82,
     0
  )
)</f>
        <v>0</v>
      </c>
      <c r="AF82" s="17" cm="1">
        <f t="array" ref="AF82">SUMPRODUCT(
  IF($B82:$K82&lt;&gt;"",
     INDEX('Eurostat EB products IEA'!$A$4:$BN$135,
           MATCH($B82:$K82, 'Eurostat EB products IEA'!$A$4:$A$135, 0),
           MATCH(AF$1, 'Eurostat EB products IEA'!$A$4:$BN$4, 0)
     )
     * $L82:$U82,
     0
  )
)</f>
        <v>917.98699999999997</v>
      </c>
      <c r="AG82" s="17" cm="1">
        <f t="array" ref="AG82">SUMPRODUCT(
  IF($B82:$K82&lt;&gt;"",
     INDEX('Eurostat EB products IEA'!$A$4:$BN$135,
           MATCH($B82:$K82, 'Eurostat EB products IEA'!$A$4:$A$135, 0),
           MATCH(AG$1, 'Eurostat EB products IEA'!$A$4:$BN$4, 0)
     )
     * $L82:$U82,
     0
  )
)</f>
        <v>0</v>
      </c>
      <c r="AH82" s="17" cm="1">
        <f t="array" ref="AH82">SUMPRODUCT(
  IF($B82:$K82&lt;&gt;"",
     INDEX('Eurostat EB products IEA'!$A$4:$BN$135,
           MATCH($B82:$K82, 'Eurostat EB products IEA'!$A$4:$A$135, 0),
           MATCH(AH$1, 'Eurostat EB products IEA'!$A$4:$BN$4, 0)
     )
     * $L82:$U82,
     0
  )
)</f>
        <v>0</v>
      </c>
      <c r="AI82" s="17" cm="1">
        <f t="array" ref="AI82">SUMPRODUCT(
  IF($B82:$K82&lt;&gt;"",
     INDEX('Eurostat EB products IEA'!$A$4:$BN$135,
           MATCH($B82:$K82, 'Eurostat EB products IEA'!$A$4:$A$135, 0),
           MATCH(AI$1, 'Eurostat EB products IEA'!$A$4:$BN$4, 0)
     )
     * $L82:$U82,
     0
  )
)</f>
        <v>0</v>
      </c>
      <c r="AJ82" s="17" cm="1">
        <f t="array" ref="AJ82">SUMPRODUCT(
  IF($B82:$K82&lt;&gt;"",
     INDEX('Eurostat EB products IEA'!$A$4:$BN$135,
           MATCH($B82:$K82, 'Eurostat EB products IEA'!$A$4:$A$135, 0),
           MATCH(AJ$1, 'Eurostat EB products IEA'!$A$4:$BN$4, 0)
     )
     * $L82:$U82,
     0
  )
)</f>
        <v>0</v>
      </c>
      <c r="AK82" s="17" cm="1">
        <f t="array" ref="AK82">SUMPRODUCT(
  IF($B82:$K82&lt;&gt;"",
     INDEX('Eurostat EB products IEA'!$A$4:$BN$135,
           MATCH($B82:$K82, 'Eurostat EB products IEA'!$A$4:$A$135, 0),
           MATCH(AK$1, 'Eurostat EB products IEA'!$A$4:$BN$4, 0)
     )
     * $L82:$U82,
     0
  )
)</f>
        <v>0</v>
      </c>
      <c r="AL82" s="17" cm="1">
        <f t="array" ref="AL82">SUMPRODUCT(
  IF($B82:$K82&lt;&gt;"",
     INDEX('Eurostat EB products IEA'!$A$4:$BN$135,
           MATCH($B82:$K82, 'Eurostat EB products IEA'!$A$4:$A$135, 0),
           MATCH(AL$1, 'Eurostat EB products IEA'!$A$4:$BN$4, 0)
     )
     * $L82:$U82,
     0
  )
)</f>
        <v>0</v>
      </c>
      <c r="AM82" s="17" cm="1">
        <f t="array" ref="AM82">SUMPRODUCT(
  IF($B82:$K82&lt;&gt;"",
     INDEX('Eurostat EB products IEA'!$A$4:$BN$135,
           MATCH($B82:$K82, 'Eurostat EB products IEA'!$A$4:$A$135, 0),
           MATCH(AM$1, 'Eurostat EB products IEA'!$A$4:$BN$4, 0)
     )
     * $L82:$U82,
     0
  )
)</f>
        <v>66978.793000000005</v>
      </c>
      <c r="AN82" s="65" t="s">
        <v>323</v>
      </c>
      <c r="AO82" s="17" cm="1">
        <f t="array" ref="AO82">SUMPRODUCT(
  IF($B82:$K82&lt;&gt;"",
     INDEX('Eurostat EB products IEA'!$A$4:$BN$135,
           MATCH($B82:$K82, 'Eurostat EB products IEA'!$A$4:$A$135, 0),
           MATCH(AO$1, 'Eurostat EB products IEA'!$A$4:$BN$4, 0)
     )
     * $L82:$U82,
     0
  )
)</f>
        <v>0</v>
      </c>
      <c r="AP82" s="17" cm="1">
        <f t="array" ref="AP82">SUMPRODUCT(
  IF($B82:$K82&lt;&gt;"",
     INDEX('Eurostat EB products IEA'!$A$4:$BN$135,
           MATCH($B82:$K82, 'Eurostat EB products IEA'!$A$4:$A$135, 0),
           MATCH(AP$1, 'Eurostat EB products IEA'!$A$4:$BN$4, 0)
     )
     * $L82:$U82,
     0
  )
)</f>
        <v>113287.74400000001</v>
      </c>
      <c r="AQ82" s="17" cm="1">
        <f t="array" ref="AQ82">SUMPRODUCT(
  IF($B82:$K82&lt;&gt;"",
     INDEX('Eurostat EB products IEA'!$A$4:$BN$135,
           MATCH($B82:$K82, 'Eurostat EB products IEA'!$A$4:$A$135, 0),
           MATCH(AQ$1, 'Eurostat EB products IEA'!$A$4:$BN$4, 0)
     )
     * $L82:$U82,
     0
  )
)</f>
        <v>0</v>
      </c>
      <c r="AR82" s="17" cm="1">
        <f t="array" ref="AR82">SUMPRODUCT(
  IF($B82:$K82&lt;&gt;"",
     INDEX('Eurostat EB products IEA'!$A$4:$BN$135,
           MATCH($B82:$K82, 'Eurostat EB products IEA'!$A$4:$A$135, 0),
           MATCH(AR$1, 'Eurostat EB products IEA'!$A$4:$BN$4, 0)
     )
     * $L82:$U82,
     0
  )
)</f>
        <v>0</v>
      </c>
      <c r="AS82" s="17" cm="1">
        <f t="array" ref="AS82">SUMPRODUCT(
  IF($B82:$K82&lt;&gt;"",
     INDEX('Eurostat EB products IEA'!$A$4:$BN$135,
           MATCH($B82:$K82, 'Eurostat EB products IEA'!$A$4:$A$135, 0),
           MATCH(AS$1, 'Eurostat EB products IEA'!$A$4:$BN$4, 0)
     )
     * $L82:$U82,
     0
  )
)</f>
        <v>0</v>
      </c>
      <c r="AT82" s="17" cm="1">
        <f t="array" ref="AT82">SUMPRODUCT(
  IF($B82:$K82&lt;&gt;"",
     INDEX('Eurostat EB products IEA'!$A$4:$BN$135,
           MATCH($B82:$K82, 'Eurostat EB products IEA'!$A$4:$A$135, 0),
           MATCH(AT$1, 'Eurostat EB products IEA'!$A$4:$BN$4, 0)
     )
     * $L82:$U82,
     0
  )
)</f>
        <v>0</v>
      </c>
      <c r="AU82" s="17" cm="1">
        <f t="array" ref="AU82">SUMPRODUCT(
  IF($B82:$K82&lt;&gt;"",
     INDEX('Eurostat EB products IEA'!$A$4:$BN$135,
           MATCH($B82:$K82, 'Eurostat EB products IEA'!$A$4:$A$135, 0),
           MATCH(AU$1, 'Eurostat EB products IEA'!$A$4:$BN$4, 0)
     )
     * $L82:$U82,
     0
  )
)</f>
        <v>0</v>
      </c>
      <c r="AV82" s="17" cm="1">
        <f t="array" ref="AV82">SUMPRODUCT(
  IF($B82:$K82&lt;&gt;"",
     INDEX('Eurostat EB products IEA'!$A$4:$BN$135,
           MATCH($B82:$K82, 'Eurostat EB products IEA'!$A$4:$A$135, 0),
           MATCH(AV$1, 'Eurostat EB products IEA'!$A$4:$BN$4, 0)
     )
     * $L82:$U82,
     0
  )
)</f>
        <v>69129.243000000002</v>
      </c>
      <c r="AW82" s="17" cm="1">
        <f t="array" ref="AW82">SUMPRODUCT(
  IF($B82:$K82&lt;&gt;"",
     INDEX('Eurostat EB products IEA'!$A$4:$BN$135,
           MATCH($B82:$K82, 'Eurostat EB products IEA'!$A$4:$A$135, 0),
           MATCH(AW$1, 'Eurostat EB products IEA'!$A$4:$BN$4, 0)
     )
     * $L82:$U82,
     0
  )
)</f>
        <v>0</v>
      </c>
      <c r="AX82" s="17" cm="1">
        <f t="array" ref="AX82">SUMPRODUCT(
  IF($B82:$K82&lt;&gt;"",
     INDEX('Eurostat EB products IEA'!$A$4:$BN$135,
           MATCH($B82:$K82, 'Eurostat EB products IEA'!$A$4:$A$135, 0),
           MATCH(AX$1, 'Eurostat EB products IEA'!$A$4:$BN$4, 0)
     )
     * $L82:$U82,
     0
  )
)</f>
        <v>0</v>
      </c>
      <c r="AY82" s="17" cm="1">
        <f t="array" ref="AY82">SUMPRODUCT(
  IF($B82:$K82&lt;&gt;"",
     INDEX('Eurostat EB products IEA'!$A$4:$BN$135,
           MATCH($B82:$K82, 'Eurostat EB products IEA'!$A$4:$A$135, 0),
           MATCH(AY$1, 'Eurostat EB products IEA'!$A$4:$BN$4, 0)
     )
     * $L82:$U82,
     0
  )
)</f>
        <v>0</v>
      </c>
      <c r="AZ82" s="17" cm="1">
        <f t="array" ref="AZ82">SUMPRODUCT(
  IF($B82:$K82&lt;&gt;"",
     INDEX('Eurostat EB products IEA'!$A$4:$BN$135,
           MATCH($B82:$K82, 'Eurostat EB products IEA'!$A$4:$A$135, 0),
           MATCH(AZ$1, 'Eurostat EB products IEA'!$A$4:$BN$4, 0)
     )
     * $L82:$U82,
     0
  )
)</f>
        <v>0</v>
      </c>
      <c r="BA82" s="17" cm="1">
        <f t="array" ref="BA82">SUMPRODUCT(
  IF($B82:$K82&lt;&gt;"",
     INDEX('Eurostat EB products IEA'!$A$4:$BN$135,
           MATCH($B82:$K82, 'Eurostat EB products IEA'!$A$4:$A$135, 0),
           MATCH(BA$1, 'Eurostat EB products IEA'!$A$4:$BN$4, 0)
     )
     * $L82:$U82,
     0
  )
)</f>
        <v>1332.7719999999999</v>
      </c>
      <c r="BB82" s="17" cm="1">
        <f t="array" ref="BB82">SUMPRODUCT(
  IF($B82:$K82&lt;&gt;"",
     INDEX('Eurostat EB products IEA'!$A$4:$BN$135,
           MATCH($B82:$K82, 'Eurostat EB products IEA'!$A$4:$A$135, 0),
           MATCH(BB$1, 'Eurostat EB products IEA'!$A$4:$BN$4, 0)
     )
     * $L82:$U82,
     0
  )
)</f>
        <v>24.72</v>
      </c>
      <c r="BC82" s="17" cm="1">
        <f t="array" ref="BC82">SUMPRODUCT(
  IF($B82:$K82&lt;&gt;"",
     INDEX('Eurostat EB products IEA'!$A$4:$BN$135,
           MATCH($B82:$K82, 'Eurostat EB products IEA'!$A$4:$A$135, 0),
           MATCH(BC$1, 'Eurostat EB products IEA'!$A$4:$BN$4, 0)
     )
     * $L82:$U82,
     0
  )
)</f>
        <v>0</v>
      </c>
      <c r="BD82" s="17" cm="1">
        <f t="array" ref="BD82">SUMPRODUCT(
  IF($B82:$K82&lt;&gt;"",
     INDEX('Eurostat EB products IEA'!$A$4:$BN$135,
           MATCH($B82:$K82, 'Eurostat EB products IEA'!$A$4:$A$135, 0),
           MATCH(BD$1, 'Eurostat EB products IEA'!$A$4:$BN$4, 0)
     )
     * $L82:$U82,
     0
  )
)</f>
        <v>163893.617</v>
      </c>
      <c r="BE82" s="17" cm="1">
        <f t="array" ref="BE82">SUMPRODUCT(
  IF($B82:$K82&lt;&gt;"",
     INDEX('Eurostat EB products IEA'!$A$4:$BN$135,
           MATCH($B82:$K82, 'Eurostat EB products IEA'!$A$4:$A$135, 0),
           MATCH(BE$1, 'Eurostat EB products IEA'!$A$4:$BN$4, 0)
     )
     * $L82:$U82,
     0
  )
)</f>
        <v>761.42600000000004</v>
      </c>
      <c r="BF82" s="17" cm="1">
        <f t="array" ref="BF82">SUMPRODUCT(
  IF($B82:$K82&lt;&gt;"",
     INDEX('Eurostat EB products IEA'!$A$4:$BN$135,
           MATCH($B82:$K82, 'Eurostat EB products IEA'!$A$4:$A$135, 0),
           MATCH(BF$1, 'Eurostat EB products IEA'!$A$4:$BN$4, 0)
     )
     * $L82:$U82,
     0
  )
)</f>
        <v>2101.1</v>
      </c>
      <c r="BG82" s="17" cm="1">
        <f t="array" ref="BG82">SUMPRODUCT(
  IF($B82:$K82&lt;&gt;"",
     INDEX('Eurostat EB products IEA'!$A$4:$BN$135,
           MATCH($B82:$K82, 'Eurostat EB products IEA'!$A$4:$A$135, 0),
           MATCH(BG$1, 'Eurostat EB products IEA'!$A$4:$BN$4, 0)
     )
     * $L82:$U82,
     0
  )
)</f>
        <v>3839.2550000000001</v>
      </c>
      <c r="BH82" s="17" cm="1">
        <f t="array" ref="BH82">SUMPRODUCT(
  IF($B82:$K82&lt;&gt;"",
     INDEX('Eurostat EB products IEA'!$A$4:$BN$135,
           MATCH($B82:$K82, 'Eurostat EB products IEA'!$A$4:$A$135, 0),
           MATCH(BH$1, 'Eurostat EB products IEA'!$A$4:$BN$4, 0)
     )
     * $L82:$U82,
     0
  )
)</f>
        <v>809.70799999999997</v>
      </c>
      <c r="BI82" s="17" cm="1">
        <f t="array" ref="BI82">SUMPRODUCT(
  IF($B82:$K82&lt;&gt;"",
     INDEX('Eurostat EB products IEA'!$A$4:$BN$135,
           MATCH($B82:$K82, 'Eurostat EB products IEA'!$A$4:$A$135, 0),
           MATCH(BI$1, 'Eurostat EB products IEA'!$A$4:$BN$4, 0)
     )
     * $L82:$U82,
     0
  )
)</f>
        <v>14712.534</v>
      </c>
      <c r="BJ82" s="17" cm="1">
        <f t="array" ref="BJ82">SUMPRODUCT(
  IF($B82:$K82&lt;&gt;"",
     INDEX('Eurostat EB products IEA'!$A$4:$BN$135,
           MATCH($B82:$K82, 'Eurostat EB products IEA'!$A$4:$A$135, 0),
           MATCH(BJ$1, 'Eurostat EB products IEA'!$A$4:$BN$4, 0)
     )
     * $L82:$U82,
     0
  )
)</f>
        <v>5725.9830000000002</v>
      </c>
      <c r="BK82" s="17" cm="1">
        <f t="array" ref="BK82">SUMPRODUCT(
  IF($B82:$K82&lt;&gt;"",
     INDEX('Eurostat EB products IEA'!$A$4:$BN$135,
           MATCH($B82:$K82, 'Eurostat EB products IEA'!$A$4:$A$135, 0),
           MATCH(BK$1, 'Eurostat EB products IEA'!$A$4:$BN$4, 0)
     )
     * $L82:$U82,
     0
  )
)</f>
        <v>0</v>
      </c>
      <c r="BL82" s="17" cm="1">
        <f t="array" ref="BL82">SUMPRODUCT(
  IF($B82:$K82&lt;&gt;"",
     INDEX('Eurostat EB products IEA'!$A$4:$BN$135,
           MATCH($B82:$K82, 'Eurostat EB products IEA'!$A$4:$A$135, 0),
           MATCH(BL$1, 'Eurostat EB products IEA'!$A$4:$BN$4, 0)
     )
     * $L82:$U82,
     0
  )
)</f>
        <v>0</v>
      </c>
      <c r="BM82" s="17" cm="1">
        <f t="array" ref="BM82">SUMPRODUCT(
  IF($B82:$K82&lt;&gt;"",
     INDEX('Eurostat EB products IEA'!$A$4:$BN$135,
           MATCH($B82:$K82, 'Eurostat EB products IEA'!$A$4:$A$135, 0),
           MATCH(BM$1, 'Eurostat EB products IEA'!$A$4:$BN$4, 0)
     )
     * $L82:$U82,
     0
  )
)</f>
        <v>0</v>
      </c>
      <c r="BN82" s="17" cm="1">
        <f t="array" ref="BN82">SUMPRODUCT(
  IF($B82:$K82&lt;&gt;"",
     INDEX('Eurostat EB products IEA'!$A$4:$BN$135,
           MATCH($B82:$K82, 'Eurostat EB products IEA'!$A$4:$A$135, 0),
           MATCH(BN$1, 'Eurostat EB products IEA'!$A$4:$BN$4, 0)
     )
     * $L82:$U82,
     0
  )
)</f>
        <v>0</v>
      </c>
      <c r="BO82" s="17" cm="1">
        <f t="array" ref="BO82">SUMPRODUCT(
  IF($B82:$K82&lt;&gt;"",
     INDEX('Eurostat EB products IEA'!$A$4:$BN$135,
           MATCH($B82:$K82, 'Eurostat EB products IEA'!$A$4:$A$135, 0),
           MATCH(BO$1, 'Eurostat EB products IEA'!$A$4:$BN$4, 0)
     )
     * $L82:$U82,
     0
  )
)</f>
        <v>0</v>
      </c>
      <c r="BP82" s="17" cm="1">
        <f t="array" ref="BP82">SUMPRODUCT(
  IF($B82:$K82&lt;&gt;"",
     INDEX('Eurostat EB products IEA'!$A$4:$BN$135,
           MATCH($B82:$K82, 'Eurostat EB products IEA'!$A$4:$A$135, 0),
           MATCH(BP$1, 'Eurostat EB products IEA'!$A$4:$BN$4, 0)
     )
     * $L82:$U82,
     0
  )
)</f>
        <v>0</v>
      </c>
      <c r="BQ82" s="17" cm="1">
        <f t="array" ref="BQ82">SUMPRODUCT(
  IF($B82:$K82&lt;&gt;"",
     INDEX('Eurostat EB products IEA'!$A$4:$BN$135,
           MATCH($B82:$K82, 'Eurostat EB products IEA'!$A$4:$A$135, 0),
           MATCH(BQ$1, 'Eurostat EB products IEA'!$A$4:$BN$4, 0)
     )
     * $L82:$U82,
     0
  )
)</f>
        <v>0</v>
      </c>
      <c r="BR82" s="17" cm="1">
        <f t="array" ref="BR82">SUMPRODUCT(
  IF($B82:$K82&lt;&gt;"",
     INDEX('Eurostat EB products IEA'!$A$4:$BN$135,
           MATCH($B82:$K82, 'Eurostat EB products IEA'!$A$4:$A$135, 0),
           MATCH(BR$1, 'Eurostat EB products IEA'!$A$4:$BN$4, 0)
     )
     * $L82:$U82,
     0
  )
)</f>
        <v>0</v>
      </c>
      <c r="BS82" s="65">
        <v>0</v>
      </c>
      <c r="BT82" s="17" cm="1">
        <f t="array" ref="BT82">SUMPRODUCT(
  IF($B82:$K82&lt;&gt;"",
     INDEX('Eurostat EB products IEA'!$A$4:$BN$135,
           MATCH($B82:$K82, 'Eurostat EB products IEA'!$A$4:$A$135, 0),
           MATCH(BT$1, 'Eurostat EB products IEA'!$A$4:$BN$4, 0)
     )
     * $L82:$U82,
     0
  )
)</f>
        <v>0</v>
      </c>
      <c r="BU82" s="65">
        <v>0</v>
      </c>
      <c r="BV82" s="65">
        <v>0</v>
      </c>
      <c r="BW82" s="17" cm="1">
        <f t="array" ref="BW82">SUMPRODUCT(
  IF($B82:$K82&lt;&gt;"",
     INDEX('Eurostat EB products IEA'!$A$4:$BN$135,
           MATCH($B82:$K82, 'Eurostat EB products IEA'!$A$4:$A$135, 0),
           MATCH(BW$1, 'Eurostat EB products IEA'!$A$4:$BN$4, 0)
     )
     * $L82:$U82,
     0
  )
)</f>
        <v>0</v>
      </c>
      <c r="BX82" s="17" cm="1">
        <f t="array" ref="BX82">SUMPRODUCT(
  IF($B82:$K82&lt;&gt;"",
     INDEX('Eurostat EB products IEA'!$A$4:$BN$135,
           MATCH($B82:$K82, 'Eurostat EB products IEA'!$A$4:$A$135, 0),
           MATCH(BX$1, 'Eurostat EB products IEA'!$A$4:$BN$4, 0)
     )
     * $L82:$U82,
     0
  )
)</f>
        <v>0</v>
      </c>
      <c r="BY82" s="17" cm="1">
        <f t="array" ref="BY82">SUMPRODUCT(
  IF($B82:$K82&lt;&gt;"",
     INDEX('Eurostat EB products IEA'!$A$4:$BN$135,
           MATCH($B82:$K82, 'Eurostat EB products IEA'!$A$4:$A$135, 0),
           MATCH(BY$1, 'Eurostat EB products IEA'!$A$4:$BN$4, 0)
     )
     * $L82:$U82,
     0
  )
)</f>
        <v>0</v>
      </c>
      <c r="BZ82" s="17" cm="1">
        <f t="array" ref="BZ82">SUMPRODUCT(
  IF($B82:$K82&lt;&gt;"",
     INDEX('Eurostat EB products IEA'!$A$4:$BN$135,
           MATCH($B82:$K82, 'Eurostat EB products IEA'!$A$4:$A$135, 0),
           MATCH(BZ$1, 'Eurostat EB products IEA'!$A$4:$BN$4, 0)
     )
     * $L82:$U82,
     0
  )
)</f>
        <v>0</v>
      </c>
      <c r="CA82" s="17" cm="1">
        <f t="array" ref="CA82">SUMPRODUCT(
  IF($B82:$K82&lt;&gt;"",
     INDEX('Eurostat EB products IEA'!$A$4:$BN$135,
           MATCH($B82:$K82, 'Eurostat EB products IEA'!$A$4:$A$135, 0),
           MATCH(CA$1, 'Eurostat EB products IEA'!$A$4:$BN$4, 0)
     )
     * $L82:$U82,
     0
  )
)</f>
        <v>0</v>
      </c>
      <c r="CB82" s="17" cm="1">
        <f t="array" ref="CB82">SUMPRODUCT(
  IF($B82:$K82&lt;&gt;"",
     INDEX('Eurostat EB products IEA'!$A$4:$BN$135,
           MATCH($B82:$K82, 'Eurostat EB products IEA'!$A$4:$A$135, 0),
           MATCH(CB$1, 'Eurostat EB products IEA'!$A$4:$BN$4, 0)
     )
     * $L82:$U82,
     0
  )
)</f>
        <v>0</v>
      </c>
      <c r="CC82" s="17" cm="1">
        <f t="array" ref="CC82">SUMPRODUCT(
  IF($B82:$K82&lt;&gt;"",
     INDEX('Eurostat EB products IEA'!$A$4:$BN$135,
           MATCH($B82:$K82, 'Eurostat EB products IEA'!$A$4:$A$135, 0),
           MATCH(CC$1, 'Eurostat EB products IEA'!$A$4:$BN$4, 0)
     )
     * $L82:$U82,
     0
  )
)</f>
        <v>0</v>
      </c>
      <c r="CD82" s="65">
        <v>0</v>
      </c>
      <c r="CE82" s="17" cm="1">
        <f t="array" ref="CE82">SUMPRODUCT(
  IF($B82:$K82&lt;&gt;"",
     INDEX('Eurostat EB products IEA'!$A$4:$BN$135,
           MATCH($B82:$K82, 'Eurostat EB products IEA'!$A$4:$A$135, 0),
           MATCH(CE$1, 'Eurostat EB products IEA'!$A$4:$BN$4, 0)
     )
     * $L82:$U82,
     0
  )
)</f>
        <v>0</v>
      </c>
      <c r="CF82" s="17" cm="1">
        <f t="array" ref="CF82">SUMPRODUCT(
  IF($B82:$K82&lt;&gt;"",
     INDEX('Eurostat EB products IEA'!$A$4:$BN$135,
           MATCH($B82:$K82, 'Eurostat EB products IEA'!$A$4:$A$135, 0),
           MATCH(CF$1, 'Eurostat EB products IEA'!$A$4:$BN$4, 0)
     )
     * $L82:$U82,
     0
  )
)</f>
        <v>0</v>
      </c>
      <c r="CG82" s="17" cm="1">
        <f t="array" ref="CG82">SUMPRODUCT(
  IF($B82:$K82&lt;&gt;"",
     INDEX('Eurostat EB products IEA'!$A$4:$BN$135,
           MATCH($B82:$K82, 'Eurostat EB products IEA'!$A$4:$A$135, 0),
           MATCH(CG$1, 'Eurostat EB products IEA'!$A$4:$BN$4, 0)
     )
     * $L82:$U82,
     0
  )
)</f>
        <v>443859.42300000001</v>
      </c>
      <c r="CH82" s="17" cm="1">
        <f t="array" ref="CH82">SUMPRODUCT(
  IF($B82:$K82&lt;&gt;"",
     INDEX('Eurostat EB products IEA'!$A$4:$BN$135,
           MATCH($B82:$K82, 'Eurostat EB products IEA'!$A$4:$A$135, 0),
           MATCH(CH$1, 'Eurostat EB products IEA'!$A$4:$BN$4, 0)
     )
     * $L82:$U82,
     0
  )
)</f>
        <v>686.05700000000002</v>
      </c>
    </row>
    <row r="83" spans="1:86" x14ac:dyDescent="0.2">
      <c r="A83" t="s">
        <v>188</v>
      </c>
      <c r="B83" s="75"/>
      <c r="C83" s="77"/>
      <c r="D83" s="75"/>
      <c r="E83" s="77"/>
      <c r="F83" s="75"/>
      <c r="G83" s="77"/>
      <c r="H83" s="75"/>
      <c r="I83" s="77"/>
      <c r="J83" s="74"/>
      <c r="K83" s="78" t="s">
        <v>355</v>
      </c>
      <c r="L83" s="76"/>
      <c r="M83" s="79"/>
      <c r="N83" s="76"/>
      <c r="O83" s="79"/>
      <c r="P83" s="76"/>
      <c r="Q83" s="79"/>
      <c r="R83" s="76"/>
      <c r="S83" s="79"/>
      <c r="T83" s="76"/>
      <c r="U83" s="79">
        <v>1</v>
      </c>
      <c r="V83" s="65" t="s">
        <v>323</v>
      </c>
      <c r="W83" s="65" t="s">
        <v>323</v>
      </c>
      <c r="X83" s="65" cm="1">
        <f t="array" ref="X83">SUMPRODUCT(
  IF($B83:$K83&lt;&gt;"",
     INDEX('Eurostat EB products IEA'!$A$4:$BN$135,
           MATCH($B83:$K83, 'Eurostat EB products IEA'!$A$4:$A$135, 0),
           MATCH(X$1, 'Eurostat EB products IEA'!$A$4:$BN$4, 0)
     )
     * $L83:$U83,
     0
  )
)</f>
        <v>0</v>
      </c>
      <c r="Y83" s="65" cm="1">
        <f t="array" ref="Y83">SUMPRODUCT(
  IF($B83:$K83&lt;&gt;"",
     INDEX('Eurostat EB products IEA'!$A$4:$BN$135,
           MATCH($B83:$K83, 'Eurostat EB products IEA'!$A$4:$A$135, 0),
           MATCH(Y$1, 'Eurostat EB products IEA'!$A$4:$BN$4, 0)
     )
     * $L83:$U83,
     0
  )
)</f>
        <v>0</v>
      </c>
      <c r="Z83" s="65" cm="1">
        <f t="array" ref="Z83">SUMPRODUCT(
  IF($B83:$K83&lt;&gt;"",
     INDEX('Eurostat EB products IEA'!$A$4:$BN$135,
           MATCH($B83:$K83, 'Eurostat EB products IEA'!$A$4:$A$135, 0),
           MATCH(Z$1, 'Eurostat EB products IEA'!$A$4:$BN$4, 0)
     )
     * $L83:$U83,
     0
  )
)</f>
        <v>0</v>
      </c>
      <c r="AA83" s="65" cm="1">
        <f t="array" ref="AA83">SUMPRODUCT(
  IF($B83:$K83&lt;&gt;"",
     INDEX('Eurostat EB products IEA'!$A$4:$BN$135,
           MATCH($B83:$K83, 'Eurostat EB products IEA'!$A$4:$A$135, 0),
           MATCH(AA$1, 'Eurostat EB products IEA'!$A$4:$BN$4, 0)
     )
     * $L83:$U83,
     0
  )
)</f>
        <v>0</v>
      </c>
      <c r="AB83" s="65" cm="1">
        <f t="array" ref="AB83">SUMPRODUCT(
  IF($B83:$K83&lt;&gt;"",
     INDEX('Eurostat EB products IEA'!$A$4:$BN$135,
           MATCH($B83:$K83, 'Eurostat EB products IEA'!$A$4:$A$135, 0),
           MATCH(AB$1, 'Eurostat EB products IEA'!$A$4:$BN$4, 0)
     )
     * $L83:$U83,
     0
  )
)</f>
        <v>0</v>
      </c>
      <c r="AC83" s="65" cm="1">
        <f t="array" ref="AC83">SUMPRODUCT(
  IF($B83:$K83&lt;&gt;"",
     INDEX('Eurostat EB products IEA'!$A$4:$BN$135,
           MATCH($B83:$K83, 'Eurostat EB products IEA'!$A$4:$A$135, 0),
           MATCH(AC$1, 'Eurostat EB products IEA'!$A$4:$BN$4, 0)
     )
     * $L83:$U83,
     0
  )
)</f>
        <v>0</v>
      </c>
      <c r="AD83" s="65" cm="1">
        <f t="array" ref="AD83">SUMPRODUCT(
  IF($B83:$K83&lt;&gt;"",
     INDEX('Eurostat EB products IEA'!$A$4:$BN$135,
           MATCH($B83:$K83, 'Eurostat EB products IEA'!$A$4:$A$135, 0),
           MATCH(AD$1, 'Eurostat EB products IEA'!$A$4:$BN$4, 0)
     )
     * $L83:$U83,
     0
  )
)</f>
        <v>0</v>
      </c>
      <c r="AE83" s="65" cm="1">
        <f t="array" ref="AE83">SUMPRODUCT(
  IF($B83:$K83&lt;&gt;"",
     INDEX('Eurostat EB products IEA'!$A$4:$BN$135,
           MATCH($B83:$K83, 'Eurostat EB products IEA'!$A$4:$A$135, 0),
           MATCH(AE$1, 'Eurostat EB products IEA'!$A$4:$BN$4, 0)
     )
     * $L83:$U83,
     0
  )
)</f>
        <v>0</v>
      </c>
      <c r="AF83" s="65" cm="1">
        <f t="array" ref="AF83">SUMPRODUCT(
  IF($B83:$K83&lt;&gt;"",
     INDEX('Eurostat EB products IEA'!$A$4:$BN$135,
           MATCH($B83:$K83, 'Eurostat EB products IEA'!$A$4:$A$135, 0),
           MATCH(AF$1, 'Eurostat EB products IEA'!$A$4:$BN$4, 0)
     )
     * $L83:$U83,
     0
  )
)</f>
        <v>0</v>
      </c>
      <c r="AG83" s="65" cm="1">
        <f t="array" ref="AG83">SUMPRODUCT(
  IF($B83:$K83&lt;&gt;"",
     INDEX('Eurostat EB products IEA'!$A$4:$BN$135,
           MATCH($B83:$K83, 'Eurostat EB products IEA'!$A$4:$A$135, 0),
           MATCH(AG$1, 'Eurostat EB products IEA'!$A$4:$BN$4, 0)
     )
     * $L83:$U83,
     0
  )
)</f>
        <v>0</v>
      </c>
      <c r="AH83" s="65" cm="1">
        <f t="array" ref="AH83">SUMPRODUCT(
  IF($B83:$K83&lt;&gt;"",
     INDEX('Eurostat EB products IEA'!$A$4:$BN$135,
           MATCH($B83:$K83, 'Eurostat EB products IEA'!$A$4:$A$135, 0),
           MATCH(AH$1, 'Eurostat EB products IEA'!$A$4:$BN$4, 0)
     )
     * $L83:$U83,
     0
  )
)</f>
        <v>0</v>
      </c>
      <c r="AI83" s="65" cm="1">
        <f t="array" ref="AI83">SUMPRODUCT(
  IF($B83:$K83&lt;&gt;"",
     INDEX('Eurostat EB products IEA'!$A$4:$BN$135,
           MATCH($B83:$K83, 'Eurostat EB products IEA'!$A$4:$A$135, 0),
           MATCH(AI$1, 'Eurostat EB products IEA'!$A$4:$BN$4, 0)
     )
     * $L83:$U83,
     0
  )
)</f>
        <v>0</v>
      </c>
      <c r="AJ83" s="65" cm="1">
        <f t="array" ref="AJ83">SUMPRODUCT(
  IF($B83:$K83&lt;&gt;"",
     INDEX('Eurostat EB products IEA'!$A$4:$BN$135,
           MATCH($B83:$K83, 'Eurostat EB products IEA'!$A$4:$A$135, 0),
           MATCH(AJ$1, 'Eurostat EB products IEA'!$A$4:$BN$4, 0)
     )
     * $L83:$U83,
     0
  )
)</f>
        <v>0</v>
      </c>
      <c r="AK83" s="65" cm="1">
        <f t="array" ref="AK83">SUMPRODUCT(
  IF($B83:$K83&lt;&gt;"",
     INDEX('Eurostat EB products IEA'!$A$4:$BN$135,
           MATCH($B83:$K83, 'Eurostat EB products IEA'!$A$4:$A$135, 0),
           MATCH(AK$1, 'Eurostat EB products IEA'!$A$4:$BN$4, 0)
     )
     * $L83:$U83,
     0
  )
)</f>
        <v>0</v>
      </c>
      <c r="AL83" s="65" cm="1">
        <f t="array" ref="AL83">SUMPRODUCT(
  IF($B83:$K83&lt;&gt;"",
     INDEX('Eurostat EB products IEA'!$A$4:$BN$135,
           MATCH($B83:$K83, 'Eurostat EB products IEA'!$A$4:$A$135, 0),
           MATCH(AL$1, 'Eurostat EB products IEA'!$A$4:$BN$4, 0)
     )
     * $L83:$U83,
     0
  )
)</f>
        <v>0</v>
      </c>
      <c r="AM83" s="65" cm="1">
        <f t="array" ref="AM83">SUMPRODUCT(
  IF($B83:$K83&lt;&gt;"",
     INDEX('Eurostat EB products IEA'!$A$4:$BN$135,
           MATCH($B83:$K83, 'Eurostat EB products IEA'!$A$4:$A$135, 0),
           MATCH(AM$1, 'Eurostat EB products IEA'!$A$4:$BN$4, 0)
     )
     * $L83:$U83,
     0
  )
)</f>
        <v>66978.793000000005</v>
      </c>
      <c r="AN83" s="65" t="s">
        <v>323</v>
      </c>
      <c r="AO83" s="65" cm="1">
        <f t="array" ref="AO83">SUMPRODUCT(
  IF($B83:$K83&lt;&gt;"",
     INDEX('Eurostat EB products IEA'!$A$4:$BN$135,
           MATCH($B83:$K83, 'Eurostat EB products IEA'!$A$4:$A$135, 0),
           MATCH(AO$1, 'Eurostat EB products IEA'!$A$4:$BN$4, 0)
     )
     * $L83:$U83,
     0
  )
)</f>
        <v>0</v>
      </c>
      <c r="AP83" s="65" cm="1">
        <f t="array" ref="AP83">SUMPRODUCT(
  IF($B83:$K83&lt;&gt;"",
     INDEX('Eurostat EB products IEA'!$A$4:$BN$135,
           MATCH($B83:$K83, 'Eurostat EB products IEA'!$A$4:$A$135, 0),
           MATCH(AP$1, 'Eurostat EB products IEA'!$A$4:$BN$4, 0)
     )
     * $L83:$U83,
     0
  )
)</f>
        <v>113287.74400000001</v>
      </c>
      <c r="AQ83" s="65" cm="1">
        <f t="array" ref="AQ83">SUMPRODUCT(
  IF($B83:$K83&lt;&gt;"",
     INDEX('Eurostat EB products IEA'!$A$4:$BN$135,
           MATCH($B83:$K83, 'Eurostat EB products IEA'!$A$4:$A$135, 0),
           MATCH(AQ$1, 'Eurostat EB products IEA'!$A$4:$BN$4, 0)
     )
     * $L83:$U83,
     0
  )
)</f>
        <v>0</v>
      </c>
      <c r="AR83" s="65" cm="1">
        <f t="array" ref="AR83">SUMPRODUCT(
  IF($B83:$K83&lt;&gt;"",
     INDEX('Eurostat EB products IEA'!$A$4:$BN$135,
           MATCH($B83:$K83, 'Eurostat EB products IEA'!$A$4:$A$135, 0),
           MATCH(AR$1, 'Eurostat EB products IEA'!$A$4:$BN$4, 0)
     )
     * $L83:$U83,
     0
  )
)</f>
        <v>0</v>
      </c>
      <c r="AS83" s="65" cm="1">
        <f t="array" ref="AS83">SUMPRODUCT(
  IF($B83:$K83&lt;&gt;"",
     INDEX('Eurostat EB products IEA'!$A$4:$BN$135,
           MATCH($B83:$K83, 'Eurostat EB products IEA'!$A$4:$A$135, 0),
           MATCH(AS$1, 'Eurostat EB products IEA'!$A$4:$BN$4, 0)
     )
     * $L83:$U83,
     0
  )
)</f>
        <v>0</v>
      </c>
      <c r="AT83" s="65" cm="1">
        <f t="array" ref="AT83">SUMPRODUCT(
  IF($B83:$K83&lt;&gt;"",
     INDEX('Eurostat EB products IEA'!$A$4:$BN$135,
           MATCH($B83:$K83, 'Eurostat EB products IEA'!$A$4:$A$135, 0),
           MATCH(AT$1, 'Eurostat EB products IEA'!$A$4:$BN$4, 0)
     )
     * $L83:$U83,
     0
  )
)</f>
        <v>0</v>
      </c>
      <c r="AU83" s="65" cm="1">
        <f t="array" ref="AU83">SUMPRODUCT(
  IF($B83:$K83&lt;&gt;"",
     INDEX('Eurostat EB products IEA'!$A$4:$BN$135,
           MATCH($B83:$K83, 'Eurostat EB products IEA'!$A$4:$A$135, 0),
           MATCH(AU$1, 'Eurostat EB products IEA'!$A$4:$BN$4, 0)
     )
     * $L83:$U83,
     0
  )
)</f>
        <v>0</v>
      </c>
      <c r="AV83" s="65" cm="1">
        <f t="array" ref="AV83">SUMPRODUCT(
  IF($B83:$K83&lt;&gt;"",
     INDEX('Eurostat EB products IEA'!$A$4:$BN$135,
           MATCH($B83:$K83, 'Eurostat EB products IEA'!$A$4:$A$135, 0),
           MATCH(AV$1, 'Eurostat EB products IEA'!$A$4:$BN$4, 0)
     )
     * $L83:$U83,
     0
  )
)</f>
        <v>69129.243000000002</v>
      </c>
      <c r="AW83" s="65" cm="1">
        <f t="array" ref="AW83">SUMPRODUCT(
  IF($B83:$K83&lt;&gt;"",
     INDEX('Eurostat EB products IEA'!$A$4:$BN$135,
           MATCH($B83:$K83, 'Eurostat EB products IEA'!$A$4:$A$135, 0),
           MATCH(AW$1, 'Eurostat EB products IEA'!$A$4:$BN$4, 0)
     )
     * $L83:$U83,
     0
  )
)</f>
        <v>0</v>
      </c>
      <c r="AX83" s="65" cm="1">
        <f t="array" ref="AX83">SUMPRODUCT(
  IF($B83:$K83&lt;&gt;"",
     INDEX('Eurostat EB products IEA'!$A$4:$BN$135,
           MATCH($B83:$K83, 'Eurostat EB products IEA'!$A$4:$A$135, 0),
           MATCH(AX$1, 'Eurostat EB products IEA'!$A$4:$BN$4, 0)
     )
     * $L83:$U83,
     0
  )
)</f>
        <v>0</v>
      </c>
      <c r="AY83" s="65" cm="1">
        <f t="array" ref="AY83">SUMPRODUCT(
  IF($B83:$K83&lt;&gt;"",
     INDEX('Eurostat EB products IEA'!$A$4:$BN$135,
           MATCH($B83:$K83, 'Eurostat EB products IEA'!$A$4:$A$135, 0),
           MATCH(AY$1, 'Eurostat EB products IEA'!$A$4:$BN$4, 0)
     )
     * $L83:$U83,
     0
  )
)</f>
        <v>0</v>
      </c>
      <c r="AZ83" s="65" cm="1">
        <f t="array" ref="AZ83">SUMPRODUCT(
  IF($B83:$K83&lt;&gt;"",
     INDEX('Eurostat EB products IEA'!$A$4:$BN$135,
           MATCH($B83:$K83, 'Eurostat EB products IEA'!$A$4:$A$135, 0),
           MATCH(AZ$1, 'Eurostat EB products IEA'!$A$4:$BN$4, 0)
     )
     * $L83:$U83,
     0
  )
)</f>
        <v>0</v>
      </c>
      <c r="BA83" s="65" cm="1">
        <f t="array" ref="BA83">SUMPRODUCT(
  IF($B83:$K83&lt;&gt;"",
     INDEX('Eurostat EB products IEA'!$A$4:$BN$135,
           MATCH($B83:$K83, 'Eurostat EB products IEA'!$A$4:$A$135, 0),
           MATCH(BA$1, 'Eurostat EB products IEA'!$A$4:$BN$4, 0)
     )
     * $L83:$U83,
     0
  )
)</f>
        <v>1332.7719999999999</v>
      </c>
      <c r="BB83" s="65" cm="1">
        <f t="array" ref="BB83">SUMPRODUCT(
  IF($B83:$K83&lt;&gt;"",
     INDEX('Eurostat EB products IEA'!$A$4:$BN$135,
           MATCH($B83:$K83, 'Eurostat EB products IEA'!$A$4:$A$135, 0),
           MATCH(BB$1, 'Eurostat EB products IEA'!$A$4:$BN$4, 0)
     )
     * $L83:$U83,
     0
  )
)</f>
        <v>24.72</v>
      </c>
      <c r="BC83" s="65" cm="1">
        <f t="array" ref="BC83">SUMPRODUCT(
  IF($B83:$K83&lt;&gt;"",
     INDEX('Eurostat EB products IEA'!$A$4:$BN$135,
           MATCH($B83:$K83, 'Eurostat EB products IEA'!$A$4:$A$135, 0),
           MATCH(BC$1, 'Eurostat EB products IEA'!$A$4:$BN$4, 0)
     )
     * $L83:$U83,
     0
  )
)</f>
        <v>0</v>
      </c>
      <c r="BD83" s="65" cm="1">
        <f t="array" ref="BD83">SUMPRODUCT(
  IF($B83:$K83&lt;&gt;"",
     INDEX('Eurostat EB products IEA'!$A$4:$BN$135,
           MATCH($B83:$K83, 'Eurostat EB products IEA'!$A$4:$A$135, 0),
           MATCH(BD$1, 'Eurostat EB products IEA'!$A$4:$BN$4, 0)
     )
     * $L83:$U83,
     0
  )
)</f>
        <v>163893.617</v>
      </c>
      <c r="BE83" s="65" cm="1">
        <f t="array" ref="BE83">SUMPRODUCT(
  IF($B83:$K83&lt;&gt;"",
     INDEX('Eurostat EB products IEA'!$A$4:$BN$135,
           MATCH($B83:$K83, 'Eurostat EB products IEA'!$A$4:$A$135, 0),
           MATCH(BE$1, 'Eurostat EB products IEA'!$A$4:$BN$4, 0)
     )
     * $L83:$U83,
     0
  )
)</f>
        <v>380.71300000000002</v>
      </c>
      <c r="BF83" s="65" cm="1">
        <f t="array" ref="BF83">SUMPRODUCT(
  IF($B83:$K83&lt;&gt;"",
     INDEX('Eurostat EB products IEA'!$A$4:$BN$135,
           MATCH($B83:$K83, 'Eurostat EB products IEA'!$A$4:$A$135, 0),
           MATCH(BF$1, 'Eurostat EB products IEA'!$A$4:$BN$4, 0)
     )
     * $L83:$U83,
     0
  )
)</f>
        <v>0</v>
      </c>
      <c r="BG83" s="65" cm="1">
        <f t="array" ref="BG83">SUMPRODUCT(
  IF($B83:$K83&lt;&gt;"",
     INDEX('Eurostat EB products IEA'!$A$4:$BN$135,
           MATCH($B83:$K83, 'Eurostat EB products IEA'!$A$4:$A$135, 0),
           MATCH(BG$1, 'Eurostat EB products IEA'!$A$4:$BN$4, 0)
     )
     * $L83:$U83,
     0
  )
)</f>
        <v>0</v>
      </c>
      <c r="BH83" s="65" cm="1">
        <f t="array" ref="BH83">SUMPRODUCT(
  IF($B83:$K83&lt;&gt;"",
     INDEX('Eurostat EB products IEA'!$A$4:$BN$135,
           MATCH($B83:$K83, 'Eurostat EB products IEA'!$A$4:$A$135, 0),
           MATCH(BH$1, 'Eurostat EB products IEA'!$A$4:$BN$4, 0)
     )
     * $L83:$U83,
     0
  )
)</f>
        <v>404.85399999999998</v>
      </c>
      <c r="BI83" s="65" cm="1">
        <f t="array" ref="BI83">SUMPRODUCT(
  IF($B83:$K83&lt;&gt;"",
     INDEX('Eurostat EB products IEA'!$A$4:$BN$135,
           MATCH($B83:$K83, 'Eurostat EB products IEA'!$A$4:$A$135, 0),
           MATCH(BI$1, 'Eurostat EB products IEA'!$A$4:$BN$4, 0)
     )
     * $L83:$U83,
     0
  )
)</f>
        <v>10901.987693999999</v>
      </c>
      <c r="BJ83" s="65" cm="1">
        <f t="array" ref="BJ83">SUMPRODUCT(
  IF($B83:$K83&lt;&gt;"",
     INDEX('Eurostat EB products IEA'!$A$4:$BN$135,
           MATCH($B83:$K83, 'Eurostat EB products IEA'!$A$4:$A$135, 0),
           MATCH(BJ$1, 'Eurostat EB products IEA'!$A$4:$BN$4, 0)
     )
     * $L83:$U83,
     0
  )
)</f>
        <v>5725.9830000000002</v>
      </c>
      <c r="BK83" s="65" cm="1">
        <f t="array" ref="BK83">SUMPRODUCT(
  IF($B83:$K83&lt;&gt;"",
     INDEX('Eurostat EB products IEA'!$A$4:$BN$135,
           MATCH($B83:$K83, 'Eurostat EB products IEA'!$A$4:$A$135, 0),
           MATCH(BK$1, 'Eurostat EB products IEA'!$A$4:$BN$4, 0)
     )
     * $L83:$U83,
     0
  )
)</f>
        <v>0</v>
      </c>
      <c r="BL83" s="65" cm="1">
        <f t="array" ref="BL83">SUMPRODUCT(
  IF($B83:$K83&lt;&gt;"",
     INDEX('Eurostat EB products IEA'!$A$4:$BN$135,
           MATCH($B83:$K83, 'Eurostat EB products IEA'!$A$4:$A$135, 0),
           MATCH(BL$1, 'Eurostat EB products IEA'!$A$4:$BN$4, 0)
     )
     * $L83:$U83,
     0
  )
)</f>
        <v>0</v>
      </c>
      <c r="BM83" s="65" cm="1">
        <f t="array" ref="BM83">SUMPRODUCT(
  IF($B83:$K83&lt;&gt;"",
     INDEX('Eurostat EB products IEA'!$A$4:$BN$135,
           MATCH($B83:$K83, 'Eurostat EB products IEA'!$A$4:$A$135, 0),
           MATCH(BM$1, 'Eurostat EB products IEA'!$A$4:$BN$4, 0)
     )
     * $L83:$U83,
     0
  )
)</f>
        <v>0</v>
      </c>
      <c r="BN83" s="65" cm="1">
        <f t="array" ref="BN83">SUMPRODUCT(
  IF($B83:$K83&lt;&gt;"",
     INDEX('Eurostat EB products IEA'!$A$4:$BN$135,
           MATCH($B83:$K83, 'Eurostat EB products IEA'!$A$4:$A$135, 0),
           MATCH(BN$1, 'Eurostat EB products IEA'!$A$4:$BN$4, 0)
     )
     * $L83:$U83,
     0
  )
)</f>
        <v>0</v>
      </c>
      <c r="BO83" s="65" cm="1">
        <f t="array" ref="BO83">SUMPRODUCT(
  IF($B83:$K83&lt;&gt;"",
     INDEX('Eurostat EB products IEA'!$A$4:$BN$135,
           MATCH($B83:$K83, 'Eurostat EB products IEA'!$A$4:$A$135, 0),
           MATCH(BO$1, 'Eurostat EB products IEA'!$A$4:$BN$4, 0)
     )
     * $L83:$U83,
     0
  )
)</f>
        <v>0</v>
      </c>
      <c r="BP83" s="65" cm="1">
        <f t="array" ref="BP83">SUMPRODUCT(
  IF($B83:$K83&lt;&gt;"",
     INDEX('Eurostat EB products IEA'!$A$4:$BN$135,
           MATCH($B83:$K83, 'Eurostat EB products IEA'!$A$4:$A$135, 0),
           MATCH(BP$1, 'Eurostat EB products IEA'!$A$4:$BN$4, 0)
     )
     * $L83:$U83,
     0
  )
)</f>
        <v>0</v>
      </c>
      <c r="BQ83" s="65" cm="1">
        <f t="array" ref="BQ83">SUMPRODUCT(
  IF($B83:$K83&lt;&gt;"",
     INDEX('Eurostat EB products IEA'!$A$4:$BN$135,
           MATCH($B83:$K83, 'Eurostat EB products IEA'!$A$4:$A$135, 0),
           MATCH(BQ$1, 'Eurostat EB products IEA'!$A$4:$BN$4, 0)
     )
     * $L83:$U83,
     0
  )
)</f>
        <v>0</v>
      </c>
      <c r="BR83" s="65" cm="1">
        <f t="array" ref="BR83">SUMPRODUCT(
  IF($B83:$K83&lt;&gt;"",
     INDEX('Eurostat EB products IEA'!$A$4:$BN$135,
           MATCH($B83:$K83, 'Eurostat EB products IEA'!$A$4:$A$135, 0),
           MATCH(BR$1, 'Eurostat EB products IEA'!$A$4:$BN$4, 0)
     )
     * $L83:$U83,
     0
  )
)</f>
        <v>0</v>
      </c>
      <c r="BS83" s="65">
        <v>0</v>
      </c>
      <c r="BT83" s="65" cm="1">
        <f t="array" ref="BT83">SUMPRODUCT(
  IF($B83:$K83&lt;&gt;"",
     INDEX('Eurostat EB products IEA'!$A$4:$BN$135,
           MATCH($B83:$K83, 'Eurostat EB products IEA'!$A$4:$A$135, 0),
           MATCH(BT$1, 'Eurostat EB products IEA'!$A$4:$BN$4, 0)
     )
     * $L83:$U83,
     0
  )
)</f>
        <v>0</v>
      </c>
      <c r="BU83" s="65">
        <v>0</v>
      </c>
      <c r="BV83" s="65">
        <v>0</v>
      </c>
      <c r="BW83" s="65" cm="1">
        <f t="array" ref="BW83">SUMPRODUCT(
  IF($B83:$K83&lt;&gt;"",
     INDEX('Eurostat EB products IEA'!$A$4:$BN$135,
           MATCH($B83:$K83, 'Eurostat EB products IEA'!$A$4:$A$135, 0),
           MATCH(BW$1, 'Eurostat EB products IEA'!$A$4:$BN$4, 0)
     )
     * $L83:$U83,
     0
  )
)</f>
        <v>0</v>
      </c>
      <c r="BX83" s="65" cm="1">
        <f t="array" ref="BX83">SUMPRODUCT(
  IF($B83:$K83&lt;&gt;"",
     INDEX('Eurostat EB products IEA'!$A$4:$BN$135,
           MATCH($B83:$K83, 'Eurostat EB products IEA'!$A$4:$A$135, 0),
           MATCH(BX$1, 'Eurostat EB products IEA'!$A$4:$BN$4, 0)
     )
     * $L83:$U83,
     0
  )
)</f>
        <v>0</v>
      </c>
      <c r="BY83" s="65" cm="1">
        <f t="array" ref="BY83">SUMPRODUCT(
  IF($B83:$K83&lt;&gt;"",
     INDEX('Eurostat EB products IEA'!$A$4:$BN$135,
           MATCH($B83:$K83, 'Eurostat EB products IEA'!$A$4:$A$135, 0),
           MATCH(BY$1, 'Eurostat EB products IEA'!$A$4:$BN$4, 0)
     )
     * $L83:$U83,
     0
  )
)</f>
        <v>0</v>
      </c>
      <c r="BZ83" s="65" cm="1">
        <f t="array" ref="BZ83">SUMPRODUCT(
  IF($B83:$K83&lt;&gt;"",
     INDEX('Eurostat EB products IEA'!$A$4:$BN$135,
           MATCH($B83:$K83, 'Eurostat EB products IEA'!$A$4:$A$135, 0),
           MATCH(BZ$1, 'Eurostat EB products IEA'!$A$4:$BN$4, 0)
     )
     * $L83:$U83,
     0
  )
)</f>
        <v>0</v>
      </c>
      <c r="CA83" s="65" cm="1">
        <f t="array" ref="CA83">SUMPRODUCT(
  IF($B83:$K83&lt;&gt;"",
     INDEX('Eurostat EB products IEA'!$A$4:$BN$135,
           MATCH($B83:$K83, 'Eurostat EB products IEA'!$A$4:$A$135, 0),
           MATCH(CA$1, 'Eurostat EB products IEA'!$A$4:$BN$4, 0)
     )
     * $L83:$U83,
     0
  )
)</f>
        <v>0</v>
      </c>
      <c r="CB83" s="65" cm="1">
        <f t="array" ref="CB83">SUMPRODUCT(
  IF($B83:$K83&lt;&gt;"",
     INDEX('Eurostat EB products IEA'!$A$4:$BN$135,
           MATCH($B83:$K83, 'Eurostat EB products IEA'!$A$4:$A$135, 0),
           MATCH(CB$1, 'Eurostat EB products IEA'!$A$4:$BN$4, 0)
     )
     * $L83:$U83,
     0
  )
)</f>
        <v>0</v>
      </c>
      <c r="CC83" s="65" cm="1">
        <f t="array" ref="CC83">SUMPRODUCT(
  IF($B83:$K83&lt;&gt;"",
     INDEX('Eurostat EB products IEA'!$A$4:$BN$135,
           MATCH($B83:$K83, 'Eurostat EB products IEA'!$A$4:$A$135, 0),
           MATCH(CC$1, 'Eurostat EB products IEA'!$A$4:$BN$4, 0)
     )
     * $L83:$U83,
     0
  )
)</f>
        <v>0</v>
      </c>
      <c r="CD83" s="65">
        <v>0</v>
      </c>
      <c r="CE83" s="65" cm="1">
        <f t="array" ref="CE83">SUMPRODUCT(
  IF($B83:$K83&lt;&gt;"",
     INDEX('Eurostat EB products IEA'!$A$4:$BN$135,
           MATCH($B83:$K83, 'Eurostat EB products IEA'!$A$4:$A$135, 0),
           MATCH(CE$1, 'Eurostat EB products IEA'!$A$4:$BN$4, 0)
     )
     * $L83:$U83,
     0
  )
)</f>
        <v>0</v>
      </c>
      <c r="CF83" s="65" cm="1">
        <f t="array" ref="CF83">SUMPRODUCT(
  IF($B83:$K83&lt;&gt;"",
     INDEX('Eurostat EB products IEA'!$A$4:$BN$135,
           MATCH($B83:$K83, 'Eurostat EB products IEA'!$A$4:$A$135, 0),
           MATCH(CF$1, 'Eurostat EB products IEA'!$A$4:$BN$4, 0)
     )
     * $L83:$U83,
     0
  )
)</f>
        <v>0</v>
      </c>
      <c r="CG83" s="65" cm="1">
        <f t="array" ref="CG83">SUMPRODUCT(
  IF($B83:$K83&lt;&gt;"",
     INDEX('Eurostat EB products IEA'!$A$4:$BN$135,
           MATCH($B83:$K83, 'Eurostat EB products IEA'!$A$4:$A$135, 0),
           MATCH(CG$1, 'Eurostat EB products IEA'!$A$4:$BN$4, 0)
     )
     * $L83:$U83,
     0
  )
)</f>
        <v>796034.36753200006</v>
      </c>
      <c r="CH83" s="65" cm="1">
        <f t="array" ref="CH83">SUMPRODUCT(
  IF($B83:$K83&lt;&gt;"",
     INDEX('Eurostat EB products IEA'!$A$4:$BN$135,
           MATCH($B83:$K83, 'Eurostat EB products IEA'!$A$4:$A$135, 0),
           MATCH(CH$1, 'Eurostat EB products IEA'!$A$4:$BN$4, 0)
     )
     * $L83:$U83,
     0
  )
)</f>
        <v>0</v>
      </c>
    </row>
    <row r="84" spans="1:86" x14ac:dyDescent="0.2">
      <c r="A84" t="s">
        <v>189</v>
      </c>
      <c r="B84" s="75"/>
      <c r="C84" s="77"/>
      <c r="D84" s="75"/>
      <c r="E84" s="77"/>
      <c r="F84" s="75"/>
      <c r="G84" s="77"/>
      <c r="H84" s="75"/>
      <c r="I84" s="77"/>
      <c r="J84" s="74"/>
      <c r="K84" s="78" t="s">
        <v>284</v>
      </c>
      <c r="L84" s="76"/>
      <c r="M84" s="79"/>
      <c r="N84" s="76"/>
      <c r="O84" s="79"/>
      <c r="P84" s="76"/>
      <c r="Q84" s="79"/>
      <c r="R84" s="76"/>
      <c r="S84" s="79"/>
      <c r="T84" s="76"/>
      <c r="U84" s="79">
        <v>1</v>
      </c>
      <c r="V84" s="65" t="s">
        <v>323</v>
      </c>
      <c r="W84" s="65" t="s">
        <v>323</v>
      </c>
      <c r="X84" s="17" cm="1">
        <f t="array" ref="X84">SUMPRODUCT(
  IF($B84:$K84&lt;&gt;"",
     INDEX('Eurostat EB products IEA'!$A$4:$BN$135,
           MATCH($B84:$K84, 'Eurostat EB products IEA'!$A$4:$A$135, 0),
           MATCH(X$1, 'Eurostat EB products IEA'!$A$4:$BN$4, 0)
     )
     * $L84:$U84,
     0
  )
)</f>
        <v>0</v>
      </c>
      <c r="Y84" s="17" cm="1">
        <f t="array" ref="Y84">SUMPRODUCT(
  IF($B84:$K84&lt;&gt;"",
     INDEX('Eurostat EB products IEA'!$A$4:$BN$135,
           MATCH($B84:$K84, 'Eurostat EB products IEA'!$A$4:$A$135, 0),
           MATCH(Y$1, 'Eurostat EB products IEA'!$A$4:$BN$4, 0)
     )
     * $L84:$U84,
     0
  )
)</f>
        <v>0</v>
      </c>
      <c r="Z84" s="17" cm="1">
        <f t="array" ref="Z84">SUMPRODUCT(
  IF($B84:$K84&lt;&gt;"",
     INDEX('Eurostat EB products IEA'!$A$4:$BN$135,
           MATCH($B84:$K84, 'Eurostat EB products IEA'!$A$4:$A$135, 0),
           MATCH(Z$1, 'Eurostat EB products IEA'!$A$4:$BN$4, 0)
     )
     * $L84:$U84,
     0
  )
)</f>
        <v>0</v>
      </c>
      <c r="AA84" s="17" cm="1">
        <f t="array" ref="AA84">SUMPRODUCT(
  IF($B84:$K84&lt;&gt;"",
     INDEX('Eurostat EB products IEA'!$A$4:$BN$135,
           MATCH($B84:$K84, 'Eurostat EB products IEA'!$A$4:$A$135, 0),
           MATCH(AA$1, 'Eurostat EB products IEA'!$A$4:$BN$4, 0)
     )
     * $L84:$U84,
     0
  )
)</f>
        <v>0</v>
      </c>
      <c r="AB84" s="17" cm="1">
        <f t="array" ref="AB84">SUMPRODUCT(
  IF($B84:$K84&lt;&gt;"",
     INDEX('Eurostat EB products IEA'!$A$4:$BN$135,
           MATCH($B84:$K84, 'Eurostat EB products IEA'!$A$4:$A$135, 0),
           MATCH(AB$1, 'Eurostat EB products IEA'!$A$4:$BN$4, 0)
     )
     * $L84:$U84,
     0
  )
)</f>
        <v>0</v>
      </c>
      <c r="AC84" s="17" cm="1">
        <f t="array" ref="AC84">SUMPRODUCT(
  IF($B84:$K84&lt;&gt;"",
     INDEX('Eurostat EB products IEA'!$A$4:$BN$135,
           MATCH($B84:$K84, 'Eurostat EB products IEA'!$A$4:$A$135, 0),
           MATCH(AC$1, 'Eurostat EB products IEA'!$A$4:$BN$4, 0)
     )
     * $L84:$U84,
     0
  )
)</f>
        <v>0</v>
      </c>
      <c r="AD84" s="17" cm="1">
        <f t="array" ref="AD84">SUMPRODUCT(
  IF($B84:$K84&lt;&gt;"",
     INDEX('Eurostat EB products IEA'!$A$4:$BN$135,
           MATCH($B84:$K84, 'Eurostat EB products IEA'!$A$4:$A$135, 0),
           MATCH(AD$1, 'Eurostat EB products IEA'!$A$4:$BN$4, 0)
     )
     * $L84:$U84,
     0
  )
)</f>
        <v>0</v>
      </c>
      <c r="AE84" s="17" cm="1">
        <f t="array" ref="AE84">SUMPRODUCT(
  IF($B84:$K84&lt;&gt;"",
     INDEX('Eurostat EB products IEA'!$A$4:$BN$135,
           MATCH($B84:$K84, 'Eurostat EB products IEA'!$A$4:$A$135, 0),
           MATCH(AE$1, 'Eurostat EB products IEA'!$A$4:$BN$4, 0)
     )
     * $L84:$U84,
     0
  )
)</f>
        <v>0</v>
      </c>
      <c r="AF84" s="17" cm="1">
        <f t="array" ref="AF84">SUMPRODUCT(
  IF($B84:$K84&lt;&gt;"",
     INDEX('Eurostat EB products IEA'!$A$4:$BN$135,
           MATCH($B84:$K84, 'Eurostat EB products IEA'!$A$4:$A$135, 0),
           MATCH(AF$1, 'Eurostat EB products IEA'!$A$4:$BN$4, 0)
     )
     * $L84:$U84,
     0
  )
)</f>
        <v>0</v>
      </c>
      <c r="AG84" s="17" cm="1">
        <f t="array" ref="AG84">SUMPRODUCT(
  IF($B84:$K84&lt;&gt;"",
     INDEX('Eurostat EB products IEA'!$A$4:$BN$135,
           MATCH($B84:$K84, 'Eurostat EB products IEA'!$A$4:$A$135, 0),
           MATCH(AG$1, 'Eurostat EB products IEA'!$A$4:$BN$4, 0)
     )
     * $L84:$U84,
     0
  )
)</f>
        <v>0</v>
      </c>
      <c r="AH84" s="17" cm="1">
        <f t="array" ref="AH84">SUMPRODUCT(
  IF($B84:$K84&lt;&gt;"",
     INDEX('Eurostat EB products IEA'!$A$4:$BN$135,
           MATCH($B84:$K84, 'Eurostat EB products IEA'!$A$4:$A$135, 0),
           MATCH(AH$1, 'Eurostat EB products IEA'!$A$4:$BN$4, 0)
     )
     * $L84:$U84,
     0
  )
)</f>
        <v>0</v>
      </c>
      <c r="AI84" s="17" cm="1">
        <f t="array" ref="AI84">SUMPRODUCT(
  IF($B84:$K84&lt;&gt;"",
     INDEX('Eurostat EB products IEA'!$A$4:$BN$135,
           MATCH($B84:$K84, 'Eurostat EB products IEA'!$A$4:$A$135, 0),
           MATCH(AI$1, 'Eurostat EB products IEA'!$A$4:$BN$4, 0)
     )
     * $L84:$U84,
     0
  )
)</f>
        <v>0</v>
      </c>
      <c r="AJ84" s="17" cm="1">
        <f t="array" ref="AJ84">SUMPRODUCT(
  IF($B84:$K84&lt;&gt;"",
     INDEX('Eurostat EB products IEA'!$A$4:$BN$135,
           MATCH($B84:$K84, 'Eurostat EB products IEA'!$A$4:$A$135, 0),
           MATCH(AJ$1, 'Eurostat EB products IEA'!$A$4:$BN$4, 0)
     )
     * $L84:$U84,
     0
  )
)</f>
        <v>0</v>
      </c>
      <c r="AK84" s="17" cm="1">
        <f t="array" ref="AK84">SUMPRODUCT(
  IF($B84:$K84&lt;&gt;"",
     INDEX('Eurostat EB products IEA'!$A$4:$BN$135,
           MATCH($B84:$K84, 'Eurostat EB products IEA'!$A$4:$A$135, 0),
           MATCH(AK$1, 'Eurostat EB products IEA'!$A$4:$BN$4, 0)
     )
     * $L84:$U84,
     0
  )
)</f>
        <v>0</v>
      </c>
      <c r="AL84" s="17" cm="1">
        <f t="array" ref="AL84">SUMPRODUCT(
  IF($B84:$K84&lt;&gt;"",
     INDEX('Eurostat EB products IEA'!$A$4:$BN$135,
           MATCH($B84:$K84, 'Eurostat EB products IEA'!$A$4:$A$135, 0),
           MATCH(AL$1, 'Eurostat EB products IEA'!$A$4:$BN$4, 0)
     )
     * $L84:$U84,
     0
  )
)</f>
        <v>0</v>
      </c>
      <c r="AM84" s="17" cm="1">
        <f t="array" ref="AM84">SUMPRODUCT(
  IF($B84:$K84&lt;&gt;"",
     INDEX('Eurostat EB products IEA'!$A$4:$BN$135,
           MATCH($B84:$K84, 'Eurostat EB products IEA'!$A$4:$A$135, 0),
           MATCH(AM$1, 'Eurostat EB products IEA'!$A$4:$BN$4, 0)
     )
     * $L84:$U84,
     0
  )
)</f>
        <v>0</v>
      </c>
      <c r="AN84" s="65" t="s">
        <v>323</v>
      </c>
      <c r="AO84" s="17" cm="1">
        <f t="array" ref="AO84">SUMPRODUCT(
  IF($B84:$K84&lt;&gt;"",
     INDEX('Eurostat EB products IEA'!$A$4:$BN$135,
           MATCH($B84:$K84, 'Eurostat EB products IEA'!$A$4:$A$135, 0),
           MATCH(AO$1, 'Eurostat EB products IEA'!$A$4:$BN$4, 0)
     )
     * $L84:$U84,
     0
  )
)</f>
        <v>0</v>
      </c>
      <c r="AP84" s="17" cm="1">
        <f t="array" ref="AP84">SUMPRODUCT(
  IF($B84:$K84&lt;&gt;"",
     INDEX('Eurostat EB products IEA'!$A$4:$BN$135,
           MATCH($B84:$K84, 'Eurostat EB products IEA'!$A$4:$A$135, 0),
           MATCH(AP$1, 'Eurostat EB products IEA'!$A$4:$BN$4, 0)
     )
     * $L84:$U84,
     0
  )
)</f>
        <v>0</v>
      </c>
      <c r="AQ84" s="17" cm="1">
        <f t="array" ref="AQ84">SUMPRODUCT(
  IF($B84:$K84&lt;&gt;"",
     INDEX('Eurostat EB products IEA'!$A$4:$BN$135,
           MATCH($B84:$K84, 'Eurostat EB products IEA'!$A$4:$A$135, 0),
           MATCH(AQ$1, 'Eurostat EB products IEA'!$A$4:$BN$4, 0)
     )
     * $L84:$U84,
     0
  )
)</f>
        <v>0</v>
      </c>
      <c r="AR84" s="17" cm="1">
        <f t="array" ref="AR84">SUMPRODUCT(
  IF($B84:$K84&lt;&gt;"",
     INDEX('Eurostat EB products IEA'!$A$4:$BN$135,
           MATCH($B84:$K84, 'Eurostat EB products IEA'!$A$4:$A$135, 0),
           MATCH(AR$1, 'Eurostat EB products IEA'!$A$4:$BN$4, 0)
     )
     * $L84:$U84,
     0
  )
)</f>
        <v>0</v>
      </c>
      <c r="AS84" s="17" cm="1">
        <f t="array" ref="AS84">SUMPRODUCT(
  IF($B84:$K84&lt;&gt;"",
     INDEX('Eurostat EB products IEA'!$A$4:$BN$135,
           MATCH($B84:$K84, 'Eurostat EB products IEA'!$A$4:$A$135, 0),
           MATCH(AS$1, 'Eurostat EB products IEA'!$A$4:$BN$4, 0)
     )
     * $L84:$U84,
     0
  )
)</f>
        <v>0</v>
      </c>
      <c r="AT84" s="17" cm="1">
        <f t="array" ref="AT84">SUMPRODUCT(
  IF($B84:$K84&lt;&gt;"",
     INDEX('Eurostat EB products IEA'!$A$4:$BN$135,
           MATCH($B84:$K84, 'Eurostat EB products IEA'!$A$4:$A$135, 0),
           MATCH(AT$1, 'Eurostat EB products IEA'!$A$4:$BN$4, 0)
     )
     * $L84:$U84,
     0
  )
)</f>
        <v>0</v>
      </c>
      <c r="AU84" s="17" cm="1">
        <f t="array" ref="AU84">SUMPRODUCT(
  IF($B84:$K84&lt;&gt;"",
     INDEX('Eurostat EB products IEA'!$A$4:$BN$135,
           MATCH($B84:$K84, 'Eurostat EB products IEA'!$A$4:$A$135, 0),
           MATCH(AU$1, 'Eurostat EB products IEA'!$A$4:$BN$4, 0)
     )
     * $L84:$U84,
     0
  )
)</f>
        <v>0</v>
      </c>
      <c r="AV84" s="17" cm="1">
        <f t="array" ref="AV84">SUMPRODUCT(
  IF($B84:$K84&lt;&gt;"",
     INDEX('Eurostat EB products IEA'!$A$4:$BN$135,
           MATCH($B84:$K84, 'Eurostat EB products IEA'!$A$4:$A$135, 0),
           MATCH(AV$1, 'Eurostat EB products IEA'!$A$4:$BN$4, 0)
     )
     * $L84:$U84,
     0
  )
)</f>
        <v>0</v>
      </c>
      <c r="AW84" s="17" cm="1">
        <f t="array" ref="AW84">SUMPRODUCT(
  IF($B84:$K84&lt;&gt;"",
     INDEX('Eurostat EB products IEA'!$A$4:$BN$135,
           MATCH($B84:$K84, 'Eurostat EB products IEA'!$A$4:$A$135, 0),
           MATCH(AW$1, 'Eurostat EB products IEA'!$A$4:$BN$4, 0)
     )
     * $L84:$U84,
     0
  )
)</f>
        <v>0</v>
      </c>
      <c r="AX84" s="17" cm="1">
        <f t="array" ref="AX84">SUMPRODUCT(
  IF($B84:$K84&lt;&gt;"",
     INDEX('Eurostat EB products IEA'!$A$4:$BN$135,
           MATCH($B84:$K84, 'Eurostat EB products IEA'!$A$4:$A$135, 0),
           MATCH(AX$1, 'Eurostat EB products IEA'!$A$4:$BN$4, 0)
     )
     * $L84:$U84,
     0
  )
)</f>
        <v>0</v>
      </c>
      <c r="AY84" s="17" cm="1">
        <f t="array" ref="AY84">SUMPRODUCT(
  IF($B84:$K84&lt;&gt;"",
     INDEX('Eurostat EB products IEA'!$A$4:$BN$135,
           MATCH($B84:$K84, 'Eurostat EB products IEA'!$A$4:$A$135, 0),
           MATCH(AY$1, 'Eurostat EB products IEA'!$A$4:$BN$4, 0)
     )
     * $L84:$U84,
     0
  )
)</f>
        <v>0</v>
      </c>
      <c r="AZ84" s="17" cm="1">
        <f t="array" ref="AZ84">SUMPRODUCT(
  IF($B84:$K84&lt;&gt;"",
     INDEX('Eurostat EB products IEA'!$A$4:$BN$135,
           MATCH($B84:$K84, 'Eurostat EB products IEA'!$A$4:$A$135, 0),
           MATCH(AZ$1, 'Eurostat EB products IEA'!$A$4:$BN$4, 0)
     )
     * $L84:$U84,
     0
  )
)</f>
        <v>0</v>
      </c>
      <c r="BA84" s="17" cm="1">
        <f t="array" ref="BA84">SUMPRODUCT(
  IF($B84:$K84&lt;&gt;"",
     INDEX('Eurostat EB products IEA'!$A$4:$BN$135,
           MATCH($B84:$K84, 'Eurostat EB products IEA'!$A$4:$A$135, 0),
           MATCH(BA$1, 'Eurostat EB products IEA'!$A$4:$BN$4, 0)
     )
     * $L84:$U84,
     0
  )
)</f>
        <v>0</v>
      </c>
      <c r="BB84" s="17" cm="1">
        <f t="array" ref="BB84">SUMPRODUCT(
  IF($B84:$K84&lt;&gt;"",
     INDEX('Eurostat EB products IEA'!$A$4:$BN$135,
           MATCH($B84:$K84, 'Eurostat EB products IEA'!$A$4:$A$135, 0),
           MATCH(BB$1, 'Eurostat EB products IEA'!$A$4:$BN$4, 0)
     )
     * $L84:$U84,
     0
  )
)</f>
        <v>0</v>
      </c>
      <c r="BC84" s="17" cm="1">
        <f t="array" ref="BC84">SUMPRODUCT(
  IF($B84:$K84&lt;&gt;"",
     INDEX('Eurostat EB products IEA'!$A$4:$BN$135,
           MATCH($B84:$K84, 'Eurostat EB products IEA'!$A$4:$A$135, 0),
           MATCH(BC$1, 'Eurostat EB products IEA'!$A$4:$BN$4, 0)
     )
     * $L84:$U84,
     0
  )
)</f>
        <v>0</v>
      </c>
      <c r="BD84" s="17" cm="1">
        <f t="array" ref="BD84">SUMPRODUCT(
  IF($B84:$K84&lt;&gt;"",
     INDEX('Eurostat EB products IEA'!$A$4:$BN$135,
           MATCH($B84:$K84, 'Eurostat EB products IEA'!$A$4:$A$135, 0),
           MATCH(BD$1, 'Eurostat EB products IEA'!$A$4:$BN$4, 0)
     )
     * $L84:$U84,
     0
  )
)</f>
        <v>0</v>
      </c>
      <c r="BE84" s="17" cm="1">
        <f t="array" ref="BE84">SUMPRODUCT(
  IF($B84:$K84&lt;&gt;"",
     INDEX('Eurostat EB products IEA'!$A$4:$BN$135,
           MATCH($B84:$K84, 'Eurostat EB products IEA'!$A$4:$A$135, 0),
           MATCH(BE$1, 'Eurostat EB products IEA'!$A$4:$BN$4, 0)
     )
     * $L84:$U84,
     0
  )
)</f>
        <v>0</v>
      </c>
      <c r="BF84" s="17" cm="1">
        <f t="array" ref="BF84">SUMPRODUCT(
  IF($B84:$K84&lt;&gt;"",
     INDEX('Eurostat EB products IEA'!$A$4:$BN$135,
           MATCH($B84:$K84, 'Eurostat EB products IEA'!$A$4:$A$135, 0),
           MATCH(BF$1, 'Eurostat EB products IEA'!$A$4:$BN$4, 0)
     )
     * $L84:$U84,
     0
  )
)</f>
        <v>2704.9630000000002</v>
      </c>
      <c r="BG84" s="17" cm="1">
        <f t="array" ref="BG84">SUMPRODUCT(
  IF($B84:$K84&lt;&gt;"",
     INDEX('Eurostat EB products IEA'!$A$4:$BN$135,
           MATCH($B84:$K84, 'Eurostat EB products IEA'!$A$4:$A$135, 0),
           MATCH(BG$1, 'Eurostat EB products IEA'!$A$4:$BN$4, 0)
     )
     * $L84:$U84,
     0
  )
)</f>
        <v>0</v>
      </c>
      <c r="BH84" s="17" cm="1">
        <f t="array" ref="BH84">SUMPRODUCT(
  IF($B84:$K84&lt;&gt;"",
     INDEX('Eurostat EB products IEA'!$A$4:$BN$135,
           MATCH($B84:$K84, 'Eurostat EB products IEA'!$A$4:$A$135, 0),
           MATCH(BH$1, 'Eurostat EB products IEA'!$A$4:$BN$4, 0)
     )
     * $L84:$U84,
     0
  )
)</f>
        <v>0</v>
      </c>
      <c r="BI84" s="17" cm="1">
        <f t="array" ref="BI84">SUMPRODUCT(
  IF($B84:$K84&lt;&gt;"",
     INDEX('Eurostat EB products IEA'!$A$4:$BN$135,
           MATCH($B84:$K84, 'Eurostat EB products IEA'!$A$4:$A$135, 0),
           MATCH(BI$1, 'Eurostat EB products IEA'!$A$4:$BN$4, 0)
     )
     * $L84:$U84,
     0
  )
)</f>
        <v>0</v>
      </c>
      <c r="BJ84" s="17" cm="1">
        <f t="array" ref="BJ84">SUMPRODUCT(
  IF($B84:$K84&lt;&gt;"",
     INDEX('Eurostat EB products IEA'!$A$4:$BN$135,
           MATCH($B84:$K84, 'Eurostat EB products IEA'!$A$4:$A$135, 0),
           MATCH(BJ$1, 'Eurostat EB products IEA'!$A$4:$BN$4, 0)
     )
     * $L84:$U84,
     0
  )
)</f>
        <v>0</v>
      </c>
      <c r="BK84" s="17" cm="1">
        <f t="array" ref="BK84">SUMPRODUCT(
  IF($B84:$K84&lt;&gt;"",
     INDEX('Eurostat EB products IEA'!$A$4:$BN$135,
           MATCH($B84:$K84, 'Eurostat EB products IEA'!$A$4:$A$135, 0),
           MATCH(BK$1, 'Eurostat EB products IEA'!$A$4:$BN$4, 0)
     )
     * $L84:$U84,
     0
  )
)</f>
        <v>0</v>
      </c>
      <c r="BL84" s="17" cm="1">
        <f t="array" ref="BL84">SUMPRODUCT(
  IF($B84:$K84&lt;&gt;"",
     INDEX('Eurostat EB products IEA'!$A$4:$BN$135,
           MATCH($B84:$K84, 'Eurostat EB products IEA'!$A$4:$A$135, 0),
           MATCH(BL$1, 'Eurostat EB products IEA'!$A$4:$BN$4, 0)
     )
     * $L84:$U84,
     0
  )
)</f>
        <v>0</v>
      </c>
      <c r="BM84" s="17" cm="1">
        <f t="array" ref="BM84">SUMPRODUCT(
  IF($B84:$K84&lt;&gt;"",
     INDEX('Eurostat EB products IEA'!$A$4:$BN$135,
           MATCH($B84:$K84, 'Eurostat EB products IEA'!$A$4:$A$135, 0),
           MATCH(BM$1, 'Eurostat EB products IEA'!$A$4:$BN$4, 0)
     )
     * $L84:$U84,
     0
  )
)</f>
        <v>0</v>
      </c>
      <c r="BN84" s="17" cm="1">
        <f t="array" ref="BN84">SUMPRODUCT(
  IF($B84:$K84&lt;&gt;"",
     INDEX('Eurostat EB products IEA'!$A$4:$BN$135,
           MATCH($B84:$K84, 'Eurostat EB products IEA'!$A$4:$A$135, 0),
           MATCH(BN$1, 'Eurostat EB products IEA'!$A$4:$BN$4, 0)
     )
     * $L84:$U84,
     0
  )
)</f>
        <v>0</v>
      </c>
      <c r="BO84" s="17" cm="1">
        <f t="array" ref="BO84">SUMPRODUCT(
  IF($B84:$K84&lt;&gt;"",
     INDEX('Eurostat EB products IEA'!$A$4:$BN$135,
           MATCH($B84:$K84, 'Eurostat EB products IEA'!$A$4:$A$135, 0),
           MATCH(BO$1, 'Eurostat EB products IEA'!$A$4:$BN$4, 0)
     )
     * $L84:$U84,
     0
  )
)</f>
        <v>0</v>
      </c>
      <c r="BP84" s="17" cm="1">
        <f t="array" ref="BP84">SUMPRODUCT(
  IF($B84:$K84&lt;&gt;"",
     INDEX('Eurostat EB products IEA'!$A$4:$BN$135,
           MATCH($B84:$K84, 'Eurostat EB products IEA'!$A$4:$A$135, 0),
           MATCH(BP$1, 'Eurostat EB products IEA'!$A$4:$BN$4, 0)
     )
     * $L84:$U84,
     0
  )
)</f>
        <v>0</v>
      </c>
      <c r="BQ84" s="17" cm="1">
        <f t="array" ref="BQ84">SUMPRODUCT(
  IF($B84:$K84&lt;&gt;"",
     INDEX('Eurostat EB products IEA'!$A$4:$BN$135,
           MATCH($B84:$K84, 'Eurostat EB products IEA'!$A$4:$A$135, 0),
           MATCH(BQ$1, 'Eurostat EB products IEA'!$A$4:$BN$4, 0)
     )
     * $L84:$U84,
     0
  )
)</f>
        <v>0</v>
      </c>
      <c r="BR84" s="17" cm="1">
        <f t="array" ref="BR84">SUMPRODUCT(
  IF($B84:$K84&lt;&gt;"",
     INDEX('Eurostat EB products IEA'!$A$4:$BN$135,
           MATCH($B84:$K84, 'Eurostat EB products IEA'!$A$4:$A$135, 0),
           MATCH(BR$1, 'Eurostat EB products IEA'!$A$4:$BN$4, 0)
     )
     * $L84:$U84,
     0
  )
)</f>
        <v>0</v>
      </c>
      <c r="BS84" s="65">
        <v>0</v>
      </c>
      <c r="BT84" s="17" cm="1">
        <f t="array" ref="BT84">SUMPRODUCT(
  IF($B84:$K84&lt;&gt;"",
     INDEX('Eurostat EB products IEA'!$A$4:$BN$135,
           MATCH($B84:$K84, 'Eurostat EB products IEA'!$A$4:$A$135, 0),
           MATCH(BT$1, 'Eurostat EB products IEA'!$A$4:$BN$4, 0)
     )
     * $L84:$U84,
     0
  )
)</f>
        <v>0</v>
      </c>
      <c r="BU84" s="65">
        <v>0</v>
      </c>
      <c r="BV84" s="65">
        <v>0</v>
      </c>
      <c r="BW84" s="17" cm="1">
        <f t="array" ref="BW84">SUMPRODUCT(
  IF($B84:$K84&lt;&gt;"",
     INDEX('Eurostat EB products IEA'!$A$4:$BN$135,
           MATCH($B84:$K84, 'Eurostat EB products IEA'!$A$4:$A$135, 0),
           MATCH(BW$1, 'Eurostat EB products IEA'!$A$4:$BN$4, 0)
     )
     * $L84:$U84,
     0
  )
)</f>
        <v>0</v>
      </c>
      <c r="BX84" s="17" cm="1">
        <f t="array" ref="BX84">SUMPRODUCT(
  IF($B84:$K84&lt;&gt;"",
     INDEX('Eurostat EB products IEA'!$A$4:$BN$135,
           MATCH($B84:$K84, 'Eurostat EB products IEA'!$A$4:$A$135, 0),
           MATCH(BX$1, 'Eurostat EB products IEA'!$A$4:$BN$4, 0)
     )
     * $L84:$U84,
     0
  )
)</f>
        <v>0</v>
      </c>
      <c r="BY84" s="17" cm="1">
        <f t="array" ref="BY84">SUMPRODUCT(
  IF($B84:$K84&lt;&gt;"",
     INDEX('Eurostat EB products IEA'!$A$4:$BN$135,
           MATCH($B84:$K84, 'Eurostat EB products IEA'!$A$4:$A$135, 0),
           MATCH(BY$1, 'Eurostat EB products IEA'!$A$4:$BN$4, 0)
     )
     * $L84:$U84,
     0
  )
)</f>
        <v>0</v>
      </c>
      <c r="BZ84" s="17" cm="1">
        <f t="array" ref="BZ84">SUMPRODUCT(
  IF($B84:$K84&lt;&gt;"",
     INDEX('Eurostat EB products IEA'!$A$4:$BN$135,
           MATCH($B84:$K84, 'Eurostat EB products IEA'!$A$4:$A$135, 0),
           MATCH(BZ$1, 'Eurostat EB products IEA'!$A$4:$BN$4, 0)
     )
     * $L84:$U84,
     0
  )
)</f>
        <v>0</v>
      </c>
      <c r="CA84" s="17" cm="1">
        <f t="array" ref="CA84">SUMPRODUCT(
  IF($B84:$K84&lt;&gt;"",
     INDEX('Eurostat EB products IEA'!$A$4:$BN$135,
           MATCH($B84:$K84, 'Eurostat EB products IEA'!$A$4:$A$135, 0),
           MATCH(CA$1, 'Eurostat EB products IEA'!$A$4:$BN$4, 0)
     )
     * $L84:$U84,
     0
  )
)</f>
        <v>0</v>
      </c>
      <c r="CB84" s="17" cm="1">
        <f t="array" ref="CB84">SUMPRODUCT(
  IF($B84:$K84&lt;&gt;"",
     INDEX('Eurostat EB products IEA'!$A$4:$BN$135,
           MATCH($B84:$K84, 'Eurostat EB products IEA'!$A$4:$A$135, 0),
           MATCH(CB$1, 'Eurostat EB products IEA'!$A$4:$BN$4, 0)
     )
     * $L84:$U84,
     0
  )
)</f>
        <v>0</v>
      </c>
      <c r="CC84" s="17" cm="1">
        <f t="array" ref="CC84">SUMPRODUCT(
  IF($B84:$K84&lt;&gt;"",
     INDEX('Eurostat EB products IEA'!$A$4:$BN$135,
           MATCH($B84:$K84, 'Eurostat EB products IEA'!$A$4:$A$135, 0),
           MATCH(CC$1, 'Eurostat EB products IEA'!$A$4:$BN$4, 0)
     )
     * $L84:$U84,
     0
  )
)</f>
        <v>0</v>
      </c>
      <c r="CD84" s="65">
        <v>0</v>
      </c>
      <c r="CE84" s="17" cm="1">
        <f t="array" ref="CE84">SUMPRODUCT(
  IF($B84:$K84&lt;&gt;"",
     INDEX('Eurostat EB products IEA'!$A$4:$BN$135,
           MATCH($B84:$K84, 'Eurostat EB products IEA'!$A$4:$A$135, 0),
           MATCH(CE$1, 'Eurostat EB products IEA'!$A$4:$BN$4, 0)
     )
     * $L84:$U84,
     0
  )
)</f>
        <v>0</v>
      </c>
      <c r="CF84" s="17" cm="1">
        <f t="array" ref="CF84">SUMPRODUCT(
  IF($B84:$K84&lt;&gt;"",
     INDEX('Eurostat EB products IEA'!$A$4:$BN$135,
           MATCH($B84:$K84, 'Eurostat EB products IEA'!$A$4:$A$135, 0),
           MATCH(CF$1, 'Eurostat EB products IEA'!$A$4:$BN$4, 0)
     )
     * $L84:$U84,
     0
  )
)</f>
        <v>0</v>
      </c>
      <c r="CG84" s="17" cm="1">
        <f t="array" ref="CG84">SUMPRODUCT(
  IF($B84:$K84&lt;&gt;"",
     INDEX('Eurostat EB products IEA'!$A$4:$BN$135,
           MATCH($B84:$K84, 'Eurostat EB products IEA'!$A$4:$A$135, 0),
           MATCH(CG$1, 'Eurostat EB products IEA'!$A$4:$BN$4, 0)
     )
     * $L84:$U84,
     0
  )
)</f>
        <v>2704.9630000000002</v>
      </c>
      <c r="CH84" s="17" cm="1">
        <f t="array" ref="CH84">SUMPRODUCT(
  IF($B84:$K84&lt;&gt;"",
     INDEX('Eurostat EB products IEA'!$A$4:$BN$135,
           MATCH($B84:$K84, 'Eurostat EB products IEA'!$A$4:$A$135, 0),
           MATCH(CH$1, 'Eurostat EB products IEA'!$A$4:$BN$4, 0)
     )
     * $L84:$U84,
     0
  )
)</f>
        <v>0</v>
      </c>
    </row>
    <row r="85" spans="1:86" x14ac:dyDescent="0.2">
      <c r="A85" t="s">
        <v>190</v>
      </c>
      <c r="B85" s="75"/>
      <c r="C85" s="77"/>
      <c r="D85" s="75"/>
      <c r="E85" s="77"/>
      <c r="F85" s="75"/>
      <c r="G85" s="77"/>
      <c r="H85" s="75"/>
      <c r="I85" s="77"/>
      <c r="J85" s="74"/>
      <c r="K85" s="78" t="s">
        <v>285</v>
      </c>
      <c r="L85" s="76"/>
      <c r="M85" s="79"/>
      <c r="N85" s="76"/>
      <c r="O85" s="79"/>
      <c r="P85" s="76"/>
      <c r="Q85" s="79"/>
      <c r="R85" s="76"/>
      <c r="S85" s="79"/>
      <c r="T85" s="76"/>
      <c r="U85" s="79">
        <v>1</v>
      </c>
      <c r="V85" s="65" t="s">
        <v>323</v>
      </c>
      <c r="W85" s="65" t="s">
        <v>323</v>
      </c>
      <c r="X85" s="57" cm="1">
        <f t="array" ref="X85">SUMPRODUCT(
  IF($B85:$K85&lt;&gt;"",
     INDEX('Eurostat EB products IEA'!$A$4:$BN$135,
           MATCH($B85:$K85, 'Eurostat EB products IEA'!$A$4:$A$135, 0),
           MATCH(X$1, 'Eurostat EB products IEA'!$A$4:$BN$4, 0)
     )
     * $L85:$U85,
     0
  )
)</f>
        <v>0</v>
      </c>
      <c r="Y85" s="57" cm="1">
        <f t="array" ref="Y85">SUMPRODUCT(
  IF($B85:$K85&lt;&gt;"",
     INDEX('Eurostat EB products IEA'!$A$4:$BN$135,
           MATCH($B85:$K85, 'Eurostat EB products IEA'!$A$4:$A$135, 0),
           MATCH(Y$1, 'Eurostat EB products IEA'!$A$4:$BN$4, 0)
     )
     * $L85:$U85,
     0
  )
)</f>
        <v>0</v>
      </c>
      <c r="Z85" s="57" cm="1">
        <f t="array" ref="Z85">SUMPRODUCT(
  IF($B85:$K85&lt;&gt;"",
     INDEX('Eurostat EB products IEA'!$A$4:$BN$135,
           MATCH($B85:$K85, 'Eurostat EB products IEA'!$A$4:$A$135, 0),
           MATCH(Z$1, 'Eurostat EB products IEA'!$A$4:$BN$4, 0)
     )
     * $L85:$U85,
     0
  )
)</f>
        <v>0</v>
      </c>
      <c r="AA85" s="57" cm="1">
        <f t="array" ref="AA85">SUMPRODUCT(
  IF($B85:$K85&lt;&gt;"",
     INDEX('Eurostat EB products IEA'!$A$4:$BN$135,
           MATCH($B85:$K85, 'Eurostat EB products IEA'!$A$4:$A$135, 0),
           MATCH(AA$1, 'Eurostat EB products IEA'!$A$4:$BN$4, 0)
     )
     * $L85:$U85,
     0
  )
)</f>
        <v>0</v>
      </c>
      <c r="AB85" s="57" cm="1">
        <f t="array" ref="AB85">SUMPRODUCT(
  IF($B85:$K85&lt;&gt;"",
     INDEX('Eurostat EB products IEA'!$A$4:$BN$135,
           MATCH($B85:$K85, 'Eurostat EB products IEA'!$A$4:$A$135, 0),
           MATCH(AB$1, 'Eurostat EB products IEA'!$A$4:$BN$4, 0)
     )
     * $L85:$U85,
     0
  )
)</f>
        <v>0</v>
      </c>
      <c r="AC85" s="57" cm="1">
        <f t="array" ref="AC85">SUMPRODUCT(
  IF($B85:$K85&lt;&gt;"",
     INDEX('Eurostat EB products IEA'!$A$4:$BN$135,
           MATCH($B85:$K85, 'Eurostat EB products IEA'!$A$4:$A$135, 0),
           MATCH(AC$1, 'Eurostat EB products IEA'!$A$4:$BN$4, 0)
     )
     * $L85:$U85,
     0
  )
)</f>
        <v>0</v>
      </c>
      <c r="AD85" s="57" cm="1">
        <f t="array" ref="AD85">SUMPRODUCT(
  IF($B85:$K85&lt;&gt;"",
     INDEX('Eurostat EB products IEA'!$A$4:$BN$135,
           MATCH($B85:$K85, 'Eurostat EB products IEA'!$A$4:$A$135, 0),
           MATCH(AD$1, 'Eurostat EB products IEA'!$A$4:$BN$4, 0)
     )
     * $L85:$U85,
     0
  )
)</f>
        <v>0</v>
      </c>
      <c r="AE85" s="57" cm="1">
        <f t="array" ref="AE85">SUMPRODUCT(
  IF($B85:$K85&lt;&gt;"",
     INDEX('Eurostat EB products IEA'!$A$4:$BN$135,
           MATCH($B85:$K85, 'Eurostat EB products IEA'!$A$4:$A$135, 0),
           MATCH(AE$1, 'Eurostat EB products IEA'!$A$4:$BN$4, 0)
     )
     * $L85:$U85,
     0
  )
)</f>
        <v>0</v>
      </c>
      <c r="AF85" s="57" cm="1">
        <f t="array" ref="AF85">SUMPRODUCT(
  IF($B85:$K85&lt;&gt;"",
     INDEX('Eurostat EB products IEA'!$A$4:$BN$135,
           MATCH($B85:$K85, 'Eurostat EB products IEA'!$A$4:$A$135, 0),
           MATCH(AF$1, 'Eurostat EB products IEA'!$A$4:$BN$4, 0)
     )
     * $L85:$U85,
     0
  )
)</f>
        <v>0</v>
      </c>
      <c r="AG85" s="57" cm="1">
        <f t="array" ref="AG85">SUMPRODUCT(
  IF($B85:$K85&lt;&gt;"",
     INDEX('Eurostat EB products IEA'!$A$4:$BN$135,
           MATCH($B85:$K85, 'Eurostat EB products IEA'!$A$4:$A$135, 0),
           MATCH(AG$1, 'Eurostat EB products IEA'!$A$4:$BN$4, 0)
     )
     * $L85:$U85,
     0
  )
)</f>
        <v>0</v>
      </c>
      <c r="AH85" s="57" cm="1">
        <f t="array" ref="AH85">SUMPRODUCT(
  IF($B85:$K85&lt;&gt;"",
     INDEX('Eurostat EB products IEA'!$A$4:$BN$135,
           MATCH($B85:$K85, 'Eurostat EB products IEA'!$A$4:$A$135, 0),
           MATCH(AH$1, 'Eurostat EB products IEA'!$A$4:$BN$4, 0)
     )
     * $L85:$U85,
     0
  )
)</f>
        <v>0</v>
      </c>
      <c r="AI85" s="57" cm="1">
        <f t="array" ref="AI85">SUMPRODUCT(
  IF($B85:$K85&lt;&gt;"",
     INDEX('Eurostat EB products IEA'!$A$4:$BN$135,
           MATCH($B85:$K85, 'Eurostat EB products IEA'!$A$4:$A$135, 0),
           MATCH(AI$1, 'Eurostat EB products IEA'!$A$4:$BN$4, 0)
     )
     * $L85:$U85,
     0
  )
)</f>
        <v>0</v>
      </c>
      <c r="AJ85" s="57" cm="1">
        <f t="array" ref="AJ85">SUMPRODUCT(
  IF($B85:$K85&lt;&gt;"",
     INDEX('Eurostat EB products IEA'!$A$4:$BN$135,
           MATCH($B85:$K85, 'Eurostat EB products IEA'!$A$4:$A$135, 0),
           MATCH(AJ$1, 'Eurostat EB products IEA'!$A$4:$BN$4, 0)
     )
     * $L85:$U85,
     0
  )
)</f>
        <v>0</v>
      </c>
      <c r="AK85" s="57" cm="1">
        <f t="array" ref="AK85">SUMPRODUCT(
  IF($B85:$K85&lt;&gt;"",
     INDEX('Eurostat EB products IEA'!$A$4:$BN$135,
           MATCH($B85:$K85, 'Eurostat EB products IEA'!$A$4:$A$135, 0),
           MATCH(AK$1, 'Eurostat EB products IEA'!$A$4:$BN$4, 0)
     )
     * $L85:$U85,
     0
  )
)</f>
        <v>0</v>
      </c>
      <c r="AL85" s="57" cm="1">
        <f t="array" ref="AL85">SUMPRODUCT(
  IF($B85:$K85&lt;&gt;"",
     INDEX('Eurostat EB products IEA'!$A$4:$BN$135,
           MATCH($B85:$K85, 'Eurostat EB products IEA'!$A$4:$A$135, 0),
           MATCH(AL$1, 'Eurostat EB products IEA'!$A$4:$BN$4, 0)
     )
     * $L85:$U85,
     0
  )
)</f>
        <v>0</v>
      </c>
      <c r="AM85" s="57" cm="1">
        <f t="array" ref="AM85">SUMPRODUCT(
  IF($B85:$K85&lt;&gt;"",
     INDEX('Eurostat EB products IEA'!$A$4:$BN$135,
           MATCH($B85:$K85, 'Eurostat EB products IEA'!$A$4:$A$135, 0),
           MATCH(AM$1, 'Eurostat EB products IEA'!$A$4:$BN$4, 0)
     )
     * $L85:$U85,
     0
  )
)</f>
        <v>37.954999999999998</v>
      </c>
      <c r="AN85" s="65" t="s">
        <v>323</v>
      </c>
      <c r="AO85" s="57" cm="1">
        <f t="array" ref="AO85">SUMPRODUCT(
  IF($B85:$K85&lt;&gt;"",
     INDEX('Eurostat EB products IEA'!$A$4:$BN$135,
           MATCH($B85:$K85, 'Eurostat EB products IEA'!$A$4:$A$135, 0),
           MATCH(AO$1, 'Eurostat EB products IEA'!$A$4:$BN$4, 0)
     )
     * $L85:$U85,
     0
  )
)</f>
        <v>0</v>
      </c>
      <c r="AP85" s="57" cm="1">
        <f t="array" ref="AP85">SUMPRODUCT(
  IF($B85:$K85&lt;&gt;"",
     INDEX('Eurostat EB products IEA'!$A$4:$BN$135,
           MATCH($B85:$K85, 'Eurostat EB products IEA'!$A$4:$A$135, 0),
           MATCH(AP$1, 'Eurostat EB products IEA'!$A$4:$BN$4, 0)
     )
     * $L85:$U85,
     0
  )
)</f>
        <v>0</v>
      </c>
      <c r="AQ85" s="57" cm="1">
        <f t="array" ref="AQ85">SUMPRODUCT(
  IF($B85:$K85&lt;&gt;"",
     INDEX('Eurostat EB products IEA'!$A$4:$BN$135,
           MATCH($B85:$K85, 'Eurostat EB products IEA'!$A$4:$A$135, 0),
           MATCH(AQ$1, 'Eurostat EB products IEA'!$A$4:$BN$4, 0)
     )
     * $L85:$U85,
     0
  )
)</f>
        <v>0</v>
      </c>
      <c r="AR85" s="57" cm="1">
        <f t="array" ref="AR85">SUMPRODUCT(
  IF($B85:$K85&lt;&gt;"",
     INDEX('Eurostat EB products IEA'!$A$4:$BN$135,
           MATCH($B85:$K85, 'Eurostat EB products IEA'!$A$4:$A$135, 0),
           MATCH(AR$1, 'Eurostat EB products IEA'!$A$4:$BN$4, 0)
     )
     * $L85:$U85,
     0
  )
)</f>
        <v>0</v>
      </c>
      <c r="AS85" s="57" cm="1">
        <f t="array" ref="AS85">SUMPRODUCT(
  IF($B85:$K85&lt;&gt;"",
     INDEX('Eurostat EB products IEA'!$A$4:$BN$135,
           MATCH($B85:$K85, 'Eurostat EB products IEA'!$A$4:$A$135, 0),
           MATCH(AS$1, 'Eurostat EB products IEA'!$A$4:$BN$4, 0)
     )
     * $L85:$U85,
     0
  )
)</f>
        <v>0</v>
      </c>
      <c r="AT85" s="57" cm="1">
        <f t="array" ref="AT85">SUMPRODUCT(
  IF($B85:$K85&lt;&gt;"",
     INDEX('Eurostat EB products IEA'!$A$4:$BN$135,
           MATCH($B85:$K85, 'Eurostat EB products IEA'!$A$4:$A$135, 0),
           MATCH(AT$1, 'Eurostat EB products IEA'!$A$4:$BN$4, 0)
     )
     * $L85:$U85,
     0
  )
)</f>
        <v>0</v>
      </c>
      <c r="AU85" s="57" cm="1">
        <f t="array" ref="AU85">SUMPRODUCT(
  IF($B85:$K85&lt;&gt;"",
     INDEX('Eurostat EB products IEA'!$A$4:$BN$135,
           MATCH($B85:$K85, 'Eurostat EB products IEA'!$A$4:$A$135, 0),
           MATCH(AU$1, 'Eurostat EB products IEA'!$A$4:$BN$4, 0)
     )
     * $L85:$U85,
     0
  )
)</f>
        <v>0</v>
      </c>
      <c r="AV85" s="57" cm="1">
        <f t="array" ref="AV85">SUMPRODUCT(
  IF($B85:$K85&lt;&gt;"",
     INDEX('Eurostat EB products IEA'!$A$4:$BN$135,
           MATCH($B85:$K85, 'Eurostat EB products IEA'!$A$4:$A$135, 0),
           MATCH(AV$1, 'Eurostat EB products IEA'!$A$4:$BN$4, 0)
     )
     * $L85:$U85,
     0
  )
)</f>
        <v>0</v>
      </c>
      <c r="AW85" s="57" cm="1">
        <f t="array" ref="AW85">SUMPRODUCT(
  IF($B85:$K85&lt;&gt;"",
     INDEX('Eurostat EB products IEA'!$A$4:$BN$135,
           MATCH($B85:$K85, 'Eurostat EB products IEA'!$A$4:$A$135, 0),
           MATCH(AW$1, 'Eurostat EB products IEA'!$A$4:$BN$4, 0)
     )
     * $L85:$U85,
     0
  )
)</f>
        <v>0</v>
      </c>
      <c r="AX85" s="57" cm="1">
        <f t="array" ref="AX85">SUMPRODUCT(
  IF($B85:$K85&lt;&gt;"",
     INDEX('Eurostat EB products IEA'!$A$4:$BN$135,
           MATCH($B85:$K85, 'Eurostat EB products IEA'!$A$4:$A$135, 0),
           MATCH(AX$1, 'Eurostat EB products IEA'!$A$4:$BN$4, 0)
     )
     * $L85:$U85,
     0
  )
)</f>
        <v>0</v>
      </c>
      <c r="AY85" s="57" cm="1">
        <f t="array" ref="AY85">SUMPRODUCT(
  IF($B85:$K85&lt;&gt;"",
     INDEX('Eurostat EB products IEA'!$A$4:$BN$135,
           MATCH($B85:$K85, 'Eurostat EB products IEA'!$A$4:$A$135, 0),
           MATCH(AY$1, 'Eurostat EB products IEA'!$A$4:$BN$4, 0)
     )
     * $L85:$U85,
     0
  )
)</f>
        <v>0</v>
      </c>
      <c r="AZ85" s="57" cm="1">
        <f t="array" ref="AZ85">SUMPRODUCT(
  IF($B85:$K85&lt;&gt;"",
     INDEX('Eurostat EB products IEA'!$A$4:$BN$135,
           MATCH($B85:$K85, 'Eurostat EB products IEA'!$A$4:$A$135, 0),
           MATCH(AZ$1, 'Eurostat EB products IEA'!$A$4:$BN$4, 0)
     )
     * $L85:$U85,
     0
  )
)</f>
        <v>0</v>
      </c>
      <c r="BA85" s="57" cm="1">
        <f t="array" ref="BA85">SUMPRODUCT(
  IF($B85:$K85&lt;&gt;"",
     INDEX('Eurostat EB products IEA'!$A$4:$BN$135,
           MATCH($B85:$K85, 'Eurostat EB products IEA'!$A$4:$A$135, 0),
           MATCH(BA$1, 'Eurostat EB products IEA'!$A$4:$BN$4, 0)
     )
     * $L85:$U85,
     0
  )
)</f>
        <v>24.184000000000001</v>
      </c>
      <c r="BB85" s="57" cm="1">
        <f t="array" ref="BB85">SUMPRODUCT(
  IF($B85:$K85&lt;&gt;"",
     INDEX('Eurostat EB products IEA'!$A$4:$BN$135,
           MATCH($B85:$K85, 'Eurostat EB products IEA'!$A$4:$A$135, 0),
           MATCH(BB$1, 'Eurostat EB products IEA'!$A$4:$BN$4, 0)
     )
     * $L85:$U85,
     0
  )
)</f>
        <v>0</v>
      </c>
      <c r="BC85" s="57" cm="1">
        <f t="array" ref="BC85">SUMPRODUCT(
  IF($B85:$K85&lt;&gt;"",
     INDEX('Eurostat EB products IEA'!$A$4:$BN$135,
           MATCH($B85:$K85, 'Eurostat EB products IEA'!$A$4:$A$135, 0),
           MATCH(BC$1, 'Eurostat EB products IEA'!$A$4:$BN$4, 0)
     )
     * $L85:$U85,
     0
  )
)</f>
        <v>0</v>
      </c>
      <c r="BD85" s="57" cm="1">
        <f t="array" ref="BD85">SUMPRODUCT(
  IF($B85:$K85&lt;&gt;"",
     INDEX('Eurostat EB products IEA'!$A$4:$BN$135,
           MATCH($B85:$K85, 'Eurostat EB products IEA'!$A$4:$A$135, 0),
           MATCH(BD$1, 'Eurostat EB products IEA'!$A$4:$BN$4, 0)
     )
     * $L85:$U85,
     0
  )
)</f>
        <v>0</v>
      </c>
      <c r="BE85" s="57" cm="1">
        <f t="array" ref="BE85">SUMPRODUCT(
  IF($B85:$K85&lt;&gt;"",
     INDEX('Eurostat EB products IEA'!$A$4:$BN$135,
           MATCH($B85:$K85, 'Eurostat EB products IEA'!$A$4:$A$135, 0),
           MATCH(BE$1, 'Eurostat EB products IEA'!$A$4:$BN$4, 0)
     )
     * $L85:$U85,
     0
  )
)</f>
        <v>0</v>
      </c>
      <c r="BF85" s="57" cm="1">
        <f t="array" ref="BF85">SUMPRODUCT(
  IF($B85:$K85&lt;&gt;"",
     INDEX('Eurostat EB products IEA'!$A$4:$BN$135,
           MATCH($B85:$K85, 'Eurostat EB products IEA'!$A$4:$A$135, 0),
           MATCH(BF$1, 'Eurostat EB products IEA'!$A$4:$BN$4, 0)
     )
     * $L85:$U85,
     0
  )
)</f>
        <v>1484.61</v>
      </c>
      <c r="BG85" s="57" cm="1">
        <f t="array" ref="BG85">SUMPRODUCT(
  IF($B85:$K85&lt;&gt;"",
     INDEX('Eurostat EB products IEA'!$A$4:$BN$135,
           MATCH($B85:$K85, 'Eurostat EB products IEA'!$A$4:$A$135, 0),
           MATCH(BG$1, 'Eurostat EB products IEA'!$A$4:$BN$4, 0)
     )
     * $L85:$U85,
     0
  )
)</f>
        <v>0</v>
      </c>
      <c r="BH85" s="57" cm="1">
        <f t="array" ref="BH85">SUMPRODUCT(
  IF($B85:$K85&lt;&gt;"",
     INDEX('Eurostat EB products IEA'!$A$4:$BN$135,
           MATCH($B85:$K85, 'Eurostat EB products IEA'!$A$4:$A$135, 0),
           MATCH(BH$1, 'Eurostat EB products IEA'!$A$4:$BN$4, 0)
     )
     * $L85:$U85,
     0
  )
)</f>
        <v>0</v>
      </c>
      <c r="BI85" s="57" cm="1">
        <f t="array" ref="BI85">SUMPRODUCT(
  IF($B85:$K85&lt;&gt;"",
     INDEX('Eurostat EB products IEA'!$A$4:$BN$135,
           MATCH($B85:$K85, 'Eurostat EB products IEA'!$A$4:$A$135, 0),
           MATCH(BI$1, 'Eurostat EB products IEA'!$A$4:$BN$4, 0)
     )
     * $L85:$U85,
     0
  )
)</f>
        <v>0</v>
      </c>
      <c r="BJ85" s="57" cm="1">
        <f t="array" ref="BJ85">SUMPRODUCT(
  IF($B85:$K85&lt;&gt;"",
     INDEX('Eurostat EB products IEA'!$A$4:$BN$135,
           MATCH($B85:$K85, 'Eurostat EB products IEA'!$A$4:$A$135, 0),
           MATCH(BJ$1, 'Eurostat EB products IEA'!$A$4:$BN$4, 0)
     )
     * $L85:$U85,
     0
  )
)</f>
        <v>0</v>
      </c>
      <c r="BK85" s="57" cm="1">
        <f t="array" ref="BK85">SUMPRODUCT(
  IF($B85:$K85&lt;&gt;"",
     INDEX('Eurostat EB products IEA'!$A$4:$BN$135,
           MATCH($B85:$K85, 'Eurostat EB products IEA'!$A$4:$A$135, 0),
           MATCH(BK$1, 'Eurostat EB products IEA'!$A$4:$BN$4, 0)
     )
     * $L85:$U85,
     0
  )
)</f>
        <v>0</v>
      </c>
      <c r="BL85" s="57" cm="1">
        <f t="array" ref="BL85">SUMPRODUCT(
  IF($B85:$K85&lt;&gt;"",
     INDEX('Eurostat EB products IEA'!$A$4:$BN$135,
           MATCH($B85:$K85, 'Eurostat EB products IEA'!$A$4:$A$135, 0),
           MATCH(BL$1, 'Eurostat EB products IEA'!$A$4:$BN$4, 0)
     )
     * $L85:$U85,
     0
  )
)</f>
        <v>0</v>
      </c>
      <c r="BM85" s="57" cm="1">
        <f t="array" ref="BM85">SUMPRODUCT(
  IF($B85:$K85&lt;&gt;"",
     INDEX('Eurostat EB products IEA'!$A$4:$BN$135,
           MATCH($B85:$K85, 'Eurostat EB products IEA'!$A$4:$A$135, 0),
           MATCH(BM$1, 'Eurostat EB products IEA'!$A$4:$BN$4, 0)
     )
     * $L85:$U85,
     0
  )
)</f>
        <v>0</v>
      </c>
      <c r="BN85" s="57" cm="1">
        <f t="array" ref="BN85">SUMPRODUCT(
  IF($B85:$K85&lt;&gt;"",
     INDEX('Eurostat EB products IEA'!$A$4:$BN$135,
           MATCH($B85:$K85, 'Eurostat EB products IEA'!$A$4:$A$135, 0),
           MATCH(BN$1, 'Eurostat EB products IEA'!$A$4:$BN$4, 0)
     )
     * $L85:$U85,
     0
  )
)</f>
        <v>0</v>
      </c>
      <c r="BO85" s="57" cm="1">
        <f t="array" ref="BO85">SUMPRODUCT(
  IF($B85:$K85&lt;&gt;"",
     INDEX('Eurostat EB products IEA'!$A$4:$BN$135,
           MATCH($B85:$K85, 'Eurostat EB products IEA'!$A$4:$A$135, 0),
           MATCH(BO$1, 'Eurostat EB products IEA'!$A$4:$BN$4, 0)
     )
     * $L85:$U85,
     0
  )
)</f>
        <v>0</v>
      </c>
      <c r="BP85" s="57" cm="1">
        <f t="array" ref="BP85">SUMPRODUCT(
  IF($B85:$K85&lt;&gt;"",
     INDEX('Eurostat EB products IEA'!$A$4:$BN$135,
           MATCH($B85:$K85, 'Eurostat EB products IEA'!$A$4:$A$135, 0),
           MATCH(BP$1, 'Eurostat EB products IEA'!$A$4:$BN$4, 0)
     )
     * $L85:$U85,
     0
  )
)</f>
        <v>0</v>
      </c>
      <c r="BQ85" s="57" cm="1">
        <f t="array" ref="BQ85">SUMPRODUCT(
  IF($B85:$K85&lt;&gt;"",
     INDEX('Eurostat EB products IEA'!$A$4:$BN$135,
           MATCH($B85:$K85, 'Eurostat EB products IEA'!$A$4:$A$135, 0),
           MATCH(BQ$1, 'Eurostat EB products IEA'!$A$4:$BN$4, 0)
     )
     * $L85:$U85,
     0
  )
)</f>
        <v>0</v>
      </c>
      <c r="BR85" s="57" cm="1">
        <f t="array" ref="BR85">SUMPRODUCT(
  IF($B85:$K85&lt;&gt;"",
     INDEX('Eurostat EB products IEA'!$A$4:$BN$135,
           MATCH($B85:$K85, 'Eurostat EB products IEA'!$A$4:$A$135, 0),
           MATCH(BR$1, 'Eurostat EB products IEA'!$A$4:$BN$4, 0)
     )
     * $L85:$U85,
     0
  )
)</f>
        <v>0</v>
      </c>
      <c r="BS85" s="65">
        <v>0</v>
      </c>
      <c r="BT85" s="57" cm="1">
        <f t="array" ref="BT85">SUMPRODUCT(
  IF($B85:$K85&lt;&gt;"",
     INDEX('Eurostat EB products IEA'!$A$4:$BN$135,
           MATCH($B85:$K85, 'Eurostat EB products IEA'!$A$4:$A$135, 0),
           MATCH(BT$1, 'Eurostat EB products IEA'!$A$4:$BN$4, 0)
     )
     * $L85:$U85,
     0
  )
)</f>
        <v>0</v>
      </c>
      <c r="BU85" s="65">
        <v>0</v>
      </c>
      <c r="BV85" s="65">
        <v>0</v>
      </c>
      <c r="BW85" s="57" cm="1">
        <f t="array" ref="BW85">SUMPRODUCT(
  IF($B85:$K85&lt;&gt;"",
     INDEX('Eurostat EB products IEA'!$A$4:$BN$135,
           MATCH($B85:$K85, 'Eurostat EB products IEA'!$A$4:$A$135, 0),
           MATCH(BW$1, 'Eurostat EB products IEA'!$A$4:$BN$4, 0)
     )
     * $L85:$U85,
     0
  )
)</f>
        <v>0</v>
      </c>
      <c r="BX85" s="57" cm="1">
        <f t="array" ref="BX85">SUMPRODUCT(
  IF($B85:$K85&lt;&gt;"",
     INDEX('Eurostat EB products IEA'!$A$4:$BN$135,
           MATCH($B85:$K85, 'Eurostat EB products IEA'!$A$4:$A$135, 0),
           MATCH(BX$1, 'Eurostat EB products IEA'!$A$4:$BN$4, 0)
     )
     * $L85:$U85,
     0
  )
)</f>
        <v>0</v>
      </c>
      <c r="BY85" s="57" cm="1">
        <f t="array" ref="BY85">SUMPRODUCT(
  IF($B85:$K85&lt;&gt;"",
     INDEX('Eurostat EB products IEA'!$A$4:$BN$135,
           MATCH($B85:$K85, 'Eurostat EB products IEA'!$A$4:$A$135, 0),
           MATCH(BY$1, 'Eurostat EB products IEA'!$A$4:$BN$4, 0)
     )
     * $L85:$U85,
     0
  )
)</f>
        <v>0</v>
      </c>
      <c r="BZ85" s="57" cm="1">
        <f t="array" ref="BZ85">SUMPRODUCT(
  IF($B85:$K85&lt;&gt;"",
     INDEX('Eurostat EB products IEA'!$A$4:$BN$135,
           MATCH($B85:$K85, 'Eurostat EB products IEA'!$A$4:$A$135, 0),
           MATCH(BZ$1, 'Eurostat EB products IEA'!$A$4:$BN$4, 0)
     )
     * $L85:$U85,
     0
  )
)</f>
        <v>0</v>
      </c>
      <c r="CA85" s="57" cm="1">
        <f t="array" ref="CA85">SUMPRODUCT(
  IF($B85:$K85&lt;&gt;"",
     INDEX('Eurostat EB products IEA'!$A$4:$BN$135,
           MATCH($B85:$K85, 'Eurostat EB products IEA'!$A$4:$A$135, 0),
           MATCH(CA$1, 'Eurostat EB products IEA'!$A$4:$BN$4, 0)
     )
     * $L85:$U85,
     0
  )
)</f>
        <v>0</v>
      </c>
      <c r="CB85" s="57" cm="1">
        <f t="array" ref="CB85">SUMPRODUCT(
  IF($B85:$K85&lt;&gt;"",
     INDEX('Eurostat EB products IEA'!$A$4:$BN$135,
           MATCH($B85:$K85, 'Eurostat EB products IEA'!$A$4:$A$135, 0),
           MATCH(CB$1, 'Eurostat EB products IEA'!$A$4:$BN$4, 0)
     )
     * $L85:$U85,
     0
  )
)</f>
        <v>0</v>
      </c>
      <c r="CC85" s="57" cm="1">
        <f t="array" ref="CC85">SUMPRODUCT(
  IF($B85:$K85&lt;&gt;"",
     INDEX('Eurostat EB products IEA'!$A$4:$BN$135,
           MATCH($B85:$K85, 'Eurostat EB products IEA'!$A$4:$A$135, 0),
           MATCH(CC$1, 'Eurostat EB products IEA'!$A$4:$BN$4, 0)
     )
     * $L85:$U85,
     0
  )
)</f>
        <v>0</v>
      </c>
      <c r="CD85" s="65">
        <v>0</v>
      </c>
      <c r="CE85" s="57" cm="1">
        <f t="array" ref="CE85">SUMPRODUCT(
  IF($B85:$K85&lt;&gt;"",
     INDEX('Eurostat EB products IEA'!$A$4:$BN$135,
           MATCH($B85:$K85, 'Eurostat EB products IEA'!$A$4:$A$135, 0),
           MATCH(CE$1, 'Eurostat EB products IEA'!$A$4:$BN$4, 0)
     )
     * $L85:$U85,
     0
  )
)</f>
        <v>0</v>
      </c>
      <c r="CF85" s="57" cm="1">
        <f t="array" ref="CF85">SUMPRODUCT(
  IF($B85:$K85&lt;&gt;"",
     INDEX('Eurostat EB products IEA'!$A$4:$BN$135,
           MATCH($B85:$K85, 'Eurostat EB products IEA'!$A$4:$A$135, 0),
           MATCH(CF$1, 'Eurostat EB products IEA'!$A$4:$BN$4, 0)
     )
     * $L85:$U85,
     0
  )
)</f>
        <v>0</v>
      </c>
      <c r="CG85" s="57" cm="1">
        <f t="array" ref="CG85">SUMPRODUCT(
  IF($B85:$K85&lt;&gt;"",
     INDEX('Eurostat EB products IEA'!$A$4:$BN$135,
           MATCH($B85:$K85, 'Eurostat EB products IEA'!$A$4:$A$135, 0),
           MATCH(CG$1, 'Eurostat EB products IEA'!$A$4:$BN$4, 0)
     )
     * $L85:$U85,
     0
  )
)</f>
        <v>1546.75</v>
      </c>
      <c r="CH85" s="57" cm="1">
        <f t="array" ref="CH85">SUMPRODUCT(
  IF($B85:$K85&lt;&gt;"",
     INDEX('Eurostat EB products IEA'!$A$4:$BN$135,
           MATCH($B85:$K85, 'Eurostat EB products IEA'!$A$4:$A$135, 0),
           MATCH(CH$1, 'Eurostat EB products IEA'!$A$4:$BN$4, 0)
     )
     * $L85:$U85,
     0
  )
)</f>
        <v>0.38900000000000001</v>
      </c>
    </row>
    <row r="86" spans="1:86" x14ac:dyDescent="0.2">
      <c r="A86" t="s">
        <v>191</v>
      </c>
      <c r="B86" s="75"/>
      <c r="C86" s="77"/>
      <c r="D86" s="75"/>
      <c r="E86" s="77"/>
      <c r="F86" s="75"/>
      <c r="G86" s="77"/>
      <c r="H86" s="75"/>
      <c r="I86" s="77"/>
      <c r="J86" s="74"/>
      <c r="K86" s="78" t="s">
        <v>113</v>
      </c>
      <c r="L86" s="76"/>
      <c r="M86" s="79"/>
      <c r="N86" s="76"/>
      <c r="O86" s="79"/>
      <c r="P86" s="76"/>
      <c r="Q86" s="79"/>
      <c r="R86" s="76"/>
      <c r="S86" s="79"/>
      <c r="T86" s="76"/>
      <c r="U86" s="79">
        <v>1</v>
      </c>
      <c r="V86" s="65" t="s">
        <v>323</v>
      </c>
      <c r="W86" s="65" t="s">
        <v>323</v>
      </c>
      <c r="X86" s="17" cm="1">
        <f t="array" ref="X86">SUMPRODUCT(
  IF($B86:$K86&lt;&gt;"",
     INDEX('Eurostat EB products IEA'!$A$4:$BN$135,
           MATCH($B86:$K86, 'Eurostat EB products IEA'!$A$4:$A$135, 0),
           MATCH(X$1, 'Eurostat EB products IEA'!$A$4:$BN$4, 0)
     )
     * $L86:$U86,
     0
  )
)</f>
        <v>0</v>
      </c>
      <c r="Y86" s="17" cm="1">
        <f t="array" ref="Y86">SUMPRODUCT(
  IF($B86:$K86&lt;&gt;"",
     INDEX('Eurostat EB products IEA'!$A$4:$BN$135,
           MATCH($B86:$K86, 'Eurostat EB products IEA'!$A$4:$A$135, 0),
           MATCH(Y$1, 'Eurostat EB products IEA'!$A$4:$BN$4, 0)
     )
     * $L86:$U86,
     0
  )
)</f>
        <v>0</v>
      </c>
      <c r="Z86" s="17" cm="1">
        <f t="array" ref="Z86">SUMPRODUCT(
  IF($B86:$K86&lt;&gt;"",
     INDEX('Eurostat EB products IEA'!$A$4:$BN$135,
           MATCH($B86:$K86, 'Eurostat EB products IEA'!$A$4:$A$135, 0),
           MATCH(Z$1, 'Eurostat EB products IEA'!$A$4:$BN$4, 0)
     )
     * $L86:$U86,
     0
  )
)</f>
        <v>8711.7561111111117</v>
      </c>
      <c r="AA86" s="17" cm="1">
        <f t="array" ref="AA86">SUMPRODUCT(
  IF($B86:$K86&lt;&gt;"",
     INDEX('Eurostat EB products IEA'!$A$4:$BN$135,
           MATCH($B86:$K86, 'Eurostat EB products IEA'!$A$4:$A$135, 0),
           MATCH(AA$1, 'Eurostat EB products IEA'!$A$4:$BN$4, 0)
     )
     * $L86:$U86,
     0
  )
)</f>
        <v>0</v>
      </c>
      <c r="AB86" s="17" cm="1">
        <f t="array" ref="AB86">SUMPRODUCT(
  IF($B86:$K86&lt;&gt;"",
     INDEX('Eurostat EB products IEA'!$A$4:$BN$135,
           MATCH($B86:$K86, 'Eurostat EB products IEA'!$A$4:$A$135, 0),
           MATCH(AB$1, 'Eurostat EB products IEA'!$A$4:$BN$4, 0)
     )
     * $L86:$U86,
     0
  )
)</f>
        <v>0</v>
      </c>
      <c r="AC86" s="17" cm="1">
        <f t="array" ref="AC86">SUMPRODUCT(
  IF($B86:$K86&lt;&gt;"",
     INDEX('Eurostat EB products IEA'!$A$4:$BN$135,
           MATCH($B86:$K86, 'Eurostat EB products IEA'!$A$4:$A$135, 0),
           MATCH(AC$1, 'Eurostat EB products IEA'!$A$4:$BN$4, 0)
     )
     * $L86:$U86,
     0
  )
)</f>
        <v>0</v>
      </c>
      <c r="AD86" s="17" cm="1">
        <f t="array" ref="AD86">SUMPRODUCT(
  IF($B86:$K86&lt;&gt;"",
     INDEX('Eurostat EB products IEA'!$A$4:$BN$135,
           MATCH($B86:$K86, 'Eurostat EB products IEA'!$A$4:$A$135, 0),
           MATCH(AD$1, 'Eurostat EB products IEA'!$A$4:$BN$4, 0)
     )
     * $L86:$U86,
     0
  )
)</f>
        <v>0</v>
      </c>
      <c r="AE86" s="17" cm="1">
        <f t="array" ref="AE86">SUMPRODUCT(
  IF($B86:$K86&lt;&gt;"",
     INDEX('Eurostat EB products IEA'!$A$4:$BN$135,
           MATCH($B86:$K86, 'Eurostat EB products IEA'!$A$4:$A$135, 0),
           MATCH(AE$1, 'Eurostat EB products IEA'!$A$4:$BN$4, 0)
     )
     * $L86:$U86,
     0
  )
)</f>
        <v>0</v>
      </c>
      <c r="AF86" s="17" cm="1">
        <f t="array" ref="AF86">SUMPRODUCT(
  IF($B86:$K86&lt;&gt;"",
     INDEX('Eurostat EB products IEA'!$A$4:$BN$135,
           MATCH($B86:$K86, 'Eurostat EB products IEA'!$A$4:$A$135, 0),
           MATCH(AF$1, 'Eurostat EB products IEA'!$A$4:$BN$4, 0)
     )
     * $L86:$U86,
     0
  )
)</f>
        <v>0</v>
      </c>
      <c r="AG86" s="17" cm="1">
        <f t="array" ref="AG86">SUMPRODUCT(
  IF($B86:$K86&lt;&gt;"",
     INDEX('Eurostat EB products IEA'!$A$4:$BN$135,
           MATCH($B86:$K86, 'Eurostat EB products IEA'!$A$4:$A$135, 0),
           MATCH(AG$1, 'Eurostat EB products IEA'!$A$4:$BN$4, 0)
     )
     * $L86:$U86,
     0
  )
)</f>
        <v>0</v>
      </c>
      <c r="AH86" s="17" cm="1">
        <f t="array" ref="AH86">SUMPRODUCT(
  IF($B86:$K86&lt;&gt;"",
     INDEX('Eurostat EB products IEA'!$A$4:$BN$135,
           MATCH($B86:$K86, 'Eurostat EB products IEA'!$A$4:$A$135, 0),
           MATCH(AH$1, 'Eurostat EB products IEA'!$A$4:$BN$4, 0)
     )
     * $L86:$U86,
     0
  )
)</f>
        <v>0</v>
      </c>
      <c r="AI86" s="17" cm="1">
        <f t="array" ref="AI86">SUMPRODUCT(
  IF($B86:$K86&lt;&gt;"",
     INDEX('Eurostat EB products IEA'!$A$4:$BN$135,
           MATCH($B86:$K86, 'Eurostat EB products IEA'!$A$4:$A$135, 0),
           MATCH(AI$1, 'Eurostat EB products IEA'!$A$4:$BN$4, 0)
     )
     * $L86:$U86,
     0
  )
)</f>
        <v>152.16805555555553</v>
      </c>
      <c r="AJ86" s="17" cm="1">
        <f t="array" ref="AJ86">SUMPRODUCT(
  IF($B86:$K86&lt;&gt;"",
     INDEX('Eurostat EB products IEA'!$A$4:$BN$135,
           MATCH($B86:$K86, 'Eurostat EB products IEA'!$A$4:$A$135, 0),
           MATCH(AJ$1, 'Eurostat EB products IEA'!$A$4:$BN$4, 0)
     )
     * $L86:$U86,
     0
  )
)</f>
        <v>1842.681111111111</v>
      </c>
      <c r="AK86" s="17" cm="1">
        <f t="array" ref="AK86">SUMPRODUCT(
  IF($B86:$K86&lt;&gt;"",
     INDEX('Eurostat EB products IEA'!$A$4:$BN$135,
           MATCH($B86:$K86, 'Eurostat EB products IEA'!$A$4:$A$135, 0),
           MATCH(AK$1, 'Eurostat EB products IEA'!$A$4:$BN$4, 0)
     )
     * $L86:$U86,
     0
  )
)</f>
        <v>0</v>
      </c>
      <c r="AL86" s="17" cm="1">
        <f t="array" ref="AL86">SUMPRODUCT(
  IF($B86:$K86&lt;&gt;"",
     INDEX('Eurostat EB products IEA'!$A$4:$BN$135,
           MATCH($B86:$K86, 'Eurostat EB products IEA'!$A$4:$A$135, 0),
           MATCH(AL$1, 'Eurostat EB products IEA'!$A$4:$BN$4, 0)
     )
     * $L86:$U86,
     0
  )
)</f>
        <v>0</v>
      </c>
      <c r="AM86" s="17" cm="1">
        <f t="array" ref="AM86">SUMPRODUCT(
  IF($B86:$K86&lt;&gt;"",
     INDEX('Eurostat EB products IEA'!$A$4:$BN$135,
           MATCH($B86:$K86, 'Eurostat EB products IEA'!$A$4:$A$135, 0),
           MATCH(AM$1, 'Eurostat EB products IEA'!$A$4:$BN$4, 0)
     )
     * $L86:$U86,
     0
  )
)</f>
        <v>45952.445</v>
      </c>
      <c r="AN86" s="65" t="s">
        <v>323</v>
      </c>
      <c r="AO86" s="17" cm="1">
        <f t="array" ref="AO86">SUMPRODUCT(
  IF($B86:$K86&lt;&gt;"",
     INDEX('Eurostat EB products IEA'!$A$4:$BN$135,
           MATCH($B86:$K86, 'Eurostat EB products IEA'!$A$4:$A$135, 0),
           MATCH(AO$1, 'Eurostat EB products IEA'!$A$4:$BN$4, 0)
     )
     * $L86:$U86,
     0
  )
)</f>
        <v>0</v>
      </c>
      <c r="AP86" s="17" cm="1">
        <f t="array" ref="AP86">SUMPRODUCT(
  IF($B86:$K86&lt;&gt;"",
     INDEX('Eurostat EB products IEA'!$A$4:$BN$135,
           MATCH($B86:$K86, 'Eurostat EB products IEA'!$A$4:$A$135, 0),
           MATCH(AP$1, 'Eurostat EB products IEA'!$A$4:$BN$4, 0)
     )
     * $L86:$U86,
     0
  )
)</f>
        <v>0</v>
      </c>
      <c r="AQ86" s="17" cm="1">
        <f t="array" ref="AQ86">SUMPRODUCT(
  IF($B86:$K86&lt;&gt;"",
     INDEX('Eurostat EB products IEA'!$A$4:$BN$135,
           MATCH($B86:$K86, 'Eurostat EB products IEA'!$A$4:$A$135, 0),
           MATCH(AQ$1, 'Eurostat EB products IEA'!$A$4:$BN$4, 0)
     )
     * $L86:$U86,
     0
  )
)</f>
        <v>0</v>
      </c>
      <c r="AR86" s="17" cm="1">
        <f t="array" ref="AR86">SUMPRODUCT(
  IF($B86:$K86&lt;&gt;"",
     INDEX('Eurostat EB products IEA'!$A$4:$BN$135,
           MATCH($B86:$K86, 'Eurostat EB products IEA'!$A$4:$A$135, 0),
           MATCH(AR$1, 'Eurostat EB products IEA'!$A$4:$BN$4, 0)
     )
     * $L86:$U86,
     0
  )
)</f>
        <v>0</v>
      </c>
      <c r="AS86" s="17" cm="1">
        <f t="array" ref="AS86">SUMPRODUCT(
  IF($B86:$K86&lt;&gt;"",
     INDEX('Eurostat EB products IEA'!$A$4:$BN$135,
           MATCH($B86:$K86, 'Eurostat EB products IEA'!$A$4:$A$135, 0),
           MATCH(AS$1, 'Eurostat EB products IEA'!$A$4:$BN$4, 0)
     )
     * $L86:$U86,
     0
  )
)</f>
        <v>0</v>
      </c>
      <c r="AT86" s="17" cm="1">
        <f t="array" ref="AT86">SUMPRODUCT(
  IF($B86:$K86&lt;&gt;"",
     INDEX('Eurostat EB products IEA'!$A$4:$BN$135,
           MATCH($B86:$K86, 'Eurostat EB products IEA'!$A$4:$A$135, 0),
           MATCH(AT$1, 'Eurostat EB products IEA'!$A$4:$BN$4, 0)
     )
     * $L86:$U86,
     0
  )
)</f>
        <v>1480.1019444444444</v>
      </c>
      <c r="AU86" s="17" cm="1">
        <f t="array" ref="AU86">SUMPRODUCT(
  IF($B86:$K86&lt;&gt;"",
     INDEX('Eurostat EB products IEA'!$A$4:$BN$135,
           MATCH($B86:$K86, 'Eurostat EB products IEA'!$A$4:$A$135, 0),
           MATCH(AU$1, 'Eurostat EB products IEA'!$A$4:$BN$4, 0)
     )
     * $L86:$U86,
     0
  )
)</f>
        <v>0</v>
      </c>
      <c r="AV86" s="17" cm="1">
        <f t="array" ref="AV86">SUMPRODUCT(
  IF($B86:$K86&lt;&gt;"",
     INDEX('Eurostat EB products IEA'!$A$4:$BN$135,
           MATCH($B86:$K86, 'Eurostat EB products IEA'!$A$4:$A$135, 0),
           MATCH(AV$1, 'Eurostat EB products IEA'!$A$4:$BN$4, 0)
     )
     * $L86:$U86,
     0
  )
)</f>
        <v>0</v>
      </c>
      <c r="AW86" s="17" cm="1">
        <f t="array" ref="AW86">SUMPRODUCT(
  IF($B86:$K86&lt;&gt;"",
     INDEX('Eurostat EB products IEA'!$A$4:$BN$135,
           MATCH($B86:$K86, 'Eurostat EB products IEA'!$A$4:$A$135, 0),
           MATCH(AW$1, 'Eurostat EB products IEA'!$A$4:$BN$4, 0)
     )
     * $L86:$U86,
     0
  )
)</f>
        <v>0</v>
      </c>
      <c r="AX86" s="17" cm="1">
        <f t="array" ref="AX86">SUMPRODUCT(
  IF($B86:$K86&lt;&gt;"",
     INDEX('Eurostat EB products IEA'!$A$4:$BN$135,
           MATCH($B86:$K86, 'Eurostat EB products IEA'!$A$4:$A$135, 0),
           MATCH(AX$1, 'Eurostat EB products IEA'!$A$4:$BN$4, 0)
     )
     * $L86:$U86,
     0
  )
)</f>
        <v>0</v>
      </c>
      <c r="AY86" s="17" cm="1">
        <f t="array" ref="AY86">SUMPRODUCT(
  IF($B86:$K86&lt;&gt;"",
     INDEX('Eurostat EB products IEA'!$A$4:$BN$135,
           MATCH($B86:$K86, 'Eurostat EB products IEA'!$A$4:$A$135, 0),
           MATCH(AY$1, 'Eurostat EB products IEA'!$A$4:$BN$4, 0)
     )
     * $L86:$U86,
     0
  )
)</f>
        <v>0</v>
      </c>
      <c r="AZ86" s="17" cm="1">
        <f t="array" ref="AZ86">SUMPRODUCT(
  IF($B86:$K86&lt;&gt;"",
     INDEX('Eurostat EB products IEA'!$A$4:$BN$135,
           MATCH($B86:$K86, 'Eurostat EB products IEA'!$A$4:$A$135, 0),
           MATCH(AZ$1, 'Eurostat EB products IEA'!$A$4:$BN$4, 0)
     )
     * $L86:$U86,
     0
  )
)</f>
        <v>0</v>
      </c>
      <c r="BA86" s="17" cm="1">
        <f t="array" ref="BA86">SUMPRODUCT(
  IF($B86:$K86&lt;&gt;"",
     INDEX('Eurostat EB products IEA'!$A$4:$BN$135,
           MATCH($B86:$K86, 'Eurostat EB products IEA'!$A$4:$A$135, 0),
           MATCH(BA$1, 'Eurostat EB products IEA'!$A$4:$BN$4, 0)
     )
     * $L86:$U86,
     0
  )
)</f>
        <v>0</v>
      </c>
      <c r="BB86" s="17" cm="1">
        <f t="array" ref="BB86">SUMPRODUCT(
  IF($B86:$K86&lt;&gt;"",
     INDEX('Eurostat EB products IEA'!$A$4:$BN$135,
           MATCH($B86:$K86, 'Eurostat EB products IEA'!$A$4:$A$135, 0),
           MATCH(BB$1, 'Eurostat EB products IEA'!$A$4:$BN$4, 0)
     )
     * $L86:$U86,
     0
  )
)</f>
        <v>30.361111111111111</v>
      </c>
      <c r="BC86" s="17" cm="1">
        <f t="array" ref="BC86">SUMPRODUCT(
  IF($B86:$K86&lt;&gt;"",
     INDEX('Eurostat EB products IEA'!$A$4:$BN$135,
           MATCH($B86:$K86, 'Eurostat EB products IEA'!$A$4:$A$135, 0),
           MATCH(BC$1, 'Eurostat EB products IEA'!$A$4:$BN$4, 0)
     )
     * $L86:$U86,
     0
  )
)</f>
        <v>0</v>
      </c>
      <c r="BD86" s="17" cm="1">
        <f t="array" ref="BD86">SUMPRODUCT(
  IF($B86:$K86&lt;&gt;"",
     INDEX('Eurostat EB products IEA'!$A$4:$BN$135,
           MATCH($B86:$K86, 'Eurostat EB products IEA'!$A$4:$A$135, 0),
           MATCH(BD$1, 'Eurostat EB products IEA'!$A$4:$BN$4, 0)
     )
     * $L86:$U86,
     0
  )
)</f>
        <v>0</v>
      </c>
      <c r="BE86" s="17" cm="1">
        <f t="array" ref="BE86">SUMPRODUCT(
  IF($B86:$K86&lt;&gt;"",
     INDEX('Eurostat EB products IEA'!$A$4:$BN$135,
           MATCH($B86:$K86, 'Eurostat EB products IEA'!$A$4:$A$135, 0),
           MATCH(BE$1, 'Eurostat EB products IEA'!$A$4:$BN$4, 0)
     )
     * $L86:$U86,
     0
  )
)</f>
        <v>0</v>
      </c>
      <c r="BF86" s="17" cm="1">
        <f t="array" ref="BF86">SUMPRODUCT(
  IF($B86:$K86&lt;&gt;"",
     INDEX('Eurostat EB products IEA'!$A$4:$BN$135,
           MATCH($B86:$K86, 'Eurostat EB products IEA'!$A$4:$A$135, 0),
           MATCH(BF$1, 'Eurostat EB products IEA'!$A$4:$BN$4, 0)
     )
     * $L86:$U86,
     0
  )
)</f>
        <v>0</v>
      </c>
      <c r="BG86" s="17" cm="1">
        <f t="array" ref="BG86">SUMPRODUCT(
  IF($B86:$K86&lt;&gt;"",
     INDEX('Eurostat EB products IEA'!$A$4:$BN$135,
           MATCH($B86:$K86, 'Eurostat EB products IEA'!$A$4:$A$135, 0),
           MATCH(BG$1, 'Eurostat EB products IEA'!$A$4:$BN$4, 0)
     )
     * $L86:$U86,
     0
  )
)</f>
        <v>0</v>
      </c>
      <c r="BH86" s="17" cm="1">
        <f t="array" ref="BH86">SUMPRODUCT(
  IF($B86:$K86&lt;&gt;"",
     INDEX('Eurostat EB products IEA'!$A$4:$BN$135,
           MATCH($B86:$K86, 'Eurostat EB products IEA'!$A$4:$A$135, 0),
           MATCH(BH$1, 'Eurostat EB products IEA'!$A$4:$BN$4, 0)
     )
     * $L86:$U86,
     0
  )
)</f>
        <v>0</v>
      </c>
      <c r="BI86" s="17" cm="1">
        <f t="array" ref="BI86">SUMPRODUCT(
  IF($B86:$K86&lt;&gt;"",
     INDEX('Eurostat EB products IEA'!$A$4:$BN$135,
           MATCH($B86:$K86, 'Eurostat EB products IEA'!$A$4:$A$135, 0),
           MATCH(BI$1, 'Eurostat EB products IEA'!$A$4:$BN$4, 0)
     )
     * $L86:$U86,
     0
  )
)</f>
        <v>0</v>
      </c>
      <c r="BJ86" s="17" cm="1">
        <f t="array" ref="BJ86">SUMPRODUCT(
  IF($B86:$K86&lt;&gt;"",
     INDEX('Eurostat EB products IEA'!$A$4:$BN$135,
           MATCH($B86:$K86, 'Eurostat EB products IEA'!$A$4:$A$135, 0),
           MATCH(BJ$1, 'Eurostat EB products IEA'!$A$4:$BN$4, 0)
     )
     * $L86:$U86,
     0
  )
)</f>
        <v>19.796111111111113</v>
      </c>
      <c r="BK86" s="17" cm="1">
        <f t="array" ref="BK86">SUMPRODUCT(
  IF($B86:$K86&lt;&gt;"",
     INDEX('Eurostat EB products IEA'!$A$4:$BN$135,
           MATCH($B86:$K86, 'Eurostat EB products IEA'!$A$4:$A$135, 0),
           MATCH(BK$1, 'Eurostat EB products IEA'!$A$4:$BN$4, 0)
     )
     * $L86:$U86,
     0
  )
)</f>
        <v>48.751111111111108</v>
      </c>
      <c r="BL86" s="17" cm="1">
        <f t="array" ref="BL86">SUMPRODUCT(
  IF($B86:$K86&lt;&gt;"",
     INDEX('Eurostat EB products IEA'!$A$4:$BN$135,
           MATCH($B86:$K86, 'Eurostat EB products IEA'!$A$4:$A$135, 0),
           MATCH(BL$1, 'Eurostat EB products IEA'!$A$4:$BN$4, 0)
     )
     * $L86:$U86,
     0
  )
)</f>
        <v>1981.4999999999998</v>
      </c>
      <c r="BM86" s="17" cm="1">
        <f t="array" ref="BM86">SUMPRODUCT(
  IF($B86:$K86&lt;&gt;"",
     INDEX('Eurostat EB products IEA'!$A$4:$BN$135,
           MATCH($B86:$K86, 'Eurostat EB products IEA'!$A$4:$A$135, 0),
           MATCH(BM$1, 'Eurostat EB products IEA'!$A$4:$BN$4, 0)
     )
     * $L86:$U86,
     0
  )
)</f>
        <v>1757.1799999999998</v>
      </c>
      <c r="BN86" s="17" cm="1">
        <f t="array" ref="BN86">SUMPRODUCT(
  IF($B86:$K86&lt;&gt;"",
     INDEX('Eurostat EB products IEA'!$A$4:$BN$135,
           MATCH($B86:$K86, 'Eurostat EB products IEA'!$A$4:$A$135, 0),
           MATCH(BN$1, 'Eurostat EB products IEA'!$A$4:$BN$4, 0)
     )
     * $L86:$U86,
     0
  )
)</f>
        <v>4925.8038888888887</v>
      </c>
      <c r="BO86" s="17" cm="1">
        <f t="array" ref="BO86">SUMPRODUCT(
  IF($B86:$K86&lt;&gt;"",
     INDEX('Eurostat EB products IEA'!$A$4:$BN$135,
           MATCH($B86:$K86, 'Eurostat EB products IEA'!$A$4:$A$135, 0),
           MATCH(BO$1, 'Eurostat EB products IEA'!$A$4:$BN$4, 0)
     )
     * $L86:$U86,
     0
  )
)</f>
        <v>699.48</v>
      </c>
      <c r="BP86" s="17" cm="1">
        <f t="array" ref="BP86">SUMPRODUCT(
  IF($B86:$K86&lt;&gt;"",
     INDEX('Eurostat EB products IEA'!$A$4:$BN$135,
           MATCH($B86:$K86, 'Eurostat EB products IEA'!$A$4:$A$135, 0),
           MATCH(BP$1, 'Eurostat EB products IEA'!$A$4:$BN$4, 0)
     )
     * $L86:$U86,
     0
  )
)</f>
        <v>0</v>
      </c>
      <c r="BQ86" s="17" cm="1">
        <f t="array" ref="BQ86">SUMPRODUCT(
  IF($B86:$K86&lt;&gt;"",
     INDEX('Eurostat EB products IEA'!$A$4:$BN$135,
           MATCH($B86:$K86, 'Eurostat EB products IEA'!$A$4:$A$135, 0),
           MATCH(BQ$1, 'Eurostat EB products IEA'!$A$4:$BN$4, 0)
     )
     * $L86:$U86,
     0
  )
)</f>
        <v>0</v>
      </c>
      <c r="BR86" s="17" cm="1">
        <f t="array" ref="BR86">SUMPRODUCT(
  IF($B86:$K86&lt;&gt;"",
     INDEX('Eurostat EB products IEA'!$A$4:$BN$135,
           MATCH($B86:$K86, 'Eurostat EB products IEA'!$A$4:$A$135, 0),
           MATCH(BR$1, 'Eurostat EB products IEA'!$A$4:$BN$4, 0)
     )
     * $L86:$U86,
     0
  )
)</f>
        <v>0</v>
      </c>
      <c r="BS86" s="65">
        <v>0</v>
      </c>
      <c r="BT86" s="17" cm="1">
        <f t="array" ref="BT86">SUMPRODUCT(
  IF($B86:$K86&lt;&gt;"",
     INDEX('Eurostat EB products IEA'!$A$4:$BN$135,
           MATCH($B86:$K86, 'Eurostat EB products IEA'!$A$4:$A$135, 0),
           MATCH(BT$1, 'Eurostat EB products IEA'!$A$4:$BN$4, 0)
     )
     * $L86:$U86,
     0
  )
)</f>
        <v>0</v>
      </c>
      <c r="BU86" s="65">
        <v>0</v>
      </c>
      <c r="BV86" s="65">
        <v>0</v>
      </c>
      <c r="BW86" s="17" cm="1">
        <f t="array" ref="BW86">SUMPRODUCT(
  IF($B86:$K86&lt;&gt;"",
     INDEX('Eurostat EB products IEA'!$A$4:$BN$135,
           MATCH($B86:$K86, 'Eurostat EB products IEA'!$A$4:$A$135, 0),
           MATCH(BW$1, 'Eurostat EB products IEA'!$A$4:$BN$4, 0)
     )
     * $L86:$U86,
     0
  )
)</f>
        <v>3985.2930555555554</v>
      </c>
      <c r="BX86" s="17" cm="1">
        <f t="array" ref="BX86">SUMPRODUCT(
  IF($B86:$K86&lt;&gt;"",
     INDEX('Eurostat EB products IEA'!$A$4:$BN$135,
           MATCH($B86:$K86, 'Eurostat EB products IEA'!$A$4:$A$135, 0),
           MATCH(BX$1, 'Eurostat EB products IEA'!$A$4:$BN$4, 0)
     )
     * $L86:$U86,
     0
  )
)</f>
        <v>69.36888888888889</v>
      </c>
      <c r="BY86" s="17" cm="1">
        <f t="array" ref="BY86">SUMPRODUCT(
  IF($B86:$K86&lt;&gt;"",
     INDEX('Eurostat EB products IEA'!$A$4:$BN$135,
           MATCH($B86:$K86, 'Eurostat EB products IEA'!$A$4:$A$135, 0),
           MATCH(BY$1, 'Eurostat EB products IEA'!$A$4:$BN$4, 0)
     )
     * $L86:$U86,
     0
  )
)</f>
        <v>0</v>
      </c>
      <c r="BZ86" s="17" cm="1">
        <f t="array" ref="BZ86">SUMPRODUCT(
  IF($B86:$K86&lt;&gt;"",
     INDEX('Eurostat EB products IEA'!$A$4:$BN$135,
           MATCH($B86:$K86, 'Eurostat EB products IEA'!$A$4:$A$135, 0),
           MATCH(BZ$1, 'Eurostat EB products IEA'!$A$4:$BN$4, 0)
     )
     * $L86:$U86,
     0
  )
)</f>
        <v>19578.188055555554</v>
      </c>
      <c r="CA86" s="17" cm="1">
        <f t="array" ref="CA86">SUMPRODUCT(
  IF($B86:$K86&lt;&gt;"",
     INDEX('Eurostat EB products IEA'!$A$4:$BN$135,
           MATCH($B86:$K86, 'Eurostat EB products IEA'!$A$4:$A$135, 0),
           MATCH(CA$1, 'Eurostat EB products IEA'!$A$4:$BN$4, 0)
     )
     * $L86:$U86,
     0
  )
)</f>
        <v>0</v>
      </c>
      <c r="CB86" s="17" cm="1">
        <f t="array" ref="CB86">SUMPRODUCT(
  IF($B86:$K86&lt;&gt;"",
     INDEX('Eurostat EB products IEA'!$A$4:$BN$135,
           MATCH($B86:$K86, 'Eurostat EB products IEA'!$A$4:$A$135, 0),
           MATCH(CB$1, 'Eurostat EB products IEA'!$A$4:$BN$4, 0)
     )
     * $L86:$U86,
     0
  )
)</f>
        <v>0</v>
      </c>
      <c r="CC86" s="17" cm="1">
        <f t="array" ref="CC86">SUMPRODUCT(
  IF($B86:$K86&lt;&gt;"",
     INDEX('Eurostat EB products IEA'!$A$4:$BN$135,
           MATCH($B86:$K86, 'Eurostat EB products IEA'!$A$4:$A$135, 0),
           MATCH(CC$1, 'Eurostat EB products IEA'!$A$4:$BN$4, 0)
     )
     * $L86:$U86,
     0
  )
)</f>
        <v>29525.081111111111</v>
      </c>
      <c r="CD86" s="65">
        <v>0</v>
      </c>
      <c r="CE86" s="17" cm="1">
        <f t="array" ref="CE86">SUMPRODUCT(
  IF($B86:$K86&lt;&gt;"",
     INDEX('Eurostat EB products IEA'!$A$4:$BN$135,
           MATCH($B86:$K86, 'Eurostat EB products IEA'!$A$4:$A$135, 0),
           MATCH(CE$1, 'Eurostat EB products IEA'!$A$4:$BN$4, 0)
     )
     * $L86:$U86,
     0
  )
)</f>
        <v>0</v>
      </c>
      <c r="CF86" s="17" cm="1">
        <f t="array" ref="CF86">SUMPRODUCT(
  IF($B86:$K86&lt;&gt;"",
     INDEX('Eurostat EB products IEA'!$A$4:$BN$135,
           MATCH($B86:$K86, 'Eurostat EB products IEA'!$A$4:$A$135, 0),
           MATCH(CF$1, 'Eurostat EB products IEA'!$A$4:$BN$4, 0)
     )
     * $L86:$U86,
     0
  )
)</f>
        <v>0</v>
      </c>
      <c r="CG86" s="17" cm="1">
        <f t="array" ref="CG86">SUMPRODUCT(
  IF($B86:$K86&lt;&gt;"",
     INDEX('Eurostat EB products IEA'!$A$4:$BN$135,
           MATCH($B86:$K86, 'Eurostat EB products IEA'!$A$4:$A$135, 0),
           MATCH(CG$1, 'Eurostat EB products IEA'!$A$4:$BN$4, 0)
     )
     * $L86:$U86,
     0
  )
)</f>
        <v>121330.5861111111</v>
      </c>
      <c r="CH86" s="17" cm="1">
        <f t="array" ref="CH86">SUMPRODUCT(
  IF($B86:$K86&lt;&gt;"",
     INDEX('Eurostat EB products IEA'!$A$4:$BN$135,
           MATCH($B86:$K86, 'Eurostat EB products IEA'!$A$4:$A$135, 0),
           MATCH(CH$1, 'Eurostat EB products IEA'!$A$4:$BN$4, 0)
     )
     * $L86:$U86,
     0
  )
)</f>
        <v>8077.4705555555556</v>
      </c>
    </row>
    <row r="87" spans="1:86" x14ac:dyDescent="0.2">
      <c r="A87" t="s">
        <v>192</v>
      </c>
      <c r="B87" s="75"/>
      <c r="C87" s="77"/>
      <c r="D87" s="75"/>
      <c r="E87" s="77"/>
      <c r="F87" s="75"/>
      <c r="G87" s="77"/>
      <c r="H87" s="75"/>
      <c r="I87" s="77"/>
      <c r="J87" s="74"/>
      <c r="K87" s="78" t="s">
        <v>314</v>
      </c>
      <c r="L87" s="76"/>
      <c r="M87" s="79"/>
      <c r="N87" s="76"/>
      <c r="O87" s="79"/>
      <c r="P87" s="76"/>
      <c r="Q87" s="79"/>
      <c r="R87" s="76"/>
      <c r="S87" s="79"/>
      <c r="T87" s="76"/>
      <c r="U87" s="79">
        <v>1</v>
      </c>
      <c r="V87" s="65" t="s">
        <v>323</v>
      </c>
      <c r="W87" s="65" t="s">
        <v>323</v>
      </c>
      <c r="X87" s="57" cm="1">
        <f t="array" ref="X87">SUMPRODUCT(
  IF($B87:$K87&lt;&gt;"",
     INDEX('Eurostat EB products IEA'!$A$4:$BN$135,
           MATCH($B87:$K87, 'Eurostat EB products IEA'!$A$4:$A$135, 0),
           MATCH(X$1, 'Eurostat EB products IEA'!$A$4:$BN$4, 0)
     )
     * $L87:$U87,
     0
  )
)</f>
        <v>0</v>
      </c>
      <c r="Y87" s="57" cm="1">
        <f t="array" ref="Y87">SUMPRODUCT(
  IF($B87:$K87&lt;&gt;"",
     INDEX('Eurostat EB products IEA'!$A$4:$BN$135,
           MATCH($B87:$K87, 'Eurostat EB products IEA'!$A$4:$A$135, 0),
           MATCH(Y$1, 'Eurostat EB products IEA'!$A$4:$BN$4, 0)
     )
     * $L87:$U87,
     0
  )
)</f>
        <v>0</v>
      </c>
      <c r="Z87" s="57" cm="1">
        <f t="array" ref="Z87">SUMPRODUCT(
  IF($B87:$K87&lt;&gt;"",
     INDEX('Eurostat EB products IEA'!$A$4:$BN$135,
           MATCH($B87:$K87, 'Eurostat EB products IEA'!$A$4:$A$135, 0),
           MATCH(Z$1, 'Eurostat EB products IEA'!$A$4:$BN$4, 0)
     )
     * $L87:$U87,
     0
  )
)</f>
        <v>5132.1619444444441</v>
      </c>
      <c r="AA87" s="57" cm="1">
        <f t="array" ref="AA87">SUMPRODUCT(
  IF($B87:$K87&lt;&gt;"",
     INDEX('Eurostat EB products IEA'!$A$4:$BN$135,
           MATCH($B87:$K87, 'Eurostat EB products IEA'!$A$4:$A$135, 0),
           MATCH(AA$1, 'Eurostat EB products IEA'!$A$4:$BN$4, 0)
     )
     * $L87:$U87,
     0
  )
)</f>
        <v>0</v>
      </c>
      <c r="AB87" s="57" cm="1">
        <f t="array" ref="AB87">SUMPRODUCT(
  IF($B87:$K87&lt;&gt;"",
     INDEX('Eurostat EB products IEA'!$A$4:$BN$135,
           MATCH($B87:$K87, 'Eurostat EB products IEA'!$A$4:$A$135, 0),
           MATCH(AB$1, 'Eurostat EB products IEA'!$A$4:$BN$4, 0)
     )
     * $L87:$U87,
     0
  )
)</f>
        <v>0</v>
      </c>
      <c r="AC87" s="57" cm="1">
        <f t="array" ref="AC87">SUMPRODUCT(
  IF($B87:$K87&lt;&gt;"",
     INDEX('Eurostat EB products IEA'!$A$4:$BN$135,
           MATCH($B87:$K87, 'Eurostat EB products IEA'!$A$4:$A$135, 0),
           MATCH(AC$1, 'Eurostat EB products IEA'!$A$4:$BN$4, 0)
     )
     * $L87:$U87,
     0
  )
)</f>
        <v>0</v>
      </c>
      <c r="AD87" s="57" cm="1">
        <f t="array" ref="AD87">SUMPRODUCT(
  IF($B87:$K87&lt;&gt;"",
     INDEX('Eurostat EB products IEA'!$A$4:$BN$135,
           MATCH($B87:$K87, 'Eurostat EB products IEA'!$A$4:$A$135, 0),
           MATCH(AD$1, 'Eurostat EB products IEA'!$A$4:$BN$4, 0)
     )
     * $L87:$U87,
     0
  )
)</f>
        <v>0</v>
      </c>
      <c r="AE87" s="57" cm="1">
        <f t="array" ref="AE87">SUMPRODUCT(
  IF($B87:$K87&lt;&gt;"",
     INDEX('Eurostat EB products IEA'!$A$4:$BN$135,
           MATCH($B87:$K87, 'Eurostat EB products IEA'!$A$4:$A$135, 0),
           MATCH(AE$1, 'Eurostat EB products IEA'!$A$4:$BN$4, 0)
     )
     * $L87:$U87,
     0
  )
)</f>
        <v>0</v>
      </c>
      <c r="AF87" s="57" cm="1">
        <f t="array" ref="AF87">SUMPRODUCT(
  IF($B87:$K87&lt;&gt;"",
     INDEX('Eurostat EB products IEA'!$A$4:$BN$135,
           MATCH($B87:$K87, 'Eurostat EB products IEA'!$A$4:$A$135, 0),
           MATCH(AF$1, 'Eurostat EB products IEA'!$A$4:$BN$4, 0)
     )
     * $L87:$U87,
     0
  )
)</f>
        <v>0</v>
      </c>
      <c r="AG87" s="57" cm="1">
        <f t="array" ref="AG87">SUMPRODUCT(
  IF($B87:$K87&lt;&gt;"",
     INDEX('Eurostat EB products IEA'!$A$4:$BN$135,
           MATCH($B87:$K87, 'Eurostat EB products IEA'!$A$4:$A$135, 0),
           MATCH(AG$1, 'Eurostat EB products IEA'!$A$4:$BN$4, 0)
     )
     * $L87:$U87,
     0
  )
)</f>
        <v>0</v>
      </c>
      <c r="AH87" s="57" cm="1">
        <f t="array" ref="AH87">SUMPRODUCT(
  IF($B87:$K87&lt;&gt;"",
     INDEX('Eurostat EB products IEA'!$A$4:$BN$135,
           MATCH($B87:$K87, 'Eurostat EB products IEA'!$A$4:$A$135, 0),
           MATCH(AH$1, 'Eurostat EB products IEA'!$A$4:$BN$4, 0)
     )
     * $L87:$U87,
     0
  )
)</f>
        <v>0</v>
      </c>
      <c r="AI87" s="57" cm="1">
        <f t="array" ref="AI87">SUMPRODUCT(
  IF($B87:$K87&lt;&gt;"",
     INDEX('Eurostat EB products IEA'!$A$4:$BN$135,
           MATCH($B87:$K87, 'Eurostat EB products IEA'!$A$4:$A$135, 0),
           MATCH(AI$1, 'Eurostat EB products IEA'!$A$4:$BN$4, 0)
     )
     * $L87:$U87,
     0
  )
)</f>
        <v>139.81305555555556</v>
      </c>
      <c r="AJ87" s="57" cm="1">
        <f t="array" ref="AJ87">SUMPRODUCT(
  IF($B87:$K87&lt;&gt;"",
     INDEX('Eurostat EB products IEA'!$A$4:$BN$135,
           MATCH($B87:$K87, 'Eurostat EB products IEA'!$A$4:$A$135, 0),
           MATCH(AJ$1, 'Eurostat EB products IEA'!$A$4:$BN$4, 0)
     )
     * $L87:$U87,
     0
  )
)</f>
        <v>1585.2669444444446</v>
      </c>
      <c r="AK87" s="57" cm="1">
        <f t="array" ref="AK87">SUMPRODUCT(
  IF($B87:$K87&lt;&gt;"",
     INDEX('Eurostat EB products IEA'!$A$4:$BN$135,
           MATCH($B87:$K87, 'Eurostat EB products IEA'!$A$4:$A$135, 0),
           MATCH(AK$1, 'Eurostat EB products IEA'!$A$4:$BN$4, 0)
     )
     * $L87:$U87,
     0
  )
)</f>
        <v>0</v>
      </c>
      <c r="AL87" s="57" cm="1">
        <f t="array" ref="AL87">SUMPRODUCT(
  IF($B87:$K87&lt;&gt;"",
     INDEX('Eurostat EB products IEA'!$A$4:$BN$135,
           MATCH($B87:$K87, 'Eurostat EB products IEA'!$A$4:$A$135, 0),
           MATCH(AL$1, 'Eurostat EB products IEA'!$A$4:$BN$4, 0)
     )
     * $L87:$U87,
     0
  )
)</f>
        <v>0</v>
      </c>
      <c r="AM87" s="57" cm="1">
        <f t="array" ref="AM87">SUMPRODUCT(
  IF($B87:$K87&lt;&gt;"",
     INDEX('Eurostat EB products IEA'!$A$4:$BN$135,
           MATCH($B87:$K87, 'Eurostat EB products IEA'!$A$4:$A$135, 0),
           MATCH(AM$1, 'Eurostat EB products IEA'!$A$4:$BN$4, 0)
     )
     * $L87:$U87,
     0
  )
)</f>
        <v>20955.511111111111</v>
      </c>
      <c r="AN87" s="65" t="s">
        <v>323</v>
      </c>
      <c r="AO87" s="57" cm="1">
        <f t="array" ref="AO87">SUMPRODUCT(
  IF($B87:$K87&lt;&gt;"",
     INDEX('Eurostat EB products IEA'!$A$4:$BN$135,
           MATCH($B87:$K87, 'Eurostat EB products IEA'!$A$4:$A$135, 0),
           MATCH(AO$1, 'Eurostat EB products IEA'!$A$4:$BN$4, 0)
     )
     * $L87:$U87,
     0
  )
)</f>
        <v>0</v>
      </c>
      <c r="AP87" s="57" cm="1">
        <f t="array" ref="AP87">SUMPRODUCT(
  IF($B87:$K87&lt;&gt;"",
     INDEX('Eurostat EB products IEA'!$A$4:$BN$135,
           MATCH($B87:$K87, 'Eurostat EB products IEA'!$A$4:$A$135, 0),
           MATCH(AP$1, 'Eurostat EB products IEA'!$A$4:$BN$4, 0)
     )
     * $L87:$U87,
     0
  )
)</f>
        <v>0</v>
      </c>
      <c r="AQ87" s="57" cm="1">
        <f t="array" ref="AQ87">SUMPRODUCT(
  IF($B87:$K87&lt;&gt;"",
     INDEX('Eurostat EB products IEA'!$A$4:$BN$135,
           MATCH($B87:$K87, 'Eurostat EB products IEA'!$A$4:$A$135, 0),
           MATCH(AQ$1, 'Eurostat EB products IEA'!$A$4:$BN$4, 0)
     )
     * $L87:$U87,
     0
  )
)</f>
        <v>0</v>
      </c>
      <c r="AR87" s="57" cm="1">
        <f t="array" ref="AR87">SUMPRODUCT(
  IF($B87:$K87&lt;&gt;"",
     INDEX('Eurostat EB products IEA'!$A$4:$BN$135,
           MATCH($B87:$K87, 'Eurostat EB products IEA'!$A$4:$A$135, 0),
           MATCH(AR$1, 'Eurostat EB products IEA'!$A$4:$BN$4, 0)
     )
     * $L87:$U87,
     0
  )
)</f>
        <v>0</v>
      </c>
      <c r="AS87" s="57" cm="1">
        <f t="array" ref="AS87">SUMPRODUCT(
  IF($B87:$K87&lt;&gt;"",
     INDEX('Eurostat EB products IEA'!$A$4:$BN$135,
           MATCH($B87:$K87, 'Eurostat EB products IEA'!$A$4:$A$135, 0),
           MATCH(AS$1, 'Eurostat EB products IEA'!$A$4:$BN$4, 0)
     )
     * $L87:$U87,
     0
  )
)</f>
        <v>0</v>
      </c>
      <c r="AT87" s="57" cm="1">
        <f t="array" ref="AT87">SUMPRODUCT(
  IF($B87:$K87&lt;&gt;"",
     INDEX('Eurostat EB products IEA'!$A$4:$BN$135,
           MATCH($B87:$K87, 'Eurostat EB products IEA'!$A$4:$A$135, 0),
           MATCH(AT$1, 'Eurostat EB products IEA'!$A$4:$BN$4, 0)
     )
     * $L87:$U87,
     0
  )
)</f>
        <v>0</v>
      </c>
      <c r="AU87" s="57" cm="1">
        <f t="array" ref="AU87">SUMPRODUCT(
  IF($B87:$K87&lt;&gt;"",
     INDEX('Eurostat EB products IEA'!$A$4:$BN$135,
           MATCH($B87:$K87, 'Eurostat EB products IEA'!$A$4:$A$135, 0),
           MATCH(AU$1, 'Eurostat EB products IEA'!$A$4:$BN$4, 0)
     )
     * $L87:$U87,
     0
  )
)</f>
        <v>0</v>
      </c>
      <c r="AV87" s="57" cm="1">
        <f t="array" ref="AV87">SUMPRODUCT(
  IF($B87:$K87&lt;&gt;"",
     INDEX('Eurostat EB products IEA'!$A$4:$BN$135,
           MATCH($B87:$K87, 'Eurostat EB products IEA'!$A$4:$A$135, 0),
           MATCH(AV$1, 'Eurostat EB products IEA'!$A$4:$BN$4, 0)
     )
     * $L87:$U87,
     0
  )
)</f>
        <v>0</v>
      </c>
      <c r="AW87" s="57" cm="1">
        <f t="array" ref="AW87">SUMPRODUCT(
  IF($B87:$K87&lt;&gt;"",
     INDEX('Eurostat EB products IEA'!$A$4:$BN$135,
           MATCH($B87:$K87, 'Eurostat EB products IEA'!$A$4:$A$135, 0),
           MATCH(AW$1, 'Eurostat EB products IEA'!$A$4:$BN$4, 0)
     )
     * $L87:$U87,
     0
  )
)</f>
        <v>0</v>
      </c>
      <c r="AX87" s="57" cm="1">
        <f t="array" ref="AX87">SUMPRODUCT(
  IF($B87:$K87&lt;&gt;"",
     INDEX('Eurostat EB products IEA'!$A$4:$BN$135,
           MATCH($B87:$K87, 'Eurostat EB products IEA'!$A$4:$A$135, 0),
           MATCH(AX$1, 'Eurostat EB products IEA'!$A$4:$BN$4, 0)
     )
     * $L87:$U87,
     0
  )
)</f>
        <v>0</v>
      </c>
      <c r="AY87" s="57" cm="1">
        <f t="array" ref="AY87">SUMPRODUCT(
  IF($B87:$K87&lt;&gt;"",
     INDEX('Eurostat EB products IEA'!$A$4:$BN$135,
           MATCH($B87:$K87, 'Eurostat EB products IEA'!$A$4:$A$135, 0),
           MATCH(AY$1, 'Eurostat EB products IEA'!$A$4:$BN$4, 0)
     )
     * $L87:$U87,
     0
  )
)</f>
        <v>0</v>
      </c>
      <c r="AZ87" s="57" cm="1">
        <f t="array" ref="AZ87">SUMPRODUCT(
  IF($B87:$K87&lt;&gt;"",
     INDEX('Eurostat EB products IEA'!$A$4:$BN$135,
           MATCH($B87:$K87, 'Eurostat EB products IEA'!$A$4:$A$135, 0),
           MATCH(AZ$1, 'Eurostat EB products IEA'!$A$4:$BN$4, 0)
     )
     * $L87:$U87,
     0
  )
)</f>
        <v>0</v>
      </c>
      <c r="BA87" s="57" cm="1">
        <f t="array" ref="BA87">SUMPRODUCT(
  IF($B87:$K87&lt;&gt;"",
     INDEX('Eurostat EB products IEA'!$A$4:$BN$135,
           MATCH($B87:$K87, 'Eurostat EB products IEA'!$A$4:$A$135, 0),
           MATCH(BA$1, 'Eurostat EB products IEA'!$A$4:$BN$4, 0)
     )
     * $L87:$U87,
     0
  )
)</f>
        <v>0</v>
      </c>
      <c r="BB87" s="57" cm="1">
        <f t="array" ref="BB87">SUMPRODUCT(
  IF($B87:$K87&lt;&gt;"",
     INDEX('Eurostat EB products IEA'!$A$4:$BN$135,
           MATCH($B87:$K87, 'Eurostat EB products IEA'!$A$4:$A$135, 0),
           MATCH(BB$1, 'Eurostat EB products IEA'!$A$4:$BN$4, 0)
     )
     * $L87:$U87,
     0
  )
)</f>
        <v>0</v>
      </c>
      <c r="BC87" s="57" cm="1">
        <f t="array" ref="BC87">SUMPRODUCT(
  IF($B87:$K87&lt;&gt;"",
     INDEX('Eurostat EB products IEA'!$A$4:$BN$135,
           MATCH($B87:$K87, 'Eurostat EB products IEA'!$A$4:$A$135, 0),
           MATCH(BC$1, 'Eurostat EB products IEA'!$A$4:$BN$4, 0)
     )
     * $L87:$U87,
     0
  )
)</f>
        <v>0</v>
      </c>
      <c r="BD87" s="57" cm="1">
        <f t="array" ref="BD87">SUMPRODUCT(
  IF($B87:$K87&lt;&gt;"",
     INDEX('Eurostat EB products IEA'!$A$4:$BN$135,
           MATCH($B87:$K87, 'Eurostat EB products IEA'!$A$4:$A$135, 0),
           MATCH(BD$1, 'Eurostat EB products IEA'!$A$4:$BN$4, 0)
     )
     * $L87:$U87,
     0
  )
)</f>
        <v>0</v>
      </c>
      <c r="BE87" s="57" cm="1">
        <f t="array" ref="BE87">SUMPRODUCT(
  IF($B87:$K87&lt;&gt;"",
     INDEX('Eurostat EB products IEA'!$A$4:$BN$135,
           MATCH($B87:$K87, 'Eurostat EB products IEA'!$A$4:$A$135, 0),
           MATCH(BE$1, 'Eurostat EB products IEA'!$A$4:$BN$4, 0)
     )
     * $L87:$U87,
     0
  )
)</f>
        <v>0</v>
      </c>
      <c r="BF87" s="57" cm="1">
        <f t="array" ref="BF87">SUMPRODUCT(
  IF($B87:$K87&lt;&gt;"",
     INDEX('Eurostat EB products IEA'!$A$4:$BN$135,
           MATCH($B87:$K87, 'Eurostat EB products IEA'!$A$4:$A$135, 0),
           MATCH(BF$1, 'Eurostat EB products IEA'!$A$4:$BN$4, 0)
     )
     * $L87:$U87,
     0
  )
)</f>
        <v>0</v>
      </c>
      <c r="BG87" s="57" cm="1">
        <f t="array" ref="BG87">SUMPRODUCT(
  IF($B87:$K87&lt;&gt;"",
     INDEX('Eurostat EB products IEA'!$A$4:$BN$135,
           MATCH($B87:$K87, 'Eurostat EB products IEA'!$A$4:$A$135, 0),
           MATCH(BG$1, 'Eurostat EB products IEA'!$A$4:$BN$4, 0)
     )
     * $L87:$U87,
     0
  )
)</f>
        <v>0</v>
      </c>
      <c r="BH87" s="57" cm="1">
        <f t="array" ref="BH87">SUMPRODUCT(
  IF($B87:$K87&lt;&gt;"",
     INDEX('Eurostat EB products IEA'!$A$4:$BN$135,
           MATCH($B87:$K87, 'Eurostat EB products IEA'!$A$4:$A$135, 0),
           MATCH(BH$1, 'Eurostat EB products IEA'!$A$4:$BN$4, 0)
     )
     * $L87:$U87,
     0
  )
)</f>
        <v>0</v>
      </c>
      <c r="BI87" s="57" cm="1">
        <f t="array" ref="BI87">SUMPRODUCT(
  IF($B87:$K87&lt;&gt;"",
     INDEX('Eurostat EB products IEA'!$A$4:$BN$135,
           MATCH($B87:$K87, 'Eurostat EB products IEA'!$A$4:$A$135, 0),
           MATCH(BI$1, 'Eurostat EB products IEA'!$A$4:$BN$4, 0)
     )
     * $L87:$U87,
     0
  )
)</f>
        <v>0</v>
      </c>
      <c r="BJ87" s="57" cm="1">
        <f t="array" ref="BJ87">SUMPRODUCT(
  IF($B87:$K87&lt;&gt;"",
     INDEX('Eurostat EB products IEA'!$A$4:$BN$135,
           MATCH($B87:$K87, 'Eurostat EB products IEA'!$A$4:$A$135, 0),
           MATCH(BJ$1, 'Eurostat EB products IEA'!$A$4:$BN$4, 0)
     )
     * $L87:$U87,
     0
  )
)</f>
        <v>19.796111111111113</v>
      </c>
      <c r="BK87" s="57" cm="1">
        <f t="array" ref="BK87">SUMPRODUCT(
  IF($B87:$K87&lt;&gt;"",
     INDEX('Eurostat EB products IEA'!$A$4:$BN$135,
           MATCH($B87:$K87, 'Eurostat EB products IEA'!$A$4:$A$135, 0),
           MATCH(BK$1, 'Eurostat EB products IEA'!$A$4:$BN$4, 0)
     )
     * $L87:$U87,
     0
  )
)</f>
        <v>0</v>
      </c>
      <c r="BL87" s="57" cm="1">
        <f t="array" ref="BL87">SUMPRODUCT(
  IF($B87:$K87&lt;&gt;"",
     INDEX('Eurostat EB products IEA'!$A$4:$BN$135,
           MATCH($B87:$K87, 'Eurostat EB products IEA'!$A$4:$A$135, 0),
           MATCH(BL$1, 'Eurostat EB products IEA'!$A$4:$BN$4, 0)
     )
     * $L87:$U87,
     0
  )
)</f>
        <v>0</v>
      </c>
      <c r="BM87" s="57" cm="1">
        <f t="array" ref="BM87">SUMPRODUCT(
  IF($B87:$K87&lt;&gt;"",
     INDEX('Eurostat EB products IEA'!$A$4:$BN$135,
           MATCH($B87:$K87, 'Eurostat EB products IEA'!$A$4:$A$135, 0),
           MATCH(BM$1, 'Eurostat EB products IEA'!$A$4:$BN$4, 0)
     )
     * $L87:$U87,
     0
  )
)</f>
        <v>0</v>
      </c>
      <c r="BN87" s="57" cm="1">
        <f t="array" ref="BN87">SUMPRODUCT(
  IF($B87:$K87&lt;&gt;"",
     INDEX('Eurostat EB products IEA'!$A$4:$BN$135,
           MATCH($B87:$K87, 'Eurostat EB products IEA'!$A$4:$A$135, 0),
           MATCH(BN$1, 'Eurostat EB products IEA'!$A$4:$BN$4, 0)
     )
     * $L87:$U87,
     0
  )
)</f>
        <v>1384.6338888888888</v>
      </c>
      <c r="BO87" s="57" cm="1">
        <f t="array" ref="BO87">SUMPRODUCT(
  IF($B87:$K87&lt;&gt;"",
     INDEX('Eurostat EB products IEA'!$A$4:$BN$135,
           MATCH($B87:$K87, 'Eurostat EB products IEA'!$A$4:$A$135, 0),
           MATCH(BO$1, 'Eurostat EB products IEA'!$A$4:$BN$4, 0)
     )
     * $L87:$U87,
     0
  )
)</f>
        <v>1.9911111111111111</v>
      </c>
      <c r="BP87" s="57" cm="1">
        <f t="array" ref="BP87">SUMPRODUCT(
  IF($B87:$K87&lt;&gt;"",
     INDEX('Eurostat EB products IEA'!$A$4:$BN$135,
           MATCH($B87:$K87, 'Eurostat EB products IEA'!$A$4:$A$135, 0),
           MATCH(BP$1, 'Eurostat EB products IEA'!$A$4:$BN$4, 0)
     )
     * $L87:$U87,
     0
  )
)</f>
        <v>0</v>
      </c>
      <c r="BQ87" s="57" cm="1">
        <f t="array" ref="BQ87">SUMPRODUCT(
  IF($B87:$K87&lt;&gt;"",
     INDEX('Eurostat EB products IEA'!$A$4:$BN$135,
           MATCH($B87:$K87, 'Eurostat EB products IEA'!$A$4:$A$135, 0),
           MATCH(BQ$1, 'Eurostat EB products IEA'!$A$4:$BN$4, 0)
     )
     * $L87:$U87,
     0
  )
)</f>
        <v>0</v>
      </c>
      <c r="BR87" s="57" cm="1">
        <f t="array" ref="BR87">SUMPRODUCT(
  IF($B87:$K87&lt;&gt;"",
     INDEX('Eurostat EB products IEA'!$A$4:$BN$135,
           MATCH($B87:$K87, 'Eurostat EB products IEA'!$A$4:$A$135, 0),
           MATCH(BR$1, 'Eurostat EB products IEA'!$A$4:$BN$4, 0)
     )
     * $L87:$U87,
     0
  )
)</f>
        <v>0</v>
      </c>
      <c r="BS87" s="65">
        <v>0</v>
      </c>
      <c r="BT87" s="57" cm="1">
        <f t="array" ref="BT87">SUMPRODUCT(
  IF($B87:$K87&lt;&gt;"",
     INDEX('Eurostat EB products IEA'!$A$4:$BN$135,
           MATCH($B87:$K87, 'Eurostat EB products IEA'!$A$4:$A$135, 0),
           MATCH(BT$1, 'Eurostat EB products IEA'!$A$4:$BN$4, 0)
     )
     * $L87:$U87,
     0
  )
)</f>
        <v>0</v>
      </c>
      <c r="BU87" s="65">
        <v>0</v>
      </c>
      <c r="BV87" s="65">
        <v>0</v>
      </c>
      <c r="BW87" s="57" cm="1">
        <f t="array" ref="BW87">SUMPRODUCT(
  IF($B87:$K87&lt;&gt;"",
     INDEX('Eurostat EB products IEA'!$A$4:$BN$135,
           MATCH($B87:$K87, 'Eurostat EB products IEA'!$A$4:$A$135, 0),
           MATCH(BW$1, 'Eurostat EB products IEA'!$A$4:$BN$4, 0)
     )
     * $L87:$U87,
     0
  )
)</f>
        <v>3985.2930555555554</v>
      </c>
      <c r="BX87" s="57" cm="1">
        <f t="array" ref="BX87">SUMPRODUCT(
  IF($B87:$K87&lt;&gt;"",
     INDEX('Eurostat EB products IEA'!$A$4:$BN$135,
           MATCH($B87:$K87, 'Eurostat EB products IEA'!$A$4:$A$135, 0),
           MATCH(BX$1, 'Eurostat EB products IEA'!$A$4:$BN$4, 0)
     )
     * $L87:$U87,
     0
  )
)</f>
        <v>69.36888888888889</v>
      </c>
      <c r="BY87" s="57" cm="1">
        <f t="array" ref="BY87">SUMPRODUCT(
  IF($B87:$K87&lt;&gt;"",
     INDEX('Eurostat EB products IEA'!$A$4:$BN$135,
           MATCH($B87:$K87, 'Eurostat EB products IEA'!$A$4:$A$135, 0),
           MATCH(BY$1, 'Eurostat EB products IEA'!$A$4:$BN$4, 0)
     )
     * $L87:$U87,
     0
  )
)</f>
        <v>0</v>
      </c>
      <c r="BZ87" s="57" cm="1">
        <f t="array" ref="BZ87">SUMPRODUCT(
  IF($B87:$K87&lt;&gt;"",
     INDEX('Eurostat EB products IEA'!$A$4:$BN$135,
           MATCH($B87:$K87, 'Eurostat EB products IEA'!$A$4:$A$135, 0),
           MATCH(BZ$1, 'Eurostat EB products IEA'!$A$4:$BN$4, 0)
     )
     * $L87:$U87,
     0
  )
)</f>
        <v>4017.9630555555555</v>
      </c>
      <c r="CA87" s="57" cm="1">
        <f t="array" ref="CA87">SUMPRODUCT(
  IF($B87:$K87&lt;&gt;"",
     INDEX('Eurostat EB products IEA'!$A$4:$BN$135,
           MATCH($B87:$K87, 'Eurostat EB products IEA'!$A$4:$A$135, 0),
           MATCH(CA$1, 'Eurostat EB products IEA'!$A$4:$BN$4, 0)
     )
     * $L87:$U87,
     0
  )
)</f>
        <v>0</v>
      </c>
      <c r="CB87" s="57" cm="1">
        <f t="array" ref="CB87">SUMPRODUCT(
  IF($B87:$K87&lt;&gt;"",
     INDEX('Eurostat EB products IEA'!$A$4:$BN$135,
           MATCH($B87:$K87, 'Eurostat EB products IEA'!$A$4:$A$135, 0),
           MATCH(CB$1, 'Eurostat EB products IEA'!$A$4:$BN$4, 0)
     )
     * $L87:$U87,
     0
  )
)</f>
        <v>0</v>
      </c>
      <c r="CC87" s="57" cm="1">
        <f t="array" ref="CC87">SUMPRODUCT(
  IF($B87:$K87&lt;&gt;"",
     INDEX('Eurostat EB products IEA'!$A$4:$BN$135,
           MATCH($B87:$K87, 'Eurostat EB products IEA'!$A$4:$A$135, 0),
           MATCH(CC$1, 'Eurostat EB products IEA'!$A$4:$BN$4, 0)
     )
     * $L87:$U87,
     0
  )
)</f>
        <v>27179.723055555554</v>
      </c>
      <c r="CD87" s="65">
        <v>0</v>
      </c>
      <c r="CE87" s="57" cm="1">
        <f t="array" ref="CE87">SUMPRODUCT(
  IF($B87:$K87&lt;&gt;"",
     INDEX('Eurostat EB products IEA'!$A$4:$BN$135,
           MATCH($B87:$K87, 'Eurostat EB products IEA'!$A$4:$A$135, 0),
           MATCH(CE$1, 'Eurostat EB products IEA'!$A$4:$BN$4, 0)
     )
     * $L87:$U87,
     0
  )
)</f>
        <v>0</v>
      </c>
      <c r="CF87" s="57" cm="1">
        <f t="array" ref="CF87">SUMPRODUCT(
  IF($B87:$K87&lt;&gt;"",
     INDEX('Eurostat EB products IEA'!$A$4:$BN$135,
           MATCH($B87:$K87, 'Eurostat EB products IEA'!$A$4:$A$135, 0),
           MATCH(CF$1, 'Eurostat EB products IEA'!$A$4:$BN$4, 0)
     )
     * $L87:$U87,
     0
  )
)</f>
        <v>0</v>
      </c>
      <c r="CG87" s="57" cm="1">
        <f t="array" ref="CG87">SUMPRODUCT(
  IF($B87:$K87&lt;&gt;"",
     INDEX('Eurostat EB products IEA'!$A$4:$BN$135,
           MATCH($B87:$K87, 'Eurostat EB products IEA'!$A$4:$A$135, 0),
           MATCH(CG$1, 'Eurostat EB products IEA'!$A$4:$BN$4, 0)
     )
     * $L87:$U87,
     0
  )
)</f>
        <v>64936.043888888889</v>
      </c>
      <c r="CH87" s="57" cm="1">
        <f t="array" ref="CH87">SUMPRODUCT(
  IF($B87:$K87&lt;&gt;"",
     INDEX('Eurostat EB products IEA'!$A$4:$BN$135,
           MATCH($B87:$K87, 'Eurostat EB products IEA'!$A$4:$A$135, 0),
           MATCH(CH$1, 'Eurostat EB products IEA'!$A$4:$BN$4, 0)
     )
     * $L87:$U87,
     0
  )
)</f>
        <v>1601.2702777777779</v>
      </c>
    </row>
    <row r="88" spans="1:86" x14ac:dyDescent="0.2">
      <c r="A88" t="s">
        <v>193</v>
      </c>
      <c r="B88" s="75"/>
      <c r="C88" s="77"/>
      <c r="D88" s="75"/>
      <c r="E88" s="77"/>
      <c r="F88" s="75"/>
      <c r="G88" s="77"/>
      <c r="H88" s="75"/>
      <c r="I88" s="77"/>
      <c r="J88" s="74"/>
      <c r="K88" s="78" t="s">
        <v>316</v>
      </c>
      <c r="L88" s="76"/>
      <c r="M88" s="79"/>
      <c r="N88" s="76"/>
      <c r="O88" s="79"/>
      <c r="P88" s="76"/>
      <c r="Q88" s="79"/>
      <c r="R88" s="76"/>
      <c r="S88" s="79"/>
      <c r="T88" s="76"/>
      <c r="U88" s="79">
        <v>1</v>
      </c>
      <c r="V88" s="65" t="s">
        <v>323</v>
      </c>
      <c r="W88" s="65" t="s">
        <v>323</v>
      </c>
      <c r="X88" s="17" cm="1">
        <f t="array" ref="X88">SUMPRODUCT(
  IF($B88:$K88&lt;&gt;"",
     INDEX('Eurostat EB products IEA'!$A$4:$BN$135,
           MATCH($B88:$K88, 'Eurostat EB products IEA'!$A$4:$A$135, 0),
           MATCH(X$1, 'Eurostat EB products IEA'!$A$4:$BN$4, 0)
     )
     * $L88:$U88,
     0
  )
)</f>
        <v>0</v>
      </c>
      <c r="Y88" s="17" cm="1">
        <f t="array" ref="Y88">SUMPRODUCT(
  IF($B88:$K88&lt;&gt;"",
     INDEX('Eurostat EB products IEA'!$A$4:$BN$135,
           MATCH($B88:$K88, 'Eurostat EB products IEA'!$A$4:$A$135, 0),
           MATCH(Y$1, 'Eurostat EB products IEA'!$A$4:$BN$4, 0)
     )
     * $L88:$U88,
     0
  )
)</f>
        <v>0</v>
      </c>
      <c r="Z88" s="17" cm="1">
        <f t="array" ref="Z88">SUMPRODUCT(
  IF($B88:$K88&lt;&gt;"",
     INDEX('Eurostat EB products IEA'!$A$4:$BN$135,
           MATCH($B88:$K88, 'Eurostat EB products IEA'!$A$4:$A$135, 0),
           MATCH(Z$1, 'Eurostat EB products IEA'!$A$4:$BN$4, 0)
     )
     * $L88:$U88,
     0
  )
)</f>
        <v>0</v>
      </c>
      <c r="AA88" s="17" cm="1">
        <f t="array" ref="AA88">SUMPRODUCT(
  IF($B88:$K88&lt;&gt;"",
     INDEX('Eurostat EB products IEA'!$A$4:$BN$135,
           MATCH($B88:$K88, 'Eurostat EB products IEA'!$A$4:$A$135, 0),
           MATCH(AA$1, 'Eurostat EB products IEA'!$A$4:$BN$4, 0)
     )
     * $L88:$U88,
     0
  )
)</f>
        <v>0</v>
      </c>
      <c r="AB88" s="17" cm="1">
        <f t="array" ref="AB88">SUMPRODUCT(
  IF($B88:$K88&lt;&gt;"",
     INDEX('Eurostat EB products IEA'!$A$4:$BN$135,
           MATCH($B88:$K88, 'Eurostat EB products IEA'!$A$4:$A$135, 0),
           MATCH(AB$1, 'Eurostat EB products IEA'!$A$4:$BN$4, 0)
     )
     * $L88:$U88,
     0
  )
)</f>
        <v>0</v>
      </c>
      <c r="AC88" s="17" cm="1">
        <f t="array" ref="AC88">SUMPRODUCT(
  IF($B88:$K88&lt;&gt;"",
     INDEX('Eurostat EB products IEA'!$A$4:$BN$135,
           MATCH($B88:$K88, 'Eurostat EB products IEA'!$A$4:$A$135, 0),
           MATCH(AC$1, 'Eurostat EB products IEA'!$A$4:$BN$4, 0)
     )
     * $L88:$U88,
     0
  )
)</f>
        <v>0</v>
      </c>
      <c r="AD88" s="17" cm="1">
        <f t="array" ref="AD88">SUMPRODUCT(
  IF($B88:$K88&lt;&gt;"",
     INDEX('Eurostat EB products IEA'!$A$4:$BN$135,
           MATCH($B88:$K88, 'Eurostat EB products IEA'!$A$4:$A$135, 0),
           MATCH(AD$1, 'Eurostat EB products IEA'!$A$4:$BN$4, 0)
     )
     * $L88:$U88,
     0
  )
)</f>
        <v>0</v>
      </c>
      <c r="AE88" s="17" cm="1">
        <f t="array" ref="AE88">SUMPRODUCT(
  IF($B88:$K88&lt;&gt;"",
     INDEX('Eurostat EB products IEA'!$A$4:$BN$135,
           MATCH($B88:$K88, 'Eurostat EB products IEA'!$A$4:$A$135, 0),
           MATCH(AE$1, 'Eurostat EB products IEA'!$A$4:$BN$4, 0)
     )
     * $L88:$U88,
     0
  )
)</f>
        <v>0</v>
      </c>
      <c r="AF88" s="17" cm="1">
        <f t="array" ref="AF88">SUMPRODUCT(
  IF($B88:$K88&lt;&gt;"",
     INDEX('Eurostat EB products IEA'!$A$4:$BN$135,
           MATCH($B88:$K88, 'Eurostat EB products IEA'!$A$4:$A$135, 0),
           MATCH(AF$1, 'Eurostat EB products IEA'!$A$4:$BN$4, 0)
     )
     * $L88:$U88,
     0
  )
)</f>
        <v>0</v>
      </c>
      <c r="AG88" s="17" cm="1">
        <f t="array" ref="AG88">SUMPRODUCT(
  IF($B88:$K88&lt;&gt;"",
     INDEX('Eurostat EB products IEA'!$A$4:$BN$135,
           MATCH($B88:$K88, 'Eurostat EB products IEA'!$A$4:$A$135, 0),
           MATCH(AG$1, 'Eurostat EB products IEA'!$A$4:$BN$4, 0)
     )
     * $L88:$U88,
     0
  )
)</f>
        <v>0</v>
      </c>
      <c r="AH88" s="17" cm="1">
        <f t="array" ref="AH88">SUMPRODUCT(
  IF($B88:$K88&lt;&gt;"",
     INDEX('Eurostat EB products IEA'!$A$4:$BN$135,
           MATCH($B88:$K88, 'Eurostat EB products IEA'!$A$4:$A$135, 0),
           MATCH(AH$1, 'Eurostat EB products IEA'!$A$4:$BN$4, 0)
     )
     * $L88:$U88,
     0
  )
)</f>
        <v>0</v>
      </c>
      <c r="AI88" s="17" cm="1">
        <f t="array" ref="AI88">SUMPRODUCT(
  IF($B88:$K88&lt;&gt;"",
     INDEX('Eurostat EB products IEA'!$A$4:$BN$135,
           MATCH($B88:$K88, 'Eurostat EB products IEA'!$A$4:$A$135, 0),
           MATCH(AI$1, 'Eurostat EB products IEA'!$A$4:$BN$4, 0)
     )
     * $L88:$U88,
     0
  )
)</f>
        <v>0</v>
      </c>
      <c r="AJ88" s="17" cm="1">
        <f t="array" ref="AJ88">SUMPRODUCT(
  IF($B88:$K88&lt;&gt;"",
     INDEX('Eurostat EB products IEA'!$A$4:$BN$135,
           MATCH($B88:$K88, 'Eurostat EB products IEA'!$A$4:$A$135, 0),
           MATCH(AJ$1, 'Eurostat EB products IEA'!$A$4:$BN$4, 0)
     )
     * $L88:$U88,
     0
  )
)</f>
        <v>0</v>
      </c>
      <c r="AK88" s="17" cm="1">
        <f t="array" ref="AK88">SUMPRODUCT(
  IF($B88:$K88&lt;&gt;"",
     INDEX('Eurostat EB products IEA'!$A$4:$BN$135,
           MATCH($B88:$K88, 'Eurostat EB products IEA'!$A$4:$A$135, 0),
           MATCH(AK$1, 'Eurostat EB products IEA'!$A$4:$BN$4, 0)
     )
     * $L88:$U88,
     0
  )
)</f>
        <v>0</v>
      </c>
      <c r="AL88" s="17" cm="1">
        <f t="array" ref="AL88">SUMPRODUCT(
  IF($B88:$K88&lt;&gt;"",
     INDEX('Eurostat EB products IEA'!$A$4:$BN$135,
           MATCH($B88:$K88, 'Eurostat EB products IEA'!$A$4:$A$135, 0),
           MATCH(AL$1, 'Eurostat EB products IEA'!$A$4:$BN$4, 0)
     )
     * $L88:$U88,
     0
  )
)</f>
        <v>0</v>
      </c>
      <c r="AM88" s="17" cm="1">
        <f t="array" ref="AM88">SUMPRODUCT(
  IF($B88:$K88&lt;&gt;"",
     INDEX('Eurostat EB products IEA'!$A$4:$BN$135,
           MATCH($B88:$K88, 'Eurostat EB products IEA'!$A$4:$A$135, 0),
           MATCH(AM$1, 'Eurostat EB products IEA'!$A$4:$BN$4, 0)
     )
     * $L88:$U88,
     0
  )
)</f>
        <v>360.07111111111112</v>
      </c>
      <c r="AN88" s="65" t="s">
        <v>323</v>
      </c>
      <c r="AO88" s="17" cm="1">
        <f t="array" ref="AO88">SUMPRODUCT(
  IF($B88:$K88&lt;&gt;"",
     INDEX('Eurostat EB products IEA'!$A$4:$BN$135,
           MATCH($B88:$K88, 'Eurostat EB products IEA'!$A$4:$A$135, 0),
           MATCH(AO$1, 'Eurostat EB products IEA'!$A$4:$BN$4, 0)
     )
     * $L88:$U88,
     0
  )
)</f>
        <v>0</v>
      </c>
      <c r="AP88" s="17" cm="1">
        <f t="array" ref="AP88">SUMPRODUCT(
  IF($B88:$K88&lt;&gt;"",
     INDEX('Eurostat EB products IEA'!$A$4:$BN$135,
           MATCH($B88:$K88, 'Eurostat EB products IEA'!$A$4:$A$135, 0),
           MATCH(AP$1, 'Eurostat EB products IEA'!$A$4:$BN$4, 0)
     )
     * $L88:$U88,
     0
  )
)</f>
        <v>0</v>
      </c>
      <c r="AQ88" s="17" cm="1">
        <f t="array" ref="AQ88">SUMPRODUCT(
  IF($B88:$K88&lt;&gt;"",
     INDEX('Eurostat EB products IEA'!$A$4:$BN$135,
           MATCH($B88:$K88, 'Eurostat EB products IEA'!$A$4:$A$135, 0),
           MATCH(AQ$1, 'Eurostat EB products IEA'!$A$4:$BN$4, 0)
     )
     * $L88:$U88,
     0
  )
)</f>
        <v>0</v>
      </c>
      <c r="AR88" s="17" cm="1">
        <f t="array" ref="AR88">SUMPRODUCT(
  IF($B88:$K88&lt;&gt;"",
     INDEX('Eurostat EB products IEA'!$A$4:$BN$135,
           MATCH($B88:$K88, 'Eurostat EB products IEA'!$A$4:$A$135, 0),
           MATCH(AR$1, 'Eurostat EB products IEA'!$A$4:$BN$4, 0)
     )
     * $L88:$U88,
     0
  )
)</f>
        <v>0</v>
      </c>
      <c r="AS88" s="17" cm="1">
        <f t="array" ref="AS88">SUMPRODUCT(
  IF($B88:$K88&lt;&gt;"",
     INDEX('Eurostat EB products IEA'!$A$4:$BN$135,
           MATCH($B88:$K88, 'Eurostat EB products IEA'!$A$4:$A$135, 0),
           MATCH(AS$1, 'Eurostat EB products IEA'!$A$4:$BN$4, 0)
     )
     * $L88:$U88,
     0
  )
)</f>
        <v>0</v>
      </c>
      <c r="AT88" s="17" cm="1">
        <f t="array" ref="AT88">SUMPRODUCT(
  IF($B88:$K88&lt;&gt;"",
     INDEX('Eurostat EB products IEA'!$A$4:$BN$135,
           MATCH($B88:$K88, 'Eurostat EB products IEA'!$A$4:$A$135, 0),
           MATCH(AT$1, 'Eurostat EB products IEA'!$A$4:$BN$4, 0)
     )
     * $L88:$U88,
     0
  )
)</f>
        <v>11.05</v>
      </c>
      <c r="AU88" s="17" cm="1">
        <f t="array" ref="AU88">SUMPRODUCT(
  IF($B88:$K88&lt;&gt;"",
     INDEX('Eurostat EB products IEA'!$A$4:$BN$135,
           MATCH($B88:$K88, 'Eurostat EB products IEA'!$A$4:$A$135, 0),
           MATCH(AU$1, 'Eurostat EB products IEA'!$A$4:$BN$4, 0)
     )
     * $L88:$U88,
     0
  )
)</f>
        <v>0</v>
      </c>
      <c r="AV88" s="17" cm="1">
        <f t="array" ref="AV88">SUMPRODUCT(
  IF($B88:$K88&lt;&gt;"",
     INDEX('Eurostat EB products IEA'!$A$4:$BN$135,
           MATCH($B88:$K88, 'Eurostat EB products IEA'!$A$4:$A$135, 0),
           MATCH(AV$1, 'Eurostat EB products IEA'!$A$4:$BN$4, 0)
     )
     * $L88:$U88,
     0
  )
)</f>
        <v>0</v>
      </c>
      <c r="AW88" s="17" cm="1">
        <f t="array" ref="AW88">SUMPRODUCT(
  IF($B88:$K88&lt;&gt;"",
     INDEX('Eurostat EB products IEA'!$A$4:$BN$135,
           MATCH($B88:$K88, 'Eurostat EB products IEA'!$A$4:$A$135, 0),
           MATCH(AW$1, 'Eurostat EB products IEA'!$A$4:$BN$4, 0)
     )
     * $L88:$U88,
     0
  )
)</f>
        <v>0</v>
      </c>
      <c r="AX88" s="17" cm="1">
        <f t="array" ref="AX88">SUMPRODUCT(
  IF($B88:$K88&lt;&gt;"",
     INDEX('Eurostat EB products IEA'!$A$4:$BN$135,
           MATCH($B88:$K88, 'Eurostat EB products IEA'!$A$4:$A$135, 0),
           MATCH(AX$1, 'Eurostat EB products IEA'!$A$4:$BN$4, 0)
     )
     * $L88:$U88,
     0
  )
)</f>
        <v>0</v>
      </c>
      <c r="AY88" s="17" cm="1">
        <f t="array" ref="AY88">SUMPRODUCT(
  IF($B88:$K88&lt;&gt;"",
     INDEX('Eurostat EB products IEA'!$A$4:$BN$135,
           MATCH($B88:$K88, 'Eurostat EB products IEA'!$A$4:$A$135, 0),
           MATCH(AY$1, 'Eurostat EB products IEA'!$A$4:$BN$4, 0)
     )
     * $L88:$U88,
     0
  )
)</f>
        <v>0</v>
      </c>
      <c r="AZ88" s="17" cm="1">
        <f t="array" ref="AZ88">SUMPRODUCT(
  IF($B88:$K88&lt;&gt;"",
     INDEX('Eurostat EB products IEA'!$A$4:$BN$135,
           MATCH($B88:$K88, 'Eurostat EB products IEA'!$A$4:$A$135, 0),
           MATCH(AZ$1, 'Eurostat EB products IEA'!$A$4:$BN$4, 0)
     )
     * $L88:$U88,
     0
  )
)</f>
        <v>0</v>
      </c>
      <c r="BA88" s="17" cm="1">
        <f t="array" ref="BA88">SUMPRODUCT(
  IF($B88:$K88&lt;&gt;"",
     INDEX('Eurostat EB products IEA'!$A$4:$BN$135,
           MATCH($B88:$K88, 'Eurostat EB products IEA'!$A$4:$A$135, 0),
           MATCH(BA$1, 'Eurostat EB products IEA'!$A$4:$BN$4, 0)
     )
     * $L88:$U88,
     0
  )
)</f>
        <v>0</v>
      </c>
      <c r="BB88" s="17" cm="1">
        <f t="array" ref="BB88">SUMPRODUCT(
  IF($B88:$K88&lt;&gt;"",
     INDEX('Eurostat EB products IEA'!$A$4:$BN$135,
           MATCH($B88:$K88, 'Eurostat EB products IEA'!$A$4:$A$135, 0),
           MATCH(BB$1, 'Eurostat EB products IEA'!$A$4:$BN$4, 0)
     )
     * $L88:$U88,
     0
  )
)</f>
        <v>0.31888888888888883</v>
      </c>
      <c r="BC88" s="17" cm="1">
        <f t="array" ref="BC88">SUMPRODUCT(
  IF($B88:$K88&lt;&gt;"",
     INDEX('Eurostat EB products IEA'!$A$4:$BN$135,
           MATCH($B88:$K88, 'Eurostat EB products IEA'!$A$4:$A$135, 0),
           MATCH(BC$1, 'Eurostat EB products IEA'!$A$4:$BN$4, 0)
     )
     * $L88:$U88,
     0
  )
)</f>
        <v>0</v>
      </c>
      <c r="BD88" s="17" cm="1">
        <f t="array" ref="BD88">SUMPRODUCT(
  IF($B88:$K88&lt;&gt;"",
     INDEX('Eurostat EB products IEA'!$A$4:$BN$135,
           MATCH($B88:$K88, 'Eurostat EB products IEA'!$A$4:$A$135, 0),
           MATCH(BD$1, 'Eurostat EB products IEA'!$A$4:$BN$4, 0)
     )
     * $L88:$U88,
     0
  )
)</f>
        <v>0</v>
      </c>
      <c r="BE88" s="17" cm="1">
        <f t="array" ref="BE88">SUMPRODUCT(
  IF($B88:$K88&lt;&gt;"",
     INDEX('Eurostat EB products IEA'!$A$4:$BN$135,
           MATCH($B88:$K88, 'Eurostat EB products IEA'!$A$4:$A$135, 0),
           MATCH(BE$1, 'Eurostat EB products IEA'!$A$4:$BN$4, 0)
     )
     * $L88:$U88,
     0
  )
)</f>
        <v>0</v>
      </c>
      <c r="BF88" s="17" cm="1">
        <f t="array" ref="BF88">SUMPRODUCT(
  IF($B88:$K88&lt;&gt;"",
     INDEX('Eurostat EB products IEA'!$A$4:$BN$135,
           MATCH($B88:$K88, 'Eurostat EB products IEA'!$A$4:$A$135, 0),
           MATCH(BF$1, 'Eurostat EB products IEA'!$A$4:$BN$4, 0)
     )
     * $L88:$U88,
     0
  )
)</f>
        <v>0</v>
      </c>
      <c r="BG88" s="17" cm="1">
        <f t="array" ref="BG88">SUMPRODUCT(
  IF($B88:$K88&lt;&gt;"",
     INDEX('Eurostat EB products IEA'!$A$4:$BN$135,
           MATCH($B88:$K88, 'Eurostat EB products IEA'!$A$4:$A$135, 0),
           MATCH(BG$1, 'Eurostat EB products IEA'!$A$4:$BN$4, 0)
     )
     * $L88:$U88,
     0
  )
)</f>
        <v>0</v>
      </c>
      <c r="BH88" s="17" cm="1">
        <f t="array" ref="BH88">SUMPRODUCT(
  IF($B88:$K88&lt;&gt;"",
     INDEX('Eurostat EB products IEA'!$A$4:$BN$135,
           MATCH($B88:$K88, 'Eurostat EB products IEA'!$A$4:$A$135, 0),
           MATCH(BH$1, 'Eurostat EB products IEA'!$A$4:$BN$4, 0)
     )
     * $L88:$U88,
     0
  )
)</f>
        <v>0</v>
      </c>
      <c r="BI88" s="17" cm="1">
        <f t="array" ref="BI88">SUMPRODUCT(
  IF($B88:$K88&lt;&gt;"",
     INDEX('Eurostat EB products IEA'!$A$4:$BN$135,
           MATCH($B88:$K88, 'Eurostat EB products IEA'!$A$4:$A$135, 0),
           MATCH(BI$1, 'Eurostat EB products IEA'!$A$4:$BN$4, 0)
     )
     * $L88:$U88,
     0
  )
)</f>
        <v>0</v>
      </c>
      <c r="BJ88" s="17" cm="1">
        <f t="array" ref="BJ88">SUMPRODUCT(
  IF($B88:$K88&lt;&gt;"",
     INDEX('Eurostat EB products IEA'!$A$4:$BN$135,
           MATCH($B88:$K88, 'Eurostat EB products IEA'!$A$4:$A$135, 0),
           MATCH(BJ$1, 'Eurostat EB products IEA'!$A$4:$BN$4, 0)
     )
     * $L88:$U88,
     0
  )
)</f>
        <v>0</v>
      </c>
      <c r="BK88" s="17" cm="1">
        <f t="array" ref="BK88">SUMPRODUCT(
  IF($B88:$K88&lt;&gt;"",
     INDEX('Eurostat EB products IEA'!$A$4:$BN$135,
           MATCH($B88:$K88, 'Eurostat EB products IEA'!$A$4:$A$135, 0),
           MATCH(BK$1, 'Eurostat EB products IEA'!$A$4:$BN$4, 0)
     )
     * $L88:$U88,
     0
  )
)</f>
        <v>0</v>
      </c>
      <c r="BL88" s="17" cm="1">
        <f t="array" ref="BL88">SUMPRODUCT(
  IF($B88:$K88&lt;&gt;"",
     INDEX('Eurostat EB products IEA'!$A$4:$BN$135,
           MATCH($B88:$K88, 'Eurostat EB products IEA'!$A$4:$A$135, 0),
           MATCH(BL$1, 'Eurostat EB products IEA'!$A$4:$BN$4, 0)
     )
     * $L88:$U88,
     0
  )
)</f>
        <v>0</v>
      </c>
      <c r="BM88" s="17" cm="1">
        <f t="array" ref="BM88">SUMPRODUCT(
  IF($B88:$K88&lt;&gt;"",
     INDEX('Eurostat EB products IEA'!$A$4:$BN$135,
           MATCH($B88:$K88, 'Eurostat EB products IEA'!$A$4:$A$135, 0),
           MATCH(BM$1, 'Eurostat EB products IEA'!$A$4:$BN$4, 0)
     )
     * $L88:$U88,
     0
  )
)</f>
        <v>0</v>
      </c>
      <c r="BN88" s="17" cm="1">
        <f t="array" ref="BN88">SUMPRODUCT(
  IF($B88:$K88&lt;&gt;"",
     INDEX('Eurostat EB products IEA'!$A$4:$BN$135,
           MATCH($B88:$K88, 'Eurostat EB products IEA'!$A$4:$A$135, 0),
           MATCH(BN$1, 'Eurostat EB products IEA'!$A$4:$BN$4, 0)
     )
     * $L88:$U88,
     0
  )
)</f>
        <v>0</v>
      </c>
      <c r="BO88" s="17" cm="1">
        <f t="array" ref="BO88">SUMPRODUCT(
  IF($B88:$K88&lt;&gt;"",
     INDEX('Eurostat EB products IEA'!$A$4:$BN$135,
           MATCH($B88:$K88, 'Eurostat EB products IEA'!$A$4:$A$135, 0),
           MATCH(BO$1, 'Eurostat EB products IEA'!$A$4:$BN$4, 0)
     )
     * $L88:$U88,
     0
  )
)</f>
        <v>14.213888888888889</v>
      </c>
      <c r="BP88" s="17" cm="1">
        <f t="array" ref="BP88">SUMPRODUCT(
  IF($B88:$K88&lt;&gt;"",
     INDEX('Eurostat EB products IEA'!$A$4:$BN$135,
           MATCH($B88:$K88, 'Eurostat EB products IEA'!$A$4:$A$135, 0),
           MATCH(BP$1, 'Eurostat EB products IEA'!$A$4:$BN$4, 0)
     )
     * $L88:$U88,
     0
  )
)</f>
        <v>0</v>
      </c>
      <c r="BQ88" s="17" cm="1">
        <f t="array" ref="BQ88">SUMPRODUCT(
  IF($B88:$K88&lt;&gt;"",
     INDEX('Eurostat EB products IEA'!$A$4:$BN$135,
           MATCH($B88:$K88, 'Eurostat EB products IEA'!$A$4:$A$135, 0),
           MATCH(BQ$1, 'Eurostat EB products IEA'!$A$4:$BN$4, 0)
     )
     * $L88:$U88,
     0
  )
)</f>
        <v>0</v>
      </c>
      <c r="BR88" s="17" cm="1">
        <f t="array" ref="BR88">SUMPRODUCT(
  IF($B88:$K88&lt;&gt;"",
     INDEX('Eurostat EB products IEA'!$A$4:$BN$135,
           MATCH($B88:$K88, 'Eurostat EB products IEA'!$A$4:$A$135, 0),
           MATCH(BR$1, 'Eurostat EB products IEA'!$A$4:$BN$4, 0)
     )
     * $L88:$U88,
     0
  )
)</f>
        <v>0</v>
      </c>
      <c r="BS88" s="65">
        <v>0</v>
      </c>
      <c r="BT88" s="17" cm="1">
        <f t="array" ref="BT88">SUMPRODUCT(
  IF($B88:$K88&lt;&gt;"",
     INDEX('Eurostat EB products IEA'!$A$4:$BN$135,
           MATCH($B88:$K88, 'Eurostat EB products IEA'!$A$4:$A$135, 0),
           MATCH(BT$1, 'Eurostat EB products IEA'!$A$4:$BN$4, 0)
     )
     * $L88:$U88,
     0
  )
)</f>
        <v>0</v>
      </c>
      <c r="BU88" s="65">
        <v>0</v>
      </c>
      <c r="BV88" s="65">
        <v>0</v>
      </c>
      <c r="BW88" s="17" cm="1">
        <f t="array" ref="BW88">SUMPRODUCT(
  IF($B88:$K88&lt;&gt;"",
     INDEX('Eurostat EB products IEA'!$A$4:$BN$135,
           MATCH($B88:$K88, 'Eurostat EB products IEA'!$A$4:$A$135, 0),
           MATCH(BW$1, 'Eurostat EB products IEA'!$A$4:$BN$4, 0)
     )
     * $L88:$U88,
     0
  )
)</f>
        <v>0</v>
      </c>
      <c r="BX88" s="17" cm="1">
        <f t="array" ref="BX88">SUMPRODUCT(
  IF($B88:$K88&lt;&gt;"",
     INDEX('Eurostat EB products IEA'!$A$4:$BN$135,
           MATCH($B88:$K88, 'Eurostat EB products IEA'!$A$4:$A$135, 0),
           MATCH(BX$1, 'Eurostat EB products IEA'!$A$4:$BN$4, 0)
     )
     * $L88:$U88,
     0
  )
)</f>
        <v>0</v>
      </c>
      <c r="BY88" s="17" cm="1">
        <f t="array" ref="BY88">SUMPRODUCT(
  IF($B88:$K88&lt;&gt;"",
     INDEX('Eurostat EB products IEA'!$A$4:$BN$135,
           MATCH($B88:$K88, 'Eurostat EB products IEA'!$A$4:$A$135, 0),
           MATCH(BY$1, 'Eurostat EB products IEA'!$A$4:$BN$4, 0)
     )
     * $L88:$U88,
     0
  )
)</f>
        <v>0</v>
      </c>
      <c r="BZ88" s="17" cm="1">
        <f t="array" ref="BZ88">SUMPRODUCT(
  IF($B88:$K88&lt;&gt;"",
     INDEX('Eurostat EB products IEA'!$A$4:$BN$135,
           MATCH($B88:$K88, 'Eurostat EB products IEA'!$A$4:$A$135, 0),
           MATCH(BZ$1, 'Eurostat EB products IEA'!$A$4:$BN$4, 0)
     )
     * $L88:$U88,
     0
  )
)</f>
        <v>15560.224999999999</v>
      </c>
      <c r="CA88" s="17" cm="1">
        <f t="array" ref="CA88">SUMPRODUCT(
  IF($B88:$K88&lt;&gt;"",
     INDEX('Eurostat EB products IEA'!$A$4:$BN$135,
           MATCH($B88:$K88, 'Eurostat EB products IEA'!$A$4:$A$135, 0),
           MATCH(CA$1, 'Eurostat EB products IEA'!$A$4:$BN$4, 0)
     )
     * $L88:$U88,
     0
  )
)</f>
        <v>0</v>
      </c>
      <c r="CB88" s="17" cm="1">
        <f t="array" ref="CB88">SUMPRODUCT(
  IF($B88:$K88&lt;&gt;"",
     INDEX('Eurostat EB products IEA'!$A$4:$BN$135,
           MATCH($B88:$K88, 'Eurostat EB products IEA'!$A$4:$A$135, 0),
           MATCH(CB$1, 'Eurostat EB products IEA'!$A$4:$BN$4, 0)
     )
     * $L88:$U88,
     0
  )
)</f>
        <v>0</v>
      </c>
      <c r="CC88" s="17" cm="1">
        <f t="array" ref="CC88">SUMPRODUCT(
  IF($B88:$K88&lt;&gt;"",
     INDEX('Eurostat EB products IEA'!$A$4:$BN$135,
           MATCH($B88:$K88, 'Eurostat EB products IEA'!$A$4:$A$135, 0),
           MATCH(CC$1, 'Eurostat EB products IEA'!$A$4:$BN$4, 0)
     )
     * $L88:$U88,
     0
  )
)</f>
        <v>2345.3580555555559</v>
      </c>
      <c r="CD88" s="65">
        <v>0</v>
      </c>
      <c r="CE88" s="17" cm="1">
        <f t="array" ref="CE88">SUMPRODUCT(
  IF($B88:$K88&lt;&gt;"",
     INDEX('Eurostat EB products IEA'!$A$4:$BN$135,
           MATCH($B88:$K88, 'Eurostat EB products IEA'!$A$4:$A$135, 0),
           MATCH(CE$1, 'Eurostat EB products IEA'!$A$4:$BN$4, 0)
     )
     * $L88:$U88,
     0
  )
)</f>
        <v>0</v>
      </c>
      <c r="CF88" s="17" cm="1">
        <f t="array" ref="CF88">SUMPRODUCT(
  IF($B88:$K88&lt;&gt;"",
     INDEX('Eurostat EB products IEA'!$A$4:$BN$135,
           MATCH($B88:$K88, 'Eurostat EB products IEA'!$A$4:$A$135, 0),
           MATCH(CF$1, 'Eurostat EB products IEA'!$A$4:$BN$4, 0)
     )
     * $L88:$U88,
     0
  )
)</f>
        <v>0</v>
      </c>
      <c r="CG88" s="17" cm="1">
        <f t="array" ref="CG88">SUMPRODUCT(
  IF($B88:$K88&lt;&gt;"",
     INDEX('Eurostat EB products IEA'!$A$4:$BN$135,
           MATCH($B88:$K88, 'Eurostat EB products IEA'!$A$4:$A$135, 0),
           MATCH(CG$1, 'Eurostat EB products IEA'!$A$4:$BN$4, 0)
     )
     * $L88:$U88,
     0
  )
)</f>
        <v>18397.34611111111</v>
      </c>
      <c r="CH88" s="17" cm="1">
        <f t="array" ref="CH88">SUMPRODUCT(
  IF($B88:$K88&lt;&gt;"",
     INDEX('Eurostat EB products IEA'!$A$4:$BN$135,
           MATCH($B88:$K88, 'Eurostat EB products IEA'!$A$4:$A$135, 0),
           MATCH(CH$1, 'Eurostat EB products IEA'!$A$4:$BN$4, 0)
     )
     * $L88:$U88,
     0
  )
)</f>
        <v>17.902222222222221</v>
      </c>
    </row>
    <row r="89" spans="1:86" x14ac:dyDescent="0.2">
      <c r="A89" t="s">
        <v>194</v>
      </c>
      <c r="B89" s="75"/>
      <c r="C89" s="77"/>
      <c r="D89" s="75"/>
      <c r="E89" s="77"/>
      <c r="F89" s="75"/>
      <c r="G89" s="77"/>
      <c r="H89" s="75"/>
      <c r="I89" s="77"/>
      <c r="J89" s="74"/>
      <c r="K89" s="78" t="s">
        <v>315</v>
      </c>
      <c r="L89" s="76"/>
      <c r="M89" s="79"/>
      <c r="N89" s="76"/>
      <c r="O89" s="79"/>
      <c r="P89" s="76"/>
      <c r="Q89" s="79"/>
      <c r="R89" s="76"/>
      <c r="S89" s="79"/>
      <c r="T89" s="76"/>
      <c r="U89" s="79">
        <v>1</v>
      </c>
      <c r="V89" s="65" t="s">
        <v>323</v>
      </c>
      <c r="W89" s="65" t="s">
        <v>323</v>
      </c>
      <c r="X89" s="57" cm="1">
        <f t="array" ref="X89">SUMPRODUCT(
  IF($B89:$K89&lt;&gt;"",
     INDEX('Eurostat EB products IEA'!$A$4:$BN$135,
           MATCH($B89:$K89, 'Eurostat EB products IEA'!$A$4:$A$135, 0),
           MATCH(X$1, 'Eurostat EB products IEA'!$A$4:$BN$4, 0)
     )
     * $L89:$U89,
     0
  )
)</f>
        <v>0</v>
      </c>
      <c r="Y89" s="57" cm="1">
        <f t="array" ref="Y89">SUMPRODUCT(
  IF($B89:$K89&lt;&gt;"",
     INDEX('Eurostat EB products IEA'!$A$4:$BN$135,
           MATCH($B89:$K89, 'Eurostat EB products IEA'!$A$4:$A$135, 0),
           MATCH(Y$1, 'Eurostat EB products IEA'!$A$4:$BN$4, 0)
     )
     * $L89:$U89,
     0
  )
)</f>
        <v>0</v>
      </c>
      <c r="Z89" s="57" cm="1">
        <f t="array" ref="Z89">SUMPRODUCT(
  IF($B89:$K89&lt;&gt;"",
     INDEX('Eurostat EB products IEA'!$A$4:$BN$135,
           MATCH($B89:$K89, 'Eurostat EB products IEA'!$A$4:$A$135, 0),
           MATCH(Z$1, 'Eurostat EB products IEA'!$A$4:$BN$4, 0)
     )
     * $L89:$U89,
     0
  )
)</f>
        <v>3579.5938888888891</v>
      </c>
      <c r="AA89" s="57" cm="1">
        <f t="array" ref="AA89">SUMPRODUCT(
  IF($B89:$K89&lt;&gt;"",
     INDEX('Eurostat EB products IEA'!$A$4:$BN$135,
           MATCH($B89:$K89, 'Eurostat EB products IEA'!$A$4:$A$135, 0),
           MATCH(AA$1, 'Eurostat EB products IEA'!$A$4:$BN$4, 0)
     )
     * $L89:$U89,
     0
  )
)</f>
        <v>0</v>
      </c>
      <c r="AB89" s="57" cm="1">
        <f t="array" ref="AB89">SUMPRODUCT(
  IF($B89:$K89&lt;&gt;"",
     INDEX('Eurostat EB products IEA'!$A$4:$BN$135,
           MATCH($B89:$K89, 'Eurostat EB products IEA'!$A$4:$A$135, 0),
           MATCH(AB$1, 'Eurostat EB products IEA'!$A$4:$BN$4, 0)
     )
     * $L89:$U89,
     0
  )
)</f>
        <v>0</v>
      </c>
      <c r="AC89" s="57" cm="1">
        <f t="array" ref="AC89">SUMPRODUCT(
  IF($B89:$K89&lt;&gt;"",
     INDEX('Eurostat EB products IEA'!$A$4:$BN$135,
           MATCH($B89:$K89, 'Eurostat EB products IEA'!$A$4:$A$135, 0),
           MATCH(AC$1, 'Eurostat EB products IEA'!$A$4:$BN$4, 0)
     )
     * $L89:$U89,
     0
  )
)</f>
        <v>0</v>
      </c>
      <c r="AD89" s="57" cm="1">
        <f t="array" ref="AD89">SUMPRODUCT(
  IF($B89:$K89&lt;&gt;"",
     INDEX('Eurostat EB products IEA'!$A$4:$BN$135,
           MATCH($B89:$K89, 'Eurostat EB products IEA'!$A$4:$A$135, 0),
           MATCH(AD$1, 'Eurostat EB products IEA'!$A$4:$BN$4, 0)
     )
     * $L89:$U89,
     0
  )
)</f>
        <v>0</v>
      </c>
      <c r="AE89" s="57" cm="1">
        <f t="array" ref="AE89">SUMPRODUCT(
  IF($B89:$K89&lt;&gt;"",
     INDEX('Eurostat EB products IEA'!$A$4:$BN$135,
           MATCH($B89:$K89, 'Eurostat EB products IEA'!$A$4:$A$135, 0),
           MATCH(AE$1, 'Eurostat EB products IEA'!$A$4:$BN$4, 0)
     )
     * $L89:$U89,
     0
  )
)</f>
        <v>0</v>
      </c>
      <c r="AF89" s="57" cm="1">
        <f t="array" ref="AF89">SUMPRODUCT(
  IF($B89:$K89&lt;&gt;"",
     INDEX('Eurostat EB products IEA'!$A$4:$BN$135,
           MATCH($B89:$K89, 'Eurostat EB products IEA'!$A$4:$A$135, 0),
           MATCH(AF$1, 'Eurostat EB products IEA'!$A$4:$BN$4, 0)
     )
     * $L89:$U89,
     0
  )
)</f>
        <v>0</v>
      </c>
      <c r="AG89" s="57" cm="1">
        <f t="array" ref="AG89">SUMPRODUCT(
  IF($B89:$K89&lt;&gt;"",
     INDEX('Eurostat EB products IEA'!$A$4:$BN$135,
           MATCH($B89:$K89, 'Eurostat EB products IEA'!$A$4:$A$135, 0),
           MATCH(AG$1, 'Eurostat EB products IEA'!$A$4:$BN$4, 0)
     )
     * $L89:$U89,
     0
  )
)</f>
        <v>0</v>
      </c>
      <c r="AH89" s="57" cm="1">
        <f t="array" ref="AH89">SUMPRODUCT(
  IF($B89:$K89&lt;&gt;"",
     INDEX('Eurostat EB products IEA'!$A$4:$BN$135,
           MATCH($B89:$K89, 'Eurostat EB products IEA'!$A$4:$A$135, 0),
           MATCH(AH$1, 'Eurostat EB products IEA'!$A$4:$BN$4, 0)
     )
     * $L89:$U89,
     0
  )
)</f>
        <v>0</v>
      </c>
      <c r="AI89" s="57" cm="1">
        <f t="array" ref="AI89">SUMPRODUCT(
  IF($B89:$K89&lt;&gt;"",
     INDEX('Eurostat EB products IEA'!$A$4:$BN$135,
           MATCH($B89:$K89, 'Eurostat EB products IEA'!$A$4:$A$135, 0),
           MATCH(AI$1, 'Eurostat EB products IEA'!$A$4:$BN$4, 0)
     )
     * $L89:$U89,
     0
  )
)</f>
        <v>6.9444444444444449E-3</v>
      </c>
      <c r="AJ89" s="57" cm="1">
        <f t="array" ref="AJ89">SUMPRODUCT(
  IF($B89:$K89&lt;&gt;"",
     INDEX('Eurostat EB products IEA'!$A$4:$BN$135,
           MATCH($B89:$K89, 'Eurostat EB products IEA'!$A$4:$A$135, 0),
           MATCH(AJ$1, 'Eurostat EB products IEA'!$A$4:$BN$4, 0)
     )
     * $L89:$U89,
     0
  )
)</f>
        <v>190.27305555555554</v>
      </c>
      <c r="AK89" s="57" cm="1">
        <f t="array" ref="AK89">SUMPRODUCT(
  IF($B89:$K89&lt;&gt;"",
     INDEX('Eurostat EB products IEA'!$A$4:$BN$135,
           MATCH($B89:$K89, 'Eurostat EB products IEA'!$A$4:$A$135, 0),
           MATCH(AK$1, 'Eurostat EB products IEA'!$A$4:$BN$4, 0)
     )
     * $L89:$U89,
     0
  )
)</f>
        <v>0</v>
      </c>
      <c r="AL89" s="57" cm="1">
        <f t="array" ref="AL89">SUMPRODUCT(
  IF($B89:$K89&lt;&gt;"",
     INDEX('Eurostat EB products IEA'!$A$4:$BN$135,
           MATCH($B89:$K89, 'Eurostat EB products IEA'!$A$4:$A$135, 0),
           MATCH(AL$1, 'Eurostat EB products IEA'!$A$4:$BN$4, 0)
     )
     * $L89:$U89,
     0
  )
)</f>
        <v>0</v>
      </c>
      <c r="AM89" s="57" cm="1">
        <f t="array" ref="AM89">SUMPRODUCT(
  IF($B89:$K89&lt;&gt;"",
     INDEX('Eurostat EB products IEA'!$A$4:$BN$135,
           MATCH($B89:$K89, 'Eurostat EB products IEA'!$A$4:$A$135, 0),
           MATCH(AM$1, 'Eurostat EB products IEA'!$A$4:$BN$4, 0)
     )
     * $L89:$U89,
     0
  )
)</f>
        <v>9302.1288888888885</v>
      </c>
      <c r="AN89" s="65" t="s">
        <v>323</v>
      </c>
      <c r="AO89" s="57" cm="1">
        <f t="array" ref="AO89">SUMPRODUCT(
  IF($B89:$K89&lt;&gt;"",
     INDEX('Eurostat EB products IEA'!$A$4:$BN$135,
           MATCH($B89:$K89, 'Eurostat EB products IEA'!$A$4:$A$135, 0),
           MATCH(AO$1, 'Eurostat EB products IEA'!$A$4:$BN$4, 0)
     )
     * $L89:$U89,
     0
  )
)</f>
        <v>0</v>
      </c>
      <c r="AP89" s="57" cm="1">
        <f t="array" ref="AP89">SUMPRODUCT(
  IF($B89:$K89&lt;&gt;"",
     INDEX('Eurostat EB products IEA'!$A$4:$BN$135,
           MATCH($B89:$K89, 'Eurostat EB products IEA'!$A$4:$A$135, 0),
           MATCH(AP$1, 'Eurostat EB products IEA'!$A$4:$BN$4, 0)
     )
     * $L89:$U89,
     0
  )
)</f>
        <v>0</v>
      </c>
      <c r="AQ89" s="57" cm="1">
        <f t="array" ref="AQ89">SUMPRODUCT(
  IF($B89:$K89&lt;&gt;"",
     INDEX('Eurostat EB products IEA'!$A$4:$BN$135,
           MATCH($B89:$K89, 'Eurostat EB products IEA'!$A$4:$A$135, 0),
           MATCH(AQ$1, 'Eurostat EB products IEA'!$A$4:$BN$4, 0)
     )
     * $L89:$U89,
     0
  )
)</f>
        <v>0</v>
      </c>
      <c r="AR89" s="57" cm="1">
        <f t="array" ref="AR89">SUMPRODUCT(
  IF($B89:$K89&lt;&gt;"",
     INDEX('Eurostat EB products IEA'!$A$4:$BN$135,
           MATCH($B89:$K89, 'Eurostat EB products IEA'!$A$4:$A$135, 0),
           MATCH(AR$1, 'Eurostat EB products IEA'!$A$4:$BN$4, 0)
     )
     * $L89:$U89,
     0
  )
)</f>
        <v>0</v>
      </c>
      <c r="AS89" s="57" cm="1">
        <f t="array" ref="AS89">SUMPRODUCT(
  IF($B89:$K89&lt;&gt;"",
     INDEX('Eurostat EB products IEA'!$A$4:$BN$135,
           MATCH($B89:$K89, 'Eurostat EB products IEA'!$A$4:$A$135, 0),
           MATCH(AS$1, 'Eurostat EB products IEA'!$A$4:$BN$4, 0)
     )
     * $L89:$U89,
     0
  )
)</f>
        <v>0</v>
      </c>
      <c r="AT89" s="57" cm="1">
        <f t="array" ref="AT89">SUMPRODUCT(
  IF($B89:$K89&lt;&gt;"",
     INDEX('Eurostat EB products IEA'!$A$4:$BN$135,
           MATCH($B89:$K89, 'Eurostat EB products IEA'!$A$4:$A$135, 0),
           MATCH(AT$1, 'Eurostat EB products IEA'!$A$4:$BN$4, 0)
     )
     * $L89:$U89,
     0
  )
)</f>
        <v>0</v>
      </c>
      <c r="AU89" s="57" cm="1">
        <f t="array" ref="AU89">SUMPRODUCT(
  IF($B89:$K89&lt;&gt;"",
     INDEX('Eurostat EB products IEA'!$A$4:$BN$135,
           MATCH($B89:$K89, 'Eurostat EB products IEA'!$A$4:$A$135, 0),
           MATCH(AU$1, 'Eurostat EB products IEA'!$A$4:$BN$4, 0)
     )
     * $L89:$U89,
     0
  )
)</f>
        <v>0</v>
      </c>
      <c r="AV89" s="57" cm="1">
        <f t="array" ref="AV89">SUMPRODUCT(
  IF($B89:$K89&lt;&gt;"",
     INDEX('Eurostat EB products IEA'!$A$4:$BN$135,
           MATCH($B89:$K89, 'Eurostat EB products IEA'!$A$4:$A$135, 0),
           MATCH(AV$1, 'Eurostat EB products IEA'!$A$4:$BN$4, 0)
     )
     * $L89:$U89,
     0
  )
)</f>
        <v>0</v>
      </c>
      <c r="AW89" s="57" cm="1">
        <f t="array" ref="AW89">SUMPRODUCT(
  IF($B89:$K89&lt;&gt;"",
     INDEX('Eurostat EB products IEA'!$A$4:$BN$135,
           MATCH($B89:$K89, 'Eurostat EB products IEA'!$A$4:$A$135, 0),
           MATCH(AW$1, 'Eurostat EB products IEA'!$A$4:$BN$4, 0)
     )
     * $L89:$U89,
     0
  )
)</f>
        <v>0</v>
      </c>
      <c r="AX89" s="57" cm="1">
        <f t="array" ref="AX89">SUMPRODUCT(
  IF($B89:$K89&lt;&gt;"",
     INDEX('Eurostat EB products IEA'!$A$4:$BN$135,
           MATCH($B89:$K89, 'Eurostat EB products IEA'!$A$4:$A$135, 0),
           MATCH(AX$1, 'Eurostat EB products IEA'!$A$4:$BN$4, 0)
     )
     * $L89:$U89,
     0
  )
)</f>
        <v>0</v>
      </c>
      <c r="AY89" s="57" cm="1">
        <f t="array" ref="AY89">SUMPRODUCT(
  IF($B89:$K89&lt;&gt;"",
     INDEX('Eurostat EB products IEA'!$A$4:$BN$135,
           MATCH($B89:$K89, 'Eurostat EB products IEA'!$A$4:$A$135, 0),
           MATCH(AY$1, 'Eurostat EB products IEA'!$A$4:$BN$4, 0)
     )
     * $L89:$U89,
     0
  )
)</f>
        <v>0</v>
      </c>
      <c r="AZ89" s="57" cm="1">
        <f t="array" ref="AZ89">SUMPRODUCT(
  IF($B89:$K89&lt;&gt;"",
     INDEX('Eurostat EB products IEA'!$A$4:$BN$135,
           MATCH($B89:$K89, 'Eurostat EB products IEA'!$A$4:$A$135, 0),
           MATCH(AZ$1, 'Eurostat EB products IEA'!$A$4:$BN$4, 0)
     )
     * $L89:$U89,
     0
  )
)</f>
        <v>0</v>
      </c>
      <c r="BA89" s="57" cm="1">
        <f t="array" ref="BA89">SUMPRODUCT(
  IF($B89:$K89&lt;&gt;"",
     INDEX('Eurostat EB products IEA'!$A$4:$BN$135,
           MATCH($B89:$K89, 'Eurostat EB products IEA'!$A$4:$A$135, 0),
           MATCH(BA$1, 'Eurostat EB products IEA'!$A$4:$BN$4, 0)
     )
     * $L89:$U89,
     0
  )
)</f>
        <v>0</v>
      </c>
      <c r="BB89" s="57" cm="1">
        <f t="array" ref="BB89">SUMPRODUCT(
  IF($B89:$K89&lt;&gt;"",
     INDEX('Eurostat EB products IEA'!$A$4:$BN$135,
           MATCH($B89:$K89, 'Eurostat EB products IEA'!$A$4:$A$135, 0),
           MATCH(BB$1, 'Eurostat EB products IEA'!$A$4:$BN$4, 0)
     )
     * $L89:$U89,
     0
  )
)</f>
        <v>23.373888888888889</v>
      </c>
      <c r="BC89" s="57" cm="1">
        <f t="array" ref="BC89">SUMPRODUCT(
  IF($B89:$K89&lt;&gt;"",
     INDEX('Eurostat EB products IEA'!$A$4:$BN$135,
           MATCH($B89:$K89, 'Eurostat EB products IEA'!$A$4:$A$135, 0),
           MATCH(BC$1, 'Eurostat EB products IEA'!$A$4:$BN$4, 0)
     )
     * $L89:$U89,
     0
  )
)</f>
        <v>0</v>
      </c>
      <c r="BD89" s="57" cm="1">
        <f t="array" ref="BD89">SUMPRODUCT(
  IF($B89:$K89&lt;&gt;"",
     INDEX('Eurostat EB products IEA'!$A$4:$BN$135,
           MATCH($B89:$K89, 'Eurostat EB products IEA'!$A$4:$A$135, 0),
           MATCH(BD$1, 'Eurostat EB products IEA'!$A$4:$BN$4, 0)
     )
     * $L89:$U89,
     0
  )
)</f>
        <v>0</v>
      </c>
      <c r="BE89" s="57" cm="1">
        <f t="array" ref="BE89">SUMPRODUCT(
  IF($B89:$K89&lt;&gt;"",
     INDEX('Eurostat EB products IEA'!$A$4:$BN$135,
           MATCH($B89:$K89, 'Eurostat EB products IEA'!$A$4:$A$135, 0),
           MATCH(BE$1, 'Eurostat EB products IEA'!$A$4:$BN$4, 0)
     )
     * $L89:$U89,
     0
  )
)</f>
        <v>0</v>
      </c>
      <c r="BF89" s="57" cm="1">
        <f t="array" ref="BF89">SUMPRODUCT(
  IF($B89:$K89&lt;&gt;"",
     INDEX('Eurostat EB products IEA'!$A$4:$BN$135,
           MATCH($B89:$K89, 'Eurostat EB products IEA'!$A$4:$A$135, 0),
           MATCH(BF$1, 'Eurostat EB products IEA'!$A$4:$BN$4, 0)
     )
     * $L89:$U89,
     0
  )
)</f>
        <v>0</v>
      </c>
      <c r="BG89" s="57" cm="1">
        <f t="array" ref="BG89">SUMPRODUCT(
  IF($B89:$K89&lt;&gt;"",
     INDEX('Eurostat EB products IEA'!$A$4:$BN$135,
           MATCH($B89:$K89, 'Eurostat EB products IEA'!$A$4:$A$135, 0),
           MATCH(BG$1, 'Eurostat EB products IEA'!$A$4:$BN$4, 0)
     )
     * $L89:$U89,
     0
  )
)</f>
        <v>0</v>
      </c>
      <c r="BH89" s="57" cm="1">
        <f t="array" ref="BH89">SUMPRODUCT(
  IF($B89:$K89&lt;&gt;"",
     INDEX('Eurostat EB products IEA'!$A$4:$BN$135,
           MATCH($B89:$K89, 'Eurostat EB products IEA'!$A$4:$A$135, 0),
           MATCH(BH$1, 'Eurostat EB products IEA'!$A$4:$BN$4, 0)
     )
     * $L89:$U89,
     0
  )
)</f>
        <v>0</v>
      </c>
      <c r="BI89" s="57" cm="1">
        <f t="array" ref="BI89">SUMPRODUCT(
  IF($B89:$K89&lt;&gt;"",
     INDEX('Eurostat EB products IEA'!$A$4:$BN$135,
           MATCH($B89:$K89, 'Eurostat EB products IEA'!$A$4:$A$135, 0),
           MATCH(BI$1, 'Eurostat EB products IEA'!$A$4:$BN$4, 0)
     )
     * $L89:$U89,
     0
  )
)</f>
        <v>0</v>
      </c>
      <c r="BJ89" s="57" cm="1">
        <f t="array" ref="BJ89">SUMPRODUCT(
  IF($B89:$K89&lt;&gt;"",
     INDEX('Eurostat EB products IEA'!$A$4:$BN$135,
           MATCH($B89:$K89, 'Eurostat EB products IEA'!$A$4:$A$135, 0),
           MATCH(BJ$1, 'Eurostat EB products IEA'!$A$4:$BN$4, 0)
     )
     * $L89:$U89,
     0
  )
)</f>
        <v>0</v>
      </c>
      <c r="BK89" s="57" cm="1">
        <f t="array" ref="BK89">SUMPRODUCT(
  IF($B89:$K89&lt;&gt;"",
     INDEX('Eurostat EB products IEA'!$A$4:$BN$135,
           MATCH($B89:$K89, 'Eurostat EB products IEA'!$A$4:$A$135, 0),
           MATCH(BK$1, 'Eurostat EB products IEA'!$A$4:$BN$4, 0)
     )
     * $L89:$U89,
     0
  )
)</f>
        <v>30.946944444444444</v>
      </c>
      <c r="BL89" s="57" cm="1">
        <f t="array" ref="BL89">SUMPRODUCT(
  IF($B89:$K89&lt;&gt;"",
     INDEX('Eurostat EB products IEA'!$A$4:$BN$135,
           MATCH($B89:$K89, 'Eurostat EB products IEA'!$A$4:$A$135, 0),
           MATCH(BL$1, 'Eurostat EB products IEA'!$A$4:$BN$4, 0)
     )
     * $L89:$U89,
     0
  )
)</f>
        <v>0</v>
      </c>
      <c r="BM89" s="57" cm="1">
        <f t="array" ref="BM89">SUMPRODUCT(
  IF($B89:$K89&lt;&gt;"",
     INDEX('Eurostat EB products IEA'!$A$4:$BN$135,
           MATCH($B89:$K89, 'Eurostat EB products IEA'!$A$4:$A$135, 0),
           MATCH(BM$1, 'Eurostat EB products IEA'!$A$4:$BN$4, 0)
     )
     * $L89:$U89,
     0
  )
)</f>
        <v>0</v>
      </c>
      <c r="BN89" s="57" cm="1">
        <f t="array" ref="BN89">SUMPRODUCT(
  IF($B89:$K89&lt;&gt;"",
     INDEX('Eurostat EB products IEA'!$A$4:$BN$135,
           MATCH($B89:$K89, 'Eurostat EB products IEA'!$A$4:$A$135, 0),
           MATCH(BN$1, 'Eurostat EB products IEA'!$A$4:$BN$4, 0)
     )
     * $L89:$U89,
     0
  )
)</f>
        <v>3029.2219444444445</v>
      </c>
      <c r="BO89" s="57" cm="1">
        <f t="array" ref="BO89">SUMPRODUCT(
  IF($B89:$K89&lt;&gt;"",
     INDEX('Eurostat EB products IEA'!$A$4:$BN$135,
           MATCH($B89:$K89, 'Eurostat EB products IEA'!$A$4:$A$135, 0),
           MATCH(BO$1, 'Eurostat EB products IEA'!$A$4:$BN$4, 0)
     )
     * $L89:$U89,
     0
  )
)</f>
        <v>27.066111111111113</v>
      </c>
      <c r="BP89" s="57" cm="1">
        <f t="array" ref="BP89">SUMPRODUCT(
  IF($B89:$K89&lt;&gt;"",
     INDEX('Eurostat EB products IEA'!$A$4:$BN$135,
           MATCH($B89:$K89, 'Eurostat EB products IEA'!$A$4:$A$135, 0),
           MATCH(BP$1, 'Eurostat EB products IEA'!$A$4:$BN$4, 0)
     )
     * $L89:$U89,
     0
  )
)</f>
        <v>0</v>
      </c>
      <c r="BQ89" s="57" cm="1">
        <f t="array" ref="BQ89">SUMPRODUCT(
  IF($B89:$K89&lt;&gt;"",
     INDEX('Eurostat EB products IEA'!$A$4:$BN$135,
           MATCH($B89:$K89, 'Eurostat EB products IEA'!$A$4:$A$135, 0),
           MATCH(BQ$1, 'Eurostat EB products IEA'!$A$4:$BN$4, 0)
     )
     * $L89:$U89,
     0
  )
)</f>
        <v>0</v>
      </c>
      <c r="BR89" s="57" cm="1">
        <f t="array" ref="BR89">SUMPRODUCT(
  IF($B89:$K89&lt;&gt;"",
     INDEX('Eurostat EB products IEA'!$A$4:$BN$135,
           MATCH($B89:$K89, 'Eurostat EB products IEA'!$A$4:$A$135, 0),
           MATCH(BR$1, 'Eurostat EB products IEA'!$A$4:$BN$4, 0)
     )
     * $L89:$U89,
     0
  )
)</f>
        <v>0</v>
      </c>
      <c r="BS89" s="65">
        <v>0</v>
      </c>
      <c r="BT89" s="57" cm="1">
        <f t="array" ref="BT89">SUMPRODUCT(
  IF($B89:$K89&lt;&gt;"",
     INDEX('Eurostat EB products IEA'!$A$4:$BN$135,
           MATCH($B89:$K89, 'Eurostat EB products IEA'!$A$4:$A$135, 0),
           MATCH(BT$1, 'Eurostat EB products IEA'!$A$4:$BN$4, 0)
     )
     * $L89:$U89,
     0
  )
)</f>
        <v>0</v>
      </c>
      <c r="BU89" s="65">
        <v>0</v>
      </c>
      <c r="BV89" s="65">
        <v>0</v>
      </c>
      <c r="BW89" s="57" cm="1">
        <f t="array" ref="BW89">SUMPRODUCT(
  IF($B89:$K89&lt;&gt;"",
     INDEX('Eurostat EB products IEA'!$A$4:$BN$135,
           MATCH($B89:$K89, 'Eurostat EB products IEA'!$A$4:$A$135, 0),
           MATCH(BW$1, 'Eurostat EB products IEA'!$A$4:$BN$4, 0)
     )
     * $L89:$U89,
     0
  )
)</f>
        <v>0</v>
      </c>
      <c r="BX89" s="57" cm="1">
        <f t="array" ref="BX89">SUMPRODUCT(
  IF($B89:$K89&lt;&gt;"",
     INDEX('Eurostat EB products IEA'!$A$4:$BN$135,
           MATCH($B89:$K89, 'Eurostat EB products IEA'!$A$4:$A$135, 0),
           MATCH(BX$1, 'Eurostat EB products IEA'!$A$4:$BN$4, 0)
     )
     * $L89:$U89,
     0
  )
)</f>
        <v>0</v>
      </c>
      <c r="BY89" s="57" cm="1">
        <f t="array" ref="BY89">SUMPRODUCT(
  IF($B89:$K89&lt;&gt;"",
     INDEX('Eurostat EB products IEA'!$A$4:$BN$135,
           MATCH($B89:$K89, 'Eurostat EB products IEA'!$A$4:$A$135, 0),
           MATCH(BY$1, 'Eurostat EB products IEA'!$A$4:$BN$4, 0)
     )
     * $L89:$U89,
     0
  )
)</f>
        <v>0</v>
      </c>
      <c r="BZ89" s="57" cm="1">
        <f t="array" ref="BZ89">SUMPRODUCT(
  IF($B89:$K89&lt;&gt;"",
     INDEX('Eurostat EB products IEA'!$A$4:$BN$135,
           MATCH($B89:$K89, 'Eurostat EB products IEA'!$A$4:$A$135, 0),
           MATCH(BZ$1, 'Eurostat EB products IEA'!$A$4:$BN$4, 0)
     )
     * $L89:$U89,
     0
  )
)</f>
        <v>0</v>
      </c>
      <c r="CA89" s="57" cm="1">
        <f t="array" ref="CA89">SUMPRODUCT(
  IF($B89:$K89&lt;&gt;"",
     INDEX('Eurostat EB products IEA'!$A$4:$BN$135,
           MATCH($B89:$K89, 'Eurostat EB products IEA'!$A$4:$A$135, 0),
           MATCH(CA$1, 'Eurostat EB products IEA'!$A$4:$BN$4, 0)
     )
     * $L89:$U89,
     0
  )
)</f>
        <v>0</v>
      </c>
      <c r="CB89" s="57" cm="1">
        <f t="array" ref="CB89">SUMPRODUCT(
  IF($B89:$K89&lt;&gt;"",
     INDEX('Eurostat EB products IEA'!$A$4:$BN$135,
           MATCH($B89:$K89, 'Eurostat EB products IEA'!$A$4:$A$135, 0),
           MATCH(CB$1, 'Eurostat EB products IEA'!$A$4:$BN$4, 0)
     )
     * $L89:$U89,
     0
  )
)</f>
        <v>0</v>
      </c>
      <c r="CC89" s="57" cm="1">
        <f t="array" ref="CC89">SUMPRODUCT(
  IF($B89:$K89&lt;&gt;"",
     INDEX('Eurostat EB products IEA'!$A$4:$BN$135,
           MATCH($B89:$K89, 'Eurostat EB products IEA'!$A$4:$A$135, 0),
           MATCH(CC$1, 'Eurostat EB products IEA'!$A$4:$BN$4, 0)
     )
     * $L89:$U89,
     0
  )
)</f>
        <v>0</v>
      </c>
      <c r="CD89" s="65">
        <v>0</v>
      </c>
      <c r="CE89" s="57" cm="1">
        <f t="array" ref="CE89">SUMPRODUCT(
  IF($B89:$K89&lt;&gt;"",
     INDEX('Eurostat EB products IEA'!$A$4:$BN$135,
           MATCH($B89:$K89, 'Eurostat EB products IEA'!$A$4:$A$135, 0),
           MATCH(CE$1, 'Eurostat EB products IEA'!$A$4:$BN$4, 0)
     )
     * $L89:$U89,
     0
  )
)</f>
        <v>0</v>
      </c>
      <c r="CF89" s="57" cm="1">
        <f t="array" ref="CF89">SUMPRODUCT(
  IF($B89:$K89&lt;&gt;"",
     INDEX('Eurostat EB products IEA'!$A$4:$BN$135,
           MATCH($B89:$K89, 'Eurostat EB products IEA'!$A$4:$A$135, 0),
           MATCH(CF$1, 'Eurostat EB products IEA'!$A$4:$BN$4, 0)
     )
     * $L89:$U89,
     0
  )
)</f>
        <v>0</v>
      </c>
      <c r="CG89" s="57" cm="1">
        <f t="array" ref="CG89">SUMPRODUCT(
  IF($B89:$K89&lt;&gt;"",
     INDEX('Eurostat EB products IEA'!$A$4:$BN$135,
           MATCH($B89:$K89, 'Eurostat EB products IEA'!$A$4:$A$135, 0),
           MATCH(CG$1, 'Eurostat EB products IEA'!$A$4:$BN$4, 0)
     )
     * $L89:$U89,
     0
  )
)</f>
        <v>16182.611944444443</v>
      </c>
      <c r="CH89" s="57" cm="1">
        <f t="array" ref="CH89">SUMPRODUCT(
  IF($B89:$K89&lt;&gt;"",
     INDEX('Eurostat EB products IEA'!$A$4:$BN$135,
           MATCH($B89:$K89, 'Eurostat EB products IEA'!$A$4:$A$135, 0),
           MATCH(CH$1, 'Eurostat EB products IEA'!$A$4:$BN$4, 0)
     )
     * $L89:$U89,
     0
  )
)</f>
        <v>3151.5688888888885</v>
      </c>
    </row>
    <row r="90" spans="1:86" x14ac:dyDescent="0.2">
      <c r="A90" t="s">
        <v>195</v>
      </c>
      <c r="B90" s="75"/>
      <c r="C90" s="77"/>
      <c r="D90" s="75"/>
      <c r="E90" s="77"/>
      <c r="F90" s="75"/>
      <c r="G90" s="77"/>
      <c r="H90" s="75"/>
      <c r="I90" s="77"/>
      <c r="J90" s="74"/>
      <c r="K90" s="78" t="s">
        <v>317</v>
      </c>
      <c r="L90" s="76"/>
      <c r="M90" s="79"/>
      <c r="N90" s="76"/>
      <c r="O90" s="79"/>
      <c r="P90" s="76"/>
      <c r="Q90" s="79"/>
      <c r="R90" s="76"/>
      <c r="S90" s="79"/>
      <c r="T90" s="76"/>
      <c r="U90" s="79">
        <v>1</v>
      </c>
      <c r="V90" s="65" t="s">
        <v>323</v>
      </c>
      <c r="W90" s="65" t="s">
        <v>323</v>
      </c>
      <c r="X90" s="17" cm="1">
        <f t="array" ref="X90">SUMPRODUCT(
  IF($B90:$K90&lt;&gt;"",
     INDEX('Eurostat EB products IEA'!$A$4:$BN$135,
           MATCH($B90:$K90, 'Eurostat EB products IEA'!$A$4:$A$135, 0),
           MATCH(X$1, 'Eurostat EB products IEA'!$A$4:$BN$4, 0)
     )
     * $L90:$U90,
     0
  )
)</f>
        <v>0</v>
      </c>
      <c r="Y90" s="17" cm="1">
        <f t="array" ref="Y90">SUMPRODUCT(
  IF($B90:$K90&lt;&gt;"",
     INDEX('Eurostat EB products IEA'!$A$4:$BN$135,
           MATCH($B90:$K90, 'Eurostat EB products IEA'!$A$4:$A$135, 0),
           MATCH(Y$1, 'Eurostat EB products IEA'!$A$4:$BN$4, 0)
     )
     * $L90:$U90,
     0
  )
)</f>
        <v>0</v>
      </c>
      <c r="Z90" s="17" cm="1">
        <f t="array" ref="Z90">SUMPRODUCT(
  IF($B90:$K90&lt;&gt;"",
     INDEX('Eurostat EB products IEA'!$A$4:$BN$135,
           MATCH($B90:$K90, 'Eurostat EB products IEA'!$A$4:$A$135, 0),
           MATCH(Z$1, 'Eurostat EB products IEA'!$A$4:$BN$4, 0)
     )
     * $L90:$U90,
     0
  )
)</f>
        <v>0</v>
      </c>
      <c r="AA90" s="17" cm="1">
        <f t="array" ref="AA90">SUMPRODUCT(
  IF($B90:$K90&lt;&gt;"",
     INDEX('Eurostat EB products IEA'!$A$4:$BN$135,
           MATCH($B90:$K90, 'Eurostat EB products IEA'!$A$4:$A$135, 0),
           MATCH(AA$1, 'Eurostat EB products IEA'!$A$4:$BN$4, 0)
     )
     * $L90:$U90,
     0
  )
)</f>
        <v>0</v>
      </c>
      <c r="AB90" s="17" cm="1">
        <f t="array" ref="AB90">SUMPRODUCT(
  IF($B90:$K90&lt;&gt;"",
     INDEX('Eurostat EB products IEA'!$A$4:$BN$135,
           MATCH($B90:$K90, 'Eurostat EB products IEA'!$A$4:$A$135, 0),
           MATCH(AB$1, 'Eurostat EB products IEA'!$A$4:$BN$4, 0)
     )
     * $L90:$U90,
     0
  )
)</f>
        <v>0</v>
      </c>
      <c r="AC90" s="17" cm="1">
        <f t="array" ref="AC90">SUMPRODUCT(
  IF($B90:$K90&lt;&gt;"",
     INDEX('Eurostat EB products IEA'!$A$4:$BN$135,
           MATCH($B90:$K90, 'Eurostat EB products IEA'!$A$4:$A$135, 0),
           MATCH(AC$1, 'Eurostat EB products IEA'!$A$4:$BN$4, 0)
     )
     * $L90:$U90,
     0
  )
)</f>
        <v>0</v>
      </c>
      <c r="AD90" s="17" cm="1">
        <f t="array" ref="AD90">SUMPRODUCT(
  IF($B90:$K90&lt;&gt;"",
     INDEX('Eurostat EB products IEA'!$A$4:$BN$135,
           MATCH($B90:$K90, 'Eurostat EB products IEA'!$A$4:$A$135, 0),
           MATCH(AD$1, 'Eurostat EB products IEA'!$A$4:$BN$4, 0)
     )
     * $L90:$U90,
     0
  )
)</f>
        <v>0</v>
      </c>
      <c r="AE90" s="17" cm="1">
        <f t="array" ref="AE90">SUMPRODUCT(
  IF($B90:$K90&lt;&gt;"",
     INDEX('Eurostat EB products IEA'!$A$4:$BN$135,
           MATCH($B90:$K90, 'Eurostat EB products IEA'!$A$4:$A$135, 0),
           MATCH(AE$1, 'Eurostat EB products IEA'!$A$4:$BN$4, 0)
     )
     * $L90:$U90,
     0
  )
)</f>
        <v>0</v>
      </c>
      <c r="AF90" s="17" cm="1">
        <f t="array" ref="AF90">SUMPRODUCT(
  IF($B90:$K90&lt;&gt;"",
     INDEX('Eurostat EB products IEA'!$A$4:$BN$135,
           MATCH($B90:$K90, 'Eurostat EB products IEA'!$A$4:$A$135, 0),
           MATCH(AF$1, 'Eurostat EB products IEA'!$A$4:$BN$4, 0)
     )
     * $L90:$U90,
     0
  )
)</f>
        <v>0</v>
      </c>
      <c r="AG90" s="17" cm="1">
        <f t="array" ref="AG90">SUMPRODUCT(
  IF($B90:$K90&lt;&gt;"",
     INDEX('Eurostat EB products IEA'!$A$4:$BN$135,
           MATCH($B90:$K90, 'Eurostat EB products IEA'!$A$4:$A$135, 0),
           MATCH(AG$1, 'Eurostat EB products IEA'!$A$4:$BN$4, 0)
     )
     * $L90:$U90,
     0
  )
)</f>
        <v>0</v>
      </c>
      <c r="AH90" s="17" cm="1">
        <f t="array" ref="AH90">SUMPRODUCT(
  IF($B90:$K90&lt;&gt;"",
     INDEX('Eurostat EB products IEA'!$A$4:$BN$135,
           MATCH($B90:$K90, 'Eurostat EB products IEA'!$A$4:$A$135, 0),
           MATCH(AH$1, 'Eurostat EB products IEA'!$A$4:$BN$4, 0)
     )
     * $L90:$U90,
     0
  )
)</f>
        <v>0</v>
      </c>
      <c r="AI90" s="17" cm="1">
        <f t="array" ref="AI90">SUMPRODUCT(
  IF($B90:$K90&lt;&gt;"",
     INDEX('Eurostat EB products IEA'!$A$4:$BN$135,
           MATCH($B90:$K90, 'Eurostat EB products IEA'!$A$4:$A$135, 0),
           MATCH(AI$1, 'Eurostat EB products IEA'!$A$4:$BN$4, 0)
     )
     * $L90:$U90,
     0
  )
)</f>
        <v>12.348055555555556</v>
      </c>
      <c r="AJ90" s="17" cm="1">
        <f t="array" ref="AJ90">SUMPRODUCT(
  IF($B90:$K90&lt;&gt;"",
     INDEX('Eurostat EB products IEA'!$A$4:$BN$135,
           MATCH($B90:$K90, 'Eurostat EB products IEA'!$A$4:$A$135, 0),
           MATCH(AJ$1, 'Eurostat EB products IEA'!$A$4:$BN$4, 0)
     )
     * $L90:$U90,
     0
  )
)</f>
        <v>67.141111111111115</v>
      </c>
      <c r="AK90" s="17" cm="1">
        <f t="array" ref="AK90">SUMPRODUCT(
  IF($B90:$K90&lt;&gt;"",
     INDEX('Eurostat EB products IEA'!$A$4:$BN$135,
           MATCH($B90:$K90, 'Eurostat EB products IEA'!$A$4:$A$135, 0),
           MATCH(AK$1, 'Eurostat EB products IEA'!$A$4:$BN$4, 0)
     )
     * $L90:$U90,
     0
  )
)</f>
        <v>0</v>
      </c>
      <c r="AL90" s="17" cm="1">
        <f t="array" ref="AL90">SUMPRODUCT(
  IF($B90:$K90&lt;&gt;"",
     INDEX('Eurostat EB products IEA'!$A$4:$BN$135,
           MATCH($B90:$K90, 'Eurostat EB products IEA'!$A$4:$A$135, 0),
           MATCH(AL$1, 'Eurostat EB products IEA'!$A$4:$BN$4, 0)
     )
     * $L90:$U90,
     0
  )
)</f>
        <v>0</v>
      </c>
      <c r="AM90" s="17" cm="1">
        <f t="array" ref="AM90">SUMPRODUCT(
  IF($B90:$K90&lt;&gt;"",
     INDEX('Eurostat EB products IEA'!$A$4:$BN$135,
           MATCH($B90:$K90, 'Eurostat EB products IEA'!$A$4:$A$135, 0),
           MATCH(AM$1, 'Eurostat EB products IEA'!$A$4:$BN$4, 0)
     )
     * $L90:$U90,
     0
  )
)</f>
        <v>15334.733888888888</v>
      </c>
      <c r="AN90" s="65" t="s">
        <v>323</v>
      </c>
      <c r="AO90" s="17" cm="1">
        <f t="array" ref="AO90">SUMPRODUCT(
  IF($B90:$K90&lt;&gt;"",
     INDEX('Eurostat EB products IEA'!$A$4:$BN$135,
           MATCH($B90:$K90, 'Eurostat EB products IEA'!$A$4:$A$135, 0),
           MATCH(AO$1, 'Eurostat EB products IEA'!$A$4:$BN$4, 0)
     )
     * $L90:$U90,
     0
  )
)</f>
        <v>0</v>
      </c>
      <c r="AP90" s="17" cm="1">
        <f t="array" ref="AP90">SUMPRODUCT(
  IF($B90:$K90&lt;&gt;"",
     INDEX('Eurostat EB products IEA'!$A$4:$BN$135,
           MATCH($B90:$K90, 'Eurostat EB products IEA'!$A$4:$A$135, 0),
           MATCH(AP$1, 'Eurostat EB products IEA'!$A$4:$BN$4, 0)
     )
     * $L90:$U90,
     0
  )
)</f>
        <v>0</v>
      </c>
      <c r="AQ90" s="17" cm="1">
        <f t="array" ref="AQ90">SUMPRODUCT(
  IF($B90:$K90&lt;&gt;"",
     INDEX('Eurostat EB products IEA'!$A$4:$BN$135,
           MATCH($B90:$K90, 'Eurostat EB products IEA'!$A$4:$A$135, 0),
           MATCH(AQ$1, 'Eurostat EB products IEA'!$A$4:$BN$4, 0)
     )
     * $L90:$U90,
     0
  )
)</f>
        <v>0</v>
      </c>
      <c r="AR90" s="17" cm="1">
        <f t="array" ref="AR90">SUMPRODUCT(
  IF($B90:$K90&lt;&gt;"",
     INDEX('Eurostat EB products IEA'!$A$4:$BN$135,
           MATCH($B90:$K90, 'Eurostat EB products IEA'!$A$4:$A$135, 0),
           MATCH(AR$1, 'Eurostat EB products IEA'!$A$4:$BN$4, 0)
     )
     * $L90:$U90,
     0
  )
)</f>
        <v>0</v>
      </c>
      <c r="AS90" s="17" cm="1">
        <f t="array" ref="AS90">SUMPRODUCT(
  IF($B90:$K90&lt;&gt;"",
     INDEX('Eurostat EB products IEA'!$A$4:$BN$135,
           MATCH($B90:$K90, 'Eurostat EB products IEA'!$A$4:$A$135, 0),
           MATCH(AS$1, 'Eurostat EB products IEA'!$A$4:$BN$4, 0)
     )
     * $L90:$U90,
     0
  )
)</f>
        <v>0</v>
      </c>
      <c r="AT90" s="17" cm="1">
        <f t="array" ref="AT90">SUMPRODUCT(
  IF($B90:$K90&lt;&gt;"",
     INDEX('Eurostat EB products IEA'!$A$4:$BN$135,
           MATCH($B90:$K90, 'Eurostat EB products IEA'!$A$4:$A$135, 0),
           MATCH(AT$1, 'Eurostat EB products IEA'!$A$4:$BN$4, 0)
     )
     * $L90:$U90,
     0
  )
)</f>
        <v>1469.0519444444446</v>
      </c>
      <c r="AU90" s="17" cm="1">
        <f t="array" ref="AU90">SUMPRODUCT(
  IF($B90:$K90&lt;&gt;"",
     INDEX('Eurostat EB products IEA'!$A$4:$BN$135,
           MATCH($B90:$K90, 'Eurostat EB products IEA'!$A$4:$A$135, 0),
           MATCH(AU$1, 'Eurostat EB products IEA'!$A$4:$BN$4, 0)
     )
     * $L90:$U90,
     0
  )
)</f>
        <v>0</v>
      </c>
      <c r="AV90" s="17" cm="1">
        <f t="array" ref="AV90">SUMPRODUCT(
  IF($B90:$K90&lt;&gt;"",
     INDEX('Eurostat EB products IEA'!$A$4:$BN$135,
           MATCH($B90:$K90, 'Eurostat EB products IEA'!$A$4:$A$135, 0),
           MATCH(AV$1, 'Eurostat EB products IEA'!$A$4:$BN$4, 0)
     )
     * $L90:$U90,
     0
  )
)</f>
        <v>0</v>
      </c>
      <c r="AW90" s="17" cm="1">
        <f t="array" ref="AW90">SUMPRODUCT(
  IF($B90:$K90&lt;&gt;"",
     INDEX('Eurostat EB products IEA'!$A$4:$BN$135,
           MATCH($B90:$K90, 'Eurostat EB products IEA'!$A$4:$A$135, 0),
           MATCH(AW$1, 'Eurostat EB products IEA'!$A$4:$BN$4, 0)
     )
     * $L90:$U90,
     0
  )
)</f>
        <v>0</v>
      </c>
      <c r="AX90" s="17" cm="1">
        <f t="array" ref="AX90">SUMPRODUCT(
  IF($B90:$K90&lt;&gt;"",
     INDEX('Eurostat EB products IEA'!$A$4:$BN$135,
           MATCH($B90:$K90, 'Eurostat EB products IEA'!$A$4:$A$135, 0),
           MATCH(AX$1, 'Eurostat EB products IEA'!$A$4:$BN$4, 0)
     )
     * $L90:$U90,
     0
  )
)</f>
        <v>0</v>
      </c>
      <c r="AY90" s="17" cm="1">
        <f t="array" ref="AY90">SUMPRODUCT(
  IF($B90:$K90&lt;&gt;"",
     INDEX('Eurostat EB products IEA'!$A$4:$BN$135,
           MATCH($B90:$K90, 'Eurostat EB products IEA'!$A$4:$A$135, 0),
           MATCH(AY$1, 'Eurostat EB products IEA'!$A$4:$BN$4, 0)
     )
     * $L90:$U90,
     0
  )
)</f>
        <v>0</v>
      </c>
      <c r="AZ90" s="17" cm="1">
        <f t="array" ref="AZ90">SUMPRODUCT(
  IF($B90:$K90&lt;&gt;"",
     INDEX('Eurostat EB products IEA'!$A$4:$BN$135,
           MATCH($B90:$K90, 'Eurostat EB products IEA'!$A$4:$A$135, 0),
           MATCH(AZ$1, 'Eurostat EB products IEA'!$A$4:$BN$4, 0)
     )
     * $L90:$U90,
     0
  )
)</f>
        <v>0</v>
      </c>
      <c r="BA90" s="17" cm="1">
        <f t="array" ref="BA90">SUMPRODUCT(
  IF($B90:$K90&lt;&gt;"",
     INDEX('Eurostat EB products IEA'!$A$4:$BN$135,
           MATCH($B90:$K90, 'Eurostat EB products IEA'!$A$4:$A$135, 0),
           MATCH(BA$1, 'Eurostat EB products IEA'!$A$4:$BN$4, 0)
     )
     * $L90:$U90,
     0
  )
)</f>
        <v>0</v>
      </c>
      <c r="BB90" s="17" cm="1">
        <f t="array" ref="BB90">SUMPRODUCT(
  IF($B90:$K90&lt;&gt;"",
     INDEX('Eurostat EB products IEA'!$A$4:$BN$135,
           MATCH($B90:$K90, 'Eurostat EB products IEA'!$A$4:$A$135, 0),
           MATCH(BB$1, 'Eurostat EB products IEA'!$A$4:$BN$4, 0)
     )
     * $L90:$U90,
     0
  )
)</f>
        <v>6.6680555555555552</v>
      </c>
      <c r="BC90" s="17" cm="1">
        <f t="array" ref="BC90">SUMPRODUCT(
  IF($B90:$K90&lt;&gt;"",
     INDEX('Eurostat EB products IEA'!$A$4:$BN$135,
           MATCH($B90:$K90, 'Eurostat EB products IEA'!$A$4:$A$135, 0),
           MATCH(BC$1, 'Eurostat EB products IEA'!$A$4:$BN$4, 0)
     )
     * $L90:$U90,
     0
  )
)</f>
        <v>0</v>
      </c>
      <c r="BD90" s="17" cm="1">
        <f t="array" ref="BD90">SUMPRODUCT(
  IF($B90:$K90&lt;&gt;"",
     INDEX('Eurostat EB products IEA'!$A$4:$BN$135,
           MATCH($B90:$K90, 'Eurostat EB products IEA'!$A$4:$A$135, 0),
           MATCH(BD$1, 'Eurostat EB products IEA'!$A$4:$BN$4, 0)
     )
     * $L90:$U90,
     0
  )
)</f>
        <v>0</v>
      </c>
      <c r="BE90" s="17" cm="1">
        <f t="array" ref="BE90">SUMPRODUCT(
  IF($B90:$K90&lt;&gt;"",
     INDEX('Eurostat EB products IEA'!$A$4:$BN$135,
           MATCH($B90:$K90, 'Eurostat EB products IEA'!$A$4:$A$135, 0),
           MATCH(BE$1, 'Eurostat EB products IEA'!$A$4:$BN$4, 0)
     )
     * $L90:$U90,
     0
  )
)</f>
        <v>0</v>
      </c>
      <c r="BF90" s="17" cm="1">
        <f t="array" ref="BF90">SUMPRODUCT(
  IF($B90:$K90&lt;&gt;"",
     INDEX('Eurostat EB products IEA'!$A$4:$BN$135,
           MATCH($B90:$K90, 'Eurostat EB products IEA'!$A$4:$A$135, 0),
           MATCH(BF$1, 'Eurostat EB products IEA'!$A$4:$BN$4, 0)
     )
     * $L90:$U90,
     0
  )
)</f>
        <v>0</v>
      </c>
      <c r="BG90" s="17" cm="1">
        <f t="array" ref="BG90">SUMPRODUCT(
  IF($B90:$K90&lt;&gt;"",
     INDEX('Eurostat EB products IEA'!$A$4:$BN$135,
           MATCH($B90:$K90, 'Eurostat EB products IEA'!$A$4:$A$135, 0),
           MATCH(BG$1, 'Eurostat EB products IEA'!$A$4:$BN$4, 0)
     )
     * $L90:$U90,
     0
  )
)</f>
        <v>0</v>
      </c>
      <c r="BH90" s="17" cm="1">
        <f t="array" ref="BH90">SUMPRODUCT(
  IF($B90:$K90&lt;&gt;"",
     INDEX('Eurostat EB products IEA'!$A$4:$BN$135,
           MATCH($B90:$K90, 'Eurostat EB products IEA'!$A$4:$A$135, 0),
           MATCH(BH$1, 'Eurostat EB products IEA'!$A$4:$BN$4, 0)
     )
     * $L90:$U90,
     0
  )
)</f>
        <v>0</v>
      </c>
      <c r="BI90" s="17" cm="1">
        <f t="array" ref="BI90">SUMPRODUCT(
  IF($B90:$K90&lt;&gt;"",
     INDEX('Eurostat EB products IEA'!$A$4:$BN$135,
           MATCH($B90:$K90, 'Eurostat EB products IEA'!$A$4:$A$135, 0),
           MATCH(BI$1, 'Eurostat EB products IEA'!$A$4:$BN$4, 0)
     )
     * $L90:$U90,
     0
  )
)</f>
        <v>0</v>
      </c>
      <c r="BJ90" s="17" cm="1">
        <f t="array" ref="BJ90">SUMPRODUCT(
  IF($B90:$K90&lt;&gt;"",
     INDEX('Eurostat EB products IEA'!$A$4:$BN$135,
           MATCH($B90:$K90, 'Eurostat EB products IEA'!$A$4:$A$135, 0),
           MATCH(BJ$1, 'Eurostat EB products IEA'!$A$4:$BN$4, 0)
     )
     * $L90:$U90,
     0
  )
)</f>
        <v>0</v>
      </c>
      <c r="BK90" s="17" cm="1">
        <f t="array" ref="BK90">SUMPRODUCT(
  IF($B90:$K90&lt;&gt;"",
     INDEX('Eurostat EB products IEA'!$A$4:$BN$135,
           MATCH($B90:$K90, 'Eurostat EB products IEA'!$A$4:$A$135, 0),
           MATCH(BK$1, 'Eurostat EB products IEA'!$A$4:$BN$4, 0)
     )
     * $L90:$U90,
     0
  )
)</f>
        <v>17.803888888888888</v>
      </c>
      <c r="BL90" s="17" cm="1">
        <f t="array" ref="BL90">SUMPRODUCT(
  IF($B90:$K90&lt;&gt;"",
     INDEX('Eurostat EB products IEA'!$A$4:$BN$135,
           MATCH($B90:$K90, 'Eurostat EB products IEA'!$A$4:$A$135, 0),
           MATCH(BL$1, 'Eurostat EB products IEA'!$A$4:$BN$4, 0)
     )
     * $L90:$U90,
     0
  )
)</f>
        <v>1981.4999999999998</v>
      </c>
      <c r="BM90" s="17" cm="1">
        <f t="array" ref="BM90">SUMPRODUCT(
  IF($B90:$K90&lt;&gt;"",
     INDEX('Eurostat EB products IEA'!$A$4:$BN$135,
           MATCH($B90:$K90, 'Eurostat EB products IEA'!$A$4:$A$135, 0),
           MATCH(BM$1, 'Eurostat EB products IEA'!$A$4:$BN$4, 0)
     )
     * $L90:$U90,
     0
  )
)</f>
        <v>1757.1799999999998</v>
      </c>
      <c r="BN90" s="17" cm="1">
        <f t="array" ref="BN90">SUMPRODUCT(
  IF($B90:$K90&lt;&gt;"",
     INDEX('Eurostat EB products IEA'!$A$4:$BN$135,
           MATCH($B90:$K90, 'Eurostat EB products IEA'!$A$4:$A$135, 0),
           MATCH(BN$1, 'Eurostat EB products IEA'!$A$4:$BN$4, 0)
     )
     * $L90:$U90,
     0
  )
)</f>
        <v>511.94805555555553</v>
      </c>
      <c r="BO90" s="17" cm="1">
        <f t="array" ref="BO90">SUMPRODUCT(
  IF($B90:$K90&lt;&gt;"",
     INDEX('Eurostat EB products IEA'!$A$4:$BN$135,
           MATCH($B90:$K90, 'Eurostat EB products IEA'!$A$4:$A$135, 0),
           MATCH(BO$1, 'Eurostat EB products IEA'!$A$4:$BN$4, 0)
     )
     * $L90:$U90,
     0
  )
)</f>
        <v>656.20888888888885</v>
      </c>
      <c r="BP90" s="17" cm="1">
        <f t="array" ref="BP90">SUMPRODUCT(
  IF($B90:$K90&lt;&gt;"",
     INDEX('Eurostat EB products IEA'!$A$4:$BN$135,
           MATCH($B90:$K90, 'Eurostat EB products IEA'!$A$4:$A$135, 0),
           MATCH(BP$1, 'Eurostat EB products IEA'!$A$4:$BN$4, 0)
     )
     * $L90:$U90,
     0
  )
)</f>
        <v>0</v>
      </c>
      <c r="BQ90" s="17" cm="1">
        <f t="array" ref="BQ90">SUMPRODUCT(
  IF($B90:$K90&lt;&gt;"",
     INDEX('Eurostat EB products IEA'!$A$4:$BN$135,
           MATCH($B90:$K90, 'Eurostat EB products IEA'!$A$4:$A$135, 0),
           MATCH(BQ$1, 'Eurostat EB products IEA'!$A$4:$BN$4, 0)
     )
     * $L90:$U90,
     0
  )
)</f>
        <v>0</v>
      </c>
      <c r="BR90" s="17" cm="1">
        <f t="array" ref="BR90">SUMPRODUCT(
  IF($B90:$K90&lt;&gt;"",
     INDEX('Eurostat EB products IEA'!$A$4:$BN$135,
           MATCH($B90:$K90, 'Eurostat EB products IEA'!$A$4:$A$135, 0),
           MATCH(BR$1, 'Eurostat EB products IEA'!$A$4:$BN$4, 0)
     )
     * $L90:$U90,
     0
  )
)</f>
        <v>0</v>
      </c>
      <c r="BS90" s="65">
        <v>0</v>
      </c>
      <c r="BT90" s="17" cm="1">
        <f t="array" ref="BT90">SUMPRODUCT(
  IF($B90:$K90&lt;&gt;"",
     INDEX('Eurostat EB products IEA'!$A$4:$BN$135,
           MATCH($B90:$K90, 'Eurostat EB products IEA'!$A$4:$A$135, 0),
           MATCH(BT$1, 'Eurostat EB products IEA'!$A$4:$BN$4, 0)
     )
     * $L90:$U90,
     0
  )
)</f>
        <v>0</v>
      </c>
      <c r="BU90" s="65">
        <v>0</v>
      </c>
      <c r="BV90" s="65">
        <v>0</v>
      </c>
      <c r="BW90" s="17" cm="1">
        <f t="array" ref="BW90">SUMPRODUCT(
  IF($B90:$K90&lt;&gt;"",
     INDEX('Eurostat EB products IEA'!$A$4:$BN$135,
           MATCH($B90:$K90, 'Eurostat EB products IEA'!$A$4:$A$135, 0),
           MATCH(BW$1, 'Eurostat EB products IEA'!$A$4:$BN$4, 0)
     )
     * $L90:$U90,
     0
  )
)</f>
        <v>0</v>
      </c>
      <c r="BX90" s="17" cm="1">
        <f t="array" ref="BX90">SUMPRODUCT(
  IF($B90:$K90&lt;&gt;"",
     INDEX('Eurostat EB products IEA'!$A$4:$BN$135,
           MATCH($B90:$K90, 'Eurostat EB products IEA'!$A$4:$A$135, 0),
           MATCH(BX$1, 'Eurostat EB products IEA'!$A$4:$BN$4, 0)
     )
     * $L90:$U90,
     0
  )
)</f>
        <v>0</v>
      </c>
      <c r="BY90" s="17" cm="1">
        <f t="array" ref="BY90">SUMPRODUCT(
  IF($B90:$K90&lt;&gt;"",
     INDEX('Eurostat EB products IEA'!$A$4:$BN$135,
           MATCH($B90:$K90, 'Eurostat EB products IEA'!$A$4:$A$135, 0),
           MATCH(BY$1, 'Eurostat EB products IEA'!$A$4:$BN$4, 0)
     )
     * $L90:$U90,
     0
  )
)</f>
        <v>0</v>
      </c>
      <c r="BZ90" s="17" cm="1">
        <f t="array" ref="BZ90">SUMPRODUCT(
  IF($B90:$K90&lt;&gt;"",
     INDEX('Eurostat EB products IEA'!$A$4:$BN$135,
           MATCH($B90:$K90, 'Eurostat EB products IEA'!$A$4:$A$135, 0),
           MATCH(BZ$1, 'Eurostat EB products IEA'!$A$4:$BN$4, 0)
     )
     * $L90:$U90,
     0
  )
)</f>
        <v>0</v>
      </c>
      <c r="CA90" s="17" cm="1">
        <f t="array" ref="CA90">SUMPRODUCT(
  IF($B90:$K90&lt;&gt;"",
     INDEX('Eurostat EB products IEA'!$A$4:$BN$135,
           MATCH($B90:$K90, 'Eurostat EB products IEA'!$A$4:$A$135, 0),
           MATCH(CA$1, 'Eurostat EB products IEA'!$A$4:$BN$4, 0)
     )
     * $L90:$U90,
     0
  )
)</f>
        <v>0</v>
      </c>
      <c r="CB90" s="17" cm="1">
        <f t="array" ref="CB90">SUMPRODUCT(
  IF($B90:$K90&lt;&gt;"",
     INDEX('Eurostat EB products IEA'!$A$4:$BN$135,
           MATCH($B90:$K90, 'Eurostat EB products IEA'!$A$4:$A$135, 0),
           MATCH(CB$1, 'Eurostat EB products IEA'!$A$4:$BN$4, 0)
     )
     * $L90:$U90,
     0
  )
)</f>
        <v>0</v>
      </c>
      <c r="CC90" s="17" cm="1">
        <f t="array" ref="CC90">SUMPRODUCT(
  IF($B90:$K90&lt;&gt;"",
     INDEX('Eurostat EB products IEA'!$A$4:$BN$135,
           MATCH($B90:$K90, 'Eurostat EB products IEA'!$A$4:$A$135, 0),
           MATCH(CC$1, 'Eurostat EB products IEA'!$A$4:$BN$4, 0)
     )
     * $L90:$U90,
     0
  )
)</f>
        <v>0</v>
      </c>
      <c r="CD90" s="65">
        <v>0</v>
      </c>
      <c r="CE90" s="17" cm="1">
        <f t="array" ref="CE90">SUMPRODUCT(
  IF($B90:$K90&lt;&gt;"",
     INDEX('Eurostat EB products IEA'!$A$4:$BN$135,
           MATCH($B90:$K90, 'Eurostat EB products IEA'!$A$4:$A$135, 0),
           MATCH(CE$1, 'Eurostat EB products IEA'!$A$4:$BN$4, 0)
     )
     * $L90:$U90,
     0
  )
)</f>
        <v>0</v>
      </c>
      <c r="CF90" s="17" cm="1">
        <f t="array" ref="CF90">SUMPRODUCT(
  IF($B90:$K90&lt;&gt;"",
     INDEX('Eurostat EB products IEA'!$A$4:$BN$135,
           MATCH($B90:$K90, 'Eurostat EB products IEA'!$A$4:$A$135, 0),
           MATCH(CF$1, 'Eurostat EB products IEA'!$A$4:$BN$4, 0)
     )
     * $L90:$U90,
     0
  )
)</f>
        <v>0</v>
      </c>
      <c r="CG90" s="17" cm="1">
        <f t="array" ref="CG90">SUMPRODUCT(
  IF($B90:$K90&lt;&gt;"",
     INDEX('Eurostat EB products IEA'!$A$4:$BN$135,
           MATCH($B90:$K90, 'Eurostat EB products IEA'!$A$4:$A$135, 0),
           MATCH(CG$1, 'Eurostat EB products IEA'!$A$4:$BN$4, 0)
     )
     * $L90:$U90,
     0
  )
)</f>
        <v>21814.583888888887</v>
      </c>
      <c r="CH90" s="17" cm="1">
        <f t="array" ref="CH90">SUMPRODUCT(
  IF($B90:$K90&lt;&gt;"",
     INDEX('Eurostat EB products IEA'!$A$4:$BN$135,
           MATCH($B90:$K90, 'Eurostat EB products IEA'!$A$4:$A$135, 0),
           MATCH(CH$1, 'Eurostat EB products IEA'!$A$4:$BN$4, 0)
     )
     * $L90:$U90,
     0
  )
)</f>
        <v>3306.7291666666665</v>
      </c>
    </row>
    <row r="91" spans="1:86" x14ac:dyDescent="0.2">
      <c r="A91" t="s">
        <v>196</v>
      </c>
      <c r="B91" s="75"/>
      <c r="C91" s="77"/>
      <c r="D91" s="75"/>
      <c r="E91" s="77"/>
      <c r="F91" s="75"/>
      <c r="G91" s="77"/>
      <c r="H91" s="75"/>
      <c r="I91" s="77"/>
      <c r="J91" s="74"/>
      <c r="K91" s="78" t="s">
        <v>114</v>
      </c>
      <c r="L91" s="76"/>
      <c r="M91" s="79"/>
      <c r="N91" s="76"/>
      <c r="O91" s="79"/>
      <c r="P91" s="76"/>
      <c r="Q91" s="79"/>
      <c r="R91" s="76"/>
      <c r="S91" s="79"/>
      <c r="T91" s="76"/>
      <c r="U91" s="79">
        <v>1</v>
      </c>
      <c r="V91" s="65" t="s">
        <v>323</v>
      </c>
      <c r="W91" s="65" t="s">
        <v>323</v>
      </c>
      <c r="X91" s="57" cm="1">
        <f t="array" ref="X91">SUMPRODUCT(
  IF($B91:$K91&lt;&gt;"",
     INDEX('Eurostat EB products IEA'!$A$4:$BN$135,
           MATCH($B91:$K91, 'Eurostat EB products IEA'!$A$4:$A$135, 0),
           MATCH(X$1, 'Eurostat EB products IEA'!$A$4:$BN$4, 0)
     )
     * $L91:$U91,
     0
  )
)</f>
        <v>0</v>
      </c>
      <c r="Y91" s="57" cm="1">
        <f t="array" ref="Y91">SUMPRODUCT(
  IF($B91:$K91&lt;&gt;"",
     INDEX('Eurostat EB products IEA'!$A$4:$BN$135,
           MATCH($B91:$K91, 'Eurostat EB products IEA'!$A$4:$A$135, 0),
           MATCH(Y$1, 'Eurostat EB products IEA'!$A$4:$BN$4, 0)
     )
     * $L91:$U91,
     0
  )
)</f>
        <v>0</v>
      </c>
      <c r="Z91" s="57" cm="1">
        <f t="array" ref="Z91">SUMPRODUCT(
  IF($B91:$K91&lt;&gt;"",
     INDEX('Eurostat EB products IEA'!$A$4:$BN$135,
           MATCH($B91:$K91, 'Eurostat EB products IEA'!$A$4:$A$135, 0),
           MATCH(Z$1, 'Eurostat EB products IEA'!$A$4:$BN$4, 0)
     )
     * $L91:$U91,
     0
  )
)</f>
        <v>749.7</v>
      </c>
      <c r="AA91" s="57" cm="1">
        <f t="array" ref="AA91">SUMPRODUCT(
  IF($B91:$K91&lt;&gt;"",
     INDEX('Eurostat EB products IEA'!$A$4:$BN$135,
           MATCH($B91:$K91, 'Eurostat EB products IEA'!$A$4:$A$135, 0),
           MATCH(AA$1, 'Eurostat EB products IEA'!$A$4:$BN$4, 0)
     )
     * $L91:$U91,
     0
  )
)</f>
        <v>0</v>
      </c>
      <c r="AB91" s="57" cm="1">
        <f t="array" ref="AB91">SUMPRODUCT(
  IF($B91:$K91&lt;&gt;"",
     INDEX('Eurostat EB products IEA'!$A$4:$BN$135,
           MATCH($B91:$K91, 'Eurostat EB products IEA'!$A$4:$A$135, 0),
           MATCH(AB$1, 'Eurostat EB products IEA'!$A$4:$BN$4, 0)
     )
     * $L91:$U91,
     0
  )
)</f>
        <v>0</v>
      </c>
      <c r="AC91" s="57" cm="1">
        <f t="array" ref="AC91">SUMPRODUCT(
  IF($B91:$K91&lt;&gt;"",
     INDEX('Eurostat EB products IEA'!$A$4:$BN$135,
           MATCH($B91:$K91, 'Eurostat EB products IEA'!$A$4:$A$135, 0),
           MATCH(AC$1, 'Eurostat EB products IEA'!$A$4:$BN$4, 0)
     )
     * $L91:$U91,
     0
  )
)</f>
        <v>0</v>
      </c>
      <c r="AD91" s="57" cm="1">
        <f t="array" ref="AD91">SUMPRODUCT(
  IF($B91:$K91&lt;&gt;"",
     INDEX('Eurostat EB products IEA'!$A$4:$BN$135,
           MATCH($B91:$K91, 'Eurostat EB products IEA'!$A$4:$A$135, 0),
           MATCH(AD$1, 'Eurostat EB products IEA'!$A$4:$BN$4, 0)
     )
     * $L91:$U91,
     0
  )
)</f>
        <v>0</v>
      </c>
      <c r="AE91" s="57" cm="1">
        <f t="array" ref="AE91">SUMPRODUCT(
  IF($B91:$K91&lt;&gt;"",
     INDEX('Eurostat EB products IEA'!$A$4:$BN$135,
           MATCH($B91:$K91, 'Eurostat EB products IEA'!$A$4:$A$135, 0),
           MATCH(AE$1, 'Eurostat EB products IEA'!$A$4:$BN$4, 0)
     )
     * $L91:$U91,
     0
  )
)</f>
        <v>0</v>
      </c>
      <c r="AF91" s="57" cm="1">
        <f t="array" ref="AF91">SUMPRODUCT(
  IF($B91:$K91&lt;&gt;"",
     INDEX('Eurostat EB products IEA'!$A$4:$BN$135,
           MATCH($B91:$K91, 'Eurostat EB products IEA'!$A$4:$A$135, 0),
           MATCH(AF$1, 'Eurostat EB products IEA'!$A$4:$BN$4, 0)
     )
     * $L91:$U91,
     0
  )
)</f>
        <v>0</v>
      </c>
      <c r="AG91" s="57" cm="1">
        <f t="array" ref="AG91">SUMPRODUCT(
  IF($B91:$K91&lt;&gt;"",
     INDEX('Eurostat EB products IEA'!$A$4:$BN$135,
           MATCH($B91:$K91, 'Eurostat EB products IEA'!$A$4:$A$135, 0),
           MATCH(AG$1, 'Eurostat EB products IEA'!$A$4:$BN$4, 0)
     )
     * $L91:$U91,
     0
  )
)</f>
        <v>0</v>
      </c>
      <c r="AH91" s="57" cm="1">
        <f t="array" ref="AH91">SUMPRODUCT(
  IF($B91:$K91&lt;&gt;"",
     INDEX('Eurostat EB products IEA'!$A$4:$BN$135,
           MATCH($B91:$K91, 'Eurostat EB products IEA'!$A$4:$A$135, 0),
           MATCH(AH$1, 'Eurostat EB products IEA'!$A$4:$BN$4, 0)
     )
     * $L91:$U91,
     0
  )
)</f>
        <v>0</v>
      </c>
      <c r="AI91" s="57" cm="1">
        <f t="array" ref="AI91">SUMPRODUCT(
  IF($B91:$K91&lt;&gt;"",
     INDEX('Eurostat EB products IEA'!$A$4:$BN$135,
           MATCH($B91:$K91, 'Eurostat EB products IEA'!$A$4:$A$135, 0),
           MATCH(AI$1, 'Eurostat EB products IEA'!$A$4:$BN$4, 0)
     )
     * $L91:$U91,
     0
  )
)</f>
        <v>24.748000000000001</v>
      </c>
      <c r="AJ91" s="57" cm="1">
        <f t="array" ref="AJ91">SUMPRODUCT(
  IF($B91:$K91&lt;&gt;"",
     INDEX('Eurostat EB products IEA'!$A$4:$BN$135,
           MATCH($B91:$K91, 'Eurostat EB products IEA'!$A$4:$A$135, 0),
           MATCH(AJ$1, 'Eurostat EB products IEA'!$A$4:$BN$4, 0)
     )
     * $L91:$U91,
     0
  )
)</f>
        <v>317.262</v>
      </c>
      <c r="AK91" s="57" cm="1">
        <f t="array" ref="AK91">SUMPRODUCT(
  IF($B91:$K91&lt;&gt;"",
     INDEX('Eurostat EB products IEA'!$A$4:$BN$135,
           MATCH($B91:$K91, 'Eurostat EB products IEA'!$A$4:$A$135, 0),
           MATCH(AK$1, 'Eurostat EB products IEA'!$A$4:$BN$4, 0)
     )
     * $L91:$U91,
     0
  )
)</f>
        <v>0</v>
      </c>
      <c r="AL91" s="57" cm="1">
        <f t="array" ref="AL91">SUMPRODUCT(
  IF($B91:$K91&lt;&gt;"",
     INDEX('Eurostat EB products IEA'!$A$4:$BN$135,
           MATCH($B91:$K91, 'Eurostat EB products IEA'!$A$4:$A$135, 0),
           MATCH(AL$1, 'Eurostat EB products IEA'!$A$4:$BN$4, 0)
     )
     * $L91:$U91,
     0
  )
)</f>
        <v>0</v>
      </c>
      <c r="AM91" s="57" cm="1">
        <f t="array" ref="AM91">SUMPRODUCT(
  IF($B91:$K91&lt;&gt;"",
     INDEX('Eurostat EB products IEA'!$A$4:$BN$135,
           MATCH($B91:$K91, 'Eurostat EB products IEA'!$A$4:$A$135, 0),
           MATCH(AM$1, 'Eurostat EB products IEA'!$A$4:$BN$4, 0)
     )
     * $L91:$U91,
     0
  )
)</f>
        <v>47255.860999999997</v>
      </c>
      <c r="AN91" s="65" t="s">
        <v>323</v>
      </c>
      <c r="AO91" s="57" cm="1">
        <f t="array" ref="AO91">SUMPRODUCT(
  IF($B91:$K91&lt;&gt;"",
     INDEX('Eurostat EB products IEA'!$A$4:$BN$135,
           MATCH($B91:$K91, 'Eurostat EB products IEA'!$A$4:$A$135, 0),
           MATCH(AO$1, 'Eurostat EB products IEA'!$A$4:$BN$4, 0)
     )
     * $L91:$U91,
     0
  )
)</f>
        <v>0</v>
      </c>
      <c r="AP91" s="57" cm="1">
        <f t="array" ref="AP91">SUMPRODUCT(
  IF($B91:$K91&lt;&gt;"",
     INDEX('Eurostat EB products IEA'!$A$4:$BN$135,
           MATCH($B91:$K91, 'Eurostat EB products IEA'!$A$4:$A$135, 0),
           MATCH(AP$1, 'Eurostat EB products IEA'!$A$4:$BN$4, 0)
     )
     * $L91:$U91,
     0
  )
)</f>
        <v>0</v>
      </c>
      <c r="AQ91" s="57" cm="1">
        <f t="array" ref="AQ91">SUMPRODUCT(
  IF($B91:$K91&lt;&gt;"",
     INDEX('Eurostat EB products IEA'!$A$4:$BN$135,
           MATCH($B91:$K91, 'Eurostat EB products IEA'!$A$4:$A$135, 0),
           MATCH(AQ$1, 'Eurostat EB products IEA'!$A$4:$BN$4, 0)
     )
     * $L91:$U91,
     0
  )
)</f>
        <v>0</v>
      </c>
      <c r="AR91" s="57" cm="1">
        <f t="array" ref="AR91">SUMPRODUCT(
  IF($B91:$K91&lt;&gt;"",
     INDEX('Eurostat EB products IEA'!$A$4:$BN$135,
           MATCH($B91:$K91, 'Eurostat EB products IEA'!$A$4:$A$135, 0),
           MATCH(AR$1, 'Eurostat EB products IEA'!$A$4:$BN$4, 0)
     )
     * $L91:$U91,
     0
  )
)</f>
        <v>0</v>
      </c>
      <c r="AS91" s="57" cm="1">
        <f t="array" ref="AS91">SUMPRODUCT(
  IF($B91:$K91&lt;&gt;"",
     INDEX('Eurostat EB products IEA'!$A$4:$BN$135,
           MATCH($B91:$K91, 'Eurostat EB products IEA'!$A$4:$A$135, 0),
           MATCH(AS$1, 'Eurostat EB products IEA'!$A$4:$BN$4, 0)
     )
     * $L91:$U91,
     0
  )
)</f>
        <v>0</v>
      </c>
      <c r="AT91" s="57" cm="1">
        <f t="array" ref="AT91">SUMPRODUCT(
  IF($B91:$K91&lt;&gt;"",
     INDEX('Eurostat EB products IEA'!$A$4:$BN$135,
           MATCH($B91:$K91, 'Eurostat EB products IEA'!$A$4:$A$135, 0),
           MATCH(AT$1, 'Eurostat EB products IEA'!$A$4:$BN$4, 0)
     )
     * $L91:$U91,
     0
  )
)</f>
        <v>9253.759</v>
      </c>
      <c r="AU91" s="57" cm="1">
        <f t="array" ref="AU91">SUMPRODUCT(
  IF($B91:$K91&lt;&gt;"",
     INDEX('Eurostat EB products IEA'!$A$4:$BN$135,
           MATCH($B91:$K91, 'Eurostat EB products IEA'!$A$4:$A$135, 0),
           MATCH(AU$1, 'Eurostat EB products IEA'!$A$4:$BN$4, 0)
     )
     * $L91:$U91,
     0
  )
)</f>
        <v>0</v>
      </c>
      <c r="AV91" s="57" cm="1">
        <f t="array" ref="AV91">SUMPRODUCT(
  IF($B91:$K91&lt;&gt;"",
     INDEX('Eurostat EB products IEA'!$A$4:$BN$135,
           MATCH($B91:$K91, 'Eurostat EB products IEA'!$A$4:$A$135, 0),
           MATCH(AV$1, 'Eurostat EB products IEA'!$A$4:$BN$4, 0)
     )
     * $L91:$U91,
     0
  )
)</f>
        <v>0</v>
      </c>
      <c r="AW91" s="57" cm="1">
        <f t="array" ref="AW91">SUMPRODUCT(
  IF($B91:$K91&lt;&gt;"",
     INDEX('Eurostat EB products IEA'!$A$4:$BN$135,
           MATCH($B91:$K91, 'Eurostat EB products IEA'!$A$4:$A$135, 0),
           MATCH(AW$1, 'Eurostat EB products IEA'!$A$4:$BN$4, 0)
     )
     * $L91:$U91,
     0
  )
)</f>
        <v>0</v>
      </c>
      <c r="AX91" s="57" cm="1">
        <f t="array" ref="AX91">SUMPRODUCT(
  IF($B91:$K91&lt;&gt;"",
     INDEX('Eurostat EB products IEA'!$A$4:$BN$135,
           MATCH($B91:$K91, 'Eurostat EB products IEA'!$A$4:$A$135, 0),
           MATCH(AX$1, 'Eurostat EB products IEA'!$A$4:$BN$4, 0)
     )
     * $L91:$U91,
     0
  )
)</f>
        <v>0</v>
      </c>
      <c r="AY91" s="57" cm="1">
        <f t="array" ref="AY91">SUMPRODUCT(
  IF($B91:$K91&lt;&gt;"",
     INDEX('Eurostat EB products IEA'!$A$4:$BN$135,
           MATCH($B91:$K91, 'Eurostat EB products IEA'!$A$4:$A$135, 0),
           MATCH(AY$1, 'Eurostat EB products IEA'!$A$4:$BN$4, 0)
     )
     * $L91:$U91,
     0
  )
)</f>
        <v>0</v>
      </c>
      <c r="AZ91" s="57" cm="1">
        <f t="array" ref="AZ91">SUMPRODUCT(
  IF($B91:$K91&lt;&gt;"",
     INDEX('Eurostat EB products IEA'!$A$4:$BN$135,
           MATCH($B91:$K91, 'Eurostat EB products IEA'!$A$4:$A$135, 0),
           MATCH(AZ$1, 'Eurostat EB products IEA'!$A$4:$BN$4, 0)
     )
     * $L91:$U91,
     0
  )
)</f>
        <v>0</v>
      </c>
      <c r="BA91" s="57" cm="1">
        <f t="array" ref="BA91">SUMPRODUCT(
  IF($B91:$K91&lt;&gt;"",
     INDEX('Eurostat EB products IEA'!$A$4:$BN$135,
           MATCH($B91:$K91, 'Eurostat EB products IEA'!$A$4:$A$135, 0),
           MATCH(BA$1, 'Eurostat EB products IEA'!$A$4:$BN$4, 0)
     )
     * $L91:$U91,
     0
  )
)</f>
        <v>0</v>
      </c>
      <c r="BB91" s="57" cm="1">
        <f t="array" ref="BB91">SUMPRODUCT(
  IF($B91:$K91&lt;&gt;"",
     INDEX('Eurostat EB products IEA'!$A$4:$BN$135,
           MATCH($B91:$K91, 'Eurostat EB products IEA'!$A$4:$A$135, 0),
           MATCH(BB$1, 'Eurostat EB products IEA'!$A$4:$BN$4, 0)
     )
     * $L91:$U91,
     0
  )
)</f>
        <v>49.578000000000003</v>
      </c>
      <c r="BC91" s="57" cm="1">
        <f t="array" ref="BC91">SUMPRODUCT(
  IF($B91:$K91&lt;&gt;"",
     INDEX('Eurostat EB products IEA'!$A$4:$BN$135,
           MATCH($B91:$K91, 'Eurostat EB products IEA'!$A$4:$A$135, 0),
           MATCH(BC$1, 'Eurostat EB products IEA'!$A$4:$BN$4, 0)
     )
     * $L91:$U91,
     0
  )
)</f>
        <v>0</v>
      </c>
      <c r="BD91" s="57" cm="1">
        <f t="array" ref="BD91">SUMPRODUCT(
  IF($B91:$K91&lt;&gt;"",
     INDEX('Eurostat EB products IEA'!$A$4:$BN$135,
           MATCH($B91:$K91, 'Eurostat EB products IEA'!$A$4:$A$135, 0),
           MATCH(BD$1, 'Eurostat EB products IEA'!$A$4:$BN$4, 0)
     )
     * $L91:$U91,
     0
  )
)</f>
        <v>0</v>
      </c>
      <c r="BE91" s="57" cm="1">
        <f t="array" ref="BE91">SUMPRODUCT(
  IF($B91:$K91&lt;&gt;"",
     INDEX('Eurostat EB products IEA'!$A$4:$BN$135,
           MATCH($B91:$K91, 'Eurostat EB products IEA'!$A$4:$A$135, 0),
           MATCH(BE$1, 'Eurostat EB products IEA'!$A$4:$BN$4, 0)
     )
     * $L91:$U91,
     0
  )
)</f>
        <v>0</v>
      </c>
      <c r="BF91" s="57" cm="1">
        <f t="array" ref="BF91">SUMPRODUCT(
  IF($B91:$K91&lt;&gt;"",
     INDEX('Eurostat EB products IEA'!$A$4:$BN$135,
           MATCH($B91:$K91, 'Eurostat EB products IEA'!$A$4:$A$135, 0),
           MATCH(BF$1, 'Eurostat EB products IEA'!$A$4:$BN$4, 0)
     )
     * $L91:$U91,
     0
  )
)</f>
        <v>0</v>
      </c>
      <c r="BG91" s="57" cm="1">
        <f t="array" ref="BG91">SUMPRODUCT(
  IF($B91:$K91&lt;&gt;"",
     INDEX('Eurostat EB products IEA'!$A$4:$BN$135,
           MATCH($B91:$K91, 'Eurostat EB products IEA'!$A$4:$A$135, 0),
           MATCH(BG$1, 'Eurostat EB products IEA'!$A$4:$BN$4, 0)
     )
     * $L91:$U91,
     0
  )
)</f>
        <v>0</v>
      </c>
      <c r="BH91" s="57" cm="1">
        <f t="array" ref="BH91">SUMPRODUCT(
  IF($B91:$K91&lt;&gt;"",
     INDEX('Eurostat EB products IEA'!$A$4:$BN$135,
           MATCH($B91:$K91, 'Eurostat EB products IEA'!$A$4:$A$135, 0),
           MATCH(BH$1, 'Eurostat EB products IEA'!$A$4:$BN$4, 0)
     )
     * $L91:$U91,
     0
  )
)</f>
        <v>0</v>
      </c>
      <c r="BI91" s="57" cm="1">
        <f t="array" ref="BI91">SUMPRODUCT(
  IF($B91:$K91&lt;&gt;"",
     INDEX('Eurostat EB products IEA'!$A$4:$BN$135,
           MATCH($B91:$K91, 'Eurostat EB products IEA'!$A$4:$A$135, 0),
           MATCH(BI$1, 'Eurostat EB products IEA'!$A$4:$BN$4, 0)
     )
     * $L91:$U91,
     0
  )
)</f>
        <v>0</v>
      </c>
      <c r="BJ91" s="57" cm="1">
        <f t="array" ref="BJ91">SUMPRODUCT(
  IF($B91:$K91&lt;&gt;"",
     INDEX('Eurostat EB products IEA'!$A$4:$BN$135,
           MATCH($B91:$K91, 'Eurostat EB products IEA'!$A$4:$A$135, 0),
           MATCH(BJ$1, 'Eurostat EB products IEA'!$A$4:$BN$4, 0)
     )
     * $L91:$U91,
     0
  )
)</f>
        <v>3.6999999999999998E-2</v>
      </c>
      <c r="BK91" s="57" cm="1">
        <f t="array" ref="BK91">SUMPRODUCT(
  IF($B91:$K91&lt;&gt;"",
     INDEX('Eurostat EB products IEA'!$A$4:$BN$135,
           MATCH($B91:$K91, 'Eurostat EB products IEA'!$A$4:$A$135, 0),
           MATCH(BK$1, 'Eurostat EB products IEA'!$A$4:$BN$4, 0)
     )
     * $L91:$U91,
     0
  )
)</f>
        <v>582.75099999999998</v>
      </c>
      <c r="BL91" s="57" cm="1">
        <f t="array" ref="BL91">SUMPRODUCT(
  IF($B91:$K91&lt;&gt;"",
     INDEX('Eurostat EB products IEA'!$A$4:$BN$135,
           MATCH($B91:$K91, 'Eurostat EB products IEA'!$A$4:$A$135, 0),
           MATCH(BL$1, 'Eurostat EB products IEA'!$A$4:$BN$4, 0)
     )
     * $L91:$U91,
     0
  )
)</f>
        <v>7935.817</v>
      </c>
      <c r="BM91" s="57" cm="1">
        <f t="array" ref="BM91">SUMPRODUCT(
  IF($B91:$K91&lt;&gt;"",
     INDEX('Eurostat EB products IEA'!$A$4:$BN$135,
           MATCH($B91:$K91, 'Eurostat EB products IEA'!$A$4:$A$135, 0),
           MATCH(BM$1, 'Eurostat EB products IEA'!$A$4:$BN$4, 0)
     )
     * $L91:$U91,
     0
  )
)</f>
        <v>7037.4219999999996</v>
      </c>
      <c r="BN91" s="57" cm="1">
        <f t="array" ref="BN91">SUMPRODUCT(
  IF($B91:$K91&lt;&gt;"",
     INDEX('Eurostat EB products IEA'!$A$4:$BN$135,
           MATCH($B91:$K91, 'Eurostat EB products IEA'!$A$4:$A$135, 0),
           MATCH(BN$1, 'Eurostat EB products IEA'!$A$4:$BN$4, 0)
     )
     * $L91:$U91,
     0
  )
)</f>
        <v>11795.485000000001</v>
      </c>
      <c r="BO91" s="57" cm="1">
        <f t="array" ref="BO91">SUMPRODUCT(
  IF($B91:$K91&lt;&gt;"",
     INDEX('Eurostat EB products IEA'!$A$4:$BN$135,
           MATCH($B91:$K91, 'Eurostat EB products IEA'!$A$4:$A$135, 0),
           MATCH(BO$1, 'Eurostat EB products IEA'!$A$4:$BN$4, 0)
     )
     * $L91:$U91,
     0
  )
)</f>
        <v>265.62299999999999</v>
      </c>
      <c r="BP91" s="57" cm="1">
        <f t="array" ref="BP91">SUMPRODUCT(
  IF($B91:$K91&lt;&gt;"",
     INDEX('Eurostat EB products IEA'!$A$4:$BN$135,
           MATCH($B91:$K91, 'Eurostat EB products IEA'!$A$4:$A$135, 0),
           MATCH(BP$1, 'Eurostat EB products IEA'!$A$4:$BN$4, 0)
     )
     * $L91:$U91,
     0
  )
)</f>
        <v>0</v>
      </c>
      <c r="BQ91" s="57" cm="1">
        <f t="array" ref="BQ91">SUMPRODUCT(
  IF($B91:$K91&lt;&gt;"",
     INDEX('Eurostat EB products IEA'!$A$4:$BN$135,
           MATCH($B91:$K91, 'Eurostat EB products IEA'!$A$4:$A$135, 0),
           MATCH(BQ$1, 'Eurostat EB products IEA'!$A$4:$BN$4, 0)
     )
     * $L91:$U91,
     0
  )
)</f>
        <v>0</v>
      </c>
      <c r="BR91" s="57" cm="1">
        <f t="array" ref="BR91">SUMPRODUCT(
  IF($B91:$K91&lt;&gt;"",
     INDEX('Eurostat EB products IEA'!$A$4:$BN$135,
           MATCH($B91:$K91, 'Eurostat EB products IEA'!$A$4:$A$135, 0),
           MATCH(BR$1, 'Eurostat EB products IEA'!$A$4:$BN$4, 0)
     )
     * $L91:$U91,
     0
  )
)</f>
        <v>0</v>
      </c>
      <c r="BS91" s="65">
        <v>0</v>
      </c>
      <c r="BT91" s="57" cm="1">
        <f t="array" ref="BT91">SUMPRODUCT(
  IF($B91:$K91&lt;&gt;"",
     INDEX('Eurostat EB products IEA'!$A$4:$BN$135,
           MATCH($B91:$K91, 'Eurostat EB products IEA'!$A$4:$A$135, 0),
           MATCH(BT$1, 'Eurostat EB products IEA'!$A$4:$BN$4, 0)
     )
     * $L91:$U91,
     0
  )
)</f>
        <v>0</v>
      </c>
      <c r="BU91" s="65">
        <v>0</v>
      </c>
      <c r="BV91" s="65">
        <v>0</v>
      </c>
      <c r="BW91" s="57" cm="1">
        <f t="array" ref="BW91">SUMPRODUCT(
  IF($B91:$K91&lt;&gt;"",
     INDEX('Eurostat EB products IEA'!$A$4:$BN$135,
           MATCH($B91:$K91, 'Eurostat EB products IEA'!$A$4:$A$135, 0),
           MATCH(BW$1, 'Eurostat EB products IEA'!$A$4:$BN$4, 0)
     )
     * $L91:$U91,
     0
  )
)</f>
        <v>0</v>
      </c>
      <c r="BX91" s="57" cm="1">
        <f t="array" ref="BX91">SUMPRODUCT(
  IF($B91:$K91&lt;&gt;"",
     INDEX('Eurostat EB products IEA'!$A$4:$BN$135,
           MATCH($B91:$K91, 'Eurostat EB products IEA'!$A$4:$A$135, 0),
           MATCH(BX$1, 'Eurostat EB products IEA'!$A$4:$BN$4, 0)
     )
     * $L91:$U91,
     0
  )
)</f>
        <v>0</v>
      </c>
      <c r="BY91" s="57" cm="1">
        <f t="array" ref="BY91">SUMPRODUCT(
  IF($B91:$K91&lt;&gt;"",
     INDEX('Eurostat EB products IEA'!$A$4:$BN$135,
           MATCH($B91:$K91, 'Eurostat EB products IEA'!$A$4:$A$135, 0),
           MATCH(BY$1, 'Eurostat EB products IEA'!$A$4:$BN$4, 0)
     )
     * $L91:$U91,
     0
  )
)</f>
        <v>0</v>
      </c>
      <c r="BZ91" s="57" cm="1">
        <f t="array" ref="BZ91">SUMPRODUCT(
  IF($B91:$K91&lt;&gt;"",
     INDEX('Eurostat EB products IEA'!$A$4:$BN$135,
           MATCH($B91:$K91, 'Eurostat EB products IEA'!$A$4:$A$135, 0),
           MATCH(BZ$1, 'Eurostat EB products IEA'!$A$4:$BN$4, 0)
     )
     * $L91:$U91,
     0
  )
)</f>
        <v>0</v>
      </c>
      <c r="CA91" s="57" cm="1">
        <f t="array" ref="CA91">SUMPRODUCT(
  IF($B91:$K91&lt;&gt;"",
     INDEX('Eurostat EB products IEA'!$A$4:$BN$135,
           MATCH($B91:$K91, 'Eurostat EB products IEA'!$A$4:$A$135, 0),
           MATCH(CA$1, 'Eurostat EB products IEA'!$A$4:$BN$4, 0)
     )
     * $L91:$U91,
     0
  )
)</f>
        <v>0</v>
      </c>
      <c r="CB91" s="57" cm="1">
        <f t="array" ref="CB91">SUMPRODUCT(
  IF($B91:$K91&lt;&gt;"",
     INDEX('Eurostat EB products IEA'!$A$4:$BN$135,
           MATCH($B91:$K91, 'Eurostat EB products IEA'!$A$4:$A$135, 0),
           MATCH(CB$1, 'Eurostat EB products IEA'!$A$4:$BN$4, 0)
     )
     * $L91:$U91,
     0
  )
)</f>
        <v>0</v>
      </c>
      <c r="CC91" s="57" cm="1">
        <f t="array" ref="CC91">SUMPRODUCT(
  IF($B91:$K91&lt;&gt;"",
     INDEX('Eurostat EB products IEA'!$A$4:$BN$135,
           MATCH($B91:$K91, 'Eurostat EB products IEA'!$A$4:$A$135, 0),
           MATCH(CC$1, 'Eurostat EB products IEA'!$A$4:$BN$4, 0)
     )
     * $L91:$U91,
     0
  )
)</f>
        <v>0</v>
      </c>
      <c r="CD91" s="65">
        <v>0</v>
      </c>
      <c r="CE91" s="57" cm="1">
        <f t="array" ref="CE91">SUMPRODUCT(
  IF($B91:$K91&lt;&gt;"",
     INDEX('Eurostat EB products IEA'!$A$4:$BN$135,
           MATCH($B91:$K91, 'Eurostat EB products IEA'!$A$4:$A$135, 0),
           MATCH(CE$1, 'Eurostat EB products IEA'!$A$4:$BN$4, 0)
     )
     * $L91:$U91,
     0
  )
)</f>
        <v>0</v>
      </c>
      <c r="CF91" s="57" cm="1">
        <f t="array" ref="CF91">SUMPRODUCT(
  IF($B91:$K91&lt;&gt;"",
     INDEX('Eurostat EB products IEA'!$A$4:$BN$135,
           MATCH($B91:$K91, 'Eurostat EB products IEA'!$A$4:$A$135, 0),
           MATCH(CF$1, 'Eurostat EB products IEA'!$A$4:$BN$4, 0)
     )
     * $L91:$U91,
     0
  )
)</f>
        <v>0</v>
      </c>
      <c r="CG91" s="57" cm="1">
        <f t="array" ref="CG91">SUMPRODUCT(
  IF($B91:$K91&lt;&gt;"",
     INDEX('Eurostat EB products IEA'!$A$4:$BN$135,
           MATCH($B91:$K91, 'Eurostat EB products IEA'!$A$4:$A$135, 0),
           MATCH(CG$1, 'Eurostat EB products IEA'!$A$4:$BN$4, 0)
     )
     * $L91:$U91,
     0
  )
)</f>
        <v>93299.153999999995</v>
      </c>
      <c r="CH91" s="57" cm="1">
        <f t="array" ref="CH91">SUMPRODUCT(
  IF($B91:$K91&lt;&gt;"",
     INDEX('Eurostat EB products IEA'!$A$4:$BN$135,
           MATCH($B91:$K91, 'Eurostat EB products IEA'!$A$4:$A$135, 0),
           MATCH(CH$1, 'Eurostat EB products IEA'!$A$4:$BN$4, 0)
     )
     * $L91:$U91,
     0
  )
)</f>
        <v>20480.962</v>
      </c>
    </row>
    <row r="92" spans="1:86" x14ac:dyDescent="0.2">
      <c r="A92" t="s">
        <v>197</v>
      </c>
      <c r="B92" s="75"/>
      <c r="C92" s="77"/>
      <c r="D92" s="75"/>
      <c r="E92" s="77"/>
      <c r="F92" s="75"/>
      <c r="G92" s="77"/>
      <c r="H92" s="75"/>
      <c r="I92" s="77"/>
      <c r="J92" s="74"/>
      <c r="K92" s="78" t="s">
        <v>318</v>
      </c>
      <c r="L92" s="76"/>
      <c r="M92" s="79"/>
      <c r="N92" s="76"/>
      <c r="O92" s="79"/>
      <c r="P92" s="76"/>
      <c r="Q92" s="79"/>
      <c r="R92" s="76"/>
      <c r="S92" s="79"/>
      <c r="T92" s="76"/>
      <c r="U92" s="79">
        <v>1</v>
      </c>
      <c r="V92" s="65" t="s">
        <v>323</v>
      </c>
      <c r="W92" s="65" t="s">
        <v>323</v>
      </c>
      <c r="X92" s="17" cm="1">
        <f t="array" ref="X92">SUMPRODUCT(
  IF($B92:$K92&lt;&gt;"",
     INDEX('Eurostat EB products IEA'!$A$4:$BN$135,
           MATCH($B92:$K92, 'Eurostat EB products IEA'!$A$4:$A$135, 0),
           MATCH(X$1, 'Eurostat EB products IEA'!$A$4:$BN$4, 0)
     )
     * $L92:$U92,
     0
  )
)</f>
        <v>0</v>
      </c>
      <c r="Y92" s="17" cm="1">
        <f t="array" ref="Y92">SUMPRODUCT(
  IF($B92:$K92&lt;&gt;"",
     INDEX('Eurostat EB products IEA'!$A$4:$BN$135,
           MATCH($B92:$K92, 'Eurostat EB products IEA'!$A$4:$A$135, 0),
           MATCH(Y$1, 'Eurostat EB products IEA'!$A$4:$BN$4, 0)
     )
     * $L92:$U92,
     0
  )
)</f>
        <v>0</v>
      </c>
      <c r="Z92" s="17" cm="1">
        <f t="array" ref="Z92">SUMPRODUCT(
  IF($B92:$K92&lt;&gt;"",
     INDEX('Eurostat EB products IEA'!$A$4:$BN$135,
           MATCH($B92:$K92, 'Eurostat EB products IEA'!$A$4:$A$135, 0),
           MATCH(Z$1, 'Eurostat EB products IEA'!$A$4:$BN$4, 0)
     )
     * $L92:$U92,
     0
  )
)</f>
        <v>749.7</v>
      </c>
      <c r="AA92" s="17" cm="1">
        <f t="array" ref="AA92">SUMPRODUCT(
  IF($B92:$K92&lt;&gt;"",
     INDEX('Eurostat EB products IEA'!$A$4:$BN$135,
           MATCH($B92:$K92, 'Eurostat EB products IEA'!$A$4:$A$135, 0),
           MATCH(AA$1, 'Eurostat EB products IEA'!$A$4:$BN$4, 0)
     )
     * $L92:$U92,
     0
  )
)</f>
        <v>0</v>
      </c>
      <c r="AB92" s="17" cm="1">
        <f t="array" ref="AB92">SUMPRODUCT(
  IF($B92:$K92&lt;&gt;"",
     INDEX('Eurostat EB products IEA'!$A$4:$BN$135,
           MATCH($B92:$K92, 'Eurostat EB products IEA'!$A$4:$A$135, 0),
           MATCH(AB$1, 'Eurostat EB products IEA'!$A$4:$BN$4, 0)
     )
     * $L92:$U92,
     0
  )
)</f>
        <v>0</v>
      </c>
      <c r="AC92" s="17" cm="1">
        <f t="array" ref="AC92">SUMPRODUCT(
  IF($B92:$K92&lt;&gt;"",
     INDEX('Eurostat EB products IEA'!$A$4:$BN$135,
           MATCH($B92:$K92, 'Eurostat EB products IEA'!$A$4:$A$135, 0),
           MATCH(AC$1, 'Eurostat EB products IEA'!$A$4:$BN$4, 0)
     )
     * $L92:$U92,
     0
  )
)</f>
        <v>0</v>
      </c>
      <c r="AD92" s="17" cm="1">
        <f t="array" ref="AD92">SUMPRODUCT(
  IF($B92:$K92&lt;&gt;"",
     INDEX('Eurostat EB products IEA'!$A$4:$BN$135,
           MATCH($B92:$K92, 'Eurostat EB products IEA'!$A$4:$A$135, 0),
           MATCH(AD$1, 'Eurostat EB products IEA'!$A$4:$BN$4, 0)
     )
     * $L92:$U92,
     0
  )
)</f>
        <v>0</v>
      </c>
      <c r="AE92" s="17" cm="1">
        <f t="array" ref="AE92">SUMPRODUCT(
  IF($B92:$K92&lt;&gt;"",
     INDEX('Eurostat EB products IEA'!$A$4:$BN$135,
           MATCH($B92:$K92, 'Eurostat EB products IEA'!$A$4:$A$135, 0),
           MATCH(AE$1, 'Eurostat EB products IEA'!$A$4:$BN$4, 0)
     )
     * $L92:$U92,
     0
  )
)</f>
        <v>0</v>
      </c>
      <c r="AF92" s="17" cm="1">
        <f t="array" ref="AF92">SUMPRODUCT(
  IF($B92:$K92&lt;&gt;"",
     INDEX('Eurostat EB products IEA'!$A$4:$BN$135,
           MATCH($B92:$K92, 'Eurostat EB products IEA'!$A$4:$A$135, 0),
           MATCH(AF$1, 'Eurostat EB products IEA'!$A$4:$BN$4, 0)
     )
     * $L92:$U92,
     0
  )
)</f>
        <v>0</v>
      </c>
      <c r="AG92" s="17" cm="1">
        <f t="array" ref="AG92">SUMPRODUCT(
  IF($B92:$K92&lt;&gt;"",
     INDEX('Eurostat EB products IEA'!$A$4:$BN$135,
           MATCH($B92:$K92, 'Eurostat EB products IEA'!$A$4:$A$135, 0),
           MATCH(AG$1, 'Eurostat EB products IEA'!$A$4:$BN$4, 0)
     )
     * $L92:$U92,
     0
  )
)</f>
        <v>0</v>
      </c>
      <c r="AH92" s="17" cm="1">
        <f t="array" ref="AH92">SUMPRODUCT(
  IF($B92:$K92&lt;&gt;"",
     INDEX('Eurostat EB products IEA'!$A$4:$BN$135,
           MATCH($B92:$K92, 'Eurostat EB products IEA'!$A$4:$A$135, 0),
           MATCH(AH$1, 'Eurostat EB products IEA'!$A$4:$BN$4, 0)
     )
     * $L92:$U92,
     0
  )
)</f>
        <v>0</v>
      </c>
      <c r="AI92" s="17" cm="1">
        <f t="array" ref="AI92">SUMPRODUCT(
  IF($B92:$K92&lt;&gt;"",
     INDEX('Eurostat EB products IEA'!$A$4:$BN$135,
           MATCH($B92:$K92, 'Eurostat EB products IEA'!$A$4:$A$135, 0),
           MATCH(AI$1, 'Eurostat EB products IEA'!$A$4:$BN$4, 0)
     )
     * $L92:$U92,
     0
  )
)</f>
        <v>1E-3</v>
      </c>
      <c r="AJ92" s="17" cm="1">
        <f t="array" ref="AJ92">SUMPRODUCT(
  IF($B92:$K92&lt;&gt;"",
     INDEX('Eurostat EB products IEA'!$A$4:$BN$135,
           MATCH($B92:$K92, 'Eurostat EB products IEA'!$A$4:$A$135, 0),
           MATCH(AJ$1, 'Eurostat EB products IEA'!$A$4:$BN$4, 0)
     )
     * $L92:$U92,
     0
  )
)</f>
        <v>37.17</v>
      </c>
      <c r="AK92" s="17" cm="1">
        <f t="array" ref="AK92">SUMPRODUCT(
  IF($B92:$K92&lt;&gt;"",
     INDEX('Eurostat EB products IEA'!$A$4:$BN$135,
           MATCH($B92:$K92, 'Eurostat EB products IEA'!$A$4:$A$135, 0),
           MATCH(AK$1, 'Eurostat EB products IEA'!$A$4:$BN$4, 0)
     )
     * $L92:$U92,
     0
  )
)</f>
        <v>0</v>
      </c>
      <c r="AL92" s="17" cm="1">
        <f t="array" ref="AL92">SUMPRODUCT(
  IF($B92:$K92&lt;&gt;"",
     INDEX('Eurostat EB products IEA'!$A$4:$BN$135,
           MATCH($B92:$K92, 'Eurostat EB products IEA'!$A$4:$A$135, 0),
           MATCH(AL$1, 'Eurostat EB products IEA'!$A$4:$BN$4, 0)
     )
     * $L92:$U92,
     0
  )
)</f>
        <v>0</v>
      </c>
      <c r="AM92" s="17" cm="1">
        <f t="array" ref="AM92">SUMPRODUCT(
  IF($B92:$K92&lt;&gt;"",
     INDEX('Eurostat EB products IEA'!$A$4:$BN$135,
           MATCH($B92:$K92, 'Eurostat EB products IEA'!$A$4:$A$135, 0),
           MATCH(AM$1, 'Eurostat EB products IEA'!$A$4:$BN$4, 0)
     )
     * $L92:$U92,
     0
  )
)</f>
        <v>25666.042000000001</v>
      </c>
      <c r="AN92" s="65" t="s">
        <v>323</v>
      </c>
      <c r="AO92" s="17" cm="1">
        <f t="array" ref="AO92">SUMPRODUCT(
  IF($B92:$K92&lt;&gt;"",
     INDEX('Eurostat EB products IEA'!$A$4:$BN$135,
           MATCH($B92:$K92, 'Eurostat EB products IEA'!$A$4:$A$135, 0),
           MATCH(AO$1, 'Eurostat EB products IEA'!$A$4:$BN$4, 0)
     )
     * $L92:$U92,
     0
  )
)</f>
        <v>0</v>
      </c>
      <c r="AP92" s="17" cm="1">
        <f t="array" ref="AP92">SUMPRODUCT(
  IF($B92:$K92&lt;&gt;"",
     INDEX('Eurostat EB products IEA'!$A$4:$BN$135,
           MATCH($B92:$K92, 'Eurostat EB products IEA'!$A$4:$A$135, 0),
           MATCH(AP$1, 'Eurostat EB products IEA'!$A$4:$BN$4, 0)
     )
     * $L92:$U92,
     0
  )
)</f>
        <v>0</v>
      </c>
      <c r="AQ92" s="17" cm="1">
        <f t="array" ref="AQ92">SUMPRODUCT(
  IF($B92:$K92&lt;&gt;"",
     INDEX('Eurostat EB products IEA'!$A$4:$BN$135,
           MATCH($B92:$K92, 'Eurostat EB products IEA'!$A$4:$A$135, 0),
           MATCH(AQ$1, 'Eurostat EB products IEA'!$A$4:$BN$4, 0)
     )
     * $L92:$U92,
     0
  )
)</f>
        <v>0</v>
      </c>
      <c r="AR92" s="17" cm="1">
        <f t="array" ref="AR92">SUMPRODUCT(
  IF($B92:$K92&lt;&gt;"",
     INDEX('Eurostat EB products IEA'!$A$4:$BN$135,
           MATCH($B92:$K92, 'Eurostat EB products IEA'!$A$4:$A$135, 0),
           MATCH(AR$1, 'Eurostat EB products IEA'!$A$4:$BN$4, 0)
     )
     * $L92:$U92,
     0
  )
)</f>
        <v>0</v>
      </c>
      <c r="AS92" s="17" cm="1">
        <f t="array" ref="AS92">SUMPRODUCT(
  IF($B92:$K92&lt;&gt;"",
     INDEX('Eurostat EB products IEA'!$A$4:$BN$135,
           MATCH($B92:$K92, 'Eurostat EB products IEA'!$A$4:$A$135, 0),
           MATCH(AS$1, 'Eurostat EB products IEA'!$A$4:$BN$4, 0)
     )
     * $L92:$U92,
     0
  )
)</f>
        <v>0</v>
      </c>
      <c r="AT92" s="17" cm="1">
        <f t="array" ref="AT92">SUMPRODUCT(
  IF($B92:$K92&lt;&gt;"",
     INDEX('Eurostat EB products IEA'!$A$4:$BN$135,
           MATCH($B92:$K92, 'Eurostat EB products IEA'!$A$4:$A$135, 0),
           MATCH(AT$1, 'Eurostat EB products IEA'!$A$4:$BN$4, 0)
     )
     * $L92:$U92,
     0
  )
)</f>
        <v>0</v>
      </c>
      <c r="AU92" s="17" cm="1">
        <f t="array" ref="AU92">SUMPRODUCT(
  IF($B92:$K92&lt;&gt;"",
     INDEX('Eurostat EB products IEA'!$A$4:$BN$135,
           MATCH($B92:$K92, 'Eurostat EB products IEA'!$A$4:$A$135, 0),
           MATCH(AU$1, 'Eurostat EB products IEA'!$A$4:$BN$4, 0)
     )
     * $L92:$U92,
     0
  )
)</f>
        <v>0</v>
      </c>
      <c r="AV92" s="17" cm="1">
        <f t="array" ref="AV92">SUMPRODUCT(
  IF($B92:$K92&lt;&gt;"",
     INDEX('Eurostat EB products IEA'!$A$4:$BN$135,
           MATCH($B92:$K92, 'Eurostat EB products IEA'!$A$4:$A$135, 0),
           MATCH(AV$1, 'Eurostat EB products IEA'!$A$4:$BN$4, 0)
     )
     * $L92:$U92,
     0
  )
)</f>
        <v>0</v>
      </c>
      <c r="AW92" s="17" cm="1">
        <f t="array" ref="AW92">SUMPRODUCT(
  IF($B92:$K92&lt;&gt;"",
     INDEX('Eurostat EB products IEA'!$A$4:$BN$135,
           MATCH($B92:$K92, 'Eurostat EB products IEA'!$A$4:$A$135, 0),
           MATCH(AW$1, 'Eurostat EB products IEA'!$A$4:$BN$4, 0)
     )
     * $L92:$U92,
     0
  )
)</f>
        <v>0</v>
      </c>
      <c r="AX92" s="17" cm="1">
        <f t="array" ref="AX92">SUMPRODUCT(
  IF($B92:$K92&lt;&gt;"",
     INDEX('Eurostat EB products IEA'!$A$4:$BN$135,
           MATCH($B92:$K92, 'Eurostat EB products IEA'!$A$4:$A$135, 0),
           MATCH(AX$1, 'Eurostat EB products IEA'!$A$4:$BN$4, 0)
     )
     * $L92:$U92,
     0
  )
)</f>
        <v>0</v>
      </c>
      <c r="AY92" s="17" cm="1">
        <f t="array" ref="AY92">SUMPRODUCT(
  IF($B92:$K92&lt;&gt;"",
     INDEX('Eurostat EB products IEA'!$A$4:$BN$135,
           MATCH($B92:$K92, 'Eurostat EB products IEA'!$A$4:$A$135, 0),
           MATCH(AY$1, 'Eurostat EB products IEA'!$A$4:$BN$4, 0)
     )
     * $L92:$U92,
     0
  )
)</f>
        <v>0</v>
      </c>
      <c r="AZ92" s="17" cm="1">
        <f t="array" ref="AZ92">SUMPRODUCT(
  IF($B92:$K92&lt;&gt;"",
     INDEX('Eurostat EB products IEA'!$A$4:$BN$135,
           MATCH($B92:$K92, 'Eurostat EB products IEA'!$A$4:$A$135, 0),
           MATCH(AZ$1, 'Eurostat EB products IEA'!$A$4:$BN$4, 0)
     )
     * $L92:$U92,
     0
  )
)</f>
        <v>0</v>
      </c>
      <c r="BA92" s="17" cm="1">
        <f t="array" ref="BA92">SUMPRODUCT(
  IF($B92:$K92&lt;&gt;"",
     INDEX('Eurostat EB products IEA'!$A$4:$BN$135,
           MATCH($B92:$K92, 'Eurostat EB products IEA'!$A$4:$A$135, 0),
           MATCH(BA$1, 'Eurostat EB products IEA'!$A$4:$BN$4, 0)
     )
     * $L92:$U92,
     0
  )
)</f>
        <v>0</v>
      </c>
      <c r="BB92" s="17" cm="1">
        <f t="array" ref="BB92">SUMPRODUCT(
  IF($B92:$K92&lt;&gt;"",
     INDEX('Eurostat EB products IEA'!$A$4:$BN$135,
           MATCH($B92:$K92, 'Eurostat EB products IEA'!$A$4:$A$135, 0),
           MATCH(BB$1, 'Eurostat EB products IEA'!$A$4:$BN$4, 0)
     )
     * $L92:$U92,
     0
  )
)</f>
        <v>3.597</v>
      </c>
      <c r="BC92" s="17" cm="1">
        <f t="array" ref="BC92">SUMPRODUCT(
  IF($B92:$K92&lt;&gt;"",
     INDEX('Eurostat EB products IEA'!$A$4:$BN$135,
           MATCH($B92:$K92, 'Eurostat EB products IEA'!$A$4:$A$135, 0),
           MATCH(BC$1, 'Eurostat EB products IEA'!$A$4:$BN$4, 0)
     )
     * $L92:$U92,
     0
  )
)</f>
        <v>0</v>
      </c>
      <c r="BD92" s="17" cm="1">
        <f t="array" ref="BD92">SUMPRODUCT(
  IF($B92:$K92&lt;&gt;"",
     INDEX('Eurostat EB products IEA'!$A$4:$BN$135,
           MATCH($B92:$K92, 'Eurostat EB products IEA'!$A$4:$A$135, 0),
           MATCH(BD$1, 'Eurostat EB products IEA'!$A$4:$BN$4, 0)
     )
     * $L92:$U92,
     0
  )
)</f>
        <v>0</v>
      </c>
      <c r="BE92" s="17" cm="1">
        <f t="array" ref="BE92">SUMPRODUCT(
  IF($B92:$K92&lt;&gt;"",
     INDEX('Eurostat EB products IEA'!$A$4:$BN$135,
           MATCH($B92:$K92, 'Eurostat EB products IEA'!$A$4:$A$135, 0),
           MATCH(BE$1, 'Eurostat EB products IEA'!$A$4:$BN$4, 0)
     )
     * $L92:$U92,
     0
  )
)</f>
        <v>0</v>
      </c>
      <c r="BF92" s="17" cm="1">
        <f t="array" ref="BF92">SUMPRODUCT(
  IF($B92:$K92&lt;&gt;"",
     INDEX('Eurostat EB products IEA'!$A$4:$BN$135,
           MATCH($B92:$K92, 'Eurostat EB products IEA'!$A$4:$A$135, 0),
           MATCH(BF$1, 'Eurostat EB products IEA'!$A$4:$BN$4, 0)
     )
     * $L92:$U92,
     0
  )
)</f>
        <v>0</v>
      </c>
      <c r="BG92" s="17" cm="1">
        <f t="array" ref="BG92">SUMPRODUCT(
  IF($B92:$K92&lt;&gt;"",
     INDEX('Eurostat EB products IEA'!$A$4:$BN$135,
           MATCH($B92:$K92, 'Eurostat EB products IEA'!$A$4:$A$135, 0),
           MATCH(BG$1, 'Eurostat EB products IEA'!$A$4:$BN$4, 0)
     )
     * $L92:$U92,
     0
  )
)</f>
        <v>0</v>
      </c>
      <c r="BH92" s="17" cm="1">
        <f t="array" ref="BH92">SUMPRODUCT(
  IF($B92:$K92&lt;&gt;"",
     INDEX('Eurostat EB products IEA'!$A$4:$BN$135,
           MATCH($B92:$K92, 'Eurostat EB products IEA'!$A$4:$A$135, 0),
           MATCH(BH$1, 'Eurostat EB products IEA'!$A$4:$BN$4, 0)
     )
     * $L92:$U92,
     0
  )
)</f>
        <v>0</v>
      </c>
      <c r="BI92" s="17" cm="1">
        <f t="array" ref="BI92">SUMPRODUCT(
  IF($B92:$K92&lt;&gt;"",
     INDEX('Eurostat EB products IEA'!$A$4:$BN$135,
           MATCH($B92:$K92, 'Eurostat EB products IEA'!$A$4:$A$135, 0),
           MATCH(BI$1, 'Eurostat EB products IEA'!$A$4:$BN$4, 0)
     )
     * $L92:$U92,
     0
  )
)</f>
        <v>0</v>
      </c>
      <c r="BJ92" s="17" cm="1">
        <f t="array" ref="BJ92">SUMPRODUCT(
  IF($B92:$K92&lt;&gt;"",
     INDEX('Eurostat EB products IEA'!$A$4:$BN$135,
           MATCH($B92:$K92, 'Eurostat EB products IEA'!$A$4:$A$135, 0),
           MATCH(BJ$1, 'Eurostat EB products IEA'!$A$4:$BN$4, 0)
     )
     * $L92:$U92,
     0
  )
)</f>
        <v>0</v>
      </c>
      <c r="BK92" s="17" cm="1">
        <f t="array" ref="BK92">SUMPRODUCT(
  IF($B92:$K92&lt;&gt;"",
     INDEX('Eurostat EB products IEA'!$A$4:$BN$135,
           MATCH($B92:$K92, 'Eurostat EB products IEA'!$A$4:$A$135, 0),
           MATCH(BK$1, 'Eurostat EB products IEA'!$A$4:$BN$4, 0)
     )
     * $L92:$U92,
     0
  )
)</f>
        <v>3.51</v>
      </c>
      <c r="BL92" s="17" cm="1">
        <f t="array" ref="BL92">SUMPRODUCT(
  IF($B92:$K92&lt;&gt;"",
     INDEX('Eurostat EB products IEA'!$A$4:$BN$135,
           MATCH($B92:$K92, 'Eurostat EB products IEA'!$A$4:$A$135, 0),
           MATCH(BL$1, 'Eurostat EB products IEA'!$A$4:$BN$4, 0)
     )
     * $L92:$U92,
     0
  )
)</f>
        <v>0</v>
      </c>
      <c r="BM92" s="17" cm="1">
        <f t="array" ref="BM92">SUMPRODUCT(
  IF($B92:$K92&lt;&gt;"",
     INDEX('Eurostat EB products IEA'!$A$4:$BN$135,
           MATCH($B92:$K92, 'Eurostat EB products IEA'!$A$4:$A$135, 0),
           MATCH(BM$1, 'Eurostat EB products IEA'!$A$4:$BN$4, 0)
     )
     * $L92:$U92,
     0
  )
)</f>
        <v>0</v>
      </c>
      <c r="BN92" s="17" cm="1">
        <f t="array" ref="BN92">SUMPRODUCT(
  IF($B92:$K92&lt;&gt;"",
     INDEX('Eurostat EB products IEA'!$A$4:$BN$135,
           MATCH($B92:$K92, 'Eurostat EB products IEA'!$A$4:$A$135, 0),
           MATCH(BN$1, 'Eurostat EB products IEA'!$A$4:$BN$4, 0)
     )
     * $L92:$U92,
     0
  )
)</f>
        <v>5269.0519999999997</v>
      </c>
      <c r="BO92" s="17" cm="1">
        <f t="array" ref="BO92">SUMPRODUCT(
  IF($B92:$K92&lt;&gt;"",
     INDEX('Eurostat EB products IEA'!$A$4:$BN$135,
           MATCH($B92:$K92, 'Eurostat EB products IEA'!$A$4:$A$135, 0),
           MATCH(BO$1, 'Eurostat EB products IEA'!$A$4:$BN$4, 0)
     )
     * $L92:$U92,
     0
  )
)</f>
        <v>77.602999999999994</v>
      </c>
      <c r="BP92" s="17" cm="1">
        <f t="array" ref="BP92">SUMPRODUCT(
  IF($B92:$K92&lt;&gt;"",
     INDEX('Eurostat EB products IEA'!$A$4:$BN$135,
           MATCH($B92:$K92, 'Eurostat EB products IEA'!$A$4:$A$135, 0),
           MATCH(BP$1, 'Eurostat EB products IEA'!$A$4:$BN$4, 0)
     )
     * $L92:$U92,
     0
  )
)</f>
        <v>0</v>
      </c>
      <c r="BQ92" s="17" cm="1">
        <f t="array" ref="BQ92">SUMPRODUCT(
  IF($B92:$K92&lt;&gt;"",
     INDEX('Eurostat EB products IEA'!$A$4:$BN$135,
           MATCH($B92:$K92, 'Eurostat EB products IEA'!$A$4:$A$135, 0),
           MATCH(BQ$1, 'Eurostat EB products IEA'!$A$4:$BN$4, 0)
     )
     * $L92:$U92,
     0
  )
)</f>
        <v>0</v>
      </c>
      <c r="BR92" s="17" cm="1">
        <f t="array" ref="BR92">SUMPRODUCT(
  IF($B92:$K92&lt;&gt;"",
     INDEX('Eurostat EB products IEA'!$A$4:$BN$135,
           MATCH($B92:$K92, 'Eurostat EB products IEA'!$A$4:$A$135, 0),
           MATCH(BR$1, 'Eurostat EB products IEA'!$A$4:$BN$4, 0)
     )
     * $L92:$U92,
     0
  )
)</f>
        <v>0</v>
      </c>
      <c r="BS92" s="65">
        <v>0</v>
      </c>
      <c r="BT92" s="17" cm="1">
        <f t="array" ref="BT92">SUMPRODUCT(
  IF($B92:$K92&lt;&gt;"",
     INDEX('Eurostat EB products IEA'!$A$4:$BN$135,
           MATCH($B92:$K92, 'Eurostat EB products IEA'!$A$4:$A$135, 0),
           MATCH(BT$1, 'Eurostat EB products IEA'!$A$4:$BN$4, 0)
     )
     * $L92:$U92,
     0
  )
)</f>
        <v>0</v>
      </c>
      <c r="BU92" s="65">
        <v>0</v>
      </c>
      <c r="BV92" s="65">
        <v>0</v>
      </c>
      <c r="BW92" s="17" cm="1">
        <f t="array" ref="BW92">SUMPRODUCT(
  IF($B92:$K92&lt;&gt;"",
     INDEX('Eurostat EB products IEA'!$A$4:$BN$135,
           MATCH($B92:$K92, 'Eurostat EB products IEA'!$A$4:$A$135, 0),
           MATCH(BW$1, 'Eurostat EB products IEA'!$A$4:$BN$4, 0)
     )
     * $L92:$U92,
     0
  )
)</f>
        <v>0</v>
      </c>
      <c r="BX92" s="17" cm="1">
        <f t="array" ref="BX92">SUMPRODUCT(
  IF($B92:$K92&lt;&gt;"",
     INDEX('Eurostat EB products IEA'!$A$4:$BN$135,
           MATCH($B92:$K92, 'Eurostat EB products IEA'!$A$4:$A$135, 0),
           MATCH(BX$1, 'Eurostat EB products IEA'!$A$4:$BN$4, 0)
     )
     * $L92:$U92,
     0
  )
)</f>
        <v>0</v>
      </c>
      <c r="BY92" s="17" cm="1">
        <f t="array" ref="BY92">SUMPRODUCT(
  IF($B92:$K92&lt;&gt;"",
     INDEX('Eurostat EB products IEA'!$A$4:$BN$135,
           MATCH($B92:$K92, 'Eurostat EB products IEA'!$A$4:$A$135, 0),
           MATCH(BY$1, 'Eurostat EB products IEA'!$A$4:$BN$4, 0)
     )
     * $L92:$U92,
     0
  )
)</f>
        <v>0</v>
      </c>
      <c r="BZ92" s="17" cm="1">
        <f t="array" ref="BZ92">SUMPRODUCT(
  IF($B92:$K92&lt;&gt;"",
     INDEX('Eurostat EB products IEA'!$A$4:$BN$135,
           MATCH($B92:$K92, 'Eurostat EB products IEA'!$A$4:$A$135, 0),
           MATCH(BZ$1, 'Eurostat EB products IEA'!$A$4:$BN$4, 0)
     )
     * $L92:$U92,
     0
  )
)</f>
        <v>0</v>
      </c>
      <c r="CA92" s="17" cm="1">
        <f t="array" ref="CA92">SUMPRODUCT(
  IF($B92:$K92&lt;&gt;"",
     INDEX('Eurostat EB products IEA'!$A$4:$BN$135,
           MATCH($B92:$K92, 'Eurostat EB products IEA'!$A$4:$A$135, 0),
           MATCH(CA$1, 'Eurostat EB products IEA'!$A$4:$BN$4, 0)
     )
     * $L92:$U92,
     0
  )
)</f>
        <v>0</v>
      </c>
      <c r="CB92" s="17" cm="1">
        <f t="array" ref="CB92">SUMPRODUCT(
  IF($B92:$K92&lt;&gt;"",
     INDEX('Eurostat EB products IEA'!$A$4:$BN$135,
           MATCH($B92:$K92, 'Eurostat EB products IEA'!$A$4:$A$135, 0),
           MATCH(CB$1, 'Eurostat EB products IEA'!$A$4:$BN$4, 0)
     )
     * $L92:$U92,
     0
  )
)</f>
        <v>0</v>
      </c>
      <c r="CC92" s="17" cm="1">
        <f t="array" ref="CC92">SUMPRODUCT(
  IF($B92:$K92&lt;&gt;"",
     INDEX('Eurostat EB products IEA'!$A$4:$BN$135,
           MATCH($B92:$K92, 'Eurostat EB products IEA'!$A$4:$A$135, 0),
           MATCH(CC$1, 'Eurostat EB products IEA'!$A$4:$BN$4, 0)
     )
     * $L92:$U92,
     0
  )
)</f>
        <v>0</v>
      </c>
      <c r="CD92" s="65">
        <v>0</v>
      </c>
      <c r="CE92" s="17" cm="1">
        <f t="array" ref="CE92">SUMPRODUCT(
  IF($B92:$K92&lt;&gt;"",
     INDEX('Eurostat EB products IEA'!$A$4:$BN$135,
           MATCH($B92:$K92, 'Eurostat EB products IEA'!$A$4:$A$135, 0),
           MATCH(CE$1, 'Eurostat EB products IEA'!$A$4:$BN$4, 0)
     )
     * $L92:$U92,
     0
  )
)</f>
        <v>0</v>
      </c>
      <c r="CF92" s="17" cm="1">
        <f t="array" ref="CF92">SUMPRODUCT(
  IF($B92:$K92&lt;&gt;"",
     INDEX('Eurostat EB products IEA'!$A$4:$BN$135,
           MATCH($B92:$K92, 'Eurostat EB products IEA'!$A$4:$A$135, 0),
           MATCH(CF$1, 'Eurostat EB products IEA'!$A$4:$BN$4, 0)
     )
     * $L92:$U92,
     0
  )
)</f>
        <v>0</v>
      </c>
      <c r="CG92" s="17" cm="1">
        <f t="array" ref="CG92">SUMPRODUCT(
  IF($B92:$K92&lt;&gt;"",
     INDEX('Eurostat EB products IEA'!$A$4:$BN$135,
           MATCH($B92:$K92, 'Eurostat EB products IEA'!$A$4:$A$135, 0),
           MATCH(CG$1, 'Eurostat EB products IEA'!$A$4:$BN$4, 0)
     )
     * $L92:$U92,
     0
  )
)</f>
        <v>31806.674999999999</v>
      </c>
      <c r="CH92" s="17" cm="1">
        <f t="array" ref="CH92">SUMPRODUCT(
  IF($B92:$K92&lt;&gt;"",
     INDEX('Eurostat EB products IEA'!$A$4:$BN$135,
           MATCH($B92:$K92, 'Eurostat EB products IEA'!$A$4:$A$135, 0),
           MATCH(CH$1, 'Eurostat EB products IEA'!$A$4:$BN$4, 0)
     )
     * $L92:$U92,
     0
  )
)</f>
        <v>5609.55</v>
      </c>
    </row>
    <row r="93" spans="1:86" x14ac:dyDescent="0.2">
      <c r="A93" t="s">
        <v>198</v>
      </c>
      <c r="B93" s="75"/>
      <c r="C93" s="77"/>
      <c r="D93" s="75"/>
      <c r="E93" s="77"/>
      <c r="F93" s="75"/>
      <c r="G93" s="77"/>
      <c r="H93" s="75"/>
      <c r="I93" s="77"/>
      <c r="J93" s="74"/>
      <c r="K93" s="78" t="s">
        <v>320</v>
      </c>
      <c r="L93" s="76"/>
      <c r="M93" s="79"/>
      <c r="N93" s="76"/>
      <c r="O93" s="79"/>
      <c r="P93" s="76"/>
      <c r="Q93" s="79"/>
      <c r="R93" s="76"/>
      <c r="S93" s="79"/>
      <c r="T93" s="76"/>
      <c r="U93" s="79">
        <v>1</v>
      </c>
      <c r="V93" s="65" t="s">
        <v>323</v>
      </c>
      <c r="W93" s="65" t="s">
        <v>323</v>
      </c>
      <c r="X93" s="57" cm="1">
        <f t="array" ref="X93">SUMPRODUCT(
  IF($B93:$K93&lt;&gt;"",
     INDEX('Eurostat EB products IEA'!$A$4:$BN$135,
           MATCH($B93:$K93, 'Eurostat EB products IEA'!$A$4:$A$135, 0),
           MATCH(X$1, 'Eurostat EB products IEA'!$A$4:$BN$4, 0)
     )
     * $L93:$U93,
     0
  )
)</f>
        <v>0</v>
      </c>
      <c r="Y93" s="57" cm="1">
        <f t="array" ref="Y93">SUMPRODUCT(
  IF($B93:$K93&lt;&gt;"",
     INDEX('Eurostat EB products IEA'!$A$4:$BN$135,
           MATCH($B93:$K93, 'Eurostat EB products IEA'!$A$4:$A$135, 0),
           MATCH(Y$1, 'Eurostat EB products IEA'!$A$4:$BN$4, 0)
     )
     * $L93:$U93,
     0
  )
)</f>
        <v>0</v>
      </c>
      <c r="Z93" s="57" cm="1">
        <f t="array" ref="Z93">SUMPRODUCT(
  IF($B93:$K93&lt;&gt;"",
     INDEX('Eurostat EB products IEA'!$A$4:$BN$135,
           MATCH($B93:$K93, 'Eurostat EB products IEA'!$A$4:$A$135, 0),
           MATCH(Z$1, 'Eurostat EB products IEA'!$A$4:$BN$4, 0)
     )
     * $L93:$U93,
     0
  )
)</f>
        <v>0</v>
      </c>
      <c r="AA93" s="57" cm="1">
        <f t="array" ref="AA93">SUMPRODUCT(
  IF($B93:$K93&lt;&gt;"",
     INDEX('Eurostat EB products IEA'!$A$4:$BN$135,
           MATCH($B93:$K93, 'Eurostat EB products IEA'!$A$4:$A$135, 0),
           MATCH(AA$1, 'Eurostat EB products IEA'!$A$4:$BN$4, 0)
     )
     * $L93:$U93,
     0
  )
)</f>
        <v>0</v>
      </c>
      <c r="AB93" s="57" cm="1">
        <f t="array" ref="AB93">SUMPRODUCT(
  IF($B93:$K93&lt;&gt;"",
     INDEX('Eurostat EB products IEA'!$A$4:$BN$135,
           MATCH($B93:$K93, 'Eurostat EB products IEA'!$A$4:$A$135, 0),
           MATCH(AB$1, 'Eurostat EB products IEA'!$A$4:$BN$4, 0)
     )
     * $L93:$U93,
     0
  )
)</f>
        <v>0</v>
      </c>
      <c r="AC93" s="57" cm="1">
        <f t="array" ref="AC93">SUMPRODUCT(
  IF($B93:$K93&lt;&gt;"",
     INDEX('Eurostat EB products IEA'!$A$4:$BN$135,
           MATCH($B93:$K93, 'Eurostat EB products IEA'!$A$4:$A$135, 0),
           MATCH(AC$1, 'Eurostat EB products IEA'!$A$4:$BN$4, 0)
     )
     * $L93:$U93,
     0
  )
)</f>
        <v>0</v>
      </c>
      <c r="AD93" s="57" cm="1">
        <f t="array" ref="AD93">SUMPRODUCT(
  IF($B93:$K93&lt;&gt;"",
     INDEX('Eurostat EB products IEA'!$A$4:$BN$135,
           MATCH($B93:$K93, 'Eurostat EB products IEA'!$A$4:$A$135, 0),
           MATCH(AD$1, 'Eurostat EB products IEA'!$A$4:$BN$4, 0)
     )
     * $L93:$U93,
     0
  )
)</f>
        <v>0</v>
      </c>
      <c r="AE93" s="57" cm="1">
        <f t="array" ref="AE93">SUMPRODUCT(
  IF($B93:$K93&lt;&gt;"",
     INDEX('Eurostat EB products IEA'!$A$4:$BN$135,
           MATCH($B93:$K93, 'Eurostat EB products IEA'!$A$4:$A$135, 0),
           MATCH(AE$1, 'Eurostat EB products IEA'!$A$4:$BN$4, 0)
     )
     * $L93:$U93,
     0
  )
)</f>
        <v>0</v>
      </c>
      <c r="AF93" s="57" cm="1">
        <f t="array" ref="AF93">SUMPRODUCT(
  IF($B93:$K93&lt;&gt;"",
     INDEX('Eurostat EB products IEA'!$A$4:$BN$135,
           MATCH($B93:$K93, 'Eurostat EB products IEA'!$A$4:$A$135, 0),
           MATCH(AF$1, 'Eurostat EB products IEA'!$A$4:$BN$4, 0)
     )
     * $L93:$U93,
     0
  )
)</f>
        <v>0</v>
      </c>
      <c r="AG93" s="57" cm="1">
        <f t="array" ref="AG93">SUMPRODUCT(
  IF($B93:$K93&lt;&gt;"",
     INDEX('Eurostat EB products IEA'!$A$4:$BN$135,
           MATCH($B93:$K93, 'Eurostat EB products IEA'!$A$4:$A$135, 0),
           MATCH(AG$1, 'Eurostat EB products IEA'!$A$4:$BN$4, 0)
     )
     * $L93:$U93,
     0
  )
)</f>
        <v>0</v>
      </c>
      <c r="AH93" s="57" cm="1">
        <f t="array" ref="AH93">SUMPRODUCT(
  IF($B93:$K93&lt;&gt;"",
     INDEX('Eurostat EB products IEA'!$A$4:$BN$135,
           MATCH($B93:$K93, 'Eurostat EB products IEA'!$A$4:$A$135, 0),
           MATCH(AH$1, 'Eurostat EB products IEA'!$A$4:$BN$4, 0)
     )
     * $L93:$U93,
     0
  )
)</f>
        <v>0</v>
      </c>
      <c r="AI93" s="57" cm="1">
        <f t="array" ref="AI93">SUMPRODUCT(
  IF($B93:$K93&lt;&gt;"",
     INDEX('Eurostat EB products IEA'!$A$4:$BN$135,
           MATCH($B93:$K93, 'Eurostat EB products IEA'!$A$4:$A$135, 0),
           MATCH(AI$1, 'Eurostat EB products IEA'!$A$4:$BN$4, 0)
     )
     * $L93:$U93,
     0
  )
)</f>
        <v>24.747</v>
      </c>
      <c r="AJ93" s="57" cm="1">
        <f t="array" ref="AJ93">SUMPRODUCT(
  IF($B93:$K93&lt;&gt;"",
     INDEX('Eurostat EB products IEA'!$A$4:$BN$135,
           MATCH($B93:$K93, 'Eurostat EB products IEA'!$A$4:$A$135, 0),
           MATCH(AJ$1, 'Eurostat EB products IEA'!$A$4:$BN$4, 0)
     )
     * $L93:$U93,
     0
  )
)</f>
        <v>280.09199999999998</v>
      </c>
      <c r="AK93" s="57" cm="1">
        <f t="array" ref="AK93">SUMPRODUCT(
  IF($B93:$K93&lt;&gt;"",
     INDEX('Eurostat EB products IEA'!$A$4:$BN$135,
           MATCH($B93:$K93, 'Eurostat EB products IEA'!$A$4:$A$135, 0),
           MATCH(AK$1, 'Eurostat EB products IEA'!$A$4:$BN$4, 0)
     )
     * $L93:$U93,
     0
  )
)</f>
        <v>0</v>
      </c>
      <c r="AL93" s="57" cm="1">
        <f t="array" ref="AL93">SUMPRODUCT(
  IF($B93:$K93&lt;&gt;"",
     INDEX('Eurostat EB products IEA'!$A$4:$BN$135,
           MATCH($B93:$K93, 'Eurostat EB products IEA'!$A$4:$A$135, 0),
           MATCH(AL$1, 'Eurostat EB products IEA'!$A$4:$BN$4, 0)
     )
     * $L93:$U93,
     0
  )
)</f>
        <v>0</v>
      </c>
      <c r="AM93" s="57" cm="1">
        <f t="array" ref="AM93">SUMPRODUCT(
  IF($B93:$K93&lt;&gt;"",
     INDEX('Eurostat EB products IEA'!$A$4:$BN$135,
           MATCH($B93:$K93, 'Eurostat EB products IEA'!$A$4:$A$135, 0),
           MATCH(AM$1, 'Eurostat EB products IEA'!$A$4:$BN$4, 0)
     )
     * $L93:$U93,
     0
  )
)</f>
        <v>9896.8770000000004</v>
      </c>
      <c r="AN93" s="65" t="s">
        <v>323</v>
      </c>
      <c r="AO93" s="57" cm="1">
        <f t="array" ref="AO93">SUMPRODUCT(
  IF($B93:$K93&lt;&gt;"",
     INDEX('Eurostat EB products IEA'!$A$4:$BN$135,
           MATCH($B93:$K93, 'Eurostat EB products IEA'!$A$4:$A$135, 0),
           MATCH(AO$1, 'Eurostat EB products IEA'!$A$4:$BN$4, 0)
     )
     * $L93:$U93,
     0
  )
)</f>
        <v>0</v>
      </c>
      <c r="AP93" s="57" cm="1">
        <f t="array" ref="AP93">SUMPRODUCT(
  IF($B93:$K93&lt;&gt;"",
     INDEX('Eurostat EB products IEA'!$A$4:$BN$135,
           MATCH($B93:$K93, 'Eurostat EB products IEA'!$A$4:$A$135, 0),
           MATCH(AP$1, 'Eurostat EB products IEA'!$A$4:$BN$4, 0)
     )
     * $L93:$U93,
     0
  )
)</f>
        <v>0</v>
      </c>
      <c r="AQ93" s="57" cm="1">
        <f t="array" ref="AQ93">SUMPRODUCT(
  IF($B93:$K93&lt;&gt;"",
     INDEX('Eurostat EB products IEA'!$A$4:$BN$135,
           MATCH($B93:$K93, 'Eurostat EB products IEA'!$A$4:$A$135, 0),
           MATCH(AQ$1, 'Eurostat EB products IEA'!$A$4:$BN$4, 0)
     )
     * $L93:$U93,
     0
  )
)</f>
        <v>0</v>
      </c>
      <c r="AR93" s="57" cm="1">
        <f t="array" ref="AR93">SUMPRODUCT(
  IF($B93:$K93&lt;&gt;"",
     INDEX('Eurostat EB products IEA'!$A$4:$BN$135,
           MATCH($B93:$K93, 'Eurostat EB products IEA'!$A$4:$A$135, 0),
           MATCH(AR$1, 'Eurostat EB products IEA'!$A$4:$BN$4, 0)
     )
     * $L93:$U93,
     0
  )
)</f>
        <v>0</v>
      </c>
      <c r="AS93" s="57" cm="1">
        <f t="array" ref="AS93">SUMPRODUCT(
  IF($B93:$K93&lt;&gt;"",
     INDEX('Eurostat EB products IEA'!$A$4:$BN$135,
           MATCH($B93:$K93, 'Eurostat EB products IEA'!$A$4:$A$135, 0),
           MATCH(AS$1, 'Eurostat EB products IEA'!$A$4:$BN$4, 0)
     )
     * $L93:$U93,
     0
  )
)</f>
        <v>0</v>
      </c>
      <c r="AT93" s="57" cm="1">
        <f t="array" ref="AT93">SUMPRODUCT(
  IF($B93:$K93&lt;&gt;"",
     INDEX('Eurostat EB products IEA'!$A$4:$BN$135,
           MATCH($B93:$K93, 'Eurostat EB products IEA'!$A$4:$A$135, 0),
           MATCH(AT$1, 'Eurostat EB products IEA'!$A$4:$BN$4, 0)
     )
     * $L93:$U93,
     0
  )
)</f>
        <v>5102.018</v>
      </c>
      <c r="AU93" s="57" cm="1">
        <f t="array" ref="AU93">SUMPRODUCT(
  IF($B93:$K93&lt;&gt;"",
     INDEX('Eurostat EB products IEA'!$A$4:$BN$135,
           MATCH($B93:$K93, 'Eurostat EB products IEA'!$A$4:$A$135, 0),
           MATCH(AU$1, 'Eurostat EB products IEA'!$A$4:$BN$4, 0)
     )
     * $L93:$U93,
     0
  )
)</f>
        <v>0</v>
      </c>
      <c r="AV93" s="57" cm="1">
        <f t="array" ref="AV93">SUMPRODUCT(
  IF($B93:$K93&lt;&gt;"",
     INDEX('Eurostat EB products IEA'!$A$4:$BN$135,
           MATCH($B93:$K93, 'Eurostat EB products IEA'!$A$4:$A$135, 0),
           MATCH(AV$1, 'Eurostat EB products IEA'!$A$4:$BN$4, 0)
     )
     * $L93:$U93,
     0
  )
)</f>
        <v>0</v>
      </c>
      <c r="AW93" s="57" cm="1">
        <f t="array" ref="AW93">SUMPRODUCT(
  IF($B93:$K93&lt;&gt;"",
     INDEX('Eurostat EB products IEA'!$A$4:$BN$135,
           MATCH($B93:$K93, 'Eurostat EB products IEA'!$A$4:$A$135, 0),
           MATCH(AW$1, 'Eurostat EB products IEA'!$A$4:$BN$4, 0)
     )
     * $L93:$U93,
     0
  )
)</f>
        <v>0</v>
      </c>
      <c r="AX93" s="57" cm="1">
        <f t="array" ref="AX93">SUMPRODUCT(
  IF($B93:$K93&lt;&gt;"",
     INDEX('Eurostat EB products IEA'!$A$4:$BN$135,
           MATCH($B93:$K93, 'Eurostat EB products IEA'!$A$4:$A$135, 0),
           MATCH(AX$1, 'Eurostat EB products IEA'!$A$4:$BN$4, 0)
     )
     * $L93:$U93,
     0
  )
)</f>
        <v>0</v>
      </c>
      <c r="AY93" s="57" cm="1">
        <f t="array" ref="AY93">SUMPRODUCT(
  IF($B93:$K93&lt;&gt;"",
     INDEX('Eurostat EB products IEA'!$A$4:$BN$135,
           MATCH($B93:$K93, 'Eurostat EB products IEA'!$A$4:$A$135, 0),
           MATCH(AY$1, 'Eurostat EB products IEA'!$A$4:$BN$4, 0)
     )
     * $L93:$U93,
     0
  )
)</f>
        <v>0</v>
      </c>
      <c r="AZ93" s="57" cm="1">
        <f t="array" ref="AZ93">SUMPRODUCT(
  IF($B93:$K93&lt;&gt;"",
     INDEX('Eurostat EB products IEA'!$A$4:$BN$135,
           MATCH($B93:$K93, 'Eurostat EB products IEA'!$A$4:$A$135, 0),
           MATCH(AZ$1, 'Eurostat EB products IEA'!$A$4:$BN$4, 0)
     )
     * $L93:$U93,
     0
  )
)</f>
        <v>0</v>
      </c>
      <c r="BA93" s="57" cm="1">
        <f t="array" ref="BA93">SUMPRODUCT(
  IF($B93:$K93&lt;&gt;"",
     INDEX('Eurostat EB products IEA'!$A$4:$BN$135,
           MATCH($B93:$K93, 'Eurostat EB products IEA'!$A$4:$A$135, 0),
           MATCH(BA$1, 'Eurostat EB products IEA'!$A$4:$BN$4, 0)
     )
     * $L93:$U93,
     0
  )
)</f>
        <v>0</v>
      </c>
      <c r="BB93" s="57" cm="1">
        <f t="array" ref="BB93">SUMPRODUCT(
  IF($B93:$K93&lt;&gt;"",
     INDEX('Eurostat EB products IEA'!$A$4:$BN$135,
           MATCH($B93:$K93, 'Eurostat EB products IEA'!$A$4:$A$135, 0),
           MATCH(BB$1, 'Eurostat EB products IEA'!$A$4:$BN$4, 0)
     )
     * $L93:$U93,
     0
  )
)</f>
        <v>45.981000000000002</v>
      </c>
      <c r="BC93" s="57" cm="1">
        <f t="array" ref="BC93">SUMPRODUCT(
  IF($B93:$K93&lt;&gt;"",
     INDEX('Eurostat EB products IEA'!$A$4:$BN$135,
           MATCH($B93:$K93, 'Eurostat EB products IEA'!$A$4:$A$135, 0),
           MATCH(BC$1, 'Eurostat EB products IEA'!$A$4:$BN$4, 0)
     )
     * $L93:$U93,
     0
  )
)</f>
        <v>0</v>
      </c>
      <c r="BD93" s="57" cm="1">
        <f t="array" ref="BD93">SUMPRODUCT(
  IF($B93:$K93&lt;&gt;"",
     INDEX('Eurostat EB products IEA'!$A$4:$BN$135,
           MATCH($B93:$K93, 'Eurostat EB products IEA'!$A$4:$A$135, 0),
           MATCH(BD$1, 'Eurostat EB products IEA'!$A$4:$BN$4, 0)
     )
     * $L93:$U93,
     0
  )
)</f>
        <v>0</v>
      </c>
      <c r="BE93" s="57" cm="1">
        <f t="array" ref="BE93">SUMPRODUCT(
  IF($B93:$K93&lt;&gt;"",
     INDEX('Eurostat EB products IEA'!$A$4:$BN$135,
           MATCH($B93:$K93, 'Eurostat EB products IEA'!$A$4:$A$135, 0),
           MATCH(BE$1, 'Eurostat EB products IEA'!$A$4:$BN$4, 0)
     )
     * $L93:$U93,
     0
  )
)</f>
        <v>0</v>
      </c>
      <c r="BF93" s="57" cm="1">
        <f t="array" ref="BF93">SUMPRODUCT(
  IF($B93:$K93&lt;&gt;"",
     INDEX('Eurostat EB products IEA'!$A$4:$BN$135,
           MATCH($B93:$K93, 'Eurostat EB products IEA'!$A$4:$A$135, 0),
           MATCH(BF$1, 'Eurostat EB products IEA'!$A$4:$BN$4, 0)
     )
     * $L93:$U93,
     0
  )
)</f>
        <v>0</v>
      </c>
      <c r="BG93" s="57" cm="1">
        <f t="array" ref="BG93">SUMPRODUCT(
  IF($B93:$K93&lt;&gt;"",
     INDEX('Eurostat EB products IEA'!$A$4:$BN$135,
           MATCH($B93:$K93, 'Eurostat EB products IEA'!$A$4:$A$135, 0),
           MATCH(BG$1, 'Eurostat EB products IEA'!$A$4:$BN$4, 0)
     )
     * $L93:$U93,
     0
  )
)</f>
        <v>0</v>
      </c>
      <c r="BH93" s="57" cm="1">
        <f t="array" ref="BH93">SUMPRODUCT(
  IF($B93:$K93&lt;&gt;"",
     INDEX('Eurostat EB products IEA'!$A$4:$BN$135,
           MATCH($B93:$K93, 'Eurostat EB products IEA'!$A$4:$A$135, 0),
           MATCH(BH$1, 'Eurostat EB products IEA'!$A$4:$BN$4, 0)
     )
     * $L93:$U93,
     0
  )
)</f>
        <v>0</v>
      </c>
      <c r="BI93" s="57" cm="1">
        <f t="array" ref="BI93">SUMPRODUCT(
  IF($B93:$K93&lt;&gt;"",
     INDEX('Eurostat EB products IEA'!$A$4:$BN$135,
           MATCH($B93:$K93, 'Eurostat EB products IEA'!$A$4:$A$135, 0),
           MATCH(BI$1, 'Eurostat EB products IEA'!$A$4:$BN$4, 0)
     )
     * $L93:$U93,
     0
  )
)</f>
        <v>0</v>
      </c>
      <c r="BJ93" s="57" cm="1">
        <f t="array" ref="BJ93">SUMPRODUCT(
  IF($B93:$K93&lt;&gt;"",
     INDEX('Eurostat EB products IEA'!$A$4:$BN$135,
           MATCH($B93:$K93, 'Eurostat EB products IEA'!$A$4:$A$135, 0),
           MATCH(BJ$1, 'Eurostat EB products IEA'!$A$4:$BN$4, 0)
     )
     * $L93:$U93,
     0
  )
)</f>
        <v>0</v>
      </c>
      <c r="BK93" s="57" cm="1">
        <f t="array" ref="BK93">SUMPRODUCT(
  IF($B93:$K93&lt;&gt;"",
     INDEX('Eurostat EB products IEA'!$A$4:$BN$135,
           MATCH($B93:$K93, 'Eurostat EB products IEA'!$A$4:$A$135, 0),
           MATCH(BK$1, 'Eurostat EB products IEA'!$A$4:$BN$4, 0)
     )
     * $L93:$U93,
     0
  )
)</f>
        <v>84.995000000000005</v>
      </c>
      <c r="BL93" s="57" cm="1">
        <f t="array" ref="BL93">SUMPRODUCT(
  IF($B93:$K93&lt;&gt;"",
     INDEX('Eurostat EB products IEA'!$A$4:$BN$135,
           MATCH($B93:$K93, 'Eurostat EB products IEA'!$A$4:$A$135, 0),
           MATCH(BL$1, 'Eurostat EB products IEA'!$A$4:$BN$4, 0)
     )
     * $L93:$U93,
     0
  )
)</f>
        <v>7935.817</v>
      </c>
      <c r="BM93" s="57" cm="1">
        <f t="array" ref="BM93">SUMPRODUCT(
  IF($B93:$K93&lt;&gt;"",
     INDEX('Eurostat EB products IEA'!$A$4:$BN$135,
           MATCH($B93:$K93, 'Eurostat EB products IEA'!$A$4:$A$135, 0),
           MATCH(BM$1, 'Eurostat EB products IEA'!$A$4:$BN$4, 0)
     )
     * $L93:$U93,
     0
  )
)</f>
        <v>7037.4219999999996</v>
      </c>
      <c r="BN93" s="57" cm="1">
        <f t="array" ref="BN93">SUMPRODUCT(
  IF($B93:$K93&lt;&gt;"",
     INDEX('Eurostat EB products IEA'!$A$4:$BN$135,
           MATCH($B93:$K93, 'Eurostat EB products IEA'!$A$4:$A$135, 0),
           MATCH(BN$1, 'Eurostat EB products IEA'!$A$4:$BN$4, 0)
     )
     * $L93:$U93,
     0
  )
)</f>
        <v>2769.346</v>
      </c>
      <c r="BO93" s="57" cm="1">
        <f t="array" ref="BO93">SUMPRODUCT(
  IF($B93:$K93&lt;&gt;"",
     INDEX('Eurostat EB products IEA'!$A$4:$BN$135,
           MATCH($B93:$K93, 'Eurostat EB products IEA'!$A$4:$A$135, 0),
           MATCH(BO$1, 'Eurostat EB products IEA'!$A$4:$BN$4, 0)
     )
     * $L93:$U93,
     0
  )
)</f>
        <v>187.73699999999999</v>
      </c>
      <c r="BP93" s="57" cm="1">
        <f t="array" ref="BP93">SUMPRODUCT(
  IF($B93:$K93&lt;&gt;"",
     INDEX('Eurostat EB products IEA'!$A$4:$BN$135,
           MATCH($B93:$K93, 'Eurostat EB products IEA'!$A$4:$A$135, 0),
           MATCH(BP$1, 'Eurostat EB products IEA'!$A$4:$BN$4, 0)
     )
     * $L93:$U93,
     0
  )
)</f>
        <v>0</v>
      </c>
      <c r="BQ93" s="57" cm="1">
        <f t="array" ref="BQ93">SUMPRODUCT(
  IF($B93:$K93&lt;&gt;"",
     INDEX('Eurostat EB products IEA'!$A$4:$BN$135,
           MATCH($B93:$K93, 'Eurostat EB products IEA'!$A$4:$A$135, 0),
           MATCH(BQ$1, 'Eurostat EB products IEA'!$A$4:$BN$4, 0)
     )
     * $L93:$U93,
     0
  )
)</f>
        <v>0</v>
      </c>
      <c r="BR93" s="57" cm="1">
        <f t="array" ref="BR93">SUMPRODUCT(
  IF($B93:$K93&lt;&gt;"",
     INDEX('Eurostat EB products IEA'!$A$4:$BN$135,
           MATCH($B93:$K93, 'Eurostat EB products IEA'!$A$4:$A$135, 0),
           MATCH(BR$1, 'Eurostat EB products IEA'!$A$4:$BN$4, 0)
     )
     * $L93:$U93,
     0
  )
)</f>
        <v>0</v>
      </c>
      <c r="BS93" s="65">
        <v>0</v>
      </c>
      <c r="BT93" s="57" cm="1">
        <f t="array" ref="BT93">SUMPRODUCT(
  IF($B93:$K93&lt;&gt;"",
     INDEX('Eurostat EB products IEA'!$A$4:$BN$135,
           MATCH($B93:$K93, 'Eurostat EB products IEA'!$A$4:$A$135, 0),
           MATCH(BT$1, 'Eurostat EB products IEA'!$A$4:$BN$4, 0)
     )
     * $L93:$U93,
     0
  )
)</f>
        <v>0</v>
      </c>
      <c r="BU93" s="65">
        <v>0</v>
      </c>
      <c r="BV93" s="65">
        <v>0</v>
      </c>
      <c r="BW93" s="57" cm="1">
        <f t="array" ref="BW93">SUMPRODUCT(
  IF($B93:$K93&lt;&gt;"",
     INDEX('Eurostat EB products IEA'!$A$4:$BN$135,
           MATCH($B93:$K93, 'Eurostat EB products IEA'!$A$4:$A$135, 0),
           MATCH(BW$1, 'Eurostat EB products IEA'!$A$4:$BN$4, 0)
     )
     * $L93:$U93,
     0
  )
)</f>
        <v>0</v>
      </c>
      <c r="BX93" s="57" cm="1">
        <f t="array" ref="BX93">SUMPRODUCT(
  IF($B93:$K93&lt;&gt;"",
     INDEX('Eurostat EB products IEA'!$A$4:$BN$135,
           MATCH($B93:$K93, 'Eurostat EB products IEA'!$A$4:$A$135, 0),
           MATCH(BX$1, 'Eurostat EB products IEA'!$A$4:$BN$4, 0)
     )
     * $L93:$U93,
     0
  )
)</f>
        <v>0</v>
      </c>
      <c r="BY93" s="57" cm="1">
        <f t="array" ref="BY93">SUMPRODUCT(
  IF($B93:$K93&lt;&gt;"",
     INDEX('Eurostat EB products IEA'!$A$4:$BN$135,
           MATCH($B93:$K93, 'Eurostat EB products IEA'!$A$4:$A$135, 0),
           MATCH(BY$1, 'Eurostat EB products IEA'!$A$4:$BN$4, 0)
     )
     * $L93:$U93,
     0
  )
)</f>
        <v>0</v>
      </c>
      <c r="BZ93" s="57" cm="1">
        <f t="array" ref="BZ93">SUMPRODUCT(
  IF($B93:$K93&lt;&gt;"",
     INDEX('Eurostat EB products IEA'!$A$4:$BN$135,
           MATCH($B93:$K93, 'Eurostat EB products IEA'!$A$4:$A$135, 0),
           MATCH(BZ$1, 'Eurostat EB products IEA'!$A$4:$BN$4, 0)
     )
     * $L93:$U93,
     0
  )
)</f>
        <v>0</v>
      </c>
      <c r="CA93" s="57" cm="1">
        <f t="array" ref="CA93">SUMPRODUCT(
  IF($B93:$K93&lt;&gt;"",
     INDEX('Eurostat EB products IEA'!$A$4:$BN$135,
           MATCH($B93:$K93, 'Eurostat EB products IEA'!$A$4:$A$135, 0),
           MATCH(CA$1, 'Eurostat EB products IEA'!$A$4:$BN$4, 0)
     )
     * $L93:$U93,
     0
  )
)</f>
        <v>0</v>
      </c>
      <c r="CB93" s="57" cm="1">
        <f t="array" ref="CB93">SUMPRODUCT(
  IF($B93:$K93&lt;&gt;"",
     INDEX('Eurostat EB products IEA'!$A$4:$BN$135,
           MATCH($B93:$K93, 'Eurostat EB products IEA'!$A$4:$A$135, 0),
           MATCH(CB$1, 'Eurostat EB products IEA'!$A$4:$BN$4, 0)
     )
     * $L93:$U93,
     0
  )
)</f>
        <v>0</v>
      </c>
      <c r="CC93" s="57" cm="1">
        <f t="array" ref="CC93">SUMPRODUCT(
  IF($B93:$K93&lt;&gt;"",
     INDEX('Eurostat EB products IEA'!$A$4:$BN$135,
           MATCH($B93:$K93, 'Eurostat EB products IEA'!$A$4:$A$135, 0),
           MATCH(CC$1, 'Eurostat EB products IEA'!$A$4:$BN$4, 0)
     )
     * $L93:$U93,
     0
  )
)</f>
        <v>0</v>
      </c>
      <c r="CD93" s="65">
        <v>0</v>
      </c>
      <c r="CE93" s="57" cm="1">
        <f t="array" ref="CE93">SUMPRODUCT(
  IF($B93:$K93&lt;&gt;"",
     INDEX('Eurostat EB products IEA'!$A$4:$BN$135,
           MATCH($B93:$K93, 'Eurostat EB products IEA'!$A$4:$A$135, 0),
           MATCH(CE$1, 'Eurostat EB products IEA'!$A$4:$BN$4, 0)
     )
     * $L93:$U93,
     0
  )
)</f>
        <v>0</v>
      </c>
      <c r="CF93" s="57" cm="1">
        <f t="array" ref="CF93">SUMPRODUCT(
  IF($B93:$K93&lt;&gt;"",
     INDEX('Eurostat EB products IEA'!$A$4:$BN$135,
           MATCH($B93:$K93, 'Eurostat EB products IEA'!$A$4:$A$135, 0),
           MATCH(CF$1, 'Eurostat EB products IEA'!$A$4:$BN$4, 0)
     )
     * $L93:$U93,
     0
  )
)</f>
        <v>0</v>
      </c>
      <c r="CG93" s="57" cm="1">
        <f t="array" ref="CG93">SUMPRODUCT(
  IF($B93:$K93&lt;&gt;"",
     INDEX('Eurostat EB products IEA'!$A$4:$BN$135,
           MATCH($B93:$K93, 'Eurostat EB products IEA'!$A$4:$A$135, 0),
           MATCH(CG$1, 'Eurostat EB products IEA'!$A$4:$BN$4, 0)
     )
     * $L93:$U93,
     0
  )
)</f>
        <v>33365.031999999999</v>
      </c>
      <c r="CH93" s="57" cm="1">
        <f t="array" ref="CH93">SUMPRODUCT(
  IF($B93:$K93&lt;&gt;"",
     INDEX('Eurostat EB products IEA'!$A$4:$BN$135,
           MATCH($B93:$K93, 'Eurostat EB products IEA'!$A$4:$A$135, 0),
           MATCH(CH$1, 'Eurostat EB products IEA'!$A$4:$BN$4, 0)
     )
     * $L93:$U93,
     0
  )
)</f>
        <v>10994.272999999999</v>
      </c>
    </row>
    <row r="94" spans="1:86" x14ac:dyDescent="0.2">
      <c r="A94" t="s">
        <v>199</v>
      </c>
      <c r="B94" s="75"/>
      <c r="C94" s="77"/>
      <c r="D94" s="75"/>
      <c r="E94" s="77"/>
      <c r="F94" s="75"/>
      <c r="G94" s="77"/>
      <c r="H94" s="75"/>
      <c r="I94" s="77"/>
      <c r="J94" s="74"/>
      <c r="K94" s="78" t="s">
        <v>319</v>
      </c>
      <c r="L94" s="76"/>
      <c r="M94" s="79"/>
      <c r="N94" s="76"/>
      <c r="O94" s="79"/>
      <c r="P94" s="76"/>
      <c r="Q94" s="79"/>
      <c r="R94" s="76"/>
      <c r="S94" s="79"/>
      <c r="T94" s="76"/>
      <c r="U94" s="79">
        <v>1</v>
      </c>
      <c r="V94" s="65" t="s">
        <v>323</v>
      </c>
      <c r="W94" s="65" t="s">
        <v>323</v>
      </c>
      <c r="X94" s="17" cm="1">
        <f t="array" ref="X94">SUMPRODUCT(
  IF($B94:$K94&lt;&gt;"",
     INDEX('Eurostat EB products IEA'!$A$4:$BN$135,
           MATCH($B94:$K94, 'Eurostat EB products IEA'!$A$4:$A$135, 0),
           MATCH(X$1, 'Eurostat EB products IEA'!$A$4:$BN$4, 0)
     )
     * $L94:$U94,
     0
  )
)</f>
        <v>0</v>
      </c>
      <c r="Y94" s="17" cm="1">
        <f t="array" ref="Y94">SUMPRODUCT(
  IF($B94:$K94&lt;&gt;"",
     INDEX('Eurostat EB products IEA'!$A$4:$BN$135,
           MATCH($B94:$K94, 'Eurostat EB products IEA'!$A$4:$A$135, 0),
           MATCH(Y$1, 'Eurostat EB products IEA'!$A$4:$BN$4, 0)
     )
     * $L94:$U94,
     0
  )
)</f>
        <v>0</v>
      </c>
      <c r="Z94" s="17" cm="1">
        <f t="array" ref="Z94">SUMPRODUCT(
  IF($B94:$K94&lt;&gt;"",
     INDEX('Eurostat EB products IEA'!$A$4:$BN$135,
           MATCH($B94:$K94, 'Eurostat EB products IEA'!$A$4:$A$135, 0),
           MATCH(Z$1, 'Eurostat EB products IEA'!$A$4:$BN$4, 0)
     )
     * $L94:$U94,
     0
  )
)</f>
        <v>0</v>
      </c>
      <c r="AA94" s="17" cm="1">
        <f t="array" ref="AA94">SUMPRODUCT(
  IF($B94:$K94&lt;&gt;"",
     INDEX('Eurostat EB products IEA'!$A$4:$BN$135,
           MATCH($B94:$K94, 'Eurostat EB products IEA'!$A$4:$A$135, 0),
           MATCH(AA$1, 'Eurostat EB products IEA'!$A$4:$BN$4, 0)
     )
     * $L94:$U94,
     0
  )
)</f>
        <v>0</v>
      </c>
      <c r="AB94" s="17" cm="1">
        <f t="array" ref="AB94">SUMPRODUCT(
  IF($B94:$K94&lt;&gt;"",
     INDEX('Eurostat EB products IEA'!$A$4:$BN$135,
           MATCH($B94:$K94, 'Eurostat EB products IEA'!$A$4:$A$135, 0),
           MATCH(AB$1, 'Eurostat EB products IEA'!$A$4:$BN$4, 0)
     )
     * $L94:$U94,
     0
  )
)</f>
        <v>0</v>
      </c>
      <c r="AC94" s="17" cm="1">
        <f t="array" ref="AC94">SUMPRODUCT(
  IF($B94:$K94&lt;&gt;"",
     INDEX('Eurostat EB products IEA'!$A$4:$BN$135,
           MATCH($B94:$K94, 'Eurostat EB products IEA'!$A$4:$A$135, 0),
           MATCH(AC$1, 'Eurostat EB products IEA'!$A$4:$BN$4, 0)
     )
     * $L94:$U94,
     0
  )
)</f>
        <v>0</v>
      </c>
      <c r="AD94" s="17" cm="1">
        <f t="array" ref="AD94">SUMPRODUCT(
  IF($B94:$K94&lt;&gt;"",
     INDEX('Eurostat EB products IEA'!$A$4:$BN$135,
           MATCH($B94:$K94, 'Eurostat EB products IEA'!$A$4:$A$135, 0),
           MATCH(AD$1, 'Eurostat EB products IEA'!$A$4:$BN$4, 0)
     )
     * $L94:$U94,
     0
  )
)</f>
        <v>0</v>
      </c>
      <c r="AE94" s="17" cm="1">
        <f t="array" ref="AE94">SUMPRODUCT(
  IF($B94:$K94&lt;&gt;"",
     INDEX('Eurostat EB products IEA'!$A$4:$BN$135,
           MATCH($B94:$K94, 'Eurostat EB products IEA'!$A$4:$A$135, 0),
           MATCH(AE$1, 'Eurostat EB products IEA'!$A$4:$BN$4, 0)
     )
     * $L94:$U94,
     0
  )
)</f>
        <v>0</v>
      </c>
      <c r="AF94" s="17" cm="1">
        <f t="array" ref="AF94">SUMPRODUCT(
  IF($B94:$K94&lt;&gt;"",
     INDEX('Eurostat EB products IEA'!$A$4:$BN$135,
           MATCH($B94:$K94, 'Eurostat EB products IEA'!$A$4:$A$135, 0),
           MATCH(AF$1, 'Eurostat EB products IEA'!$A$4:$BN$4, 0)
     )
     * $L94:$U94,
     0
  )
)</f>
        <v>0</v>
      </c>
      <c r="AG94" s="17" cm="1">
        <f t="array" ref="AG94">SUMPRODUCT(
  IF($B94:$K94&lt;&gt;"",
     INDEX('Eurostat EB products IEA'!$A$4:$BN$135,
           MATCH($B94:$K94, 'Eurostat EB products IEA'!$A$4:$A$135, 0),
           MATCH(AG$1, 'Eurostat EB products IEA'!$A$4:$BN$4, 0)
     )
     * $L94:$U94,
     0
  )
)</f>
        <v>0</v>
      </c>
      <c r="AH94" s="17" cm="1">
        <f t="array" ref="AH94">SUMPRODUCT(
  IF($B94:$K94&lt;&gt;"",
     INDEX('Eurostat EB products IEA'!$A$4:$BN$135,
           MATCH($B94:$K94, 'Eurostat EB products IEA'!$A$4:$A$135, 0),
           MATCH(AH$1, 'Eurostat EB products IEA'!$A$4:$BN$4, 0)
     )
     * $L94:$U94,
     0
  )
)</f>
        <v>0</v>
      </c>
      <c r="AI94" s="17" cm="1">
        <f t="array" ref="AI94">SUMPRODUCT(
  IF($B94:$K94&lt;&gt;"",
     INDEX('Eurostat EB products IEA'!$A$4:$BN$135,
           MATCH($B94:$K94, 'Eurostat EB products IEA'!$A$4:$A$135, 0),
           MATCH(AI$1, 'Eurostat EB products IEA'!$A$4:$BN$4, 0)
     )
     * $L94:$U94,
     0
  )
)</f>
        <v>0</v>
      </c>
      <c r="AJ94" s="17" cm="1">
        <f t="array" ref="AJ94">SUMPRODUCT(
  IF($B94:$K94&lt;&gt;"",
     INDEX('Eurostat EB products IEA'!$A$4:$BN$135,
           MATCH($B94:$K94, 'Eurostat EB products IEA'!$A$4:$A$135, 0),
           MATCH(AJ$1, 'Eurostat EB products IEA'!$A$4:$BN$4, 0)
     )
     * $L94:$U94,
     0
  )
)</f>
        <v>0</v>
      </c>
      <c r="AK94" s="17" cm="1">
        <f t="array" ref="AK94">SUMPRODUCT(
  IF($B94:$K94&lt;&gt;"",
     INDEX('Eurostat EB products IEA'!$A$4:$BN$135,
           MATCH($B94:$K94, 'Eurostat EB products IEA'!$A$4:$A$135, 0),
           MATCH(AK$1, 'Eurostat EB products IEA'!$A$4:$BN$4, 0)
     )
     * $L94:$U94,
     0
  )
)</f>
        <v>0</v>
      </c>
      <c r="AL94" s="17" cm="1">
        <f t="array" ref="AL94">SUMPRODUCT(
  IF($B94:$K94&lt;&gt;"",
     INDEX('Eurostat EB products IEA'!$A$4:$BN$135,
           MATCH($B94:$K94, 'Eurostat EB products IEA'!$A$4:$A$135, 0),
           MATCH(AL$1, 'Eurostat EB products IEA'!$A$4:$BN$4, 0)
     )
     * $L94:$U94,
     0
  )
)</f>
        <v>0</v>
      </c>
      <c r="AM94" s="17" cm="1">
        <f t="array" ref="AM94">SUMPRODUCT(
  IF($B94:$K94&lt;&gt;"",
     INDEX('Eurostat EB products IEA'!$A$4:$BN$135,
           MATCH($B94:$K94, 'Eurostat EB products IEA'!$A$4:$A$135, 0),
           MATCH(AM$1, 'Eurostat EB products IEA'!$A$4:$BN$4, 0)
     )
     * $L94:$U94,
     0
  )
)</f>
        <v>9958.8259999999991</v>
      </c>
      <c r="AN94" s="65" t="s">
        <v>323</v>
      </c>
      <c r="AO94" s="17" cm="1">
        <f t="array" ref="AO94">SUMPRODUCT(
  IF($B94:$K94&lt;&gt;"",
     INDEX('Eurostat EB products IEA'!$A$4:$BN$135,
           MATCH($B94:$K94, 'Eurostat EB products IEA'!$A$4:$A$135, 0),
           MATCH(AO$1, 'Eurostat EB products IEA'!$A$4:$BN$4, 0)
     )
     * $L94:$U94,
     0
  )
)</f>
        <v>0</v>
      </c>
      <c r="AP94" s="17" cm="1">
        <f t="array" ref="AP94">SUMPRODUCT(
  IF($B94:$K94&lt;&gt;"",
     INDEX('Eurostat EB products IEA'!$A$4:$BN$135,
           MATCH($B94:$K94, 'Eurostat EB products IEA'!$A$4:$A$135, 0),
           MATCH(AP$1, 'Eurostat EB products IEA'!$A$4:$BN$4, 0)
     )
     * $L94:$U94,
     0
  )
)</f>
        <v>0</v>
      </c>
      <c r="AQ94" s="17" cm="1">
        <f t="array" ref="AQ94">SUMPRODUCT(
  IF($B94:$K94&lt;&gt;"",
     INDEX('Eurostat EB products IEA'!$A$4:$BN$135,
           MATCH($B94:$K94, 'Eurostat EB products IEA'!$A$4:$A$135, 0),
           MATCH(AQ$1, 'Eurostat EB products IEA'!$A$4:$BN$4, 0)
     )
     * $L94:$U94,
     0
  )
)</f>
        <v>0</v>
      </c>
      <c r="AR94" s="17" cm="1">
        <f t="array" ref="AR94">SUMPRODUCT(
  IF($B94:$K94&lt;&gt;"",
     INDEX('Eurostat EB products IEA'!$A$4:$BN$135,
           MATCH($B94:$K94, 'Eurostat EB products IEA'!$A$4:$A$135, 0),
           MATCH(AR$1, 'Eurostat EB products IEA'!$A$4:$BN$4, 0)
     )
     * $L94:$U94,
     0
  )
)</f>
        <v>0</v>
      </c>
      <c r="AS94" s="17" cm="1">
        <f t="array" ref="AS94">SUMPRODUCT(
  IF($B94:$K94&lt;&gt;"",
     INDEX('Eurostat EB products IEA'!$A$4:$BN$135,
           MATCH($B94:$K94, 'Eurostat EB products IEA'!$A$4:$A$135, 0),
           MATCH(AS$1, 'Eurostat EB products IEA'!$A$4:$BN$4, 0)
     )
     * $L94:$U94,
     0
  )
)</f>
        <v>0</v>
      </c>
      <c r="AT94" s="17" cm="1">
        <f t="array" ref="AT94">SUMPRODUCT(
  IF($B94:$K94&lt;&gt;"",
     INDEX('Eurostat EB products IEA'!$A$4:$BN$135,
           MATCH($B94:$K94, 'Eurostat EB products IEA'!$A$4:$A$135, 0),
           MATCH(AT$1, 'Eurostat EB products IEA'!$A$4:$BN$4, 0)
     )
     * $L94:$U94,
     0
  )
)</f>
        <v>3468.66</v>
      </c>
      <c r="AU94" s="17" cm="1">
        <f t="array" ref="AU94">SUMPRODUCT(
  IF($B94:$K94&lt;&gt;"",
     INDEX('Eurostat EB products IEA'!$A$4:$BN$135,
           MATCH($B94:$K94, 'Eurostat EB products IEA'!$A$4:$A$135, 0),
           MATCH(AU$1, 'Eurostat EB products IEA'!$A$4:$BN$4, 0)
     )
     * $L94:$U94,
     0
  )
)</f>
        <v>0</v>
      </c>
      <c r="AV94" s="17" cm="1">
        <f t="array" ref="AV94">SUMPRODUCT(
  IF($B94:$K94&lt;&gt;"",
     INDEX('Eurostat EB products IEA'!$A$4:$BN$135,
           MATCH($B94:$K94, 'Eurostat EB products IEA'!$A$4:$A$135, 0),
           MATCH(AV$1, 'Eurostat EB products IEA'!$A$4:$BN$4, 0)
     )
     * $L94:$U94,
     0
  )
)</f>
        <v>0</v>
      </c>
      <c r="AW94" s="17" cm="1">
        <f t="array" ref="AW94">SUMPRODUCT(
  IF($B94:$K94&lt;&gt;"",
     INDEX('Eurostat EB products IEA'!$A$4:$BN$135,
           MATCH($B94:$K94, 'Eurostat EB products IEA'!$A$4:$A$135, 0),
           MATCH(AW$1, 'Eurostat EB products IEA'!$A$4:$BN$4, 0)
     )
     * $L94:$U94,
     0
  )
)</f>
        <v>0</v>
      </c>
      <c r="AX94" s="17" cm="1">
        <f t="array" ref="AX94">SUMPRODUCT(
  IF($B94:$K94&lt;&gt;"",
     INDEX('Eurostat EB products IEA'!$A$4:$BN$135,
           MATCH($B94:$K94, 'Eurostat EB products IEA'!$A$4:$A$135, 0),
           MATCH(AX$1, 'Eurostat EB products IEA'!$A$4:$BN$4, 0)
     )
     * $L94:$U94,
     0
  )
)</f>
        <v>0</v>
      </c>
      <c r="AY94" s="17" cm="1">
        <f t="array" ref="AY94">SUMPRODUCT(
  IF($B94:$K94&lt;&gt;"",
     INDEX('Eurostat EB products IEA'!$A$4:$BN$135,
           MATCH($B94:$K94, 'Eurostat EB products IEA'!$A$4:$A$135, 0),
           MATCH(AY$1, 'Eurostat EB products IEA'!$A$4:$BN$4, 0)
     )
     * $L94:$U94,
     0
  )
)</f>
        <v>0</v>
      </c>
      <c r="AZ94" s="17" cm="1">
        <f t="array" ref="AZ94">SUMPRODUCT(
  IF($B94:$K94&lt;&gt;"",
     INDEX('Eurostat EB products IEA'!$A$4:$BN$135,
           MATCH($B94:$K94, 'Eurostat EB products IEA'!$A$4:$A$135, 0),
           MATCH(AZ$1, 'Eurostat EB products IEA'!$A$4:$BN$4, 0)
     )
     * $L94:$U94,
     0
  )
)</f>
        <v>0</v>
      </c>
      <c r="BA94" s="17" cm="1">
        <f t="array" ref="BA94">SUMPRODUCT(
  IF($B94:$K94&lt;&gt;"",
     INDEX('Eurostat EB products IEA'!$A$4:$BN$135,
           MATCH($B94:$K94, 'Eurostat EB products IEA'!$A$4:$A$135, 0),
           MATCH(BA$1, 'Eurostat EB products IEA'!$A$4:$BN$4, 0)
     )
     * $L94:$U94,
     0
  )
)</f>
        <v>0</v>
      </c>
      <c r="BB94" s="17" cm="1">
        <f t="array" ref="BB94">SUMPRODUCT(
  IF($B94:$K94&lt;&gt;"",
     INDEX('Eurostat EB products IEA'!$A$4:$BN$135,
           MATCH($B94:$K94, 'Eurostat EB products IEA'!$A$4:$A$135, 0),
           MATCH(BB$1, 'Eurostat EB products IEA'!$A$4:$BN$4, 0)
     )
     * $L94:$U94,
     0
  )
)</f>
        <v>0</v>
      </c>
      <c r="BC94" s="17" cm="1">
        <f t="array" ref="BC94">SUMPRODUCT(
  IF($B94:$K94&lt;&gt;"",
     INDEX('Eurostat EB products IEA'!$A$4:$BN$135,
           MATCH($B94:$K94, 'Eurostat EB products IEA'!$A$4:$A$135, 0),
           MATCH(BC$1, 'Eurostat EB products IEA'!$A$4:$BN$4, 0)
     )
     * $L94:$U94,
     0
  )
)</f>
        <v>0</v>
      </c>
      <c r="BD94" s="17" cm="1">
        <f t="array" ref="BD94">SUMPRODUCT(
  IF($B94:$K94&lt;&gt;"",
     INDEX('Eurostat EB products IEA'!$A$4:$BN$135,
           MATCH($B94:$K94, 'Eurostat EB products IEA'!$A$4:$A$135, 0),
           MATCH(BD$1, 'Eurostat EB products IEA'!$A$4:$BN$4, 0)
     )
     * $L94:$U94,
     0
  )
)</f>
        <v>0</v>
      </c>
      <c r="BE94" s="17" cm="1">
        <f t="array" ref="BE94">SUMPRODUCT(
  IF($B94:$K94&lt;&gt;"",
     INDEX('Eurostat EB products IEA'!$A$4:$BN$135,
           MATCH($B94:$K94, 'Eurostat EB products IEA'!$A$4:$A$135, 0),
           MATCH(BE$1, 'Eurostat EB products IEA'!$A$4:$BN$4, 0)
     )
     * $L94:$U94,
     0
  )
)</f>
        <v>0</v>
      </c>
      <c r="BF94" s="17" cm="1">
        <f t="array" ref="BF94">SUMPRODUCT(
  IF($B94:$K94&lt;&gt;"",
     INDEX('Eurostat EB products IEA'!$A$4:$BN$135,
           MATCH($B94:$K94, 'Eurostat EB products IEA'!$A$4:$A$135, 0),
           MATCH(BF$1, 'Eurostat EB products IEA'!$A$4:$BN$4, 0)
     )
     * $L94:$U94,
     0
  )
)</f>
        <v>0</v>
      </c>
      <c r="BG94" s="17" cm="1">
        <f t="array" ref="BG94">SUMPRODUCT(
  IF($B94:$K94&lt;&gt;"",
     INDEX('Eurostat EB products IEA'!$A$4:$BN$135,
           MATCH($B94:$K94, 'Eurostat EB products IEA'!$A$4:$A$135, 0),
           MATCH(BG$1, 'Eurostat EB products IEA'!$A$4:$BN$4, 0)
     )
     * $L94:$U94,
     0
  )
)</f>
        <v>0</v>
      </c>
      <c r="BH94" s="17" cm="1">
        <f t="array" ref="BH94">SUMPRODUCT(
  IF($B94:$K94&lt;&gt;"",
     INDEX('Eurostat EB products IEA'!$A$4:$BN$135,
           MATCH($B94:$K94, 'Eurostat EB products IEA'!$A$4:$A$135, 0),
           MATCH(BH$1, 'Eurostat EB products IEA'!$A$4:$BN$4, 0)
     )
     * $L94:$U94,
     0
  )
)</f>
        <v>0</v>
      </c>
      <c r="BI94" s="17" cm="1">
        <f t="array" ref="BI94">SUMPRODUCT(
  IF($B94:$K94&lt;&gt;"",
     INDEX('Eurostat EB products IEA'!$A$4:$BN$135,
           MATCH($B94:$K94, 'Eurostat EB products IEA'!$A$4:$A$135, 0),
           MATCH(BI$1, 'Eurostat EB products IEA'!$A$4:$BN$4, 0)
     )
     * $L94:$U94,
     0
  )
)</f>
        <v>0</v>
      </c>
      <c r="BJ94" s="17" cm="1">
        <f t="array" ref="BJ94">SUMPRODUCT(
  IF($B94:$K94&lt;&gt;"",
     INDEX('Eurostat EB products IEA'!$A$4:$BN$135,
           MATCH($B94:$K94, 'Eurostat EB products IEA'!$A$4:$A$135, 0),
           MATCH(BJ$1, 'Eurostat EB products IEA'!$A$4:$BN$4, 0)
     )
     * $L94:$U94,
     0
  )
)</f>
        <v>3.6999999999999998E-2</v>
      </c>
      <c r="BK94" s="17" cm="1">
        <f t="array" ref="BK94">SUMPRODUCT(
  IF($B94:$K94&lt;&gt;"",
     INDEX('Eurostat EB products IEA'!$A$4:$BN$135,
           MATCH($B94:$K94, 'Eurostat EB products IEA'!$A$4:$A$135, 0),
           MATCH(BK$1, 'Eurostat EB products IEA'!$A$4:$BN$4, 0)
     )
     * $L94:$U94,
     0
  )
)</f>
        <v>14.704000000000001</v>
      </c>
      <c r="BL94" s="17" cm="1">
        <f t="array" ref="BL94">SUMPRODUCT(
  IF($B94:$K94&lt;&gt;"",
     INDEX('Eurostat EB products IEA'!$A$4:$BN$135,
           MATCH($B94:$K94, 'Eurostat EB products IEA'!$A$4:$A$135, 0),
           MATCH(BL$1, 'Eurostat EB products IEA'!$A$4:$BN$4, 0)
     )
     * $L94:$U94,
     0
  )
)</f>
        <v>0</v>
      </c>
      <c r="BM94" s="17" cm="1">
        <f t="array" ref="BM94">SUMPRODUCT(
  IF($B94:$K94&lt;&gt;"",
     INDEX('Eurostat EB products IEA'!$A$4:$BN$135,
           MATCH($B94:$K94, 'Eurostat EB products IEA'!$A$4:$A$135, 0),
           MATCH(BM$1, 'Eurostat EB products IEA'!$A$4:$BN$4, 0)
     )
     * $L94:$U94,
     0
  )
)</f>
        <v>0</v>
      </c>
      <c r="BN94" s="17" cm="1">
        <f t="array" ref="BN94">SUMPRODUCT(
  IF($B94:$K94&lt;&gt;"",
     INDEX('Eurostat EB products IEA'!$A$4:$BN$135,
           MATCH($B94:$K94, 'Eurostat EB products IEA'!$A$4:$A$135, 0),
           MATCH(BN$1, 'Eurostat EB products IEA'!$A$4:$BN$4, 0)
     )
     * $L94:$U94,
     0
  )
)</f>
        <v>3753.6170000000002</v>
      </c>
      <c r="BO94" s="17" cm="1">
        <f t="array" ref="BO94">SUMPRODUCT(
  IF($B94:$K94&lt;&gt;"",
     INDEX('Eurostat EB products IEA'!$A$4:$BN$135,
           MATCH($B94:$K94, 'Eurostat EB products IEA'!$A$4:$A$135, 0),
           MATCH(BO$1, 'Eurostat EB products IEA'!$A$4:$BN$4, 0)
     )
     * $L94:$U94,
     0
  )
)</f>
        <v>0</v>
      </c>
      <c r="BP94" s="17" cm="1">
        <f t="array" ref="BP94">SUMPRODUCT(
  IF($B94:$K94&lt;&gt;"",
     INDEX('Eurostat EB products IEA'!$A$4:$BN$135,
           MATCH($B94:$K94, 'Eurostat EB products IEA'!$A$4:$A$135, 0),
           MATCH(BP$1, 'Eurostat EB products IEA'!$A$4:$BN$4, 0)
     )
     * $L94:$U94,
     0
  )
)</f>
        <v>0</v>
      </c>
      <c r="BQ94" s="17" cm="1">
        <f t="array" ref="BQ94">SUMPRODUCT(
  IF($B94:$K94&lt;&gt;"",
     INDEX('Eurostat EB products IEA'!$A$4:$BN$135,
           MATCH($B94:$K94, 'Eurostat EB products IEA'!$A$4:$A$135, 0),
           MATCH(BQ$1, 'Eurostat EB products IEA'!$A$4:$BN$4, 0)
     )
     * $L94:$U94,
     0
  )
)</f>
        <v>0</v>
      </c>
      <c r="BR94" s="17" cm="1">
        <f t="array" ref="BR94">SUMPRODUCT(
  IF($B94:$K94&lt;&gt;"",
     INDEX('Eurostat EB products IEA'!$A$4:$BN$135,
           MATCH($B94:$K94, 'Eurostat EB products IEA'!$A$4:$A$135, 0),
           MATCH(BR$1, 'Eurostat EB products IEA'!$A$4:$BN$4, 0)
     )
     * $L94:$U94,
     0
  )
)</f>
        <v>0</v>
      </c>
      <c r="BS94" s="65">
        <v>0</v>
      </c>
      <c r="BT94" s="17" cm="1">
        <f t="array" ref="BT94">SUMPRODUCT(
  IF($B94:$K94&lt;&gt;"",
     INDEX('Eurostat EB products IEA'!$A$4:$BN$135,
           MATCH($B94:$K94, 'Eurostat EB products IEA'!$A$4:$A$135, 0),
           MATCH(BT$1, 'Eurostat EB products IEA'!$A$4:$BN$4, 0)
     )
     * $L94:$U94,
     0
  )
)</f>
        <v>0</v>
      </c>
      <c r="BU94" s="65">
        <v>0</v>
      </c>
      <c r="BV94" s="65">
        <v>0</v>
      </c>
      <c r="BW94" s="17" cm="1">
        <f t="array" ref="BW94">SUMPRODUCT(
  IF($B94:$K94&lt;&gt;"",
     INDEX('Eurostat EB products IEA'!$A$4:$BN$135,
           MATCH($B94:$K94, 'Eurostat EB products IEA'!$A$4:$A$135, 0),
           MATCH(BW$1, 'Eurostat EB products IEA'!$A$4:$BN$4, 0)
     )
     * $L94:$U94,
     0
  )
)</f>
        <v>0</v>
      </c>
      <c r="BX94" s="17" cm="1">
        <f t="array" ref="BX94">SUMPRODUCT(
  IF($B94:$K94&lt;&gt;"",
     INDEX('Eurostat EB products IEA'!$A$4:$BN$135,
           MATCH($B94:$K94, 'Eurostat EB products IEA'!$A$4:$A$135, 0),
           MATCH(BX$1, 'Eurostat EB products IEA'!$A$4:$BN$4, 0)
     )
     * $L94:$U94,
     0
  )
)</f>
        <v>0</v>
      </c>
      <c r="BY94" s="17" cm="1">
        <f t="array" ref="BY94">SUMPRODUCT(
  IF($B94:$K94&lt;&gt;"",
     INDEX('Eurostat EB products IEA'!$A$4:$BN$135,
           MATCH($B94:$K94, 'Eurostat EB products IEA'!$A$4:$A$135, 0),
           MATCH(BY$1, 'Eurostat EB products IEA'!$A$4:$BN$4, 0)
     )
     * $L94:$U94,
     0
  )
)</f>
        <v>0</v>
      </c>
      <c r="BZ94" s="17" cm="1">
        <f t="array" ref="BZ94">SUMPRODUCT(
  IF($B94:$K94&lt;&gt;"",
     INDEX('Eurostat EB products IEA'!$A$4:$BN$135,
           MATCH($B94:$K94, 'Eurostat EB products IEA'!$A$4:$A$135, 0),
           MATCH(BZ$1, 'Eurostat EB products IEA'!$A$4:$BN$4, 0)
     )
     * $L94:$U94,
     0
  )
)</f>
        <v>0</v>
      </c>
      <c r="CA94" s="17" cm="1">
        <f t="array" ref="CA94">SUMPRODUCT(
  IF($B94:$K94&lt;&gt;"",
     INDEX('Eurostat EB products IEA'!$A$4:$BN$135,
           MATCH($B94:$K94, 'Eurostat EB products IEA'!$A$4:$A$135, 0),
           MATCH(CA$1, 'Eurostat EB products IEA'!$A$4:$BN$4, 0)
     )
     * $L94:$U94,
     0
  )
)</f>
        <v>0</v>
      </c>
      <c r="CB94" s="17" cm="1">
        <f t="array" ref="CB94">SUMPRODUCT(
  IF($B94:$K94&lt;&gt;"",
     INDEX('Eurostat EB products IEA'!$A$4:$BN$135,
           MATCH($B94:$K94, 'Eurostat EB products IEA'!$A$4:$A$135, 0),
           MATCH(CB$1, 'Eurostat EB products IEA'!$A$4:$BN$4, 0)
     )
     * $L94:$U94,
     0
  )
)</f>
        <v>0</v>
      </c>
      <c r="CC94" s="17" cm="1">
        <f t="array" ref="CC94">SUMPRODUCT(
  IF($B94:$K94&lt;&gt;"",
     INDEX('Eurostat EB products IEA'!$A$4:$BN$135,
           MATCH($B94:$K94, 'Eurostat EB products IEA'!$A$4:$A$135, 0),
           MATCH(CC$1, 'Eurostat EB products IEA'!$A$4:$BN$4, 0)
     )
     * $L94:$U94,
     0
  )
)</f>
        <v>0</v>
      </c>
      <c r="CD94" s="65">
        <v>0</v>
      </c>
      <c r="CE94" s="17" cm="1">
        <f t="array" ref="CE94">SUMPRODUCT(
  IF($B94:$K94&lt;&gt;"",
     INDEX('Eurostat EB products IEA'!$A$4:$BN$135,
           MATCH($B94:$K94, 'Eurostat EB products IEA'!$A$4:$A$135, 0),
           MATCH(CE$1, 'Eurostat EB products IEA'!$A$4:$BN$4, 0)
     )
     * $L94:$U94,
     0
  )
)</f>
        <v>0</v>
      </c>
      <c r="CF94" s="17" cm="1">
        <f t="array" ref="CF94">SUMPRODUCT(
  IF($B94:$K94&lt;&gt;"",
     INDEX('Eurostat EB products IEA'!$A$4:$BN$135,
           MATCH($B94:$K94, 'Eurostat EB products IEA'!$A$4:$A$135, 0),
           MATCH(CF$1, 'Eurostat EB products IEA'!$A$4:$BN$4, 0)
     )
     * $L94:$U94,
     0
  )
)</f>
        <v>0</v>
      </c>
      <c r="CG94" s="17" cm="1">
        <f t="array" ref="CG94">SUMPRODUCT(
  IF($B94:$K94&lt;&gt;"",
     INDEX('Eurostat EB products IEA'!$A$4:$BN$135,
           MATCH($B94:$K94, 'Eurostat EB products IEA'!$A$4:$A$135, 0),
           MATCH(CG$1, 'Eurostat EB products IEA'!$A$4:$BN$4, 0)
     )
     * $L94:$U94,
     0
  )
)</f>
        <v>17195.844000000001</v>
      </c>
      <c r="CH94" s="17" cm="1">
        <f t="array" ref="CH94">SUMPRODUCT(
  IF($B94:$K94&lt;&gt;"",
     INDEX('Eurostat EB products IEA'!$A$4:$BN$135,
           MATCH($B94:$K94, 'Eurostat EB products IEA'!$A$4:$A$135, 0),
           MATCH(CH$1, 'Eurostat EB products IEA'!$A$4:$BN$4, 0)
     )
     * $L94:$U94,
     0
  )
)</f>
        <v>3855.6239999999998</v>
      </c>
    </row>
    <row r="95" spans="1:86" x14ac:dyDescent="0.2">
      <c r="A95" t="s">
        <v>200</v>
      </c>
      <c r="B95" s="75"/>
      <c r="C95" s="77"/>
      <c r="D95" s="75"/>
      <c r="E95" s="77"/>
      <c r="F95" s="75"/>
      <c r="G95" s="77"/>
      <c r="H95" s="75"/>
      <c r="I95" s="77"/>
      <c r="J95" s="74"/>
      <c r="K95" s="78" t="s">
        <v>321</v>
      </c>
      <c r="L95" s="76"/>
      <c r="M95" s="79"/>
      <c r="N95" s="76"/>
      <c r="O95" s="79"/>
      <c r="P95" s="76"/>
      <c r="Q95" s="79"/>
      <c r="R95" s="76"/>
      <c r="S95" s="79"/>
      <c r="T95" s="76"/>
      <c r="U95" s="79">
        <v>1</v>
      </c>
      <c r="V95" s="65" t="s">
        <v>323</v>
      </c>
      <c r="W95" s="65" t="s">
        <v>323</v>
      </c>
      <c r="X95" s="57" cm="1">
        <f t="array" ref="X95">SUMPRODUCT(
  IF($B95:$K95&lt;&gt;"",
     INDEX('Eurostat EB products IEA'!$A$4:$BN$135,
           MATCH($B95:$K95, 'Eurostat EB products IEA'!$A$4:$A$135, 0),
           MATCH(X$1, 'Eurostat EB products IEA'!$A$4:$BN$4, 0)
     )
     * $L95:$U95,
     0
  )
)</f>
        <v>0</v>
      </c>
      <c r="Y95" s="57" cm="1">
        <f t="array" ref="Y95">SUMPRODUCT(
  IF($B95:$K95&lt;&gt;"",
     INDEX('Eurostat EB products IEA'!$A$4:$BN$135,
           MATCH($B95:$K95, 'Eurostat EB products IEA'!$A$4:$A$135, 0),
           MATCH(Y$1, 'Eurostat EB products IEA'!$A$4:$BN$4, 0)
     )
     * $L95:$U95,
     0
  )
)</f>
        <v>0</v>
      </c>
      <c r="Z95" s="57" cm="1">
        <f t="array" ref="Z95">SUMPRODUCT(
  IF($B95:$K95&lt;&gt;"",
     INDEX('Eurostat EB products IEA'!$A$4:$BN$135,
           MATCH($B95:$K95, 'Eurostat EB products IEA'!$A$4:$A$135, 0),
           MATCH(Z$1, 'Eurostat EB products IEA'!$A$4:$BN$4, 0)
     )
     * $L95:$U95,
     0
  )
)</f>
        <v>0</v>
      </c>
      <c r="AA95" s="57" cm="1">
        <f t="array" ref="AA95">SUMPRODUCT(
  IF($B95:$K95&lt;&gt;"",
     INDEX('Eurostat EB products IEA'!$A$4:$BN$135,
           MATCH($B95:$K95, 'Eurostat EB products IEA'!$A$4:$A$135, 0),
           MATCH(AA$1, 'Eurostat EB products IEA'!$A$4:$BN$4, 0)
     )
     * $L95:$U95,
     0
  )
)</f>
        <v>0</v>
      </c>
      <c r="AB95" s="57" cm="1">
        <f t="array" ref="AB95">SUMPRODUCT(
  IF($B95:$K95&lt;&gt;"",
     INDEX('Eurostat EB products IEA'!$A$4:$BN$135,
           MATCH($B95:$K95, 'Eurostat EB products IEA'!$A$4:$A$135, 0),
           MATCH(AB$1, 'Eurostat EB products IEA'!$A$4:$BN$4, 0)
     )
     * $L95:$U95,
     0
  )
)</f>
        <v>0</v>
      </c>
      <c r="AC95" s="57" cm="1">
        <f t="array" ref="AC95">SUMPRODUCT(
  IF($B95:$K95&lt;&gt;"",
     INDEX('Eurostat EB products IEA'!$A$4:$BN$135,
           MATCH($B95:$K95, 'Eurostat EB products IEA'!$A$4:$A$135, 0),
           MATCH(AC$1, 'Eurostat EB products IEA'!$A$4:$BN$4, 0)
     )
     * $L95:$U95,
     0
  )
)</f>
        <v>0</v>
      </c>
      <c r="AD95" s="57" cm="1">
        <f t="array" ref="AD95">SUMPRODUCT(
  IF($B95:$K95&lt;&gt;"",
     INDEX('Eurostat EB products IEA'!$A$4:$BN$135,
           MATCH($B95:$K95, 'Eurostat EB products IEA'!$A$4:$A$135, 0),
           MATCH(AD$1, 'Eurostat EB products IEA'!$A$4:$BN$4, 0)
     )
     * $L95:$U95,
     0
  )
)</f>
        <v>0</v>
      </c>
      <c r="AE95" s="57" cm="1">
        <f t="array" ref="AE95">SUMPRODUCT(
  IF($B95:$K95&lt;&gt;"",
     INDEX('Eurostat EB products IEA'!$A$4:$BN$135,
           MATCH($B95:$K95, 'Eurostat EB products IEA'!$A$4:$A$135, 0),
           MATCH(AE$1, 'Eurostat EB products IEA'!$A$4:$BN$4, 0)
     )
     * $L95:$U95,
     0
  )
)</f>
        <v>0</v>
      </c>
      <c r="AF95" s="57" cm="1">
        <f t="array" ref="AF95">SUMPRODUCT(
  IF($B95:$K95&lt;&gt;"",
     INDEX('Eurostat EB products IEA'!$A$4:$BN$135,
           MATCH($B95:$K95, 'Eurostat EB products IEA'!$A$4:$A$135, 0),
           MATCH(AF$1, 'Eurostat EB products IEA'!$A$4:$BN$4, 0)
     )
     * $L95:$U95,
     0
  )
)</f>
        <v>0</v>
      </c>
      <c r="AG95" s="57" cm="1">
        <f t="array" ref="AG95">SUMPRODUCT(
  IF($B95:$K95&lt;&gt;"",
     INDEX('Eurostat EB products IEA'!$A$4:$BN$135,
           MATCH($B95:$K95, 'Eurostat EB products IEA'!$A$4:$A$135, 0),
           MATCH(AG$1, 'Eurostat EB products IEA'!$A$4:$BN$4, 0)
     )
     * $L95:$U95,
     0
  )
)</f>
        <v>0</v>
      </c>
      <c r="AH95" s="57" cm="1">
        <f t="array" ref="AH95">SUMPRODUCT(
  IF($B95:$K95&lt;&gt;"",
     INDEX('Eurostat EB products IEA'!$A$4:$BN$135,
           MATCH($B95:$K95, 'Eurostat EB products IEA'!$A$4:$A$135, 0),
           MATCH(AH$1, 'Eurostat EB products IEA'!$A$4:$BN$4, 0)
     )
     * $L95:$U95,
     0
  )
)</f>
        <v>0</v>
      </c>
      <c r="AI95" s="57" cm="1">
        <f t="array" ref="AI95">SUMPRODUCT(
  IF($B95:$K95&lt;&gt;"",
     INDEX('Eurostat EB products IEA'!$A$4:$BN$135,
           MATCH($B95:$K95, 'Eurostat EB products IEA'!$A$4:$A$135, 0),
           MATCH(AI$1, 'Eurostat EB products IEA'!$A$4:$BN$4, 0)
     )
     * $L95:$U95,
     0
  )
)</f>
        <v>0</v>
      </c>
      <c r="AJ95" s="57" cm="1">
        <f t="array" ref="AJ95">SUMPRODUCT(
  IF($B95:$K95&lt;&gt;"",
     INDEX('Eurostat EB products IEA'!$A$4:$BN$135,
           MATCH($B95:$K95, 'Eurostat EB products IEA'!$A$4:$A$135, 0),
           MATCH(AJ$1, 'Eurostat EB products IEA'!$A$4:$BN$4, 0)
     )
     * $L95:$U95,
     0
  )
)</f>
        <v>0</v>
      </c>
      <c r="AK95" s="57" cm="1">
        <f t="array" ref="AK95">SUMPRODUCT(
  IF($B95:$K95&lt;&gt;"",
     INDEX('Eurostat EB products IEA'!$A$4:$BN$135,
           MATCH($B95:$K95, 'Eurostat EB products IEA'!$A$4:$A$135, 0),
           MATCH(AK$1, 'Eurostat EB products IEA'!$A$4:$BN$4, 0)
     )
     * $L95:$U95,
     0
  )
)</f>
        <v>0</v>
      </c>
      <c r="AL95" s="57" cm="1">
        <f t="array" ref="AL95">SUMPRODUCT(
  IF($B95:$K95&lt;&gt;"",
     INDEX('Eurostat EB products IEA'!$A$4:$BN$135,
           MATCH($B95:$K95, 'Eurostat EB products IEA'!$A$4:$A$135, 0),
           MATCH(AL$1, 'Eurostat EB products IEA'!$A$4:$BN$4, 0)
     )
     * $L95:$U95,
     0
  )
)</f>
        <v>0</v>
      </c>
      <c r="AM95" s="57" cm="1">
        <f t="array" ref="AM95">SUMPRODUCT(
  IF($B95:$K95&lt;&gt;"",
     INDEX('Eurostat EB products IEA'!$A$4:$BN$135,
           MATCH($B95:$K95, 'Eurostat EB products IEA'!$A$4:$A$135, 0),
           MATCH(AM$1, 'Eurostat EB products IEA'!$A$4:$BN$4, 0)
     )
     * $L95:$U95,
     0
  )
)</f>
        <v>1734.116</v>
      </c>
      <c r="AN95" s="65" t="s">
        <v>323</v>
      </c>
      <c r="AO95" s="57" cm="1">
        <f t="array" ref="AO95">SUMPRODUCT(
  IF($B95:$K95&lt;&gt;"",
     INDEX('Eurostat EB products IEA'!$A$4:$BN$135,
           MATCH($B95:$K95, 'Eurostat EB products IEA'!$A$4:$A$135, 0),
           MATCH(AO$1, 'Eurostat EB products IEA'!$A$4:$BN$4, 0)
     )
     * $L95:$U95,
     0
  )
)</f>
        <v>0</v>
      </c>
      <c r="AP95" s="57" cm="1">
        <f t="array" ref="AP95">SUMPRODUCT(
  IF($B95:$K95&lt;&gt;"",
     INDEX('Eurostat EB products IEA'!$A$4:$BN$135,
           MATCH($B95:$K95, 'Eurostat EB products IEA'!$A$4:$A$135, 0),
           MATCH(AP$1, 'Eurostat EB products IEA'!$A$4:$BN$4, 0)
     )
     * $L95:$U95,
     0
  )
)</f>
        <v>0</v>
      </c>
      <c r="AQ95" s="57" cm="1">
        <f t="array" ref="AQ95">SUMPRODUCT(
  IF($B95:$K95&lt;&gt;"",
     INDEX('Eurostat EB products IEA'!$A$4:$BN$135,
           MATCH($B95:$K95, 'Eurostat EB products IEA'!$A$4:$A$135, 0),
           MATCH(AQ$1, 'Eurostat EB products IEA'!$A$4:$BN$4, 0)
     )
     * $L95:$U95,
     0
  )
)</f>
        <v>0</v>
      </c>
      <c r="AR95" s="57" cm="1">
        <f t="array" ref="AR95">SUMPRODUCT(
  IF($B95:$K95&lt;&gt;"",
     INDEX('Eurostat EB products IEA'!$A$4:$BN$135,
           MATCH($B95:$K95, 'Eurostat EB products IEA'!$A$4:$A$135, 0),
           MATCH(AR$1, 'Eurostat EB products IEA'!$A$4:$BN$4, 0)
     )
     * $L95:$U95,
     0
  )
)</f>
        <v>0</v>
      </c>
      <c r="AS95" s="57" cm="1">
        <f t="array" ref="AS95">SUMPRODUCT(
  IF($B95:$K95&lt;&gt;"",
     INDEX('Eurostat EB products IEA'!$A$4:$BN$135,
           MATCH($B95:$K95, 'Eurostat EB products IEA'!$A$4:$A$135, 0),
           MATCH(AS$1, 'Eurostat EB products IEA'!$A$4:$BN$4, 0)
     )
     * $L95:$U95,
     0
  )
)</f>
        <v>0</v>
      </c>
      <c r="AT95" s="57" cm="1">
        <f t="array" ref="AT95">SUMPRODUCT(
  IF($B95:$K95&lt;&gt;"",
     INDEX('Eurostat EB products IEA'!$A$4:$BN$135,
           MATCH($B95:$K95, 'Eurostat EB products IEA'!$A$4:$A$135, 0),
           MATCH(AT$1, 'Eurostat EB products IEA'!$A$4:$BN$4, 0)
     )
     * $L95:$U95,
     0
  )
)</f>
        <v>683.08100000000002</v>
      </c>
      <c r="AU95" s="57" cm="1">
        <f t="array" ref="AU95">SUMPRODUCT(
  IF($B95:$K95&lt;&gt;"",
     INDEX('Eurostat EB products IEA'!$A$4:$BN$135,
           MATCH($B95:$K95, 'Eurostat EB products IEA'!$A$4:$A$135, 0),
           MATCH(AU$1, 'Eurostat EB products IEA'!$A$4:$BN$4, 0)
     )
     * $L95:$U95,
     0
  )
)</f>
        <v>0</v>
      </c>
      <c r="AV95" s="57" cm="1">
        <f t="array" ref="AV95">SUMPRODUCT(
  IF($B95:$K95&lt;&gt;"",
     INDEX('Eurostat EB products IEA'!$A$4:$BN$135,
           MATCH($B95:$K95, 'Eurostat EB products IEA'!$A$4:$A$135, 0),
           MATCH(AV$1, 'Eurostat EB products IEA'!$A$4:$BN$4, 0)
     )
     * $L95:$U95,
     0
  )
)</f>
        <v>0</v>
      </c>
      <c r="AW95" s="57" cm="1">
        <f t="array" ref="AW95">SUMPRODUCT(
  IF($B95:$K95&lt;&gt;"",
     INDEX('Eurostat EB products IEA'!$A$4:$BN$135,
           MATCH($B95:$K95, 'Eurostat EB products IEA'!$A$4:$A$135, 0),
           MATCH(AW$1, 'Eurostat EB products IEA'!$A$4:$BN$4, 0)
     )
     * $L95:$U95,
     0
  )
)</f>
        <v>0</v>
      </c>
      <c r="AX95" s="57" cm="1">
        <f t="array" ref="AX95">SUMPRODUCT(
  IF($B95:$K95&lt;&gt;"",
     INDEX('Eurostat EB products IEA'!$A$4:$BN$135,
           MATCH($B95:$K95, 'Eurostat EB products IEA'!$A$4:$A$135, 0),
           MATCH(AX$1, 'Eurostat EB products IEA'!$A$4:$BN$4, 0)
     )
     * $L95:$U95,
     0
  )
)</f>
        <v>0</v>
      </c>
      <c r="AY95" s="57" cm="1">
        <f t="array" ref="AY95">SUMPRODUCT(
  IF($B95:$K95&lt;&gt;"",
     INDEX('Eurostat EB products IEA'!$A$4:$BN$135,
           MATCH($B95:$K95, 'Eurostat EB products IEA'!$A$4:$A$135, 0),
           MATCH(AY$1, 'Eurostat EB products IEA'!$A$4:$BN$4, 0)
     )
     * $L95:$U95,
     0
  )
)</f>
        <v>0</v>
      </c>
      <c r="AZ95" s="57" cm="1">
        <f t="array" ref="AZ95">SUMPRODUCT(
  IF($B95:$K95&lt;&gt;"",
     INDEX('Eurostat EB products IEA'!$A$4:$BN$135,
           MATCH($B95:$K95, 'Eurostat EB products IEA'!$A$4:$A$135, 0),
           MATCH(AZ$1, 'Eurostat EB products IEA'!$A$4:$BN$4, 0)
     )
     * $L95:$U95,
     0
  )
)</f>
        <v>0</v>
      </c>
      <c r="BA95" s="57" cm="1">
        <f t="array" ref="BA95">SUMPRODUCT(
  IF($B95:$K95&lt;&gt;"",
     INDEX('Eurostat EB products IEA'!$A$4:$BN$135,
           MATCH($B95:$K95, 'Eurostat EB products IEA'!$A$4:$A$135, 0),
           MATCH(BA$1, 'Eurostat EB products IEA'!$A$4:$BN$4, 0)
     )
     * $L95:$U95,
     0
  )
)</f>
        <v>0</v>
      </c>
      <c r="BB95" s="57" cm="1">
        <f t="array" ref="BB95">SUMPRODUCT(
  IF($B95:$K95&lt;&gt;"",
     INDEX('Eurostat EB products IEA'!$A$4:$BN$135,
           MATCH($B95:$K95, 'Eurostat EB products IEA'!$A$4:$A$135, 0),
           MATCH(BB$1, 'Eurostat EB products IEA'!$A$4:$BN$4, 0)
     )
     * $L95:$U95,
     0
  )
)</f>
        <v>0</v>
      </c>
      <c r="BC95" s="57" cm="1">
        <f t="array" ref="BC95">SUMPRODUCT(
  IF($B95:$K95&lt;&gt;"",
     INDEX('Eurostat EB products IEA'!$A$4:$BN$135,
           MATCH($B95:$K95, 'Eurostat EB products IEA'!$A$4:$A$135, 0),
           MATCH(BC$1, 'Eurostat EB products IEA'!$A$4:$BN$4, 0)
     )
     * $L95:$U95,
     0
  )
)</f>
        <v>0</v>
      </c>
      <c r="BD95" s="57" cm="1">
        <f t="array" ref="BD95">SUMPRODUCT(
  IF($B95:$K95&lt;&gt;"",
     INDEX('Eurostat EB products IEA'!$A$4:$BN$135,
           MATCH($B95:$K95, 'Eurostat EB products IEA'!$A$4:$A$135, 0),
           MATCH(BD$1, 'Eurostat EB products IEA'!$A$4:$BN$4, 0)
     )
     * $L95:$U95,
     0
  )
)</f>
        <v>0</v>
      </c>
      <c r="BE95" s="57" cm="1">
        <f t="array" ref="BE95">SUMPRODUCT(
  IF($B95:$K95&lt;&gt;"",
     INDEX('Eurostat EB products IEA'!$A$4:$BN$135,
           MATCH($B95:$K95, 'Eurostat EB products IEA'!$A$4:$A$135, 0),
           MATCH(BE$1, 'Eurostat EB products IEA'!$A$4:$BN$4, 0)
     )
     * $L95:$U95,
     0
  )
)</f>
        <v>0</v>
      </c>
      <c r="BF95" s="57" cm="1">
        <f t="array" ref="BF95">SUMPRODUCT(
  IF($B95:$K95&lt;&gt;"",
     INDEX('Eurostat EB products IEA'!$A$4:$BN$135,
           MATCH($B95:$K95, 'Eurostat EB products IEA'!$A$4:$A$135, 0),
           MATCH(BF$1, 'Eurostat EB products IEA'!$A$4:$BN$4, 0)
     )
     * $L95:$U95,
     0
  )
)</f>
        <v>0</v>
      </c>
      <c r="BG95" s="57" cm="1">
        <f t="array" ref="BG95">SUMPRODUCT(
  IF($B95:$K95&lt;&gt;"",
     INDEX('Eurostat EB products IEA'!$A$4:$BN$135,
           MATCH($B95:$K95, 'Eurostat EB products IEA'!$A$4:$A$135, 0),
           MATCH(BG$1, 'Eurostat EB products IEA'!$A$4:$BN$4, 0)
     )
     * $L95:$U95,
     0
  )
)</f>
        <v>0</v>
      </c>
      <c r="BH95" s="57" cm="1">
        <f t="array" ref="BH95">SUMPRODUCT(
  IF($B95:$K95&lt;&gt;"",
     INDEX('Eurostat EB products IEA'!$A$4:$BN$135,
           MATCH($B95:$K95, 'Eurostat EB products IEA'!$A$4:$A$135, 0),
           MATCH(BH$1, 'Eurostat EB products IEA'!$A$4:$BN$4, 0)
     )
     * $L95:$U95,
     0
  )
)</f>
        <v>0</v>
      </c>
      <c r="BI95" s="57" cm="1">
        <f t="array" ref="BI95">SUMPRODUCT(
  IF($B95:$K95&lt;&gt;"",
     INDEX('Eurostat EB products IEA'!$A$4:$BN$135,
           MATCH($B95:$K95, 'Eurostat EB products IEA'!$A$4:$A$135, 0),
           MATCH(BI$1, 'Eurostat EB products IEA'!$A$4:$BN$4, 0)
     )
     * $L95:$U95,
     0
  )
)</f>
        <v>0</v>
      </c>
      <c r="BJ95" s="57" cm="1">
        <f t="array" ref="BJ95">SUMPRODUCT(
  IF($B95:$K95&lt;&gt;"",
     INDEX('Eurostat EB products IEA'!$A$4:$BN$135,
           MATCH($B95:$K95, 'Eurostat EB products IEA'!$A$4:$A$135, 0),
           MATCH(BJ$1, 'Eurostat EB products IEA'!$A$4:$BN$4, 0)
     )
     * $L95:$U95,
     0
  )
)</f>
        <v>0</v>
      </c>
      <c r="BK95" s="57" cm="1">
        <f t="array" ref="BK95">SUMPRODUCT(
  IF($B95:$K95&lt;&gt;"",
     INDEX('Eurostat EB products IEA'!$A$4:$BN$135,
           MATCH($B95:$K95, 'Eurostat EB products IEA'!$A$4:$A$135, 0),
           MATCH(BK$1, 'Eurostat EB products IEA'!$A$4:$BN$4, 0)
     )
     * $L95:$U95,
     0
  )
)</f>
        <v>479.54199999999997</v>
      </c>
      <c r="BL95" s="57" cm="1">
        <f t="array" ref="BL95">SUMPRODUCT(
  IF($B95:$K95&lt;&gt;"",
     INDEX('Eurostat EB products IEA'!$A$4:$BN$135,
           MATCH($B95:$K95, 'Eurostat EB products IEA'!$A$4:$A$135, 0),
           MATCH(BL$1, 'Eurostat EB products IEA'!$A$4:$BN$4, 0)
     )
     * $L95:$U95,
     0
  )
)</f>
        <v>0</v>
      </c>
      <c r="BM95" s="57" cm="1">
        <f t="array" ref="BM95">SUMPRODUCT(
  IF($B95:$K95&lt;&gt;"",
     INDEX('Eurostat EB products IEA'!$A$4:$BN$135,
           MATCH($B95:$K95, 'Eurostat EB products IEA'!$A$4:$A$135, 0),
           MATCH(BM$1, 'Eurostat EB products IEA'!$A$4:$BN$4, 0)
     )
     * $L95:$U95,
     0
  )
)</f>
        <v>0</v>
      </c>
      <c r="BN95" s="57" cm="1">
        <f t="array" ref="BN95">SUMPRODUCT(
  IF($B95:$K95&lt;&gt;"",
     INDEX('Eurostat EB products IEA'!$A$4:$BN$135,
           MATCH($B95:$K95, 'Eurostat EB products IEA'!$A$4:$A$135, 0),
           MATCH(BN$1, 'Eurostat EB products IEA'!$A$4:$BN$4, 0)
     )
     * $L95:$U95,
     0
  )
)</f>
        <v>3.47</v>
      </c>
      <c r="BO95" s="57" cm="1">
        <f t="array" ref="BO95">SUMPRODUCT(
  IF($B95:$K95&lt;&gt;"",
     INDEX('Eurostat EB products IEA'!$A$4:$BN$135,
           MATCH($B95:$K95, 'Eurostat EB products IEA'!$A$4:$A$135, 0),
           MATCH(BO$1, 'Eurostat EB products IEA'!$A$4:$BN$4, 0)
     )
     * $L95:$U95,
     0
  )
)</f>
        <v>0.28299999999999997</v>
      </c>
      <c r="BP95" s="57" cm="1">
        <f t="array" ref="BP95">SUMPRODUCT(
  IF($B95:$K95&lt;&gt;"",
     INDEX('Eurostat EB products IEA'!$A$4:$BN$135,
           MATCH($B95:$K95, 'Eurostat EB products IEA'!$A$4:$A$135, 0),
           MATCH(BP$1, 'Eurostat EB products IEA'!$A$4:$BN$4, 0)
     )
     * $L95:$U95,
     0
  )
)</f>
        <v>0</v>
      </c>
      <c r="BQ95" s="57" cm="1">
        <f t="array" ref="BQ95">SUMPRODUCT(
  IF($B95:$K95&lt;&gt;"",
     INDEX('Eurostat EB products IEA'!$A$4:$BN$135,
           MATCH($B95:$K95, 'Eurostat EB products IEA'!$A$4:$A$135, 0),
           MATCH(BQ$1, 'Eurostat EB products IEA'!$A$4:$BN$4, 0)
     )
     * $L95:$U95,
     0
  )
)</f>
        <v>0</v>
      </c>
      <c r="BR95" s="57" cm="1">
        <f t="array" ref="BR95">SUMPRODUCT(
  IF($B95:$K95&lt;&gt;"",
     INDEX('Eurostat EB products IEA'!$A$4:$BN$135,
           MATCH($B95:$K95, 'Eurostat EB products IEA'!$A$4:$A$135, 0),
           MATCH(BR$1, 'Eurostat EB products IEA'!$A$4:$BN$4, 0)
     )
     * $L95:$U95,
     0
  )
)</f>
        <v>0</v>
      </c>
      <c r="BS95" s="65">
        <v>0</v>
      </c>
      <c r="BT95" s="57" cm="1">
        <f t="array" ref="BT95">SUMPRODUCT(
  IF($B95:$K95&lt;&gt;"",
     INDEX('Eurostat EB products IEA'!$A$4:$BN$135,
           MATCH($B95:$K95, 'Eurostat EB products IEA'!$A$4:$A$135, 0),
           MATCH(BT$1, 'Eurostat EB products IEA'!$A$4:$BN$4, 0)
     )
     * $L95:$U95,
     0
  )
)</f>
        <v>0</v>
      </c>
      <c r="BU95" s="65">
        <v>0</v>
      </c>
      <c r="BV95" s="65">
        <v>0</v>
      </c>
      <c r="BW95" s="57" cm="1">
        <f t="array" ref="BW95">SUMPRODUCT(
  IF($B95:$K95&lt;&gt;"",
     INDEX('Eurostat EB products IEA'!$A$4:$BN$135,
           MATCH($B95:$K95, 'Eurostat EB products IEA'!$A$4:$A$135, 0),
           MATCH(BW$1, 'Eurostat EB products IEA'!$A$4:$BN$4, 0)
     )
     * $L95:$U95,
     0
  )
)</f>
        <v>0</v>
      </c>
      <c r="BX95" s="57" cm="1">
        <f t="array" ref="BX95">SUMPRODUCT(
  IF($B95:$K95&lt;&gt;"",
     INDEX('Eurostat EB products IEA'!$A$4:$BN$135,
           MATCH($B95:$K95, 'Eurostat EB products IEA'!$A$4:$A$135, 0),
           MATCH(BX$1, 'Eurostat EB products IEA'!$A$4:$BN$4, 0)
     )
     * $L95:$U95,
     0
  )
)</f>
        <v>0</v>
      </c>
      <c r="BY95" s="57" cm="1">
        <f t="array" ref="BY95">SUMPRODUCT(
  IF($B95:$K95&lt;&gt;"",
     INDEX('Eurostat EB products IEA'!$A$4:$BN$135,
           MATCH($B95:$K95, 'Eurostat EB products IEA'!$A$4:$A$135, 0),
           MATCH(BY$1, 'Eurostat EB products IEA'!$A$4:$BN$4, 0)
     )
     * $L95:$U95,
     0
  )
)</f>
        <v>0</v>
      </c>
      <c r="BZ95" s="57" cm="1">
        <f t="array" ref="BZ95">SUMPRODUCT(
  IF($B95:$K95&lt;&gt;"",
     INDEX('Eurostat EB products IEA'!$A$4:$BN$135,
           MATCH($B95:$K95, 'Eurostat EB products IEA'!$A$4:$A$135, 0),
           MATCH(BZ$1, 'Eurostat EB products IEA'!$A$4:$BN$4, 0)
     )
     * $L95:$U95,
     0
  )
)</f>
        <v>0</v>
      </c>
      <c r="CA95" s="57" cm="1">
        <f t="array" ref="CA95">SUMPRODUCT(
  IF($B95:$K95&lt;&gt;"",
     INDEX('Eurostat EB products IEA'!$A$4:$BN$135,
           MATCH($B95:$K95, 'Eurostat EB products IEA'!$A$4:$A$135, 0),
           MATCH(CA$1, 'Eurostat EB products IEA'!$A$4:$BN$4, 0)
     )
     * $L95:$U95,
     0
  )
)</f>
        <v>0</v>
      </c>
      <c r="CB95" s="57" cm="1">
        <f t="array" ref="CB95">SUMPRODUCT(
  IF($B95:$K95&lt;&gt;"",
     INDEX('Eurostat EB products IEA'!$A$4:$BN$135,
           MATCH($B95:$K95, 'Eurostat EB products IEA'!$A$4:$A$135, 0),
           MATCH(CB$1, 'Eurostat EB products IEA'!$A$4:$BN$4, 0)
     )
     * $L95:$U95,
     0
  )
)</f>
        <v>0</v>
      </c>
      <c r="CC95" s="57" cm="1">
        <f t="array" ref="CC95">SUMPRODUCT(
  IF($B95:$K95&lt;&gt;"",
     INDEX('Eurostat EB products IEA'!$A$4:$BN$135,
           MATCH($B95:$K95, 'Eurostat EB products IEA'!$A$4:$A$135, 0),
           MATCH(CC$1, 'Eurostat EB products IEA'!$A$4:$BN$4, 0)
     )
     * $L95:$U95,
     0
  )
)</f>
        <v>0</v>
      </c>
      <c r="CD95" s="65">
        <v>0</v>
      </c>
      <c r="CE95" s="57" cm="1">
        <f t="array" ref="CE95">SUMPRODUCT(
  IF($B95:$K95&lt;&gt;"",
     INDEX('Eurostat EB products IEA'!$A$4:$BN$135,
           MATCH($B95:$K95, 'Eurostat EB products IEA'!$A$4:$A$135, 0),
           MATCH(CE$1, 'Eurostat EB products IEA'!$A$4:$BN$4, 0)
     )
     * $L95:$U95,
     0
  )
)</f>
        <v>0</v>
      </c>
      <c r="CF95" s="57" cm="1">
        <f t="array" ref="CF95">SUMPRODUCT(
  IF($B95:$K95&lt;&gt;"",
     INDEX('Eurostat EB products IEA'!$A$4:$BN$135,
           MATCH($B95:$K95, 'Eurostat EB products IEA'!$A$4:$A$135, 0),
           MATCH(CF$1, 'Eurostat EB products IEA'!$A$4:$BN$4, 0)
     )
     * $L95:$U95,
     0
  )
)</f>
        <v>0</v>
      </c>
      <c r="CG95" s="57" cm="1">
        <f t="array" ref="CG95">SUMPRODUCT(
  IF($B95:$K95&lt;&gt;"",
     INDEX('Eurostat EB products IEA'!$A$4:$BN$135,
           MATCH($B95:$K95, 'Eurostat EB products IEA'!$A$4:$A$135, 0),
           MATCH(CG$1, 'Eurostat EB products IEA'!$A$4:$BN$4, 0)
     )
     * $L95:$U95,
     0
  )
)</f>
        <v>10931.602999999999</v>
      </c>
      <c r="CH95" s="57" cm="1">
        <f t="array" ref="CH95">SUMPRODUCT(
  IF($B95:$K95&lt;&gt;"",
     INDEX('Eurostat EB products IEA'!$A$4:$BN$135,
           MATCH($B95:$K95, 'Eurostat EB products IEA'!$A$4:$A$135, 0),
           MATCH(CH$1, 'Eurostat EB products IEA'!$A$4:$BN$4, 0)
     )
     * $L95:$U95,
     0
  )
)</f>
        <v>21.515000000000001</v>
      </c>
    </row>
    <row r="96" spans="1:86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8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</row>
    <row r="103" spans="70:70" x14ac:dyDescent="0.2">
      <c r="BR103" t="s">
        <v>392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EC07-885B-804F-BC4B-82B9036E3828}">
  <sheetPr codeName="Sheet5">
    <tabColor rgb="FFB1A0C7"/>
  </sheetPr>
  <dimension ref="A1:BN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56" sqref="P56"/>
    </sheetView>
  </sheetViews>
  <sheetFormatPr baseColWidth="10" defaultRowHeight="16" x14ac:dyDescent="0.2"/>
  <cols>
    <col min="1" max="1" width="55.1640625" bestFit="1" customWidth="1"/>
  </cols>
  <sheetData>
    <row r="1" spans="1:66" x14ac:dyDescent="0.2">
      <c r="A1" t="s">
        <v>118</v>
      </c>
      <c r="B1" t="s">
        <v>119</v>
      </c>
      <c r="C1" t="s">
        <v>120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121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45</v>
      </c>
      <c r="T1" t="s">
        <v>122</v>
      </c>
      <c r="U1" t="s">
        <v>23</v>
      </c>
      <c r="V1" t="s">
        <v>24</v>
      </c>
      <c r="W1" t="s">
        <v>25</v>
      </c>
      <c r="X1" t="s">
        <v>123</v>
      </c>
      <c r="Y1" t="s">
        <v>27</v>
      </c>
      <c r="Z1" t="s">
        <v>28</v>
      </c>
      <c r="AA1" t="s">
        <v>29</v>
      </c>
      <c r="AB1" t="s">
        <v>124</v>
      </c>
      <c r="AC1" t="s">
        <v>125</v>
      </c>
      <c r="AD1" t="s">
        <v>32</v>
      </c>
      <c r="AE1" t="s">
        <v>126</v>
      </c>
      <c r="AF1" t="s">
        <v>127</v>
      </c>
      <c r="AG1" t="s">
        <v>35</v>
      </c>
      <c r="AH1" t="s">
        <v>128</v>
      </c>
      <c r="AI1" t="s">
        <v>38</v>
      </c>
      <c r="AJ1" t="s">
        <v>36</v>
      </c>
      <c r="AK1" t="s">
        <v>129</v>
      </c>
      <c r="AL1" t="s">
        <v>40</v>
      </c>
      <c r="AM1" t="s">
        <v>41</v>
      </c>
      <c r="AN1" t="s">
        <v>43</v>
      </c>
      <c r="AO1" t="s">
        <v>42</v>
      </c>
      <c r="AP1" t="s">
        <v>44</v>
      </c>
      <c r="AQ1" t="s">
        <v>130</v>
      </c>
      <c r="AR1" t="s">
        <v>131</v>
      </c>
      <c r="AS1" t="s">
        <v>132</v>
      </c>
      <c r="AT1" t="s">
        <v>53</v>
      </c>
      <c r="AU1" t="s">
        <v>55</v>
      </c>
      <c r="AV1" t="s">
        <v>133</v>
      </c>
      <c r="AW1" t="s">
        <v>134</v>
      </c>
      <c r="AX1" t="s">
        <v>63</v>
      </c>
      <c r="AY1" t="s">
        <v>135</v>
      </c>
      <c r="AZ1" t="s">
        <v>54</v>
      </c>
      <c r="BA1" t="s">
        <v>136</v>
      </c>
      <c r="BB1" t="s">
        <v>137</v>
      </c>
      <c r="BC1" t="s">
        <v>138</v>
      </c>
      <c r="BD1" t="s">
        <v>47</v>
      </c>
      <c r="BE1" t="s">
        <v>52</v>
      </c>
      <c r="BF1" t="s">
        <v>139</v>
      </c>
      <c r="BG1" t="s">
        <v>51</v>
      </c>
      <c r="BH1" t="s">
        <v>140</v>
      </c>
      <c r="BI1" t="s">
        <v>49</v>
      </c>
      <c r="BJ1" t="s">
        <v>94</v>
      </c>
      <c r="BK1" t="s">
        <v>70</v>
      </c>
      <c r="BL1" t="s">
        <v>69</v>
      </c>
      <c r="BM1" t="s">
        <v>1</v>
      </c>
      <c r="BN1" t="s">
        <v>141</v>
      </c>
    </row>
    <row r="2" spans="1:66" x14ac:dyDescent="0.2">
      <c r="A2" t="s">
        <v>142</v>
      </c>
    </row>
    <row r="3" spans="1:66" x14ac:dyDescent="0.2">
      <c r="A3" t="s">
        <v>143</v>
      </c>
      <c r="B3" t="str">
        <f>'Eurostat EB flows IEA'!V3</f>
        <v>x</v>
      </c>
      <c r="C3" t="str">
        <f>'Eurostat EB flows IEA'!W3</f>
        <v>x</v>
      </c>
      <c r="D3">
        <f>'Eurostat EB flows IEA'!X3</f>
        <v>0</v>
      </c>
      <c r="E3">
        <f>'Eurostat EB flows IEA'!Y3</f>
        <v>0</v>
      </c>
      <c r="F3">
        <f>'Eurostat EB flows IEA'!Z3</f>
        <v>0</v>
      </c>
      <c r="G3">
        <f>'Eurostat EB flows IEA'!AA3</f>
        <v>0</v>
      </c>
      <c r="H3">
        <f>'Eurostat EB flows IEA'!AB3</f>
        <v>0</v>
      </c>
      <c r="I3">
        <f>'Eurostat EB flows IEA'!AC3</f>
        <v>0</v>
      </c>
      <c r="J3">
        <f>'Eurostat EB flows IEA'!AD3</f>
        <v>0</v>
      </c>
      <c r="K3">
        <f>'Eurostat EB flows IEA'!AE3</f>
        <v>0</v>
      </c>
      <c r="L3">
        <f>'Eurostat EB flows IEA'!AF3</f>
        <v>0</v>
      </c>
      <c r="M3">
        <f>'Eurostat EB flows IEA'!AG3</f>
        <v>0</v>
      </c>
      <c r="N3">
        <f>'Eurostat EB flows IEA'!AH3</f>
        <v>0</v>
      </c>
      <c r="O3">
        <f>'Eurostat EB flows IEA'!AI3</f>
        <v>0</v>
      </c>
      <c r="P3">
        <f>'Eurostat EB flows IEA'!AJ3</f>
        <v>0</v>
      </c>
      <c r="Q3">
        <f>'Eurostat EB flows IEA'!AK3</f>
        <v>0</v>
      </c>
      <c r="R3">
        <f>'Eurostat EB flows IEA'!AL3</f>
        <v>0</v>
      </c>
      <c r="S3">
        <f>'Eurostat EB flows IEA'!AM3</f>
        <v>354715.59399999998</v>
      </c>
      <c r="T3" t="str">
        <f>'Eurostat EB flows IEA'!AN3</f>
        <v>x</v>
      </c>
      <c r="U3">
        <f>'Eurostat EB flows IEA'!AO3</f>
        <v>13646.322</v>
      </c>
      <c r="V3">
        <f>'Eurostat EB flows IEA'!AP3</f>
        <v>3753.5520000000001</v>
      </c>
      <c r="W3">
        <f>'Eurostat EB flows IEA'!AQ3</f>
        <v>0</v>
      </c>
      <c r="X3">
        <f>'Eurostat EB flows IEA'!AR3</f>
        <v>10744.539000000001</v>
      </c>
      <c r="Y3">
        <f>'Eurostat EB flows IEA'!AS3</f>
        <v>0</v>
      </c>
      <c r="Z3">
        <f>'Eurostat EB flows IEA'!AT3</f>
        <v>0</v>
      </c>
      <c r="AA3">
        <f>'Eurostat EB flows IEA'!AU3</f>
        <v>0</v>
      </c>
      <c r="AB3">
        <f>'Eurostat EB flows IEA'!AV3</f>
        <v>0</v>
      </c>
      <c r="AC3">
        <f>'Eurostat EB flows IEA'!AW3</f>
        <v>0</v>
      </c>
      <c r="AD3">
        <f>'Eurostat EB flows IEA'!AX3</f>
        <v>0</v>
      </c>
      <c r="AE3">
        <f>'Eurostat EB flows IEA'!AY3</f>
        <v>0</v>
      </c>
      <c r="AF3">
        <f>'Eurostat EB flows IEA'!AZ3</f>
        <v>0</v>
      </c>
      <c r="AG3">
        <f>'Eurostat EB flows IEA'!BA3</f>
        <v>0</v>
      </c>
      <c r="AH3">
        <f>'Eurostat EB flows IEA'!BB3</f>
        <v>0</v>
      </c>
      <c r="AI3">
        <f>'Eurostat EB flows IEA'!BC3</f>
        <v>0</v>
      </c>
      <c r="AJ3">
        <f>'Eurostat EB flows IEA'!BD3</f>
        <v>0</v>
      </c>
      <c r="AK3">
        <f>'Eurostat EB flows IEA'!BE3</f>
        <v>0</v>
      </c>
      <c r="AL3">
        <f>'Eurostat EB flows IEA'!BF3</f>
        <v>0</v>
      </c>
      <c r="AM3">
        <f>'Eurostat EB flows IEA'!BG3</f>
        <v>0</v>
      </c>
      <c r="AN3">
        <f>'Eurostat EB flows IEA'!BH3</f>
        <v>0</v>
      </c>
      <c r="AO3">
        <f>'Eurostat EB flows IEA'!BI3</f>
        <v>0</v>
      </c>
      <c r="AP3">
        <f>'Eurostat EB flows IEA'!BJ3</f>
        <v>0</v>
      </c>
      <c r="AQ3">
        <f>'Eurostat EB flows IEA'!BK3</f>
        <v>1876.845</v>
      </c>
      <c r="AR3">
        <f>'Eurostat EB flows IEA'!BL3</f>
        <v>32443.485000000001</v>
      </c>
      <c r="AS3">
        <f>'Eurostat EB flows IEA'!BM3</f>
        <v>28770.636999999999</v>
      </c>
      <c r="AT3">
        <f>'Eurostat EB flows IEA'!BN3</f>
        <v>65069.523000000001</v>
      </c>
      <c r="AU3">
        <f>'Eurostat EB flows IEA'!BO3</f>
        <v>18758.186000000002</v>
      </c>
      <c r="AV3">
        <f>'Eurostat EB flows IEA'!BP3</f>
        <v>0</v>
      </c>
      <c r="AW3">
        <f>'Eurostat EB flows IEA'!BQ3</f>
        <v>79792.506999999998</v>
      </c>
      <c r="AX3">
        <f>'Eurostat EB flows IEA'!BR3</f>
        <v>529.77599999999995</v>
      </c>
      <c r="AY3">
        <f>'Eurostat EB flows IEA'!BS3</f>
        <v>0</v>
      </c>
      <c r="AZ3">
        <f>'Eurostat EB flows IEA'!BT3</f>
        <v>0</v>
      </c>
      <c r="BA3">
        <f>'Eurostat EB flows IEA'!BU3</f>
        <v>0</v>
      </c>
      <c r="BB3">
        <f>'Eurostat EB flows IEA'!BV3</f>
        <v>0</v>
      </c>
      <c r="BC3">
        <f>'Eurostat EB flows IEA'!BW3</f>
        <v>38959.053</v>
      </c>
      <c r="BD3">
        <f>'Eurostat EB flows IEA'!BX3</f>
        <v>249.72800000000001</v>
      </c>
      <c r="BE3">
        <f>'Eurostat EB flows IEA'!BY3</f>
        <v>6797.51</v>
      </c>
      <c r="BF3">
        <f>'Eurostat EB flows IEA'!BZ3</f>
        <v>70481.476999999999</v>
      </c>
      <c r="BG3">
        <f>'Eurostat EB flows IEA'!CA3</f>
        <v>1176</v>
      </c>
      <c r="BH3">
        <f>'Eurostat EB flows IEA'!CB3</f>
        <v>0</v>
      </c>
      <c r="BI3">
        <f>'Eurostat EB flows IEA'!CC3</f>
        <v>106290.292</v>
      </c>
      <c r="BJ3">
        <f>'Eurostat EB flows IEA'!CD3</f>
        <v>0</v>
      </c>
      <c r="BK3">
        <f>'Eurostat EB flows IEA'!CE3</f>
        <v>0</v>
      </c>
      <c r="BL3">
        <f>'Eurostat EB flows IEA'!CF3</f>
        <v>8031.1109999999999</v>
      </c>
      <c r="BM3">
        <f>'Eurostat EB flows IEA'!CG3</f>
        <v>867610.75</v>
      </c>
      <c r="BN3">
        <f>'Eurostat EB flows IEA'!CH3</f>
        <v>196593.47700000001</v>
      </c>
    </row>
    <row r="4" spans="1:66" x14ac:dyDescent="0.2">
      <c r="A4" t="s">
        <v>74</v>
      </c>
      <c r="B4" t="str">
        <f>'Eurostat EB flows IEA'!V4</f>
        <v>x</v>
      </c>
      <c r="C4" t="str">
        <f>'Eurostat EB flows IEA'!W4</f>
        <v>x</v>
      </c>
      <c r="D4">
        <f>'Eurostat EB flows IEA'!X4</f>
        <v>76.706999999999994</v>
      </c>
      <c r="E4">
        <f>'Eurostat EB flows IEA'!Y4</f>
        <v>104273.93</v>
      </c>
      <c r="F4">
        <f>'Eurostat EB flows IEA'!Z4</f>
        <v>70267.929999999993</v>
      </c>
      <c r="G4">
        <f>'Eurostat EB flows IEA'!AA4</f>
        <v>0</v>
      </c>
      <c r="H4">
        <f>'Eurostat EB flows IEA'!AB4</f>
        <v>312.82</v>
      </c>
      <c r="I4">
        <f>'Eurostat EB flows IEA'!AC4</f>
        <v>0</v>
      </c>
      <c r="J4">
        <f>'Eurostat EB flows IEA'!AD4</f>
        <v>1013.494</v>
      </c>
      <c r="K4">
        <f>'Eurostat EB flows IEA'!AE4</f>
        <v>0</v>
      </c>
      <c r="L4">
        <f>'Eurostat EB flows IEA'!AF4</f>
        <v>0</v>
      </c>
      <c r="M4">
        <f>'Eurostat EB flows IEA'!AG4</f>
        <v>0</v>
      </c>
      <c r="N4">
        <f>'Eurostat EB flows IEA'!AH4</f>
        <v>0</v>
      </c>
      <c r="O4">
        <f>'Eurostat EB flows IEA'!AI4</f>
        <v>0</v>
      </c>
      <c r="P4">
        <f>'Eurostat EB flows IEA'!AJ4</f>
        <v>0</v>
      </c>
      <c r="Q4">
        <f>'Eurostat EB flows IEA'!AK4</f>
        <v>0</v>
      </c>
      <c r="R4">
        <f>'Eurostat EB flows IEA'!AL4</f>
        <v>0</v>
      </c>
      <c r="S4">
        <f>'Eurostat EB flows IEA'!AM4</f>
        <v>1210080.142</v>
      </c>
      <c r="T4" t="str">
        <f>'Eurostat EB flows IEA'!AN4</f>
        <v>x</v>
      </c>
      <c r="U4">
        <f>'Eurostat EB flows IEA'!AO4</f>
        <v>2294919.9559999998</v>
      </c>
      <c r="V4">
        <f>'Eurostat EB flows IEA'!AP4</f>
        <v>342371.57</v>
      </c>
      <c r="W4">
        <f>'Eurostat EB flows IEA'!AQ4</f>
        <v>0</v>
      </c>
      <c r="X4">
        <f>'Eurostat EB flows IEA'!AR4</f>
        <v>49566.112999999998</v>
      </c>
      <c r="Y4">
        <f>'Eurostat EB flows IEA'!AS4</f>
        <v>0</v>
      </c>
      <c r="Z4">
        <f>'Eurostat EB flows IEA'!AT4</f>
        <v>0</v>
      </c>
      <c r="AA4">
        <f>'Eurostat EB flows IEA'!AU4</f>
        <v>0</v>
      </c>
      <c r="AB4">
        <f>'Eurostat EB flows IEA'!AV4</f>
        <v>154555.46400000001</v>
      </c>
      <c r="AC4">
        <f>'Eurostat EB flows IEA'!AW4</f>
        <v>283288.16499999998</v>
      </c>
      <c r="AD4">
        <f>'Eurostat EB flows IEA'!AX4</f>
        <v>15.135999999999999</v>
      </c>
      <c r="AE4">
        <f>'Eurostat EB flows IEA'!AY4</f>
        <v>0</v>
      </c>
      <c r="AF4">
        <f>'Eurostat EB flows IEA'!AZ4</f>
        <v>116138.49400000001</v>
      </c>
      <c r="AG4">
        <f>'Eurostat EB flows IEA'!BA4</f>
        <v>26215.852999999999</v>
      </c>
      <c r="AH4">
        <f>'Eurostat EB flows IEA'!BB4</f>
        <v>586131.10199999996</v>
      </c>
      <c r="AI4">
        <f>'Eurostat EB flows IEA'!BC4</f>
        <v>987993.85800000001</v>
      </c>
      <c r="AJ4">
        <f>'Eurostat EB flows IEA'!BD4</f>
        <v>809282.60400000005</v>
      </c>
      <c r="AK4">
        <f>'Eurostat EB flows IEA'!BE4</f>
        <v>91210.987999999998</v>
      </c>
      <c r="AL4">
        <f>'Eurostat EB flows IEA'!BF4</f>
        <v>98845.239000000001</v>
      </c>
      <c r="AM4">
        <f>'Eurostat EB flows IEA'!BG4</f>
        <v>19370.705000000002</v>
      </c>
      <c r="AN4">
        <f>'Eurostat EB flows IEA'!BH4</f>
        <v>8165.1869999999999</v>
      </c>
      <c r="AO4">
        <f>'Eurostat EB flows IEA'!BI4</f>
        <v>71527.952000000005</v>
      </c>
      <c r="AP4">
        <f>'Eurostat EB flows IEA'!BJ4</f>
        <v>34459.199999999997</v>
      </c>
      <c r="AQ4">
        <f>'Eurostat EB flows IEA'!BK4</f>
        <v>0</v>
      </c>
      <c r="AR4">
        <f>'Eurostat EB flows IEA'!BL4</f>
        <v>5345.8040000000001</v>
      </c>
      <c r="AS4">
        <f>'Eurostat EB flows IEA'!BM4</f>
        <v>4740.6189999999997</v>
      </c>
      <c r="AT4">
        <f>'Eurostat EB flows IEA'!BN4</f>
        <v>33247.449999999997</v>
      </c>
      <c r="AU4">
        <f>'Eurostat EB flows IEA'!BO4</f>
        <v>0</v>
      </c>
      <c r="AV4">
        <f>'Eurostat EB flows IEA'!BP4</f>
        <v>14512.148999999999</v>
      </c>
      <c r="AW4">
        <f>'Eurostat EB flows IEA'!BQ4</f>
        <v>0</v>
      </c>
      <c r="AX4">
        <f>'Eurostat EB flows IEA'!BR4</f>
        <v>0</v>
      </c>
      <c r="AY4">
        <f>'Eurostat EB flows IEA'!BS4</f>
        <v>0</v>
      </c>
      <c r="AZ4">
        <f>'Eurostat EB flows IEA'!BT4</f>
        <v>270</v>
      </c>
      <c r="BA4">
        <f>'Eurostat EB flows IEA'!BU4</f>
        <v>0</v>
      </c>
      <c r="BB4">
        <f>'Eurostat EB flows IEA'!BV4</f>
        <v>0</v>
      </c>
      <c r="BC4">
        <f>'Eurostat EB flows IEA'!BW4</f>
        <v>0</v>
      </c>
      <c r="BD4">
        <f>'Eurostat EB flows IEA'!BX4</f>
        <v>0</v>
      </c>
      <c r="BE4">
        <f>'Eurostat EB flows IEA'!BY4</f>
        <v>0</v>
      </c>
      <c r="BF4">
        <f>'Eurostat EB flows IEA'!BZ4</f>
        <v>0</v>
      </c>
      <c r="BG4">
        <f>'Eurostat EB flows IEA'!CA4</f>
        <v>0</v>
      </c>
      <c r="BH4">
        <f>'Eurostat EB flows IEA'!CB4</f>
        <v>0</v>
      </c>
      <c r="BI4">
        <f>'Eurostat EB flows IEA'!CC4</f>
        <v>0</v>
      </c>
      <c r="BJ4">
        <f>'Eurostat EB flows IEA'!CD4</f>
        <v>0</v>
      </c>
      <c r="BK4">
        <f>'Eurostat EB flows IEA'!CE4</f>
        <v>70367.782000000007</v>
      </c>
      <c r="BL4">
        <f>'Eurostat EB flows IEA'!CF4</f>
        <v>0</v>
      </c>
      <c r="BM4">
        <f>'Eurostat EB flows IEA'!CG4</f>
        <v>7491212.8370000003</v>
      </c>
      <c r="BN4">
        <f>'Eurostat EB flows IEA'!CH4</f>
        <v>73101.232000000004</v>
      </c>
    </row>
    <row r="5" spans="1:66" x14ac:dyDescent="0.2">
      <c r="A5" t="s">
        <v>75</v>
      </c>
      <c r="B5" t="str">
        <f>'Eurostat EB flows IEA'!V5</f>
        <v>x</v>
      </c>
      <c r="C5" t="str">
        <f>'Eurostat EB flows IEA'!W5</f>
        <v>x</v>
      </c>
      <c r="D5">
        <f>'Eurostat EB flows IEA'!X5</f>
        <v>0</v>
      </c>
      <c r="E5">
        <f>'Eurostat EB flows IEA'!Y5</f>
        <v>0</v>
      </c>
      <c r="F5">
        <f>'Eurostat EB flows IEA'!Z5</f>
        <v>0</v>
      </c>
      <c r="G5">
        <f>'Eurostat EB flows IEA'!AA5</f>
        <v>0</v>
      </c>
      <c r="H5">
        <f>'Eurostat EB flows IEA'!AB5</f>
        <v>0</v>
      </c>
      <c r="I5">
        <f>'Eurostat EB flows IEA'!AC5</f>
        <v>0</v>
      </c>
      <c r="J5">
        <f>'Eurostat EB flows IEA'!AD5</f>
        <v>-11551.995999999999</v>
      </c>
      <c r="K5">
        <f>'Eurostat EB flows IEA'!AE5</f>
        <v>0</v>
      </c>
      <c r="L5">
        <f>'Eurostat EB flows IEA'!AF5</f>
        <v>-2256.0639999999999</v>
      </c>
      <c r="M5">
        <f>'Eurostat EB flows IEA'!AG5</f>
        <v>0</v>
      </c>
      <c r="N5">
        <f>'Eurostat EB flows IEA'!AH5</f>
        <v>0</v>
      </c>
      <c r="O5">
        <f>'Eurostat EB flows IEA'!AI5</f>
        <v>0</v>
      </c>
      <c r="P5">
        <f>'Eurostat EB flows IEA'!AJ5</f>
        <v>0</v>
      </c>
      <c r="Q5">
        <f>'Eurostat EB flows IEA'!AK5</f>
        <v>0</v>
      </c>
      <c r="R5">
        <f>'Eurostat EB flows IEA'!AL5</f>
        <v>0</v>
      </c>
      <c r="S5">
        <f>'Eurostat EB flows IEA'!AM5</f>
        <v>-598477.35</v>
      </c>
      <c r="T5" t="str">
        <f>'Eurostat EB flows IEA'!AN5</f>
        <v>x</v>
      </c>
      <c r="U5">
        <f>'Eurostat EB flows IEA'!AO5</f>
        <v>-788.79700000000003</v>
      </c>
      <c r="V5">
        <f>'Eurostat EB flows IEA'!AP5</f>
        <v>-4516.0720000000001</v>
      </c>
      <c r="W5">
        <f>'Eurostat EB flows IEA'!AQ5</f>
        <v>0</v>
      </c>
      <c r="X5">
        <f>'Eurostat EB flows IEA'!AR5</f>
        <v>-41038.536</v>
      </c>
      <c r="Y5">
        <f>'Eurostat EB flows IEA'!AS5</f>
        <v>0</v>
      </c>
      <c r="Z5">
        <f>'Eurostat EB flows IEA'!AT5</f>
        <v>0</v>
      </c>
      <c r="AA5">
        <f>'Eurostat EB flows IEA'!AU5</f>
        <v>0</v>
      </c>
      <c r="AB5">
        <f>'Eurostat EB flows IEA'!AV5</f>
        <v>-95006.081000000006</v>
      </c>
      <c r="AC5">
        <f>'Eurostat EB flows IEA'!AW5</f>
        <v>-900051.24399999995</v>
      </c>
      <c r="AD5">
        <f>'Eurostat EB flows IEA'!AX5</f>
        <v>-2898.34</v>
      </c>
      <c r="AE5">
        <f>'Eurostat EB flows IEA'!AY5</f>
        <v>0</v>
      </c>
      <c r="AF5">
        <f>'Eurostat EB flows IEA'!AZ5</f>
        <v>-358648.68400000001</v>
      </c>
      <c r="AG5">
        <f>'Eurostat EB flows IEA'!BA5</f>
        <v>-36859.535000000003</v>
      </c>
      <c r="AH5">
        <f>'Eurostat EB flows IEA'!BB5</f>
        <v>-1113094.773</v>
      </c>
      <c r="AI5">
        <f>'Eurostat EB flows IEA'!BC5</f>
        <v>-930513.51100000006</v>
      </c>
      <c r="AJ5">
        <f>'Eurostat EB flows IEA'!BD5</f>
        <v>-586802.53200000001</v>
      </c>
      <c r="AK5">
        <f>'Eurostat EB flows IEA'!BE5</f>
        <v>-97476.262000000002</v>
      </c>
      <c r="AL5">
        <f>'Eurostat EB flows IEA'!BF5</f>
        <v>-116913.849</v>
      </c>
      <c r="AM5">
        <f>'Eurostat EB flows IEA'!BG5</f>
        <v>-52617.432999999997</v>
      </c>
      <c r="AN5">
        <f>'Eurostat EB flows IEA'!BH5</f>
        <v>-8041.7430000000004</v>
      </c>
      <c r="AO5">
        <f>'Eurostat EB flows IEA'!BI5</f>
        <v>-59454.565000000002</v>
      </c>
      <c r="AP5">
        <f>'Eurostat EB flows IEA'!BJ5</f>
        <v>-57225.262000000002</v>
      </c>
      <c r="AQ5">
        <f>'Eurostat EB flows IEA'!BK5</f>
        <v>0</v>
      </c>
      <c r="AR5">
        <f>'Eurostat EB flows IEA'!BL5</f>
        <v>-941.66700000000003</v>
      </c>
      <c r="AS5">
        <f>'Eurostat EB flows IEA'!BM5</f>
        <v>-835.06299999999999</v>
      </c>
      <c r="AT5">
        <f>'Eurostat EB flows IEA'!BN5</f>
        <v>-14253.745000000001</v>
      </c>
      <c r="AU5">
        <f>'Eurostat EB flows IEA'!BO5</f>
        <v>0</v>
      </c>
      <c r="AV5">
        <f>'Eurostat EB flows IEA'!BP5</f>
        <v>-3586.5450000000001</v>
      </c>
      <c r="AW5">
        <f>'Eurostat EB flows IEA'!BQ5</f>
        <v>-64463.71</v>
      </c>
      <c r="AX5">
        <f>'Eurostat EB flows IEA'!BR5</f>
        <v>0</v>
      </c>
      <c r="AY5">
        <f>'Eurostat EB flows IEA'!BS5</f>
        <v>0</v>
      </c>
      <c r="AZ5">
        <f>'Eurostat EB flows IEA'!BT5</f>
        <v>0</v>
      </c>
      <c r="BA5">
        <f>'Eurostat EB flows IEA'!BU5</f>
        <v>0</v>
      </c>
      <c r="BB5">
        <f>'Eurostat EB flows IEA'!BV5</f>
        <v>0</v>
      </c>
      <c r="BC5">
        <f>'Eurostat EB flows IEA'!BW5</f>
        <v>0</v>
      </c>
      <c r="BD5">
        <f>'Eurostat EB flows IEA'!BX5</f>
        <v>0</v>
      </c>
      <c r="BE5">
        <f>'Eurostat EB flows IEA'!BY5</f>
        <v>0</v>
      </c>
      <c r="BF5">
        <f>'Eurostat EB flows IEA'!BZ5</f>
        <v>0</v>
      </c>
      <c r="BG5">
        <f>'Eurostat EB flows IEA'!CA5</f>
        <v>0</v>
      </c>
      <c r="BH5">
        <f>'Eurostat EB flows IEA'!CB5</f>
        <v>0</v>
      </c>
      <c r="BI5">
        <f>'Eurostat EB flows IEA'!CC5</f>
        <v>0</v>
      </c>
      <c r="BJ5">
        <f>'Eurostat EB flows IEA'!CD5</f>
        <v>0</v>
      </c>
      <c r="BK5">
        <f>'Eurostat EB flows IEA'!CE5</f>
        <v>-90742.1</v>
      </c>
      <c r="BL5">
        <f>'Eurostat EB flows IEA'!CF5</f>
        <v>0</v>
      </c>
      <c r="BM5">
        <f>'Eurostat EB flows IEA'!CG5</f>
        <v>-5249055.4579999996</v>
      </c>
      <c r="BN5">
        <f>'Eurostat EB flows IEA'!CH5</f>
        <v>-95416.884000000005</v>
      </c>
    </row>
    <row r="6" spans="1:66" x14ac:dyDescent="0.2">
      <c r="A6" t="s">
        <v>144</v>
      </c>
      <c r="B6" t="str">
        <f>'Eurostat EB flows IEA'!V6</f>
        <v>x</v>
      </c>
      <c r="C6" t="str">
        <f>'Eurostat EB flows IEA'!W6</f>
        <v>x</v>
      </c>
      <c r="D6">
        <f>'Eurostat EB flows IEA'!X6</f>
        <v>0</v>
      </c>
      <c r="E6">
        <f>'Eurostat EB flows IEA'!Y6</f>
        <v>0</v>
      </c>
      <c r="F6">
        <f>'Eurostat EB flows IEA'!Z6</f>
        <v>0</v>
      </c>
      <c r="G6">
        <f>'Eurostat EB flows IEA'!AA6</f>
        <v>0</v>
      </c>
      <c r="H6">
        <f>'Eurostat EB flows IEA'!AB6</f>
        <v>0</v>
      </c>
      <c r="I6">
        <f>'Eurostat EB flows IEA'!AC6</f>
        <v>0</v>
      </c>
      <c r="J6">
        <f>'Eurostat EB flows IEA'!AD6</f>
        <v>0</v>
      </c>
      <c r="K6">
        <f>'Eurostat EB flows IEA'!AE6</f>
        <v>0</v>
      </c>
      <c r="L6">
        <f>'Eurostat EB flows IEA'!AF6</f>
        <v>0</v>
      </c>
      <c r="M6">
        <f>'Eurostat EB flows IEA'!AG6</f>
        <v>0</v>
      </c>
      <c r="N6">
        <f>'Eurostat EB flows IEA'!AH6</f>
        <v>0</v>
      </c>
      <c r="O6">
        <f>'Eurostat EB flows IEA'!AI6</f>
        <v>0</v>
      </c>
      <c r="P6">
        <f>'Eurostat EB flows IEA'!AJ6</f>
        <v>0</v>
      </c>
      <c r="Q6">
        <f>'Eurostat EB flows IEA'!AK6</f>
        <v>0</v>
      </c>
      <c r="R6">
        <f>'Eurostat EB flows IEA'!AL6</f>
        <v>0</v>
      </c>
      <c r="S6">
        <f>'Eurostat EB flows IEA'!AM6</f>
        <v>-8644.0669999999991</v>
      </c>
      <c r="T6" t="str">
        <f>'Eurostat EB flows IEA'!AN6</f>
        <v>x</v>
      </c>
      <c r="U6">
        <f>'Eurostat EB flows IEA'!AO6</f>
        <v>0</v>
      </c>
      <c r="V6">
        <f>'Eurostat EB flows IEA'!AP6</f>
        <v>0</v>
      </c>
      <c r="W6">
        <f>'Eurostat EB flows IEA'!AQ6</f>
        <v>0</v>
      </c>
      <c r="X6">
        <f>'Eurostat EB flows IEA'!AR6</f>
        <v>0</v>
      </c>
      <c r="Y6">
        <f>'Eurostat EB flows IEA'!AS6</f>
        <v>0</v>
      </c>
      <c r="Z6">
        <f>'Eurostat EB flows IEA'!AT6</f>
        <v>0</v>
      </c>
      <c r="AA6">
        <f>'Eurostat EB flows IEA'!AU6</f>
        <v>0</v>
      </c>
      <c r="AB6">
        <f>'Eurostat EB flows IEA'!AV6</f>
        <v>0</v>
      </c>
      <c r="AC6">
        <f>'Eurostat EB flows IEA'!AW6</f>
        <v>0</v>
      </c>
      <c r="AD6">
        <f>'Eurostat EB flows IEA'!AX6</f>
        <v>0</v>
      </c>
      <c r="AE6">
        <f>'Eurostat EB flows IEA'!AY6</f>
        <v>0</v>
      </c>
      <c r="AF6">
        <f>'Eurostat EB flows IEA'!AZ6</f>
        <v>0</v>
      </c>
      <c r="AG6">
        <f>'Eurostat EB flows IEA'!BA6</f>
        <v>0</v>
      </c>
      <c r="AH6">
        <f>'Eurostat EB flows IEA'!BB6</f>
        <v>-63394.95</v>
      </c>
      <c r="AI6">
        <f>'Eurostat EB flows IEA'!BC6</f>
        <v>-357586.375</v>
      </c>
      <c r="AJ6">
        <f>'Eurostat EB flows IEA'!BD6</f>
        <v>0</v>
      </c>
      <c r="AK6">
        <f>'Eurostat EB flows IEA'!BE6</f>
        <v>0</v>
      </c>
      <c r="AL6">
        <f>'Eurostat EB flows IEA'!BF6</f>
        <v>-4744.75</v>
      </c>
      <c r="AM6">
        <f>'Eurostat EB flows IEA'!BG6</f>
        <v>0</v>
      </c>
      <c r="AN6">
        <f>'Eurostat EB flows IEA'!BH6</f>
        <v>0</v>
      </c>
      <c r="AO6">
        <f>'Eurostat EB flows IEA'!BI6</f>
        <v>0</v>
      </c>
      <c r="AP6">
        <f>'Eurostat EB flows IEA'!BJ6</f>
        <v>0</v>
      </c>
      <c r="AQ6">
        <f>'Eurostat EB flows IEA'!BK6</f>
        <v>0</v>
      </c>
      <c r="AR6">
        <f>'Eurostat EB flows IEA'!BL6</f>
        <v>0</v>
      </c>
      <c r="AS6">
        <f>'Eurostat EB flows IEA'!BM6</f>
        <v>0</v>
      </c>
      <c r="AT6">
        <f>'Eurostat EB flows IEA'!BN6</f>
        <v>0</v>
      </c>
      <c r="AU6">
        <f>'Eurostat EB flows IEA'!BO6</f>
        <v>0</v>
      </c>
      <c r="AV6">
        <f>'Eurostat EB flows IEA'!BP6</f>
        <v>0</v>
      </c>
      <c r="AW6">
        <f>'Eurostat EB flows IEA'!BQ6</f>
        <v>-13769.454</v>
      </c>
      <c r="AX6">
        <f>'Eurostat EB flows IEA'!BR6</f>
        <v>0</v>
      </c>
      <c r="AY6">
        <f>'Eurostat EB flows IEA'!BS6</f>
        <v>0</v>
      </c>
      <c r="AZ6">
        <f>'Eurostat EB flows IEA'!BT6</f>
        <v>0</v>
      </c>
      <c r="BA6">
        <f>'Eurostat EB flows IEA'!BU6</f>
        <v>0</v>
      </c>
      <c r="BB6">
        <f>'Eurostat EB flows IEA'!BV6</f>
        <v>0</v>
      </c>
      <c r="BC6">
        <f>'Eurostat EB flows IEA'!BW6</f>
        <v>0</v>
      </c>
      <c r="BD6">
        <f>'Eurostat EB flows IEA'!BX6</f>
        <v>0</v>
      </c>
      <c r="BE6">
        <f>'Eurostat EB flows IEA'!BY6</f>
        <v>0</v>
      </c>
      <c r="BF6">
        <f>'Eurostat EB flows IEA'!BZ6</f>
        <v>0</v>
      </c>
      <c r="BG6">
        <f>'Eurostat EB flows IEA'!CA6</f>
        <v>0</v>
      </c>
      <c r="BH6">
        <f>'Eurostat EB flows IEA'!CB6</f>
        <v>0</v>
      </c>
      <c r="BI6">
        <f>'Eurostat EB flows IEA'!CC6</f>
        <v>0</v>
      </c>
      <c r="BJ6">
        <f>'Eurostat EB flows IEA'!CD6</f>
        <v>0</v>
      </c>
      <c r="BK6">
        <f>'Eurostat EB flows IEA'!CE6</f>
        <v>0</v>
      </c>
      <c r="BL6">
        <f>'Eurostat EB flows IEA'!CF6</f>
        <v>0</v>
      </c>
      <c r="BM6">
        <f>'Eurostat EB flows IEA'!CG6</f>
        <v>-448139.59600000002</v>
      </c>
      <c r="BN6">
        <f>'Eurostat EB flows IEA'!CH6</f>
        <v>-13857.994000000001</v>
      </c>
    </row>
    <row r="7" spans="1:66" x14ac:dyDescent="0.2">
      <c r="A7" t="s">
        <v>145</v>
      </c>
      <c r="B7" t="str">
        <f>'Eurostat EB flows IEA'!V7</f>
        <v>x</v>
      </c>
      <c r="C7" t="str">
        <f>'Eurostat EB flows IEA'!W7</f>
        <v>x</v>
      </c>
      <c r="D7">
        <f>'Eurostat EB flows IEA'!X7</f>
        <v>0</v>
      </c>
      <c r="E7">
        <f>'Eurostat EB flows IEA'!Y7</f>
        <v>0</v>
      </c>
      <c r="F7">
        <f>'Eurostat EB flows IEA'!Z7</f>
        <v>0</v>
      </c>
      <c r="G7">
        <f>'Eurostat EB flows IEA'!AA7</f>
        <v>0</v>
      </c>
      <c r="H7">
        <f>'Eurostat EB flows IEA'!AB7</f>
        <v>0</v>
      </c>
      <c r="I7">
        <f>'Eurostat EB flows IEA'!AC7</f>
        <v>0</v>
      </c>
      <c r="J7">
        <f>'Eurostat EB flows IEA'!AD7</f>
        <v>0</v>
      </c>
      <c r="K7">
        <f>'Eurostat EB flows IEA'!AE7</f>
        <v>0</v>
      </c>
      <c r="L7">
        <f>'Eurostat EB flows IEA'!AF7</f>
        <v>0</v>
      </c>
      <c r="M7">
        <f>'Eurostat EB flows IEA'!AG7</f>
        <v>0</v>
      </c>
      <c r="N7">
        <f>'Eurostat EB flows IEA'!AH7</f>
        <v>0</v>
      </c>
      <c r="O7">
        <f>'Eurostat EB flows IEA'!AI7</f>
        <v>0</v>
      </c>
      <c r="P7">
        <f>'Eurostat EB flows IEA'!AJ7</f>
        <v>0</v>
      </c>
      <c r="Q7">
        <f>'Eurostat EB flows IEA'!AK7</f>
        <v>0</v>
      </c>
      <c r="R7">
        <f>'Eurostat EB flows IEA'!AL7</f>
        <v>0</v>
      </c>
      <c r="S7">
        <f>'Eurostat EB flows IEA'!AM7</f>
        <v>0</v>
      </c>
      <c r="T7" t="str">
        <f>'Eurostat EB flows IEA'!AN7</f>
        <v>x</v>
      </c>
      <c r="U7">
        <f>'Eurostat EB flows IEA'!AO7</f>
        <v>0</v>
      </c>
      <c r="V7">
        <f>'Eurostat EB flows IEA'!AP7</f>
        <v>0</v>
      </c>
      <c r="W7">
        <f>'Eurostat EB flows IEA'!AQ7</f>
        <v>0</v>
      </c>
      <c r="X7">
        <f>'Eurostat EB flows IEA'!AR7</f>
        <v>0</v>
      </c>
      <c r="Y7">
        <f>'Eurostat EB flows IEA'!AS7</f>
        <v>0</v>
      </c>
      <c r="Z7">
        <f>'Eurostat EB flows IEA'!AT7</f>
        <v>0</v>
      </c>
      <c r="AA7">
        <f>'Eurostat EB flows IEA'!AU7</f>
        <v>0</v>
      </c>
      <c r="AB7">
        <f>'Eurostat EB flows IEA'!AV7</f>
        <v>0</v>
      </c>
      <c r="AC7">
        <f>'Eurostat EB flows IEA'!AW7</f>
        <v>0</v>
      </c>
      <c r="AD7">
        <f>'Eurostat EB flows IEA'!AX7</f>
        <v>0</v>
      </c>
      <c r="AE7">
        <f>'Eurostat EB flows IEA'!AY7</f>
        <v>0</v>
      </c>
      <c r="AF7">
        <f>'Eurostat EB flows IEA'!AZ7</f>
        <v>-139686.82199999999</v>
      </c>
      <c r="AG7">
        <f>'Eurostat EB flows IEA'!BA7</f>
        <v>0</v>
      </c>
      <c r="AH7">
        <f>'Eurostat EB flows IEA'!BB7</f>
        <v>0</v>
      </c>
      <c r="AI7">
        <f>'Eurostat EB flows IEA'!BC7</f>
        <v>0</v>
      </c>
      <c r="AJ7">
        <f>'Eurostat EB flows IEA'!BD7</f>
        <v>0</v>
      </c>
      <c r="AK7">
        <f>'Eurostat EB flows IEA'!BE7</f>
        <v>0</v>
      </c>
      <c r="AL7">
        <f>'Eurostat EB flows IEA'!BF7</f>
        <v>0</v>
      </c>
      <c r="AM7">
        <f>'Eurostat EB flows IEA'!BG7</f>
        <v>0</v>
      </c>
      <c r="AN7">
        <f>'Eurostat EB flows IEA'!BH7</f>
        <v>0</v>
      </c>
      <c r="AO7">
        <f>'Eurostat EB flows IEA'!BI7</f>
        <v>0</v>
      </c>
      <c r="AP7">
        <f>'Eurostat EB flows IEA'!BJ7</f>
        <v>0</v>
      </c>
      <c r="AQ7">
        <f>'Eurostat EB flows IEA'!BK7</f>
        <v>0</v>
      </c>
      <c r="AR7">
        <f>'Eurostat EB flows IEA'!BL7</f>
        <v>0</v>
      </c>
      <c r="AS7">
        <f>'Eurostat EB flows IEA'!BM7</f>
        <v>0</v>
      </c>
      <c r="AT7">
        <f>'Eurostat EB flows IEA'!BN7</f>
        <v>0</v>
      </c>
      <c r="AU7">
        <f>'Eurostat EB flows IEA'!BO7</f>
        <v>0</v>
      </c>
      <c r="AV7">
        <f>'Eurostat EB flows IEA'!BP7</f>
        <v>0</v>
      </c>
      <c r="AW7">
        <f>'Eurostat EB flows IEA'!BQ7</f>
        <v>0</v>
      </c>
      <c r="AX7">
        <f>'Eurostat EB flows IEA'!BR7</f>
        <v>0</v>
      </c>
      <c r="AY7">
        <f>'Eurostat EB flows IEA'!BS7</f>
        <v>0</v>
      </c>
      <c r="AZ7">
        <f>'Eurostat EB flows IEA'!BT7</f>
        <v>0</v>
      </c>
      <c r="BA7">
        <f>'Eurostat EB flows IEA'!BU7</f>
        <v>0</v>
      </c>
      <c r="BB7">
        <f>'Eurostat EB flows IEA'!BV7</f>
        <v>0</v>
      </c>
      <c r="BC7">
        <f>'Eurostat EB flows IEA'!BW7</f>
        <v>0</v>
      </c>
      <c r="BD7">
        <f>'Eurostat EB flows IEA'!BX7</f>
        <v>0</v>
      </c>
      <c r="BE7">
        <f>'Eurostat EB flows IEA'!BY7</f>
        <v>0</v>
      </c>
      <c r="BF7">
        <f>'Eurostat EB flows IEA'!BZ7</f>
        <v>0</v>
      </c>
      <c r="BG7">
        <f>'Eurostat EB flows IEA'!CA7</f>
        <v>0</v>
      </c>
      <c r="BH7">
        <f>'Eurostat EB flows IEA'!CB7</f>
        <v>0</v>
      </c>
      <c r="BI7">
        <f>'Eurostat EB flows IEA'!CC7</f>
        <v>0</v>
      </c>
      <c r="BJ7">
        <f>'Eurostat EB flows IEA'!CD7</f>
        <v>0</v>
      </c>
      <c r="BK7">
        <f>'Eurostat EB flows IEA'!CE7</f>
        <v>0</v>
      </c>
      <c r="BL7">
        <f>'Eurostat EB flows IEA'!CF7</f>
        <v>0</v>
      </c>
      <c r="BM7">
        <f>'Eurostat EB flows IEA'!CG7</f>
        <v>-142333.24600000001</v>
      </c>
      <c r="BN7">
        <f>'Eurostat EB flows IEA'!CH7</f>
        <v>-2646.424</v>
      </c>
    </row>
    <row r="8" spans="1:66" x14ac:dyDescent="0.2">
      <c r="A8" t="s">
        <v>146</v>
      </c>
      <c r="B8" t="str">
        <f>'Eurostat EB flows IEA'!V8</f>
        <v>x</v>
      </c>
      <c r="C8" t="str">
        <f>'Eurostat EB flows IEA'!W8</f>
        <v>x</v>
      </c>
      <c r="D8">
        <f>'Eurostat EB flows IEA'!X8</f>
        <v>0</v>
      </c>
      <c r="E8">
        <f>'Eurostat EB flows IEA'!Y8</f>
        <v>-5064.5659999999998</v>
      </c>
      <c r="F8">
        <f>'Eurostat EB flows IEA'!Z8</f>
        <v>1532.6510000000001</v>
      </c>
      <c r="G8">
        <f>'Eurostat EB flows IEA'!AA8</f>
        <v>0</v>
      </c>
      <c r="H8">
        <f>'Eurostat EB flows IEA'!AB8</f>
        <v>0</v>
      </c>
      <c r="I8">
        <f>'Eurostat EB flows IEA'!AC8</f>
        <v>0</v>
      </c>
      <c r="J8">
        <f>'Eurostat EB flows IEA'!AD8</f>
        <v>-200.441</v>
      </c>
      <c r="K8">
        <f>'Eurostat EB flows IEA'!AE8</f>
        <v>0</v>
      </c>
      <c r="L8">
        <f>'Eurostat EB flows IEA'!AF8</f>
        <v>-39.009</v>
      </c>
      <c r="M8">
        <f>'Eurostat EB flows IEA'!AG8</f>
        <v>0</v>
      </c>
      <c r="N8">
        <f>'Eurostat EB flows IEA'!AH8</f>
        <v>0</v>
      </c>
      <c r="O8">
        <f>'Eurostat EB flows IEA'!AI8</f>
        <v>0</v>
      </c>
      <c r="P8">
        <f>'Eurostat EB flows IEA'!AJ8</f>
        <v>0</v>
      </c>
      <c r="Q8">
        <f>'Eurostat EB flows IEA'!AK8</f>
        <v>0</v>
      </c>
      <c r="R8">
        <f>'Eurostat EB flows IEA'!AL8</f>
        <v>0</v>
      </c>
      <c r="S8">
        <f>'Eurostat EB flows IEA'!AM8</f>
        <v>-28875.692999999999</v>
      </c>
      <c r="T8" t="str">
        <f>'Eurostat EB flows IEA'!AN8</f>
        <v>x</v>
      </c>
      <c r="U8">
        <f>'Eurostat EB flows IEA'!AO8</f>
        <v>41615.451999999997</v>
      </c>
      <c r="V8">
        <f>'Eurostat EB flows IEA'!AP8</f>
        <v>1898.6310000000001</v>
      </c>
      <c r="W8">
        <f>'Eurostat EB flows IEA'!AQ8</f>
        <v>0</v>
      </c>
      <c r="X8">
        <f>'Eurostat EB flows IEA'!AR8</f>
        <v>5334</v>
      </c>
      <c r="Y8">
        <f>'Eurostat EB flows IEA'!AS8</f>
        <v>0</v>
      </c>
      <c r="Z8">
        <f>'Eurostat EB flows IEA'!AT8</f>
        <v>0</v>
      </c>
      <c r="AA8">
        <f>'Eurostat EB flows IEA'!AU8</f>
        <v>0</v>
      </c>
      <c r="AB8">
        <f>'Eurostat EB flows IEA'!AV8</f>
        <v>-726.803</v>
      </c>
      <c r="AC8">
        <f>'Eurostat EB flows IEA'!AW8</f>
        <v>20247.456999999999</v>
      </c>
      <c r="AD8">
        <f>'Eurostat EB flows IEA'!AX8</f>
        <v>117.523</v>
      </c>
      <c r="AE8">
        <f>'Eurostat EB flows IEA'!AY8</f>
        <v>0</v>
      </c>
      <c r="AF8">
        <f>'Eurostat EB flows IEA'!AZ8</f>
        <v>-6270.9470000000001</v>
      </c>
      <c r="AG8">
        <f>'Eurostat EB flows IEA'!BA8</f>
        <v>-536.971</v>
      </c>
      <c r="AH8">
        <f>'Eurostat EB flows IEA'!BB8</f>
        <v>10788.423000000001</v>
      </c>
      <c r="AI8">
        <f>'Eurostat EB flows IEA'!BC8</f>
        <v>6224.6940000000004</v>
      </c>
      <c r="AJ8">
        <f>'Eurostat EB flows IEA'!BD8</f>
        <v>1729.0039999999999</v>
      </c>
      <c r="AK8">
        <f>'Eurostat EB flows IEA'!BE8</f>
        <v>-320.47199999999998</v>
      </c>
      <c r="AL8">
        <f>'Eurostat EB flows IEA'!BF8</f>
        <v>-1860.069</v>
      </c>
      <c r="AM8">
        <f>'Eurostat EB flows IEA'!BG8</f>
        <v>85.727000000000004</v>
      </c>
      <c r="AN8">
        <f>'Eurostat EB flows IEA'!BH8</f>
        <v>278.69900000000001</v>
      </c>
      <c r="AO8">
        <f>'Eurostat EB flows IEA'!BI8</f>
        <v>-3297.8620000000001</v>
      </c>
      <c r="AP8">
        <f>'Eurostat EB flows IEA'!BJ8</f>
        <v>3711.9079999999999</v>
      </c>
      <c r="AQ8">
        <f>'Eurostat EB flows IEA'!BK8</f>
        <v>0</v>
      </c>
      <c r="AR8">
        <f>'Eurostat EB flows IEA'!BL8</f>
        <v>0</v>
      </c>
      <c r="AS8">
        <f>'Eurostat EB flows IEA'!BM8</f>
        <v>0</v>
      </c>
      <c r="AT8">
        <f>'Eurostat EB flows IEA'!BN8</f>
        <v>0</v>
      </c>
      <c r="AU8">
        <f>'Eurostat EB flows IEA'!BO8</f>
        <v>0</v>
      </c>
      <c r="AV8">
        <f>'Eurostat EB flows IEA'!BP8</f>
        <v>222.04499999999999</v>
      </c>
      <c r="AW8">
        <f>'Eurostat EB flows IEA'!BQ8</f>
        <v>13170.717000000001</v>
      </c>
      <c r="AX8">
        <f>'Eurostat EB flows IEA'!BR8</f>
        <v>0</v>
      </c>
      <c r="AY8">
        <f>'Eurostat EB flows IEA'!BS8</f>
        <v>0</v>
      </c>
      <c r="AZ8">
        <f>'Eurostat EB flows IEA'!BT8</f>
        <v>0</v>
      </c>
      <c r="BA8">
        <f>'Eurostat EB flows IEA'!BU8</f>
        <v>0</v>
      </c>
      <c r="BB8">
        <f>'Eurostat EB flows IEA'!BV8</f>
        <v>0</v>
      </c>
      <c r="BC8">
        <f>'Eurostat EB flows IEA'!BW8</f>
        <v>0</v>
      </c>
      <c r="BD8">
        <f>'Eurostat EB flows IEA'!BX8</f>
        <v>0</v>
      </c>
      <c r="BE8">
        <f>'Eurostat EB flows IEA'!BY8</f>
        <v>0</v>
      </c>
      <c r="BF8">
        <f>'Eurostat EB flows IEA'!BZ8</f>
        <v>0</v>
      </c>
      <c r="BG8">
        <f>'Eurostat EB flows IEA'!CA8</f>
        <v>0</v>
      </c>
      <c r="BH8">
        <f>'Eurostat EB flows IEA'!CB8</f>
        <v>0</v>
      </c>
      <c r="BI8">
        <f>'Eurostat EB flows IEA'!CC8</f>
        <v>0</v>
      </c>
      <c r="BJ8">
        <f>'Eurostat EB flows IEA'!CD8</f>
        <v>0</v>
      </c>
      <c r="BK8">
        <f>'Eurostat EB flows IEA'!CE8</f>
        <v>0</v>
      </c>
      <c r="BL8">
        <f>'Eurostat EB flows IEA'!CF8</f>
        <v>0</v>
      </c>
      <c r="BM8">
        <f>'Eurostat EB flows IEA'!CG8</f>
        <v>59764.099000000002</v>
      </c>
      <c r="BN8">
        <f>'Eurostat EB flows IEA'!CH8</f>
        <v>13096.992</v>
      </c>
    </row>
    <row r="9" spans="1:66" x14ac:dyDescent="0.2">
      <c r="A9" t="s">
        <v>147</v>
      </c>
      <c r="B9" t="str">
        <f>'Eurostat EB flows IEA'!V9</f>
        <v>x</v>
      </c>
      <c r="C9" t="str">
        <f>'Eurostat EB flows IEA'!W9</f>
        <v>x</v>
      </c>
      <c r="D9">
        <f>'Eurostat EB flows IEA'!X9</f>
        <v>76.706999999999994</v>
      </c>
      <c r="E9">
        <f>'Eurostat EB flows IEA'!Y9</f>
        <v>99209.364000000001</v>
      </c>
      <c r="F9">
        <f>'Eurostat EB flows IEA'!Z9</f>
        <v>71800.581000000006</v>
      </c>
      <c r="G9">
        <f>'Eurostat EB flows IEA'!AA9</f>
        <v>0</v>
      </c>
      <c r="H9">
        <f>'Eurostat EB flows IEA'!AB9</f>
        <v>312.82</v>
      </c>
      <c r="I9">
        <f>'Eurostat EB flows IEA'!AC9</f>
        <v>0</v>
      </c>
      <c r="J9">
        <f>'Eurostat EB flows IEA'!AD9</f>
        <v>-10738.941999999999</v>
      </c>
      <c r="K9">
        <f>'Eurostat EB flows IEA'!AE9</f>
        <v>0</v>
      </c>
      <c r="L9">
        <f>'Eurostat EB flows IEA'!AF9</f>
        <v>-2295.0729999999999</v>
      </c>
      <c r="M9">
        <f>'Eurostat EB flows IEA'!AG9</f>
        <v>0</v>
      </c>
      <c r="N9">
        <f>'Eurostat EB flows IEA'!AH9</f>
        <v>0</v>
      </c>
      <c r="O9">
        <f>'Eurostat EB flows IEA'!AI9</f>
        <v>0</v>
      </c>
      <c r="P9">
        <f>'Eurostat EB flows IEA'!AJ9</f>
        <v>0</v>
      </c>
      <c r="Q9">
        <f>'Eurostat EB flows IEA'!AK9</f>
        <v>0</v>
      </c>
      <c r="R9">
        <f>'Eurostat EB flows IEA'!AL9</f>
        <v>0</v>
      </c>
      <c r="S9">
        <f>'Eurostat EB flows IEA'!AM9</f>
        <v>928798.62600000005</v>
      </c>
      <c r="T9" t="str">
        <f>'Eurostat EB flows IEA'!AN9</f>
        <v>x</v>
      </c>
      <c r="U9">
        <f>'Eurostat EB flows IEA'!AO9</f>
        <v>2349392.9330000002</v>
      </c>
      <c r="V9">
        <f>'Eurostat EB flows IEA'!AP9</f>
        <v>343507.68</v>
      </c>
      <c r="W9">
        <f>'Eurostat EB flows IEA'!AQ9</f>
        <v>0</v>
      </c>
      <c r="X9">
        <f>'Eurostat EB flows IEA'!AR9</f>
        <v>24606.116000000002</v>
      </c>
      <c r="Y9">
        <f>'Eurostat EB flows IEA'!AS9</f>
        <v>0</v>
      </c>
      <c r="Z9">
        <f>'Eurostat EB flows IEA'!AT9</f>
        <v>0</v>
      </c>
      <c r="AA9">
        <f>'Eurostat EB flows IEA'!AU9</f>
        <v>0</v>
      </c>
      <c r="AB9">
        <f>'Eurostat EB flows IEA'!AV9</f>
        <v>58822.580999999998</v>
      </c>
      <c r="AC9">
        <f>'Eurostat EB flows IEA'!AW9</f>
        <v>-596515.62199999997</v>
      </c>
      <c r="AD9">
        <f>'Eurostat EB flows IEA'!AX9</f>
        <v>-2765.681</v>
      </c>
      <c r="AE9">
        <f>'Eurostat EB flows IEA'!AY9</f>
        <v>0</v>
      </c>
      <c r="AF9">
        <f>'Eurostat EB flows IEA'!AZ9</f>
        <v>-388467.95899999997</v>
      </c>
      <c r="AG9">
        <f>'Eurostat EB flows IEA'!BA9</f>
        <v>-11180.653</v>
      </c>
      <c r="AH9">
        <f>'Eurostat EB flows IEA'!BB9</f>
        <v>-579570.19700000004</v>
      </c>
      <c r="AI9">
        <f>'Eurostat EB flows IEA'!BC9</f>
        <v>-293881.33399999997</v>
      </c>
      <c r="AJ9">
        <f>'Eurostat EB flows IEA'!BD9</f>
        <v>224209.076</v>
      </c>
      <c r="AK9">
        <f>'Eurostat EB flows IEA'!BE9</f>
        <v>-6585.7460000000001</v>
      </c>
      <c r="AL9">
        <f>'Eurostat EB flows IEA'!BF9</f>
        <v>-24673.428</v>
      </c>
      <c r="AM9">
        <f>'Eurostat EB flows IEA'!BG9</f>
        <v>-33161.000999999997</v>
      </c>
      <c r="AN9">
        <f>'Eurostat EB flows IEA'!BH9</f>
        <v>402.14299999999997</v>
      </c>
      <c r="AO9">
        <f>'Eurostat EB flows IEA'!BI9</f>
        <v>8775.5249999999996</v>
      </c>
      <c r="AP9">
        <f>'Eurostat EB flows IEA'!BJ9</f>
        <v>-19054.152999999998</v>
      </c>
      <c r="AQ9">
        <f>'Eurostat EB flows IEA'!BK9</f>
        <v>1876.845</v>
      </c>
      <c r="AR9">
        <f>'Eurostat EB flows IEA'!BL9</f>
        <v>36847.622000000003</v>
      </c>
      <c r="AS9">
        <f>'Eurostat EB flows IEA'!BM9</f>
        <v>32676.192999999999</v>
      </c>
      <c r="AT9">
        <f>'Eurostat EB flows IEA'!BN9</f>
        <v>84063.228000000003</v>
      </c>
      <c r="AU9">
        <f>'Eurostat EB flows IEA'!BO9</f>
        <v>18758.186000000002</v>
      </c>
      <c r="AV9">
        <f>'Eurostat EB flows IEA'!BP9</f>
        <v>11147.65</v>
      </c>
      <c r="AW9">
        <f>'Eurostat EB flows IEA'!BQ9</f>
        <v>14730.059999999998</v>
      </c>
      <c r="AX9">
        <f>'Eurostat EB flows IEA'!BR9</f>
        <v>529.77599999999995</v>
      </c>
      <c r="AY9">
        <f>'Eurostat EB flows IEA'!BS9</f>
        <v>0</v>
      </c>
      <c r="AZ9">
        <f>'Eurostat EB flows IEA'!BT9</f>
        <v>270</v>
      </c>
      <c r="BA9">
        <f>'Eurostat EB flows IEA'!BU9</f>
        <v>0</v>
      </c>
      <c r="BB9">
        <f>'Eurostat EB flows IEA'!BV9</f>
        <v>0</v>
      </c>
      <c r="BC9">
        <f>'Eurostat EB flows IEA'!BW9</f>
        <v>38959.053</v>
      </c>
      <c r="BD9">
        <f>'Eurostat EB flows IEA'!BX9</f>
        <v>249.72800000000001</v>
      </c>
      <c r="BE9">
        <f>'Eurostat EB flows IEA'!BY9</f>
        <v>6797.51</v>
      </c>
      <c r="BF9">
        <f>'Eurostat EB flows IEA'!BZ9</f>
        <v>70481.476999999999</v>
      </c>
      <c r="BG9">
        <f>'Eurostat EB flows IEA'!CA9</f>
        <v>1176</v>
      </c>
      <c r="BH9">
        <f>'Eurostat EB flows IEA'!CB9</f>
        <v>0</v>
      </c>
      <c r="BI9">
        <f>'Eurostat EB flows IEA'!CC9</f>
        <v>106290.292</v>
      </c>
      <c r="BJ9">
        <f>'Eurostat EB flows IEA'!CD9</f>
        <v>0</v>
      </c>
      <c r="BK9">
        <f>'Eurostat EB flows IEA'!CE9</f>
        <v>-20374.319</v>
      </c>
      <c r="BL9">
        <f>'Eurostat EB flows IEA'!CF9</f>
        <v>8031.1109999999999</v>
      </c>
      <c r="BM9">
        <f>'Eurostat EB flows IEA'!CG9</f>
        <v>2579059.3859999999</v>
      </c>
      <c r="BN9">
        <f>'Eurostat EB flows IEA'!CH9</f>
        <v>170870.39799999999</v>
      </c>
    </row>
    <row r="10" spans="1:66" x14ac:dyDescent="0.2">
      <c r="A10" t="s">
        <v>148</v>
      </c>
      <c r="B10" t="str">
        <f>'Eurostat EB flows IEA'!V10</f>
        <v>x</v>
      </c>
      <c r="C10" t="str">
        <f>'Eurostat EB flows IEA'!W10</f>
        <v>x</v>
      </c>
      <c r="D10">
        <f>'Eurostat EB flows IEA'!X10</f>
        <v>0</v>
      </c>
      <c r="E10">
        <f>'Eurostat EB flows IEA'!Y10</f>
        <v>0</v>
      </c>
      <c r="F10">
        <f>'Eurostat EB flows IEA'!Z10</f>
        <v>0</v>
      </c>
      <c r="G10">
        <f>'Eurostat EB flows IEA'!AA10</f>
        <v>0</v>
      </c>
      <c r="H10">
        <f>'Eurostat EB flows IEA'!AB10</f>
        <v>0</v>
      </c>
      <c r="I10">
        <f>'Eurostat EB flows IEA'!AC10</f>
        <v>0</v>
      </c>
      <c r="J10">
        <f>'Eurostat EB flows IEA'!AD10</f>
        <v>0</v>
      </c>
      <c r="K10">
        <f>'Eurostat EB flows IEA'!AE10</f>
        <v>0</v>
      </c>
      <c r="L10">
        <f>'Eurostat EB flows IEA'!AF10</f>
        <v>0</v>
      </c>
      <c r="M10">
        <f>'Eurostat EB flows IEA'!AG10</f>
        <v>0</v>
      </c>
      <c r="N10">
        <f>'Eurostat EB flows IEA'!AH10</f>
        <v>0</v>
      </c>
      <c r="O10">
        <f>'Eurostat EB flows IEA'!AI10</f>
        <v>0</v>
      </c>
      <c r="P10">
        <f>'Eurostat EB flows IEA'!AJ10</f>
        <v>0</v>
      </c>
      <c r="Q10">
        <f>'Eurostat EB flows IEA'!AK10</f>
        <v>0</v>
      </c>
      <c r="R10">
        <f>'Eurostat EB flows IEA'!AL10</f>
        <v>0</v>
      </c>
      <c r="S10">
        <f>'Eurostat EB flows IEA'!AM10</f>
        <v>0</v>
      </c>
      <c r="T10" t="str">
        <f>'Eurostat EB flows IEA'!AN10</f>
        <v>x</v>
      </c>
      <c r="U10">
        <f>'Eurostat EB flows IEA'!AO10</f>
        <v>-77534.907000000007</v>
      </c>
      <c r="V10">
        <f>'Eurostat EB flows IEA'!AP10</f>
        <v>-31624.531999999999</v>
      </c>
      <c r="W10">
        <f>'Eurostat EB flows IEA'!AQ10</f>
        <v>71357.248000000021</v>
      </c>
      <c r="X10">
        <f>'Eurostat EB flows IEA'!AR10</f>
        <v>-19875.305</v>
      </c>
      <c r="Y10">
        <f>'Eurostat EB flows IEA'!AS10</f>
        <v>0</v>
      </c>
      <c r="Z10">
        <f>'Eurostat EB flows IEA'!AT10</f>
        <v>105638.795</v>
      </c>
      <c r="AA10">
        <f>'Eurostat EB flows IEA'!AU10</f>
        <v>0</v>
      </c>
      <c r="AB10">
        <f>'Eurostat EB flows IEA'!AV10</f>
        <v>-4123.8219999999992</v>
      </c>
      <c r="AC10">
        <f>'Eurostat EB flows IEA'!AW10</f>
        <v>573699.67200000002</v>
      </c>
      <c r="AD10">
        <f>'Eurostat EB flows IEA'!AX10</f>
        <v>-8.7999999999999995E-2</v>
      </c>
      <c r="AE10">
        <f>'Eurostat EB flows IEA'!AY10</f>
        <v>0</v>
      </c>
      <c r="AF10">
        <f>'Eurostat EB flows IEA'!AZ10</f>
        <v>44556.103999999999</v>
      </c>
      <c r="AG10">
        <f>'Eurostat EB flows IEA'!BA10</f>
        <v>-3986.806</v>
      </c>
      <c r="AH10">
        <f>'Eurostat EB flows IEA'!BB10</f>
        <v>-40950.114999999998</v>
      </c>
      <c r="AI10">
        <f>'Eurostat EB flows IEA'!BC10</f>
        <v>-99258.736000000004</v>
      </c>
      <c r="AJ10">
        <f>'Eurostat EB flows IEA'!BD10</f>
        <v>-467922.56299999997</v>
      </c>
      <c r="AK10">
        <f>'Eurostat EB flows IEA'!BE10</f>
        <v>-32553.085999999996</v>
      </c>
      <c r="AL10">
        <f>'Eurostat EB flows IEA'!BF10</f>
        <v>-11855.353999999999</v>
      </c>
      <c r="AM10">
        <f>'Eurostat EB flows IEA'!BG10</f>
        <v>-52.207999999999998</v>
      </c>
      <c r="AN10">
        <f>'Eurostat EB flows IEA'!BH10</f>
        <v>407.56599999999997</v>
      </c>
      <c r="AO10">
        <f>'Eurostat EB flows IEA'!BI10</f>
        <v>0</v>
      </c>
      <c r="AP10">
        <f>'Eurostat EB flows IEA'!BJ10</f>
        <v>7338.2620000000006</v>
      </c>
      <c r="AQ10">
        <f>'Eurostat EB flows IEA'!BK10</f>
        <v>0</v>
      </c>
      <c r="AR10">
        <f>'Eurostat EB flows IEA'!BL10</f>
        <v>0</v>
      </c>
      <c r="AS10">
        <f>'Eurostat EB flows IEA'!BM10</f>
        <v>0</v>
      </c>
      <c r="AT10">
        <f>'Eurostat EB flows IEA'!BN10</f>
        <v>0</v>
      </c>
      <c r="AU10">
        <f>'Eurostat EB flows IEA'!BO10</f>
        <v>0</v>
      </c>
      <c r="AV10">
        <f>'Eurostat EB flows IEA'!BP10</f>
        <v>0</v>
      </c>
      <c r="AW10">
        <f>'Eurostat EB flows IEA'!BQ10</f>
        <v>0</v>
      </c>
      <c r="AX10">
        <f>'Eurostat EB flows IEA'!BR10</f>
        <v>0</v>
      </c>
      <c r="AY10">
        <f>'Eurostat EB flows IEA'!BS10</f>
        <v>0</v>
      </c>
      <c r="AZ10">
        <f>'Eurostat EB flows IEA'!BT10</f>
        <v>0</v>
      </c>
      <c r="BA10">
        <f>'Eurostat EB flows IEA'!BU10</f>
        <v>0</v>
      </c>
      <c r="BB10">
        <f>'Eurostat EB flows IEA'!BV10</f>
        <v>0</v>
      </c>
      <c r="BC10">
        <f>'Eurostat EB flows IEA'!BW10</f>
        <v>0</v>
      </c>
      <c r="BD10">
        <f>'Eurostat EB flows IEA'!BX10</f>
        <v>0</v>
      </c>
      <c r="BE10">
        <f>'Eurostat EB flows IEA'!BY10</f>
        <v>0</v>
      </c>
      <c r="BF10">
        <f>'Eurostat EB flows IEA'!BZ10</f>
        <v>0</v>
      </c>
      <c r="BG10">
        <f>'Eurostat EB flows IEA'!CA10</f>
        <v>0</v>
      </c>
      <c r="BH10">
        <f>'Eurostat EB flows IEA'!CB10</f>
        <v>0</v>
      </c>
      <c r="BI10">
        <f>'Eurostat EB flows IEA'!CC10</f>
        <v>0</v>
      </c>
      <c r="BJ10">
        <f>'Eurostat EB flows IEA'!CD10</f>
        <v>0</v>
      </c>
      <c r="BK10">
        <f>'Eurostat EB flows IEA'!CE10</f>
        <v>0</v>
      </c>
      <c r="BL10">
        <f>'Eurostat EB flows IEA'!CF10</f>
        <v>0</v>
      </c>
      <c r="BM10">
        <f>'Eurostat EB flows IEA'!CG10</f>
        <v>13260.126999999891</v>
      </c>
      <c r="BN10">
        <f>'Eurostat EB flows IEA'!CH10</f>
        <v>0</v>
      </c>
    </row>
    <row r="11" spans="1:66" x14ac:dyDescent="0.2">
      <c r="A11" t="s">
        <v>112</v>
      </c>
      <c r="B11" t="str">
        <f>'Eurostat EB flows IEA'!V11</f>
        <v>x</v>
      </c>
      <c r="C11" t="str">
        <f>'Eurostat EB flows IEA'!W11</f>
        <v>x</v>
      </c>
      <c r="D11">
        <f>'Eurostat EB flows IEA'!X11</f>
        <v>0</v>
      </c>
      <c r="E11">
        <f>'Eurostat EB flows IEA'!Y11</f>
        <v>0</v>
      </c>
      <c r="F11">
        <f>'Eurostat EB flows IEA'!Z11</f>
        <v>-176.274</v>
      </c>
      <c r="G11">
        <f>'Eurostat EB flows IEA'!AA11</f>
        <v>0</v>
      </c>
      <c r="H11">
        <f>'Eurostat EB flows IEA'!AB11</f>
        <v>0</v>
      </c>
      <c r="I11">
        <f>'Eurostat EB flows IEA'!AC11</f>
        <v>0</v>
      </c>
      <c r="J11">
        <f>'Eurostat EB flows IEA'!AD11</f>
        <v>0</v>
      </c>
      <c r="K11">
        <f>'Eurostat EB flows IEA'!AE11</f>
        <v>0</v>
      </c>
      <c r="L11">
        <f>'Eurostat EB flows IEA'!AF11</f>
        <v>0</v>
      </c>
      <c r="M11">
        <f>'Eurostat EB flows IEA'!AG11</f>
        <v>0</v>
      </c>
      <c r="N11">
        <f>'Eurostat EB flows IEA'!AH11</f>
        <v>0</v>
      </c>
      <c r="O11">
        <f>'Eurostat EB flows IEA'!AI11</f>
        <v>0</v>
      </c>
      <c r="P11">
        <f>'Eurostat EB flows IEA'!AJ11</f>
        <v>-1E-3</v>
      </c>
      <c r="Q11">
        <f>'Eurostat EB flows IEA'!AK11</f>
        <v>0</v>
      </c>
      <c r="R11">
        <f>'Eurostat EB flows IEA'!AL11</f>
        <v>0</v>
      </c>
      <c r="S11">
        <f>'Eurostat EB flows IEA'!AM11</f>
        <v>3973.72</v>
      </c>
      <c r="T11" t="str">
        <f>'Eurostat EB flows IEA'!AN11</f>
        <v>x</v>
      </c>
      <c r="U11">
        <f>'Eurostat EB flows IEA'!AO11</f>
        <v>84.231999999999999</v>
      </c>
      <c r="V11">
        <f>'Eurostat EB flows IEA'!AP11</f>
        <v>-15.173</v>
      </c>
      <c r="W11">
        <f>'Eurostat EB flows IEA'!AQ11</f>
        <v>0</v>
      </c>
      <c r="X11">
        <f>'Eurostat EB flows IEA'!AR11</f>
        <v>-2872.1750000000002</v>
      </c>
      <c r="Y11">
        <f>'Eurostat EB flows IEA'!AS11</f>
        <v>0</v>
      </c>
      <c r="Z11">
        <f>'Eurostat EB flows IEA'!AT11</f>
        <v>0</v>
      </c>
      <c r="AA11">
        <f>'Eurostat EB flows IEA'!AU11</f>
        <v>0</v>
      </c>
      <c r="AB11">
        <f>'Eurostat EB flows IEA'!AV11</f>
        <v>4.4999999999999998E-2</v>
      </c>
      <c r="AC11">
        <f>'Eurostat EB flows IEA'!AW11</f>
        <v>-12.907</v>
      </c>
      <c r="AD11">
        <f>'Eurostat EB flows IEA'!AX11</f>
        <v>0</v>
      </c>
      <c r="AE11">
        <f>'Eurostat EB flows IEA'!AY11</f>
        <v>0</v>
      </c>
      <c r="AF11">
        <f>'Eurostat EB flows IEA'!AZ11</f>
        <v>0</v>
      </c>
      <c r="AG11">
        <f>'Eurostat EB flows IEA'!BA11</f>
        <v>4.2999999999999997E-2</v>
      </c>
      <c r="AH11">
        <f>'Eurostat EB flows IEA'!BB11</f>
        <v>-0.129</v>
      </c>
      <c r="AI11">
        <f>'Eurostat EB flows IEA'!BC11</f>
        <v>4.1000000000000002E-2</v>
      </c>
      <c r="AJ11">
        <f>'Eurostat EB flows IEA'!BD11</f>
        <v>0</v>
      </c>
      <c r="AK11">
        <f>'Eurostat EB flows IEA'!BE11</f>
        <v>0</v>
      </c>
      <c r="AL11">
        <f>'Eurostat EB flows IEA'!BF11</f>
        <v>-4.1000000000000002E-2</v>
      </c>
      <c r="AM11">
        <f>'Eurostat EB flows IEA'!BG11</f>
        <v>0</v>
      </c>
      <c r="AN11">
        <f>'Eurostat EB flows IEA'!BH11</f>
        <v>0</v>
      </c>
      <c r="AO11">
        <f>'Eurostat EB flows IEA'!BI11</f>
        <v>3.5000000000000003E-2</v>
      </c>
      <c r="AP11">
        <f>'Eurostat EB flows IEA'!BJ11</f>
        <v>-2.4E-2</v>
      </c>
      <c r="AQ11">
        <f>'Eurostat EB flows IEA'!BK11</f>
        <v>0</v>
      </c>
      <c r="AR11">
        <f>'Eurostat EB flows IEA'!BL11</f>
        <v>0</v>
      </c>
      <c r="AS11">
        <f>'Eurostat EB flows IEA'!BM11</f>
        <v>0</v>
      </c>
      <c r="AT11">
        <f>'Eurostat EB flows IEA'!BN11</f>
        <v>-8.9999999999999993E-3</v>
      </c>
      <c r="AU11">
        <f>'Eurostat EB flows IEA'!BO11</f>
        <v>-23.577000000000002</v>
      </c>
      <c r="AV11">
        <f>'Eurostat EB flows IEA'!BP11</f>
        <v>0</v>
      </c>
      <c r="AW11">
        <f>'Eurostat EB flows IEA'!BQ11</f>
        <v>0</v>
      </c>
      <c r="AX11">
        <f>'Eurostat EB flows IEA'!BR11</f>
        <v>0</v>
      </c>
      <c r="AY11">
        <f>'Eurostat EB flows IEA'!BS11</f>
        <v>0</v>
      </c>
      <c r="AZ11">
        <f>'Eurostat EB flows IEA'!BT11</f>
        <v>0</v>
      </c>
      <c r="BA11">
        <f>'Eurostat EB flows IEA'!BU11</f>
        <v>0</v>
      </c>
      <c r="BB11">
        <f>'Eurostat EB flows IEA'!BV11</f>
        <v>0</v>
      </c>
      <c r="BC11">
        <f>'Eurostat EB flows IEA'!BW11</f>
        <v>0</v>
      </c>
      <c r="BD11">
        <f>'Eurostat EB flows IEA'!BX11</f>
        <v>0</v>
      </c>
      <c r="BE11">
        <f>'Eurostat EB flows IEA'!BY11</f>
        <v>0</v>
      </c>
      <c r="BF11">
        <f>'Eurostat EB flows IEA'!BZ11</f>
        <v>0</v>
      </c>
      <c r="BG11">
        <f>'Eurostat EB flows IEA'!CA11</f>
        <v>0</v>
      </c>
      <c r="BH11">
        <f>'Eurostat EB flows IEA'!CB11</f>
        <v>0</v>
      </c>
      <c r="BI11">
        <f>'Eurostat EB flows IEA'!CC11</f>
        <v>0</v>
      </c>
      <c r="BJ11">
        <f>'Eurostat EB flows IEA'!CD11</f>
        <v>0</v>
      </c>
      <c r="BK11">
        <f>'Eurostat EB flows IEA'!CE11</f>
        <v>-764.798</v>
      </c>
      <c r="BL11">
        <f>'Eurostat EB flows IEA'!CF11</f>
        <v>-2E-3</v>
      </c>
      <c r="BM11">
        <f>'Eurostat EB flows IEA'!CG11</f>
        <v>193.00800000000001</v>
      </c>
      <c r="BN11">
        <f>'Eurostat EB flows IEA'!CH11</f>
        <v>0</v>
      </c>
    </row>
    <row r="12" spans="1:66" x14ac:dyDescent="0.2">
      <c r="A12" t="s">
        <v>149</v>
      </c>
      <c r="B12" t="str">
        <f>'Eurostat EB flows IEA'!V12</f>
        <v>x</v>
      </c>
      <c r="C12" t="str">
        <f>'Eurostat EB flows IEA'!W12</f>
        <v>x</v>
      </c>
      <c r="D12">
        <f>'Eurostat EB flows IEA'!X12</f>
        <v>0</v>
      </c>
      <c r="E12">
        <f>'Eurostat EB flows IEA'!Y12</f>
        <v>-99143.111999999994</v>
      </c>
      <c r="F12">
        <f>'Eurostat EB flows IEA'!Z12</f>
        <v>-71329.782000000007</v>
      </c>
      <c r="G12">
        <f>'Eurostat EB flows IEA'!AA12</f>
        <v>0</v>
      </c>
      <c r="H12">
        <f>'Eurostat EB flows IEA'!AB12</f>
        <v>0</v>
      </c>
      <c r="I12">
        <f>'Eurostat EB flows IEA'!AC12</f>
        <v>0</v>
      </c>
      <c r="J12">
        <f>'Eurostat EB flows IEA'!AD12</f>
        <v>14642.702000000005</v>
      </c>
      <c r="K12">
        <f>'Eurostat EB flows IEA'!AE12</f>
        <v>0</v>
      </c>
      <c r="L12">
        <f>'Eurostat EB flows IEA'!AF12</f>
        <v>3213.06</v>
      </c>
      <c r="M12">
        <f>'Eurostat EB flows IEA'!AG12</f>
        <v>0</v>
      </c>
      <c r="N12">
        <f>'Eurostat EB flows IEA'!AH12</f>
        <v>0</v>
      </c>
      <c r="O12">
        <f>'Eurostat EB flows IEA'!AI12</f>
        <v>13587.730000000001</v>
      </c>
      <c r="P12">
        <f>'Eurostat EB flows IEA'!AJ12</f>
        <v>10390.014999999999</v>
      </c>
      <c r="Q12">
        <f>'Eurostat EB flows IEA'!AK12</f>
        <v>0</v>
      </c>
      <c r="R12">
        <f>'Eurostat EB flows IEA'!AL12</f>
        <v>0</v>
      </c>
      <c r="S12">
        <f>'Eurostat EB flows IEA'!AM12</f>
        <v>-299974.59499999997</v>
      </c>
      <c r="T12" t="str">
        <f>'Eurostat EB flows IEA'!AN12</f>
        <v>x</v>
      </c>
      <c r="U12">
        <f>'Eurostat EB flows IEA'!AO12</f>
        <v>-2271942.2579999999</v>
      </c>
      <c r="V12">
        <f>'Eurostat EB flows IEA'!AP12</f>
        <v>-198580.231</v>
      </c>
      <c r="W12">
        <f>'Eurostat EB flows IEA'!AQ12</f>
        <v>-71357.248000000021</v>
      </c>
      <c r="X12">
        <f>'Eurostat EB flows IEA'!AR12</f>
        <v>-1858.6359999999986</v>
      </c>
      <c r="Y12">
        <f>'Eurostat EB flows IEA'!AS12</f>
        <v>0</v>
      </c>
      <c r="Z12">
        <f>'Eurostat EB flows IEA'!AT12</f>
        <v>87049.87</v>
      </c>
      <c r="AA12">
        <f>'Eurostat EB flows IEA'!AU12</f>
        <v>0</v>
      </c>
      <c r="AB12">
        <f>'Eurostat EB flows IEA'!AV12</f>
        <v>28119.343000000008</v>
      </c>
      <c r="AC12">
        <f>'Eurostat EB flows IEA'!AW12</f>
        <v>194758.60800000001</v>
      </c>
      <c r="AD12">
        <f>'Eurostat EB flows IEA'!AX12</f>
        <v>2822.6170000000002</v>
      </c>
      <c r="AE12">
        <f>'Eurostat EB flows IEA'!AY12</f>
        <v>0</v>
      </c>
      <c r="AF12">
        <f>'Eurostat EB flows IEA'!AZ12</f>
        <v>345850.30800000002</v>
      </c>
      <c r="AG12">
        <f>'Eurostat EB flows IEA'!BA12</f>
        <v>16742.290999999997</v>
      </c>
      <c r="AH12">
        <f>'Eurostat EB flows IEA'!BB12</f>
        <v>854333.4</v>
      </c>
      <c r="AI12">
        <f>'Eurostat EB flows IEA'!BC12</f>
        <v>393140.03</v>
      </c>
      <c r="AJ12">
        <f>'Eurostat EB flows IEA'!BD12</f>
        <v>407607.10399999993</v>
      </c>
      <c r="AK12">
        <f>'Eurostat EB flows IEA'!BE12</f>
        <v>39900.259000000005</v>
      </c>
      <c r="AL12">
        <f>'Eurostat EB flows IEA'!BF12</f>
        <v>42819.498</v>
      </c>
      <c r="AM12">
        <f>'Eurostat EB flows IEA'!BG12</f>
        <v>37052.464</v>
      </c>
      <c r="AN12">
        <f>'Eurostat EB flows IEA'!BH12</f>
        <v>-9.9999999997635314E-4</v>
      </c>
      <c r="AO12">
        <f>'Eurostat EB flows IEA'!BI12</f>
        <v>16671.462</v>
      </c>
      <c r="AP12">
        <f>'Eurostat EB flows IEA'!BJ12</f>
        <v>18090.465</v>
      </c>
      <c r="AQ12">
        <f>'Eurostat EB flows IEA'!BK12</f>
        <v>-1245.8309999999999</v>
      </c>
      <c r="AR12">
        <f>'Eurostat EB flows IEA'!BL12</f>
        <v>-35337.54</v>
      </c>
      <c r="AS12">
        <f>'Eurostat EB flows IEA'!BM12</f>
        <v>-31337.062999999998</v>
      </c>
      <c r="AT12">
        <f>'Eurostat EB flows IEA'!BN12</f>
        <v>-58457.756999999998</v>
      </c>
      <c r="AU12">
        <f>'Eurostat EB flows IEA'!BO12</f>
        <v>-14208.23</v>
      </c>
      <c r="AV12">
        <f>'Eurostat EB flows IEA'!BP12</f>
        <v>-367.11700000000019</v>
      </c>
      <c r="AW12">
        <f>'Eurostat EB flows IEA'!BQ12</f>
        <v>0</v>
      </c>
      <c r="AX12">
        <f>'Eurostat EB flows IEA'!BR12</f>
        <v>0</v>
      </c>
      <c r="AY12">
        <f>'Eurostat EB flows IEA'!BS12</f>
        <v>0</v>
      </c>
      <c r="AZ12">
        <f>'Eurostat EB flows IEA'!BT12</f>
        <v>0</v>
      </c>
      <c r="BA12">
        <f>'Eurostat EB flows IEA'!BU12</f>
        <v>0</v>
      </c>
      <c r="BB12">
        <f>'Eurostat EB flows IEA'!BV12</f>
        <v>0</v>
      </c>
      <c r="BC12">
        <f>'Eurostat EB flows IEA'!BW12</f>
        <v>-38959.053</v>
      </c>
      <c r="BD12">
        <f>'Eurostat EB flows IEA'!BX12</f>
        <v>-249.72800000000001</v>
      </c>
      <c r="BE12">
        <f>'Eurostat EB flows IEA'!BY12</f>
        <v>0</v>
      </c>
      <c r="BF12">
        <f>'Eurostat EB flows IEA'!BZ12</f>
        <v>-70481.476999999999</v>
      </c>
      <c r="BG12">
        <f>'Eurostat EB flows IEA'!CA12</f>
        <v>0</v>
      </c>
      <c r="BH12">
        <f>'Eurostat EB flows IEA'!CB12</f>
        <v>0</v>
      </c>
      <c r="BI12">
        <f>'Eurostat EB flows IEA'!CC12</f>
        <v>-106290.292</v>
      </c>
      <c r="BJ12">
        <f>'Eurostat EB flows IEA'!CD12</f>
        <v>0</v>
      </c>
      <c r="BK12">
        <f>'Eurostat EB flows IEA'!CE12</f>
        <v>436427.19</v>
      </c>
      <c r="BL12">
        <f>'Eurostat EB flows IEA'!CF12</f>
        <v>79617.117999999988</v>
      </c>
      <c r="BM12">
        <f>'Eurostat EB flows IEA'!CG12</f>
        <v>-328284.42299999949</v>
      </c>
      <c r="BN12">
        <f>'Eurostat EB flows IEA'!CH12</f>
        <v>-64911.030999999988</v>
      </c>
    </row>
    <row r="13" spans="1:66" x14ac:dyDescent="0.2">
      <c r="A13" t="s">
        <v>150</v>
      </c>
      <c r="B13" t="str">
        <f>'Eurostat EB flows IEA'!V13</f>
        <v>x</v>
      </c>
      <c r="C13" t="str">
        <f>'Eurostat EB flows IEA'!W13</f>
        <v>x</v>
      </c>
      <c r="D13">
        <f>'Eurostat EB flows IEA'!X13</f>
        <v>0</v>
      </c>
      <c r="E13">
        <f>'Eurostat EB flows IEA'!Y13</f>
        <v>0</v>
      </c>
      <c r="F13">
        <f>'Eurostat EB flows IEA'!Z13</f>
        <v>-41287.546999999999</v>
      </c>
      <c r="G13">
        <f>'Eurostat EB flows IEA'!AA13</f>
        <v>0</v>
      </c>
      <c r="H13">
        <f>'Eurostat EB flows IEA'!AB13</f>
        <v>0</v>
      </c>
      <c r="I13">
        <f>'Eurostat EB flows IEA'!AC13</f>
        <v>0</v>
      </c>
      <c r="J13">
        <f>'Eurostat EB flows IEA'!AD13</f>
        <v>0</v>
      </c>
      <c r="K13">
        <f>'Eurostat EB flows IEA'!AE13</f>
        <v>0</v>
      </c>
      <c r="L13">
        <f>'Eurostat EB flows IEA'!AF13</f>
        <v>0</v>
      </c>
      <c r="M13">
        <f>'Eurostat EB flows IEA'!AG13</f>
        <v>0</v>
      </c>
      <c r="N13">
        <f>'Eurostat EB flows IEA'!AH13</f>
        <v>0</v>
      </c>
      <c r="O13">
        <f>'Eurostat EB flows IEA'!AI13</f>
        <v>-1331.16</v>
      </c>
      <c r="P13">
        <f>'Eurostat EB flows IEA'!AJ13</f>
        <v>-14366.821</v>
      </c>
      <c r="Q13">
        <f>'Eurostat EB flows IEA'!AK13</f>
        <v>0</v>
      </c>
      <c r="R13">
        <f>'Eurostat EB flows IEA'!AL13</f>
        <v>0</v>
      </c>
      <c r="S13">
        <f>'Eurostat EB flows IEA'!AM13</f>
        <v>-137861.11600000001</v>
      </c>
      <c r="T13" t="str">
        <f>'Eurostat EB flows IEA'!AN13</f>
        <v>x</v>
      </c>
      <c r="U13">
        <f>'Eurostat EB flows IEA'!AO13</f>
        <v>0</v>
      </c>
      <c r="V13">
        <f>'Eurostat EB flows IEA'!AP13</f>
        <v>0</v>
      </c>
      <c r="W13">
        <f>'Eurostat EB flows IEA'!AQ13</f>
        <v>0</v>
      </c>
      <c r="X13">
        <f>'Eurostat EB flows IEA'!AR13</f>
        <v>0</v>
      </c>
      <c r="Y13">
        <f>'Eurostat EB flows IEA'!AS13</f>
        <v>0</v>
      </c>
      <c r="Z13">
        <f>'Eurostat EB flows IEA'!AT13</f>
        <v>0</v>
      </c>
      <c r="AA13">
        <f>'Eurostat EB flows IEA'!AU13</f>
        <v>0</v>
      </c>
      <c r="AB13">
        <f>'Eurostat EB flows IEA'!AV13</f>
        <v>0</v>
      </c>
      <c r="AC13">
        <f>'Eurostat EB flows IEA'!AW13</f>
        <v>0</v>
      </c>
      <c r="AD13">
        <f>'Eurostat EB flows IEA'!AX13</f>
        <v>0</v>
      </c>
      <c r="AE13">
        <f>'Eurostat EB flows IEA'!AY13</f>
        <v>0</v>
      </c>
      <c r="AF13">
        <f>'Eurostat EB flows IEA'!AZ13</f>
        <v>0</v>
      </c>
      <c r="AG13">
        <f>'Eurostat EB flows IEA'!BA13</f>
        <v>0</v>
      </c>
      <c r="AH13">
        <f>'Eurostat EB flows IEA'!BB13</f>
        <v>0</v>
      </c>
      <c r="AI13">
        <f>'Eurostat EB flows IEA'!BC13</f>
        <v>0</v>
      </c>
      <c r="AJ13">
        <f>'Eurostat EB flows IEA'!BD13</f>
        <v>0</v>
      </c>
      <c r="AK13">
        <f>'Eurostat EB flows IEA'!BE13</f>
        <v>0</v>
      </c>
      <c r="AL13">
        <f>'Eurostat EB flows IEA'!BF13</f>
        <v>0</v>
      </c>
      <c r="AM13">
        <f>'Eurostat EB flows IEA'!BG13</f>
        <v>0</v>
      </c>
      <c r="AN13">
        <f>'Eurostat EB flows IEA'!BH13</f>
        <v>0</v>
      </c>
      <c r="AO13">
        <f>'Eurostat EB flows IEA'!BI13</f>
        <v>0</v>
      </c>
      <c r="AP13">
        <f>'Eurostat EB flows IEA'!BJ13</f>
        <v>-98.941999999999993</v>
      </c>
      <c r="AQ13">
        <f>'Eurostat EB flows IEA'!BK13</f>
        <v>0</v>
      </c>
      <c r="AR13">
        <f>'Eurostat EB flows IEA'!BL13</f>
        <v>0</v>
      </c>
      <c r="AS13">
        <f>'Eurostat EB flows IEA'!BM13</f>
        <v>0</v>
      </c>
      <c r="AT13">
        <f>'Eurostat EB flows IEA'!BN13</f>
        <v>-11921.505999999999</v>
      </c>
      <c r="AU13">
        <f>'Eurostat EB flows IEA'!BO13</f>
        <v>-22.812999999999999</v>
      </c>
      <c r="AV13">
        <f>'Eurostat EB flows IEA'!BP13</f>
        <v>0</v>
      </c>
      <c r="AW13">
        <f>'Eurostat EB flows IEA'!BQ13</f>
        <v>0</v>
      </c>
      <c r="AX13">
        <f>'Eurostat EB flows IEA'!BR13</f>
        <v>0</v>
      </c>
      <c r="AY13">
        <f>'Eurostat EB flows IEA'!BS13</f>
        <v>0</v>
      </c>
      <c r="AZ13">
        <f>'Eurostat EB flows IEA'!BT13</f>
        <v>0</v>
      </c>
      <c r="BA13">
        <f>'Eurostat EB flows IEA'!BU13</f>
        <v>0</v>
      </c>
      <c r="BB13">
        <f>'Eurostat EB flows IEA'!BV13</f>
        <v>0</v>
      </c>
      <c r="BC13">
        <f>'Eurostat EB flows IEA'!BW13</f>
        <v>-38959.053</v>
      </c>
      <c r="BD13">
        <f>'Eurostat EB flows IEA'!BX13</f>
        <v>-249.72800000000001</v>
      </c>
      <c r="BE13">
        <f>'Eurostat EB flows IEA'!BY13</f>
        <v>0</v>
      </c>
      <c r="BF13">
        <f>'Eurostat EB flows IEA'!BZ13</f>
        <v>-14464.666999999999</v>
      </c>
      <c r="BG13">
        <f>'Eurostat EB flows IEA'!CA13</f>
        <v>0</v>
      </c>
      <c r="BH13">
        <f>'Eurostat EB flows IEA'!CB13</f>
        <v>0</v>
      </c>
      <c r="BI13">
        <f>'Eurostat EB flows IEA'!CC13</f>
        <v>-97847.002999999997</v>
      </c>
      <c r="BJ13">
        <f>'Eurostat EB flows IEA'!CD13</f>
        <v>0</v>
      </c>
      <c r="BK13">
        <f>'Eurostat EB flows IEA'!CE13</f>
        <v>232097.47899999999</v>
      </c>
      <c r="BL13">
        <f>'Eurostat EB flows IEA'!CF13</f>
        <v>0</v>
      </c>
      <c r="BM13">
        <f>'Eurostat EB flows IEA'!CG13</f>
        <v>-126312.87700000004</v>
      </c>
      <c r="BN13">
        <f>'Eurostat EB flows IEA'!CH13</f>
        <v>2095.2560000000012</v>
      </c>
    </row>
    <row r="14" spans="1:66" x14ac:dyDescent="0.2">
      <c r="A14" t="s">
        <v>151</v>
      </c>
      <c r="B14" t="str">
        <f>'Eurostat EB flows IEA'!V14</f>
        <v>x</v>
      </c>
      <c r="C14" t="str">
        <f>'Eurostat EB flows IEA'!W14</f>
        <v>x</v>
      </c>
      <c r="D14">
        <f>'Eurostat EB flows IEA'!X14</f>
        <v>0</v>
      </c>
      <c r="E14">
        <f>'Eurostat EB flows IEA'!Y14</f>
        <v>0</v>
      </c>
      <c r="F14">
        <f>'Eurostat EB flows IEA'!Z14</f>
        <v>0</v>
      </c>
      <c r="G14">
        <f>'Eurostat EB flows IEA'!AA14</f>
        <v>0</v>
      </c>
      <c r="H14">
        <f>'Eurostat EB flows IEA'!AB14</f>
        <v>0</v>
      </c>
      <c r="I14">
        <f>'Eurostat EB flows IEA'!AC14</f>
        <v>0</v>
      </c>
      <c r="J14">
        <f>'Eurostat EB flows IEA'!AD14</f>
        <v>0</v>
      </c>
      <c r="K14">
        <f>'Eurostat EB flows IEA'!AE14</f>
        <v>0</v>
      </c>
      <c r="L14">
        <f>'Eurostat EB flows IEA'!AF14</f>
        <v>0</v>
      </c>
      <c r="M14">
        <f>'Eurostat EB flows IEA'!AG14</f>
        <v>0</v>
      </c>
      <c r="N14">
        <f>'Eurostat EB flows IEA'!AH14</f>
        <v>0</v>
      </c>
      <c r="O14">
        <f>'Eurostat EB flows IEA'!AI14</f>
        <v>0</v>
      </c>
      <c r="P14">
        <f>'Eurostat EB flows IEA'!AJ14</f>
        <v>0</v>
      </c>
      <c r="Q14">
        <f>'Eurostat EB flows IEA'!AK14</f>
        <v>0</v>
      </c>
      <c r="R14">
        <f>'Eurostat EB flows IEA'!AL14</f>
        <v>0</v>
      </c>
      <c r="S14">
        <f>'Eurostat EB flows IEA'!AM14</f>
        <v>-2416.8009999999999</v>
      </c>
      <c r="T14" t="str">
        <f>'Eurostat EB flows IEA'!AN14</f>
        <v>x</v>
      </c>
      <c r="U14">
        <f>'Eurostat EB flows IEA'!AO14</f>
        <v>0</v>
      </c>
      <c r="V14">
        <f>'Eurostat EB flows IEA'!AP14</f>
        <v>0</v>
      </c>
      <c r="W14">
        <f>'Eurostat EB flows IEA'!AQ14</f>
        <v>0</v>
      </c>
      <c r="X14">
        <f>'Eurostat EB flows IEA'!AR14</f>
        <v>0</v>
      </c>
      <c r="Y14">
        <f>'Eurostat EB flows IEA'!AS14</f>
        <v>0</v>
      </c>
      <c r="Z14">
        <f>'Eurostat EB flows IEA'!AT14</f>
        <v>-621.13099999999997</v>
      </c>
      <c r="AA14">
        <f>'Eurostat EB flows IEA'!AU14</f>
        <v>0</v>
      </c>
      <c r="AB14">
        <f>'Eurostat EB flows IEA'!AV14</f>
        <v>0</v>
      </c>
      <c r="AC14">
        <f>'Eurostat EB flows IEA'!AW14</f>
        <v>0</v>
      </c>
      <c r="AD14">
        <f>'Eurostat EB flows IEA'!AX14</f>
        <v>0</v>
      </c>
      <c r="AE14">
        <f>'Eurostat EB flows IEA'!AY14</f>
        <v>0</v>
      </c>
      <c r="AF14">
        <f>'Eurostat EB flows IEA'!AZ14</f>
        <v>0</v>
      </c>
      <c r="AG14">
        <f>'Eurostat EB flows IEA'!BA14</f>
        <v>0</v>
      </c>
      <c r="AH14">
        <f>'Eurostat EB flows IEA'!BB14</f>
        <v>-4.4000000000000004</v>
      </c>
      <c r="AI14">
        <f>'Eurostat EB flows IEA'!BC14</f>
        <v>0</v>
      </c>
      <c r="AJ14">
        <f>'Eurostat EB flows IEA'!BD14</f>
        <v>0</v>
      </c>
      <c r="AK14">
        <f>'Eurostat EB flows IEA'!BE14</f>
        <v>0</v>
      </c>
      <c r="AL14">
        <f>'Eurostat EB flows IEA'!BF14</f>
        <v>0</v>
      </c>
      <c r="AM14">
        <f>'Eurostat EB flows IEA'!BG14</f>
        <v>0</v>
      </c>
      <c r="AN14">
        <f>'Eurostat EB flows IEA'!BH14</f>
        <v>0</v>
      </c>
      <c r="AO14">
        <f>'Eurostat EB flows IEA'!BI14</f>
        <v>0</v>
      </c>
      <c r="AP14">
        <f>'Eurostat EB flows IEA'!BJ14</f>
        <v>0</v>
      </c>
      <c r="AQ14">
        <f>'Eurostat EB flows IEA'!BK14</f>
        <v>0</v>
      </c>
      <c r="AR14">
        <f>'Eurostat EB flows IEA'!BL14</f>
        <v>0</v>
      </c>
      <c r="AS14">
        <f>'Eurostat EB flows IEA'!BM14</f>
        <v>0</v>
      </c>
      <c r="AT14">
        <f>'Eurostat EB flows IEA'!BN14</f>
        <v>0</v>
      </c>
      <c r="AU14">
        <f>'Eurostat EB flows IEA'!BO14</f>
        <v>-193.928</v>
      </c>
      <c r="AV14">
        <f>'Eurostat EB flows IEA'!BP14</f>
        <v>0</v>
      </c>
      <c r="AW14">
        <f>'Eurostat EB flows IEA'!BQ14</f>
        <v>0</v>
      </c>
      <c r="AX14">
        <f>'Eurostat EB flows IEA'!BR14</f>
        <v>0</v>
      </c>
      <c r="AY14">
        <f>'Eurostat EB flows IEA'!BS14</f>
        <v>0</v>
      </c>
      <c r="AZ14">
        <f>'Eurostat EB flows IEA'!BT14</f>
        <v>0</v>
      </c>
      <c r="BA14">
        <f>'Eurostat EB flows IEA'!BU14</f>
        <v>0</v>
      </c>
      <c r="BB14">
        <f>'Eurostat EB flows IEA'!BV14</f>
        <v>0</v>
      </c>
      <c r="BC14">
        <f>'Eurostat EB flows IEA'!BW14</f>
        <v>0</v>
      </c>
      <c r="BD14">
        <f>'Eurostat EB flows IEA'!BX14</f>
        <v>0</v>
      </c>
      <c r="BE14">
        <f>'Eurostat EB flows IEA'!BY14</f>
        <v>0</v>
      </c>
      <c r="BF14">
        <f>'Eurostat EB flows IEA'!BZ14</f>
        <v>-56016.81</v>
      </c>
      <c r="BG14">
        <f>'Eurostat EB flows IEA'!CA14</f>
        <v>0</v>
      </c>
      <c r="BH14">
        <f>'Eurostat EB flows IEA'!CB14</f>
        <v>0</v>
      </c>
      <c r="BI14">
        <f>'Eurostat EB flows IEA'!CC14</f>
        <v>-8443.2890000000007</v>
      </c>
      <c r="BJ14">
        <f>'Eurostat EB flows IEA'!CD14</f>
        <v>0</v>
      </c>
      <c r="BK14">
        <f>'Eurostat EB flows IEA'!CE14</f>
        <v>65848.452999999994</v>
      </c>
      <c r="BL14">
        <f>'Eurostat EB flows IEA'!CF14</f>
        <v>0</v>
      </c>
      <c r="BM14">
        <f>'Eurostat EB flows IEA'!CG14</f>
        <v>-1847.9070000000065</v>
      </c>
      <c r="BN14">
        <f>'Eurostat EB flows IEA'!CH14</f>
        <v>4165.116</v>
      </c>
    </row>
    <row r="15" spans="1:66" x14ac:dyDescent="0.2">
      <c r="A15" t="s">
        <v>152</v>
      </c>
      <c r="B15" t="str">
        <f>'Eurostat EB flows IEA'!V15</f>
        <v>x</v>
      </c>
      <c r="C15" t="str">
        <f>'Eurostat EB flows IEA'!W15</f>
        <v>x</v>
      </c>
      <c r="D15">
        <f>'Eurostat EB flows IEA'!X15</f>
        <v>0</v>
      </c>
      <c r="E15">
        <f>'Eurostat EB flows IEA'!Y15</f>
        <v>0</v>
      </c>
      <c r="F15">
        <f>'Eurostat EB flows IEA'!Z15</f>
        <v>-30042.236000000001</v>
      </c>
      <c r="G15">
        <f>'Eurostat EB flows IEA'!AA15</f>
        <v>0</v>
      </c>
      <c r="H15">
        <f>'Eurostat EB flows IEA'!AB15</f>
        <v>0</v>
      </c>
      <c r="I15">
        <f>'Eurostat EB flows IEA'!AC15</f>
        <v>0</v>
      </c>
      <c r="J15">
        <f>'Eurostat EB flows IEA'!AD15</f>
        <v>0</v>
      </c>
      <c r="K15">
        <f>'Eurostat EB flows IEA'!AE15</f>
        <v>0</v>
      </c>
      <c r="L15">
        <f>'Eurostat EB flows IEA'!AF15</f>
        <v>0</v>
      </c>
      <c r="M15">
        <f>'Eurostat EB flows IEA'!AG15</f>
        <v>0</v>
      </c>
      <c r="N15">
        <f>'Eurostat EB flows IEA'!AH15</f>
        <v>0</v>
      </c>
      <c r="O15">
        <f>'Eurostat EB flows IEA'!AI15</f>
        <v>-6.4000000000000001E-2</v>
      </c>
      <c r="P15">
        <f>'Eurostat EB flows IEA'!AJ15</f>
        <v>-1672.4490000000001</v>
      </c>
      <c r="Q15">
        <f>'Eurostat EB flows IEA'!AK15</f>
        <v>0</v>
      </c>
      <c r="R15">
        <f>'Eurostat EB flows IEA'!AL15</f>
        <v>0</v>
      </c>
      <c r="S15">
        <f>'Eurostat EB flows IEA'!AM15</f>
        <v>-78425.108999999997</v>
      </c>
      <c r="T15" t="str">
        <f>'Eurostat EB flows IEA'!AN15</f>
        <v>x</v>
      </c>
      <c r="U15">
        <f>'Eurostat EB flows IEA'!AO15</f>
        <v>0</v>
      </c>
      <c r="V15">
        <f>'Eurostat EB flows IEA'!AP15</f>
        <v>0</v>
      </c>
      <c r="W15">
        <f>'Eurostat EB flows IEA'!AQ15</f>
        <v>0</v>
      </c>
      <c r="X15">
        <f>'Eurostat EB flows IEA'!AR15</f>
        <v>0</v>
      </c>
      <c r="Y15">
        <f>'Eurostat EB flows IEA'!AS15</f>
        <v>0</v>
      </c>
      <c r="Z15">
        <f>'Eurostat EB flows IEA'!AT15</f>
        <v>0</v>
      </c>
      <c r="AA15">
        <f>'Eurostat EB flows IEA'!AU15</f>
        <v>0</v>
      </c>
      <c r="AB15">
        <f>'Eurostat EB flows IEA'!AV15</f>
        <v>0</v>
      </c>
      <c r="AC15">
        <f>'Eurostat EB flows IEA'!AW15</f>
        <v>0</v>
      </c>
      <c r="AD15">
        <f>'Eurostat EB flows IEA'!AX15</f>
        <v>0</v>
      </c>
      <c r="AE15">
        <f>'Eurostat EB flows IEA'!AY15</f>
        <v>0</v>
      </c>
      <c r="AF15">
        <f>'Eurostat EB flows IEA'!AZ15</f>
        <v>0</v>
      </c>
      <c r="AG15">
        <f>'Eurostat EB flows IEA'!BA15</f>
        <v>0</v>
      </c>
      <c r="AH15">
        <f>'Eurostat EB flows IEA'!BB15</f>
        <v>-202.37200000000001</v>
      </c>
      <c r="AI15">
        <f>'Eurostat EB flows IEA'!BC15</f>
        <v>0</v>
      </c>
      <c r="AJ15">
        <f>'Eurostat EB flows IEA'!BD15</f>
        <v>0</v>
      </c>
      <c r="AK15">
        <f>'Eurostat EB flows IEA'!BE15</f>
        <v>0</v>
      </c>
      <c r="AL15">
        <f>'Eurostat EB flows IEA'!BF15</f>
        <v>0</v>
      </c>
      <c r="AM15">
        <f>'Eurostat EB flows IEA'!BG15</f>
        <v>0</v>
      </c>
      <c r="AN15">
        <f>'Eurostat EB flows IEA'!BH15</f>
        <v>0</v>
      </c>
      <c r="AO15">
        <f>'Eurostat EB flows IEA'!BI15</f>
        <v>0</v>
      </c>
      <c r="AP15">
        <f>'Eurostat EB flows IEA'!BJ15</f>
        <v>0</v>
      </c>
      <c r="AQ15">
        <f>'Eurostat EB flows IEA'!BK15</f>
        <v>-254.44800000000001</v>
      </c>
      <c r="AR15">
        <f>'Eurostat EB flows IEA'!BL15</f>
        <v>0</v>
      </c>
      <c r="AS15">
        <f>'Eurostat EB flows IEA'!BM15</f>
        <v>0</v>
      </c>
      <c r="AT15">
        <f>'Eurostat EB flows IEA'!BN15</f>
        <v>-31227.246999999999</v>
      </c>
      <c r="AU15">
        <f>'Eurostat EB flows IEA'!BO15</f>
        <v>-282.39</v>
      </c>
      <c r="AV15">
        <f>'Eurostat EB flows IEA'!BP15</f>
        <v>0</v>
      </c>
      <c r="AW15">
        <f>'Eurostat EB flows IEA'!BQ15</f>
        <v>0</v>
      </c>
      <c r="AX15">
        <f>'Eurostat EB flows IEA'!BR15</f>
        <v>0</v>
      </c>
      <c r="AY15">
        <f>'Eurostat EB flows IEA'!BS15</f>
        <v>0</v>
      </c>
      <c r="AZ15">
        <f>'Eurostat EB flows IEA'!BT15</f>
        <v>0</v>
      </c>
      <c r="BA15">
        <f>'Eurostat EB flows IEA'!BU15</f>
        <v>0</v>
      </c>
      <c r="BB15">
        <f>'Eurostat EB flows IEA'!BV15</f>
        <v>0</v>
      </c>
      <c r="BC15">
        <f>'Eurostat EB flows IEA'!BW15</f>
        <v>0</v>
      </c>
      <c r="BD15">
        <f>'Eurostat EB flows IEA'!BX15</f>
        <v>0</v>
      </c>
      <c r="BE15">
        <f>'Eurostat EB flows IEA'!BY15</f>
        <v>0</v>
      </c>
      <c r="BF15">
        <f>'Eurostat EB flows IEA'!BZ15</f>
        <v>0</v>
      </c>
      <c r="BG15">
        <f>'Eurostat EB flows IEA'!CA15</f>
        <v>0</v>
      </c>
      <c r="BH15">
        <f>'Eurostat EB flows IEA'!CB15</f>
        <v>0</v>
      </c>
      <c r="BI15">
        <f>'Eurostat EB flows IEA'!CC15</f>
        <v>0</v>
      </c>
      <c r="BJ15">
        <f>'Eurostat EB flows IEA'!CD15</f>
        <v>0</v>
      </c>
      <c r="BK15">
        <f>'Eurostat EB flows IEA'!CE15</f>
        <v>58257.402999999998</v>
      </c>
      <c r="BL15">
        <f>'Eurostat EB flows IEA'!CF15</f>
        <v>31806.674999999999</v>
      </c>
      <c r="BM15">
        <f>'Eurostat EB flows IEA'!CG15</f>
        <v>-52042.237000000008</v>
      </c>
      <c r="BN15">
        <f>'Eurostat EB flows IEA'!CH15</f>
        <v>-21452.327999999998</v>
      </c>
    </row>
    <row r="16" spans="1:66" x14ac:dyDescent="0.2">
      <c r="A16" t="s">
        <v>153</v>
      </c>
      <c r="B16" t="str">
        <f>'Eurostat EB flows IEA'!V16</f>
        <v>x</v>
      </c>
      <c r="C16" t="str">
        <f>'Eurostat EB flows IEA'!W16</f>
        <v>x</v>
      </c>
      <c r="D16">
        <f>'Eurostat EB flows IEA'!X16</f>
        <v>0</v>
      </c>
      <c r="E16">
        <f>'Eurostat EB flows IEA'!Y16</f>
        <v>0</v>
      </c>
      <c r="F16">
        <f>'Eurostat EB flows IEA'!Z16</f>
        <v>0</v>
      </c>
      <c r="G16">
        <f>'Eurostat EB flows IEA'!AA16</f>
        <v>0</v>
      </c>
      <c r="H16">
        <f>'Eurostat EB flows IEA'!AB16</f>
        <v>0</v>
      </c>
      <c r="I16">
        <f>'Eurostat EB flows IEA'!AC16</f>
        <v>0</v>
      </c>
      <c r="J16">
        <f>'Eurostat EB flows IEA'!AD16</f>
        <v>0</v>
      </c>
      <c r="K16">
        <f>'Eurostat EB flows IEA'!AE16</f>
        <v>0</v>
      </c>
      <c r="L16">
        <f>'Eurostat EB flows IEA'!AF16</f>
        <v>0</v>
      </c>
      <c r="M16">
        <f>'Eurostat EB flows IEA'!AG16</f>
        <v>0</v>
      </c>
      <c r="N16">
        <f>'Eurostat EB flows IEA'!AH16</f>
        <v>0</v>
      </c>
      <c r="O16">
        <f>'Eurostat EB flows IEA'!AI16</f>
        <v>-97.316999999999993</v>
      </c>
      <c r="P16">
        <f>'Eurostat EB flows IEA'!AJ16</f>
        <v>-702.23400000000004</v>
      </c>
      <c r="Q16">
        <f>'Eurostat EB flows IEA'!AK16</f>
        <v>0</v>
      </c>
      <c r="R16">
        <f>'Eurostat EB flows IEA'!AL16</f>
        <v>0</v>
      </c>
      <c r="S16">
        <f>'Eurostat EB flows IEA'!AM16</f>
        <v>-79593.831999999995</v>
      </c>
      <c r="T16" t="str">
        <f>'Eurostat EB flows IEA'!AN16</f>
        <v>x</v>
      </c>
      <c r="U16">
        <f>'Eurostat EB flows IEA'!AO16</f>
        <v>0</v>
      </c>
      <c r="V16">
        <f>'Eurostat EB flows IEA'!AP16</f>
        <v>0</v>
      </c>
      <c r="W16">
        <f>'Eurostat EB flows IEA'!AQ16</f>
        <v>0</v>
      </c>
      <c r="X16">
        <f>'Eurostat EB flows IEA'!AR16</f>
        <v>0</v>
      </c>
      <c r="Y16">
        <f>'Eurostat EB flows IEA'!AS16</f>
        <v>0</v>
      </c>
      <c r="Z16">
        <f>'Eurostat EB flows IEA'!AT16</f>
        <v>-13257.311</v>
      </c>
      <c r="AA16">
        <f>'Eurostat EB flows IEA'!AU16</f>
        <v>0</v>
      </c>
      <c r="AB16">
        <f>'Eurostat EB flows IEA'!AV16</f>
        <v>0</v>
      </c>
      <c r="AC16">
        <f>'Eurostat EB flows IEA'!AW16</f>
        <v>0</v>
      </c>
      <c r="AD16">
        <f>'Eurostat EB flows IEA'!AX16</f>
        <v>0</v>
      </c>
      <c r="AE16">
        <f>'Eurostat EB flows IEA'!AY16</f>
        <v>0</v>
      </c>
      <c r="AF16">
        <f>'Eurostat EB flows IEA'!AZ16</f>
        <v>0</v>
      </c>
      <c r="AG16">
        <f>'Eurostat EB flows IEA'!BA16</f>
        <v>0</v>
      </c>
      <c r="AH16">
        <f>'Eurostat EB flows IEA'!BB16</f>
        <v>-149.56800000000001</v>
      </c>
      <c r="AI16">
        <f>'Eurostat EB flows IEA'!BC16</f>
        <v>0</v>
      </c>
      <c r="AJ16">
        <f>'Eurostat EB flows IEA'!BD16</f>
        <v>0</v>
      </c>
      <c r="AK16">
        <f>'Eurostat EB flows IEA'!BE16</f>
        <v>0</v>
      </c>
      <c r="AL16">
        <f>'Eurostat EB flows IEA'!BF16</f>
        <v>0</v>
      </c>
      <c r="AM16">
        <f>'Eurostat EB flows IEA'!BG16</f>
        <v>0</v>
      </c>
      <c r="AN16">
        <f>'Eurostat EB flows IEA'!BH16</f>
        <v>0</v>
      </c>
      <c r="AO16">
        <f>'Eurostat EB flows IEA'!BI16</f>
        <v>0</v>
      </c>
      <c r="AP16">
        <f>'Eurostat EB flows IEA'!BJ16</f>
        <v>0</v>
      </c>
      <c r="AQ16">
        <f>'Eurostat EB flows IEA'!BK16</f>
        <v>-190.51499999999999</v>
      </c>
      <c r="AR16">
        <f>'Eurostat EB flows IEA'!BL16</f>
        <v>-35337.54</v>
      </c>
      <c r="AS16">
        <f>'Eurostat EB flows IEA'!BM16</f>
        <v>-31337.062999999998</v>
      </c>
      <c r="AT16">
        <f>'Eurostat EB flows IEA'!BN16</f>
        <v>-11165.546</v>
      </c>
      <c r="AU16">
        <f>'Eurostat EB flows IEA'!BO16</f>
        <v>-3990.4960000000001</v>
      </c>
      <c r="AV16">
        <f>'Eurostat EB flows IEA'!BP16</f>
        <v>0</v>
      </c>
      <c r="AW16">
        <f>'Eurostat EB flows IEA'!BQ16</f>
        <v>0</v>
      </c>
      <c r="AX16">
        <f>'Eurostat EB flows IEA'!BR16</f>
        <v>0</v>
      </c>
      <c r="AY16">
        <f>'Eurostat EB flows IEA'!BS16</f>
        <v>0</v>
      </c>
      <c r="AZ16">
        <f>'Eurostat EB flows IEA'!BT16</f>
        <v>0</v>
      </c>
      <c r="BA16">
        <f>'Eurostat EB flows IEA'!BU16</f>
        <v>0</v>
      </c>
      <c r="BB16">
        <f>'Eurostat EB flows IEA'!BV16</f>
        <v>0</v>
      </c>
      <c r="BC16">
        <f>'Eurostat EB flows IEA'!BW16</f>
        <v>0</v>
      </c>
      <c r="BD16">
        <f>'Eurostat EB flows IEA'!BX16</f>
        <v>0</v>
      </c>
      <c r="BE16">
        <f>'Eurostat EB flows IEA'!BY16</f>
        <v>0</v>
      </c>
      <c r="BF16">
        <f>'Eurostat EB flows IEA'!BZ16</f>
        <v>0</v>
      </c>
      <c r="BG16">
        <f>'Eurostat EB flows IEA'!CA16</f>
        <v>0</v>
      </c>
      <c r="BH16">
        <f>'Eurostat EB flows IEA'!CB16</f>
        <v>0</v>
      </c>
      <c r="BI16">
        <f>'Eurostat EB flows IEA'!CC16</f>
        <v>0</v>
      </c>
      <c r="BJ16">
        <f>'Eurostat EB flows IEA'!CD16</f>
        <v>0</v>
      </c>
      <c r="BK16">
        <f>'Eurostat EB flows IEA'!CE16</f>
        <v>78532.501999999993</v>
      </c>
      <c r="BL16">
        <f>'Eurostat EB flows IEA'!CF16</f>
        <v>33365.031999999999</v>
      </c>
      <c r="BM16">
        <f>'Eurostat EB flows IEA'!CG16</f>
        <v>-63923.887999999992</v>
      </c>
      <c r="BN16">
        <f>'Eurostat EB flows IEA'!CH16</f>
        <v>-38756.358</v>
      </c>
    </row>
    <row r="17" spans="1:66" x14ac:dyDescent="0.2">
      <c r="A17" t="s">
        <v>154</v>
      </c>
      <c r="B17" t="str">
        <f>'Eurostat EB flows IEA'!V17</f>
        <v>x</v>
      </c>
      <c r="C17" t="str">
        <f>'Eurostat EB flows IEA'!W17</f>
        <v>x</v>
      </c>
      <c r="D17">
        <f>'Eurostat EB flows IEA'!X17</f>
        <v>0</v>
      </c>
      <c r="E17">
        <f>'Eurostat EB flows IEA'!Y17</f>
        <v>0</v>
      </c>
      <c r="F17">
        <f>'Eurostat EB flows IEA'!Z17</f>
        <v>0</v>
      </c>
      <c r="G17">
        <f>'Eurostat EB flows IEA'!AA17</f>
        <v>0</v>
      </c>
      <c r="H17">
        <f>'Eurostat EB flows IEA'!AB17</f>
        <v>0</v>
      </c>
      <c r="I17">
        <f>'Eurostat EB flows IEA'!AC17</f>
        <v>0</v>
      </c>
      <c r="J17">
        <f>'Eurostat EB flows IEA'!AD17</f>
        <v>0</v>
      </c>
      <c r="K17">
        <f>'Eurostat EB flows IEA'!AE17</f>
        <v>0</v>
      </c>
      <c r="L17">
        <f>'Eurostat EB flows IEA'!AF17</f>
        <v>0</v>
      </c>
      <c r="M17">
        <f>'Eurostat EB flows IEA'!AG17</f>
        <v>0</v>
      </c>
      <c r="N17">
        <f>'Eurostat EB flows IEA'!AH17</f>
        <v>0</v>
      </c>
      <c r="O17">
        <f>'Eurostat EB flows IEA'!AI17</f>
        <v>0</v>
      </c>
      <c r="P17">
        <f>'Eurostat EB flows IEA'!AJ17</f>
        <v>0</v>
      </c>
      <c r="Q17">
        <f>'Eurostat EB flows IEA'!AK17</f>
        <v>0</v>
      </c>
      <c r="R17">
        <f>'Eurostat EB flows IEA'!AL17</f>
        <v>0</v>
      </c>
      <c r="S17">
        <f>'Eurostat EB flows IEA'!AM17</f>
        <v>-10592.293</v>
      </c>
      <c r="T17" t="str">
        <f>'Eurostat EB flows IEA'!AN17</f>
        <v>x</v>
      </c>
      <c r="U17">
        <f>'Eurostat EB flows IEA'!AO17</f>
        <v>0</v>
      </c>
      <c r="V17">
        <f>'Eurostat EB flows IEA'!AP17</f>
        <v>0</v>
      </c>
      <c r="W17">
        <f>'Eurostat EB flows IEA'!AQ17</f>
        <v>0</v>
      </c>
      <c r="X17">
        <f>'Eurostat EB flows IEA'!AR17</f>
        <v>0</v>
      </c>
      <c r="Y17">
        <f>'Eurostat EB flows IEA'!AS17</f>
        <v>0</v>
      </c>
      <c r="Z17">
        <f>'Eurostat EB flows IEA'!AT17</f>
        <v>-3652.7570000000001</v>
      </c>
      <c r="AA17">
        <f>'Eurostat EB flows IEA'!AU17</f>
        <v>0</v>
      </c>
      <c r="AB17">
        <f>'Eurostat EB flows IEA'!AV17</f>
        <v>0</v>
      </c>
      <c r="AC17">
        <f>'Eurostat EB flows IEA'!AW17</f>
        <v>0</v>
      </c>
      <c r="AD17">
        <f>'Eurostat EB flows IEA'!AX17</f>
        <v>0</v>
      </c>
      <c r="AE17">
        <f>'Eurostat EB flows IEA'!AY17</f>
        <v>0</v>
      </c>
      <c r="AF17">
        <f>'Eurostat EB flows IEA'!AZ17</f>
        <v>0</v>
      </c>
      <c r="AG17">
        <f>'Eurostat EB flows IEA'!BA17</f>
        <v>0</v>
      </c>
      <c r="AH17">
        <f>'Eurostat EB flows IEA'!BB17</f>
        <v>0</v>
      </c>
      <c r="AI17">
        <f>'Eurostat EB flows IEA'!BC17</f>
        <v>0</v>
      </c>
      <c r="AJ17">
        <f>'Eurostat EB flows IEA'!BD17</f>
        <v>0</v>
      </c>
      <c r="AK17">
        <f>'Eurostat EB flows IEA'!BE17</f>
        <v>0</v>
      </c>
      <c r="AL17">
        <f>'Eurostat EB flows IEA'!BF17</f>
        <v>0</v>
      </c>
      <c r="AM17">
        <f>'Eurostat EB flows IEA'!BG17</f>
        <v>0</v>
      </c>
      <c r="AN17">
        <f>'Eurostat EB flows IEA'!BH17</f>
        <v>0</v>
      </c>
      <c r="AO17">
        <f>'Eurostat EB flows IEA'!BI17</f>
        <v>0</v>
      </c>
      <c r="AP17">
        <f>'Eurostat EB flows IEA'!BJ17</f>
        <v>-2.4E-2</v>
      </c>
      <c r="AQ17">
        <f>'Eurostat EB flows IEA'!BK17</f>
        <v>-15.891999999999999</v>
      </c>
      <c r="AR17">
        <f>'Eurostat EB flows IEA'!BL17</f>
        <v>0</v>
      </c>
      <c r="AS17">
        <f>'Eurostat EB flows IEA'!BM17</f>
        <v>0</v>
      </c>
      <c r="AT17">
        <f>'Eurostat EB flows IEA'!BN17</f>
        <v>-4138.8140000000003</v>
      </c>
      <c r="AU17">
        <f>'Eurostat EB flows IEA'!BO17</f>
        <v>0</v>
      </c>
      <c r="AV17">
        <f>'Eurostat EB flows IEA'!BP17</f>
        <v>0</v>
      </c>
      <c r="AW17">
        <f>'Eurostat EB flows IEA'!BQ17</f>
        <v>0</v>
      </c>
      <c r="AX17">
        <f>'Eurostat EB flows IEA'!BR17</f>
        <v>0</v>
      </c>
      <c r="AY17">
        <f>'Eurostat EB flows IEA'!BS17</f>
        <v>0</v>
      </c>
      <c r="AZ17">
        <f>'Eurostat EB flows IEA'!BT17</f>
        <v>0</v>
      </c>
      <c r="BA17">
        <f>'Eurostat EB flows IEA'!BU17</f>
        <v>0</v>
      </c>
      <c r="BB17">
        <f>'Eurostat EB flows IEA'!BV17</f>
        <v>0</v>
      </c>
      <c r="BC17">
        <f>'Eurostat EB flows IEA'!BW17</f>
        <v>0</v>
      </c>
      <c r="BD17">
        <f>'Eurostat EB flows IEA'!BX17</f>
        <v>0</v>
      </c>
      <c r="BE17">
        <f>'Eurostat EB flows IEA'!BY17</f>
        <v>0</v>
      </c>
      <c r="BF17">
        <f>'Eurostat EB flows IEA'!BZ17</f>
        <v>0</v>
      </c>
      <c r="BG17">
        <f>'Eurostat EB flows IEA'!CA17</f>
        <v>0</v>
      </c>
      <c r="BH17">
        <f>'Eurostat EB flows IEA'!CB17</f>
        <v>0</v>
      </c>
      <c r="BI17">
        <f>'Eurostat EB flows IEA'!CC17</f>
        <v>0</v>
      </c>
      <c r="BJ17">
        <f>'Eurostat EB flows IEA'!CD17</f>
        <v>0</v>
      </c>
      <c r="BK17">
        <f>'Eurostat EB flows IEA'!CE17</f>
        <v>0</v>
      </c>
      <c r="BL17">
        <f>'Eurostat EB flows IEA'!CF17</f>
        <v>17195.844000000001</v>
      </c>
      <c r="BM17">
        <f>'Eurostat EB flows IEA'!CG17</f>
        <v>-1203.9359999999979</v>
      </c>
      <c r="BN17">
        <f>'Eurostat EB flows IEA'!CH17</f>
        <v>-472.49100000000044</v>
      </c>
    </row>
    <row r="18" spans="1:66" x14ac:dyDescent="0.2">
      <c r="A18" t="s">
        <v>155</v>
      </c>
      <c r="B18" t="str">
        <f>'Eurostat EB flows IEA'!V18</f>
        <v>x</v>
      </c>
      <c r="C18" t="str">
        <f>'Eurostat EB flows IEA'!W18</f>
        <v>x</v>
      </c>
      <c r="D18">
        <f>'Eurostat EB flows IEA'!X18</f>
        <v>0</v>
      </c>
      <c r="E18">
        <f>'Eurostat EB flows IEA'!Y18</f>
        <v>0</v>
      </c>
      <c r="F18">
        <f>'Eurostat EB flows IEA'!Z18</f>
        <v>0</v>
      </c>
      <c r="G18">
        <f>'Eurostat EB flows IEA'!AA18</f>
        <v>0</v>
      </c>
      <c r="H18">
        <f>'Eurostat EB flows IEA'!AB18</f>
        <v>0</v>
      </c>
      <c r="I18">
        <f>'Eurostat EB flows IEA'!AC18</f>
        <v>0</v>
      </c>
      <c r="J18">
        <f>'Eurostat EB flows IEA'!AD18</f>
        <v>0</v>
      </c>
      <c r="K18">
        <f>'Eurostat EB flows IEA'!AE18</f>
        <v>0</v>
      </c>
      <c r="L18">
        <f>'Eurostat EB flows IEA'!AF18</f>
        <v>0</v>
      </c>
      <c r="M18">
        <f>'Eurostat EB flows IEA'!AG18</f>
        <v>0</v>
      </c>
      <c r="N18">
        <f>'Eurostat EB flows IEA'!AH18</f>
        <v>0</v>
      </c>
      <c r="O18">
        <f>'Eurostat EB flows IEA'!AI18</f>
        <v>0</v>
      </c>
      <c r="P18">
        <f>'Eurostat EB flows IEA'!AJ18</f>
        <v>0</v>
      </c>
      <c r="Q18">
        <f>'Eurostat EB flows IEA'!AK18</f>
        <v>0</v>
      </c>
      <c r="R18">
        <f>'Eurostat EB flows IEA'!AL18</f>
        <v>0</v>
      </c>
      <c r="S18">
        <f>'Eurostat EB flows IEA'!AM18</f>
        <v>-2418.933</v>
      </c>
      <c r="T18" t="str">
        <f>'Eurostat EB flows IEA'!AN18</f>
        <v>x</v>
      </c>
      <c r="U18">
        <f>'Eurostat EB flows IEA'!AO18</f>
        <v>0</v>
      </c>
      <c r="V18">
        <f>'Eurostat EB flows IEA'!AP18</f>
        <v>0</v>
      </c>
      <c r="W18">
        <f>'Eurostat EB flows IEA'!AQ18</f>
        <v>0</v>
      </c>
      <c r="X18">
        <f>'Eurostat EB flows IEA'!AR18</f>
        <v>0</v>
      </c>
      <c r="Y18">
        <f>'Eurostat EB flows IEA'!AS18</f>
        <v>0</v>
      </c>
      <c r="Z18">
        <f>'Eurostat EB flows IEA'!AT18</f>
        <v>-760.697</v>
      </c>
      <c r="AA18">
        <f>'Eurostat EB flows IEA'!AU18</f>
        <v>0</v>
      </c>
      <c r="AB18">
        <f>'Eurostat EB flows IEA'!AV18</f>
        <v>0</v>
      </c>
      <c r="AC18">
        <f>'Eurostat EB flows IEA'!AW18</f>
        <v>0</v>
      </c>
      <c r="AD18">
        <f>'Eurostat EB flows IEA'!AX18</f>
        <v>0</v>
      </c>
      <c r="AE18">
        <f>'Eurostat EB flows IEA'!AY18</f>
        <v>0</v>
      </c>
      <c r="AF18">
        <f>'Eurostat EB flows IEA'!AZ18</f>
        <v>0</v>
      </c>
      <c r="AG18">
        <f>'Eurostat EB flows IEA'!BA18</f>
        <v>0</v>
      </c>
      <c r="AH18">
        <f>'Eurostat EB flows IEA'!BB18</f>
        <v>0</v>
      </c>
      <c r="AI18">
        <f>'Eurostat EB flows IEA'!BC18</f>
        <v>0</v>
      </c>
      <c r="AJ18">
        <f>'Eurostat EB flows IEA'!BD18</f>
        <v>0</v>
      </c>
      <c r="AK18">
        <f>'Eurostat EB flows IEA'!BE18</f>
        <v>0</v>
      </c>
      <c r="AL18">
        <f>'Eurostat EB flows IEA'!BF18</f>
        <v>0</v>
      </c>
      <c r="AM18">
        <f>'Eurostat EB flows IEA'!BG18</f>
        <v>0</v>
      </c>
      <c r="AN18">
        <f>'Eurostat EB flows IEA'!BH18</f>
        <v>0</v>
      </c>
      <c r="AO18">
        <f>'Eurostat EB flows IEA'!BI18</f>
        <v>0</v>
      </c>
      <c r="AP18">
        <f>'Eurostat EB flows IEA'!BJ18</f>
        <v>0</v>
      </c>
      <c r="AQ18">
        <f>'Eurostat EB flows IEA'!BK18</f>
        <v>-784.976</v>
      </c>
      <c r="AR18">
        <f>'Eurostat EB flows IEA'!BL18</f>
        <v>0</v>
      </c>
      <c r="AS18">
        <f>'Eurostat EB flows IEA'!BM18</f>
        <v>0</v>
      </c>
      <c r="AT18">
        <f>'Eurostat EB flows IEA'!BN18</f>
        <v>-4.6440000000000001</v>
      </c>
      <c r="AU18">
        <f>'Eurostat EB flows IEA'!BO18</f>
        <v>-0.379</v>
      </c>
      <c r="AV18">
        <f>'Eurostat EB flows IEA'!BP18</f>
        <v>0</v>
      </c>
      <c r="AW18">
        <f>'Eurostat EB flows IEA'!BQ18</f>
        <v>0</v>
      </c>
      <c r="AX18">
        <f>'Eurostat EB flows IEA'!BR18</f>
        <v>0</v>
      </c>
      <c r="AY18">
        <f>'Eurostat EB flows IEA'!BS18</f>
        <v>0</v>
      </c>
      <c r="AZ18">
        <f>'Eurostat EB flows IEA'!BT18</f>
        <v>0</v>
      </c>
      <c r="BA18">
        <f>'Eurostat EB flows IEA'!BU18</f>
        <v>0</v>
      </c>
      <c r="BB18">
        <f>'Eurostat EB flows IEA'!BV18</f>
        <v>0</v>
      </c>
      <c r="BC18">
        <f>'Eurostat EB flows IEA'!BW18</f>
        <v>0</v>
      </c>
      <c r="BD18">
        <f>'Eurostat EB flows IEA'!BX18</f>
        <v>0</v>
      </c>
      <c r="BE18">
        <f>'Eurostat EB flows IEA'!BY18</f>
        <v>0</v>
      </c>
      <c r="BF18">
        <f>'Eurostat EB flows IEA'!BZ18</f>
        <v>0</v>
      </c>
      <c r="BG18">
        <f>'Eurostat EB flows IEA'!CA18</f>
        <v>0</v>
      </c>
      <c r="BH18">
        <f>'Eurostat EB flows IEA'!CB18</f>
        <v>0</v>
      </c>
      <c r="BI18">
        <f>'Eurostat EB flows IEA'!CC18</f>
        <v>0</v>
      </c>
      <c r="BJ18">
        <f>'Eurostat EB flows IEA'!CD18</f>
        <v>0</v>
      </c>
      <c r="BK18">
        <f>'Eurostat EB flows IEA'!CE18</f>
        <v>0</v>
      </c>
      <c r="BL18">
        <f>'Eurostat EB flows IEA'!CF18</f>
        <v>-5130.6189999999997</v>
      </c>
      <c r="BM18">
        <f>'Eurostat EB flows IEA'!CG18</f>
        <v>-9100.2479999999996</v>
      </c>
      <c r="BN18">
        <f>'Eurostat EB flows IEA'!CH18</f>
        <v>-1156.0700000000002</v>
      </c>
    </row>
    <row r="19" spans="1:66" x14ac:dyDescent="0.2">
      <c r="A19" t="s">
        <v>156</v>
      </c>
      <c r="B19" t="str">
        <f>'Eurostat EB flows IEA'!V19</f>
        <v>x</v>
      </c>
      <c r="C19" t="str">
        <f>'Eurostat EB flows IEA'!W19</f>
        <v>x</v>
      </c>
      <c r="D19">
        <f>'Eurostat EB flows IEA'!X19</f>
        <v>0</v>
      </c>
      <c r="E19">
        <f>'Eurostat EB flows IEA'!Y19</f>
        <v>0</v>
      </c>
      <c r="F19">
        <f>'Eurostat EB flows IEA'!Z19</f>
        <v>0</v>
      </c>
      <c r="G19">
        <f>'Eurostat EB flows IEA'!AA19</f>
        <v>0</v>
      </c>
      <c r="H19">
        <f>'Eurostat EB flows IEA'!AB19</f>
        <v>0</v>
      </c>
      <c r="I19">
        <f>'Eurostat EB flows IEA'!AC19</f>
        <v>0</v>
      </c>
      <c r="J19">
        <f>'Eurostat EB flows IEA'!AD19</f>
        <v>0</v>
      </c>
      <c r="K19">
        <f>'Eurostat EB flows IEA'!AE19</f>
        <v>0</v>
      </c>
      <c r="L19">
        <f>'Eurostat EB flows IEA'!AF19</f>
        <v>0</v>
      </c>
      <c r="M19">
        <f>'Eurostat EB flows IEA'!AG19</f>
        <v>0</v>
      </c>
      <c r="N19">
        <f>'Eurostat EB flows IEA'!AH19</f>
        <v>0</v>
      </c>
      <c r="O19">
        <f>'Eurostat EB flows IEA'!AI19</f>
        <v>0</v>
      </c>
      <c r="P19">
        <f>'Eurostat EB flows IEA'!AJ19</f>
        <v>0</v>
      </c>
      <c r="Q19">
        <f>'Eurostat EB flows IEA'!AK19</f>
        <v>0</v>
      </c>
      <c r="R19">
        <f>'Eurostat EB flows IEA'!AL19</f>
        <v>0</v>
      </c>
      <c r="S19">
        <f>'Eurostat EB flows IEA'!AM19</f>
        <v>0</v>
      </c>
      <c r="T19" t="str">
        <f>'Eurostat EB flows IEA'!AN19</f>
        <v>x</v>
      </c>
      <c r="U19">
        <f>'Eurostat EB flows IEA'!AO19</f>
        <v>0</v>
      </c>
      <c r="V19">
        <f>'Eurostat EB flows IEA'!AP19</f>
        <v>0</v>
      </c>
      <c r="W19">
        <f>'Eurostat EB flows IEA'!AQ19</f>
        <v>0</v>
      </c>
      <c r="X19">
        <f>'Eurostat EB flows IEA'!AR19</f>
        <v>0</v>
      </c>
      <c r="Y19">
        <f>'Eurostat EB flows IEA'!AS19</f>
        <v>0</v>
      </c>
      <c r="Z19">
        <f>'Eurostat EB flows IEA'!AT19</f>
        <v>0</v>
      </c>
      <c r="AA19">
        <f>'Eurostat EB flows IEA'!AU19</f>
        <v>0</v>
      </c>
      <c r="AB19">
        <f>'Eurostat EB flows IEA'!AV19</f>
        <v>0</v>
      </c>
      <c r="AC19">
        <f>'Eurostat EB flows IEA'!AW19</f>
        <v>0</v>
      </c>
      <c r="AD19">
        <f>'Eurostat EB flows IEA'!AX19</f>
        <v>0</v>
      </c>
      <c r="AE19">
        <f>'Eurostat EB flows IEA'!AY19</f>
        <v>0</v>
      </c>
      <c r="AF19">
        <f>'Eurostat EB flows IEA'!AZ19</f>
        <v>0</v>
      </c>
      <c r="AG19">
        <f>'Eurostat EB flows IEA'!BA19</f>
        <v>0</v>
      </c>
      <c r="AH19">
        <f>'Eurostat EB flows IEA'!BB19</f>
        <v>0</v>
      </c>
      <c r="AI19">
        <f>'Eurostat EB flows IEA'!BC19</f>
        <v>0</v>
      </c>
      <c r="AJ19">
        <f>'Eurostat EB flows IEA'!BD19</f>
        <v>0</v>
      </c>
      <c r="AK19">
        <f>'Eurostat EB flows IEA'!BE19</f>
        <v>0</v>
      </c>
      <c r="AL19">
        <f>'Eurostat EB flows IEA'!BF19</f>
        <v>0</v>
      </c>
      <c r="AM19">
        <f>'Eurostat EB flows IEA'!BG19</f>
        <v>0</v>
      </c>
      <c r="AN19">
        <f>'Eurostat EB flows IEA'!BH19</f>
        <v>0</v>
      </c>
      <c r="AO19">
        <f>'Eurostat EB flows IEA'!BI19</f>
        <v>0</v>
      </c>
      <c r="AP19">
        <f>'Eurostat EB flows IEA'!BJ19</f>
        <v>0</v>
      </c>
      <c r="AQ19">
        <f>'Eurostat EB flows IEA'!BK19</f>
        <v>0</v>
      </c>
      <c r="AR19">
        <f>'Eurostat EB flows IEA'!BL19</f>
        <v>0</v>
      </c>
      <c r="AS19">
        <f>'Eurostat EB flows IEA'!BM19</f>
        <v>0</v>
      </c>
      <c r="AT19">
        <f>'Eurostat EB flows IEA'!BN19</f>
        <v>0</v>
      </c>
      <c r="AU19">
        <f>'Eurostat EB flows IEA'!BO19</f>
        <v>0</v>
      </c>
      <c r="AV19">
        <f>'Eurostat EB flows IEA'!BP19</f>
        <v>0</v>
      </c>
      <c r="AW19">
        <f>'Eurostat EB flows IEA'!BQ19</f>
        <v>0</v>
      </c>
      <c r="AX19">
        <f>'Eurostat EB flows IEA'!BR19</f>
        <v>0</v>
      </c>
      <c r="AY19">
        <f>'Eurostat EB flows IEA'!BS19</f>
        <v>0</v>
      </c>
      <c r="AZ19">
        <f>'Eurostat EB flows IEA'!BT19</f>
        <v>0</v>
      </c>
      <c r="BA19">
        <f>'Eurostat EB flows IEA'!BU19</f>
        <v>0</v>
      </c>
      <c r="BB19">
        <f>'Eurostat EB flows IEA'!BV19</f>
        <v>0</v>
      </c>
      <c r="BC19">
        <f>'Eurostat EB flows IEA'!BW19</f>
        <v>0</v>
      </c>
      <c r="BD19">
        <f>'Eurostat EB flows IEA'!BX19</f>
        <v>0</v>
      </c>
      <c r="BE19">
        <f>'Eurostat EB flows IEA'!BY19</f>
        <v>0</v>
      </c>
      <c r="BF19">
        <f>'Eurostat EB flows IEA'!BZ19</f>
        <v>0</v>
      </c>
      <c r="BG19">
        <f>'Eurostat EB flows IEA'!CA19</f>
        <v>0</v>
      </c>
      <c r="BH19">
        <f>'Eurostat EB flows IEA'!CB19</f>
        <v>0</v>
      </c>
      <c r="BI19">
        <f>'Eurostat EB flows IEA'!CC19</f>
        <v>0</v>
      </c>
      <c r="BJ19">
        <f>'Eurostat EB flows IEA'!CD19</f>
        <v>0</v>
      </c>
      <c r="BK19">
        <f>'Eurostat EB flows IEA'!CE19</f>
        <v>0</v>
      </c>
      <c r="BL19">
        <f>'Eurostat EB flows IEA'!CF19</f>
        <v>0</v>
      </c>
      <c r="BM19">
        <f>'Eurostat EB flows IEA'!CG19</f>
        <v>0</v>
      </c>
      <c r="BN19">
        <f>'Eurostat EB flows IEA'!CH19</f>
        <v>0</v>
      </c>
    </row>
    <row r="20" spans="1:66" x14ac:dyDescent="0.2">
      <c r="A20" t="s">
        <v>85</v>
      </c>
      <c r="B20" t="str">
        <f>'Eurostat EB flows IEA'!V20</f>
        <v>x</v>
      </c>
      <c r="C20" t="str">
        <f>'Eurostat EB flows IEA'!W20</f>
        <v>x</v>
      </c>
      <c r="D20">
        <f>'Eurostat EB flows IEA'!X20</f>
        <v>0</v>
      </c>
      <c r="E20">
        <f>'Eurostat EB flows IEA'!Y20</f>
        <v>0</v>
      </c>
      <c r="F20">
        <f>'Eurostat EB flows IEA'!Z20</f>
        <v>0</v>
      </c>
      <c r="G20">
        <f>'Eurostat EB flows IEA'!AA20</f>
        <v>0</v>
      </c>
      <c r="H20">
        <f>'Eurostat EB flows IEA'!AB20</f>
        <v>0</v>
      </c>
      <c r="I20">
        <f>'Eurostat EB flows IEA'!AC20</f>
        <v>0</v>
      </c>
      <c r="J20">
        <f>'Eurostat EB flows IEA'!AD20</f>
        <v>0</v>
      </c>
      <c r="K20">
        <f>'Eurostat EB flows IEA'!AE20</f>
        <v>0</v>
      </c>
      <c r="L20">
        <f>'Eurostat EB flows IEA'!AF20</f>
        <v>0</v>
      </c>
      <c r="M20">
        <f>'Eurostat EB flows IEA'!AG20</f>
        <v>0</v>
      </c>
      <c r="N20">
        <f>'Eurostat EB flows IEA'!AH20</f>
        <v>0</v>
      </c>
      <c r="O20">
        <f>'Eurostat EB flows IEA'!AI20</f>
        <v>0</v>
      </c>
      <c r="P20">
        <f>'Eurostat EB flows IEA'!AJ20</f>
        <v>0</v>
      </c>
      <c r="Q20">
        <f>'Eurostat EB flows IEA'!AK20</f>
        <v>0</v>
      </c>
      <c r="R20">
        <f>'Eurostat EB flows IEA'!AL20</f>
        <v>0</v>
      </c>
      <c r="S20">
        <f>'Eurostat EB flows IEA'!AM20</f>
        <v>0</v>
      </c>
      <c r="T20" t="str">
        <f>'Eurostat EB flows IEA'!AN20</f>
        <v>x</v>
      </c>
      <c r="U20">
        <f>'Eurostat EB flows IEA'!AO20</f>
        <v>0</v>
      </c>
      <c r="V20">
        <f>'Eurostat EB flows IEA'!AP20</f>
        <v>0</v>
      </c>
      <c r="W20">
        <f>'Eurostat EB flows IEA'!AQ20</f>
        <v>0</v>
      </c>
      <c r="X20">
        <f>'Eurostat EB flows IEA'!AR20</f>
        <v>0</v>
      </c>
      <c r="Y20">
        <f>'Eurostat EB flows IEA'!AS20</f>
        <v>0</v>
      </c>
      <c r="Z20">
        <f>'Eurostat EB flows IEA'!AT20</f>
        <v>0</v>
      </c>
      <c r="AA20">
        <f>'Eurostat EB flows IEA'!AU20</f>
        <v>0</v>
      </c>
      <c r="AB20">
        <f>'Eurostat EB flows IEA'!AV20</f>
        <v>0</v>
      </c>
      <c r="AC20">
        <f>'Eurostat EB flows IEA'!AW20</f>
        <v>0</v>
      </c>
      <c r="AD20">
        <f>'Eurostat EB flows IEA'!AX20</f>
        <v>0</v>
      </c>
      <c r="AE20">
        <f>'Eurostat EB flows IEA'!AY20</f>
        <v>0</v>
      </c>
      <c r="AF20">
        <f>'Eurostat EB flows IEA'!AZ20</f>
        <v>0</v>
      </c>
      <c r="AG20">
        <f>'Eurostat EB flows IEA'!BA20</f>
        <v>0</v>
      </c>
      <c r="AH20">
        <f>'Eurostat EB flows IEA'!BB20</f>
        <v>0</v>
      </c>
      <c r="AI20">
        <f>'Eurostat EB flows IEA'!BC20</f>
        <v>0</v>
      </c>
      <c r="AJ20">
        <f>'Eurostat EB flows IEA'!BD20</f>
        <v>0</v>
      </c>
      <c r="AK20">
        <f>'Eurostat EB flows IEA'!BE20</f>
        <v>0</v>
      </c>
      <c r="AL20">
        <f>'Eurostat EB flows IEA'!BF20</f>
        <v>0</v>
      </c>
      <c r="AM20">
        <f>'Eurostat EB flows IEA'!BG20</f>
        <v>0</v>
      </c>
      <c r="AN20">
        <f>'Eurostat EB flows IEA'!BH20</f>
        <v>0</v>
      </c>
      <c r="AO20">
        <f>'Eurostat EB flows IEA'!BI20</f>
        <v>0</v>
      </c>
      <c r="AP20">
        <f>'Eurostat EB flows IEA'!BJ20</f>
        <v>0</v>
      </c>
      <c r="AQ20">
        <f>'Eurostat EB flows IEA'!BK20</f>
        <v>0</v>
      </c>
      <c r="AR20">
        <f>'Eurostat EB flows IEA'!BL20</f>
        <v>0</v>
      </c>
      <c r="AS20">
        <f>'Eurostat EB flows IEA'!BM20</f>
        <v>0</v>
      </c>
      <c r="AT20">
        <f>'Eurostat EB flows IEA'!BN20</f>
        <v>0</v>
      </c>
      <c r="AU20">
        <f>'Eurostat EB flows IEA'!BO20</f>
        <v>0</v>
      </c>
      <c r="AV20">
        <f>'Eurostat EB flows IEA'!BP20</f>
        <v>0</v>
      </c>
      <c r="AW20">
        <f>'Eurostat EB flows IEA'!BQ20</f>
        <v>0</v>
      </c>
      <c r="AX20">
        <f>'Eurostat EB flows IEA'!BR20</f>
        <v>0</v>
      </c>
      <c r="AY20">
        <f>'Eurostat EB flows IEA'!BS20</f>
        <v>0</v>
      </c>
      <c r="AZ20">
        <f>'Eurostat EB flows IEA'!BT20</f>
        <v>0</v>
      </c>
      <c r="BA20">
        <f>'Eurostat EB flows IEA'!BU20</f>
        <v>0</v>
      </c>
      <c r="BB20">
        <f>'Eurostat EB flows IEA'!BV20</f>
        <v>0</v>
      </c>
      <c r="BC20">
        <f>'Eurostat EB flows IEA'!BW20</f>
        <v>0</v>
      </c>
      <c r="BD20">
        <f>'Eurostat EB flows IEA'!BX20</f>
        <v>0</v>
      </c>
      <c r="BE20">
        <f>'Eurostat EB flows IEA'!BY20</f>
        <v>0</v>
      </c>
      <c r="BF20">
        <f>'Eurostat EB flows IEA'!BZ20</f>
        <v>0</v>
      </c>
      <c r="BG20">
        <f>'Eurostat EB flows IEA'!CA20</f>
        <v>0</v>
      </c>
      <c r="BH20">
        <f>'Eurostat EB flows IEA'!CB20</f>
        <v>0</v>
      </c>
      <c r="BI20">
        <f>'Eurostat EB flows IEA'!CC20</f>
        <v>0</v>
      </c>
      <c r="BJ20">
        <f>'Eurostat EB flows IEA'!CD20</f>
        <v>0</v>
      </c>
      <c r="BK20">
        <f>'Eurostat EB flows IEA'!CE20</f>
        <v>0</v>
      </c>
      <c r="BL20">
        <f>'Eurostat EB flows IEA'!CF20</f>
        <v>0</v>
      </c>
      <c r="BM20">
        <f>'Eurostat EB flows IEA'!CG20</f>
        <v>0</v>
      </c>
      <c r="BN20">
        <f>'Eurostat EB flows IEA'!CH20</f>
        <v>0</v>
      </c>
    </row>
    <row r="21" spans="1:66" x14ac:dyDescent="0.2">
      <c r="A21" t="s">
        <v>157</v>
      </c>
      <c r="B21" t="str">
        <f>'Eurostat EB flows IEA'!V21</f>
        <v>x</v>
      </c>
      <c r="C21" t="str">
        <f>'Eurostat EB flows IEA'!W21</f>
        <v>x</v>
      </c>
      <c r="D21">
        <f>'Eurostat EB flows IEA'!X21</f>
        <v>0</v>
      </c>
      <c r="E21">
        <f>'Eurostat EB flows IEA'!Y21</f>
        <v>0</v>
      </c>
      <c r="F21">
        <f>'Eurostat EB flows IEA'!Z21</f>
        <v>0</v>
      </c>
      <c r="G21">
        <f>'Eurostat EB flows IEA'!AA21</f>
        <v>0</v>
      </c>
      <c r="H21">
        <f>'Eurostat EB flows IEA'!AB21</f>
        <v>0</v>
      </c>
      <c r="I21">
        <f>'Eurostat EB flows IEA'!AC21</f>
        <v>0</v>
      </c>
      <c r="J21">
        <f>'Eurostat EB flows IEA'!AD21</f>
        <v>0</v>
      </c>
      <c r="K21">
        <f>'Eurostat EB flows IEA'!AE21</f>
        <v>0</v>
      </c>
      <c r="L21">
        <f>'Eurostat EB flows IEA'!AF21</f>
        <v>0</v>
      </c>
      <c r="M21">
        <f>'Eurostat EB flows IEA'!AG21</f>
        <v>0</v>
      </c>
      <c r="N21">
        <f>'Eurostat EB flows IEA'!AH21</f>
        <v>0</v>
      </c>
      <c r="O21">
        <f>'Eurostat EB flows IEA'!AI21</f>
        <v>0</v>
      </c>
      <c r="P21">
        <f>'Eurostat EB flows IEA'!AJ21</f>
        <v>0</v>
      </c>
      <c r="Q21">
        <f>'Eurostat EB flows IEA'!AK21</f>
        <v>0</v>
      </c>
      <c r="R21">
        <f>'Eurostat EB flows IEA'!AL21</f>
        <v>0</v>
      </c>
      <c r="S21">
        <f>'Eurostat EB flows IEA'!AM21</f>
        <v>0</v>
      </c>
      <c r="T21" t="str">
        <f>'Eurostat EB flows IEA'!AN21</f>
        <v>x</v>
      </c>
      <c r="U21">
        <f>'Eurostat EB flows IEA'!AO21</f>
        <v>0</v>
      </c>
      <c r="V21">
        <f>'Eurostat EB flows IEA'!AP21</f>
        <v>0</v>
      </c>
      <c r="W21">
        <f>'Eurostat EB flows IEA'!AQ21</f>
        <v>0</v>
      </c>
      <c r="X21">
        <f>'Eurostat EB flows IEA'!AR21</f>
        <v>0</v>
      </c>
      <c r="Y21">
        <f>'Eurostat EB flows IEA'!AS21</f>
        <v>0</v>
      </c>
      <c r="Z21">
        <f>'Eurostat EB flows IEA'!AT21</f>
        <v>0</v>
      </c>
      <c r="AA21">
        <f>'Eurostat EB flows IEA'!AU21</f>
        <v>0</v>
      </c>
      <c r="AB21">
        <f>'Eurostat EB flows IEA'!AV21</f>
        <v>0</v>
      </c>
      <c r="AC21">
        <f>'Eurostat EB flows IEA'!AW21</f>
        <v>0</v>
      </c>
      <c r="AD21">
        <f>'Eurostat EB flows IEA'!AX21</f>
        <v>0</v>
      </c>
      <c r="AE21">
        <f>'Eurostat EB flows IEA'!AY21</f>
        <v>0</v>
      </c>
      <c r="AF21">
        <f>'Eurostat EB flows IEA'!AZ21</f>
        <v>0</v>
      </c>
      <c r="AG21">
        <f>'Eurostat EB flows IEA'!BA21</f>
        <v>0</v>
      </c>
      <c r="AH21">
        <f>'Eurostat EB flows IEA'!BB21</f>
        <v>0</v>
      </c>
      <c r="AI21">
        <f>'Eurostat EB flows IEA'!BC21</f>
        <v>0</v>
      </c>
      <c r="AJ21">
        <f>'Eurostat EB flows IEA'!BD21</f>
        <v>0</v>
      </c>
      <c r="AK21">
        <f>'Eurostat EB flows IEA'!BE21</f>
        <v>0</v>
      </c>
      <c r="AL21">
        <f>'Eurostat EB flows IEA'!BF21</f>
        <v>0</v>
      </c>
      <c r="AM21">
        <f>'Eurostat EB flows IEA'!BG21</f>
        <v>0</v>
      </c>
      <c r="AN21">
        <f>'Eurostat EB flows IEA'!BH21</f>
        <v>0</v>
      </c>
      <c r="AO21">
        <f>'Eurostat EB flows IEA'!BI21</f>
        <v>0</v>
      </c>
      <c r="AP21">
        <f>'Eurostat EB flows IEA'!BJ21</f>
        <v>0</v>
      </c>
      <c r="AQ21">
        <f>'Eurostat EB flows IEA'!BK21</f>
        <v>0</v>
      </c>
      <c r="AR21">
        <f>'Eurostat EB flows IEA'!BL21</f>
        <v>0</v>
      </c>
      <c r="AS21">
        <f>'Eurostat EB flows IEA'!BM21</f>
        <v>0</v>
      </c>
      <c r="AT21">
        <f>'Eurostat EB flows IEA'!BN21</f>
        <v>0</v>
      </c>
      <c r="AU21">
        <f>'Eurostat EB flows IEA'!BO21</f>
        <v>0</v>
      </c>
      <c r="AV21">
        <f>'Eurostat EB flows IEA'!BP21</f>
        <v>0</v>
      </c>
      <c r="AW21">
        <f>'Eurostat EB flows IEA'!BQ21</f>
        <v>0</v>
      </c>
      <c r="AX21">
        <f>'Eurostat EB flows IEA'!BR21</f>
        <v>0</v>
      </c>
      <c r="AY21">
        <f>'Eurostat EB flows IEA'!BS21</f>
        <v>0</v>
      </c>
      <c r="AZ21">
        <f>'Eurostat EB flows IEA'!BT21</f>
        <v>0</v>
      </c>
      <c r="BA21">
        <f>'Eurostat EB flows IEA'!BU21</f>
        <v>0</v>
      </c>
      <c r="BB21">
        <f>'Eurostat EB flows IEA'!BV21</f>
        <v>0</v>
      </c>
      <c r="BC21">
        <f>'Eurostat EB flows IEA'!BW21</f>
        <v>0</v>
      </c>
      <c r="BD21">
        <f>'Eurostat EB flows IEA'!BX21</f>
        <v>0</v>
      </c>
      <c r="BE21">
        <f>'Eurostat EB flows IEA'!BY21</f>
        <v>0</v>
      </c>
      <c r="BF21">
        <f>'Eurostat EB flows IEA'!BZ21</f>
        <v>0</v>
      </c>
      <c r="BG21">
        <f>'Eurostat EB flows IEA'!CA21</f>
        <v>0</v>
      </c>
      <c r="BH21">
        <f>'Eurostat EB flows IEA'!CB21</f>
        <v>0</v>
      </c>
      <c r="BI21">
        <f>'Eurostat EB flows IEA'!CC21</f>
        <v>0</v>
      </c>
      <c r="BJ21">
        <f>'Eurostat EB flows IEA'!CD21</f>
        <v>0</v>
      </c>
      <c r="BK21">
        <f>'Eurostat EB flows IEA'!CE21</f>
        <v>2054.2719999999999</v>
      </c>
      <c r="BL21">
        <f>'Eurostat EB flows IEA'!CF21</f>
        <v>2380.1859999999997</v>
      </c>
      <c r="BM21">
        <f>'Eurostat EB flows IEA'!CG21</f>
        <v>4434.4579999999996</v>
      </c>
      <c r="BN21">
        <f>'Eurostat EB flows IEA'!CH21</f>
        <v>659.25799999999981</v>
      </c>
    </row>
    <row r="22" spans="1:66" x14ac:dyDescent="0.2">
      <c r="A22" t="s">
        <v>87</v>
      </c>
      <c r="B22" t="str">
        <f>'Eurostat EB flows IEA'!V22</f>
        <v>x</v>
      </c>
      <c r="C22" t="str">
        <f>'Eurostat EB flows IEA'!W22</f>
        <v>x</v>
      </c>
      <c r="D22">
        <f>'Eurostat EB flows IEA'!X22</f>
        <v>0</v>
      </c>
      <c r="E22">
        <f>'Eurostat EB flows IEA'!Y22</f>
        <v>-28264.494999999999</v>
      </c>
      <c r="F22">
        <f>'Eurostat EB flows IEA'!Z22</f>
        <v>0</v>
      </c>
      <c r="G22">
        <f>'Eurostat EB flows IEA'!AA22</f>
        <v>0</v>
      </c>
      <c r="H22">
        <f>'Eurostat EB flows IEA'!AB22</f>
        <v>0</v>
      </c>
      <c r="I22">
        <f>'Eurostat EB flows IEA'!AC22</f>
        <v>0</v>
      </c>
      <c r="J22">
        <f>'Eurostat EB flows IEA'!AD22</f>
        <v>-35544.002999999997</v>
      </c>
      <c r="K22">
        <f>'Eurostat EB flows IEA'!AE22</f>
        <v>0</v>
      </c>
      <c r="L22">
        <f>'Eurostat EB flows IEA'!AF22</f>
        <v>0</v>
      </c>
      <c r="M22">
        <f>'Eurostat EB flows IEA'!AG22</f>
        <v>0</v>
      </c>
      <c r="N22">
        <f>'Eurostat EB flows IEA'!AH22</f>
        <v>0</v>
      </c>
      <c r="O22">
        <f>'Eurostat EB flows IEA'!AI22</f>
        <v>0</v>
      </c>
      <c r="P22">
        <f>'Eurostat EB flows IEA'!AJ22</f>
        <v>27131.519</v>
      </c>
      <c r="Q22">
        <f>'Eurostat EB flows IEA'!AK22</f>
        <v>0</v>
      </c>
      <c r="R22">
        <f>'Eurostat EB flows IEA'!AL22</f>
        <v>0</v>
      </c>
      <c r="S22">
        <f>'Eurostat EB flows IEA'!AM22</f>
        <v>0</v>
      </c>
      <c r="T22" t="str">
        <f>'Eurostat EB flows IEA'!AN22</f>
        <v>x</v>
      </c>
      <c r="U22">
        <f>'Eurostat EB flows IEA'!AO22</f>
        <v>0</v>
      </c>
      <c r="V22">
        <f>'Eurostat EB flows IEA'!AP22</f>
        <v>0</v>
      </c>
      <c r="W22">
        <f>'Eurostat EB flows IEA'!AQ22</f>
        <v>0</v>
      </c>
      <c r="X22">
        <f>'Eurostat EB flows IEA'!AR22</f>
        <v>0</v>
      </c>
      <c r="Y22">
        <f>'Eurostat EB flows IEA'!AS22</f>
        <v>0</v>
      </c>
      <c r="Z22">
        <f>'Eurostat EB flows IEA'!AT22</f>
        <v>0</v>
      </c>
      <c r="AA22">
        <f>'Eurostat EB flows IEA'!AU22</f>
        <v>0</v>
      </c>
      <c r="AB22">
        <f>'Eurostat EB flows IEA'!AV22</f>
        <v>0</v>
      </c>
      <c r="AC22">
        <f>'Eurostat EB flows IEA'!AW22</f>
        <v>0</v>
      </c>
      <c r="AD22">
        <f>'Eurostat EB flows IEA'!AX22</f>
        <v>0</v>
      </c>
      <c r="AE22">
        <f>'Eurostat EB flows IEA'!AY22</f>
        <v>0</v>
      </c>
      <c r="AF22">
        <f>'Eurostat EB flows IEA'!AZ22</f>
        <v>0</v>
      </c>
      <c r="AG22">
        <f>'Eurostat EB flows IEA'!BA22</f>
        <v>0</v>
      </c>
      <c r="AH22">
        <f>'Eurostat EB flows IEA'!BB22</f>
        <v>0</v>
      </c>
      <c r="AI22">
        <f>'Eurostat EB flows IEA'!BC22</f>
        <v>0</v>
      </c>
      <c r="AJ22">
        <f>'Eurostat EB flows IEA'!BD22</f>
        <v>0</v>
      </c>
      <c r="AK22">
        <f>'Eurostat EB flows IEA'!BE22</f>
        <v>0</v>
      </c>
      <c r="AL22">
        <f>'Eurostat EB flows IEA'!BF22</f>
        <v>0</v>
      </c>
      <c r="AM22">
        <f>'Eurostat EB flows IEA'!BG22</f>
        <v>0</v>
      </c>
      <c r="AN22">
        <f>'Eurostat EB flows IEA'!BH22</f>
        <v>0</v>
      </c>
      <c r="AO22">
        <f>'Eurostat EB flows IEA'!BI22</f>
        <v>0</v>
      </c>
      <c r="AP22">
        <f>'Eurostat EB flows IEA'!BJ22</f>
        <v>0</v>
      </c>
      <c r="AQ22">
        <f>'Eurostat EB flows IEA'!BK22</f>
        <v>0</v>
      </c>
      <c r="AR22">
        <f>'Eurostat EB flows IEA'!BL22</f>
        <v>0</v>
      </c>
      <c r="AS22">
        <f>'Eurostat EB flows IEA'!BM22</f>
        <v>0</v>
      </c>
      <c r="AT22">
        <f>'Eurostat EB flows IEA'!BN22</f>
        <v>0</v>
      </c>
      <c r="AU22">
        <f>'Eurostat EB flows IEA'!BO22</f>
        <v>0</v>
      </c>
      <c r="AV22">
        <f>'Eurostat EB flows IEA'!BP22</f>
        <v>0</v>
      </c>
      <c r="AW22">
        <f>'Eurostat EB flows IEA'!BQ22</f>
        <v>0</v>
      </c>
      <c r="AX22">
        <f>'Eurostat EB flows IEA'!BR22</f>
        <v>0</v>
      </c>
      <c r="AY22">
        <f>'Eurostat EB flows IEA'!BS22</f>
        <v>0</v>
      </c>
      <c r="AZ22">
        <f>'Eurostat EB flows IEA'!BT22</f>
        <v>0</v>
      </c>
      <c r="BA22">
        <f>'Eurostat EB flows IEA'!BU22</f>
        <v>0</v>
      </c>
      <c r="BB22">
        <f>'Eurostat EB flows IEA'!BV22</f>
        <v>0</v>
      </c>
      <c r="BC22">
        <f>'Eurostat EB flows IEA'!BW22</f>
        <v>0</v>
      </c>
      <c r="BD22">
        <f>'Eurostat EB flows IEA'!BX22</f>
        <v>0</v>
      </c>
      <c r="BE22">
        <f>'Eurostat EB flows IEA'!BY22</f>
        <v>0</v>
      </c>
      <c r="BF22">
        <f>'Eurostat EB flows IEA'!BZ22</f>
        <v>0</v>
      </c>
      <c r="BG22">
        <f>'Eurostat EB flows IEA'!CA22</f>
        <v>0</v>
      </c>
      <c r="BH22">
        <f>'Eurostat EB flows IEA'!CB22</f>
        <v>0</v>
      </c>
      <c r="BI22">
        <f>'Eurostat EB flows IEA'!CC22</f>
        <v>0</v>
      </c>
      <c r="BJ22">
        <f>'Eurostat EB flows IEA'!CD22</f>
        <v>0</v>
      </c>
      <c r="BK22">
        <f>'Eurostat EB flows IEA'!CE22</f>
        <v>0</v>
      </c>
      <c r="BL22">
        <f>'Eurostat EB flows IEA'!CF22</f>
        <v>0</v>
      </c>
      <c r="BM22">
        <f>'Eurostat EB flows IEA'!CG22</f>
        <v>-36676.978999999999</v>
      </c>
      <c r="BN22">
        <f>'Eurostat EB flows IEA'!CH22</f>
        <v>0</v>
      </c>
    </row>
    <row r="23" spans="1:66" x14ac:dyDescent="0.2">
      <c r="A23" t="s">
        <v>88</v>
      </c>
      <c r="B23" t="str">
        <f>'Eurostat EB flows IEA'!V23</f>
        <v>x</v>
      </c>
      <c r="C23" t="str">
        <f>'Eurostat EB flows IEA'!W23</f>
        <v>x</v>
      </c>
      <c r="D23">
        <f>'Eurostat EB flows IEA'!X23</f>
        <v>0</v>
      </c>
      <c r="E23">
        <f>'Eurostat EB flows IEA'!Y23</f>
        <v>0</v>
      </c>
      <c r="F23">
        <f>'Eurostat EB flows IEA'!Z23</f>
        <v>0</v>
      </c>
      <c r="G23">
        <f>'Eurostat EB flows IEA'!AA23</f>
        <v>0</v>
      </c>
      <c r="H23">
        <f>'Eurostat EB flows IEA'!AB23</f>
        <v>0</v>
      </c>
      <c r="I23">
        <f>'Eurostat EB flows IEA'!AC23</f>
        <v>0</v>
      </c>
      <c r="J23">
        <f>'Eurostat EB flows IEA'!AD23</f>
        <v>0</v>
      </c>
      <c r="K23">
        <f>'Eurostat EB flows IEA'!AE23</f>
        <v>0</v>
      </c>
      <c r="L23">
        <f>'Eurostat EB flows IEA'!AF23</f>
        <v>0</v>
      </c>
      <c r="M23">
        <f>'Eurostat EB flows IEA'!AG23</f>
        <v>0</v>
      </c>
      <c r="N23">
        <f>'Eurostat EB flows IEA'!AH23</f>
        <v>0</v>
      </c>
      <c r="O23">
        <f>'Eurostat EB flows IEA'!AI23</f>
        <v>0</v>
      </c>
      <c r="P23">
        <f>'Eurostat EB flows IEA'!AJ23</f>
        <v>0</v>
      </c>
      <c r="Q23">
        <f>'Eurostat EB flows IEA'!AK23</f>
        <v>0</v>
      </c>
      <c r="R23">
        <f>'Eurostat EB flows IEA'!AL23</f>
        <v>0</v>
      </c>
      <c r="S23">
        <f>'Eurostat EB flows IEA'!AM23</f>
        <v>0</v>
      </c>
      <c r="T23" t="str">
        <f>'Eurostat EB flows IEA'!AN23</f>
        <v>x</v>
      </c>
      <c r="U23">
        <f>'Eurostat EB flows IEA'!AO23</f>
        <v>0</v>
      </c>
      <c r="V23">
        <f>'Eurostat EB flows IEA'!AP23</f>
        <v>0</v>
      </c>
      <c r="W23">
        <f>'Eurostat EB flows IEA'!AQ23</f>
        <v>0</v>
      </c>
      <c r="X23">
        <f>'Eurostat EB flows IEA'!AR23</f>
        <v>0</v>
      </c>
      <c r="Y23">
        <f>'Eurostat EB flows IEA'!AS23</f>
        <v>0</v>
      </c>
      <c r="Z23">
        <f>'Eurostat EB flows IEA'!AT23</f>
        <v>0</v>
      </c>
      <c r="AA23">
        <f>'Eurostat EB flows IEA'!AU23</f>
        <v>0</v>
      </c>
      <c r="AB23">
        <f>'Eurostat EB flows IEA'!AV23</f>
        <v>0</v>
      </c>
      <c r="AC23">
        <f>'Eurostat EB flows IEA'!AW23</f>
        <v>0</v>
      </c>
      <c r="AD23">
        <f>'Eurostat EB flows IEA'!AX23</f>
        <v>0</v>
      </c>
      <c r="AE23">
        <f>'Eurostat EB flows IEA'!AY23</f>
        <v>0</v>
      </c>
      <c r="AF23">
        <f>'Eurostat EB flows IEA'!AZ23</f>
        <v>0</v>
      </c>
      <c r="AG23">
        <f>'Eurostat EB flows IEA'!BA23</f>
        <v>0</v>
      </c>
      <c r="AH23">
        <f>'Eurostat EB flows IEA'!BB23</f>
        <v>0</v>
      </c>
      <c r="AI23">
        <f>'Eurostat EB flows IEA'!BC23</f>
        <v>0</v>
      </c>
      <c r="AJ23">
        <f>'Eurostat EB flows IEA'!BD23</f>
        <v>0</v>
      </c>
      <c r="AK23">
        <f>'Eurostat EB flows IEA'!BE23</f>
        <v>0</v>
      </c>
      <c r="AL23">
        <f>'Eurostat EB flows IEA'!BF23</f>
        <v>0</v>
      </c>
      <c r="AM23">
        <f>'Eurostat EB flows IEA'!BG23</f>
        <v>0</v>
      </c>
      <c r="AN23">
        <f>'Eurostat EB flows IEA'!BH23</f>
        <v>0</v>
      </c>
      <c r="AO23">
        <f>'Eurostat EB flows IEA'!BI23</f>
        <v>0</v>
      </c>
      <c r="AP23">
        <f>'Eurostat EB flows IEA'!BJ23</f>
        <v>0</v>
      </c>
      <c r="AQ23">
        <f>'Eurostat EB flows IEA'!BK23</f>
        <v>0</v>
      </c>
      <c r="AR23">
        <f>'Eurostat EB flows IEA'!BL23</f>
        <v>0</v>
      </c>
      <c r="AS23">
        <f>'Eurostat EB flows IEA'!BM23</f>
        <v>0</v>
      </c>
      <c r="AT23">
        <f>'Eurostat EB flows IEA'!BN23</f>
        <v>0</v>
      </c>
      <c r="AU23">
        <f>'Eurostat EB flows IEA'!BO23</f>
        <v>0</v>
      </c>
      <c r="AV23">
        <f>'Eurostat EB flows IEA'!BP23</f>
        <v>0</v>
      </c>
      <c r="AW23">
        <f>'Eurostat EB flows IEA'!BQ23</f>
        <v>0</v>
      </c>
      <c r="AX23">
        <f>'Eurostat EB flows IEA'!BR23</f>
        <v>0</v>
      </c>
      <c r="AY23">
        <f>'Eurostat EB flows IEA'!BS23</f>
        <v>0</v>
      </c>
      <c r="AZ23">
        <f>'Eurostat EB flows IEA'!BT23</f>
        <v>0</v>
      </c>
      <c r="BA23">
        <f>'Eurostat EB flows IEA'!BU23</f>
        <v>0</v>
      </c>
      <c r="BB23">
        <f>'Eurostat EB flows IEA'!BV23</f>
        <v>0</v>
      </c>
      <c r="BC23">
        <f>'Eurostat EB flows IEA'!BW23</f>
        <v>0</v>
      </c>
      <c r="BD23">
        <f>'Eurostat EB flows IEA'!BX23</f>
        <v>0</v>
      </c>
      <c r="BE23">
        <f>'Eurostat EB flows IEA'!BY23</f>
        <v>0</v>
      </c>
      <c r="BF23">
        <f>'Eurostat EB flows IEA'!BZ23</f>
        <v>0</v>
      </c>
      <c r="BG23">
        <f>'Eurostat EB flows IEA'!CA23</f>
        <v>0</v>
      </c>
      <c r="BH23">
        <f>'Eurostat EB flows IEA'!CB23</f>
        <v>0</v>
      </c>
      <c r="BI23">
        <f>'Eurostat EB flows IEA'!CC23</f>
        <v>0</v>
      </c>
      <c r="BJ23">
        <f>'Eurostat EB flows IEA'!CD23</f>
        <v>0</v>
      </c>
      <c r="BK23">
        <f>'Eurostat EB flows IEA'!CE23</f>
        <v>0</v>
      </c>
      <c r="BL23">
        <f>'Eurostat EB flows IEA'!CF23</f>
        <v>0</v>
      </c>
      <c r="BM23">
        <f>'Eurostat EB flows IEA'!CG23</f>
        <v>0</v>
      </c>
      <c r="BN23">
        <f>'Eurostat EB flows IEA'!CH23</f>
        <v>0</v>
      </c>
    </row>
    <row r="24" spans="1:66" x14ac:dyDescent="0.2">
      <c r="A24" t="s">
        <v>86</v>
      </c>
      <c r="B24" t="str">
        <f>'Eurostat EB flows IEA'!V24</f>
        <v>x</v>
      </c>
      <c r="C24" t="str">
        <f>'Eurostat EB flows IEA'!W24</f>
        <v>x</v>
      </c>
      <c r="D24">
        <f>'Eurostat EB flows IEA'!X24</f>
        <v>0</v>
      </c>
      <c r="E24">
        <f>'Eurostat EB flows IEA'!Y24</f>
        <v>-70878.616999999998</v>
      </c>
      <c r="F24">
        <f>'Eurostat EB flows IEA'!Z24</f>
        <v>0</v>
      </c>
      <c r="G24">
        <f>'Eurostat EB flows IEA'!AA24</f>
        <v>0</v>
      </c>
      <c r="H24">
        <f>'Eurostat EB flows IEA'!AB24</f>
        <v>0</v>
      </c>
      <c r="I24">
        <f>'Eurostat EB flows IEA'!AC24</f>
        <v>0</v>
      </c>
      <c r="J24">
        <f>'Eurostat EB flows IEA'!AD24</f>
        <v>50186.705000000002</v>
      </c>
      <c r="K24">
        <f>'Eurostat EB flows IEA'!AE24</f>
        <v>0</v>
      </c>
      <c r="L24">
        <f>'Eurostat EB flows IEA'!AF24</f>
        <v>3213.06</v>
      </c>
      <c r="M24">
        <f>'Eurostat EB flows IEA'!AG24</f>
        <v>0</v>
      </c>
      <c r="N24">
        <f>'Eurostat EB flows IEA'!AH24</f>
        <v>0</v>
      </c>
      <c r="O24">
        <f>'Eurostat EB flows IEA'!AI24</f>
        <v>15016.271000000001</v>
      </c>
      <c r="P24">
        <f>'Eurostat EB flows IEA'!AJ24</f>
        <v>0</v>
      </c>
      <c r="Q24">
        <f>'Eurostat EB flows IEA'!AK24</f>
        <v>0</v>
      </c>
      <c r="R24">
        <f>'Eurostat EB flows IEA'!AL24</f>
        <v>0</v>
      </c>
      <c r="S24">
        <f>'Eurostat EB flows IEA'!AM24</f>
        <v>0</v>
      </c>
      <c r="T24" t="str">
        <f>'Eurostat EB flows IEA'!AN24</f>
        <v>x</v>
      </c>
      <c r="U24">
        <f>'Eurostat EB flows IEA'!AO24</f>
        <v>0</v>
      </c>
      <c r="V24">
        <f>'Eurostat EB flows IEA'!AP24</f>
        <v>0</v>
      </c>
      <c r="W24">
        <f>'Eurostat EB flows IEA'!AQ24</f>
        <v>0</v>
      </c>
      <c r="X24">
        <f>'Eurostat EB flows IEA'!AR24</f>
        <v>0</v>
      </c>
      <c r="Y24">
        <f>'Eurostat EB flows IEA'!AS24</f>
        <v>0</v>
      </c>
      <c r="Z24">
        <f>'Eurostat EB flows IEA'!AT24</f>
        <v>0</v>
      </c>
      <c r="AA24">
        <f>'Eurostat EB flows IEA'!AU24</f>
        <v>0</v>
      </c>
      <c r="AB24">
        <f>'Eurostat EB flows IEA'!AV24</f>
        <v>0</v>
      </c>
      <c r="AC24">
        <f>'Eurostat EB flows IEA'!AW24</f>
        <v>0</v>
      </c>
      <c r="AD24">
        <f>'Eurostat EB flows IEA'!AX24</f>
        <v>0</v>
      </c>
      <c r="AE24">
        <f>'Eurostat EB flows IEA'!AY24</f>
        <v>0</v>
      </c>
      <c r="AF24">
        <f>'Eurostat EB flows IEA'!AZ24</f>
        <v>0</v>
      </c>
      <c r="AG24">
        <f>'Eurostat EB flows IEA'!BA24</f>
        <v>0</v>
      </c>
      <c r="AH24">
        <f>'Eurostat EB flows IEA'!BB24</f>
        <v>0</v>
      </c>
      <c r="AI24">
        <f>'Eurostat EB flows IEA'!BC24</f>
        <v>0</v>
      </c>
      <c r="AJ24">
        <f>'Eurostat EB flows IEA'!BD24</f>
        <v>0</v>
      </c>
      <c r="AK24">
        <f>'Eurostat EB flows IEA'!BE24</f>
        <v>0</v>
      </c>
      <c r="AL24">
        <f>'Eurostat EB flows IEA'!BF24</f>
        <v>0</v>
      </c>
      <c r="AM24">
        <f>'Eurostat EB flows IEA'!BG24</f>
        <v>0</v>
      </c>
      <c r="AN24">
        <f>'Eurostat EB flows IEA'!BH24</f>
        <v>0</v>
      </c>
      <c r="AO24">
        <f>'Eurostat EB flows IEA'!BI24</f>
        <v>0</v>
      </c>
      <c r="AP24">
        <f>'Eurostat EB flows IEA'!BJ24</f>
        <v>0</v>
      </c>
      <c r="AQ24">
        <f>'Eurostat EB flows IEA'!BK24</f>
        <v>0</v>
      </c>
      <c r="AR24">
        <f>'Eurostat EB flows IEA'!BL24</f>
        <v>0</v>
      </c>
      <c r="AS24">
        <f>'Eurostat EB flows IEA'!BM24</f>
        <v>0</v>
      </c>
      <c r="AT24">
        <f>'Eurostat EB flows IEA'!BN24</f>
        <v>0</v>
      </c>
      <c r="AU24">
        <f>'Eurostat EB flows IEA'!BO24</f>
        <v>0</v>
      </c>
      <c r="AV24">
        <f>'Eurostat EB flows IEA'!BP24</f>
        <v>0</v>
      </c>
      <c r="AW24">
        <f>'Eurostat EB flows IEA'!BQ24</f>
        <v>0</v>
      </c>
      <c r="AX24">
        <f>'Eurostat EB flows IEA'!BR24</f>
        <v>0</v>
      </c>
      <c r="AY24">
        <f>'Eurostat EB flows IEA'!BS24</f>
        <v>0</v>
      </c>
      <c r="AZ24">
        <f>'Eurostat EB flows IEA'!BT24</f>
        <v>0</v>
      </c>
      <c r="BA24">
        <f>'Eurostat EB flows IEA'!BU24</f>
        <v>0</v>
      </c>
      <c r="BB24">
        <f>'Eurostat EB flows IEA'!BV24</f>
        <v>0</v>
      </c>
      <c r="BC24">
        <f>'Eurostat EB flows IEA'!BW24</f>
        <v>0</v>
      </c>
      <c r="BD24">
        <f>'Eurostat EB flows IEA'!BX24</f>
        <v>0</v>
      </c>
      <c r="BE24">
        <f>'Eurostat EB flows IEA'!BY24</f>
        <v>0</v>
      </c>
      <c r="BF24">
        <f>'Eurostat EB flows IEA'!BZ24</f>
        <v>0</v>
      </c>
      <c r="BG24">
        <f>'Eurostat EB flows IEA'!CA24</f>
        <v>0</v>
      </c>
      <c r="BH24">
        <f>'Eurostat EB flows IEA'!CB24</f>
        <v>0</v>
      </c>
      <c r="BI24">
        <f>'Eurostat EB flows IEA'!CC24</f>
        <v>0</v>
      </c>
      <c r="BJ24">
        <f>'Eurostat EB flows IEA'!CD24</f>
        <v>0</v>
      </c>
      <c r="BK24">
        <f>'Eurostat EB flows IEA'!CE24</f>
        <v>0</v>
      </c>
      <c r="BL24">
        <f>'Eurostat EB flows IEA'!CF24</f>
        <v>0</v>
      </c>
      <c r="BM24">
        <f>'Eurostat EB flows IEA'!CG24</f>
        <v>-2462.5819999999949</v>
      </c>
      <c r="BN24">
        <f>'Eurostat EB flows IEA'!CH24</f>
        <v>0</v>
      </c>
    </row>
    <row r="25" spans="1:66" x14ac:dyDescent="0.2">
      <c r="A25" t="s">
        <v>89</v>
      </c>
      <c r="B25" t="str">
        <f>'Eurostat EB flows IEA'!V25</f>
        <v>x</v>
      </c>
      <c r="C25" t="str">
        <f>'Eurostat EB flows IEA'!W25</f>
        <v>x</v>
      </c>
      <c r="D25">
        <f>'Eurostat EB flows IEA'!X25</f>
        <v>0</v>
      </c>
      <c r="E25">
        <f>'Eurostat EB flows IEA'!Y25</f>
        <v>0</v>
      </c>
      <c r="F25">
        <f>'Eurostat EB flows IEA'!Z25</f>
        <v>0</v>
      </c>
      <c r="G25">
        <f>'Eurostat EB flows IEA'!AA25</f>
        <v>0</v>
      </c>
      <c r="H25">
        <f>'Eurostat EB flows IEA'!AB25</f>
        <v>0</v>
      </c>
      <c r="I25">
        <f>'Eurostat EB flows IEA'!AC25</f>
        <v>0</v>
      </c>
      <c r="J25">
        <f>'Eurostat EB flows IEA'!AD25</f>
        <v>0</v>
      </c>
      <c r="K25">
        <f>'Eurostat EB flows IEA'!AE25</f>
        <v>0</v>
      </c>
      <c r="L25">
        <f>'Eurostat EB flows IEA'!AF25</f>
        <v>0</v>
      </c>
      <c r="M25">
        <f>'Eurostat EB flows IEA'!AG25</f>
        <v>0</v>
      </c>
      <c r="N25">
        <f>'Eurostat EB flows IEA'!AH25</f>
        <v>0</v>
      </c>
      <c r="O25">
        <f>'Eurostat EB flows IEA'!AI25</f>
        <v>0</v>
      </c>
      <c r="P25">
        <f>'Eurostat EB flows IEA'!AJ25</f>
        <v>0</v>
      </c>
      <c r="Q25">
        <f>'Eurostat EB flows IEA'!AK25</f>
        <v>0</v>
      </c>
      <c r="R25">
        <f>'Eurostat EB flows IEA'!AL25</f>
        <v>0</v>
      </c>
      <c r="S25">
        <f>'Eurostat EB flows IEA'!AM25</f>
        <v>0</v>
      </c>
      <c r="T25" t="str">
        <f>'Eurostat EB flows IEA'!AN25</f>
        <v>x</v>
      </c>
      <c r="U25">
        <f>'Eurostat EB flows IEA'!AO25</f>
        <v>0</v>
      </c>
      <c r="V25">
        <f>'Eurostat EB flows IEA'!AP25</f>
        <v>0</v>
      </c>
      <c r="W25">
        <f>'Eurostat EB flows IEA'!AQ25</f>
        <v>0</v>
      </c>
      <c r="X25">
        <f>'Eurostat EB flows IEA'!AR25</f>
        <v>0</v>
      </c>
      <c r="Y25">
        <f>'Eurostat EB flows IEA'!AS25</f>
        <v>0</v>
      </c>
      <c r="Z25">
        <f>'Eurostat EB flows IEA'!AT25</f>
        <v>0</v>
      </c>
      <c r="AA25">
        <f>'Eurostat EB flows IEA'!AU25</f>
        <v>0</v>
      </c>
      <c r="AB25">
        <f>'Eurostat EB flows IEA'!AV25</f>
        <v>0</v>
      </c>
      <c r="AC25">
        <f>'Eurostat EB flows IEA'!AW25</f>
        <v>0</v>
      </c>
      <c r="AD25">
        <f>'Eurostat EB flows IEA'!AX25</f>
        <v>0</v>
      </c>
      <c r="AE25">
        <f>'Eurostat EB flows IEA'!AY25</f>
        <v>0</v>
      </c>
      <c r="AF25">
        <f>'Eurostat EB flows IEA'!AZ25</f>
        <v>0</v>
      </c>
      <c r="AG25">
        <f>'Eurostat EB flows IEA'!BA25</f>
        <v>0</v>
      </c>
      <c r="AH25">
        <f>'Eurostat EB flows IEA'!BB25</f>
        <v>0</v>
      </c>
      <c r="AI25">
        <f>'Eurostat EB flows IEA'!BC25</f>
        <v>0</v>
      </c>
      <c r="AJ25">
        <f>'Eurostat EB flows IEA'!BD25</f>
        <v>0</v>
      </c>
      <c r="AK25">
        <f>'Eurostat EB flows IEA'!BE25</f>
        <v>0</v>
      </c>
      <c r="AL25">
        <f>'Eurostat EB flows IEA'!BF25</f>
        <v>0</v>
      </c>
      <c r="AM25">
        <f>'Eurostat EB flows IEA'!BG25</f>
        <v>0</v>
      </c>
      <c r="AN25">
        <f>'Eurostat EB flows IEA'!BH25</f>
        <v>0</v>
      </c>
      <c r="AO25">
        <f>'Eurostat EB flows IEA'!BI25</f>
        <v>0</v>
      </c>
      <c r="AP25">
        <f>'Eurostat EB flows IEA'!BJ25</f>
        <v>0</v>
      </c>
      <c r="AQ25">
        <f>'Eurostat EB flows IEA'!BK25</f>
        <v>0</v>
      </c>
      <c r="AR25">
        <f>'Eurostat EB flows IEA'!BL25</f>
        <v>0</v>
      </c>
      <c r="AS25">
        <f>'Eurostat EB flows IEA'!BM25</f>
        <v>0</v>
      </c>
      <c r="AT25">
        <f>'Eurostat EB flows IEA'!BN25</f>
        <v>0</v>
      </c>
      <c r="AU25">
        <f>'Eurostat EB flows IEA'!BO25</f>
        <v>0</v>
      </c>
      <c r="AV25">
        <f>'Eurostat EB flows IEA'!BP25</f>
        <v>0</v>
      </c>
      <c r="AW25">
        <f>'Eurostat EB flows IEA'!BQ25</f>
        <v>0</v>
      </c>
      <c r="AX25">
        <f>'Eurostat EB flows IEA'!BR25</f>
        <v>0</v>
      </c>
      <c r="AY25">
        <f>'Eurostat EB flows IEA'!BS25</f>
        <v>0</v>
      </c>
      <c r="AZ25">
        <f>'Eurostat EB flows IEA'!BT25</f>
        <v>0</v>
      </c>
      <c r="BA25">
        <f>'Eurostat EB flows IEA'!BU25</f>
        <v>0</v>
      </c>
      <c r="BB25">
        <f>'Eurostat EB flows IEA'!BV25</f>
        <v>0</v>
      </c>
      <c r="BC25">
        <f>'Eurostat EB flows IEA'!BW25</f>
        <v>0</v>
      </c>
      <c r="BD25">
        <f>'Eurostat EB flows IEA'!BX25</f>
        <v>0</v>
      </c>
      <c r="BE25">
        <f>'Eurostat EB flows IEA'!BY25</f>
        <v>0</v>
      </c>
      <c r="BF25">
        <f>'Eurostat EB flows IEA'!BZ25</f>
        <v>0</v>
      </c>
      <c r="BG25">
        <f>'Eurostat EB flows IEA'!CA25</f>
        <v>0</v>
      </c>
      <c r="BH25">
        <f>'Eurostat EB flows IEA'!CB25</f>
        <v>0</v>
      </c>
      <c r="BI25">
        <f>'Eurostat EB flows IEA'!CC25</f>
        <v>0</v>
      </c>
      <c r="BJ25">
        <f>'Eurostat EB flows IEA'!CD25</f>
        <v>0</v>
      </c>
      <c r="BK25">
        <f>'Eurostat EB flows IEA'!CE25</f>
        <v>0</v>
      </c>
      <c r="BL25">
        <f>'Eurostat EB flows IEA'!CF25</f>
        <v>0</v>
      </c>
      <c r="BM25">
        <f>'Eurostat EB flows IEA'!CG25</f>
        <v>0</v>
      </c>
      <c r="BN25">
        <f>'Eurostat EB flows IEA'!CH25</f>
        <v>0</v>
      </c>
    </row>
    <row r="26" spans="1:66" x14ac:dyDescent="0.2">
      <c r="A26" t="s">
        <v>158</v>
      </c>
      <c r="B26" t="str">
        <f>'Eurostat EB flows IEA'!V26</f>
        <v>x</v>
      </c>
      <c r="C26" t="str">
        <f>'Eurostat EB flows IEA'!W26</f>
        <v>x</v>
      </c>
      <c r="D26">
        <f>'Eurostat EB flows IEA'!X26</f>
        <v>0</v>
      </c>
      <c r="E26">
        <f>'Eurostat EB flows IEA'!Y26</f>
        <v>0</v>
      </c>
      <c r="F26">
        <f>'Eurostat EB flows IEA'!Z26</f>
        <v>0</v>
      </c>
      <c r="G26">
        <f>'Eurostat EB flows IEA'!AA26</f>
        <v>0</v>
      </c>
      <c r="H26">
        <f>'Eurostat EB flows IEA'!AB26</f>
        <v>0</v>
      </c>
      <c r="I26">
        <f>'Eurostat EB flows IEA'!AC26</f>
        <v>0</v>
      </c>
      <c r="J26">
        <f>'Eurostat EB flows IEA'!AD26</f>
        <v>0</v>
      </c>
      <c r="K26">
        <f>'Eurostat EB flows IEA'!AE26</f>
        <v>0</v>
      </c>
      <c r="L26">
        <f>'Eurostat EB flows IEA'!AF26</f>
        <v>0</v>
      </c>
      <c r="M26">
        <f>'Eurostat EB flows IEA'!AG26</f>
        <v>0</v>
      </c>
      <c r="N26">
        <f>'Eurostat EB flows IEA'!AH26</f>
        <v>0</v>
      </c>
      <c r="O26">
        <f>'Eurostat EB flows IEA'!AI26</f>
        <v>0</v>
      </c>
      <c r="P26">
        <f>'Eurostat EB flows IEA'!AJ26</f>
        <v>0</v>
      </c>
      <c r="Q26">
        <f>'Eurostat EB flows IEA'!AK26</f>
        <v>0</v>
      </c>
      <c r="R26">
        <f>'Eurostat EB flows IEA'!AL26</f>
        <v>0</v>
      </c>
      <c r="S26">
        <f>'Eurostat EB flows IEA'!AM26</f>
        <v>0</v>
      </c>
      <c r="T26" t="str">
        <f>'Eurostat EB flows IEA'!AN26</f>
        <v>x</v>
      </c>
      <c r="U26">
        <f>'Eurostat EB flows IEA'!AO26</f>
        <v>0</v>
      </c>
      <c r="V26">
        <f>'Eurostat EB flows IEA'!AP26</f>
        <v>0</v>
      </c>
      <c r="W26">
        <f>'Eurostat EB flows IEA'!AQ26</f>
        <v>0</v>
      </c>
      <c r="X26">
        <f>'Eurostat EB flows IEA'!AR26</f>
        <v>0</v>
      </c>
      <c r="Y26">
        <f>'Eurostat EB flows IEA'!AS26</f>
        <v>0</v>
      </c>
      <c r="Z26">
        <f>'Eurostat EB flows IEA'!AT26</f>
        <v>0</v>
      </c>
      <c r="AA26">
        <f>'Eurostat EB flows IEA'!AU26</f>
        <v>0</v>
      </c>
      <c r="AB26">
        <f>'Eurostat EB flows IEA'!AV26</f>
        <v>0</v>
      </c>
      <c r="AC26">
        <f>'Eurostat EB flows IEA'!AW26</f>
        <v>0</v>
      </c>
      <c r="AD26">
        <f>'Eurostat EB flows IEA'!AX26</f>
        <v>0</v>
      </c>
      <c r="AE26">
        <f>'Eurostat EB flows IEA'!AY26</f>
        <v>0</v>
      </c>
      <c r="AF26">
        <f>'Eurostat EB flows IEA'!AZ26</f>
        <v>0</v>
      </c>
      <c r="AG26">
        <f>'Eurostat EB flows IEA'!BA26</f>
        <v>0</v>
      </c>
      <c r="AH26">
        <f>'Eurostat EB flows IEA'!BB26</f>
        <v>0</v>
      </c>
      <c r="AI26">
        <f>'Eurostat EB flows IEA'!BC26</f>
        <v>0</v>
      </c>
      <c r="AJ26">
        <f>'Eurostat EB flows IEA'!BD26</f>
        <v>0</v>
      </c>
      <c r="AK26">
        <f>'Eurostat EB flows IEA'!BE26</f>
        <v>0</v>
      </c>
      <c r="AL26">
        <f>'Eurostat EB flows IEA'!BF26</f>
        <v>0</v>
      </c>
      <c r="AM26">
        <f>'Eurostat EB flows IEA'!BG26</f>
        <v>0</v>
      </c>
      <c r="AN26">
        <f>'Eurostat EB flows IEA'!BH26</f>
        <v>0</v>
      </c>
      <c r="AO26">
        <f>'Eurostat EB flows IEA'!BI26</f>
        <v>0</v>
      </c>
      <c r="AP26">
        <f>'Eurostat EB flows IEA'!BJ26</f>
        <v>0</v>
      </c>
      <c r="AQ26">
        <f>'Eurostat EB flows IEA'!BK26</f>
        <v>0</v>
      </c>
      <c r="AR26">
        <f>'Eurostat EB flows IEA'!BL26</f>
        <v>0</v>
      </c>
      <c r="AS26">
        <f>'Eurostat EB flows IEA'!BM26</f>
        <v>0</v>
      </c>
      <c r="AT26">
        <f>'Eurostat EB flows IEA'!BN26</f>
        <v>0</v>
      </c>
      <c r="AU26">
        <f>'Eurostat EB flows IEA'!BO26</f>
        <v>0</v>
      </c>
      <c r="AV26">
        <f>'Eurostat EB flows IEA'!BP26</f>
        <v>0</v>
      </c>
      <c r="AW26">
        <f>'Eurostat EB flows IEA'!BQ26</f>
        <v>0</v>
      </c>
      <c r="AX26">
        <f>'Eurostat EB flows IEA'!BR26</f>
        <v>0</v>
      </c>
      <c r="AY26">
        <f>'Eurostat EB flows IEA'!BS26</f>
        <v>0</v>
      </c>
      <c r="AZ26">
        <f>'Eurostat EB flows IEA'!BT26</f>
        <v>0</v>
      </c>
      <c r="BA26">
        <f>'Eurostat EB flows IEA'!BU26</f>
        <v>0</v>
      </c>
      <c r="BB26">
        <f>'Eurostat EB flows IEA'!BV26</f>
        <v>0</v>
      </c>
      <c r="BC26">
        <f>'Eurostat EB flows IEA'!BW26</f>
        <v>0</v>
      </c>
      <c r="BD26">
        <f>'Eurostat EB flows IEA'!BX26</f>
        <v>0</v>
      </c>
      <c r="BE26">
        <f>'Eurostat EB flows IEA'!BY26</f>
        <v>0</v>
      </c>
      <c r="BF26">
        <f>'Eurostat EB flows IEA'!BZ26</f>
        <v>0</v>
      </c>
      <c r="BG26">
        <f>'Eurostat EB flows IEA'!CA26</f>
        <v>0</v>
      </c>
      <c r="BH26">
        <f>'Eurostat EB flows IEA'!CB26</f>
        <v>0</v>
      </c>
      <c r="BI26">
        <f>'Eurostat EB flows IEA'!CC26</f>
        <v>0</v>
      </c>
      <c r="BJ26">
        <f>'Eurostat EB flows IEA'!CD26</f>
        <v>0</v>
      </c>
      <c r="BK26">
        <f>'Eurostat EB flows IEA'!CE26</f>
        <v>0</v>
      </c>
      <c r="BL26">
        <f>'Eurostat EB flows IEA'!CF26</f>
        <v>0</v>
      </c>
      <c r="BM26">
        <f>'Eurostat EB flows IEA'!CG26</f>
        <v>0</v>
      </c>
      <c r="BN26">
        <f>'Eurostat EB flows IEA'!CH26</f>
        <v>0</v>
      </c>
    </row>
    <row r="27" spans="1:66" x14ac:dyDescent="0.2">
      <c r="A27" t="s">
        <v>159</v>
      </c>
      <c r="B27" t="str">
        <f>'Eurostat EB flows IEA'!V27</f>
        <v>x</v>
      </c>
      <c r="C27" t="str">
        <f>'Eurostat EB flows IEA'!W27</f>
        <v>x</v>
      </c>
      <c r="D27">
        <f>'Eurostat EB flows IEA'!X27</f>
        <v>0</v>
      </c>
      <c r="E27">
        <f>'Eurostat EB flows IEA'!Y27</f>
        <v>0</v>
      </c>
      <c r="F27">
        <f>'Eurostat EB flows IEA'!Z27</f>
        <v>0</v>
      </c>
      <c r="G27">
        <f>'Eurostat EB flows IEA'!AA27</f>
        <v>0</v>
      </c>
      <c r="H27">
        <f>'Eurostat EB flows IEA'!AB27</f>
        <v>0</v>
      </c>
      <c r="I27">
        <f>'Eurostat EB flows IEA'!AC27</f>
        <v>0</v>
      </c>
      <c r="J27">
        <f>'Eurostat EB flows IEA'!AD27</f>
        <v>0</v>
      </c>
      <c r="K27">
        <f>'Eurostat EB flows IEA'!AE27</f>
        <v>0</v>
      </c>
      <c r="L27">
        <f>'Eurostat EB flows IEA'!AF27</f>
        <v>0</v>
      </c>
      <c r="M27">
        <f>'Eurostat EB flows IEA'!AG27</f>
        <v>0</v>
      </c>
      <c r="N27">
        <f>'Eurostat EB flows IEA'!AH27</f>
        <v>0</v>
      </c>
      <c r="O27">
        <f>'Eurostat EB flows IEA'!AI27</f>
        <v>0</v>
      </c>
      <c r="P27">
        <f>'Eurostat EB flows IEA'!AJ27</f>
        <v>0</v>
      </c>
      <c r="Q27">
        <f>'Eurostat EB flows IEA'!AK27</f>
        <v>0</v>
      </c>
      <c r="R27">
        <f>'Eurostat EB flows IEA'!AL27</f>
        <v>0</v>
      </c>
      <c r="S27">
        <f>'Eurostat EB flows IEA'!AM27</f>
        <v>0</v>
      </c>
      <c r="T27" t="str">
        <f>'Eurostat EB flows IEA'!AN27</f>
        <v>x</v>
      </c>
      <c r="U27">
        <f>'Eurostat EB flows IEA'!AO27</f>
        <v>-2271942.2579999999</v>
      </c>
      <c r="V27">
        <f>'Eurostat EB flows IEA'!AP27</f>
        <v>-149793.533</v>
      </c>
      <c r="W27">
        <f>'Eurostat EB flows IEA'!AQ27</f>
        <v>-218821.62400000001</v>
      </c>
      <c r="X27">
        <f>'Eurostat EB flows IEA'!AR27</f>
        <v>-1858.636</v>
      </c>
      <c r="Y27">
        <f>'Eurostat EB flows IEA'!AS27</f>
        <v>0</v>
      </c>
      <c r="Z27">
        <f>'Eurostat EB flows IEA'!AT27</f>
        <v>106955.94899999999</v>
      </c>
      <c r="AA27">
        <f>'Eurostat EB flows IEA'!AU27</f>
        <v>0</v>
      </c>
      <c r="AB27">
        <f>'Eurostat EB flows IEA'!AV27</f>
        <v>58217.031999999999</v>
      </c>
      <c r="AC27">
        <f>'Eurostat EB flows IEA'!AW27</f>
        <v>194758.60800000001</v>
      </c>
      <c r="AD27">
        <f>'Eurostat EB flows IEA'!AX27</f>
        <v>2822.6170000000002</v>
      </c>
      <c r="AE27">
        <f>'Eurostat EB flows IEA'!AY27</f>
        <v>0</v>
      </c>
      <c r="AF27">
        <f>'Eurostat EB flows IEA'!AZ27</f>
        <v>345850.30800000002</v>
      </c>
      <c r="AG27">
        <f>'Eurostat EB flows IEA'!BA27</f>
        <v>17190.671999999999</v>
      </c>
      <c r="AH27">
        <f>'Eurostat EB flows IEA'!BB27</f>
        <v>854700.48400000005</v>
      </c>
      <c r="AI27">
        <f>'Eurostat EB flows IEA'!BC27</f>
        <v>393140.03</v>
      </c>
      <c r="AJ27">
        <f>'Eurostat EB flows IEA'!BD27</f>
        <v>484137.277</v>
      </c>
      <c r="AK27">
        <f>'Eurostat EB flows IEA'!BE27</f>
        <v>39900.258000000002</v>
      </c>
      <c r="AL27">
        <f>'Eurostat EB flows IEA'!BF27</f>
        <v>42858.58</v>
      </c>
      <c r="AM27">
        <f>'Eurostat EB flows IEA'!BG27</f>
        <v>37052.463000000003</v>
      </c>
      <c r="AN27">
        <f>'Eurostat EB flows IEA'!BH27</f>
        <v>0</v>
      </c>
      <c r="AO27">
        <f>'Eurostat EB flows IEA'!BI27</f>
        <v>16671.462</v>
      </c>
      <c r="AP27">
        <f>'Eurostat EB flows IEA'!BJ27</f>
        <v>18235.339</v>
      </c>
      <c r="AQ27">
        <f>'Eurostat EB flows IEA'!BK27</f>
        <v>0</v>
      </c>
      <c r="AR27">
        <f>'Eurostat EB flows IEA'!BL27</f>
        <v>0</v>
      </c>
      <c r="AS27">
        <f>'Eurostat EB flows IEA'!BM27</f>
        <v>0</v>
      </c>
      <c r="AT27">
        <f>'Eurostat EB flows IEA'!BN27</f>
        <v>0</v>
      </c>
      <c r="AU27">
        <f>'Eurostat EB flows IEA'!BO27</f>
        <v>0</v>
      </c>
      <c r="AV27">
        <f>'Eurostat EB flows IEA'!BP27</f>
        <v>0</v>
      </c>
      <c r="AW27">
        <f>'Eurostat EB flows IEA'!BQ27</f>
        <v>0</v>
      </c>
      <c r="AX27">
        <f>'Eurostat EB flows IEA'!BR27</f>
        <v>0</v>
      </c>
      <c r="AY27">
        <f>'Eurostat EB flows IEA'!BS27</f>
        <v>0</v>
      </c>
      <c r="AZ27">
        <f>'Eurostat EB flows IEA'!BT27</f>
        <v>0</v>
      </c>
      <c r="BA27">
        <f>'Eurostat EB flows IEA'!BU27</f>
        <v>0</v>
      </c>
      <c r="BB27">
        <f>'Eurostat EB flows IEA'!BV27</f>
        <v>0</v>
      </c>
      <c r="BC27">
        <f>'Eurostat EB flows IEA'!BW27</f>
        <v>0</v>
      </c>
      <c r="BD27">
        <f>'Eurostat EB flows IEA'!BX27</f>
        <v>0</v>
      </c>
      <c r="BE27">
        <f>'Eurostat EB flows IEA'!BY27</f>
        <v>0</v>
      </c>
      <c r="BF27">
        <f>'Eurostat EB flows IEA'!BZ27</f>
        <v>0</v>
      </c>
      <c r="BG27">
        <f>'Eurostat EB flows IEA'!CA27</f>
        <v>0</v>
      </c>
      <c r="BH27">
        <f>'Eurostat EB flows IEA'!CB27</f>
        <v>0</v>
      </c>
      <c r="BI27">
        <f>'Eurostat EB flows IEA'!CC27</f>
        <v>0</v>
      </c>
      <c r="BJ27">
        <f>'Eurostat EB flows IEA'!CD27</f>
        <v>0</v>
      </c>
      <c r="BK27">
        <f>'Eurostat EB flows IEA'!CE27</f>
        <v>0</v>
      </c>
      <c r="BL27">
        <f>'Eurostat EB flows IEA'!CF27</f>
        <v>0</v>
      </c>
      <c r="BM27">
        <f>'Eurostat EB flows IEA'!CG27</f>
        <v>-29924.972000000067</v>
      </c>
      <c r="BN27">
        <f>'Eurostat EB flows IEA'!CH27</f>
        <v>0</v>
      </c>
    </row>
    <row r="28" spans="1:66" x14ac:dyDescent="0.2">
      <c r="A28" t="s">
        <v>160</v>
      </c>
      <c r="B28" t="str">
        <f>'Eurostat EB flows IEA'!V28</f>
        <v>x</v>
      </c>
      <c r="C28" t="str">
        <f>'Eurostat EB flows IEA'!W28</f>
        <v>x</v>
      </c>
      <c r="D28">
        <f>'Eurostat EB flows IEA'!X28</f>
        <v>0</v>
      </c>
      <c r="E28">
        <f>'Eurostat EB flows IEA'!Y28</f>
        <v>0</v>
      </c>
      <c r="F28">
        <f>'Eurostat EB flows IEA'!Z28</f>
        <v>0</v>
      </c>
      <c r="G28">
        <f>'Eurostat EB flows IEA'!AA28</f>
        <v>0</v>
      </c>
      <c r="H28">
        <f>'Eurostat EB flows IEA'!AB28</f>
        <v>0</v>
      </c>
      <c r="I28">
        <f>'Eurostat EB flows IEA'!AC28</f>
        <v>0</v>
      </c>
      <c r="J28">
        <f>'Eurostat EB flows IEA'!AD28</f>
        <v>0</v>
      </c>
      <c r="K28">
        <f>'Eurostat EB flows IEA'!AE28</f>
        <v>0</v>
      </c>
      <c r="L28">
        <f>'Eurostat EB flows IEA'!AF28</f>
        <v>0</v>
      </c>
      <c r="M28">
        <f>'Eurostat EB flows IEA'!AG28</f>
        <v>0</v>
      </c>
      <c r="N28">
        <f>'Eurostat EB flows IEA'!AH28</f>
        <v>0</v>
      </c>
      <c r="O28">
        <f>'Eurostat EB flows IEA'!AI28</f>
        <v>0</v>
      </c>
      <c r="P28">
        <f>'Eurostat EB flows IEA'!AJ28</f>
        <v>0</v>
      </c>
      <c r="Q28">
        <f>'Eurostat EB flows IEA'!AK28</f>
        <v>0</v>
      </c>
      <c r="R28">
        <f>'Eurostat EB flows IEA'!AL28</f>
        <v>0</v>
      </c>
      <c r="S28">
        <f>'Eurostat EB flows IEA'!AM28</f>
        <v>0</v>
      </c>
      <c r="T28" t="str">
        <f>'Eurostat EB flows IEA'!AN28</f>
        <v>x</v>
      </c>
      <c r="U28">
        <f>'Eurostat EB flows IEA'!AO28</f>
        <v>0</v>
      </c>
      <c r="V28">
        <f>'Eurostat EB flows IEA'!AP28</f>
        <v>-48786.699000000001</v>
      </c>
      <c r="W28">
        <f>'Eurostat EB flows IEA'!AQ28</f>
        <v>147464.37599999999</v>
      </c>
      <c r="X28">
        <f>'Eurostat EB flows IEA'!AR28</f>
        <v>0</v>
      </c>
      <c r="Y28">
        <f>'Eurostat EB flows IEA'!AS28</f>
        <v>0</v>
      </c>
      <c r="Z28">
        <f>'Eurostat EB flows IEA'!AT28</f>
        <v>0</v>
      </c>
      <c r="AA28">
        <f>'Eurostat EB flows IEA'!AU28</f>
        <v>0</v>
      </c>
      <c r="AB28">
        <f>'Eurostat EB flows IEA'!AV28</f>
        <v>-30097.690000000002</v>
      </c>
      <c r="AC28">
        <f>'Eurostat EB flows IEA'!AW28</f>
        <v>0</v>
      </c>
      <c r="AD28">
        <f>'Eurostat EB flows IEA'!AX28</f>
        <v>0</v>
      </c>
      <c r="AE28">
        <f>'Eurostat EB flows IEA'!AY28</f>
        <v>0</v>
      </c>
      <c r="AF28">
        <f>'Eurostat EB flows IEA'!AZ28</f>
        <v>0</v>
      </c>
      <c r="AG28">
        <f>'Eurostat EB flows IEA'!BA28</f>
        <v>-448.38099999999997</v>
      </c>
      <c r="AH28">
        <f>'Eurostat EB flows IEA'!BB28</f>
        <v>-10.741999999999962</v>
      </c>
      <c r="AI28">
        <f>'Eurostat EB flows IEA'!BC28</f>
        <v>0</v>
      </c>
      <c r="AJ28">
        <f>'Eurostat EB flows IEA'!BD28</f>
        <v>-76530.175000000003</v>
      </c>
      <c r="AK28">
        <f>'Eurostat EB flows IEA'!BE28</f>
        <v>0</v>
      </c>
      <c r="AL28">
        <f>'Eurostat EB flows IEA'!BF28</f>
        <v>-39.082000000000001</v>
      </c>
      <c r="AM28">
        <f>'Eurostat EB flows IEA'!BG28</f>
        <v>0</v>
      </c>
      <c r="AN28">
        <f>'Eurostat EB flows IEA'!BH28</f>
        <v>0</v>
      </c>
      <c r="AO28">
        <f>'Eurostat EB flows IEA'!BI28</f>
        <v>0</v>
      </c>
      <c r="AP28">
        <f>'Eurostat EB flows IEA'!BJ28</f>
        <v>-45.908999999999651</v>
      </c>
      <c r="AQ28">
        <f>'Eurostat EB flows IEA'!BK28</f>
        <v>0</v>
      </c>
      <c r="AR28">
        <f>'Eurostat EB flows IEA'!BL28</f>
        <v>0</v>
      </c>
      <c r="AS28">
        <f>'Eurostat EB flows IEA'!BM28</f>
        <v>0</v>
      </c>
      <c r="AT28">
        <f>'Eurostat EB flows IEA'!BN28</f>
        <v>0</v>
      </c>
      <c r="AU28">
        <f>'Eurostat EB flows IEA'!BO28</f>
        <v>0</v>
      </c>
      <c r="AV28">
        <f>'Eurostat EB flows IEA'!BP28</f>
        <v>0</v>
      </c>
      <c r="AW28">
        <f>'Eurostat EB flows IEA'!BQ28</f>
        <v>0</v>
      </c>
      <c r="AX28">
        <f>'Eurostat EB flows IEA'!BR28</f>
        <v>0</v>
      </c>
      <c r="AY28">
        <f>'Eurostat EB flows IEA'!BS28</f>
        <v>0</v>
      </c>
      <c r="AZ28">
        <f>'Eurostat EB flows IEA'!BT28</f>
        <v>0</v>
      </c>
      <c r="BA28">
        <f>'Eurostat EB flows IEA'!BU28</f>
        <v>0</v>
      </c>
      <c r="BB28">
        <f>'Eurostat EB flows IEA'!BV28</f>
        <v>0</v>
      </c>
      <c r="BC28">
        <f>'Eurostat EB flows IEA'!BW28</f>
        <v>0</v>
      </c>
      <c r="BD28">
        <f>'Eurostat EB flows IEA'!BX28</f>
        <v>0</v>
      </c>
      <c r="BE28">
        <f>'Eurostat EB flows IEA'!BY28</f>
        <v>0</v>
      </c>
      <c r="BF28">
        <f>'Eurostat EB flows IEA'!BZ28</f>
        <v>0</v>
      </c>
      <c r="BG28">
        <f>'Eurostat EB flows IEA'!CA28</f>
        <v>0</v>
      </c>
      <c r="BH28">
        <f>'Eurostat EB flows IEA'!CB28</f>
        <v>0</v>
      </c>
      <c r="BI28">
        <f>'Eurostat EB flows IEA'!CC28</f>
        <v>0</v>
      </c>
      <c r="BJ28">
        <f>'Eurostat EB flows IEA'!CD28</f>
        <v>0</v>
      </c>
      <c r="BK28">
        <f>'Eurostat EB flows IEA'!CE28</f>
        <v>0</v>
      </c>
      <c r="BL28">
        <f>'Eurostat EB flows IEA'!CF28</f>
        <v>0</v>
      </c>
      <c r="BM28">
        <f>'Eurostat EB flows IEA'!CG28</f>
        <v>-8494.301999999996</v>
      </c>
      <c r="BN28">
        <f>'Eurostat EB flows IEA'!CH28</f>
        <v>0</v>
      </c>
    </row>
    <row r="29" spans="1:66" x14ac:dyDescent="0.2">
      <c r="A29" t="s">
        <v>90</v>
      </c>
      <c r="B29" t="str">
        <f>'Eurostat EB flows IEA'!V29</f>
        <v>x</v>
      </c>
      <c r="C29" t="str">
        <f>'Eurostat EB flows IEA'!W29</f>
        <v>x</v>
      </c>
      <c r="D29">
        <f>'Eurostat EB flows IEA'!X29</f>
        <v>0</v>
      </c>
      <c r="E29">
        <f>'Eurostat EB flows IEA'!Y29</f>
        <v>0</v>
      </c>
      <c r="F29">
        <f>'Eurostat EB flows IEA'!Z29</f>
        <v>0</v>
      </c>
      <c r="G29">
        <f>'Eurostat EB flows IEA'!AA29</f>
        <v>0</v>
      </c>
      <c r="H29">
        <f>'Eurostat EB flows IEA'!AB29</f>
        <v>0</v>
      </c>
      <c r="I29">
        <f>'Eurostat EB flows IEA'!AC29</f>
        <v>0</v>
      </c>
      <c r="J29">
        <f>'Eurostat EB flows IEA'!AD29</f>
        <v>0</v>
      </c>
      <c r="K29">
        <f>'Eurostat EB flows IEA'!AE29</f>
        <v>0</v>
      </c>
      <c r="L29">
        <f>'Eurostat EB flows IEA'!AF29</f>
        <v>0</v>
      </c>
      <c r="M29">
        <f>'Eurostat EB flows IEA'!AG29</f>
        <v>0</v>
      </c>
      <c r="N29">
        <f>'Eurostat EB flows IEA'!AH29</f>
        <v>0</v>
      </c>
      <c r="O29">
        <f>'Eurostat EB flows IEA'!AI29</f>
        <v>0</v>
      </c>
      <c r="P29">
        <f>'Eurostat EB flows IEA'!AJ29</f>
        <v>0</v>
      </c>
      <c r="Q29">
        <f>'Eurostat EB flows IEA'!AK29</f>
        <v>0</v>
      </c>
      <c r="R29">
        <f>'Eurostat EB flows IEA'!AL29</f>
        <v>0</v>
      </c>
      <c r="S29">
        <f>'Eurostat EB flows IEA'!AM29</f>
        <v>0</v>
      </c>
      <c r="T29" t="str">
        <f>'Eurostat EB flows IEA'!AN29</f>
        <v>x</v>
      </c>
      <c r="U29">
        <f>'Eurostat EB flows IEA'!AO29</f>
        <v>0</v>
      </c>
      <c r="V29">
        <f>'Eurostat EB flows IEA'!AP29</f>
        <v>0</v>
      </c>
      <c r="W29">
        <f>'Eurostat EB flows IEA'!AQ29</f>
        <v>0</v>
      </c>
      <c r="X29">
        <f>'Eurostat EB flows IEA'!AR29</f>
        <v>0</v>
      </c>
      <c r="Y29">
        <f>'Eurostat EB flows IEA'!AS29</f>
        <v>0</v>
      </c>
      <c r="Z29">
        <f>'Eurostat EB flows IEA'!AT29</f>
        <v>0</v>
      </c>
      <c r="AA29">
        <f>'Eurostat EB flows IEA'!AU29</f>
        <v>0</v>
      </c>
      <c r="AB29">
        <f>'Eurostat EB flows IEA'!AV29</f>
        <v>0</v>
      </c>
      <c r="AC29">
        <f>'Eurostat EB flows IEA'!AW29</f>
        <v>0</v>
      </c>
      <c r="AD29">
        <f>'Eurostat EB flows IEA'!AX29</f>
        <v>0</v>
      </c>
      <c r="AE29">
        <f>'Eurostat EB flows IEA'!AY29</f>
        <v>0</v>
      </c>
      <c r="AF29">
        <f>'Eurostat EB flows IEA'!AZ29</f>
        <v>0</v>
      </c>
      <c r="AG29">
        <f>'Eurostat EB flows IEA'!BA29</f>
        <v>0</v>
      </c>
      <c r="AH29">
        <f>'Eurostat EB flows IEA'!BB29</f>
        <v>0</v>
      </c>
      <c r="AI29">
        <f>'Eurostat EB flows IEA'!BC29</f>
        <v>0</v>
      </c>
      <c r="AJ29">
        <f>'Eurostat EB flows IEA'!BD29</f>
        <v>0</v>
      </c>
      <c r="AK29">
        <f>'Eurostat EB flows IEA'!BE29</f>
        <v>0</v>
      </c>
      <c r="AL29">
        <f>'Eurostat EB flows IEA'!BF29</f>
        <v>0</v>
      </c>
      <c r="AM29">
        <f>'Eurostat EB flows IEA'!BG29</f>
        <v>0</v>
      </c>
      <c r="AN29">
        <f>'Eurostat EB flows IEA'!BH29</f>
        <v>0</v>
      </c>
      <c r="AO29">
        <f>'Eurostat EB flows IEA'!BI29</f>
        <v>0</v>
      </c>
      <c r="AP29">
        <f>'Eurostat EB flows IEA'!BJ29</f>
        <v>0</v>
      </c>
      <c r="AQ29">
        <f>'Eurostat EB flows IEA'!BK29</f>
        <v>0</v>
      </c>
      <c r="AR29">
        <f>'Eurostat EB flows IEA'!BL29</f>
        <v>0</v>
      </c>
      <c r="AS29">
        <f>'Eurostat EB flows IEA'!BM29</f>
        <v>0</v>
      </c>
      <c r="AT29">
        <f>'Eurostat EB flows IEA'!BN29</f>
        <v>0</v>
      </c>
      <c r="AU29">
        <f>'Eurostat EB flows IEA'!BO29</f>
        <v>0</v>
      </c>
      <c r="AV29">
        <f>'Eurostat EB flows IEA'!BP29</f>
        <v>0</v>
      </c>
      <c r="AW29">
        <f>'Eurostat EB flows IEA'!BQ29</f>
        <v>0</v>
      </c>
      <c r="AX29">
        <f>'Eurostat EB flows IEA'!BR29</f>
        <v>0</v>
      </c>
      <c r="AY29">
        <f>'Eurostat EB flows IEA'!BS29</f>
        <v>0</v>
      </c>
      <c r="AZ29">
        <f>'Eurostat EB flows IEA'!BT29</f>
        <v>0</v>
      </c>
      <c r="BA29">
        <f>'Eurostat EB flows IEA'!BU29</f>
        <v>0</v>
      </c>
      <c r="BB29">
        <f>'Eurostat EB flows IEA'!BV29</f>
        <v>0</v>
      </c>
      <c r="BC29">
        <f>'Eurostat EB flows IEA'!BW29</f>
        <v>0</v>
      </c>
      <c r="BD29">
        <f>'Eurostat EB flows IEA'!BX29</f>
        <v>0</v>
      </c>
      <c r="BE29">
        <f>'Eurostat EB flows IEA'!BY29</f>
        <v>0</v>
      </c>
      <c r="BF29">
        <f>'Eurostat EB flows IEA'!BZ29</f>
        <v>0</v>
      </c>
      <c r="BG29">
        <f>'Eurostat EB flows IEA'!CA29</f>
        <v>0</v>
      </c>
      <c r="BH29">
        <f>'Eurostat EB flows IEA'!CB29</f>
        <v>0</v>
      </c>
      <c r="BI29">
        <f>'Eurostat EB flows IEA'!CC29</f>
        <v>0</v>
      </c>
      <c r="BJ29">
        <f>'Eurostat EB flows IEA'!CD29</f>
        <v>0</v>
      </c>
      <c r="BK29">
        <f>'Eurostat EB flows IEA'!CE29</f>
        <v>0</v>
      </c>
      <c r="BL29">
        <f>'Eurostat EB flows IEA'!CF29</f>
        <v>0</v>
      </c>
      <c r="BM29">
        <f>'Eurostat EB flows IEA'!CG29</f>
        <v>0</v>
      </c>
      <c r="BN29">
        <f>'Eurostat EB flows IEA'!CH29</f>
        <v>0</v>
      </c>
    </row>
    <row r="30" spans="1:66" x14ac:dyDescent="0.2">
      <c r="A30" t="s">
        <v>97</v>
      </c>
      <c r="B30" t="str">
        <f>'Eurostat EB flows IEA'!V30</f>
        <v>x</v>
      </c>
      <c r="C30" t="str">
        <f>'Eurostat EB flows IEA'!W30</f>
        <v>x</v>
      </c>
      <c r="D30">
        <f>'Eurostat EB flows IEA'!X30</f>
        <v>0</v>
      </c>
      <c r="E30">
        <f>'Eurostat EB flows IEA'!Y30</f>
        <v>0</v>
      </c>
      <c r="F30">
        <f>'Eurostat EB flows IEA'!Z30</f>
        <v>0</v>
      </c>
      <c r="G30">
        <f>'Eurostat EB flows IEA'!AA30</f>
        <v>0</v>
      </c>
      <c r="H30">
        <f>'Eurostat EB flows IEA'!AB30</f>
        <v>0</v>
      </c>
      <c r="I30">
        <f>'Eurostat EB flows IEA'!AC30</f>
        <v>0</v>
      </c>
      <c r="J30">
        <f>'Eurostat EB flows IEA'!AD30</f>
        <v>0</v>
      </c>
      <c r="K30">
        <f>'Eurostat EB flows IEA'!AE30</f>
        <v>0</v>
      </c>
      <c r="L30">
        <f>'Eurostat EB flows IEA'!AF30</f>
        <v>0</v>
      </c>
      <c r="M30">
        <f>'Eurostat EB flows IEA'!AG30</f>
        <v>0</v>
      </c>
      <c r="N30">
        <f>'Eurostat EB flows IEA'!AH30</f>
        <v>0</v>
      </c>
      <c r="O30">
        <f>'Eurostat EB flows IEA'!AI30</f>
        <v>0</v>
      </c>
      <c r="P30">
        <f>'Eurostat EB flows IEA'!AJ30</f>
        <v>0</v>
      </c>
      <c r="Q30">
        <f>'Eurostat EB flows IEA'!AK30</f>
        <v>0</v>
      </c>
      <c r="R30">
        <f>'Eurostat EB flows IEA'!AL30</f>
        <v>0</v>
      </c>
      <c r="S30">
        <f>'Eurostat EB flows IEA'!AM30</f>
        <v>0</v>
      </c>
      <c r="T30" t="str">
        <f>'Eurostat EB flows IEA'!AN30</f>
        <v>x</v>
      </c>
      <c r="U30">
        <f>'Eurostat EB flows IEA'!AO30</f>
        <v>0</v>
      </c>
      <c r="V30">
        <f>'Eurostat EB flows IEA'!AP30</f>
        <v>0</v>
      </c>
      <c r="W30">
        <f>'Eurostat EB flows IEA'!AQ30</f>
        <v>0</v>
      </c>
      <c r="X30">
        <f>'Eurostat EB flows IEA'!AR30</f>
        <v>0</v>
      </c>
      <c r="Y30">
        <f>'Eurostat EB flows IEA'!AS30</f>
        <v>0</v>
      </c>
      <c r="Z30">
        <f>'Eurostat EB flows IEA'!AT30</f>
        <v>0</v>
      </c>
      <c r="AA30">
        <f>'Eurostat EB flows IEA'!AU30</f>
        <v>0</v>
      </c>
      <c r="AB30">
        <f>'Eurostat EB flows IEA'!AV30</f>
        <v>0</v>
      </c>
      <c r="AC30">
        <f>'Eurostat EB flows IEA'!AW30</f>
        <v>0</v>
      </c>
      <c r="AD30">
        <f>'Eurostat EB flows IEA'!AX30</f>
        <v>0</v>
      </c>
      <c r="AE30">
        <f>'Eurostat EB flows IEA'!AY30</f>
        <v>0</v>
      </c>
      <c r="AF30">
        <f>'Eurostat EB flows IEA'!AZ30</f>
        <v>0</v>
      </c>
      <c r="AG30">
        <f>'Eurostat EB flows IEA'!BA30</f>
        <v>0</v>
      </c>
      <c r="AH30">
        <f>'Eurostat EB flows IEA'!BB30</f>
        <v>0</v>
      </c>
      <c r="AI30">
        <f>'Eurostat EB flows IEA'!BC30</f>
        <v>0</v>
      </c>
      <c r="AJ30">
        <f>'Eurostat EB flows IEA'!BD30</f>
        <v>0</v>
      </c>
      <c r="AK30">
        <f>'Eurostat EB flows IEA'!BE30</f>
        <v>0</v>
      </c>
      <c r="AL30">
        <f>'Eurostat EB flows IEA'!BF30</f>
        <v>0</v>
      </c>
      <c r="AM30">
        <f>'Eurostat EB flows IEA'!BG30</f>
        <v>0</v>
      </c>
      <c r="AN30">
        <f>'Eurostat EB flows IEA'!BH30</f>
        <v>0</v>
      </c>
      <c r="AO30">
        <f>'Eurostat EB flows IEA'!BI30</f>
        <v>0</v>
      </c>
      <c r="AP30">
        <f>'Eurostat EB flows IEA'!BJ30</f>
        <v>0</v>
      </c>
      <c r="AQ30">
        <f>'Eurostat EB flows IEA'!BK30</f>
        <v>0</v>
      </c>
      <c r="AR30">
        <f>'Eurostat EB flows IEA'!BL30</f>
        <v>0</v>
      </c>
      <c r="AS30">
        <f>'Eurostat EB flows IEA'!BM30</f>
        <v>0</v>
      </c>
      <c r="AT30">
        <f>'Eurostat EB flows IEA'!BN30</f>
        <v>0</v>
      </c>
      <c r="AU30">
        <f>'Eurostat EB flows IEA'!BO30</f>
        <v>0</v>
      </c>
      <c r="AV30">
        <f>'Eurostat EB flows IEA'!BP30</f>
        <v>0</v>
      </c>
      <c r="AW30">
        <f>'Eurostat EB flows IEA'!BQ30</f>
        <v>0</v>
      </c>
      <c r="AX30">
        <f>'Eurostat EB flows IEA'!BR30</f>
        <v>0</v>
      </c>
      <c r="AY30">
        <f>'Eurostat EB flows IEA'!BS30</f>
        <v>0</v>
      </c>
      <c r="AZ30">
        <f>'Eurostat EB flows IEA'!BT30</f>
        <v>0</v>
      </c>
      <c r="BA30">
        <f>'Eurostat EB flows IEA'!BU30</f>
        <v>0</v>
      </c>
      <c r="BB30">
        <f>'Eurostat EB flows IEA'!BV30</f>
        <v>0</v>
      </c>
      <c r="BC30">
        <f>'Eurostat EB flows IEA'!BW30</f>
        <v>0</v>
      </c>
      <c r="BD30">
        <f>'Eurostat EB flows IEA'!BX30</f>
        <v>0</v>
      </c>
      <c r="BE30">
        <f>'Eurostat EB flows IEA'!BY30</f>
        <v>0</v>
      </c>
      <c r="BF30">
        <f>'Eurostat EB flows IEA'!BZ30</f>
        <v>0</v>
      </c>
      <c r="BG30">
        <f>'Eurostat EB flows IEA'!CA30</f>
        <v>0</v>
      </c>
      <c r="BH30">
        <f>'Eurostat EB flows IEA'!CB30</f>
        <v>0</v>
      </c>
      <c r="BI30">
        <f>'Eurostat EB flows IEA'!CC30</f>
        <v>0</v>
      </c>
      <c r="BJ30">
        <f>'Eurostat EB flows IEA'!CD30</f>
        <v>0</v>
      </c>
      <c r="BK30">
        <f>'Eurostat EB flows IEA'!CE30</f>
        <v>0</v>
      </c>
      <c r="BL30">
        <f>'Eurostat EB flows IEA'!CF30</f>
        <v>0</v>
      </c>
      <c r="BM30">
        <f>'Eurostat EB flows IEA'!CG30</f>
        <v>0</v>
      </c>
      <c r="BN30">
        <f>'Eurostat EB flows IEA'!CH30</f>
        <v>0</v>
      </c>
    </row>
    <row r="31" spans="1:66" x14ac:dyDescent="0.2">
      <c r="A31" t="s">
        <v>91</v>
      </c>
      <c r="B31" t="str">
        <f>'Eurostat EB flows IEA'!V31</f>
        <v>x</v>
      </c>
      <c r="C31" t="str">
        <f>'Eurostat EB flows IEA'!W31</f>
        <v>x</v>
      </c>
      <c r="D31">
        <f>'Eurostat EB flows IEA'!X31</f>
        <v>0</v>
      </c>
      <c r="E31">
        <f>'Eurostat EB flows IEA'!Y31</f>
        <v>0</v>
      </c>
      <c r="F31">
        <f>'Eurostat EB flows IEA'!Z31</f>
        <v>0</v>
      </c>
      <c r="G31">
        <f>'Eurostat EB flows IEA'!AA31</f>
        <v>0</v>
      </c>
      <c r="H31">
        <f>'Eurostat EB flows IEA'!AB31</f>
        <v>0</v>
      </c>
      <c r="I31">
        <f>'Eurostat EB flows IEA'!AC31</f>
        <v>0</v>
      </c>
      <c r="J31">
        <f>'Eurostat EB flows IEA'!AD31</f>
        <v>0</v>
      </c>
      <c r="K31">
        <f>'Eurostat EB flows IEA'!AE31</f>
        <v>0</v>
      </c>
      <c r="L31">
        <f>'Eurostat EB flows IEA'!AF31</f>
        <v>0</v>
      </c>
      <c r="M31">
        <f>'Eurostat EB flows IEA'!AG31</f>
        <v>0</v>
      </c>
      <c r="N31">
        <f>'Eurostat EB flows IEA'!AH31</f>
        <v>0</v>
      </c>
      <c r="O31">
        <f>'Eurostat EB flows IEA'!AI31</f>
        <v>0</v>
      </c>
      <c r="P31">
        <f>'Eurostat EB flows IEA'!AJ31</f>
        <v>0</v>
      </c>
      <c r="Q31">
        <f>'Eurostat EB flows IEA'!AK31</f>
        <v>0</v>
      </c>
      <c r="R31">
        <f>'Eurostat EB flows IEA'!AL31</f>
        <v>0</v>
      </c>
      <c r="S31">
        <f>'Eurostat EB flows IEA'!AM31</f>
        <v>11333.489</v>
      </c>
      <c r="T31" t="str">
        <f>'Eurostat EB flows IEA'!AN31</f>
        <v>x</v>
      </c>
      <c r="U31">
        <f>'Eurostat EB flows IEA'!AO31</f>
        <v>0</v>
      </c>
      <c r="V31">
        <f>'Eurostat EB flows IEA'!AP31</f>
        <v>0</v>
      </c>
      <c r="W31">
        <f>'Eurostat EB flows IEA'!AQ31</f>
        <v>0</v>
      </c>
      <c r="X31">
        <f>'Eurostat EB flows IEA'!AR31</f>
        <v>0</v>
      </c>
      <c r="Y31">
        <f>'Eurostat EB flows IEA'!AS31</f>
        <v>0</v>
      </c>
      <c r="Z31">
        <f>'Eurostat EB flows IEA'!AT31</f>
        <v>-1614.182</v>
      </c>
      <c r="AA31">
        <f>'Eurostat EB flows IEA'!AU31</f>
        <v>0</v>
      </c>
      <c r="AB31">
        <f>'Eurostat EB flows IEA'!AV31</f>
        <v>0</v>
      </c>
      <c r="AC31">
        <f>'Eurostat EB flows IEA'!AW31</f>
        <v>0</v>
      </c>
      <c r="AD31">
        <f>'Eurostat EB flows IEA'!AX31</f>
        <v>0</v>
      </c>
      <c r="AE31">
        <f>'Eurostat EB flows IEA'!AY31</f>
        <v>0</v>
      </c>
      <c r="AF31">
        <f>'Eurostat EB flows IEA'!AZ31</f>
        <v>0</v>
      </c>
      <c r="AG31">
        <f>'Eurostat EB flows IEA'!BA31</f>
        <v>0</v>
      </c>
      <c r="AH31">
        <f>'Eurostat EB flows IEA'!BB31</f>
        <v>0</v>
      </c>
      <c r="AI31">
        <f>'Eurostat EB flows IEA'!BC31</f>
        <v>0</v>
      </c>
      <c r="AJ31">
        <f>'Eurostat EB flows IEA'!BD31</f>
        <v>0</v>
      </c>
      <c r="AK31">
        <f>'Eurostat EB flows IEA'!BE31</f>
        <v>0</v>
      </c>
      <c r="AL31">
        <f>'Eurostat EB flows IEA'!BF31</f>
        <v>0</v>
      </c>
      <c r="AM31">
        <f>'Eurostat EB flows IEA'!BG31</f>
        <v>0</v>
      </c>
      <c r="AN31">
        <f>'Eurostat EB flows IEA'!BH31</f>
        <v>0</v>
      </c>
      <c r="AO31">
        <f>'Eurostat EB flows IEA'!BI31</f>
        <v>0</v>
      </c>
      <c r="AP31">
        <f>'Eurostat EB flows IEA'!BJ31</f>
        <v>0</v>
      </c>
      <c r="AQ31">
        <f>'Eurostat EB flows IEA'!BK31</f>
        <v>0</v>
      </c>
      <c r="AR31">
        <f>'Eurostat EB flows IEA'!BL31</f>
        <v>0</v>
      </c>
      <c r="AS31">
        <f>'Eurostat EB flows IEA'!BM31</f>
        <v>0</v>
      </c>
      <c r="AT31">
        <f>'Eurostat EB flows IEA'!BN31</f>
        <v>0</v>
      </c>
      <c r="AU31">
        <f>'Eurostat EB flows IEA'!BO31</f>
        <v>-9718.2240000000002</v>
      </c>
      <c r="AV31">
        <f>'Eurostat EB flows IEA'!BP31</f>
        <v>0</v>
      </c>
      <c r="AW31">
        <f>'Eurostat EB flows IEA'!BQ31</f>
        <v>0</v>
      </c>
      <c r="AX31">
        <f>'Eurostat EB flows IEA'!BR31</f>
        <v>0</v>
      </c>
      <c r="AY31">
        <f>'Eurostat EB flows IEA'!BS31</f>
        <v>0</v>
      </c>
      <c r="AZ31">
        <f>'Eurostat EB flows IEA'!BT31</f>
        <v>0</v>
      </c>
      <c r="BA31">
        <f>'Eurostat EB flows IEA'!BU31</f>
        <v>0</v>
      </c>
      <c r="BB31">
        <f>'Eurostat EB flows IEA'!BV31</f>
        <v>0</v>
      </c>
      <c r="BC31">
        <f>'Eurostat EB flows IEA'!BW31</f>
        <v>0</v>
      </c>
      <c r="BD31">
        <f>'Eurostat EB flows IEA'!BX31</f>
        <v>0</v>
      </c>
      <c r="BE31">
        <f>'Eurostat EB flows IEA'!BY31</f>
        <v>0</v>
      </c>
      <c r="BF31">
        <f>'Eurostat EB flows IEA'!BZ31</f>
        <v>0</v>
      </c>
      <c r="BG31">
        <f>'Eurostat EB flows IEA'!CA31</f>
        <v>0</v>
      </c>
      <c r="BH31">
        <f>'Eurostat EB flows IEA'!CB31</f>
        <v>0</v>
      </c>
      <c r="BI31">
        <f>'Eurostat EB flows IEA'!CC31</f>
        <v>0</v>
      </c>
      <c r="BJ31">
        <f>'Eurostat EB flows IEA'!CD31</f>
        <v>0</v>
      </c>
      <c r="BK31">
        <f>'Eurostat EB flows IEA'!CE31</f>
        <v>0</v>
      </c>
      <c r="BL31">
        <f>'Eurostat EB flows IEA'!CF31</f>
        <v>0</v>
      </c>
      <c r="BM31">
        <f>'Eurostat EB flows IEA'!CG31</f>
        <v>1.0829999999987194</v>
      </c>
      <c r="BN31">
        <f>'Eurostat EB flows IEA'!CH31</f>
        <v>-9602.1360000000004</v>
      </c>
    </row>
    <row r="32" spans="1:66" x14ac:dyDescent="0.2">
      <c r="A32" t="s">
        <v>92</v>
      </c>
      <c r="B32" t="str">
        <f>'Eurostat EB flows IEA'!V32</f>
        <v>x</v>
      </c>
      <c r="C32" t="str">
        <f>'Eurostat EB flows IEA'!W32</f>
        <v>x</v>
      </c>
      <c r="D32">
        <f>'Eurostat EB flows IEA'!X32</f>
        <v>0</v>
      </c>
      <c r="E32">
        <f>'Eurostat EB flows IEA'!Y32</f>
        <v>0</v>
      </c>
      <c r="F32">
        <f>'Eurostat EB flows IEA'!Z32</f>
        <v>0</v>
      </c>
      <c r="G32">
        <f>'Eurostat EB flows IEA'!AA32</f>
        <v>0</v>
      </c>
      <c r="H32">
        <f>'Eurostat EB flows IEA'!AB32</f>
        <v>0</v>
      </c>
      <c r="I32">
        <f>'Eurostat EB flows IEA'!AC32</f>
        <v>0</v>
      </c>
      <c r="J32">
        <f>'Eurostat EB flows IEA'!AD32</f>
        <v>0</v>
      </c>
      <c r="K32">
        <f>'Eurostat EB flows IEA'!AE32</f>
        <v>0</v>
      </c>
      <c r="L32">
        <f>'Eurostat EB flows IEA'!AF32</f>
        <v>0</v>
      </c>
      <c r="M32">
        <f>'Eurostat EB flows IEA'!AG32</f>
        <v>0</v>
      </c>
      <c r="N32">
        <f>'Eurostat EB flows IEA'!AH32</f>
        <v>0</v>
      </c>
      <c r="O32">
        <f>'Eurostat EB flows IEA'!AI32</f>
        <v>0</v>
      </c>
      <c r="P32">
        <f>'Eurostat EB flows IEA'!AJ32</f>
        <v>0</v>
      </c>
      <c r="Q32">
        <f>'Eurostat EB flows IEA'!AK32</f>
        <v>0</v>
      </c>
      <c r="R32">
        <f>'Eurostat EB flows IEA'!AL32</f>
        <v>0</v>
      </c>
      <c r="S32">
        <f>'Eurostat EB flows IEA'!AM32</f>
        <v>0</v>
      </c>
      <c r="T32" t="str">
        <f>'Eurostat EB flows IEA'!AN32</f>
        <v>x</v>
      </c>
      <c r="U32">
        <f>'Eurostat EB flows IEA'!AO32</f>
        <v>0</v>
      </c>
      <c r="V32">
        <f>'Eurostat EB flows IEA'!AP32</f>
        <v>0</v>
      </c>
      <c r="W32">
        <f>'Eurostat EB flows IEA'!AQ32</f>
        <v>0</v>
      </c>
      <c r="X32">
        <f>'Eurostat EB flows IEA'!AR32</f>
        <v>0</v>
      </c>
      <c r="Y32">
        <f>'Eurostat EB flows IEA'!AS32</f>
        <v>0</v>
      </c>
      <c r="Z32">
        <f>'Eurostat EB flows IEA'!AT32</f>
        <v>0</v>
      </c>
      <c r="AA32">
        <f>'Eurostat EB flows IEA'!AU32</f>
        <v>0</v>
      </c>
      <c r="AB32">
        <f>'Eurostat EB flows IEA'!AV32</f>
        <v>0</v>
      </c>
      <c r="AC32">
        <f>'Eurostat EB flows IEA'!AW32</f>
        <v>0</v>
      </c>
      <c r="AD32">
        <f>'Eurostat EB flows IEA'!AX32</f>
        <v>0</v>
      </c>
      <c r="AE32">
        <f>'Eurostat EB flows IEA'!AY32</f>
        <v>0</v>
      </c>
      <c r="AF32">
        <f>'Eurostat EB flows IEA'!AZ32</f>
        <v>0</v>
      </c>
      <c r="AG32">
        <f>'Eurostat EB flows IEA'!BA32</f>
        <v>0</v>
      </c>
      <c r="AH32">
        <f>'Eurostat EB flows IEA'!BB32</f>
        <v>0</v>
      </c>
      <c r="AI32">
        <f>'Eurostat EB flows IEA'!BC32</f>
        <v>0</v>
      </c>
      <c r="AJ32">
        <f>'Eurostat EB flows IEA'!BD32</f>
        <v>0</v>
      </c>
      <c r="AK32">
        <f>'Eurostat EB flows IEA'!BE32</f>
        <v>0</v>
      </c>
      <c r="AL32">
        <f>'Eurostat EB flows IEA'!BF32</f>
        <v>0</v>
      </c>
      <c r="AM32">
        <f>'Eurostat EB flows IEA'!BG32</f>
        <v>0</v>
      </c>
      <c r="AN32">
        <f>'Eurostat EB flows IEA'!BH32</f>
        <v>0</v>
      </c>
      <c r="AO32">
        <f>'Eurostat EB flows IEA'!BI32</f>
        <v>0</v>
      </c>
      <c r="AP32">
        <f>'Eurostat EB flows IEA'!BJ32</f>
        <v>0</v>
      </c>
      <c r="AQ32">
        <f>'Eurostat EB flows IEA'!BK32</f>
        <v>0</v>
      </c>
      <c r="AR32">
        <f>'Eurostat EB flows IEA'!BL32</f>
        <v>0</v>
      </c>
      <c r="AS32">
        <f>'Eurostat EB flows IEA'!BM32</f>
        <v>0</v>
      </c>
      <c r="AT32">
        <f>'Eurostat EB flows IEA'!BN32</f>
        <v>0</v>
      </c>
      <c r="AU32">
        <f>'Eurostat EB flows IEA'!BO32</f>
        <v>0</v>
      </c>
      <c r="AV32">
        <f>'Eurostat EB flows IEA'!BP32</f>
        <v>0</v>
      </c>
      <c r="AW32">
        <f>'Eurostat EB flows IEA'!BQ32</f>
        <v>0</v>
      </c>
      <c r="AX32">
        <f>'Eurostat EB flows IEA'!BR32</f>
        <v>0</v>
      </c>
      <c r="AY32">
        <f>'Eurostat EB flows IEA'!BS32</f>
        <v>0</v>
      </c>
      <c r="AZ32">
        <f>'Eurostat EB flows IEA'!BT32</f>
        <v>0</v>
      </c>
      <c r="BA32">
        <f>'Eurostat EB flows IEA'!BU32</f>
        <v>0</v>
      </c>
      <c r="BB32">
        <f>'Eurostat EB flows IEA'!BV32</f>
        <v>0</v>
      </c>
      <c r="BC32">
        <f>'Eurostat EB flows IEA'!BW32</f>
        <v>0</v>
      </c>
      <c r="BD32">
        <f>'Eurostat EB flows IEA'!BX32</f>
        <v>0</v>
      </c>
      <c r="BE32">
        <f>'Eurostat EB flows IEA'!BY32</f>
        <v>0</v>
      </c>
      <c r="BF32">
        <f>'Eurostat EB flows IEA'!BZ32</f>
        <v>0</v>
      </c>
      <c r="BG32">
        <f>'Eurostat EB flows IEA'!CA32</f>
        <v>0</v>
      </c>
      <c r="BH32">
        <f>'Eurostat EB flows IEA'!CB32</f>
        <v>0</v>
      </c>
      <c r="BI32">
        <f>'Eurostat EB flows IEA'!CC32</f>
        <v>0</v>
      </c>
      <c r="BJ32">
        <f>'Eurostat EB flows IEA'!CD32</f>
        <v>0</v>
      </c>
      <c r="BK32">
        <f>'Eurostat EB flows IEA'!CE32</f>
        <v>0</v>
      </c>
      <c r="BL32">
        <f>'Eurostat EB flows IEA'!CF32</f>
        <v>0</v>
      </c>
      <c r="BM32">
        <f>'Eurostat EB flows IEA'!CG32</f>
        <v>0</v>
      </c>
      <c r="BN32">
        <f>'Eurostat EB flows IEA'!CH32</f>
        <v>0</v>
      </c>
    </row>
    <row r="33" spans="1:66" x14ac:dyDescent="0.2">
      <c r="A33" t="s">
        <v>161</v>
      </c>
      <c r="B33" t="str">
        <f>'Eurostat EB flows IEA'!V33</f>
        <v>x</v>
      </c>
      <c r="C33" t="str">
        <f>'Eurostat EB flows IEA'!W33</f>
        <v>x</v>
      </c>
      <c r="D33">
        <f>'Eurostat EB flows IEA'!X33</f>
        <v>0</v>
      </c>
      <c r="E33">
        <f>'Eurostat EB flows IEA'!Y33</f>
        <v>0</v>
      </c>
      <c r="F33">
        <f>'Eurostat EB flows IEA'!Z33</f>
        <v>0</v>
      </c>
      <c r="G33">
        <f>'Eurostat EB flows IEA'!AA33</f>
        <v>0</v>
      </c>
      <c r="H33">
        <f>'Eurostat EB flows IEA'!AB33</f>
        <v>0</v>
      </c>
      <c r="I33">
        <f>'Eurostat EB flows IEA'!AC33</f>
        <v>0</v>
      </c>
      <c r="J33">
        <f>'Eurostat EB flows IEA'!AD33</f>
        <v>0</v>
      </c>
      <c r="K33">
        <f>'Eurostat EB flows IEA'!AE33</f>
        <v>0</v>
      </c>
      <c r="L33">
        <f>'Eurostat EB flows IEA'!AF33</f>
        <v>0</v>
      </c>
      <c r="M33">
        <f>'Eurostat EB flows IEA'!AG33</f>
        <v>0</v>
      </c>
      <c r="N33">
        <f>'Eurostat EB flows IEA'!AH33</f>
        <v>0</v>
      </c>
      <c r="O33">
        <f>'Eurostat EB flows IEA'!AI33</f>
        <v>0</v>
      </c>
      <c r="P33">
        <f>'Eurostat EB flows IEA'!AJ33</f>
        <v>0</v>
      </c>
      <c r="Q33">
        <f>'Eurostat EB flows IEA'!AK33</f>
        <v>0</v>
      </c>
      <c r="R33">
        <f>'Eurostat EB flows IEA'!AL33</f>
        <v>0</v>
      </c>
      <c r="S33">
        <f>'Eurostat EB flows IEA'!AM33</f>
        <v>0</v>
      </c>
      <c r="T33" t="str">
        <f>'Eurostat EB flows IEA'!AN33</f>
        <v>x</v>
      </c>
      <c r="U33">
        <f>'Eurostat EB flows IEA'!AO33</f>
        <v>0</v>
      </c>
      <c r="V33">
        <f>'Eurostat EB flows IEA'!AP33</f>
        <v>0</v>
      </c>
      <c r="W33">
        <f>'Eurostat EB flows IEA'!AQ33</f>
        <v>0</v>
      </c>
      <c r="X33">
        <f>'Eurostat EB flows IEA'!AR33</f>
        <v>0</v>
      </c>
      <c r="Y33">
        <f>'Eurostat EB flows IEA'!AS33</f>
        <v>0</v>
      </c>
      <c r="Z33">
        <f>'Eurostat EB flows IEA'!AT33</f>
        <v>0</v>
      </c>
      <c r="AA33">
        <f>'Eurostat EB flows IEA'!AU33</f>
        <v>0</v>
      </c>
      <c r="AB33">
        <f>'Eurostat EB flows IEA'!AV33</f>
        <v>0</v>
      </c>
      <c r="AC33">
        <f>'Eurostat EB flows IEA'!AW33</f>
        <v>0</v>
      </c>
      <c r="AD33">
        <f>'Eurostat EB flows IEA'!AX33</f>
        <v>0</v>
      </c>
      <c r="AE33">
        <f>'Eurostat EB flows IEA'!AY33</f>
        <v>0</v>
      </c>
      <c r="AF33">
        <f>'Eurostat EB flows IEA'!AZ33</f>
        <v>0</v>
      </c>
      <c r="AG33">
        <f>'Eurostat EB flows IEA'!BA33</f>
        <v>0</v>
      </c>
      <c r="AH33">
        <f>'Eurostat EB flows IEA'!BB33</f>
        <v>0</v>
      </c>
      <c r="AI33">
        <f>'Eurostat EB flows IEA'!BC33</f>
        <v>0</v>
      </c>
      <c r="AJ33">
        <f>'Eurostat EB flows IEA'!BD33</f>
        <v>0</v>
      </c>
      <c r="AK33">
        <f>'Eurostat EB flows IEA'!BE33</f>
        <v>0</v>
      </c>
      <c r="AL33">
        <f>'Eurostat EB flows IEA'!BF33</f>
        <v>0</v>
      </c>
      <c r="AM33">
        <f>'Eurostat EB flows IEA'!BG33</f>
        <v>0</v>
      </c>
      <c r="AN33">
        <f>'Eurostat EB flows IEA'!BH33</f>
        <v>0</v>
      </c>
      <c r="AO33">
        <f>'Eurostat EB flows IEA'!BI33</f>
        <v>0</v>
      </c>
      <c r="AP33">
        <f>'Eurostat EB flows IEA'!BJ33</f>
        <v>0</v>
      </c>
      <c r="AQ33">
        <f>'Eurostat EB flows IEA'!BK33</f>
        <v>0</v>
      </c>
      <c r="AR33">
        <f>'Eurostat EB flows IEA'!BL33</f>
        <v>0</v>
      </c>
      <c r="AS33">
        <f>'Eurostat EB flows IEA'!BM33</f>
        <v>0</v>
      </c>
      <c r="AT33">
        <f>'Eurostat EB flows IEA'!BN33</f>
        <v>0</v>
      </c>
      <c r="AU33">
        <f>'Eurostat EB flows IEA'!BO33</f>
        <v>0</v>
      </c>
      <c r="AV33">
        <f>'Eurostat EB flows IEA'!BP33</f>
        <v>0</v>
      </c>
      <c r="AW33">
        <f>'Eurostat EB flows IEA'!BQ33</f>
        <v>0</v>
      </c>
      <c r="AX33">
        <f>'Eurostat EB flows IEA'!BR33</f>
        <v>0</v>
      </c>
      <c r="AY33">
        <f>'Eurostat EB flows IEA'!BS33</f>
        <v>0</v>
      </c>
      <c r="AZ33">
        <f>'Eurostat EB flows IEA'!BT33</f>
        <v>0</v>
      </c>
      <c r="BA33">
        <f>'Eurostat EB flows IEA'!BU33</f>
        <v>0</v>
      </c>
      <c r="BB33">
        <f>'Eurostat EB flows IEA'!BV33</f>
        <v>0</v>
      </c>
      <c r="BC33">
        <f>'Eurostat EB flows IEA'!BW33</f>
        <v>0</v>
      </c>
      <c r="BD33">
        <f>'Eurostat EB flows IEA'!BX33</f>
        <v>0</v>
      </c>
      <c r="BE33">
        <f>'Eurostat EB flows IEA'!BY33</f>
        <v>0</v>
      </c>
      <c r="BF33">
        <f>'Eurostat EB flows IEA'!BZ33</f>
        <v>0</v>
      </c>
      <c r="BG33">
        <f>'Eurostat EB flows IEA'!CA33</f>
        <v>0</v>
      </c>
      <c r="BH33">
        <f>'Eurostat EB flows IEA'!CB33</f>
        <v>0</v>
      </c>
      <c r="BI33">
        <f>'Eurostat EB flows IEA'!CC33</f>
        <v>0</v>
      </c>
      <c r="BJ33">
        <f>'Eurostat EB flows IEA'!CD33</f>
        <v>0</v>
      </c>
      <c r="BK33">
        <f>'Eurostat EB flows IEA'!CE33</f>
        <v>0</v>
      </c>
      <c r="BL33">
        <f>'Eurostat EB flows IEA'!CF33</f>
        <v>0</v>
      </c>
      <c r="BM33">
        <f>'Eurostat EB flows IEA'!CG33</f>
        <v>0</v>
      </c>
      <c r="BN33">
        <f>'Eurostat EB flows IEA'!CH33</f>
        <v>0</v>
      </c>
    </row>
    <row r="34" spans="1:66" x14ac:dyDescent="0.2">
      <c r="A34" t="s">
        <v>162</v>
      </c>
      <c r="B34" t="str">
        <f>'Eurostat EB flows IEA'!V34</f>
        <v>x</v>
      </c>
      <c r="C34" t="str">
        <f>'Eurostat EB flows IEA'!W34</f>
        <v>x</v>
      </c>
      <c r="D34">
        <f>'Eurostat EB flows IEA'!X34</f>
        <v>0</v>
      </c>
      <c r="E34">
        <f>'Eurostat EB flows IEA'!Y34</f>
        <v>0</v>
      </c>
      <c r="F34">
        <f>'Eurostat EB flows IEA'!Z34</f>
        <v>0</v>
      </c>
      <c r="G34">
        <f>'Eurostat EB flows IEA'!AA34</f>
        <v>0</v>
      </c>
      <c r="H34">
        <f>'Eurostat EB flows IEA'!AB34</f>
        <v>0</v>
      </c>
      <c r="I34">
        <f>'Eurostat EB flows IEA'!AC34</f>
        <v>0</v>
      </c>
      <c r="J34">
        <f>'Eurostat EB flows IEA'!AD34</f>
        <v>0</v>
      </c>
      <c r="K34">
        <f>'Eurostat EB flows IEA'!AE34</f>
        <v>0</v>
      </c>
      <c r="L34">
        <f>'Eurostat EB flows IEA'!AF34</f>
        <v>0</v>
      </c>
      <c r="M34">
        <f>'Eurostat EB flows IEA'!AG34</f>
        <v>0</v>
      </c>
      <c r="N34">
        <f>'Eurostat EB flows IEA'!AH34</f>
        <v>0</v>
      </c>
      <c r="O34">
        <f>'Eurostat EB flows IEA'!AI34</f>
        <v>-7194.2259999999997</v>
      </c>
      <c r="P34">
        <f>'Eurostat EB flows IEA'!AJ34</f>
        <v>-5597.1120000000001</v>
      </c>
      <c r="Q34">
        <f>'Eurostat EB flows IEA'!AK34</f>
        <v>0</v>
      </c>
      <c r="R34">
        <f>'Eurostat EB flows IEA'!AL34</f>
        <v>0</v>
      </c>
      <c r="S34">
        <f>'Eurostat EB flows IEA'!AM34</f>
        <v>-32451.208999999999</v>
      </c>
      <c r="T34" t="str">
        <f>'Eurostat EB flows IEA'!AN34</f>
        <v>x</v>
      </c>
      <c r="U34">
        <f>'Eurostat EB flows IEA'!AO34</f>
        <v>0</v>
      </c>
      <c r="V34">
        <f>'Eurostat EB flows IEA'!AP34</f>
        <v>0</v>
      </c>
      <c r="W34">
        <f>'Eurostat EB flows IEA'!AQ34</f>
        <v>0</v>
      </c>
      <c r="X34">
        <f>'Eurostat EB flows IEA'!AR34</f>
        <v>0</v>
      </c>
      <c r="Y34">
        <f>'Eurostat EB flows IEA'!AS34</f>
        <v>0</v>
      </c>
      <c r="Z34">
        <f>'Eurostat EB flows IEA'!AT34</f>
        <v>-89172.464000000007</v>
      </c>
      <c r="AA34">
        <f>'Eurostat EB flows IEA'!AU34</f>
        <v>0</v>
      </c>
      <c r="AB34">
        <f>'Eurostat EB flows IEA'!AV34</f>
        <v>-4181.308</v>
      </c>
      <c r="AC34">
        <f>'Eurostat EB flows IEA'!AW34</f>
        <v>0</v>
      </c>
      <c r="AD34">
        <f>'Eurostat EB flows IEA'!AX34</f>
        <v>0</v>
      </c>
      <c r="AE34">
        <f>'Eurostat EB flows IEA'!AY34</f>
        <v>0</v>
      </c>
      <c r="AF34">
        <f>'Eurostat EB flows IEA'!AZ34</f>
        <v>0</v>
      </c>
      <c r="AG34">
        <f>'Eurostat EB flows IEA'!BA34</f>
        <v>0</v>
      </c>
      <c r="AH34">
        <f>'Eurostat EB flows IEA'!BB34</f>
        <v>-8.1969999999999992</v>
      </c>
      <c r="AI34">
        <f>'Eurostat EB flows IEA'!BC34</f>
        <v>0</v>
      </c>
      <c r="AJ34">
        <f>'Eurostat EB flows IEA'!BD34</f>
        <v>0</v>
      </c>
      <c r="AK34">
        <f>'Eurostat EB flows IEA'!BE34</f>
        <v>0</v>
      </c>
      <c r="AL34">
        <f>'Eurostat EB flows IEA'!BF34</f>
        <v>0</v>
      </c>
      <c r="AM34">
        <f>'Eurostat EB flows IEA'!BG34</f>
        <v>0</v>
      </c>
      <c r="AN34">
        <f>'Eurostat EB flows IEA'!BH34</f>
        <v>0</v>
      </c>
      <c r="AO34">
        <f>'Eurostat EB flows IEA'!BI34</f>
        <v>-10670.291999999999</v>
      </c>
      <c r="AP34">
        <f>'Eurostat EB flows IEA'!BJ34</f>
        <v>0</v>
      </c>
      <c r="AQ34">
        <f>'Eurostat EB flows IEA'!BK34</f>
        <v>0</v>
      </c>
      <c r="AR34">
        <f>'Eurostat EB flows IEA'!BL34</f>
        <v>0</v>
      </c>
      <c r="AS34">
        <f>'Eurostat EB flows IEA'!BM34</f>
        <v>0</v>
      </c>
      <c r="AT34">
        <f>'Eurostat EB flows IEA'!BN34</f>
        <v>0</v>
      </c>
      <c r="AU34">
        <f>'Eurostat EB flows IEA'!BO34</f>
        <v>0</v>
      </c>
      <c r="AV34">
        <f>'Eurostat EB flows IEA'!BP34</f>
        <v>0</v>
      </c>
      <c r="AW34">
        <f>'Eurostat EB flows IEA'!BQ34</f>
        <v>0</v>
      </c>
      <c r="AX34">
        <f>'Eurostat EB flows IEA'!BR34</f>
        <v>0</v>
      </c>
      <c r="AY34">
        <f>'Eurostat EB flows IEA'!BS34</f>
        <v>0</v>
      </c>
      <c r="AZ34">
        <f>'Eurostat EB flows IEA'!BT34</f>
        <v>0</v>
      </c>
      <c r="BA34">
        <f>'Eurostat EB flows IEA'!BU34</f>
        <v>0</v>
      </c>
      <c r="BB34">
        <f>'Eurostat EB flows IEA'!BV34</f>
        <v>0</v>
      </c>
      <c r="BC34">
        <f>'Eurostat EB flows IEA'!BW34</f>
        <v>0</v>
      </c>
      <c r="BD34">
        <f>'Eurostat EB flows IEA'!BX34</f>
        <v>0</v>
      </c>
      <c r="BE34">
        <f>'Eurostat EB flows IEA'!BY34</f>
        <v>0</v>
      </c>
      <c r="BF34">
        <f>'Eurostat EB flows IEA'!BZ34</f>
        <v>0</v>
      </c>
      <c r="BG34">
        <f>'Eurostat EB flows IEA'!CA34</f>
        <v>0</v>
      </c>
      <c r="BH34">
        <f>'Eurostat EB flows IEA'!CB34</f>
        <v>0</v>
      </c>
      <c r="BI34">
        <f>'Eurostat EB flows IEA'!CC34</f>
        <v>0</v>
      </c>
      <c r="BJ34">
        <f>'Eurostat EB flows IEA'!CD34</f>
        <v>0</v>
      </c>
      <c r="BK34">
        <f>'Eurostat EB flows IEA'!CE34</f>
        <v>-30941.248</v>
      </c>
      <c r="BL34">
        <f>'Eurostat EB flows IEA'!CF34</f>
        <v>-11311.2</v>
      </c>
      <c r="BM34">
        <f>'Eurostat EB flows IEA'!CG34</f>
        <v>-191527.25599999999</v>
      </c>
      <c r="BN34">
        <f>'Eurostat EB flows IEA'!CH34</f>
        <v>-4875.3059999999996</v>
      </c>
    </row>
    <row r="35" spans="1:66" x14ac:dyDescent="0.2">
      <c r="A35" t="s">
        <v>95</v>
      </c>
      <c r="B35" t="str">
        <f>'Eurostat EB flows IEA'!V35</f>
        <v>x</v>
      </c>
      <c r="C35" t="str">
        <f>'Eurostat EB flows IEA'!W35</f>
        <v>x</v>
      </c>
      <c r="D35">
        <f>'Eurostat EB flows IEA'!X35</f>
        <v>0</v>
      </c>
      <c r="E35">
        <f>'Eurostat EB flows IEA'!Y35</f>
        <v>0</v>
      </c>
      <c r="F35">
        <f>'Eurostat EB flows IEA'!Z35</f>
        <v>0</v>
      </c>
      <c r="G35">
        <f>'Eurostat EB flows IEA'!AA35</f>
        <v>0</v>
      </c>
      <c r="H35">
        <f>'Eurostat EB flows IEA'!AB35</f>
        <v>0</v>
      </c>
      <c r="I35">
        <f>'Eurostat EB flows IEA'!AC35</f>
        <v>0</v>
      </c>
      <c r="J35">
        <f>'Eurostat EB flows IEA'!AD35</f>
        <v>0</v>
      </c>
      <c r="K35">
        <f>'Eurostat EB flows IEA'!AE35</f>
        <v>0</v>
      </c>
      <c r="L35">
        <f>'Eurostat EB flows IEA'!AF35</f>
        <v>0</v>
      </c>
      <c r="M35">
        <f>'Eurostat EB flows IEA'!AG35</f>
        <v>0</v>
      </c>
      <c r="N35">
        <f>'Eurostat EB flows IEA'!AH35</f>
        <v>0</v>
      </c>
      <c r="O35">
        <f>'Eurostat EB flows IEA'!AI35</f>
        <v>0</v>
      </c>
      <c r="P35">
        <f>'Eurostat EB flows IEA'!AJ35</f>
        <v>0</v>
      </c>
      <c r="Q35">
        <f>'Eurostat EB flows IEA'!AK35</f>
        <v>0</v>
      </c>
      <c r="R35">
        <f>'Eurostat EB flows IEA'!AL35</f>
        <v>0</v>
      </c>
      <c r="S35">
        <f>'Eurostat EB flows IEA'!AM35</f>
        <v>0</v>
      </c>
      <c r="T35" t="str">
        <f>'Eurostat EB flows IEA'!AN35</f>
        <v>x</v>
      </c>
      <c r="U35">
        <f>'Eurostat EB flows IEA'!AO35</f>
        <v>0</v>
      </c>
      <c r="V35">
        <f>'Eurostat EB flows IEA'!AP35</f>
        <v>0</v>
      </c>
      <c r="W35">
        <f>'Eurostat EB flows IEA'!AQ35</f>
        <v>0</v>
      </c>
      <c r="X35">
        <f>'Eurostat EB flows IEA'!AR35</f>
        <v>0</v>
      </c>
      <c r="Y35">
        <f>'Eurostat EB flows IEA'!AS35</f>
        <v>0</v>
      </c>
      <c r="Z35">
        <f>'Eurostat EB flows IEA'!AT35</f>
        <v>0</v>
      </c>
      <c r="AA35">
        <f>'Eurostat EB flows IEA'!AU35</f>
        <v>0</v>
      </c>
      <c r="AB35">
        <f>'Eurostat EB flows IEA'!AV35</f>
        <v>0</v>
      </c>
      <c r="AC35">
        <f>'Eurostat EB flows IEA'!AW35</f>
        <v>0</v>
      </c>
      <c r="AD35">
        <f>'Eurostat EB flows IEA'!AX35</f>
        <v>0</v>
      </c>
      <c r="AE35">
        <f>'Eurostat EB flows IEA'!AY35</f>
        <v>0</v>
      </c>
      <c r="AF35">
        <f>'Eurostat EB flows IEA'!AZ35</f>
        <v>0</v>
      </c>
      <c r="AG35">
        <f>'Eurostat EB flows IEA'!BA35</f>
        <v>0</v>
      </c>
      <c r="AH35">
        <f>'Eurostat EB flows IEA'!BB35</f>
        <v>0</v>
      </c>
      <c r="AI35">
        <f>'Eurostat EB flows IEA'!BC35</f>
        <v>0</v>
      </c>
      <c r="AJ35">
        <f>'Eurostat EB flows IEA'!BD35</f>
        <v>0</v>
      </c>
      <c r="AK35">
        <f>'Eurostat EB flows IEA'!BE35</f>
        <v>0</v>
      </c>
      <c r="AL35">
        <f>'Eurostat EB flows IEA'!BF35</f>
        <v>0</v>
      </c>
      <c r="AM35">
        <f>'Eurostat EB flows IEA'!BG35</f>
        <v>0</v>
      </c>
      <c r="AN35">
        <f>'Eurostat EB flows IEA'!BH35</f>
        <v>0</v>
      </c>
      <c r="AO35">
        <f>'Eurostat EB flows IEA'!BI35</f>
        <v>0</v>
      </c>
      <c r="AP35">
        <f>'Eurostat EB flows IEA'!BJ35</f>
        <v>0</v>
      </c>
      <c r="AQ35">
        <f>'Eurostat EB flows IEA'!BK35</f>
        <v>0</v>
      </c>
      <c r="AR35">
        <f>'Eurostat EB flows IEA'!BL35</f>
        <v>0</v>
      </c>
      <c r="AS35">
        <f>'Eurostat EB flows IEA'!BM35</f>
        <v>0</v>
      </c>
      <c r="AT35">
        <f>'Eurostat EB flows IEA'!BN35</f>
        <v>0</v>
      </c>
      <c r="AU35">
        <f>'Eurostat EB flows IEA'!BO35</f>
        <v>0</v>
      </c>
      <c r="AV35">
        <f>'Eurostat EB flows IEA'!BP35</f>
        <v>0</v>
      </c>
      <c r="AW35">
        <f>'Eurostat EB flows IEA'!BQ35</f>
        <v>0</v>
      </c>
      <c r="AX35">
        <f>'Eurostat EB flows IEA'!BR35</f>
        <v>0</v>
      </c>
      <c r="AY35">
        <f>'Eurostat EB flows IEA'!BS35</f>
        <v>0</v>
      </c>
      <c r="AZ35">
        <f>'Eurostat EB flows IEA'!BT35</f>
        <v>0</v>
      </c>
      <c r="BA35">
        <f>'Eurostat EB flows IEA'!BU35</f>
        <v>0</v>
      </c>
      <c r="BB35">
        <f>'Eurostat EB flows IEA'!BV35</f>
        <v>0</v>
      </c>
      <c r="BC35">
        <f>'Eurostat EB flows IEA'!BW35</f>
        <v>0</v>
      </c>
      <c r="BD35">
        <f>'Eurostat EB flows IEA'!BX35</f>
        <v>0</v>
      </c>
      <c r="BE35">
        <f>'Eurostat EB flows IEA'!BY35</f>
        <v>0</v>
      </c>
      <c r="BF35">
        <f>'Eurostat EB flows IEA'!BZ35</f>
        <v>0</v>
      </c>
      <c r="BG35">
        <f>'Eurostat EB flows IEA'!CA35</f>
        <v>0</v>
      </c>
      <c r="BH35">
        <f>'Eurostat EB flows IEA'!CB35</f>
        <v>0</v>
      </c>
      <c r="BI35">
        <f>'Eurostat EB flows IEA'!CC35</f>
        <v>0</v>
      </c>
      <c r="BJ35">
        <f>'Eurostat EB flows IEA'!CD35</f>
        <v>0</v>
      </c>
      <c r="BK35">
        <f>'Eurostat EB flows IEA'!CE35</f>
        <v>0</v>
      </c>
      <c r="BL35">
        <f>'Eurostat EB flows IEA'!CF35</f>
        <v>0</v>
      </c>
      <c r="BM35">
        <f>'Eurostat EB flows IEA'!CG35</f>
        <v>0</v>
      </c>
      <c r="BN35">
        <f>'Eurostat EB flows IEA'!CH35</f>
        <v>0</v>
      </c>
    </row>
    <row r="36" spans="1:66" x14ac:dyDescent="0.2">
      <c r="A36" t="s">
        <v>163</v>
      </c>
      <c r="B36" t="str">
        <f>'Eurostat EB flows IEA'!V36</f>
        <v>x</v>
      </c>
      <c r="C36" t="str">
        <f>'Eurostat EB flows IEA'!W36</f>
        <v>x</v>
      </c>
      <c r="D36">
        <f>'Eurostat EB flows IEA'!X36</f>
        <v>0</v>
      </c>
      <c r="E36">
        <f>'Eurostat EB flows IEA'!Y36</f>
        <v>0</v>
      </c>
      <c r="F36">
        <f>'Eurostat EB flows IEA'!Z36</f>
        <v>0</v>
      </c>
      <c r="G36">
        <f>'Eurostat EB flows IEA'!AA36</f>
        <v>0</v>
      </c>
      <c r="H36">
        <f>'Eurostat EB flows IEA'!AB36</f>
        <v>0</v>
      </c>
      <c r="I36">
        <f>'Eurostat EB flows IEA'!AC36</f>
        <v>0</v>
      </c>
      <c r="J36">
        <f>'Eurostat EB flows IEA'!AD36</f>
        <v>0</v>
      </c>
      <c r="K36">
        <f>'Eurostat EB flows IEA'!AE36</f>
        <v>0</v>
      </c>
      <c r="L36">
        <f>'Eurostat EB flows IEA'!AF36</f>
        <v>0</v>
      </c>
      <c r="M36">
        <f>'Eurostat EB flows IEA'!AG36</f>
        <v>0</v>
      </c>
      <c r="N36">
        <f>'Eurostat EB flows IEA'!AH36</f>
        <v>0</v>
      </c>
      <c r="O36">
        <f>'Eurostat EB flows IEA'!AI36</f>
        <v>0</v>
      </c>
      <c r="P36">
        <f>'Eurostat EB flows IEA'!AJ36</f>
        <v>0</v>
      </c>
      <c r="Q36">
        <f>'Eurostat EB flows IEA'!AK36</f>
        <v>0</v>
      </c>
      <c r="R36">
        <f>'Eurostat EB flows IEA'!AL36</f>
        <v>0</v>
      </c>
      <c r="S36">
        <f>'Eurostat EB flows IEA'!AM36</f>
        <v>-14138.665999999999</v>
      </c>
      <c r="T36" t="str">
        <f>'Eurostat EB flows IEA'!AN36</f>
        <v>x</v>
      </c>
      <c r="U36">
        <f>'Eurostat EB flows IEA'!AO36</f>
        <v>0</v>
      </c>
      <c r="V36">
        <f>'Eurostat EB flows IEA'!AP36</f>
        <v>0</v>
      </c>
      <c r="W36">
        <f>'Eurostat EB flows IEA'!AQ36</f>
        <v>0</v>
      </c>
      <c r="X36">
        <f>'Eurostat EB flows IEA'!AR36</f>
        <v>0</v>
      </c>
      <c r="Y36">
        <f>'Eurostat EB flows IEA'!AS36</f>
        <v>0</v>
      </c>
      <c r="Z36">
        <f>'Eurostat EB flows IEA'!AT36</f>
        <v>0</v>
      </c>
      <c r="AA36">
        <f>'Eurostat EB flows IEA'!AU36</f>
        <v>0</v>
      </c>
      <c r="AB36">
        <f>'Eurostat EB flows IEA'!AV36</f>
        <v>0</v>
      </c>
      <c r="AC36">
        <f>'Eurostat EB flows IEA'!AW36</f>
        <v>0</v>
      </c>
      <c r="AD36">
        <f>'Eurostat EB flows IEA'!AX36</f>
        <v>0</v>
      </c>
      <c r="AE36">
        <f>'Eurostat EB flows IEA'!AY36</f>
        <v>0</v>
      </c>
      <c r="AF36">
        <f>'Eurostat EB flows IEA'!AZ36</f>
        <v>0</v>
      </c>
      <c r="AG36">
        <f>'Eurostat EB flows IEA'!BA36</f>
        <v>0</v>
      </c>
      <c r="AH36">
        <f>'Eurostat EB flows IEA'!BB36</f>
        <v>0</v>
      </c>
      <c r="AI36">
        <f>'Eurostat EB flows IEA'!BC36</f>
        <v>0</v>
      </c>
      <c r="AJ36">
        <f>'Eurostat EB flows IEA'!BD36</f>
        <v>0</v>
      </c>
      <c r="AK36">
        <f>'Eurostat EB flows IEA'!BE36</f>
        <v>0</v>
      </c>
      <c r="AL36">
        <f>'Eurostat EB flows IEA'!BF36</f>
        <v>0</v>
      </c>
      <c r="AM36">
        <f>'Eurostat EB flows IEA'!BG36</f>
        <v>0</v>
      </c>
      <c r="AN36">
        <f>'Eurostat EB flows IEA'!BH36</f>
        <v>0</v>
      </c>
      <c r="AO36">
        <f>'Eurostat EB flows IEA'!BI36</f>
        <v>0</v>
      </c>
      <c r="AP36">
        <f>'Eurostat EB flows IEA'!BJ36</f>
        <v>0</v>
      </c>
      <c r="AQ36">
        <f>'Eurostat EB flows IEA'!BK36</f>
        <v>0</v>
      </c>
      <c r="AR36">
        <f>'Eurostat EB flows IEA'!BL36</f>
        <v>0</v>
      </c>
      <c r="AS36">
        <f>'Eurostat EB flows IEA'!BM36</f>
        <v>0</v>
      </c>
      <c r="AT36">
        <f>'Eurostat EB flows IEA'!BN36</f>
        <v>0</v>
      </c>
      <c r="AU36">
        <f>'Eurostat EB flows IEA'!BO36</f>
        <v>0</v>
      </c>
      <c r="AV36">
        <f>'Eurostat EB flows IEA'!BP36</f>
        <v>0</v>
      </c>
      <c r="AW36">
        <f>'Eurostat EB flows IEA'!BQ36</f>
        <v>0</v>
      </c>
      <c r="AX36">
        <f>'Eurostat EB flows IEA'!BR36</f>
        <v>0</v>
      </c>
      <c r="AY36">
        <f>'Eurostat EB flows IEA'!BS36</f>
        <v>0</v>
      </c>
      <c r="AZ36">
        <f>'Eurostat EB flows IEA'!BT36</f>
        <v>0</v>
      </c>
      <c r="BA36">
        <f>'Eurostat EB flows IEA'!BU36</f>
        <v>0</v>
      </c>
      <c r="BB36">
        <f>'Eurostat EB flows IEA'!BV36</f>
        <v>0</v>
      </c>
      <c r="BC36">
        <f>'Eurostat EB flows IEA'!BW36</f>
        <v>0</v>
      </c>
      <c r="BD36">
        <f>'Eurostat EB flows IEA'!BX36</f>
        <v>0</v>
      </c>
      <c r="BE36">
        <f>'Eurostat EB flows IEA'!BY36</f>
        <v>0</v>
      </c>
      <c r="BF36">
        <f>'Eurostat EB flows IEA'!BZ36</f>
        <v>0</v>
      </c>
      <c r="BG36">
        <f>'Eurostat EB flows IEA'!CA36</f>
        <v>0</v>
      </c>
      <c r="BH36">
        <f>'Eurostat EB flows IEA'!CB36</f>
        <v>0</v>
      </c>
      <c r="BI36">
        <f>'Eurostat EB flows IEA'!CC36</f>
        <v>0</v>
      </c>
      <c r="BJ36">
        <f>'Eurostat EB flows IEA'!CD36</f>
        <v>0</v>
      </c>
      <c r="BK36">
        <f>'Eurostat EB flows IEA'!CE36</f>
        <v>-5381.9350000000004</v>
      </c>
      <c r="BL36">
        <f>'Eurostat EB flows IEA'!CF36</f>
        <v>0</v>
      </c>
      <c r="BM36">
        <f>'Eurostat EB flows IEA'!CG36</f>
        <v>-19520.600999999999</v>
      </c>
      <c r="BN36">
        <f>'Eurostat EB flows IEA'!CH36</f>
        <v>-503.11799999999999</v>
      </c>
    </row>
    <row r="37" spans="1:66" x14ac:dyDescent="0.2">
      <c r="A37" t="s">
        <v>87</v>
      </c>
      <c r="B37" t="str">
        <f>'Eurostat EB flows IEA'!V37</f>
        <v>x</v>
      </c>
      <c r="C37" t="str">
        <f>'Eurostat EB flows IEA'!W37</f>
        <v>x</v>
      </c>
      <c r="D37">
        <f>'Eurostat EB flows IEA'!X37</f>
        <v>0</v>
      </c>
      <c r="E37">
        <f>'Eurostat EB flows IEA'!Y37</f>
        <v>0</v>
      </c>
      <c r="F37">
        <f>'Eurostat EB flows IEA'!Z37</f>
        <v>0</v>
      </c>
      <c r="G37">
        <f>'Eurostat EB flows IEA'!AA37</f>
        <v>0</v>
      </c>
      <c r="H37">
        <f>'Eurostat EB flows IEA'!AB37</f>
        <v>0</v>
      </c>
      <c r="I37">
        <f>'Eurostat EB flows IEA'!AC37</f>
        <v>0</v>
      </c>
      <c r="J37">
        <f>'Eurostat EB flows IEA'!AD37</f>
        <v>0</v>
      </c>
      <c r="K37">
        <f>'Eurostat EB flows IEA'!AE37</f>
        <v>0</v>
      </c>
      <c r="L37">
        <f>'Eurostat EB flows IEA'!AF37</f>
        <v>0</v>
      </c>
      <c r="M37">
        <f>'Eurostat EB flows IEA'!AG37</f>
        <v>0</v>
      </c>
      <c r="N37">
        <f>'Eurostat EB flows IEA'!AH37</f>
        <v>0</v>
      </c>
      <c r="O37">
        <f>'Eurostat EB flows IEA'!AI37</f>
        <v>-426.66300000000001</v>
      </c>
      <c r="P37">
        <f>'Eurostat EB flows IEA'!AJ37</f>
        <v>-5437.3429999999998</v>
      </c>
      <c r="Q37">
        <f>'Eurostat EB flows IEA'!AK37</f>
        <v>0</v>
      </c>
      <c r="R37">
        <f>'Eurostat EB flows IEA'!AL37</f>
        <v>0</v>
      </c>
      <c r="S37">
        <f>'Eurostat EB flows IEA'!AM37</f>
        <v>-524.42700000000002</v>
      </c>
      <c r="T37" t="str">
        <f>'Eurostat EB flows IEA'!AN37</f>
        <v>x</v>
      </c>
      <c r="U37">
        <f>'Eurostat EB flows IEA'!AO37</f>
        <v>0</v>
      </c>
      <c r="V37">
        <f>'Eurostat EB flows IEA'!AP37</f>
        <v>0</v>
      </c>
      <c r="W37">
        <f>'Eurostat EB flows IEA'!AQ37</f>
        <v>0</v>
      </c>
      <c r="X37">
        <f>'Eurostat EB flows IEA'!AR37</f>
        <v>0</v>
      </c>
      <c r="Y37">
        <f>'Eurostat EB flows IEA'!AS37</f>
        <v>0</v>
      </c>
      <c r="Z37">
        <f>'Eurostat EB flows IEA'!AT37</f>
        <v>0</v>
      </c>
      <c r="AA37">
        <f>'Eurostat EB flows IEA'!AU37</f>
        <v>0</v>
      </c>
      <c r="AB37">
        <f>'Eurostat EB flows IEA'!AV37</f>
        <v>0</v>
      </c>
      <c r="AC37">
        <f>'Eurostat EB flows IEA'!AW37</f>
        <v>0</v>
      </c>
      <c r="AD37">
        <f>'Eurostat EB flows IEA'!AX37</f>
        <v>0</v>
      </c>
      <c r="AE37">
        <f>'Eurostat EB flows IEA'!AY37</f>
        <v>0</v>
      </c>
      <c r="AF37">
        <f>'Eurostat EB flows IEA'!AZ37</f>
        <v>0</v>
      </c>
      <c r="AG37">
        <f>'Eurostat EB flows IEA'!BA37</f>
        <v>0</v>
      </c>
      <c r="AH37">
        <f>'Eurostat EB flows IEA'!BB37</f>
        <v>0</v>
      </c>
      <c r="AI37">
        <f>'Eurostat EB flows IEA'!BC37</f>
        <v>0</v>
      </c>
      <c r="AJ37">
        <f>'Eurostat EB flows IEA'!BD37</f>
        <v>0</v>
      </c>
      <c r="AK37">
        <f>'Eurostat EB flows IEA'!BE37</f>
        <v>0</v>
      </c>
      <c r="AL37">
        <f>'Eurostat EB flows IEA'!BF37</f>
        <v>0</v>
      </c>
      <c r="AM37">
        <f>'Eurostat EB flows IEA'!BG37</f>
        <v>0</v>
      </c>
      <c r="AN37">
        <f>'Eurostat EB flows IEA'!BH37</f>
        <v>0</v>
      </c>
      <c r="AO37">
        <f>'Eurostat EB flows IEA'!BI37</f>
        <v>0</v>
      </c>
      <c r="AP37">
        <f>'Eurostat EB flows IEA'!BJ37</f>
        <v>0</v>
      </c>
      <c r="AQ37">
        <f>'Eurostat EB flows IEA'!BK37</f>
        <v>0</v>
      </c>
      <c r="AR37">
        <f>'Eurostat EB flows IEA'!BL37</f>
        <v>0</v>
      </c>
      <c r="AS37">
        <f>'Eurostat EB flows IEA'!BM37</f>
        <v>0</v>
      </c>
      <c r="AT37">
        <f>'Eurostat EB flows IEA'!BN37</f>
        <v>0</v>
      </c>
      <c r="AU37">
        <f>'Eurostat EB flows IEA'!BO37</f>
        <v>0</v>
      </c>
      <c r="AV37">
        <f>'Eurostat EB flows IEA'!BP37</f>
        <v>0</v>
      </c>
      <c r="AW37">
        <f>'Eurostat EB flows IEA'!BQ37</f>
        <v>0</v>
      </c>
      <c r="AX37">
        <f>'Eurostat EB flows IEA'!BR37</f>
        <v>0</v>
      </c>
      <c r="AY37">
        <f>'Eurostat EB flows IEA'!BS37</f>
        <v>0</v>
      </c>
      <c r="AZ37">
        <f>'Eurostat EB flows IEA'!BT37</f>
        <v>0</v>
      </c>
      <c r="BA37">
        <f>'Eurostat EB flows IEA'!BU37</f>
        <v>0</v>
      </c>
      <c r="BB37">
        <f>'Eurostat EB flows IEA'!BV37</f>
        <v>0</v>
      </c>
      <c r="BC37">
        <f>'Eurostat EB flows IEA'!BW37</f>
        <v>0</v>
      </c>
      <c r="BD37">
        <f>'Eurostat EB flows IEA'!BX37</f>
        <v>0</v>
      </c>
      <c r="BE37">
        <f>'Eurostat EB flows IEA'!BY37</f>
        <v>0</v>
      </c>
      <c r="BF37">
        <f>'Eurostat EB flows IEA'!BZ37</f>
        <v>0</v>
      </c>
      <c r="BG37">
        <f>'Eurostat EB flows IEA'!CA37</f>
        <v>0</v>
      </c>
      <c r="BH37">
        <f>'Eurostat EB flows IEA'!CB37</f>
        <v>0</v>
      </c>
      <c r="BI37">
        <f>'Eurostat EB flows IEA'!CC37</f>
        <v>0</v>
      </c>
      <c r="BJ37">
        <f>'Eurostat EB flows IEA'!CD37</f>
        <v>0</v>
      </c>
      <c r="BK37">
        <f>'Eurostat EB flows IEA'!CE37</f>
        <v>-384.97699999999998</v>
      </c>
      <c r="BL37">
        <f>'Eurostat EB flows IEA'!CF37</f>
        <v>0</v>
      </c>
      <c r="BM37">
        <f>'Eurostat EB flows IEA'!CG37</f>
        <v>-6773.41</v>
      </c>
      <c r="BN37">
        <f>'Eurostat EB flows IEA'!CH37</f>
        <v>-31.001000000000001</v>
      </c>
    </row>
    <row r="38" spans="1:66" x14ac:dyDescent="0.2">
      <c r="A38" t="s">
        <v>88</v>
      </c>
      <c r="B38" t="str">
        <f>'Eurostat EB flows IEA'!V38</f>
        <v>x</v>
      </c>
      <c r="C38" t="str">
        <f>'Eurostat EB flows IEA'!W38</f>
        <v>x</v>
      </c>
      <c r="D38">
        <f>'Eurostat EB flows IEA'!X38</f>
        <v>0</v>
      </c>
      <c r="E38">
        <f>'Eurostat EB flows IEA'!Y38</f>
        <v>0</v>
      </c>
      <c r="F38">
        <f>'Eurostat EB flows IEA'!Z38</f>
        <v>0</v>
      </c>
      <c r="G38">
        <f>'Eurostat EB flows IEA'!AA38</f>
        <v>0</v>
      </c>
      <c r="H38">
        <f>'Eurostat EB flows IEA'!AB38</f>
        <v>0</v>
      </c>
      <c r="I38">
        <f>'Eurostat EB flows IEA'!AC38</f>
        <v>0</v>
      </c>
      <c r="J38">
        <f>'Eurostat EB flows IEA'!AD38</f>
        <v>0</v>
      </c>
      <c r="K38">
        <f>'Eurostat EB flows IEA'!AE38</f>
        <v>0</v>
      </c>
      <c r="L38">
        <f>'Eurostat EB flows IEA'!AF38</f>
        <v>0</v>
      </c>
      <c r="M38">
        <f>'Eurostat EB flows IEA'!AG38</f>
        <v>0</v>
      </c>
      <c r="N38">
        <f>'Eurostat EB flows IEA'!AH38</f>
        <v>0</v>
      </c>
      <c r="O38">
        <f>'Eurostat EB flows IEA'!AI38</f>
        <v>0</v>
      </c>
      <c r="P38">
        <f>'Eurostat EB flows IEA'!AJ38</f>
        <v>0</v>
      </c>
      <c r="Q38">
        <f>'Eurostat EB flows IEA'!AK38</f>
        <v>0</v>
      </c>
      <c r="R38">
        <f>'Eurostat EB flows IEA'!AL38</f>
        <v>0</v>
      </c>
      <c r="S38">
        <f>'Eurostat EB flows IEA'!AM38</f>
        <v>0</v>
      </c>
      <c r="T38" t="str">
        <f>'Eurostat EB flows IEA'!AN38</f>
        <v>x</v>
      </c>
      <c r="U38">
        <f>'Eurostat EB flows IEA'!AO38</f>
        <v>0</v>
      </c>
      <c r="V38">
        <f>'Eurostat EB flows IEA'!AP38</f>
        <v>0</v>
      </c>
      <c r="W38">
        <f>'Eurostat EB flows IEA'!AQ38</f>
        <v>0</v>
      </c>
      <c r="X38">
        <f>'Eurostat EB flows IEA'!AR38</f>
        <v>0</v>
      </c>
      <c r="Y38">
        <f>'Eurostat EB flows IEA'!AS38</f>
        <v>0</v>
      </c>
      <c r="Z38">
        <f>'Eurostat EB flows IEA'!AT38</f>
        <v>0</v>
      </c>
      <c r="AA38">
        <f>'Eurostat EB flows IEA'!AU38</f>
        <v>0</v>
      </c>
      <c r="AB38">
        <f>'Eurostat EB flows IEA'!AV38</f>
        <v>0</v>
      </c>
      <c r="AC38">
        <f>'Eurostat EB flows IEA'!AW38</f>
        <v>0</v>
      </c>
      <c r="AD38">
        <f>'Eurostat EB flows IEA'!AX38</f>
        <v>0</v>
      </c>
      <c r="AE38">
        <f>'Eurostat EB flows IEA'!AY38</f>
        <v>0</v>
      </c>
      <c r="AF38">
        <f>'Eurostat EB flows IEA'!AZ38</f>
        <v>0</v>
      </c>
      <c r="AG38">
        <f>'Eurostat EB flows IEA'!BA38</f>
        <v>0</v>
      </c>
      <c r="AH38">
        <f>'Eurostat EB flows IEA'!BB38</f>
        <v>0</v>
      </c>
      <c r="AI38">
        <f>'Eurostat EB flows IEA'!BC38</f>
        <v>0</v>
      </c>
      <c r="AJ38">
        <f>'Eurostat EB flows IEA'!BD38</f>
        <v>0</v>
      </c>
      <c r="AK38">
        <f>'Eurostat EB flows IEA'!BE38</f>
        <v>0</v>
      </c>
      <c r="AL38">
        <f>'Eurostat EB flows IEA'!BF38</f>
        <v>0</v>
      </c>
      <c r="AM38">
        <f>'Eurostat EB flows IEA'!BG38</f>
        <v>0</v>
      </c>
      <c r="AN38">
        <f>'Eurostat EB flows IEA'!BH38</f>
        <v>0</v>
      </c>
      <c r="AO38">
        <f>'Eurostat EB flows IEA'!BI38</f>
        <v>0</v>
      </c>
      <c r="AP38">
        <f>'Eurostat EB flows IEA'!BJ38</f>
        <v>0</v>
      </c>
      <c r="AQ38">
        <f>'Eurostat EB flows IEA'!BK38</f>
        <v>0</v>
      </c>
      <c r="AR38">
        <f>'Eurostat EB flows IEA'!BL38</f>
        <v>0</v>
      </c>
      <c r="AS38">
        <f>'Eurostat EB flows IEA'!BM38</f>
        <v>0</v>
      </c>
      <c r="AT38">
        <f>'Eurostat EB flows IEA'!BN38</f>
        <v>0</v>
      </c>
      <c r="AU38">
        <f>'Eurostat EB flows IEA'!BO38</f>
        <v>0</v>
      </c>
      <c r="AV38">
        <f>'Eurostat EB flows IEA'!BP38</f>
        <v>0</v>
      </c>
      <c r="AW38">
        <f>'Eurostat EB flows IEA'!BQ38</f>
        <v>0</v>
      </c>
      <c r="AX38">
        <f>'Eurostat EB flows IEA'!BR38</f>
        <v>0</v>
      </c>
      <c r="AY38">
        <f>'Eurostat EB flows IEA'!BS38</f>
        <v>0</v>
      </c>
      <c r="AZ38">
        <f>'Eurostat EB flows IEA'!BT38</f>
        <v>0</v>
      </c>
      <c r="BA38">
        <f>'Eurostat EB flows IEA'!BU38</f>
        <v>0</v>
      </c>
      <c r="BB38">
        <f>'Eurostat EB flows IEA'!BV38</f>
        <v>0</v>
      </c>
      <c r="BC38">
        <f>'Eurostat EB flows IEA'!BW38</f>
        <v>0</v>
      </c>
      <c r="BD38">
        <f>'Eurostat EB flows IEA'!BX38</f>
        <v>0</v>
      </c>
      <c r="BE38">
        <f>'Eurostat EB flows IEA'!BY38</f>
        <v>0</v>
      </c>
      <c r="BF38">
        <f>'Eurostat EB flows IEA'!BZ38</f>
        <v>0</v>
      </c>
      <c r="BG38">
        <f>'Eurostat EB flows IEA'!CA38</f>
        <v>0</v>
      </c>
      <c r="BH38">
        <f>'Eurostat EB flows IEA'!CB38</f>
        <v>0</v>
      </c>
      <c r="BI38">
        <f>'Eurostat EB flows IEA'!CC38</f>
        <v>0</v>
      </c>
      <c r="BJ38">
        <f>'Eurostat EB flows IEA'!CD38</f>
        <v>0</v>
      </c>
      <c r="BK38">
        <f>'Eurostat EB flows IEA'!CE38</f>
        <v>0</v>
      </c>
      <c r="BL38">
        <f>'Eurostat EB flows IEA'!CF38</f>
        <v>0</v>
      </c>
      <c r="BM38">
        <f>'Eurostat EB flows IEA'!CG38</f>
        <v>0</v>
      </c>
      <c r="BN38">
        <f>'Eurostat EB flows IEA'!CH38</f>
        <v>0</v>
      </c>
    </row>
    <row r="39" spans="1:66" x14ac:dyDescent="0.2">
      <c r="A39" t="s">
        <v>164</v>
      </c>
      <c r="B39" t="str">
        <f>'Eurostat EB flows IEA'!V39</f>
        <v>x</v>
      </c>
      <c r="C39" t="str">
        <f>'Eurostat EB flows IEA'!W39</f>
        <v>x</v>
      </c>
      <c r="D39">
        <f>'Eurostat EB flows IEA'!X39</f>
        <v>0</v>
      </c>
      <c r="E39">
        <f>'Eurostat EB flows IEA'!Y39</f>
        <v>0</v>
      </c>
      <c r="F39">
        <f>'Eurostat EB flows IEA'!Z39</f>
        <v>0</v>
      </c>
      <c r="G39">
        <f>'Eurostat EB flows IEA'!AA39</f>
        <v>0</v>
      </c>
      <c r="H39">
        <f>'Eurostat EB flows IEA'!AB39</f>
        <v>0</v>
      </c>
      <c r="I39">
        <f>'Eurostat EB flows IEA'!AC39</f>
        <v>0</v>
      </c>
      <c r="J39">
        <f>'Eurostat EB flows IEA'!AD39</f>
        <v>0</v>
      </c>
      <c r="K39">
        <f>'Eurostat EB flows IEA'!AE39</f>
        <v>0</v>
      </c>
      <c r="L39">
        <f>'Eurostat EB flows IEA'!AF39</f>
        <v>0</v>
      </c>
      <c r="M39">
        <f>'Eurostat EB flows IEA'!AG39</f>
        <v>0</v>
      </c>
      <c r="N39">
        <f>'Eurostat EB flows IEA'!AH39</f>
        <v>0</v>
      </c>
      <c r="O39">
        <f>'Eurostat EB flows IEA'!AI39</f>
        <v>0</v>
      </c>
      <c r="P39">
        <f>'Eurostat EB flows IEA'!AJ39</f>
        <v>0</v>
      </c>
      <c r="Q39">
        <f>'Eurostat EB flows IEA'!AK39</f>
        <v>0</v>
      </c>
      <c r="R39">
        <f>'Eurostat EB flows IEA'!AL39</f>
        <v>0</v>
      </c>
      <c r="S39">
        <f>'Eurostat EB flows IEA'!AM39</f>
        <v>0</v>
      </c>
      <c r="T39" t="str">
        <f>'Eurostat EB flows IEA'!AN39</f>
        <v>x</v>
      </c>
      <c r="U39">
        <f>'Eurostat EB flows IEA'!AO39</f>
        <v>0</v>
      </c>
      <c r="V39">
        <f>'Eurostat EB flows IEA'!AP39</f>
        <v>0</v>
      </c>
      <c r="W39">
        <f>'Eurostat EB flows IEA'!AQ39</f>
        <v>0</v>
      </c>
      <c r="X39">
        <f>'Eurostat EB flows IEA'!AR39</f>
        <v>0</v>
      </c>
      <c r="Y39">
        <f>'Eurostat EB flows IEA'!AS39</f>
        <v>0</v>
      </c>
      <c r="Z39">
        <f>'Eurostat EB flows IEA'!AT39</f>
        <v>0</v>
      </c>
      <c r="AA39">
        <f>'Eurostat EB flows IEA'!AU39</f>
        <v>0</v>
      </c>
      <c r="AB39">
        <f>'Eurostat EB flows IEA'!AV39</f>
        <v>0</v>
      </c>
      <c r="AC39">
        <f>'Eurostat EB flows IEA'!AW39</f>
        <v>0</v>
      </c>
      <c r="AD39">
        <f>'Eurostat EB flows IEA'!AX39</f>
        <v>0</v>
      </c>
      <c r="AE39">
        <f>'Eurostat EB flows IEA'!AY39</f>
        <v>0</v>
      </c>
      <c r="AF39">
        <f>'Eurostat EB flows IEA'!AZ39</f>
        <v>0</v>
      </c>
      <c r="AG39">
        <f>'Eurostat EB flows IEA'!BA39</f>
        <v>0</v>
      </c>
      <c r="AH39">
        <f>'Eurostat EB flows IEA'!BB39</f>
        <v>0</v>
      </c>
      <c r="AI39">
        <f>'Eurostat EB flows IEA'!BC39</f>
        <v>0</v>
      </c>
      <c r="AJ39">
        <f>'Eurostat EB flows IEA'!BD39</f>
        <v>0</v>
      </c>
      <c r="AK39">
        <f>'Eurostat EB flows IEA'!BE39</f>
        <v>0</v>
      </c>
      <c r="AL39">
        <f>'Eurostat EB flows IEA'!BF39</f>
        <v>0</v>
      </c>
      <c r="AM39">
        <f>'Eurostat EB flows IEA'!BG39</f>
        <v>0</v>
      </c>
      <c r="AN39">
        <f>'Eurostat EB flows IEA'!BH39</f>
        <v>0</v>
      </c>
      <c r="AO39">
        <f>'Eurostat EB flows IEA'!BI39</f>
        <v>0</v>
      </c>
      <c r="AP39">
        <f>'Eurostat EB flows IEA'!BJ39</f>
        <v>0</v>
      </c>
      <c r="AQ39">
        <f>'Eurostat EB flows IEA'!BK39</f>
        <v>0</v>
      </c>
      <c r="AR39">
        <f>'Eurostat EB flows IEA'!BL39</f>
        <v>0</v>
      </c>
      <c r="AS39">
        <f>'Eurostat EB flows IEA'!BM39</f>
        <v>0</v>
      </c>
      <c r="AT39">
        <f>'Eurostat EB flows IEA'!BN39</f>
        <v>0</v>
      </c>
      <c r="AU39">
        <f>'Eurostat EB flows IEA'!BO39</f>
        <v>0</v>
      </c>
      <c r="AV39">
        <f>'Eurostat EB flows IEA'!BP39</f>
        <v>0</v>
      </c>
      <c r="AW39">
        <f>'Eurostat EB flows IEA'!BQ39</f>
        <v>0</v>
      </c>
      <c r="AX39">
        <f>'Eurostat EB flows IEA'!BR39</f>
        <v>0</v>
      </c>
      <c r="AY39">
        <f>'Eurostat EB flows IEA'!BS39</f>
        <v>0</v>
      </c>
      <c r="AZ39">
        <f>'Eurostat EB flows IEA'!BT39</f>
        <v>0</v>
      </c>
      <c r="BA39">
        <f>'Eurostat EB flows IEA'!BU39</f>
        <v>0</v>
      </c>
      <c r="BB39">
        <f>'Eurostat EB flows IEA'!BV39</f>
        <v>0</v>
      </c>
      <c r="BC39">
        <f>'Eurostat EB flows IEA'!BW39</f>
        <v>0</v>
      </c>
      <c r="BD39">
        <f>'Eurostat EB flows IEA'!BX39</f>
        <v>0</v>
      </c>
      <c r="BE39">
        <f>'Eurostat EB flows IEA'!BY39</f>
        <v>0</v>
      </c>
      <c r="BF39">
        <f>'Eurostat EB flows IEA'!BZ39</f>
        <v>0</v>
      </c>
      <c r="BG39">
        <f>'Eurostat EB flows IEA'!CA39</f>
        <v>0</v>
      </c>
      <c r="BH39">
        <f>'Eurostat EB flows IEA'!CB39</f>
        <v>0</v>
      </c>
      <c r="BI39">
        <f>'Eurostat EB flows IEA'!CC39</f>
        <v>0</v>
      </c>
      <c r="BJ39">
        <f>'Eurostat EB flows IEA'!CD39</f>
        <v>0</v>
      </c>
      <c r="BK39">
        <f>'Eurostat EB flows IEA'!CE39</f>
        <v>0</v>
      </c>
      <c r="BL39">
        <f>'Eurostat EB flows IEA'!CF39</f>
        <v>0</v>
      </c>
      <c r="BM39">
        <f>'Eurostat EB flows IEA'!CG39</f>
        <v>0</v>
      </c>
      <c r="BN39">
        <f>'Eurostat EB flows IEA'!CH39</f>
        <v>0</v>
      </c>
    </row>
    <row r="40" spans="1:66" x14ac:dyDescent="0.2">
      <c r="A40" t="s">
        <v>86</v>
      </c>
      <c r="B40" t="str">
        <f>'Eurostat EB flows IEA'!V40</f>
        <v>x</v>
      </c>
      <c r="C40" t="str">
        <f>'Eurostat EB flows IEA'!W40</f>
        <v>x</v>
      </c>
      <c r="D40">
        <f>'Eurostat EB flows IEA'!X40</f>
        <v>0</v>
      </c>
      <c r="E40">
        <f>'Eurostat EB flows IEA'!Y40</f>
        <v>0</v>
      </c>
      <c r="F40">
        <f>'Eurostat EB flows IEA'!Z40</f>
        <v>0</v>
      </c>
      <c r="G40">
        <f>'Eurostat EB flows IEA'!AA40</f>
        <v>0</v>
      </c>
      <c r="H40">
        <f>'Eurostat EB flows IEA'!AB40</f>
        <v>0</v>
      </c>
      <c r="I40">
        <f>'Eurostat EB flows IEA'!AC40</f>
        <v>0</v>
      </c>
      <c r="J40">
        <f>'Eurostat EB flows IEA'!AD40</f>
        <v>0</v>
      </c>
      <c r="K40">
        <f>'Eurostat EB flows IEA'!AE40</f>
        <v>0</v>
      </c>
      <c r="L40">
        <f>'Eurostat EB flows IEA'!AF40</f>
        <v>0</v>
      </c>
      <c r="M40">
        <f>'Eurostat EB flows IEA'!AG40</f>
        <v>0</v>
      </c>
      <c r="N40">
        <f>'Eurostat EB flows IEA'!AH40</f>
        <v>0</v>
      </c>
      <c r="O40">
        <f>'Eurostat EB flows IEA'!AI40</f>
        <v>-6767.5630000000001</v>
      </c>
      <c r="P40">
        <f>'Eurostat EB flows IEA'!AJ40</f>
        <v>-159.76900000000001</v>
      </c>
      <c r="Q40">
        <f>'Eurostat EB flows IEA'!AK40</f>
        <v>0</v>
      </c>
      <c r="R40">
        <f>'Eurostat EB flows IEA'!AL40</f>
        <v>0</v>
      </c>
      <c r="S40">
        <f>'Eurostat EB flows IEA'!AM40</f>
        <v>0</v>
      </c>
      <c r="T40" t="str">
        <f>'Eurostat EB flows IEA'!AN40</f>
        <v>x</v>
      </c>
      <c r="U40">
        <f>'Eurostat EB flows IEA'!AO40</f>
        <v>0</v>
      </c>
      <c r="V40">
        <f>'Eurostat EB flows IEA'!AP40</f>
        <v>0</v>
      </c>
      <c r="W40">
        <f>'Eurostat EB flows IEA'!AQ40</f>
        <v>0</v>
      </c>
      <c r="X40">
        <f>'Eurostat EB flows IEA'!AR40</f>
        <v>0</v>
      </c>
      <c r="Y40">
        <f>'Eurostat EB flows IEA'!AS40</f>
        <v>0</v>
      </c>
      <c r="Z40">
        <f>'Eurostat EB flows IEA'!AT40</f>
        <v>0</v>
      </c>
      <c r="AA40">
        <f>'Eurostat EB flows IEA'!AU40</f>
        <v>0</v>
      </c>
      <c r="AB40">
        <f>'Eurostat EB flows IEA'!AV40</f>
        <v>0</v>
      </c>
      <c r="AC40">
        <f>'Eurostat EB flows IEA'!AW40</f>
        <v>0</v>
      </c>
      <c r="AD40">
        <f>'Eurostat EB flows IEA'!AX40</f>
        <v>0</v>
      </c>
      <c r="AE40">
        <f>'Eurostat EB flows IEA'!AY40</f>
        <v>0</v>
      </c>
      <c r="AF40">
        <f>'Eurostat EB flows IEA'!AZ40</f>
        <v>0</v>
      </c>
      <c r="AG40">
        <f>'Eurostat EB flows IEA'!BA40</f>
        <v>0</v>
      </c>
      <c r="AH40">
        <f>'Eurostat EB flows IEA'!BB40</f>
        <v>0</v>
      </c>
      <c r="AI40">
        <f>'Eurostat EB flows IEA'!BC40</f>
        <v>0</v>
      </c>
      <c r="AJ40">
        <f>'Eurostat EB flows IEA'!BD40</f>
        <v>0</v>
      </c>
      <c r="AK40">
        <f>'Eurostat EB flows IEA'!BE40</f>
        <v>0</v>
      </c>
      <c r="AL40">
        <f>'Eurostat EB flows IEA'!BF40</f>
        <v>0</v>
      </c>
      <c r="AM40">
        <f>'Eurostat EB flows IEA'!BG40</f>
        <v>0</v>
      </c>
      <c r="AN40">
        <f>'Eurostat EB flows IEA'!BH40</f>
        <v>0</v>
      </c>
      <c r="AO40">
        <f>'Eurostat EB flows IEA'!BI40</f>
        <v>0</v>
      </c>
      <c r="AP40">
        <f>'Eurostat EB flows IEA'!BJ40</f>
        <v>0</v>
      </c>
      <c r="AQ40">
        <f>'Eurostat EB flows IEA'!BK40</f>
        <v>0</v>
      </c>
      <c r="AR40">
        <f>'Eurostat EB flows IEA'!BL40</f>
        <v>0</v>
      </c>
      <c r="AS40">
        <f>'Eurostat EB flows IEA'!BM40</f>
        <v>0</v>
      </c>
      <c r="AT40">
        <f>'Eurostat EB flows IEA'!BN40</f>
        <v>0</v>
      </c>
      <c r="AU40">
        <f>'Eurostat EB flows IEA'!BO40</f>
        <v>0</v>
      </c>
      <c r="AV40">
        <f>'Eurostat EB flows IEA'!BP40</f>
        <v>0</v>
      </c>
      <c r="AW40">
        <f>'Eurostat EB flows IEA'!BQ40</f>
        <v>0</v>
      </c>
      <c r="AX40">
        <f>'Eurostat EB flows IEA'!BR40</f>
        <v>0</v>
      </c>
      <c r="AY40">
        <f>'Eurostat EB flows IEA'!BS40</f>
        <v>0</v>
      </c>
      <c r="AZ40">
        <f>'Eurostat EB flows IEA'!BT40</f>
        <v>0</v>
      </c>
      <c r="BA40">
        <f>'Eurostat EB flows IEA'!BU40</f>
        <v>0</v>
      </c>
      <c r="BB40">
        <f>'Eurostat EB flows IEA'!BV40</f>
        <v>0</v>
      </c>
      <c r="BC40">
        <f>'Eurostat EB flows IEA'!BW40</f>
        <v>0</v>
      </c>
      <c r="BD40">
        <f>'Eurostat EB flows IEA'!BX40</f>
        <v>0</v>
      </c>
      <c r="BE40">
        <f>'Eurostat EB flows IEA'!BY40</f>
        <v>0</v>
      </c>
      <c r="BF40">
        <f>'Eurostat EB flows IEA'!BZ40</f>
        <v>0</v>
      </c>
      <c r="BG40">
        <f>'Eurostat EB flows IEA'!CA40</f>
        <v>0</v>
      </c>
      <c r="BH40">
        <f>'Eurostat EB flows IEA'!CB40</f>
        <v>0</v>
      </c>
      <c r="BI40">
        <f>'Eurostat EB flows IEA'!CC40</f>
        <v>0</v>
      </c>
      <c r="BJ40">
        <f>'Eurostat EB flows IEA'!CD40</f>
        <v>0</v>
      </c>
      <c r="BK40">
        <f>'Eurostat EB flows IEA'!CE40</f>
        <v>-317.60300000000001</v>
      </c>
      <c r="BL40">
        <f>'Eurostat EB flows IEA'!CF40</f>
        <v>-948.78499999999997</v>
      </c>
      <c r="BM40">
        <f>'Eurostat EB flows IEA'!CG40</f>
        <v>-8193.7189999999991</v>
      </c>
      <c r="BN40">
        <f>'Eurostat EB flows IEA'!CH40</f>
        <v>-229.42099999999999</v>
      </c>
    </row>
    <row r="41" spans="1:66" x14ac:dyDescent="0.2">
      <c r="A41" t="s">
        <v>89</v>
      </c>
      <c r="B41" t="str">
        <f>'Eurostat EB flows IEA'!V41</f>
        <v>x</v>
      </c>
      <c r="C41" t="str">
        <f>'Eurostat EB flows IEA'!W41</f>
        <v>x</v>
      </c>
      <c r="D41">
        <f>'Eurostat EB flows IEA'!X41</f>
        <v>0</v>
      </c>
      <c r="E41">
        <f>'Eurostat EB flows IEA'!Y41</f>
        <v>0</v>
      </c>
      <c r="F41">
        <f>'Eurostat EB flows IEA'!Z41</f>
        <v>0</v>
      </c>
      <c r="G41">
        <f>'Eurostat EB flows IEA'!AA41</f>
        <v>0</v>
      </c>
      <c r="H41">
        <f>'Eurostat EB flows IEA'!AB41</f>
        <v>0</v>
      </c>
      <c r="I41">
        <f>'Eurostat EB flows IEA'!AC41</f>
        <v>0</v>
      </c>
      <c r="J41">
        <f>'Eurostat EB flows IEA'!AD41</f>
        <v>0</v>
      </c>
      <c r="K41">
        <f>'Eurostat EB flows IEA'!AE41</f>
        <v>0</v>
      </c>
      <c r="L41">
        <f>'Eurostat EB flows IEA'!AF41</f>
        <v>0</v>
      </c>
      <c r="M41">
        <f>'Eurostat EB flows IEA'!AG41</f>
        <v>0</v>
      </c>
      <c r="N41">
        <f>'Eurostat EB flows IEA'!AH41</f>
        <v>0</v>
      </c>
      <c r="O41">
        <f>'Eurostat EB flows IEA'!AI41</f>
        <v>0</v>
      </c>
      <c r="P41">
        <f>'Eurostat EB flows IEA'!AJ41</f>
        <v>0</v>
      </c>
      <c r="Q41">
        <f>'Eurostat EB flows IEA'!AK41</f>
        <v>0</v>
      </c>
      <c r="R41">
        <f>'Eurostat EB flows IEA'!AL41</f>
        <v>0</v>
      </c>
      <c r="S41">
        <f>'Eurostat EB flows IEA'!AM41</f>
        <v>0</v>
      </c>
      <c r="T41" t="str">
        <f>'Eurostat EB flows IEA'!AN41</f>
        <v>x</v>
      </c>
      <c r="U41">
        <f>'Eurostat EB flows IEA'!AO41</f>
        <v>0</v>
      </c>
      <c r="V41">
        <f>'Eurostat EB flows IEA'!AP41</f>
        <v>0</v>
      </c>
      <c r="W41">
        <f>'Eurostat EB flows IEA'!AQ41</f>
        <v>0</v>
      </c>
      <c r="X41">
        <f>'Eurostat EB flows IEA'!AR41</f>
        <v>0</v>
      </c>
      <c r="Y41">
        <f>'Eurostat EB flows IEA'!AS41</f>
        <v>0</v>
      </c>
      <c r="Z41">
        <f>'Eurostat EB flows IEA'!AT41</f>
        <v>0</v>
      </c>
      <c r="AA41">
        <f>'Eurostat EB flows IEA'!AU41</f>
        <v>0</v>
      </c>
      <c r="AB41">
        <f>'Eurostat EB flows IEA'!AV41</f>
        <v>0</v>
      </c>
      <c r="AC41">
        <f>'Eurostat EB flows IEA'!AW41</f>
        <v>0</v>
      </c>
      <c r="AD41">
        <f>'Eurostat EB flows IEA'!AX41</f>
        <v>0</v>
      </c>
      <c r="AE41">
        <f>'Eurostat EB flows IEA'!AY41</f>
        <v>0</v>
      </c>
      <c r="AF41">
        <f>'Eurostat EB flows IEA'!AZ41</f>
        <v>0</v>
      </c>
      <c r="AG41">
        <f>'Eurostat EB flows IEA'!BA41</f>
        <v>0</v>
      </c>
      <c r="AH41">
        <f>'Eurostat EB flows IEA'!BB41</f>
        <v>0</v>
      </c>
      <c r="AI41">
        <f>'Eurostat EB flows IEA'!BC41</f>
        <v>0</v>
      </c>
      <c r="AJ41">
        <f>'Eurostat EB flows IEA'!BD41</f>
        <v>0</v>
      </c>
      <c r="AK41">
        <f>'Eurostat EB flows IEA'!BE41</f>
        <v>0</v>
      </c>
      <c r="AL41">
        <f>'Eurostat EB flows IEA'!BF41</f>
        <v>0</v>
      </c>
      <c r="AM41">
        <f>'Eurostat EB flows IEA'!BG41</f>
        <v>0</v>
      </c>
      <c r="AN41">
        <f>'Eurostat EB flows IEA'!BH41</f>
        <v>0</v>
      </c>
      <c r="AO41">
        <f>'Eurostat EB flows IEA'!BI41</f>
        <v>0</v>
      </c>
      <c r="AP41">
        <f>'Eurostat EB flows IEA'!BJ41</f>
        <v>0</v>
      </c>
      <c r="AQ41">
        <f>'Eurostat EB flows IEA'!BK41</f>
        <v>0</v>
      </c>
      <c r="AR41">
        <f>'Eurostat EB flows IEA'!BL41</f>
        <v>0</v>
      </c>
      <c r="AS41">
        <f>'Eurostat EB flows IEA'!BM41</f>
        <v>0</v>
      </c>
      <c r="AT41">
        <f>'Eurostat EB flows IEA'!BN41</f>
        <v>0</v>
      </c>
      <c r="AU41">
        <f>'Eurostat EB flows IEA'!BO41</f>
        <v>0</v>
      </c>
      <c r="AV41">
        <f>'Eurostat EB flows IEA'!BP41</f>
        <v>0</v>
      </c>
      <c r="AW41">
        <f>'Eurostat EB flows IEA'!BQ41</f>
        <v>0</v>
      </c>
      <c r="AX41">
        <f>'Eurostat EB flows IEA'!BR41</f>
        <v>0</v>
      </c>
      <c r="AY41">
        <f>'Eurostat EB flows IEA'!BS41</f>
        <v>0</v>
      </c>
      <c r="AZ41">
        <f>'Eurostat EB flows IEA'!BT41</f>
        <v>0</v>
      </c>
      <c r="BA41">
        <f>'Eurostat EB flows IEA'!BU41</f>
        <v>0</v>
      </c>
      <c r="BB41">
        <f>'Eurostat EB flows IEA'!BV41</f>
        <v>0</v>
      </c>
      <c r="BC41">
        <f>'Eurostat EB flows IEA'!BW41</f>
        <v>0</v>
      </c>
      <c r="BD41">
        <f>'Eurostat EB flows IEA'!BX41</f>
        <v>0</v>
      </c>
      <c r="BE41">
        <f>'Eurostat EB flows IEA'!BY41</f>
        <v>0</v>
      </c>
      <c r="BF41">
        <f>'Eurostat EB flows IEA'!BZ41</f>
        <v>0</v>
      </c>
      <c r="BG41">
        <f>'Eurostat EB flows IEA'!CA41</f>
        <v>0</v>
      </c>
      <c r="BH41">
        <f>'Eurostat EB flows IEA'!CB41</f>
        <v>0</v>
      </c>
      <c r="BI41">
        <f>'Eurostat EB flows IEA'!CC41</f>
        <v>0</v>
      </c>
      <c r="BJ41">
        <f>'Eurostat EB flows IEA'!CD41</f>
        <v>0</v>
      </c>
      <c r="BK41">
        <f>'Eurostat EB flows IEA'!CE41</f>
        <v>0</v>
      </c>
      <c r="BL41">
        <f>'Eurostat EB flows IEA'!CF41</f>
        <v>0</v>
      </c>
      <c r="BM41">
        <f>'Eurostat EB flows IEA'!CG41</f>
        <v>0</v>
      </c>
      <c r="BN41">
        <f>'Eurostat EB flows IEA'!CH41</f>
        <v>0</v>
      </c>
    </row>
    <row r="42" spans="1:66" x14ac:dyDescent="0.2">
      <c r="A42" t="s">
        <v>158</v>
      </c>
      <c r="B42" t="str">
        <f>'Eurostat EB flows IEA'!V42</f>
        <v>x</v>
      </c>
      <c r="C42" t="str">
        <f>'Eurostat EB flows IEA'!W42</f>
        <v>x</v>
      </c>
      <c r="D42">
        <f>'Eurostat EB flows IEA'!X42</f>
        <v>0</v>
      </c>
      <c r="E42">
        <f>'Eurostat EB flows IEA'!Y42</f>
        <v>0</v>
      </c>
      <c r="F42">
        <f>'Eurostat EB flows IEA'!Z42</f>
        <v>0</v>
      </c>
      <c r="G42">
        <f>'Eurostat EB flows IEA'!AA42</f>
        <v>0</v>
      </c>
      <c r="H42">
        <f>'Eurostat EB flows IEA'!AB42</f>
        <v>0</v>
      </c>
      <c r="I42">
        <f>'Eurostat EB flows IEA'!AC42</f>
        <v>0</v>
      </c>
      <c r="J42">
        <f>'Eurostat EB flows IEA'!AD42</f>
        <v>0</v>
      </c>
      <c r="K42">
        <f>'Eurostat EB flows IEA'!AE42</f>
        <v>0</v>
      </c>
      <c r="L42">
        <f>'Eurostat EB flows IEA'!AF42</f>
        <v>0</v>
      </c>
      <c r="M42">
        <f>'Eurostat EB flows IEA'!AG42</f>
        <v>0</v>
      </c>
      <c r="N42">
        <f>'Eurostat EB flows IEA'!AH42</f>
        <v>0</v>
      </c>
      <c r="O42">
        <f>'Eurostat EB flows IEA'!AI42</f>
        <v>0</v>
      </c>
      <c r="P42">
        <f>'Eurostat EB flows IEA'!AJ42</f>
        <v>0</v>
      </c>
      <c r="Q42">
        <f>'Eurostat EB flows IEA'!AK42</f>
        <v>0</v>
      </c>
      <c r="R42">
        <f>'Eurostat EB flows IEA'!AL42</f>
        <v>0</v>
      </c>
      <c r="S42">
        <f>'Eurostat EB flows IEA'!AM42</f>
        <v>0</v>
      </c>
      <c r="T42" t="str">
        <f>'Eurostat EB flows IEA'!AN42</f>
        <v>x</v>
      </c>
      <c r="U42">
        <f>'Eurostat EB flows IEA'!AO42</f>
        <v>0</v>
      </c>
      <c r="V42">
        <f>'Eurostat EB flows IEA'!AP42</f>
        <v>0</v>
      </c>
      <c r="W42">
        <f>'Eurostat EB flows IEA'!AQ42</f>
        <v>0</v>
      </c>
      <c r="X42">
        <f>'Eurostat EB flows IEA'!AR42</f>
        <v>0</v>
      </c>
      <c r="Y42">
        <f>'Eurostat EB flows IEA'!AS42</f>
        <v>0</v>
      </c>
      <c r="Z42">
        <f>'Eurostat EB flows IEA'!AT42</f>
        <v>0</v>
      </c>
      <c r="AA42">
        <f>'Eurostat EB flows IEA'!AU42</f>
        <v>0</v>
      </c>
      <c r="AB42">
        <f>'Eurostat EB flows IEA'!AV42</f>
        <v>0</v>
      </c>
      <c r="AC42">
        <f>'Eurostat EB flows IEA'!AW42</f>
        <v>0</v>
      </c>
      <c r="AD42">
        <f>'Eurostat EB flows IEA'!AX42</f>
        <v>0</v>
      </c>
      <c r="AE42">
        <f>'Eurostat EB flows IEA'!AY42</f>
        <v>0</v>
      </c>
      <c r="AF42">
        <f>'Eurostat EB flows IEA'!AZ42</f>
        <v>0</v>
      </c>
      <c r="AG42">
        <f>'Eurostat EB flows IEA'!BA42</f>
        <v>0</v>
      </c>
      <c r="AH42">
        <f>'Eurostat EB flows IEA'!BB42</f>
        <v>0</v>
      </c>
      <c r="AI42">
        <f>'Eurostat EB flows IEA'!BC42</f>
        <v>0</v>
      </c>
      <c r="AJ42">
        <f>'Eurostat EB flows IEA'!BD42</f>
        <v>0</v>
      </c>
      <c r="AK42">
        <f>'Eurostat EB flows IEA'!BE42</f>
        <v>0</v>
      </c>
      <c r="AL42">
        <f>'Eurostat EB flows IEA'!BF42</f>
        <v>0</v>
      </c>
      <c r="AM42">
        <f>'Eurostat EB flows IEA'!BG42</f>
        <v>0</v>
      </c>
      <c r="AN42">
        <f>'Eurostat EB flows IEA'!BH42</f>
        <v>0</v>
      </c>
      <c r="AO42">
        <f>'Eurostat EB flows IEA'!BI42</f>
        <v>0</v>
      </c>
      <c r="AP42">
        <f>'Eurostat EB flows IEA'!BJ42</f>
        <v>0</v>
      </c>
      <c r="AQ42">
        <f>'Eurostat EB flows IEA'!BK42</f>
        <v>0</v>
      </c>
      <c r="AR42">
        <f>'Eurostat EB flows IEA'!BL42</f>
        <v>0</v>
      </c>
      <c r="AS42">
        <f>'Eurostat EB flows IEA'!BM42</f>
        <v>0</v>
      </c>
      <c r="AT42">
        <f>'Eurostat EB flows IEA'!BN42</f>
        <v>0</v>
      </c>
      <c r="AU42">
        <f>'Eurostat EB flows IEA'!BO42</f>
        <v>0</v>
      </c>
      <c r="AV42">
        <f>'Eurostat EB flows IEA'!BP42</f>
        <v>0</v>
      </c>
      <c r="AW42">
        <f>'Eurostat EB flows IEA'!BQ42</f>
        <v>0</v>
      </c>
      <c r="AX42">
        <f>'Eurostat EB flows IEA'!BR42</f>
        <v>0</v>
      </c>
      <c r="AY42">
        <f>'Eurostat EB flows IEA'!BS42</f>
        <v>0</v>
      </c>
      <c r="AZ42">
        <f>'Eurostat EB flows IEA'!BT42</f>
        <v>0</v>
      </c>
      <c r="BA42">
        <f>'Eurostat EB flows IEA'!BU42</f>
        <v>0</v>
      </c>
      <c r="BB42">
        <f>'Eurostat EB flows IEA'!BV42</f>
        <v>0</v>
      </c>
      <c r="BC42">
        <f>'Eurostat EB flows IEA'!BW42</f>
        <v>0</v>
      </c>
      <c r="BD42">
        <f>'Eurostat EB flows IEA'!BX42</f>
        <v>0</v>
      </c>
      <c r="BE42">
        <f>'Eurostat EB flows IEA'!BY42</f>
        <v>0</v>
      </c>
      <c r="BF42">
        <f>'Eurostat EB flows IEA'!BZ42</f>
        <v>0</v>
      </c>
      <c r="BG42">
        <f>'Eurostat EB flows IEA'!CA42</f>
        <v>0</v>
      </c>
      <c r="BH42">
        <f>'Eurostat EB flows IEA'!CB42</f>
        <v>0</v>
      </c>
      <c r="BI42">
        <f>'Eurostat EB flows IEA'!CC42</f>
        <v>0</v>
      </c>
      <c r="BJ42">
        <f>'Eurostat EB flows IEA'!CD42</f>
        <v>0</v>
      </c>
      <c r="BK42">
        <f>'Eurostat EB flows IEA'!CE42</f>
        <v>0</v>
      </c>
      <c r="BL42">
        <f>'Eurostat EB flows IEA'!CF42</f>
        <v>0</v>
      </c>
      <c r="BM42">
        <f>'Eurostat EB flows IEA'!CG42</f>
        <v>0</v>
      </c>
      <c r="BN42">
        <f>'Eurostat EB flows IEA'!CH42</f>
        <v>0</v>
      </c>
    </row>
    <row r="43" spans="1:66" x14ac:dyDescent="0.2">
      <c r="A43" t="s">
        <v>159</v>
      </c>
      <c r="B43" t="str">
        <f>'Eurostat EB flows IEA'!V43</f>
        <v>x</v>
      </c>
      <c r="C43" t="str">
        <f>'Eurostat EB flows IEA'!W43</f>
        <v>x</v>
      </c>
      <c r="D43">
        <f>'Eurostat EB flows IEA'!X43</f>
        <v>0</v>
      </c>
      <c r="E43">
        <f>'Eurostat EB flows IEA'!Y43</f>
        <v>0</v>
      </c>
      <c r="F43">
        <f>'Eurostat EB flows IEA'!Z43</f>
        <v>0</v>
      </c>
      <c r="G43">
        <f>'Eurostat EB flows IEA'!AA43</f>
        <v>0</v>
      </c>
      <c r="H43">
        <f>'Eurostat EB flows IEA'!AB43</f>
        <v>0</v>
      </c>
      <c r="I43">
        <f>'Eurostat EB flows IEA'!AC43</f>
        <v>0</v>
      </c>
      <c r="J43">
        <f>'Eurostat EB flows IEA'!AD43</f>
        <v>0</v>
      </c>
      <c r="K43">
        <f>'Eurostat EB flows IEA'!AE43</f>
        <v>0</v>
      </c>
      <c r="L43">
        <f>'Eurostat EB flows IEA'!AF43</f>
        <v>0</v>
      </c>
      <c r="M43">
        <f>'Eurostat EB flows IEA'!AG43</f>
        <v>0</v>
      </c>
      <c r="N43">
        <f>'Eurostat EB flows IEA'!AH43</f>
        <v>0</v>
      </c>
      <c r="O43">
        <f>'Eurostat EB flows IEA'!AI43</f>
        <v>0</v>
      </c>
      <c r="P43">
        <f>'Eurostat EB flows IEA'!AJ43</f>
        <v>0</v>
      </c>
      <c r="Q43">
        <f>'Eurostat EB flows IEA'!AK43</f>
        <v>0</v>
      </c>
      <c r="R43">
        <f>'Eurostat EB flows IEA'!AL43</f>
        <v>0</v>
      </c>
      <c r="S43">
        <f>'Eurostat EB flows IEA'!AM43</f>
        <v>-17101.123</v>
      </c>
      <c r="T43" t="str">
        <f>'Eurostat EB flows IEA'!AN43</f>
        <v>x</v>
      </c>
      <c r="U43">
        <f>'Eurostat EB flows IEA'!AO43</f>
        <v>0</v>
      </c>
      <c r="V43">
        <f>'Eurostat EB flows IEA'!AP43</f>
        <v>0</v>
      </c>
      <c r="W43">
        <f>'Eurostat EB flows IEA'!AQ43</f>
        <v>0</v>
      </c>
      <c r="X43">
        <f>'Eurostat EB flows IEA'!AR43</f>
        <v>0</v>
      </c>
      <c r="Y43">
        <f>'Eurostat EB flows IEA'!AS43</f>
        <v>0</v>
      </c>
      <c r="Z43">
        <f>'Eurostat EB flows IEA'!AT43</f>
        <v>-89172.464000000007</v>
      </c>
      <c r="AA43">
        <f>'Eurostat EB flows IEA'!AU43</f>
        <v>0</v>
      </c>
      <c r="AB43">
        <f>'Eurostat EB flows IEA'!AV43</f>
        <v>-4181.308</v>
      </c>
      <c r="AC43">
        <f>'Eurostat EB flows IEA'!AW43</f>
        <v>0</v>
      </c>
      <c r="AD43">
        <f>'Eurostat EB flows IEA'!AX43</f>
        <v>0</v>
      </c>
      <c r="AE43">
        <f>'Eurostat EB flows IEA'!AY43</f>
        <v>0</v>
      </c>
      <c r="AF43">
        <f>'Eurostat EB flows IEA'!AZ43</f>
        <v>0</v>
      </c>
      <c r="AG43">
        <f>'Eurostat EB flows IEA'!BA43</f>
        <v>0</v>
      </c>
      <c r="AH43">
        <f>'Eurostat EB flows IEA'!BB43</f>
        <v>-4.5730000000000004</v>
      </c>
      <c r="AI43">
        <f>'Eurostat EB flows IEA'!BC43</f>
        <v>0</v>
      </c>
      <c r="AJ43">
        <f>'Eurostat EB flows IEA'!BD43</f>
        <v>0</v>
      </c>
      <c r="AK43">
        <f>'Eurostat EB flows IEA'!BE43</f>
        <v>0</v>
      </c>
      <c r="AL43">
        <f>'Eurostat EB flows IEA'!BF43</f>
        <v>0</v>
      </c>
      <c r="AM43">
        <f>'Eurostat EB flows IEA'!BG43</f>
        <v>0</v>
      </c>
      <c r="AN43">
        <f>'Eurostat EB flows IEA'!BH43</f>
        <v>0</v>
      </c>
      <c r="AO43">
        <f>'Eurostat EB flows IEA'!BI43</f>
        <v>-10670.291999999999</v>
      </c>
      <c r="AP43">
        <f>'Eurostat EB flows IEA'!BJ43</f>
        <v>0</v>
      </c>
      <c r="AQ43">
        <f>'Eurostat EB flows IEA'!BK43</f>
        <v>0</v>
      </c>
      <c r="AR43">
        <f>'Eurostat EB flows IEA'!BL43</f>
        <v>0</v>
      </c>
      <c r="AS43">
        <f>'Eurostat EB flows IEA'!BM43</f>
        <v>0</v>
      </c>
      <c r="AT43">
        <f>'Eurostat EB flows IEA'!BN43</f>
        <v>0</v>
      </c>
      <c r="AU43">
        <f>'Eurostat EB flows IEA'!BO43</f>
        <v>0</v>
      </c>
      <c r="AV43">
        <f>'Eurostat EB flows IEA'!BP43</f>
        <v>0</v>
      </c>
      <c r="AW43">
        <f>'Eurostat EB flows IEA'!BQ43</f>
        <v>0</v>
      </c>
      <c r="AX43">
        <f>'Eurostat EB flows IEA'!BR43</f>
        <v>0</v>
      </c>
      <c r="AY43">
        <f>'Eurostat EB flows IEA'!BS43</f>
        <v>0</v>
      </c>
      <c r="AZ43">
        <f>'Eurostat EB flows IEA'!BT43</f>
        <v>0</v>
      </c>
      <c r="BA43">
        <f>'Eurostat EB flows IEA'!BU43</f>
        <v>0</v>
      </c>
      <c r="BB43">
        <f>'Eurostat EB flows IEA'!BV43</f>
        <v>0</v>
      </c>
      <c r="BC43">
        <f>'Eurostat EB flows IEA'!BW43</f>
        <v>0</v>
      </c>
      <c r="BD43">
        <f>'Eurostat EB flows IEA'!BX43</f>
        <v>0</v>
      </c>
      <c r="BE43">
        <f>'Eurostat EB flows IEA'!BY43</f>
        <v>0</v>
      </c>
      <c r="BF43">
        <f>'Eurostat EB flows IEA'!BZ43</f>
        <v>0</v>
      </c>
      <c r="BG43">
        <f>'Eurostat EB flows IEA'!CA43</f>
        <v>0</v>
      </c>
      <c r="BH43">
        <f>'Eurostat EB flows IEA'!CB43</f>
        <v>0</v>
      </c>
      <c r="BI43">
        <f>'Eurostat EB flows IEA'!CC43</f>
        <v>0</v>
      </c>
      <c r="BJ43">
        <f>'Eurostat EB flows IEA'!CD43</f>
        <v>0</v>
      </c>
      <c r="BK43">
        <f>'Eurostat EB flows IEA'!CE43</f>
        <v>-9573.6059999999998</v>
      </c>
      <c r="BL43">
        <f>'Eurostat EB flows IEA'!CF43</f>
        <v>-8696.3790000000008</v>
      </c>
      <c r="BM43">
        <f>'Eurostat EB flows IEA'!CG43</f>
        <v>-139399.74600000001</v>
      </c>
      <c r="BN43">
        <f>'Eurostat EB flows IEA'!CH43</f>
        <v>-2721.5419999999999</v>
      </c>
    </row>
    <row r="44" spans="1:66" x14ac:dyDescent="0.2">
      <c r="A44" t="s">
        <v>90</v>
      </c>
      <c r="B44" t="str">
        <f>'Eurostat EB flows IEA'!V44</f>
        <v>x</v>
      </c>
      <c r="C44" t="str">
        <f>'Eurostat EB flows IEA'!W44</f>
        <v>x</v>
      </c>
      <c r="D44">
        <f>'Eurostat EB flows IEA'!X44</f>
        <v>0</v>
      </c>
      <c r="E44">
        <f>'Eurostat EB flows IEA'!Y44</f>
        <v>0</v>
      </c>
      <c r="F44">
        <f>'Eurostat EB flows IEA'!Z44</f>
        <v>0</v>
      </c>
      <c r="G44">
        <f>'Eurostat EB flows IEA'!AA44</f>
        <v>0</v>
      </c>
      <c r="H44">
        <f>'Eurostat EB flows IEA'!AB44</f>
        <v>0</v>
      </c>
      <c r="I44">
        <f>'Eurostat EB flows IEA'!AC44</f>
        <v>0</v>
      </c>
      <c r="J44">
        <f>'Eurostat EB flows IEA'!AD44</f>
        <v>0</v>
      </c>
      <c r="K44">
        <f>'Eurostat EB flows IEA'!AE44</f>
        <v>0</v>
      </c>
      <c r="L44">
        <f>'Eurostat EB flows IEA'!AF44</f>
        <v>0</v>
      </c>
      <c r="M44">
        <f>'Eurostat EB flows IEA'!AG44</f>
        <v>0</v>
      </c>
      <c r="N44">
        <f>'Eurostat EB flows IEA'!AH44</f>
        <v>0</v>
      </c>
      <c r="O44">
        <f>'Eurostat EB flows IEA'!AI44</f>
        <v>0</v>
      </c>
      <c r="P44">
        <f>'Eurostat EB flows IEA'!AJ44</f>
        <v>0</v>
      </c>
      <c r="Q44">
        <f>'Eurostat EB flows IEA'!AK44</f>
        <v>0</v>
      </c>
      <c r="R44">
        <f>'Eurostat EB flows IEA'!AL44</f>
        <v>0</v>
      </c>
      <c r="S44">
        <f>'Eurostat EB flows IEA'!AM44</f>
        <v>0</v>
      </c>
      <c r="T44" t="str">
        <f>'Eurostat EB flows IEA'!AN44</f>
        <v>x</v>
      </c>
      <c r="U44">
        <f>'Eurostat EB flows IEA'!AO44</f>
        <v>0</v>
      </c>
      <c r="V44">
        <f>'Eurostat EB flows IEA'!AP44</f>
        <v>0</v>
      </c>
      <c r="W44">
        <f>'Eurostat EB flows IEA'!AQ44</f>
        <v>0</v>
      </c>
      <c r="X44">
        <f>'Eurostat EB flows IEA'!AR44</f>
        <v>0</v>
      </c>
      <c r="Y44">
        <f>'Eurostat EB flows IEA'!AS44</f>
        <v>0</v>
      </c>
      <c r="Z44">
        <f>'Eurostat EB flows IEA'!AT44</f>
        <v>0</v>
      </c>
      <c r="AA44">
        <f>'Eurostat EB flows IEA'!AU44</f>
        <v>0</v>
      </c>
      <c r="AB44">
        <f>'Eurostat EB flows IEA'!AV44</f>
        <v>0</v>
      </c>
      <c r="AC44">
        <f>'Eurostat EB flows IEA'!AW44</f>
        <v>0</v>
      </c>
      <c r="AD44">
        <f>'Eurostat EB flows IEA'!AX44</f>
        <v>0</v>
      </c>
      <c r="AE44">
        <f>'Eurostat EB flows IEA'!AY44</f>
        <v>0</v>
      </c>
      <c r="AF44">
        <f>'Eurostat EB flows IEA'!AZ44</f>
        <v>0</v>
      </c>
      <c r="AG44">
        <f>'Eurostat EB flows IEA'!BA44</f>
        <v>0</v>
      </c>
      <c r="AH44">
        <f>'Eurostat EB flows IEA'!BB44</f>
        <v>0</v>
      </c>
      <c r="AI44">
        <f>'Eurostat EB flows IEA'!BC44</f>
        <v>0</v>
      </c>
      <c r="AJ44">
        <f>'Eurostat EB flows IEA'!BD44</f>
        <v>0</v>
      </c>
      <c r="AK44">
        <f>'Eurostat EB flows IEA'!BE44</f>
        <v>0</v>
      </c>
      <c r="AL44">
        <f>'Eurostat EB flows IEA'!BF44</f>
        <v>0</v>
      </c>
      <c r="AM44">
        <f>'Eurostat EB flows IEA'!BG44</f>
        <v>0</v>
      </c>
      <c r="AN44">
        <f>'Eurostat EB flows IEA'!BH44</f>
        <v>0</v>
      </c>
      <c r="AO44">
        <f>'Eurostat EB flows IEA'!BI44</f>
        <v>0</v>
      </c>
      <c r="AP44">
        <f>'Eurostat EB flows IEA'!BJ44</f>
        <v>0</v>
      </c>
      <c r="AQ44">
        <f>'Eurostat EB flows IEA'!BK44</f>
        <v>0</v>
      </c>
      <c r="AR44">
        <f>'Eurostat EB flows IEA'!BL44</f>
        <v>0</v>
      </c>
      <c r="AS44">
        <f>'Eurostat EB flows IEA'!BM44</f>
        <v>0</v>
      </c>
      <c r="AT44">
        <f>'Eurostat EB flows IEA'!BN44</f>
        <v>0</v>
      </c>
      <c r="AU44">
        <f>'Eurostat EB flows IEA'!BO44</f>
        <v>0</v>
      </c>
      <c r="AV44">
        <f>'Eurostat EB flows IEA'!BP44</f>
        <v>0</v>
      </c>
      <c r="AW44">
        <f>'Eurostat EB flows IEA'!BQ44</f>
        <v>0</v>
      </c>
      <c r="AX44">
        <f>'Eurostat EB flows IEA'!BR44</f>
        <v>0</v>
      </c>
      <c r="AY44">
        <f>'Eurostat EB flows IEA'!BS44</f>
        <v>0</v>
      </c>
      <c r="AZ44">
        <f>'Eurostat EB flows IEA'!BT44</f>
        <v>0</v>
      </c>
      <c r="BA44">
        <f>'Eurostat EB flows IEA'!BU44</f>
        <v>0</v>
      </c>
      <c r="BB44">
        <f>'Eurostat EB flows IEA'!BV44</f>
        <v>0</v>
      </c>
      <c r="BC44">
        <f>'Eurostat EB flows IEA'!BW44</f>
        <v>0</v>
      </c>
      <c r="BD44">
        <f>'Eurostat EB flows IEA'!BX44</f>
        <v>0</v>
      </c>
      <c r="BE44">
        <f>'Eurostat EB flows IEA'!BY44</f>
        <v>0</v>
      </c>
      <c r="BF44">
        <f>'Eurostat EB flows IEA'!BZ44</f>
        <v>0</v>
      </c>
      <c r="BG44">
        <f>'Eurostat EB flows IEA'!CA44</f>
        <v>0</v>
      </c>
      <c r="BH44">
        <f>'Eurostat EB flows IEA'!CB44</f>
        <v>0</v>
      </c>
      <c r="BI44">
        <f>'Eurostat EB flows IEA'!CC44</f>
        <v>0</v>
      </c>
      <c r="BJ44">
        <f>'Eurostat EB flows IEA'!CD44</f>
        <v>0</v>
      </c>
      <c r="BK44">
        <f>'Eurostat EB flows IEA'!CE44</f>
        <v>0</v>
      </c>
      <c r="BL44">
        <f>'Eurostat EB flows IEA'!CF44</f>
        <v>0</v>
      </c>
      <c r="BM44">
        <f>'Eurostat EB flows IEA'!CG44</f>
        <v>0</v>
      </c>
      <c r="BN44">
        <f>'Eurostat EB flows IEA'!CH44</f>
        <v>0</v>
      </c>
    </row>
    <row r="45" spans="1:66" x14ac:dyDescent="0.2">
      <c r="A45" t="s">
        <v>165</v>
      </c>
      <c r="B45" t="str">
        <f>'Eurostat EB flows IEA'!V45</f>
        <v>x</v>
      </c>
      <c r="C45" t="str">
        <f>'Eurostat EB flows IEA'!W45</f>
        <v>x</v>
      </c>
      <c r="D45">
        <f>'Eurostat EB flows IEA'!X45</f>
        <v>0</v>
      </c>
      <c r="E45">
        <f>'Eurostat EB flows IEA'!Y45</f>
        <v>0</v>
      </c>
      <c r="F45">
        <f>'Eurostat EB flows IEA'!Z45</f>
        <v>0</v>
      </c>
      <c r="G45">
        <f>'Eurostat EB flows IEA'!AA45</f>
        <v>0</v>
      </c>
      <c r="H45">
        <f>'Eurostat EB flows IEA'!AB45</f>
        <v>0</v>
      </c>
      <c r="I45">
        <f>'Eurostat EB flows IEA'!AC45</f>
        <v>0</v>
      </c>
      <c r="J45">
        <f>'Eurostat EB flows IEA'!AD45</f>
        <v>0</v>
      </c>
      <c r="K45">
        <f>'Eurostat EB flows IEA'!AE45</f>
        <v>0</v>
      </c>
      <c r="L45">
        <f>'Eurostat EB flows IEA'!AF45</f>
        <v>0</v>
      </c>
      <c r="M45">
        <f>'Eurostat EB flows IEA'!AG45</f>
        <v>0</v>
      </c>
      <c r="N45">
        <f>'Eurostat EB flows IEA'!AH45</f>
        <v>0</v>
      </c>
      <c r="O45">
        <f>'Eurostat EB flows IEA'!AI45</f>
        <v>0</v>
      </c>
      <c r="P45">
        <f>'Eurostat EB flows IEA'!AJ45</f>
        <v>0</v>
      </c>
      <c r="Q45">
        <f>'Eurostat EB flows IEA'!AK45</f>
        <v>0</v>
      </c>
      <c r="R45">
        <f>'Eurostat EB flows IEA'!AL45</f>
        <v>0</v>
      </c>
      <c r="S45">
        <f>'Eurostat EB flows IEA'!AM45</f>
        <v>0</v>
      </c>
      <c r="T45" t="str">
        <f>'Eurostat EB flows IEA'!AN45</f>
        <v>x</v>
      </c>
      <c r="U45">
        <f>'Eurostat EB flows IEA'!AO45</f>
        <v>0</v>
      </c>
      <c r="V45">
        <f>'Eurostat EB flows IEA'!AP45</f>
        <v>0</v>
      </c>
      <c r="W45">
        <f>'Eurostat EB flows IEA'!AQ45</f>
        <v>0</v>
      </c>
      <c r="X45">
        <f>'Eurostat EB flows IEA'!AR45</f>
        <v>0</v>
      </c>
      <c r="Y45">
        <f>'Eurostat EB flows IEA'!AS45</f>
        <v>0</v>
      </c>
      <c r="Z45">
        <f>'Eurostat EB flows IEA'!AT45</f>
        <v>0</v>
      </c>
      <c r="AA45">
        <f>'Eurostat EB flows IEA'!AU45</f>
        <v>0</v>
      </c>
      <c r="AB45">
        <f>'Eurostat EB flows IEA'!AV45</f>
        <v>0</v>
      </c>
      <c r="AC45">
        <f>'Eurostat EB flows IEA'!AW45</f>
        <v>0</v>
      </c>
      <c r="AD45">
        <f>'Eurostat EB flows IEA'!AX45</f>
        <v>0</v>
      </c>
      <c r="AE45">
        <f>'Eurostat EB flows IEA'!AY45</f>
        <v>0</v>
      </c>
      <c r="AF45">
        <f>'Eurostat EB flows IEA'!AZ45</f>
        <v>0</v>
      </c>
      <c r="AG45">
        <f>'Eurostat EB flows IEA'!BA45</f>
        <v>0</v>
      </c>
      <c r="AH45">
        <f>'Eurostat EB flows IEA'!BB45</f>
        <v>0</v>
      </c>
      <c r="AI45">
        <f>'Eurostat EB flows IEA'!BC45</f>
        <v>0</v>
      </c>
      <c r="AJ45">
        <f>'Eurostat EB flows IEA'!BD45</f>
        <v>0</v>
      </c>
      <c r="AK45">
        <f>'Eurostat EB flows IEA'!BE45</f>
        <v>0</v>
      </c>
      <c r="AL45">
        <f>'Eurostat EB flows IEA'!BF45</f>
        <v>0</v>
      </c>
      <c r="AM45">
        <f>'Eurostat EB flows IEA'!BG45</f>
        <v>0</v>
      </c>
      <c r="AN45">
        <f>'Eurostat EB flows IEA'!BH45</f>
        <v>0</v>
      </c>
      <c r="AO45">
        <f>'Eurostat EB flows IEA'!BI45</f>
        <v>0</v>
      </c>
      <c r="AP45">
        <f>'Eurostat EB flows IEA'!BJ45</f>
        <v>0</v>
      </c>
      <c r="AQ45">
        <f>'Eurostat EB flows IEA'!BK45</f>
        <v>0</v>
      </c>
      <c r="AR45">
        <f>'Eurostat EB flows IEA'!BL45</f>
        <v>0</v>
      </c>
      <c r="AS45">
        <f>'Eurostat EB flows IEA'!BM45</f>
        <v>0</v>
      </c>
      <c r="AT45">
        <f>'Eurostat EB flows IEA'!BN45</f>
        <v>0</v>
      </c>
      <c r="AU45">
        <f>'Eurostat EB flows IEA'!BO45</f>
        <v>0</v>
      </c>
      <c r="AV45">
        <f>'Eurostat EB flows IEA'!BP45</f>
        <v>0</v>
      </c>
      <c r="AW45">
        <f>'Eurostat EB flows IEA'!BQ45</f>
        <v>0</v>
      </c>
      <c r="AX45">
        <f>'Eurostat EB flows IEA'!BR45</f>
        <v>0</v>
      </c>
      <c r="AY45">
        <f>'Eurostat EB flows IEA'!BS45</f>
        <v>0</v>
      </c>
      <c r="AZ45">
        <f>'Eurostat EB flows IEA'!BT45</f>
        <v>0</v>
      </c>
      <c r="BA45">
        <f>'Eurostat EB flows IEA'!BU45</f>
        <v>0</v>
      </c>
      <c r="BB45">
        <f>'Eurostat EB flows IEA'!BV45</f>
        <v>0</v>
      </c>
      <c r="BC45">
        <f>'Eurostat EB flows IEA'!BW45</f>
        <v>0</v>
      </c>
      <c r="BD45">
        <f>'Eurostat EB flows IEA'!BX45</f>
        <v>0</v>
      </c>
      <c r="BE45">
        <f>'Eurostat EB flows IEA'!BY45</f>
        <v>0</v>
      </c>
      <c r="BF45">
        <f>'Eurostat EB flows IEA'!BZ45</f>
        <v>0</v>
      </c>
      <c r="BG45">
        <f>'Eurostat EB flows IEA'!CA45</f>
        <v>0</v>
      </c>
      <c r="BH45">
        <f>'Eurostat EB flows IEA'!CB45</f>
        <v>0</v>
      </c>
      <c r="BI45">
        <f>'Eurostat EB flows IEA'!CC45</f>
        <v>0</v>
      </c>
      <c r="BJ45">
        <f>'Eurostat EB flows IEA'!CD45</f>
        <v>0</v>
      </c>
      <c r="BK45">
        <f>'Eurostat EB flows IEA'!CE45</f>
        <v>0</v>
      </c>
      <c r="BL45">
        <f>'Eurostat EB flows IEA'!CF45</f>
        <v>0</v>
      </c>
      <c r="BM45">
        <f>'Eurostat EB flows IEA'!CG45</f>
        <v>0</v>
      </c>
      <c r="BN45">
        <f>'Eurostat EB flows IEA'!CH45</f>
        <v>0</v>
      </c>
    </row>
    <row r="46" spans="1:66" x14ac:dyDescent="0.2">
      <c r="A46" t="s">
        <v>97</v>
      </c>
      <c r="B46" t="str">
        <f>'Eurostat EB flows IEA'!V46</f>
        <v>x</v>
      </c>
      <c r="C46" t="str">
        <f>'Eurostat EB flows IEA'!W46</f>
        <v>x</v>
      </c>
      <c r="D46">
        <f>'Eurostat EB flows IEA'!X46</f>
        <v>0</v>
      </c>
      <c r="E46">
        <f>'Eurostat EB flows IEA'!Y46</f>
        <v>0</v>
      </c>
      <c r="F46">
        <f>'Eurostat EB flows IEA'!Z46</f>
        <v>0</v>
      </c>
      <c r="G46">
        <f>'Eurostat EB flows IEA'!AA46</f>
        <v>0</v>
      </c>
      <c r="H46">
        <f>'Eurostat EB flows IEA'!AB46</f>
        <v>0</v>
      </c>
      <c r="I46">
        <f>'Eurostat EB flows IEA'!AC46</f>
        <v>0</v>
      </c>
      <c r="J46">
        <f>'Eurostat EB flows IEA'!AD46</f>
        <v>0</v>
      </c>
      <c r="K46">
        <f>'Eurostat EB flows IEA'!AE46</f>
        <v>0</v>
      </c>
      <c r="L46">
        <f>'Eurostat EB flows IEA'!AF46</f>
        <v>0</v>
      </c>
      <c r="M46">
        <f>'Eurostat EB flows IEA'!AG46</f>
        <v>0</v>
      </c>
      <c r="N46">
        <f>'Eurostat EB flows IEA'!AH46</f>
        <v>0</v>
      </c>
      <c r="O46">
        <f>'Eurostat EB flows IEA'!AI46</f>
        <v>0</v>
      </c>
      <c r="P46">
        <f>'Eurostat EB flows IEA'!AJ46</f>
        <v>0</v>
      </c>
      <c r="Q46">
        <f>'Eurostat EB flows IEA'!AK46</f>
        <v>0</v>
      </c>
      <c r="R46">
        <f>'Eurostat EB flows IEA'!AL46</f>
        <v>0</v>
      </c>
      <c r="S46">
        <f>'Eurostat EB flows IEA'!AM46</f>
        <v>0</v>
      </c>
      <c r="T46" t="str">
        <f>'Eurostat EB flows IEA'!AN46</f>
        <v>x</v>
      </c>
      <c r="U46">
        <f>'Eurostat EB flows IEA'!AO46</f>
        <v>0</v>
      </c>
      <c r="V46">
        <f>'Eurostat EB flows IEA'!AP46</f>
        <v>0</v>
      </c>
      <c r="W46">
        <f>'Eurostat EB flows IEA'!AQ46</f>
        <v>0</v>
      </c>
      <c r="X46">
        <f>'Eurostat EB flows IEA'!AR46</f>
        <v>0</v>
      </c>
      <c r="Y46">
        <f>'Eurostat EB flows IEA'!AS46</f>
        <v>0</v>
      </c>
      <c r="Z46">
        <f>'Eurostat EB flows IEA'!AT46</f>
        <v>0</v>
      </c>
      <c r="AA46">
        <f>'Eurostat EB flows IEA'!AU46</f>
        <v>0</v>
      </c>
      <c r="AB46">
        <f>'Eurostat EB flows IEA'!AV46</f>
        <v>0</v>
      </c>
      <c r="AC46">
        <f>'Eurostat EB flows IEA'!AW46</f>
        <v>0</v>
      </c>
      <c r="AD46">
        <f>'Eurostat EB flows IEA'!AX46</f>
        <v>0</v>
      </c>
      <c r="AE46">
        <f>'Eurostat EB flows IEA'!AY46</f>
        <v>0</v>
      </c>
      <c r="AF46">
        <f>'Eurostat EB flows IEA'!AZ46</f>
        <v>0</v>
      </c>
      <c r="AG46">
        <f>'Eurostat EB flows IEA'!BA46</f>
        <v>0</v>
      </c>
      <c r="AH46">
        <f>'Eurostat EB flows IEA'!BB46</f>
        <v>0</v>
      </c>
      <c r="AI46">
        <f>'Eurostat EB flows IEA'!BC46</f>
        <v>0</v>
      </c>
      <c r="AJ46">
        <f>'Eurostat EB flows IEA'!BD46</f>
        <v>0</v>
      </c>
      <c r="AK46">
        <f>'Eurostat EB flows IEA'!BE46</f>
        <v>0</v>
      </c>
      <c r="AL46">
        <f>'Eurostat EB flows IEA'!BF46</f>
        <v>0</v>
      </c>
      <c r="AM46">
        <f>'Eurostat EB flows IEA'!BG46</f>
        <v>0</v>
      </c>
      <c r="AN46">
        <f>'Eurostat EB flows IEA'!BH46</f>
        <v>0</v>
      </c>
      <c r="AO46">
        <f>'Eurostat EB flows IEA'!BI46</f>
        <v>0</v>
      </c>
      <c r="AP46">
        <f>'Eurostat EB flows IEA'!BJ46</f>
        <v>0</v>
      </c>
      <c r="AQ46">
        <f>'Eurostat EB flows IEA'!BK46</f>
        <v>0</v>
      </c>
      <c r="AR46">
        <f>'Eurostat EB flows IEA'!BL46</f>
        <v>0</v>
      </c>
      <c r="AS46">
        <f>'Eurostat EB flows IEA'!BM46</f>
        <v>0</v>
      </c>
      <c r="AT46">
        <f>'Eurostat EB flows IEA'!BN46</f>
        <v>0</v>
      </c>
      <c r="AU46">
        <f>'Eurostat EB flows IEA'!BO46</f>
        <v>0</v>
      </c>
      <c r="AV46">
        <f>'Eurostat EB flows IEA'!BP46</f>
        <v>0</v>
      </c>
      <c r="AW46">
        <f>'Eurostat EB flows IEA'!BQ46</f>
        <v>0</v>
      </c>
      <c r="AX46">
        <f>'Eurostat EB flows IEA'!BR46</f>
        <v>0</v>
      </c>
      <c r="AY46">
        <f>'Eurostat EB flows IEA'!BS46</f>
        <v>0</v>
      </c>
      <c r="AZ46">
        <f>'Eurostat EB flows IEA'!BT46</f>
        <v>0</v>
      </c>
      <c r="BA46">
        <f>'Eurostat EB flows IEA'!BU46</f>
        <v>0</v>
      </c>
      <c r="BB46">
        <f>'Eurostat EB flows IEA'!BV46</f>
        <v>0</v>
      </c>
      <c r="BC46">
        <f>'Eurostat EB flows IEA'!BW46</f>
        <v>0</v>
      </c>
      <c r="BD46">
        <f>'Eurostat EB flows IEA'!BX46</f>
        <v>0</v>
      </c>
      <c r="BE46">
        <f>'Eurostat EB flows IEA'!BY46</f>
        <v>0</v>
      </c>
      <c r="BF46">
        <f>'Eurostat EB flows IEA'!BZ46</f>
        <v>0</v>
      </c>
      <c r="BG46">
        <f>'Eurostat EB flows IEA'!CA46</f>
        <v>0</v>
      </c>
      <c r="BH46">
        <f>'Eurostat EB flows IEA'!CB46</f>
        <v>0</v>
      </c>
      <c r="BI46">
        <f>'Eurostat EB flows IEA'!CC46</f>
        <v>0</v>
      </c>
      <c r="BJ46">
        <f>'Eurostat EB flows IEA'!CD46</f>
        <v>0</v>
      </c>
      <c r="BK46">
        <f>'Eurostat EB flows IEA'!CE46</f>
        <v>0</v>
      </c>
      <c r="BL46">
        <f>'Eurostat EB flows IEA'!CF46</f>
        <v>0</v>
      </c>
      <c r="BM46">
        <f>'Eurostat EB flows IEA'!CG46</f>
        <v>0</v>
      </c>
      <c r="BN46">
        <f>'Eurostat EB flows IEA'!CH46</f>
        <v>0</v>
      </c>
    </row>
    <row r="47" spans="1:66" x14ac:dyDescent="0.2">
      <c r="A47" t="s">
        <v>166</v>
      </c>
      <c r="B47" t="str">
        <f>'Eurostat EB flows IEA'!V47</f>
        <v>x</v>
      </c>
      <c r="C47" t="str">
        <f>'Eurostat EB flows IEA'!W47</f>
        <v>x</v>
      </c>
      <c r="D47">
        <f>'Eurostat EB flows IEA'!X47</f>
        <v>0</v>
      </c>
      <c r="E47">
        <f>'Eurostat EB flows IEA'!Y47</f>
        <v>0</v>
      </c>
      <c r="F47">
        <f>'Eurostat EB flows IEA'!Z47</f>
        <v>0</v>
      </c>
      <c r="G47">
        <f>'Eurostat EB flows IEA'!AA47</f>
        <v>0</v>
      </c>
      <c r="H47">
        <f>'Eurostat EB flows IEA'!AB47</f>
        <v>0</v>
      </c>
      <c r="I47">
        <f>'Eurostat EB flows IEA'!AC47</f>
        <v>0</v>
      </c>
      <c r="J47">
        <f>'Eurostat EB flows IEA'!AD47</f>
        <v>0</v>
      </c>
      <c r="K47">
        <f>'Eurostat EB flows IEA'!AE47</f>
        <v>0</v>
      </c>
      <c r="L47">
        <f>'Eurostat EB flows IEA'!AF47</f>
        <v>0</v>
      </c>
      <c r="M47">
        <f>'Eurostat EB flows IEA'!AG47</f>
        <v>0</v>
      </c>
      <c r="N47">
        <f>'Eurostat EB flows IEA'!AH47</f>
        <v>0</v>
      </c>
      <c r="O47">
        <f>'Eurostat EB flows IEA'!AI47</f>
        <v>0</v>
      </c>
      <c r="P47">
        <f>'Eurostat EB flows IEA'!AJ47</f>
        <v>0</v>
      </c>
      <c r="Q47">
        <f>'Eurostat EB flows IEA'!AK47</f>
        <v>0</v>
      </c>
      <c r="R47">
        <f>'Eurostat EB flows IEA'!AL47</f>
        <v>0</v>
      </c>
      <c r="S47">
        <f>'Eurostat EB flows IEA'!AM47</f>
        <v>-20.163</v>
      </c>
      <c r="T47" t="str">
        <f>'Eurostat EB flows IEA'!AN47</f>
        <v>x</v>
      </c>
      <c r="U47">
        <f>'Eurostat EB flows IEA'!AO47</f>
        <v>0</v>
      </c>
      <c r="V47">
        <f>'Eurostat EB flows IEA'!AP47</f>
        <v>0</v>
      </c>
      <c r="W47">
        <f>'Eurostat EB flows IEA'!AQ47</f>
        <v>0</v>
      </c>
      <c r="X47">
        <f>'Eurostat EB flows IEA'!AR47</f>
        <v>0</v>
      </c>
      <c r="Y47">
        <f>'Eurostat EB flows IEA'!AS47</f>
        <v>0</v>
      </c>
      <c r="Z47">
        <f>'Eurostat EB flows IEA'!AT47</f>
        <v>0</v>
      </c>
      <c r="AA47">
        <f>'Eurostat EB flows IEA'!AU47</f>
        <v>0</v>
      </c>
      <c r="AB47">
        <f>'Eurostat EB flows IEA'!AV47</f>
        <v>0</v>
      </c>
      <c r="AC47">
        <f>'Eurostat EB flows IEA'!AW47</f>
        <v>0</v>
      </c>
      <c r="AD47">
        <f>'Eurostat EB flows IEA'!AX47</f>
        <v>0</v>
      </c>
      <c r="AE47">
        <f>'Eurostat EB flows IEA'!AY47</f>
        <v>0</v>
      </c>
      <c r="AF47">
        <f>'Eurostat EB flows IEA'!AZ47</f>
        <v>0</v>
      </c>
      <c r="AG47">
        <f>'Eurostat EB flows IEA'!BA47</f>
        <v>0</v>
      </c>
      <c r="AH47">
        <f>'Eurostat EB flows IEA'!BB47</f>
        <v>-3.6240000000000001</v>
      </c>
      <c r="AI47">
        <f>'Eurostat EB flows IEA'!BC47</f>
        <v>0</v>
      </c>
      <c r="AJ47">
        <f>'Eurostat EB flows IEA'!BD47</f>
        <v>0</v>
      </c>
      <c r="AK47">
        <f>'Eurostat EB flows IEA'!BE47</f>
        <v>0</v>
      </c>
      <c r="AL47">
        <f>'Eurostat EB flows IEA'!BF47</f>
        <v>0</v>
      </c>
      <c r="AM47">
        <f>'Eurostat EB flows IEA'!BG47</f>
        <v>0</v>
      </c>
      <c r="AN47">
        <f>'Eurostat EB flows IEA'!BH47</f>
        <v>0</v>
      </c>
      <c r="AO47">
        <f>'Eurostat EB flows IEA'!BI47</f>
        <v>0</v>
      </c>
      <c r="AP47">
        <f>'Eurostat EB flows IEA'!BJ47</f>
        <v>0</v>
      </c>
      <c r="AQ47">
        <f>'Eurostat EB flows IEA'!BK47</f>
        <v>0</v>
      </c>
      <c r="AR47">
        <f>'Eurostat EB flows IEA'!BL47</f>
        <v>0</v>
      </c>
      <c r="AS47">
        <f>'Eurostat EB flows IEA'!BM47</f>
        <v>0</v>
      </c>
      <c r="AT47">
        <f>'Eurostat EB flows IEA'!BN47</f>
        <v>0</v>
      </c>
      <c r="AU47">
        <f>'Eurostat EB flows IEA'!BO47</f>
        <v>0</v>
      </c>
      <c r="AV47">
        <f>'Eurostat EB flows IEA'!BP47</f>
        <v>0</v>
      </c>
      <c r="AW47">
        <f>'Eurostat EB flows IEA'!BQ47</f>
        <v>0</v>
      </c>
      <c r="AX47">
        <f>'Eurostat EB flows IEA'!BR47</f>
        <v>0</v>
      </c>
      <c r="AY47">
        <f>'Eurostat EB flows IEA'!BS47</f>
        <v>0</v>
      </c>
      <c r="AZ47">
        <f>'Eurostat EB flows IEA'!BT47</f>
        <v>0</v>
      </c>
      <c r="BA47">
        <f>'Eurostat EB flows IEA'!BU47</f>
        <v>0</v>
      </c>
      <c r="BB47">
        <f>'Eurostat EB flows IEA'!BV47</f>
        <v>0</v>
      </c>
      <c r="BC47">
        <f>'Eurostat EB flows IEA'!BW47</f>
        <v>0</v>
      </c>
      <c r="BD47">
        <f>'Eurostat EB flows IEA'!BX47</f>
        <v>0</v>
      </c>
      <c r="BE47">
        <f>'Eurostat EB flows IEA'!BY47</f>
        <v>0</v>
      </c>
      <c r="BF47">
        <f>'Eurostat EB flows IEA'!BZ47</f>
        <v>0</v>
      </c>
      <c r="BG47">
        <f>'Eurostat EB flows IEA'!CA47</f>
        <v>0</v>
      </c>
      <c r="BH47">
        <f>'Eurostat EB flows IEA'!CB47</f>
        <v>0</v>
      </c>
      <c r="BI47">
        <f>'Eurostat EB flows IEA'!CC47</f>
        <v>0</v>
      </c>
      <c r="BJ47">
        <f>'Eurostat EB flows IEA'!CD47</f>
        <v>0</v>
      </c>
      <c r="BK47">
        <f>'Eurostat EB flows IEA'!CE47</f>
        <v>-13668.019</v>
      </c>
      <c r="BL47">
        <f>'Eurostat EB flows IEA'!CF47</f>
        <v>0</v>
      </c>
      <c r="BM47">
        <f>'Eurostat EB flows IEA'!CG47</f>
        <v>-13691.806</v>
      </c>
      <c r="BN47">
        <f>'Eurostat EB flows IEA'!CH47</f>
        <v>-910.14200000000005</v>
      </c>
    </row>
    <row r="48" spans="1:66" x14ac:dyDescent="0.2">
      <c r="A48" t="s">
        <v>167</v>
      </c>
      <c r="B48" t="str">
        <f>'Eurostat EB flows IEA'!V48</f>
        <v>x</v>
      </c>
      <c r="C48" t="str">
        <f>'Eurostat EB flows IEA'!W48</f>
        <v>x</v>
      </c>
      <c r="D48">
        <f>'Eurostat EB flows IEA'!X48</f>
        <v>0</v>
      </c>
      <c r="E48">
        <f>'Eurostat EB flows IEA'!Y48</f>
        <v>0</v>
      </c>
      <c r="F48">
        <f>'Eurostat EB flows IEA'!Z48</f>
        <v>0</v>
      </c>
      <c r="G48">
        <f>'Eurostat EB flows IEA'!AA48</f>
        <v>0</v>
      </c>
      <c r="H48">
        <f>'Eurostat EB flows IEA'!AB48</f>
        <v>0</v>
      </c>
      <c r="I48">
        <f>'Eurostat EB flows IEA'!AC48</f>
        <v>0</v>
      </c>
      <c r="J48">
        <f>'Eurostat EB flows IEA'!AD48</f>
        <v>0</v>
      </c>
      <c r="K48">
        <f>'Eurostat EB flows IEA'!AE48</f>
        <v>0</v>
      </c>
      <c r="L48">
        <f>'Eurostat EB flows IEA'!AF48</f>
        <v>0</v>
      </c>
      <c r="M48">
        <f>'Eurostat EB flows IEA'!AG48</f>
        <v>0</v>
      </c>
      <c r="N48">
        <f>'Eurostat EB flows IEA'!AH48</f>
        <v>0</v>
      </c>
      <c r="O48">
        <f>'Eurostat EB flows IEA'!AI48</f>
        <v>0</v>
      </c>
      <c r="P48">
        <f>'Eurostat EB flows IEA'!AJ48</f>
        <v>0</v>
      </c>
      <c r="Q48">
        <f>'Eurostat EB flows IEA'!AK48</f>
        <v>0</v>
      </c>
      <c r="R48">
        <f>'Eurostat EB flows IEA'!AL48</f>
        <v>0</v>
      </c>
      <c r="S48">
        <f>'Eurostat EB flows IEA'!AM48</f>
        <v>0</v>
      </c>
      <c r="T48" t="str">
        <f>'Eurostat EB flows IEA'!AN48</f>
        <v>x</v>
      </c>
      <c r="U48">
        <f>'Eurostat EB flows IEA'!AO48</f>
        <v>0</v>
      </c>
      <c r="V48">
        <f>'Eurostat EB flows IEA'!AP48</f>
        <v>0</v>
      </c>
      <c r="W48">
        <f>'Eurostat EB flows IEA'!AQ48</f>
        <v>0</v>
      </c>
      <c r="X48">
        <f>'Eurostat EB flows IEA'!AR48</f>
        <v>0</v>
      </c>
      <c r="Y48">
        <f>'Eurostat EB flows IEA'!AS48</f>
        <v>0</v>
      </c>
      <c r="Z48">
        <f>'Eurostat EB flows IEA'!AT48</f>
        <v>0</v>
      </c>
      <c r="AA48">
        <f>'Eurostat EB flows IEA'!AU48</f>
        <v>0</v>
      </c>
      <c r="AB48">
        <f>'Eurostat EB flows IEA'!AV48</f>
        <v>0</v>
      </c>
      <c r="AC48">
        <f>'Eurostat EB flows IEA'!AW48</f>
        <v>0</v>
      </c>
      <c r="AD48">
        <f>'Eurostat EB flows IEA'!AX48</f>
        <v>0</v>
      </c>
      <c r="AE48">
        <f>'Eurostat EB flows IEA'!AY48</f>
        <v>0</v>
      </c>
      <c r="AF48">
        <f>'Eurostat EB flows IEA'!AZ48</f>
        <v>0</v>
      </c>
      <c r="AG48">
        <f>'Eurostat EB flows IEA'!BA48</f>
        <v>0</v>
      </c>
      <c r="AH48">
        <f>'Eurostat EB flows IEA'!BB48</f>
        <v>0</v>
      </c>
      <c r="AI48">
        <f>'Eurostat EB flows IEA'!BC48</f>
        <v>0</v>
      </c>
      <c r="AJ48">
        <f>'Eurostat EB flows IEA'!BD48</f>
        <v>0</v>
      </c>
      <c r="AK48">
        <f>'Eurostat EB flows IEA'!BE48</f>
        <v>0</v>
      </c>
      <c r="AL48">
        <f>'Eurostat EB flows IEA'!BF48</f>
        <v>0</v>
      </c>
      <c r="AM48">
        <f>'Eurostat EB flows IEA'!BG48</f>
        <v>0</v>
      </c>
      <c r="AN48">
        <f>'Eurostat EB flows IEA'!BH48</f>
        <v>0</v>
      </c>
      <c r="AO48">
        <f>'Eurostat EB flows IEA'!BI48</f>
        <v>0</v>
      </c>
      <c r="AP48">
        <f>'Eurostat EB flows IEA'!BJ48</f>
        <v>0</v>
      </c>
      <c r="AQ48">
        <f>'Eurostat EB flows IEA'!BK48</f>
        <v>0</v>
      </c>
      <c r="AR48">
        <f>'Eurostat EB flows IEA'!BL48</f>
        <v>0</v>
      </c>
      <c r="AS48">
        <f>'Eurostat EB flows IEA'!BM48</f>
        <v>0</v>
      </c>
      <c r="AT48">
        <f>'Eurostat EB flows IEA'!BN48</f>
        <v>0</v>
      </c>
      <c r="AU48">
        <f>'Eurostat EB flows IEA'!BO48</f>
        <v>0</v>
      </c>
      <c r="AV48">
        <f>'Eurostat EB flows IEA'!BP48</f>
        <v>0</v>
      </c>
      <c r="AW48">
        <f>'Eurostat EB flows IEA'!BQ48</f>
        <v>0</v>
      </c>
      <c r="AX48">
        <f>'Eurostat EB flows IEA'!BR48</f>
        <v>0</v>
      </c>
      <c r="AY48">
        <f>'Eurostat EB flows IEA'!BS48</f>
        <v>0</v>
      </c>
      <c r="AZ48">
        <f>'Eurostat EB flows IEA'!BT48</f>
        <v>0</v>
      </c>
      <c r="BA48">
        <f>'Eurostat EB flows IEA'!BU48</f>
        <v>0</v>
      </c>
      <c r="BB48">
        <f>'Eurostat EB flows IEA'!BV48</f>
        <v>0</v>
      </c>
      <c r="BC48">
        <f>'Eurostat EB flows IEA'!BW48</f>
        <v>0</v>
      </c>
      <c r="BD48">
        <f>'Eurostat EB flows IEA'!BX48</f>
        <v>0</v>
      </c>
      <c r="BE48">
        <f>'Eurostat EB flows IEA'!BY48</f>
        <v>0</v>
      </c>
      <c r="BF48">
        <f>'Eurostat EB flows IEA'!BZ48</f>
        <v>0</v>
      </c>
      <c r="BG48">
        <f>'Eurostat EB flows IEA'!CA48</f>
        <v>0</v>
      </c>
      <c r="BH48">
        <f>'Eurostat EB flows IEA'!CB48</f>
        <v>0</v>
      </c>
      <c r="BI48">
        <f>'Eurostat EB flows IEA'!CC48</f>
        <v>0</v>
      </c>
      <c r="BJ48">
        <f>'Eurostat EB flows IEA'!CD48</f>
        <v>0</v>
      </c>
      <c r="BK48">
        <f>'Eurostat EB flows IEA'!CE48</f>
        <v>0</v>
      </c>
      <c r="BL48">
        <f>'Eurostat EB flows IEA'!CF48</f>
        <v>0</v>
      </c>
      <c r="BM48">
        <f>'Eurostat EB flows IEA'!CG48</f>
        <v>0</v>
      </c>
      <c r="BN48">
        <f>'Eurostat EB flows IEA'!CH48</f>
        <v>0</v>
      </c>
    </row>
    <row r="49" spans="1:66" x14ac:dyDescent="0.2">
      <c r="A49" t="s">
        <v>96</v>
      </c>
      <c r="B49" t="str">
        <f>'Eurostat EB flows IEA'!V49</f>
        <v>x</v>
      </c>
      <c r="C49" t="str">
        <f>'Eurostat EB flows IEA'!W49</f>
        <v>x</v>
      </c>
      <c r="D49">
        <f>'Eurostat EB flows IEA'!X49</f>
        <v>0</v>
      </c>
      <c r="E49">
        <f>'Eurostat EB flows IEA'!Y49</f>
        <v>0</v>
      </c>
      <c r="F49">
        <f>'Eurostat EB flows IEA'!Z49</f>
        <v>0</v>
      </c>
      <c r="G49">
        <f>'Eurostat EB flows IEA'!AA49</f>
        <v>0</v>
      </c>
      <c r="H49">
        <f>'Eurostat EB flows IEA'!AB49</f>
        <v>0</v>
      </c>
      <c r="I49">
        <f>'Eurostat EB flows IEA'!AC49</f>
        <v>0</v>
      </c>
      <c r="J49">
        <f>'Eurostat EB flows IEA'!AD49</f>
        <v>0</v>
      </c>
      <c r="K49">
        <f>'Eurostat EB flows IEA'!AE49</f>
        <v>0</v>
      </c>
      <c r="L49">
        <f>'Eurostat EB flows IEA'!AF49</f>
        <v>0</v>
      </c>
      <c r="M49">
        <f>'Eurostat EB flows IEA'!AG49</f>
        <v>0</v>
      </c>
      <c r="N49">
        <f>'Eurostat EB flows IEA'!AH49</f>
        <v>0</v>
      </c>
      <c r="O49">
        <f>'Eurostat EB flows IEA'!AI49</f>
        <v>0</v>
      </c>
      <c r="P49">
        <f>'Eurostat EB flows IEA'!AJ49</f>
        <v>0</v>
      </c>
      <c r="Q49">
        <f>'Eurostat EB flows IEA'!AK49</f>
        <v>0</v>
      </c>
      <c r="R49">
        <f>'Eurostat EB flows IEA'!AL49</f>
        <v>0</v>
      </c>
      <c r="S49">
        <f>'Eurostat EB flows IEA'!AM49</f>
        <v>0</v>
      </c>
      <c r="T49" t="str">
        <f>'Eurostat EB flows IEA'!AN49</f>
        <v>x</v>
      </c>
      <c r="U49">
        <f>'Eurostat EB flows IEA'!AO49</f>
        <v>0</v>
      </c>
      <c r="V49">
        <f>'Eurostat EB flows IEA'!AP49</f>
        <v>0</v>
      </c>
      <c r="W49">
        <f>'Eurostat EB flows IEA'!AQ49</f>
        <v>0</v>
      </c>
      <c r="X49">
        <f>'Eurostat EB flows IEA'!AR49</f>
        <v>0</v>
      </c>
      <c r="Y49">
        <f>'Eurostat EB flows IEA'!AS49</f>
        <v>0</v>
      </c>
      <c r="Z49">
        <f>'Eurostat EB flows IEA'!AT49</f>
        <v>0</v>
      </c>
      <c r="AA49">
        <f>'Eurostat EB flows IEA'!AU49</f>
        <v>0</v>
      </c>
      <c r="AB49">
        <f>'Eurostat EB flows IEA'!AV49</f>
        <v>0</v>
      </c>
      <c r="AC49">
        <f>'Eurostat EB flows IEA'!AW49</f>
        <v>0</v>
      </c>
      <c r="AD49">
        <f>'Eurostat EB flows IEA'!AX49</f>
        <v>0</v>
      </c>
      <c r="AE49">
        <f>'Eurostat EB flows IEA'!AY49</f>
        <v>0</v>
      </c>
      <c r="AF49">
        <f>'Eurostat EB flows IEA'!AZ49</f>
        <v>0</v>
      </c>
      <c r="AG49">
        <f>'Eurostat EB flows IEA'!BA49</f>
        <v>0</v>
      </c>
      <c r="AH49">
        <f>'Eurostat EB flows IEA'!BB49</f>
        <v>0</v>
      </c>
      <c r="AI49">
        <f>'Eurostat EB flows IEA'!BC49</f>
        <v>0</v>
      </c>
      <c r="AJ49">
        <f>'Eurostat EB flows IEA'!BD49</f>
        <v>0</v>
      </c>
      <c r="AK49">
        <f>'Eurostat EB flows IEA'!BE49</f>
        <v>0</v>
      </c>
      <c r="AL49">
        <f>'Eurostat EB flows IEA'!BF49</f>
        <v>0</v>
      </c>
      <c r="AM49">
        <f>'Eurostat EB flows IEA'!BG49</f>
        <v>0</v>
      </c>
      <c r="AN49">
        <f>'Eurostat EB flows IEA'!BH49</f>
        <v>0</v>
      </c>
      <c r="AO49">
        <f>'Eurostat EB flows IEA'!BI49</f>
        <v>0</v>
      </c>
      <c r="AP49">
        <f>'Eurostat EB flows IEA'!BJ49</f>
        <v>0</v>
      </c>
      <c r="AQ49">
        <f>'Eurostat EB flows IEA'!BK49</f>
        <v>0</v>
      </c>
      <c r="AR49">
        <f>'Eurostat EB flows IEA'!BL49</f>
        <v>0</v>
      </c>
      <c r="AS49">
        <f>'Eurostat EB flows IEA'!BM49</f>
        <v>0</v>
      </c>
      <c r="AT49">
        <f>'Eurostat EB flows IEA'!BN49</f>
        <v>0</v>
      </c>
      <c r="AU49">
        <f>'Eurostat EB flows IEA'!BO49</f>
        <v>0</v>
      </c>
      <c r="AV49">
        <f>'Eurostat EB flows IEA'!BP49</f>
        <v>0</v>
      </c>
      <c r="AW49">
        <f>'Eurostat EB flows IEA'!BQ49</f>
        <v>0</v>
      </c>
      <c r="AX49">
        <f>'Eurostat EB flows IEA'!BR49</f>
        <v>0</v>
      </c>
      <c r="AY49">
        <f>'Eurostat EB flows IEA'!BS49</f>
        <v>0</v>
      </c>
      <c r="AZ49">
        <f>'Eurostat EB flows IEA'!BT49</f>
        <v>0</v>
      </c>
      <c r="BA49">
        <f>'Eurostat EB flows IEA'!BU49</f>
        <v>0</v>
      </c>
      <c r="BB49">
        <f>'Eurostat EB flows IEA'!BV49</f>
        <v>0</v>
      </c>
      <c r="BC49">
        <f>'Eurostat EB flows IEA'!BW49</f>
        <v>0</v>
      </c>
      <c r="BD49">
        <f>'Eurostat EB flows IEA'!BX49</f>
        <v>0</v>
      </c>
      <c r="BE49">
        <f>'Eurostat EB flows IEA'!BY49</f>
        <v>0</v>
      </c>
      <c r="BF49">
        <f>'Eurostat EB flows IEA'!BZ49</f>
        <v>0</v>
      </c>
      <c r="BG49">
        <f>'Eurostat EB flows IEA'!CA49</f>
        <v>0</v>
      </c>
      <c r="BH49">
        <f>'Eurostat EB flows IEA'!CB49</f>
        <v>0</v>
      </c>
      <c r="BI49">
        <f>'Eurostat EB flows IEA'!CC49</f>
        <v>0</v>
      </c>
      <c r="BJ49">
        <f>'Eurostat EB flows IEA'!CD49</f>
        <v>0</v>
      </c>
      <c r="BK49">
        <f>'Eurostat EB flows IEA'!CE49</f>
        <v>-566.87</v>
      </c>
      <c r="BL49">
        <f>'Eurostat EB flows IEA'!CF49</f>
        <v>0</v>
      </c>
      <c r="BM49">
        <f>'Eurostat EB flows IEA'!CG49</f>
        <v>-566.87</v>
      </c>
      <c r="BN49">
        <f>'Eurostat EB flows IEA'!CH49</f>
        <v>-37.738999999999997</v>
      </c>
    </row>
    <row r="50" spans="1:66" x14ac:dyDescent="0.2">
      <c r="A50" t="s">
        <v>92</v>
      </c>
      <c r="B50" t="str">
        <f>'Eurostat EB flows IEA'!V50</f>
        <v>x</v>
      </c>
      <c r="C50" t="str">
        <f>'Eurostat EB flows IEA'!W50</f>
        <v>x</v>
      </c>
      <c r="D50">
        <f>'Eurostat EB flows IEA'!X50</f>
        <v>0</v>
      </c>
      <c r="E50">
        <f>'Eurostat EB flows IEA'!Y50</f>
        <v>0</v>
      </c>
      <c r="F50">
        <f>'Eurostat EB flows IEA'!Z50</f>
        <v>0</v>
      </c>
      <c r="G50">
        <f>'Eurostat EB flows IEA'!AA50</f>
        <v>0</v>
      </c>
      <c r="H50">
        <f>'Eurostat EB flows IEA'!AB50</f>
        <v>0</v>
      </c>
      <c r="I50">
        <f>'Eurostat EB flows IEA'!AC50</f>
        <v>0</v>
      </c>
      <c r="J50">
        <f>'Eurostat EB flows IEA'!AD50</f>
        <v>0</v>
      </c>
      <c r="K50">
        <f>'Eurostat EB flows IEA'!AE50</f>
        <v>0</v>
      </c>
      <c r="L50">
        <f>'Eurostat EB flows IEA'!AF50</f>
        <v>0</v>
      </c>
      <c r="M50">
        <f>'Eurostat EB flows IEA'!AG50</f>
        <v>0</v>
      </c>
      <c r="N50">
        <f>'Eurostat EB flows IEA'!AH50</f>
        <v>0</v>
      </c>
      <c r="O50">
        <f>'Eurostat EB flows IEA'!AI50</f>
        <v>0</v>
      </c>
      <c r="P50">
        <f>'Eurostat EB flows IEA'!AJ50</f>
        <v>0</v>
      </c>
      <c r="Q50">
        <f>'Eurostat EB flows IEA'!AK50</f>
        <v>0</v>
      </c>
      <c r="R50">
        <f>'Eurostat EB flows IEA'!AL50</f>
        <v>0</v>
      </c>
      <c r="S50">
        <f>'Eurostat EB flows IEA'!AM50</f>
        <v>0</v>
      </c>
      <c r="T50" t="str">
        <f>'Eurostat EB flows IEA'!AN50</f>
        <v>x</v>
      </c>
      <c r="U50">
        <f>'Eurostat EB flows IEA'!AO50</f>
        <v>0</v>
      </c>
      <c r="V50">
        <f>'Eurostat EB flows IEA'!AP50</f>
        <v>0</v>
      </c>
      <c r="W50">
        <f>'Eurostat EB flows IEA'!AQ50</f>
        <v>0</v>
      </c>
      <c r="X50">
        <f>'Eurostat EB flows IEA'!AR50</f>
        <v>0</v>
      </c>
      <c r="Y50">
        <f>'Eurostat EB flows IEA'!AS50</f>
        <v>0</v>
      </c>
      <c r="Z50">
        <f>'Eurostat EB flows IEA'!AT50</f>
        <v>0</v>
      </c>
      <c r="AA50">
        <f>'Eurostat EB flows IEA'!AU50</f>
        <v>0</v>
      </c>
      <c r="AB50">
        <f>'Eurostat EB flows IEA'!AV50</f>
        <v>0</v>
      </c>
      <c r="AC50">
        <f>'Eurostat EB flows IEA'!AW50</f>
        <v>0</v>
      </c>
      <c r="AD50">
        <f>'Eurostat EB flows IEA'!AX50</f>
        <v>0</v>
      </c>
      <c r="AE50">
        <f>'Eurostat EB flows IEA'!AY50</f>
        <v>0</v>
      </c>
      <c r="AF50">
        <f>'Eurostat EB flows IEA'!AZ50</f>
        <v>0</v>
      </c>
      <c r="AG50">
        <f>'Eurostat EB flows IEA'!BA50</f>
        <v>0</v>
      </c>
      <c r="AH50">
        <f>'Eurostat EB flows IEA'!BB50</f>
        <v>0</v>
      </c>
      <c r="AI50">
        <f>'Eurostat EB flows IEA'!BC50</f>
        <v>0</v>
      </c>
      <c r="AJ50">
        <f>'Eurostat EB flows IEA'!BD50</f>
        <v>0</v>
      </c>
      <c r="AK50">
        <f>'Eurostat EB flows IEA'!BE50</f>
        <v>0</v>
      </c>
      <c r="AL50">
        <f>'Eurostat EB flows IEA'!BF50</f>
        <v>0</v>
      </c>
      <c r="AM50">
        <f>'Eurostat EB flows IEA'!BG50</f>
        <v>0</v>
      </c>
      <c r="AN50">
        <f>'Eurostat EB flows IEA'!BH50</f>
        <v>0</v>
      </c>
      <c r="AO50">
        <f>'Eurostat EB flows IEA'!BI50</f>
        <v>0</v>
      </c>
      <c r="AP50">
        <f>'Eurostat EB flows IEA'!BJ50</f>
        <v>0</v>
      </c>
      <c r="AQ50">
        <f>'Eurostat EB flows IEA'!BK50</f>
        <v>0</v>
      </c>
      <c r="AR50">
        <f>'Eurostat EB flows IEA'!BL50</f>
        <v>0</v>
      </c>
      <c r="AS50">
        <f>'Eurostat EB flows IEA'!BM50</f>
        <v>0</v>
      </c>
      <c r="AT50">
        <f>'Eurostat EB flows IEA'!BN50</f>
        <v>0</v>
      </c>
      <c r="AU50">
        <f>'Eurostat EB flows IEA'!BO50</f>
        <v>0</v>
      </c>
      <c r="AV50">
        <f>'Eurostat EB flows IEA'!BP50</f>
        <v>0</v>
      </c>
      <c r="AW50">
        <f>'Eurostat EB flows IEA'!BQ50</f>
        <v>0</v>
      </c>
      <c r="AX50">
        <f>'Eurostat EB flows IEA'!BR50</f>
        <v>0</v>
      </c>
      <c r="AY50">
        <f>'Eurostat EB flows IEA'!BS50</f>
        <v>0</v>
      </c>
      <c r="AZ50">
        <f>'Eurostat EB flows IEA'!BT50</f>
        <v>0</v>
      </c>
      <c r="BA50">
        <f>'Eurostat EB flows IEA'!BU50</f>
        <v>0</v>
      </c>
      <c r="BB50">
        <f>'Eurostat EB flows IEA'!BV50</f>
        <v>0</v>
      </c>
      <c r="BC50">
        <f>'Eurostat EB flows IEA'!BW50</f>
        <v>0</v>
      </c>
      <c r="BD50">
        <f>'Eurostat EB flows IEA'!BX50</f>
        <v>0</v>
      </c>
      <c r="BE50">
        <f>'Eurostat EB flows IEA'!BY50</f>
        <v>0</v>
      </c>
      <c r="BF50">
        <f>'Eurostat EB flows IEA'!BZ50</f>
        <v>0</v>
      </c>
      <c r="BG50">
        <f>'Eurostat EB flows IEA'!CA50</f>
        <v>0</v>
      </c>
      <c r="BH50">
        <f>'Eurostat EB flows IEA'!CB50</f>
        <v>0</v>
      </c>
      <c r="BI50">
        <f>'Eurostat EB flows IEA'!CC50</f>
        <v>0</v>
      </c>
      <c r="BJ50">
        <f>'Eurostat EB flows IEA'!CD50</f>
        <v>0</v>
      </c>
      <c r="BK50">
        <f>'Eurostat EB flows IEA'!CE50</f>
        <v>0</v>
      </c>
      <c r="BL50">
        <f>'Eurostat EB flows IEA'!CF50</f>
        <v>0</v>
      </c>
      <c r="BM50">
        <f>'Eurostat EB flows IEA'!CG50</f>
        <v>0</v>
      </c>
      <c r="BN50">
        <f>'Eurostat EB flows IEA'!CH50</f>
        <v>0</v>
      </c>
    </row>
    <row r="51" spans="1:66" x14ac:dyDescent="0.2">
      <c r="A51" t="s">
        <v>168</v>
      </c>
      <c r="B51" t="str">
        <f>'Eurostat EB flows IEA'!V51</f>
        <v>x</v>
      </c>
      <c r="C51" t="str">
        <f>'Eurostat EB flows IEA'!W51</f>
        <v>x</v>
      </c>
      <c r="D51">
        <f>'Eurostat EB flows IEA'!X51</f>
        <v>0</v>
      </c>
      <c r="E51">
        <f>'Eurostat EB flows IEA'!Y51</f>
        <v>0</v>
      </c>
      <c r="F51">
        <f>'Eurostat EB flows IEA'!Z51</f>
        <v>0</v>
      </c>
      <c r="G51">
        <f>'Eurostat EB flows IEA'!AA51</f>
        <v>0</v>
      </c>
      <c r="H51">
        <f>'Eurostat EB flows IEA'!AB51</f>
        <v>0</v>
      </c>
      <c r="I51">
        <f>'Eurostat EB flows IEA'!AC51</f>
        <v>0</v>
      </c>
      <c r="J51">
        <f>'Eurostat EB flows IEA'!AD51</f>
        <v>0</v>
      </c>
      <c r="K51">
        <f>'Eurostat EB flows IEA'!AE51</f>
        <v>0</v>
      </c>
      <c r="L51">
        <f>'Eurostat EB flows IEA'!AF51</f>
        <v>0</v>
      </c>
      <c r="M51">
        <f>'Eurostat EB flows IEA'!AG51</f>
        <v>0</v>
      </c>
      <c r="N51">
        <f>'Eurostat EB flows IEA'!AH51</f>
        <v>0</v>
      </c>
      <c r="O51">
        <f>'Eurostat EB flows IEA'!AI51</f>
        <v>0</v>
      </c>
      <c r="P51">
        <f>'Eurostat EB flows IEA'!AJ51</f>
        <v>0</v>
      </c>
      <c r="Q51">
        <f>'Eurostat EB flows IEA'!AK51</f>
        <v>0</v>
      </c>
      <c r="R51">
        <f>'Eurostat EB flows IEA'!AL51</f>
        <v>0</v>
      </c>
      <c r="S51">
        <f>'Eurostat EB flows IEA'!AM51</f>
        <v>-666.83</v>
      </c>
      <c r="T51" t="str">
        <f>'Eurostat EB flows IEA'!AN51</f>
        <v>x</v>
      </c>
      <c r="U51">
        <f>'Eurostat EB flows IEA'!AO51</f>
        <v>0</v>
      </c>
      <c r="V51">
        <f>'Eurostat EB flows IEA'!AP51</f>
        <v>0</v>
      </c>
      <c r="W51">
        <f>'Eurostat EB flows IEA'!AQ51</f>
        <v>0</v>
      </c>
      <c r="X51">
        <f>'Eurostat EB flows IEA'!AR51</f>
        <v>0</v>
      </c>
      <c r="Y51">
        <f>'Eurostat EB flows IEA'!AS51</f>
        <v>0</v>
      </c>
      <c r="Z51">
        <f>'Eurostat EB flows IEA'!AT51</f>
        <v>0</v>
      </c>
      <c r="AA51">
        <f>'Eurostat EB flows IEA'!AU51</f>
        <v>0</v>
      </c>
      <c r="AB51">
        <f>'Eurostat EB flows IEA'!AV51</f>
        <v>0</v>
      </c>
      <c r="AC51">
        <f>'Eurostat EB flows IEA'!AW51</f>
        <v>0</v>
      </c>
      <c r="AD51">
        <f>'Eurostat EB flows IEA'!AX51</f>
        <v>0</v>
      </c>
      <c r="AE51">
        <f>'Eurostat EB flows IEA'!AY51</f>
        <v>0</v>
      </c>
      <c r="AF51">
        <f>'Eurostat EB flows IEA'!AZ51</f>
        <v>0</v>
      </c>
      <c r="AG51">
        <f>'Eurostat EB flows IEA'!BA51</f>
        <v>0</v>
      </c>
      <c r="AH51">
        <f>'Eurostat EB flows IEA'!BB51</f>
        <v>0</v>
      </c>
      <c r="AI51">
        <f>'Eurostat EB flows IEA'!BC51</f>
        <v>0</v>
      </c>
      <c r="AJ51">
        <f>'Eurostat EB flows IEA'!BD51</f>
        <v>0</v>
      </c>
      <c r="AK51">
        <f>'Eurostat EB flows IEA'!BE51</f>
        <v>0</v>
      </c>
      <c r="AL51">
        <f>'Eurostat EB flows IEA'!BF51</f>
        <v>0</v>
      </c>
      <c r="AM51">
        <f>'Eurostat EB flows IEA'!BG51</f>
        <v>0</v>
      </c>
      <c r="AN51">
        <f>'Eurostat EB flows IEA'!BH51</f>
        <v>0</v>
      </c>
      <c r="AO51">
        <f>'Eurostat EB flows IEA'!BI51</f>
        <v>0</v>
      </c>
      <c r="AP51">
        <f>'Eurostat EB flows IEA'!BJ51</f>
        <v>0</v>
      </c>
      <c r="AQ51">
        <f>'Eurostat EB flows IEA'!BK51</f>
        <v>0</v>
      </c>
      <c r="AR51">
        <f>'Eurostat EB flows IEA'!BL51</f>
        <v>0</v>
      </c>
      <c r="AS51">
        <f>'Eurostat EB flows IEA'!BM51</f>
        <v>0</v>
      </c>
      <c r="AT51">
        <f>'Eurostat EB flows IEA'!BN51</f>
        <v>0</v>
      </c>
      <c r="AU51">
        <f>'Eurostat EB flows IEA'!BO51</f>
        <v>0</v>
      </c>
      <c r="AV51">
        <f>'Eurostat EB flows IEA'!BP51</f>
        <v>0</v>
      </c>
      <c r="AW51">
        <f>'Eurostat EB flows IEA'!BQ51</f>
        <v>0</v>
      </c>
      <c r="AX51">
        <f>'Eurostat EB flows IEA'!BR51</f>
        <v>0</v>
      </c>
      <c r="AY51">
        <f>'Eurostat EB flows IEA'!BS51</f>
        <v>0</v>
      </c>
      <c r="AZ51">
        <f>'Eurostat EB flows IEA'!BT51</f>
        <v>0</v>
      </c>
      <c r="BA51">
        <f>'Eurostat EB flows IEA'!BU51</f>
        <v>0</v>
      </c>
      <c r="BB51">
        <f>'Eurostat EB flows IEA'!BV51</f>
        <v>0</v>
      </c>
      <c r="BC51">
        <f>'Eurostat EB flows IEA'!BW51</f>
        <v>0</v>
      </c>
      <c r="BD51">
        <f>'Eurostat EB flows IEA'!BX51</f>
        <v>0</v>
      </c>
      <c r="BE51">
        <f>'Eurostat EB flows IEA'!BY51</f>
        <v>0</v>
      </c>
      <c r="BF51">
        <f>'Eurostat EB flows IEA'!BZ51</f>
        <v>0</v>
      </c>
      <c r="BG51">
        <f>'Eurostat EB flows IEA'!CA51</f>
        <v>0</v>
      </c>
      <c r="BH51">
        <f>'Eurostat EB flows IEA'!CB51</f>
        <v>0</v>
      </c>
      <c r="BI51">
        <f>'Eurostat EB flows IEA'!CC51</f>
        <v>0</v>
      </c>
      <c r="BJ51">
        <f>'Eurostat EB flows IEA'!CD51</f>
        <v>0</v>
      </c>
      <c r="BK51">
        <f>'Eurostat EB flows IEA'!CE51</f>
        <v>-1048.2370000000001</v>
      </c>
      <c r="BL51">
        <f>'Eurostat EB flows IEA'!CF51</f>
        <v>-1666.0360000000001</v>
      </c>
      <c r="BM51">
        <f>'Eurostat EB flows IEA'!CG51</f>
        <v>-3381.1030000000001</v>
      </c>
      <c r="BN51">
        <f>'Eurostat EB flows IEA'!CH51</f>
        <v>-442.34300000000002</v>
      </c>
    </row>
    <row r="52" spans="1:66" x14ac:dyDescent="0.2">
      <c r="A52" t="s">
        <v>169</v>
      </c>
      <c r="B52" t="str">
        <f>'Eurostat EB flows IEA'!V52</f>
        <v>x</v>
      </c>
      <c r="C52" t="str">
        <f>'Eurostat EB flows IEA'!W52</f>
        <v>x</v>
      </c>
      <c r="D52">
        <f>'Eurostat EB flows IEA'!X52</f>
        <v>0</v>
      </c>
      <c r="E52">
        <f>'Eurostat EB flows IEA'!Y52</f>
        <v>0</v>
      </c>
      <c r="F52">
        <f>'Eurostat EB flows IEA'!Z52</f>
        <v>0</v>
      </c>
      <c r="G52">
        <f>'Eurostat EB flows IEA'!AA52</f>
        <v>0</v>
      </c>
      <c r="H52">
        <f>'Eurostat EB flows IEA'!AB52</f>
        <v>0</v>
      </c>
      <c r="I52">
        <f>'Eurostat EB flows IEA'!AC52</f>
        <v>0</v>
      </c>
      <c r="J52">
        <f>'Eurostat EB flows IEA'!AD52</f>
        <v>0</v>
      </c>
      <c r="K52">
        <f>'Eurostat EB flows IEA'!AE52</f>
        <v>0</v>
      </c>
      <c r="L52">
        <f>'Eurostat EB flows IEA'!AF52</f>
        <v>0</v>
      </c>
      <c r="M52">
        <f>'Eurostat EB flows IEA'!AG52</f>
        <v>0</v>
      </c>
      <c r="N52">
        <f>'Eurostat EB flows IEA'!AH52</f>
        <v>0</v>
      </c>
      <c r="O52">
        <f>'Eurostat EB flows IEA'!AI52</f>
        <v>0</v>
      </c>
      <c r="P52">
        <f>'Eurostat EB flows IEA'!AJ52</f>
        <v>0</v>
      </c>
      <c r="Q52">
        <f>'Eurostat EB flows IEA'!AK52</f>
        <v>0</v>
      </c>
      <c r="R52">
        <f>'Eurostat EB flows IEA'!AL52</f>
        <v>0</v>
      </c>
      <c r="S52">
        <f>'Eurostat EB flows IEA'!AM52</f>
        <v>-47.442999999999998</v>
      </c>
      <c r="T52" t="str">
        <f>'Eurostat EB flows IEA'!AN52</f>
        <v>x</v>
      </c>
      <c r="U52">
        <f>'Eurostat EB flows IEA'!AO52</f>
        <v>0</v>
      </c>
      <c r="V52">
        <f>'Eurostat EB flows IEA'!AP52</f>
        <v>0</v>
      </c>
      <c r="W52">
        <f>'Eurostat EB flows IEA'!AQ52</f>
        <v>0</v>
      </c>
      <c r="X52">
        <f>'Eurostat EB flows IEA'!AR52</f>
        <v>0</v>
      </c>
      <c r="Y52">
        <f>'Eurostat EB flows IEA'!AS52</f>
        <v>0</v>
      </c>
      <c r="Z52">
        <f>'Eurostat EB flows IEA'!AT52</f>
        <v>0</v>
      </c>
      <c r="AA52">
        <f>'Eurostat EB flows IEA'!AU52</f>
        <v>0</v>
      </c>
      <c r="AB52">
        <f>'Eurostat EB flows IEA'!AV52</f>
        <v>0</v>
      </c>
      <c r="AC52">
        <f>'Eurostat EB flows IEA'!AW52</f>
        <v>0</v>
      </c>
      <c r="AD52">
        <f>'Eurostat EB flows IEA'!AX52</f>
        <v>0</v>
      </c>
      <c r="AE52">
        <f>'Eurostat EB flows IEA'!AY52</f>
        <v>0</v>
      </c>
      <c r="AF52">
        <f>'Eurostat EB flows IEA'!AZ52</f>
        <v>0</v>
      </c>
      <c r="AG52">
        <f>'Eurostat EB flows IEA'!BA52</f>
        <v>0</v>
      </c>
      <c r="AH52">
        <f>'Eurostat EB flows IEA'!BB52</f>
        <v>0</v>
      </c>
      <c r="AI52">
        <f>'Eurostat EB flows IEA'!BC52</f>
        <v>0</v>
      </c>
      <c r="AJ52">
        <f>'Eurostat EB flows IEA'!BD52</f>
        <v>0</v>
      </c>
      <c r="AK52">
        <f>'Eurostat EB flows IEA'!BE52</f>
        <v>0</v>
      </c>
      <c r="AL52">
        <f>'Eurostat EB flows IEA'!BF52</f>
        <v>0</v>
      </c>
      <c r="AM52">
        <f>'Eurostat EB flows IEA'!BG52</f>
        <v>0</v>
      </c>
      <c r="AN52">
        <f>'Eurostat EB flows IEA'!BH52</f>
        <v>0</v>
      </c>
      <c r="AO52">
        <f>'Eurostat EB flows IEA'!BI52</f>
        <v>0</v>
      </c>
      <c r="AP52">
        <f>'Eurostat EB flows IEA'!BJ52</f>
        <v>0</v>
      </c>
      <c r="AQ52">
        <f>'Eurostat EB flows IEA'!BK52</f>
        <v>0</v>
      </c>
      <c r="AR52">
        <f>'Eurostat EB flows IEA'!BL52</f>
        <v>0</v>
      </c>
      <c r="AS52">
        <f>'Eurostat EB flows IEA'!BM52</f>
        <v>0</v>
      </c>
      <c r="AT52">
        <f>'Eurostat EB flows IEA'!BN52</f>
        <v>0</v>
      </c>
      <c r="AU52">
        <f>'Eurostat EB flows IEA'!BO52</f>
        <v>0</v>
      </c>
      <c r="AV52">
        <f>'Eurostat EB flows IEA'!BP52</f>
        <v>0</v>
      </c>
      <c r="AW52">
        <f>'Eurostat EB flows IEA'!BQ52</f>
        <v>0</v>
      </c>
      <c r="AX52">
        <f>'Eurostat EB flows IEA'!BR52</f>
        <v>0</v>
      </c>
      <c r="AY52">
        <f>'Eurostat EB flows IEA'!BS52</f>
        <v>0</v>
      </c>
      <c r="AZ52">
        <f>'Eurostat EB flows IEA'!BT52</f>
        <v>0</v>
      </c>
      <c r="BA52">
        <f>'Eurostat EB flows IEA'!BU52</f>
        <v>0</v>
      </c>
      <c r="BB52">
        <f>'Eurostat EB flows IEA'!BV52</f>
        <v>0</v>
      </c>
      <c r="BC52">
        <f>'Eurostat EB flows IEA'!BW52</f>
        <v>0</v>
      </c>
      <c r="BD52">
        <f>'Eurostat EB flows IEA'!BX52</f>
        <v>0</v>
      </c>
      <c r="BE52">
        <f>'Eurostat EB flows IEA'!BY52</f>
        <v>0</v>
      </c>
      <c r="BF52">
        <f>'Eurostat EB flows IEA'!BZ52</f>
        <v>0</v>
      </c>
      <c r="BG52">
        <f>'Eurostat EB flows IEA'!CA52</f>
        <v>0</v>
      </c>
      <c r="BH52">
        <f>'Eurostat EB flows IEA'!CB52</f>
        <v>0</v>
      </c>
      <c r="BI52">
        <f>'Eurostat EB flows IEA'!CC52</f>
        <v>0</v>
      </c>
      <c r="BJ52">
        <f>'Eurostat EB flows IEA'!CD52</f>
        <v>0</v>
      </c>
      <c r="BK52">
        <f>'Eurostat EB flows IEA'!CE52</f>
        <v>-18101.606</v>
      </c>
      <c r="BL52">
        <f>'Eurostat EB flows IEA'!CF52</f>
        <v>-7619.5709999999999</v>
      </c>
      <c r="BM52">
        <f>'Eurostat EB flows IEA'!CG52</f>
        <v>-25768.62</v>
      </c>
      <c r="BN52">
        <f>'Eurostat EB flows IEA'!CH52</f>
        <v>-2878.2260000000001</v>
      </c>
    </row>
    <row r="53" spans="1:66" x14ac:dyDescent="0.2">
      <c r="A53" t="s">
        <v>170</v>
      </c>
      <c r="B53" t="str">
        <f>'Eurostat EB flows IEA'!V53</f>
        <v>x</v>
      </c>
      <c r="C53" t="str">
        <f>'Eurostat EB flows IEA'!W53</f>
        <v>x</v>
      </c>
      <c r="D53">
        <f>'Eurostat EB flows IEA'!X53</f>
        <v>76.707999999999998</v>
      </c>
      <c r="E53">
        <f>'Eurostat EB flows IEA'!Y53</f>
        <v>66.251999999999995</v>
      </c>
      <c r="F53">
        <f>'Eurostat EB flows IEA'!Z53</f>
        <v>294.52499999999998</v>
      </c>
      <c r="G53">
        <f>'Eurostat EB flows IEA'!AA53</f>
        <v>0</v>
      </c>
      <c r="H53">
        <f>'Eurostat EB flows IEA'!AB53</f>
        <v>312.82</v>
      </c>
      <c r="I53">
        <f>'Eurostat EB flows IEA'!AC53</f>
        <v>0</v>
      </c>
      <c r="J53">
        <f>'Eurostat EB flows IEA'!AD53</f>
        <v>3903.7599999999998</v>
      </c>
      <c r="K53">
        <f>'Eurostat EB flows IEA'!AE53</f>
        <v>0</v>
      </c>
      <c r="L53">
        <f>'Eurostat EB flows IEA'!AF53</f>
        <v>917.98699999999997</v>
      </c>
      <c r="M53">
        <f>'Eurostat EB flows IEA'!AG53</f>
        <v>0</v>
      </c>
      <c r="N53">
        <f>'Eurostat EB flows IEA'!AH53</f>
        <v>0</v>
      </c>
      <c r="O53">
        <f>'Eurostat EB flows IEA'!AI53</f>
        <v>6393.5039999999999</v>
      </c>
      <c r="P53">
        <f>'Eurostat EB flows IEA'!AJ53</f>
        <v>4792.902</v>
      </c>
      <c r="Q53">
        <f>'Eurostat EB flows IEA'!AK53</f>
        <v>0</v>
      </c>
      <c r="R53">
        <f>'Eurostat EB flows IEA'!AL53</f>
        <v>0</v>
      </c>
      <c r="S53">
        <f>'Eurostat EB flows IEA'!AM53</f>
        <v>600299.1</v>
      </c>
      <c r="T53" t="str">
        <f>'Eurostat EB flows IEA'!AN53</f>
        <v>x</v>
      </c>
      <c r="U53">
        <f>'Eurostat EB flows IEA'!AO53</f>
        <v>0</v>
      </c>
      <c r="V53">
        <f>'Eurostat EB flows IEA'!AP53</f>
        <v>113287.74400000001</v>
      </c>
      <c r="W53">
        <f>'Eurostat EB flows IEA'!AQ53</f>
        <v>0</v>
      </c>
      <c r="X53">
        <f>'Eurostat EB flows IEA'!AR53</f>
        <v>0</v>
      </c>
      <c r="Y53">
        <f>'Eurostat EB flows IEA'!AS53</f>
        <v>0</v>
      </c>
      <c r="Z53">
        <f>'Eurostat EB flows IEA'!AT53</f>
        <v>103516.201</v>
      </c>
      <c r="AA53">
        <f>'Eurostat EB flows IEA'!AU53</f>
        <v>0</v>
      </c>
      <c r="AB53">
        <f>'Eurostat EB flows IEA'!AV53</f>
        <v>78636.838000000003</v>
      </c>
      <c r="AC53">
        <f>'Eurostat EB flows IEA'!AW53</f>
        <v>171929.75099999999</v>
      </c>
      <c r="AD53">
        <f>'Eurostat EB flows IEA'!AX53</f>
        <v>56.847000000000001</v>
      </c>
      <c r="AE53">
        <f>'Eurostat EB flows IEA'!AY53</f>
        <v>0</v>
      </c>
      <c r="AF53">
        <f>'Eurostat EB flows IEA'!AZ53</f>
        <v>1938.453</v>
      </c>
      <c r="AG53">
        <f>'Eurostat EB flows IEA'!BA53</f>
        <v>1574.8739999999998</v>
      </c>
      <c r="AH53">
        <f>'Eurostat EB flows IEA'!BB53</f>
        <v>233804.76300000001</v>
      </c>
      <c r="AI53">
        <f>'Eurostat EB flows IEA'!BC53</f>
        <v>0</v>
      </c>
      <c r="AJ53">
        <f>'Eurostat EB flows IEA'!BD53</f>
        <v>163893.617</v>
      </c>
      <c r="AK53">
        <f>'Eurostat EB flows IEA'!BE53</f>
        <v>761.42600000000004</v>
      </c>
      <c r="AL53">
        <f>'Eurostat EB flows IEA'!BF53</f>
        <v>6290.674</v>
      </c>
      <c r="AM53">
        <f>'Eurostat EB flows IEA'!BG53</f>
        <v>3839.2550000000001</v>
      </c>
      <c r="AN53">
        <f>'Eurostat EB flows IEA'!BH53</f>
        <v>809.70799999999997</v>
      </c>
      <c r="AO53">
        <f>'Eurostat EB flows IEA'!BI53</f>
        <v>14776.728999999999</v>
      </c>
      <c r="AP53">
        <f>'Eurostat EB flows IEA'!BJ53</f>
        <v>6374.55</v>
      </c>
      <c r="AQ53">
        <f>'Eurostat EB flows IEA'!BK53</f>
        <v>631.01400000000001</v>
      </c>
      <c r="AR53">
        <f>'Eurostat EB flows IEA'!BL53</f>
        <v>1510.0820000000001</v>
      </c>
      <c r="AS53">
        <f>'Eurostat EB flows IEA'!BM53</f>
        <v>1339.13</v>
      </c>
      <c r="AT53">
        <f>'Eurostat EB flows IEA'!BN53</f>
        <v>25605.462</v>
      </c>
      <c r="AU53">
        <f>'Eurostat EB flows IEA'!BO53</f>
        <v>4526.3789999999999</v>
      </c>
      <c r="AV53">
        <f>'Eurostat EB flows IEA'!BP53</f>
        <v>10780.532999999999</v>
      </c>
      <c r="AW53">
        <f>'Eurostat EB flows IEA'!BQ53</f>
        <v>14730.06</v>
      </c>
      <c r="AX53">
        <f>'Eurostat EB flows IEA'!BR53</f>
        <v>529.77599999999995</v>
      </c>
      <c r="AY53">
        <f>'Eurostat EB flows IEA'!BS53</f>
        <v>0</v>
      </c>
      <c r="AZ53">
        <f>'Eurostat EB flows IEA'!BT53</f>
        <v>270</v>
      </c>
      <c r="BA53">
        <f>'Eurostat EB flows IEA'!BU53</f>
        <v>0</v>
      </c>
      <c r="BB53">
        <f>'Eurostat EB flows IEA'!BV53</f>
        <v>0</v>
      </c>
      <c r="BC53">
        <f>'Eurostat EB flows IEA'!BW53</f>
        <v>0</v>
      </c>
      <c r="BD53">
        <f>'Eurostat EB flows IEA'!BX53</f>
        <v>0</v>
      </c>
      <c r="BE53">
        <f>'Eurostat EB flows IEA'!BY53</f>
        <v>6797.51</v>
      </c>
      <c r="BF53">
        <f>'Eurostat EB flows IEA'!BZ53</f>
        <v>0</v>
      </c>
      <c r="BG53">
        <f>'Eurostat EB flows IEA'!CA53</f>
        <v>1176</v>
      </c>
      <c r="BH53">
        <f>'Eurostat EB flows IEA'!CB53</f>
        <v>0</v>
      </c>
      <c r="BI53">
        <f>'Eurostat EB flows IEA'!CC53</f>
        <v>0</v>
      </c>
      <c r="BJ53">
        <f>'Eurostat EB flows IEA'!CD53</f>
        <v>0</v>
      </c>
      <c r="BK53">
        <f>'Eurostat EB flows IEA'!CE53</f>
        <v>366245.21899999998</v>
      </c>
      <c r="BL53">
        <f>'Eurostat EB flows IEA'!CF53</f>
        <v>68717.456000000006</v>
      </c>
      <c r="BM53">
        <f>'Eurostat EB flows IEA'!CG53</f>
        <v>2046932.2220000001</v>
      </c>
      <c r="BN53">
        <f>'Eurostat EB flows IEA'!CH53</f>
        <v>103568.338</v>
      </c>
    </row>
    <row r="54" spans="1:66" x14ac:dyDescent="0.2">
      <c r="A54" t="s">
        <v>171</v>
      </c>
      <c r="B54" t="str">
        <f>'Eurostat EB flows IEA'!V54</f>
        <v>x</v>
      </c>
      <c r="C54" t="str">
        <f>'Eurostat EB flows IEA'!W54</f>
        <v>x</v>
      </c>
      <c r="D54">
        <f>'Eurostat EB flows IEA'!X54</f>
        <v>0</v>
      </c>
      <c r="E54">
        <f>'Eurostat EB flows IEA'!Y54</f>
        <v>47.326999999999998</v>
      </c>
      <c r="F54">
        <f>'Eurostat EB flows IEA'!Z54</f>
        <v>294.52499999999998</v>
      </c>
      <c r="G54">
        <f>'Eurostat EB flows IEA'!AA54</f>
        <v>0</v>
      </c>
      <c r="H54">
        <f>'Eurostat EB flows IEA'!AB54</f>
        <v>0</v>
      </c>
      <c r="I54">
        <f>'Eurostat EB flows IEA'!AC54</f>
        <v>0</v>
      </c>
      <c r="J54">
        <f>'Eurostat EB flows IEA'!AD54</f>
        <v>3652.3609999999999</v>
      </c>
      <c r="K54">
        <f>'Eurostat EB flows IEA'!AE54</f>
        <v>0</v>
      </c>
      <c r="L54">
        <f>'Eurostat EB flows IEA'!AF54</f>
        <v>0</v>
      </c>
      <c r="M54">
        <f>'Eurostat EB flows IEA'!AG54</f>
        <v>0</v>
      </c>
      <c r="N54">
        <f>'Eurostat EB flows IEA'!AH54</f>
        <v>0</v>
      </c>
      <c r="O54">
        <f>'Eurostat EB flows IEA'!AI54</f>
        <v>6393.5039999999999</v>
      </c>
      <c r="P54">
        <f>'Eurostat EB flows IEA'!AJ54</f>
        <v>4792.902</v>
      </c>
      <c r="Q54">
        <f>'Eurostat EB flows IEA'!AK54</f>
        <v>0</v>
      </c>
      <c r="R54">
        <f>'Eurostat EB flows IEA'!AL54</f>
        <v>0</v>
      </c>
      <c r="S54">
        <f>'Eurostat EB flows IEA'!AM54</f>
        <v>176097.43599999999</v>
      </c>
      <c r="T54" t="str">
        <f>'Eurostat EB flows IEA'!AN54</f>
        <v>x</v>
      </c>
      <c r="U54">
        <f>'Eurostat EB flows IEA'!AO54</f>
        <v>0</v>
      </c>
      <c r="V54">
        <f>'Eurostat EB flows IEA'!AP54</f>
        <v>0</v>
      </c>
      <c r="W54">
        <f>'Eurostat EB flows IEA'!AQ54</f>
        <v>0</v>
      </c>
      <c r="X54">
        <f>'Eurostat EB flows IEA'!AR54</f>
        <v>0</v>
      </c>
      <c r="Y54">
        <f>'Eurostat EB flows IEA'!AS54</f>
        <v>0</v>
      </c>
      <c r="Z54">
        <f>'Eurostat EB flows IEA'!AT54</f>
        <v>103516.201</v>
      </c>
      <c r="AA54">
        <f>'Eurostat EB flows IEA'!AU54</f>
        <v>0</v>
      </c>
      <c r="AB54">
        <f>'Eurostat EB flows IEA'!AV54</f>
        <v>730.46299999999997</v>
      </c>
      <c r="AC54">
        <f>'Eurostat EB flows IEA'!AW54</f>
        <v>259.90699999999998</v>
      </c>
      <c r="AD54">
        <f>'Eurostat EB flows IEA'!AX54</f>
        <v>0</v>
      </c>
      <c r="AE54">
        <f>'Eurostat EB flows IEA'!AY54</f>
        <v>0</v>
      </c>
      <c r="AF54">
        <f>'Eurostat EB flows IEA'!AZ54</f>
        <v>0</v>
      </c>
      <c r="AG54">
        <f>'Eurostat EB flows IEA'!BA54</f>
        <v>1.897</v>
      </c>
      <c r="AH54">
        <f>'Eurostat EB flows IEA'!BB54</f>
        <v>20604.415000000001</v>
      </c>
      <c r="AI54">
        <f>'Eurostat EB flows IEA'!BC54</f>
        <v>0</v>
      </c>
      <c r="AJ54">
        <f>'Eurostat EB flows IEA'!BD54</f>
        <v>0</v>
      </c>
      <c r="AK54">
        <f>'Eurostat EB flows IEA'!BE54</f>
        <v>0</v>
      </c>
      <c r="AL54">
        <f>'Eurostat EB flows IEA'!BF54</f>
        <v>0</v>
      </c>
      <c r="AM54">
        <f>'Eurostat EB flows IEA'!BG54</f>
        <v>0</v>
      </c>
      <c r="AN54">
        <f>'Eurostat EB flows IEA'!BH54</f>
        <v>0</v>
      </c>
      <c r="AO54">
        <f>'Eurostat EB flows IEA'!BI54</f>
        <v>64.194999999999993</v>
      </c>
      <c r="AP54">
        <f>'Eurostat EB flows IEA'!BJ54</f>
        <v>648.56700000000001</v>
      </c>
      <c r="AQ54">
        <f>'Eurostat EB flows IEA'!BK54</f>
        <v>592.08699999999999</v>
      </c>
      <c r="AR54">
        <f>'Eurostat EB flows IEA'!BL54</f>
        <v>0</v>
      </c>
      <c r="AS54">
        <f>'Eurostat EB flows IEA'!BM54</f>
        <v>0</v>
      </c>
      <c r="AT54">
        <f>'Eurostat EB flows IEA'!BN54</f>
        <v>3043.9540000000002</v>
      </c>
      <c r="AU54">
        <f>'Eurostat EB flows IEA'!BO54</f>
        <v>1728.771</v>
      </c>
      <c r="AV54">
        <f>'Eurostat EB flows IEA'!BP54</f>
        <v>0</v>
      </c>
      <c r="AW54">
        <f>'Eurostat EB flows IEA'!BQ54</f>
        <v>1414.422</v>
      </c>
      <c r="AX54">
        <f>'Eurostat EB flows IEA'!BR54</f>
        <v>272.16000000000003</v>
      </c>
      <c r="AY54">
        <f>'Eurostat EB flows IEA'!BS54</f>
        <v>0</v>
      </c>
      <c r="AZ54">
        <f>'Eurostat EB flows IEA'!BT54</f>
        <v>0</v>
      </c>
      <c r="BA54">
        <f>'Eurostat EB flows IEA'!BU54</f>
        <v>0</v>
      </c>
      <c r="BB54">
        <f>'Eurostat EB flows IEA'!BV54</f>
        <v>0</v>
      </c>
      <c r="BC54">
        <f>'Eurostat EB flows IEA'!BW54</f>
        <v>0</v>
      </c>
      <c r="BD54">
        <f>'Eurostat EB flows IEA'!BX54</f>
        <v>0</v>
      </c>
      <c r="BE54">
        <f>'Eurostat EB flows IEA'!BY54</f>
        <v>0</v>
      </c>
      <c r="BF54">
        <f>'Eurostat EB flows IEA'!BZ54</f>
        <v>0</v>
      </c>
      <c r="BG54">
        <f>'Eurostat EB flows IEA'!CA54</f>
        <v>0</v>
      </c>
      <c r="BH54">
        <f>'Eurostat EB flows IEA'!CB54</f>
        <v>0</v>
      </c>
      <c r="BI54">
        <f>'Eurostat EB flows IEA'!CC54</f>
        <v>0</v>
      </c>
      <c r="BJ54">
        <f>'Eurostat EB flows IEA'!CD54</f>
        <v>0</v>
      </c>
      <c r="BK54">
        <f>'Eurostat EB flows IEA'!CE54</f>
        <v>115158.823</v>
      </c>
      <c r="BL54">
        <f>'Eurostat EB flows IEA'!CF54</f>
        <v>47883.012999999999</v>
      </c>
      <c r="BM54">
        <f>'Eurostat EB flows IEA'!CG54</f>
        <v>487196.93</v>
      </c>
      <c r="BN54">
        <f>'Eurostat EB flows IEA'!CH54</f>
        <v>26440.892</v>
      </c>
    </row>
    <row r="55" spans="1:66" x14ac:dyDescent="0.2">
      <c r="A55" t="s">
        <v>172</v>
      </c>
      <c r="B55" t="str">
        <f>'Eurostat EB flows IEA'!V55</f>
        <v>x</v>
      </c>
      <c r="C55" t="str">
        <f>'Eurostat EB flows IEA'!W55</f>
        <v>x</v>
      </c>
      <c r="D55">
        <f>'Eurostat EB flows IEA'!X55</f>
        <v>0</v>
      </c>
      <c r="E55">
        <f>'Eurostat EB flows IEA'!Y55</f>
        <v>34.386000000000003</v>
      </c>
      <c r="F55">
        <f>'Eurostat EB flows IEA'!Z55</f>
        <v>0</v>
      </c>
      <c r="G55">
        <f>'Eurostat EB flows IEA'!AA55</f>
        <v>0</v>
      </c>
      <c r="H55">
        <f>'Eurostat EB flows IEA'!AB55</f>
        <v>0</v>
      </c>
      <c r="I55">
        <f>'Eurostat EB flows IEA'!AC55</f>
        <v>0</v>
      </c>
      <c r="J55">
        <f>'Eurostat EB flows IEA'!AD55</f>
        <v>2930.712</v>
      </c>
      <c r="K55">
        <f>'Eurostat EB flows IEA'!AE55</f>
        <v>0</v>
      </c>
      <c r="L55">
        <f>'Eurostat EB flows IEA'!AF55</f>
        <v>0</v>
      </c>
      <c r="M55">
        <f>'Eurostat EB flows IEA'!AG55</f>
        <v>0</v>
      </c>
      <c r="N55">
        <f>'Eurostat EB flows IEA'!AH55</f>
        <v>0</v>
      </c>
      <c r="O55">
        <f>'Eurostat EB flows IEA'!AI55</f>
        <v>6393.5039999999999</v>
      </c>
      <c r="P55">
        <f>'Eurostat EB flows IEA'!AJ55</f>
        <v>4792.902</v>
      </c>
      <c r="Q55">
        <f>'Eurostat EB flows IEA'!AK55</f>
        <v>0</v>
      </c>
      <c r="R55">
        <f>'Eurostat EB flows IEA'!AL55</f>
        <v>0</v>
      </c>
      <c r="S55">
        <f>'Eurostat EB flows IEA'!AM55</f>
        <v>7183.5</v>
      </c>
      <c r="T55" t="str">
        <f>'Eurostat EB flows IEA'!AN55</f>
        <v>x</v>
      </c>
      <c r="U55">
        <f>'Eurostat EB flows IEA'!AO55</f>
        <v>0</v>
      </c>
      <c r="V55">
        <f>'Eurostat EB flows IEA'!AP55</f>
        <v>0</v>
      </c>
      <c r="W55">
        <f>'Eurostat EB flows IEA'!AQ55</f>
        <v>0</v>
      </c>
      <c r="X55">
        <f>'Eurostat EB flows IEA'!AR55</f>
        <v>0</v>
      </c>
      <c r="Y55">
        <f>'Eurostat EB flows IEA'!AS55</f>
        <v>0</v>
      </c>
      <c r="Z55">
        <f>'Eurostat EB flows IEA'!AT55</f>
        <v>0</v>
      </c>
      <c r="AA55">
        <f>'Eurostat EB flows IEA'!AU55</f>
        <v>0</v>
      </c>
      <c r="AB55">
        <f>'Eurostat EB flows IEA'!AV55</f>
        <v>33.308</v>
      </c>
      <c r="AC55">
        <f>'Eurostat EB flows IEA'!AW55</f>
        <v>0</v>
      </c>
      <c r="AD55">
        <f>'Eurostat EB flows IEA'!AX55</f>
        <v>0</v>
      </c>
      <c r="AE55">
        <f>'Eurostat EB flows IEA'!AY55</f>
        <v>0</v>
      </c>
      <c r="AF55">
        <f>'Eurostat EB flows IEA'!AZ55</f>
        <v>0</v>
      </c>
      <c r="AG55">
        <f>'Eurostat EB flows IEA'!BA55</f>
        <v>0</v>
      </c>
      <c r="AH55">
        <f>'Eurostat EB flows IEA'!BB55</f>
        <v>104.83199999999999</v>
      </c>
      <c r="AI55">
        <f>'Eurostat EB flows IEA'!BC55</f>
        <v>0</v>
      </c>
      <c r="AJ55">
        <f>'Eurostat EB flows IEA'!BD55</f>
        <v>0</v>
      </c>
      <c r="AK55">
        <f>'Eurostat EB flows IEA'!BE55</f>
        <v>0</v>
      </c>
      <c r="AL55">
        <f>'Eurostat EB flows IEA'!BF55</f>
        <v>0</v>
      </c>
      <c r="AM55">
        <f>'Eurostat EB flows IEA'!BG55</f>
        <v>0</v>
      </c>
      <c r="AN55">
        <f>'Eurostat EB flows IEA'!BH55</f>
        <v>0</v>
      </c>
      <c r="AO55">
        <f>'Eurostat EB flows IEA'!BI55</f>
        <v>64.194999999999993</v>
      </c>
      <c r="AP55">
        <f>'Eurostat EB flows IEA'!BJ55</f>
        <v>2.2389999999999999</v>
      </c>
      <c r="AQ55">
        <f>'Eurostat EB flows IEA'!BK55</f>
        <v>0</v>
      </c>
      <c r="AR55">
        <f>'Eurostat EB flows IEA'!BL55</f>
        <v>0</v>
      </c>
      <c r="AS55">
        <f>'Eurostat EB flows IEA'!BM55</f>
        <v>0</v>
      </c>
      <c r="AT55">
        <f>'Eurostat EB flows IEA'!BN55</f>
        <v>0</v>
      </c>
      <c r="AU55">
        <f>'Eurostat EB flows IEA'!BO55</f>
        <v>0</v>
      </c>
      <c r="AV55">
        <f>'Eurostat EB flows IEA'!BP55</f>
        <v>0</v>
      </c>
      <c r="AW55">
        <f>'Eurostat EB flows IEA'!BQ55</f>
        <v>0</v>
      </c>
      <c r="AX55">
        <f>'Eurostat EB flows IEA'!BR55</f>
        <v>0</v>
      </c>
      <c r="AY55">
        <f>'Eurostat EB flows IEA'!BS55</f>
        <v>0</v>
      </c>
      <c r="AZ55">
        <f>'Eurostat EB flows IEA'!BT55</f>
        <v>0</v>
      </c>
      <c r="BA55">
        <f>'Eurostat EB flows IEA'!BU55</f>
        <v>0</v>
      </c>
      <c r="BB55">
        <f>'Eurostat EB flows IEA'!BV55</f>
        <v>0</v>
      </c>
      <c r="BC55">
        <f>'Eurostat EB flows IEA'!BW55</f>
        <v>0</v>
      </c>
      <c r="BD55">
        <f>'Eurostat EB flows IEA'!BX55</f>
        <v>0</v>
      </c>
      <c r="BE55">
        <f>'Eurostat EB flows IEA'!BY55</f>
        <v>0</v>
      </c>
      <c r="BF55">
        <f>'Eurostat EB flows IEA'!BZ55</f>
        <v>0</v>
      </c>
      <c r="BG55">
        <f>'Eurostat EB flows IEA'!CA55</f>
        <v>0</v>
      </c>
      <c r="BH55">
        <f>'Eurostat EB flows IEA'!CB55</f>
        <v>0</v>
      </c>
      <c r="BI55">
        <f>'Eurostat EB flows IEA'!CC55</f>
        <v>0</v>
      </c>
      <c r="BJ55">
        <f>'Eurostat EB flows IEA'!CD55</f>
        <v>0</v>
      </c>
      <c r="BK55">
        <f>'Eurostat EB flows IEA'!CE55</f>
        <v>6857.442</v>
      </c>
      <c r="BL55">
        <f>'Eurostat EB flows IEA'!CF55</f>
        <v>48.027000000000001</v>
      </c>
      <c r="BM55">
        <f>'Eurostat EB flows IEA'!CG55</f>
        <v>28445.046999999999</v>
      </c>
      <c r="BN55">
        <f>'Eurostat EB flows IEA'!CH55</f>
        <v>540.65099999999995</v>
      </c>
    </row>
    <row r="56" spans="1:66" x14ac:dyDescent="0.2">
      <c r="A56" t="s">
        <v>173</v>
      </c>
      <c r="B56" t="str">
        <f>'Eurostat EB flows IEA'!V56</f>
        <v>x</v>
      </c>
      <c r="C56" t="str">
        <f>'Eurostat EB flows IEA'!W56</f>
        <v>x</v>
      </c>
      <c r="D56">
        <f>'Eurostat EB flows IEA'!X56</f>
        <v>0</v>
      </c>
      <c r="E56">
        <f>'Eurostat EB flows IEA'!Y56</f>
        <v>0</v>
      </c>
      <c r="F56">
        <f>'Eurostat EB flows IEA'!Z56</f>
        <v>0</v>
      </c>
      <c r="G56">
        <f>'Eurostat EB flows IEA'!AA56</f>
        <v>0</v>
      </c>
      <c r="H56">
        <f>'Eurostat EB flows IEA'!AB56</f>
        <v>0</v>
      </c>
      <c r="I56">
        <f>'Eurostat EB flows IEA'!AC56</f>
        <v>0</v>
      </c>
      <c r="J56">
        <f>'Eurostat EB flows IEA'!AD56</f>
        <v>0</v>
      </c>
      <c r="K56">
        <f>'Eurostat EB flows IEA'!AE56</f>
        <v>0</v>
      </c>
      <c r="L56">
        <f>'Eurostat EB flows IEA'!AF56</f>
        <v>0</v>
      </c>
      <c r="M56">
        <f>'Eurostat EB flows IEA'!AG56</f>
        <v>0</v>
      </c>
      <c r="N56">
        <f>'Eurostat EB flows IEA'!AH56</f>
        <v>0</v>
      </c>
      <c r="O56">
        <f>'Eurostat EB flows IEA'!AI56</f>
        <v>0</v>
      </c>
      <c r="P56">
        <f>'Eurostat EB flows IEA'!AJ56</f>
        <v>0</v>
      </c>
      <c r="Q56">
        <f>'Eurostat EB flows IEA'!AK56</f>
        <v>0</v>
      </c>
      <c r="R56">
        <f>'Eurostat EB flows IEA'!AL56</f>
        <v>0</v>
      </c>
      <c r="S56">
        <f>'Eurostat EB flows IEA'!AM56</f>
        <v>70345.629000000001</v>
      </c>
      <c r="T56" t="str">
        <f>'Eurostat EB flows IEA'!AN56</f>
        <v>x</v>
      </c>
      <c r="U56">
        <f>'Eurostat EB flows IEA'!AO56</f>
        <v>0</v>
      </c>
      <c r="V56">
        <f>'Eurostat EB flows IEA'!AP56</f>
        <v>0</v>
      </c>
      <c r="W56">
        <f>'Eurostat EB flows IEA'!AQ56</f>
        <v>0</v>
      </c>
      <c r="X56">
        <f>'Eurostat EB flows IEA'!AR56</f>
        <v>0</v>
      </c>
      <c r="Y56">
        <f>'Eurostat EB flows IEA'!AS56</f>
        <v>0</v>
      </c>
      <c r="Z56">
        <f>'Eurostat EB flows IEA'!AT56</f>
        <v>103516.201</v>
      </c>
      <c r="AA56">
        <f>'Eurostat EB flows IEA'!AU56</f>
        <v>0</v>
      </c>
      <c r="AB56">
        <f>'Eurostat EB flows IEA'!AV56</f>
        <v>40.945</v>
      </c>
      <c r="AC56">
        <f>'Eurostat EB flows IEA'!AW56</f>
        <v>0</v>
      </c>
      <c r="AD56">
        <f>'Eurostat EB flows IEA'!AX56</f>
        <v>0</v>
      </c>
      <c r="AE56">
        <f>'Eurostat EB flows IEA'!AY56</f>
        <v>0</v>
      </c>
      <c r="AF56">
        <f>'Eurostat EB flows IEA'!AZ56</f>
        <v>0</v>
      </c>
      <c r="AG56">
        <f>'Eurostat EB flows IEA'!BA56</f>
        <v>0</v>
      </c>
      <c r="AH56">
        <f>'Eurostat EB flows IEA'!BB56</f>
        <v>75.668999999999997</v>
      </c>
      <c r="AI56">
        <f>'Eurostat EB flows IEA'!BC56</f>
        <v>0</v>
      </c>
      <c r="AJ56">
        <f>'Eurostat EB flows IEA'!BD56</f>
        <v>0</v>
      </c>
      <c r="AK56">
        <f>'Eurostat EB flows IEA'!BE56</f>
        <v>0</v>
      </c>
      <c r="AL56">
        <f>'Eurostat EB flows IEA'!BF56</f>
        <v>0</v>
      </c>
      <c r="AM56">
        <f>'Eurostat EB flows IEA'!BG56</f>
        <v>0</v>
      </c>
      <c r="AN56">
        <f>'Eurostat EB flows IEA'!BH56</f>
        <v>0</v>
      </c>
      <c r="AO56">
        <f>'Eurostat EB flows IEA'!BI56</f>
        <v>0</v>
      </c>
      <c r="AP56">
        <f>'Eurostat EB flows IEA'!BJ56</f>
        <v>644.82600000000002</v>
      </c>
      <c r="AQ56">
        <f>'Eurostat EB flows IEA'!BK56</f>
        <v>405.91800000000001</v>
      </c>
      <c r="AR56">
        <f>'Eurostat EB flows IEA'!BL56</f>
        <v>0</v>
      </c>
      <c r="AS56">
        <f>'Eurostat EB flows IEA'!BM56</f>
        <v>0</v>
      </c>
      <c r="AT56">
        <f>'Eurostat EB flows IEA'!BN56</f>
        <v>0</v>
      </c>
      <c r="AU56">
        <f>'Eurostat EB flows IEA'!BO56</f>
        <v>0</v>
      </c>
      <c r="AV56">
        <f>'Eurostat EB flows IEA'!BP56</f>
        <v>0</v>
      </c>
      <c r="AW56">
        <f>'Eurostat EB flows IEA'!BQ56</f>
        <v>0</v>
      </c>
      <c r="AX56">
        <f>'Eurostat EB flows IEA'!BR56</f>
        <v>220.68</v>
      </c>
      <c r="AY56">
        <f>'Eurostat EB flows IEA'!BS56</f>
        <v>0</v>
      </c>
      <c r="AZ56">
        <f>'Eurostat EB flows IEA'!BT56</f>
        <v>0</v>
      </c>
      <c r="BA56">
        <f>'Eurostat EB flows IEA'!BU56</f>
        <v>0</v>
      </c>
      <c r="BB56">
        <f>'Eurostat EB flows IEA'!BV56</f>
        <v>0</v>
      </c>
      <c r="BC56">
        <f>'Eurostat EB flows IEA'!BW56</f>
        <v>0</v>
      </c>
      <c r="BD56">
        <f>'Eurostat EB flows IEA'!BX56</f>
        <v>0</v>
      </c>
      <c r="BE56">
        <f>'Eurostat EB flows IEA'!BY56</f>
        <v>0</v>
      </c>
      <c r="BF56">
        <f>'Eurostat EB flows IEA'!BZ56</f>
        <v>0</v>
      </c>
      <c r="BG56">
        <f>'Eurostat EB flows IEA'!CA56</f>
        <v>0</v>
      </c>
      <c r="BH56">
        <f>'Eurostat EB flows IEA'!CB56</f>
        <v>0</v>
      </c>
      <c r="BI56">
        <f>'Eurostat EB flows IEA'!CC56</f>
        <v>0</v>
      </c>
      <c r="BJ56">
        <f>'Eurostat EB flows IEA'!CD56</f>
        <v>0</v>
      </c>
      <c r="BK56">
        <f>'Eurostat EB flows IEA'!CE56</f>
        <v>43191.173000000003</v>
      </c>
      <c r="BL56">
        <f>'Eurostat EB flows IEA'!CF56</f>
        <v>43704.775000000001</v>
      </c>
      <c r="BM56">
        <f>'Eurostat EB flows IEA'!CG56</f>
        <v>262145.81599999999</v>
      </c>
      <c r="BN56">
        <f>'Eurostat EB flows IEA'!CH56</f>
        <v>13410.675999999999</v>
      </c>
    </row>
    <row r="57" spans="1:66" x14ac:dyDescent="0.2">
      <c r="A57" t="s">
        <v>101</v>
      </c>
      <c r="B57" t="str">
        <f>'Eurostat EB flows IEA'!V57</f>
        <v>x</v>
      </c>
      <c r="C57" t="str">
        <f>'Eurostat EB flows IEA'!W57</f>
        <v>x</v>
      </c>
      <c r="D57">
        <f>'Eurostat EB flows IEA'!X57</f>
        <v>0</v>
      </c>
      <c r="E57">
        <f>'Eurostat EB flows IEA'!Y57</f>
        <v>0</v>
      </c>
      <c r="F57">
        <f>'Eurostat EB flows IEA'!Z57</f>
        <v>0</v>
      </c>
      <c r="G57">
        <f>'Eurostat EB flows IEA'!AA57</f>
        <v>0</v>
      </c>
      <c r="H57">
        <f>'Eurostat EB flows IEA'!AB57</f>
        <v>0</v>
      </c>
      <c r="I57">
        <f>'Eurostat EB flows IEA'!AC57</f>
        <v>0</v>
      </c>
      <c r="J57">
        <f>'Eurostat EB flows IEA'!AD57</f>
        <v>0</v>
      </c>
      <c r="K57">
        <f>'Eurostat EB flows IEA'!AE57</f>
        <v>0</v>
      </c>
      <c r="L57">
        <f>'Eurostat EB flows IEA'!AF57</f>
        <v>0</v>
      </c>
      <c r="M57">
        <f>'Eurostat EB flows IEA'!AG57</f>
        <v>0</v>
      </c>
      <c r="N57">
        <f>'Eurostat EB flows IEA'!AH57</f>
        <v>0</v>
      </c>
      <c r="O57">
        <f>'Eurostat EB flows IEA'!AI57</f>
        <v>0</v>
      </c>
      <c r="P57">
        <f>'Eurostat EB flows IEA'!AJ57</f>
        <v>0</v>
      </c>
      <c r="Q57">
        <f>'Eurostat EB flows IEA'!AK57</f>
        <v>0</v>
      </c>
      <c r="R57">
        <f>'Eurostat EB flows IEA'!AL57</f>
        <v>0</v>
      </c>
      <c r="S57">
        <f>'Eurostat EB flows IEA'!AM57</f>
        <v>1821.0119999999999</v>
      </c>
      <c r="T57" t="str">
        <f>'Eurostat EB flows IEA'!AN57</f>
        <v>x</v>
      </c>
      <c r="U57">
        <f>'Eurostat EB flows IEA'!AO57</f>
        <v>0</v>
      </c>
      <c r="V57">
        <f>'Eurostat EB flows IEA'!AP57</f>
        <v>0</v>
      </c>
      <c r="W57">
        <f>'Eurostat EB flows IEA'!AQ57</f>
        <v>0</v>
      </c>
      <c r="X57">
        <f>'Eurostat EB flows IEA'!AR57</f>
        <v>0</v>
      </c>
      <c r="Y57">
        <f>'Eurostat EB flows IEA'!AS57</f>
        <v>0</v>
      </c>
      <c r="Z57">
        <f>'Eurostat EB flows IEA'!AT57</f>
        <v>0</v>
      </c>
      <c r="AA57">
        <f>'Eurostat EB flows IEA'!AU57</f>
        <v>0</v>
      </c>
      <c r="AB57">
        <f>'Eurostat EB flows IEA'!AV57</f>
        <v>9.7170000000000005</v>
      </c>
      <c r="AC57">
        <f>'Eurostat EB flows IEA'!AW57</f>
        <v>0</v>
      </c>
      <c r="AD57">
        <f>'Eurostat EB flows IEA'!AX57</f>
        <v>0</v>
      </c>
      <c r="AE57">
        <f>'Eurostat EB flows IEA'!AY57</f>
        <v>0</v>
      </c>
      <c r="AF57">
        <f>'Eurostat EB flows IEA'!AZ57</f>
        <v>0</v>
      </c>
      <c r="AG57">
        <f>'Eurostat EB flows IEA'!BA57</f>
        <v>0</v>
      </c>
      <c r="AH57">
        <f>'Eurostat EB flows IEA'!BB57</f>
        <v>36.798999999999999</v>
      </c>
      <c r="AI57">
        <f>'Eurostat EB flows IEA'!BC57</f>
        <v>0</v>
      </c>
      <c r="AJ57">
        <f>'Eurostat EB flows IEA'!BD57</f>
        <v>0</v>
      </c>
      <c r="AK57">
        <f>'Eurostat EB flows IEA'!BE57</f>
        <v>0</v>
      </c>
      <c r="AL57">
        <f>'Eurostat EB flows IEA'!BF57</f>
        <v>0</v>
      </c>
      <c r="AM57">
        <f>'Eurostat EB flows IEA'!BG57</f>
        <v>0</v>
      </c>
      <c r="AN57">
        <f>'Eurostat EB flows IEA'!BH57</f>
        <v>0</v>
      </c>
      <c r="AO57">
        <f>'Eurostat EB flows IEA'!BI57</f>
        <v>0</v>
      </c>
      <c r="AP57">
        <f>'Eurostat EB flows IEA'!BJ57</f>
        <v>0</v>
      </c>
      <c r="AQ57">
        <f>'Eurostat EB flows IEA'!BK57</f>
        <v>0</v>
      </c>
      <c r="AR57">
        <f>'Eurostat EB flows IEA'!BL57</f>
        <v>0</v>
      </c>
      <c r="AS57">
        <f>'Eurostat EB flows IEA'!BM57</f>
        <v>0</v>
      </c>
      <c r="AT57">
        <f>'Eurostat EB flows IEA'!BN57</f>
        <v>0</v>
      </c>
      <c r="AU57">
        <f>'Eurostat EB flows IEA'!BO57</f>
        <v>0</v>
      </c>
      <c r="AV57">
        <f>'Eurostat EB flows IEA'!BP57</f>
        <v>0</v>
      </c>
      <c r="AW57">
        <f>'Eurostat EB flows IEA'!BQ57</f>
        <v>0</v>
      </c>
      <c r="AX57">
        <f>'Eurostat EB flows IEA'!BR57</f>
        <v>0</v>
      </c>
      <c r="AY57">
        <f>'Eurostat EB flows IEA'!BS57</f>
        <v>0</v>
      </c>
      <c r="AZ57">
        <f>'Eurostat EB flows IEA'!BT57</f>
        <v>0</v>
      </c>
      <c r="BA57">
        <f>'Eurostat EB flows IEA'!BU57</f>
        <v>0</v>
      </c>
      <c r="BB57">
        <f>'Eurostat EB flows IEA'!BV57</f>
        <v>0</v>
      </c>
      <c r="BC57">
        <f>'Eurostat EB flows IEA'!BW57</f>
        <v>0</v>
      </c>
      <c r="BD57">
        <f>'Eurostat EB flows IEA'!BX57</f>
        <v>0</v>
      </c>
      <c r="BE57">
        <f>'Eurostat EB flows IEA'!BY57</f>
        <v>0</v>
      </c>
      <c r="BF57">
        <f>'Eurostat EB flows IEA'!BZ57</f>
        <v>0</v>
      </c>
      <c r="BG57">
        <f>'Eurostat EB flows IEA'!CA57</f>
        <v>0</v>
      </c>
      <c r="BH57">
        <f>'Eurostat EB flows IEA'!CB57</f>
        <v>0</v>
      </c>
      <c r="BI57">
        <f>'Eurostat EB flows IEA'!CC57</f>
        <v>0</v>
      </c>
      <c r="BJ57">
        <f>'Eurostat EB flows IEA'!CD57</f>
        <v>0</v>
      </c>
      <c r="BK57">
        <f>'Eurostat EB flows IEA'!CE57</f>
        <v>3786.3719999999998</v>
      </c>
      <c r="BL57">
        <f>'Eurostat EB flows IEA'!CF57</f>
        <v>1E-3</v>
      </c>
      <c r="BM57">
        <f>'Eurostat EB flows IEA'!CG57</f>
        <v>5653.9009999999998</v>
      </c>
      <c r="BN57">
        <f>'Eurostat EB flows IEA'!CH57</f>
        <v>270.72699999999998</v>
      </c>
    </row>
    <row r="58" spans="1:66" x14ac:dyDescent="0.2">
      <c r="A58" t="s">
        <v>102</v>
      </c>
      <c r="B58" t="str">
        <f>'Eurostat EB flows IEA'!V58</f>
        <v>x</v>
      </c>
      <c r="C58" t="str">
        <f>'Eurostat EB flows IEA'!W58</f>
        <v>x</v>
      </c>
      <c r="D58">
        <f>'Eurostat EB flows IEA'!X58</f>
        <v>0</v>
      </c>
      <c r="E58">
        <f>'Eurostat EB flows IEA'!Y58</f>
        <v>12.941000000000001</v>
      </c>
      <c r="F58">
        <f>'Eurostat EB flows IEA'!Z58</f>
        <v>0</v>
      </c>
      <c r="G58">
        <f>'Eurostat EB flows IEA'!AA58</f>
        <v>0</v>
      </c>
      <c r="H58">
        <f>'Eurostat EB flows IEA'!AB58</f>
        <v>0</v>
      </c>
      <c r="I58">
        <f>'Eurostat EB flows IEA'!AC58</f>
        <v>0</v>
      </c>
      <c r="J58">
        <f>'Eurostat EB flows IEA'!AD58</f>
        <v>721.649</v>
      </c>
      <c r="K58">
        <f>'Eurostat EB flows IEA'!AE58</f>
        <v>0</v>
      </c>
      <c r="L58">
        <f>'Eurostat EB flows IEA'!AF58</f>
        <v>0</v>
      </c>
      <c r="M58">
        <f>'Eurostat EB flows IEA'!AG58</f>
        <v>0</v>
      </c>
      <c r="N58">
        <f>'Eurostat EB flows IEA'!AH58</f>
        <v>0</v>
      </c>
      <c r="O58">
        <f>'Eurostat EB flows IEA'!AI58</f>
        <v>0</v>
      </c>
      <c r="P58">
        <f>'Eurostat EB flows IEA'!AJ58</f>
        <v>0</v>
      </c>
      <c r="Q58">
        <f>'Eurostat EB flows IEA'!AK58</f>
        <v>0</v>
      </c>
      <c r="R58">
        <f>'Eurostat EB flows IEA'!AL58</f>
        <v>0</v>
      </c>
      <c r="S58">
        <f>'Eurostat EB flows IEA'!AM58</f>
        <v>16545.536</v>
      </c>
      <c r="T58" t="str">
        <f>'Eurostat EB flows IEA'!AN58</f>
        <v>x</v>
      </c>
      <c r="U58">
        <f>'Eurostat EB flows IEA'!AO58</f>
        <v>0</v>
      </c>
      <c r="V58">
        <f>'Eurostat EB flows IEA'!AP58</f>
        <v>0</v>
      </c>
      <c r="W58">
        <f>'Eurostat EB flows IEA'!AQ58</f>
        <v>0</v>
      </c>
      <c r="X58">
        <f>'Eurostat EB flows IEA'!AR58</f>
        <v>0</v>
      </c>
      <c r="Y58">
        <f>'Eurostat EB flows IEA'!AS58</f>
        <v>0</v>
      </c>
      <c r="Z58">
        <f>'Eurostat EB flows IEA'!AT58</f>
        <v>0</v>
      </c>
      <c r="AA58">
        <f>'Eurostat EB flows IEA'!AU58</f>
        <v>0</v>
      </c>
      <c r="AB58">
        <f>'Eurostat EB flows IEA'!AV58</f>
        <v>31.274000000000001</v>
      </c>
      <c r="AC58">
        <f>'Eurostat EB flows IEA'!AW58</f>
        <v>0</v>
      </c>
      <c r="AD58">
        <f>'Eurostat EB flows IEA'!AX58</f>
        <v>0</v>
      </c>
      <c r="AE58">
        <f>'Eurostat EB flows IEA'!AY58</f>
        <v>0</v>
      </c>
      <c r="AF58">
        <f>'Eurostat EB flows IEA'!AZ58</f>
        <v>0</v>
      </c>
      <c r="AG58">
        <f>'Eurostat EB flows IEA'!BA58</f>
        <v>0.129</v>
      </c>
      <c r="AH58">
        <f>'Eurostat EB flows IEA'!BB58</f>
        <v>76.832999999999998</v>
      </c>
      <c r="AI58">
        <f>'Eurostat EB flows IEA'!BC58</f>
        <v>0</v>
      </c>
      <c r="AJ58">
        <f>'Eurostat EB flows IEA'!BD58</f>
        <v>0</v>
      </c>
      <c r="AK58">
        <f>'Eurostat EB flows IEA'!BE58</f>
        <v>0</v>
      </c>
      <c r="AL58">
        <f>'Eurostat EB flows IEA'!BF58</f>
        <v>0</v>
      </c>
      <c r="AM58">
        <f>'Eurostat EB flows IEA'!BG58</f>
        <v>0</v>
      </c>
      <c r="AN58">
        <f>'Eurostat EB flows IEA'!BH58</f>
        <v>0</v>
      </c>
      <c r="AO58">
        <f>'Eurostat EB flows IEA'!BI58</f>
        <v>0</v>
      </c>
      <c r="AP58">
        <f>'Eurostat EB flows IEA'!BJ58</f>
        <v>9.5000000000000001E-2</v>
      </c>
      <c r="AQ58">
        <f>'Eurostat EB flows IEA'!BK58</f>
        <v>0</v>
      </c>
      <c r="AR58">
        <f>'Eurostat EB flows IEA'!BL58</f>
        <v>0</v>
      </c>
      <c r="AS58">
        <f>'Eurostat EB flows IEA'!BM58</f>
        <v>0</v>
      </c>
      <c r="AT58">
        <f>'Eurostat EB flows IEA'!BN58</f>
        <v>0</v>
      </c>
      <c r="AU58">
        <f>'Eurostat EB flows IEA'!BO58</f>
        <v>0</v>
      </c>
      <c r="AV58">
        <f>'Eurostat EB flows IEA'!BP58</f>
        <v>0</v>
      </c>
      <c r="AW58">
        <f>'Eurostat EB flows IEA'!BQ58</f>
        <v>0</v>
      </c>
      <c r="AX58">
        <f>'Eurostat EB flows IEA'!BR58</f>
        <v>0</v>
      </c>
      <c r="AY58">
        <f>'Eurostat EB flows IEA'!BS58</f>
        <v>0</v>
      </c>
      <c r="AZ58">
        <f>'Eurostat EB flows IEA'!BT58</f>
        <v>0</v>
      </c>
      <c r="BA58">
        <f>'Eurostat EB flows IEA'!BU58</f>
        <v>0</v>
      </c>
      <c r="BB58">
        <f>'Eurostat EB flows IEA'!BV58</f>
        <v>0</v>
      </c>
      <c r="BC58">
        <f>'Eurostat EB flows IEA'!BW58</f>
        <v>0</v>
      </c>
      <c r="BD58">
        <f>'Eurostat EB flows IEA'!BX58</f>
        <v>0</v>
      </c>
      <c r="BE58">
        <f>'Eurostat EB flows IEA'!BY58</f>
        <v>0</v>
      </c>
      <c r="BF58">
        <f>'Eurostat EB flows IEA'!BZ58</f>
        <v>0</v>
      </c>
      <c r="BG58">
        <f>'Eurostat EB flows IEA'!CA58</f>
        <v>0</v>
      </c>
      <c r="BH58">
        <f>'Eurostat EB flows IEA'!CB58</f>
        <v>0</v>
      </c>
      <c r="BI58">
        <f>'Eurostat EB flows IEA'!CC58</f>
        <v>0</v>
      </c>
      <c r="BJ58">
        <f>'Eurostat EB flows IEA'!CD58</f>
        <v>0</v>
      </c>
      <c r="BK58">
        <f>'Eurostat EB flows IEA'!CE58</f>
        <v>3897.1660000000002</v>
      </c>
      <c r="BL58">
        <f>'Eurostat EB flows IEA'!CF58</f>
        <v>0.39800000000000002</v>
      </c>
      <c r="BM58">
        <f>'Eurostat EB flows IEA'!CG58</f>
        <v>21286.021000000001</v>
      </c>
      <c r="BN58">
        <f>'Eurostat EB flows IEA'!CH58</f>
        <v>429.012</v>
      </c>
    </row>
    <row r="59" spans="1:66" x14ac:dyDescent="0.2">
      <c r="A59" t="s">
        <v>103</v>
      </c>
      <c r="B59" t="str">
        <f>'Eurostat EB flows IEA'!V59</f>
        <v>x</v>
      </c>
      <c r="C59" t="str">
        <f>'Eurostat EB flows IEA'!W59</f>
        <v>x</v>
      </c>
      <c r="D59">
        <f>'Eurostat EB flows IEA'!X59</f>
        <v>0</v>
      </c>
      <c r="E59">
        <f>'Eurostat EB flows IEA'!Y59</f>
        <v>0</v>
      </c>
      <c r="F59">
        <f>'Eurostat EB flows IEA'!Z59</f>
        <v>0</v>
      </c>
      <c r="G59">
        <f>'Eurostat EB flows IEA'!AA59</f>
        <v>0</v>
      </c>
      <c r="H59">
        <f>'Eurostat EB flows IEA'!AB59</f>
        <v>0</v>
      </c>
      <c r="I59">
        <f>'Eurostat EB flows IEA'!AC59</f>
        <v>0</v>
      </c>
      <c r="J59">
        <f>'Eurostat EB flows IEA'!AD59</f>
        <v>0</v>
      </c>
      <c r="K59">
        <f>'Eurostat EB flows IEA'!AE59</f>
        <v>0</v>
      </c>
      <c r="L59">
        <f>'Eurostat EB flows IEA'!AF59</f>
        <v>0</v>
      </c>
      <c r="M59">
        <f>'Eurostat EB flows IEA'!AG59</f>
        <v>0</v>
      </c>
      <c r="N59">
        <f>'Eurostat EB flows IEA'!AH59</f>
        <v>0</v>
      </c>
      <c r="O59">
        <f>'Eurostat EB flows IEA'!AI59</f>
        <v>0</v>
      </c>
      <c r="P59">
        <f>'Eurostat EB flows IEA'!AJ59</f>
        <v>0</v>
      </c>
      <c r="Q59">
        <f>'Eurostat EB flows IEA'!AK59</f>
        <v>0</v>
      </c>
      <c r="R59">
        <f>'Eurostat EB flows IEA'!AL59</f>
        <v>0</v>
      </c>
      <c r="S59">
        <f>'Eurostat EB flows IEA'!AM59</f>
        <v>1493.05</v>
      </c>
      <c r="T59" t="str">
        <f>'Eurostat EB flows IEA'!AN59</f>
        <v>x</v>
      </c>
      <c r="U59">
        <f>'Eurostat EB flows IEA'!AO59</f>
        <v>0</v>
      </c>
      <c r="V59">
        <f>'Eurostat EB flows IEA'!AP59</f>
        <v>0</v>
      </c>
      <c r="W59">
        <f>'Eurostat EB flows IEA'!AQ59</f>
        <v>0</v>
      </c>
      <c r="X59">
        <f>'Eurostat EB flows IEA'!AR59</f>
        <v>0</v>
      </c>
      <c r="Y59">
        <f>'Eurostat EB flows IEA'!AS59</f>
        <v>0</v>
      </c>
      <c r="Z59">
        <f>'Eurostat EB flows IEA'!AT59</f>
        <v>0</v>
      </c>
      <c r="AA59">
        <f>'Eurostat EB flows IEA'!AU59</f>
        <v>0</v>
      </c>
      <c r="AB59">
        <f>'Eurostat EB flows IEA'!AV59</f>
        <v>18.71</v>
      </c>
      <c r="AC59">
        <f>'Eurostat EB flows IEA'!AW59</f>
        <v>0</v>
      </c>
      <c r="AD59">
        <f>'Eurostat EB flows IEA'!AX59</f>
        <v>0</v>
      </c>
      <c r="AE59">
        <f>'Eurostat EB flows IEA'!AY59</f>
        <v>0</v>
      </c>
      <c r="AF59">
        <f>'Eurostat EB flows IEA'!AZ59</f>
        <v>0</v>
      </c>
      <c r="AG59">
        <f>'Eurostat EB flows IEA'!BA59</f>
        <v>0</v>
      </c>
      <c r="AH59">
        <f>'Eurostat EB flows IEA'!BB59</f>
        <v>0.17299999999999999</v>
      </c>
      <c r="AI59">
        <f>'Eurostat EB flows IEA'!BC59</f>
        <v>0</v>
      </c>
      <c r="AJ59">
        <f>'Eurostat EB flows IEA'!BD59</f>
        <v>0</v>
      </c>
      <c r="AK59">
        <f>'Eurostat EB flows IEA'!BE59</f>
        <v>0</v>
      </c>
      <c r="AL59">
        <f>'Eurostat EB flows IEA'!BF59</f>
        <v>0</v>
      </c>
      <c r="AM59">
        <f>'Eurostat EB flows IEA'!BG59</f>
        <v>0</v>
      </c>
      <c r="AN59">
        <f>'Eurostat EB flows IEA'!BH59</f>
        <v>0</v>
      </c>
      <c r="AO59">
        <f>'Eurostat EB flows IEA'!BI59</f>
        <v>0</v>
      </c>
      <c r="AP59">
        <f>'Eurostat EB flows IEA'!BJ59</f>
        <v>0</v>
      </c>
      <c r="AQ59">
        <f>'Eurostat EB flows IEA'!BK59</f>
        <v>0</v>
      </c>
      <c r="AR59">
        <f>'Eurostat EB flows IEA'!BL59</f>
        <v>0</v>
      </c>
      <c r="AS59">
        <f>'Eurostat EB flows IEA'!BM59</f>
        <v>0</v>
      </c>
      <c r="AT59">
        <f>'Eurostat EB flows IEA'!BN59</f>
        <v>0</v>
      </c>
      <c r="AU59">
        <f>'Eurostat EB flows IEA'!BO59</f>
        <v>0</v>
      </c>
      <c r="AV59">
        <f>'Eurostat EB flows IEA'!BP59</f>
        <v>0</v>
      </c>
      <c r="AW59">
        <f>'Eurostat EB flows IEA'!BQ59</f>
        <v>0</v>
      </c>
      <c r="AX59">
        <f>'Eurostat EB flows IEA'!BR59</f>
        <v>0</v>
      </c>
      <c r="AY59">
        <f>'Eurostat EB flows IEA'!BS59</f>
        <v>0</v>
      </c>
      <c r="AZ59">
        <f>'Eurostat EB flows IEA'!BT59</f>
        <v>0</v>
      </c>
      <c r="BA59">
        <f>'Eurostat EB flows IEA'!BU59</f>
        <v>0</v>
      </c>
      <c r="BB59">
        <f>'Eurostat EB flows IEA'!BV59</f>
        <v>0</v>
      </c>
      <c r="BC59">
        <f>'Eurostat EB flows IEA'!BW59</f>
        <v>0</v>
      </c>
      <c r="BD59">
        <f>'Eurostat EB flows IEA'!BX59</f>
        <v>0</v>
      </c>
      <c r="BE59">
        <f>'Eurostat EB flows IEA'!BY59</f>
        <v>0</v>
      </c>
      <c r="BF59">
        <f>'Eurostat EB flows IEA'!BZ59</f>
        <v>0</v>
      </c>
      <c r="BG59">
        <f>'Eurostat EB flows IEA'!CA59</f>
        <v>0</v>
      </c>
      <c r="BH59">
        <f>'Eurostat EB flows IEA'!CB59</f>
        <v>0</v>
      </c>
      <c r="BI59">
        <f>'Eurostat EB flows IEA'!CC59</f>
        <v>0</v>
      </c>
      <c r="BJ59">
        <f>'Eurostat EB flows IEA'!CD59</f>
        <v>0</v>
      </c>
      <c r="BK59">
        <f>'Eurostat EB flows IEA'!CE59</f>
        <v>1873.31</v>
      </c>
      <c r="BL59">
        <f>'Eurostat EB flows IEA'!CF59</f>
        <v>18.053999999999998</v>
      </c>
      <c r="BM59">
        <f>'Eurostat EB flows IEA'!CG59</f>
        <v>3403.297</v>
      </c>
      <c r="BN59">
        <f>'Eurostat EB flows IEA'!CH59</f>
        <v>143.97</v>
      </c>
    </row>
    <row r="60" spans="1:66" x14ac:dyDescent="0.2">
      <c r="A60" t="s">
        <v>104</v>
      </c>
      <c r="B60" t="str">
        <f>'Eurostat EB flows IEA'!V60</f>
        <v>x</v>
      </c>
      <c r="C60" t="str">
        <f>'Eurostat EB flows IEA'!W60</f>
        <v>x</v>
      </c>
      <c r="D60">
        <f>'Eurostat EB flows IEA'!X60</f>
        <v>0</v>
      </c>
      <c r="E60">
        <f>'Eurostat EB flows IEA'!Y60</f>
        <v>0</v>
      </c>
      <c r="F60">
        <f>'Eurostat EB flows IEA'!Z60</f>
        <v>0</v>
      </c>
      <c r="G60">
        <f>'Eurostat EB flows IEA'!AA60</f>
        <v>0</v>
      </c>
      <c r="H60">
        <f>'Eurostat EB flows IEA'!AB60</f>
        <v>0</v>
      </c>
      <c r="I60">
        <f>'Eurostat EB flows IEA'!AC60</f>
        <v>0</v>
      </c>
      <c r="J60">
        <f>'Eurostat EB flows IEA'!AD60</f>
        <v>0</v>
      </c>
      <c r="K60">
        <f>'Eurostat EB flows IEA'!AE60</f>
        <v>0</v>
      </c>
      <c r="L60">
        <f>'Eurostat EB flows IEA'!AF60</f>
        <v>0</v>
      </c>
      <c r="M60">
        <f>'Eurostat EB flows IEA'!AG60</f>
        <v>0</v>
      </c>
      <c r="N60">
        <f>'Eurostat EB flows IEA'!AH60</f>
        <v>0</v>
      </c>
      <c r="O60">
        <f>'Eurostat EB flows IEA'!AI60</f>
        <v>0</v>
      </c>
      <c r="P60">
        <f>'Eurostat EB flows IEA'!AJ60</f>
        <v>0</v>
      </c>
      <c r="Q60">
        <f>'Eurostat EB flows IEA'!AK60</f>
        <v>0</v>
      </c>
      <c r="R60">
        <f>'Eurostat EB flows IEA'!AL60</f>
        <v>0</v>
      </c>
      <c r="S60">
        <f>'Eurostat EB flows IEA'!AM60</f>
        <v>7683.8440000000001</v>
      </c>
      <c r="T60" t="str">
        <f>'Eurostat EB flows IEA'!AN60</f>
        <v>x</v>
      </c>
      <c r="U60">
        <f>'Eurostat EB flows IEA'!AO60</f>
        <v>0</v>
      </c>
      <c r="V60">
        <f>'Eurostat EB flows IEA'!AP60</f>
        <v>0</v>
      </c>
      <c r="W60">
        <f>'Eurostat EB flows IEA'!AQ60</f>
        <v>0</v>
      </c>
      <c r="X60">
        <f>'Eurostat EB flows IEA'!AR60</f>
        <v>0</v>
      </c>
      <c r="Y60">
        <f>'Eurostat EB flows IEA'!AS60</f>
        <v>0</v>
      </c>
      <c r="Z60">
        <f>'Eurostat EB flows IEA'!AT60</f>
        <v>0</v>
      </c>
      <c r="AA60">
        <f>'Eurostat EB flows IEA'!AU60</f>
        <v>0</v>
      </c>
      <c r="AB60">
        <f>'Eurostat EB flows IEA'!AV60</f>
        <v>93.641000000000005</v>
      </c>
      <c r="AC60">
        <f>'Eurostat EB flows IEA'!AW60</f>
        <v>0</v>
      </c>
      <c r="AD60">
        <f>'Eurostat EB flows IEA'!AX60</f>
        <v>0</v>
      </c>
      <c r="AE60">
        <f>'Eurostat EB flows IEA'!AY60</f>
        <v>0</v>
      </c>
      <c r="AF60">
        <f>'Eurostat EB flows IEA'!AZ60</f>
        <v>0</v>
      </c>
      <c r="AG60">
        <f>'Eurostat EB flows IEA'!BA60</f>
        <v>1.7669999999999999</v>
      </c>
      <c r="AH60">
        <f>'Eurostat EB flows IEA'!BB60</f>
        <v>77.049000000000007</v>
      </c>
      <c r="AI60">
        <f>'Eurostat EB flows IEA'!BC60</f>
        <v>0</v>
      </c>
      <c r="AJ60">
        <f>'Eurostat EB flows IEA'!BD60</f>
        <v>0</v>
      </c>
      <c r="AK60">
        <f>'Eurostat EB flows IEA'!BE60</f>
        <v>0</v>
      </c>
      <c r="AL60">
        <f>'Eurostat EB flows IEA'!BF60</f>
        <v>0</v>
      </c>
      <c r="AM60">
        <f>'Eurostat EB flows IEA'!BG60</f>
        <v>0</v>
      </c>
      <c r="AN60">
        <f>'Eurostat EB flows IEA'!BH60</f>
        <v>0</v>
      </c>
      <c r="AO60">
        <f>'Eurostat EB flows IEA'!BI60</f>
        <v>0</v>
      </c>
      <c r="AP60">
        <f>'Eurostat EB flows IEA'!BJ60</f>
        <v>0</v>
      </c>
      <c r="AQ60">
        <f>'Eurostat EB flows IEA'!BK60</f>
        <v>0</v>
      </c>
      <c r="AR60">
        <f>'Eurostat EB flows IEA'!BL60</f>
        <v>0</v>
      </c>
      <c r="AS60">
        <f>'Eurostat EB flows IEA'!BM60</f>
        <v>0</v>
      </c>
      <c r="AT60">
        <f>'Eurostat EB flows IEA'!BN60</f>
        <v>0</v>
      </c>
      <c r="AU60">
        <f>'Eurostat EB flows IEA'!BO60</f>
        <v>0</v>
      </c>
      <c r="AV60">
        <f>'Eurostat EB flows IEA'!BP60</f>
        <v>0</v>
      </c>
      <c r="AW60">
        <f>'Eurostat EB flows IEA'!BQ60</f>
        <v>0</v>
      </c>
      <c r="AX60">
        <f>'Eurostat EB flows IEA'!BR60</f>
        <v>0</v>
      </c>
      <c r="AY60">
        <f>'Eurostat EB flows IEA'!BS60</f>
        <v>0</v>
      </c>
      <c r="AZ60">
        <f>'Eurostat EB flows IEA'!BT60</f>
        <v>0</v>
      </c>
      <c r="BA60">
        <f>'Eurostat EB flows IEA'!BU60</f>
        <v>0</v>
      </c>
      <c r="BB60">
        <f>'Eurostat EB flows IEA'!BV60</f>
        <v>0</v>
      </c>
      <c r="BC60">
        <f>'Eurostat EB flows IEA'!BW60</f>
        <v>0</v>
      </c>
      <c r="BD60">
        <f>'Eurostat EB flows IEA'!BX60</f>
        <v>0</v>
      </c>
      <c r="BE60">
        <f>'Eurostat EB flows IEA'!BY60</f>
        <v>0</v>
      </c>
      <c r="BF60">
        <f>'Eurostat EB flows IEA'!BZ60</f>
        <v>0</v>
      </c>
      <c r="BG60">
        <f>'Eurostat EB flows IEA'!CA60</f>
        <v>0</v>
      </c>
      <c r="BH60">
        <f>'Eurostat EB flows IEA'!CB60</f>
        <v>0</v>
      </c>
      <c r="BI60">
        <f>'Eurostat EB flows IEA'!CC60</f>
        <v>0</v>
      </c>
      <c r="BJ60">
        <f>'Eurostat EB flows IEA'!CD60</f>
        <v>0</v>
      </c>
      <c r="BK60">
        <f>'Eurostat EB flows IEA'!CE60</f>
        <v>11080.249</v>
      </c>
      <c r="BL60">
        <f>'Eurostat EB flows IEA'!CF60</f>
        <v>70.864999999999995</v>
      </c>
      <c r="BM60">
        <f>'Eurostat EB flows IEA'!CG60</f>
        <v>19007.415000000001</v>
      </c>
      <c r="BN60">
        <f>'Eurostat EB flows IEA'!CH60</f>
        <v>831.91800000000001</v>
      </c>
    </row>
    <row r="61" spans="1:66" x14ac:dyDescent="0.2">
      <c r="A61" t="s">
        <v>174</v>
      </c>
      <c r="B61" t="str">
        <f>'Eurostat EB flows IEA'!V61</f>
        <v>x</v>
      </c>
      <c r="C61" t="str">
        <f>'Eurostat EB flows IEA'!W61</f>
        <v>x</v>
      </c>
      <c r="D61">
        <f>'Eurostat EB flows IEA'!X61</f>
        <v>0</v>
      </c>
      <c r="E61">
        <f>'Eurostat EB flows IEA'!Y61</f>
        <v>0</v>
      </c>
      <c r="F61">
        <f>'Eurostat EB flows IEA'!Z61</f>
        <v>0</v>
      </c>
      <c r="G61">
        <f>'Eurostat EB flows IEA'!AA61</f>
        <v>0</v>
      </c>
      <c r="H61">
        <f>'Eurostat EB flows IEA'!AB61</f>
        <v>0</v>
      </c>
      <c r="I61">
        <f>'Eurostat EB flows IEA'!AC61</f>
        <v>0</v>
      </c>
      <c r="J61">
        <f>'Eurostat EB flows IEA'!AD61</f>
        <v>0</v>
      </c>
      <c r="K61">
        <f>'Eurostat EB flows IEA'!AE61</f>
        <v>0</v>
      </c>
      <c r="L61">
        <f>'Eurostat EB flows IEA'!AF61</f>
        <v>0</v>
      </c>
      <c r="M61">
        <f>'Eurostat EB flows IEA'!AG61</f>
        <v>0</v>
      </c>
      <c r="N61">
        <f>'Eurostat EB flows IEA'!AH61</f>
        <v>0</v>
      </c>
      <c r="O61">
        <f>'Eurostat EB flows IEA'!AI61</f>
        <v>0</v>
      </c>
      <c r="P61">
        <f>'Eurostat EB flows IEA'!AJ61</f>
        <v>0</v>
      </c>
      <c r="Q61">
        <f>'Eurostat EB flows IEA'!AK61</f>
        <v>0</v>
      </c>
      <c r="R61">
        <f>'Eurostat EB flows IEA'!AL61</f>
        <v>0</v>
      </c>
      <c r="S61">
        <f>'Eurostat EB flows IEA'!AM61</f>
        <v>1581.3979999999999</v>
      </c>
      <c r="T61" t="str">
        <f>'Eurostat EB flows IEA'!AN61</f>
        <v>x</v>
      </c>
      <c r="U61">
        <f>'Eurostat EB flows IEA'!AO61</f>
        <v>0</v>
      </c>
      <c r="V61">
        <f>'Eurostat EB flows IEA'!AP61</f>
        <v>0</v>
      </c>
      <c r="W61">
        <f>'Eurostat EB flows IEA'!AQ61</f>
        <v>0</v>
      </c>
      <c r="X61">
        <f>'Eurostat EB flows IEA'!AR61</f>
        <v>0</v>
      </c>
      <c r="Y61">
        <f>'Eurostat EB flows IEA'!AS61</f>
        <v>0</v>
      </c>
      <c r="Z61">
        <f>'Eurostat EB flows IEA'!AT61</f>
        <v>0</v>
      </c>
      <c r="AA61">
        <f>'Eurostat EB flows IEA'!AU61</f>
        <v>0</v>
      </c>
      <c r="AB61">
        <f>'Eurostat EB flows IEA'!AV61</f>
        <v>3.073</v>
      </c>
      <c r="AC61">
        <f>'Eurostat EB flows IEA'!AW61</f>
        <v>0</v>
      </c>
      <c r="AD61">
        <f>'Eurostat EB flows IEA'!AX61</f>
        <v>0</v>
      </c>
      <c r="AE61">
        <f>'Eurostat EB flows IEA'!AY61</f>
        <v>0</v>
      </c>
      <c r="AF61">
        <f>'Eurostat EB flows IEA'!AZ61</f>
        <v>0</v>
      </c>
      <c r="AG61">
        <f>'Eurostat EB flows IEA'!BA61</f>
        <v>0</v>
      </c>
      <c r="AH61">
        <f>'Eurostat EB flows IEA'!BB61</f>
        <v>94.606999999999999</v>
      </c>
      <c r="AI61">
        <f>'Eurostat EB flows IEA'!BC61</f>
        <v>0</v>
      </c>
      <c r="AJ61">
        <f>'Eurostat EB flows IEA'!BD61</f>
        <v>0</v>
      </c>
      <c r="AK61">
        <f>'Eurostat EB flows IEA'!BE61</f>
        <v>0</v>
      </c>
      <c r="AL61">
        <f>'Eurostat EB flows IEA'!BF61</f>
        <v>0</v>
      </c>
      <c r="AM61">
        <f>'Eurostat EB flows IEA'!BG61</f>
        <v>0</v>
      </c>
      <c r="AN61">
        <f>'Eurostat EB flows IEA'!BH61</f>
        <v>0</v>
      </c>
      <c r="AO61">
        <f>'Eurostat EB flows IEA'!BI61</f>
        <v>0</v>
      </c>
      <c r="AP61">
        <f>'Eurostat EB flows IEA'!BJ61</f>
        <v>1.1200000000000001</v>
      </c>
      <c r="AQ61">
        <f>'Eurostat EB flows IEA'!BK61</f>
        <v>0</v>
      </c>
      <c r="AR61">
        <f>'Eurostat EB flows IEA'!BL61</f>
        <v>0</v>
      </c>
      <c r="AS61">
        <f>'Eurostat EB flows IEA'!BM61</f>
        <v>0</v>
      </c>
      <c r="AT61">
        <f>'Eurostat EB flows IEA'!BN61</f>
        <v>0</v>
      </c>
      <c r="AU61">
        <f>'Eurostat EB flows IEA'!BO61</f>
        <v>0</v>
      </c>
      <c r="AV61">
        <f>'Eurostat EB flows IEA'!BP61</f>
        <v>0</v>
      </c>
      <c r="AW61">
        <f>'Eurostat EB flows IEA'!BQ61</f>
        <v>0</v>
      </c>
      <c r="AX61">
        <f>'Eurostat EB flows IEA'!BR61</f>
        <v>0</v>
      </c>
      <c r="AY61">
        <f>'Eurostat EB flows IEA'!BS61</f>
        <v>0</v>
      </c>
      <c r="AZ61">
        <f>'Eurostat EB flows IEA'!BT61</f>
        <v>0</v>
      </c>
      <c r="BA61">
        <f>'Eurostat EB flows IEA'!BU61</f>
        <v>0</v>
      </c>
      <c r="BB61">
        <f>'Eurostat EB flows IEA'!BV61</f>
        <v>0</v>
      </c>
      <c r="BC61">
        <f>'Eurostat EB flows IEA'!BW61</f>
        <v>0</v>
      </c>
      <c r="BD61">
        <f>'Eurostat EB flows IEA'!BX61</f>
        <v>0</v>
      </c>
      <c r="BE61">
        <f>'Eurostat EB flows IEA'!BY61</f>
        <v>0</v>
      </c>
      <c r="BF61">
        <f>'Eurostat EB flows IEA'!BZ61</f>
        <v>0</v>
      </c>
      <c r="BG61">
        <f>'Eurostat EB flows IEA'!CA61</f>
        <v>0</v>
      </c>
      <c r="BH61">
        <f>'Eurostat EB flows IEA'!CB61</f>
        <v>0</v>
      </c>
      <c r="BI61">
        <f>'Eurostat EB flows IEA'!CC61</f>
        <v>0</v>
      </c>
      <c r="BJ61">
        <f>'Eurostat EB flows IEA'!CD61</f>
        <v>0</v>
      </c>
      <c r="BK61">
        <f>'Eurostat EB flows IEA'!CE61</f>
        <v>894.95600000000002</v>
      </c>
      <c r="BL61">
        <f>'Eurostat EB flows IEA'!CF61</f>
        <v>1866.9480000000001</v>
      </c>
      <c r="BM61">
        <f>'Eurostat EB flows IEA'!CG61</f>
        <v>4442.1030000000001</v>
      </c>
      <c r="BN61">
        <f>'Eurostat EB flows IEA'!CH61</f>
        <v>485.61</v>
      </c>
    </row>
    <row r="62" spans="1:66" x14ac:dyDescent="0.2">
      <c r="A62" t="s">
        <v>175</v>
      </c>
      <c r="B62" t="str">
        <f>'Eurostat EB flows IEA'!V62</f>
        <v>x</v>
      </c>
      <c r="C62" t="str">
        <f>'Eurostat EB flows IEA'!W62</f>
        <v>x</v>
      </c>
      <c r="D62">
        <f>'Eurostat EB flows IEA'!X62</f>
        <v>0</v>
      </c>
      <c r="E62">
        <f>'Eurostat EB flows IEA'!Y62</f>
        <v>0</v>
      </c>
      <c r="F62">
        <f>'Eurostat EB flows IEA'!Z62</f>
        <v>294.52499999999998</v>
      </c>
      <c r="G62">
        <f>'Eurostat EB flows IEA'!AA62</f>
        <v>0</v>
      </c>
      <c r="H62">
        <f>'Eurostat EB flows IEA'!AB62</f>
        <v>0</v>
      </c>
      <c r="I62">
        <f>'Eurostat EB flows IEA'!AC62</f>
        <v>0</v>
      </c>
      <c r="J62">
        <f>'Eurostat EB flows IEA'!AD62</f>
        <v>0</v>
      </c>
      <c r="K62">
        <f>'Eurostat EB flows IEA'!AE62</f>
        <v>0</v>
      </c>
      <c r="L62">
        <f>'Eurostat EB flows IEA'!AF62</f>
        <v>0</v>
      </c>
      <c r="M62">
        <f>'Eurostat EB flows IEA'!AG62</f>
        <v>0</v>
      </c>
      <c r="N62">
        <f>'Eurostat EB flows IEA'!AH62</f>
        <v>0</v>
      </c>
      <c r="O62">
        <f>'Eurostat EB flows IEA'!AI62</f>
        <v>0</v>
      </c>
      <c r="P62">
        <f>'Eurostat EB flows IEA'!AJ62</f>
        <v>0</v>
      </c>
      <c r="Q62">
        <f>'Eurostat EB flows IEA'!AK62</f>
        <v>0</v>
      </c>
      <c r="R62">
        <f>'Eurostat EB flows IEA'!AL62</f>
        <v>0</v>
      </c>
      <c r="S62">
        <f>'Eurostat EB flows IEA'!AM62</f>
        <v>50801.394999999997</v>
      </c>
      <c r="T62" t="str">
        <f>'Eurostat EB flows IEA'!AN62</f>
        <v>x</v>
      </c>
      <c r="U62">
        <f>'Eurostat EB flows IEA'!AO62</f>
        <v>0</v>
      </c>
      <c r="V62">
        <f>'Eurostat EB flows IEA'!AP62</f>
        <v>0</v>
      </c>
      <c r="W62">
        <f>'Eurostat EB flows IEA'!AQ62</f>
        <v>0</v>
      </c>
      <c r="X62">
        <f>'Eurostat EB flows IEA'!AR62</f>
        <v>0</v>
      </c>
      <c r="Y62">
        <f>'Eurostat EB flows IEA'!AS62</f>
        <v>0</v>
      </c>
      <c r="Z62">
        <f>'Eurostat EB flows IEA'!AT62</f>
        <v>0</v>
      </c>
      <c r="AA62">
        <f>'Eurostat EB flows IEA'!AU62</f>
        <v>0</v>
      </c>
      <c r="AB62">
        <f>'Eurostat EB flows IEA'!AV62</f>
        <v>31.228999999999999</v>
      </c>
      <c r="AC62">
        <f>'Eurostat EB flows IEA'!AW62</f>
        <v>0</v>
      </c>
      <c r="AD62">
        <f>'Eurostat EB flows IEA'!AX62</f>
        <v>0</v>
      </c>
      <c r="AE62">
        <f>'Eurostat EB flows IEA'!AY62</f>
        <v>0</v>
      </c>
      <c r="AF62">
        <f>'Eurostat EB flows IEA'!AZ62</f>
        <v>0</v>
      </c>
      <c r="AG62">
        <f>'Eurostat EB flows IEA'!BA62</f>
        <v>0</v>
      </c>
      <c r="AH62">
        <f>'Eurostat EB flows IEA'!BB62</f>
        <v>38.956000000000003</v>
      </c>
      <c r="AI62">
        <f>'Eurostat EB flows IEA'!BC62</f>
        <v>0</v>
      </c>
      <c r="AJ62">
        <f>'Eurostat EB flows IEA'!BD62</f>
        <v>0</v>
      </c>
      <c r="AK62">
        <f>'Eurostat EB flows IEA'!BE62</f>
        <v>0</v>
      </c>
      <c r="AL62">
        <f>'Eurostat EB flows IEA'!BF62</f>
        <v>0</v>
      </c>
      <c r="AM62">
        <f>'Eurostat EB flows IEA'!BG62</f>
        <v>0</v>
      </c>
      <c r="AN62">
        <f>'Eurostat EB flows IEA'!BH62</f>
        <v>0</v>
      </c>
      <c r="AO62">
        <f>'Eurostat EB flows IEA'!BI62</f>
        <v>0</v>
      </c>
      <c r="AP62">
        <f>'Eurostat EB flows IEA'!BJ62</f>
        <v>0.16700000000000001</v>
      </c>
      <c r="AQ62">
        <f>'Eurostat EB flows IEA'!BK62</f>
        <v>0</v>
      </c>
      <c r="AR62">
        <f>'Eurostat EB flows IEA'!BL62</f>
        <v>0</v>
      </c>
      <c r="AS62">
        <f>'Eurostat EB flows IEA'!BM62</f>
        <v>0</v>
      </c>
      <c r="AT62">
        <f>'Eurostat EB flows IEA'!BN62</f>
        <v>0</v>
      </c>
      <c r="AU62">
        <f>'Eurostat EB flows IEA'!BO62</f>
        <v>1239.7670000000001</v>
      </c>
      <c r="AV62">
        <f>'Eurostat EB flows IEA'!BP62</f>
        <v>0</v>
      </c>
      <c r="AW62">
        <f>'Eurostat EB flows IEA'!BQ62</f>
        <v>0</v>
      </c>
      <c r="AX62">
        <f>'Eurostat EB flows IEA'!BR62</f>
        <v>51.48</v>
      </c>
      <c r="AY62">
        <f>'Eurostat EB flows IEA'!BS62</f>
        <v>0</v>
      </c>
      <c r="AZ62">
        <f>'Eurostat EB flows IEA'!BT62</f>
        <v>0</v>
      </c>
      <c r="BA62">
        <f>'Eurostat EB flows IEA'!BU62</f>
        <v>0</v>
      </c>
      <c r="BB62">
        <f>'Eurostat EB flows IEA'!BV62</f>
        <v>0</v>
      </c>
      <c r="BC62">
        <f>'Eurostat EB flows IEA'!BW62</f>
        <v>0</v>
      </c>
      <c r="BD62">
        <f>'Eurostat EB flows IEA'!BX62</f>
        <v>0</v>
      </c>
      <c r="BE62">
        <f>'Eurostat EB flows IEA'!BY62</f>
        <v>0</v>
      </c>
      <c r="BF62">
        <f>'Eurostat EB flows IEA'!BZ62</f>
        <v>0</v>
      </c>
      <c r="BG62">
        <f>'Eurostat EB flows IEA'!CA62</f>
        <v>0</v>
      </c>
      <c r="BH62">
        <f>'Eurostat EB flows IEA'!CB62</f>
        <v>0</v>
      </c>
      <c r="BI62">
        <f>'Eurostat EB flows IEA'!CC62</f>
        <v>0</v>
      </c>
      <c r="BJ62">
        <f>'Eurostat EB flows IEA'!CD62</f>
        <v>0</v>
      </c>
      <c r="BK62">
        <f>'Eurostat EB flows IEA'!CE62</f>
        <v>24213.146000000001</v>
      </c>
      <c r="BL62">
        <f>'Eurostat EB flows IEA'!CF62</f>
        <v>1244.7650000000001</v>
      </c>
      <c r="BM62">
        <f>'Eurostat EB flows IEA'!CG62</f>
        <v>77915.429999999993</v>
      </c>
      <c r="BN62">
        <f>'Eurostat EB flows IEA'!CH62</f>
        <v>3696.8180000000002</v>
      </c>
    </row>
    <row r="63" spans="1:66" x14ac:dyDescent="0.2">
      <c r="A63" t="s">
        <v>176</v>
      </c>
      <c r="B63" t="str">
        <f>'Eurostat EB flows IEA'!V63</f>
        <v>x</v>
      </c>
      <c r="C63" t="str">
        <f>'Eurostat EB flows IEA'!W63</f>
        <v>x</v>
      </c>
      <c r="D63">
        <f>'Eurostat EB flows IEA'!X63</f>
        <v>0</v>
      </c>
      <c r="E63">
        <f>'Eurostat EB flows IEA'!Y63</f>
        <v>0</v>
      </c>
      <c r="F63">
        <f>'Eurostat EB flows IEA'!Z63</f>
        <v>0</v>
      </c>
      <c r="G63">
        <f>'Eurostat EB flows IEA'!AA63</f>
        <v>0</v>
      </c>
      <c r="H63">
        <f>'Eurostat EB flows IEA'!AB63</f>
        <v>0</v>
      </c>
      <c r="I63">
        <f>'Eurostat EB flows IEA'!AC63</f>
        <v>0</v>
      </c>
      <c r="J63">
        <f>'Eurostat EB flows IEA'!AD63</f>
        <v>0</v>
      </c>
      <c r="K63">
        <f>'Eurostat EB flows IEA'!AE63</f>
        <v>0</v>
      </c>
      <c r="L63">
        <f>'Eurostat EB flows IEA'!AF63</f>
        <v>0</v>
      </c>
      <c r="M63">
        <f>'Eurostat EB flows IEA'!AG63</f>
        <v>0</v>
      </c>
      <c r="N63">
        <f>'Eurostat EB flows IEA'!AH63</f>
        <v>0</v>
      </c>
      <c r="O63">
        <f>'Eurostat EB flows IEA'!AI63</f>
        <v>0</v>
      </c>
      <c r="P63">
        <f>'Eurostat EB flows IEA'!AJ63</f>
        <v>0</v>
      </c>
      <c r="Q63">
        <f>'Eurostat EB flows IEA'!AK63</f>
        <v>0</v>
      </c>
      <c r="R63">
        <f>'Eurostat EB flows IEA'!AL63</f>
        <v>0</v>
      </c>
      <c r="S63">
        <f>'Eurostat EB flows IEA'!AM63</f>
        <v>9934.5470000000005</v>
      </c>
      <c r="T63" t="str">
        <f>'Eurostat EB flows IEA'!AN63</f>
        <v>x</v>
      </c>
      <c r="U63">
        <f>'Eurostat EB flows IEA'!AO63</f>
        <v>0</v>
      </c>
      <c r="V63">
        <f>'Eurostat EB flows IEA'!AP63</f>
        <v>0</v>
      </c>
      <c r="W63">
        <f>'Eurostat EB flows IEA'!AQ63</f>
        <v>0</v>
      </c>
      <c r="X63">
        <f>'Eurostat EB flows IEA'!AR63</f>
        <v>0</v>
      </c>
      <c r="Y63">
        <f>'Eurostat EB flows IEA'!AS63</f>
        <v>0</v>
      </c>
      <c r="Z63">
        <f>'Eurostat EB flows IEA'!AT63</f>
        <v>0</v>
      </c>
      <c r="AA63">
        <f>'Eurostat EB flows IEA'!AU63</f>
        <v>0</v>
      </c>
      <c r="AB63">
        <f>'Eurostat EB flows IEA'!AV63</f>
        <v>43.656999999999996</v>
      </c>
      <c r="AC63">
        <f>'Eurostat EB flows IEA'!AW63</f>
        <v>0</v>
      </c>
      <c r="AD63">
        <f>'Eurostat EB flows IEA'!AX63</f>
        <v>0</v>
      </c>
      <c r="AE63">
        <f>'Eurostat EB flows IEA'!AY63</f>
        <v>0</v>
      </c>
      <c r="AF63">
        <f>'Eurostat EB flows IEA'!AZ63</f>
        <v>0</v>
      </c>
      <c r="AG63">
        <f>'Eurostat EB flows IEA'!BA63</f>
        <v>0</v>
      </c>
      <c r="AH63">
        <f>'Eurostat EB flows IEA'!BB63</f>
        <v>6.7729999999999997</v>
      </c>
      <c r="AI63">
        <f>'Eurostat EB flows IEA'!BC63</f>
        <v>0</v>
      </c>
      <c r="AJ63">
        <f>'Eurostat EB flows IEA'!BD63</f>
        <v>0</v>
      </c>
      <c r="AK63">
        <f>'Eurostat EB flows IEA'!BE63</f>
        <v>0</v>
      </c>
      <c r="AL63">
        <f>'Eurostat EB flows IEA'!BF63</f>
        <v>0</v>
      </c>
      <c r="AM63">
        <f>'Eurostat EB flows IEA'!BG63</f>
        <v>0</v>
      </c>
      <c r="AN63">
        <f>'Eurostat EB flows IEA'!BH63</f>
        <v>0</v>
      </c>
      <c r="AO63">
        <f>'Eurostat EB flows IEA'!BI63</f>
        <v>0</v>
      </c>
      <c r="AP63">
        <f>'Eurostat EB flows IEA'!BJ63</f>
        <v>0.11899999999999999</v>
      </c>
      <c r="AQ63">
        <f>'Eurostat EB flows IEA'!BK63</f>
        <v>186.16900000000001</v>
      </c>
      <c r="AR63">
        <f>'Eurostat EB flows IEA'!BL63</f>
        <v>0</v>
      </c>
      <c r="AS63">
        <f>'Eurostat EB flows IEA'!BM63</f>
        <v>0</v>
      </c>
      <c r="AT63">
        <f>'Eurostat EB flows IEA'!BN63</f>
        <v>0</v>
      </c>
      <c r="AU63">
        <f>'Eurostat EB flows IEA'!BO63</f>
        <v>392.61700000000002</v>
      </c>
      <c r="AV63">
        <f>'Eurostat EB flows IEA'!BP63</f>
        <v>0</v>
      </c>
      <c r="AW63">
        <f>'Eurostat EB flows IEA'!BQ63</f>
        <v>0</v>
      </c>
      <c r="AX63">
        <f>'Eurostat EB flows IEA'!BR63</f>
        <v>0</v>
      </c>
      <c r="AY63">
        <f>'Eurostat EB flows IEA'!BS63</f>
        <v>0</v>
      </c>
      <c r="AZ63">
        <f>'Eurostat EB flows IEA'!BT63</f>
        <v>0</v>
      </c>
      <c r="BA63">
        <f>'Eurostat EB flows IEA'!BU63</f>
        <v>0</v>
      </c>
      <c r="BB63">
        <f>'Eurostat EB flows IEA'!BV63</f>
        <v>0</v>
      </c>
      <c r="BC63">
        <f>'Eurostat EB flows IEA'!BW63</f>
        <v>0</v>
      </c>
      <c r="BD63">
        <f>'Eurostat EB flows IEA'!BX63</f>
        <v>0</v>
      </c>
      <c r="BE63">
        <f>'Eurostat EB flows IEA'!BY63</f>
        <v>0</v>
      </c>
      <c r="BF63">
        <f>'Eurostat EB flows IEA'!BZ63</f>
        <v>0</v>
      </c>
      <c r="BG63">
        <f>'Eurostat EB flows IEA'!CA63</f>
        <v>0</v>
      </c>
      <c r="BH63">
        <f>'Eurostat EB flows IEA'!CB63</f>
        <v>0</v>
      </c>
      <c r="BI63">
        <f>'Eurostat EB flows IEA'!CC63</f>
        <v>0</v>
      </c>
      <c r="BJ63">
        <f>'Eurostat EB flows IEA'!CD63</f>
        <v>0</v>
      </c>
      <c r="BK63">
        <f>'Eurostat EB flows IEA'!CE63</f>
        <v>5855.3059999999996</v>
      </c>
      <c r="BL63">
        <f>'Eurostat EB flows IEA'!CF63</f>
        <v>156.697</v>
      </c>
      <c r="BM63">
        <f>'Eurostat EB flows IEA'!CG63</f>
        <v>16575.885999999999</v>
      </c>
      <c r="BN63">
        <f>'Eurostat EB flows IEA'!CH63</f>
        <v>918.58500000000004</v>
      </c>
    </row>
    <row r="64" spans="1:66" x14ac:dyDescent="0.2">
      <c r="A64" t="s">
        <v>177</v>
      </c>
      <c r="B64" t="str">
        <f>'Eurostat EB flows IEA'!V64</f>
        <v>x</v>
      </c>
      <c r="C64" t="str">
        <f>'Eurostat EB flows IEA'!W64</f>
        <v>x</v>
      </c>
      <c r="D64">
        <f>'Eurostat EB flows IEA'!X64</f>
        <v>0</v>
      </c>
      <c r="E64">
        <f>'Eurostat EB flows IEA'!Y64</f>
        <v>0</v>
      </c>
      <c r="F64">
        <f>'Eurostat EB flows IEA'!Z64</f>
        <v>0</v>
      </c>
      <c r="G64">
        <f>'Eurostat EB flows IEA'!AA64</f>
        <v>0</v>
      </c>
      <c r="H64">
        <f>'Eurostat EB flows IEA'!AB64</f>
        <v>0</v>
      </c>
      <c r="I64">
        <f>'Eurostat EB flows IEA'!AC64</f>
        <v>0</v>
      </c>
      <c r="J64">
        <f>'Eurostat EB flows IEA'!AD64</f>
        <v>0</v>
      </c>
      <c r="K64">
        <f>'Eurostat EB flows IEA'!AE64</f>
        <v>0</v>
      </c>
      <c r="L64">
        <f>'Eurostat EB flows IEA'!AF64</f>
        <v>0</v>
      </c>
      <c r="M64">
        <f>'Eurostat EB flows IEA'!AG64</f>
        <v>0</v>
      </c>
      <c r="N64">
        <f>'Eurostat EB flows IEA'!AH64</f>
        <v>0</v>
      </c>
      <c r="O64">
        <f>'Eurostat EB flows IEA'!AI64</f>
        <v>0</v>
      </c>
      <c r="P64">
        <f>'Eurostat EB flows IEA'!AJ64</f>
        <v>0</v>
      </c>
      <c r="Q64">
        <f>'Eurostat EB flows IEA'!AK64</f>
        <v>0</v>
      </c>
      <c r="R64">
        <f>'Eurostat EB flows IEA'!AL64</f>
        <v>0</v>
      </c>
      <c r="S64">
        <f>'Eurostat EB flows IEA'!AM64</f>
        <v>687.13499999999999</v>
      </c>
      <c r="T64" t="str">
        <f>'Eurostat EB flows IEA'!AN64</f>
        <v>x</v>
      </c>
      <c r="U64">
        <f>'Eurostat EB flows IEA'!AO64</f>
        <v>0</v>
      </c>
      <c r="V64">
        <f>'Eurostat EB flows IEA'!AP64</f>
        <v>0</v>
      </c>
      <c r="W64">
        <f>'Eurostat EB flows IEA'!AQ64</f>
        <v>0</v>
      </c>
      <c r="X64">
        <f>'Eurostat EB flows IEA'!AR64</f>
        <v>0</v>
      </c>
      <c r="Y64">
        <f>'Eurostat EB flows IEA'!AS64</f>
        <v>0</v>
      </c>
      <c r="Z64">
        <f>'Eurostat EB flows IEA'!AT64</f>
        <v>0</v>
      </c>
      <c r="AA64">
        <f>'Eurostat EB flows IEA'!AU64</f>
        <v>0</v>
      </c>
      <c r="AB64">
        <f>'Eurostat EB flows IEA'!AV64</f>
        <v>2.169</v>
      </c>
      <c r="AC64">
        <f>'Eurostat EB flows IEA'!AW64</f>
        <v>0</v>
      </c>
      <c r="AD64">
        <f>'Eurostat EB flows IEA'!AX64</f>
        <v>0</v>
      </c>
      <c r="AE64">
        <f>'Eurostat EB flows IEA'!AY64</f>
        <v>0</v>
      </c>
      <c r="AF64">
        <f>'Eurostat EB flows IEA'!AZ64</f>
        <v>0</v>
      </c>
      <c r="AG64">
        <f>'Eurostat EB flows IEA'!BA64</f>
        <v>0</v>
      </c>
      <c r="AH64">
        <f>'Eurostat EB flows IEA'!BB64</f>
        <v>24.202000000000002</v>
      </c>
      <c r="AI64">
        <f>'Eurostat EB flows IEA'!BC64</f>
        <v>0</v>
      </c>
      <c r="AJ64">
        <f>'Eurostat EB flows IEA'!BD64</f>
        <v>0</v>
      </c>
      <c r="AK64">
        <f>'Eurostat EB flows IEA'!BE64</f>
        <v>0</v>
      </c>
      <c r="AL64">
        <f>'Eurostat EB flows IEA'!BF64</f>
        <v>0</v>
      </c>
      <c r="AM64">
        <f>'Eurostat EB flows IEA'!BG64</f>
        <v>0</v>
      </c>
      <c r="AN64">
        <f>'Eurostat EB flows IEA'!BH64</f>
        <v>0</v>
      </c>
      <c r="AO64">
        <f>'Eurostat EB flows IEA'!BI64</f>
        <v>0</v>
      </c>
      <c r="AP64">
        <f>'Eurostat EB flows IEA'!BJ64</f>
        <v>0</v>
      </c>
      <c r="AQ64">
        <f>'Eurostat EB flows IEA'!BK64</f>
        <v>0</v>
      </c>
      <c r="AR64">
        <f>'Eurostat EB flows IEA'!BL64</f>
        <v>0</v>
      </c>
      <c r="AS64">
        <f>'Eurostat EB flows IEA'!BM64</f>
        <v>0</v>
      </c>
      <c r="AT64">
        <f>'Eurostat EB flows IEA'!BN64</f>
        <v>881.14800000000002</v>
      </c>
      <c r="AU64">
        <f>'Eurostat EB flows IEA'!BO64</f>
        <v>0</v>
      </c>
      <c r="AV64">
        <f>'Eurostat EB flows IEA'!BP64</f>
        <v>0</v>
      </c>
      <c r="AW64">
        <f>'Eurostat EB flows IEA'!BQ64</f>
        <v>0</v>
      </c>
      <c r="AX64">
        <f>'Eurostat EB flows IEA'!BR64</f>
        <v>0</v>
      </c>
      <c r="AY64">
        <f>'Eurostat EB flows IEA'!BS64</f>
        <v>0</v>
      </c>
      <c r="AZ64">
        <f>'Eurostat EB flows IEA'!BT64</f>
        <v>0</v>
      </c>
      <c r="BA64">
        <f>'Eurostat EB flows IEA'!BU64</f>
        <v>0</v>
      </c>
      <c r="BB64">
        <f>'Eurostat EB flows IEA'!BV64</f>
        <v>0</v>
      </c>
      <c r="BC64">
        <f>'Eurostat EB flows IEA'!BW64</f>
        <v>0</v>
      </c>
      <c r="BD64">
        <f>'Eurostat EB flows IEA'!BX64</f>
        <v>0</v>
      </c>
      <c r="BE64">
        <f>'Eurostat EB flows IEA'!BY64</f>
        <v>0</v>
      </c>
      <c r="BF64">
        <f>'Eurostat EB flows IEA'!BZ64</f>
        <v>0</v>
      </c>
      <c r="BG64">
        <f>'Eurostat EB flows IEA'!CA64</f>
        <v>0</v>
      </c>
      <c r="BH64">
        <f>'Eurostat EB flows IEA'!CB64</f>
        <v>0</v>
      </c>
      <c r="BI64">
        <f>'Eurostat EB flows IEA'!CC64</f>
        <v>0</v>
      </c>
      <c r="BJ64">
        <f>'Eurostat EB flows IEA'!CD64</f>
        <v>0</v>
      </c>
      <c r="BK64">
        <f>'Eurostat EB flows IEA'!CE64</f>
        <v>1108.0039999999999</v>
      </c>
      <c r="BL64">
        <f>'Eurostat EB flows IEA'!CF64</f>
        <v>6.8319999999999999</v>
      </c>
      <c r="BM64">
        <f>'Eurostat EB flows IEA'!CG64</f>
        <v>2709.49</v>
      </c>
      <c r="BN64">
        <f>'Eurostat EB flows IEA'!CH64</f>
        <v>963.45</v>
      </c>
    </row>
    <row r="65" spans="1:66" x14ac:dyDescent="0.2">
      <c r="A65" t="s">
        <v>105</v>
      </c>
      <c r="B65" t="str">
        <f>'Eurostat EB flows IEA'!V65</f>
        <v>x</v>
      </c>
      <c r="C65" t="str">
        <f>'Eurostat EB flows IEA'!W65</f>
        <v>x</v>
      </c>
      <c r="D65">
        <f>'Eurostat EB flows IEA'!X65</f>
        <v>0</v>
      </c>
      <c r="E65">
        <f>'Eurostat EB flows IEA'!Y65</f>
        <v>0</v>
      </c>
      <c r="F65">
        <f>'Eurostat EB flows IEA'!Z65</f>
        <v>0</v>
      </c>
      <c r="G65">
        <f>'Eurostat EB flows IEA'!AA65</f>
        <v>0</v>
      </c>
      <c r="H65">
        <f>'Eurostat EB flows IEA'!AB65</f>
        <v>0</v>
      </c>
      <c r="I65">
        <f>'Eurostat EB flows IEA'!AC65</f>
        <v>0</v>
      </c>
      <c r="J65">
        <f>'Eurostat EB flows IEA'!AD65</f>
        <v>0</v>
      </c>
      <c r="K65">
        <f>'Eurostat EB flows IEA'!AE65</f>
        <v>0</v>
      </c>
      <c r="L65">
        <f>'Eurostat EB flows IEA'!AF65</f>
        <v>0</v>
      </c>
      <c r="M65">
        <f>'Eurostat EB flows IEA'!AG65</f>
        <v>0</v>
      </c>
      <c r="N65">
        <f>'Eurostat EB flows IEA'!AH65</f>
        <v>0</v>
      </c>
      <c r="O65">
        <f>'Eurostat EB flows IEA'!AI65</f>
        <v>0</v>
      </c>
      <c r="P65">
        <f>'Eurostat EB flows IEA'!AJ65</f>
        <v>0</v>
      </c>
      <c r="Q65">
        <f>'Eurostat EB flows IEA'!AK65</f>
        <v>0</v>
      </c>
      <c r="R65">
        <f>'Eurostat EB flows IEA'!AL65</f>
        <v>0</v>
      </c>
      <c r="S65">
        <f>'Eurostat EB flows IEA'!AM65</f>
        <v>2405.913</v>
      </c>
      <c r="T65" t="str">
        <f>'Eurostat EB flows IEA'!AN65</f>
        <v>x</v>
      </c>
      <c r="U65">
        <f>'Eurostat EB flows IEA'!AO65</f>
        <v>0</v>
      </c>
      <c r="V65">
        <f>'Eurostat EB flows IEA'!AP65</f>
        <v>0</v>
      </c>
      <c r="W65">
        <f>'Eurostat EB flows IEA'!AQ65</f>
        <v>0</v>
      </c>
      <c r="X65">
        <f>'Eurostat EB flows IEA'!AR65</f>
        <v>0</v>
      </c>
      <c r="Y65">
        <f>'Eurostat EB flows IEA'!AS65</f>
        <v>0</v>
      </c>
      <c r="Z65">
        <f>'Eurostat EB flows IEA'!AT65</f>
        <v>0</v>
      </c>
      <c r="AA65">
        <f>'Eurostat EB flows IEA'!AU65</f>
        <v>0</v>
      </c>
      <c r="AB65">
        <f>'Eurostat EB flows IEA'!AV65</f>
        <v>134.13399999999999</v>
      </c>
      <c r="AC65">
        <f>'Eurostat EB flows IEA'!AW65</f>
        <v>259.90699999999998</v>
      </c>
      <c r="AD65">
        <f>'Eurostat EB flows IEA'!AX65</f>
        <v>0</v>
      </c>
      <c r="AE65">
        <f>'Eurostat EB flows IEA'!AY65</f>
        <v>0</v>
      </c>
      <c r="AF65">
        <f>'Eurostat EB flows IEA'!AZ65</f>
        <v>0</v>
      </c>
      <c r="AG65">
        <f>'Eurostat EB flows IEA'!BA65</f>
        <v>0</v>
      </c>
      <c r="AH65">
        <f>'Eurostat EB flows IEA'!BB65</f>
        <v>20065.674999999999</v>
      </c>
      <c r="AI65">
        <f>'Eurostat EB flows IEA'!BC65</f>
        <v>0</v>
      </c>
      <c r="AJ65">
        <f>'Eurostat EB flows IEA'!BD65</f>
        <v>0</v>
      </c>
      <c r="AK65">
        <f>'Eurostat EB flows IEA'!BE65</f>
        <v>0</v>
      </c>
      <c r="AL65">
        <f>'Eurostat EB flows IEA'!BF65</f>
        <v>0</v>
      </c>
      <c r="AM65">
        <f>'Eurostat EB flows IEA'!BG65</f>
        <v>0</v>
      </c>
      <c r="AN65">
        <f>'Eurostat EB flows IEA'!BH65</f>
        <v>0</v>
      </c>
      <c r="AO65">
        <f>'Eurostat EB flows IEA'!BI65</f>
        <v>0</v>
      </c>
      <c r="AP65">
        <f>'Eurostat EB flows IEA'!BJ65</f>
        <v>0</v>
      </c>
      <c r="AQ65">
        <f>'Eurostat EB flows IEA'!BK65</f>
        <v>0</v>
      </c>
      <c r="AR65">
        <f>'Eurostat EB flows IEA'!BL65</f>
        <v>0</v>
      </c>
      <c r="AS65">
        <f>'Eurostat EB flows IEA'!BM65</f>
        <v>0</v>
      </c>
      <c r="AT65">
        <f>'Eurostat EB flows IEA'!BN65</f>
        <v>412.36500000000001</v>
      </c>
      <c r="AU65">
        <f>'Eurostat EB flows IEA'!BO65</f>
        <v>0</v>
      </c>
      <c r="AV65">
        <f>'Eurostat EB flows IEA'!BP65</f>
        <v>0</v>
      </c>
      <c r="AW65">
        <f>'Eurostat EB flows IEA'!BQ65</f>
        <v>1414.422</v>
      </c>
      <c r="AX65">
        <f>'Eurostat EB flows IEA'!BR65</f>
        <v>0</v>
      </c>
      <c r="AY65">
        <f>'Eurostat EB flows IEA'!BS65</f>
        <v>0</v>
      </c>
      <c r="AZ65">
        <f>'Eurostat EB flows IEA'!BT65</f>
        <v>0</v>
      </c>
      <c r="BA65">
        <f>'Eurostat EB flows IEA'!BU65</f>
        <v>0</v>
      </c>
      <c r="BB65">
        <f>'Eurostat EB flows IEA'!BV65</f>
        <v>0</v>
      </c>
      <c r="BC65">
        <f>'Eurostat EB flows IEA'!BW65</f>
        <v>0</v>
      </c>
      <c r="BD65">
        <f>'Eurostat EB flows IEA'!BX65</f>
        <v>0</v>
      </c>
      <c r="BE65">
        <f>'Eurostat EB flows IEA'!BY65</f>
        <v>0</v>
      </c>
      <c r="BF65">
        <f>'Eurostat EB flows IEA'!BZ65</f>
        <v>0</v>
      </c>
      <c r="BG65">
        <f>'Eurostat EB flows IEA'!CA65</f>
        <v>0</v>
      </c>
      <c r="BH65">
        <f>'Eurostat EB flows IEA'!CB65</f>
        <v>0</v>
      </c>
      <c r="BI65">
        <f>'Eurostat EB flows IEA'!CC65</f>
        <v>0</v>
      </c>
      <c r="BJ65">
        <f>'Eurostat EB flows IEA'!CD65</f>
        <v>0</v>
      </c>
      <c r="BK65">
        <f>'Eurostat EB flows IEA'!CE65</f>
        <v>4057.585</v>
      </c>
      <c r="BL65">
        <f>'Eurostat EB flows IEA'!CF65</f>
        <v>0</v>
      </c>
      <c r="BM65">
        <f>'Eurostat EB flows IEA'!CG65</f>
        <v>28750.002</v>
      </c>
      <c r="BN65">
        <f>'Eurostat EB flows IEA'!CH65</f>
        <v>2121.5610000000001</v>
      </c>
    </row>
    <row r="66" spans="1:66" x14ac:dyDescent="0.2">
      <c r="A66" t="s">
        <v>178</v>
      </c>
      <c r="B66" t="str">
        <f>'Eurostat EB flows IEA'!V66</f>
        <v>x</v>
      </c>
      <c r="C66" t="str">
        <f>'Eurostat EB flows IEA'!W66</f>
        <v>x</v>
      </c>
      <c r="D66">
        <f>'Eurostat EB flows IEA'!X66</f>
        <v>0</v>
      </c>
      <c r="E66">
        <f>'Eurostat EB flows IEA'!Y66</f>
        <v>0</v>
      </c>
      <c r="F66">
        <f>'Eurostat EB flows IEA'!Z66</f>
        <v>0</v>
      </c>
      <c r="G66">
        <f>'Eurostat EB flows IEA'!AA66</f>
        <v>0</v>
      </c>
      <c r="H66">
        <f>'Eurostat EB flows IEA'!AB66</f>
        <v>0</v>
      </c>
      <c r="I66">
        <f>'Eurostat EB flows IEA'!AC66</f>
        <v>0</v>
      </c>
      <c r="J66">
        <f>'Eurostat EB flows IEA'!AD66</f>
        <v>0</v>
      </c>
      <c r="K66">
        <f>'Eurostat EB flows IEA'!AE66</f>
        <v>0</v>
      </c>
      <c r="L66">
        <f>'Eurostat EB flows IEA'!AF66</f>
        <v>0</v>
      </c>
      <c r="M66">
        <f>'Eurostat EB flows IEA'!AG66</f>
        <v>0</v>
      </c>
      <c r="N66">
        <f>'Eurostat EB flows IEA'!AH66</f>
        <v>0</v>
      </c>
      <c r="O66">
        <f>'Eurostat EB flows IEA'!AI66</f>
        <v>0</v>
      </c>
      <c r="P66">
        <f>'Eurostat EB flows IEA'!AJ66</f>
        <v>0</v>
      </c>
      <c r="Q66">
        <f>'Eurostat EB flows IEA'!AK66</f>
        <v>0</v>
      </c>
      <c r="R66">
        <f>'Eurostat EB flows IEA'!AL66</f>
        <v>0</v>
      </c>
      <c r="S66">
        <f>'Eurostat EB flows IEA'!AM66</f>
        <v>2135.3560000000002</v>
      </c>
      <c r="T66" t="str">
        <f>'Eurostat EB flows IEA'!AN66</f>
        <v>x</v>
      </c>
      <c r="U66">
        <f>'Eurostat EB flows IEA'!AO66</f>
        <v>0</v>
      </c>
      <c r="V66">
        <f>'Eurostat EB flows IEA'!AP66</f>
        <v>0</v>
      </c>
      <c r="W66">
        <f>'Eurostat EB flows IEA'!AQ66</f>
        <v>0</v>
      </c>
      <c r="X66">
        <f>'Eurostat EB flows IEA'!AR66</f>
        <v>0</v>
      </c>
      <c r="Y66">
        <f>'Eurostat EB flows IEA'!AS66</f>
        <v>0</v>
      </c>
      <c r="Z66">
        <f>'Eurostat EB flows IEA'!AT66</f>
        <v>0</v>
      </c>
      <c r="AA66">
        <f>'Eurostat EB flows IEA'!AU66</f>
        <v>0</v>
      </c>
      <c r="AB66">
        <f>'Eurostat EB flows IEA'!AV66</f>
        <v>24.765999999999998</v>
      </c>
      <c r="AC66">
        <f>'Eurostat EB flows IEA'!AW66</f>
        <v>0</v>
      </c>
      <c r="AD66">
        <f>'Eurostat EB flows IEA'!AX66</f>
        <v>0</v>
      </c>
      <c r="AE66">
        <f>'Eurostat EB flows IEA'!AY66</f>
        <v>0</v>
      </c>
      <c r="AF66">
        <f>'Eurostat EB flows IEA'!AZ66</f>
        <v>0</v>
      </c>
      <c r="AG66">
        <f>'Eurostat EB flows IEA'!BA66</f>
        <v>0</v>
      </c>
      <c r="AH66">
        <f>'Eurostat EB flows IEA'!BB66</f>
        <v>0</v>
      </c>
      <c r="AI66">
        <f>'Eurostat EB flows IEA'!BC66</f>
        <v>0</v>
      </c>
      <c r="AJ66">
        <f>'Eurostat EB flows IEA'!BD66</f>
        <v>0</v>
      </c>
      <c r="AK66">
        <f>'Eurostat EB flows IEA'!BE66</f>
        <v>0</v>
      </c>
      <c r="AL66">
        <f>'Eurostat EB flows IEA'!BF66</f>
        <v>0</v>
      </c>
      <c r="AM66">
        <f>'Eurostat EB flows IEA'!BG66</f>
        <v>0</v>
      </c>
      <c r="AN66">
        <f>'Eurostat EB flows IEA'!BH66</f>
        <v>0</v>
      </c>
      <c r="AO66">
        <f>'Eurostat EB flows IEA'!BI66</f>
        <v>0</v>
      </c>
      <c r="AP66">
        <f>'Eurostat EB flows IEA'!BJ66</f>
        <v>0</v>
      </c>
      <c r="AQ66">
        <f>'Eurostat EB flows IEA'!BK66</f>
        <v>0</v>
      </c>
      <c r="AR66">
        <f>'Eurostat EB flows IEA'!BL66</f>
        <v>0</v>
      </c>
      <c r="AS66">
        <f>'Eurostat EB flows IEA'!BM66</f>
        <v>0</v>
      </c>
      <c r="AT66">
        <f>'Eurostat EB flows IEA'!BN66</f>
        <v>0</v>
      </c>
      <c r="AU66">
        <f>'Eurostat EB flows IEA'!BO66</f>
        <v>0</v>
      </c>
      <c r="AV66">
        <f>'Eurostat EB flows IEA'!BP66</f>
        <v>0</v>
      </c>
      <c r="AW66">
        <f>'Eurostat EB flows IEA'!BQ66</f>
        <v>0</v>
      </c>
      <c r="AX66">
        <f>'Eurostat EB flows IEA'!BR66</f>
        <v>0</v>
      </c>
      <c r="AY66">
        <f>'Eurostat EB flows IEA'!BS66</f>
        <v>0</v>
      </c>
      <c r="AZ66">
        <f>'Eurostat EB flows IEA'!BT66</f>
        <v>0</v>
      </c>
      <c r="BA66">
        <f>'Eurostat EB flows IEA'!BU66</f>
        <v>0</v>
      </c>
      <c r="BB66">
        <f>'Eurostat EB flows IEA'!BV66</f>
        <v>0</v>
      </c>
      <c r="BC66">
        <f>'Eurostat EB flows IEA'!BW66</f>
        <v>0</v>
      </c>
      <c r="BD66">
        <f>'Eurostat EB flows IEA'!BX66</f>
        <v>0</v>
      </c>
      <c r="BE66">
        <f>'Eurostat EB flows IEA'!BY66</f>
        <v>0</v>
      </c>
      <c r="BF66">
        <f>'Eurostat EB flows IEA'!BZ66</f>
        <v>0</v>
      </c>
      <c r="BG66">
        <f>'Eurostat EB flows IEA'!CA66</f>
        <v>0</v>
      </c>
      <c r="BH66">
        <f>'Eurostat EB flows IEA'!CB66</f>
        <v>0</v>
      </c>
      <c r="BI66">
        <f>'Eurostat EB flows IEA'!CC66</f>
        <v>0</v>
      </c>
      <c r="BJ66">
        <f>'Eurostat EB flows IEA'!CD66</f>
        <v>0</v>
      </c>
      <c r="BK66">
        <f>'Eurostat EB flows IEA'!CE66</f>
        <v>1427.008</v>
      </c>
      <c r="BL66">
        <f>'Eurostat EB flows IEA'!CF66</f>
        <v>369.76</v>
      </c>
      <c r="BM66">
        <f>'Eurostat EB flows IEA'!CG66</f>
        <v>3956.89</v>
      </c>
      <c r="BN66">
        <f>'Eurostat EB flows IEA'!CH66</f>
        <v>198.04300000000001</v>
      </c>
    </row>
    <row r="67" spans="1:66" x14ac:dyDescent="0.2">
      <c r="A67" t="s">
        <v>179</v>
      </c>
      <c r="B67" t="str">
        <f>'Eurostat EB flows IEA'!V67</f>
        <v>x</v>
      </c>
      <c r="C67" t="str">
        <f>'Eurostat EB flows IEA'!W67</f>
        <v>x</v>
      </c>
      <c r="D67">
        <f>'Eurostat EB flows IEA'!X67</f>
        <v>0</v>
      </c>
      <c r="E67">
        <f>'Eurostat EB flows IEA'!Y67</f>
        <v>0</v>
      </c>
      <c r="F67">
        <f>'Eurostat EB flows IEA'!Z67</f>
        <v>0</v>
      </c>
      <c r="G67">
        <f>'Eurostat EB flows IEA'!AA67</f>
        <v>0</v>
      </c>
      <c r="H67">
        <f>'Eurostat EB flows IEA'!AB67</f>
        <v>0</v>
      </c>
      <c r="I67">
        <f>'Eurostat EB flows IEA'!AC67</f>
        <v>0</v>
      </c>
      <c r="J67">
        <f>'Eurostat EB flows IEA'!AD67</f>
        <v>0</v>
      </c>
      <c r="K67">
        <f>'Eurostat EB flows IEA'!AE67</f>
        <v>0</v>
      </c>
      <c r="L67">
        <f>'Eurostat EB flows IEA'!AF67</f>
        <v>0</v>
      </c>
      <c r="M67">
        <f>'Eurostat EB flows IEA'!AG67</f>
        <v>0</v>
      </c>
      <c r="N67">
        <f>'Eurostat EB flows IEA'!AH67</f>
        <v>0</v>
      </c>
      <c r="O67">
        <f>'Eurostat EB flows IEA'!AI67</f>
        <v>0</v>
      </c>
      <c r="P67">
        <f>'Eurostat EB flows IEA'!AJ67</f>
        <v>0</v>
      </c>
      <c r="Q67">
        <f>'Eurostat EB flows IEA'!AK67</f>
        <v>0</v>
      </c>
      <c r="R67">
        <f>'Eurostat EB flows IEA'!AL67</f>
        <v>0</v>
      </c>
      <c r="S67">
        <f>'Eurostat EB flows IEA'!AM67</f>
        <v>3479.12</v>
      </c>
      <c r="T67" t="str">
        <f>'Eurostat EB flows IEA'!AN67</f>
        <v>x</v>
      </c>
      <c r="U67">
        <f>'Eurostat EB flows IEA'!AO67</f>
        <v>0</v>
      </c>
      <c r="V67">
        <f>'Eurostat EB flows IEA'!AP67</f>
        <v>0</v>
      </c>
      <c r="W67">
        <f>'Eurostat EB flows IEA'!AQ67</f>
        <v>0</v>
      </c>
      <c r="X67">
        <f>'Eurostat EB flows IEA'!AR67</f>
        <v>0</v>
      </c>
      <c r="Y67">
        <f>'Eurostat EB flows IEA'!AS67</f>
        <v>0</v>
      </c>
      <c r="Z67">
        <f>'Eurostat EB flows IEA'!AT67</f>
        <v>0</v>
      </c>
      <c r="AA67">
        <f>'Eurostat EB flows IEA'!AU67</f>
        <v>0</v>
      </c>
      <c r="AB67">
        <f>'Eurostat EB flows IEA'!AV67</f>
        <v>263.83999999999997</v>
      </c>
      <c r="AC67">
        <f>'Eurostat EB flows IEA'!AW67</f>
        <v>0</v>
      </c>
      <c r="AD67">
        <f>'Eurostat EB flows IEA'!AX67</f>
        <v>0</v>
      </c>
      <c r="AE67">
        <f>'Eurostat EB flows IEA'!AY67</f>
        <v>0</v>
      </c>
      <c r="AF67">
        <f>'Eurostat EB flows IEA'!AZ67</f>
        <v>0</v>
      </c>
      <c r="AG67">
        <f>'Eurostat EB flows IEA'!BA67</f>
        <v>0</v>
      </c>
      <c r="AH67">
        <f>'Eurostat EB flows IEA'!BB67</f>
        <v>2.847</v>
      </c>
      <c r="AI67">
        <f>'Eurostat EB flows IEA'!BC67</f>
        <v>0</v>
      </c>
      <c r="AJ67">
        <f>'Eurostat EB flows IEA'!BD67</f>
        <v>0</v>
      </c>
      <c r="AK67">
        <f>'Eurostat EB flows IEA'!BE67</f>
        <v>0</v>
      </c>
      <c r="AL67">
        <f>'Eurostat EB flows IEA'!BF67</f>
        <v>0</v>
      </c>
      <c r="AM67">
        <f>'Eurostat EB flows IEA'!BG67</f>
        <v>0</v>
      </c>
      <c r="AN67">
        <f>'Eurostat EB flows IEA'!BH67</f>
        <v>0</v>
      </c>
      <c r="AO67">
        <f>'Eurostat EB flows IEA'!BI67</f>
        <v>0</v>
      </c>
      <c r="AP67">
        <f>'Eurostat EB flows IEA'!BJ67</f>
        <v>0</v>
      </c>
      <c r="AQ67">
        <f>'Eurostat EB flows IEA'!BK67</f>
        <v>0</v>
      </c>
      <c r="AR67">
        <f>'Eurostat EB flows IEA'!BL67</f>
        <v>0</v>
      </c>
      <c r="AS67">
        <f>'Eurostat EB flows IEA'!BM67</f>
        <v>0</v>
      </c>
      <c r="AT67">
        <f>'Eurostat EB flows IEA'!BN67</f>
        <v>1750.441</v>
      </c>
      <c r="AU67">
        <f>'Eurostat EB flows IEA'!BO67</f>
        <v>96.387</v>
      </c>
      <c r="AV67">
        <f>'Eurostat EB flows IEA'!BP67</f>
        <v>0</v>
      </c>
      <c r="AW67">
        <f>'Eurostat EB flows IEA'!BQ67</f>
        <v>0</v>
      </c>
      <c r="AX67">
        <f>'Eurostat EB flows IEA'!BR67</f>
        <v>0</v>
      </c>
      <c r="AY67">
        <f>'Eurostat EB flows IEA'!BS67</f>
        <v>0</v>
      </c>
      <c r="AZ67">
        <f>'Eurostat EB flows IEA'!BT67</f>
        <v>0</v>
      </c>
      <c r="BA67">
        <f>'Eurostat EB flows IEA'!BU67</f>
        <v>0</v>
      </c>
      <c r="BB67">
        <f>'Eurostat EB flows IEA'!BV67</f>
        <v>0</v>
      </c>
      <c r="BC67">
        <f>'Eurostat EB flows IEA'!BW67</f>
        <v>0</v>
      </c>
      <c r="BD67">
        <f>'Eurostat EB flows IEA'!BX67</f>
        <v>0</v>
      </c>
      <c r="BE67">
        <f>'Eurostat EB flows IEA'!BY67</f>
        <v>0</v>
      </c>
      <c r="BF67">
        <f>'Eurostat EB flows IEA'!BZ67</f>
        <v>0</v>
      </c>
      <c r="BG67">
        <f>'Eurostat EB flows IEA'!CA67</f>
        <v>0</v>
      </c>
      <c r="BH67">
        <f>'Eurostat EB flows IEA'!CB67</f>
        <v>0</v>
      </c>
      <c r="BI67">
        <f>'Eurostat EB flows IEA'!CC67</f>
        <v>0</v>
      </c>
      <c r="BJ67">
        <f>'Eurostat EB flows IEA'!CD67</f>
        <v>0</v>
      </c>
      <c r="BK67">
        <f>'Eurostat EB flows IEA'!CE67</f>
        <v>6917.1049999999996</v>
      </c>
      <c r="BL67">
        <f>'Eurostat EB flows IEA'!CF67</f>
        <v>395.89100000000002</v>
      </c>
      <c r="BM67">
        <f>'Eurostat EB flows IEA'!CG67</f>
        <v>12905.630999999999</v>
      </c>
      <c r="BN67">
        <f>'Eurostat EB flows IEA'!CH67</f>
        <v>2429.87</v>
      </c>
    </row>
    <row r="68" spans="1:66" x14ac:dyDescent="0.2">
      <c r="A68" t="s">
        <v>180</v>
      </c>
      <c r="B68" t="str">
        <f>'Eurostat EB flows IEA'!V68</f>
        <v>x</v>
      </c>
      <c r="C68" t="str">
        <f>'Eurostat EB flows IEA'!W68</f>
        <v>x</v>
      </c>
      <c r="D68">
        <f>'Eurostat EB flows IEA'!X68</f>
        <v>0</v>
      </c>
      <c r="E68">
        <f>'Eurostat EB flows IEA'!Y68</f>
        <v>0</v>
      </c>
      <c r="F68">
        <f>'Eurostat EB flows IEA'!Z68</f>
        <v>0</v>
      </c>
      <c r="G68">
        <f>'Eurostat EB flows IEA'!AA68</f>
        <v>0</v>
      </c>
      <c r="H68">
        <f>'Eurostat EB flows IEA'!AB68</f>
        <v>0</v>
      </c>
      <c r="I68">
        <f>'Eurostat EB flows IEA'!AC68</f>
        <v>0</v>
      </c>
      <c r="J68">
        <f>'Eurostat EB flows IEA'!AD68</f>
        <v>0</v>
      </c>
      <c r="K68">
        <f>'Eurostat EB flows IEA'!AE68</f>
        <v>0</v>
      </c>
      <c r="L68">
        <f>'Eurostat EB flows IEA'!AF68</f>
        <v>0</v>
      </c>
      <c r="M68">
        <f>'Eurostat EB flows IEA'!AG68</f>
        <v>0</v>
      </c>
      <c r="N68">
        <f>'Eurostat EB flows IEA'!AH68</f>
        <v>0</v>
      </c>
      <c r="O68">
        <f>'Eurostat EB flows IEA'!AI68</f>
        <v>0</v>
      </c>
      <c r="P68">
        <f>'Eurostat EB flows IEA'!AJ68</f>
        <v>0</v>
      </c>
      <c r="Q68">
        <f>'Eurostat EB flows IEA'!AK68</f>
        <v>0</v>
      </c>
      <c r="R68">
        <f>'Eurostat EB flows IEA'!AL68</f>
        <v>0</v>
      </c>
      <c r="S68">
        <f>'Eurostat EB flows IEA'!AM68</f>
        <v>2672.3560000000002</v>
      </c>
      <c r="T68" t="str">
        <f>'Eurostat EB flows IEA'!AN68</f>
        <v>x</v>
      </c>
      <c r="U68">
        <f>'Eurostat EB flows IEA'!AO68</f>
        <v>0</v>
      </c>
      <c r="V68">
        <f>'Eurostat EB flows IEA'!AP68</f>
        <v>0</v>
      </c>
      <c r="W68">
        <f>'Eurostat EB flows IEA'!AQ68</f>
        <v>0</v>
      </c>
      <c r="X68">
        <f>'Eurostat EB flows IEA'!AR68</f>
        <v>0</v>
      </c>
      <c r="Y68">
        <f>'Eurostat EB flows IEA'!AS68</f>
        <v>0</v>
      </c>
      <c r="Z68">
        <f>'Eurostat EB flows IEA'!AT68</f>
        <v>0</v>
      </c>
      <c r="AA68">
        <f>'Eurostat EB flows IEA'!AU68</f>
        <v>0</v>
      </c>
      <c r="AB68">
        <f>'Eurostat EB flows IEA'!AV68</f>
        <v>4965.326</v>
      </c>
      <c r="AC68">
        <f>'Eurostat EB flows IEA'!AW68</f>
        <v>169944.13200000001</v>
      </c>
      <c r="AD68">
        <f>'Eurostat EB flows IEA'!AX68</f>
        <v>56.847000000000001</v>
      </c>
      <c r="AE68">
        <f>'Eurostat EB flows IEA'!AY68</f>
        <v>0</v>
      </c>
      <c r="AF68">
        <f>'Eurostat EB flows IEA'!AZ68</f>
        <v>349.70499999999998</v>
      </c>
      <c r="AG68">
        <f>'Eurostat EB flows IEA'!BA68</f>
        <v>0</v>
      </c>
      <c r="AH68">
        <f>'Eurostat EB flows IEA'!BB68</f>
        <v>182757.81099999999</v>
      </c>
      <c r="AI68">
        <f>'Eurostat EB flows IEA'!BC68</f>
        <v>0</v>
      </c>
      <c r="AJ68">
        <f>'Eurostat EB flows IEA'!BD68</f>
        <v>0</v>
      </c>
      <c r="AK68">
        <f>'Eurostat EB flows IEA'!BE68</f>
        <v>0</v>
      </c>
      <c r="AL68">
        <f>'Eurostat EB flows IEA'!BF68</f>
        <v>0</v>
      </c>
      <c r="AM68">
        <f>'Eurostat EB flows IEA'!BG68</f>
        <v>0</v>
      </c>
      <c r="AN68">
        <f>'Eurostat EB flows IEA'!BH68</f>
        <v>0</v>
      </c>
      <c r="AO68">
        <f>'Eurostat EB flows IEA'!BI68</f>
        <v>0</v>
      </c>
      <c r="AP68">
        <f>'Eurostat EB flows IEA'!BJ68</f>
        <v>0</v>
      </c>
      <c r="AQ68">
        <f>'Eurostat EB flows IEA'!BK68</f>
        <v>0</v>
      </c>
      <c r="AR68">
        <f>'Eurostat EB flows IEA'!BL68</f>
        <v>0</v>
      </c>
      <c r="AS68">
        <f>'Eurostat EB flows IEA'!BM68</f>
        <v>0</v>
      </c>
      <c r="AT68">
        <f>'Eurostat EB flows IEA'!BN68</f>
        <v>0</v>
      </c>
      <c r="AU68">
        <f>'Eurostat EB flows IEA'!BO68</f>
        <v>0</v>
      </c>
      <c r="AV68">
        <f>'Eurostat EB flows IEA'!BP68</f>
        <v>10780.532999999999</v>
      </c>
      <c r="AW68">
        <f>'Eurostat EB flows IEA'!BQ68</f>
        <v>12097.383</v>
      </c>
      <c r="AX68">
        <f>'Eurostat EB flows IEA'!BR68</f>
        <v>0</v>
      </c>
      <c r="AY68">
        <f>'Eurostat EB flows IEA'!BS68</f>
        <v>0</v>
      </c>
      <c r="AZ68">
        <f>'Eurostat EB flows IEA'!BT68</f>
        <v>0</v>
      </c>
      <c r="BA68">
        <f>'Eurostat EB flows IEA'!BU68</f>
        <v>0</v>
      </c>
      <c r="BB68">
        <f>'Eurostat EB flows IEA'!BV68</f>
        <v>0</v>
      </c>
      <c r="BC68">
        <f>'Eurostat EB flows IEA'!BW68</f>
        <v>0</v>
      </c>
      <c r="BD68">
        <f>'Eurostat EB flows IEA'!BX68</f>
        <v>0</v>
      </c>
      <c r="BE68">
        <f>'Eurostat EB flows IEA'!BY68</f>
        <v>0</v>
      </c>
      <c r="BF68">
        <f>'Eurostat EB flows IEA'!BZ68</f>
        <v>0</v>
      </c>
      <c r="BG68">
        <f>'Eurostat EB flows IEA'!CA68</f>
        <v>0</v>
      </c>
      <c r="BH68">
        <f>'Eurostat EB flows IEA'!CB68</f>
        <v>0</v>
      </c>
      <c r="BI68">
        <f>'Eurostat EB flows IEA'!CC68</f>
        <v>0</v>
      </c>
      <c r="BJ68">
        <f>'Eurostat EB flows IEA'!CD68</f>
        <v>0</v>
      </c>
      <c r="BK68">
        <f>'Eurostat EB flows IEA'!CE68</f>
        <v>13980.179</v>
      </c>
      <c r="BL68">
        <f>'Eurostat EB flows IEA'!CF68</f>
        <v>0</v>
      </c>
      <c r="BM68">
        <f>'Eurostat EB flows IEA'!CG68</f>
        <v>397604.27299999999</v>
      </c>
      <c r="BN68">
        <f>'Eurostat EB flows IEA'!CH68</f>
        <v>23836.006000000001</v>
      </c>
    </row>
    <row r="69" spans="1:66" x14ac:dyDescent="0.2">
      <c r="A69" t="s">
        <v>108</v>
      </c>
      <c r="B69" t="str">
        <f>'Eurostat EB flows IEA'!V69</f>
        <v>x</v>
      </c>
      <c r="C69" t="str">
        <f>'Eurostat EB flows IEA'!W69</f>
        <v>x</v>
      </c>
      <c r="D69">
        <f>'Eurostat EB flows IEA'!X69</f>
        <v>0</v>
      </c>
      <c r="E69">
        <f>'Eurostat EB flows IEA'!Y69</f>
        <v>0</v>
      </c>
      <c r="F69">
        <f>'Eurostat EB flows IEA'!Z69</f>
        <v>0</v>
      </c>
      <c r="G69">
        <f>'Eurostat EB flows IEA'!AA69</f>
        <v>0</v>
      </c>
      <c r="H69">
        <f>'Eurostat EB flows IEA'!AB69</f>
        <v>0</v>
      </c>
      <c r="I69">
        <f>'Eurostat EB flows IEA'!AC69</f>
        <v>0</v>
      </c>
      <c r="J69">
        <f>'Eurostat EB flows IEA'!AD69</f>
        <v>0</v>
      </c>
      <c r="K69">
        <f>'Eurostat EB flows IEA'!AE69</f>
        <v>0</v>
      </c>
      <c r="L69">
        <f>'Eurostat EB flows IEA'!AF69</f>
        <v>0</v>
      </c>
      <c r="M69">
        <f>'Eurostat EB flows IEA'!AG69</f>
        <v>0</v>
      </c>
      <c r="N69">
        <f>'Eurostat EB flows IEA'!AH69</f>
        <v>0</v>
      </c>
      <c r="O69">
        <f>'Eurostat EB flows IEA'!AI69</f>
        <v>0</v>
      </c>
      <c r="P69">
        <f>'Eurostat EB flows IEA'!AJ69</f>
        <v>0</v>
      </c>
      <c r="Q69">
        <f>'Eurostat EB flows IEA'!AK69</f>
        <v>0</v>
      </c>
      <c r="R69">
        <f>'Eurostat EB flows IEA'!AL69</f>
        <v>0</v>
      </c>
      <c r="S69">
        <f>'Eurostat EB flows IEA'!AM69</f>
        <v>0</v>
      </c>
      <c r="T69" t="str">
        <f>'Eurostat EB flows IEA'!AN69</f>
        <v>x</v>
      </c>
      <c r="U69">
        <f>'Eurostat EB flows IEA'!AO69</f>
        <v>0</v>
      </c>
      <c r="V69">
        <f>'Eurostat EB flows IEA'!AP69</f>
        <v>0</v>
      </c>
      <c r="W69">
        <f>'Eurostat EB flows IEA'!AQ69</f>
        <v>0</v>
      </c>
      <c r="X69">
        <f>'Eurostat EB flows IEA'!AR69</f>
        <v>0</v>
      </c>
      <c r="Y69">
        <f>'Eurostat EB flows IEA'!AS69</f>
        <v>0</v>
      </c>
      <c r="Z69">
        <f>'Eurostat EB flows IEA'!AT69</f>
        <v>0</v>
      </c>
      <c r="AA69">
        <f>'Eurostat EB flows IEA'!AU69</f>
        <v>0</v>
      </c>
      <c r="AB69">
        <f>'Eurostat EB flows IEA'!AV69</f>
        <v>0</v>
      </c>
      <c r="AC69">
        <f>'Eurostat EB flows IEA'!AW69</f>
        <v>0</v>
      </c>
      <c r="AD69">
        <f>'Eurostat EB flows IEA'!AX69</f>
        <v>56.847000000000001</v>
      </c>
      <c r="AE69">
        <f>'Eurostat EB flows IEA'!AY69</f>
        <v>0</v>
      </c>
      <c r="AF69">
        <f>'Eurostat EB flows IEA'!AZ69</f>
        <v>349.70499999999998</v>
      </c>
      <c r="AG69">
        <f>'Eurostat EB flows IEA'!BA69</f>
        <v>0</v>
      </c>
      <c r="AH69">
        <f>'Eurostat EB flows IEA'!BB69</f>
        <v>0</v>
      </c>
      <c r="AI69">
        <f>'Eurostat EB flows IEA'!BC69</f>
        <v>0</v>
      </c>
      <c r="AJ69">
        <f>'Eurostat EB flows IEA'!BD69</f>
        <v>0</v>
      </c>
      <c r="AK69">
        <f>'Eurostat EB flows IEA'!BE69</f>
        <v>0</v>
      </c>
      <c r="AL69">
        <f>'Eurostat EB flows IEA'!BF69</f>
        <v>0</v>
      </c>
      <c r="AM69">
        <f>'Eurostat EB flows IEA'!BG69</f>
        <v>0</v>
      </c>
      <c r="AN69">
        <f>'Eurostat EB flows IEA'!BH69</f>
        <v>0</v>
      </c>
      <c r="AO69">
        <f>'Eurostat EB flows IEA'!BI69</f>
        <v>0</v>
      </c>
      <c r="AP69">
        <f>'Eurostat EB flows IEA'!BJ69</f>
        <v>0</v>
      </c>
      <c r="AQ69">
        <f>'Eurostat EB flows IEA'!BK69</f>
        <v>0</v>
      </c>
      <c r="AR69">
        <f>'Eurostat EB flows IEA'!BL69</f>
        <v>0</v>
      </c>
      <c r="AS69">
        <f>'Eurostat EB flows IEA'!BM69</f>
        <v>0</v>
      </c>
      <c r="AT69">
        <f>'Eurostat EB flows IEA'!BN69</f>
        <v>0</v>
      </c>
      <c r="AU69">
        <f>'Eurostat EB flows IEA'!BO69</f>
        <v>0</v>
      </c>
      <c r="AV69">
        <f>'Eurostat EB flows IEA'!BP69</f>
        <v>0</v>
      </c>
      <c r="AW69">
        <f>'Eurostat EB flows IEA'!BQ69</f>
        <v>0</v>
      </c>
      <c r="AX69">
        <f>'Eurostat EB flows IEA'!BR69</f>
        <v>0</v>
      </c>
      <c r="AY69">
        <f>'Eurostat EB flows IEA'!BS69</f>
        <v>0</v>
      </c>
      <c r="AZ69">
        <f>'Eurostat EB flows IEA'!BT69</f>
        <v>0</v>
      </c>
      <c r="BA69">
        <f>'Eurostat EB flows IEA'!BU69</f>
        <v>0</v>
      </c>
      <c r="BB69">
        <f>'Eurostat EB flows IEA'!BV69</f>
        <v>0</v>
      </c>
      <c r="BC69">
        <f>'Eurostat EB flows IEA'!BW69</f>
        <v>0</v>
      </c>
      <c r="BD69">
        <f>'Eurostat EB flows IEA'!BX69</f>
        <v>0</v>
      </c>
      <c r="BE69">
        <f>'Eurostat EB flows IEA'!BY69</f>
        <v>0</v>
      </c>
      <c r="BF69">
        <f>'Eurostat EB flows IEA'!BZ69</f>
        <v>0</v>
      </c>
      <c r="BG69">
        <f>'Eurostat EB flows IEA'!CA69</f>
        <v>0</v>
      </c>
      <c r="BH69">
        <f>'Eurostat EB flows IEA'!CB69</f>
        <v>0</v>
      </c>
      <c r="BI69">
        <f>'Eurostat EB flows IEA'!CC69</f>
        <v>0</v>
      </c>
      <c r="BJ69">
        <f>'Eurostat EB flows IEA'!CD69</f>
        <v>0</v>
      </c>
      <c r="BK69">
        <f>'Eurostat EB flows IEA'!CE69</f>
        <v>0</v>
      </c>
      <c r="BL69">
        <f>'Eurostat EB flows IEA'!CF69</f>
        <v>0</v>
      </c>
      <c r="BM69">
        <f>'Eurostat EB flows IEA'!CG69</f>
        <v>406.553</v>
      </c>
      <c r="BN69">
        <f>'Eurostat EB flows IEA'!CH69</f>
        <v>0</v>
      </c>
    </row>
    <row r="70" spans="1:66" x14ac:dyDescent="0.2">
      <c r="A70" t="s">
        <v>107</v>
      </c>
      <c r="B70" t="str">
        <f>'Eurostat EB flows IEA'!V70</f>
        <v>x</v>
      </c>
      <c r="C70" t="str">
        <f>'Eurostat EB flows IEA'!W70</f>
        <v>x</v>
      </c>
      <c r="D70">
        <f>'Eurostat EB flows IEA'!X70</f>
        <v>0</v>
      </c>
      <c r="E70">
        <f>'Eurostat EB flows IEA'!Y70</f>
        <v>0</v>
      </c>
      <c r="F70">
        <f>'Eurostat EB flows IEA'!Z70</f>
        <v>0</v>
      </c>
      <c r="G70">
        <f>'Eurostat EB flows IEA'!AA70</f>
        <v>0</v>
      </c>
      <c r="H70">
        <f>'Eurostat EB flows IEA'!AB70</f>
        <v>0</v>
      </c>
      <c r="I70">
        <f>'Eurostat EB flows IEA'!AC70</f>
        <v>0</v>
      </c>
      <c r="J70">
        <f>'Eurostat EB flows IEA'!AD70</f>
        <v>0</v>
      </c>
      <c r="K70">
        <f>'Eurostat EB flows IEA'!AE70</f>
        <v>0</v>
      </c>
      <c r="L70">
        <f>'Eurostat EB flows IEA'!AF70</f>
        <v>0</v>
      </c>
      <c r="M70">
        <f>'Eurostat EB flows IEA'!AG70</f>
        <v>0</v>
      </c>
      <c r="N70">
        <f>'Eurostat EB flows IEA'!AH70</f>
        <v>0</v>
      </c>
      <c r="O70">
        <f>'Eurostat EB flows IEA'!AI70</f>
        <v>0</v>
      </c>
      <c r="P70">
        <f>'Eurostat EB flows IEA'!AJ70</f>
        <v>0</v>
      </c>
      <c r="Q70">
        <f>'Eurostat EB flows IEA'!AK70</f>
        <v>0</v>
      </c>
      <c r="R70">
        <f>'Eurostat EB flows IEA'!AL70</f>
        <v>0</v>
      </c>
      <c r="S70">
        <f>'Eurostat EB flows IEA'!AM70</f>
        <v>2448.2550000000001</v>
      </c>
      <c r="T70" t="str">
        <f>'Eurostat EB flows IEA'!AN70</f>
        <v>x</v>
      </c>
      <c r="U70">
        <f>'Eurostat EB flows IEA'!AO70</f>
        <v>0</v>
      </c>
      <c r="V70">
        <f>'Eurostat EB flows IEA'!AP70</f>
        <v>0</v>
      </c>
      <c r="W70">
        <f>'Eurostat EB flows IEA'!AQ70</f>
        <v>0</v>
      </c>
      <c r="X70">
        <f>'Eurostat EB flows IEA'!AR70</f>
        <v>0</v>
      </c>
      <c r="Y70">
        <f>'Eurostat EB flows IEA'!AS70</f>
        <v>0</v>
      </c>
      <c r="Z70">
        <f>'Eurostat EB flows IEA'!AT70</f>
        <v>0</v>
      </c>
      <c r="AA70">
        <f>'Eurostat EB flows IEA'!AU70</f>
        <v>0</v>
      </c>
      <c r="AB70">
        <f>'Eurostat EB flows IEA'!AV70</f>
        <v>4965.326</v>
      </c>
      <c r="AC70">
        <f>'Eurostat EB flows IEA'!AW70</f>
        <v>168369.96400000001</v>
      </c>
      <c r="AD70">
        <f>'Eurostat EB flows IEA'!AX70</f>
        <v>0</v>
      </c>
      <c r="AE70">
        <f>'Eurostat EB flows IEA'!AY70</f>
        <v>0</v>
      </c>
      <c r="AF70">
        <f>'Eurostat EB flows IEA'!AZ70</f>
        <v>0</v>
      </c>
      <c r="AG70">
        <f>'Eurostat EB flows IEA'!BA70</f>
        <v>0</v>
      </c>
      <c r="AH70">
        <f>'Eurostat EB flows IEA'!BB70</f>
        <v>170617.92300000001</v>
      </c>
      <c r="AI70">
        <f>'Eurostat EB flows IEA'!BC70</f>
        <v>0</v>
      </c>
      <c r="AJ70">
        <f>'Eurostat EB flows IEA'!BD70</f>
        <v>0</v>
      </c>
      <c r="AK70">
        <f>'Eurostat EB flows IEA'!BE70</f>
        <v>0</v>
      </c>
      <c r="AL70">
        <f>'Eurostat EB flows IEA'!BF70</f>
        <v>0</v>
      </c>
      <c r="AM70">
        <f>'Eurostat EB flows IEA'!BG70</f>
        <v>0</v>
      </c>
      <c r="AN70">
        <f>'Eurostat EB flows IEA'!BH70</f>
        <v>0</v>
      </c>
      <c r="AO70">
        <f>'Eurostat EB flows IEA'!BI70</f>
        <v>0</v>
      </c>
      <c r="AP70">
        <f>'Eurostat EB flows IEA'!BJ70</f>
        <v>0</v>
      </c>
      <c r="AQ70">
        <f>'Eurostat EB flows IEA'!BK70</f>
        <v>0</v>
      </c>
      <c r="AR70">
        <f>'Eurostat EB flows IEA'!BL70</f>
        <v>0</v>
      </c>
      <c r="AS70">
        <f>'Eurostat EB flows IEA'!BM70</f>
        <v>0</v>
      </c>
      <c r="AT70">
        <f>'Eurostat EB flows IEA'!BN70</f>
        <v>0</v>
      </c>
      <c r="AU70">
        <f>'Eurostat EB flows IEA'!BO70</f>
        <v>0</v>
      </c>
      <c r="AV70">
        <f>'Eurostat EB flows IEA'!BP70</f>
        <v>10780.532999999999</v>
      </c>
      <c r="AW70">
        <f>'Eurostat EB flows IEA'!BQ70</f>
        <v>11989.163</v>
      </c>
      <c r="AX70">
        <f>'Eurostat EB flows IEA'!BR70</f>
        <v>0</v>
      </c>
      <c r="AY70">
        <f>'Eurostat EB flows IEA'!BS70</f>
        <v>0</v>
      </c>
      <c r="AZ70">
        <f>'Eurostat EB flows IEA'!BT70</f>
        <v>0</v>
      </c>
      <c r="BA70">
        <f>'Eurostat EB flows IEA'!BU70</f>
        <v>0</v>
      </c>
      <c r="BB70">
        <f>'Eurostat EB flows IEA'!BV70</f>
        <v>0</v>
      </c>
      <c r="BC70">
        <f>'Eurostat EB flows IEA'!BW70</f>
        <v>0</v>
      </c>
      <c r="BD70">
        <f>'Eurostat EB flows IEA'!BX70</f>
        <v>0</v>
      </c>
      <c r="BE70">
        <f>'Eurostat EB flows IEA'!BY70</f>
        <v>0</v>
      </c>
      <c r="BF70">
        <f>'Eurostat EB flows IEA'!BZ70</f>
        <v>0</v>
      </c>
      <c r="BG70">
        <f>'Eurostat EB flows IEA'!CA70</f>
        <v>0</v>
      </c>
      <c r="BH70">
        <f>'Eurostat EB flows IEA'!CB70</f>
        <v>0</v>
      </c>
      <c r="BI70">
        <f>'Eurostat EB flows IEA'!CC70</f>
        <v>0</v>
      </c>
      <c r="BJ70">
        <f>'Eurostat EB flows IEA'!CD70</f>
        <v>0</v>
      </c>
      <c r="BK70">
        <f>'Eurostat EB flows IEA'!CE70</f>
        <v>7947.8779999999997</v>
      </c>
      <c r="BL70">
        <f>'Eurostat EB flows IEA'!CF70</f>
        <v>0</v>
      </c>
      <c r="BM70">
        <f>'Eurostat EB flows IEA'!CG70</f>
        <v>377119.04200000002</v>
      </c>
      <c r="BN70">
        <f>'Eurostat EB flows IEA'!CH70</f>
        <v>23323.896000000001</v>
      </c>
    </row>
    <row r="71" spans="1:66" x14ac:dyDescent="0.2">
      <c r="A71" t="s">
        <v>106</v>
      </c>
      <c r="B71" t="str">
        <f>'Eurostat EB flows IEA'!V71</f>
        <v>x</v>
      </c>
      <c r="C71" t="str">
        <f>'Eurostat EB flows IEA'!W71</f>
        <v>x</v>
      </c>
      <c r="D71">
        <f>'Eurostat EB flows IEA'!X71</f>
        <v>0</v>
      </c>
      <c r="E71">
        <f>'Eurostat EB flows IEA'!Y71</f>
        <v>0</v>
      </c>
      <c r="F71">
        <f>'Eurostat EB flows IEA'!Z71</f>
        <v>0</v>
      </c>
      <c r="G71">
        <f>'Eurostat EB flows IEA'!AA71</f>
        <v>0</v>
      </c>
      <c r="H71">
        <f>'Eurostat EB flows IEA'!AB71</f>
        <v>0</v>
      </c>
      <c r="I71">
        <f>'Eurostat EB flows IEA'!AC71</f>
        <v>0</v>
      </c>
      <c r="J71">
        <f>'Eurostat EB flows IEA'!AD71</f>
        <v>0</v>
      </c>
      <c r="K71">
        <f>'Eurostat EB flows IEA'!AE71</f>
        <v>0</v>
      </c>
      <c r="L71">
        <f>'Eurostat EB flows IEA'!AF71</f>
        <v>0</v>
      </c>
      <c r="M71">
        <f>'Eurostat EB flows IEA'!AG71</f>
        <v>0</v>
      </c>
      <c r="N71">
        <f>'Eurostat EB flows IEA'!AH71</f>
        <v>0</v>
      </c>
      <c r="O71">
        <f>'Eurostat EB flows IEA'!AI71</f>
        <v>0</v>
      </c>
      <c r="P71">
        <f>'Eurostat EB flows IEA'!AJ71</f>
        <v>0</v>
      </c>
      <c r="Q71">
        <f>'Eurostat EB flows IEA'!AK71</f>
        <v>0</v>
      </c>
      <c r="R71">
        <f>'Eurostat EB flows IEA'!AL71</f>
        <v>0</v>
      </c>
      <c r="S71">
        <f>'Eurostat EB flows IEA'!AM71</f>
        <v>0</v>
      </c>
      <c r="T71" t="str">
        <f>'Eurostat EB flows IEA'!AN71</f>
        <v>x</v>
      </c>
      <c r="U71">
        <f>'Eurostat EB flows IEA'!AO71</f>
        <v>0</v>
      </c>
      <c r="V71">
        <f>'Eurostat EB flows IEA'!AP71</f>
        <v>0</v>
      </c>
      <c r="W71">
        <f>'Eurostat EB flows IEA'!AQ71</f>
        <v>0</v>
      </c>
      <c r="X71">
        <f>'Eurostat EB flows IEA'!AR71</f>
        <v>0</v>
      </c>
      <c r="Y71">
        <f>'Eurostat EB flows IEA'!AS71</f>
        <v>0</v>
      </c>
      <c r="Z71">
        <f>'Eurostat EB flows IEA'!AT71</f>
        <v>0</v>
      </c>
      <c r="AA71">
        <f>'Eurostat EB flows IEA'!AU71</f>
        <v>0</v>
      </c>
      <c r="AB71">
        <f>'Eurostat EB flows IEA'!AV71</f>
        <v>0</v>
      </c>
      <c r="AC71">
        <f>'Eurostat EB flows IEA'!AW71</f>
        <v>0</v>
      </c>
      <c r="AD71">
        <f>'Eurostat EB flows IEA'!AX71</f>
        <v>0</v>
      </c>
      <c r="AE71">
        <f>'Eurostat EB flows IEA'!AY71</f>
        <v>0</v>
      </c>
      <c r="AF71">
        <f>'Eurostat EB flows IEA'!AZ71</f>
        <v>0</v>
      </c>
      <c r="AG71">
        <f>'Eurostat EB flows IEA'!BA71</f>
        <v>0</v>
      </c>
      <c r="AH71">
        <f>'Eurostat EB flows IEA'!BB71</f>
        <v>928.64400000000001</v>
      </c>
      <c r="AI71">
        <f>'Eurostat EB flows IEA'!BC71</f>
        <v>0</v>
      </c>
      <c r="AJ71">
        <f>'Eurostat EB flows IEA'!BD71</f>
        <v>0</v>
      </c>
      <c r="AK71">
        <f>'Eurostat EB flows IEA'!BE71</f>
        <v>0</v>
      </c>
      <c r="AL71">
        <f>'Eurostat EB flows IEA'!BF71</f>
        <v>0</v>
      </c>
      <c r="AM71">
        <f>'Eurostat EB flows IEA'!BG71</f>
        <v>0</v>
      </c>
      <c r="AN71">
        <f>'Eurostat EB flows IEA'!BH71</f>
        <v>0</v>
      </c>
      <c r="AO71">
        <f>'Eurostat EB flows IEA'!BI71</f>
        <v>0</v>
      </c>
      <c r="AP71">
        <f>'Eurostat EB flows IEA'!BJ71</f>
        <v>0</v>
      </c>
      <c r="AQ71">
        <f>'Eurostat EB flows IEA'!BK71</f>
        <v>0</v>
      </c>
      <c r="AR71">
        <f>'Eurostat EB flows IEA'!BL71</f>
        <v>0</v>
      </c>
      <c r="AS71">
        <f>'Eurostat EB flows IEA'!BM71</f>
        <v>0</v>
      </c>
      <c r="AT71">
        <f>'Eurostat EB flows IEA'!BN71</f>
        <v>0</v>
      </c>
      <c r="AU71">
        <f>'Eurostat EB flows IEA'!BO71</f>
        <v>0</v>
      </c>
      <c r="AV71">
        <f>'Eurostat EB flows IEA'!BP71</f>
        <v>0</v>
      </c>
      <c r="AW71">
        <f>'Eurostat EB flows IEA'!BQ71</f>
        <v>65.677000000000007</v>
      </c>
      <c r="AX71">
        <f>'Eurostat EB flows IEA'!BR71</f>
        <v>0</v>
      </c>
      <c r="AY71">
        <f>'Eurostat EB flows IEA'!BS71</f>
        <v>0</v>
      </c>
      <c r="AZ71">
        <f>'Eurostat EB flows IEA'!BT71</f>
        <v>0</v>
      </c>
      <c r="BA71">
        <f>'Eurostat EB flows IEA'!BU71</f>
        <v>0</v>
      </c>
      <c r="BB71">
        <f>'Eurostat EB flows IEA'!BV71</f>
        <v>0</v>
      </c>
      <c r="BC71">
        <f>'Eurostat EB flows IEA'!BW71</f>
        <v>0</v>
      </c>
      <c r="BD71">
        <f>'Eurostat EB flows IEA'!BX71</f>
        <v>0</v>
      </c>
      <c r="BE71">
        <f>'Eurostat EB flows IEA'!BY71</f>
        <v>0</v>
      </c>
      <c r="BF71">
        <f>'Eurostat EB flows IEA'!BZ71</f>
        <v>0</v>
      </c>
      <c r="BG71">
        <f>'Eurostat EB flows IEA'!CA71</f>
        <v>0</v>
      </c>
      <c r="BH71">
        <f>'Eurostat EB flows IEA'!CB71</f>
        <v>0</v>
      </c>
      <c r="BI71">
        <f>'Eurostat EB flows IEA'!CC71</f>
        <v>0</v>
      </c>
      <c r="BJ71">
        <f>'Eurostat EB flows IEA'!CD71</f>
        <v>0</v>
      </c>
      <c r="BK71">
        <f>'Eurostat EB flows IEA'!CE71</f>
        <v>6032.3</v>
      </c>
      <c r="BL71">
        <f>'Eurostat EB flows IEA'!CF71</f>
        <v>0</v>
      </c>
      <c r="BM71">
        <f>'Eurostat EB flows IEA'!CG71</f>
        <v>7026.6210000000001</v>
      </c>
      <c r="BN71">
        <f>'Eurostat EB flows IEA'!CH71</f>
        <v>467.27199999999999</v>
      </c>
    </row>
    <row r="72" spans="1:66" x14ac:dyDescent="0.2">
      <c r="A72" t="s">
        <v>110</v>
      </c>
      <c r="B72" t="str">
        <f>'Eurostat EB flows IEA'!V72</f>
        <v>x</v>
      </c>
      <c r="C72" t="str">
        <f>'Eurostat EB flows IEA'!W72</f>
        <v>x</v>
      </c>
      <c r="D72">
        <f>'Eurostat EB flows IEA'!X72</f>
        <v>0</v>
      </c>
      <c r="E72">
        <f>'Eurostat EB flows IEA'!Y72</f>
        <v>0</v>
      </c>
      <c r="F72">
        <f>'Eurostat EB flows IEA'!Z72</f>
        <v>0</v>
      </c>
      <c r="G72">
        <f>'Eurostat EB flows IEA'!AA72</f>
        <v>0</v>
      </c>
      <c r="H72">
        <f>'Eurostat EB flows IEA'!AB72</f>
        <v>0</v>
      </c>
      <c r="I72">
        <f>'Eurostat EB flows IEA'!AC72</f>
        <v>0</v>
      </c>
      <c r="J72">
        <f>'Eurostat EB flows IEA'!AD72</f>
        <v>0</v>
      </c>
      <c r="K72">
        <f>'Eurostat EB flows IEA'!AE72</f>
        <v>0</v>
      </c>
      <c r="L72">
        <f>'Eurostat EB flows IEA'!AF72</f>
        <v>0</v>
      </c>
      <c r="M72">
        <f>'Eurostat EB flows IEA'!AG72</f>
        <v>0</v>
      </c>
      <c r="N72">
        <f>'Eurostat EB flows IEA'!AH72</f>
        <v>0</v>
      </c>
      <c r="O72">
        <f>'Eurostat EB flows IEA'!AI72</f>
        <v>0</v>
      </c>
      <c r="P72">
        <f>'Eurostat EB flows IEA'!AJ72</f>
        <v>0</v>
      </c>
      <c r="Q72">
        <f>'Eurostat EB flows IEA'!AK72</f>
        <v>0</v>
      </c>
      <c r="R72">
        <f>'Eurostat EB flows IEA'!AL72</f>
        <v>0</v>
      </c>
      <c r="S72">
        <f>'Eurostat EB flows IEA'!AM72</f>
        <v>0</v>
      </c>
      <c r="T72" t="str">
        <f>'Eurostat EB flows IEA'!AN72</f>
        <v>x</v>
      </c>
      <c r="U72">
        <f>'Eurostat EB flows IEA'!AO72</f>
        <v>0</v>
      </c>
      <c r="V72">
        <f>'Eurostat EB flows IEA'!AP72</f>
        <v>0</v>
      </c>
      <c r="W72">
        <f>'Eurostat EB flows IEA'!AQ72</f>
        <v>0</v>
      </c>
      <c r="X72">
        <f>'Eurostat EB flows IEA'!AR72</f>
        <v>0</v>
      </c>
      <c r="Y72">
        <f>'Eurostat EB flows IEA'!AS72</f>
        <v>0</v>
      </c>
      <c r="Z72">
        <f>'Eurostat EB flows IEA'!AT72</f>
        <v>0</v>
      </c>
      <c r="AA72">
        <f>'Eurostat EB flows IEA'!AU72</f>
        <v>0</v>
      </c>
      <c r="AB72">
        <f>'Eurostat EB flows IEA'!AV72</f>
        <v>0</v>
      </c>
      <c r="AC72">
        <f>'Eurostat EB flows IEA'!AW72</f>
        <v>0</v>
      </c>
      <c r="AD72">
        <f>'Eurostat EB flows IEA'!AX72</f>
        <v>0</v>
      </c>
      <c r="AE72">
        <f>'Eurostat EB flows IEA'!AY72</f>
        <v>0</v>
      </c>
      <c r="AF72">
        <f>'Eurostat EB flows IEA'!AZ72</f>
        <v>0</v>
      </c>
      <c r="AG72">
        <f>'Eurostat EB flows IEA'!BA72</f>
        <v>0</v>
      </c>
      <c r="AH72">
        <f>'Eurostat EB flows IEA'!BB72</f>
        <v>0</v>
      </c>
      <c r="AI72">
        <f>'Eurostat EB flows IEA'!BC72</f>
        <v>0</v>
      </c>
      <c r="AJ72">
        <f>'Eurostat EB flows IEA'!BD72</f>
        <v>0</v>
      </c>
      <c r="AK72">
        <f>'Eurostat EB flows IEA'!BE72</f>
        <v>0</v>
      </c>
      <c r="AL72">
        <f>'Eurostat EB flows IEA'!BF72</f>
        <v>0</v>
      </c>
      <c r="AM72">
        <f>'Eurostat EB flows IEA'!BG72</f>
        <v>0</v>
      </c>
      <c r="AN72">
        <f>'Eurostat EB flows IEA'!BH72</f>
        <v>0</v>
      </c>
      <c r="AO72">
        <f>'Eurostat EB flows IEA'!BI72</f>
        <v>0</v>
      </c>
      <c r="AP72">
        <f>'Eurostat EB flows IEA'!BJ72</f>
        <v>0</v>
      </c>
      <c r="AQ72">
        <f>'Eurostat EB flows IEA'!BK72</f>
        <v>0</v>
      </c>
      <c r="AR72">
        <f>'Eurostat EB flows IEA'!BL72</f>
        <v>0</v>
      </c>
      <c r="AS72">
        <f>'Eurostat EB flows IEA'!BM72</f>
        <v>0</v>
      </c>
      <c r="AT72">
        <f>'Eurostat EB flows IEA'!BN72</f>
        <v>0</v>
      </c>
      <c r="AU72">
        <f>'Eurostat EB flows IEA'!BO72</f>
        <v>0</v>
      </c>
      <c r="AV72">
        <f>'Eurostat EB flows IEA'!BP72</f>
        <v>0</v>
      </c>
      <c r="AW72">
        <f>'Eurostat EB flows IEA'!BQ72</f>
        <v>0</v>
      </c>
      <c r="AX72">
        <f>'Eurostat EB flows IEA'!BR72</f>
        <v>0</v>
      </c>
      <c r="AY72">
        <f>'Eurostat EB flows IEA'!BS72</f>
        <v>0</v>
      </c>
      <c r="AZ72">
        <f>'Eurostat EB flows IEA'!BT72</f>
        <v>0</v>
      </c>
      <c r="BA72">
        <f>'Eurostat EB flows IEA'!BU72</f>
        <v>0</v>
      </c>
      <c r="BB72">
        <f>'Eurostat EB flows IEA'!BV72</f>
        <v>0</v>
      </c>
      <c r="BC72">
        <f>'Eurostat EB flows IEA'!BW72</f>
        <v>0</v>
      </c>
      <c r="BD72">
        <f>'Eurostat EB flows IEA'!BX72</f>
        <v>0</v>
      </c>
      <c r="BE72">
        <f>'Eurostat EB flows IEA'!BY72</f>
        <v>0</v>
      </c>
      <c r="BF72">
        <f>'Eurostat EB flows IEA'!BZ72</f>
        <v>0</v>
      </c>
      <c r="BG72">
        <f>'Eurostat EB flows IEA'!CA72</f>
        <v>0</v>
      </c>
      <c r="BH72">
        <f>'Eurostat EB flows IEA'!CB72</f>
        <v>0</v>
      </c>
      <c r="BI72">
        <f>'Eurostat EB flows IEA'!CC72</f>
        <v>0</v>
      </c>
      <c r="BJ72">
        <f>'Eurostat EB flows IEA'!CD72</f>
        <v>0</v>
      </c>
      <c r="BK72">
        <f>'Eurostat EB flows IEA'!CE72</f>
        <v>0</v>
      </c>
      <c r="BL72">
        <f>'Eurostat EB flows IEA'!CF72</f>
        <v>0</v>
      </c>
      <c r="BM72">
        <f>'Eurostat EB flows IEA'!CG72</f>
        <v>0</v>
      </c>
      <c r="BN72">
        <f>'Eurostat EB flows IEA'!CH72</f>
        <v>0</v>
      </c>
    </row>
    <row r="73" spans="1:66" x14ac:dyDescent="0.2">
      <c r="A73" t="s">
        <v>109</v>
      </c>
      <c r="B73" t="str">
        <f>'Eurostat EB flows IEA'!V73</f>
        <v>x</v>
      </c>
      <c r="C73" t="str">
        <f>'Eurostat EB flows IEA'!W73</f>
        <v>x</v>
      </c>
      <c r="D73">
        <f>'Eurostat EB flows IEA'!X73</f>
        <v>0</v>
      </c>
      <c r="E73">
        <f>'Eurostat EB flows IEA'!Y73</f>
        <v>0</v>
      </c>
      <c r="F73">
        <f>'Eurostat EB flows IEA'!Z73</f>
        <v>0</v>
      </c>
      <c r="G73">
        <f>'Eurostat EB flows IEA'!AA73</f>
        <v>0</v>
      </c>
      <c r="H73">
        <f>'Eurostat EB flows IEA'!AB73</f>
        <v>0</v>
      </c>
      <c r="I73">
        <f>'Eurostat EB flows IEA'!AC73</f>
        <v>0</v>
      </c>
      <c r="J73">
        <f>'Eurostat EB flows IEA'!AD73</f>
        <v>0</v>
      </c>
      <c r="K73">
        <f>'Eurostat EB flows IEA'!AE73</f>
        <v>0</v>
      </c>
      <c r="L73">
        <f>'Eurostat EB flows IEA'!AF73</f>
        <v>0</v>
      </c>
      <c r="M73">
        <f>'Eurostat EB flows IEA'!AG73</f>
        <v>0</v>
      </c>
      <c r="N73">
        <f>'Eurostat EB flows IEA'!AH73</f>
        <v>0</v>
      </c>
      <c r="O73">
        <f>'Eurostat EB flows IEA'!AI73</f>
        <v>0</v>
      </c>
      <c r="P73">
        <f>'Eurostat EB flows IEA'!AJ73</f>
        <v>0</v>
      </c>
      <c r="Q73">
        <f>'Eurostat EB flows IEA'!AK73</f>
        <v>0</v>
      </c>
      <c r="R73">
        <f>'Eurostat EB flows IEA'!AL73</f>
        <v>0</v>
      </c>
      <c r="S73">
        <f>'Eurostat EB flows IEA'!AM73</f>
        <v>0</v>
      </c>
      <c r="T73" t="str">
        <f>'Eurostat EB flows IEA'!AN73</f>
        <v>x</v>
      </c>
      <c r="U73">
        <f>'Eurostat EB flows IEA'!AO73</f>
        <v>0</v>
      </c>
      <c r="V73">
        <f>'Eurostat EB flows IEA'!AP73</f>
        <v>0</v>
      </c>
      <c r="W73">
        <f>'Eurostat EB flows IEA'!AQ73</f>
        <v>0</v>
      </c>
      <c r="X73">
        <f>'Eurostat EB flows IEA'!AR73</f>
        <v>0</v>
      </c>
      <c r="Y73">
        <f>'Eurostat EB flows IEA'!AS73</f>
        <v>0</v>
      </c>
      <c r="Z73">
        <f>'Eurostat EB flows IEA'!AT73</f>
        <v>0</v>
      </c>
      <c r="AA73">
        <f>'Eurostat EB flows IEA'!AU73</f>
        <v>0</v>
      </c>
      <c r="AB73">
        <f>'Eurostat EB flows IEA'!AV73</f>
        <v>0</v>
      </c>
      <c r="AC73">
        <f>'Eurostat EB flows IEA'!AW73</f>
        <v>1574.1679999999999</v>
      </c>
      <c r="AD73">
        <f>'Eurostat EB flows IEA'!AX73</f>
        <v>0</v>
      </c>
      <c r="AE73">
        <f>'Eurostat EB flows IEA'!AY73</f>
        <v>0</v>
      </c>
      <c r="AF73">
        <f>'Eurostat EB flows IEA'!AZ73</f>
        <v>0</v>
      </c>
      <c r="AG73">
        <f>'Eurostat EB flows IEA'!BA73</f>
        <v>0</v>
      </c>
      <c r="AH73">
        <f>'Eurostat EB flows IEA'!BB73</f>
        <v>11211.244000000001</v>
      </c>
      <c r="AI73">
        <f>'Eurostat EB flows IEA'!BC73</f>
        <v>0</v>
      </c>
      <c r="AJ73">
        <f>'Eurostat EB flows IEA'!BD73</f>
        <v>0</v>
      </c>
      <c r="AK73">
        <f>'Eurostat EB flows IEA'!BE73</f>
        <v>0</v>
      </c>
      <c r="AL73">
        <f>'Eurostat EB flows IEA'!BF73</f>
        <v>0</v>
      </c>
      <c r="AM73">
        <f>'Eurostat EB flows IEA'!BG73</f>
        <v>0</v>
      </c>
      <c r="AN73">
        <f>'Eurostat EB flows IEA'!BH73</f>
        <v>0</v>
      </c>
      <c r="AO73">
        <f>'Eurostat EB flows IEA'!BI73</f>
        <v>0</v>
      </c>
      <c r="AP73">
        <f>'Eurostat EB flows IEA'!BJ73</f>
        <v>0</v>
      </c>
      <c r="AQ73">
        <f>'Eurostat EB flows IEA'!BK73</f>
        <v>0</v>
      </c>
      <c r="AR73">
        <f>'Eurostat EB flows IEA'!BL73</f>
        <v>0</v>
      </c>
      <c r="AS73">
        <f>'Eurostat EB flows IEA'!BM73</f>
        <v>0</v>
      </c>
      <c r="AT73">
        <f>'Eurostat EB flows IEA'!BN73</f>
        <v>0</v>
      </c>
      <c r="AU73">
        <f>'Eurostat EB flows IEA'!BO73</f>
        <v>0</v>
      </c>
      <c r="AV73">
        <f>'Eurostat EB flows IEA'!BP73</f>
        <v>0</v>
      </c>
      <c r="AW73">
        <f>'Eurostat EB flows IEA'!BQ73</f>
        <v>42.542999999999999</v>
      </c>
      <c r="AX73">
        <f>'Eurostat EB flows IEA'!BR73</f>
        <v>0</v>
      </c>
      <c r="AY73">
        <f>'Eurostat EB flows IEA'!BS73</f>
        <v>0</v>
      </c>
      <c r="AZ73">
        <f>'Eurostat EB flows IEA'!BT73</f>
        <v>0</v>
      </c>
      <c r="BA73">
        <f>'Eurostat EB flows IEA'!BU73</f>
        <v>0</v>
      </c>
      <c r="BB73">
        <f>'Eurostat EB flows IEA'!BV73</f>
        <v>0</v>
      </c>
      <c r="BC73">
        <f>'Eurostat EB flows IEA'!BW73</f>
        <v>0</v>
      </c>
      <c r="BD73">
        <f>'Eurostat EB flows IEA'!BX73</f>
        <v>0</v>
      </c>
      <c r="BE73">
        <f>'Eurostat EB flows IEA'!BY73</f>
        <v>0</v>
      </c>
      <c r="BF73">
        <f>'Eurostat EB flows IEA'!BZ73</f>
        <v>0</v>
      </c>
      <c r="BG73">
        <f>'Eurostat EB flows IEA'!CA73</f>
        <v>0</v>
      </c>
      <c r="BH73">
        <f>'Eurostat EB flows IEA'!CB73</f>
        <v>0</v>
      </c>
      <c r="BI73">
        <f>'Eurostat EB flows IEA'!CC73</f>
        <v>0</v>
      </c>
      <c r="BJ73">
        <f>'Eurostat EB flows IEA'!CD73</f>
        <v>0</v>
      </c>
      <c r="BK73">
        <f>'Eurostat EB flows IEA'!CE73</f>
        <v>0</v>
      </c>
      <c r="BL73">
        <f>'Eurostat EB flows IEA'!CF73</f>
        <v>0</v>
      </c>
      <c r="BM73">
        <f>'Eurostat EB flows IEA'!CG73</f>
        <v>12827.955</v>
      </c>
      <c r="BN73">
        <f>'Eurostat EB flows IEA'!CH73</f>
        <v>42.542999999999999</v>
      </c>
    </row>
    <row r="74" spans="1:66" x14ac:dyDescent="0.2">
      <c r="A74" t="s">
        <v>181</v>
      </c>
      <c r="B74" t="str">
        <f>'Eurostat EB flows IEA'!V74</f>
        <v>x</v>
      </c>
      <c r="C74" t="str">
        <f>'Eurostat EB flows IEA'!W74</f>
        <v>x</v>
      </c>
      <c r="D74">
        <f>'Eurostat EB flows IEA'!X74</f>
        <v>0</v>
      </c>
      <c r="E74">
        <f>'Eurostat EB flows IEA'!Y74</f>
        <v>0</v>
      </c>
      <c r="F74">
        <f>'Eurostat EB flows IEA'!Z74</f>
        <v>0</v>
      </c>
      <c r="G74">
        <f>'Eurostat EB flows IEA'!AA74</f>
        <v>0</v>
      </c>
      <c r="H74">
        <f>'Eurostat EB flows IEA'!AB74</f>
        <v>0</v>
      </c>
      <c r="I74">
        <f>'Eurostat EB flows IEA'!AC74</f>
        <v>0</v>
      </c>
      <c r="J74">
        <f>'Eurostat EB flows IEA'!AD74</f>
        <v>0</v>
      </c>
      <c r="K74">
        <f>'Eurostat EB flows IEA'!AE74</f>
        <v>0</v>
      </c>
      <c r="L74">
        <f>'Eurostat EB flows IEA'!AF74</f>
        <v>0</v>
      </c>
      <c r="M74">
        <f>'Eurostat EB flows IEA'!AG74</f>
        <v>0</v>
      </c>
      <c r="N74">
        <f>'Eurostat EB flows IEA'!AH74</f>
        <v>0</v>
      </c>
      <c r="O74">
        <f>'Eurostat EB flows IEA'!AI74</f>
        <v>0</v>
      </c>
      <c r="P74">
        <f>'Eurostat EB flows IEA'!AJ74</f>
        <v>0</v>
      </c>
      <c r="Q74">
        <f>'Eurostat EB flows IEA'!AK74</f>
        <v>0</v>
      </c>
      <c r="R74">
        <f>'Eurostat EB flows IEA'!AL74</f>
        <v>0</v>
      </c>
      <c r="S74">
        <f>'Eurostat EB flows IEA'!AM74</f>
        <v>224.102</v>
      </c>
      <c r="T74" t="str">
        <f>'Eurostat EB flows IEA'!AN74</f>
        <v>x</v>
      </c>
      <c r="U74">
        <f>'Eurostat EB flows IEA'!AO74</f>
        <v>0</v>
      </c>
      <c r="V74">
        <f>'Eurostat EB flows IEA'!AP74</f>
        <v>0</v>
      </c>
      <c r="W74">
        <f>'Eurostat EB flows IEA'!AQ74</f>
        <v>0</v>
      </c>
      <c r="X74">
        <f>'Eurostat EB flows IEA'!AR74</f>
        <v>0</v>
      </c>
      <c r="Y74">
        <f>'Eurostat EB flows IEA'!AS74</f>
        <v>0</v>
      </c>
      <c r="Z74">
        <f>'Eurostat EB flows IEA'!AT74</f>
        <v>0</v>
      </c>
      <c r="AA74">
        <f>'Eurostat EB flows IEA'!AU74</f>
        <v>0</v>
      </c>
      <c r="AB74">
        <f>'Eurostat EB flows IEA'!AV74</f>
        <v>0</v>
      </c>
      <c r="AC74">
        <f>'Eurostat EB flows IEA'!AW74</f>
        <v>0</v>
      </c>
      <c r="AD74">
        <f>'Eurostat EB flows IEA'!AX74</f>
        <v>0</v>
      </c>
      <c r="AE74">
        <f>'Eurostat EB flows IEA'!AY74</f>
        <v>0</v>
      </c>
      <c r="AF74">
        <f>'Eurostat EB flows IEA'!AZ74</f>
        <v>0</v>
      </c>
      <c r="AG74">
        <f>'Eurostat EB flows IEA'!BA74</f>
        <v>0</v>
      </c>
      <c r="AH74">
        <f>'Eurostat EB flows IEA'!BB74</f>
        <v>0</v>
      </c>
      <c r="AI74">
        <f>'Eurostat EB flows IEA'!BC74</f>
        <v>0</v>
      </c>
      <c r="AJ74">
        <f>'Eurostat EB flows IEA'!BD74</f>
        <v>0</v>
      </c>
      <c r="AK74">
        <f>'Eurostat EB flows IEA'!BE74</f>
        <v>0</v>
      </c>
      <c r="AL74">
        <f>'Eurostat EB flows IEA'!BF74</f>
        <v>0</v>
      </c>
      <c r="AM74">
        <f>'Eurostat EB flows IEA'!BG74</f>
        <v>0</v>
      </c>
      <c r="AN74">
        <f>'Eurostat EB flows IEA'!BH74</f>
        <v>0</v>
      </c>
      <c r="AO74">
        <f>'Eurostat EB flows IEA'!BI74</f>
        <v>0</v>
      </c>
      <c r="AP74">
        <f>'Eurostat EB flows IEA'!BJ74</f>
        <v>0</v>
      </c>
      <c r="AQ74">
        <f>'Eurostat EB flows IEA'!BK74</f>
        <v>0</v>
      </c>
      <c r="AR74">
        <f>'Eurostat EB flows IEA'!BL74</f>
        <v>0</v>
      </c>
      <c r="AS74">
        <f>'Eurostat EB flows IEA'!BM74</f>
        <v>0</v>
      </c>
      <c r="AT74">
        <f>'Eurostat EB flows IEA'!BN74</f>
        <v>0</v>
      </c>
      <c r="AU74">
        <f>'Eurostat EB flows IEA'!BO74</f>
        <v>0</v>
      </c>
      <c r="AV74">
        <f>'Eurostat EB flows IEA'!BP74</f>
        <v>0</v>
      </c>
      <c r="AW74">
        <f>'Eurostat EB flows IEA'!BQ74</f>
        <v>0</v>
      </c>
      <c r="AX74">
        <f>'Eurostat EB flows IEA'!BR74</f>
        <v>0</v>
      </c>
      <c r="AY74">
        <f>'Eurostat EB flows IEA'!BS74</f>
        <v>0</v>
      </c>
      <c r="AZ74">
        <f>'Eurostat EB flows IEA'!BT74</f>
        <v>0</v>
      </c>
      <c r="BA74">
        <f>'Eurostat EB flows IEA'!BU74</f>
        <v>0</v>
      </c>
      <c r="BB74">
        <f>'Eurostat EB flows IEA'!BV74</f>
        <v>0</v>
      </c>
      <c r="BC74">
        <f>'Eurostat EB flows IEA'!BW74</f>
        <v>0</v>
      </c>
      <c r="BD74">
        <f>'Eurostat EB flows IEA'!BX74</f>
        <v>0</v>
      </c>
      <c r="BE74">
        <f>'Eurostat EB flows IEA'!BY74</f>
        <v>0</v>
      </c>
      <c r="BF74">
        <f>'Eurostat EB flows IEA'!BZ74</f>
        <v>0</v>
      </c>
      <c r="BG74">
        <f>'Eurostat EB flows IEA'!CA74</f>
        <v>0</v>
      </c>
      <c r="BH74">
        <f>'Eurostat EB flows IEA'!CB74</f>
        <v>0</v>
      </c>
      <c r="BI74">
        <f>'Eurostat EB flows IEA'!CC74</f>
        <v>0</v>
      </c>
      <c r="BJ74">
        <f>'Eurostat EB flows IEA'!CD74</f>
        <v>0</v>
      </c>
      <c r="BK74">
        <f>'Eurostat EB flows IEA'!CE74</f>
        <v>0</v>
      </c>
      <c r="BL74">
        <f>'Eurostat EB flows IEA'!CF74</f>
        <v>0</v>
      </c>
      <c r="BM74">
        <f>'Eurostat EB flows IEA'!CG74</f>
        <v>224.102</v>
      </c>
      <c r="BN74">
        <f>'Eurostat EB flows IEA'!CH74</f>
        <v>2.2949999999999999</v>
      </c>
    </row>
    <row r="75" spans="1:66" x14ac:dyDescent="0.2">
      <c r="A75" t="s">
        <v>182</v>
      </c>
      <c r="B75" t="str">
        <f>'Eurostat EB flows IEA'!V75</f>
        <v>x</v>
      </c>
      <c r="C75" t="str">
        <f>'Eurostat EB flows IEA'!W75</f>
        <v>x</v>
      </c>
      <c r="D75">
        <f>'Eurostat EB flows IEA'!X75</f>
        <v>2.4910000000000001</v>
      </c>
      <c r="E75">
        <f>'Eurostat EB flows IEA'!Y75</f>
        <v>0</v>
      </c>
      <c r="F75">
        <f>'Eurostat EB flows IEA'!Z75</f>
        <v>0</v>
      </c>
      <c r="G75">
        <f>'Eurostat EB flows IEA'!AA75</f>
        <v>0</v>
      </c>
      <c r="H75">
        <f>'Eurostat EB flows IEA'!AB75</f>
        <v>312.82</v>
      </c>
      <c r="I75">
        <f>'Eurostat EB flows IEA'!AC75</f>
        <v>0</v>
      </c>
      <c r="J75">
        <f>'Eurostat EB flows IEA'!AD75</f>
        <v>0</v>
      </c>
      <c r="K75">
        <f>'Eurostat EB flows IEA'!AE75</f>
        <v>0</v>
      </c>
      <c r="L75">
        <f>'Eurostat EB flows IEA'!AF75</f>
        <v>0</v>
      </c>
      <c r="M75">
        <f>'Eurostat EB flows IEA'!AG75</f>
        <v>0</v>
      </c>
      <c r="N75">
        <f>'Eurostat EB flows IEA'!AH75</f>
        <v>0</v>
      </c>
      <c r="O75">
        <f>'Eurostat EB flows IEA'!AI75</f>
        <v>0</v>
      </c>
      <c r="P75">
        <f>'Eurostat EB flows IEA'!AJ75</f>
        <v>0</v>
      </c>
      <c r="Q75">
        <f>'Eurostat EB flows IEA'!AK75</f>
        <v>0</v>
      </c>
      <c r="R75">
        <f>'Eurostat EB flows IEA'!AL75</f>
        <v>0</v>
      </c>
      <c r="S75">
        <f>'Eurostat EB flows IEA'!AM75</f>
        <v>354512.56099999999</v>
      </c>
      <c r="T75" t="str">
        <f>'Eurostat EB flows IEA'!AN75</f>
        <v>x</v>
      </c>
      <c r="U75">
        <f>'Eurostat EB flows IEA'!AO75</f>
        <v>0</v>
      </c>
      <c r="V75">
        <f>'Eurostat EB flows IEA'!AP75</f>
        <v>0</v>
      </c>
      <c r="W75">
        <f>'Eurostat EB flows IEA'!AQ75</f>
        <v>0</v>
      </c>
      <c r="X75">
        <f>'Eurostat EB flows IEA'!AR75</f>
        <v>0</v>
      </c>
      <c r="Y75">
        <f>'Eurostat EB flows IEA'!AS75</f>
        <v>0</v>
      </c>
      <c r="Z75">
        <f>'Eurostat EB flows IEA'!AT75</f>
        <v>0</v>
      </c>
      <c r="AA75">
        <f>'Eurostat EB flows IEA'!AU75</f>
        <v>0</v>
      </c>
      <c r="AB75">
        <f>'Eurostat EB flows IEA'!AV75</f>
        <v>3811.806</v>
      </c>
      <c r="AC75">
        <f>'Eurostat EB flows IEA'!AW75</f>
        <v>1725.712</v>
      </c>
      <c r="AD75">
        <f>'Eurostat EB flows IEA'!AX75</f>
        <v>0</v>
      </c>
      <c r="AE75">
        <f>'Eurostat EB flows IEA'!AY75</f>
        <v>0</v>
      </c>
      <c r="AF75">
        <f>'Eurostat EB flows IEA'!AZ75</f>
        <v>1588.748</v>
      </c>
      <c r="AG75">
        <f>'Eurostat EB flows IEA'!BA75</f>
        <v>216.02099999999999</v>
      </c>
      <c r="AH75">
        <f>'Eurostat EB flows IEA'!BB75</f>
        <v>30417.817999999999</v>
      </c>
      <c r="AI75">
        <f>'Eurostat EB flows IEA'!BC75</f>
        <v>0</v>
      </c>
      <c r="AJ75">
        <f>'Eurostat EB flows IEA'!BD75</f>
        <v>0</v>
      </c>
      <c r="AK75">
        <f>'Eurostat EB flows IEA'!BE75</f>
        <v>0</v>
      </c>
      <c r="AL75">
        <f>'Eurostat EB flows IEA'!BF75</f>
        <v>0</v>
      </c>
      <c r="AM75">
        <f>'Eurostat EB flows IEA'!BG75</f>
        <v>0</v>
      </c>
      <c r="AN75">
        <f>'Eurostat EB flows IEA'!BH75</f>
        <v>0</v>
      </c>
      <c r="AO75">
        <f>'Eurostat EB flows IEA'!BI75</f>
        <v>0</v>
      </c>
      <c r="AP75">
        <f>'Eurostat EB flows IEA'!BJ75</f>
        <v>0</v>
      </c>
      <c r="AQ75">
        <f>'Eurostat EB flows IEA'!BK75</f>
        <v>38.927</v>
      </c>
      <c r="AR75">
        <f>'Eurostat EB flows IEA'!BL75</f>
        <v>1510.0820000000001</v>
      </c>
      <c r="AS75">
        <f>'Eurostat EB flows IEA'!BM75</f>
        <v>1339.13</v>
      </c>
      <c r="AT75">
        <f>'Eurostat EB flows IEA'!BN75</f>
        <v>22561.508000000002</v>
      </c>
      <c r="AU75">
        <f>'Eurostat EB flows IEA'!BO75</f>
        <v>2797.6080000000002</v>
      </c>
      <c r="AV75">
        <f>'Eurostat EB flows IEA'!BP75</f>
        <v>0</v>
      </c>
      <c r="AW75">
        <f>'Eurostat EB flows IEA'!BQ75</f>
        <v>1218.2550000000001</v>
      </c>
      <c r="AX75">
        <f>'Eurostat EB flows IEA'!BR75</f>
        <v>257.61599999999999</v>
      </c>
      <c r="AY75">
        <f>'Eurostat EB flows IEA'!BS75</f>
        <v>0</v>
      </c>
      <c r="AZ75">
        <f>'Eurostat EB flows IEA'!BT75</f>
        <v>270</v>
      </c>
      <c r="BA75">
        <f>'Eurostat EB flows IEA'!BU75</f>
        <v>0</v>
      </c>
      <c r="BB75">
        <f>'Eurostat EB flows IEA'!BV75</f>
        <v>0</v>
      </c>
      <c r="BC75">
        <f>'Eurostat EB flows IEA'!BW75</f>
        <v>0</v>
      </c>
      <c r="BD75">
        <f>'Eurostat EB flows IEA'!BX75</f>
        <v>0</v>
      </c>
      <c r="BE75">
        <f>'Eurostat EB flows IEA'!BY75</f>
        <v>6797.51</v>
      </c>
      <c r="BF75">
        <f>'Eurostat EB flows IEA'!BZ75</f>
        <v>0</v>
      </c>
      <c r="BG75">
        <f>'Eurostat EB flows IEA'!CA75</f>
        <v>1176</v>
      </c>
      <c r="BH75">
        <f>'Eurostat EB flows IEA'!CB75</f>
        <v>0</v>
      </c>
      <c r="BI75">
        <f>'Eurostat EB flows IEA'!CC75</f>
        <v>0</v>
      </c>
      <c r="BJ75">
        <f>'Eurostat EB flows IEA'!CD75</f>
        <v>0</v>
      </c>
      <c r="BK75">
        <f>'Eurostat EB flows IEA'!CE75</f>
        <v>237106.217</v>
      </c>
      <c r="BL75">
        <f>'Eurostat EB flows IEA'!CF75</f>
        <v>20834.442999999999</v>
      </c>
      <c r="BM75">
        <f>'Eurostat EB flows IEA'!CG75</f>
        <v>714019.88399999996</v>
      </c>
      <c r="BN75">
        <f>'Eurostat EB flows IEA'!CH75</f>
        <v>52604.993999999999</v>
      </c>
    </row>
    <row r="76" spans="1:66" x14ac:dyDescent="0.2">
      <c r="A76" t="s">
        <v>183</v>
      </c>
      <c r="B76" t="str">
        <f>'Eurostat EB flows IEA'!V76</f>
        <v>x</v>
      </c>
      <c r="C76" t="str">
        <f>'Eurostat EB flows IEA'!W76</f>
        <v>x</v>
      </c>
      <c r="D76">
        <f>'Eurostat EB flows IEA'!X76</f>
        <v>2.4910000000000001</v>
      </c>
      <c r="E76">
        <f>'Eurostat EB flows IEA'!Y76</f>
        <v>0</v>
      </c>
      <c r="F76">
        <f>'Eurostat EB flows IEA'!Z76</f>
        <v>0</v>
      </c>
      <c r="G76">
        <f>'Eurostat EB flows IEA'!AA76</f>
        <v>0</v>
      </c>
      <c r="H76">
        <f>'Eurostat EB flows IEA'!AB76</f>
        <v>0</v>
      </c>
      <c r="I76">
        <f>'Eurostat EB flows IEA'!AC76</f>
        <v>0</v>
      </c>
      <c r="J76">
        <f>'Eurostat EB flows IEA'!AD76</f>
        <v>0</v>
      </c>
      <c r="K76">
        <f>'Eurostat EB flows IEA'!AE76</f>
        <v>0</v>
      </c>
      <c r="L76">
        <f>'Eurostat EB flows IEA'!AF76</f>
        <v>0</v>
      </c>
      <c r="M76">
        <f>'Eurostat EB flows IEA'!AG76</f>
        <v>0</v>
      </c>
      <c r="N76">
        <f>'Eurostat EB flows IEA'!AH76</f>
        <v>0</v>
      </c>
      <c r="O76">
        <f>'Eurostat EB flows IEA'!AI76</f>
        <v>0</v>
      </c>
      <c r="P76">
        <f>'Eurostat EB flows IEA'!AJ76</f>
        <v>0</v>
      </c>
      <c r="Q76">
        <f>'Eurostat EB flows IEA'!AK76</f>
        <v>0</v>
      </c>
      <c r="R76">
        <f>'Eurostat EB flows IEA'!AL76</f>
        <v>0</v>
      </c>
      <c r="S76">
        <f>'Eurostat EB flows IEA'!AM76</f>
        <v>201182.98499999999</v>
      </c>
      <c r="T76" t="str">
        <f>'Eurostat EB flows IEA'!AN76</f>
        <v>x</v>
      </c>
      <c r="U76">
        <f>'Eurostat EB flows IEA'!AO76</f>
        <v>0</v>
      </c>
      <c r="V76">
        <f>'Eurostat EB flows IEA'!AP76</f>
        <v>0</v>
      </c>
      <c r="W76">
        <f>'Eurostat EB flows IEA'!AQ76</f>
        <v>0</v>
      </c>
      <c r="X76">
        <f>'Eurostat EB flows IEA'!AR76</f>
        <v>0</v>
      </c>
      <c r="Y76">
        <f>'Eurostat EB flows IEA'!AS76</f>
        <v>0</v>
      </c>
      <c r="Z76">
        <f>'Eurostat EB flows IEA'!AT76</f>
        <v>0</v>
      </c>
      <c r="AA76">
        <f>'Eurostat EB flows IEA'!AU76</f>
        <v>0</v>
      </c>
      <c r="AB76">
        <f>'Eurostat EB flows IEA'!AV76</f>
        <v>971.84199999999998</v>
      </c>
      <c r="AC76">
        <f>'Eurostat EB flows IEA'!AW76</f>
        <v>960.197</v>
      </c>
      <c r="AD76">
        <f>'Eurostat EB flows IEA'!AX76</f>
        <v>0</v>
      </c>
      <c r="AE76">
        <f>'Eurostat EB flows IEA'!AY76</f>
        <v>0</v>
      </c>
      <c r="AF76">
        <f>'Eurostat EB flows IEA'!AZ76</f>
        <v>0</v>
      </c>
      <c r="AG76">
        <f>'Eurostat EB flows IEA'!BA76</f>
        <v>216.02099999999999</v>
      </c>
      <c r="AH76">
        <f>'Eurostat EB flows IEA'!BB76</f>
        <v>304.22699999999998</v>
      </c>
      <c r="AI76">
        <f>'Eurostat EB flows IEA'!BC76</f>
        <v>0</v>
      </c>
      <c r="AJ76">
        <f>'Eurostat EB flows IEA'!BD76</f>
        <v>0</v>
      </c>
      <c r="AK76">
        <f>'Eurostat EB flows IEA'!BE76</f>
        <v>0</v>
      </c>
      <c r="AL76">
        <f>'Eurostat EB flows IEA'!BF76</f>
        <v>0</v>
      </c>
      <c r="AM76">
        <f>'Eurostat EB flows IEA'!BG76</f>
        <v>0</v>
      </c>
      <c r="AN76">
        <f>'Eurostat EB flows IEA'!BH76</f>
        <v>0</v>
      </c>
      <c r="AO76">
        <f>'Eurostat EB flows IEA'!BI76</f>
        <v>0</v>
      </c>
      <c r="AP76">
        <f>'Eurostat EB flows IEA'!BJ76</f>
        <v>0</v>
      </c>
      <c r="AQ76">
        <f>'Eurostat EB flows IEA'!BK76</f>
        <v>0</v>
      </c>
      <c r="AR76">
        <f>'Eurostat EB flows IEA'!BL76</f>
        <v>0</v>
      </c>
      <c r="AS76">
        <f>'Eurostat EB flows IEA'!BM76</f>
        <v>0</v>
      </c>
      <c r="AT76">
        <f>'Eurostat EB flows IEA'!BN76</f>
        <v>15909.628000000001</v>
      </c>
      <c r="AU76">
        <f>'Eurostat EB flows IEA'!BO76</f>
        <v>0</v>
      </c>
      <c r="AV76">
        <f>'Eurostat EB flows IEA'!BP76</f>
        <v>0</v>
      </c>
      <c r="AW76">
        <f>'Eurostat EB flows IEA'!BQ76</f>
        <v>0</v>
      </c>
      <c r="AX76">
        <f>'Eurostat EB flows IEA'!BR76</f>
        <v>0</v>
      </c>
      <c r="AY76">
        <f>'Eurostat EB flows IEA'!BS76</f>
        <v>0</v>
      </c>
      <c r="AZ76">
        <f>'Eurostat EB flows IEA'!BT76</f>
        <v>270</v>
      </c>
      <c r="BA76">
        <f>'Eurostat EB flows IEA'!BU76</f>
        <v>0</v>
      </c>
      <c r="BB76">
        <f>'Eurostat EB flows IEA'!BV76</f>
        <v>0</v>
      </c>
      <c r="BC76">
        <f>'Eurostat EB flows IEA'!BW76</f>
        <v>0</v>
      </c>
      <c r="BD76">
        <f>'Eurostat EB flows IEA'!BX76</f>
        <v>0</v>
      </c>
      <c r="BE76">
        <f>'Eurostat EB flows IEA'!BY76</f>
        <v>0</v>
      </c>
      <c r="BF76">
        <f>'Eurostat EB flows IEA'!BZ76</f>
        <v>0</v>
      </c>
      <c r="BG76">
        <f>'Eurostat EB flows IEA'!CA76</f>
        <v>941</v>
      </c>
      <c r="BH76">
        <f>'Eurostat EB flows IEA'!CB76</f>
        <v>0</v>
      </c>
      <c r="BI76">
        <f>'Eurostat EB flows IEA'!CC76</f>
        <v>0</v>
      </c>
      <c r="BJ76">
        <f>'Eurostat EB flows IEA'!CD76</f>
        <v>0</v>
      </c>
      <c r="BK76">
        <f>'Eurostat EB flows IEA'!CE76</f>
        <v>76764.740000000005</v>
      </c>
      <c r="BL76">
        <f>'Eurostat EB flows IEA'!CF76</f>
        <v>9906.2569999999996</v>
      </c>
      <c r="BM76">
        <f>'Eurostat EB flows IEA'!CG76</f>
        <v>322798.72899999999</v>
      </c>
      <c r="BN76">
        <f>'Eurostat EB flows IEA'!CH76</f>
        <v>25525.481</v>
      </c>
    </row>
    <row r="77" spans="1:66" x14ac:dyDescent="0.2">
      <c r="A77" t="s">
        <v>184</v>
      </c>
      <c r="B77" t="str">
        <f>'Eurostat EB flows IEA'!V77</f>
        <v>x</v>
      </c>
      <c r="C77" t="str">
        <f>'Eurostat EB flows IEA'!W77</f>
        <v>x</v>
      </c>
      <c r="D77">
        <f>'Eurostat EB flows IEA'!X77</f>
        <v>0</v>
      </c>
      <c r="E77">
        <f>'Eurostat EB flows IEA'!Y77</f>
        <v>0</v>
      </c>
      <c r="F77">
        <f>'Eurostat EB flows IEA'!Z77</f>
        <v>0</v>
      </c>
      <c r="G77">
        <f>'Eurostat EB flows IEA'!AA77</f>
        <v>0</v>
      </c>
      <c r="H77">
        <f>'Eurostat EB flows IEA'!AB77</f>
        <v>312.82</v>
      </c>
      <c r="I77">
        <f>'Eurostat EB flows IEA'!AC77</f>
        <v>0</v>
      </c>
      <c r="J77">
        <f>'Eurostat EB flows IEA'!AD77</f>
        <v>0</v>
      </c>
      <c r="K77">
        <f>'Eurostat EB flows IEA'!AE77</f>
        <v>0</v>
      </c>
      <c r="L77">
        <f>'Eurostat EB flows IEA'!AF77</f>
        <v>0</v>
      </c>
      <c r="M77">
        <f>'Eurostat EB flows IEA'!AG77</f>
        <v>0</v>
      </c>
      <c r="N77">
        <f>'Eurostat EB flows IEA'!AH77</f>
        <v>0</v>
      </c>
      <c r="O77">
        <f>'Eurostat EB flows IEA'!AI77</f>
        <v>0</v>
      </c>
      <c r="P77">
        <f>'Eurostat EB flows IEA'!AJ77</f>
        <v>0</v>
      </c>
      <c r="Q77">
        <f>'Eurostat EB flows IEA'!AK77</f>
        <v>0</v>
      </c>
      <c r="R77">
        <f>'Eurostat EB flows IEA'!AL77</f>
        <v>0</v>
      </c>
      <c r="S77">
        <f>'Eurostat EB flows IEA'!AM77</f>
        <v>88881.618000000002</v>
      </c>
      <c r="T77" t="str">
        <f>'Eurostat EB flows IEA'!AN77</f>
        <v>x</v>
      </c>
      <c r="U77">
        <f>'Eurostat EB flows IEA'!AO77</f>
        <v>0</v>
      </c>
      <c r="V77">
        <f>'Eurostat EB flows IEA'!AP77</f>
        <v>0</v>
      </c>
      <c r="W77">
        <f>'Eurostat EB flows IEA'!AQ77</f>
        <v>0</v>
      </c>
      <c r="X77">
        <f>'Eurostat EB flows IEA'!AR77</f>
        <v>0</v>
      </c>
      <c r="Y77">
        <f>'Eurostat EB flows IEA'!AS77</f>
        <v>0</v>
      </c>
      <c r="Z77">
        <f>'Eurostat EB flows IEA'!AT77</f>
        <v>0</v>
      </c>
      <c r="AA77">
        <f>'Eurostat EB flows IEA'!AU77</f>
        <v>0</v>
      </c>
      <c r="AB77">
        <f>'Eurostat EB flows IEA'!AV77</f>
        <v>1640.029</v>
      </c>
      <c r="AC77">
        <f>'Eurostat EB flows IEA'!AW77</f>
        <v>414.26600000000002</v>
      </c>
      <c r="AD77">
        <f>'Eurostat EB flows IEA'!AX77</f>
        <v>0</v>
      </c>
      <c r="AE77">
        <f>'Eurostat EB flows IEA'!AY77</f>
        <v>0</v>
      </c>
      <c r="AF77">
        <f>'Eurostat EB flows IEA'!AZ77</f>
        <v>0</v>
      </c>
      <c r="AG77">
        <f>'Eurostat EB flows IEA'!BA77</f>
        <v>0</v>
      </c>
      <c r="AH77">
        <f>'Eurostat EB flows IEA'!BB77</f>
        <v>6074.15</v>
      </c>
      <c r="AI77">
        <f>'Eurostat EB flows IEA'!BC77</f>
        <v>0</v>
      </c>
      <c r="AJ77">
        <f>'Eurostat EB flows IEA'!BD77</f>
        <v>0</v>
      </c>
      <c r="AK77">
        <f>'Eurostat EB flows IEA'!BE77</f>
        <v>0</v>
      </c>
      <c r="AL77">
        <f>'Eurostat EB flows IEA'!BF77</f>
        <v>0</v>
      </c>
      <c r="AM77">
        <f>'Eurostat EB flows IEA'!BG77</f>
        <v>0</v>
      </c>
      <c r="AN77">
        <f>'Eurostat EB flows IEA'!BH77</f>
        <v>0</v>
      </c>
      <c r="AO77">
        <f>'Eurostat EB flows IEA'!BI77</f>
        <v>0</v>
      </c>
      <c r="AP77">
        <f>'Eurostat EB flows IEA'!BJ77</f>
        <v>0</v>
      </c>
      <c r="AQ77">
        <f>'Eurostat EB flows IEA'!BK77</f>
        <v>38.927</v>
      </c>
      <c r="AR77">
        <f>'Eurostat EB flows IEA'!BL77</f>
        <v>1510.0820000000001</v>
      </c>
      <c r="AS77">
        <f>'Eurostat EB flows IEA'!BM77</f>
        <v>1339.13</v>
      </c>
      <c r="AT77">
        <f>'Eurostat EB flows IEA'!BN77</f>
        <v>3384.3</v>
      </c>
      <c r="AU77">
        <f>'Eurostat EB flows IEA'!BO77</f>
        <v>1304.9739999999999</v>
      </c>
      <c r="AV77">
        <f>'Eurostat EB flows IEA'!BP77</f>
        <v>0</v>
      </c>
      <c r="AW77">
        <f>'Eurostat EB flows IEA'!BQ77</f>
        <v>0</v>
      </c>
      <c r="AX77">
        <f>'Eurostat EB flows IEA'!BR77</f>
        <v>257.61599999999999</v>
      </c>
      <c r="AY77">
        <f>'Eurostat EB flows IEA'!BS77</f>
        <v>0</v>
      </c>
      <c r="AZ77">
        <f>'Eurostat EB flows IEA'!BT77</f>
        <v>0</v>
      </c>
      <c r="BA77">
        <f>'Eurostat EB flows IEA'!BU77</f>
        <v>0</v>
      </c>
      <c r="BB77">
        <f>'Eurostat EB flows IEA'!BV77</f>
        <v>0</v>
      </c>
      <c r="BC77">
        <f>'Eurostat EB flows IEA'!BW77</f>
        <v>0</v>
      </c>
      <c r="BD77">
        <f>'Eurostat EB flows IEA'!BX77</f>
        <v>0</v>
      </c>
      <c r="BE77">
        <f>'Eurostat EB flows IEA'!BY77</f>
        <v>0</v>
      </c>
      <c r="BF77">
        <f>'Eurostat EB flows IEA'!BZ77</f>
        <v>0</v>
      </c>
      <c r="BG77">
        <f>'Eurostat EB flows IEA'!CA77</f>
        <v>235</v>
      </c>
      <c r="BH77">
        <f>'Eurostat EB flows IEA'!CB77</f>
        <v>0</v>
      </c>
      <c r="BI77">
        <f>'Eurostat EB flows IEA'!CC77</f>
        <v>0</v>
      </c>
      <c r="BJ77">
        <f>'Eurostat EB flows IEA'!CD77</f>
        <v>0</v>
      </c>
      <c r="BK77">
        <f>'Eurostat EB flows IEA'!CE77</f>
        <v>133931.92300000001</v>
      </c>
      <c r="BL77">
        <f>'Eurostat EB flows IEA'!CF77</f>
        <v>8464.2999999999993</v>
      </c>
      <c r="BM77">
        <f>'Eurostat EB flows IEA'!CG77</f>
        <v>257597.804</v>
      </c>
      <c r="BN77">
        <f>'Eurostat EB flows IEA'!CH77</f>
        <v>18141.848000000002</v>
      </c>
    </row>
    <row r="78" spans="1:66" x14ac:dyDescent="0.2">
      <c r="A78" t="s">
        <v>185</v>
      </c>
      <c r="B78" t="str">
        <f>'Eurostat EB flows IEA'!V78</f>
        <v>x</v>
      </c>
      <c r="C78" t="str">
        <f>'Eurostat EB flows IEA'!W78</f>
        <v>x</v>
      </c>
      <c r="D78">
        <f>'Eurostat EB flows IEA'!X78</f>
        <v>0</v>
      </c>
      <c r="E78">
        <f>'Eurostat EB flows IEA'!Y78</f>
        <v>0</v>
      </c>
      <c r="F78">
        <f>'Eurostat EB flows IEA'!Z78</f>
        <v>0</v>
      </c>
      <c r="G78">
        <f>'Eurostat EB flows IEA'!AA78</f>
        <v>0</v>
      </c>
      <c r="H78">
        <f>'Eurostat EB flows IEA'!AB78</f>
        <v>0</v>
      </c>
      <c r="I78">
        <f>'Eurostat EB flows IEA'!AC78</f>
        <v>0</v>
      </c>
      <c r="J78">
        <f>'Eurostat EB flows IEA'!AD78</f>
        <v>0</v>
      </c>
      <c r="K78">
        <f>'Eurostat EB flows IEA'!AE78</f>
        <v>0</v>
      </c>
      <c r="L78">
        <f>'Eurostat EB flows IEA'!AF78</f>
        <v>0</v>
      </c>
      <c r="M78">
        <f>'Eurostat EB flows IEA'!AG78</f>
        <v>0</v>
      </c>
      <c r="N78">
        <f>'Eurostat EB flows IEA'!AH78</f>
        <v>0</v>
      </c>
      <c r="O78">
        <f>'Eurostat EB flows IEA'!AI78</f>
        <v>0</v>
      </c>
      <c r="P78">
        <f>'Eurostat EB flows IEA'!AJ78</f>
        <v>0</v>
      </c>
      <c r="Q78">
        <f>'Eurostat EB flows IEA'!AK78</f>
        <v>0</v>
      </c>
      <c r="R78">
        <f>'Eurostat EB flows IEA'!AL78</f>
        <v>0</v>
      </c>
      <c r="S78">
        <f>'Eurostat EB flows IEA'!AM78</f>
        <v>64362.03</v>
      </c>
      <c r="T78" t="str">
        <f>'Eurostat EB flows IEA'!AN78</f>
        <v>x</v>
      </c>
      <c r="U78">
        <f>'Eurostat EB flows IEA'!AO78</f>
        <v>0</v>
      </c>
      <c r="V78">
        <f>'Eurostat EB flows IEA'!AP78</f>
        <v>0</v>
      </c>
      <c r="W78">
        <f>'Eurostat EB flows IEA'!AQ78</f>
        <v>0</v>
      </c>
      <c r="X78">
        <f>'Eurostat EB flows IEA'!AR78</f>
        <v>0</v>
      </c>
      <c r="Y78">
        <f>'Eurostat EB flows IEA'!AS78</f>
        <v>0</v>
      </c>
      <c r="Z78">
        <f>'Eurostat EB flows IEA'!AT78</f>
        <v>0</v>
      </c>
      <c r="AA78">
        <f>'Eurostat EB flows IEA'!AU78</f>
        <v>0</v>
      </c>
      <c r="AB78">
        <f>'Eurostat EB flows IEA'!AV78</f>
        <v>1199.934</v>
      </c>
      <c r="AC78">
        <f>'Eurostat EB flows IEA'!AW78</f>
        <v>351.24900000000002</v>
      </c>
      <c r="AD78">
        <f>'Eurostat EB flows IEA'!AX78</f>
        <v>0</v>
      </c>
      <c r="AE78">
        <f>'Eurostat EB flows IEA'!AY78</f>
        <v>0</v>
      </c>
      <c r="AF78">
        <f>'Eurostat EB flows IEA'!AZ78</f>
        <v>0</v>
      </c>
      <c r="AG78">
        <f>'Eurostat EB flows IEA'!BA78</f>
        <v>0</v>
      </c>
      <c r="AH78">
        <f>'Eurostat EB flows IEA'!BB78</f>
        <v>17282.848999999998</v>
      </c>
      <c r="AI78">
        <f>'Eurostat EB flows IEA'!BC78</f>
        <v>0</v>
      </c>
      <c r="AJ78">
        <f>'Eurostat EB flows IEA'!BD78</f>
        <v>0</v>
      </c>
      <c r="AK78">
        <f>'Eurostat EB flows IEA'!BE78</f>
        <v>0</v>
      </c>
      <c r="AL78">
        <f>'Eurostat EB flows IEA'!BF78</f>
        <v>0</v>
      </c>
      <c r="AM78">
        <f>'Eurostat EB flows IEA'!BG78</f>
        <v>0</v>
      </c>
      <c r="AN78">
        <f>'Eurostat EB flows IEA'!BH78</f>
        <v>0</v>
      </c>
      <c r="AO78">
        <f>'Eurostat EB flows IEA'!BI78</f>
        <v>0</v>
      </c>
      <c r="AP78">
        <f>'Eurostat EB flows IEA'!BJ78</f>
        <v>0</v>
      </c>
      <c r="AQ78">
        <f>'Eurostat EB flows IEA'!BK78</f>
        <v>0</v>
      </c>
      <c r="AR78">
        <f>'Eurostat EB flows IEA'!BL78</f>
        <v>0</v>
      </c>
      <c r="AS78">
        <f>'Eurostat EB flows IEA'!BM78</f>
        <v>0</v>
      </c>
      <c r="AT78">
        <f>'Eurostat EB flows IEA'!BN78</f>
        <v>3267.58</v>
      </c>
      <c r="AU78">
        <f>'Eurostat EB flows IEA'!BO78</f>
        <v>1492.634</v>
      </c>
      <c r="AV78">
        <f>'Eurostat EB flows IEA'!BP78</f>
        <v>0</v>
      </c>
      <c r="AW78">
        <f>'Eurostat EB flows IEA'!BQ78</f>
        <v>1218.2550000000001</v>
      </c>
      <c r="AX78">
        <f>'Eurostat EB flows IEA'!BR78</f>
        <v>0</v>
      </c>
      <c r="AY78">
        <f>'Eurostat EB flows IEA'!BS78</f>
        <v>0</v>
      </c>
      <c r="AZ78">
        <f>'Eurostat EB flows IEA'!BT78</f>
        <v>0</v>
      </c>
      <c r="BA78">
        <f>'Eurostat EB flows IEA'!BU78</f>
        <v>0</v>
      </c>
      <c r="BB78">
        <f>'Eurostat EB flows IEA'!BV78</f>
        <v>0</v>
      </c>
      <c r="BC78">
        <f>'Eurostat EB flows IEA'!BW78</f>
        <v>0</v>
      </c>
      <c r="BD78">
        <f>'Eurostat EB flows IEA'!BX78</f>
        <v>0</v>
      </c>
      <c r="BE78">
        <f>'Eurostat EB flows IEA'!BY78</f>
        <v>6797.51</v>
      </c>
      <c r="BF78">
        <f>'Eurostat EB flows IEA'!BZ78</f>
        <v>0</v>
      </c>
      <c r="BG78">
        <f>'Eurostat EB flows IEA'!CA78</f>
        <v>0</v>
      </c>
      <c r="BH78">
        <f>'Eurostat EB flows IEA'!CB78</f>
        <v>0</v>
      </c>
      <c r="BI78">
        <f>'Eurostat EB flows IEA'!CC78</f>
        <v>0</v>
      </c>
      <c r="BJ78">
        <f>'Eurostat EB flows IEA'!CD78</f>
        <v>0</v>
      </c>
      <c r="BK78">
        <f>'Eurostat EB flows IEA'!CE78</f>
        <v>26409.553</v>
      </c>
      <c r="BL78">
        <f>'Eurostat EB flows IEA'!CF78</f>
        <v>2463.886</v>
      </c>
      <c r="BM78">
        <f>'Eurostat EB flows IEA'!CG78</f>
        <v>124845.48</v>
      </c>
      <c r="BN78">
        <f>'Eurostat EB flows IEA'!CH78</f>
        <v>8936.7849999999999</v>
      </c>
    </row>
    <row r="79" spans="1:66" x14ac:dyDescent="0.2">
      <c r="A79" t="s">
        <v>111</v>
      </c>
      <c r="B79" t="str">
        <f>'Eurostat EB flows IEA'!V79</f>
        <v>x</v>
      </c>
      <c r="C79" t="str">
        <f>'Eurostat EB flows IEA'!W79</f>
        <v>x</v>
      </c>
      <c r="D79">
        <f>'Eurostat EB flows IEA'!X79</f>
        <v>0</v>
      </c>
      <c r="E79">
        <f>'Eurostat EB flows IEA'!Y79</f>
        <v>0</v>
      </c>
      <c r="F79">
        <f>'Eurostat EB flows IEA'!Z79</f>
        <v>0</v>
      </c>
      <c r="G79">
        <f>'Eurostat EB flows IEA'!AA79</f>
        <v>0</v>
      </c>
      <c r="H79">
        <f>'Eurostat EB flows IEA'!AB79</f>
        <v>0</v>
      </c>
      <c r="I79">
        <f>'Eurostat EB flows IEA'!AC79</f>
        <v>0</v>
      </c>
      <c r="J79">
        <f>'Eurostat EB flows IEA'!AD79</f>
        <v>0</v>
      </c>
      <c r="K79">
        <f>'Eurostat EB flows IEA'!AE79</f>
        <v>0</v>
      </c>
      <c r="L79">
        <f>'Eurostat EB flows IEA'!AF79</f>
        <v>0</v>
      </c>
      <c r="M79">
        <f>'Eurostat EB flows IEA'!AG79</f>
        <v>0</v>
      </c>
      <c r="N79">
        <f>'Eurostat EB flows IEA'!AH79</f>
        <v>0</v>
      </c>
      <c r="O79">
        <f>'Eurostat EB flows IEA'!AI79</f>
        <v>0</v>
      </c>
      <c r="P79">
        <f>'Eurostat EB flows IEA'!AJ79</f>
        <v>0</v>
      </c>
      <c r="Q79">
        <f>'Eurostat EB flows IEA'!AK79</f>
        <v>0</v>
      </c>
      <c r="R79">
        <f>'Eurostat EB flows IEA'!AL79</f>
        <v>0</v>
      </c>
      <c r="S79">
        <f>'Eurostat EB flows IEA'!AM79</f>
        <v>0</v>
      </c>
      <c r="T79" t="str">
        <f>'Eurostat EB flows IEA'!AN79</f>
        <v>x</v>
      </c>
      <c r="U79">
        <f>'Eurostat EB flows IEA'!AO79</f>
        <v>0</v>
      </c>
      <c r="V79">
        <f>'Eurostat EB flows IEA'!AP79</f>
        <v>0</v>
      </c>
      <c r="W79">
        <f>'Eurostat EB flows IEA'!AQ79</f>
        <v>0</v>
      </c>
      <c r="X79">
        <f>'Eurostat EB flows IEA'!AR79</f>
        <v>0</v>
      </c>
      <c r="Y79">
        <f>'Eurostat EB flows IEA'!AS79</f>
        <v>0</v>
      </c>
      <c r="Z79">
        <f>'Eurostat EB flows IEA'!AT79</f>
        <v>0</v>
      </c>
      <c r="AA79">
        <f>'Eurostat EB flows IEA'!AU79</f>
        <v>0</v>
      </c>
      <c r="AB79">
        <f>'Eurostat EB flows IEA'!AV79</f>
        <v>0</v>
      </c>
      <c r="AC79">
        <f>'Eurostat EB flows IEA'!AW79</f>
        <v>0</v>
      </c>
      <c r="AD79">
        <f>'Eurostat EB flows IEA'!AX79</f>
        <v>0</v>
      </c>
      <c r="AE79">
        <f>'Eurostat EB flows IEA'!AY79</f>
        <v>0</v>
      </c>
      <c r="AF79">
        <f>'Eurostat EB flows IEA'!AZ79</f>
        <v>0</v>
      </c>
      <c r="AG79">
        <f>'Eurostat EB flows IEA'!BA79</f>
        <v>0</v>
      </c>
      <c r="AH79">
        <f>'Eurostat EB flows IEA'!BB79</f>
        <v>4725.7479999999996</v>
      </c>
      <c r="AI79">
        <f>'Eurostat EB flows IEA'!BC79</f>
        <v>0</v>
      </c>
      <c r="AJ79">
        <f>'Eurostat EB flows IEA'!BD79</f>
        <v>0</v>
      </c>
      <c r="AK79">
        <f>'Eurostat EB flows IEA'!BE79</f>
        <v>0</v>
      </c>
      <c r="AL79">
        <f>'Eurostat EB flows IEA'!BF79</f>
        <v>0</v>
      </c>
      <c r="AM79">
        <f>'Eurostat EB flows IEA'!BG79</f>
        <v>0</v>
      </c>
      <c r="AN79">
        <f>'Eurostat EB flows IEA'!BH79</f>
        <v>0</v>
      </c>
      <c r="AO79">
        <f>'Eurostat EB flows IEA'!BI79</f>
        <v>0</v>
      </c>
      <c r="AP79">
        <f>'Eurostat EB flows IEA'!BJ79</f>
        <v>0</v>
      </c>
      <c r="AQ79">
        <f>'Eurostat EB flows IEA'!BK79</f>
        <v>0</v>
      </c>
      <c r="AR79">
        <f>'Eurostat EB flows IEA'!BL79</f>
        <v>0</v>
      </c>
      <c r="AS79">
        <f>'Eurostat EB flows IEA'!BM79</f>
        <v>0</v>
      </c>
      <c r="AT79">
        <f>'Eurostat EB flows IEA'!BN79</f>
        <v>0</v>
      </c>
      <c r="AU79">
        <f>'Eurostat EB flows IEA'!BO79</f>
        <v>0</v>
      </c>
      <c r="AV79">
        <f>'Eurostat EB flows IEA'!BP79</f>
        <v>0</v>
      </c>
      <c r="AW79">
        <f>'Eurostat EB flows IEA'!BQ79</f>
        <v>0</v>
      </c>
      <c r="AX79">
        <f>'Eurostat EB flows IEA'!BR79</f>
        <v>0</v>
      </c>
      <c r="AY79">
        <f>'Eurostat EB flows IEA'!BS79</f>
        <v>0</v>
      </c>
      <c r="AZ79">
        <f>'Eurostat EB flows IEA'!BT79</f>
        <v>0</v>
      </c>
      <c r="BA79">
        <f>'Eurostat EB flows IEA'!BU79</f>
        <v>0</v>
      </c>
      <c r="BB79">
        <f>'Eurostat EB flows IEA'!BV79</f>
        <v>0</v>
      </c>
      <c r="BC79">
        <f>'Eurostat EB flows IEA'!BW79</f>
        <v>0</v>
      </c>
      <c r="BD79">
        <f>'Eurostat EB flows IEA'!BX79</f>
        <v>0</v>
      </c>
      <c r="BE79">
        <f>'Eurostat EB flows IEA'!BY79</f>
        <v>0</v>
      </c>
      <c r="BF79">
        <f>'Eurostat EB flows IEA'!BZ79</f>
        <v>0</v>
      </c>
      <c r="BG79">
        <f>'Eurostat EB flows IEA'!CA79</f>
        <v>0</v>
      </c>
      <c r="BH79">
        <f>'Eurostat EB flows IEA'!CB79</f>
        <v>0</v>
      </c>
      <c r="BI79">
        <f>'Eurostat EB flows IEA'!CC79</f>
        <v>0</v>
      </c>
      <c r="BJ79">
        <f>'Eurostat EB flows IEA'!CD79</f>
        <v>0</v>
      </c>
      <c r="BK79">
        <f>'Eurostat EB flows IEA'!CE79</f>
        <v>0</v>
      </c>
      <c r="BL79">
        <f>'Eurostat EB flows IEA'!CF79</f>
        <v>0</v>
      </c>
      <c r="BM79">
        <f>'Eurostat EB flows IEA'!CG79</f>
        <v>4725.7479999999996</v>
      </c>
      <c r="BN79">
        <f>'Eurostat EB flows IEA'!CH79</f>
        <v>0</v>
      </c>
    </row>
    <row r="80" spans="1:66" x14ac:dyDescent="0.2">
      <c r="A80" t="s">
        <v>186</v>
      </c>
      <c r="B80" t="str">
        <f>'Eurostat EB flows IEA'!V80</f>
        <v>x</v>
      </c>
      <c r="C80" t="str">
        <f>'Eurostat EB flows IEA'!W80</f>
        <v>x</v>
      </c>
      <c r="D80">
        <f>'Eurostat EB flows IEA'!X80</f>
        <v>0</v>
      </c>
      <c r="E80">
        <f>'Eurostat EB flows IEA'!Y80</f>
        <v>0</v>
      </c>
      <c r="F80">
        <f>'Eurostat EB flows IEA'!Z80</f>
        <v>0</v>
      </c>
      <c r="G80">
        <f>'Eurostat EB flows IEA'!AA80</f>
        <v>0</v>
      </c>
      <c r="H80">
        <f>'Eurostat EB flows IEA'!AB80</f>
        <v>0</v>
      </c>
      <c r="I80">
        <f>'Eurostat EB flows IEA'!AC80</f>
        <v>0</v>
      </c>
      <c r="J80">
        <f>'Eurostat EB flows IEA'!AD80</f>
        <v>0</v>
      </c>
      <c r="K80">
        <f>'Eurostat EB flows IEA'!AE80</f>
        <v>0</v>
      </c>
      <c r="L80">
        <f>'Eurostat EB flows IEA'!AF80</f>
        <v>0</v>
      </c>
      <c r="M80">
        <f>'Eurostat EB flows IEA'!AG80</f>
        <v>0</v>
      </c>
      <c r="N80">
        <f>'Eurostat EB flows IEA'!AH80</f>
        <v>0</v>
      </c>
      <c r="O80">
        <f>'Eurostat EB flows IEA'!AI80</f>
        <v>0</v>
      </c>
      <c r="P80">
        <f>'Eurostat EB flows IEA'!AJ80</f>
        <v>0</v>
      </c>
      <c r="Q80">
        <f>'Eurostat EB flows IEA'!AK80</f>
        <v>0</v>
      </c>
      <c r="R80">
        <f>'Eurostat EB flows IEA'!AL80</f>
        <v>0</v>
      </c>
      <c r="S80">
        <f>'Eurostat EB flows IEA'!AM80</f>
        <v>85.927000000000007</v>
      </c>
      <c r="T80" t="str">
        <f>'Eurostat EB flows IEA'!AN80</f>
        <v>x</v>
      </c>
      <c r="U80">
        <f>'Eurostat EB flows IEA'!AO80</f>
        <v>0</v>
      </c>
      <c r="V80">
        <f>'Eurostat EB flows IEA'!AP80</f>
        <v>0</v>
      </c>
      <c r="W80">
        <f>'Eurostat EB flows IEA'!AQ80</f>
        <v>0</v>
      </c>
      <c r="X80">
        <f>'Eurostat EB flows IEA'!AR80</f>
        <v>0</v>
      </c>
      <c r="Y80">
        <f>'Eurostat EB flows IEA'!AS80</f>
        <v>0</v>
      </c>
      <c r="Z80">
        <f>'Eurostat EB flows IEA'!AT80</f>
        <v>0</v>
      </c>
      <c r="AA80">
        <f>'Eurostat EB flows IEA'!AU80</f>
        <v>0</v>
      </c>
      <c r="AB80">
        <f>'Eurostat EB flows IEA'!AV80</f>
        <v>0</v>
      </c>
      <c r="AC80">
        <f>'Eurostat EB flows IEA'!AW80</f>
        <v>0</v>
      </c>
      <c r="AD80">
        <f>'Eurostat EB flows IEA'!AX80</f>
        <v>0</v>
      </c>
      <c r="AE80">
        <f>'Eurostat EB flows IEA'!AY80</f>
        <v>0</v>
      </c>
      <c r="AF80">
        <f>'Eurostat EB flows IEA'!AZ80</f>
        <v>1588.748</v>
      </c>
      <c r="AG80">
        <f>'Eurostat EB flows IEA'!BA80</f>
        <v>0</v>
      </c>
      <c r="AH80">
        <f>'Eurostat EB flows IEA'!BB80</f>
        <v>2030.8430000000001</v>
      </c>
      <c r="AI80">
        <f>'Eurostat EB flows IEA'!BC80</f>
        <v>0</v>
      </c>
      <c r="AJ80">
        <f>'Eurostat EB flows IEA'!BD80</f>
        <v>0</v>
      </c>
      <c r="AK80">
        <f>'Eurostat EB flows IEA'!BE80</f>
        <v>0</v>
      </c>
      <c r="AL80">
        <f>'Eurostat EB flows IEA'!BF80</f>
        <v>0</v>
      </c>
      <c r="AM80">
        <f>'Eurostat EB flows IEA'!BG80</f>
        <v>0</v>
      </c>
      <c r="AN80">
        <f>'Eurostat EB flows IEA'!BH80</f>
        <v>0</v>
      </c>
      <c r="AO80">
        <f>'Eurostat EB flows IEA'!BI80</f>
        <v>0</v>
      </c>
      <c r="AP80">
        <f>'Eurostat EB flows IEA'!BJ80</f>
        <v>0</v>
      </c>
      <c r="AQ80">
        <f>'Eurostat EB flows IEA'!BK80</f>
        <v>0</v>
      </c>
      <c r="AR80">
        <f>'Eurostat EB flows IEA'!BL80</f>
        <v>0</v>
      </c>
      <c r="AS80">
        <f>'Eurostat EB flows IEA'!BM80</f>
        <v>0</v>
      </c>
      <c r="AT80">
        <f>'Eurostat EB flows IEA'!BN80</f>
        <v>0</v>
      </c>
      <c r="AU80">
        <f>'Eurostat EB flows IEA'!BO80</f>
        <v>0</v>
      </c>
      <c r="AV80">
        <f>'Eurostat EB flows IEA'!BP80</f>
        <v>0</v>
      </c>
      <c r="AW80">
        <f>'Eurostat EB flows IEA'!BQ80</f>
        <v>0</v>
      </c>
      <c r="AX80">
        <f>'Eurostat EB flows IEA'!BR80</f>
        <v>0</v>
      </c>
      <c r="AY80">
        <f>'Eurostat EB flows IEA'!BS80</f>
        <v>0</v>
      </c>
      <c r="AZ80">
        <f>'Eurostat EB flows IEA'!BT80</f>
        <v>0</v>
      </c>
      <c r="BA80">
        <f>'Eurostat EB flows IEA'!BU80</f>
        <v>0</v>
      </c>
      <c r="BB80">
        <f>'Eurostat EB flows IEA'!BV80</f>
        <v>0</v>
      </c>
      <c r="BC80">
        <f>'Eurostat EB flows IEA'!BW80</f>
        <v>0</v>
      </c>
      <c r="BD80">
        <f>'Eurostat EB flows IEA'!BX80</f>
        <v>0</v>
      </c>
      <c r="BE80">
        <f>'Eurostat EB flows IEA'!BY80</f>
        <v>0</v>
      </c>
      <c r="BF80">
        <f>'Eurostat EB flows IEA'!BZ80</f>
        <v>0</v>
      </c>
      <c r="BG80">
        <f>'Eurostat EB flows IEA'!CA80</f>
        <v>0</v>
      </c>
      <c r="BH80">
        <f>'Eurostat EB flows IEA'!CB80</f>
        <v>0</v>
      </c>
      <c r="BI80">
        <f>'Eurostat EB flows IEA'!CC80</f>
        <v>0</v>
      </c>
      <c r="BJ80">
        <f>'Eurostat EB flows IEA'!CD80</f>
        <v>0</v>
      </c>
      <c r="BK80">
        <f>'Eurostat EB flows IEA'!CE80</f>
        <v>0</v>
      </c>
      <c r="BL80">
        <f>'Eurostat EB flows IEA'!CF80</f>
        <v>0</v>
      </c>
      <c r="BM80">
        <f>'Eurostat EB flows IEA'!CG80</f>
        <v>4052.123</v>
      </c>
      <c r="BN80">
        <f>'Eurostat EB flows IEA'!CH80</f>
        <v>0.88</v>
      </c>
    </row>
    <row r="81" spans="1:66" x14ac:dyDescent="0.2">
      <c r="A81" t="s">
        <v>187</v>
      </c>
      <c r="B81" t="str">
        <f>'Eurostat EB flows IEA'!V81</f>
        <v>x</v>
      </c>
      <c r="C81" t="str">
        <f>'Eurostat EB flows IEA'!W81</f>
        <v>x</v>
      </c>
      <c r="D81">
        <f>'Eurostat EB flows IEA'!X81</f>
        <v>74.216999999999999</v>
      </c>
      <c r="E81">
        <f>'Eurostat EB flows IEA'!Y81</f>
        <v>18.925000000000001</v>
      </c>
      <c r="F81">
        <f>'Eurostat EB flows IEA'!Z81</f>
        <v>0</v>
      </c>
      <c r="G81">
        <f>'Eurostat EB flows IEA'!AA81</f>
        <v>0</v>
      </c>
      <c r="H81">
        <f>'Eurostat EB flows IEA'!AB81</f>
        <v>0</v>
      </c>
      <c r="I81">
        <f>'Eurostat EB flows IEA'!AC81</f>
        <v>0</v>
      </c>
      <c r="J81">
        <f>'Eurostat EB flows IEA'!AD81</f>
        <v>251.399</v>
      </c>
      <c r="K81">
        <f>'Eurostat EB flows IEA'!AE81</f>
        <v>0</v>
      </c>
      <c r="L81">
        <f>'Eurostat EB flows IEA'!AF81</f>
        <v>917.98699999999997</v>
      </c>
      <c r="M81">
        <f>'Eurostat EB flows IEA'!AG81</f>
        <v>0</v>
      </c>
      <c r="N81">
        <f>'Eurostat EB flows IEA'!AH81</f>
        <v>0</v>
      </c>
      <c r="O81">
        <f>'Eurostat EB flows IEA'!AI81</f>
        <v>0</v>
      </c>
      <c r="P81">
        <f>'Eurostat EB flows IEA'!AJ81</f>
        <v>0</v>
      </c>
      <c r="Q81">
        <f>'Eurostat EB flows IEA'!AK81</f>
        <v>0</v>
      </c>
      <c r="R81">
        <f>'Eurostat EB flows IEA'!AL81</f>
        <v>0</v>
      </c>
      <c r="S81">
        <f>'Eurostat EB flows IEA'!AM81</f>
        <v>67016.748000000007</v>
      </c>
      <c r="T81" t="str">
        <f>'Eurostat EB flows IEA'!AN81</f>
        <v>x</v>
      </c>
      <c r="U81">
        <f>'Eurostat EB flows IEA'!AO81</f>
        <v>0</v>
      </c>
      <c r="V81">
        <f>'Eurostat EB flows IEA'!AP81</f>
        <v>113287.74400000001</v>
      </c>
      <c r="W81">
        <f>'Eurostat EB flows IEA'!AQ81</f>
        <v>0</v>
      </c>
      <c r="X81">
        <f>'Eurostat EB flows IEA'!AR81</f>
        <v>0</v>
      </c>
      <c r="Y81">
        <f>'Eurostat EB flows IEA'!AS81</f>
        <v>0</v>
      </c>
      <c r="Z81">
        <f>'Eurostat EB flows IEA'!AT81</f>
        <v>0</v>
      </c>
      <c r="AA81">
        <f>'Eurostat EB flows IEA'!AU81</f>
        <v>0</v>
      </c>
      <c r="AB81">
        <f>'Eurostat EB flows IEA'!AV81</f>
        <v>69129.243000000002</v>
      </c>
      <c r="AC81">
        <f>'Eurostat EB flows IEA'!AW81</f>
        <v>0</v>
      </c>
      <c r="AD81">
        <f>'Eurostat EB flows IEA'!AX81</f>
        <v>0</v>
      </c>
      <c r="AE81">
        <f>'Eurostat EB flows IEA'!AY81</f>
        <v>0</v>
      </c>
      <c r="AF81">
        <f>'Eurostat EB flows IEA'!AZ81</f>
        <v>0</v>
      </c>
      <c r="AG81">
        <f>'Eurostat EB flows IEA'!BA81</f>
        <v>1356.9559999999999</v>
      </c>
      <c r="AH81">
        <f>'Eurostat EB flows IEA'!BB81</f>
        <v>24.72</v>
      </c>
      <c r="AI81">
        <f>'Eurostat EB flows IEA'!BC81</f>
        <v>0</v>
      </c>
      <c r="AJ81">
        <f>'Eurostat EB flows IEA'!BD81</f>
        <v>163893.617</v>
      </c>
      <c r="AK81">
        <f>'Eurostat EB flows IEA'!BE81</f>
        <v>761.42600000000004</v>
      </c>
      <c r="AL81">
        <f>'Eurostat EB flows IEA'!BF81</f>
        <v>6290.6730000000007</v>
      </c>
      <c r="AM81">
        <f>'Eurostat EB flows IEA'!BG81</f>
        <v>3839.2550000000001</v>
      </c>
      <c r="AN81">
        <f>'Eurostat EB flows IEA'!BH81</f>
        <v>809.70799999999997</v>
      </c>
      <c r="AO81">
        <f>'Eurostat EB flows IEA'!BI81</f>
        <v>14712.534</v>
      </c>
      <c r="AP81">
        <f>'Eurostat EB flows IEA'!BJ81</f>
        <v>5725.9830000000002</v>
      </c>
      <c r="AQ81">
        <f>'Eurostat EB flows IEA'!BK81</f>
        <v>0</v>
      </c>
      <c r="AR81">
        <f>'Eurostat EB flows IEA'!BL81</f>
        <v>0</v>
      </c>
      <c r="AS81">
        <f>'Eurostat EB flows IEA'!BM81</f>
        <v>0</v>
      </c>
      <c r="AT81">
        <f>'Eurostat EB flows IEA'!BN81</f>
        <v>0</v>
      </c>
      <c r="AU81">
        <f>'Eurostat EB flows IEA'!BO81</f>
        <v>0</v>
      </c>
      <c r="AV81">
        <f>'Eurostat EB flows IEA'!BP81</f>
        <v>0</v>
      </c>
      <c r="AW81">
        <f>'Eurostat EB flows IEA'!BQ81</f>
        <v>0</v>
      </c>
      <c r="AX81">
        <f>'Eurostat EB flows IEA'!BR81</f>
        <v>0</v>
      </c>
      <c r="AY81">
        <f>'Eurostat EB flows IEA'!BS81</f>
        <v>0</v>
      </c>
      <c r="AZ81">
        <f>'Eurostat EB flows IEA'!BT81</f>
        <v>0</v>
      </c>
      <c r="BA81">
        <f>'Eurostat EB flows IEA'!BU81</f>
        <v>0</v>
      </c>
      <c r="BB81">
        <f>'Eurostat EB flows IEA'!BV81</f>
        <v>0</v>
      </c>
      <c r="BC81">
        <f>'Eurostat EB flows IEA'!BW81</f>
        <v>0</v>
      </c>
      <c r="BD81">
        <f>'Eurostat EB flows IEA'!BX81</f>
        <v>0</v>
      </c>
      <c r="BE81">
        <f>'Eurostat EB flows IEA'!BY81</f>
        <v>0</v>
      </c>
      <c r="BF81">
        <f>'Eurostat EB flows IEA'!BZ81</f>
        <v>0</v>
      </c>
      <c r="BG81">
        <f>'Eurostat EB flows IEA'!CA81</f>
        <v>0</v>
      </c>
      <c r="BH81">
        <f>'Eurostat EB flows IEA'!CB81</f>
        <v>0</v>
      </c>
      <c r="BI81">
        <f>'Eurostat EB flows IEA'!CC81</f>
        <v>0</v>
      </c>
      <c r="BJ81">
        <f>'Eurostat EB flows IEA'!CD81</f>
        <v>0</v>
      </c>
      <c r="BK81">
        <f>'Eurostat EB flows IEA'!CE81</f>
        <v>0</v>
      </c>
      <c r="BL81">
        <f>'Eurostat EB flows IEA'!CF81</f>
        <v>0</v>
      </c>
      <c r="BM81">
        <f>'Eurostat EB flows IEA'!CG81</f>
        <v>448111.136</v>
      </c>
      <c r="BN81">
        <f>'Eurostat EB flows IEA'!CH81</f>
        <v>686.44600000000003</v>
      </c>
    </row>
    <row r="82" spans="1:66" x14ac:dyDescent="0.2">
      <c r="A82" t="s">
        <v>100</v>
      </c>
      <c r="B82" t="str">
        <f>'Eurostat EB flows IEA'!V82</f>
        <v>x</v>
      </c>
      <c r="C82" t="str">
        <f>'Eurostat EB flows IEA'!W82</f>
        <v>x</v>
      </c>
      <c r="D82">
        <f>'Eurostat EB flows IEA'!X82</f>
        <v>74.216999999999999</v>
      </c>
      <c r="E82">
        <f>'Eurostat EB flows IEA'!Y82</f>
        <v>18.925000000000001</v>
      </c>
      <c r="F82">
        <f>'Eurostat EB flows IEA'!Z82</f>
        <v>0</v>
      </c>
      <c r="G82">
        <f>'Eurostat EB flows IEA'!AA82</f>
        <v>0</v>
      </c>
      <c r="H82">
        <f>'Eurostat EB flows IEA'!AB82</f>
        <v>0</v>
      </c>
      <c r="I82">
        <f>'Eurostat EB flows IEA'!AC82</f>
        <v>0</v>
      </c>
      <c r="J82">
        <f>'Eurostat EB flows IEA'!AD82</f>
        <v>251.399</v>
      </c>
      <c r="K82">
        <f>'Eurostat EB flows IEA'!AE82</f>
        <v>0</v>
      </c>
      <c r="L82">
        <f>'Eurostat EB flows IEA'!AF82</f>
        <v>917.98699999999997</v>
      </c>
      <c r="M82">
        <f>'Eurostat EB flows IEA'!AG82</f>
        <v>0</v>
      </c>
      <c r="N82">
        <f>'Eurostat EB flows IEA'!AH82</f>
        <v>0</v>
      </c>
      <c r="O82">
        <f>'Eurostat EB flows IEA'!AI82</f>
        <v>0</v>
      </c>
      <c r="P82">
        <f>'Eurostat EB flows IEA'!AJ82</f>
        <v>0</v>
      </c>
      <c r="Q82">
        <f>'Eurostat EB flows IEA'!AK82</f>
        <v>0</v>
      </c>
      <c r="R82">
        <f>'Eurostat EB flows IEA'!AL82</f>
        <v>0</v>
      </c>
      <c r="S82">
        <f>'Eurostat EB flows IEA'!AM82</f>
        <v>66978.793000000005</v>
      </c>
      <c r="T82" t="str">
        <f>'Eurostat EB flows IEA'!AN82</f>
        <v>x</v>
      </c>
      <c r="U82">
        <f>'Eurostat EB flows IEA'!AO82</f>
        <v>0</v>
      </c>
      <c r="V82">
        <f>'Eurostat EB flows IEA'!AP82</f>
        <v>113287.74400000001</v>
      </c>
      <c r="W82">
        <f>'Eurostat EB flows IEA'!AQ82</f>
        <v>0</v>
      </c>
      <c r="X82">
        <f>'Eurostat EB flows IEA'!AR82</f>
        <v>0</v>
      </c>
      <c r="Y82">
        <f>'Eurostat EB flows IEA'!AS82</f>
        <v>0</v>
      </c>
      <c r="Z82">
        <f>'Eurostat EB flows IEA'!AT82</f>
        <v>0</v>
      </c>
      <c r="AA82">
        <f>'Eurostat EB flows IEA'!AU82</f>
        <v>0</v>
      </c>
      <c r="AB82">
        <f>'Eurostat EB flows IEA'!AV82</f>
        <v>69129.243000000002</v>
      </c>
      <c r="AC82">
        <f>'Eurostat EB flows IEA'!AW82</f>
        <v>0</v>
      </c>
      <c r="AD82">
        <f>'Eurostat EB flows IEA'!AX82</f>
        <v>0</v>
      </c>
      <c r="AE82">
        <f>'Eurostat EB flows IEA'!AY82</f>
        <v>0</v>
      </c>
      <c r="AF82">
        <f>'Eurostat EB flows IEA'!AZ82</f>
        <v>0</v>
      </c>
      <c r="AG82">
        <f>'Eurostat EB flows IEA'!BA82</f>
        <v>1332.7719999999999</v>
      </c>
      <c r="AH82">
        <f>'Eurostat EB flows IEA'!BB82</f>
        <v>24.72</v>
      </c>
      <c r="AI82">
        <f>'Eurostat EB flows IEA'!BC82</f>
        <v>0</v>
      </c>
      <c r="AJ82">
        <f>'Eurostat EB flows IEA'!BD82</f>
        <v>163893.617</v>
      </c>
      <c r="AK82">
        <f>'Eurostat EB flows IEA'!BE82</f>
        <v>761.42600000000004</v>
      </c>
      <c r="AL82">
        <f>'Eurostat EB flows IEA'!BF82</f>
        <v>2101.1</v>
      </c>
      <c r="AM82">
        <f>'Eurostat EB flows IEA'!BG82</f>
        <v>3839.2550000000001</v>
      </c>
      <c r="AN82">
        <f>'Eurostat EB flows IEA'!BH82</f>
        <v>809.70799999999997</v>
      </c>
      <c r="AO82">
        <f>'Eurostat EB flows IEA'!BI82</f>
        <v>14712.534</v>
      </c>
      <c r="AP82">
        <f>'Eurostat EB flows IEA'!BJ82</f>
        <v>5725.9830000000002</v>
      </c>
      <c r="AQ82">
        <f>'Eurostat EB flows IEA'!BK82</f>
        <v>0</v>
      </c>
      <c r="AR82">
        <f>'Eurostat EB flows IEA'!BL82</f>
        <v>0</v>
      </c>
      <c r="AS82">
        <f>'Eurostat EB flows IEA'!BM82</f>
        <v>0</v>
      </c>
      <c r="AT82">
        <f>'Eurostat EB flows IEA'!BN82</f>
        <v>0</v>
      </c>
      <c r="AU82">
        <f>'Eurostat EB flows IEA'!BO82</f>
        <v>0</v>
      </c>
      <c r="AV82">
        <f>'Eurostat EB flows IEA'!BP82</f>
        <v>0</v>
      </c>
      <c r="AW82">
        <f>'Eurostat EB flows IEA'!BQ82</f>
        <v>0</v>
      </c>
      <c r="AX82">
        <f>'Eurostat EB flows IEA'!BR82</f>
        <v>0</v>
      </c>
      <c r="AY82">
        <f>'Eurostat EB flows IEA'!BS82</f>
        <v>0</v>
      </c>
      <c r="AZ82">
        <f>'Eurostat EB flows IEA'!BT82</f>
        <v>0</v>
      </c>
      <c r="BA82">
        <f>'Eurostat EB flows IEA'!BU82</f>
        <v>0</v>
      </c>
      <c r="BB82">
        <f>'Eurostat EB flows IEA'!BV82</f>
        <v>0</v>
      </c>
      <c r="BC82">
        <f>'Eurostat EB flows IEA'!BW82</f>
        <v>0</v>
      </c>
      <c r="BD82">
        <f>'Eurostat EB flows IEA'!BX82</f>
        <v>0</v>
      </c>
      <c r="BE82">
        <f>'Eurostat EB flows IEA'!BY82</f>
        <v>0</v>
      </c>
      <c r="BF82">
        <f>'Eurostat EB flows IEA'!BZ82</f>
        <v>0</v>
      </c>
      <c r="BG82">
        <f>'Eurostat EB flows IEA'!CA82</f>
        <v>0</v>
      </c>
      <c r="BH82">
        <f>'Eurostat EB flows IEA'!CB82</f>
        <v>0</v>
      </c>
      <c r="BI82">
        <f>'Eurostat EB flows IEA'!CC82</f>
        <v>0</v>
      </c>
      <c r="BJ82">
        <f>'Eurostat EB flows IEA'!CD82</f>
        <v>0</v>
      </c>
      <c r="BK82">
        <f>'Eurostat EB flows IEA'!CE82</f>
        <v>0</v>
      </c>
      <c r="BL82">
        <f>'Eurostat EB flows IEA'!CF82</f>
        <v>0</v>
      </c>
      <c r="BM82">
        <f>'Eurostat EB flows IEA'!CG82</f>
        <v>443859.42300000001</v>
      </c>
      <c r="BN82">
        <f>'Eurostat EB flows IEA'!CH82</f>
        <v>686.05700000000002</v>
      </c>
    </row>
    <row r="83" spans="1:66" x14ac:dyDescent="0.2">
      <c r="A83" t="s">
        <v>188</v>
      </c>
      <c r="B83" t="str">
        <f>'Eurostat EB flows IEA'!V83</f>
        <v>x</v>
      </c>
      <c r="C83" t="str">
        <f>'Eurostat EB flows IEA'!W83</f>
        <v>x</v>
      </c>
      <c r="D83">
        <f>'Eurostat EB flows IEA'!X83</f>
        <v>0</v>
      </c>
      <c r="E83">
        <f>'Eurostat EB flows IEA'!Y83</f>
        <v>0</v>
      </c>
      <c r="F83">
        <f>'Eurostat EB flows IEA'!Z83</f>
        <v>0</v>
      </c>
      <c r="G83">
        <f>'Eurostat EB flows IEA'!AA83</f>
        <v>0</v>
      </c>
      <c r="H83">
        <f>'Eurostat EB flows IEA'!AB83</f>
        <v>0</v>
      </c>
      <c r="I83">
        <f>'Eurostat EB flows IEA'!AC83</f>
        <v>0</v>
      </c>
      <c r="J83">
        <f>'Eurostat EB flows IEA'!AD83</f>
        <v>0</v>
      </c>
      <c r="K83">
        <f>'Eurostat EB flows IEA'!AE83</f>
        <v>0</v>
      </c>
      <c r="L83">
        <f>'Eurostat EB flows IEA'!AF83</f>
        <v>0</v>
      </c>
      <c r="M83">
        <f>'Eurostat EB flows IEA'!AG83</f>
        <v>0</v>
      </c>
      <c r="N83">
        <f>'Eurostat EB flows IEA'!AH83</f>
        <v>0</v>
      </c>
      <c r="O83">
        <f>'Eurostat EB flows IEA'!AI83</f>
        <v>0</v>
      </c>
      <c r="P83">
        <f>'Eurostat EB flows IEA'!AJ83</f>
        <v>0</v>
      </c>
      <c r="Q83">
        <f>'Eurostat EB flows IEA'!AK83</f>
        <v>0</v>
      </c>
      <c r="R83">
        <f>'Eurostat EB flows IEA'!AL83</f>
        <v>0</v>
      </c>
      <c r="S83">
        <f>'Eurostat EB flows IEA'!AM83</f>
        <v>66978.793000000005</v>
      </c>
      <c r="T83" t="str">
        <f>'Eurostat EB flows IEA'!AN83</f>
        <v>x</v>
      </c>
      <c r="U83">
        <f>'Eurostat EB flows IEA'!AO83</f>
        <v>0</v>
      </c>
      <c r="V83">
        <f>'Eurostat EB flows IEA'!AP83</f>
        <v>113287.74400000001</v>
      </c>
      <c r="W83">
        <f>'Eurostat EB flows IEA'!AQ83</f>
        <v>0</v>
      </c>
      <c r="X83">
        <f>'Eurostat EB flows IEA'!AR83</f>
        <v>0</v>
      </c>
      <c r="Y83">
        <f>'Eurostat EB flows IEA'!AS83</f>
        <v>0</v>
      </c>
      <c r="Z83">
        <f>'Eurostat EB flows IEA'!AT83</f>
        <v>0</v>
      </c>
      <c r="AA83">
        <f>'Eurostat EB flows IEA'!AU83</f>
        <v>0</v>
      </c>
      <c r="AB83">
        <f>'Eurostat EB flows IEA'!AV83</f>
        <v>69129.243000000002</v>
      </c>
      <c r="AC83">
        <f>'Eurostat EB flows IEA'!AW83</f>
        <v>0</v>
      </c>
      <c r="AD83">
        <f>'Eurostat EB flows IEA'!AX83</f>
        <v>0</v>
      </c>
      <c r="AE83">
        <f>'Eurostat EB flows IEA'!AY83</f>
        <v>0</v>
      </c>
      <c r="AF83">
        <f>'Eurostat EB flows IEA'!AZ83</f>
        <v>0</v>
      </c>
      <c r="AG83">
        <f>'Eurostat EB flows IEA'!BA83</f>
        <v>1332.7719999999999</v>
      </c>
      <c r="AH83">
        <f>'Eurostat EB flows IEA'!BB83</f>
        <v>24.72</v>
      </c>
      <c r="AI83">
        <f>'Eurostat EB flows IEA'!BC83</f>
        <v>0</v>
      </c>
      <c r="AJ83">
        <f>'Eurostat EB flows IEA'!BD83</f>
        <v>163893.617</v>
      </c>
      <c r="AK83">
        <f>'Eurostat EB flows IEA'!BE83</f>
        <v>380.71300000000002</v>
      </c>
      <c r="AL83">
        <f>'Eurostat EB flows IEA'!BF83</f>
        <v>0</v>
      </c>
      <c r="AM83">
        <f>'Eurostat EB flows IEA'!BG83</f>
        <v>0</v>
      </c>
      <c r="AN83">
        <f>'Eurostat EB flows IEA'!BH83</f>
        <v>404.85399999999998</v>
      </c>
      <c r="AO83">
        <f>'Eurostat EB flows IEA'!BI83</f>
        <v>10901.987693999999</v>
      </c>
      <c r="AP83">
        <f>'Eurostat EB flows IEA'!BJ83</f>
        <v>5725.9830000000002</v>
      </c>
      <c r="AQ83">
        <f>'Eurostat EB flows IEA'!BK83</f>
        <v>0</v>
      </c>
      <c r="AR83">
        <f>'Eurostat EB flows IEA'!BL83</f>
        <v>0</v>
      </c>
      <c r="AS83">
        <f>'Eurostat EB flows IEA'!BM83</f>
        <v>0</v>
      </c>
      <c r="AT83">
        <f>'Eurostat EB flows IEA'!BN83</f>
        <v>0</v>
      </c>
      <c r="AU83">
        <f>'Eurostat EB flows IEA'!BO83</f>
        <v>0</v>
      </c>
      <c r="AV83">
        <f>'Eurostat EB flows IEA'!BP83</f>
        <v>0</v>
      </c>
      <c r="AW83">
        <f>'Eurostat EB flows IEA'!BQ83</f>
        <v>0</v>
      </c>
      <c r="AX83">
        <f>'Eurostat EB flows IEA'!BR83</f>
        <v>0</v>
      </c>
      <c r="AY83">
        <f>'Eurostat EB flows IEA'!BS83</f>
        <v>0</v>
      </c>
      <c r="AZ83">
        <f>'Eurostat EB flows IEA'!BT83</f>
        <v>0</v>
      </c>
      <c r="BA83">
        <f>'Eurostat EB flows IEA'!BU83</f>
        <v>0</v>
      </c>
      <c r="BB83">
        <f>'Eurostat EB flows IEA'!BV83</f>
        <v>0</v>
      </c>
      <c r="BC83">
        <f>'Eurostat EB flows IEA'!BW83</f>
        <v>0</v>
      </c>
      <c r="BD83">
        <f>'Eurostat EB flows IEA'!BX83</f>
        <v>0</v>
      </c>
      <c r="BE83">
        <f>'Eurostat EB flows IEA'!BY83</f>
        <v>0</v>
      </c>
      <c r="BF83">
        <f>'Eurostat EB flows IEA'!BZ83</f>
        <v>0</v>
      </c>
      <c r="BG83">
        <f>'Eurostat EB flows IEA'!CA83</f>
        <v>0</v>
      </c>
      <c r="BH83">
        <f>'Eurostat EB flows IEA'!CB83</f>
        <v>0</v>
      </c>
      <c r="BI83">
        <f>'Eurostat EB flows IEA'!CC83</f>
        <v>0</v>
      </c>
      <c r="BJ83">
        <f>'Eurostat EB flows IEA'!CD83</f>
        <v>0</v>
      </c>
      <c r="BK83">
        <f>'Eurostat EB flows IEA'!CE83</f>
        <v>0</v>
      </c>
      <c r="BL83">
        <f>'Eurostat EB flows IEA'!CF83</f>
        <v>0</v>
      </c>
      <c r="BM83">
        <f>'Eurostat EB flows IEA'!CG83</f>
        <v>796034.36753200006</v>
      </c>
      <c r="BN83">
        <f>'Eurostat EB flows IEA'!CH83</f>
        <v>0</v>
      </c>
    </row>
    <row r="84" spans="1:66" x14ac:dyDescent="0.2">
      <c r="A84" t="s">
        <v>189</v>
      </c>
      <c r="B84" t="str">
        <f>'Eurostat EB flows IEA'!V84</f>
        <v>x</v>
      </c>
      <c r="C84" t="str">
        <f>'Eurostat EB flows IEA'!W84</f>
        <v>x</v>
      </c>
      <c r="D84">
        <f>'Eurostat EB flows IEA'!X84</f>
        <v>0</v>
      </c>
      <c r="E84">
        <f>'Eurostat EB flows IEA'!Y84</f>
        <v>0</v>
      </c>
      <c r="F84">
        <f>'Eurostat EB flows IEA'!Z84</f>
        <v>0</v>
      </c>
      <c r="G84">
        <f>'Eurostat EB flows IEA'!AA84</f>
        <v>0</v>
      </c>
      <c r="H84">
        <f>'Eurostat EB flows IEA'!AB84</f>
        <v>0</v>
      </c>
      <c r="I84">
        <f>'Eurostat EB flows IEA'!AC84</f>
        <v>0</v>
      </c>
      <c r="J84">
        <f>'Eurostat EB flows IEA'!AD84</f>
        <v>0</v>
      </c>
      <c r="K84">
        <f>'Eurostat EB flows IEA'!AE84</f>
        <v>0</v>
      </c>
      <c r="L84">
        <f>'Eurostat EB flows IEA'!AF84</f>
        <v>0</v>
      </c>
      <c r="M84">
        <f>'Eurostat EB flows IEA'!AG84</f>
        <v>0</v>
      </c>
      <c r="N84">
        <f>'Eurostat EB flows IEA'!AH84</f>
        <v>0</v>
      </c>
      <c r="O84">
        <f>'Eurostat EB flows IEA'!AI84</f>
        <v>0</v>
      </c>
      <c r="P84">
        <f>'Eurostat EB flows IEA'!AJ84</f>
        <v>0</v>
      </c>
      <c r="Q84">
        <f>'Eurostat EB flows IEA'!AK84</f>
        <v>0</v>
      </c>
      <c r="R84">
        <f>'Eurostat EB flows IEA'!AL84</f>
        <v>0</v>
      </c>
      <c r="S84">
        <f>'Eurostat EB flows IEA'!AM84</f>
        <v>0</v>
      </c>
      <c r="T84" t="str">
        <f>'Eurostat EB flows IEA'!AN84</f>
        <v>x</v>
      </c>
      <c r="U84">
        <f>'Eurostat EB flows IEA'!AO84</f>
        <v>0</v>
      </c>
      <c r="V84">
        <f>'Eurostat EB flows IEA'!AP84</f>
        <v>0</v>
      </c>
      <c r="W84">
        <f>'Eurostat EB flows IEA'!AQ84</f>
        <v>0</v>
      </c>
      <c r="X84">
        <f>'Eurostat EB flows IEA'!AR84</f>
        <v>0</v>
      </c>
      <c r="Y84">
        <f>'Eurostat EB flows IEA'!AS84</f>
        <v>0</v>
      </c>
      <c r="Z84">
        <f>'Eurostat EB flows IEA'!AT84</f>
        <v>0</v>
      </c>
      <c r="AA84">
        <f>'Eurostat EB flows IEA'!AU84</f>
        <v>0</v>
      </c>
      <c r="AB84">
        <f>'Eurostat EB flows IEA'!AV84</f>
        <v>0</v>
      </c>
      <c r="AC84">
        <f>'Eurostat EB flows IEA'!AW84</f>
        <v>0</v>
      </c>
      <c r="AD84">
        <f>'Eurostat EB flows IEA'!AX84</f>
        <v>0</v>
      </c>
      <c r="AE84">
        <f>'Eurostat EB flows IEA'!AY84</f>
        <v>0</v>
      </c>
      <c r="AF84">
        <f>'Eurostat EB flows IEA'!AZ84</f>
        <v>0</v>
      </c>
      <c r="AG84">
        <f>'Eurostat EB flows IEA'!BA84</f>
        <v>0</v>
      </c>
      <c r="AH84">
        <f>'Eurostat EB flows IEA'!BB84</f>
        <v>0</v>
      </c>
      <c r="AI84">
        <f>'Eurostat EB flows IEA'!BC84</f>
        <v>0</v>
      </c>
      <c r="AJ84">
        <f>'Eurostat EB flows IEA'!BD84</f>
        <v>0</v>
      </c>
      <c r="AK84">
        <f>'Eurostat EB flows IEA'!BE84</f>
        <v>0</v>
      </c>
      <c r="AL84">
        <f>'Eurostat EB flows IEA'!BF84</f>
        <v>2704.9630000000002</v>
      </c>
      <c r="AM84">
        <f>'Eurostat EB flows IEA'!BG84</f>
        <v>0</v>
      </c>
      <c r="AN84">
        <f>'Eurostat EB flows IEA'!BH84</f>
        <v>0</v>
      </c>
      <c r="AO84">
        <f>'Eurostat EB flows IEA'!BI84</f>
        <v>0</v>
      </c>
      <c r="AP84">
        <f>'Eurostat EB flows IEA'!BJ84</f>
        <v>0</v>
      </c>
      <c r="AQ84">
        <f>'Eurostat EB flows IEA'!BK84</f>
        <v>0</v>
      </c>
      <c r="AR84">
        <f>'Eurostat EB flows IEA'!BL84</f>
        <v>0</v>
      </c>
      <c r="AS84">
        <f>'Eurostat EB flows IEA'!BM84</f>
        <v>0</v>
      </c>
      <c r="AT84">
        <f>'Eurostat EB flows IEA'!BN84</f>
        <v>0</v>
      </c>
      <c r="AU84">
        <f>'Eurostat EB flows IEA'!BO84</f>
        <v>0</v>
      </c>
      <c r="AV84">
        <f>'Eurostat EB flows IEA'!BP84</f>
        <v>0</v>
      </c>
      <c r="AW84">
        <f>'Eurostat EB flows IEA'!BQ84</f>
        <v>0</v>
      </c>
      <c r="AX84">
        <f>'Eurostat EB flows IEA'!BR84</f>
        <v>0</v>
      </c>
      <c r="AY84">
        <f>'Eurostat EB flows IEA'!BS84</f>
        <v>0</v>
      </c>
      <c r="AZ84">
        <f>'Eurostat EB flows IEA'!BT84</f>
        <v>0</v>
      </c>
      <c r="BA84">
        <f>'Eurostat EB flows IEA'!BU84</f>
        <v>0</v>
      </c>
      <c r="BB84">
        <f>'Eurostat EB flows IEA'!BV84</f>
        <v>0</v>
      </c>
      <c r="BC84">
        <f>'Eurostat EB flows IEA'!BW84</f>
        <v>0</v>
      </c>
      <c r="BD84">
        <f>'Eurostat EB flows IEA'!BX84</f>
        <v>0</v>
      </c>
      <c r="BE84">
        <f>'Eurostat EB flows IEA'!BY84</f>
        <v>0</v>
      </c>
      <c r="BF84">
        <f>'Eurostat EB flows IEA'!BZ84</f>
        <v>0</v>
      </c>
      <c r="BG84">
        <f>'Eurostat EB flows IEA'!CA84</f>
        <v>0</v>
      </c>
      <c r="BH84">
        <f>'Eurostat EB flows IEA'!CB84</f>
        <v>0</v>
      </c>
      <c r="BI84">
        <f>'Eurostat EB flows IEA'!CC84</f>
        <v>0</v>
      </c>
      <c r="BJ84">
        <f>'Eurostat EB flows IEA'!CD84</f>
        <v>0</v>
      </c>
      <c r="BK84">
        <f>'Eurostat EB flows IEA'!CE84</f>
        <v>0</v>
      </c>
      <c r="BL84">
        <f>'Eurostat EB flows IEA'!CF84</f>
        <v>0</v>
      </c>
      <c r="BM84">
        <f>'Eurostat EB flows IEA'!CG84</f>
        <v>2704.9630000000002</v>
      </c>
      <c r="BN84">
        <f>'Eurostat EB flows IEA'!CH84</f>
        <v>0</v>
      </c>
    </row>
    <row r="85" spans="1:66" x14ac:dyDescent="0.2">
      <c r="A85" t="s">
        <v>190</v>
      </c>
      <c r="B85" t="str">
        <f>'Eurostat EB flows IEA'!V85</f>
        <v>x</v>
      </c>
      <c r="C85" t="str">
        <f>'Eurostat EB flows IEA'!W85</f>
        <v>x</v>
      </c>
      <c r="D85">
        <f>'Eurostat EB flows IEA'!X85</f>
        <v>0</v>
      </c>
      <c r="E85">
        <f>'Eurostat EB flows IEA'!Y85</f>
        <v>0</v>
      </c>
      <c r="F85">
        <f>'Eurostat EB flows IEA'!Z85</f>
        <v>0</v>
      </c>
      <c r="G85">
        <f>'Eurostat EB flows IEA'!AA85</f>
        <v>0</v>
      </c>
      <c r="H85">
        <f>'Eurostat EB flows IEA'!AB85</f>
        <v>0</v>
      </c>
      <c r="I85">
        <f>'Eurostat EB flows IEA'!AC85</f>
        <v>0</v>
      </c>
      <c r="J85">
        <f>'Eurostat EB flows IEA'!AD85</f>
        <v>0</v>
      </c>
      <c r="K85">
        <f>'Eurostat EB flows IEA'!AE85</f>
        <v>0</v>
      </c>
      <c r="L85">
        <f>'Eurostat EB flows IEA'!AF85</f>
        <v>0</v>
      </c>
      <c r="M85">
        <f>'Eurostat EB flows IEA'!AG85</f>
        <v>0</v>
      </c>
      <c r="N85">
        <f>'Eurostat EB flows IEA'!AH85</f>
        <v>0</v>
      </c>
      <c r="O85">
        <f>'Eurostat EB flows IEA'!AI85</f>
        <v>0</v>
      </c>
      <c r="P85">
        <f>'Eurostat EB flows IEA'!AJ85</f>
        <v>0</v>
      </c>
      <c r="Q85">
        <f>'Eurostat EB flows IEA'!AK85</f>
        <v>0</v>
      </c>
      <c r="R85">
        <f>'Eurostat EB flows IEA'!AL85</f>
        <v>0</v>
      </c>
      <c r="S85">
        <f>'Eurostat EB flows IEA'!AM85</f>
        <v>37.954999999999998</v>
      </c>
      <c r="T85" t="str">
        <f>'Eurostat EB flows IEA'!AN85</f>
        <v>x</v>
      </c>
      <c r="U85">
        <f>'Eurostat EB flows IEA'!AO85</f>
        <v>0</v>
      </c>
      <c r="V85">
        <f>'Eurostat EB flows IEA'!AP85</f>
        <v>0</v>
      </c>
      <c r="W85">
        <f>'Eurostat EB flows IEA'!AQ85</f>
        <v>0</v>
      </c>
      <c r="X85">
        <f>'Eurostat EB flows IEA'!AR85</f>
        <v>0</v>
      </c>
      <c r="Y85">
        <f>'Eurostat EB flows IEA'!AS85</f>
        <v>0</v>
      </c>
      <c r="Z85">
        <f>'Eurostat EB flows IEA'!AT85</f>
        <v>0</v>
      </c>
      <c r="AA85">
        <f>'Eurostat EB flows IEA'!AU85</f>
        <v>0</v>
      </c>
      <c r="AB85">
        <f>'Eurostat EB flows IEA'!AV85</f>
        <v>0</v>
      </c>
      <c r="AC85">
        <f>'Eurostat EB flows IEA'!AW85</f>
        <v>0</v>
      </c>
      <c r="AD85">
        <f>'Eurostat EB flows IEA'!AX85</f>
        <v>0</v>
      </c>
      <c r="AE85">
        <f>'Eurostat EB flows IEA'!AY85</f>
        <v>0</v>
      </c>
      <c r="AF85">
        <f>'Eurostat EB flows IEA'!AZ85</f>
        <v>0</v>
      </c>
      <c r="AG85">
        <f>'Eurostat EB flows IEA'!BA85</f>
        <v>24.184000000000001</v>
      </c>
      <c r="AH85">
        <f>'Eurostat EB flows IEA'!BB85</f>
        <v>0</v>
      </c>
      <c r="AI85">
        <f>'Eurostat EB flows IEA'!BC85</f>
        <v>0</v>
      </c>
      <c r="AJ85">
        <f>'Eurostat EB flows IEA'!BD85</f>
        <v>0</v>
      </c>
      <c r="AK85">
        <f>'Eurostat EB flows IEA'!BE85</f>
        <v>0</v>
      </c>
      <c r="AL85">
        <f>'Eurostat EB flows IEA'!BF85</f>
        <v>1484.61</v>
      </c>
      <c r="AM85">
        <f>'Eurostat EB flows IEA'!BG85</f>
        <v>0</v>
      </c>
      <c r="AN85">
        <f>'Eurostat EB flows IEA'!BH85</f>
        <v>0</v>
      </c>
      <c r="AO85">
        <f>'Eurostat EB flows IEA'!BI85</f>
        <v>0</v>
      </c>
      <c r="AP85">
        <f>'Eurostat EB flows IEA'!BJ85</f>
        <v>0</v>
      </c>
      <c r="AQ85">
        <f>'Eurostat EB flows IEA'!BK85</f>
        <v>0</v>
      </c>
      <c r="AR85">
        <f>'Eurostat EB flows IEA'!BL85</f>
        <v>0</v>
      </c>
      <c r="AS85">
        <f>'Eurostat EB flows IEA'!BM85</f>
        <v>0</v>
      </c>
      <c r="AT85">
        <f>'Eurostat EB flows IEA'!BN85</f>
        <v>0</v>
      </c>
      <c r="AU85">
        <f>'Eurostat EB flows IEA'!BO85</f>
        <v>0</v>
      </c>
      <c r="AV85">
        <f>'Eurostat EB flows IEA'!BP85</f>
        <v>0</v>
      </c>
      <c r="AW85">
        <f>'Eurostat EB flows IEA'!BQ85</f>
        <v>0</v>
      </c>
      <c r="AX85">
        <f>'Eurostat EB flows IEA'!BR85</f>
        <v>0</v>
      </c>
      <c r="AY85">
        <f>'Eurostat EB flows IEA'!BS85</f>
        <v>0</v>
      </c>
      <c r="AZ85">
        <f>'Eurostat EB flows IEA'!BT85</f>
        <v>0</v>
      </c>
      <c r="BA85">
        <f>'Eurostat EB flows IEA'!BU85</f>
        <v>0</v>
      </c>
      <c r="BB85">
        <f>'Eurostat EB flows IEA'!BV85</f>
        <v>0</v>
      </c>
      <c r="BC85">
        <f>'Eurostat EB flows IEA'!BW85</f>
        <v>0</v>
      </c>
      <c r="BD85">
        <f>'Eurostat EB flows IEA'!BX85</f>
        <v>0</v>
      </c>
      <c r="BE85">
        <f>'Eurostat EB flows IEA'!BY85</f>
        <v>0</v>
      </c>
      <c r="BF85">
        <f>'Eurostat EB flows IEA'!BZ85</f>
        <v>0</v>
      </c>
      <c r="BG85">
        <f>'Eurostat EB flows IEA'!CA85</f>
        <v>0</v>
      </c>
      <c r="BH85">
        <f>'Eurostat EB flows IEA'!CB85</f>
        <v>0</v>
      </c>
      <c r="BI85">
        <f>'Eurostat EB flows IEA'!CC85</f>
        <v>0</v>
      </c>
      <c r="BJ85">
        <f>'Eurostat EB flows IEA'!CD85</f>
        <v>0</v>
      </c>
      <c r="BK85">
        <f>'Eurostat EB flows IEA'!CE85</f>
        <v>0</v>
      </c>
      <c r="BL85">
        <f>'Eurostat EB flows IEA'!CF85</f>
        <v>0</v>
      </c>
      <c r="BM85">
        <f>'Eurostat EB flows IEA'!CG85</f>
        <v>1546.75</v>
      </c>
      <c r="BN85">
        <f>'Eurostat EB flows IEA'!CH85</f>
        <v>0.38900000000000001</v>
      </c>
    </row>
    <row r="86" spans="1:66" x14ac:dyDescent="0.2">
      <c r="A86" t="s">
        <v>191</v>
      </c>
      <c r="B86" t="str">
        <f>'Eurostat EB flows IEA'!V86</f>
        <v>x</v>
      </c>
      <c r="C86" t="str">
        <f>'Eurostat EB flows IEA'!W86</f>
        <v>x</v>
      </c>
      <c r="D86">
        <f>'Eurostat EB flows IEA'!X86</f>
        <v>0</v>
      </c>
      <c r="E86">
        <f>'Eurostat EB flows IEA'!Y86</f>
        <v>0</v>
      </c>
      <c r="F86">
        <f>'Eurostat EB flows IEA'!Z86</f>
        <v>8711.7561111111117</v>
      </c>
      <c r="G86">
        <f>'Eurostat EB flows IEA'!AA86</f>
        <v>0</v>
      </c>
      <c r="H86">
        <f>'Eurostat EB flows IEA'!AB86</f>
        <v>0</v>
      </c>
      <c r="I86">
        <f>'Eurostat EB flows IEA'!AC86</f>
        <v>0</v>
      </c>
      <c r="J86">
        <f>'Eurostat EB flows IEA'!AD86</f>
        <v>0</v>
      </c>
      <c r="K86">
        <f>'Eurostat EB flows IEA'!AE86</f>
        <v>0</v>
      </c>
      <c r="L86">
        <f>'Eurostat EB flows IEA'!AF86</f>
        <v>0</v>
      </c>
      <c r="M86">
        <f>'Eurostat EB flows IEA'!AG86</f>
        <v>0</v>
      </c>
      <c r="N86">
        <f>'Eurostat EB flows IEA'!AH86</f>
        <v>0</v>
      </c>
      <c r="O86">
        <f>'Eurostat EB flows IEA'!AI86</f>
        <v>152.16805555555553</v>
      </c>
      <c r="P86">
        <f>'Eurostat EB flows IEA'!AJ86</f>
        <v>1842.681111111111</v>
      </c>
      <c r="Q86">
        <f>'Eurostat EB flows IEA'!AK86</f>
        <v>0</v>
      </c>
      <c r="R86">
        <f>'Eurostat EB flows IEA'!AL86</f>
        <v>0</v>
      </c>
      <c r="S86">
        <f>'Eurostat EB flows IEA'!AM86</f>
        <v>45952.445</v>
      </c>
      <c r="T86" t="str">
        <f>'Eurostat EB flows IEA'!AN86</f>
        <v>x</v>
      </c>
      <c r="U86">
        <f>'Eurostat EB flows IEA'!AO86</f>
        <v>0</v>
      </c>
      <c r="V86">
        <f>'Eurostat EB flows IEA'!AP86</f>
        <v>0</v>
      </c>
      <c r="W86">
        <f>'Eurostat EB flows IEA'!AQ86</f>
        <v>0</v>
      </c>
      <c r="X86">
        <f>'Eurostat EB flows IEA'!AR86</f>
        <v>0</v>
      </c>
      <c r="Y86">
        <f>'Eurostat EB flows IEA'!AS86</f>
        <v>0</v>
      </c>
      <c r="Z86">
        <f>'Eurostat EB flows IEA'!AT86</f>
        <v>1480.1019444444444</v>
      </c>
      <c r="AA86">
        <f>'Eurostat EB flows IEA'!AU86</f>
        <v>0</v>
      </c>
      <c r="AB86">
        <f>'Eurostat EB flows IEA'!AV86</f>
        <v>0</v>
      </c>
      <c r="AC86">
        <f>'Eurostat EB flows IEA'!AW86</f>
        <v>0</v>
      </c>
      <c r="AD86">
        <f>'Eurostat EB flows IEA'!AX86</f>
        <v>0</v>
      </c>
      <c r="AE86">
        <f>'Eurostat EB flows IEA'!AY86</f>
        <v>0</v>
      </c>
      <c r="AF86">
        <f>'Eurostat EB flows IEA'!AZ86</f>
        <v>0</v>
      </c>
      <c r="AG86">
        <f>'Eurostat EB flows IEA'!BA86</f>
        <v>0</v>
      </c>
      <c r="AH86">
        <f>'Eurostat EB flows IEA'!BB86</f>
        <v>30.361111111111111</v>
      </c>
      <c r="AI86">
        <f>'Eurostat EB flows IEA'!BC86</f>
        <v>0</v>
      </c>
      <c r="AJ86">
        <f>'Eurostat EB flows IEA'!BD86</f>
        <v>0</v>
      </c>
      <c r="AK86">
        <f>'Eurostat EB flows IEA'!BE86</f>
        <v>0</v>
      </c>
      <c r="AL86">
        <f>'Eurostat EB flows IEA'!BF86</f>
        <v>0</v>
      </c>
      <c r="AM86">
        <f>'Eurostat EB flows IEA'!BG86</f>
        <v>0</v>
      </c>
      <c r="AN86">
        <f>'Eurostat EB flows IEA'!BH86</f>
        <v>0</v>
      </c>
      <c r="AO86">
        <f>'Eurostat EB flows IEA'!BI86</f>
        <v>0</v>
      </c>
      <c r="AP86">
        <f>'Eurostat EB flows IEA'!BJ86</f>
        <v>19.796111111111113</v>
      </c>
      <c r="AQ86">
        <f>'Eurostat EB flows IEA'!BK86</f>
        <v>48.751111111111108</v>
      </c>
      <c r="AR86">
        <f>'Eurostat EB flows IEA'!BL86</f>
        <v>1981.4999999999998</v>
      </c>
      <c r="AS86">
        <f>'Eurostat EB flows IEA'!BM86</f>
        <v>1757.1799999999998</v>
      </c>
      <c r="AT86">
        <f>'Eurostat EB flows IEA'!BN86</f>
        <v>4925.8038888888887</v>
      </c>
      <c r="AU86">
        <f>'Eurostat EB flows IEA'!BO86</f>
        <v>699.48</v>
      </c>
      <c r="AV86">
        <f>'Eurostat EB flows IEA'!BP86</f>
        <v>0</v>
      </c>
      <c r="AW86">
        <f>'Eurostat EB flows IEA'!BQ86</f>
        <v>0</v>
      </c>
      <c r="AX86">
        <f>'Eurostat EB flows IEA'!BR86</f>
        <v>0</v>
      </c>
      <c r="AY86">
        <f>'Eurostat EB flows IEA'!BS86</f>
        <v>0</v>
      </c>
      <c r="AZ86">
        <f>'Eurostat EB flows IEA'!BT86</f>
        <v>0</v>
      </c>
      <c r="BA86">
        <f>'Eurostat EB flows IEA'!BU86</f>
        <v>0</v>
      </c>
      <c r="BB86">
        <f>'Eurostat EB flows IEA'!BV86</f>
        <v>0</v>
      </c>
      <c r="BC86">
        <f>'Eurostat EB flows IEA'!BW86</f>
        <v>3985.2930555555554</v>
      </c>
      <c r="BD86">
        <f>'Eurostat EB flows IEA'!BX86</f>
        <v>69.36888888888889</v>
      </c>
      <c r="BE86">
        <f>'Eurostat EB flows IEA'!BY86</f>
        <v>0</v>
      </c>
      <c r="BF86">
        <f>'Eurostat EB flows IEA'!BZ86</f>
        <v>19578.188055555554</v>
      </c>
      <c r="BG86">
        <f>'Eurostat EB flows IEA'!CA86</f>
        <v>0</v>
      </c>
      <c r="BH86">
        <f>'Eurostat EB flows IEA'!CB86</f>
        <v>0</v>
      </c>
      <c r="BI86">
        <f>'Eurostat EB flows IEA'!CC86</f>
        <v>29525.081111111111</v>
      </c>
      <c r="BJ86">
        <f>'Eurostat EB flows IEA'!CD86</f>
        <v>0</v>
      </c>
      <c r="BK86">
        <f>'Eurostat EB flows IEA'!CE86</f>
        <v>0</v>
      </c>
      <c r="BL86">
        <f>'Eurostat EB flows IEA'!CF86</f>
        <v>0</v>
      </c>
      <c r="BM86">
        <f>'Eurostat EB flows IEA'!CG86</f>
        <v>121330.5861111111</v>
      </c>
      <c r="BN86">
        <f>'Eurostat EB flows IEA'!CH86</f>
        <v>8077.4705555555556</v>
      </c>
    </row>
    <row r="87" spans="1:66" x14ac:dyDescent="0.2">
      <c r="A87" t="s">
        <v>192</v>
      </c>
      <c r="B87" t="str">
        <f>'Eurostat EB flows IEA'!V87</f>
        <v>x</v>
      </c>
      <c r="C87" t="str">
        <f>'Eurostat EB flows IEA'!W87</f>
        <v>x</v>
      </c>
      <c r="D87">
        <f>'Eurostat EB flows IEA'!X87</f>
        <v>0</v>
      </c>
      <c r="E87">
        <f>'Eurostat EB flows IEA'!Y87</f>
        <v>0</v>
      </c>
      <c r="F87">
        <f>'Eurostat EB flows IEA'!Z87</f>
        <v>5132.1619444444441</v>
      </c>
      <c r="G87">
        <f>'Eurostat EB flows IEA'!AA87</f>
        <v>0</v>
      </c>
      <c r="H87">
        <f>'Eurostat EB flows IEA'!AB87</f>
        <v>0</v>
      </c>
      <c r="I87">
        <f>'Eurostat EB flows IEA'!AC87</f>
        <v>0</v>
      </c>
      <c r="J87">
        <f>'Eurostat EB flows IEA'!AD87</f>
        <v>0</v>
      </c>
      <c r="K87">
        <f>'Eurostat EB flows IEA'!AE87</f>
        <v>0</v>
      </c>
      <c r="L87">
        <f>'Eurostat EB flows IEA'!AF87</f>
        <v>0</v>
      </c>
      <c r="M87">
        <f>'Eurostat EB flows IEA'!AG87</f>
        <v>0</v>
      </c>
      <c r="N87">
        <f>'Eurostat EB flows IEA'!AH87</f>
        <v>0</v>
      </c>
      <c r="O87">
        <f>'Eurostat EB flows IEA'!AI87</f>
        <v>139.81305555555556</v>
      </c>
      <c r="P87">
        <f>'Eurostat EB flows IEA'!AJ87</f>
        <v>1585.2669444444446</v>
      </c>
      <c r="Q87">
        <f>'Eurostat EB flows IEA'!AK87</f>
        <v>0</v>
      </c>
      <c r="R87">
        <f>'Eurostat EB flows IEA'!AL87</f>
        <v>0</v>
      </c>
      <c r="S87">
        <f>'Eurostat EB flows IEA'!AM87</f>
        <v>20955.511111111111</v>
      </c>
      <c r="T87" t="str">
        <f>'Eurostat EB flows IEA'!AN87</f>
        <v>x</v>
      </c>
      <c r="U87">
        <f>'Eurostat EB flows IEA'!AO87</f>
        <v>0</v>
      </c>
      <c r="V87">
        <f>'Eurostat EB flows IEA'!AP87</f>
        <v>0</v>
      </c>
      <c r="W87">
        <f>'Eurostat EB flows IEA'!AQ87</f>
        <v>0</v>
      </c>
      <c r="X87">
        <f>'Eurostat EB flows IEA'!AR87</f>
        <v>0</v>
      </c>
      <c r="Y87">
        <f>'Eurostat EB flows IEA'!AS87</f>
        <v>0</v>
      </c>
      <c r="Z87">
        <f>'Eurostat EB flows IEA'!AT87</f>
        <v>0</v>
      </c>
      <c r="AA87">
        <f>'Eurostat EB flows IEA'!AU87</f>
        <v>0</v>
      </c>
      <c r="AB87">
        <f>'Eurostat EB flows IEA'!AV87</f>
        <v>0</v>
      </c>
      <c r="AC87">
        <f>'Eurostat EB flows IEA'!AW87</f>
        <v>0</v>
      </c>
      <c r="AD87">
        <f>'Eurostat EB flows IEA'!AX87</f>
        <v>0</v>
      </c>
      <c r="AE87">
        <f>'Eurostat EB flows IEA'!AY87</f>
        <v>0</v>
      </c>
      <c r="AF87">
        <f>'Eurostat EB flows IEA'!AZ87</f>
        <v>0</v>
      </c>
      <c r="AG87">
        <f>'Eurostat EB flows IEA'!BA87</f>
        <v>0</v>
      </c>
      <c r="AH87">
        <f>'Eurostat EB flows IEA'!BB87</f>
        <v>0</v>
      </c>
      <c r="AI87">
        <f>'Eurostat EB flows IEA'!BC87</f>
        <v>0</v>
      </c>
      <c r="AJ87">
        <f>'Eurostat EB flows IEA'!BD87</f>
        <v>0</v>
      </c>
      <c r="AK87">
        <f>'Eurostat EB flows IEA'!BE87</f>
        <v>0</v>
      </c>
      <c r="AL87">
        <f>'Eurostat EB flows IEA'!BF87</f>
        <v>0</v>
      </c>
      <c r="AM87">
        <f>'Eurostat EB flows IEA'!BG87</f>
        <v>0</v>
      </c>
      <c r="AN87">
        <f>'Eurostat EB flows IEA'!BH87</f>
        <v>0</v>
      </c>
      <c r="AO87">
        <f>'Eurostat EB flows IEA'!BI87</f>
        <v>0</v>
      </c>
      <c r="AP87">
        <f>'Eurostat EB flows IEA'!BJ87</f>
        <v>19.796111111111113</v>
      </c>
      <c r="AQ87">
        <f>'Eurostat EB flows IEA'!BK87</f>
        <v>0</v>
      </c>
      <c r="AR87">
        <f>'Eurostat EB flows IEA'!BL87</f>
        <v>0</v>
      </c>
      <c r="AS87">
        <f>'Eurostat EB flows IEA'!BM87</f>
        <v>0</v>
      </c>
      <c r="AT87">
        <f>'Eurostat EB flows IEA'!BN87</f>
        <v>1384.6338888888888</v>
      </c>
      <c r="AU87">
        <f>'Eurostat EB flows IEA'!BO87</f>
        <v>1.9911111111111111</v>
      </c>
      <c r="AV87">
        <f>'Eurostat EB flows IEA'!BP87</f>
        <v>0</v>
      </c>
      <c r="AW87">
        <f>'Eurostat EB flows IEA'!BQ87</f>
        <v>0</v>
      </c>
      <c r="AX87">
        <f>'Eurostat EB flows IEA'!BR87</f>
        <v>0</v>
      </c>
      <c r="AY87">
        <f>'Eurostat EB flows IEA'!BS87</f>
        <v>0</v>
      </c>
      <c r="AZ87">
        <f>'Eurostat EB flows IEA'!BT87</f>
        <v>0</v>
      </c>
      <c r="BA87">
        <f>'Eurostat EB flows IEA'!BU87</f>
        <v>0</v>
      </c>
      <c r="BB87">
        <f>'Eurostat EB flows IEA'!BV87</f>
        <v>0</v>
      </c>
      <c r="BC87">
        <f>'Eurostat EB flows IEA'!BW87</f>
        <v>3985.2930555555554</v>
      </c>
      <c r="BD87">
        <f>'Eurostat EB flows IEA'!BX87</f>
        <v>69.36888888888889</v>
      </c>
      <c r="BE87">
        <f>'Eurostat EB flows IEA'!BY87</f>
        <v>0</v>
      </c>
      <c r="BF87">
        <f>'Eurostat EB flows IEA'!BZ87</f>
        <v>4017.9630555555555</v>
      </c>
      <c r="BG87">
        <f>'Eurostat EB flows IEA'!CA87</f>
        <v>0</v>
      </c>
      <c r="BH87">
        <f>'Eurostat EB flows IEA'!CB87</f>
        <v>0</v>
      </c>
      <c r="BI87">
        <f>'Eurostat EB flows IEA'!CC87</f>
        <v>27179.723055555554</v>
      </c>
      <c r="BJ87">
        <f>'Eurostat EB flows IEA'!CD87</f>
        <v>0</v>
      </c>
      <c r="BK87">
        <f>'Eurostat EB flows IEA'!CE87</f>
        <v>0</v>
      </c>
      <c r="BL87">
        <f>'Eurostat EB flows IEA'!CF87</f>
        <v>0</v>
      </c>
      <c r="BM87">
        <f>'Eurostat EB flows IEA'!CG87</f>
        <v>64936.043888888889</v>
      </c>
      <c r="BN87">
        <f>'Eurostat EB flows IEA'!CH87</f>
        <v>1601.2702777777779</v>
      </c>
    </row>
    <row r="88" spans="1:66" x14ac:dyDescent="0.2">
      <c r="A88" t="s">
        <v>193</v>
      </c>
      <c r="B88" t="str">
        <f>'Eurostat EB flows IEA'!V88</f>
        <v>x</v>
      </c>
      <c r="C88" t="str">
        <f>'Eurostat EB flows IEA'!W88</f>
        <v>x</v>
      </c>
      <c r="D88">
        <f>'Eurostat EB flows IEA'!X88</f>
        <v>0</v>
      </c>
      <c r="E88">
        <f>'Eurostat EB flows IEA'!Y88</f>
        <v>0</v>
      </c>
      <c r="F88">
        <f>'Eurostat EB flows IEA'!Z88</f>
        <v>0</v>
      </c>
      <c r="G88">
        <f>'Eurostat EB flows IEA'!AA88</f>
        <v>0</v>
      </c>
      <c r="H88">
        <f>'Eurostat EB flows IEA'!AB88</f>
        <v>0</v>
      </c>
      <c r="I88">
        <f>'Eurostat EB flows IEA'!AC88</f>
        <v>0</v>
      </c>
      <c r="J88">
        <f>'Eurostat EB flows IEA'!AD88</f>
        <v>0</v>
      </c>
      <c r="K88">
        <f>'Eurostat EB flows IEA'!AE88</f>
        <v>0</v>
      </c>
      <c r="L88">
        <f>'Eurostat EB flows IEA'!AF88</f>
        <v>0</v>
      </c>
      <c r="M88">
        <f>'Eurostat EB flows IEA'!AG88</f>
        <v>0</v>
      </c>
      <c r="N88">
        <f>'Eurostat EB flows IEA'!AH88</f>
        <v>0</v>
      </c>
      <c r="O88">
        <f>'Eurostat EB flows IEA'!AI88</f>
        <v>0</v>
      </c>
      <c r="P88">
        <f>'Eurostat EB flows IEA'!AJ88</f>
        <v>0</v>
      </c>
      <c r="Q88">
        <f>'Eurostat EB flows IEA'!AK88</f>
        <v>0</v>
      </c>
      <c r="R88">
        <f>'Eurostat EB flows IEA'!AL88</f>
        <v>0</v>
      </c>
      <c r="S88">
        <f>'Eurostat EB flows IEA'!AM88</f>
        <v>360.07111111111112</v>
      </c>
      <c r="T88" t="str">
        <f>'Eurostat EB flows IEA'!AN88</f>
        <v>x</v>
      </c>
      <c r="U88">
        <f>'Eurostat EB flows IEA'!AO88</f>
        <v>0</v>
      </c>
      <c r="V88">
        <f>'Eurostat EB flows IEA'!AP88</f>
        <v>0</v>
      </c>
      <c r="W88">
        <f>'Eurostat EB flows IEA'!AQ88</f>
        <v>0</v>
      </c>
      <c r="X88">
        <f>'Eurostat EB flows IEA'!AR88</f>
        <v>0</v>
      </c>
      <c r="Y88">
        <f>'Eurostat EB flows IEA'!AS88</f>
        <v>0</v>
      </c>
      <c r="Z88">
        <f>'Eurostat EB flows IEA'!AT88</f>
        <v>11.05</v>
      </c>
      <c r="AA88">
        <f>'Eurostat EB flows IEA'!AU88</f>
        <v>0</v>
      </c>
      <c r="AB88">
        <f>'Eurostat EB flows IEA'!AV88</f>
        <v>0</v>
      </c>
      <c r="AC88">
        <f>'Eurostat EB flows IEA'!AW88</f>
        <v>0</v>
      </c>
      <c r="AD88">
        <f>'Eurostat EB flows IEA'!AX88</f>
        <v>0</v>
      </c>
      <c r="AE88">
        <f>'Eurostat EB flows IEA'!AY88</f>
        <v>0</v>
      </c>
      <c r="AF88">
        <f>'Eurostat EB flows IEA'!AZ88</f>
        <v>0</v>
      </c>
      <c r="AG88">
        <f>'Eurostat EB flows IEA'!BA88</f>
        <v>0</v>
      </c>
      <c r="AH88">
        <f>'Eurostat EB flows IEA'!BB88</f>
        <v>0.31888888888888883</v>
      </c>
      <c r="AI88">
        <f>'Eurostat EB flows IEA'!BC88</f>
        <v>0</v>
      </c>
      <c r="AJ88">
        <f>'Eurostat EB flows IEA'!BD88</f>
        <v>0</v>
      </c>
      <c r="AK88">
        <f>'Eurostat EB flows IEA'!BE88</f>
        <v>0</v>
      </c>
      <c r="AL88">
        <f>'Eurostat EB flows IEA'!BF88</f>
        <v>0</v>
      </c>
      <c r="AM88">
        <f>'Eurostat EB flows IEA'!BG88</f>
        <v>0</v>
      </c>
      <c r="AN88">
        <f>'Eurostat EB flows IEA'!BH88</f>
        <v>0</v>
      </c>
      <c r="AO88">
        <f>'Eurostat EB flows IEA'!BI88</f>
        <v>0</v>
      </c>
      <c r="AP88">
        <f>'Eurostat EB flows IEA'!BJ88</f>
        <v>0</v>
      </c>
      <c r="AQ88">
        <f>'Eurostat EB flows IEA'!BK88</f>
        <v>0</v>
      </c>
      <c r="AR88">
        <f>'Eurostat EB flows IEA'!BL88</f>
        <v>0</v>
      </c>
      <c r="AS88">
        <f>'Eurostat EB flows IEA'!BM88</f>
        <v>0</v>
      </c>
      <c r="AT88">
        <f>'Eurostat EB flows IEA'!BN88</f>
        <v>0</v>
      </c>
      <c r="AU88">
        <f>'Eurostat EB flows IEA'!BO88</f>
        <v>14.213888888888889</v>
      </c>
      <c r="AV88">
        <f>'Eurostat EB flows IEA'!BP88</f>
        <v>0</v>
      </c>
      <c r="AW88">
        <f>'Eurostat EB flows IEA'!BQ88</f>
        <v>0</v>
      </c>
      <c r="AX88">
        <f>'Eurostat EB flows IEA'!BR88</f>
        <v>0</v>
      </c>
      <c r="AY88">
        <f>'Eurostat EB flows IEA'!BS88</f>
        <v>0</v>
      </c>
      <c r="AZ88">
        <f>'Eurostat EB flows IEA'!BT88</f>
        <v>0</v>
      </c>
      <c r="BA88">
        <f>'Eurostat EB flows IEA'!BU88</f>
        <v>0</v>
      </c>
      <c r="BB88">
        <f>'Eurostat EB flows IEA'!BV88</f>
        <v>0</v>
      </c>
      <c r="BC88">
        <f>'Eurostat EB flows IEA'!BW88</f>
        <v>0</v>
      </c>
      <c r="BD88">
        <f>'Eurostat EB flows IEA'!BX88</f>
        <v>0</v>
      </c>
      <c r="BE88">
        <f>'Eurostat EB flows IEA'!BY88</f>
        <v>0</v>
      </c>
      <c r="BF88">
        <f>'Eurostat EB flows IEA'!BZ88</f>
        <v>15560.224999999999</v>
      </c>
      <c r="BG88">
        <f>'Eurostat EB flows IEA'!CA88</f>
        <v>0</v>
      </c>
      <c r="BH88">
        <f>'Eurostat EB flows IEA'!CB88</f>
        <v>0</v>
      </c>
      <c r="BI88">
        <f>'Eurostat EB flows IEA'!CC88</f>
        <v>2345.3580555555559</v>
      </c>
      <c r="BJ88">
        <f>'Eurostat EB flows IEA'!CD88</f>
        <v>0</v>
      </c>
      <c r="BK88">
        <f>'Eurostat EB flows IEA'!CE88</f>
        <v>0</v>
      </c>
      <c r="BL88">
        <f>'Eurostat EB flows IEA'!CF88</f>
        <v>0</v>
      </c>
      <c r="BM88">
        <f>'Eurostat EB flows IEA'!CG88</f>
        <v>18397.34611111111</v>
      </c>
      <c r="BN88">
        <f>'Eurostat EB flows IEA'!CH88</f>
        <v>17.902222222222221</v>
      </c>
    </row>
    <row r="89" spans="1:66" x14ac:dyDescent="0.2">
      <c r="A89" t="s">
        <v>194</v>
      </c>
      <c r="B89" t="str">
        <f>'Eurostat EB flows IEA'!V89</f>
        <v>x</v>
      </c>
      <c r="C89" t="str">
        <f>'Eurostat EB flows IEA'!W89</f>
        <v>x</v>
      </c>
      <c r="D89">
        <f>'Eurostat EB flows IEA'!X89</f>
        <v>0</v>
      </c>
      <c r="E89">
        <f>'Eurostat EB flows IEA'!Y89</f>
        <v>0</v>
      </c>
      <c r="F89">
        <f>'Eurostat EB flows IEA'!Z89</f>
        <v>3579.5938888888891</v>
      </c>
      <c r="G89">
        <f>'Eurostat EB flows IEA'!AA89</f>
        <v>0</v>
      </c>
      <c r="H89">
        <f>'Eurostat EB flows IEA'!AB89</f>
        <v>0</v>
      </c>
      <c r="I89">
        <f>'Eurostat EB flows IEA'!AC89</f>
        <v>0</v>
      </c>
      <c r="J89">
        <f>'Eurostat EB flows IEA'!AD89</f>
        <v>0</v>
      </c>
      <c r="K89">
        <f>'Eurostat EB flows IEA'!AE89</f>
        <v>0</v>
      </c>
      <c r="L89">
        <f>'Eurostat EB flows IEA'!AF89</f>
        <v>0</v>
      </c>
      <c r="M89">
        <f>'Eurostat EB flows IEA'!AG89</f>
        <v>0</v>
      </c>
      <c r="N89">
        <f>'Eurostat EB flows IEA'!AH89</f>
        <v>0</v>
      </c>
      <c r="O89">
        <f>'Eurostat EB flows IEA'!AI89</f>
        <v>6.9444444444444449E-3</v>
      </c>
      <c r="P89">
        <f>'Eurostat EB flows IEA'!AJ89</f>
        <v>190.27305555555554</v>
      </c>
      <c r="Q89">
        <f>'Eurostat EB flows IEA'!AK89</f>
        <v>0</v>
      </c>
      <c r="R89">
        <f>'Eurostat EB flows IEA'!AL89</f>
        <v>0</v>
      </c>
      <c r="S89">
        <f>'Eurostat EB flows IEA'!AM89</f>
        <v>9302.1288888888885</v>
      </c>
      <c r="T89" t="str">
        <f>'Eurostat EB flows IEA'!AN89</f>
        <v>x</v>
      </c>
      <c r="U89">
        <f>'Eurostat EB flows IEA'!AO89</f>
        <v>0</v>
      </c>
      <c r="V89">
        <f>'Eurostat EB flows IEA'!AP89</f>
        <v>0</v>
      </c>
      <c r="W89">
        <f>'Eurostat EB flows IEA'!AQ89</f>
        <v>0</v>
      </c>
      <c r="X89">
        <f>'Eurostat EB flows IEA'!AR89</f>
        <v>0</v>
      </c>
      <c r="Y89">
        <f>'Eurostat EB flows IEA'!AS89</f>
        <v>0</v>
      </c>
      <c r="Z89">
        <f>'Eurostat EB flows IEA'!AT89</f>
        <v>0</v>
      </c>
      <c r="AA89">
        <f>'Eurostat EB flows IEA'!AU89</f>
        <v>0</v>
      </c>
      <c r="AB89">
        <f>'Eurostat EB flows IEA'!AV89</f>
        <v>0</v>
      </c>
      <c r="AC89">
        <f>'Eurostat EB flows IEA'!AW89</f>
        <v>0</v>
      </c>
      <c r="AD89">
        <f>'Eurostat EB flows IEA'!AX89</f>
        <v>0</v>
      </c>
      <c r="AE89">
        <f>'Eurostat EB flows IEA'!AY89</f>
        <v>0</v>
      </c>
      <c r="AF89">
        <f>'Eurostat EB flows IEA'!AZ89</f>
        <v>0</v>
      </c>
      <c r="AG89">
        <f>'Eurostat EB flows IEA'!BA89</f>
        <v>0</v>
      </c>
      <c r="AH89">
        <f>'Eurostat EB flows IEA'!BB89</f>
        <v>23.373888888888889</v>
      </c>
      <c r="AI89">
        <f>'Eurostat EB flows IEA'!BC89</f>
        <v>0</v>
      </c>
      <c r="AJ89">
        <f>'Eurostat EB flows IEA'!BD89</f>
        <v>0</v>
      </c>
      <c r="AK89">
        <f>'Eurostat EB flows IEA'!BE89</f>
        <v>0</v>
      </c>
      <c r="AL89">
        <f>'Eurostat EB flows IEA'!BF89</f>
        <v>0</v>
      </c>
      <c r="AM89">
        <f>'Eurostat EB flows IEA'!BG89</f>
        <v>0</v>
      </c>
      <c r="AN89">
        <f>'Eurostat EB flows IEA'!BH89</f>
        <v>0</v>
      </c>
      <c r="AO89">
        <f>'Eurostat EB flows IEA'!BI89</f>
        <v>0</v>
      </c>
      <c r="AP89">
        <f>'Eurostat EB flows IEA'!BJ89</f>
        <v>0</v>
      </c>
      <c r="AQ89">
        <f>'Eurostat EB flows IEA'!BK89</f>
        <v>30.946944444444444</v>
      </c>
      <c r="AR89">
        <f>'Eurostat EB flows IEA'!BL89</f>
        <v>0</v>
      </c>
      <c r="AS89">
        <f>'Eurostat EB flows IEA'!BM89</f>
        <v>0</v>
      </c>
      <c r="AT89">
        <f>'Eurostat EB flows IEA'!BN89</f>
        <v>3029.2219444444445</v>
      </c>
      <c r="AU89">
        <f>'Eurostat EB flows IEA'!BO89</f>
        <v>27.066111111111113</v>
      </c>
      <c r="AV89">
        <f>'Eurostat EB flows IEA'!BP89</f>
        <v>0</v>
      </c>
      <c r="AW89">
        <f>'Eurostat EB flows IEA'!BQ89</f>
        <v>0</v>
      </c>
      <c r="AX89">
        <f>'Eurostat EB flows IEA'!BR89</f>
        <v>0</v>
      </c>
      <c r="AY89">
        <f>'Eurostat EB flows IEA'!BS89</f>
        <v>0</v>
      </c>
      <c r="AZ89">
        <f>'Eurostat EB flows IEA'!BT89</f>
        <v>0</v>
      </c>
      <c r="BA89">
        <f>'Eurostat EB flows IEA'!BU89</f>
        <v>0</v>
      </c>
      <c r="BB89">
        <f>'Eurostat EB flows IEA'!BV89</f>
        <v>0</v>
      </c>
      <c r="BC89">
        <f>'Eurostat EB flows IEA'!BW89</f>
        <v>0</v>
      </c>
      <c r="BD89">
        <f>'Eurostat EB flows IEA'!BX89</f>
        <v>0</v>
      </c>
      <c r="BE89">
        <f>'Eurostat EB flows IEA'!BY89</f>
        <v>0</v>
      </c>
      <c r="BF89">
        <f>'Eurostat EB flows IEA'!BZ89</f>
        <v>0</v>
      </c>
      <c r="BG89">
        <f>'Eurostat EB flows IEA'!CA89</f>
        <v>0</v>
      </c>
      <c r="BH89">
        <f>'Eurostat EB flows IEA'!CB89</f>
        <v>0</v>
      </c>
      <c r="BI89">
        <f>'Eurostat EB flows IEA'!CC89</f>
        <v>0</v>
      </c>
      <c r="BJ89">
        <f>'Eurostat EB flows IEA'!CD89</f>
        <v>0</v>
      </c>
      <c r="BK89">
        <f>'Eurostat EB flows IEA'!CE89</f>
        <v>0</v>
      </c>
      <c r="BL89">
        <f>'Eurostat EB flows IEA'!CF89</f>
        <v>0</v>
      </c>
      <c r="BM89">
        <f>'Eurostat EB flows IEA'!CG89</f>
        <v>16182.611944444443</v>
      </c>
      <c r="BN89">
        <f>'Eurostat EB flows IEA'!CH89</f>
        <v>3151.5688888888885</v>
      </c>
    </row>
    <row r="90" spans="1:66" x14ac:dyDescent="0.2">
      <c r="A90" t="s">
        <v>195</v>
      </c>
      <c r="B90" t="str">
        <f>'Eurostat EB flows IEA'!V90</f>
        <v>x</v>
      </c>
      <c r="C90" t="str">
        <f>'Eurostat EB flows IEA'!W90</f>
        <v>x</v>
      </c>
      <c r="D90">
        <f>'Eurostat EB flows IEA'!X90</f>
        <v>0</v>
      </c>
      <c r="E90">
        <f>'Eurostat EB flows IEA'!Y90</f>
        <v>0</v>
      </c>
      <c r="F90">
        <f>'Eurostat EB flows IEA'!Z90</f>
        <v>0</v>
      </c>
      <c r="G90">
        <f>'Eurostat EB flows IEA'!AA90</f>
        <v>0</v>
      </c>
      <c r="H90">
        <f>'Eurostat EB flows IEA'!AB90</f>
        <v>0</v>
      </c>
      <c r="I90">
        <f>'Eurostat EB flows IEA'!AC90</f>
        <v>0</v>
      </c>
      <c r="J90">
        <f>'Eurostat EB flows IEA'!AD90</f>
        <v>0</v>
      </c>
      <c r="K90">
        <f>'Eurostat EB flows IEA'!AE90</f>
        <v>0</v>
      </c>
      <c r="L90">
        <f>'Eurostat EB flows IEA'!AF90</f>
        <v>0</v>
      </c>
      <c r="M90">
        <f>'Eurostat EB flows IEA'!AG90</f>
        <v>0</v>
      </c>
      <c r="N90">
        <f>'Eurostat EB flows IEA'!AH90</f>
        <v>0</v>
      </c>
      <c r="O90">
        <f>'Eurostat EB flows IEA'!AI90</f>
        <v>12.348055555555556</v>
      </c>
      <c r="P90">
        <f>'Eurostat EB flows IEA'!AJ90</f>
        <v>67.141111111111115</v>
      </c>
      <c r="Q90">
        <f>'Eurostat EB flows IEA'!AK90</f>
        <v>0</v>
      </c>
      <c r="R90">
        <f>'Eurostat EB flows IEA'!AL90</f>
        <v>0</v>
      </c>
      <c r="S90">
        <f>'Eurostat EB flows IEA'!AM90</f>
        <v>15334.733888888888</v>
      </c>
      <c r="T90" t="str">
        <f>'Eurostat EB flows IEA'!AN90</f>
        <v>x</v>
      </c>
      <c r="U90">
        <f>'Eurostat EB flows IEA'!AO90</f>
        <v>0</v>
      </c>
      <c r="V90">
        <f>'Eurostat EB flows IEA'!AP90</f>
        <v>0</v>
      </c>
      <c r="W90">
        <f>'Eurostat EB flows IEA'!AQ90</f>
        <v>0</v>
      </c>
      <c r="X90">
        <f>'Eurostat EB flows IEA'!AR90</f>
        <v>0</v>
      </c>
      <c r="Y90">
        <f>'Eurostat EB flows IEA'!AS90</f>
        <v>0</v>
      </c>
      <c r="Z90">
        <f>'Eurostat EB flows IEA'!AT90</f>
        <v>1469.0519444444446</v>
      </c>
      <c r="AA90">
        <f>'Eurostat EB flows IEA'!AU90</f>
        <v>0</v>
      </c>
      <c r="AB90">
        <f>'Eurostat EB flows IEA'!AV90</f>
        <v>0</v>
      </c>
      <c r="AC90">
        <f>'Eurostat EB flows IEA'!AW90</f>
        <v>0</v>
      </c>
      <c r="AD90">
        <f>'Eurostat EB flows IEA'!AX90</f>
        <v>0</v>
      </c>
      <c r="AE90">
        <f>'Eurostat EB flows IEA'!AY90</f>
        <v>0</v>
      </c>
      <c r="AF90">
        <f>'Eurostat EB flows IEA'!AZ90</f>
        <v>0</v>
      </c>
      <c r="AG90">
        <f>'Eurostat EB flows IEA'!BA90</f>
        <v>0</v>
      </c>
      <c r="AH90">
        <f>'Eurostat EB flows IEA'!BB90</f>
        <v>6.6680555555555552</v>
      </c>
      <c r="AI90">
        <f>'Eurostat EB flows IEA'!BC90</f>
        <v>0</v>
      </c>
      <c r="AJ90">
        <f>'Eurostat EB flows IEA'!BD90</f>
        <v>0</v>
      </c>
      <c r="AK90">
        <f>'Eurostat EB flows IEA'!BE90</f>
        <v>0</v>
      </c>
      <c r="AL90">
        <f>'Eurostat EB flows IEA'!BF90</f>
        <v>0</v>
      </c>
      <c r="AM90">
        <f>'Eurostat EB flows IEA'!BG90</f>
        <v>0</v>
      </c>
      <c r="AN90">
        <f>'Eurostat EB flows IEA'!BH90</f>
        <v>0</v>
      </c>
      <c r="AO90">
        <f>'Eurostat EB flows IEA'!BI90</f>
        <v>0</v>
      </c>
      <c r="AP90">
        <f>'Eurostat EB flows IEA'!BJ90</f>
        <v>0</v>
      </c>
      <c r="AQ90">
        <f>'Eurostat EB flows IEA'!BK90</f>
        <v>17.803888888888888</v>
      </c>
      <c r="AR90">
        <f>'Eurostat EB flows IEA'!BL90</f>
        <v>1981.4999999999998</v>
      </c>
      <c r="AS90">
        <f>'Eurostat EB flows IEA'!BM90</f>
        <v>1757.1799999999998</v>
      </c>
      <c r="AT90">
        <f>'Eurostat EB flows IEA'!BN90</f>
        <v>511.94805555555553</v>
      </c>
      <c r="AU90">
        <f>'Eurostat EB flows IEA'!BO90</f>
        <v>656.20888888888885</v>
      </c>
      <c r="AV90">
        <f>'Eurostat EB flows IEA'!BP90</f>
        <v>0</v>
      </c>
      <c r="AW90">
        <f>'Eurostat EB flows IEA'!BQ90</f>
        <v>0</v>
      </c>
      <c r="AX90">
        <f>'Eurostat EB flows IEA'!BR90</f>
        <v>0</v>
      </c>
      <c r="AY90">
        <f>'Eurostat EB flows IEA'!BS90</f>
        <v>0</v>
      </c>
      <c r="AZ90">
        <f>'Eurostat EB flows IEA'!BT90</f>
        <v>0</v>
      </c>
      <c r="BA90">
        <f>'Eurostat EB flows IEA'!BU90</f>
        <v>0</v>
      </c>
      <c r="BB90">
        <f>'Eurostat EB flows IEA'!BV90</f>
        <v>0</v>
      </c>
      <c r="BC90">
        <f>'Eurostat EB flows IEA'!BW90</f>
        <v>0</v>
      </c>
      <c r="BD90">
        <f>'Eurostat EB flows IEA'!BX90</f>
        <v>0</v>
      </c>
      <c r="BE90">
        <f>'Eurostat EB flows IEA'!BY90</f>
        <v>0</v>
      </c>
      <c r="BF90">
        <f>'Eurostat EB flows IEA'!BZ90</f>
        <v>0</v>
      </c>
      <c r="BG90">
        <f>'Eurostat EB flows IEA'!CA90</f>
        <v>0</v>
      </c>
      <c r="BH90">
        <f>'Eurostat EB flows IEA'!CB90</f>
        <v>0</v>
      </c>
      <c r="BI90">
        <f>'Eurostat EB flows IEA'!CC90</f>
        <v>0</v>
      </c>
      <c r="BJ90">
        <f>'Eurostat EB flows IEA'!CD90</f>
        <v>0</v>
      </c>
      <c r="BK90">
        <f>'Eurostat EB flows IEA'!CE90</f>
        <v>0</v>
      </c>
      <c r="BL90">
        <f>'Eurostat EB flows IEA'!CF90</f>
        <v>0</v>
      </c>
      <c r="BM90">
        <f>'Eurostat EB flows IEA'!CG90</f>
        <v>21814.583888888887</v>
      </c>
      <c r="BN90">
        <f>'Eurostat EB flows IEA'!CH90</f>
        <v>3306.7291666666665</v>
      </c>
    </row>
    <row r="91" spans="1:66" x14ac:dyDescent="0.2">
      <c r="A91" t="s">
        <v>196</v>
      </c>
      <c r="B91" t="str">
        <f>'Eurostat EB flows IEA'!V91</f>
        <v>x</v>
      </c>
      <c r="C91" t="str">
        <f>'Eurostat EB flows IEA'!W91</f>
        <v>x</v>
      </c>
      <c r="D91">
        <f>'Eurostat EB flows IEA'!X91</f>
        <v>0</v>
      </c>
      <c r="E91">
        <f>'Eurostat EB flows IEA'!Y91</f>
        <v>0</v>
      </c>
      <c r="F91">
        <f>'Eurostat EB flows IEA'!Z91</f>
        <v>749.7</v>
      </c>
      <c r="G91">
        <f>'Eurostat EB flows IEA'!AA91</f>
        <v>0</v>
      </c>
      <c r="H91">
        <f>'Eurostat EB flows IEA'!AB91</f>
        <v>0</v>
      </c>
      <c r="I91">
        <f>'Eurostat EB flows IEA'!AC91</f>
        <v>0</v>
      </c>
      <c r="J91">
        <f>'Eurostat EB flows IEA'!AD91</f>
        <v>0</v>
      </c>
      <c r="K91">
        <f>'Eurostat EB flows IEA'!AE91</f>
        <v>0</v>
      </c>
      <c r="L91">
        <f>'Eurostat EB flows IEA'!AF91</f>
        <v>0</v>
      </c>
      <c r="M91">
        <f>'Eurostat EB flows IEA'!AG91</f>
        <v>0</v>
      </c>
      <c r="N91">
        <f>'Eurostat EB flows IEA'!AH91</f>
        <v>0</v>
      </c>
      <c r="O91">
        <f>'Eurostat EB flows IEA'!AI91</f>
        <v>24.748000000000001</v>
      </c>
      <c r="P91">
        <f>'Eurostat EB flows IEA'!AJ91</f>
        <v>317.262</v>
      </c>
      <c r="Q91">
        <f>'Eurostat EB flows IEA'!AK91</f>
        <v>0</v>
      </c>
      <c r="R91">
        <f>'Eurostat EB flows IEA'!AL91</f>
        <v>0</v>
      </c>
      <c r="S91">
        <f>'Eurostat EB flows IEA'!AM91</f>
        <v>47255.860999999997</v>
      </c>
      <c r="T91" t="str">
        <f>'Eurostat EB flows IEA'!AN91</f>
        <v>x</v>
      </c>
      <c r="U91">
        <f>'Eurostat EB flows IEA'!AO91</f>
        <v>0</v>
      </c>
      <c r="V91">
        <f>'Eurostat EB flows IEA'!AP91</f>
        <v>0</v>
      </c>
      <c r="W91">
        <f>'Eurostat EB flows IEA'!AQ91</f>
        <v>0</v>
      </c>
      <c r="X91">
        <f>'Eurostat EB flows IEA'!AR91</f>
        <v>0</v>
      </c>
      <c r="Y91">
        <f>'Eurostat EB flows IEA'!AS91</f>
        <v>0</v>
      </c>
      <c r="Z91">
        <f>'Eurostat EB flows IEA'!AT91</f>
        <v>9253.759</v>
      </c>
      <c r="AA91">
        <f>'Eurostat EB flows IEA'!AU91</f>
        <v>0</v>
      </c>
      <c r="AB91">
        <f>'Eurostat EB flows IEA'!AV91</f>
        <v>0</v>
      </c>
      <c r="AC91">
        <f>'Eurostat EB flows IEA'!AW91</f>
        <v>0</v>
      </c>
      <c r="AD91">
        <f>'Eurostat EB flows IEA'!AX91</f>
        <v>0</v>
      </c>
      <c r="AE91">
        <f>'Eurostat EB flows IEA'!AY91</f>
        <v>0</v>
      </c>
      <c r="AF91">
        <f>'Eurostat EB flows IEA'!AZ91</f>
        <v>0</v>
      </c>
      <c r="AG91">
        <f>'Eurostat EB flows IEA'!BA91</f>
        <v>0</v>
      </c>
      <c r="AH91">
        <f>'Eurostat EB flows IEA'!BB91</f>
        <v>49.578000000000003</v>
      </c>
      <c r="AI91">
        <f>'Eurostat EB flows IEA'!BC91</f>
        <v>0</v>
      </c>
      <c r="AJ91">
        <f>'Eurostat EB flows IEA'!BD91</f>
        <v>0</v>
      </c>
      <c r="AK91">
        <f>'Eurostat EB flows IEA'!BE91</f>
        <v>0</v>
      </c>
      <c r="AL91">
        <f>'Eurostat EB flows IEA'!BF91</f>
        <v>0</v>
      </c>
      <c r="AM91">
        <f>'Eurostat EB flows IEA'!BG91</f>
        <v>0</v>
      </c>
      <c r="AN91">
        <f>'Eurostat EB flows IEA'!BH91</f>
        <v>0</v>
      </c>
      <c r="AO91">
        <f>'Eurostat EB flows IEA'!BI91</f>
        <v>0</v>
      </c>
      <c r="AP91">
        <f>'Eurostat EB flows IEA'!BJ91</f>
        <v>3.6999999999999998E-2</v>
      </c>
      <c r="AQ91">
        <f>'Eurostat EB flows IEA'!BK91</f>
        <v>582.75099999999998</v>
      </c>
      <c r="AR91">
        <f>'Eurostat EB flows IEA'!BL91</f>
        <v>7935.817</v>
      </c>
      <c r="AS91">
        <f>'Eurostat EB flows IEA'!BM91</f>
        <v>7037.4219999999996</v>
      </c>
      <c r="AT91">
        <f>'Eurostat EB flows IEA'!BN91</f>
        <v>11795.485000000001</v>
      </c>
      <c r="AU91">
        <f>'Eurostat EB flows IEA'!BO91</f>
        <v>265.62299999999999</v>
      </c>
      <c r="AV91">
        <f>'Eurostat EB flows IEA'!BP91</f>
        <v>0</v>
      </c>
      <c r="AW91">
        <f>'Eurostat EB flows IEA'!BQ91</f>
        <v>0</v>
      </c>
      <c r="AX91">
        <f>'Eurostat EB flows IEA'!BR91</f>
        <v>0</v>
      </c>
      <c r="AY91">
        <f>'Eurostat EB flows IEA'!BS91</f>
        <v>0</v>
      </c>
      <c r="AZ91">
        <f>'Eurostat EB flows IEA'!BT91</f>
        <v>0</v>
      </c>
      <c r="BA91">
        <f>'Eurostat EB flows IEA'!BU91</f>
        <v>0</v>
      </c>
      <c r="BB91">
        <f>'Eurostat EB flows IEA'!BV91</f>
        <v>0</v>
      </c>
      <c r="BC91">
        <f>'Eurostat EB flows IEA'!BW91</f>
        <v>0</v>
      </c>
      <c r="BD91">
        <f>'Eurostat EB flows IEA'!BX91</f>
        <v>0</v>
      </c>
      <c r="BE91">
        <f>'Eurostat EB flows IEA'!BY91</f>
        <v>0</v>
      </c>
      <c r="BF91">
        <f>'Eurostat EB flows IEA'!BZ91</f>
        <v>0</v>
      </c>
      <c r="BG91">
        <f>'Eurostat EB flows IEA'!CA91</f>
        <v>0</v>
      </c>
      <c r="BH91">
        <f>'Eurostat EB flows IEA'!CB91</f>
        <v>0</v>
      </c>
      <c r="BI91">
        <f>'Eurostat EB flows IEA'!CC91</f>
        <v>0</v>
      </c>
      <c r="BJ91">
        <f>'Eurostat EB flows IEA'!CD91</f>
        <v>0</v>
      </c>
      <c r="BK91">
        <f>'Eurostat EB flows IEA'!CE91</f>
        <v>0</v>
      </c>
      <c r="BL91">
        <f>'Eurostat EB flows IEA'!CF91</f>
        <v>0</v>
      </c>
      <c r="BM91">
        <f>'Eurostat EB flows IEA'!CG91</f>
        <v>93299.153999999995</v>
      </c>
      <c r="BN91">
        <f>'Eurostat EB flows IEA'!CH91</f>
        <v>20480.962</v>
      </c>
    </row>
    <row r="92" spans="1:66" x14ac:dyDescent="0.2">
      <c r="A92" t="s">
        <v>197</v>
      </c>
      <c r="B92" t="str">
        <f>'Eurostat EB flows IEA'!V92</f>
        <v>x</v>
      </c>
      <c r="C92" t="str">
        <f>'Eurostat EB flows IEA'!W92</f>
        <v>x</v>
      </c>
      <c r="D92">
        <f>'Eurostat EB flows IEA'!X92</f>
        <v>0</v>
      </c>
      <c r="E92">
        <f>'Eurostat EB flows IEA'!Y92</f>
        <v>0</v>
      </c>
      <c r="F92">
        <f>'Eurostat EB flows IEA'!Z92</f>
        <v>749.7</v>
      </c>
      <c r="G92">
        <f>'Eurostat EB flows IEA'!AA92</f>
        <v>0</v>
      </c>
      <c r="H92">
        <f>'Eurostat EB flows IEA'!AB92</f>
        <v>0</v>
      </c>
      <c r="I92">
        <f>'Eurostat EB flows IEA'!AC92</f>
        <v>0</v>
      </c>
      <c r="J92">
        <f>'Eurostat EB flows IEA'!AD92</f>
        <v>0</v>
      </c>
      <c r="K92">
        <f>'Eurostat EB flows IEA'!AE92</f>
        <v>0</v>
      </c>
      <c r="L92">
        <f>'Eurostat EB flows IEA'!AF92</f>
        <v>0</v>
      </c>
      <c r="M92">
        <f>'Eurostat EB flows IEA'!AG92</f>
        <v>0</v>
      </c>
      <c r="N92">
        <f>'Eurostat EB flows IEA'!AH92</f>
        <v>0</v>
      </c>
      <c r="O92">
        <f>'Eurostat EB flows IEA'!AI92</f>
        <v>1E-3</v>
      </c>
      <c r="P92">
        <f>'Eurostat EB flows IEA'!AJ92</f>
        <v>37.17</v>
      </c>
      <c r="Q92">
        <f>'Eurostat EB flows IEA'!AK92</f>
        <v>0</v>
      </c>
      <c r="R92">
        <f>'Eurostat EB flows IEA'!AL92</f>
        <v>0</v>
      </c>
      <c r="S92">
        <f>'Eurostat EB flows IEA'!AM92</f>
        <v>25666.042000000001</v>
      </c>
      <c r="T92" t="str">
        <f>'Eurostat EB flows IEA'!AN92</f>
        <v>x</v>
      </c>
      <c r="U92">
        <f>'Eurostat EB flows IEA'!AO92</f>
        <v>0</v>
      </c>
      <c r="V92">
        <f>'Eurostat EB flows IEA'!AP92</f>
        <v>0</v>
      </c>
      <c r="W92">
        <f>'Eurostat EB flows IEA'!AQ92</f>
        <v>0</v>
      </c>
      <c r="X92">
        <f>'Eurostat EB flows IEA'!AR92</f>
        <v>0</v>
      </c>
      <c r="Y92">
        <f>'Eurostat EB flows IEA'!AS92</f>
        <v>0</v>
      </c>
      <c r="Z92">
        <f>'Eurostat EB flows IEA'!AT92</f>
        <v>0</v>
      </c>
      <c r="AA92">
        <f>'Eurostat EB flows IEA'!AU92</f>
        <v>0</v>
      </c>
      <c r="AB92">
        <f>'Eurostat EB flows IEA'!AV92</f>
        <v>0</v>
      </c>
      <c r="AC92">
        <f>'Eurostat EB flows IEA'!AW92</f>
        <v>0</v>
      </c>
      <c r="AD92">
        <f>'Eurostat EB flows IEA'!AX92</f>
        <v>0</v>
      </c>
      <c r="AE92">
        <f>'Eurostat EB flows IEA'!AY92</f>
        <v>0</v>
      </c>
      <c r="AF92">
        <f>'Eurostat EB flows IEA'!AZ92</f>
        <v>0</v>
      </c>
      <c r="AG92">
        <f>'Eurostat EB flows IEA'!BA92</f>
        <v>0</v>
      </c>
      <c r="AH92">
        <f>'Eurostat EB flows IEA'!BB92</f>
        <v>3.597</v>
      </c>
      <c r="AI92">
        <f>'Eurostat EB flows IEA'!BC92</f>
        <v>0</v>
      </c>
      <c r="AJ92">
        <f>'Eurostat EB flows IEA'!BD92</f>
        <v>0</v>
      </c>
      <c r="AK92">
        <f>'Eurostat EB flows IEA'!BE92</f>
        <v>0</v>
      </c>
      <c r="AL92">
        <f>'Eurostat EB flows IEA'!BF92</f>
        <v>0</v>
      </c>
      <c r="AM92">
        <f>'Eurostat EB flows IEA'!BG92</f>
        <v>0</v>
      </c>
      <c r="AN92">
        <f>'Eurostat EB flows IEA'!BH92</f>
        <v>0</v>
      </c>
      <c r="AO92">
        <f>'Eurostat EB flows IEA'!BI92</f>
        <v>0</v>
      </c>
      <c r="AP92">
        <f>'Eurostat EB flows IEA'!BJ92</f>
        <v>0</v>
      </c>
      <c r="AQ92">
        <f>'Eurostat EB flows IEA'!BK92</f>
        <v>3.51</v>
      </c>
      <c r="AR92">
        <f>'Eurostat EB flows IEA'!BL92</f>
        <v>0</v>
      </c>
      <c r="AS92">
        <f>'Eurostat EB flows IEA'!BM92</f>
        <v>0</v>
      </c>
      <c r="AT92">
        <f>'Eurostat EB flows IEA'!BN92</f>
        <v>5269.0519999999997</v>
      </c>
      <c r="AU92">
        <f>'Eurostat EB flows IEA'!BO92</f>
        <v>77.602999999999994</v>
      </c>
      <c r="AV92">
        <f>'Eurostat EB flows IEA'!BP92</f>
        <v>0</v>
      </c>
      <c r="AW92">
        <f>'Eurostat EB flows IEA'!BQ92</f>
        <v>0</v>
      </c>
      <c r="AX92">
        <f>'Eurostat EB flows IEA'!BR92</f>
        <v>0</v>
      </c>
      <c r="AY92">
        <f>'Eurostat EB flows IEA'!BS92</f>
        <v>0</v>
      </c>
      <c r="AZ92">
        <f>'Eurostat EB flows IEA'!BT92</f>
        <v>0</v>
      </c>
      <c r="BA92">
        <f>'Eurostat EB flows IEA'!BU92</f>
        <v>0</v>
      </c>
      <c r="BB92">
        <f>'Eurostat EB flows IEA'!BV92</f>
        <v>0</v>
      </c>
      <c r="BC92">
        <f>'Eurostat EB flows IEA'!BW92</f>
        <v>0</v>
      </c>
      <c r="BD92">
        <f>'Eurostat EB flows IEA'!BX92</f>
        <v>0</v>
      </c>
      <c r="BE92">
        <f>'Eurostat EB flows IEA'!BY92</f>
        <v>0</v>
      </c>
      <c r="BF92">
        <f>'Eurostat EB flows IEA'!BZ92</f>
        <v>0</v>
      </c>
      <c r="BG92">
        <f>'Eurostat EB flows IEA'!CA92</f>
        <v>0</v>
      </c>
      <c r="BH92">
        <f>'Eurostat EB flows IEA'!CB92</f>
        <v>0</v>
      </c>
      <c r="BI92">
        <f>'Eurostat EB flows IEA'!CC92</f>
        <v>0</v>
      </c>
      <c r="BJ92">
        <f>'Eurostat EB flows IEA'!CD92</f>
        <v>0</v>
      </c>
      <c r="BK92">
        <f>'Eurostat EB flows IEA'!CE92</f>
        <v>0</v>
      </c>
      <c r="BL92">
        <f>'Eurostat EB flows IEA'!CF92</f>
        <v>0</v>
      </c>
      <c r="BM92">
        <f>'Eurostat EB flows IEA'!CG92</f>
        <v>31806.674999999999</v>
      </c>
      <c r="BN92">
        <f>'Eurostat EB flows IEA'!CH92</f>
        <v>5609.55</v>
      </c>
    </row>
    <row r="93" spans="1:66" x14ac:dyDescent="0.2">
      <c r="A93" t="s">
        <v>198</v>
      </c>
      <c r="B93" t="str">
        <f>'Eurostat EB flows IEA'!V93</f>
        <v>x</v>
      </c>
      <c r="C93" t="str">
        <f>'Eurostat EB flows IEA'!W93</f>
        <v>x</v>
      </c>
      <c r="D93">
        <f>'Eurostat EB flows IEA'!X93</f>
        <v>0</v>
      </c>
      <c r="E93">
        <f>'Eurostat EB flows IEA'!Y93</f>
        <v>0</v>
      </c>
      <c r="F93">
        <f>'Eurostat EB flows IEA'!Z93</f>
        <v>0</v>
      </c>
      <c r="G93">
        <f>'Eurostat EB flows IEA'!AA93</f>
        <v>0</v>
      </c>
      <c r="H93">
        <f>'Eurostat EB flows IEA'!AB93</f>
        <v>0</v>
      </c>
      <c r="I93">
        <f>'Eurostat EB flows IEA'!AC93</f>
        <v>0</v>
      </c>
      <c r="J93">
        <f>'Eurostat EB flows IEA'!AD93</f>
        <v>0</v>
      </c>
      <c r="K93">
        <f>'Eurostat EB flows IEA'!AE93</f>
        <v>0</v>
      </c>
      <c r="L93">
        <f>'Eurostat EB flows IEA'!AF93</f>
        <v>0</v>
      </c>
      <c r="M93">
        <f>'Eurostat EB flows IEA'!AG93</f>
        <v>0</v>
      </c>
      <c r="N93">
        <f>'Eurostat EB flows IEA'!AH93</f>
        <v>0</v>
      </c>
      <c r="O93">
        <f>'Eurostat EB flows IEA'!AI93</f>
        <v>24.747</v>
      </c>
      <c r="P93">
        <f>'Eurostat EB flows IEA'!AJ93</f>
        <v>280.09199999999998</v>
      </c>
      <c r="Q93">
        <f>'Eurostat EB flows IEA'!AK93</f>
        <v>0</v>
      </c>
      <c r="R93">
        <f>'Eurostat EB flows IEA'!AL93</f>
        <v>0</v>
      </c>
      <c r="S93">
        <f>'Eurostat EB flows IEA'!AM93</f>
        <v>9896.8770000000004</v>
      </c>
      <c r="T93" t="str">
        <f>'Eurostat EB flows IEA'!AN93</f>
        <v>x</v>
      </c>
      <c r="U93">
        <f>'Eurostat EB flows IEA'!AO93</f>
        <v>0</v>
      </c>
      <c r="V93">
        <f>'Eurostat EB flows IEA'!AP93</f>
        <v>0</v>
      </c>
      <c r="W93">
        <f>'Eurostat EB flows IEA'!AQ93</f>
        <v>0</v>
      </c>
      <c r="X93">
        <f>'Eurostat EB flows IEA'!AR93</f>
        <v>0</v>
      </c>
      <c r="Y93">
        <f>'Eurostat EB flows IEA'!AS93</f>
        <v>0</v>
      </c>
      <c r="Z93">
        <f>'Eurostat EB flows IEA'!AT93</f>
        <v>5102.018</v>
      </c>
      <c r="AA93">
        <f>'Eurostat EB flows IEA'!AU93</f>
        <v>0</v>
      </c>
      <c r="AB93">
        <f>'Eurostat EB flows IEA'!AV93</f>
        <v>0</v>
      </c>
      <c r="AC93">
        <f>'Eurostat EB flows IEA'!AW93</f>
        <v>0</v>
      </c>
      <c r="AD93">
        <f>'Eurostat EB flows IEA'!AX93</f>
        <v>0</v>
      </c>
      <c r="AE93">
        <f>'Eurostat EB flows IEA'!AY93</f>
        <v>0</v>
      </c>
      <c r="AF93">
        <f>'Eurostat EB flows IEA'!AZ93</f>
        <v>0</v>
      </c>
      <c r="AG93">
        <f>'Eurostat EB flows IEA'!BA93</f>
        <v>0</v>
      </c>
      <c r="AH93">
        <f>'Eurostat EB flows IEA'!BB93</f>
        <v>45.981000000000002</v>
      </c>
      <c r="AI93">
        <f>'Eurostat EB flows IEA'!BC93</f>
        <v>0</v>
      </c>
      <c r="AJ93">
        <f>'Eurostat EB flows IEA'!BD93</f>
        <v>0</v>
      </c>
      <c r="AK93">
        <f>'Eurostat EB flows IEA'!BE93</f>
        <v>0</v>
      </c>
      <c r="AL93">
        <f>'Eurostat EB flows IEA'!BF93</f>
        <v>0</v>
      </c>
      <c r="AM93">
        <f>'Eurostat EB flows IEA'!BG93</f>
        <v>0</v>
      </c>
      <c r="AN93">
        <f>'Eurostat EB flows IEA'!BH93</f>
        <v>0</v>
      </c>
      <c r="AO93">
        <f>'Eurostat EB flows IEA'!BI93</f>
        <v>0</v>
      </c>
      <c r="AP93">
        <f>'Eurostat EB flows IEA'!BJ93</f>
        <v>0</v>
      </c>
      <c r="AQ93">
        <f>'Eurostat EB flows IEA'!BK93</f>
        <v>84.995000000000005</v>
      </c>
      <c r="AR93">
        <f>'Eurostat EB flows IEA'!BL93</f>
        <v>7935.817</v>
      </c>
      <c r="AS93">
        <f>'Eurostat EB flows IEA'!BM93</f>
        <v>7037.4219999999996</v>
      </c>
      <c r="AT93">
        <f>'Eurostat EB flows IEA'!BN93</f>
        <v>2769.346</v>
      </c>
      <c r="AU93">
        <f>'Eurostat EB flows IEA'!BO93</f>
        <v>187.73699999999999</v>
      </c>
      <c r="AV93">
        <f>'Eurostat EB flows IEA'!BP93</f>
        <v>0</v>
      </c>
      <c r="AW93">
        <f>'Eurostat EB flows IEA'!BQ93</f>
        <v>0</v>
      </c>
      <c r="AX93">
        <f>'Eurostat EB flows IEA'!BR93</f>
        <v>0</v>
      </c>
      <c r="AY93">
        <f>'Eurostat EB flows IEA'!BS93</f>
        <v>0</v>
      </c>
      <c r="AZ93">
        <f>'Eurostat EB flows IEA'!BT93</f>
        <v>0</v>
      </c>
      <c r="BA93">
        <f>'Eurostat EB flows IEA'!BU93</f>
        <v>0</v>
      </c>
      <c r="BB93">
        <f>'Eurostat EB flows IEA'!BV93</f>
        <v>0</v>
      </c>
      <c r="BC93">
        <f>'Eurostat EB flows IEA'!BW93</f>
        <v>0</v>
      </c>
      <c r="BD93">
        <f>'Eurostat EB flows IEA'!BX93</f>
        <v>0</v>
      </c>
      <c r="BE93">
        <f>'Eurostat EB flows IEA'!BY93</f>
        <v>0</v>
      </c>
      <c r="BF93">
        <f>'Eurostat EB flows IEA'!BZ93</f>
        <v>0</v>
      </c>
      <c r="BG93">
        <f>'Eurostat EB flows IEA'!CA93</f>
        <v>0</v>
      </c>
      <c r="BH93">
        <f>'Eurostat EB flows IEA'!CB93</f>
        <v>0</v>
      </c>
      <c r="BI93">
        <f>'Eurostat EB flows IEA'!CC93</f>
        <v>0</v>
      </c>
      <c r="BJ93">
        <f>'Eurostat EB flows IEA'!CD93</f>
        <v>0</v>
      </c>
      <c r="BK93">
        <f>'Eurostat EB flows IEA'!CE93</f>
        <v>0</v>
      </c>
      <c r="BL93">
        <f>'Eurostat EB flows IEA'!CF93</f>
        <v>0</v>
      </c>
      <c r="BM93">
        <f>'Eurostat EB flows IEA'!CG93</f>
        <v>33365.031999999999</v>
      </c>
      <c r="BN93">
        <f>'Eurostat EB flows IEA'!CH93</f>
        <v>10994.272999999999</v>
      </c>
    </row>
    <row r="94" spans="1:66" x14ac:dyDescent="0.2">
      <c r="A94" t="s">
        <v>199</v>
      </c>
      <c r="B94" t="str">
        <f>'Eurostat EB flows IEA'!V94</f>
        <v>x</v>
      </c>
      <c r="C94" t="str">
        <f>'Eurostat EB flows IEA'!W94</f>
        <v>x</v>
      </c>
      <c r="D94">
        <f>'Eurostat EB flows IEA'!X94</f>
        <v>0</v>
      </c>
      <c r="E94">
        <f>'Eurostat EB flows IEA'!Y94</f>
        <v>0</v>
      </c>
      <c r="F94">
        <f>'Eurostat EB flows IEA'!Z94</f>
        <v>0</v>
      </c>
      <c r="G94">
        <f>'Eurostat EB flows IEA'!AA94</f>
        <v>0</v>
      </c>
      <c r="H94">
        <f>'Eurostat EB flows IEA'!AB94</f>
        <v>0</v>
      </c>
      <c r="I94">
        <f>'Eurostat EB flows IEA'!AC94</f>
        <v>0</v>
      </c>
      <c r="J94">
        <f>'Eurostat EB flows IEA'!AD94</f>
        <v>0</v>
      </c>
      <c r="K94">
        <f>'Eurostat EB flows IEA'!AE94</f>
        <v>0</v>
      </c>
      <c r="L94">
        <f>'Eurostat EB flows IEA'!AF94</f>
        <v>0</v>
      </c>
      <c r="M94">
        <f>'Eurostat EB flows IEA'!AG94</f>
        <v>0</v>
      </c>
      <c r="N94">
        <f>'Eurostat EB flows IEA'!AH94</f>
        <v>0</v>
      </c>
      <c r="O94">
        <f>'Eurostat EB flows IEA'!AI94</f>
        <v>0</v>
      </c>
      <c r="P94">
        <f>'Eurostat EB flows IEA'!AJ94</f>
        <v>0</v>
      </c>
      <c r="Q94">
        <f>'Eurostat EB flows IEA'!AK94</f>
        <v>0</v>
      </c>
      <c r="R94">
        <f>'Eurostat EB flows IEA'!AL94</f>
        <v>0</v>
      </c>
      <c r="S94">
        <f>'Eurostat EB flows IEA'!AM94</f>
        <v>9958.8259999999991</v>
      </c>
      <c r="T94" t="str">
        <f>'Eurostat EB flows IEA'!AN94</f>
        <v>x</v>
      </c>
      <c r="U94">
        <f>'Eurostat EB flows IEA'!AO94</f>
        <v>0</v>
      </c>
      <c r="V94">
        <f>'Eurostat EB flows IEA'!AP94</f>
        <v>0</v>
      </c>
      <c r="W94">
        <f>'Eurostat EB flows IEA'!AQ94</f>
        <v>0</v>
      </c>
      <c r="X94">
        <f>'Eurostat EB flows IEA'!AR94</f>
        <v>0</v>
      </c>
      <c r="Y94">
        <f>'Eurostat EB flows IEA'!AS94</f>
        <v>0</v>
      </c>
      <c r="Z94">
        <f>'Eurostat EB flows IEA'!AT94</f>
        <v>3468.66</v>
      </c>
      <c r="AA94">
        <f>'Eurostat EB flows IEA'!AU94</f>
        <v>0</v>
      </c>
      <c r="AB94">
        <f>'Eurostat EB flows IEA'!AV94</f>
        <v>0</v>
      </c>
      <c r="AC94">
        <f>'Eurostat EB flows IEA'!AW94</f>
        <v>0</v>
      </c>
      <c r="AD94">
        <f>'Eurostat EB flows IEA'!AX94</f>
        <v>0</v>
      </c>
      <c r="AE94">
        <f>'Eurostat EB flows IEA'!AY94</f>
        <v>0</v>
      </c>
      <c r="AF94">
        <f>'Eurostat EB flows IEA'!AZ94</f>
        <v>0</v>
      </c>
      <c r="AG94">
        <f>'Eurostat EB flows IEA'!BA94</f>
        <v>0</v>
      </c>
      <c r="AH94">
        <f>'Eurostat EB flows IEA'!BB94</f>
        <v>0</v>
      </c>
      <c r="AI94">
        <f>'Eurostat EB flows IEA'!BC94</f>
        <v>0</v>
      </c>
      <c r="AJ94">
        <f>'Eurostat EB flows IEA'!BD94</f>
        <v>0</v>
      </c>
      <c r="AK94">
        <f>'Eurostat EB flows IEA'!BE94</f>
        <v>0</v>
      </c>
      <c r="AL94">
        <f>'Eurostat EB flows IEA'!BF94</f>
        <v>0</v>
      </c>
      <c r="AM94">
        <f>'Eurostat EB flows IEA'!BG94</f>
        <v>0</v>
      </c>
      <c r="AN94">
        <f>'Eurostat EB flows IEA'!BH94</f>
        <v>0</v>
      </c>
      <c r="AO94">
        <f>'Eurostat EB flows IEA'!BI94</f>
        <v>0</v>
      </c>
      <c r="AP94">
        <f>'Eurostat EB flows IEA'!BJ94</f>
        <v>3.6999999999999998E-2</v>
      </c>
      <c r="AQ94">
        <f>'Eurostat EB flows IEA'!BK94</f>
        <v>14.704000000000001</v>
      </c>
      <c r="AR94">
        <f>'Eurostat EB flows IEA'!BL94</f>
        <v>0</v>
      </c>
      <c r="AS94">
        <f>'Eurostat EB flows IEA'!BM94</f>
        <v>0</v>
      </c>
      <c r="AT94">
        <f>'Eurostat EB flows IEA'!BN94</f>
        <v>3753.6170000000002</v>
      </c>
      <c r="AU94">
        <f>'Eurostat EB flows IEA'!BO94</f>
        <v>0</v>
      </c>
      <c r="AV94">
        <f>'Eurostat EB flows IEA'!BP94</f>
        <v>0</v>
      </c>
      <c r="AW94">
        <f>'Eurostat EB flows IEA'!BQ94</f>
        <v>0</v>
      </c>
      <c r="AX94">
        <f>'Eurostat EB flows IEA'!BR94</f>
        <v>0</v>
      </c>
      <c r="AY94">
        <f>'Eurostat EB flows IEA'!BS94</f>
        <v>0</v>
      </c>
      <c r="AZ94">
        <f>'Eurostat EB flows IEA'!BT94</f>
        <v>0</v>
      </c>
      <c r="BA94">
        <f>'Eurostat EB flows IEA'!BU94</f>
        <v>0</v>
      </c>
      <c r="BB94">
        <f>'Eurostat EB flows IEA'!BV94</f>
        <v>0</v>
      </c>
      <c r="BC94">
        <f>'Eurostat EB flows IEA'!BW94</f>
        <v>0</v>
      </c>
      <c r="BD94">
        <f>'Eurostat EB flows IEA'!BX94</f>
        <v>0</v>
      </c>
      <c r="BE94">
        <f>'Eurostat EB flows IEA'!BY94</f>
        <v>0</v>
      </c>
      <c r="BF94">
        <f>'Eurostat EB flows IEA'!BZ94</f>
        <v>0</v>
      </c>
      <c r="BG94">
        <f>'Eurostat EB flows IEA'!CA94</f>
        <v>0</v>
      </c>
      <c r="BH94">
        <f>'Eurostat EB flows IEA'!CB94</f>
        <v>0</v>
      </c>
      <c r="BI94">
        <f>'Eurostat EB flows IEA'!CC94</f>
        <v>0</v>
      </c>
      <c r="BJ94">
        <f>'Eurostat EB flows IEA'!CD94</f>
        <v>0</v>
      </c>
      <c r="BK94">
        <f>'Eurostat EB flows IEA'!CE94</f>
        <v>0</v>
      </c>
      <c r="BL94">
        <f>'Eurostat EB flows IEA'!CF94</f>
        <v>0</v>
      </c>
      <c r="BM94">
        <f>'Eurostat EB flows IEA'!CG94</f>
        <v>17195.844000000001</v>
      </c>
      <c r="BN94">
        <f>'Eurostat EB flows IEA'!CH94</f>
        <v>3855.6239999999998</v>
      </c>
    </row>
    <row r="95" spans="1:66" x14ac:dyDescent="0.2">
      <c r="A95" t="s">
        <v>200</v>
      </c>
      <c r="B95" t="str">
        <f>'Eurostat EB flows IEA'!V95</f>
        <v>x</v>
      </c>
      <c r="C95" t="str">
        <f>'Eurostat EB flows IEA'!W95</f>
        <v>x</v>
      </c>
      <c r="D95">
        <f>'Eurostat EB flows IEA'!X95</f>
        <v>0</v>
      </c>
      <c r="E95">
        <f>'Eurostat EB flows IEA'!Y95</f>
        <v>0</v>
      </c>
      <c r="F95">
        <f>'Eurostat EB flows IEA'!Z95</f>
        <v>0</v>
      </c>
      <c r="G95">
        <f>'Eurostat EB flows IEA'!AA95</f>
        <v>0</v>
      </c>
      <c r="H95">
        <f>'Eurostat EB flows IEA'!AB95</f>
        <v>0</v>
      </c>
      <c r="I95">
        <f>'Eurostat EB flows IEA'!AC95</f>
        <v>0</v>
      </c>
      <c r="J95">
        <f>'Eurostat EB flows IEA'!AD95</f>
        <v>0</v>
      </c>
      <c r="K95">
        <f>'Eurostat EB flows IEA'!AE95</f>
        <v>0</v>
      </c>
      <c r="L95">
        <f>'Eurostat EB flows IEA'!AF95</f>
        <v>0</v>
      </c>
      <c r="M95">
        <f>'Eurostat EB flows IEA'!AG95</f>
        <v>0</v>
      </c>
      <c r="N95">
        <f>'Eurostat EB flows IEA'!AH95</f>
        <v>0</v>
      </c>
      <c r="O95">
        <f>'Eurostat EB flows IEA'!AI95</f>
        <v>0</v>
      </c>
      <c r="P95">
        <f>'Eurostat EB flows IEA'!AJ95</f>
        <v>0</v>
      </c>
      <c r="Q95">
        <f>'Eurostat EB flows IEA'!AK95</f>
        <v>0</v>
      </c>
      <c r="R95">
        <f>'Eurostat EB flows IEA'!AL95</f>
        <v>0</v>
      </c>
      <c r="S95">
        <f>'Eurostat EB flows IEA'!AM95</f>
        <v>1734.116</v>
      </c>
      <c r="T95" t="str">
        <f>'Eurostat EB flows IEA'!AN95</f>
        <v>x</v>
      </c>
      <c r="U95">
        <f>'Eurostat EB flows IEA'!AO95</f>
        <v>0</v>
      </c>
      <c r="V95">
        <f>'Eurostat EB flows IEA'!AP95</f>
        <v>0</v>
      </c>
      <c r="W95">
        <f>'Eurostat EB flows IEA'!AQ95</f>
        <v>0</v>
      </c>
      <c r="X95">
        <f>'Eurostat EB flows IEA'!AR95</f>
        <v>0</v>
      </c>
      <c r="Y95">
        <f>'Eurostat EB flows IEA'!AS95</f>
        <v>0</v>
      </c>
      <c r="Z95">
        <f>'Eurostat EB flows IEA'!AT95</f>
        <v>683.08100000000002</v>
      </c>
      <c r="AA95">
        <f>'Eurostat EB flows IEA'!AU95</f>
        <v>0</v>
      </c>
      <c r="AB95">
        <f>'Eurostat EB flows IEA'!AV95</f>
        <v>0</v>
      </c>
      <c r="AC95">
        <f>'Eurostat EB flows IEA'!AW95</f>
        <v>0</v>
      </c>
      <c r="AD95">
        <f>'Eurostat EB flows IEA'!AX95</f>
        <v>0</v>
      </c>
      <c r="AE95">
        <f>'Eurostat EB flows IEA'!AY95</f>
        <v>0</v>
      </c>
      <c r="AF95">
        <f>'Eurostat EB flows IEA'!AZ95</f>
        <v>0</v>
      </c>
      <c r="AG95">
        <f>'Eurostat EB flows IEA'!BA95</f>
        <v>0</v>
      </c>
      <c r="AH95">
        <f>'Eurostat EB flows IEA'!BB95</f>
        <v>0</v>
      </c>
      <c r="AI95">
        <f>'Eurostat EB flows IEA'!BC95</f>
        <v>0</v>
      </c>
      <c r="AJ95">
        <f>'Eurostat EB flows IEA'!BD95</f>
        <v>0</v>
      </c>
      <c r="AK95">
        <f>'Eurostat EB flows IEA'!BE95</f>
        <v>0</v>
      </c>
      <c r="AL95">
        <f>'Eurostat EB flows IEA'!BF95</f>
        <v>0</v>
      </c>
      <c r="AM95">
        <f>'Eurostat EB flows IEA'!BG95</f>
        <v>0</v>
      </c>
      <c r="AN95">
        <f>'Eurostat EB flows IEA'!BH95</f>
        <v>0</v>
      </c>
      <c r="AO95">
        <f>'Eurostat EB flows IEA'!BI95</f>
        <v>0</v>
      </c>
      <c r="AP95">
        <f>'Eurostat EB flows IEA'!BJ95</f>
        <v>0</v>
      </c>
      <c r="AQ95">
        <f>'Eurostat EB flows IEA'!BK95</f>
        <v>479.54199999999997</v>
      </c>
      <c r="AR95">
        <f>'Eurostat EB flows IEA'!BL95</f>
        <v>0</v>
      </c>
      <c r="AS95">
        <f>'Eurostat EB flows IEA'!BM95</f>
        <v>0</v>
      </c>
      <c r="AT95">
        <f>'Eurostat EB flows IEA'!BN95</f>
        <v>3.47</v>
      </c>
      <c r="AU95">
        <f>'Eurostat EB flows IEA'!BO95</f>
        <v>0.28299999999999997</v>
      </c>
      <c r="AV95">
        <f>'Eurostat EB flows IEA'!BP95</f>
        <v>0</v>
      </c>
      <c r="AW95">
        <f>'Eurostat EB flows IEA'!BQ95</f>
        <v>0</v>
      </c>
      <c r="AX95">
        <f>'Eurostat EB flows IEA'!BR95</f>
        <v>0</v>
      </c>
      <c r="AY95">
        <f>'Eurostat EB flows IEA'!BS95</f>
        <v>0</v>
      </c>
      <c r="AZ95">
        <f>'Eurostat EB flows IEA'!BT95</f>
        <v>0</v>
      </c>
      <c r="BA95">
        <f>'Eurostat EB flows IEA'!BU95</f>
        <v>0</v>
      </c>
      <c r="BB95">
        <f>'Eurostat EB flows IEA'!BV95</f>
        <v>0</v>
      </c>
      <c r="BC95">
        <f>'Eurostat EB flows IEA'!BW95</f>
        <v>0</v>
      </c>
      <c r="BD95">
        <f>'Eurostat EB flows IEA'!BX95</f>
        <v>0</v>
      </c>
      <c r="BE95">
        <f>'Eurostat EB flows IEA'!BY95</f>
        <v>0</v>
      </c>
      <c r="BF95">
        <f>'Eurostat EB flows IEA'!BZ95</f>
        <v>0</v>
      </c>
      <c r="BG95">
        <f>'Eurostat EB flows IEA'!CA95</f>
        <v>0</v>
      </c>
      <c r="BH95">
        <f>'Eurostat EB flows IEA'!CB95</f>
        <v>0</v>
      </c>
      <c r="BI95">
        <f>'Eurostat EB flows IEA'!CC95</f>
        <v>0</v>
      </c>
      <c r="BJ95">
        <f>'Eurostat EB flows IEA'!CD95</f>
        <v>0</v>
      </c>
      <c r="BK95">
        <f>'Eurostat EB flows IEA'!CE95</f>
        <v>0</v>
      </c>
      <c r="BL95">
        <f>'Eurostat EB flows IEA'!CF95</f>
        <v>0</v>
      </c>
      <c r="BM95">
        <f>'Eurostat EB flows IEA'!CG95</f>
        <v>10931.602999999999</v>
      </c>
      <c r="BN95">
        <f>'Eurostat EB flows IEA'!CH95</f>
        <v>21.515000000000001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Sheet</vt:lpstr>
      <vt:lpstr>Contents</vt:lpstr>
      <vt:lpstr>Eurostat EB TJ</vt:lpstr>
      <vt:lpstr>EUROSTAT CB GAS</vt:lpstr>
      <vt:lpstr>EUROSTAT CB OIL</vt:lpstr>
      <vt:lpstr>EUROSTAT CB summary</vt:lpstr>
      <vt:lpstr>Eurostat EB TJ GWh</vt:lpstr>
      <vt:lpstr>Eurostat EB products IEA</vt:lpstr>
      <vt:lpstr>Eurostat EB flows IEA</vt:lpstr>
      <vt:lpstr>energy_balance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 Bijkerk</dc:creator>
  <cp:lastModifiedBy>Mathijs Bijkerk</cp:lastModifiedBy>
  <dcterms:created xsi:type="dcterms:W3CDTF">2021-04-08T13:12:21Z</dcterms:created>
  <dcterms:modified xsi:type="dcterms:W3CDTF">2025-05-22T07:54:46Z</dcterms:modified>
</cp:coreProperties>
</file>