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kerpel/Desktop/Quintellocal/etdataset/source_analyses/nl/2023/8_transport/"/>
    </mc:Choice>
  </mc:AlternateContent>
  <xr:revisionPtr revIDLastSave="0" documentId="13_ncr:1_{3E1AA1D0-549A-A24B-BCE8-2EFE10FC66AE}" xr6:coauthVersionLast="47" xr6:coauthVersionMax="47" xr10:uidLastSave="{00000000-0000-0000-0000-000000000000}"/>
  <bookViews>
    <workbookView xWindow="0" yWindow="760" windowWidth="29400" windowHeight="16980" activeTab="2" xr2:uid="{B24E2854-4557-654F-AC8C-4FB73A012AD5}"/>
  </bookViews>
  <sheets>
    <sheet name="Cover sheet" sheetId="12" r:id="rId1"/>
    <sheet name="Assumptions" sheetId="8" r:id="rId2"/>
    <sheet name="Dashboard" sheetId="20" r:id="rId3"/>
    <sheet name="Analysis - transport" sheetId="18" r:id="rId4"/>
    <sheet name="Datadump - Eurostat" sheetId="17" r:id="rId5"/>
    <sheet name="Datadump - Emissieregistratie" sheetId="19" r:id="rId6"/>
    <sheet name="Datadump - road E and H2" sheetId="4" r:id="rId7"/>
    <sheet name="Datadump - road fuels" sheetId="15" r:id="rId8"/>
  </sheets>
  <externalReferences>
    <externalReference r:id="rId9"/>
    <externalReference r:id="rId10"/>
  </externalReferences>
  <definedNames>
    <definedName name="_xlnm._FilterDatabase" localSheetId="7" hidden="1">'Datadump - road fuels'!$A$3:$AR$76</definedName>
    <definedName name="ap_subfuel_allo">'[1]CEB allocation factors'!$F$12:$BC$12</definedName>
    <definedName name="base_year">[1]Dashboard!$E$13</definedName>
    <definedName name="country">[1]Dashboard!$E$12</definedName>
    <definedName name="Eff_cooking_biomass">[2]technical_specs!$M$50</definedName>
    <definedName name="Eff_cooking_electric">[2]technical_specs!$M$47</definedName>
    <definedName name="Eff_cooking_gas">[2]technical_specs!$M$46</definedName>
    <definedName name="Eff_cooking_halogen">[2]technical_specs!$M$48</definedName>
    <definedName name="Eff_cooking_induction">[2]technical_specs!$M$49</definedName>
    <definedName name="Eff_cooling_airco">[2]technical_specs!$M$43</definedName>
    <definedName name="Eff_cooling_pump_air">[2]technical_specs!$M$42</definedName>
    <definedName name="Eff_cooling_pump_ground">[2]technical_specs!$M$41</definedName>
    <definedName name="Eff_hot_water_coal">[2]technical_specs!$M$36</definedName>
    <definedName name="Eff_hot_water_combi_boiler">[2]technical_specs!$M$26</definedName>
    <definedName name="Eff_hot_water_district">[2]technical_specs!$M$30</definedName>
    <definedName name="Eff_hot_water_electric">[2]technical_specs!$M$33</definedName>
    <definedName name="Eff_hot_water_fuel_cell">[2]technical_specs!$M$37</definedName>
    <definedName name="Eff_hot_water_gas">[2]technical_specs!$M$34</definedName>
    <definedName name="Eff_hot_water_micro_CHP">[2]technical_specs!$M$29</definedName>
    <definedName name="Eff_hot_water_oil">[2]technical_specs!$M$35</definedName>
    <definedName name="Eff_hot_water_pump_air">[2]technical_specs!$M$31</definedName>
    <definedName name="Eff_hot_water_pump_ground">[2]technical_specs!$M$28</definedName>
    <definedName name="Eff_hot_water_solar_thermal_panel">[2]technical_specs!$M$27</definedName>
    <definedName name="Eff_hot_water_woodpellets">[2]technical_specs!$M$32</definedName>
    <definedName name="Eff_lighting_fluorescent">[2]technical_specs!$M$54</definedName>
    <definedName name="Eff_lighting_incandescent">[2]technical_specs!$M$53</definedName>
    <definedName name="Eff_lighting_led">[2]technical_specs!$M$55</definedName>
    <definedName name="Eff_space_heating_coal">[2]technical_specs!$M$21</definedName>
    <definedName name="Eff_space_heating_combi_boiler">[2]technical_specs!$M$11</definedName>
    <definedName name="Eff_space_heating_district">[2]technical_specs!$M$15</definedName>
    <definedName name="Eff_space_heating_electric">[2]technical_specs!$M$18</definedName>
    <definedName name="Eff_space_heating_gas">[2]technical_specs!$M$19</definedName>
    <definedName name="Eff_space_heating_micro_CHP">[2]technical_specs!$M$14</definedName>
    <definedName name="Eff_space_heating_oil">[2]technical_specs!$M$20</definedName>
    <definedName name="Eff_space_heating_pump_add_on">[2]technical_specs!$M$22</definedName>
    <definedName name="Eff_space_heating_pump_air">[2]technical_specs!$M$16</definedName>
    <definedName name="Eff_space_heating_pump_ground">[2]technical_specs!$M$13</definedName>
    <definedName name="Eff_space_heating_solar_thermal">[2]technical_specs!$M$12</definedName>
    <definedName name="Eff_space_heating_woodpellets">[2]technical_specs!$M$17</definedName>
    <definedName name="ei_subsector_allo">'[1]CEB allocation factors'!$D$17:$D$33</definedName>
    <definedName name="Final_demand_appliances">[2]Dashboard!$E$25</definedName>
    <definedName name="Final_demand_coal">'[2]Fuel aggregation'!$C$11</definedName>
    <definedName name="Final_demand_cooking">[2]Dashboard!$E$24</definedName>
    <definedName name="Final_demand_cooling">[2]Dashboard!$E$22</definedName>
    <definedName name="Final_demand_electricity">'[2]Fuel aggregation'!$I$11</definedName>
    <definedName name="Final_demand_gas">'[2]Fuel aggregation'!$D$11</definedName>
    <definedName name="Final_demand_heat">'[2]Fuel aggregation'!$J$11</definedName>
    <definedName name="Final_demand_hot_water">[2]Dashboard!$E$21</definedName>
    <definedName name="Final_demand_lighting">[2]Dashboard!$E$23</definedName>
    <definedName name="Final_demand_oil">'[2]Fuel aggregation'!$E$11</definedName>
    <definedName name="Final_demand_residences">'[2]Fuel aggregation'!$L$11</definedName>
    <definedName name="Final_demand_solar_thermal">'[2]Fuel aggregation'!$G$11</definedName>
    <definedName name="Final_demand_space_heating">[2]Dashboard!$E$20</definedName>
    <definedName name="Final_demand_woodpellets">'[2]Fuel aggregation'!$F$11</definedName>
    <definedName name="i_subsector_allo">'[1]CEB allocation factors'!$D$37:$D$49</definedName>
    <definedName name="kWh_MJ_conversion">[1]Assumptions!$C$174</definedName>
    <definedName name="net_gross_conv">'[1]AP net-gross conversion'!$D$12</definedName>
    <definedName name="switch_decc">'[1]Fuel allocation'!$C$130</definedName>
    <definedName name="switch_iea">'[1]Fuel allocation'!$C$89</definedName>
    <definedName name="switch_protermo">'[1]Fuel allocation'!$C$48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4" i="18" l="1"/>
  <c r="AP33" i="18"/>
  <c r="AP32" i="18"/>
  <c r="AQ32" i="18"/>
  <c r="AP25" i="18"/>
  <c r="AP24" i="18"/>
  <c r="AP23" i="18"/>
  <c r="F13" i="20" s="1"/>
  <c r="AR29" i="18"/>
  <c r="AR28" i="18"/>
  <c r="AY36" i="18"/>
  <c r="AY35" i="18"/>
  <c r="AV27" i="18"/>
  <c r="F22" i="20" s="1"/>
  <c r="AV26" i="18"/>
  <c r="F21" i="20" s="1"/>
  <c r="AO29" i="18"/>
  <c r="AO28" i="18"/>
  <c r="F17" i="20"/>
  <c r="AR61" i="18"/>
  <c r="AR60" i="18"/>
  <c r="F62" i="20"/>
  <c r="F61" i="20"/>
  <c r="F58" i="20"/>
  <c r="F57" i="20"/>
  <c r="F56" i="20"/>
  <c r="F42" i="20"/>
  <c r="F33" i="20"/>
  <c r="F32" i="20"/>
  <c r="F31" i="20"/>
  <c r="F30" i="20"/>
  <c r="F20" i="20"/>
  <c r="F18" i="20"/>
  <c r="F15" i="20"/>
  <c r="F10" i="20"/>
  <c r="F9" i="20"/>
  <c r="F8" i="20"/>
  <c r="F7" i="20"/>
  <c r="F6" i="20"/>
  <c r="AS26" i="18"/>
  <c r="AS28" i="18"/>
  <c r="F35" i="20" s="1"/>
  <c r="AS24" i="18"/>
  <c r="AR26" i="18"/>
  <c r="AR25" i="18"/>
  <c r="AR24" i="18"/>
  <c r="AR23" i="18"/>
  <c r="AQ26" i="18"/>
  <c r="AQ25" i="18"/>
  <c r="AQ24" i="18"/>
  <c r="AQ23" i="18"/>
  <c r="AP29" i="18"/>
  <c r="F14" i="20" s="1"/>
  <c r="AO33" i="18"/>
  <c r="AO32" i="18"/>
  <c r="AO26" i="18"/>
  <c r="AO25" i="18"/>
  <c r="AO24" i="18"/>
  <c r="AO23" i="18"/>
  <c r="AQ29" i="18"/>
  <c r="C25" i="19"/>
  <c r="C24" i="19"/>
  <c r="I19" i="19" s="1"/>
  <c r="C23" i="19"/>
  <c r="I18" i="19" s="1"/>
  <c r="C22" i="19"/>
  <c r="C21" i="19"/>
  <c r="I20" i="19"/>
  <c r="C20" i="19"/>
  <c r="C19" i="19"/>
  <c r="C18" i="19"/>
  <c r="C17" i="19"/>
  <c r="I17" i="19" s="1"/>
  <c r="C16" i="19"/>
  <c r="I16" i="19" s="1"/>
  <c r="C15" i="19"/>
  <c r="I15" i="19" s="1"/>
  <c r="C14" i="19"/>
  <c r="I14" i="19" s="1"/>
  <c r="C13" i="19"/>
  <c r="I13" i="19" s="1"/>
  <c r="I12" i="19"/>
  <c r="C12" i="19"/>
  <c r="C11" i="19"/>
  <c r="I11" i="19" s="1"/>
  <c r="C10" i="19"/>
  <c r="I10" i="19" s="1"/>
  <c r="I9" i="19"/>
  <c r="C9" i="19"/>
  <c r="I8" i="19"/>
  <c r="C8" i="19"/>
  <c r="AR78" i="17"/>
  <c r="AR77" i="17"/>
  <c r="AO34" i="17"/>
  <c r="AO33" i="17"/>
  <c r="AN33" i="17"/>
  <c r="AO32" i="17"/>
  <c r="AN32" i="17"/>
  <c r="AP28" i="17"/>
  <c r="AO28" i="17"/>
  <c r="AR26" i="17"/>
  <c r="AQ26" i="17"/>
  <c r="AP26" i="17"/>
  <c r="AO26" i="17"/>
  <c r="AN26" i="17"/>
  <c r="AR25" i="17"/>
  <c r="AR28" i="17" s="1"/>
  <c r="AQ25" i="17"/>
  <c r="AP25" i="17"/>
  <c r="AP29" i="17" s="1"/>
  <c r="AO25" i="17"/>
  <c r="AO29" i="17" s="1"/>
  <c r="AN25" i="17"/>
  <c r="AN29" i="17" s="1"/>
  <c r="AR24" i="17"/>
  <c r="AQ24" i="17"/>
  <c r="AP24" i="17"/>
  <c r="AO24" i="17"/>
  <c r="AN24" i="17"/>
  <c r="AR23" i="17"/>
  <c r="AQ23" i="17"/>
  <c r="AP23" i="17"/>
  <c r="AO23" i="17"/>
  <c r="AN23" i="17"/>
  <c r="F19" i="20" l="1"/>
  <c r="I25" i="19"/>
  <c r="O14" i="19"/>
  <c r="D37" i="19" s="1"/>
  <c r="O20" i="19"/>
  <c r="D43" i="19" s="1"/>
  <c r="O19" i="19"/>
  <c r="D42" i="19" s="1"/>
  <c r="O12" i="19"/>
  <c r="D34" i="19" s="1"/>
  <c r="O18" i="19"/>
  <c r="D41" i="19" s="1"/>
  <c r="I26" i="19"/>
  <c r="O23" i="19" s="1"/>
  <c r="D48" i="19" s="1"/>
  <c r="O21" i="19"/>
  <c r="D45" i="19" s="1"/>
  <c r="O15" i="19"/>
  <c r="D38" i="19" s="1"/>
  <c r="O16" i="19"/>
  <c r="D36" i="19" s="1"/>
  <c r="I24" i="19"/>
  <c r="O13" i="19" s="1"/>
  <c r="D35" i="19" s="1"/>
  <c r="O17" i="19"/>
  <c r="D40" i="19" s="1"/>
  <c r="AS29" i="18"/>
  <c r="F36" i="20" s="1"/>
  <c r="AQ28" i="18"/>
  <c r="AP28" i="18"/>
  <c r="F12" i="20" s="1"/>
  <c r="AR29" i="17"/>
  <c r="AN28" i="17"/>
  <c r="O24" i="19" l="1"/>
  <c r="D46" i="19" s="1"/>
  <c r="O22" i="19"/>
  <c r="D47" i="19" s="1"/>
  <c r="AQ74" i="15" l="1"/>
  <c r="AQ76" i="15" s="1"/>
  <c r="AP74" i="15"/>
  <c r="AP76" i="15" s="1"/>
  <c r="AO74" i="15"/>
  <c r="AO76" i="15" s="1"/>
  <c r="AN74" i="15"/>
  <c r="AN76" i="15" s="1"/>
  <c r="AM74" i="15"/>
  <c r="AM76" i="15" s="1"/>
  <c r="AL74" i="15"/>
  <c r="AK74" i="15"/>
  <c r="AJ74" i="15"/>
  <c r="AI74" i="15"/>
  <c r="AI76" i="15" s="1"/>
  <c r="AH74" i="15"/>
  <c r="AG74" i="15"/>
  <c r="AF74" i="15"/>
  <c r="AE74" i="15"/>
  <c r="AD74" i="15"/>
  <c r="AD76" i="15" s="1"/>
  <c r="AC74" i="15"/>
  <c r="AB74" i="15"/>
  <c r="AA74" i="15"/>
  <c r="Z74" i="15"/>
  <c r="Y74" i="15"/>
  <c r="Y76" i="15" s="1"/>
  <c r="X74" i="15"/>
  <c r="W74" i="15"/>
  <c r="V74" i="15"/>
  <c r="U74" i="15"/>
  <c r="T74" i="15"/>
  <c r="T76" i="15" s="1"/>
  <c r="S74" i="15"/>
  <c r="R74" i="15"/>
  <c r="Q74" i="15"/>
  <c r="P74" i="15"/>
  <c r="O74" i="15"/>
  <c r="O76" i="15" s="1"/>
  <c r="N74" i="15"/>
  <c r="M74" i="15"/>
  <c r="L74" i="15"/>
  <c r="K74" i="15"/>
  <c r="J74" i="15"/>
  <c r="J76" i="15" s="1"/>
</calcChain>
</file>

<file path=xl/sharedStrings.xml><?xml version="1.0" encoding="utf-8"?>
<sst xmlns="http://schemas.openxmlformats.org/spreadsheetml/2006/main" count="5157" uniqueCount="572">
  <si>
    <t>DATASET</t>
  </si>
  <si>
    <t>EMISSIEOORZAAK</t>
  </si>
  <si>
    <t>COMPARTIMENT</t>
  </si>
  <si>
    <t>Lucht</t>
  </si>
  <si>
    <t>Koolstofdioxide</t>
  </si>
  <si>
    <t>tp_car_gasoline_co2_built_env</t>
  </si>
  <si>
    <t>tp_car_gasoline_co2_motorway</t>
  </si>
  <si>
    <t>tp_car_gasoline_co2_road</t>
  </si>
  <si>
    <t>tp_car_diesel_co2_built_env</t>
  </si>
  <si>
    <t>tp_car_diesel_co2_motorway</t>
  </si>
  <si>
    <t>tp_car_diesel_co2_road</t>
  </si>
  <si>
    <t>tp_car_lpg_co2_built_env</t>
  </si>
  <si>
    <t>tp_car_lpg_co2_motorway</t>
  </si>
  <si>
    <t>tp_car_lpg_co2_road</t>
  </si>
  <si>
    <t>tp_van_gasoline_co2_built_env</t>
  </si>
  <si>
    <t>tp_van_gasoline_co2_motorway</t>
  </si>
  <si>
    <t>tp_van_gasoline_co2_road</t>
  </si>
  <si>
    <t>tp_van_diesel_co2_built_env</t>
  </si>
  <si>
    <t>tp_van_diesel_co2_motorway</t>
  </si>
  <si>
    <t>tp_van_diesel_co2_road</t>
  </si>
  <si>
    <t>tp_van_lpg_co2_built_env</t>
  </si>
  <si>
    <t>tp_van_lpg_co2_motorway</t>
  </si>
  <si>
    <t>tp_van_lpg_co2_road</t>
  </si>
  <si>
    <t>tp_motorcycle_co2_built_env</t>
  </si>
  <si>
    <t>tp_motorcycle_co2_motorway</t>
  </si>
  <si>
    <t>tp_motorcycle_co2_road</t>
  </si>
  <si>
    <t>tp_moped_co2_road</t>
  </si>
  <si>
    <t>tp_moped_co2_built_env</t>
  </si>
  <si>
    <t>tp_quadricycle_co2_built_env</t>
  </si>
  <si>
    <t>tp_quadricycle_co2_road</t>
  </si>
  <si>
    <t>tp_bus_ov_diesel_co2_built_env</t>
  </si>
  <si>
    <t>tp_bus_ov_diesel_co2_motorway</t>
  </si>
  <si>
    <t>tp_bus_ov_diesel_co2_road</t>
  </si>
  <si>
    <t>tp_bus_tc_diesel_co2_built_env</t>
  </si>
  <si>
    <t>tp_bus_tc_diesel_co2_motorway</t>
  </si>
  <si>
    <t>tp_bus_tc_diesel_co2_road</t>
  </si>
  <si>
    <t>tp_car_gasoline_co2</t>
  </si>
  <si>
    <t>tp_car_diesel_co2</t>
  </si>
  <si>
    <t>tp_car_lpg_co2</t>
  </si>
  <si>
    <t>tp_van_gasoline_co2</t>
  </si>
  <si>
    <t>tp_motorcycle_co2</t>
  </si>
  <si>
    <t>tp_moped_co2</t>
  </si>
  <si>
    <t>tp_bus_diesel_co2</t>
  </si>
  <si>
    <t>variable for calculations</t>
  </si>
  <si>
    <t>tp_quadricycle_co2</t>
  </si>
  <si>
    <t>tp_bus_tc_diesel_co2</t>
  </si>
  <si>
    <t>tp_bus_ov_diesel_co2</t>
  </si>
  <si>
    <t>tp_van_diesel_co2</t>
  </si>
  <si>
    <t>tp_van_lpg_co2</t>
  </si>
  <si>
    <t>tp_truck_diesel_co2</t>
  </si>
  <si>
    <t>tp_motorcycle_gasoline_co2</t>
  </si>
  <si>
    <t>comment</t>
  </si>
  <si>
    <t>Use in transport analysis</t>
  </si>
  <si>
    <t>Percentage of gasoline mix delivered to cars</t>
  </si>
  <si>
    <t>Share</t>
  </si>
  <si>
    <t>Percentage of gasoline mix delivered to trucks</t>
  </si>
  <si>
    <t>Percentage of gasoline mix delivered to busses</t>
  </si>
  <si>
    <t>Percentage of gasoline mix delivered to motorcycles</t>
  </si>
  <si>
    <t>Percentage of diesel mix delivered to cars</t>
  </si>
  <si>
    <t>Percentage of diesel mix delivered to trucks</t>
  </si>
  <si>
    <t>Percentage of diesel mix delivered to busses</t>
  </si>
  <si>
    <t xml:space="preserve">Percentage of natural gas that is liquefied natural gas </t>
  </si>
  <si>
    <t xml:space="preserve">Percentage of natural gas that is compressed natural gas </t>
  </si>
  <si>
    <t>Percentage of lng that is delivered to trucks</t>
  </si>
  <si>
    <t>Percentage of lng that is delivered to busses</t>
  </si>
  <si>
    <t>Percentage of compressed network gas delivered to cars</t>
  </si>
  <si>
    <t>Percentage of compressed network gas delivered to trucks</t>
  </si>
  <si>
    <t>Percentage of compressed network gas delivered to busses</t>
  </si>
  <si>
    <t>Source</t>
  </si>
  <si>
    <t>application type combined CO2 emissions</t>
  </si>
  <si>
    <t>tp_mm_diesel_co2</t>
  </si>
  <si>
    <t>value [%]</t>
  </si>
  <si>
    <t>total CO2 emissions per fuel type</t>
  </si>
  <si>
    <t>gasoline_co2_total</t>
  </si>
  <si>
    <t>diesel_co2_total</t>
  </si>
  <si>
    <t>lpg_co2_total</t>
  </si>
  <si>
    <t>assumed that all applications of a specific fuel use the same fuel mix, with the same energy content and emission factor</t>
  </si>
  <si>
    <t>gasoline_mix_share_cars</t>
  </si>
  <si>
    <t>gasoline_mix_share_trucks</t>
  </si>
  <si>
    <t>gasoline_mix_share_buses</t>
  </si>
  <si>
    <t>gasoline_mix_share_motorcycles</t>
  </si>
  <si>
    <t>diesel_mix_share_cars</t>
  </si>
  <si>
    <t>diesel_mix_share_trucks</t>
  </si>
  <si>
    <t>diesel_mix_share_buses</t>
  </si>
  <si>
    <t>lng_share_trucks</t>
  </si>
  <si>
    <t>lng_share_buses</t>
  </si>
  <si>
    <t>cng_share_cars</t>
  </si>
  <si>
    <t>cng_share_trucks</t>
  </si>
  <si>
    <t>cng_share_buses</t>
  </si>
  <si>
    <t>tp_bus_gasoline_co2</t>
  </si>
  <si>
    <t>Code</t>
  </si>
  <si>
    <t>Eenheid</t>
  </si>
  <si>
    <t>Beschrijving</t>
  </si>
  <si>
    <t>driewielig motorvoertuig + trike + light moped 25 + light moped 45 + speedpedelec + motorfiets</t>
  </si>
  <si>
    <t>Quadricycle + microcar</t>
  </si>
  <si>
    <t>was eerder 'rangeextend'</t>
  </si>
  <si>
    <t>tp_car_bev_nr</t>
  </si>
  <si>
    <t>tp_bus_bev_nr</t>
  </si>
  <si>
    <t>tp_motorcycle_bev_nr</t>
  </si>
  <si>
    <t>tp_quadricycle_bev_nr</t>
  </si>
  <si>
    <t>tp_car_phev_nr</t>
  </si>
  <si>
    <t>tp_truck_phev_nr</t>
  </si>
  <si>
    <t>tp_bus_phev_nr</t>
  </si>
  <si>
    <t>tp_car_fcev_nr</t>
  </si>
  <si>
    <t>tp_van_fcev_nr</t>
  </si>
  <si>
    <t>tp_truck_fcev_nr</t>
  </si>
  <si>
    <t>tp_bus_fcev_nr</t>
  </si>
  <si>
    <t>tp_van_bev_nr</t>
  </si>
  <si>
    <t>tp_truck_bev_nr</t>
  </si>
  <si>
    <t>tp_van_phev_nr</t>
  </si>
  <si>
    <t>value [-]</t>
  </si>
  <si>
    <t>Klimaatmonitor</t>
  </si>
  <si>
    <t>tp_bicycle_bev_nr</t>
  </si>
  <si>
    <t>Results</t>
  </si>
  <si>
    <t>Road transport fuels analysis</t>
  </si>
  <si>
    <t>Road transport electricity analysis</t>
  </si>
  <si>
    <t>value [tj]</t>
  </si>
  <si>
    <t>share of application per vehicle type</t>
  </si>
  <si>
    <t>specifications of electricic vehicles</t>
  </si>
  <si>
    <t>car_bev_annual_kms</t>
  </si>
  <si>
    <t>car_bev_annual_kwh</t>
  </si>
  <si>
    <t>car_bev_annual_tj</t>
  </si>
  <si>
    <t>car_phev_annual_tj</t>
  </si>
  <si>
    <t>bus_bev_annual_kms</t>
  </si>
  <si>
    <t>bus_bev_annual_kwh</t>
  </si>
  <si>
    <t>bus_bev_annual_tj</t>
  </si>
  <si>
    <t>bus_phev_annual_tj</t>
  </si>
  <si>
    <t>(1 kwh per km, average of trucks and vans)</t>
  </si>
  <si>
    <t>truck_bev_annual_kms</t>
  </si>
  <si>
    <t>truck_bev_annual_kwh</t>
  </si>
  <si>
    <t>truck_bev_annual_tj</t>
  </si>
  <si>
    <t>phev_relative_bev_annual_electric_kms</t>
  </si>
  <si>
    <t>truck_phev_annual_tj</t>
  </si>
  <si>
    <t>Source: ETM</t>
  </si>
  <si>
    <t>motorcycle_bev_annual_kwh</t>
  </si>
  <si>
    <t>motorcycle_bev_annual_tj</t>
  </si>
  <si>
    <t>electricity consumption per vehicle type</t>
  </si>
  <si>
    <t>car_phev_tj</t>
  </si>
  <si>
    <t>car_bev_tj</t>
  </si>
  <si>
    <t>truck_bev_tj</t>
  </si>
  <si>
    <t>truck_phev_tj</t>
  </si>
  <si>
    <t>bus_bev_tj</t>
  </si>
  <si>
    <t>bus_phev_tj</t>
  </si>
  <si>
    <t>motorcycle_bev_tj</t>
  </si>
  <si>
    <t>combination of bev and phev</t>
  </si>
  <si>
    <t>total electricity consumption per vehicle type</t>
  </si>
  <si>
    <t>car_ev_tj</t>
  </si>
  <si>
    <t>truck_ev_tj</t>
  </si>
  <si>
    <t>bus_ev_tj</t>
  </si>
  <si>
    <t>motorcycle_ev_tj</t>
  </si>
  <si>
    <t>bicycle_electric_share_in_total_bike_kms</t>
  </si>
  <si>
    <t>bicycle_electric_passenger_kms_per_mj</t>
  </si>
  <si>
    <t>bicycle_electric_mj_per_passenger_km</t>
  </si>
  <si>
    <t>bicycle_electric_tj_per_passenger_km</t>
  </si>
  <si>
    <t>bicycle_electric_tj</t>
  </si>
  <si>
    <t>electricity_share_cars</t>
  </si>
  <si>
    <t>electricity_share_trucks</t>
  </si>
  <si>
    <t>electricity_share_buses</t>
  </si>
  <si>
    <t>electricity_share_motorcycles</t>
  </si>
  <si>
    <t>electricity_share_bicycles</t>
  </si>
  <si>
    <t>Datadump - e and h2 road</t>
  </si>
  <si>
    <t>Percentage of electricity delivered to trams/metro</t>
  </si>
  <si>
    <t>Percentage of electricity delivered to passenger trains</t>
  </si>
  <si>
    <t>Percentage of electricity delivered to freight trains</t>
  </si>
  <si>
    <t>Percentage of diesel delivered to passenger trains</t>
  </si>
  <si>
    <t>Percentage of diesel delivered to freight trains</t>
  </si>
  <si>
    <t>number of electric vehicles (2019)</t>
  </si>
  <si>
    <t>share_lng_total_ng</t>
  </si>
  <si>
    <t>share_cng_total_ng</t>
  </si>
  <si>
    <t>Input</t>
  </si>
  <si>
    <t>Calculations</t>
  </si>
  <si>
    <t>Output</t>
  </si>
  <si>
    <t>tp_pedelec_bev_nr</t>
  </si>
  <si>
    <t>Excluding speed pedelecs, which the ETM considers part of electric bicycles</t>
  </si>
  <si>
    <t>bicycle_bev_annual_kms</t>
  </si>
  <si>
    <t>bicycle_annual_kms</t>
  </si>
  <si>
    <t>bicycle_bev_annual_tj</t>
  </si>
  <si>
    <t>Electricity</t>
  </si>
  <si>
    <t>Cover sheet</t>
  </si>
  <si>
    <t>Document</t>
  </si>
  <si>
    <t>Version #</t>
  </si>
  <si>
    <t>Country</t>
  </si>
  <si>
    <t>nl</t>
  </si>
  <si>
    <t>Year data</t>
  </si>
  <si>
    <t>Date</t>
  </si>
  <si>
    <t>Author</t>
  </si>
  <si>
    <t>Organisation</t>
  </si>
  <si>
    <t>Quintel Intelligence</t>
  </si>
  <si>
    <t>Legend</t>
  </si>
  <si>
    <t>Cells</t>
  </si>
  <si>
    <t>Intermediate (calculation)</t>
  </si>
  <si>
    <t>Result</t>
  </si>
  <si>
    <t>Manual input</t>
  </si>
  <si>
    <t>Reference to manual input or data input</t>
  </si>
  <si>
    <t>Tabs</t>
  </si>
  <si>
    <t>Introductory</t>
  </si>
  <si>
    <t>Dashboard</t>
  </si>
  <si>
    <t>Research data</t>
  </si>
  <si>
    <t>Sources</t>
  </si>
  <si>
    <t>Main calculations</t>
  </si>
  <si>
    <t>Additional calculations</t>
  </si>
  <si>
    <t>Output to csv</t>
  </si>
  <si>
    <t>Comments</t>
  </si>
  <si>
    <t>Transport source analysis</t>
  </si>
  <si>
    <t>Number of vehicles from Klimaatmonitor and typical energy consumption are used to calculate the road application shares for electricity and hydrogen transport.</t>
  </si>
  <si>
    <t>According to Emissieregistratie gas is only used by buses, even though e.g. cars using CNG also exist.</t>
  </si>
  <si>
    <t>Assumptions - general</t>
  </si>
  <si>
    <t>Assumptions - debts that might be furhter investigated</t>
  </si>
  <si>
    <t>Emissieregistratie offers no further split of fuel consumption by trucks, which is why it is assumed that they only use diesel.</t>
  </si>
  <si>
    <t>Emissieregistratie offers no further split of fuel consumption by mobile machinery, which is why it is assumed that they only use diesel.</t>
  </si>
  <si>
    <t>Vans are part of trucks fuel consumption.</t>
  </si>
  <si>
    <t>Mobile machinery is part of trucks fuel consumption.</t>
  </si>
  <si>
    <t>Specifications of hydrogen vehicles have some missing sources, meaning that the data may be outdated.</t>
  </si>
  <si>
    <t>Specifications of electric vehicles have some missing sources, meaning that the data may be outdated.</t>
  </si>
  <si>
    <t>gasoline_mix_share_vans</t>
  </si>
  <si>
    <t>Percentage of gasoline mix delivered to vans</t>
  </si>
  <si>
    <t>diesel_mix_share_vans</t>
  </si>
  <si>
    <t>Percentage of diesel mix delivered to vans</t>
  </si>
  <si>
    <t>cng_share_vans</t>
  </si>
  <si>
    <t>Percentage of compressed network gas delivered to vans</t>
  </si>
  <si>
    <t>Percentage of LPG delivered to cars</t>
  </si>
  <si>
    <t>Percentage of LPG delivered to vans</t>
  </si>
  <si>
    <t>van_bev_tj</t>
  </si>
  <si>
    <t>van_phev_tj</t>
  </si>
  <si>
    <t>van_ev_tj</t>
  </si>
  <si>
    <t>electricity_share_vans</t>
  </si>
  <si>
    <t>van_bev_annual_kms</t>
  </si>
  <si>
    <t>van_bev_annual_tj</t>
  </si>
  <si>
    <t>van_phev_annual_tj</t>
  </si>
  <si>
    <t>Vans</t>
  </si>
  <si>
    <t>Motorcycle</t>
  </si>
  <si>
    <t/>
  </si>
  <si>
    <t>2023</t>
  </si>
  <si>
    <t>Elektrische personenauto's (BEV), geregistreerd bij eigenaar</t>
  </si>
  <si>
    <t>Elektrische bussen, geregistreerd bij eigenaar</t>
  </si>
  <si>
    <t>Elektrische twee- en driewielige voertuigen, geregistreerd bij eigenaar</t>
  </si>
  <si>
    <t>Elektrische vierwielige light voertuigen (quadricycle en microcar), geregistreerd bij eigenaar</t>
  </si>
  <si>
    <t>Plug-in hybride personenauto's (PHEV), geregistreerd bij eigenaar</t>
  </si>
  <si>
    <t>Plug-in hybride lichte bedrijfsauto (&lt;3500 kg, PHEV), geregistreerd bij eigenaar</t>
  </si>
  <si>
    <t>Plug-in hybride Zware bedrijfsauto (&gt;= 3500 kg, PHEV), geregistreerd bij eigenaar</t>
  </si>
  <si>
    <t>Plug-in hybride bussen (PHEV), geregistreerd bij eigenaar</t>
  </si>
  <si>
    <t>Personenauto's op waterstof (FCEV), geregistreerd bij eigenaar</t>
  </si>
  <si>
    <t>Lichte bedrijfsauto's op waterstof (&lt;3500 kg, FCEV), geregistreerd bij eigenaar</t>
  </si>
  <si>
    <t>Zware bedrijfsauto's op waterstof (&gt;= 3500 kg, FCEV), geregistreerd bij eigenaar</t>
  </si>
  <si>
    <t>Bussen op waterstof (FCEV), geregistreerd bij eigenaar</t>
  </si>
  <si>
    <t>Lichte elektrische bedrijfsauto's (&lt; 3500 kg), geregistreerd bij eigenaar</t>
  </si>
  <si>
    <t>Zware elektrische bedrijfsauto's (&gt;= 3500 kg), geregistreerd bij eigenaar</t>
  </si>
  <si>
    <t>Speed pedelecs, geregistreerd bij eigenaar</t>
  </si>
  <si>
    <t>aantal</t>
  </si>
  <si>
    <t>Bron</t>
  </si>
  <si>
    <t>RVO - Monitoring elektrisch vervoer o.b.v. gegevens RDW</t>
  </si>
  <si>
    <t>klimaatmonitor.databank.nl</t>
  </si>
  <si>
    <t>wpelek</t>
  </si>
  <si>
    <t>wbelek</t>
  </si>
  <si>
    <t>wb23whelek</t>
  </si>
  <si>
    <t>wb4whelek</t>
  </si>
  <si>
    <t>wpphev</t>
  </si>
  <si>
    <t>wbzphev</t>
  </si>
  <si>
    <t>wbusphev</t>
  </si>
  <si>
    <t>wpfcev</t>
  </si>
  <si>
    <t>wblfcev</t>
  </si>
  <si>
    <t>wbzfcev</t>
  </si>
  <si>
    <t>wbusfcev</t>
  </si>
  <si>
    <t>wblelek</t>
  </si>
  <si>
    <t>wbzelek</t>
  </si>
  <si>
    <t>wblphev</t>
  </si>
  <si>
    <t>wbfsped</t>
  </si>
  <si>
    <t>Speed pedelecs from Klimaatmonitor, electric bycicles from Bovag Rai (2023) Fietsenpark (schatting), electric bicycles value from 2022: https://cdn.sanity.io/files/j02l2p79/production_mijnbovag/d0ee946324243bf06e36983f5bd35cc35c98c871.pdf</t>
  </si>
  <si>
    <t>Gemiddeld jaarkilometrage LPG/overige, 2023 data not available, 2019 data assumed due to significant lower 2020 value: https://opendata.cbs.nl/statline/#/CBS/nl/dataset/80353ned/table?ts=1646138975033</t>
  </si>
  <si>
    <t>Average of truck, 2023 data not available, 2019 data assumed http://statline.cbs.nl/StatWeb/publication/?DM=SLNL&amp;PA=80379NED</t>
  </si>
  <si>
    <t>https://www.kimnet.nl/binaries/kimnet/documenten/publicaties/2023/11/28/fietsfeiten-2023/KiM+brochure_Fietsfeiten_2023_digiT_def.pdf</t>
  </si>
  <si>
    <t>https://opendata.cbs.nl/#/CBS/nl/dataset/85396NED/table?dl=AB187</t>
  </si>
  <si>
    <t>relative electricity use plug-in electric vehicle compared to battery electric vehicle</t>
  </si>
  <si>
    <t>20 kwh per 100 km, https://www.anwb.nl/energie/energieverbruik/hoeveel-stroom-verbruikt-een-elektrische-auto</t>
  </si>
  <si>
    <t>2 kwh per km, https://www.baav.be/emissiearme-bussen/batterijen/een-samenvatting-van-het-bereik-van-elektrische-bussen-focus-op-elektriciteitsverbruik/</t>
  </si>
  <si>
    <t>1 kwh per km, average of trucks and vans</t>
  </si>
  <si>
    <t>7.5 kWh per 100 km, https://elaad.nl/quickscan-elaadnl-elektrische-motorfietsen-nog-aan-het-begin-van-de-groei/</t>
  </si>
  <si>
    <t>average km of private car other fuels assumed https://opendata.cbs.nl/#/CBS/nl/dataset/85396NED/table?dl=AB187</t>
  </si>
  <si>
    <t>motorcycle_bev_annual_kms</t>
  </si>
  <si>
    <t>Kyra de Haan</t>
  </si>
  <si>
    <t>EMISSIEBRON</t>
  </si>
  <si>
    <t>TYPE_DATASET</t>
  </si>
  <si>
    <t>GEPRESENTEERDE_STOF</t>
  </si>
  <si>
    <t>SOORTEN_EMISSIES</t>
  </si>
  <si>
    <t>EVE_NAAM</t>
  </si>
  <si>
    <t>Uitlaatgassen autobussen touringcars, bebouwde kom:diesel</t>
  </si>
  <si>
    <t>ER</t>
  </si>
  <si>
    <t>ER Reeks 1990-2023 Definitief (open)</t>
  </si>
  <si>
    <t>Verbranding,Verbranding verkeer,Verbranding kort cyclisch,Proces,Proces feedstock,Proces biogeen</t>
  </si>
  <si>
    <t>diesel</t>
  </si>
  <si>
    <t>Uitlaatgassen zware bedrijfsvoertuigen excl. autobussen, buitenweg:Ureum</t>
  </si>
  <si>
    <t>Ureum</t>
  </si>
  <si>
    <t>Uitlaatgassen lichte bedrijfsvoertuigen, bebouwde kom:diesel</t>
  </si>
  <si>
    <t>Uitlaatgassen lichte bedrijfsvoertuigen, autosnelweg:lpg</t>
  </si>
  <si>
    <t>lpg</t>
  </si>
  <si>
    <t>Uitlaatgassen autobussen ov, autosnelweg:Ureum</t>
  </si>
  <si>
    <t>Uitlaatgassen lichte bedrijfsvoertuigen, buitenweg:benzine</t>
  </si>
  <si>
    <t>benzine</t>
  </si>
  <si>
    <t>Uitlaatgassen motorfietsen, bebouwde kom:verkeersprestatie</t>
  </si>
  <si>
    <t>verkeersprestatie</t>
  </si>
  <si>
    <t>Koelaggregaten zware bedrijfsvoertuigen excl. autobussen, buitenweg:diesel</t>
  </si>
  <si>
    <t>Uitlaatgassen lichte bedrijfsvoertuigen, autosnelweg:Ureum</t>
  </si>
  <si>
    <t>Uitlaatgassen brommobielen, bebouwde kom:verkeersprestatie</t>
  </si>
  <si>
    <t>Uitlaatgassen autobussen ov, autosnelweg:diesel</t>
  </si>
  <si>
    <t>Uitlaatgassen autobussen ov, bebouwde kom:lpg</t>
  </si>
  <si>
    <t>Uitlaatgassen personenauto's, bebouwde kom:Ureum</t>
  </si>
  <si>
    <t>Uitlaatgassen lichte bedrijfsvoertuigen, bebouwde kom:benzine</t>
  </si>
  <si>
    <t>Uitlaatgassen zware bedrijfsvoertuigen excl. autobussen, bebouwde kom:Ureum</t>
  </si>
  <si>
    <t>Uitlaatgassen personenauto's, buitenweg:Ureum</t>
  </si>
  <si>
    <t>Uitlaatgassen autobussen touringcars, buitenweg:benzine</t>
  </si>
  <si>
    <t>Uitlaatgassen bromfietsen, buitenweg:verkeersprestatie</t>
  </si>
  <si>
    <t>Uitlaatgassen autobussen ov, bebouwde kom:diesel</t>
  </si>
  <si>
    <t>Uitlaatgassen lichte bedrijfsvoertuigen, buitenweg:Ureum</t>
  </si>
  <si>
    <t>Uitlaatgassen zware bedrijfsvoertuigen excl. autobussen, autosnelweg:Ureum</t>
  </si>
  <si>
    <t>Uitlaatgassen personenauto's, bebouwde kom:benzine</t>
  </si>
  <si>
    <t>Uitlaatgassen lichte bedrijfsvoertuigen, buitenweg:diesel</t>
  </si>
  <si>
    <t>Koelaggregaten zware bedrijfsvoertuigen excl. autobussen, bebouwde kom:diesel</t>
  </si>
  <si>
    <t>Uitlaatgassen lichte bedrijfsvoertuigen, buitenweg:lpg</t>
  </si>
  <si>
    <t>Uitlaatgassen personenauto's, autosnelweg:Ureum</t>
  </si>
  <si>
    <t>Uitlaatgassen autobussen touringcars, buitenweg:lpg</t>
  </si>
  <si>
    <t>Uitlaatgassen lichte bedrijfsvoertuigen, bebouwde kom:Ureum</t>
  </si>
  <si>
    <t>Uitlaatgassen autobussen ov, buitenweg:benzine</t>
  </si>
  <si>
    <t>Uitlaatgassen autobussen touringcars, autosnelweg:benzine</t>
  </si>
  <si>
    <t>Uitlaatgassen personenauto's, autosnelweg:diesel</t>
  </si>
  <si>
    <t>Uitlaatgassen autobussen ov, buitenweg:diesel</t>
  </si>
  <si>
    <t>Uitlaatgassen personenauto's, buitenweg:benzine</t>
  </si>
  <si>
    <t>Uitlaatgassen autobussen touringcars, bebouwde kom:Ureum</t>
  </si>
  <si>
    <t>Uitlaatgassen lichte bedrijfsvoertuigen, bebouwde kom:lpg</t>
  </si>
  <si>
    <t>Uitlaatgassen lichte bedrijfsvoertuigen, autosnelweg:benzine</t>
  </si>
  <si>
    <t>Koelaggregaten zware bedrijfsvoertuigen excl. autobussen, autosnelweg:diesel</t>
  </si>
  <si>
    <t>Uitlaatgassen zware bedrijfsvoertuigen excl. autobussen, autosnelweg:benzine</t>
  </si>
  <si>
    <t>Uitlaatgassen personenauto's, buitenweg:diesel</t>
  </si>
  <si>
    <t>Uitlaatgassen autobussen touringcars, autosnelweg:lpg</t>
  </si>
  <si>
    <t>Uitlaatgassen autobussen touringcars, autosnelweg:diesel</t>
  </si>
  <si>
    <t>Uitlaatgassen autobussen ov, buitenweg:lpg</t>
  </si>
  <si>
    <t>Uitlaatgassen autobussen touringcars, bebouwde kom:lpg</t>
  </si>
  <si>
    <t>Uitlaatgassen zware bedrijfsvoertuigen excl. autobussen, bebouwde kom:lpg</t>
  </si>
  <si>
    <t>Uitlaatgassen autobussen ov, autosnelweg:benzine</t>
  </si>
  <si>
    <t>Uitlaatgassen zware bedrijfsvoertuigen excl. autobussen, autosnelweg:diesel</t>
  </si>
  <si>
    <t>Uitlaatgassen autobussen ov, bebouwde kom:benzine</t>
  </si>
  <si>
    <t>Uitlaatgassen zware bedrijfsvoertuigen excl. autobussen, autosnelweg:lpg</t>
  </si>
  <si>
    <t>Uitlaatgassen zware bedrijfsvoertuigen excl. autobussen, buitenweg:lpg</t>
  </si>
  <si>
    <t>Uitlaatgassen autobussen touringcars, bebouwde kom:benzine</t>
  </si>
  <si>
    <t>Uitlaatgassen personenauto's, autosnelweg:benzine</t>
  </si>
  <si>
    <t>Uitlaatgassen zware bedrijfsvoertuigen excl. autobussen, bebouwde kom:benzine</t>
  </si>
  <si>
    <t>Uitlaatgassen zware bedrijfsvoertuigen excl. autobussen, buitenweg:benzine</t>
  </si>
  <si>
    <t>Uitlaatgassen autobussen ov, bebouwde kom:Ureum</t>
  </si>
  <si>
    <t>Uitlaatgassen motorfietsen, autosnelweg:verkeersprestatie</t>
  </si>
  <si>
    <t>Uitlaatgassen lichte bedrijfsvoertuigen, autosnelweg:diesel</t>
  </si>
  <si>
    <t>Uitlaatgassen zware bedrijfsvoertuigen excl. autobussen, buitenweg:diesel</t>
  </si>
  <si>
    <t>Uitlaatgassen personenauto's, autosnelweg:lpg</t>
  </si>
  <si>
    <t>Uitlaatgassen brommobielen, buitenweg:verkeersprestatie</t>
  </si>
  <si>
    <t>Uitlaatgassen bromfietsen, bebouwde kom:verkeersprestatie</t>
  </si>
  <si>
    <t>Uitlaatgassen autobussen touringcars, buitenweg:diesel</t>
  </si>
  <si>
    <t>Uitlaatgassen personenauto's, bebouwde kom:lpg</t>
  </si>
  <si>
    <t>Uitlaatgassen motorfietsen, buitenweg:verkeersprestatie</t>
  </si>
  <si>
    <t>Uitlaatgassen autobussen touringcars, autosnelweg:Ureum</t>
  </si>
  <si>
    <t>Uitlaatgassen zware bedrijfsvoertuigen excl. autobussen, bebouwde kom:diesel</t>
  </si>
  <si>
    <t>Uitlaatgassen autobussen ov, autosnelweg:lpg</t>
  </si>
  <si>
    <t>Uitlaatgassen autobussen ov, buitenweg:Ureum</t>
  </si>
  <si>
    <t>Uitlaatgassen personenauto's, buitenweg:lpg</t>
  </si>
  <si>
    <t>Uitlaatgassen personenauto's, bebouwde kom:diesel</t>
  </si>
  <si>
    <t>Uitlaatgassen autobussen touringcars, buitenweg:Ureum</t>
  </si>
  <si>
    <t>check SUM</t>
  </si>
  <si>
    <t>emissieregistratie</t>
  </si>
  <si>
    <t xml:space="preserve">ratio </t>
  </si>
  <si>
    <t>Full dataset from emissieregistratie.nl is not available anymore. Emissieregistratie has been contacted and full dataset has been provided over email (Claudia). Units have not been provided, but seems like 'kg'.</t>
  </si>
  <si>
    <t>Uitlaatgassen autobussen touringcars</t>
  </si>
  <si>
    <t xml:space="preserve"> bebouwde kom</t>
  </si>
  <si>
    <t>Uitlaatgassen zware bedrijfsvoertuigen excl. autobussen</t>
  </si>
  <si>
    <t xml:space="preserve"> buitenweg</t>
  </si>
  <si>
    <t>Uitlaatgassen lichte bedrijfsvoertuigen</t>
  </si>
  <si>
    <t xml:space="preserve"> autosnelweg</t>
  </si>
  <si>
    <t>Uitlaatgassen autobussen ov</t>
  </si>
  <si>
    <t>Uitlaatgassen motorfietsen</t>
  </si>
  <si>
    <t>Koelaggregaten zware bedrijfsvoertuigen excl. autobussen</t>
  </si>
  <si>
    <t>Uitlaatgassen brommobielen</t>
  </si>
  <si>
    <t>Uitlaatgassen personenauto's</t>
  </si>
  <si>
    <t>Uitlaatgassen bromfietsen</t>
  </si>
  <si>
    <t>LOCATIE</t>
  </si>
  <si>
    <t>variable for calculation</t>
  </si>
  <si>
    <t>Road type combined CO2 emissions (2023)</t>
  </si>
  <si>
    <t>tp_truck_gasoline_co2</t>
  </si>
  <si>
    <t>tp_truck_lpg_co2</t>
  </si>
  <si>
    <t>tp_bus_tc_gasoline_co2</t>
  </si>
  <si>
    <t>tp_bus_tc_lpg_co2</t>
  </si>
  <si>
    <t>tp_bus_ov_gasoline_co2</t>
  </si>
  <si>
    <t>tp_bus_ov_lpg_co2</t>
  </si>
  <si>
    <t>Cars</t>
  </si>
  <si>
    <t>Trucks</t>
  </si>
  <si>
    <t>Moped</t>
  </si>
  <si>
    <t>Quadricycle</t>
  </si>
  <si>
    <t>Bus touring car</t>
  </si>
  <si>
    <t>Bus OV</t>
  </si>
  <si>
    <t>Value (kg)</t>
  </si>
  <si>
    <t>tp_truck_gasoline_co2_motorway</t>
  </si>
  <si>
    <t>tp_truck_gasoline_co2_road</t>
  </si>
  <si>
    <t>tp_truck_diesel_co2_motorway</t>
  </si>
  <si>
    <t>tp_truck_lpg_co2_motorway</t>
  </si>
  <si>
    <t>tp_truck_lpg_co2_built_env</t>
  </si>
  <si>
    <t>tp_truck_gasoline_co2_built_env</t>
  </si>
  <si>
    <t>tp_truck_diesel_co2_built_env</t>
  </si>
  <si>
    <t>tp_truck_lpg_co2_road</t>
  </si>
  <si>
    <t>tp_truck_diesel_co2_road</t>
  </si>
  <si>
    <t>tp_bus_tc_gasoline_co2_road</t>
  </si>
  <si>
    <t>tp_bus_tc_lpg_co2_road</t>
  </si>
  <si>
    <t>tp_bus_tc_gasoline_co2_motorway</t>
  </si>
  <si>
    <t>tp_bus_tc_lpg_co2_motorway</t>
  </si>
  <si>
    <t>tp_bus_tc_lpg_co2_built_env</t>
  </si>
  <si>
    <t>tp_bus_tc_gasoline_co2_built_env</t>
  </si>
  <si>
    <t>tp_bus_ov_lpg_co2_built_env</t>
  </si>
  <si>
    <t>tp_bus_ov_lpg_co2_road</t>
  </si>
  <si>
    <t>tp_bus_ov_lpg_co2_motorway</t>
  </si>
  <si>
    <t>tp_bus_ov_gasoline_co2_road</t>
  </si>
  <si>
    <t>tp_bus_ov_gasoline_co2_motorway</t>
  </si>
  <si>
    <t>tp_bus_ov_gasoline_co2_built_env</t>
  </si>
  <si>
    <t>Comment</t>
  </si>
  <si>
    <t>Old value (2019)</t>
  </si>
  <si>
    <t>Value (tonne)</t>
  </si>
  <si>
    <t>tp_bus_lpg_co2</t>
  </si>
  <si>
    <t>Combination of touring cars and public transport buses</t>
  </si>
  <si>
    <t>Mobile machine sectors</t>
  </si>
  <si>
    <t>(1)</t>
  </si>
  <si>
    <t>(2)</t>
  </si>
  <si>
    <t>Value (%)</t>
  </si>
  <si>
    <t xml:space="preserve"> </t>
  </si>
  <si>
    <t>Share of application per fuel type</t>
  </si>
  <si>
    <t>Share LNG and CNG</t>
  </si>
  <si>
    <t>lpg_mix_share_cars</t>
  </si>
  <si>
    <t>lpg_mix_share_trucks</t>
  </si>
  <si>
    <t>lpg_mix_share_buses</t>
  </si>
  <si>
    <t>lpg_mix_share_vans</t>
  </si>
  <si>
    <t>No values in new dataset</t>
  </si>
  <si>
    <t>tp_mm_diesel used to take part in here - but there is no value in this dataset.</t>
  </si>
  <si>
    <t>Percentage of gasoline mix delivered to buses</t>
  </si>
  <si>
    <t>Percentage of diesel mix delivered to buses</t>
  </si>
  <si>
    <t>Share (%)</t>
  </si>
  <si>
    <t>Percentage of LPG delivered to trucks</t>
  </si>
  <si>
    <t>Percentage of LPG delivered to buses</t>
  </si>
  <si>
    <t>Data extracted on 03/06/2025 09:58:14 from [ESTAT]</t>
  </si>
  <si>
    <t xml:space="preserve">Dataset: </t>
  </si>
  <si>
    <t>Disaggregated final energy consumption in transport by mode of transport - quantities [nrg_d_traq__custom_16868870]</t>
  </si>
  <si>
    <t xml:space="preserve">Last updated: </t>
  </si>
  <si>
    <t>25/09/2024 23:00</t>
  </si>
  <si>
    <t>Time frequency</t>
  </si>
  <si>
    <t>Annual</t>
  </si>
  <si>
    <t>Unit of measure</t>
  </si>
  <si>
    <t>Terajoule</t>
  </si>
  <si>
    <t>Geopolitical entity (reporting)</t>
  </si>
  <si>
    <t>Netherlands</t>
  </si>
  <si>
    <t>Time</t>
  </si>
  <si>
    <t>2022</t>
  </si>
  <si>
    <t>SIEC (Labels)</t>
  </si>
  <si>
    <t>Solid fossil fuels</t>
  </si>
  <si>
    <t>Natural gas</t>
  </si>
  <si>
    <t>Oil and petroleum products (excluding biofuel portion)</t>
  </si>
  <si>
    <t>Liquefied petroleum gases</t>
  </si>
  <si>
    <t>Aviation gasoline</t>
  </si>
  <si>
    <t>Motor gasoline (excluding biofuel portion)</t>
  </si>
  <si>
    <t>Kerosene-type jet fuel (excluding biofuel portion)</t>
  </si>
  <si>
    <t>Gas oil and diesel oil (excluding biofuel portion)</t>
  </si>
  <si>
    <t>Fuel oil</t>
  </si>
  <si>
    <t>Renewables and biofuels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</si>
  <si>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</si>
  <si>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</si>
  <si>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</si>
  <si>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</si>
  <si>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</si>
  <si>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</si>
  <si>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Biogases</t>
  </si>
  <si>
    <t>TRA_MODE (Labels)</t>
  </si>
  <si>
    <t>NRG_BAL (Labels)</t>
  </si>
  <si>
    <t>Total</t>
  </si>
  <si>
    <t>Final consumption - transport sector - rail - energy use</t>
  </si>
  <si>
    <t>p</t>
  </si>
  <si>
    <t>Final consumption - transport sector - rail - high speed - energy use</t>
  </si>
  <si>
    <t>Final consumption - transport sector - rail - conventional - energy use</t>
  </si>
  <si>
    <t>Final consumption - transport sector - rail - metro and tram - energy use</t>
  </si>
  <si>
    <t>Final consumption - transport sector - road - fuel used</t>
  </si>
  <si>
    <t>Final consumption - transport sector - road - heavy-duty vehicles - fuel used</t>
  </si>
  <si>
    <t>Final consumption - transport sector - road - public - fuel used</t>
  </si>
  <si>
    <t>Final consumption - transport sector - road - cars and vans - fuel used</t>
  </si>
  <si>
    <t>Final consumption - transport sector - road - other - fuel used</t>
  </si>
  <si>
    <t>Final consumption - transport sector - road - other - 2-wheeled vehicles - fuel used</t>
  </si>
  <si>
    <t>Final consumption - transport sector - road - energy use</t>
  </si>
  <si>
    <t>electricity</t>
  </si>
  <si>
    <t>gasoline</t>
  </si>
  <si>
    <t>natural gas</t>
  </si>
  <si>
    <t>compressed network gas</t>
  </si>
  <si>
    <t>Final consumption - transport sector - road - heavy-duty vehicles - energy use</t>
  </si>
  <si>
    <t>trucks</t>
  </si>
  <si>
    <t>Final consumption - transport sector - road - public - energy use</t>
  </si>
  <si>
    <t>busses</t>
  </si>
  <si>
    <t>Final consumption - transport sector - road - cars and vans - energy use</t>
  </si>
  <si>
    <t>cars and vans</t>
  </si>
  <si>
    <t>Final consumption - transport sector - road - other - energy use</t>
  </si>
  <si>
    <t>motorcycles and bicycles</t>
  </si>
  <si>
    <t>Final consumption - transport sector - road - other - 2-wheeled vehicles - energy use</t>
  </si>
  <si>
    <t>Final consumption - transport sector - aviation - energy use</t>
  </si>
  <si>
    <t>cars</t>
  </si>
  <si>
    <t>Final consumption - transport sector - domestic aviation - energy use</t>
  </si>
  <si>
    <t>vans</t>
  </si>
  <si>
    <t>Final consumption - transport sector - international aviation - energy use</t>
  </si>
  <si>
    <t>Final consumption - transport sector - domestic navigation - energy use</t>
  </si>
  <si>
    <t>Final consumption - transport sector - domestic navigation - maritime - energy use</t>
  </si>
  <si>
    <t>rail passengers</t>
  </si>
  <si>
    <t>Final consumption - transport sector - domestic navigation - inland waterways - energy use</t>
  </si>
  <si>
    <t>rail freight</t>
  </si>
  <si>
    <t>emissieregistratie (Kyra)</t>
  </si>
  <si>
    <t>Passenger</t>
  </si>
  <si>
    <t>:</t>
  </si>
  <si>
    <t>metro tram</t>
  </si>
  <si>
    <t xml:space="preserve">cars </t>
  </si>
  <si>
    <t>fietskilometers in mln</t>
  </si>
  <si>
    <t>Freight</t>
  </si>
  <si>
    <t>file:///Users/maxkerpel/Downloads/KiM+brochure_Fietsfeiten_2023_digiT_def.pdf</t>
  </si>
  <si>
    <t>https://www.google.com/url?sa=t&amp;source=web&amp;rct=j&amp;opi=89978449&amp;url=https://www.kimnet.nl/binaries/kimnet/documenten/publicaties/2023/11/28/fietsfeiten-2023/KiM%2Bbrochure_Fietsfeiten_2023_digiT_def.pdf&amp;ved=2ahUKEwjA-eqd-9SNAxWLgv0HHb80OJIQFnoECAwQAQ&amp;usg=AOvVaw1wxXHvP1OmYRG1r76FDlWN</t>
  </si>
  <si>
    <t>Elektrische autos</t>
  </si>
  <si>
    <t xml:space="preserve">Elektrische busjes </t>
  </si>
  <si>
    <t>Special value</t>
  </si>
  <si>
    <t>not available</t>
  </si>
  <si>
    <t>Observation flags:</t>
  </si>
  <si>
    <t>provisional</t>
  </si>
  <si>
    <t>https://opendata.cbs.nl/statline/#/CBS/nl/dataset/84687NED/table?dl=5526A</t>
  </si>
  <si>
    <t>Road Transport</t>
  </si>
  <si>
    <t>Percentage of electricity delivered to cars</t>
  </si>
  <si>
    <t>Percentage of electricity delivered to trucks</t>
  </si>
  <si>
    <t>Percentage of electricity delivered to vans</t>
  </si>
  <si>
    <t>Percentage of electricity delivered to busses</t>
  </si>
  <si>
    <t>Percentage of electricity delivered to motorcycles</t>
  </si>
  <si>
    <t>Percentage of electricity delivered to bicycles</t>
  </si>
  <si>
    <t>Percentage of lpg delivered to cars</t>
  </si>
  <si>
    <t>Percentage of lpg delivered to vans</t>
  </si>
  <si>
    <t>Biogases in road transport</t>
  </si>
  <si>
    <t>TJ</t>
  </si>
  <si>
    <t xml:space="preserve">Percentage of bio lng </t>
  </si>
  <si>
    <t>Percentage of bio cng</t>
  </si>
  <si>
    <t>Passenger kilometers bicycles</t>
  </si>
  <si>
    <t>million pkm</t>
  </si>
  <si>
    <t>Domestic navigation transport</t>
  </si>
  <si>
    <t>LNG shipping</t>
  </si>
  <si>
    <t>Percentage of lng for shipping to (pure) lng ship</t>
  </si>
  <si>
    <t>Percentage of lng for shipping to hybrid diesel ship</t>
  </si>
  <si>
    <t>Bio LNG shipping</t>
  </si>
  <si>
    <t>Percentage of bio lng for shipping to (pure) lng ship</t>
  </si>
  <si>
    <t>Percentage of bio lng for shipping to hybrid diesel ship</t>
  </si>
  <si>
    <t>Rail transport</t>
  </si>
  <si>
    <t>Electricity rail</t>
  </si>
  <si>
    <t>Diesel rail</t>
  </si>
  <si>
    <t>motorcycles</t>
  </si>
  <si>
    <t>bicycles</t>
  </si>
  <si>
    <t>elektrische autos per 31 december 2023</t>
  </si>
  <si>
    <t>elektrische busjes per 31 december 2023</t>
  </si>
  <si>
    <t>PHEV</t>
  </si>
  <si>
    <t>BEV</t>
  </si>
  <si>
    <t>totaal</t>
  </si>
  <si>
    <t>bron: https://duurzamemobiliteit.databank.nl/mosaic/nl-nl/elektrisch-vervoer/personenauto-s</t>
  </si>
  <si>
    <t>bron: https://duurzamemobiliteit.databank.nl/mosaic/nl-nl/elektrisch-vervoer/lichte-bedrijfsvoertuigen</t>
  </si>
  <si>
    <t>2023 data not available, 2019 data assumed due to significant lower 2020 value http://statline.cbs.nl/Statweb/publication/?DM=SLNL&amp;PA=80589NED</t>
  </si>
  <si>
    <t>Bron: Emissie registratie: Datadump - Road fuels</t>
  </si>
  <si>
    <t>emissieregistraties om verhouding auto en busjes te bepalen=</t>
  </si>
  <si>
    <t>aantal e-voertuigen om verhouding auto en busjes te bepalen=</t>
  </si>
  <si>
    <t>Klimaatmonitor data en recente fietsdata om verhouding e-fiets en e-motor te bepalen=</t>
  </si>
  <si>
    <t>Values used in transport analysis=</t>
  </si>
  <si>
    <t>Eurostat data is used to split carriers to rails, motorcycles, trucks, buses, and cars and vans.</t>
  </si>
  <si>
    <t>Emissions per application type from Emissieregistratie are used to calculate split of cars and vans, which is the same category in Eurostat</t>
  </si>
  <si>
    <t>Number of electric vehicles is used to find the split in cars and vans.</t>
  </si>
  <si>
    <t>Max Kerpel</t>
  </si>
  <si>
    <t>Eurostat data voor splits wegtransport per drager=</t>
  </si>
  <si>
    <t>Eurostat data voor splits railtransport per drager=</t>
  </si>
  <si>
    <t>klimaatmonitor data voor split 2 wielers=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</si>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</sst>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_-* #,##0.00_-;\-* #,##0.00_-;_-* &quot;-&quot;??_-;_-@_-"/>
    <numFmt numFmtId="166" formatCode="[$-409]mmmm\ d\,\ yyyy;@"/>
    <numFmt numFmtId="167" formatCode="#,##0.000"/>
    <numFmt numFmtId="168" formatCode="#,##0.##########"/>
    <numFmt numFmtId="169" formatCode="#,##0.0000000000"/>
    <numFmt numFmtId="175" formatCode="0.0000000%"/>
    <numFmt numFmtId="177" formatCode="0.000000000%"/>
    <numFmt numFmtId="187" formatCode="0.000000"/>
    <numFmt numFmtId="190" formatCode="0.000000000"/>
  </numFmts>
  <fonts count="2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Satoshi"/>
      <family val="2"/>
    </font>
    <font>
      <sz val="11"/>
      <color rgb="FF9C5700"/>
      <name val="Satoshi"/>
      <family val="2"/>
    </font>
    <font>
      <b/>
      <sz val="11"/>
      <color rgb="FF3F3F3F"/>
      <name val="Satoshi"/>
      <family val="2"/>
    </font>
    <font>
      <b/>
      <sz val="11"/>
      <color rgb="FFFA7D00"/>
      <name val="Satoshi"/>
      <family val="2"/>
    </font>
    <font>
      <b/>
      <sz val="11"/>
      <color theme="1"/>
      <name val="Satoshi"/>
      <family val="2"/>
    </font>
    <font>
      <sz val="12"/>
      <color theme="9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3499862666707357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CDC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0" fontId="5" fillId="0" borderId="0"/>
    <xf numFmtId="165" fontId="6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16" borderId="0" applyNumberFormat="0" applyBorder="0" applyAlignment="0" applyProtection="0"/>
    <xf numFmtId="0" fontId="15" fillId="17" borderId="19" applyNumberFormat="0" applyAlignment="0" applyProtection="0"/>
    <xf numFmtId="0" fontId="16" fillId="17" borderId="18" applyNumberFormat="0" applyAlignment="0" applyProtection="0"/>
    <xf numFmtId="0" fontId="17" fillId="0" borderId="20" applyNumberFormat="0" applyFill="0" applyAlignment="0" applyProtection="0"/>
  </cellStyleXfs>
  <cellXfs count="147">
    <xf numFmtId="0" fontId="0" fillId="0" borderId="0" xfId="0"/>
    <xf numFmtId="0" fontId="1" fillId="0" borderId="0" xfId="0" applyFont="1"/>
    <xf numFmtId="0" fontId="0" fillId="0" borderId="6" xfId="0" applyBorder="1"/>
    <xf numFmtId="0" fontId="4" fillId="3" borderId="8" xfId="0" applyFont="1" applyFill="1" applyBorder="1"/>
    <xf numFmtId="0" fontId="4" fillId="4" borderId="6" xfId="0" applyFont="1" applyFill="1" applyBorder="1"/>
    <xf numFmtId="0" fontId="0" fillId="2" borderId="6" xfId="0" applyFill="1" applyBorder="1"/>
    <xf numFmtId="0" fontId="2" fillId="2" borderId="6" xfId="0" applyFont="1" applyFill="1" applyBorder="1"/>
    <xf numFmtId="0" fontId="0" fillId="4" borderId="7" xfId="0" applyFill="1" applyBorder="1"/>
    <xf numFmtId="0" fontId="0" fillId="4" borderId="0" xfId="0" applyFill="1"/>
    <xf numFmtId="0" fontId="0" fillId="4" borderId="5" xfId="0" applyFill="1" applyBorder="1"/>
    <xf numFmtId="0" fontId="1" fillId="4" borderId="6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7" fillId="4" borderId="0" xfId="4" applyFont="1" applyFill="1"/>
    <xf numFmtId="0" fontId="3" fillId="4" borderId="0" xfId="4" applyFill="1"/>
    <xf numFmtId="0" fontId="1" fillId="4" borderId="1" xfId="4" applyFont="1" applyFill="1" applyBorder="1"/>
    <xf numFmtId="0" fontId="0" fillId="4" borderId="5" xfId="4" applyFont="1" applyFill="1" applyBorder="1"/>
    <xf numFmtId="0" fontId="3" fillId="4" borderId="9" xfId="4" applyFill="1" applyBorder="1"/>
    <xf numFmtId="0" fontId="1" fillId="4" borderId="0" xfId="4" applyFont="1" applyFill="1"/>
    <xf numFmtId="0" fontId="8" fillId="5" borderId="2" xfId="4" applyFont="1" applyFill="1" applyBorder="1" applyAlignment="1">
      <alignment vertical="center"/>
    </xf>
    <xf numFmtId="164" fontId="3" fillId="4" borderId="0" xfId="4" applyNumberFormat="1" applyFill="1" applyAlignment="1">
      <alignment horizontal="left"/>
    </xf>
    <xf numFmtId="0" fontId="3" fillId="4" borderId="4" xfId="4" applyFill="1" applyBorder="1"/>
    <xf numFmtId="0" fontId="3" fillId="4" borderId="0" xfId="4" applyFill="1" applyAlignment="1">
      <alignment horizontal="left"/>
    </xf>
    <xf numFmtId="166" fontId="0" fillId="4" borderId="0" xfId="4" applyNumberFormat="1" applyFont="1" applyFill="1" applyAlignment="1">
      <alignment horizontal="left"/>
    </xf>
    <xf numFmtId="0" fontId="0" fillId="4" borderId="0" xfId="4" applyFont="1" applyFill="1"/>
    <xf numFmtId="0" fontId="8" fillId="5" borderId="3" xfId="4" applyFont="1" applyFill="1" applyBorder="1" applyAlignment="1">
      <alignment vertical="center"/>
    </xf>
    <xf numFmtId="0" fontId="3" fillId="4" borderId="7" xfId="4" applyFill="1" applyBorder="1"/>
    <xf numFmtId="0" fontId="3" fillId="4" borderId="14" xfId="4" applyFill="1" applyBorder="1"/>
    <xf numFmtId="0" fontId="3" fillId="4" borderId="5" xfId="4" applyFill="1" applyBorder="1"/>
    <xf numFmtId="0" fontId="1" fillId="4" borderId="2" xfId="4" applyFont="1" applyFill="1" applyBorder="1"/>
    <xf numFmtId="0" fontId="9" fillId="4" borderId="0" xfId="4" applyFont="1" applyFill="1"/>
    <xf numFmtId="0" fontId="3" fillId="4" borderId="10" xfId="4" applyFill="1" applyBorder="1"/>
    <xf numFmtId="0" fontId="3" fillId="4" borderId="2" xfId="4" applyFill="1" applyBorder="1"/>
    <xf numFmtId="0" fontId="3" fillId="4" borderId="3" xfId="4" applyFill="1" applyBorder="1"/>
    <xf numFmtId="0" fontId="10" fillId="6" borderId="0" xfId="4" applyFont="1" applyFill="1"/>
    <xf numFmtId="0" fontId="10" fillId="7" borderId="0" xfId="4" applyFont="1" applyFill="1"/>
    <xf numFmtId="0" fontId="10" fillId="8" borderId="0" xfId="4" applyFont="1" applyFill="1"/>
    <xf numFmtId="0" fontId="10" fillId="9" borderId="0" xfId="4" applyFont="1" applyFill="1"/>
    <xf numFmtId="0" fontId="10" fillId="10" borderId="0" xfId="4" applyFont="1" applyFill="1"/>
    <xf numFmtId="0" fontId="10" fillId="11" borderId="0" xfId="4" applyFont="1" applyFill="1"/>
    <xf numFmtId="0" fontId="10" fillId="12" borderId="0" xfId="4" applyFont="1" applyFill="1"/>
    <xf numFmtId="0" fontId="10" fillId="13" borderId="0" xfId="4" applyFont="1" applyFill="1"/>
    <xf numFmtId="0" fontId="0" fillId="4" borderId="16" xfId="0" applyFill="1" applyBorder="1"/>
    <xf numFmtId="0" fontId="0" fillId="4" borderId="17" xfId="0" applyFill="1" applyBorder="1"/>
    <xf numFmtId="10" fontId="0" fillId="0" borderId="0" xfId="0" applyNumberFormat="1"/>
    <xf numFmtId="0" fontId="12" fillId="0" borderId="0" xfId="0" applyFont="1"/>
    <xf numFmtId="0" fontId="9" fillId="0" borderId="0" xfId="0" applyFont="1"/>
    <xf numFmtId="0" fontId="2" fillId="14" borderId="6" xfId="0" applyFont="1" applyFill="1" applyBorder="1"/>
    <xf numFmtId="0" fontId="0" fillId="15" borderId="0" xfId="0" applyFill="1"/>
    <xf numFmtId="0" fontId="18" fillId="0" borderId="0" xfId="0" applyFont="1"/>
    <xf numFmtId="11" fontId="0" fillId="0" borderId="0" xfId="0" applyNumberFormat="1"/>
    <xf numFmtId="0" fontId="2" fillId="2" borderId="21" xfId="0" applyFont="1" applyFill="1" applyBorder="1"/>
    <xf numFmtId="0" fontId="0" fillId="2" borderId="21" xfId="0" applyFill="1" applyBorder="1"/>
    <xf numFmtId="0" fontId="0" fillId="2" borderId="17" xfId="0" applyFill="1" applyBorder="1"/>
    <xf numFmtId="0" fontId="0" fillId="18" borderId="6" xfId="0" applyFill="1" applyBorder="1"/>
    <xf numFmtId="0" fontId="0" fillId="18" borderId="21" xfId="0" applyFill="1" applyBorder="1"/>
    <xf numFmtId="0" fontId="0" fillId="2" borderId="16" xfId="0" applyFill="1" applyBorder="1"/>
    <xf numFmtId="0" fontId="0" fillId="18" borderId="17" xfId="0" applyFill="1" applyBorder="1"/>
    <xf numFmtId="0" fontId="2" fillId="2" borderId="16" xfId="0" applyFont="1" applyFill="1" applyBorder="1"/>
    <xf numFmtId="0" fontId="0" fillId="18" borderId="16" xfId="0" applyFill="1" applyBorder="1"/>
    <xf numFmtId="0" fontId="2" fillId="18" borderId="6" xfId="0" applyFont="1" applyFill="1" applyBorder="1"/>
    <xf numFmtId="11" fontId="0" fillId="0" borderId="0" xfId="0" applyNumberFormat="1" applyAlignment="1">
      <alignment horizontal="right" vertical="center"/>
    </xf>
    <xf numFmtId="0" fontId="19" fillId="0" borderId="0" xfId="0" applyFont="1"/>
    <xf numFmtId="0" fontId="14" fillId="16" borderId="0" xfId="7" applyAlignment="1">
      <alignment horizontal="center"/>
    </xf>
    <xf numFmtId="49" fontId="0" fillId="0" borderId="0" xfId="3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19" fillId="0" borderId="0" xfId="0" applyFont="1" applyAlignment="1">
      <alignment horizontal="right"/>
    </xf>
    <xf numFmtId="0" fontId="17" fillId="0" borderId="20" xfId="10"/>
    <xf numFmtId="0" fontId="13" fillId="0" borderId="0" xfId="6"/>
    <xf numFmtId="0" fontId="1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20" borderId="23" xfId="0" applyFont="1" applyFill="1" applyBorder="1" applyAlignment="1">
      <alignment horizontal="left" vertical="center"/>
    </xf>
    <xf numFmtId="0" fontId="0" fillId="21" borderId="0" xfId="0" applyFill="1"/>
    <xf numFmtId="0" fontId="21" fillId="22" borderId="23" xfId="0" applyFont="1" applyFill="1" applyBorder="1" applyAlignment="1">
      <alignment horizontal="left" vertical="center"/>
    </xf>
    <xf numFmtId="167" fontId="20" fillId="23" borderId="0" xfId="0" applyNumberFormat="1" applyFont="1" applyFill="1" applyAlignment="1">
      <alignment horizontal="right" vertical="center" shrinkToFit="1"/>
    </xf>
    <xf numFmtId="3" fontId="20" fillId="23" borderId="0" xfId="0" applyNumberFormat="1" applyFont="1" applyFill="1" applyAlignment="1">
      <alignment horizontal="right" vertical="center" shrinkToFit="1"/>
    </xf>
    <xf numFmtId="168" fontId="20" fillId="23" borderId="0" xfId="0" applyNumberFormat="1" applyFont="1" applyFill="1" applyAlignment="1">
      <alignment horizontal="right" vertical="center" shrinkToFit="1"/>
    </xf>
    <xf numFmtId="167" fontId="20" fillId="0" borderId="0" xfId="0" applyNumberFormat="1" applyFont="1" applyAlignment="1">
      <alignment horizontal="right" vertical="center" shrinkToFit="1"/>
    </xf>
    <xf numFmtId="3" fontId="20" fillId="0" borderId="0" xfId="0" applyNumberFormat="1" applyFont="1" applyAlignment="1">
      <alignment horizontal="right" vertical="center" shrinkToFit="1"/>
    </xf>
    <xf numFmtId="168" fontId="20" fillId="0" borderId="0" xfId="0" applyNumberFormat="1" applyFont="1" applyAlignment="1">
      <alignment horizontal="right" vertical="center" shrinkToFit="1"/>
    </xf>
    <xf numFmtId="169" fontId="0" fillId="0" borderId="0" xfId="0" applyNumberFormat="1"/>
    <xf numFmtId="0" fontId="11" fillId="0" borderId="0" xfId="5"/>
    <xf numFmtId="0" fontId="23" fillId="4" borderId="24" xfId="0" applyFont="1" applyFill="1" applyBorder="1"/>
    <xf numFmtId="9" fontId="0" fillId="4" borderId="0" xfId="1" applyFont="1" applyFill="1" applyBorder="1"/>
    <xf numFmtId="0" fontId="0" fillId="4" borderId="24" xfId="0" applyFill="1" applyBorder="1"/>
    <xf numFmtId="9" fontId="0" fillId="0" borderId="10" xfId="1" applyFont="1" applyBorder="1"/>
    <xf numFmtId="9" fontId="0" fillId="0" borderId="0" xfId="1" applyFont="1" applyBorder="1"/>
    <xf numFmtId="0" fontId="0" fillId="4" borderId="10" xfId="0" applyFill="1" applyBorder="1"/>
    <xf numFmtId="9" fontId="24" fillId="4" borderId="10" xfId="8" applyNumberFormat="1" applyFont="1" applyFill="1" applyBorder="1"/>
    <xf numFmtId="9" fontId="24" fillId="4" borderId="0" xfId="8" applyNumberFormat="1" applyFont="1" applyFill="1" applyBorder="1"/>
    <xf numFmtId="2" fontId="0" fillId="0" borderId="0" xfId="1" applyNumberFormat="1" applyFont="1" applyBorder="1"/>
    <xf numFmtId="0" fontId="0" fillId="4" borderId="25" xfId="0" applyFill="1" applyBorder="1"/>
    <xf numFmtId="0" fontId="0" fillId="0" borderId="10" xfId="1" applyNumberFormat="1" applyFont="1" applyBorder="1"/>
    <xf numFmtId="0" fontId="23" fillId="4" borderId="26" xfId="0" applyFont="1" applyFill="1" applyBorder="1"/>
    <xf numFmtId="9" fontId="0" fillId="4" borderId="10" xfId="0" applyNumberFormat="1" applyFill="1" applyBorder="1"/>
    <xf numFmtId="0" fontId="0" fillId="0" borderId="27" xfId="0" applyBorder="1"/>
    <xf numFmtId="9" fontId="0" fillId="0" borderId="15" xfId="1" applyFont="1" applyBorder="1"/>
    <xf numFmtId="9" fontId="0" fillId="0" borderId="28" xfId="1" applyFont="1" applyBorder="1"/>
    <xf numFmtId="0" fontId="0" fillId="0" borderId="24" xfId="0" applyBorder="1"/>
    <xf numFmtId="9" fontId="0" fillId="0" borderId="12" xfId="1" applyFont="1" applyBorder="1"/>
    <xf numFmtId="0" fontId="0" fillId="0" borderId="29" xfId="0" applyBorder="1"/>
    <xf numFmtId="9" fontId="0" fillId="0" borderId="30" xfId="1" applyFont="1" applyBorder="1"/>
    <xf numFmtId="9" fontId="0" fillId="0" borderId="31" xfId="1" applyFont="1" applyBorder="1"/>
    <xf numFmtId="0" fontId="0" fillId="0" borderId="15" xfId="0" applyBorder="1"/>
    <xf numFmtId="0" fontId="0" fillId="0" borderId="28" xfId="0" applyBorder="1"/>
    <xf numFmtId="0" fontId="0" fillId="0" borderId="12" xfId="0" applyBorder="1"/>
    <xf numFmtId="9" fontId="25" fillId="0" borderId="0" xfId="1" applyFont="1" applyBorder="1"/>
    <xf numFmtId="9" fontId="25" fillId="0" borderId="12" xfId="1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23" fillId="4" borderId="27" xfId="0" applyFont="1" applyFill="1" applyBorder="1"/>
    <xf numFmtId="0" fontId="0" fillId="4" borderId="15" xfId="0" applyFill="1" applyBorder="1"/>
    <xf numFmtId="9" fontId="0" fillId="4" borderId="15" xfId="1" applyFont="1" applyFill="1" applyBorder="1"/>
    <xf numFmtId="0" fontId="0" fillId="4" borderId="28" xfId="0" applyFill="1" applyBorder="1"/>
    <xf numFmtId="9" fontId="24" fillId="4" borderId="12" xfId="8" applyNumberFormat="1" applyFont="1" applyFill="1" applyBorder="1"/>
    <xf numFmtId="9" fontId="0" fillId="4" borderId="12" xfId="1" applyFont="1" applyFill="1" applyBorder="1"/>
    <xf numFmtId="3" fontId="0" fillId="4" borderId="0" xfId="0" applyNumberFormat="1" applyFill="1"/>
    <xf numFmtId="0" fontId="0" fillId="4" borderId="2" xfId="4" applyFont="1" applyFill="1" applyBorder="1" applyAlignment="1">
      <alignment horizontal="left" vertical="top" wrapText="1"/>
    </xf>
    <xf numFmtId="0" fontId="0" fillId="4" borderId="0" xfId="4" applyFont="1" applyFill="1" applyAlignment="1">
      <alignment horizontal="left" vertical="top" wrapText="1"/>
    </xf>
    <xf numFmtId="0" fontId="0" fillId="4" borderId="4" xfId="4" applyFont="1" applyFill="1" applyBorder="1" applyAlignment="1">
      <alignment horizontal="left" vertical="top" wrapText="1"/>
    </xf>
    <xf numFmtId="0" fontId="0" fillId="4" borderId="3" xfId="4" applyFont="1" applyFill="1" applyBorder="1" applyAlignment="1">
      <alignment horizontal="left" vertical="top" wrapText="1"/>
    </xf>
    <xf numFmtId="0" fontId="0" fillId="4" borderId="7" xfId="4" applyFont="1" applyFill="1" applyBorder="1" applyAlignment="1">
      <alignment horizontal="left" vertical="top" wrapText="1"/>
    </xf>
    <xf numFmtId="0" fontId="0" fillId="4" borderId="14" xfId="4" applyFont="1" applyFill="1" applyBorder="1" applyAlignment="1">
      <alignment horizontal="left" vertical="top" wrapText="1"/>
    </xf>
    <xf numFmtId="0" fontId="22" fillId="19" borderId="23" xfId="0" applyFont="1" applyFill="1" applyBorder="1" applyAlignment="1">
      <alignment horizontal="left" vertical="center"/>
    </xf>
    <xf numFmtId="0" fontId="22" fillId="19" borderId="23" xfId="0" applyFont="1" applyFill="1" applyBorder="1" applyAlignment="1">
      <alignment horizontal="right" vertical="center"/>
    </xf>
    <xf numFmtId="0" fontId="14" fillId="16" borderId="0" xfId="7" applyAlignment="1">
      <alignment horizontal="center"/>
    </xf>
    <xf numFmtId="0" fontId="16" fillId="17" borderId="0" xfId="9" applyBorder="1" applyAlignment="1">
      <alignment horizontal="center"/>
    </xf>
    <xf numFmtId="0" fontId="15" fillId="17" borderId="22" xfId="8" applyBorder="1" applyAlignment="1">
      <alignment horizontal="center"/>
    </xf>
    <xf numFmtId="0" fontId="15" fillId="17" borderId="0" xfId="8" applyBorder="1" applyAlignment="1">
      <alignment horizontal="center"/>
    </xf>
    <xf numFmtId="11" fontId="0" fillId="0" borderId="0" xfId="0" applyNumberFormat="1" applyAlignment="1">
      <alignment horizontal="right" vertical="center"/>
    </xf>
    <xf numFmtId="177" fontId="0" fillId="0" borderId="0" xfId="1" applyNumberFormat="1" applyFont="1" applyBorder="1"/>
    <xf numFmtId="177" fontId="0" fillId="0" borderId="30" xfId="1" applyNumberFormat="1" applyFont="1" applyBorder="1"/>
    <xf numFmtId="9" fontId="0" fillId="0" borderId="0" xfId="1" applyNumberFormat="1" applyFont="1" applyBorder="1"/>
    <xf numFmtId="9" fontId="25" fillId="0" borderId="0" xfId="1" applyNumberFormat="1" applyFont="1" applyBorder="1"/>
    <xf numFmtId="9" fontId="0" fillId="0" borderId="0" xfId="1" quotePrefix="1" applyNumberFormat="1" applyFont="1" applyBorder="1"/>
    <xf numFmtId="9" fontId="0" fillId="0" borderId="10" xfId="1" applyNumberFormat="1" applyFont="1" applyBorder="1"/>
    <xf numFmtId="175" fontId="0" fillId="0" borderId="12" xfId="1" applyNumberFormat="1" applyFont="1" applyBorder="1"/>
    <xf numFmtId="175" fontId="0" fillId="0" borderId="31" xfId="1" applyNumberFormat="1" applyFont="1" applyBorder="1"/>
    <xf numFmtId="187" fontId="0" fillId="0" borderId="0" xfId="1" applyNumberFormat="1" applyFont="1"/>
    <xf numFmtId="190" fontId="0" fillId="0" borderId="0" xfId="1" applyNumberFormat="1" applyFont="1"/>
  </cellXfs>
  <cellStyles count="11">
    <cellStyle name="Calculation" xfId="9" builtinId="22"/>
    <cellStyle name="Comma 2" xfId="3" xr:uid="{E761668B-E0A5-E94B-BD62-2B906759AB9E}"/>
    <cellStyle name="Heading 4" xfId="6" builtinId="19"/>
    <cellStyle name="Hyperlink" xfId="5" builtinId="8"/>
    <cellStyle name="Neutral" xfId="7" builtinId="28"/>
    <cellStyle name="Normal" xfId="0" builtinId="0"/>
    <cellStyle name="Normal 2" xfId="2" xr:uid="{AF4BBB2C-B589-1D43-A9AE-C18CB725AA3A}"/>
    <cellStyle name="Normal 2 2" xfId="4" xr:uid="{1C55907E-CD0B-B44B-8085-29E37D625DE1}"/>
    <cellStyle name="Output" xfId="8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EBF1DE"/>
      <color rgb="FFDAEEF3"/>
      <color rgb="FFEEECE1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190500</xdr:colOff>
      <xdr:row>41</xdr:row>
      <xdr:rowOff>0</xdr:rowOff>
    </xdr:from>
    <xdr:to>
      <xdr:col>46</xdr:col>
      <xdr:colOff>304800</xdr:colOff>
      <xdr:row>52</xdr:row>
      <xdr:rowOff>137195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0DC1B5-8A35-F74C-9120-2E669F25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11300" y="8331200"/>
          <a:ext cx="6400800" cy="2372395"/>
        </a:xfrm>
        <a:prstGeom prst="rect">
          <a:avLst/>
        </a:prstGeom>
      </xdr:spPr>
    </xdr:pic>
    <xdr:clientData/>
  </xdr:twoCellAnchor>
  <xdr:twoCellAnchor editAs="oneCell">
    <xdr:from>
      <xdr:col>45</xdr:col>
      <xdr:colOff>406400</xdr:colOff>
      <xdr:row>62</xdr:row>
      <xdr:rowOff>38100</xdr:rowOff>
    </xdr:from>
    <xdr:to>
      <xdr:col>52</xdr:col>
      <xdr:colOff>304800</xdr:colOff>
      <xdr:row>78</xdr:row>
      <xdr:rowOff>85175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17C187-A3AA-B5C5-82DB-74C0F0677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12687300"/>
          <a:ext cx="4864100" cy="3234775"/>
        </a:xfrm>
        <a:prstGeom prst="rect">
          <a:avLst/>
        </a:prstGeom>
      </xdr:spPr>
    </xdr:pic>
    <xdr:clientData/>
  </xdr:twoCellAnchor>
  <xdr:twoCellAnchor editAs="oneCell">
    <xdr:from>
      <xdr:col>40</xdr:col>
      <xdr:colOff>101600</xdr:colOff>
      <xdr:row>62</xdr:row>
      <xdr:rowOff>50800</xdr:rowOff>
    </xdr:from>
    <xdr:to>
      <xdr:col>43</xdr:col>
      <xdr:colOff>887992</xdr:colOff>
      <xdr:row>78</xdr:row>
      <xdr:rowOff>38084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3AABA3-509D-8D65-E7AF-C456B901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700" y="12700000"/>
          <a:ext cx="4774192" cy="3174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190500</xdr:colOff>
      <xdr:row>41</xdr:row>
      <xdr:rowOff>0</xdr:rowOff>
    </xdr:from>
    <xdr:to>
      <xdr:col>49</xdr:col>
      <xdr:colOff>165100</xdr:colOff>
      <xdr:row>52</xdr:row>
      <xdr:rowOff>137195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B8536-9C71-104C-B69E-2238DE021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11300" y="5727700"/>
          <a:ext cx="7772400" cy="3439195"/>
        </a:xfrm>
        <a:prstGeom prst="rect">
          <a:avLst/>
        </a:prstGeom>
      </xdr:spPr>
    </xdr:pic>
    <xdr:clientData/>
  </xdr:twoCellAnchor>
  <xdr:twoCellAnchor editAs="oneCell">
    <xdr:from>
      <xdr:col>42</xdr:col>
      <xdr:colOff>635000</xdr:colOff>
      <xdr:row>78</xdr:row>
      <xdr:rowOff>50800</xdr:rowOff>
    </xdr:from>
    <xdr:to>
      <xdr:col>50</xdr:col>
      <xdr:colOff>546100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8B886-B453-E343-BBA2-B650D1A4A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70300" y="10947400"/>
          <a:ext cx="6515100" cy="1892300"/>
        </a:xfrm>
        <a:prstGeom prst="rect">
          <a:avLst/>
        </a:prstGeom>
      </xdr:spPr>
    </xdr:pic>
    <xdr:clientData/>
  </xdr:twoCellAnchor>
  <xdr:twoCellAnchor editAs="oneCell">
    <xdr:from>
      <xdr:col>42</xdr:col>
      <xdr:colOff>609600</xdr:colOff>
      <xdr:row>94</xdr:row>
      <xdr:rowOff>38100</xdr:rowOff>
    </xdr:from>
    <xdr:to>
      <xdr:col>50</xdr:col>
      <xdr:colOff>520700</xdr:colOff>
      <xdr:row>105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2C4A9-9DD5-AC40-BC62-4AA35168C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744900" y="13169900"/>
          <a:ext cx="6515100" cy="1892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ander/Dropbox%20(Quintel)/DropDocuments/Energietransitie/Projecten/Git/rdr/analyses/1_chp/20130913_CHP_analysis_v2.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risberkhout/Projects/etdataset/analyses/6_residence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IEA energy balance"/>
      <sheetName val="IEA autoproducer prod."/>
      <sheetName val="technical_specs"/>
      <sheetName val="Results by fuel"/>
      <sheetName val="Results by machine"/>
      <sheetName val="Delta energy balance"/>
      <sheetName val="Corrected energy balance step 1"/>
      <sheetName val="AP net-gross conversion"/>
      <sheetName val="CEB allocation factors"/>
      <sheetName val="Co-fueling shares"/>
      <sheetName val="Fuel allocation"/>
      <sheetName val="Agriculture"/>
      <sheetName val="Households"/>
      <sheetName val="C&amp;P services"/>
      <sheetName val="Energy industry"/>
      <sheetName val="Industry"/>
      <sheetName val="Main activity"/>
      <sheetName val="Waste incineration"/>
      <sheetName val="Fuel mixes"/>
      <sheetName val="Fuel aggregation"/>
      <sheetName val="match carriers IEA to ETM"/>
      <sheetName val="csv_sold_heat_deficit"/>
      <sheetName val="csv_corrected energy balance 1"/>
      <sheetName val="csv_ce_production_table_1"/>
      <sheetName val="csv_energy_mixer_for_gas_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74">
          <cell r="C174">
            <v>3.6</v>
          </cell>
        </row>
      </sheetData>
      <sheetData sheetId="6" refreshError="1">
        <row r="12">
          <cell r="E12" t="str">
            <v>nl</v>
          </cell>
        </row>
        <row r="13">
          <cell r="E13">
            <v>2011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2">
          <cell r="D12">
            <v>1.0440998889049897</v>
          </cell>
        </row>
      </sheetData>
      <sheetData sheetId="15" refreshError="1"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2.7586206896551724E-2</v>
          </cell>
          <cell r="T12">
            <v>0.97241379310344822</v>
          </cell>
          <cell r="U12">
            <v>0</v>
          </cell>
          <cell r="V12">
            <v>0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0.93466299862448421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3.0949105914718018E-2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3.4387895460797797E-2</v>
          </cell>
          <cell r="AU12">
            <v>0</v>
          </cell>
          <cell r="AV12">
            <v>1</v>
          </cell>
          <cell r="AW12">
            <v>0</v>
          </cell>
          <cell r="AX12">
            <v>0</v>
          </cell>
          <cell r="AY12">
            <v>1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</row>
        <row r="17">
          <cell r="D17">
            <v>0</v>
          </cell>
        </row>
        <row r="18">
          <cell r="D18">
            <v>1.7515051997810619E-2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0.98248494800218933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4.1176470588235294E-2</v>
          </cell>
        </row>
        <row r="38">
          <cell r="D38">
            <v>0.37549019607843137</v>
          </cell>
        </row>
        <row r="39">
          <cell r="D39">
            <v>0</v>
          </cell>
        </row>
        <row r="40">
          <cell r="D40">
            <v>6.1274509803921568E-3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2.2058823529411766E-2</v>
          </cell>
        </row>
        <row r="44">
          <cell r="D44">
            <v>0.32965686274509803</v>
          </cell>
        </row>
        <row r="45">
          <cell r="D45">
            <v>0.2196078431372549</v>
          </cell>
        </row>
        <row r="46">
          <cell r="D46">
            <v>7.3529411764705881E-4</v>
          </cell>
        </row>
        <row r="47">
          <cell r="D47">
            <v>0</v>
          </cell>
        </row>
        <row r="48">
          <cell r="D48">
            <v>5.1470588235294117E-3</v>
          </cell>
        </row>
        <row r="49">
          <cell r="D49">
            <v>0</v>
          </cell>
        </row>
      </sheetData>
      <sheetData sheetId="16" refreshError="1"/>
      <sheetData sheetId="17" refreshError="1">
        <row r="48">
          <cell r="C48">
            <v>0</v>
          </cell>
        </row>
        <row r="89">
          <cell r="C89">
            <v>1</v>
          </cell>
        </row>
        <row r="130">
          <cell r="C13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technical_specs"/>
      <sheetName val="Application Shares"/>
      <sheetName val="Technology Shares"/>
      <sheetName val="Houses Shares"/>
      <sheetName val="Final demand per energy carrier"/>
      <sheetName val="Technology split final demand"/>
      <sheetName val="Electricity producer Shares"/>
      <sheetName val="Fuel aggregation"/>
      <sheetName val="Useful-final demand percentage"/>
      <sheetName val="csv_final_demand_coal"/>
      <sheetName val="csv_final_demand_crude_oil"/>
      <sheetName val="csv_final_demand_network_gas"/>
      <sheetName val="csv_final_demand_woodpellets"/>
      <sheetName val="csv_final_demand_electricity"/>
      <sheetName val="csv_final_demand_steam"/>
      <sheetName val="csv_cooling_electricity"/>
      <sheetName val="csv_heating_network_gas"/>
      <sheetName val="csv_heating_electricity"/>
      <sheetName val="csv_water_network_gas"/>
      <sheetName val="csv_water_electricity"/>
      <sheetName val="csv_cooking_electricity"/>
      <sheetName val="csv_lighting_electricity"/>
      <sheetName val="csv_appliances_electricity"/>
      <sheetName val="csv_solar_thermal_heater"/>
      <sheetName val="csv_cooling_old-new"/>
      <sheetName val="csv_heating_old-new"/>
      <sheetName val="csv_cooling_insulation_old"/>
      <sheetName val="csv_cooling_insulation_new"/>
      <sheetName val="csv_heating_insulation_new"/>
      <sheetName val="csv_heating_insulation_old"/>
      <sheetName val="csv_heating_micro_chp_gas"/>
      <sheetName val="csv_water_micro_chp_gas"/>
      <sheetName val="csv_water_fuell_cell_gas"/>
      <sheetName val="csv_solar_space_heating_chld"/>
      <sheetName val="csv_solar_hot_water_chld"/>
      <sheetName val="csv_solar_heater_and_p2h_parent"/>
      <sheetName val="csv_hot_water_p2h_child"/>
      <sheetName val="csv_export_to_area_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M14">
            <v>0</v>
          </cell>
        </row>
        <row r="29">
          <cell r="M29">
            <v>0</v>
          </cell>
        </row>
        <row r="37">
          <cell r="M3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L11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pendata.cbs.nl/statlin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76FA-FACC-C743-94D7-A99CCAFC1089}">
  <sheetPr>
    <tabColor rgb="FFEEECE1"/>
  </sheetPr>
  <dimension ref="B2:H39"/>
  <sheetViews>
    <sheetView workbookViewId="0">
      <selection activeCell="F31" sqref="F31"/>
    </sheetView>
  </sheetViews>
  <sheetFormatPr baseColWidth="10" defaultRowHeight="16" x14ac:dyDescent="0.2"/>
  <cols>
    <col min="1" max="1" width="2.83203125" style="15" customWidth="1"/>
    <col min="2" max="2" width="14" style="15" customWidth="1"/>
    <col min="3" max="3" width="44" style="15" customWidth="1"/>
    <col min="4" max="4" width="9.33203125" style="15" customWidth="1"/>
    <col min="5" max="5" width="10.83203125" style="15"/>
    <col min="6" max="6" width="34.6640625" style="15" customWidth="1"/>
    <col min="7" max="7" width="4.5" style="15" customWidth="1"/>
    <col min="8" max="8" width="20.83203125" style="15" customWidth="1"/>
    <col min="9" max="16384" width="10.83203125" style="15"/>
  </cols>
  <sheetData>
    <row r="2" spans="2:8" ht="21" x14ac:dyDescent="0.25">
      <c r="B2" s="14" t="s">
        <v>178</v>
      </c>
    </row>
    <row r="4" spans="2:8" x14ac:dyDescent="0.2">
      <c r="B4" s="16" t="s">
        <v>179</v>
      </c>
      <c r="C4" s="17" t="s">
        <v>203</v>
      </c>
      <c r="D4" s="18"/>
      <c r="F4" s="19"/>
      <c r="H4" s="19"/>
    </row>
    <row r="5" spans="2:8" x14ac:dyDescent="0.2">
      <c r="B5" s="20" t="s">
        <v>180</v>
      </c>
      <c r="C5" s="21">
        <v>1</v>
      </c>
      <c r="D5" s="22"/>
    </row>
    <row r="6" spans="2:8" x14ac:dyDescent="0.2">
      <c r="B6" s="20" t="s">
        <v>181</v>
      </c>
      <c r="C6" s="23" t="s">
        <v>182</v>
      </c>
      <c r="D6" s="22"/>
    </row>
    <row r="7" spans="2:8" x14ac:dyDescent="0.2">
      <c r="B7" s="20" t="s">
        <v>183</v>
      </c>
      <c r="C7" s="23">
        <v>2023</v>
      </c>
      <c r="D7" s="22"/>
    </row>
    <row r="8" spans="2:8" x14ac:dyDescent="0.2">
      <c r="B8" s="20" t="s">
        <v>184</v>
      </c>
      <c r="C8" s="24">
        <v>45812</v>
      </c>
      <c r="D8" s="22"/>
    </row>
    <row r="9" spans="2:8" x14ac:dyDescent="0.2">
      <c r="B9" s="20" t="s">
        <v>185</v>
      </c>
      <c r="C9" s="25" t="s">
        <v>567</v>
      </c>
      <c r="D9" s="22"/>
    </row>
    <row r="10" spans="2:8" x14ac:dyDescent="0.2">
      <c r="B10" s="26" t="s">
        <v>186</v>
      </c>
      <c r="C10" s="27" t="s">
        <v>187</v>
      </c>
      <c r="D10" s="28"/>
    </row>
    <row r="12" spans="2:8" x14ac:dyDescent="0.2">
      <c r="B12" s="16" t="s">
        <v>188</v>
      </c>
      <c r="C12" s="29"/>
      <c r="D12" s="18"/>
    </row>
    <row r="13" spans="2:8" x14ac:dyDescent="0.2">
      <c r="B13" s="30"/>
      <c r="D13" s="22"/>
    </row>
    <row r="14" spans="2:8" x14ac:dyDescent="0.2">
      <c r="B14" s="30" t="s">
        <v>189</v>
      </c>
      <c r="C14" s="31" t="s">
        <v>190</v>
      </c>
      <c r="D14" s="22"/>
    </row>
    <row r="15" spans="2:8" ht="17" thickBot="1" x14ac:dyDescent="0.25">
      <c r="B15" s="30"/>
      <c r="C15" s="19" t="s">
        <v>191</v>
      </c>
      <c r="D15" s="22"/>
    </row>
    <row r="16" spans="2:8" ht="17" thickBot="1" x14ac:dyDescent="0.25">
      <c r="B16" s="30"/>
      <c r="C16" s="32" t="s">
        <v>192</v>
      </c>
      <c r="D16" s="22"/>
    </row>
    <row r="17" spans="2:4" x14ac:dyDescent="0.2">
      <c r="B17" s="30"/>
      <c r="C17" s="15" t="s">
        <v>193</v>
      </c>
      <c r="D17" s="22"/>
    </row>
    <row r="18" spans="2:4" x14ac:dyDescent="0.2">
      <c r="B18" s="30"/>
      <c r="D18" s="22"/>
    </row>
    <row r="19" spans="2:4" x14ac:dyDescent="0.2">
      <c r="B19" s="30" t="s">
        <v>194</v>
      </c>
      <c r="C19" s="35" t="s">
        <v>195</v>
      </c>
      <c r="D19" s="22"/>
    </row>
    <row r="20" spans="2:4" x14ac:dyDescent="0.2">
      <c r="B20" s="30"/>
      <c r="C20" s="36" t="s">
        <v>196</v>
      </c>
      <c r="D20" s="22"/>
    </row>
    <row r="21" spans="2:4" x14ac:dyDescent="0.2">
      <c r="B21" s="30"/>
      <c r="C21" s="37" t="s">
        <v>197</v>
      </c>
      <c r="D21" s="22"/>
    </row>
    <row r="22" spans="2:4" x14ac:dyDescent="0.2">
      <c r="B22" s="30"/>
      <c r="C22" s="38" t="s">
        <v>198</v>
      </c>
      <c r="D22" s="22"/>
    </row>
    <row r="23" spans="2:4" x14ac:dyDescent="0.2">
      <c r="B23" s="33"/>
      <c r="C23" s="39" t="s">
        <v>113</v>
      </c>
      <c r="D23" s="22"/>
    </row>
    <row r="24" spans="2:4" x14ac:dyDescent="0.2">
      <c r="B24" s="33"/>
      <c r="C24" s="40" t="s">
        <v>199</v>
      </c>
      <c r="D24" s="22"/>
    </row>
    <row r="25" spans="2:4" x14ac:dyDescent="0.2">
      <c r="B25" s="33"/>
      <c r="C25" s="41" t="s">
        <v>200</v>
      </c>
      <c r="D25" s="22"/>
    </row>
    <row r="26" spans="2:4" x14ac:dyDescent="0.2">
      <c r="B26" s="33"/>
      <c r="C26" s="42" t="s">
        <v>201</v>
      </c>
      <c r="D26" s="22"/>
    </row>
    <row r="27" spans="2:4" x14ac:dyDescent="0.2">
      <c r="B27" s="34"/>
      <c r="C27" s="27"/>
      <c r="D27" s="28"/>
    </row>
    <row r="29" spans="2:4" x14ac:dyDescent="0.2">
      <c r="B29" s="16" t="s">
        <v>202</v>
      </c>
      <c r="C29" s="29"/>
      <c r="D29" s="18"/>
    </row>
    <row r="30" spans="2:4" x14ac:dyDescent="0.2">
      <c r="B30" s="124"/>
      <c r="C30" s="125"/>
      <c r="D30" s="126"/>
    </row>
    <row r="31" spans="2:4" x14ac:dyDescent="0.2">
      <c r="B31" s="124"/>
      <c r="C31" s="125"/>
      <c r="D31" s="126"/>
    </row>
    <row r="32" spans="2:4" x14ac:dyDescent="0.2">
      <c r="B32" s="124"/>
      <c r="C32" s="125"/>
      <c r="D32" s="126"/>
    </row>
    <row r="33" spans="2:4" x14ac:dyDescent="0.2">
      <c r="B33" s="124"/>
      <c r="C33" s="125"/>
      <c r="D33" s="126"/>
    </row>
    <row r="34" spans="2:4" x14ac:dyDescent="0.2">
      <c r="B34" s="124"/>
      <c r="C34" s="125"/>
      <c r="D34" s="126"/>
    </row>
    <row r="35" spans="2:4" x14ac:dyDescent="0.2">
      <c r="B35" s="124"/>
      <c r="C35" s="125"/>
      <c r="D35" s="126"/>
    </row>
    <row r="36" spans="2:4" x14ac:dyDescent="0.2">
      <c r="B36" s="124"/>
      <c r="C36" s="125"/>
      <c r="D36" s="126"/>
    </row>
    <row r="37" spans="2:4" x14ac:dyDescent="0.2">
      <c r="B37" s="124"/>
      <c r="C37" s="125"/>
      <c r="D37" s="126"/>
    </row>
    <row r="38" spans="2:4" x14ac:dyDescent="0.2">
      <c r="B38" s="124"/>
      <c r="C38" s="125"/>
      <c r="D38" s="126"/>
    </row>
    <row r="39" spans="2:4" x14ac:dyDescent="0.2">
      <c r="B39" s="127"/>
      <c r="C39" s="128"/>
      <c r="D39" s="129"/>
    </row>
  </sheetData>
  <mergeCells count="1">
    <mergeCell ref="B30:D39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474B-68EA-4348-B84D-CD5F649E5B08}">
  <sheetPr>
    <tabColor rgb="FFEEECE1"/>
  </sheetPr>
  <dimension ref="B6:B19"/>
  <sheetViews>
    <sheetView workbookViewId="0">
      <selection activeCell="B22" sqref="B22"/>
    </sheetView>
  </sheetViews>
  <sheetFormatPr baseColWidth="10" defaultRowHeight="16" x14ac:dyDescent="0.2"/>
  <cols>
    <col min="1" max="1" width="10.83203125" style="8"/>
    <col min="2" max="2" width="136" style="8" customWidth="1"/>
    <col min="3" max="16384" width="10.83203125" style="8"/>
  </cols>
  <sheetData>
    <row r="6" spans="2:2" x14ac:dyDescent="0.2">
      <c r="B6" s="10" t="s">
        <v>206</v>
      </c>
    </row>
    <row r="7" spans="2:2" x14ac:dyDescent="0.2">
      <c r="B7" s="43" t="s">
        <v>565</v>
      </c>
    </row>
    <row r="8" spans="2:2" x14ac:dyDescent="0.2">
      <c r="B8" s="43" t="s">
        <v>566</v>
      </c>
    </row>
    <row r="9" spans="2:2" x14ac:dyDescent="0.2">
      <c r="B9" s="43" t="s">
        <v>204</v>
      </c>
    </row>
    <row r="10" spans="2:2" x14ac:dyDescent="0.2">
      <c r="B10" s="44" t="s">
        <v>564</v>
      </c>
    </row>
    <row r="12" spans="2:2" x14ac:dyDescent="0.2">
      <c r="B12" s="10" t="s">
        <v>207</v>
      </c>
    </row>
    <row r="13" spans="2:2" x14ac:dyDescent="0.2">
      <c r="B13" s="43" t="s">
        <v>205</v>
      </c>
    </row>
    <row r="14" spans="2:2" x14ac:dyDescent="0.2">
      <c r="B14" s="43" t="s">
        <v>208</v>
      </c>
    </row>
    <row r="15" spans="2:2" x14ac:dyDescent="0.2">
      <c r="B15" s="43" t="s">
        <v>209</v>
      </c>
    </row>
    <row r="16" spans="2:2" x14ac:dyDescent="0.2">
      <c r="B16" s="43" t="s">
        <v>210</v>
      </c>
    </row>
    <row r="17" spans="2:2" x14ac:dyDescent="0.2">
      <c r="B17" s="43" t="s">
        <v>211</v>
      </c>
    </row>
    <row r="18" spans="2:2" x14ac:dyDescent="0.2">
      <c r="B18" s="43" t="s">
        <v>213</v>
      </c>
    </row>
    <row r="19" spans="2:2" x14ac:dyDescent="0.2">
      <c r="B19" s="44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95B5-E5EB-A140-B231-47B043CC3B16}">
  <sheetPr>
    <tabColor rgb="FFFFFF00"/>
  </sheetPr>
  <dimension ref="C4:I63"/>
  <sheetViews>
    <sheetView tabSelected="1" topLeftCell="C42" workbookViewId="0">
      <selection activeCell="J55" sqref="J55"/>
    </sheetView>
  </sheetViews>
  <sheetFormatPr baseColWidth="10" defaultRowHeight="16" x14ac:dyDescent="0.2"/>
  <cols>
    <col min="3" max="3" width="26.1640625" bestFit="1" customWidth="1"/>
    <col min="4" max="4" width="50.6640625" bestFit="1" customWidth="1"/>
    <col min="6" max="6" width="13.1640625" bestFit="1" customWidth="1"/>
    <col min="10" max="10" width="67.1640625" bestFit="1" customWidth="1"/>
  </cols>
  <sheetData>
    <row r="4" spans="3:9" ht="17" thickBot="1" x14ac:dyDescent="0.25">
      <c r="C4" t="s">
        <v>563</v>
      </c>
    </row>
    <row r="5" spans="3:9" ht="17" thickBot="1" x14ac:dyDescent="0.25">
      <c r="C5" s="117" t="s">
        <v>524</v>
      </c>
      <c r="D5" s="118"/>
      <c r="E5" s="119"/>
      <c r="F5" s="118"/>
      <c r="G5" s="120"/>
    </row>
    <row r="6" spans="3:9" ht="17" thickBot="1" x14ac:dyDescent="0.25">
      <c r="C6" s="89"/>
      <c r="D6" s="8" t="s">
        <v>53</v>
      </c>
      <c r="E6" s="8" t="s">
        <v>54</v>
      </c>
      <c r="F6" s="90">
        <f>'Analysis - transport'!AQ28</f>
        <v>0.96857161678511106</v>
      </c>
      <c r="G6" s="104"/>
      <c r="I6">
        <v>0.96857161678511106</v>
      </c>
    </row>
    <row r="7" spans="3:9" ht="17" thickBot="1" x14ac:dyDescent="0.25">
      <c r="C7" s="89"/>
      <c r="D7" s="8" t="s">
        <v>55</v>
      </c>
      <c r="E7" s="8" t="s">
        <v>54</v>
      </c>
      <c r="F7" s="93">
        <f>'Analysis - transport'!AQ23</f>
        <v>1.5938224653157989E-4</v>
      </c>
      <c r="G7" s="121"/>
      <c r="I7">
        <v>1.5938224653157989E-4</v>
      </c>
    </row>
    <row r="8" spans="3:9" ht="17" thickBot="1" x14ac:dyDescent="0.25">
      <c r="C8" s="89"/>
      <c r="D8" s="8" t="s">
        <v>215</v>
      </c>
      <c r="E8" s="8" t="s">
        <v>54</v>
      </c>
      <c r="F8" s="93">
        <f>'Analysis - transport'!AQ29</f>
        <v>4.3171340947290296E-3</v>
      </c>
      <c r="G8" s="121"/>
      <c r="I8">
        <v>4.3171340947290296E-3</v>
      </c>
    </row>
    <row r="9" spans="3:9" ht="17" thickBot="1" x14ac:dyDescent="0.25">
      <c r="C9" s="89"/>
      <c r="D9" s="8" t="s">
        <v>56</v>
      </c>
      <c r="E9" s="8" t="s">
        <v>54</v>
      </c>
      <c r="F9" s="93">
        <f>'Analysis - transport'!AQ24</f>
        <v>1.0611656190505539E-3</v>
      </c>
      <c r="G9" s="121"/>
      <c r="I9">
        <v>1.0611656190505539E-3</v>
      </c>
    </row>
    <row r="10" spans="3:9" ht="17" thickBot="1" x14ac:dyDescent="0.25">
      <c r="C10" s="89"/>
      <c r="D10" s="8" t="s">
        <v>57</v>
      </c>
      <c r="E10" s="8" t="s">
        <v>54</v>
      </c>
      <c r="F10" s="93">
        <f>'Analysis - transport'!AQ26</f>
        <v>2.5890701254577667E-2</v>
      </c>
      <c r="G10" s="121"/>
      <c r="I10">
        <v>2.5890701254577667E-2</v>
      </c>
    </row>
    <row r="11" spans="3:9" ht="17" thickBot="1" x14ac:dyDescent="0.25">
      <c r="C11" s="89"/>
      <c r="D11" s="8"/>
      <c r="E11" s="8"/>
      <c r="F11" s="8"/>
      <c r="G11" s="12"/>
    </row>
    <row r="12" spans="3:9" ht="17" thickBot="1" x14ac:dyDescent="0.25">
      <c r="C12" s="89"/>
      <c r="D12" s="8" t="s">
        <v>58</v>
      </c>
      <c r="E12" s="8" t="s">
        <v>54</v>
      </c>
      <c r="F12" s="142">
        <f>'Analysis - transport'!AP28</f>
        <v>0.19779589286813737</v>
      </c>
      <c r="G12" s="104"/>
      <c r="I12">
        <v>0.19779589286813737</v>
      </c>
    </row>
    <row r="13" spans="3:9" ht="17" thickBot="1" x14ac:dyDescent="0.25">
      <c r="C13" s="89"/>
      <c r="D13" s="8" t="s">
        <v>59</v>
      </c>
      <c r="E13" s="8" t="s">
        <v>54</v>
      </c>
      <c r="F13" s="93">
        <f>'Analysis - transport'!AP23</f>
        <v>0.48450820257259641</v>
      </c>
      <c r="G13" s="121"/>
      <c r="I13">
        <v>0.48450820257259641</v>
      </c>
    </row>
    <row r="14" spans="3:9" ht="17" thickBot="1" x14ac:dyDescent="0.25">
      <c r="C14" s="89"/>
      <c r="D14" s="8" t="s">
        <v>217</v>
      </c>
      <c r="E14" s="8" t="s">
        <v>54</v>
      </c>
      <c r="F14" s="93">
        <f>'Analysis - transport'!AP29</f>
        <v>0.29651865632654917</v>
      </c>
      <c r="G14" s="121"/>
      <c r="I14">
        <v>0.29651865632654917</v>
      </c>
    </row>
    <row r="15" spans="3:9" ht="17" thickBot="1" x14ac:dyDescent="0.25">
      <c r="C15" s="89"/>
      <c r="D15" s="8" t="s">
        <v>60</v>
      </c>
      <c r="E15" s="8" t="s">
        <v>54</v>
      </c>
      <c r="F15" s="93">
        <f>'Analysis - transport'!AP24</f>
        <v>2.1177248232716942E-2</v>
      </c>
      <c r="G15" s="121"/>
      <c r="I15">
        <v>2.1177248232716942E-2</v>
      </c>
    </row>
    <row r="16" spans="3:9" ht="17" thickBot="1" x14ac:dyDescent="0.25">
      <c r="C16" s="89"/>
      <c r="D16" s="8"/>
      <c r="E16" s="8"/>
      <c r="F16" s="8"/>
      <c r="G16" s="12"/>
    </row>
    <row r="17" spans="3:9" ht="17" thickBot="1" x14ac:dyDescent="0.25">
      <c r="C17" s="89"/>
      <c r="D17" s="8" t="s">
        <v>525</v>
      </c>
      <c r="E17" s="8" t="s">
        <v>54</v>
      </c>
      <c r="F17" s="90">
        <f>'Analysis - transport'!AO28</f>
        <v>0.86987753915511079</v>
      </c>
      <c r="G17" s="104"/>
      <c r="I17">
        <v>0.86987753915511079</v>
      </c>
    </row>
    <row r="18" spans="3:9" ht="17" thickBot="1" x14ac:dyDescent="0.25">
      <c r="C18" s="89"/>
      <c r="D18" s="8" t="s">
        <v>526</v>
      </c>
      <c r="E18" s="8" t="s">
        <v>54</v>
      </c>
      <c r="F18" s="90">
        <f>'Analysis - transport'!AO23</f>
        <v>1.9772237058946814E-3</v>
      </c>
      <c r="G18" s="121"/>
      <c r="I18">
        <v>1.9772237058946814E-3</v>
      </c>
    </row>
    <row r="19" spans="3:9" ht="17" thickBot="1" x14ac:dyDescent="0.25">
      <c r="C19" s="89"/>
      <c r="D19" s="8" t="s">
        <v>527</v>
      </c>
      <c r="E19" s="8" t="s">
        <v>54</v>
      </c>
      <c r="F19" s="90">
        <f>'Analysis - transport'!AO29</f>
        <v>3.058037620277226E-2</v>
      </c>
      <c r="G19" s="121"/>
      <c r="I19">
        <v>3.058037620277226E-2</v>
      </c>
    </row>
    <row r="20" spans="3:9" ht="17" thickBot="1" x14ac:dyDescent="0.25">
      <c r="C20" s="89"/>
      <c r="D20" s="8" t="s">
        <v>528</v>
      </c>
      <c r="E20" s="8" t="s">
        <v>54</v>
      </c>
      <c r="F20" s="93">
        <f>'Analysis - transport'!AO24</f>
        <v>8.6465610954868946E-2</v>
      </c>
      <c r="G20" s="121"/>
      <c r="I20">
        <v>8.6465610954868946E-2</v>
      </c>
    </row>
    <row r="21" spans="3:9" ht="17" thickBot="1" x14ac:dyDescent="0.25">
      <c r="C21" s="89"/>
      <c r="D21" s="8" t="s">
        <v>529</v>
      </c>
      <c r="E21" s="8" t="s">
        <v>54</v>
      </c>
      <c r="F21" s="93">
        <f>'Analysis - transport'!AV26</f>
        <v>1.01473554659382E-2</v>
      </c>
      <c r="G21" s="121"/>
      <c r="I21">
        <v>1.01473554659382E-2</v>
      </c>
    </row>
    <row r="22" spans="3:9" ht="17" thickBot="1" x14ac:dyDescent="0.25">
      <c r="C22" s="89"/>
      <c r="D22" s="8" t="s">
        <v>530</v>
      </c>
      <c r="E22" s="8" t="s">
        <v>54</v>
      </c>
      <c r="F22" s="93">
        <f>'Analysis - transport'!AV27</f>
        <v>9.5189451541511456E-4</v>
      </c>
      <c r="G22" s="121"/>
      <c r="I22">
        <v>9.5189451541511456E-4</v>
      </c>
    </row>
    <row r="23" spans="3:9" ht="17" thickBot="1" x14ac:dyDescent="0.25">
      <c r="C23" s="89"/>
      <c r="D23" s="8"/>
      <c r="E23" s="8"/>
      <c r="F23" s="8"/>
      <c r="G23" s="122"/>
    </row>
    <row r="24" spans="3:9" ht="17" thickBot="1" x14ac:dyDescent="0.25">
      <c r="C24" s="89"/>
      <c r="D24" s="8" t="s">
        <v>61</v>
      </c>
      <c r="E24" s="8" t="s">
        <v>54</v>
      </c>
      <c r="F24" s="90">
        <v>0</v>
      </c>
      <c r="G24" s="12"/>
      <c r="I24">
        <v>0</v>
      </c>
    </row>
    <row r="25" spans="3:9" ht="17" thickBot="1" x14ac:dyDescent="0.25">
      <c r="C25" s="89"/>
      <c r="D25" s="8" t="s">
        <v>62</v>
      </c>
      <c r="E25" s="8" t="s">
        <v>54</v>
      </c>
      <c r="F25" s="90">
        <v>1</v>
      </c>
      <c r="G25" s="12"/>
      <c r="I25">
        <v>1</v>
      </c>
    </row>
    <row r="26" spans="3:9" ht="17" thickBot="1" x14ac:dyDescent="0.25">
      <c r="C26" s="89"/>
      <c r="D26" s="8"/>
      <c r="E26" s="8"/>
      <c r="F26" s="8"/>
      <c r="G26" s="12"/>
    </row>
    <row r="27" spans="3:9" ht="17" thickBot="1" x14ac:dyDescent="0.25">
      <c r="C27" s="89"/>
      <c r="D27" s="8" t="s">
        <v>63</v>
      </c>
      <c r="E27" s="8" t="s">
        <v>54</v>
      </c>
      <c r="F27" s="93">
        <v>0</v>
      </c>
      <c r="G27" s="121"/>
      <c r="I27">
        <v>0</v>
      </c>
    </row>
    <row r="28" spans="3:9" ht="17" thickBot="1" x14ac:dyDescent="0.25">
      <c r="C28" s="89"/>
      <c r="D28" s="8" t="s">
        <v>64</v>
      </c>
      <c r="E28" s="8" t="s">
        <v>54</v>
      </c>
      <c r="F28" s="93">
        <v>1</v>
      </c>
      <c r="G28" s="121"/>
      <c r="I28">
        <v>1</v>
      </c>
    </row>
    <row r="29" spans="3:9" ht="17" thickBot="1" x14ac:dyDescent="0.25">
      <c r="C29" s="89"/>
      <c r="D29" s="8"/>
      <c r="E29" s="8"/>
      <c r="F29" s="8"/>
      <c r="G29" s="122"/>
    </row>
    <row r="30" spans="3:9" ht="17" thickBot="1" x14ac:dyDescent="0.25">
      <c r="C30" s="89"/>
      <c r="D30" s="8" t="s">
        <v>65</v>
      </c>
      <c r="E30" s="8" t="s">
        <v>54</v>
      </c>
      <c r="F30" s="90">
        <f>'Analysis - transport'!AR28</f>
        <v>0.18003910695165551</v>
      </c>
      <c r="G30" s="104"/>
      <c r="I30">
        <v>0.18003910695165551</v>
      </c>
    </row>
    <row r="31" spans="3:9" ht="17" thickBot="1" x14ac:dyDescent="0.25">
      <c r="C31" s="89"/>
      <c r="D31" s="8" t="s">
        <v>66</v>
      </c>
      <c r="E31" s="8" t="s">
        <v>54</v>
      </c>
      <c r="F31" s="90">
        <f>'Analysis - transport'!AR23</f>
        <v>0.57136248226478503</v>
      </c>
      <c r="G31" s="121"/>
      <c r="I31">
        <v>0.57136248226478503</v>
      </c>
    </row>
    <row r="32" spans="3:9" ht="17" thickBot="1" x14ac:dyDescent="0.25">
      <c r="C32" s="89"/>
      <c r="D32" s="8" t="s">
        <v>219</v>
      </c>
      <c r="E32" s="8" t="s">
        <v>54</v>
      </c>
      <c r="F32" s="90">
        <f>'Analysis - transport'!AR29</f>
        <v>4.5588414079176284E-2</v>
      </c>
      <c r="G32" s="121"/>
      <c r="I32">
        <v>4.5588414079176284E-2</v>
      </c>
    </row>
    <row r="33" spans="3:9" ht="17" thickBot="1" x14ac:dyDescent="0.25">
      <c r="C33" s="89"/>
      <c r="D33" s="8" t="s">
        <v>67</v>
      </c>
      <c r="E33" s="8" t="s">
        <v>54</v>
      </c>
      <c r="F33" s="93">
        <f>'Analysis - transport'!AR24</f>
        <v>0.20300999670438316</v>
      </c>
      <c r="G33" s="121"/>
      <c r="I33">
        <v>0.20300999670438316</v>
      </c>
    </row>
    <row r="34" spans="3:9" ht="17" thickBot="1" x14ac:dyDescent="0.25">
      <c r="C34" s="89"/>
      <c r="D34" s="8"/>
      <c r="E34" s="8"/>
      <c r="F34" s="94"/>
      <c r="G34" s="121"/>
    </row>
    <row r="35" spans="3:9" ht="17" thickBot="1" x14ac:dyDescent="0.25">
      <c r="C35" s="89"/>
      <c r="D35" s="8" t="s">
        <v>531</v>
      </c>
      <c r="E35" s="8" t="s">
        <v>54</v>
      </c>
      <c r="F35" s="93">
        <f>'Analysis - transport'!AS28</f>
        <v>0.71263697090228917</v>
      </c>
      <c r="G35" s="121"/>
      <c r="I35">
        <v>0.71263697090228917</v>
      </c>
    </row>
    <row r="36" spans="3:9" ht="17" thickBot="1" x14ac:dyDescent="0.25">
      <c r="C36" s="89"/>
      <c r="D36" s="8" t="s">
        <v>532</v>
      </c>
      <c r="E36" s="8" t="s">
        <v>54</v>
      </c>
      <c r="F36" s="93">
        <f>'Analysis - transport'!AS29</f>
        <v>0.28736302909771083</v>
      </c>
      <c r="G36" s="121"/>
      <c r="I36">
        <v>0.28736302909771083</v>
      </c>
    </row>
    <row r="37" spans="3:9" x14ac:dyDescent="0.2">
      <c r="C37" s="89"/>
      <c r="D37" s="8"/>
      <c r="E37" s="8"/>
      <c r="F37" s="8"/>
      <c r="G37" s="122"/>
    </row>
    <row r="38" spans="3:9" ht="17" thickBot="1" x14ac:dyDescent="0.25">
      <c r="C38" s="89"/>
      <c r="D38" s="8" t="s">
        <v>533</v>
      </c>
      <c r="E38" s="8" t="s">
        <v>534</v>
      </c>
      <c r="F38" s="95">
        <v>0</v>
      </c>
      <c r="G38" s="12"/>
      <c r="I38">
        <v>0</v>
      </c>
    </row>
    <row r="39" spans="3:9" ht="17" thickBot="1" x14ac:dyDescent="0.25">
      <c r="C39" s="89"/>
      <c r="D39" s="8" t="s">
        <v>535</v>
      </c>
      <c r="E39" s="8" t="s">
        <v>54</v>
      </c>
      <c r="F39" s="90">
        <v>0</v>
      </c>
      <c r="G39" s="12"/>
      <c r="I39">
        <v>0</v>
      </c>
    </row>
    <row r="40" spans="3:9" ht="17" thickBot="1" x14ac:dyDescent="0.25">
      <c r="C40" s="89"/>
      <c r="D40" s="8" t="s">
        <v>536</v>
      </c>
      <c r="E40" s="8" t="s">
        <v>54</v>
      </c>
      <c r="F40" s="90">
        <v>1</v>
      </c>
      <c r="G40" s="12"/>
      <c r="I40">
        <v>1</v>
      </c>
    </row>
    <row r="41" spans="3:9" ht="17" thickBot="1" x14ac:dyDescent="0.25">
      <c r="C41" s="89"/>
      <c r="D41" s="8"/>
      <c r="E41" s="8"/>
      <c r="F41" s="91"/>
      <c r="G41" s="12"/>
    </row>
    <row r="42" spans="3:9" ht="17" thickBot="1" x14ac:dyDescent="0.25">
      <c r="C42" s="89"/>
      <c r="D42" s="8" t="s">
        <v>537</v>
      </c>
      <c r="E42" s="8" t="s">
        <v>538</v>
      </c>
      <c r="F42" s="92">
        <f>'Analysis - transport'!AO38</f>
        <v>17800</v>
      </c>
      <c r="G42" s="12"/>
      <c r="I42">
        <v>17800</v>
      </c>
    </row>
    <row r="43" spans="3:9" x14ac:dyDescent="0.2">
      <c r="C43" s="96"/>
      <c r="D43" s="7"/>
      <c r="E43" s="7"/>
      <c r="F43" s="7"/>
      <c r="G43" s="13"/>
    </row>
    <row r="44" spans="3:9" x14ac:dyDescent="0.2">
      <c r="C44" s="87" t="s">
        <v>539</v>
      </c>
      <c r="D44" s="8"/>
      <c r="E44" s="88"/>
      <c r="F44" s="8"/>
      <c r="G44" s="12"/>
    </row>
    <row r="45" spans="3:9" x14ac:dyDescent="0.2">
      <c r="C45" s="89"/>
      <c r="D45" s="8"/>
      <c r="E45" s="8"/>
      <c r="F45" s="8"/>
      <c r="G45" s="121"/>
    </row>
    <row r="46" spans="3:9" ht="17" thickBot="1" x14ac:dyDescent="0.25">
      <c r="C46" s="89"/>
      <c r="D46" s="8" t="s">
        <v>540</v>
      </c>
      <c r="E46" s="8" t="s">
        <v>534</v>
      </c>
      <c r="F46" s="123">
        <v>0</v>
      </c>
      <c r="G46" s="12"/>
      <c r="I46">
        <v>0</v>
      </c>
    </row>
    <row r="47" spans="3:9" ht="17" thickBot="1" x14ac:dyDescent="0.25">
      <c r="C47" s="89"/>
      <c r="D47" s="8" t="s">
        <v>541</v>
      </c>
      <c r="E47" s="8" t="s">
        <v>54</v>
      </c>
      <c r="F47" s="93">
        <v>0</v>
      </c>
      <c r="G47" s="12"/>
      <c r="I47">
        <v>0</v>
      </c>
    </row>
    <row r="48" spans="3:9" ht="17" thickBot="1" x14ac:dyDescent="0.25">
      <c r="C48" s="89"/>
      <c r="D48" s="8" t="s">
        <v>542</v>
      </c>
      <c r="E48" s="8" t="s">
        <v>54</v>
      </c>
      <c r="F48" s="93">
        <v>1</v>
      </c>
      <c r="G48" s="12"/>
      <c r="I48">
        <v>1</v>
      </c>
    </row>
    <row r="49" spans="3:9" x14ac:dyDescent="0.2">
      <c r="C49" s="89"/>
      <c r="D49" s="8"/>
      <c r="E49" s="8"/>
      <c r="F49" s="8"/>
      <c r="G49" s="12"/>
    </row>
    <row r="50" spans="3:9" ht="17" thickBot="1" x14ac:dyDescent="0.25">
      <c r="C50" s="89"/>
      <c r="D50" s="8" t="s">
        <v>543</v>
      </c>
      <c r="E50" s="8" t="s">
        <v>534</v>
      </c>
      <c r="F50" s="123">
        <v>0</v>
      </c>
      <c r="G50" s="12"/>
      <c r="I50">
        <v>0</v>
      </c>
    </row>
    <row r="51" spans="3:9" ht="17" thickBot="1" x14ac:dyDescent="0.25">
      <c r="C51" s="89"/>
      <c r="D51" s="8" t="s">
        <v>544</v>
      </c>
      <c r="E51" s="8" t="s">
        <v>54</v>
      </c>
      <c r="F51" s="97">
        <v>0</v>
      </c>
      <c r="G51" s="12"/>
      <c r="I51">
        <v>0</v>
      </c>
    </row>
    <row r="52" spans="3:9" ht="17" thickBot="1" x14ac:dyDescent="0.25">
      <c r="C52" s="89"/>
      <c r="D52" s="8" t="s">
        <v>545</v>
      </c>
      <c r="E52" s="8" t="s">
        <v>54</v>
      </c>
      <c r="F52" s="90">
        <v>1</v>
      </c>
      <c r="G52" s="12"/>
      <c r="I52">
        <v>1</v>
      </c>
    </row>
    <row r="53" spans="3:9" x14ac:dyDescent="0.2">
      <c r="C53" s="89"/>
      <c r="D53" s="8"/>
      <c r="E53" s="8"/>
      <c r="F53" s="8"/>
      <c r="G53" s="12"/>
    </row>
    <row r="54" spans="3:9" x14ac:dyDescent="0.2">
      <c r="C54" s="98" t="s">
        <v>546</v>
      </c>
      <c r="D54" s="9"/>
      <c r="E54" s="9"/>
      <c r="F54" s="9"/>
      <c r="G54" s="11"/>
    </row>
    <row r="55" spans="3:9" ht="17" thickBot="1" x14ac:dyDescent="0.25">
      <c r="C55" s="89"/>
      <c r="D55" s="8" t="s">
        <v>547</v>
      </c>
      <c r="E55" s="8" t="s">
        <v>534</v>
      </c>
      <c r="F55" s="123"/>
      <c r="G55" s="12"/>
    </row>
    <row r="56" spans="3:9" ht="17" thickBot="1" x14ac:dyDescent="0.25">
      <c r="C56" s="89"/>
      <c r="D56" s="8" t="s">
        <v>161</v>
      </c>
      <c r="E56" s="8" t="s">
        <v>54</v>
      </c>
      <c r="F56" s="99">
        <f>'Analysis - transport'!AP34</f>
        <v>7.7788141679387121E-2</v>
      </c>
      <c r="G56" s="12"/>
      <c r="I56">
        <v>7.7788141679387121E-2</v>
      </c>
    </row>
    <row r="57" spans="3:9" ht="17" thickBot="1" x14ac:dyDescent="0.25">
      <c r="C57" s="89"/>
      <c r="D57" s="8" t="s">
        <v>162</v>
      </c>
      <c r="E57" s="8" t="s">
        <v>54</v>
      </c>
      <c r="F57" s="99">
        <f>'Analysis - transport'!AP32</f>
        <v>0.82045251923768558</v>
      </c>
      <c r="G57" s="12"/>
      <c r="I57">
        <v>0.82045251923768558</v>
      </c>
    </row>
    <row r="58" spans="3:9" ht="17" thickBot="1" x14ac:dyDescent="0.25">
      <c r="C58" s="89"/>
      <c r="D58" s="8" t="s">
        <v>163</v>
      </c>
      <c r="E58" s="8" t="s">
        <v>54</v>
      </c>
      <c r="F58" s="99">
        <f>'Analysis - transport'!AP33</f>
        <v>0.10175933908292718</v>
      </c>
      <c r="G58" s="12"/>
      <c r="I58">
        <v>0.10175933908292718</v>
      </c>
    </row>
    <row r="59" spans="3:9" x14ac:dyDescent="0.2">
      <c r="C59" s="89"/>
      <c r="D59" s="8"/>
      <c r="E59" s="8"/>
      <c r="F59" s="8"/>
      <c r="G59" s="12"/>
    </row>
    <row r="60" spans="3:9" ht="17" thickBot="1" x14ac:dyDescent="0.25">
      <c r="C60" s="89"/>
      <c r="D60" s="8" t="s">
        <v>548</v>
      </c>
      <c r="E60" s="8" t="s">
        <v>534</v>
      </c>
      <c r="F60" s="123"/>
      <c r="G60" s="12"/>
    </row>
    <row r="61" spans="3:9" ht="17" thickBot="1" x14ac:dyDescent="0.25">
      <c r="C61" s="89"/>
      <c r="D61" s="8" t="s">
        <v>164</v>
      </c>
      <c r="E61" s="8" t="s">
        <v>54</v>
      </c>
      <c r="F61" s="99">
        <f>'Analysis - transport'!AO32</f>
        <v>0.48183767670185107</v>
      </c>
      <c r="G61" s="12"/>
      <c r="I61">
        <v>0.48183767670185107</v>
      </c>
    </row>
    <row r="62" spans="3:9" ht="17" thickBot="1" x14ac:dyDescent="0.25">
      <c r="C62" s="89"/>
      <c r="D62" s="8" t="s">
        <v>165</v>
      </c>
      <c r="E62" s="8" t="s">
        <v>54</v>
      </c>
      <c r="F62" s="99">
        <f>'Analysis - transport'!AO33</f>
        <v>0.51816232329814893</v>
      </c>
      <c r="G62" s="12"/>
      <c r="I62">
        <v>0.51816232329814893</v>
      </c>
    </row>
    <row r="63" spans="3:9" ht="17" thickBot="1" x14ac:dyDescent="0.25">
      <c r="C63" s="105"/>
      <c r="D63" s="113"/>
      <c r="E63" s="113"/>
      <c r="F63" s="113"/>
      <c r="G63" s="114"/>
    </row>
  </sheetData>
  <dataValidations count="1">
    <dataValidation type="decimal" allowBlank="1" showInputMessage="1" showErrorMessage="1" errorTitle="Number Range" error="This cell can only contain a number between 0% and 100%" sqref="F6 F11:F12 F16:F19 F23:F25 F47:F48 F51:F52 F29:F32 F37:F41" xr:uid="{B9524EDC-D386-9747-BEA0-F3869BDD64E8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2289-945B-3E46-9AF6-1CCA19981747}">
  <sheetPr>
    <tabColor theme="8"/>
  </sheetPr>
  <dimension ref="A1:AZ128"/>
  <sheetViews>
    <sheetView topLeftCell="AM15" workbookViewId="0">
      <selection activeCell="AP32" sqref="AP32:AP34"/>
    </sheetView>
  </sheetViews>
  <sheetFormatPr baseColWidth="10" defaultColWidth="8.83203125" defaultRowHeight="11.25" customHeight="1" x14ac:dyDescent="0.2"/>
  <cols>
    <col min="1" max="1" width="17" hidden="1" customWidth="1"/>
    <col min="2" max="2" width="63.1640625" hidden="1" customWidth="1"/>
    <col min="3" max="3" width="18" hidden="1" customWidth="1"/>
    <col min="4" max="4" width="19.5" hidden="1" customWidth="1"/>
    <col min="5" max="5" width="11" hidden="1" customWidth="1"/>
    <col min="6" max="6" width="5" hidden="1" customWidth="1"/>
    <col min="7" max="7" width="20" hidden="1" customWidth="1"/>
    <col min="8" max="8" width="5" hidden="1" customWidth="1"/>
    <col min="9" max="9" width="20" hidden="1" customWidth="1"/>
    <col min="10" max="10" width="9.5" hidden="1" customWidth="1"/>
    <col min="11" max="11" width="17" hidden="1" customWidth="1"/>
    <col min="12" max="12" width="10.5" hidden="1" customWidth="1"/>
    <col min="13" max="13" width="20" hidden="1" customWidth="1"/>
    <col min="14" max="14" width="5" hidden="1" customWidth="1"/>
    <col min="15" max="15" width="20" hidden="1" customWidth="1"/>
    <col min="16" max="16" width="5" hidden="1" customWidth="1"/>
    <col min="17" max="17" width="20" hidden="1" customWidth="1"/>
    <col min="18" max="18" width="5" hidden="1" customWidth="1"/>
    <col min="19" max="19" width="10" hidden="1" customWidth="1"/>
    <col min="20" max="20" width="5" hidden="1" customWidth="1"/>
    <col min="21" max="21" width="20" hidden="1" customWidth="1"/>
    <col min="22" max="22" width="5" hidden="1" customWidth="1"/>
    <col min="23" max="23" width="16" hidden="1" customWidth="1"/>
    <col min="24" max="24" width="5" hidden="1" customWidth="1"/>
    <col min="25" max="25" width="19" hidden="1" customWidth="1"/>
    <col min="26" max="26" width="5" hidden="1" customWidth="1"/>
    <col min="27" max="27" width="15" hidden="1" customWidth="1"/>
    <col min="28" max="28" width="5" hidden="1" customWidth="1"/>
    <col min="29" max="29" width="18" hidden="1" customWidth="1"/>
    <col min="30" max="30" width="5" hidden="1" customWidth="1"/>
    <col min="31" max="31" width="20" hidden="1" customWidth="1"/>
    <col min="32" max="32" width="5" hidden="1" customWidth="1"/>
    <col min="33" max="33" width="20" hidden="1" customWidth="1"/>
    <col min="34" max="34" width="5" hidden="1" customWidth="1"/>
    <col min="35" max="35" width="10" hidden="1" customWidth="1"/>
    <col min="36" max="36" width="5" hidden="1" customWidth="1"/>
    <col min="37" max="37" width="11" hidden="1" customWidth="1"/>
    <col min="38" max="38" width="5" hidden="1" customWidth="1"/>
    <col min="39" max="39" width="5" customWidth="1"/>
    <col min="41" max="41" width="18.33203125" customWidth="1"/>
    <col min="42" max="42" width="19.33203125" bestFit="1" customWidth="1"/>
    <col min="43" max="43" width="14.6640625" bestFit="1" customWidth="1"/>
    <col min="44" max="44" width="11.6640625" bestFit="1" customWidth="1"/>
    <col min="45" max="45" width="12.1640625" bestFit="1" customWidth="1"/>
    <col min="51" max="51" width="12.1640625" bestFit="1" customWidth="1"/>
  </cols>
  <sheetData>
    <row r="1" spans="1:38" ht="16" x14ac:dyDescent="0.2">
      <c r="A1" s="74" t="s">
        <v>439</v>
      </c>
    </row>
    <row r="2" spans="1:38" ht="16" x14ac:dyDescent="0.2">
      <c r="A2" s="74" t="s">
        <v>440</v>
      </c>
      <c r="B2" s="75" t="s">
        <v>441</v>
      </c>
    </row>
    <row r="3" spans="1:38" ht="16" x14ac:dyDescent="0.2">
      <c r="A3" s="74" t="s">
        <v>442</v>
      </c>
      <c r="B3" s="74" t="s">
        <v>443</v>
      </c>
    </row>
    <row r="4" spans="1:38" ht="16" x14ac:dyDescent="0.2"/>
    <row r="5" spans="1:38" ht="16" x14ac:dyDescent="0.2">
      <c r="A5" s="75" t="s">
        <v>444</v>
      </c>
      <c r="C5" s="74" t="s">
        <v>445</v>
      </c>
    </row>
    <row r="6" spans="1:38" ht="16" x14ac:dyDescent="0.2">
      <c r="A6" s="75" t="s">
        <v>446</v>
      </c>
      <c r="C6" s="74" t="s">
        <v>447</v>
      </c>
    </row>
    <row r="7" spans="1:38" ht="16" x14ac:dyDescent="0.2">
      <c r="A7" s="75" t="s">
        <v>448</v>
      </c>
      <c r="C7" s="74" t="s">
        <v>449</v>
      </c>
    </row>
    <row r="8" spans="1:38" ht="16" x14ac:dyDescent="0.2">
      <c r="A8" s="75" t="s">
        <v>450</v>
      </c>
      <c r="C8" s="74" t="s">
        <v>451</v>
      </c>
    </row>
    <row r="9" spans="1:38" ht="16" x14ac:dyDescent="0.2"/>
    <row r="10" spans="1:38" ht="16" x14ac:dyDescent="0.2">
      <c r="A10" s="131" t="s">
        <v>452</v>
      </c>
      <c r="B10" s="131" t="s">
        <v>452</v>
      </c>
      <c r="C10" s="130" t="s">
        <v>453</v>
      </c>
      <c r="D10" s="130" t="s">
        <v>231</v>
      </c>
      <c r="E10" s="130" t="s">
        <v>454</v>
      </c>
      <c r="F10" s="130" t="s">
        <v>231</v>
      </c>
      <c r="G10" s="130" t="s">
        <v>455</v>
      </c>
      <c r="H10" s="130" t="s">
        <v>231</v>
      </c>
      <c r="I10" s="130" t="s">
        <v>456</v>
      </c>
      <c r="J10" s="130" t="s">
        <v>231</v>
      </c>
      <c r="K10" s="130" t="s">
        <v>457</v>
      </c>
      <c r="L10" s="130" t="s">
        <v>231</v>
      </c>
      <c r="M10" s="130" t="s">
        <v>458</v>
      </c>
      <c r="N10" s="130" t="s">
        <v>231</v>
      </c>
      <c r="O10" s="130" t="s">
        <v>459</v>
      </c>
      <c r="P10" s="130" t="s">
        <v>231</v>
      </c>
      <c r="Q10" s="130" t="s">
        <v>460</v>
      </c>
      <c r="R10" s="130" t="s">
        <v>231</v>
      </c>
      <c r="S10" s="130" t="s">
        <v>461</v>
      </c>
      <c r="T10" s="130" t="s">
        <v>231</v>
      </c>
      <c r="U10" s="130" t="s">
        <v>462</v>
      </c>
      <c r="V10" s="130" t="s">
        <v>231</v>
      </c>
      <c r="W10" s="130" t="s">
        <v>463</v>
      </c>
      <c r="X10" s="130" t="s">
        <v>231</v>
      </c>
      <c r="Y10" s="130" t="s">
        <v>464</v>
      </c>
      <c r="Z10" s="130" t="s">
        <v>231</v>
      </c>
      <c r="AA10" s="130" t="s">
        <v>465</v>
      </c>
      <c r="AB10" s="130" t="s">
        <v>231</v>
      </c>
      <c r="AC10" s="130" t="s">
        <v>466</v>
      </c>
      <c r="AD10" s="130" t="s">
        <v>231</v>
      </c>
      <c r="AE10" s="130" t="s">
        <v>467</v>
      </c>
      <c r="AF10" s="130" t="s">
        <v>231</v>
      </c>
      <c r="AG10" s="130" t="s">
        <v>468</v>
      </c>
      <c r="AH10" s="130" t="s">
        <v>231</v>
      </c>
      <c r="AI10" s="130" t="s">
        <v>469</v>
      </c>
      <c r="AJ10" s="130" t="s">
        <v>231</v>
      </c>
      <c r="AK10" s="130" t="s">
        <v>177</v>
      </c>
      <c r="AL10" s="130" t="s">
        <v>231</v>
      </c>
    </row>
    <row r="11" spans="1:38" ht="16" x14ac:dyDescent="0.2">
      <c r="A11" s="76" t="s">
        <v>470</v>
      </c>
      <c r="B11" s="76" t="s">
        <v>471</v>
      </c>
      <c r="C11" s="77" t="s">
        <v>231</v>
      </c>
      <c r="D11" s="77" t="s">
        <v>231</v>
      </c>
      <c r="E11" s="77" t="s">
        <v>231</v>
      </c>
      <c r="F11" s="77" t="s">
        <v>231</v>
      </c>
      <c r="G11" s="77" t="s">
        <v>231</v>
      </c>
      <c r="H11" s="77" t="s">
        <v>231</v>
      </c>
      <c r="I11" s="77" t="s">
        <v>231</v>
      </c>
      <c r="J11" s="77" t="s">
        <v>231</v>
      </c>
      <c r="K11" s="77" t="s">
        <v>231</v>
      </c>
      <c r="L11" s="77" t="s">
        <v>231</v>
      </c>
      <c r="M11" s="77" t="s">
        <v>231</v>
      </c>
      <c r="N11" s="77" t="s">
        <v>231</v>
      </c>
      <c r="O11" s="77" t="s">
        <v>231</v>
      </c>
      <c r="P11" s="77" t="s">
        <v>231</v>
      </c>
      <c r="Q11" s="77" t="s">
        <v>231</v>
      </c>
      <c r="R11" s="77" t="s">
        <v>231</v>
      </c>
      <c r="S11" s="77" t="s">
        <v>231</v>
      </c>
      <c r="T11" s="77" t="s">
        <v>231</v>
      </c>
      <c r="U11" s="77" t="s">
        <v>231</v>
      </c>
      <c r="V11" s="77" t="s">
        <v>231</v>
      </c>
      <c r="W11" s="77" t="s">
        <v>231</v>
      </c>
      <c r="X11" s="77" t="s">
        <v>231</v>
      </c>
      <c r="Y11" s="77" t="s">
        <v>231</v>
      </c>
      <c r="Z11" s="77" t="s">
        <v>231</v>
      </c>
      <c r="AA11" s="77" t="s">
        <v>231</v>
      </c>
      <c r="AB11" s="77" t="s">
        <v>231</v>
      </c>
      <c r="AC11" s="77" t="s">
        <v>231</v>
      </c>
      <c r="AD11" s="77" t="s">
        <v>231</v>
      </c>
      <c r="AE11" s="77" t="s">
        <v>231</v>
      </c>
      <c r="AF11" s="77" t="s">
        <v>231</v>
      </c>
      <c r="AG11" s="77" t="s">
        <v>231</v>
      </c>
      <c r="AH11" s="77" t="s">
        <v>231</v>
      </c>
      <c r="AI11" s="77" t="s">
        <v>231</v>
      </c>
      <c r="AJ11" s="77" t="s">
        <v>231</v>
      </c>
      <c r="AK11" s="77" t="s">
        <v>231</v>
      </c>
      <c r="AL11" s="77" t="s">
        <v>231</v>
      </c>
    </row>
    <row r="12" spans="1:38" ht="16" x14ac:dyDescent="0.2">
      <c r="A12" s="78" t="s">
        <v>472</v>
      </c>
      <c r="B12" s="78" t="s">
        <v>473</v>
      </c>
      <c r="C12" s="79">
        <v>0</v>
      </c>
      <c r="D12" s="80" t="s">
        <v>231</v>
      </c>
      <c r="E12" s="79">
        <v>0</v>
      </c>
      <c r="F12" s="80" t="s">
        <v>231</v>
      </c>
      <c r="G12" s="81">
        <v>886.94600000000003</v>
      </c>
      <c r="H12" s="80" t="s">
        <v>474</v>
      </c>
      <c r="I12" s="79">
        <v>0</v>
      </c>
      <c r="J12" s="80" t="s">
        <v>231</v>
      </c>
      <c r="K12" s="79">
        <v>0</v>
      </c>
      <c r="L12" s="80" t="s">
        <v>231</v>
      </c>
      <c r="M12" s="79">
        <v>0</v>
      </c>
      <c r="N12" s="80" t="s">
        <v>231</v>
      </c>
      <c r="O12" s="79">
        <v>0</v>
      </c>
      <c r="P12" s="80" t="s">
        <v>231</v>
      </c>
      <c r="Q12" s="79">
        <v>0</v>
      </c>
      <c r="R12" s="80" t="s">
        <v>231</v>
      </c>
      <c r="S12" s="79">
        <v>0</v>
      </c>
      <c r="T12" s="80" t="s">
        <v>231</v>
      </c>
      <c r="U12" s="81">
        <v>1.522</v>
      </c>
      <c r="V12" s="80" t="s">
        <v>231</v>
      </c>
      <c r="W12" s="79">
        <v>0</v>
      </c>
      <c r="X12" s="80" t="s">
        <v>231</v>
      </c>
      <c r="Y12" s="79">
        <v>0</v>
      </c>
      <c r="Z12" s="80" t="s">
        <v>231</v>
      </c>
      <c r="AA12" s="79">
        <v>0</v>
      </c>
      <c r="AB12" s="80" t="s">
        <v>231</v>
      </c>
      <c r="AC12" s="79">
        <v>0</v>
      </c>
      <c r="AD12" s="80" t="s">
        <v>231</v>
      </c>
      <c r="AE12" s="79">
        <v>0</v>
      </c>
      <c r="AF12" s="80" t="s">
        <v>231</v>
      </c>
      <c r="AG12" s="79">
        <v>0</v>
      </c>
      <c r="AH12" s="80" t="s">
        <v>231</v>
      </c>
      <c r="AI12" s="79">
        <v>0</v>
      </c>
      <c r="AJ12" s="80" t="s">
        <v>231</v>
      </c>
      <c r="AK12" s="81">
        <v>6114.1719999999996</v>
      </c>
      <c r="AL12" s="80" t="s">
        <v>231</v>
      </c>
    </row>
    <row r="13" spans="1:38" ht="16" x14ac:dyDescent="0.2">
      <c r="A13" s="78" t="s">
        <v>472</v>
      </c>
      <c r="B13" s="78" t="s">
        <v>475</v>
      </c>
      <c r="C13" s="82">
        <v>0</v>
      </c>
      <c r="D13" s="83" t="s">
        <v>231</v>
      </c>
      <c r="E13" s="82">
        <v>0</v>
      </c>
      <c r="F13" s="83" t="s">
        <v>231</v>
      </c>
      <c r="G13" s="82">
        <v>0</v>
      </c>
      <c r="H13" s="83" t="s">
        <v>474</v>
      </c>
      <c r="I13" s="82">
        <v>0</v>
      </c>
      <c r="J13" s="83" t="s">
        <v>231</v>
      </c>
      <c r="K13" s="82">
        <v>0</v>
      </c>
      <c r="L13" s="83" t="s">
        <v>231</v>
      </c>
      <c r="M13" s="82">
        <v>0</v>
      </c>
      <c r="N13" s="83" t="s">
        <v>231</v>
      </c>
      <c r="O13" s="82">
        <v>0</v>
      </c>
      <c r="P13" s="83" t="s">
        <v>231</v>
      </c>
      <c r="Q13" s="82">
        <v>0</v>
      </c>
      <c r="R13" s="83" t="s">
        <v>231</v>
      </c>
      <c r="S13" s="82">
        <v>0</v>
      </c>
      <c r="T13" s="83" t="s">
        <v>231</v>
      </c>
      <c r="U13" s="82">
        <v>0</v>
      </c>
      <c r="V13" s="83" t="s">
        <v>231</v>
      </c>
      <c r="W13" s="82">
        <v>0</v>
      </c>
      <c r="X13" s="83" t="s">
        <v>231</v>
      </c>
      <c r="Y13" s="82">
        <v>0</v>
      </c>
      <c r="Z13" s="83" t="s">
        <v>231</v>
      </c>
      <c r="AA13" s="82">
        <v>0</v>
      </c>
      <c r="AB13" s="83" t="s">
        <v>231</v>
      </c>
      <c r="AC13" s="82">
        <v>0</v>
      </c>
      <c r="AD13" s="83" t="s">
        <v>231</v>
      </c>
      <c r="AE13" s="82">
        <v>0</v>
      </c>
      <c r="AF13" s="83" t="s">
        <v>231</v>
      </c>
      <c r="AG13" s="82">
        <v>0</v>
      </c>
      <c r="AH13" s="83" t="s">
        <v>231</v>
      </c>
      <c r="AI13" s="82">
        <v>0</v>
      </c>
      <c r="AJ13" s="83" t="s">
        <v>231</v>
      </c>
      <c r="AK13" s="84">
        <v>213.27099999999999</v>
      </c>
      <c r="AL13" s="83" t="s">
        <v>231</v>
      </c>
    </row>
    <row r="14" spans="1:38" ht="16" x14ac:dyDescent="0.2">
      <c r="A14" s="78" t="s">
        <v>472</v>
      </c>
      <c r="B14" s="78" t="s">
        <v>476</v>
      </c>
      <c r="C14" s="79">
        <v>0</v>
      </c>
      <c r="D14" s="80" t="s">
        <v>231</v>
      </c>
      <c r="E14" s="79">
        <v>0</v>
      </c>
      <c r="F14" s="80" t="s">
        <v>231</v>
      </c>
      <c r="G14" s="81">
        <v>886.94600000000003</v>
      </c>
      <c r="H14" s="80" t="s">
        <v>474</v>
      </c>
      <c r="I14" s="79">
        <v>0</v>
      </c>
      <c r="J14" s="80" t="s">
        <v>231</v>
      </c>
      <c r="K14" s="79">
        <v>0</v>
      </c>
      <c r="L14" s="80" t="s">
        <v>231</v>
      </c>
      <c r="M14" s="79">
        <v>0</v>
      </c>
      <c r="N14" s="80" t="s">
        <v>231</v>
      </c>
      <c r="O14" s="79">
        <v>0</v>
      </c>
      <c r="P14" s="80" t="s">
        <v>231</v>
      </c>
      <c r="Q14" s="79">
        <v>0</v>
      </c>
      <c r="R14" s="80" t="s">
        <v>231</v>
      </c>
      <c r="S14" s="79">
        <v>0</v>
      </c>
      <c r="T14" s="80" t="s">
        <v>231</v>
      </c>
      <c r="U14" s="81">
        <v>1.522</v>
      </c>
      <c r="V14" s="80" t="s">
        <v>231</v>
      </c>
      <c r="W14" s="79">
        <v>0</v>
      </c>
      <c r="X14" s="80" t="s">
        <v>231</v>
      </c>
      <c r="Y14" s="79">
        <v>0</v>
      </c>
      <c r="Z14" s="80" t="s">
        <v>231</v>
      </c>
      <c r="AA14" s="79">
        <v>0</v>
      </c>
      <c r="AB14" s="80" t="s">
        <v>231</v>
      </c>
      <c r="AC14" s="79">
        <v>0</v>
      </c>
      <c r="AD14" s="80" t="s">
        <v>231</v>
      </c>
      <c r="AE14" s="79">
        <v>0</v>
      </c>
      <c r="AF14" s="80" t="s">
        <v>231</v>
      </c>
      <c r="AG14" s="79">
        <v>0</v>
      </c>
      <c r="AH14" s="80" t="s">
        <v>231</v>
      </c>
      <c r="AI14" s="79">
        <v>0</v>
      </c>
      <c r="AJ14" s="80" t="s">
        <v>231</v>
      </c>
      <c r="AK14" s="79">
        <v>5425.29</v>
      </c>
      <c r="AL14" s="80" t="s">
        <v>231</v>
      </c>
    </row>
    <row r="15" spans="1:38" ht="16" x14ac:dyDescent="0.2">
      <c r="A15" s="78" t="s">
        <v>472</v>
      </c>
      <c r="B15" s="78" t="s">
        <v>477</v>
      </c>
      <c r="C15" s="82">
        <v>0</v>
      </c>
      <c r="D15" s="83" t="s">
        <v>231</v>
      </c>
      <c r="E15" s="82">
        <v>0</v>
      </c>
      <c r="F15" s="83" t="s">
        <v>231</v>
      </c>
      <c r="G15" s="82">
        <v>0</v>
      </c>
      <c r="H15" s="83" t="s">
        <v>474</v>
      </c>
      <c r="I15" s="82">
        <v>0</v>
      </c>
      <c r="J15" s="83" t="s">
        <v>231</v>
      </c>
      <c r="K15" s="82">
        <v>0</v>
      </c>
      <c r="L15" s="83" t="s">
        <v>231</v>
      </c>
      <c r="M15" s="82">
        <v>0</v>
      </c>
      <c r="N15" s="83" t="s">
        <v>231</v>
      </c>
      <c r="O15" s="82">
        <v>0</v>
      </c>
      <c r="P15" s="83" t="s">
        <v>231</v>
      </c>
      <c r="Q15" s="82">
        <v>0</v>
      </c>
      <c r="R15" s="83" t="s">
        <v>231</v>
      </c>
      <c r="S15" s="82">
        <v>0</v>
      </c>
      <c r="T15" s="83" t="s">
        <v>231</v>
      </c>
      <c r="U15" s="82">
        <v>0</v>
      </c>
      <c r="V15" s="83" t="s">
        <v>231</v>
      </c>
      <c r="W15" s="82">
        <v>0</v>
      </c>
      <c r="X15" s="83" t="s">
        <v>231</v>
      </c>
      <c r="Y15" s="82">
        <v>0</v>
      </c>
      <c r="Z15" s="83" t="s">
        <v>231</v>
      </c>
      <c r="AA15" s="82">
        <v>0</v>
      </c>
      <c r="AB15" s="83" t="s">
        <v>231</v>
      </c>
      <c r="AC15" s="82">
        <v>0</v>
      </c>
      <c r="AD15" s="83" t="s">
        <v>231</v>
      </c>
      <c r="AE15" s="82">
        <v>0</v>
      </c>
      <c r="AF15" s="83" t="s">
        <v>231</v>
      </c>
      <c r="AG15" s="82">
        <v>0</v>
      </c>
      <c r="AH15" s="83" t="s">
        <v>231</v>
      </c>
      <c r="AI15" s="82">
        <v>0</v>
      </c>
      <c r="AJ15" s="83" t="s">
        <v>231</v>
      </c>
      <c r="AK15" s="82">
        <v>475.61</v>
      </c>
      <c r="AL15" s="83" t="s">
        <v>231</v>
      </c>
    </row>
    <row r="16" spans="1:38" ht="16" x14ac:dyDescent="0.2">
      <c r="A16" s="78" t="s">
        <v>472</v>
      </c>
      <c r="B16" s="78" t="s">
        <v>478</v>
      </c>
      <c r="C16" s="79">
        <v>0</v>
      </c>
      <c r="D16" s="80" t="s">
        <v>231</v>
      </c>
      <c r="E16" s="81">
        <v>2656.9349999999999</v>
      </c>
      <c r="F16" s="80" t="s">
        <v>231</v>
      </c>
      <c r="G16" s="79">
        <v>353092.08</v>
      </c>
      <c r="H16" s="80" t="s">
        <v>474</v>
      </c>
      <c r="I16" s="81">
        <v>4084.319</v>
      </c>
      <c r="J16" s="80" t="s">
        <v>231</v>
      </c>
      <c r="K16" s="79">
        <v>0</v>
      </c>
      <c r="L16" s="80" t="s">
        <v>231</v>
      </c>
      <c r="M16" s="81">
        <v>160956.489</v>
      </c>
      <c r="N16" s="80" t="s">
        <v>231</v>
      </c>
      <c r="O16" s="79">
        <v>0</v>
      </c>
      <c r="P16" s="80" t="s">
        <v>231</v>
      </c>
      <c r="Q16" s="81">
        <v>175608.92600000001</v>
      </c>
      <c r="R16" s="80" t="s">
        <v>231</v>
      </c>
      <c r="S16" s="79">
        <v>0</v>
      </c>
      <c r="T16" s="80" t="s">
        <v>231</v>
      </c>
      <c r="U16" s="81">
        <v>23442.149000000001</v>
      </c>
      <c r="V16" s="80" t="s">
        <v>231</v>
      </c>
      <c r="W16" s="79">
        <v>0</v>
      </c>
      <c r="X16" s="80" t="s">
        <v>231</v>
      </c>
      <c r="Y16" s="81">
        <v>10998.849</v>
      </c>
      <c r="Z16" s="80" t="s">
        <v>231</v>
      </c>
      <c r="AA16" s="79">
        <v>0</v>
      </c>
      <c r="AB16" s="80" t="s">
        <v>231</v>
      </c>
      <c r="AC16" s="81">
        <v>12442.346</v>
      </c>
      <c r="AD16" s="80" t="s">
        <v>231</v>
      </c>
      <c r="AE16" s="79">
        <v>0</v>
      </c>
      <c r="AF16" s="80" t="s">
        <v>231</v>
      </c>
      <c r="AG16" s="79">
        <v>0</v>
      </c>
      <c r="AH16" s="80" t="s">
        <v>231</v>
      </c>
      <c r="AI16" s="79">
        <v>0</v>
      </c>
      <c r="AJ16" s="80" t="s">
        <v>231</v>
      </c>
      <c r="AK16" s="81">
        <v>5925.9859999999999</v>
      </c>
      <c r="AL16" s="80" t="s">
        <v>231</v>
      </c>
    </row>
    <row r="17" spans="1:48" ht="16" x14ac:dyDescent="0.2">
      <c r="A17" s="78" t="s">
        <v>472</v>
      </c>
      <c r="B17" s="78" t="s">
        <v>479</v>
      </c>
      <c r="C17" s="82">
        <v>0</v>
      </c>
      <c r="D17" s="83" t="s">
        <v>231</v>
      </c>
      <c r="E17" s="84">
        <v>1535.0940000000001</v>
      </c>
      <c r="F17" s="83" t="s">
        <v>231</v>
      </c>
      <c r="G17" s="84">
        <v>90699.744000000006</v>
      </c>
      <c r="H17" s="83" t="s">
        <v>474</v>
      </c>
      <c r="I17" s="82">
        <v>28.42</v>
      </c>
      <c r="J17" s="83" t="s">
        <v>231</v>
      </c>
      <c r="K17" s="82">
        <v>0</v>
      </c>
      <c r="L17" s="83" t="s">
        <v>231</v>
      </c>
      <c r="M17" s="84">
        <v>24.513999999999999</v>
      </c>
      <c r="N17" s="83" t="s">
        <v>231</v>
      </c>
      <c r="O17" s="82">
        <v>0</v>
      </c>
      <c r="P17" s="83" t="s">
        <v>231</v>
      </c>
      <c r="Q17" s="84">
        <v>84649.159</v>
      </c>
      <c r="R17" s="83" t="s">
        <v>231</v>
      </c>
      <c r="S17" s="82">
        <v>0</v>
      </c>
      <c r="T17" s="83" t="s">
        <v>231</v>
      </c>
      <c r="U17" s="84">
        <v>5999.3670000000002</v>
      </c>
      <c r="V17" s="83" t="s">
        <v>231</v>
      </c>
      <c r="W17" s="82">
        <v>0</v>
      </c>
      <c r="X17" s="83" t="s">
        <v>231</v>
      </c>
      <c r="Y17" s="84">
        <v>1.675</v>
      </c>
      <c r="Z17" s="83" t="s">
        <v>231</v>
      </c>
      <c r="AA17" s="82">
        <v>0</v>
      </c>
      <c r="AB17" s="83" t="s">
        <v>231</v>
      </c>
      <c r="AC17" s="84">
        <v>5997.6509999999998</v>
      </c>
      <c r="AD17" s="83" t="s">
        <v>231</v>
      </c>
      <c r="AE17" s="82">
        <v>0</v>
      </c>
      <c r="AF17" s="83" t="s">
        <v>231</v>
      </c>
      <c r="AG17" s="82">
        <v>0</v>
      </c>
      <c r="AH17" s="83" t="s">
        <v>231</v>
      </c>
      <c r="AI17" s="82">
        <v>0</v>
      </c>
      <c r="AJ17" s="83" t="s">
        <v>231</v>
      </c>
      <c r="AK17" s="84">
        <v>11.717000000000001</v>
      </c>
      <c r="AL17" s="83" t="s">
        <v>231</v>
      </c>
    </row>
    <row r="18" spans="1:48" ht="16" x14ac:dyDescent="0.2">
      <c r="A18" s="78" t="s">
        <v>472</v>
      </c>
      <c r="B18" s="78" t="s">
        <v>480</v>
      </c>
      <c r="C18" s="79">
        <v>0</v>
      </c>
      <c r="D18" s="80" t="s">
        <v>231</v>
      </c>
      <c r="E18" s="81">
        <v>549.67700000000002</v>
      </c>
      <c r="F18" s="80" t="s">
        <v>231</v>
      </c>
      <c r="G18" s="81">
        <v>4199.2659999999996</v>
      </c>
      <c r="H18" s="80" t="s">
        <v>474</v>
      </c>
      <c r="I18" s="79">
        <v>0.04</v>
      </c>
      <c r="J18" s="80" t="s">
        <v>231</v>
      </c>
      <c r="K18" s="79">
        <v>0</v>
      </c>
      <c r="L18" s="80" t="s">
        <v>231</v>
      </c>
      <c r="M18" s="81">
        <v>163.214</v>
      </c>
      <c r="N18" s="80" t="s">
        <v>231</v>
      </c>
      <c r="O18" s="79">
        <v>0</v>
      </c>
      <c r="P18" s="80" t="s">
        <v>231</v>
      </c>
      <c r="Q18" s="81">
        <v>3769.0509999999999</v>
      </c>
      <c r="R18" s="80" t="s">
        <v>231</v>
      </c>
      <c r="S18" s="79">
        <v>0</v>
      </c>
      <c r="T18" s="80" t="s">
        <v>231</v>
      </c>
      <c r="U18" s="81">
        <v>279.03100000000001</v>
      </c>
      <c r="V18" s="80" t="s">
        <v>231</v>
      </c>
      <c r="W18" s="79">
        <v>0</v>
      </c>
      <c r="X18" s="80" t="s">
        <v>231</v>
      </c>
      <c r="Y18" s="81">
        <v>11.156000000000001</v>
      </c>
      <c r="Z18" s="80" t="s">
        <v>231</v>
      </c>
      <c r="AA18" s="79">
        <v>0</v>
      </c>
      <c r="AB18" s="80" t="s">
        <v>231</v>
      </c>
      <c r="AC18" s="81">
        <v>266.96100000000001</v>
      </c>
      <c r="AD18" s="80" t="s">
        <v>231</v>
      </c>
      <c r="AE18" s="79">
        <v>0</v>
      </c>
      <c r="AF18" s="80" t="s">
        <v>231</v>
      </c>
      <c r="AG18" s="79">
        <v>0</v>
      </c>
      <c r="AH18" s="80" t="s">
        <v>231</v>
      </c>
      <c r="AI18" s="79">
        <v>0</v>
      </c>
      <c r="AJ18" s="80" t="s">
        <v>231</v>
      </c>
      <c r="AK18" s="81">
        <v>512.39400000000001</v>
      </c>
      <c r="AL18" s="80" t="s">
        <v>231</v>
      </c>
    </row>
    <row r="19" spans="1:48" ht="16" x14ac:dyDescent="0.2">
      <c r="A19" s="78" t="s">
        <v>472</v>
      </c>
      <c r="B19" s="78" t="s">
        <v>481</v>
      </c>
      <c r="C19" s="82">
        <v>0</v>
      </c>
      <c r="D19" s="83" t="s">
        <v>231</v>
      </c>
      <c r="E19" s="84">
        <v>572.16399999999999</v>
      </c>
      <c r="F19" s="83" t="s">
        <v>231</v>
      </c>
      <c r="G19" s="84">
        <v>254189.36499999999</v>
      </c>
      <c r="H19" s="83" t="s">
        <v>474</v>
      </c>
      <c r="I19" s="84">
        <v>4055.8580000000002</v>
      </c>
      <c r="J19" s="83" t="s">
        <v>231</v>
      </c>
      <c r="K19" s="82">
        <v>0</v>
      </c>
      <c r="L19" s="83" t="s">
        <v>231</v>
      </c>
      <c r="M19" s="84">
        <v>156786.60699999999</v>
      </c>
      <c r="N19" s="83" t="s">
        <v>231</v>
      </c>
      <c r="O19" s="82">
        <v>0</v>
      </c>
      <c r="P19" s="83" t="s">
        <v>231</v>
      </c>
      <c r="Q19" s="84">
        <v>87170.593999999997</v>
      </c>
      <c r="R19" s="83" t="s">
        <v>231</v>
      </c>
      <c r="S19" s="82">
        <v>0</v>
      </c>
      <c r="T19" s="83" t="s">
        <v>231</v>
      </c>
      <c r="U19" s="84">
        <v>16890.149000000001</v>
      </c>
      <c r="V19" s="83" t="s">
        <v>231</v>
      </c>
      <c r="W19" s="82">
        <v>0</v>
      </c>
      <c r="X19" s="83" t="s">
        <v>231</v>
      </c>
      <c r="Y19" s="84">
        <v>10713.842000000001</v>
      </c>
      <c r="Z19" s="83" t="s">
        <v>231</v>
      </c>
      <c r="AA19" s="82">
        <v>0</v>
      </c>
      <c r="AB19" s="83" t="s">
        <v>231</v>
      </c>
      <c r="AC19" s="84">
        <v>6176.3069999999998</v>
      </c>
      <c r="AD19" s="83" t="s">
        <v>231</v>
      </c>
      <c r="AE19" s="82">
        <v>0</v>
      </c>
      <c r="AF19" s="83" t="s">
        <v>231</v>
      </c>
      <c r="AG19" s="82">
        <v>0</v>
      </c>
      <c r="AH19" s="83" t="s">
        <v>231</v>
      </c>
      <c r="AI19" s="82">
        <v>0</v>
      </c>
      <c r="AJ19" s="83" t="s">
        <v>231</v>
      </c>
      <c r="AK19" s="84">
        <v>5336.1009999999997</v>
      </c>
      <c r="AL19" s="83" t="s">
        <v>231</v>
      </c>
    </row>
    <row r="20" spans="1:48" ht="16" x14ac:dyDescent="0.2">
      <c r="A20" s="78" t="s">
        <v>472</v>
      </c>
      <c r="B20" s="78" t="s">
        <v>482</v>
      </c>
      <c r="C20" s="79">
        <v>0</v>
      </c>
      <c r="D20" s="80" t="s">
        <v>231</v>
      </c>
      <c r="E20" s="79">
        <v>0</v>
      </c>
      <c r="F20" s="80" t="s">
        <v>231</v>
      </c>
      <c r="G20" s="81">
        <v>4003.7040000000002</v>
      </c>
      <c r="H20" s="80" t="s">
        <v>474</v>
      </c>
      <c r="I20" s="81">
        <v>1E-3</v>
      </c>
      <c r="J20" s="80" t="s">
        <v>231</v>
      </c>
      <c r="K20" s="79">
        <v>0</v>
      </c>
      <c r="L20" s="80" t="s">
        <v>231</v>
      </c>
      <c r="M20" s="81">
        <v>3982.154</v>
      </c>
      <c r="N20" s="80" t="s">
        <v>231</v>
      </c>
      <c r="O20" s="79">
        <v>0</v>
      </c>
      <c r="P20" s="80" t="s">
        <v>231</v>
      </c>
      <c r="Q20" s="81">
        <v>20.122</v>
      </c>
      <c r="R20" s="80" t="s">
        <v>231</v>
      </c>
      <c r="S20" s="79">
        <v>0</v>
      </c>
      <c r="T20" s="80" t="s">
        <v>231</v>
      </c>
      <c r="U20" s="81">
        <v>273.60199999999998</v>
      </c>
      <c r="V20" s="80" t="s">
        <v>231</v>
      </c>
      <c r="W20" s="79">
        <v>0</v>
      </c>
      <c r="X20" s="80" t="s">
        <v>231</v>
      </c>
      <c r="Y20" s="81">
        <v>272.17599999999999</v>
      </c>
      <c r="Z20" s="80" t="s">
        <v>231</v>
      </c>
      <c r="AA20" s="79">
        <v>0</v>
      </c>
      <c r="AB20" s="80" t="s">
        <v>231</v>
      </c>
      <c r="AC20" s="81">
        <v>1.427</v>
      </c>
      <c r="AD20" s="80" t="s">
        <v>231</v>
      </c>
      <c r="AE20" s="79">
        <v>0</v>
      </c>
      <c r="AF20" s="80" t="s">
        <v>231</v>
      </c>
      <c r="AG20" s="79">
        <v>0</v>
      </c>
      <c r="AH20" s="80" t="s">
        <v>231</v>
      </c>
      <c r="AI20" s="79">
        <v>0</v>
      </c>
      <c r="AJ20" s="80" t="s">
        <v>231</v>
      </c>
      <c r="AK20" s="81">
        <v>65.774000000000001</v>
      </c>
      <c r="AL20" s="80" t="s">
        <v>231</v>
      </c>
    </row>
    <row r="21" spans="1:48" ht="17" thickBot="1" x14ac:dyDescent="0.25">
      <c r="A21" s="78" t="s">
        <v>472</v>
      </c>
      <c r="B21" s="78" t="s">
        <v>483</v>
      </c>
      <c r="C21" s="82">
        <v>0</v>
      </c>
      <c r="D21" s="83" t="s">
        <v>231</v>
      </c>
      <c r="E21" s="82">
        <v>0</v>
      </c>
      <c r="F21" s="83" t="s">
        <v>231</v>
      </c>
      <c r="G21" s="84">
        <v>4003.7040000000002</v>
      </c>
      <c r="H21" s="83" t="s">
        <v>474</v>
      </c>
      <c r="I21" s="84">
        <v>1E-3</v>
      </c>
      <c r="J21" s="83" t="s">
        <v>231</v>
      </c>
      <c r="K21" s="82">
        <v>0</v>
      </c>
      <c r="L21" s="83" t="s">
        <v>231</v>
      </c>
      <c r="M21" s="84">
        <v>3982.154</v>
      </c>
      <c r="N21" s="83" t="s">
        <v>231</v>
      </c>
      <c r="O21" s="82">
        <v>0</v>
      </c>
      <c r="P21" s="83" t="s">
        <v>231</v>
      </c>
      <c r="Q21" s="84">
        <v>20.122</v>
      </c>
      <c r="R21" s="83" t="s">
        <v>231</v>
      </c>
      <c r="S21" s="82">
        <v>0</v>
      </c>
      <c r="T21" s="83" t="s">
        <v>231</v>
      </c>
      <c r="U21" s="84">
        <v>273.60199999999998</v>
      </c>
      <c r="V21" s="83" t="s">
        <v>231</v>
      </c>
      <c r="W21" s="82">
        <v>0</v>
      </c>
      <c r="X21" s="83" t="s">
        <v>231</v>
      </c>
      <c r="Y21" s="84">
        <v>272.17599999999999</v>
      </c>
      <c r="Z21" s="83" t="s">
        <v>231</v>
      </c>
      <c r="AA21" s="82">
        <v>0</v>
      </c>
      <c r="AB21" s="83" t="s">
        <v>231</v>
      </c>
      <c r="AC21" s="84">
        <v>1.427</v>
      </c>
      <c r="AD21" s="83" t="s">
        <v>231</v>
      </c>
      <c r="AE21" s="82">
        <v>0</v>
      </c>
      <c r="AF21" s="83" t="s">
        <v>231</v>
      </c>
      <c r="AG21" s="82">
        <v>0</v>
      </c>
      <c r="AH21" s="83" t="s">
        <v>231</v>
      </c>
      <c r="AI21" s="82">
        <v>0</v>
      </c>
      <c r="AJ21" s="83" t="s">
        <v>231</v>
      </c>
      <c r="AK21" s="84">
        <v>65.774000000000001</v>
      </c>
      <c r="AL21" s="83" t="s">
        <v>231</v>
      </c>
      <c r="AN21" t="s">
        <v>568</v>
      </c>
    </row>
    <row r="22" spans="1:48" ht="16" x14ac:dyDescent="0.2">
      <c r="A22" s="78" t="s">
        <v>472</v>
      </c>
      <c r="B22" s="78" t="s">
        <v>484</v>
      </c>
      <c r="C22" s="79">
        <v>0</v>
      </c>
      <c r="D22" s="80" t="s">
        <v>231</v>
      </c>
      <c r="E22" s="81">
        <v>2585.2510000000002</v>
      </c>
      <c r="F22" s="80" t="s">
        <v>231</v>
      </c>
      <c r="G22" s="81">
        <v>347934.68199999997</v>
      </c>
      <c r="H22" s="80" t="s">
        <v>474</v>
      </c>
      <c r="I22" s="81">
        <v>5208.4539999999997</v>
      </c>
      <c r="J22" s="80" t="s">
        <v>231</v>
      </c>
      <c r="K22" s="79">
        <v>0</v>
      </c>
      <c r="L22" s="80" t="s">
        <v>231</v>
      </c>
      <c r="M22" s="79">
        <v>153806.34</v>
      </c>
      <c r="N22" s="80" t="s">
        <v>231</v>
      </c>
      <c r="O22" s="79">
        <v>0</v>
      </c>
      <c r="P22" s="80" t="s">
        <v>231</v>
      </c>
      <c r="Q22" s="79">
        <v>176414.05</v>
      </c>
      <c r="R22" s="80" t="s">
        <v>231</v>
      </c>
      <c r="S22" s="79">
        <v>0</v>
      </c>
      <c r="T22" s="80" t="s">
        <v>231</v>
      </c>
      <c r="U22" s="81">
        <v>23018.330999999998</v>
      </c>
      <c r="V22" s="80" t="s">
        <v>231</v>
      </c>
      <c r="W22" s="79">
        <v>0</v>
      </c>
      <c r="X22" s="80" t="s">
        <v>231</v>
      </c>
      <c r="Y22" s="81">
        <v>10512.494000000001</v>
      </c>
      <c r="Z22" s="80" t="s">
        <v>231</v>
      </c>
      <c r="AA22" s="79">
        <v>0</v>
      </c>
      <c r="AB22" s="80" t="s">
        <v>231</v>
      </c>
      <c r="AC22" s="81">
        <v>12505.837</v>
      </c>
      <c r="AD22" s="80" t="s">
        <v>231</v>
      </c>
      <c r="AE22" s="79">
        <v>0</v>
      </c>
      <c r="AF22" s="80" t="s">
        <v>231</v>
      </c>
      <c r="AG22" s="79">
        <v>0</v>
      </c>
      <c r="AH22" s="80" t="s">
        <v>231</v>
      </c>
      <c r="AI22" s="79">
        <v>0</v>
      </c>
      <c r="AJ22" s="80" t="s">
        <v>231</v>
      </c>
      <c r="AK22" s="81">
        <v>5925.9859999999999</v>
      </c>
      <c r="AL22" s="80" t="s">
        <v>231</v>
      </c>
      <c r="AN22" s="100"/>
      <c r="AO22" s="108" t="s">
        <v>485</v>
      </c>
      <c r="AP22" s="108" t="s">
        <v>289</v>
      </c>
      <c r="AQ22" s="108" t="s">
        <v>486</v>
      </c>
      <c r="AR22" s="108" t="s">
        <v>487</v>
      </c>
      <c r="AS22" s="109" t="s">
        <v>294</v>
      </c>
    </row>
    <row r="23" spans="1:48" ht="16" x14ac:dyDescent="0.2">
      <c r="A23" s="78" t="s">
        <v>472</v>
      </c>
      <c r="B23" s="78" t="s">
        <v>489</v>
      </c>
      <c r="C23" s="82">
        <v>0</v>
      </c>
      <c r="D23" s="83" t="s">
        <v>231</v>
      </c>
      <c r="E23" s="84">
        <v>1477.116</v>
      </c>
      <c r="F23" s="83" t="s">
        <v>231</v>
      </c>
      <c r="G23" s="84">
        <v>91582.957999999999</v>
      </c>
      <c r="H23" s="83" t="s">
        <v>474</v>
      </c>
      <c r="I23" s="82">
        <v>35.65</v>
      </c>
      <c r="J23" s="83" t="s">
        <v>231</v>
      </c>
      <c r="K23" s="82">
        <v>0</v>
      </c>
      <c r="L23" s="83" t="s">
        <v>231</v>
      </c>
      <c r="M23" s="84">
        <v>24.513999999999999</v>
      </c>
      <c r="N23" s="83" t="s">
        <v>231</v>
      </c>
      <c r="O23" s="82">
        <v>0</v>
      </c>
      <c r="P23" s="83" t="s">
        <v>231</v>
      </c>
      <c r="Q23" s="84">
        <v>85464.304999999993</v>
      </c>
      <c r="R23" s="83" t="s">
        <v>231</v>
      </c>
      <c r="S23" s="82">
        <v>0</v>
      </c>
      <c r="T23" s="83" t="s">
        <v>231</v>
      </c>
      <c r="U23" s="84">
        <v>6060.165</v>
      </c>
      <c r="V23" s="83" t="s">
        <v>231</v>
      </c>
      <c r="W23" s="82">
        <v>0</v>
      </c>
      <c r="X23" s="83" t="s">
        <v>231</v>
      </c>
      <c r="Y23" s="84">
        <v>1.675</v>
      </c>
      <c r="Z23" s="83" t="s">
        <v>231</v>
      </c>
      <c r="AA23" s="82">
        <v>0</v>
      </c>
      <c r="AB23" s="83" t="s">
        <v>231</v>
      </c>
      <c r="AC23" s="84">
        <v>6058.4889999999996</v>
      </c>
      <c r="AD23" s="83" t="s">
        <v>231</v>
      </c>
      <c r="AE23" s="82">
        <v>0</v>
      </c>
      <c r="AF23" s="83" t="s">
        <v>231</v>
      </c>
      <c r="AG23" s="82">
        <v>0</v>
      </c>
      <c r="AH23" s="83" t="s">
        <v>231</v>
      </c>
      <c r="AI23" s="82">
        <v>0</v>
      </c>
      <c r="AJ23" s="83" t="s">
        <v>231</v>
      </c>
      <c r="AK23" s="84">
        <v>11.717000000000001</v>
      </c>
      <c r="AL23" s="83" t="s">
        <v>231</v>
      </c>
      <c r="AN23" s="103" t="s">
        <v>490</v>
      </c>
      <c r="AO23" s="91">
        <f>AK23/SUM($AK$23:$AK$26)</f>
        <v>1.9772237058946814E-3</v>
      </c>
      <c r="AP23" s="139">
        <f>Q23/SUM($Q$23:$Q$25)</f>
        <v>0.48450820257259641</v>
      </c>
      <c r="AQ23" s="91">
        <f>M23/SUM($M$23:$M$26)</f>
        <v>1.5938224653157989E-4</v>
      </c>
      <c r="AR23" s="91">
        <f>E23/SUM($E$23:$E$26)</f>
        <v>0.57136248226478503</v>
      </c>
      <c r="AS23" s="104">
        <v>0</v>
      </c>
    </row>
    <row r="24" spans="1:48" ht="17" thickBot="1" x14ac:dyDescent="0.25">
      <c r="A24" s="78" t="s">
        <v>472</v>
      </c>
      <c r="B24" s="78" t="s">
        <v>491</v>
      </c>
      <c r="C24" s="79">
        <v>0</v>
      </c>
      <c r="D24" s="80" t="s">
        <v>231</v>
      </c>
      <c r="E24" s="81">
        <v>524.83199999999999</v>
      </c>
      <c r="F24" s="80" t="s">
        <v>231</v>
      </c>
      <c r="G24" s="81">
        <v>4163.6109999999999</v>
      </c>
      <c r="H24" s="80" t="s">
        <v>474</v>
      </c>
      <c r="I24" s="79">
        <v>0.05</v>
      </c>
      <c r="J24" s="80" t="s">
        <v>231</v>
      </c>
      <c r="K24" s="79">
        <v>0</v>
      </c>
      <c r="L24" s="80" t="s">
        <v>231</v>
      </c>
      <c r="M24" s="81">
        <v>163.214</v>
      </c>
      <c r="N24" s="80" t="s">
        <v>231</v>
      </c>
      <c r="O24" s="79">
        <v>0</v>
      </c>
      <c r="P24" s="80" t="s">
        <v>231</v>
      </c>
      <c r="Q24" s="81">
        <v>3735.538</v>
      </c>
      <c r="R24" s="80" t="s">
        <v>231</v>
      </c>
      <c r="S24" s="79">
        <v>0</v>
      </c>
      <c r="T24" s="80" t="s">
        <v>231</v>
      </c>
      <c r="U24" s="81">
        <v>275.964</v>
      </c>
      <c r="V24" s="80" t="s">
        <v>231</v>
      </c>
      <c r="W24" s="79">
        <v>0</v>
      </c>
      <c r="X24" s="80" t="s">
        <v>231</v>
      </c>
      <c r="Y24" s="81">
        <v>11.156000000000001</v>
      </c>
      <c r="Z24" s="80" t="s">
        <v>231</v>
      </c>
      <c r="AA24" s="79">
        <v>0</v>
      </c>
      <c r="AB24" s="80" t="s">
        <v>231</v>
      </c>
      <c r="AC24" s="81">
        <v>264.80900000000003</v>
      </c>
      <c r="AD24" s="80" t="s">
        <v>231</v>
      </c>
      <c r="AE24" s="79">
        <v>0</v>
      </c>
      <c r="AF24" s="80" t="s">
        <v>231</v>
      </c>
      <c r="AG24" s="79">
        <v>0</v>
      </c>
      <c r="AH24" s="80" t="s">
        <v>231</v>
      </c>
      <c r="AI24" s="79">
        <v>0</v>
      </c>
      <c r="AJ24" s="80" t="s">
        <v>231</v>
      </c>
      <c r="AK24" s="81">
        <v>512.39400000000001</v>
      </c>
      <c r="AL24" s="80" t="s">
        <v>231</v>
      </c>
      <c r="AN24" s="103" t="s">
        <v>492</v>
      </c>
      <c r="AO24" s="91">
        <f>AK24/SUM($AK$23:$AK$26)</f>
        <v>8.6465610954868946E-2</v>
      </c>
      <c r="AP24" s="139">
        <f>Q24/SUM($Q$23:$Q$25)</f>
        <v>2.1177248232716942E-2</v>
      </c>
      <c r="AQ24" s="91">
        <f>M24/SUM($M$23:$M$26)</f>
        <v>1.0611656190505539E-3</v>
      </c>
      <c r="AR24" s="91">
        <f>E24/SUM($E$23:$E$26)</f>
        <v>0.20300999670438316</v>
      </c>
      <c r="AS24" s="104">
        <f>I24/SUM($I$23:$I$26)</f>
        <v>9.5997775923527418E-6</v>
      </c>
      <c r="AU24" t="s">
        <v>570</v>
      </c>
    </row>
    <row r="25" spans="1:48" ht="16" x14ac:dyDescent="0.2">
      <c r="A25" s="78" t="s">
        <v>472</v>
      </c>
      <c r="B25" s="78" t="s">
        <v>493</v>
      </c>
      <c r="C25" s="82">
        <v>0</v>
      </c>
      <c r="D25" s="83" t="s">
        <v>231</v>
      </c>
      <c r="E25" s="84">
        <v>583.30399999999997</v>
      </c>
      <c r="F25" s="83" t="s">
        <v>231</v>
      </c>
      <c r="G25" s="84">
        <v>248184.408</v>
      </c>
      <c r="H25" s="83" t="s">
        <v>474</v>
      </c>
      <c r="I25" s="84">
        <v>5172.7529999999997</v>
      </c>
      <c r="J25" s="83" t="s">
        <v>231</v>
      </c>
      <c r="K25" s="82">
        <v>0</v>
      </c>
      <c r="L25" s="83" t="s">
        <v>231</v>
      </c>
      <c r="M25" s="84">
        <v>149636.45800000001</v>
      </c>
      <c r="N25" s="83" t="s">
        <v>231</v>
      </c>
      <c r="O25" s="82">
        <v>0</v>
      </c>
      <c r="P25" s="83" t="s">
        <v>231</v>
      </c>
      <c r="Q25" s="84">
        <v>87194.085000000006</v>
      </c>
      <c r="R25" s="83" t="s">
        <v>231</v>
      </c>
      <c r="S25" s="82">
        <v>0</v>
      </c>
      <c r="T25" s="83" t="s">
        <v>231</v>
      </c>
      <c r="U25" s="84">
        <v>16408.598000000002</v>
      </c>
      <c r="V25" s="83" t="s">
        <v>231</v>
      </c>
      <c r="W25" s="82">
        <v>0</v>
      </c>
      <c r="X25" s="83" t="s">
        <v>231</v>
      </c>
      <c r="Y25" s="84">
        <v>10227.486999999999</v>
      </c>
      <c r="Z25" s="83" t="s">
        <v>231</v>
      </c>
      <c r="AA25" s="82">
        <v>0</v>
      </c>
      <c r="AB25" s="83" t="s">
        <v>231</v>
      </c>
      <c r="AC25" s="84">
        <v>6181.1120000000001</v>
      </c>
      <c r="AD25" s="83" t="s">
        <v>231</v>
      </c>
      <c r="AE25" s="82">
        <v>0</v>
      </c>
      <c r="AF25" s="83" t="s">
        <v>231</v>
      </c>
      <c r="AG25" s="82">
        <v>0</v>
      </c>
      <c r="AH25" s="83" t="s">
        <v>231</v>
      </c>
      <c r="AI25" s="82">
        <v>0</v>
      </c>
      <c r="AJ25" s="83" t="s">
        <v>231</v>
      </c>
      <c r="AK25" s="84">
        <v>5336.1009999999997</v>
      </c>
      <c r="AL25" s="83" t="s">
        <v>231</v>
      </c>
      <c r="AN25" s="103" t="s">
        <v>494</v>
      </c>
      <c r="AO25" s="111">
        <f>AK25/SUM($AK$23:$AK$26)</f>
        <v>0.900457915357883</v>
      </c>
      <c r="AP25" s="140">
        <f>Q25/SUM($Q$23:$Q$25)</f>
        <v>0.49431454919468654</v>
      </c>
      <c r="AQ25" s="111">
        <f>M25/SUM($M$23:$M$26)</f>
        <v>0.97288875087984017</v>
      </c>
      <c r="AR25" s="111">
        <f>E25/SUM($E$23:$E$26)</f>
        <v>0.22562752103083181</v>
      </c>
      <c r="AS25" s="112">
        <v>1</v>
      </c>
      <c r="AU25" s="100"/>
      <c r="AV25" s="109" t="s">
        <v>485</v>
      </c>
    </row>
    <row r="26" spans="1:48" ht="16" x14ac:dyDescent="0.2">
      <c r="A26" s="78" t="s">
        <v>472</v>
      </c>
      <c r="B26" s="78" t="s">
        <v>495</v>
      </c>
      <c r="C26" s="79">
        <v>0</v>
      </c>
      <c r="D26" s="80" t="s">
        <v>231</v>
      </c>
      <c r="E26" s="79">
        <v>0</v>
      </c>
      <c r="F26" s="80" t="s">
        <v>231</v>
      </c>
      <c r="G26" s="81">
        <v>4003.7040000000002</v>
      </c>
      <c r="H26" s="80" t="s">
        <v>474</v>
      </c>
      <c r="I26" s="81">
        <v>1E-3</v>
      </c>
      <c r="J26" s="80" t="s">
        <v>231</v>
      </c>
      <c r="K26" s="79">
        <v>0</v>
      </c>
      <c r="L26" s="80" t="s">
        <v>231</v>
      </c>
      <c r="M26" s="81">
        <v>3982.154</v>
      </c>
      <c r="N26" s="80" t="s">
        <v>231</v>
      </c>
      <c r="O26" s="79">
        <v>0</v>
      </c>
      <c r="P26" s="80" t="s">
        <v>231</v>
      </c>
      <c r="Q26" s="81">
        <v>20.122</v>
      </c>
      <c r="R26" s="80" t="s">
        <v>231</v>
      </c>
      <c r="S26" s="79">
        <v>0</v>
      </c>
      <c r="T26" s="80" t="s">
        <v>231</v>
      </c>
      <c r="U26" s="81">
        <v>273.60300000000001</v>
      </c>
      <c r="V26" s="80" t="s">
        <v>231</v>
      </c>
      <c r="W26" s="79">
        <v>0</v>
      </c>
      <c r="X26" s="80" t="s">
        <v>231</v>
      </c>
      <c r="Y26" s="81">
        <v>272.17599999999999</v>
      </c>
      <c r="Z26" s="80" t="s">
        <v>231</v>
      </c>
      <c r="AA26" s="79">
        <v>0</v>
      </c>
      <c r="AB26" s="80" t="s">
        <v>231</v>
      </c>
      <c r="AC26" s="81">
        <v>1.427</v>
      </c>
      <c r="AD26" s="80" t="s">
        <v>231</v>
      </c>
      <c r="AE26" s="79">
        <v>0</v>
      </c>
      <c r="AF26" s="80" t="s">
        <v>231</v>
      </c>
      <c r="AG26" s="79">
        <v>0</v>
      </c>
      <c r="AH26" s="80" t="s">
        <v>231</v>
      </c>
      <c r="AI26" s="79">
        <v>0</v>
      </c>
      <c r="AJ26" s="80" t="s">
        <v>231</v>
      </c>
      <c r="AK26" s="81">
        <v>65.774000000000001</v>
      </c>
      <c r="AL26" s="80" t="s">
        <v>231</v>
      </c>
      <c r="AN26" s="103" t="s">
        <v>496</v>
      </c>
      <c r="AO26" s="91">
        <f>AK26/SUM($AK$23:$AK$26)</f>
        <v>1.1099249981353315E-2</v>
      </c>
      <c r="AP26" s="141" t="s">
        <v>571</v>
      </c>
      <c r="AQ26" s="91">
        <f>M26/SUM($M$23:$M$26)</f>
        <v>2.5890701254577667E-2</v>
      </c>
      <c r="AR26" s="91">
        <f>E26/SUM($E$23:$E$26)</f>
        <v>0</v>
      </c>
      <c r="AS26" s="104">
        <f>I26/SUM($I$23:$I$26)</f>
        <v>1.9199555184705482E-7</v>
      </c>
      <c r="AU26" s="103" t="s">
        <v>549</v>
      </c>
      <c r="AV26" s="104">
        <f>AX90/(AX90+AX91)*AO26</f>
        <v>1.01473554659382E-2</v>
      </c>
    </row>
    <row r="27" spans="1:48" ht="17" thickBot="1" x14ac:dyDescent="0.25">
      <c r="A27" s="78" t="s">
        <v>472</v>
      </c>
      <c r="B27" s="78" t="s">
        <v>497</v>
      </c>
      <c r="C27" s="82">
        <v>0</v>
      </c>
      <c r="D27" s="83" t="s">
        <v>231</v>
      </c>
      <c r="E27" s="82">
        <v>0</v>
      </c>
      <c r="F27" s="83" t="s">
        <v>231</v>
      </c>
      <c r="G27" s="84">
        <v>4003.7040000000002</v>
      </c>
      <c r="H27" s="83" t="s">
        <v>474</v>
      </c>
      <c r="I27" s="84">
        <v>1E-3</v>
      </c>
      <c r="J27" s="83" t="s">
        <v>231</v>
      </c>
      <c r="K27" s="82">
        <v>0</v>
      </c>
      <c r="L27" s="83" t="s">
        <v>231</v>
      </c>
      <c r="M27" s="84">
        <v>3982.154</v>
      </c>
      <c r="N27" s="83" t="s">
        <v>231</v>
      </c>
      <c r="O27" s="82">
        <v>0</v>
      </c>
      <c r="P27" s="83" t="s">
        <v>231</v>
      </c>
      <c r="Q27" s="84">
        <v>20.122</v>
      </c>
      <c r="R27" s="83" t="s">
        <v>231</v>
      </c>
      <c r="S27" s="82">
        <v>0</v>
      </c>
      <c r="T27" s="83" t="s">
        <v>231</v>
      </c>
      <c r="U27" s="84">
        <v>273.60300000000001</v>
      </c>
      <c r="V27" s="83" t="s">
        <v>231</v>
      </c>
      <c r="W27" s="82">
        <v>0</v>
      </c>
      <c r="X27" s="83" t="s">
        <v>231</v>
      </c>
      <c r="Y27" s="84">
        <v>272.17599999999999</v>
      </c>
      <c r="Z27" s="83" t="s">
        <v>231</v>
      </c>
      <c r="AA27" s="82">
        <v>0</v>
      </c>
      <c r="AB27" s="83" t="s">
        <v>231</v>
      </c>
      <c r="AC27" s="84">
        <v>1.427</v>
      </c>
      <c r="AD27" s="83" t="s">
        <v>231</v>
      </c>
      <c r="AE27" s="82">
        <v>0</v>
      </c>
      <c r="AF27" s="83" t="s">
        <v>231</v>
      </c>
      <c r="AG27" s="82">
        <v>0</v>
      </c>
      <c r="AH27" s="83" t="s">
        <v>231</v>
      </c>
      <c r="AI27" s="82">
        <v>0</v>
      </c>
      <c r="AJ27" s="83" t="s">
        <v>231</v>
      </c>
      <c r="AK27" s="84">
        <v>65.774000000000001</v>
      </c>
      <c r="AL27" s="83" t="s">
        <v>231</v>
      </c>
      <c r="AN27" s="103"/>
      <c r="AO27" s="91"/>
      <c r="AP27" s="137"/>
      <c r="AQ27" s="91"/>
      <c r="AR27" s="91"/>
      <c r="AS27" s="104"/>
      <c r="AU27" s="105" t="s">
        <v>550</v>
      </c>
      <c r="AV27" s="107">
        <f>AX91/(AX90+AX91)*AO26</f>
        <v>9.5189451541511456E-4</v>
      </c>
    </row>
    <row r="28" spans="1:48" ht="16" x14ac:dyDescent="0.2">
      <c r="A28" s="78" t="s">
        <v>472</v>
      </c>
      <c r="B28" s="78" t="s">
        <v>498</v>
      </c>
      <c r="C28" s="79">
        <v>0</v>
      </c>
      <c r="D28" s="80" t="s">
        <v>231</v>
      </c>
      <c r="E28" s="79">
        <v>0</v>
      </c>
      <c r="F28" s="80" t="s">
        <v>231</v>
      </c>
      <c r="G28" s="79">
        <v>0</v>
      </c>
      <c r="H28" s="80" t="s">
        <v>474</v>
      </c>
      <c r="I28" s="79">
        <v>0</v>
      </c>
      <c r="J28" s="80" t="s">
        <v>231</v>
      </c>
      <c r="K28" s="79">
        <v>0</v>
      </c>
      <c r="L28" s="80" t="s">
        <v>231</v>
      </c>
      <c r="M28" s="79">
        <v>0</v>
      </c>
      <c r="N28" s="80" t="s">
        <v>231</v>
      </c>
      <c r="O28" s="79">
        <v>0</v>
      </c>
      <c r="P28" s="80" t="s">
        <v>231</v>
      </c>
      <c r="Q28" s="79">
        <v>0</v>
      </c>
      <c r="R28" s="80" t="s">
        <v>231</v>
      </c>
      <c r="S28" s="79">
        <v>0</v>
      </c>
      <c r="T28" s="80" t="s">
        <v>231</v>
      </c>
      <c r="U28" s="79">
        <v>0</v>
      </c>
      <c r="V28" s="80" t="s">
        <v>231</v>
      </c>
      <c r="W28" s="79">
        <v>0</v>
      </c>
      <c r="X28" s="80" t="s">
        <v>231</v>
      </c>
      <c r="Y28" s="79">
        <v>0</v>
      </c>
      <c r="Z28" s="80" t="s">
        <v>231</v>
      </c>
      <c r="AA28" s="79">
        <v>0</v>
      </c>
      <c r="AB28" s="80" t="s">
        <v>231</v>
      </c>
      <c r="AC28" s="79">
        <v>0</v>
      </c>
      <c r="AD28" s="80" t="s">
        <v>231</v>
      </c>
      <c r="AE28" s="79">
        <v>0</v>
      </c>
      <c r="AF28" s="80" t="s">
        <v>231</v>
      </c>
      <c r="AG28" s="79">
        <v>0</v>
      </c>
      <c r="AH28" s="80" t="s">
        <v>231</v>
      </c>
      <c r="AI28" s="79">
        <v>0</v>
      </c>
      <c r="AJ28" s="80" t="s">
        <v>231</v>
      </c>
      <c r="AK28" s="79">
        <v>0</v>
      </c>
      <c r="AL28" s="80" t="s">
        <v>231</v>
      </c>
      <c r="AN28" s="103" t="s">
        <v>499</v>
      </c>
      <c r="AO28" s="91">
        <f>AR60/(AR60+AR61)*AO25</f>
        <v>0.86987753915511079</v>
      </c>
      <c r="AP28" s="137">
        <f>AW35/(AW35+AW36)*AP25</f>
        <v>0.19779589286813737</v>
      </c>
      <c r="AQ28" s="91">
        <f>AV35/(AV35+AV36)*AQ25</f>
        <v>0.96857161678511106</v>
      </c>
      <c r="AR28" s="91">
        <f>AY35/(AY35+AY36)*AR25</f>
        <v>0.18003910695165551</v>
      </c>
      <c r="AS28" s="104">
        <f>AX35/(AX35+AX36)*AS25</f>
        <v>0.71263697090228917</v>
      </c>
    </row>
    <row r="29" spans="1:48" ht="17" thickBot="1" x14ac:dyDescent="0.25">
      <c r="A29" s="78" t="s">
        <v>472</v>
      </c>
      <c r="B29" s="78" t="s">
        <v>500</v>
      </c>
      <c r="C29" s="82">
        <v>0</v>
      </c>
      <c r="D29" s="83" t="s">
        <v>231</v>
      </c>
      <c r="E29" s="82">
        <v>0</v>
      </c>
      <c r="F29" s="83" t="s">
        <v>231</v>
      </c>
      <c r="G29" s="82">
        <v>0</v>
      </c>
      <c r="H29" s="83" t="s">
        <v>474</v>
      </c>
      <c r="I29" s="82">
        <v>0</v>
      </c>
      <c r="J29" s="83" t="s">
        <v>231</v>
      </c>
      <c r="K29" s="82">
        <v>0</v>
      </c>
      <c r="L29" s="83" t="s">
        <v>231</v>
      </c>
      <c r="M29" s="82">
        <v>0</v>
      </c>
      <c r="N29" s="83" t="s">
        <v>231</v>
      </c>
      <c r="O29" s="82">
        <v>0</v>
      </c>
      <c r="P29" s="83" t="s">
        <v>231</v>
      </c>
      <c r="Q29" s="82">
        <v>0</v>
      </c>
      <c r="R29" s="83" t="s">
        <v>231</v>
      </c>
      <c r="S29" s="82">
        <v>0</v>
      </c>
      <c r="T29" s="83" t="s">
        <v>231</v>
      </c>
      <c r="U29" s="82">
        <v>0</v>
      </c>
      <c r="V29" s="83" t="s">
        <v>231</v>
      </c>
      <c r="W29" s="82">
        <v>0</v>
      </c>
      <c r="X29" s="83" t="s">
        <v>231</v>
      </c>
      <c r="Y29" s="82">
        <v>0</v>
      </c>
      <c r="Z29" s="83" t="s">
        <v>231</v>
      </c>
      <c r="AA29" s="82">
        <v>0</v>
      </c>
      <c r="AB29" s="83" t="s">
        <v>231</v>
      </c>
      <c r="AC29" s="82">
        <v>0</v>
      </c>
      <c r="AD29" s="83" t="s">
        <v>231</v>
      </c>
      <c r="AE29" s="82">
        <v>0</v>
      </c>
      <c r="AF29" s="83" t="s">
        <v>231</v>
      </c>
      <c r="AG29" s="82">
        <v>0</v>
      </c>
      <c r="AH29" s="83" t="s">
        <v>231</v>
      </c>
      <c r="AI29" s="82">
        <v>0</v>
      </c>
      <c r="AJ29" s="83" t="s">
        <v>231</v>
      </c>
      <c r="AK29" s="82">
        <v>0</v>
      </c>
      <c r="AL29" s="83" t="s">
        <v>231</v>
      </c>
      <c r="AN29" s="105" t="s">
        <v>501</v>
      </c>
      <c r="AO29" s="106">
        <f>AR61/(AR60+AR61)*AO25</f>
        <v>3.058037620277226E-2</v>
      </c>
      <c r="AP29" s="138">
        <f>AW36/(AW36+AW35)*AP25</f>
        <v>0.29651865632654917</v>
      </c>
      <c r="AQ29" s="106">
        <f>AV36/(AV36+AV35)*AQ25</f>
        <v>4.3171340947290296E-3</v>
      </c>
      <c r="AR29" s="106">
        <f>AY36/(AY35+AY36)*AR25</f>
        <v>4.5588414079176284E-2</v>
      </c>
      <c r="AS29" s="107">
        <f>AX36/(AX36+AX35)*AS25</f>
        <v>0.28736302909771083</v>
      </c>
    </row>
    <row r="30" spans="1:48" ht="17" thickBot="1" x14ac:dyDescent="0.25">
      <c r="A30" s="78" t="s">
        <v>472</v>
      </c>
      <c r="B30" s="78" t="s">
        <v>502</v>
      </c>
      <c r="C30" s="79">
        <v>0</v>
      </c>
      <c r="D30" s="80" t="s">
        <v>231</v>
      </c>
      <c r="E30" s="79">
        <v>0</v>
      </c>
      <c r="F30" s="80" t="s">
        <v>231</v>
      </c>
      <c r="G30" s="79">
        <v>0</v>
      </c>
      <c r="H30" s="80" t="s">
        <v>474</v>
      </c>
      <c r="I30" s="79">
        <v>0</v>
      </c>
      <c r="J30" s="80" t="s">
        <v>231</v>
      </c>
      <c r="K30" s="79">
        <v>0</v>
      </c>
      <c r="L30" s="80" t="s">
        <v>231</v>
      </c>
      <c r="M30" s="79">
        <v>0</v>
      </c>
      <c r="N30" s="80" t="s">
        <v>231</v>
      </c>
      <c r="O30" s="79">
        <v>0</v>
      </c>
      <c r="P30" s="80" t="s">
        <v>231</v>
      </c>
      <c r="Q30" s="79">
        <v>0</v>
      </c>
      <c r="R30" s="80" t="s">
        <v>231</v>
      </c>
      <c r="S30" s="79">
        <v>0</v>
      </c>
      <c r="T30" s="80" t="s">
        <v>231</v>
      </c>
      <c r="U30" s="79">
        <v>0</v>
      </c>
      <c r="V30" s="80" t="s">
        <v>231</v>
      </c>
      <c r="W30" s="79">
        <v>0</v>
      </c>
      <c r="X30" s="80" t="s">
        <v>231</v>
      </c>
      <c r="Y30" s="79">
        <v>0</v>
      </c>
      <c r="Z30" s="80" t="s">
        <v>231</v>
      </c>
      <c r="AA30" s="79">
        <v>0</v>
      </c>
      <c r="AB30" s="80" t="s">
        <v>231</v>
      </c>
      <c r="AC30" s="79">
        <v>0</v>
      </c>
      <c r="AD30" s="80" t="s">
        <v>231</v>
      </c>
      <c r="AE30" s="79">
        <v>0</v>
      </c>
      <c r="AF30" s="80" t="s">
        <v>231</v>
      </c>
      <c r="AG30" s="79">
        <v>0</v>
      </c>
      <c r="AH30" s="80" t="s">
        <v>231</v>
      </c>
      <c r="AI30" s="79">
        <v>0</v>
      </c>
      <c r="AJ30" s="80" t="s">
        <v>231</v>
      </c>
      <c r="AK30" s="79">
        <v>0</v>
      </c>
      <c r="AL30" s="80" t="s">
        <v>231</v>
      </c>
      <c r="AN30" t="s">
        <v>569</v>
      </c>
      <c r="AO30" s="68"/>
      <c r="AP30" s="68"/>
      <c r="AQ30" s="68"/>
      <c r="AR30" s="68"/>
      <c r="AS30" s="68"/>
    </row>
    <row r="31" spans="1:48" ht="16" x14ac:dyDescent="0.2">
      <c r="A31" s="78" t="s">
        <v>472</v>
      </c>
      <c r="B31" s="78" t="s">
        <v>503</v>
      </c>
      <c r="C31" s="82">
        <v>0</v>
      </c>
      <c r="D31" s="83" t="s">
        <v>231</v>
      </c>
      <c r="E31" s="82">
        <v>0</v>
      </c>
      <c r="F31" s="83" t="s">
        <v>231</v>
      </c>
      <c r="G31" s="82">
        <v>0</v>
      </c>
      <c r="H31" s="83" t="s">
        <v>474</v>
      </c>
      <c r="I31" s="82">
        <v>0</v>
      </c>
      <c r="J31" s="83" t="s">
        <v>231</v>
      </c>
      <c r="K31" s="82">
        <v>0</v>
      </c>
      <c r="L31" s="83" t="s">
        <v>231</v>
      </c>
      <c r="M31" s="82">
        <v>0</v>
      </c>
      <c r="N31" s="83" t="s">
        <v>231</v>
      </c>
      <c r="O31" s="82">
        <v>0</v>
      </c>
      <c r="P31" s="83" t="s">
        <v>231</v>
      </c>
      <c r="Q31" s="82">
        <v>0</v>
      </c>
      <c r="R31" s="83" t="s">
        <v>231</v>
      </c>
      <c r="S31" s="82">
        <v>0</v>
      </c>
      <c r="T31" s="83" t="s">
        <v>231</v>
      </c>
      <c r="U31" s="82">
        <v>0</v>
      </c>
      <c r="V31" s="83" t="s">
        <v>231</v>
      </c>
      <c r="W31" s="82">
        <v>0</v>
      </c>
      <c r="X31" s="83" t="s">
        <v>231</v>
      </c>
      <c r="Y31" s="82">
        <v>0</v>
      </c>
      <c r="Z31" s="83" t="s">
        <v>231</v>
      </c>
      <c r="AA31" s="82">
        <v>0</v>
      </c>
      <c r="AB31" s="83" t="s">
        <v>231</v>
      </c>
      <c r="AC31" s="82">
        <v>0</v>
      </c>
      <c r="AD31" s="83" t="s">
        <v>231</v>
      </c>
      <c r="AE31" s="82">
        <v>0</v>
      </c>
      <c r="AF31" s="83" t="s">
        <v>231</v>
      </c>
      <c r="AG31" s="82">
        <v>0</v>
      </c>
      <c r="AH31" s="83" t="s">
        <v>231</v>
      </c>
      <c r="AI31" s="82">
        <v>0</v>
      </c>
      <c r="AJ31" s="83" t="s">
        <v>231</v>
      </c>
      <c r="AK31" s="82">
        <v>0</v>
      </c>
      <c r="AL31" s="83" t="s">
        <v>231</v>
      </c>
      <c r="AN31" s="100"/>
      <c r="AO31" s="101" t="s">
        <v>289</v>
      </c>
      <c r="AP31" s="102" t="s">
        <v>485</v>
      </c>
      <c r="AQ31" s="68"/>
      <c r="AR31" s="68"/>
      <c r="AS31" s="68"/>
    </row>
    <row r="32" spans="1:48" ht="16" x14ac:dyDescent="0.2">
      <c r="A32" s="78" t="s">
        <v>472</v>
      </c>
      <c r="B32" s="78" t="s">
        <v>504</v>
      </c>
      <c r="C32" s="79">
        <v>0</v>
      </c>
      <c r="D32" s="80" t="s">
        <v>231</v>
      </c>
      <c r="E32" s="79">
        <v>0</v>
      </c>
      <c r="F32" s="80" t="s">
        <v>231</v>
      </c>
      <c r="G32" s="79">
        <v>0</v>
      </c>
      <c r="H32" s="80" t="s">
        <v>474</v>
      </c>
      <c r="I32" s="79">
        <v>0</v>
      </c>
      <c r="J32" s="80" t="s">
        <v>231</v>
      </c>
      <c r="K32" s="79">
        <v>0</v>
      </c>
      <c r="L32" s="80" t="s">
        <v>231</v>
      </c>
      <c r="M32" s="79">
        <v>0</v>
      </c>
      <c r="N32" s="80" t="s">
        <v>231</v>
      </c>
      <c r="O32" s="79">
        <v>0</v>
      </c>
      <c r="P32" s="80" t="s">
        <v>231</v>
      </c>
      <c r="Q32" s="79">
        <v>0</v>
      </c>
      <c r="R32" s="80" t="s">
        <v>231</v>
      </c>
      <c r="S32" s="79">
        <v>0</v>
      </c>
      <c r="T32" s="80" t="s">
        <v>231</v>
      </c>
      <c r="U32" s="79">
        <v>0</v>
      </c>
      <c r="V32" s="80" t="s">
        <v>231</v>
      </c>
      <c r="W32" s="79">
        <v>0</v>
      </c>
      <c r="X32" s="80" t="s">
        <v>231</v>
      </c>
      <c r="Y32" s="79">
        <v>0</v>
      </c>
      <c r="Z32" s="80" t="s">
        <v>231</v>
      </c>
      <c r="AA32" s="79">
        <v>0</v>
      </c>
      <c r="AB32" s="80" t="s">
        <v>231</v>
      </c>
      <c r="AC32" s="79">
        <v>0</v>
      </c>
      <c r="AD32" s="80" t="s">
        <v>231</v>
      </c>
      <c r="AE32" s="79">
        <v>0</v>
      </c>
      <c r="AF32" s="80" t="s">
        <v>231</v>
      </c>
      <c r="AG32" s="79">
        <v>0</v>
      </c>
      <c r="AH32" s="80" t="s">
        <v>231</v>
      </c>
      <c r="AI32" s="79">
        <v>0</v>
      </c>
      <c r="AJ32" s="80" t="s">
        <v>231</v>
      </c>
      <c r="AK32" s="79">
        <v>0</v>
      </c>
      <c r="AL32" s="80" t="s">
        <v>231</v>
      </c>
      <c r="AN32" s="103" t="s">
        <v>505</v>
      </c>
      <c r="AO32" s="91">
        <f>G36/(G36+G58)</f>
        <v>0.48183767670185107</v>
      </c>
      <c r="AP32" s="143">
        <f>(AK13+AK36)/AQ32</f>
        <v>0.82045251923768558</v>
      </c>
      <c r="AQ32" s="146">
        <f>AK13+AK15+AK58+AK36</f>
        <v>6114.1710000000003</v>
      </c>
      <c r="AR32" s="145"/>
      <c r="AS32" s="68"/>
    </row>
    <row r="33" spans="1:52" ht="17" thickBot="1" x14ac:dyDescent="0.25">
      <c r="A33" s="78" t="s">
        <v>472</v>
      </c>
      <c r="B33" s="78" t="s">
        <v>506</v>
      </c>
      <c r="C33" s="82">
        <v>0</v>
      </c>
      <c r="D33" s="83" t="s">
        <v>231</v>
      </c>
      <c r="E33" s="82">
        <v>0</v>
      </c>
      <c r="F33" s="83" t="s">
        <v>231</v>
      </c>
      <c r="G33" s="82">
        <v>0</v>
      </c>
      <c r="H33" s="83" t="s">
        <v>474</v>
      </c>
      <c r="I33" s="82">
        <v>0</v>
      </c>
      <c r="J33" s="83" t="s">
        <v>231</v>
      </c>
      <c r="K33" s="82">
        <v>0</v>
      </c>
      <c r="L33" s="83" t="s">
        <v>231</v>
      </c>
      <c r="M33" s="82">
        <v>0</v>
      </c>
      <c r="N33" s="83" t="s">
        <v>231</v>
      </c>
      <c r="O33" s="82">
        <v>0</v>
      </c>
      <c r="P33" s="83" t="s">
        <v>231</v>
      </c>
      <c r="Q33" s="82">
        <v>0</v>
      </c>
      <c r="R33" s="83" t="s">
        <v>231</v>
      </c>
      <c r="S33" s="82">
        <v>0</v>
      </c>
      <c r="T33" s="83" t="s">
        <v>231</v>
      </c>
      <c r="U33" s="82">
        <v>0</v>
      </c>
      <c r="V33" s="83" t="s">
        <v>231</v>
      </c>
      <c r="W33" s="82">
        <v>0</v>
      </c>
      <c r="X33" s="83" t="s">
        <v>231</v>
      </c>
      <c r="Y33" s="82">
        <v>0</v>
      </c>
      <c r="Z33" s="83" t="s">
        <v>231</v>
      </c>
      <c r="AA33" s="82">
        <v>0</v>
      </c>
      <c r="AB33" s="83" t="s">
        <v>231</v>
      </c>
      <c r="AC33" s="82">
        <v>0</v>
      </c>
      <c r="AD33" s="83" t="s">
        <v>231</v>
      </c>
      <c r="AE33" s="82">
        <v>0</v>
      </c>
      <c r="AF33" s="83" t="s">
        <v>231</v>
      </c>
      <c r="AG33" s="82">
        <v>0</v>
      </c>
      <c r="AH33" s="83" t="s">
        <v>231</v>
      </c>
      <c r="AI33" s="82">
        <v>0</v>
      </c>
      <c r="AJ33" s="83" t="s">
        <v>231</v>
      </c>
      <c r="AK33" s="82">
        <v>0</v>
      </c>
      <c r="AL33" s="83" t="s">
        <v>231</v>
      </c>
      <c r="AN33" s="103" t="s">
        <v>507</v>
      </c>
      <c r="AO33" s="91">
        <f>G58/(G58+G36)</f>
        <v>0.51816232329814893</v>
      </c>
      <c r="AP33" s="143">
        <f>AK58/AQ32</f>
        <v>0.10175933908292718</v>
      </c>
      <c r="AQ33" s="68"/>
      <c r="AR33" s="68"/>
      <c r="AS33" s="68"/>
      <c r="AU33" t="s">
        <v>560</v>
      </c>
    </row>
    <row r="34" spans="1:52" ht="17" thickBot="1" x14ac:dyDescent="0.25">
      <c r="A34" s="78" t="s">
        <v>509</v>
      </c>
      <c r="B34" s="78" t="s">
        <v>473</v>
      </c>
      <c r="C34" s="80" t="s">
        <v>510</v>
      </c>
      <c r="D34" s="80" t="s">
        <v>231</v>
      </c>
      <c r="E34" s="80" t="s">
        <v>510</v>
      </c>
      <c r="F34" s="80" t="s">
        <v>231</v>
      </c>
      <c r="G34" s="80" t="s">
        <v>510</v>
      </c>
      <c r="H34" s="80" t="s">
        <v>231</v>
      </c>
      <c r="I34" s="80" t="s">
        <v>510</v>
      </c>
      <c r="J34" s="80" t="s">
        <v>231</v>
      </c>
      <c r="K34" s="80" t="s">
        <v>510</v>
      </c>
      <c r="L34" s="80" t="s">
        <v>231</v>
      </c>
      <c r="M34" s="80" t="s">
        <v>510</v>
      </c>
      <c r="N34" s="80" t="s">
        <v>231</v>
      </c>
      <c r="O34" s="80" t="s">
        <v>510</v>
      </c>
      <c r="P34" s="80" t="s">
        <v>231</v>
      </c>
      <c r="Q34" s="80" t="s">
        <v>510</v>
      </c>
      <c r="R34" s="80" t="s">
        <v>231</v>
      </c>
      <c r="S34" s="80" t="s">
        <v>510</v>
      </c>
      <c r="T34" s="80" t="s">
        <v>231</v>
      </c>
      <c r="U34" s="80" t="s">
        <v>510</v>
      </c>
      <c r="V34" s="80" t="s">
        <v>231</v>
      </c>
      <c r="W34" s="80" t="s">
        <v>510</v>
      </c>
      <c r="X34" s="80" t="s">
        <v>231</v>
      </c>
      <c r="Y34" s="80" t="s">
        <v>510</v>
      </c>
      <c r="Z34" s="80" t="s">
        <v>231</v>
      </c>
      <c r="AA34" s="80" t="s">
        <v>510</v>
      </c>
      <c r="AB34" s="80" t="s">
        <v>231</v>
      </c>
      <c r="AC34" s="80" t="s">
        <v>510</v>
      </c>
      <c r="AD34" s="80" t="s">
        <v>231</v>
      </c>
      <c r="AE34" s="80" t="s">
        <v>510</v>
      </c>
      <c r="AF34" s="80" t="s">
        <v>231</v>
      </c>
      <c r="AG34" s="80" t="s">
        <v>510</v>
      </c>
      <c r="AH34" s="80" t="s">
        <v>231</v>
      </c>
      <c r="AI34" s="80" t="s">
        <v>510</v>
      </c>
      <c r="AJ34" s="80" t="s">
        <v>231</v>
      </c>
      <c r="AK34" s="80" t="s">
        <v>510</v>
      </c>
      <c r="AL34" s="80" t="s">
        <v>231</v>
      </c>
      <c r="AN34" s="105" t="s">
        <v>511</v>
      </c>
      <c r="AO34" s="106"/>
      <c r="AP34" s="144">
        <f>AK15/AQ32</f>
        <v>7.7788141679387121E-2</v>
      </c>
      <c r="AQ34" s="68"/>
      <c r="AR34" s="68"/>
      <c r="AS34" s="68"/>
      <c r="AU34" s="100"/>
      <c r="AV34" s="108" t="s">
        <v>486</v>
      </c>
      <c r="AW34" s="108" t="s">
        <v>289</v>
      </c>
      <c r="AX34" s="108" t="s">
        <v>294</v>
      </c>
      <c r="AY34" s="109" t="s">
        <v>555</v>
      </c>
    </row>
    <row r="35" spans="1:52" ht="16" x14ac:dyDescent="0.2">
      <c r="A35" s="78" t="s">
        <v>509</v>
      </c>
      <c r="B35" s="78" t="s">
        <v>475</v>
      </c>
      <c r="C35" s="83" t="s">
        <v>510</v>
      </c>
      <c r="D35" s="83" t="s">
        <v>231</v>
      </c>
      <c r="E35" s="83" t="s">
        <v>510</v>
      </c>
      <c r="F35" s="83" t="s">
        <v>231</v>
      </c>
      <c r="G35" s="83" t="s">
        <v>510</v>
      </c>
      <c r="H35" s="83" t="s">
        <v>231</v>
      </c>
      <c r="I35" s="83" t="s">
        <v>510</v>
      </c>
      <c r="J35" s="83" t="s">
        <v>231</v>
      </c>
      <c r="K35" s="83" t="s">
        <v>510</v>
      </c>
      <c r="L35" s="83" t="s">
        <v>231</v>
      </c>
      <c r="M35" s="83" t="s">
        <v>510</v>
      </c>
      <c r="N35" s="83" t="s">
        <v>231</v>
      </c>
      <c r="O35" s="83" t="s">
        <v>510</v>
      </c>
      <c r="P35" s="83" t="s">
        <v>231</v>
      </c>
      <c r="Q35" s="83" t="s">
        <v>510</v>
      </c>
      <c r="R35" s="83" t="s">
        <v>231</v>
      </c>
      <c r="S35" s="83" t="s">
        <v>510</v>
      </c>
      <c r="T35" s="83" t="s">
        <v>231</v>
      </c>
      <c r="U35" s="83" t="s">
        <v>510</v>
      </c>
      <c r="V35" s="83" t="s">
        <v>231</v>
      </c>
      <c r="W35" s="83" t="s">
        <v>510</v>
      </c>
      <c r="X35" s="83" t="s">
        <v>231</v>
      </c>
      <c r="Y35" s="83" t="s">
        <v>510</v>
      </c>
      <c r="Z35" s="83" t="s">
        <v>231</v>
      </c>
      <c r="AA35" s="83" t="s">
        <v>510</v>
      </c>
      <c r="AB35" s="83" t="s">
        <v>231</v>
      </c>
      <c r="AC35" s="83" t="s">
        <v>510</v>
      </c>
      <c r="AD35" s="83" t="s">
        <v>231</v>
      </c>
      <c r="AE35" s="83" t="s">
        <v>510</v>
      </c>
      <c r="AF35" s="83" t="s">
        <v>231</v>
      </c>
      <c r="AG35" s="83" t="s">
        <v>510</v>
      </c>
      <c r="AH35" s="83" t="s">
        <v>231</v>
      </c>
      <c r="AI35" s="83" t="s">
        <v>510</v>
      </c>
      <c r="AJ35" s="83" t="s">
        <v>231</v>
      </c>
      <c r="AK35" s="83" t="s">
        <v>510</v>
      </c>
      <c r="AL35" s="83" t="s">
        <v>231</v>
      </c>
      <c r="AU35" s="103" t="s">
        <v>512</v>
      </c>
      <c r="AV35">
        <v>12870250000</v>
      </c>
      <c r="AW35">
        <v>2542692000</v>
      </c>
      <c r="AX35">
        <v>224099100</v>
      </c>
      <c r="AY35" s="110">
        <f>SUM(AV35:AX35)</f>
        <v>15637041100</v>
      </c>
      <c r="AZ35" t="s">
        <v>559</v>
      </c>
    </row>
    <row r="36" spans="1:52" ht="17" thickBot="1" x14ac:dyDescent="0.25">
      <c r="A36" s="78" t="s">
        <v>509</v>
      </c>
      <c r="B36" s="78" t="s">
        <v>476</v>
      </c>
      <c r="C36" s="79">
        <v>0</v>
      </c>
      <c r="D36" s="80" t="s">
        <v>231</v>
      </c>
      <c r="E36" s="79">
        <v>0</v>
      </c>
      <c r="F36" s="80" t="s">
        <v>231</v>
      </c>
      <c r="G36" s="81">
        <v>427.36399999999998</v>
      </c>
      <c r="H36" s="80" t="s">
        <v>474</v>
      </c>
      <c r="I36" s="79">
        <v>0</v>
      </c>
      <c r="J36" s="80" t="s">
        <v>231</v>
      </c>
      <c r="K36" s="79">
        <v>0</v>
      </c>
      <c r="L36" s="80" t="s">
        <v>231</v>
      </c>
      <c r="M36" s="79">
        <v>0</v>
      </c>
      <c r="N36" s="80" t="s">
        <v>231</v>
      </c>
      <c r="O36" s="79">
        <v>0</v>
      </c>
      <c r="P36" s="80" t="s">
        <v>231</v>
      </c>
      <c r="Q36" s="79">
        <v>0</v>
      </c>
      <c r="R36" s="80" t="s">
        <v>231</v>
      </c>
      <c r="S36" s="79">
        <v>0</v>
      </c>
      <c r="T36" s="80" t="s">
        <v>231</v>
      </c>
      <c r="U36" s="81">
        <v>0.73299999999999998</v>
      </c>
      <c r="V36" s="80" t="s">
        <v>231</v>
      </c>
      <c r="W36" s="79">
        <v>0</v>
      </c>
      <c r="X36" s="80" t="s">
        <v>231</v>
      </c>
      <c r="Y36" s="79">
        <v>0</v>
      </c>
      <c r="Z36" s="80" t="s">
        <v>231</v>
      </c>
      <c r="AA36" s="79">
        <v>0</v>
      </c>
      <c r="AB36" s="80" t="s">
        <v>231</v>
      </c>
      <c r="AC36" s="79">
        <v>0</v>
      </c>
      <c r="AD36" s="80" t="s">
        <v>231</v>
      </c>
      <c r="AE36" s="79">
        <v>0</v>
      </c>
      <c r="AF36" s="80" t="s">
        <v>231</v>
      </c>
      <c r="AG36" s="79">
        <v>0</v>
      </c>
      <c r="AH36" s="80" t="s">
        <v>231</v>
      </c>
      <c r="AI36" s="79">
        <v>0</v>
      </c>
      <c r="AJ36" s="80" t="s">
        <v>231</v>
      </c>
      <c r="AK36" s="81">
        <v>4803.116</v>
      </c>
      <c r="AL36" s="80" t="s">
        <v>231</v>
      </c>
      <c r="AU36" s="105" t="s">
        <v>501</v>
      </c>
      <c r="AV36" s="113">
        <v>57365500</v>
      </c>
      <c r="AW36" s="113">
        <v>3811786000</v>
      </c>
      <c r="AX36" s="113">
        <v>90365500</v>
      </c>
      <c r="AY36" s="114">
        <f>SUM(AV36:AX36)</f>
        <v>3959517000</v>
      </c>
    </row>
    <row r="37" spans="1:52" ht="17" thickBot="1" x14ac:dyDescent="0.25">
      <c r="A37" s="78" t="s">
        <v>509</v>
      </c>
      <c r="B37" s="78" t="s">
        <v>477</v>
      </c>
      <c r="C37" s="83" t="s">
        <v>510</v>
      </c>
      <c r="D37" s="83" t="s">
        <v>231</v>
      </c>
      <c r="E37" s="83" t="s">
        <v>510</v>
      </c>
      <c r="F37" s="83" t="s">
        <v>231</v>
      </c>
      <c r="G37" s="83" t="s">
        <v>510</v>
      </c>
      <c r="H37" s="83" t="s">
        <v>231</v>
      </c>
      <c r="I37" s="83" t="s">
        <v>510</v>
      </c>
      <c r="J37" s="83" t="s">
        <v>231</v>
      </c>
      <c r="K37" s="83" t="s">
        <v>510</v>
      </c>
      <c r="L37" s="83" t="s">
        <v>231</v>
      </c>
      <c r="M37" s="83" t="s">
        <v>510</v>
      </c>
      <c r="N37" s="83" t="s">
        <v>231</v>
      </c>
      <c r="O37" s="83" t="s">
        <v>510</v>
      </c>
      <c r="P37" s="83" t="s">
        <v>231</v>
      </c>
      <c r="Q37" s="83" t="s">
        <v>510</v>
      </c>
      <c r="R37" s="83" t="s">
        <v>231</v>
      </c>
      <c r="S37" s="83" t="s">
        <v>510</v>
      </c>
      <c r="T37" s="83" t="s">
        <v>231</v>
      </c>
      <c r="U37" s="83" t="s">
        <v>510</v>
      </c>
      <c r="V37" s="83" t="s">
        <v>231</v>
      </c>
      <c r="W37" s="83" t="s">
        <v>510</v>
      </c>
      <c r="X37" s="83" t="s">
        <v>231</v>
      </c>
      <c r="Y37" s="83" t="s">
        <v>510</v>
      </c>
      <c r="Z37" s="83" t="s">
        <v>231</v>
      </c>
      <c r="AA37" s="83" t="s">
        <v>510</v>
      </c>
      <c r="AB37" s="83" t="s">
        <v>231</v>
      </c>
      <c r="AC37" s="83" t="s">
        <v>510</v>
      </c>
      <c r="AD37" s="83" t="s">
        <v>231</v>
      </c>
      <c r="AE37" s="83" t="s">
        <v>510</v>
      </c>
      <c r="AF37" s="83" t="s">
        <v>231</v>
      </c>
      <c r="AG37" s="83" t="s">
        <v>510</v>
      </c>
      <c r="AH37" s="83" t="s">
        <v>231</v>
      </c>
      <c r="AI37" s="83" t="s">
        <v>510</v>
      </c>
      <c r="AJ37" s="83" t="s">
        <v>231</v>
      </c>
      <c r="AK37" s="83" t="s">
        <v>510</v>
      </c>
      <c r="AL37" s="83" t="s">
        <v>231</v>
      </c>
    </row>
    <row r="38" spans="1:52" ht="17" thickBot="1" x14ac:dyDescent="0.25">
      <c r="A38" s="78" t="s">
        <v>509</v>
      </c>
      <c r="B38" s="78" t="s">
        <v>478</v>
      </c>
      <c r="C38" s="80" t="s">
        <v>510</v>
      </c>
      <c r="D38" s="80" t="s">
        <v>231</v>
      </c>
      <c r="E38" s="80" t="s">
        <v>510</v>
      </c>
      <c r="F38" s="80" t="s">
        <v>231</v>
      </c>
      <c r="G38" s="80" t="s">
        <v>510</v>
      </c>
      <c r="H38" s="80" t="s">
        <v>231</v>
      </c>
      <c r="I38" s="80" t="s">
        <v>510</v>
      </c>
      <c r="J38" s="80" t="s">
        <v>231</v>
      </c>
      <c r="K38" s="80" t="s">
        <v>510</v>
      </c>
      <c r="L38" s="80" t="s">
        <v>231</v>
      </c>
      <c r="M38" s="80" t="s">
        <v>510</v>
      </c>
      <c r="N38" s="80" t="s">
        <v>231</v>
      </c>
      <c r="O38" s="80" t="s">
        <v>510</v>
      </c>
      <c r="P38" s="80" t="s">
        <v>231</v>
      </c>
      <c r="Q38" s="80" t="s">
        <v>510</v>
      </c>
      <c r="R38" s="80" t="s">
        <v>231</v>
      </c>
      <c r="S38" s="80" t="s">
        <v>510</v>
      </c>
      <c r="T38" s="80" t="s">
        <v>231</v>
      </c>
      <c r="U38" s="80" t="s">
        <v>510</v>
      </c>
      <c r="V38" s="80" t="s">
        <v>231</v>
      </c>
      <c r="W38" s="80" t="s">
        <v>510</v>
      </c>
      <c r="X38" s="80" t="s">
        <v>231</v>
      </c>
      <c r="Y38" s="80" t="s">
        <v>510</v>
      </c>
      <c r="Z38" s="80" t="s">
        <v>231</v>
      </c>
      <c r="AA38" s="80" t="s">
        <v>510</v>
      </c>
      <c r="AB38" s="80" t="s">
        <v>231</v>
      </c>
      <c r="AC38" s="80" t="s">
        <v>510</v>
      </c>
      <c r="AD38" s="80" t="s">
        <v>231</v>
      </c>
      <c r="AE38" s="80" t="s">
        <v>510</v>
      </c>
      <c r="AF38" s="80" t="s">
        <v>231</v>
      </c>
      <c r="AG38" s="80" t="s">
        <v>510</v>
      </c>
      <c r="AH38" s="80" t="s">
        <v>231</v>
      </c>
      <c r="AI38" s="80" t="s">
        <v>510</v>
      </c>
      <c r="AJ38" s="80" t="s">
        <v>231</v>
      </c>
      <c r="AK38" s="80" t="s">
        <v>510</v>
      </c>
      <c r="AL38" s="80" t="s">
        <v>231</v>
      </c>
      <c r="AN38" s="115" t="s">
        <v>513</v>
      </c>
      <c r="AO38" s="116">
        <v>17800</v>
      </c>
      <c r="AP38" s="86" t="s">
        <v>523</v>
      </c>
    </row>
    <row r="39" spans="1:52" ht="16" x14ac:dyDescent="0.2">
      <c r="A39" s="78" t="s">
        <v>509</v>
      </c>
      <c r="B39" s="78" t="s">
        <v>479</v>
      </c>
      <c r="C39" s="83" t="s">
        <v>510</v>
      </c>
      <c r="D39" s="83" t="s">
        <v>231</v>
      </c>
      <c r="E39" s="83" t="s">
        <v>510</v>
      </c>
      <c r="F39" s="83" t="s">
        <v>231</v>
      </c>
      <c r="G39" s="83" t="s">
        <v>510</v>
      </c>
      <c r="H39" s="83" t="s">
        <v>231</v>
      </c>
      <c r="I39" s="83" t="s">
        <v>510</v>
      </c>
      <c r="J39" s="83" t="s">
        <v>231</v>
      </c>
      <c r="K39" s="83" t="s">
        <v>510</v>
      </c>
      <c r="L39" s="83" t="s">
        <v>231</v>
      </c>
      <c r="M39" s="83" t="s">
        <v>510</v>
      </c>
      <c r="N39" s="83" t="s">
        <v>231</v>
      </c>
      <c r="O39" s="83" t="s">
        <v>510</v>
      </c>
      <c r="P39" s="83" t="s">
        <v>231</v>
      </c>
      <c r="Q39" s="83" t="s">
        <v>510</v>
      </c>
      <c r="R39" s="83" t="s">
        <v>231</v>
      </c>
      <c r="S39" s="83" t="s">
        <v>510</v>
      </c>
      <c r="T39" s="83" t="s">
        <v>231</v>
      </c>
      <c r="U39" s="83" t="s">
        <v>510</v>
      </c>
      <c r="V39" s="83" t="s">
        <v>231</v>
      </c>
      <c r="W39" s="83" t="s">
        <v>510</v>
      </c>
      <c r="X39" s="83" t="s">
        <v>231</v>
      </c>
      <c r="Y39" s="83" t="s">
        <v>510</v>
      </c>
      <c r="Z39" s="83" t="s">
        <v>231</v>
      </c>
      <c r="AA39" s="83" t="s">
        <v>510</v>
      </c>
      <c r="AB39" s="83" t="s">
        <v>231</v>
      </c>
      <c r="AC39" s="83" t="s">
        <v>510</v>
      </c>
      <c r="AD39" s="83" t="s">
        <v>231</v>
      </c>
      <c r="AE39" s="83" t="s">
        <v>510</v>
      </c>
      <c r="AF39" s="83" t="s">
        <v>231</v>
      </c>
      <c r="AG39" s="83" t="s">
        <v>510</v>
      </c>
      <c r="AH39" s="83" t="s">
        <v>231</v>
      </c>
      <c r="AI39" s="83" t="s">
        <v>510</v>
      </c>
      <c r="AJ39" s="83" t="s">
        <v>231</v>
      </c>
      <c r="AK39" s="83" t="s">
        <v>510</v>
      </c>
      <c r="AL39" s="83" t="s">
        <v>231</v>
      </c>
    </row>
    <row r="40" spans="1:52" ht="16" x14ac:dyDescent="0.2">
      <c r="A40" s="78" t="s">
        <v>509</v>
      </c>
      <c r="B40" s="78" t="s">
        <v>480</v>
      </c>
      <c r="C40" s="80" t="s">
        <v>510</v>
      </c>
      <c r="D40" s="80" t="s">
        <v>231</v>
      </c>
      <c r="E40" s="80" t="s">
        <v>510</v>
      </c>
      <c r="F40" s="80" t="s">
        <v>231</v>
      </c>
      <c r="G40" s="80" t="s">
        <v>510</v>
      </c>
      <c r="H40" s="80" t="s">
        <v>231</v>
      </c>
      <c r="I40" s="80" t="s">
        <v>510</v>
      </c>
      <c r="J40" s="80" t="s">
        <v>231</v>
      </c>
      <c r="K40" s="80" t="s">
        <v>510</v>
      </c>
      <c r="L40" s="80" t="s">
        <v>231</v>
      </c>
      <c r="M40" s="80" t="s">
        <v>510</v>
      </c>
      <c r="N40" s="80" t="s">
        <v>231</v>
      </c>
      <c r="O40" s="80" t="s">
        <v>510</v>
      </c>
      <c r="P40" s="80" t="s">
        <v>231</v>
      </c>
      <c r="Q40" s="80" t="s">
        <v>510</v>
      </c>
      <c r="R40" s="80" t="s">
        <v>231</v>
      </c>
      <c r="S40" s="80" t="s">
        <v>510</v>
      </c>
      <c r="T40" s="80" t="s">
        <v>231</v>
      </c>
      <c r="U40" s="80" t="s">
        <v>510</v>
      </c>
      <c r="V40" s="80" t="s">
        <v>231</v>
      </c>
      <c r="W40" s="80" t="s">
        <v>510</v>
      </c>
      <c r="X40" s="80" t="s">
        <v>231</v>
      </c>
      <c r="Y40" s="80" t="s">
        <v>510</v>
      </c>
      <c r="Z40" s="80" t="s">
        <v>231</v>
      </c>
      <c r="AA40" s="80" t="s">
        <v>510</v>
      </c>
      <c r="AB40" s="80" t="s">
        <v>231</v>
      </c>
      <c r="AC40" s="80" t="s">
        <v>510</v>
      </c>
      <c r="AD40" s="80" t="s">
        <v>231</v>
      </c>
      <c r="AE40" s="80" t="s">
        <v>510</v>
      </c>
      <c r="AF40" s="80" t="s">
        <v>231</v>
      </c>
      <c r="AG40" s="80" t="s">
        <v>510</v>
      </c>
      <c r="AH40" s="80" t="s">
        <v>231</v>
      </c>
      <c r="AI40" s="80" t="s">
        <v>510</v>
      </c>
      <c r="AJ40" s="80" t="s">
        <v>231</v>
      </c>
      <c r="AK40" s="80" t="s">
        <v>510</v>
      </c>
      <c r="AL40" s="80" t="s">
        <v>231</v>
      </c>
    </row>
    <row r="41" spans="1:52" ht="16" x14ac:dyDescent="0.2">
      <c r="A41" s="78" t="s">
        <v>509</v>
      </c>
      <c r="B41" s="78" t="s">
        <v>481</v>
      </c>
      <c r="C41" s="82">
        <v>0</v>
      </c>
      <c r="D41" s="83" t="s">
        <v>231</v>
      </c>
      <c r="E41" s="82">
        <v>0</v>
      </c>
      <c r="F41" s="83" t="s">
        <v>231</v>
      </c>
      <c r="G41" s="82">
        <v>0</v>
      </c>
      <c r="H41" s="83" t="s">
        <v>474</v>
      </c>
      <c r="I41" s="82">
        <v>0</v>
      </c>
      <c r="J41" s="83" t="s">
        <v>231</v>
      </c>
      <c r="K41" s="82">
        <v>0</v>
      </c>
      <c r="L41" s="83" t="s">
        <v>231</v>
      </c>
      <c r="M41" s="82">
        <v>0</v>
      </c>
      <c r="N41" s="83" t="s">
        <v>231</v>
      </c>
      <c r="O41" s="82">
        <v>0</v>
      </c>
      <c r="P41" s="83" t="s">
        <v>231</v>
      </c>
      <c r="Q41" s="82">
        <v>0</v>
      </c>
      <c r="R41" s="83" t="s">
        <v>231</v>
      </c>
      <c r="S41" s="82">
        <v>0</v>
      </c>
      <c r="T41" s="83" t="s">
        <v>231</v>
      </c>
      <c r="U41" s="82">
        <v>0</v>
      </c>
      <c r="V41" s="83" t="s">
        <v>231</v>
      </c>
      <c r="W41" s="82">
        <v>0</v>
      </c>
      <c r="X41" s="83" t="s">
        <v>231</v>
      </c>
      <c r="Y41" s="82">
        <v>0</v>
      </c>
      <c r="Z41" s="83" t="s">
        <v>231</v>
      </c>
      <c r="AA41" s="82">
        <v>0</v>
      </c>
      <c r="AB41" s="83" t="s">
        <v>231</v>
      </c>
      <c r="AC41" s="82">
        <v>0</v>
      </c>
      <c r="AD41" s="83" t="s">
        <v>231</v>
      </c>
      <c r="AE41" s="82">
        <v>0</v>
      </c>
      <c r="AF41" s="83" t="s">
        <v>231</v>
      </c>
      <c r="AG41" s="82">
        <v>0</v>
      </c>
      <c r="AH41" s="83" t="s">
        <v>231</v>
      </c>
      <c r="AI41" s="82">
        <v>0</v>
      </c>
      <c r="AJ41" s="83" t="s">
        <v>231</v>
      </c>
      <c r="AK41" s="82">
        <v>0</v>
      </c>
      <c r="AL41" s="83" t="s">
        <v>231</v>
      </c>
    </row>
    <row r="42" spans="1:52" ht="16" x14ac:dyDescent="0.2">
      <c r="A42" s="78" t="s">
        <v>509</v>
      </c>
      <c r="B42" s="78" t="s">
        <v>482</v>
      </c>
      <c r="C42" s="80" t="s">
        <v>510</v>
      </c>
      <c r="D42" s="80" t="s">
        <v>231</v>
      </c>
      <c r="E42" s="80" t="s">
        <v>510</v>
      </c>
      <c r="F42" s="80" t="s">
        <v>231</v>
      </c>
      <c r="G42" s="80" t="s">
        <v>510</v>
      </c>
      <c r="H42" s="80" t="s">
        <v>231</v>
      </c>
      <c r="I42" s="80" t="s">
        <v>510</v>
      </c>
      <c r="J42" s="80" t="s">
        <v>231</v>
      </c>
      <c r="K42" s="80" t="s">
        <v>510</v>
      </c>
      <c r="L42" s="80" t="s">
        <v>231</v>
      </c>
      <c r="M42" s="80" t="s">
        <v>510</v>
      </c>
      <c r="N42" s="80" t="s">
        <v>231</v>
      </c>
      <c r="O42" s="80" t="s">
        <v>510</v>
      </c>
      <c r="P42" s="80" t="s">
        <v>231</v>
      </c>
      <c r="Q42" s="80" t="s">
        <v>510</v>
      </c>
      <c r="R42" s="80" t="s">
        <v>231</v>
      </c>
      <c r="S42" s="80" t="s">
        <v>510</v>
      </c>
      <c r="T42" s="80" t="s">
        <v>231</v>
      </c>
      <c r="U42" s="80" t="s">
        <v>510</v>
      </c>
      <c r="V42" s="80" t="s">
        <v>231</v>
      </c>
      <c r="W42" s="80" t="s">
        <v>510</v>
      </c>
      <c r="X42" s="80" t="s">
        <v>231</v>
      </c>
      <c r="Y42" s="80" t="s">
        <v>510</v>
      </c>
      <c r="Z42" s="80" t="s">
        <v>231</v>
      </c>
      <c r="AA42" s="80" t="s">
        <v>510</v>
      </c>
      <c r="AB42" s="80" t="s">
        <v>231</v>
      </c>
      <c r="AC42" s="80" t="s">
        <v>510</v>
      </c>
      <c r="AD42" s="80" t="s">
        <v>231</v>
      </c>
      <c r="AE42" s="80" t="s">
        <v>510</v>
      </c>
      <c r="AF42" s="80" t="s">
        <v>231</v>
      </c>
      <c r="AG42" s="80" t="s">
        <v>510</v>
      </c>
      <c r="AH42" s="80" t="s">
        <v>231</v>
      </c>
      <c r="AI42" s="80" t="s">
        <v>510</v>
      </c>
      <c r="AJ42" s="80" t="s">
        <v>231</v>
      </c>
      <c r="AK42" s="80" t="s">
        <v>510</v>
      </c>
      <c r="AL42" s="80" t="s">
        <v>231</v>
      </c>
    </row>
    <row r="43" spans="1:52" ht="16" x14ac:dyDescent="0.2">
      <c r="A43" s="78" t="s">
        <v>509</v>
      </c>
      <c r="B43" s="78" t="s">
        <v>483</v>
      </c>
      <c r="C43" s="83" t="s">
        <v>510</v>
      </c>
      <c r="D43" s="83" t="s">
        <v>231</v>
      </c>
      <c r="E43" s="83" t="s">
        <v>510</v>
      </c>
      <c r="F43" s="83" t="s">
        <v>231</v>
      </c>
      <c r="G43" s="83" t="s">
        <v>510</v>
      </c>
      <c r="H43" s="83" t="s">
        <v>231</v>
      </c>
      <c r="I43" s="83" t="s">
        <v>510</v>
      </c>
      <c r="J43" s="83" t="s">
        <v>231</v>
      </c>
      <c r="K43" s="83" t="s">
        <v>510</v>
      </c>
      <c r="L43" s="83" t="s">
        <v>231</v>
      </c>
      <c r="M43" s="83" t="s">
        <v>510</v>
      </c>
      <c r="N43" s="83" t="s">
        <v>231</v>
      </c>
      <c r="O43" s="83" t="s">
        <v>510</v>
      </c>
      <c r="P43" s="83" t="s">
        <v>231</v>
      </c>
      <c r="Q43" s="83" t="s">
        <v>510</v>
      </c>
      <c r="R43" s="83" t="s">
        <v>231</v>
      </c>
      <c r="S43" s="83" t="s">
        <v>510</v>
      </c>
      <c r="T43" s="83" t="s">
        <v>231</v>
      </c>
      <c r="U43" s="83" t="s">
        <v>510</v>
      </c>
      <c r="V43" s="83" t="s">
        <v>231</v>
      </c>
      <c r="W43" s="83" t="s">
        <v>510</v>
      </c>
      <c r="X43" s="83" t="s">
        <v>231</v>
      </c>
      <c r="Y43" s="83" t="s">
        <v>510</v>
      </c>
      <c r="Z43" s="83" t="s">
        <v>231</v>
      </c>
      <c r="AA43" s="83" t="s">
        <v>510</v>
      </c>
      <c r="AB43" s="83" t="s">
        <v>231</v>
      </c>
      <c r="AC43" s="83" t="s">
        <v>510</v>
      </c>
      <c r="AD43" s="83" t="s">
        <v>231</v>
      </c>
      <c r="AE43" s="83" t="s">
        <v>510</v>
      </c>
      <c r="AF43" s="83" t="s">
        <v>231</v>
      </c>
      <c r="AG43" s="83" t="s">
        <v>510</v>
      </c>
      <c r="AH43" s="83" t="s">
        <v>231</v>
      </c>
      <c r="AI43" s="83" t="s">
        <v>510</v>
      </c>
      <c r="AJ43" s="83" t="s">
        <v>231</v>
      </c>
      <c r="AK43" s="83" t="s">
        <v>510</v>
      </c>
      <c r="AL43" s="83" t="s">
        <v>231</v>
      </c>
    </row>
    <row r="44" spans="1:52" ht="16" x14ac:dyDescent="0.2">
      <c r="A44" s="78" t="s">
        <v>509</v>
      </c>
      <c r="B44" s="78" t="s">
        <v>484</v>
      </c>
      <c r="C44" s="80" t="s">
        <v>510</v>
      </c>
      <c r="D44" s="80" t="s">
        <v>231</v>
      </c>
      <c r="E44" s="80" t="s">
        <v>510</v>
      </c>
      <c r="F44" s="80" t="s">
        <v>231</v>
      </c>
      <c r="G44" s="80" t="s">
        <v>510</v>
      </c>
      <c r="H44" s="80" t="s">
        <v>231</v>
      </c>
      <c r="I44" s="80" t="s">
        <v>510</v>
      </c>
      <c r="J44" s="80" t="s">
        <v>231</v>
      </c>
      <c r="K44" s="80" t="s">
        <v>510</v>
      </c>
      <c r="L44" s="80" t="s">
        <v>231</v>
      </c>
      <c r="M44" s="80" t="s">
        <v>510</v>
      </c>
      <c r="N44" s="80" t="s">
        <v>231</v>
      </c>
      <c r="O44" s="80" t="s">
        <v>510</v>
      </c>
      <c r="P44" s="80" t="s">
        <v>231</v>
      </c>
      <c r="Q44" s="80" t="s">
        <v>510</v>
      </c>
      <c r="R44" s="80" t="s">
        <v>231</v>
      </c>
      <c r="S44" s="80" t="s">
        <v>510</v>
      </c>
      <c r="T44" s="80" t="s">
        <v>231</v>
      </c>
      <c r="U44" s="80" t="s">
        <v>510</v>
      </c>
      <c r="V44" s="80" t="s">
        <v>231</v>
      </c>
      <c r="W44" s="80" t="s">
        <v>510</v>
      </c>
      <c r="X44" s="80" t="s">
        <v>231</v>
      </c>
      <c r="Y44" s="80" t="s">
        <v>510</v>
      </c>
      <c r="Z44" s="80" t="s">
        <v>231</v>
      </c>
      <c r="AA44" s="80" t="s">
        <v>510</v>
      </c>
      <c r="AB44" s="80" t="s">
        <v>231</v>
      </c>
      <c r="AC44" s="80" t="s">
        <v>510</v>
      </c>
      <c r="AD44" s="80" t="s">
        <v>231</v>
      </c>
      <c r="AE44" s="80" t="s">
        <v>510</v>
      </c>
      <c r="AF44" s="80" t="s">
        <v>231</v>
      </c>
      <c r="AG44" s="80" t="s">
        <v>510</v>
      </c>
      <c r="AH44" s="80" t="s">
        <v>231</v>
      </c>
      <c r="AI44" s="80" t="s">
        <v>510</v>
      </c>
      <c r="AJ44" s="80" t="s">
        <v>231</v>
      </c>
      <c r="AK44" s="80" t="s">
        <v>510</v>
      </c>
      <c r="AL44" s="80" t="s">
        <v>231</v>
      </c>
    </row>
    <row r="45" spans="1:52" ht="16" x14ac:dyDescent="0.2">
      <c r="A45" s="78" t="s">
        <v>509</v>
      </c>
      <c r="B45" s="78" t="s">
        <v>489</v>
      </c>
      <c r="C45" s="83" t="s">
        <v>510</v>
      </c>
      <c r="D45" s="83" t="s">
        <v>231</v>
      </c>
      <c r="E45" s="83" t="s">
        <v>510</v>
      </c>
      <c r="F45" s="83" t="s">
        <v>231</v>
      </c>
      <c r="G45" s="83" t="s">
        <v>510</v>
      </c>
      <c r="H45" s="83" t="s">
        <v>231</v>
      </c>
      <c r="I45" s="83" t="s">
        <v>510</v>
      </c>
      <c r="J45" s="83" t="s">
        <v>231</v>
      </c>
      <c r="K45" s="83" t="s">
        <v>510</v>
      </c>
      <c r="L45" s="83" t="s">
        <v>231</v>
      </c>
      <c r="M45" s="83" t="s">
        <v>510</v>
      </c>
      <c r="N45" s="83" t="s">
        <v>231</v>
      </c>
      <c r="O45" s="83" t="s">
        <v>510</v>
      </c>
      <c r="P45" s="83" t="s">
        <v>231</v>
      </c>
      <c r="Q45" s="83" t="s">
        <v>510</v>
      </c>
      <c r="R45" s="83" t="s">
        <v>231</v>
      </c>
      <c r="S45" s="83" t="s">
        <v>510</v>
      </c>
      <c r="T45" s="83" t="s">
        <v>231</v>
      </c>
      <c r="U45" s="83" t="s">
        <v>510</v>
      </c>
      <c r="V45" s="83" t="s">
        <v>231</v>
      </c>
      <c r="W45" s="83" t="s">
        <v>510</v>
      </c>
      <c r="X45" s="83" t="s">
        <v>231</v>
      </c>
      <c r="Y45" s="83" t="s">
        <v>510</v>
      </c>
      <c r="Z45" s="83" t="s">
        <v>231</v>
      </c>
      <c r="AA45" s="83" t="s">
        <v>510</v>
      </c>
      <c r="AB45" s="83" t="s">
        <v>231</v>
      </c>
      <c r="AC45" s="83" t="s">
        <v>510</v>
      </c>
      <c r="AD45" s="83" t="s">
        <v>231</v>
      </c>
      <c r="AE45" s="83" t="s">
        <v>510</v>
      </c>
      <c r="AF45" s="83" t="s">
        <v>231</v>
      </c>
      <c r="AG45" s="83" t="s">
        <v>510</v>
      </c>
      <c r="AH45" s="83" t="s">
        <v>231</v>
      </c>
      <c r="AI45" s="83" t="s">
        <v>510</v>
      </c>
      <c r="AJ45" s="83" t="s">
        <v>231</v>
      </c>
      <c r="AK45" s="83" t="s">
        <v>510</v>
      </c>
      <c r="AL45" s="83" t="s">
        <v>231</v>
      </c>
    </row>
    <row r="46" spans="1:52" ht="16" x14ac:dyDescent="0.2">
      <c r="A46" s="78" t="s">
        <v>509</v>
      </c>
      <c r="B46" s="78" t="s">
        <v>491</v>
      </c>
      <c r="C46" s="80" t="s">
        <v>510</v>
      </c>
      <c r="D46" s="80" t="s">
        <v>231</v>
      </c>
      <c r="E46" s="80" t="s">
        <v>510</v>
      </c>
      <c r="F46" s="80" t="s">
        <v>231</v>
      </c>
      <c r="G46" s="80" t="s">
        <v>510</v>
      </c>
      <c r="H46" s="80" t="s">
        <v>231</v>
      </c>
      <c r="I46" s="80" t="s">
        <v>510</v>
      </c>
      <c r="J46" s="80" t="s">
        <v>231</v>
      </c>
      <c r="K46" s="80" t="s">
        <v>510</v>
      </c>
      <c r="L46" s="80" t="s">
        <v>231</v>
      </c>
      <c r="M46" s="80" t="s">
        <v>510</v>
      </c>
      <c r="N46" s="80" t="s">
        <v>231</v>
      </c>
      <c r="O46" s="80" t="s">
        <v>510</v>
      </c>
      <c r="P46" s="80" t="s">
        <v>231</v>
      </c>
      <c r="Q46" s="80" t="s">
        <v>510</v>
      </c>
      <c r="R46" s="80" t="s">
        <v>231</v>
      </c>
      <c r="S46" s="80" t="s">
        <v>510</v>
      </c>
      <c r="T46" s="80" t="s">
        <v>231</v>
      </c>
      <c r="U46" s="80" t="s">
        <v>510</v>
      </c>
      <c r="V46" s="80" t="s">
        <v>231</v>
      </c>
      <c r="W46" s="80" t="s">
        <v>510</v>
      </c>
      <c r="X46" s="80" t="s">
        <v>231</v>
      </c>
      <c r="Y46" s="80" t="s">
        <v>510</v>
      </c>
      <c r="Z46" s="80" t="s">
        <v>231</v>
      </c>
      <c r="AA46" s="80" t="s">
        <v>510</v>
      </c>
      <c r="AB46" s="80" t="s">
        <v>231</v>
      </c>
      <c r="AC46" s="80" t="s">
        <v>510</v>
      </c>
      <c r="AD46" s="80" t="s">
        <v>231</v>
      </c>
      <c r="AE46" s="80" t="s">
        <v>510</v>
      </c>
      <c r="AF46" s="80" t="s">
        <v>231</v>
      </c>
      <c r="AG46" s="80" t="s">
        <v>510</v>
      </c>
      <c r="AH46" s="80" t="s">
        <v>231</v>
      </c>
      <c r="AI46" s="80" t="s">
        <v>510</v>
      </c>
      <c r="AJ46" s="80" t="s">
        <v>231</v>
      </c>
      <c r="AK46" s="80" t="s">
        <v>510</v>
      </c>
      <c r="AL46" s="80" t="s">
        <v>231</v>
      </c>
    </row>
    <row r="47" spans="1:52" ht="16" x14ac:dyDescent="0.2">
      <c r="A47" s="78" t="s">
        <v>509</v>
      </c>
      <c r="B47" s="78" t="s">
        <v>493</v>
      </c>
      <c r="C47" s="82">
        <v>0</v>
      </c>
      <c r="D47" s="83" t="s">
        <v>231</v>
      </c>
      <c r="E47" s="82">
        <v>0</v>
      </c>
      <c r="F47" s="83" t="s">
        <v>231</v>
      </c>
      <c r="G47" s="82">
        <v>0</v>
      </c>
      <c r="H47" s="83" t="s">
        <v>474</v>
      </c>
      <c r="I47" s="82">
        <v>0</v>
      </c>
      <c r="J47" s="83" t="s">
        <v>231</v>
      </c>
      <c r="K47" s="82">
        <v>0</v>
      </c>
      <c r="L47" s="83" t="s">
        <v>231</v>
      </c>
      <c r="M47" s="82">
        <v>0</v>
      </c>
      <c r="N47" s="83" t="s">
        <v>231</v>
      </c>
      <c r="O47" s="82">
        <v>0</v>
      </c>
      <c r="P47" s="83" t="s">
        <v>231</v>
      </c>
      <c r="Q47" s="82">
        <v>0</v>
      </c>
      <c r="R47" s="83" t="s">
        <v>231</v>
      </c>
      <c r="S47" s="82">
        <v>0</v>
      </c>
      <c r="T47" s="83" t="s">
        <v>231</v>
      </c>
      <c r="U47" s="82">
        <v>0</v>
      </c>
      <c r="V47" s="83" t="s">
        <v>231</v>
      </c>
      <c r="W47" s="82">
        <v>0</v>
      </c>
      <c r="X47" s="83" t="s">
        <v>231</v>
      </c>
      <c r="Y47" s="82">
        <v>0</v>
      </c>
      <c r="Z47" s="83" t="s">
        <v>231</v>
      </c>
      <c r="AA47" s="82">
        <v>0</v>
      </c>
      <c r="AB47" s="83" t="s">
        <v>231</v>
      </c>
      <c r="AC47" s="82">
        <v>0</v>
      </c>
      <c r="AD47" s="83" t="s">
        <v>231</v>
      </c>
      <c r="AE47" s="82">
        <v>0</v>
      </c>
      <c r="AF47" s="83" t="s">
        <v>231</v>
      </c>
      <c r="AG47" s="82">
        <v>0</v>
      </c>
      <c r="AH47" s="83" t="s">
        <v>231</v>
      </c>
      <c r="AI47" s="82">
        <v>0</v>
      </c>
      <c r="AJ47" s="83" t="s">
        <v>231</v>
      </c>
      <c r="AK47" s="82">
        <v>0</v>
      </c>
      <c r="AL47" s="83" t="s">
        <v>231</v>
      </c>
    </row>
    <row r="48" spans="1:52" ht="16" x14ac:dyDescent="0.2">
      <c r="A48" s="78" t="s">
        <v>509</v>
      </c>
      <c r="B48" s="78" t="s">
        <v>495</v>
      </c>
      <c r="C48" s="80" t="s">
        <v>510</v>
      </c>
      <c r="D48" s="80" t="s">
        <v>231</v>
      </c>
      <c r="E48" s="80" t="s">
        <v>510</v>
      </c>
      <c r="F48" s="80" t="s">
        <v>231</v>
      </c>
      <c r="G48" s="80" t="s">
        <v>510</v>
      </c>
      <c r="H48" s="80" t="s">
        <v>231</v>
      </c>
      <c r="I48" s="80" t="s">
        <v>510</v>
      </c>
      <c r="J48" s="80" t="s">
        <v>231</v>
      </c>
      <c r="K48" s="80" t="s">
        <v>510</v>
      </c>
      <c r="L48" s="80" t="s">
        <v>231</v>
      </c>
      <c r="M48" s="80" t="s">
        <v>510</v>
      </c>
      <c r="N48" s="80" t="s">
        <v>231</v>
      </c>
      <c r="O48" s="80" t="s">
        <v>510</v>
      </c>
      <c r="P48" s="80" t="s">
        <v>231</v>
      </c>
      <c r="Q48" s="80" t="s">
        <v>510</v>
      </c>
      <c r="R48" s="80" t="s">
        <v>231</v>
      </c>
      <c r="S48" s="80" t="s">
        <v>510</v>
      </c>
      <c r="T48" s="80" t="s">
        <v>231</v>
      </c>
      <c r="U48" s="80" t="s">
        <v>510</v>
      </c>
      <c r="V48" s="80" t="s">
        <v>231</v>
      </c>
      <c r="W48" s="80" t="s">
        <v>510</v>
      </c>
      <c r="X48" s="80" t="s">
        <v>231</v>
      </c>
      <c r="Y48" s="80" t="s">
        <v>510</v>
      </c>
      <c r="Z48" s="80" t="s">
        <v>231</v>
      </c>
      <c r="AA48" s="80" t="s">
        <v>510</v>
      </c>
      <c r="AB48" s="80" t="s">
        <v>231</v>
      </c>
      <c r="AC48" s="80" t="s">
        <v>510</v>
      </c>
      <c r="AD48" s="80" t="s">
        <v>231</v>
      </c>
      <c r="AE48" s="80" t="s">
        <v>510</v>
      </c>
      <c r="AF48" s="80" t="s">
        <v>231</v>
      </c>
      <c r="AG48" s="80" t="s">
        <v>510</v>
      </c>
      <c r="AH48" s="80" t="s">
        <v>231</v>
      </c>
      <c r="AI48" s="80" t="s">
        <v>510</v>
      </c>
      <c r="AJ48" s="80" t="s">
        <v>231</v>
      </c>
      <c r="AK48" s="80" t="s">
        <v>510</v>
      </c>
      <c r="AL48" s="80" t="s">
        <v>231</v>
      </c>
    </row>
    <row r="49" spans="1:46" ht="16" x14ac:dyDescent="0.2">
      <c r="A49" s="78" t="s">
        <v>509</v>
      </c>
      <c r="B49" s="78" t="s">
        <v>497</v>
      </c>
      <c r="C49" s="83" t="s">
        <v>510</v>
      </c>
      <c r="D49" s="83" t="s">
        <v>231</v>
      </c>
      <c r="E49" s="83" t="s">
        <v>510</v>
      </c>
      <c r="F49" s="83" t="s">
        <v>231</v>
      </c>
      <c r="G49" s="83" t="s">
        <v>510</v>
      </c>
      <c r="H49" s="83" t="s">
        <v>231</v>
      </c>
      <c r="I49" s="83" t="s">
        <v>510</v>
      </c>
      <c r="J49" s="83" t="s">
        <v>231</v>
      </c>
      <c r="K49" s="83" t="s">
        <v>510</v>
      </c>
      <c r="L49" s="83" t="s">
        <v>231</v>
      </c>
      <c r="M49" s="83" t="s">
        <v>510</v>
      </c>
      <c r="N49" s="83" t="s">
        <v>231</v>
      </c>
      <c r="O49" s="83" t="s">
        <v>510</v>
      </c>
      <c r="P49" s="83" t="s">
        <v>231</v>
      </c>
      <c r="Q49" s="83" t="s">
        <v>510</v>
      </c>
      <c r="R49" s="83" t="s">
        <v>231</v>
      </c>
      <c r="S49" s="83" t="s">
        <v>510</v>
      </c>
      <c r="T49" s="83" t="s">
        <v>231</v>
      </c>
      <c r="U49" s="83" t="s">
        <v>510</v>
      </c>
      <c r="V49" s="83" t="s">
        <v>231</v>
      </c>
      <c r="W49" s="83" t="s">
        <v>510</v>
      </c>
      <c r="X49" s="83" t="s">
        <v>231</v>
      </c>
      <c r="Y49" s="83" t="s">
        <v>510</v>
      </c>
      <c r="Z49" s="83" t="s">
        <v>231</v>
      </c>
      <c r="AA49" s="83" t="s">
        <v>510</v>
      </c>
      <c r="AB49" s="83" t="s">
        <v>231</v>
      </c>
      <c r="AC49" s="83" t="s">
        <v>510</v>
      </c>
      <c r="AD49" s="83" t="s">
        <v>231</v>
      </c>
      <c r="AE49" s="83" t="s">
        <v>510</v>
      </c>
      <c r="AF49" s="83" t="s">
        <v>231</v>
      </c>
      <c r="AG49" s="83" t="s">
        <v>510</v>
      </c>
      <c r="AH49" s="83" t="s">
        <v>231</v>
      </c>
      <c r="AI49" s="83" t="s">
        <v>510</v>
      </c>
      <c r="AJ49" s="83" t="s">
        <v>231</v>
      </c>
      <c r="AK49" s="83" t="s">
        <v>510</v>
      </c>
      <c r="AL49" s="83" t="s">
        <v>231</v>
      </c>
    </row>
    <row r="50" spans="1:46" ht="16" x14ac:dyDescent="0.2">
      <c r="A50" s="78" t="s">
        <v>509</v>
      </c>
      <c r="B50" s="78" t="s">
        <v>498</v>
      </c>
      <c r="C50" s="80" t="s">
        <v>510</v>
      </c>
      <c r="D50" s="80" t="s">
        <v>231</v>
      </c>
      <c r="E50" s="80" t="s">
        <v>510</v>
      </c>
      <c r="F50" s="80" t="s">
        <v>231</v>
      </c>
      <c r="G50" s="80" t="s">
        <v>510</v>
      </c>
      <c r="H50" s="80" t="s">
        <v>231</v>
      </c>
      <c r="I50" s="80" t="s">
        <v>510</v>
      </c>
      <c r="J50" s="80" t="s">
        <v>231</v>
      </c>
      <c r="K50" s="80" t="s">
        <v>510</v>
      </c>
      <c r="L50" s="80" t="s">
        <v>231</v>
      </c>
      <c r="M50" s="80" t="s">
        <v>510</v>
      </c>
      <c r="N50" s="80" t="s">
        <v>231</v>
      </c>
      <c r="O50" s="80" t="s">
        <v>510</v>
      </c>
      <c r="P50" s="80" t="s">
        <v>231</v>
      </c>
      <c r="Q50" s="80" t="s">
        <v>510</v>
      </c>
      <c r="R50" s="80" t="s">
        <v>231</v>
      </c>
      <c r="S50" s="80" t="s">
        <v>510</v>
      </c>
      <c r="T50" s="80" t="s">
        <v>231</v>
      </c>
      <c r="U50" s="80" t="s">
        <v>510</v>
      </c>
      <c r="V50" s="80" t="s">
        <v>231</v>
      </c>
      <c r="W50" s="80" t="s">
        <v>510</v>
      </c>
      <c r="X50" s="80" t="s">
        <v>231</v>
      </c>
      <c r="Y50" s="80" t="s">
        <v>510</v>
      </c>
      <c r="Z50" s="80" t="s">
        <v>231</v>
      </c>
      <c r="AA50" s="80" t="s">
        <v>510</v>
      </c>
      <c r="AB50" s="80" t="s">
        <v>231</v>
      </c>
      <c r="AC50" s="80" t="s">
        <v>510</v>
      </c>
      <c r="AD50" s="80" t="s">
        <v>231</v>
      </c>
      <c r="AE50" s="80" t="s">
        <v>510</v>
      </c>
      <c r="AF50" s="80" t="s">
        <v>231</v>
      </c>
      <c r="AG50" s="80" t="s">
        <v>510</v>
      </c>
      <c r="AH50" s="80" t="s">
        <v>231</v>
      </c>
      <c r="AI50" s="80" t="s">
        <v>510</v>
      </c>
      <c r="AJ50" s="80" t="s">
        <v>231</v>
      </c>
      <c r="AK50" s="80" t="s">
        <v>510</v>
      </c>
      <c r="AL50" s="80" t="s">
        <v>231</v>
      </c>
    </row>
    <row r="51" spans="1:46" ht="16" x14ac:dyDescent="0.2">
      <c r="A51" s="78" t="s">
        <v>509</v>
      </c>
      <c r="B51" s="78" t="s">
        <v>500</v>
      </c>
      <c r="C51" s="82">
        <v>0</v>
      </c>
      <c r="D51" s="83" t="s">
        <v>231</v>
      </c>
      <c r="E51" s="82">
        <v>0</v>
      </c>
      <c r="F51" s="83" t="s">
        <v>231</v>
      </c>
      <c r="G51" s="82">
        <v>0</v>
      </c>
      <c r="H51" s="83" t="s">
        <v>474</v>
      </c>
      <c r="I51" s="82">
        <v>0</v>
      </c>
      <c r="J51" s="83" t="s">
        <v>231</v>
      </c>
      <c r="K51" s="82">
        <v>0</v>
      </c>
      <c r="L51" s="83" t="s">
        <v>231</v>
      </c>
      <c r="M51" s="82">
        <v>0</v>
      </c>
      <c r="N51" s="83" t="s">
        <v>231</v>
      </c>
      <c r="O51" s="82">
        <v>0</v>
      </c>
      <c r="P51" s="83" t="s">
        <v>231</v>
      </c>
      <c r="Q51" s="82">
        <v>0</v>
      </c>
      <c r="R51" s="83" t="s">
        <v>231</v>
      </c>
      <c r="S51" s="82">
        <v>0</v>
      </c>
      <c r="T51" s="83" t="s">
        <v>231</v>
      </c>
      <c r="U51" s="82">
        <v>0</v>
      </c>
      <c r="V51" s="83" t="s">
        <v>231</v>
      </c>
      <c r="W51" s="82">
        <v>0</v>
      </c>
      <c r="X51" s="83" t="s">
        <v>231</v>
      </c>
      <c r="Y51" s="82">
        <v>0</v>
      </c>
      <c r="Z51" s="83" t="s">
        <v>231</v>
      </c>
      <c r="AA51" s="82">
        <v>0</v>
      </c>
      <c r="AB51" s="83" t="s">
        <v>231</v>
      </c>
      <c r="AC51" s="82">
        <v>0</v>
      </c>
      <c r="AD51" s="83" t="s">
        <v>231</v>
      </c>
      <c r="AE51" s="82">
        <v>0</v>
      </c>
      <c r="AF51" s="83" t="s">
        <v>231</v>
      </c>
      <c r="AG51" s="82">
        <v>0</v>
      </c>
      <c r="AH51" s="83" t="s">
        <v>231</v>
      </c>
      <c r="AI51" s="82">
        <v>0</v>
      </c>
      <c r="AJ51" s="83" t="s">
        <v>231</v>
      </c>
      <c r="AK51" s="82">
        <v>0</v>
      </c>
      <c r="AL51" s="83" t="s">
        <v>231</v>
      </c>
    </row>
    <row r="52" spans="1:46" ht="16" x14ac:dyDescent="0.2">
      <c r="A52" s="78" t="s">
        <v>509</v>
      </c>
      <c r="B52" s="78" t="s">
        <v>502</v>
      </c>
      <c r="C52" s="79">
        <v>0</v>
      </c>
      <c r="D52" s="80" t="s">
        <v>231</v>
      </c>
      <c r="E52" s="79">
        <v>0</v>
      </c>
      <c r="F52" s="80" t="s">
        <v>231</v>
      </c>
      <c r="G52" s="79">
        <v>0</v>
      </c>
      <c r="H52" s="80" t="s">
        <v>474</v>
      </c>
      <c r="I52" s="79">
        <v>0</v>
      </c>
      <c r="J52" s="80" t="s">
        <v>231</v>
      </c>
      <c r="K52" s="79">
        <v>0</v>
      </c>
      <c r="L52" s="80" t="s">
        <v>231</v>
      </c>
      <c r="M52" s="79">
        <v>0</v>
      </c>
      <c r="N52" s="80" t="s">
        <v>231</v>
      </c>
      <c r="O52" s="79">
        <v>0</v>
      </c>
      <c r="P52" s="80" t="s">
        <v>231</v>
      </c>
      <c r="Q52" s="79">
        <v>0</v>
      </c>
      <c r="R52" s="80" t="s">
        <v>231</v>
      </c>
      <c r="S52" s="79">
        <v>0</v>
      </c>
      <c r="T52" s="80" t="s">
        <v>231</v>
      </c>
      <c r="U52" s="79">
        <v>0</v>
      </c>
      <c r="V52" s="80" t="s">
        <v>231</v>
      </c>
      <c r="W52" s="79">
        <v>0</v>
      </c>
      <c r="X52" s="80" t="s">
        <v>231</v>
      </c>
      <c r="Y52" s="79">
        <v>0</v>
      </c>
      <c r="Z52" s="80" t="s">
        <v>231</v>
      </c>
      <c r="AA52" s="79">
        <v>0</v>
      </c>
      <c r="AB52" s="80" t="s">
        <v>231</v>
      </c>
      <c r="AC52" s="79">
        <v>0</v>
      </c>
      <c r="AD52" s="80" t="s">
        <v>231</v>
      </c>
      <c r="AE52" s="79">
        <v>0</v>
      </c>
      <c r="AF52" s="80" t="s">
        <v>231</v>
      </c>
      <c r="AG52" s="79">
        <v>0</v>
      </c>
      <c r="AH52" s="80" t="s">
        <v>231</v>
      </c>
      <c r="AI52" s="79">
        <v>0</v>
      </c>
      <c r="AJ52" s="80" t="s">
        <v>231</v>
      </c>
      <c r="AK52" s="79">
        <v>0</v>
      </c>
      <c r="AL52" s="80" t="s">
        <v>231</v>
      </c>
    </row>
    <row r="53" spans="1:46" ht="16" x14ac:dyDescent="0.2">
      <c r="A53" s="78" t="s">
        <v>509</v>
      </c>
      <c r="B53" s="78" t="s">
        <v>503</v>
      </c>
      <c r="C53" s="83" t="s">
        <v>510</v>
      </c>
      <c r="D53" s="83" t="s">
        <v>231</v>
      </c>
      <c r="E53" s="83" t="s">
        <v>510</v>
      </c>
      <c r="F53" s="83" t="s">
        <v>231</v>
      </c>
      <c r="G53" s="83" t="s">
        <v>510</v>
      </c>
      <c r="H53" s="83" t="s">
        <v>231</v>
      </c>
      <c r="I53" s="83" t="s">
        <v>510</v>
      </c>
      <c r="J53" s="83" t="s">
        <v>231</v>
      </c>
      <c r="K53" s="83" t="s">
        <v>510</v>
      </c>
      <c r="L53" s="83" t="s">
        <v>231</v>
      </c>
      <c r="M53" s="83" t="s">
        <v>510</v>
      </c>
      <c r="N53" s="83" t="s">
        <v>231</v>
      </c>
      <c r="O53" s="83" t="s">
        <v>510</v>
      </c>
      <c r="P53" s="83" t="s">
        <v>231</v>
      </c>
      <c r="Q53" s="83" t="s">
        <v>510</v>
      </c>
      <c r="R53" s="83" t="s">
        <v>231</v>
      </c>
      <c r="S53" s="83" t="s">
        <v>510</v>
      </c>
      <c r="T53" s="83" t="s">
        <v>231</v>
      </c>
      <c r="U53" s="83" t="s">
        <v>510</v>
      </c>
      <c r="V53" s="83" t="s">
        <v>231</v>
      </c>
      <c r="W53" s="83" t="s">
        <v>510</v>
      </c>
      <c r="X53" s="83" t="s">
        <v>231</v>
      </c>
      <c r="Y53" s="83" t="s">
        <v>510</v>
      </c>
      <c r="Z53" s="83" t="s">
        <v>231</v>
      </c>
      <c r="AA53" s="83" t="s">
        <v>510</v>
      </c>
      <c r="AB53" s="83" t="s">
        <v>231</v>
      </c>
      <c r="AC53" s="83" t="s">
        <v>510</v>
      </c>
      <c r="AD53" s="83" t="s">
        <v>231</v>
      </c>
      <c r="AE53" s="83" t="s">
        <v>510</v>
      </c>
      <c r="AF53" s="83" t="s">
        <v>231</v>
      </c>
      <c r="AG53" s="83" t="s">
        <v>510</v>
      </c>
      <c r="AH53" s="83" t="s">
        <v>231</v>
      </c>
      <c r="AI53" s="83" t="s">
        <v>510</v>
      </c>
      <c r="AJ53" s="83" t="s">
        <v>231</v>
      </c>
      <c r="AK53" s="83" t="s">
        <v>510</v>
      </c>
      <c r="AL53" s="83" t="s">
        <v>231</v>
      </c>
    </row>
    <row r="54" spans="1:46" ht="16" x14ac:dyDescent="0.2">
      <c r="A54" s="78" t="s">
        <v>509</v>
      </c>
      <c r="B54" s="78" t="s">
        <v>504</v>
      </c>
      <c r="C54" s="79">
        <v>0</v>
      </c>
      <c r="D54" s="80" t="s">
        <v>231</v>
      </c>
      <c r="E54" s="79">
        <v>0</v>
      </c>
      <c r="F54" s="80" t="s">
        <v>231</v>
      </c>
      <c r="G54" s="79">
        <v>0</v>
      </c>
      <c r="H54" s="80" t="s">
        <v>474</v>
      </c>
      <c r="I54" s="79">
        <v>0</v>
      </c>
      <c r="J54" s="80" t="s">
        <v>231</v>
      </c>
      <c r="K54" s="79">
        <v>0</v>
      </c>
      <c r="L54" s="80" t="s">
        <v>231</v>
      </c>
      <c r="M54" s="79">
        <v>0</v>
      </c>
      <c r="N54" s="80" t="s">
        <v>231</v>
      </c>
      <c r="O54" s="79">
        <v>0</v>
      </c>
      <c r="P54" s="80" t="s">
        <v>231</v>
      </c>
      <c r="Q54" s="79">
        <v>0</v>
      </c>
      <c r="R54" s="80" t="s">
        <v>231</v>
      </c>
      <c r="S54" s="79">
        <v>0</v>
      </c>
      <c r="T54" s="80" t="s">
        <v>231</v>
      </c>
      <c r="U54" s="79">
        <v>0</v>
      </c>
      <c r="V54" s="80" t="s">
        <v>231</v>
      </c>
      <c r="W54" s="79">
        <v>0</v>
      </c>
      <c r="X54" s="80" t="s">
        <v>231</v>
      </c>
      <c r="Y54" s="79">
        <v>0</v>
      </c>
      <c r="Z54" s="80" t="s">
        <v>231</v>
      </c>
      <c r="AA54" s="79">
        <v>0</v>
      </c>
      <c r="AB54" s="80" t="s">
        <v>231</v>
      </c>
      <c r="AC54" s="79">
        <v>0</v>
      </c>
      <c r="AD54" s="80" t="s">
        <v>231</v>
      </c>
      <c r="AE54" s="79">
        <v>0</v>
      </c>
      <c r="AF54" s="80" t="s">
        <v>231</v>
      </c>
      <c r="AG54" s="79">
        <v>0</v>
      </c>
      <c r="AH54" s="80" t="s">
        <v>231</v>
      </c>
      <c r="AI54" s="79">
        <v>0</v>
      </c>
      <c r="AJ54" s="80" t="s">
        <v>231</v>
      </c>
      <c r="AK54" s="79">
        <v>0</v>
      </c>
      <c r="AL54" s="80" t="s">
        <v>231</v>
      </c>
    </row>
    <row r="55" spans="1:46" ht="16" x14ac:dyDescent="0.2">
      <c r="A55" s="78" t="s">
        <v>509</v>
      </c>
      <c r="B55" s="78" t="s">
        <v>506</v>
      </c>
      <c r="C55" s="82">
        <v>0</v>
      </c>
      <c r="D55" s="83" t="s">
        <v>231</v>
      </c>
      <c r="E55" s="82">
        <v>0</v>
      </c>
      <c r="F55" s="83" t="s">
        <v>231</v>
      </c>
      <c r="G55" s="82">
        <v>0</v>
      </c>
      <c r="H55" s="83" t="s">
        <v>474</v>
      </c>
      <c r="I55" s="82">
        <v>0</v>
      </c>
      <c r="J55" s="83" t="s">
        <v>231</v>
      </c>
      <c r="K55" s="82">
        <v>0</v>
      </c>
      <c r="L55" s="83" t="s">
        <v>231</v>
      </c>
      <c r="M55" s="82">
        <v>0</v>
      </c>
      <c r="N55" s="83" t="s">
        <v>231</v>
      </c>
      <c r="O55" s="82">
        <v>0</v>
      </c>
      <c r="P55" s="83" t="s">
        <v>231</v>
      </c>
      <c r="Q55" s="82">
        <v>0</v>
      </c>
      <c r="R55" s="83" t="s">
        <v>231</v>
      </c>
      <c r="S55" s="82">
        <v>0</v>
      </c>
      <c r="T55" s="83" t="s">
        <v>231</v>
      </c>
      <c r="U55" s="82">
        <v>0</v>
      </c>
      <c r="V55" s="83" t="s">
        <v>231</v>
      </c>
      <c r="W55" s="82">
        <v>0</v>
      </c>
      <c r="X55" s="83" t="s">
        <v>231</v>
      </c>
      <c r="Y55" s="82">
        <v>0</v>
      </c>
      <c r="Z55" s="83" t="s">
        <v>231</v>
      </c>
      <c r="AA55" s="82">
        <v>0</v>
      </c>
      <c r="AB55" s="83" t="s">
        <v>231</v>
      </c>
      <c r="AC55" s="82">
        <v>0</v>
      </c>
      <c r="AD55" s="83" t="s">
        <v>231</v>
      </c>
      <c r="AE55" s="82">
        <v>0</v>
      </c>
      <c r="AF55" s="83" t="s">
        <v>231</v>
      </c>
      <c r="AG55" s="82">
        <v>0</v>
      </c>
      <c r="AH55" s="83" t="s">
        <v>231</v>
      </c>
      <c r="AI55" s="82">
        <v>0</v>
      </c>
      <c r="AJ55" s="83" t="s">
        <v>231</v>
      </c>
      <c r="AK55" s="82">
        <v>0</v>
      </c>
      <c r="AL55" s="83" t="s">
        <v>231</v>
      </c>
    </row>
    <row r="56" spans="1:46" ht="16" x14ac:dyDescent="0.2">
      <c r="A56" s="78" t="s">
        <v>514</v>
      </c>
      <c r="B56" s="78" t="s">
        <v>473</v>
      </c>
      <c r="C56" s="80" t="s">
        <v>510</v>
      </c>
      <c r="D56" s="80" t="s">
        <v>231</v>
      </c>
      <c r="E56" s="80" t="s">
        <v>510</v>
      </c>
      <c r="F56" s="80" t="s">
        <v>231</v>
      </c>
      <c r="G56" s="80" t="s">
        <v>510</v>
      </c>
      <c r="H56" s="80" t="s">
        <v>231</v>
      </c>
      <c r="I56" s="80" t="s">
        <v>510</v>
      </c>
      <c r="J56" s="80" t="s">
        <v>231</v>
      </c>
      <c r="K56" s="80" t="s">
        <v>510</v>
      </c>
      <c r="L56" s="80" t="s">
        <v>231</v>
      </c>
      <c r="M56" s="80" t="s">
        <v>510</v>
      </c>
      <c r="N56" s="80" t="s">
        <v>231</v>
      </c>
      <c r="O56" s="80" t="s">
        <v>510</v>
      </c>
      <c r="P56" s="80" t="s">
        <v>231</v>
      </c>
      <c r="Q56" s="80" t="s">
        <v>510</v>
      </c>
      <c r="R56" s="80" t="s">
        <v>231</v>
      </c>
      <c r="S56" s="80" t="s">
        <v>510</v>
      </c>
      <c r="T56" s="80" t="s">
        <v>231</v>
      </c>
      <c r="U56" s="80" t="s">
        <v>510</v>
      </c>
      <c r="V56" s="80" t="s">
        <v>231</v>
      </c>
      <c r="W56" s="80" t="s">
        <v>510</v>
      </c>
      <c r="X56" s="80" t="s">
        <v>231</v>
      </c>
      <c r="Y56" s="80" t="s">
        <v>510</v>
      </c>
      <c r="Z56" s="80" t="s">
        <v>231</v>
      </c>
      <c r="AA56" s="80" t="s">
        <v>510</v>
      </c>
      <c r="AB56" s="80" t="s">
        <v>231</v>
      </c>
      <c r="AC56" s="80" t="s">
        <v>510</v>
      </c>
      <c r="AD56" s="80" t="s">
        <v>231</v>
      </c>
      <c r="AE56" s="80" t="s">
        <v>510</v>
      </c>
      <c r="AF56" s="80" t="s">
        <v>231</v>
      </c>
      <c r="AG56" s="80" t="s">
        <v>510</v>
      </c>
      <c r="AH56" s="80" t="s">
        <v>231</v>
      </c>
      <c r="AI56" s="80" t="s">
        <v>510</v>
      </c>
      <c r="AJ56" s="80" t="s">
        <v>231</v>
      </c>
      <c r="AK56" s="80" t="s">
        <v>510</v>
      </c>
      <c r="AL56" s="80" t="s">
        <v>231</v>
      </c>
    </row>
    <row r="57" spans="1:46" ht="16" x14ac:dyDescent="0.2">
      <c r="A57" s="78" t="s">
        <v>514</v>
      </c>
      <c r="B57" s="78" t="s">
        <v>475</v>
      </c>
      <c r="C57" s="83" t="s">
        <v>510</v>
      </c>
      <c r="D57" s="83" t="s">
        <v>231</v>
      </c>
      <c r="E57" s="83" t="s">
        <v>510</v>
      </c>
      <c r="F57" s="83" t="s">
        <v>231</v>
      </c>
      <c r="G57" s="83" t="s">
        <v>510</v>
      </c>
      <c r="H57" s="83" t="s">
        <v>231</v>
      </c>
      <c r="I57" s="83" t="s">
        <v>510</v>
      </c>
      <c r="J57" s="83" t="s">
        <v>231</v>
      </c>
      <c r="K57" s="83" t="s">
        <v>510</v>
      </c>
      <c r="L57" s="83" t="s">
        <v>231</v>
      </c>
      <c r="M57" s="83" t="s">
        <v>510</v>
      </c>
      <c r="N57" s="83" t="s">
        <v>231</v>
      </c>
      <c r="O57" s="83" t="s">
        <v>510</v>
      </c>
      <c r="P57" s="83" t="s">
        <v>231</v>
      </c>
      <c r="Q57" s="83" t="s">
        <v>510</v>
      </c>
      <c r="R57" s="83" t="s">
        <v>231</v>
      </c>
      <c r="S57" s="83" t="s">
        <v>510</v>
      </c>
      <c r="T57" s="83" t="s">
        <v>231</v>
      </c>
      <c r="U57" s="83" t="s">
        <v>510</v>
      </c>
      <c r="V57" s="83" t="s">
        <v>231</v>
      </c>
      <c r="W57" s="83" t="s">
        <v>510</v>
      </c>
      <c r="X57" s="83" t="s">
        <v>231</v>
      </c>
      <c r="Y57" s="83" t="s">
        <v>510</v>
      </c>
      <c r="Z57" s="83" t="s">
        <v>231</v>
      </c>
      <c r="AA57" s="83" t="s">
        <v>510</v>
      </c>
      <c r="AB57" s="83" t="s">
        <v>231</v>
      </c>
      <c r="AC57" s="83" t="s">
        <v>510</v>
      </c>
      <c r="AD57" s="83" t="s">
        <v>231</v>
      </c>
      <c r="AE57" s="83" t="s">
        <v>510</v>
      </c>
      <c r="AF57" s="83" t="s">
        <v>231</v>
      </c>
      <c r="AG57" s="83" t="s">
        <v>510</v>
      </c>
      <c r="AH57" s="83" t="s">
        <v>231</v>
      </c>
      <c r="AI57" s="83" t="s">
        <v>510</v>
      </c>
      <c r="AJ57" s="83" t="s">
        <v>231</v>
      </c>
      <c r="AK57" s="83" t="s">
        <v>510</v>
      </c>
      <c r="AL57" s="83" t="s">
        <v>231</v>
      </c>
    </row>
    <row r="58" spans="1:46" ht="17" thickBot="1" x14ac:dyDescent="0.25">
      <c r="A58" s="78" t="s">
        <v>514</v>
      </c>
      <c r="B58" s="78" t="s">
        <v>476</v>
      </c>
      <c r="C58" s="79">
        <v>0</v>
      </c>
      <c r="D58" s="80" t="s">
        <v>231</v>
      </c>
      <c r="E58" s="79">
        <v>0</v>
      </c>
      <c r="F58" s="80" t="s">
        <v>231</v>
      </c>
      <c r="G58" s="81">
        <v>459.58199999999999</v>
      </c>
      <c r="H58" s="80" t="s">
        <v>474</v>
      </c>
      <c r="I58" s="79">
        <v>0</v>
      </c>
      <c r="J58" s="80" t="s">
        <v>231</v>
      </c>
      <c r="K58" s="79">
        <v>0</v>
      </c>
      <c r="L58" s="80" t="s">
        <v>231</v>
      </c>
      <c r="M58" s="79">
        <v>0</v>
      </c>
      <c r="N58" s="80" t="s">
        <v>231</v>
      </c>
      <c r="O58" s="79">
        <v>0</v>
      </c>
      <c r="P58" s="80" t="s">
        <v>231</v>
      </c>
      <c r="Q58" s="79">
        <v>0</v>
      </c>
      <c r="R58" s="80" t="s">
        <v>231</v>
      </c>
      <c r="S58" s="79">
        <v>0</v>
      </c>
      <c r="T58" s="80" t="s">
        <v>231</v>
      </c>
      <c r="U58" s="81">
        <v>0.78900000000000003</v>
      </c>
      <c r="V58" s="80" t="s">
        <v>231</v>
      </c>
      <c r="W58" s="79">
        <v>0</v>
      </c>
      <c r="X58" s="80" t="s">
        <v>231</v>
      </c>
      <c r="Y58" s="79">
        <v>0</v>
      </c>
      <c r="Z58" s="80" t="s">
        <v>231</v>
      </c>
      <c r="AA58" s="79">
        <v>0</v>
      </c>
      <c r="AB58" s="80" t="s">
        <v>231</v>
      </c>
      <c r="AC58" s="79">
        <v>0</v>
      </c>
      <c r="AD58" s="80" t="s">
        <v>231</v>
      </c>
      <c r="AE58" s="79">
        <v>0</v>
      </c>
      <c r="AF58" s="80" t="s">
        <v>231</v>
      </c>
      <c r="AG58" s="79">
        <v>0</v>
      </c>
      <c r="AH58" s="80" t="s">
        <v>231</v>
      </c>
      <c r="AI58" s="79">
        <v>0</v>
      </c>
      <c r="AJ58" s="80" t="s">
        <v>231</v>
      </c>
      <c r="AK58" s="81">
        <v>622.17399999999998</v>
      </c>
      <c r="AL58" s="80" t="s">
        <v>231</v>
      </c>
      <c r="AO58" t="s">
        <v>561</v>
      </c>
    </row>
    <row r="59" spans="1:46" ht="16" x14ac:dyDescent="0.2">
      <c r="A59" s="78" t="s">
        <v>514</v>
      </c>
      <c r="B59" s="78" t="s">
        <v>477</v>
      </c>
      <c r="C59" s="83" t="s">
        <v>510</v>
      </c>
      <c r="D59" s="83" t="s">
        <v>231</v>
      </c>
      <c r="E59" s="83" t="s">
        <v>510</v>
      </c>
      <c r="F59" s="83" t="s">
        <v>231</v>
      </c>
      <c r="G59" s="83" t="s">
        <v>510</v>
      </c>
      <c r="H59" s="83" t="s">
        <v>231</v>
      </c>
      <c r="I59" s="83" t="s">
        <v>510</v>
      </c>
      <c r="J59" s="83" t="s">
        <v>231</v>
      </c>
      <c r="K59" s="83" t="s">
        <v>510</v>
      </c>
      <c r="L59" s="83" t="s">
        <v>231</v>
      </c>
      <c r="M59" s="83" t="s">
        <v>510</v>
      </c>
      <c r="N59" s="83" t="s">
        <v>231</v>
      </c>
      <c r="O59" s="83" t="s">
        <v>510</v>
      </c>
      <c r="P59" s="83" t="s">
        <v>231</v>
      </c>
      <c r="Q59" s="83" t="s">
        <v>510</v>
      </c>
      <c r="R59" s="83" t="s">
        <v>231</v>
      </c>
      <c r="S59" s="83" t="s">
        <v>510</v>
      </c>
      <c r="T59" s="83" t="s">
        <v>231</v>
      </c>
      <c r="U59" s="83" t="s">
        <v>510</v>
      </c>
      <c r="V59" s="83" t="s">
        <v>231</v>
      </c>
      <c r="W59" s="83" t="s">
        <v>510</v>
      </c>
      <c r="X59" s="83" t="s">
        <v>231</v>
      </c>
      <c r="Y59" s="83" t="s">
        <v>510</v>
      </c>
      <c r="Z59" s="83" t="s">
        <v>231</v>
      </c>
      <c r="AA59" s="83" t="s">
        <v>510</v>
      </c>
      <c r="AB59" s="83" t="s">
        <v>231</v>
      </c>
      <c r="AC59" s="83" t="s">
        <v>510</v>
      </c>
      <c r="AD59" s="83" t="s">
        <v>231</v>
      </c>
      <c r="AE59" s="83" t="s">
        <v>510</v>
      </c>
      <c r="AF59" s="83" t="s">
        <v>231</v>
      </c>
      <c r="AG59" s="83" t="s">
        <v>510</v>
      </c>
      <c r="AH59" s="83" t="s">
        <v>231</v>
      </c>
      <c r="AI59" s="83" t="s">
        <v>510</v>
      </c>
      <c r="AJ59" s="83" t="s">
        <v>231</v>
      </c>
      <c r="AK59" s="83" t="s">
        <v>510</v>
      </c>
      <c r="AL59" s="83" t="s">
        <v>231</v>
      </c>
      <c r="AO59" s="100"/>
      <c r="AP59" s="108" t="s">
        <v>553</v>
      </c>
      <c r="AQ59" s="108" t="s">
        <v>554</v>
      </c>
      <c r="AR59" s="109" t="s">
        <v>555</v>
      </c>
    </row>
    <row r="60" spans="1:46" ht="16" x14ac:dyDescent="0.2">
      <c r="A60" s="78" t="s">
        <v>514</v>
      </c>
      <c r="B60" s="78" t="s">
        <v>478</v>
      </c>
      <c r="C60" s="80" t="s">
        <v>510</v>
      </c>
      <c r="D60" s="80" t="s">
        <v>231</v>
      </c>
      <c r="E60" s="80" t="s">
        <v>510</v>
      </c>
      <c r="F60" s="80" t="s">
        <v>231</v>
      </c>
      <c r="G60" s="80" t="s">
        <v>510</v>
      </c>
      <c r="H60" s="80" t="s">
        <v>231</v>
      </c>
      <c r="I60" s="80" t="s">
        <v>510</v>
      </c>
      <c r="J60" s="80" t="s">
        <v>231</v>
      </c>
      <c r="K60" s="80" t="s">
        <v>510</v>
      </c>
      <c r="L60" s="80" t="s">
        <v>231</v>
      </c>
      <c r="M60" s="80" t="s">
        <v>510</v>
      </c>
      <c r="N60" s="80" t="s">
        <v>231</v>
      </c>
      <c r="O60" s="80" t="s">
        <v>510</v>
      </c>
      <c r="P60" s="80" t="s">
        <v>231</v>
      </c>
      <c r="Q60" s="80" t="s">
        <v>510</v>
      </c>
      <c r="R60" s="80" t="s">
        <v>231</v>
      </c>
      <c r="S60" s="80" t="s">
        <v>510</v>
      </c>
      <c r="T60" s="80" t="s">
        <v>231</v>
      </c>
      <c r="U60" s="80" t="s">
        <v>510</v>
      </c>
      <c r="V60" s="80" t="s">
        <v>231</v>
      </c>
      <c r="W60" s="80" t="s">
        <v>510</v>
      </c>
      <c r="X60" s="80" t="s">
        <v>231</v>
      </c>
      <c r="Y60" s="80" t="s">
        <v>510</v>
      </c>
      <c r="Z60" s="80" t="s">
        <v>231</v>
      </c>
      <c r="AA60" s="80" t="s">
        <v>510</v>
      </c>
      <c r="AB60" s="80" t="s">
        <v>231</v>
      </c>
      <c r="AC60" s="80" t="s">
        <v>510</v>
      </c>
      <c r="AD60" s="80" t="s">
        <v>231</v>
      </c>
      <c r="AE60" s="80" t="s">
        <v>510</v>
      </c>
      <c r="AF60" s="80" t="s">
        <v>231</v>
      </c>
      <c r="AG60" s="80" t="s">
        <v>510</v>
      </c>
      <c r="AH60" s="80" t="s">
        <v>231</v>
      </c>
      <c r="AI60" s="80" t="s">
        <v>510</v>
      </c>
      <c r="AJ60" s="80" t="s">
        <v>231</v>
      </c>
      <c r="AK60" s="80" t="s">
        <v>510</v>
      </c>
      <c r="AL60" s="80" t="s">
        <v>231</v>
      </c>
      <c r="AO60" s="103" t="s">
        <v>551</v>
      </c>
      <c r="AP60">
        <v>262317</v>
      </c>
      <c r="AQ60">
        <v>435653</v>
      </c>
      <c r="AR60" s="110">
        <f>AQ60+AP60</f>
        <v>697970</v>
      </c>
      <c r="AT60" t="s">
        <v>556</v>
      </c>
    </row>
    <row r="61" spans="1:46" ht="17" thickBot="1" x14ac:dyDescent="0.25">
      <c r="A61" s="78" t="s">
        <v>514</v>
      </c>
      <c r="B61" s="78" t="s">
        <v>479</v>
      </c>
      <c r="C61" s="83" t="s">
        <v>510</v>
      </c>
      <c r="D61" s="83" t="s">
        <v>231</v>
      </c>
      <c r="E61" s="83" t="s">
        <v>510</v>
      </c>
      <c r="F61" s="83" t="s">
        <v>231</v>
      </c>
      <c r="G61" s="83" t="s">
        <v>510</v>
      </c>
      <c r="H61" s="83" t="s">
        <v>231</v>
      </c>
      <c r="I61" s="83" t="s">
        <v>510</v>
      </c>
      <c r="J61" s="83" t="s">
        <v>231</v>
      </c>
      <c r="K61" s="83" t="s">
        <v>510</v>
      </c>
      <c r="L61" s="83" t="s">
        <v>231</v>
      </c>
      <c r="M61" s="83" t="s">
        <v>510</v>
      </c>
      <c r="N61" s="83" t="s">
        <v>231</v>
      </c>
      <c r="O61" s="83" t="s">
        <v>510</v>
      </c>
      <c r="P61" s="83" t="s">
        <v>231</v>
      </c>
      <c r="Q61" s="83" t="s">
        <v>510</v>
      </c>
      <c r="R61" s="83" t="s">
        <v>231</v>
      </c>
      <c r="S61" s="83" t="s">
        <v>510</v>
      </c>
      <c r="T61" s="83" t="s">
        <v>231</v>
      </c>
      <c r="U61" s="83" t="s">
        <v>510</v>
      </c>
      <c r="V61" s="83" t="s">
        <v>231</v>
      </c>
      <c r="W61" s="83" t="s">
        <v>510</v>
      </c>
      <c r="X61" s="83" t="s">
        <v>231</v>
      </c>
      <c r="Y61" s="83" t="s">
        <v>510</v>
      </c>
      <c r="Z61" s="83" t="s">
        <v>231</v>
      </c>
      <c r="AA61" s="83" t="s">
        <v>510</v>
      </c>
      <c r="AB61" s="83" t="s">
        <v>231</v>
      </c>
      <c r="AC61" s="83" t="s">
        <v>510</v>
      </c>
      <c r="AD61" s="83" t="s">
        <v>231</v>
      </c>
      <c r="AE61" s="83" t="s">
        <v>510</v>
      </c>
      <c r="AF61" s="83" t="s">
        <v>231</v>
      </c>
      <c r="AG61" s="83" t="s">
        <v>510</v>
      </c>
      <c r="AH61" s="83" t="s">
        <v>231</v>
      </c>
      <c r="AI61" s="83" t="s">
        <v>510</v>
      </c>
      <c r="AJ61" s="83" t="s">
        <v>231</v>
      </c>
      <c r="AK61" s="83" t="s">
        <v>510</v>
      </c>
      <c r="AL61" s="83" t="s">
        <v>231</v>
      </c>
      <c r="AO61" s="105" t="s">
        <v>552</v>
      </c>
      <c r="AP61" s="113">
        <v>158</v>
      </c>
      <c r="AQ61" s="113">
        <v>24379</v>
      </c>
      <c r="AR61" s="114">
        <f>AQ61+AP61</f>
        <v>24537</v>
      </c>
      <c r="AT61" t="s">
        <v>557</v>
      </c>
    </row>
    <row r="62" spans="1:46" ht="16" x14ac:dyDescent="0.2">
      <c r="A62" s="78" t="s">
        <v>514</v>
      </c>
      <c r="B62" s="78" t="s">
        <v>480</v>
      </c>
      <c r="C62" s="80" t="s">
        <v>510</v>
      </c>
      <c r="D62" s="80" t="s">
        <v>231</v>
      </c>
      <c r="E62" s="80" t="s">
        <v>510</v>
      </c>
      <c r="F62" s="80" t="s">
        <v>231</v>
      </c>
      <c r="G62" s="80" t="s">
        <v>510</v>
      </c>
      <c r="H62" s="80" t="s">
        <v>231</v>
      </c>
      <c r="I62" s="80" t="s">
        <v>510</v>
      </c>
      <c r="J62" s="80" t="s">
        <v>231</v>
      </c>
      <c r="K62" s="80" t="s">
        <v>510</v>
      </c>
      <c r="L62" s="80" t="s">
        <v>231</v>
      </c>
      <c r="M62" s="80" t="s">
        <v>510</v>
      </c>
      <c r="N62" s="80" t="s">
        <v>231</v>
      </c>
      <c r="O62" s="80" t="s">
        <v>510</v>
      </c>
      <c r="P62" s="80" t="s">
        <v>231</v>
      </c>
      <c r="Q62" s="80" t="s">
        <v>510</v>
      </c>
      <c r="R62" s="80" t="s">
        <v>231</v>
      </c>
      <c r="S62" s="80" t="s">
        <v>510</v>
      </c>
      <c r="T62" s="80" t="s">
        <v>231</v>
      </c>
      <c r="U62" s="80" t="s">
        <v>510</v>
      </c>
      <c r="V62" s="80" t="s">
        <v>231</v>
      </c>
      <c r="W62" s="80" t="s">
        <v>510</v>
      </c>
      <c r="X62" s="80" t="s">
        <v>231</v>
      </c>
      <c r="Y62" s="80" t="s">
        <v>510</v>
      </c>
      <c r="Z62" s="80" t="s">
        <v>231</v>
      </c>
      <c r="AA62" s="80" t="s">
        <v>510</v>
      </c>
      <c r="AB62" s="80" t="s">
        <v>231</v>
      </c>
      <c r="AC62" s="80" t="s">
        <v>510</v>
      </c>
      <c r="AD62" s="80" t="s">
        <v>231</v>
      </c>
      <c r="AE62" s="80" t="s">
        <v>510</v>
      </c>
      <c r="AF62" s="80" t="s">
        <v>231</v>
      </c>
      <c r="AG62" s="80" t="s">
        <v>510</v>
      </c>
      <c r="AH62" s="80" t="s">
        <v>231</v>
      </c>
      <c r="AI62" s="80" t="s">
        <v>510</v>
      </c>
      <c r="AJ62" s="80" t="s">
        <v>231</v>
      </c>
      <c r="AK62" s="80" t="s">
        <v>510</v>
      </c>
      <c r="AL62" s="80" t="s">
        <v>231</v>
      </c>
    </row>
    <row r="63" spans="1:46" ht="16" x14ac:dyDescent="0.2">
      <c r="A63" s="78" t="s">
        <v>514</v>
      </c>
      <c r="B63" s="78" t="s">
        <v>481</v>
      </c>
      <c r="C63" s="82">
        <v>0</v>
      </c>
      <c r="D63" s="83" t="s">
        <v>231</v>
      </c>
      <c r="E63" s="82">
        <v>0</v>
      </c>
      <c r="F63" s="83" t="s">
        <v>231</v>
      </c>
      <c r="G63" s="82">
        <v>0</v>
      </c>
      <c r="H63" s="83" t="s">
        <v>474</v>
      </c>
      <c r="I63" s="82">
        <v>0</v>
      </c>
      <c r="J63" s="83" t="s">
        <v>231</v>
      </c>
      <c r="K63" s="82">
        <v>0</v>
      </c>
      <c r="L63" s="83" t="s">
        <v>231</v>
      </c>
      <c r="M63" s="82">
        <v>0</v>
      </c>
      <c r="N63" s="83" t="s">
        <v>231</v>
      </c>
      <c r="O63" s="82">
        <v>0</v>
      </c>
      <c r="P63" s="83" t="s">
        <v>231</v>
      </c>
      <c r="Q63" s="82">
        <v>0</v>
      </c>
      <c r="R63" s="83" t="s">
        <v>231</v>
      </c>
      <c r="S63" s="82">
        <v>0</v>
      </c>
      <c r="T63" s="83" t="s">
        <v>231</v>
      </c>
      <c r="U63" s="82">
        <v>0</v>
      </c>
      <c r="V63" s="83" t="s">
        <v>231</v>
      </c>
      <c r="W63" s="82">
        <v>0</v>
      </c>
      <c r="X63" s="83" t="s">
        <v>231</v>
      </c>
      <c r="Y63" s="82">
        <v>0</v>
      </c>
      <c r="Z63" s="83" t="s">
        <v>231</v>
      </c>
      <c r="AA63" s="82">
        <v>0</v>
      </c>
      <c r="AB63" s="83" t="s">
        <v>231</v>
      </c>
      <c r="AC63" s="82">
        <v>0</v>
      </c>
      <c r="AD63" s="83" t="s">
        <v>231</v>
      </c>
      <c r="AE63" s="82">
        <v>0</v>
      </c>
      <c r="AF63" s="83" t="s">
        <v>231</v>
      </c>
      <c r="AG63" s="82">
        <v>0</v>
      </c>
      <c r="AH63" s="83" t="s">
        <v>231</v>
      </c>
      <c r="AI63" s="82">
        <v>0</v>
      </c>
      <c r="AJ63" s="83" t="s">
        <v>231</v>
      </c>
      <c r="AK63" s="82">
        <v>0</v>
      </c>
      <c r="AL63" s="83" t="s">
        <v>231</v>
      </c>
    </row>
    <row r="64" spans="1:46" ht="16" x14ac:dyDescent="0.2">
      <c r="A64" s="78" t="s">
        <v>514</v>
      </c>
      <c r="B64" s="78" t="s">
        <v>482</v>
      </c>
      <c r="C64" s="80" t="s">
        <v>510</v>
      </c>
      <c r="D64" s="80" t="s">
        <v>231</v>
      </c>
      <c r="E64" s="80" t="s">
        <v>510</v>
      </c>
      <c r="F64" s="80" t="s">
        <v>231</v>
      </c>
      <c r="G64" s="80" t="s">
        <v>510</v>
      </c>
      <c r="H64" s="80" t="s">
        <v>231</v>
      </c>
      <c r="I64" s="80" t="s">
        <v>510</v>
      </c>
      <c r="J64" s="80" t="s">
        <v>231</v>
      </c>
      <c r="K64" s="80" t="s">
        <v>510</v>
      </c>
      <c r="L64" s="80" t="s">
        <v>231</v>
      </c>
      <c r="M64" s="80" t="s">
        <v>510</v>
      </c>
      <c r="N64" s="80" t="s">
        <v>231</v>
      </c>
      <c r="O64" s="80" t="s">
        <v>510</v>
      </c>
      <c r="P64" s="80" t="s">
        <v>231</v>
      </c>
      <c r="Q64" s="80" t="s">
        <v>510</v>
      </c>
      <c r="R64" s="80" t="s">
        <v>231</v>
      </c>
      <c r="S64" s="80" t="s">
        <v>510</v>
      </c>
      <c r="T64" s="80" t="s">
        <v>231</v>
      </c>
      <c r="U64" s="80" t="s">
        <v>510</v>
      </c>
      <c r="V64" s="80" t="s">
        <v>231</v>
      </c>
      <c r="W64" s="80" t="s">
        <v>510</v>
      </c>
      <c r="X64" s="80" t="s">
        <v>231</v>
      </c>
      <c r="Y64" s="80" t="s">
        <v>510</v>
      </c>
      <c r="Z64" s="80" t="s">
        <v>231</v>
      </c>
      <c r="AA64" s="80" t="s">
        <v>510</v>
      </c>
      <c r="AB64" s="80" t="s">
        <v>231</v>
      </c>
      <c r="AC64" s="80" t="s">
        <v>510</v>
      </c>
      <c r="AD64" s="80" t="s">
        <v>231</v>
      </c>
      <c r="AE64" s="80" t="s">
        <v>510</v>
      </c>
      <c r="AF64" s="80" t="s">
        <v>231</v>
      </c>
      <c r="AG64" s="80" t="s">
        <v>510</v>
      </c>
      <c r="AH64" s="80" t="s">
        <v>231</v>
      </c>
      <c r="AI64" s="80" t="s">
        <v>510</v>
      </c>
      <c r="AJ64" s="80" t="s">
        <v>231</v>
      </c>
      <c r="AK64" s="80" t="s">
        <v>510</v>
      </c>
      <c r="AL64" s="80" t="s">
        <v>231</v>
      </c>
    </row>
    <row r="65" spans="1:42" ht="16" x14ac:dyDescent="0.2">
      <c r="A65" s="78" t="s">
        <v>514</v>
      </c>
      <c r="B65" s="78" t="s">
        <v>483</v>
      </c>
      <c r="C65" s="83" t="s">
        <v>510</v>
      </c>
      <c r="D65" s="83" t="s">
        <v>231</v>
      </c>
      <c r="E65" s="83" t="s">
        <v>510</v>
      </c>
      <c r="F65" s="83" t="s">
        <v>231</v>
      </c>
      <c r="G65" s="83" t="s">
        <v>510</v>
      </c>
      <c r="H65" s="83" t="s">
        <v>231</v>
      </c>
      <c r="I65" s="83" t="s">
        <v>510</v>
      </c>
      <c r="J65" s="83" t="s">
        <v>231</v>
      </c>
      <c r="K65" s="83" t="s">
        <v>510</v>
      </c>
      <c r="L65" s="83" t="s">
        <v>231</v>
      </c>
      <c r="M65" s="83" t="s">
        <v>510</v>
      </c>
      <c r="N65" s="83" t="s">
        <v>231</v>
      </c>
      <c r="O65" s="83" t="s">
        <v>510</v>
      </c>
      <c r="P65" s="83" t="s">
        <v>231</v>
      </c>
      <c r="Q65" s="83" t="s">
        <v>510</v>
      </c>
      <c r="R65" s="83" t="s">
        <v>231</v>
      </c>
      <c r="S65" s="83" t="s">
        <v>510</v>
      </c>
      <c r="T65" s="83" t="s">
        <v>231</v>
      </c>
      <c r="U65" s="83" t="s">
        <v>510</v>
      </c>
      <c r="V65" s="83" t="s">
        <v>231</v>
      </c>
      <c r="W65" s="83" t="s">
        <v>510</v>
      </c>
      <c r="X65" s="83" t="s">
        <v>231</v>
      </c>
      <c r="Y65" s="83" t="s">
        <v>510</v>
      </c>
      <c r="Z65" s="83" t="s">
        <v>231</v>
      </c>
      <c r="AA65" s="83" t="s">
        <v>510</v>
      </c>
      <c r="AB65" s="83" t="s">
        <v>231</v>
      </c>
      <c r="AC65" s="83" t="s">
        <v>510</v>
      </c>
      <c r="AD65" s="83" t="s">
        <v>231</v>
      </c>
      <c r="AE65" s="83" t="s">
        <v>510</v>
      </c>
      <c r="AF65" s="83" t="s">
        <v>231</v>
      </c>
      <c r="AG65" s="83" t="s">
        <v>510</v>
      </c>
      <c r="AH65" s="83" t="s">
        <v>231</v>
      </c>
      <c r="AI65" s="83" t="s">
        <v>510</v>
      </c>
      <c r="AJ65" s="83" t="s">
        <v>231</v>
      </c>
      <c r="AK65" s="83" t="s">
        <v>510</v>
      </c>
      <c r="AL65" s="83" t="s">
        <v>231</v>
      </c>
    </row>
    <row r="66" spans="1:42" ht="16" x14ac:dyDescent="0.2">
      <c r="A66" s="78" t="s">
        <v>514</v>
      </c>
      <c r="B66" s="78" t="s">
        <v>484</v>
      </c>
      <c r="C66" s="80" t="s">
        <v>510</v>
      </c>
      <c r="D66" s="80" t="s">
        <v>231</v>
      </c>
      <c r="E66" s="80" t="s">
        <v>510</v>
      </c>
      <c r="F66" s="80" t="s">
        <v>231</v>
      </c>
      <c r="G66" s="80" t="s">
        <v>510</v>
      </c>
      <c r="H66" s="80" t="s">
        <v>231</v>
      </c>
      <c r="I66" s="80" t="s">
        <v>510</v>
      </c>
      <c r="J66" s="80" t="s">
        <v>231</v>
      </c>
      <c r="K66" s="80" t="s">
        <v>510</v>
      </c>
      <c r="L66" s="80" t="s">
        <v>231</v>
      </c>
      <c r="M66" s="80" t="s">
        <v>510</v>
      </c>
      <c r="N66" s="80" t="s">
        <v>231</v>
      </c>
      <c r="O66" s="80" t="s">
        <v>510</v>
      </c>
      <c r="P66" s="80" t="s">
        <v>231</v>
      </c>
      <c r="Q66" s="80" t="s">
        <v>510</v>
      </c>
      <c r="R66" s="80" t="s">
        <v>231</v>
      </c>
      <c r="S66" s="80" t="s">
        <v>510</v>
      </c>
      <c r="T66" s="80" t="s">
        <v>231</v>
      </c>
      <c r="U66" s="80" t="s">
        <v>510</v>
      </c>
      <c r="V66" s="80" t="s">
        <v>231</v>
      </c>
      <c r="W66" s="80" t="s">
        <v>510</v>
      </c>
      <c r="X66" s="80" t="s">
        <v>231</v>
      </c>
      <c r="Y66" s="80" t="s">
        <v>510</v>
      </c>
      <c r="Z66" s="80" t="s">
        <v>231</v>
      </c>
      <c r="AA66" s="80" t="s">
        <v>510</v>
      </c>
      <c r="AB66" s="80" t="s">
        <v>231</v>
      </c>
      <c r="AC66" s="80" t="s">
        <v>510</v>
      </c>
      <c r="AD66" s="80" t="s">
        <v>231</v>
      </c>
      <c r="AE66" s="80" t="s">
        <v>510</v>
      </c>
      <c r="AF66" s="80" t="s">
        <v>231</v>
      </c>
      <c r="AG66" s="80" t="s">
        <v>510</v>
      </c>
      <c r="AH66" s="80" t="s">
        <v>231</v>
      </c>
      <c r="AI66" s="80" t="s">
        <v>510</v>
      </c>
      <c r="AJ66" s="80" t="s">
        <v>231</v>
      </c>
      <c r="AK66" s="80" t="s">
        <v>510</v>
      </c>
      <c r="AL66" s="80" t="s">
        <v>231</v>
      </c>
    </row>
    <row r="67" spans="1:42" ht="16" x14ac:dyDescent="0.2">
      <c r="A67" s="78" t="s">
        <v>514</v>
      </c>
      <c r="B67" s="78" t="s">
        <v>489</v>
      </c>
      <c r="C67" s="83" t="s">
        <v>510</v>
      </c>
      <c r="D67" s="83" t="s">
        <v>231</v>
      </c>
      <c r="E67" s="83" t="s">
        <v>510</v>
      </c>
      <c r="F67" s="83" t="s">
        <v>231</v>
      </c>
      <c r="G67" s="83" t="s">
        <v>510</v>
      </c>
      <c r="H67" s="83" t="s">
        <v>231</v>
      </c>
      <c r="I67" s="83" t="s">
        <v>510</v>
      </c>
      <c r="J67" s="83" t="s">
        <v>231</v>
      </c>
      <c r="K67" s="83" t="s">
        <v>510</v>
      </c>
      <c r="L67" s="83" t="s">
        <v>231</v>
      </c>
      <c r="M67" s="83" t="s">
        <v>510</v>
      </c>
      <c r="N67" s="83" t="s">
        <v>231</v>
      </c>
      <c r="O67" s="83" t="s">
        <v>510</v>
      </c>
      <c r="P67" s="83" t="s">
        <v>231</v>
      </c>
      <c r="Q67" s="83" t="s">
        <v>510</v>
      </c>
      <c r="R67" s="83" t="s">
        <v>231</v>
      </c>
      <c r="S67" s="83" t="s">
        <v>510</v>
      </c>
      <c r="T67" s="83" t="s">
        <v>231</v>
      </c>
      <c r="U67" s="83" t="s">
        <v>510</v>
      </c>
      <c r="V67" s="83" t="s">
        <v>231</v>
      </c>
      <c r="W67" s="83" t="s">
        <v>510</v>
      </c>
      <c r="X67" s="83" t="s">
        <v>231</v>
      </c>
      <c r="Y67" s="83" t="s">
        <v>510</v>
      </c>
      <c r="Z67" s="83" t="s">
        <v>231</v>
      </c>
      <c r="AA67" s="83" t="s">
        <v>510</v>
      </c>
      <c r="AB67" s="83" t="s">
        <v>231</v>
      </c>
      <c r="AC67" s="83" t="s">
        <v>510</v>
      </c>
      <c r="AD67" s="83" t="s">
        <v>231</v>
      </c>
      <c r="AE67" s="83" t="s">
        <v>510</v>
      </c>
      <c r="AF67" s="83" t="s">
        <v>231</v>
      </c>
      <c r="AG67" s="83" t="s">
        <v>510</v>
      </c>
      <c r="AH67" s="83" t="s">
        <v>231</v>
      </c>
      <c r="AI67" s="83" t="s">
        <v>510</v>
      </c>
      <c r="AJ67" s="83" t="s">
        <v>231</v>
      </c>
      <c r="AK67" s="83" t="s">
        <v>510</v>
      </c>
      <c r="AL67" s="83" t="s">
        <v>231</v>
      </c>
    </row>
    <row r="68" spans="1:42" ht="16" x14ac:dyDescent="0.2">
      <c r="A68" s="78" t="s">
        <v>514</v>
      </c>
      <c r="B68" s="78" t="s">
        <v>491</v>
      </c>
      <c r="C68" s="80" t="s">
        <v>510</v>
      </c>
      <c r="D68" s="80" t="s">
        <v>231</v>
      </c>
      <c r="E68" s="80" t="s">
        <v>510</v>
      </c>
      <c r="F68" s="80" t="s">
        <v>231</v>
      </c>
      <c r="G68" s="80" t="s">
        <v>510</v>
      </c>
      <c r="H68" s="80" t="s">
        <v>231</v>
      </c>
      <c r="I68" s="80" t="s">
        <v>510</v>
      </c>
      <c r="J68" s="80" t="s">
        <v>231</v>
      </c>
      <c r="K68" s="80" t="s">
        <v>510</v>
      </c>
      <c r="L68" s="80" t="s">
        <v>231</v>
      </c>
      <c r="M68" s="80" t="s">
        <v>510</v>
      </c>
      <c r="N68" s="80" t="s">
        <v>231</v>
      </c>
      <c r="O68" s="80" t="s">
        <v>510</v>
      </c>
      <c r="P68" s="80" t="s">
        <v>231</v>
      </c>
      <c r="Q68" s="80" t="s">
        <v>510</v>
      </c>
      <c r="R68" s="80" t="s">
        <v>231</v>
      </c>
      <c r="S68" s="80" t="s">
        <v>510</v>
      </c>
      <c r="T68" s="80" t="s">
        <v>231</v>
      </c>
      <c r="U68" s="80" t="s">
        <v>510</v>
      </c>
      <c r="V68" s="80" t="s">
        <v>231</v>
      </c>
      <c r="W68" s="80" t="s">
        <v>510</v>
      </c>
      <c r="X68" s="80" t="s">
        <v>231</v>
      </c>
      <c r="Y68" s="80" t="s">
        <v>510</v>
      </c>
      <c r="Z68" s="80" t="s">
        <v>231</v>
      </c>
      <c r="AA68" s="80" t="s">
        <v>510</v>
      </c>
      <c r="AB68" s="80" t="s">
        <v>231</v>
      </c>
      <c r="AC68" s="80" t="s">
        <v>510</v>
      </c>
      <c r="AD68" s="80" t="s">
        <v>231</v>
      </c>
      <c r="AE68" s="80" t="s">
        <v>510</v>
      </c>
      <c r="AF68" s="80" t="s">
        <v>231</v>
      </c>
      <c r="AG68" s="80" t="s">
        <v>510</v>
      </c>
      <c r="AH68" s="80" t="s">
        <v>231</v>
      </c>
      <c r="AI68" s="80" t="s">
        <v>510</v>
      </c>
      <c r="AJ68" s="80" t="s">
        <v>231</v>
      </c>
      <c r="AK68" s="80" t="s">
        <v>510</v>
      </c>
      <c r="AL68" s="80" t="s">
        <v>231</v>
      </c>
      <c r="AP68" s="86"/>
    </row>
    <row r="69" spans="1:42" ht="16" x14ac:dyDescent="0.2">
      <c r="A69" s="78" t="s">
        <v>514</v>
      </c>
      <c r="B69" s="78" t="s">
        <v>493</v>
      </c>
      <c r="C69" s="82">
        <v>0</v>
      </c>
      <c r="D69" s="83" t="s">
        <v>231</v>
      </c>
      <c r="E69" s="82">
        <v>0</v>
      </c>
      <c r="F69" s="83" t="s">
        <v>231</v>
      </c>
      <c r="G69" s="82">
        <v>0</v>
      </c>
      <c r="H69" s="83" t="s">
        <v>474</v>
      </c>
      <c r="I69" s="82">
        <v>0</v>
      </c>
      <c r="J69" s="83" t="s">
        <v>231</v>
      </c>
      <c r="K69" s="82">
        <v>0</v>
      </c>
      <c r="L69" s="83" t="s">
        <v>231</v>
      </c>
      <c r="M69" s="82">
        <v>0</v>
      </c>
      <c r="N69" s="83" t="s">
        <v>231</v>
      </c>
      <c r="O69" s="82">
        <v>0</v>
      </c>
      <c r="P69" s="83" t="s">
        <v>231</v>
      </c>
      <c r="Q69" s="82">
        <v>0</v>
      </c>
      <c r="R69" s="83" t="s">
        <v>231</v>
      </c>
      <c r="S69" s="82">
        <v>0</v>
      </c>
      <c r="T69" s="83" t="s">
        <v>231</v>
      </c>
      <c r="U69" s="82">
        <v>0</v>
      </c>
      <c r="V69" s="83" t="s">
        <v>231</v>
      </c>
      <c r="W69" s="82">
        <v>0</v>
      </c>
      <c r="X69" s="83" t="s">
        <v>231</v>
      </c>
      <c r="Y69" s="82">
        <v>0</v>
      </c>
      <c r="Z69" s="83" t="s">
        <v>231</v>
      </c>
      <c r="AA69" s="82">
        <v>0</v>
      </c>
      <c r="AB69" s="83" t="s">
        <v>231</v>
      </c>
      <c r="AC69" s="82">
        <v>0</v>
      </c>
      <c r="AD69" s="83" t="s">
        <v>231</v>
      </c>
      <c r="AE69" s="82">
        <v>0</v>
      </c>
      <c r="AF69" s="83" t="s">
        <v>231</v>
      </c>
      <c r="AG69" s="82">
        <v>0</v>
      </c>
      <c r="AH69" s="83" t="s">
        <v>231</v>
      </c>
      <c r="AI69" s="82">
        <v>0</v>
      </c>
      <c r="AJ69" s="83" t="s">
        <v>231</v>
      </c>
      <c r="AK69" s="82">
        <v>0</v>
      </c>
      <c r="AL69" s="83" t="s">
        <v>231</v>
      </c>
    </row>
    <row r="70" spans="1:42" ht="16" x14ac:dyDescent="0.2">
      <c r="A70" s="78" t="s">
        <v>514</v>
      </c>
      <c r="B70" s="78" t="s">
        <v>495</v>
      </c>
      <c r="C70" s="80" t="s">
        <v>510</v>
      </c>
      <c r="D70" s="80" t="s">
        <v>231</v>
      </c>
      <c r="E70" s="80" t="s">
        <v>510</v>
      </c>
      <c r="F70" s="80" t="s">
        <v>231</v>
      </c>
      <c r="G70" s="80" t="s">
        <v>510</v>
      </c>
      <c r="H70" s="80" t="s">
        <v>231</v>
      </c>
      <c r="I70" s="80" t="s">
        <v>510</v>
      </c>
      <c r="J70" s="80" t="s">
        <v>231</v>
      </c>
      <c r="K70" s="80" t="s">
        <v>510</v>
      </c>
      <c r="L70" s="80" t="s">
        <v>231</v>
      </c>
      <c r="M70" s="80" t="s">
        <v>510</v>
      </c>
      <c r="N70" s="80" t="s">
        <v>231</v>
      </c>
      <c r="O70" s="80" t="s">
        <v>510</v>
      </c>
      <c r="P70" s="80" t="s">
        <v>231</v>
      </c>
      <c r="Q70" s="80" t="s">
        <v>510</v>
      </c>
      <c r="R70" s="80" t="s">
        <v>231</v>
      </c>
      <c r="S70" s="80" t="s">
        <v>510</v>
      </c>
      <c r="T70" s="80" t="s">
        <v>231</v>
      </c>
      <c r="U70" s="80" t="s">
        <v>510</v>
      </c>
      <c r="V70" s="80" t="s">
        <v>231</v>
      </c>
      <c r="W70" s="80" t="s">
        <v>510</v>
      </c>
      <c r="X70" s="80" t="s">
        <v>231</v>
      </c>
      <c r="Y70" s="80" t="s">
        <v>510</v>
      </c>
      <c r="Z70" s="80" t="s">
        <v>231</v>
      </c>
      <c r="AA70" s="80" t="s">
        <v>510</v>
      </c>
      <c r="AB70" s="80" t="s">
        <v>231</v>
      </c>
      <c r="AC70" s="80" t="s">
        <v>510</v>
      </c>
      <c r="AD70" s="80" t="s">
        <v>231</v>
      </c>
      <c r="AE70" s="80" t="s">
        <v>510</v>
      </c>
      <c r="AF70" s="80" t="s">
        <v>231</v>
      </c>
      <c r="AG70" s="80" t="s">
        <v>510</v>
      </c>
      <c r="AH70" s="80" t="s">
        <v>231</v>
      </c>
      <c r="AI70" s="80" t="s">
        <v>510</v>
      </c>
      <c r="AJ70" s="80" t="s">
        <v>231</v>
      </c>
      <c r="AK70" s="80" t="s">
        <v>510</v>
      </c>
      <c r="AL70" s="80" t="s">
        <v>231</v>
      </c>
    </row>
    <row r="71" spans="1:42" ht="16" x14ac:dyDescent="0.2">
      <c r="A71" s="78" t="s">
        <v>514</v>
      </c>
      <c r="B71" s="78" t="s">
        <v>497</v>
      </c>
      <c r="C71" s="83" t="s">
        <v>510</v>
      </c>
      <c r="D71" s="83" t="s">
        <v>231</v>
      </c>
      <c r="E71" s="83" t="s">
        <v>510</v>
      </c>
      <c r="F71" s="83" t="s">
        <v>231</v>
      </c>
      <c r="G71" s="83" t="s">
        <v>510</v>
      </c>
      <c r="H71" s="83" t="s">
        <v>231</v>
      </c>
      <c r="I71" s="83" t="s">
        <v>510</v>
      </c>
      <c r="J71" s="83" t="s">
        <v>231</v>
      </c>
      <c r="K71" s="83" t="s">
        <v>510</v>
      </c>
      <c r="L71" s="83" t="s">
        <v>231</v>
      </c>
      <c r="M71" s="83" t="s">
        <v>510</v>
      </c>
      <c r="N71" s="83" t="s">
        <v>231</v>
      </c>
      <c r="O71" s="83" t="s">
        <v>510</v>
      </c>
      <c r="P71" s="83" t="s">
        <v>231</v>
      </c>
      <c r="Q71" s="83" t="s">
        <v>510</v>
      </c>
      <c r="R71" s="83" t="s">
        <v>231</v>
      </c>
      <c r="S71" s="83" t="s">
        <v>510</v>
      </c>
      <c r="T71" s="83" t="s">
        <v>231</v>
      </c>
      <c r="U71" s="83" t="s">
        <v>510</v>
      </c>
      <c r="V71" s="83" t="s">
        <v>231</v>
      </c>
      <c r="W71" s="83" t="s">
        <v>510</v>
      </c>
      <c r="X71" s="83" t="s">
        <v>231</v>
      </c>
      <c r="Y71" s="83" t="s">
        <v>510</v>
      </c>
      <c r="Z71" s="83" t="s">
        <v>231</v>
      </c>
      <c r="AA71" s="83" t="s">
        <v>510</v>
      </c>
      <c r="AB71" s="83" t="s">
        <v>231</v>
      </c>
      <c r="AC71" s="83" t="s">
        <v>510</v>
      </c>
      <c r="AD71" s="83" t="s">
        <v>231</v>
      </c>
      <c r="AE71" s="83" t="s">
        <v>510</v>
      </c>
      <c r="AF71" s="83" t="s">
        <v>231</v>
      </c>
      <c r="AG71" s="83" t="s">
        <v>510</v>
      </c>
      <c r="AH71" s="83" t="s">
        <v>231</v>
      </c>
      <c r="AI71" s="83" t="s">
        <v>510</v>
      </c>
      <c r="AJ71" s="83" t="s">
        <v>231</v>
      </c>
      <c r="AK71" s="83" t="s">
        <v>510</v>
      </c>
      <c r="AL71" s="83" t="s">
        <v>231</v>
      </c>
    </row>
    <row r="72" spans="1:42" ht="16" x14ac:dyDescent="0.2">
      <c r="A72" s="78" t="s">
        <v>514</v>
      </c>
      <c r="B72" s="78" t="s">
        <v>498</v>
      </c>
      <c r="C72" s="80" t="s">
        <v>510</v>
      </c>
      <c r="D72" s="80" t="s">
        <v>231</v>
      </c>
      <c r="E72" s="80" t="s">
        <v>510</v>
      </c>
      <c r="F72" s="80" t="s">
        <v>231</v>
      </c>
      <c r="G72" s="80" t="s">
        <v>510</v>
      </c>
      <c r="H72" s="80" t="s">
        <v>231</v>
      </c>
      <c r="I72" s="80" t="s">
        <v>510</v>
      </c>
      <c r="J72" s="80" t="s">
        <v>231</v>
      </c>
      <c r="K72" s="80" t="s">
        <v>510</v>
      </c>
      <c r="L72" s="80" t="s">
        <v>231</v>
      </c>
      <c r="M72" s="80" t="s">
        <v>510</v>
      </c>
      <c r="N72" s="80" t="s">
        <v>231</v>
      </c>
      <c r="O72" s="80" t="s">
        <v>510</v>
      </c>
      <c r="P72" s="80" t="s">
        <v>231</v>
      </c>
      <c r="Q72" s="80" t="s">
        <v>510</v>
      </c>
      <c r="R72" s="80" t="s">
        <v>231</v>
      </c>
      <c r="S72" s="80" t="s">
        <v>510</v>
      </c>
      <c r="T72" s="80" t="s">
        <v>231</v>
      </c>
      <c r="U72" s="80" t="s">
        <v>510</v>
      </c>
      <c r="V72" s="80" t="s">
        <v>231</v>
      </c>
      <c r="W72" s="80" t="s">
        <v>510</v>
      </c>
      <c r="X72" s="80" t="s">
        <v>231</v>
      </c>
      <c r="Y72" s="80" t="s">
        <v>510</v>
      </c>
      <c r="Z72" s="80" t="s">
        <v>231</v>
      </c>
      <c r="AA72" s="80" t="s">
        <v>510</v>
      </c>
      <c r="AB72" s="80" t="s">
        <v>231</v>
      </c>
      <c r="AC72" s="80" t="s">
        <v>510</v>
      </c>
      <c r="AD72" s="80" t="s">
        <v>231</v>
      </c>
      <c r="AE72" s="80" t="s">
        <v>510</v>
      </c>
      <c r="AF72" s="80" t="s">
        <v>231</v>
      </c>
      <c r="AG72" s="80" t="s">
        <v>510</v>
      </c>
      <c r="AH72" s="80" t="s">
        <v>231</v>
      </c>
      <c r="AI72" s="80" t="s">
        <v>510</v>
      </c>
      <c r="AJ72" s="80" t="s">
        <v>231</v>
      </c>
      <c r="AK72" s="80" t="s">
        <v>510</v>
      </c>
      <c r="AL72" s="80" t="s">
        <v>231</v>
      </c>
    </row>
    <row r="73" spans="1:42" ht="16" x14ac:dyDescent="0.2">
      <c r="A73" s="78" t="s">
        <v>514</v>
      </c>
      <c r="B73" s="78" t="s">
        <v>500</v>
      </c>
      <c r="C73" s="82">
        <v>0</v>
      </c>
      <c r="D73" s="83" t="s">
        <v>231</v>
      </c>
      <c r="E73" s="82">
        <v>0</v>
      </c>
      <c r="F73" s="83" t="s">
        <v>231</v>
      </c>
      <c r="G73" s="82">
        <v>0</v>
      </c>
      <c r="H73" s="83" t="s">
        <v>474</v>
      </c>
      <c r="I73" s="82">
        <v>0</v>
      </c>
      <c r="J73" s="83" t="s">
        <v>231</v>
      </c>
      <c r="K73" s="82">
        <v>0</v>
      </c>
      <c r="L73" s="83" t="s">
        <v>231</v>
      </c>
      <c r="M73" s="82">
        <v>0</v>
      </c>
      <c r="N73" s="83" t="s">
        <v>231</v>
      </c>
      <c r="O73" s="82">
        <v>0</v>
      </c>
      <c r="P73" s="83" t="s">
        <v>231</v>
      </c>
      <c r="Q73" s="82">
        <v>0</v>
      </c>
      <c r="R73" s="83" t="s">
        <v>231</v>
      </c>
      <c r="S73" s="82">
        <v>0</v>
      </c>
      <c r="T73" s="83" t="s">
        <v>231</v>
      </c>
      <c r="U73" s="82">
        <v>0</v>
      </c>
      <c r="V73" s="83" t="s">
        <v>231</v>
      </c>
      <c r="W73" s="82">
        <v>0</v>
      </c>
      <c r="X73" s="83" t="s">
        <v>231</v>
      </c>
      <c r="Y73" s="82">
        <v>0</v>
      </c>
      <c r="Z73" s="83" t="s">
        <v>231</v>
      </c>
      <c r="AA73" s="82">
        <v>0</v>
      </c>
      <c r="AB73" s="83" t="s">
        <v>231</v>
      </c>
      <c r="AC73" s="82">
        <v>0</v>
      </c>
      <c r="AD73" s="83" t="s">
        <v>231</v>
      </c>
      <c r="AE73" s="82">
        <v>0</v>
      </c>
      <c r="AF73" s="83" t="s">
        <v>231</v>
      </c>
      <c r="AG73" s="82">
        <v>0</v>
      </c>
      <c r="AH73" s="83" t="s">
        <v>231</v>
      </c>
      <c r="AI73" s="82">
        <v>0</v>
      </c>
      <c r="AJ73" s="83" t="s">
        <v>231</v>
      </c>
      <c r="AK73" s="82">
        <v>0</v>
      </c>
      <c r="AL73" s="83" t="s">
        <v>231</v>
      </c>
    </row>
    <row r="74" spans="1:42" ht="16" x14ac:dyDescent="0.2">
      <c r="A74" s="78" t="s">
        <v>514</v>
      </c>
      <c r="B74" s="78" t="s">
        <v>502</v>
      </c>
      <c r="C74" s="79">
        <v>0</v>
      </c>
      <c r="D74" s="80" t="s">
        <v>231</v>
      </c>
      <c r="E74" s="79">
        <v>0</v>
      </c>
      <c r="F74" s="80" t="s">
        <v>231</v>
      </c>
      <c r="G74" s="79">
        <v>0</v>
      </c>
      <c r="H74" s="80" t="s">
        <v>474</v>
      </c>
      <c r="I74" s="79">
        <v>0</v>
      </c>
      <c r="J74" s="80" t="s">
        <v>231</v>
      </c>
      <c r="K74" s="79">
        <v>0</v>
      </c>
      <c r="L74" s="80" t="s">
        <v>231</v>
      </c>
      <c r="M74" s="79">
        <v>0</v>
      </c>
      <c r="N74" s="80" t="s">
        <v>231</v>
      </c>
      <c r="O74" s="79">
        <v>0</v>
      </c>
      <c r="P74" s="80" t="s">
        <v>231</v>
      </c>
      <c r="Q74" s="79">
        <v>0</v>
      </c>
      <c r="R74" s="80" t="s">
        <v>231</v>
      </c>
      <c r="S74" s="79">
        <v>0</v>
      </c>
      <c r="T74" s="80" t="s">
        <v>231</v>
      </c>
      <c r="U74" s="79">
        <v>0</v>
      </c>
      <c r="V74" s="80" t="s">
        <v>231</v>
      </c>
      <c r="W74" s="79">
        <v>0</v>
      </c>
      <c r="X74" s="80" t="s">
        <v>231</v>
      </c>
      <c r="Y74" s="79">
        <v>0</v>
      </c>
      <c r="Z74" s="80" t="s">
        <v>231</v>
      </c>
      <c r="AA74" s="79">
        <v>0</v>
      </c>
      <c r="AB74" s="80" t="s">
        <v>231</v>
      </c>
      <c r="AC74" s="79">
        <v>0</v>
      </c>
      <c r="AD74" s="80" t="s">
        <v>231</v>
      </c>
      <c r="AE74" s="79">
        <v>0</v>
      </c>
      <c r="AF74" s="80" t="s">
        <v>231</v>
      </c>
      <c r="AG74" s="79">
        <v>0</v>
      </c>
      <c r="AH74" s="80" t="s">
        <v>231</v>
      </c>
      <c r="AI74" s="79">
        <v>0</v>
      </c>
      <c r="AJ74" s="80" t="s">
        <v>231</v>
      </c>
      <c r="AK74" s="79">
        <v>0</v>
      </c>
      <c r="AL74" s="80" t="s">
        <v>231</v>
      </c>
    </row>
    <row r="75" spans="1:42" ht="16" x14ac:dyDescent="0.2">
      <c r="A75" s="78" t="s">
        <v>514</v>
      </c>
      <c r="B75" s="78" t="s">
        <v>503</v>
      </c>
      <c r="C75" s="83" t="s">
        <v>510</v>
      </c>
      <c r="D75" s="83" t="s">
        <v>231</v>
      </c>
      <c r="E75" s="83" t="s">
        <v>510</v>
      </c>
      <c r="F75" s="83" t="s">
        <v>231</v>
      </c>
      <c r="G75" s="83" t="s">
        <v>510</v>
      </c>
      <c r="H75" s="83" t="s">
        <v>231</v>
      </c>
      <c r="I75" s="83" t="s">
        <v>510</v>
      </c>
      <c r="J75" s="83" t="s">
        <v>231</v>
      </c>
      <c r="K75" s="83" t="s">
        <v>510</v>
      </c>
      <c r="L75" s="83" t="s">
        <v>231</v>
      </c>
      <c r="M75" s="83" t="s">
        <v>510</v>
      </c>
      <c r="N75" s="83" t="s">
        <v>231</v>
      </c>
      <c r="O75" s="83" t="s">
        <v>510</v>
      </c>
      <c r="P75" s="83" t="s">
        <v>231</v>
      </c>
      <c r="Q75" s="83" t="s">
        <v>510</v>
      </c>
      <c r="R75" s="83" t="s">
        <v>231</v>
      </c>
      <c r="S75" s="83" t="s">
        <v>510</v>
      </c>
      <c r="T75" s="83" t="s">
        <v>231</v>
      </c>
      <c r="U75" s="83" t="s">
        <v>510</v>
      </c>
      <c r="V75" s="83" t="s">
        <v>231</v>
      </c>
      <c r="W75" s="83" t="s">
        <v>510</v>
      </c>
      <c r="X75" s="83" t="s">
        <v>231</v>
      </c>
      <c r="Y75" s="83" t="s">
        <v>510</v>
      </c>
      <c r="Z75" s="83" t="s">
        <v>231</v>
      </c>
      <c r="AA75" s="83" t="s">
        <v>510</v>
      </c>
      <c r="AB75" s="83" t="s">
        <v>231</v>
      </c>
      <c r="AC75" s="83" t="s">
        <v>510</v>
      </c>
      <c r="AD75" s="83" t="s">
        <v>231</v>
      </c>
      <c r="AE75" s="83" t="s">
        <v>510</v>
      </c>
      <c r="AF75" s="83" t="s">
        <v>231</v>
      </c>
      <c r="AG75" s="83" t="s">
        <v>510</v>
      </c>
      <c r="AH75" s="83" t="s">
        <v>231</v>
      </c>
      <c r="AI75" s="83" t="s">
        <v>510</v>
      </c>
      <c r="AJ75" s="83" t="s">
        <v>231</v>
      </c>
      <c r="AK75" s="83" t="s">
        <v>510</v>
      </c>
      <c r="AL75" s="83" t="s">
        <v>231</v>
      </c>
    </row>
    <row r="76" spans="1:42" ht="16" x14ac:dyDescent="0.2">
      <c r="A76" s="78" t="s">
        <v>514</v>
      </c>
      <c r="B76" s="78" t="s">
        <v>504</v>
      </c>
      <c r="C76" s="79">
        <v>0</v>
      </c>
      <c r="D76" s="80" t="s">
        <v>231</v>
      </c>
      <c r="E76" s="79">
        <v>0</v>
      </c>
      <c r="F76" s="80" t="s">
        <v>231</v>
      </c>
      <c r="G76" s="79">
        <v>0</v>
      </c>
      <c r="H76" s="80" t="s">
        <v>474</v>
      </c>
      <c r="I76" s="79">
        <v>0</v>
      </c>
      <c r="J76" s="80" t="s">
        <v>231</v>
      </c>
      <c r="K76" s="79">
        <v>0</v>
      </c>
      <c r="L76" s="80" t="s">
        <v>231</v>
      </c>
      <c r="M76" s="79">
        <v>0</v>
      </c>
      <c r="N76" s="80" t="s">
        <v>231</v>
      </c>
      <c r="O76" s="79">
        <v>0</v>
      </c>
      <c r="P76" s="80" t="s">
        <v>231</v>
      </c>
      <c r="Q76" s="79">
        <v>0</v>
      </c>
      <c r="R76" s="80" t="s">
        <v>231</v>
      </c>
      <c r="S76" s="79">
        <v>0</v>
      </c>
      <c r="T76" s="80" t="s">
        <v>231</v>
      </c>
      <c r="U76" s="79">
        <v>0</v>
      </c>
      <c r="V76" s="80" t="s">
        <v>231</v>
      </c>
      <c r="W76" s="79">
        <v>0</v>
      </c>
      <c r="X76" s="80" t="s">
        <v>231</v>
      </c>
      <c r="Y76" s="79">
        <v>0</v>
      </c>
      <c r="Z76" s="80" t="s">
        <v>231</v>
      </c>
      <c r="AA76" s="79">
        <v>0</v>
      </c>
      <c r="AB76" s="80" t="s">
        <v>231</v>
      </c>
      <c r="AC76" s="79">
        <v>0</v>
      </c>
      <c r="AD76" s="80" t="s">
        <v>231</v>
      </c>
      <c r="AE76" s="79">
        <v>0</v>
      </c>
      <c r="AF76" s="80" t="s">
        <v>231</v>
      </c>
      <c r="AG76" s="79">
        <v>0</v>
      </c>
      <c r="AH76" s="80" t="s">
        <v>231</v>
      </c>
      <c r="AI76" s="79">
        <v>0</v>
      </c>
      <c r="AJ76" s="80" t="s">
        <v>231</v>
      </c>
      <c r="AK76" s="79">
        <v>0</v>
      </c>
      <c r="AL76" s="80" t="s">
        <v>231</v>
      </c>
    </row>
    <row r="77" spans="1:42" ht="16" x14ac:dyDescent="0.2">
      <c r="A77" s="78" t="s">
        <v>514</v>
      </c>
      <c r="B77" s="78" t="s">
        <v>506</v>
      </c>
      <c r="C77" s="82">
        <v>0</v>
      </c>
      <c r="D77" s="83" t="s">
        <v>231</v>
      </c>
      <c r="E77" s="82">
        <v>0</v>
      </c>
      <c r="F77" s="83" t="s">
        <v>231</v>
      </c>
      <c r="G77" s="82">
        <v>0</v>
      </c>
      <c r="H77" s="83" t="s">
        <v>474</v>
      </c>
      <c r="I77" s="82">
        <v>0</v>
      </c>
      <c r="J77" s="83" t="s">
        <v>231</v>
      </c>
      <c r="K77" s="82">
        <v>0</v>
      </c>
      <c r="L77" s="83" t="s">
        <v>231</v>
      </c>
      <c r="M77" s="82">
        <v>0</v>
      </c>
      <c r="N77" s="83" t="s">
        <v>231</v>
      </c>
      <c r="O77" s="82">
        <v>0</v>
      </c>
      <c r="P77" s="83" t="s">
        <v>231</v>
      </c>
      <c r="Q77" s="82">
        <v>0</v>
      </c>
      <c r="R77" s="83" t="s">
        <v>231</v>
      </c>
      <c r="S77" s="82">
        <v>0</v>
      </c>
      <c r="T77" s="83" t="s">
        <v>231</v>
      </c>
      <c r="U77" s="82">
        <v>0</v>
      </c>
      <c r="V77" s="83" t="s">
        <v>231</v>
      </c>
      <c r="W77" s="82">
        <v>0</v>
      </c>
      <c r="X77" s="83" t="s">
        <v>231</v>
      </c>
      <c r="Y77" s="82">
        <v>0</v>
      </c>
      <c r="Z77" s="83" t="s">
        <v>231</v>
      </c>
      <c r="AA77" s="82">
        <v>0</v>
      </c>
      <c r="AB77" s="83" t="s">
        <v>231</v>
      </c>
      <c r="AC77" s="82">
        <v>0</v>
      </c>
      <c r="AD77" s="83" t="s">
        <v>231</v>
      </c>
      <c r="AE77" s="82">
        <v>0</v>
      </c>
      <c r="AF77" s="83" t="s">
        <v>231</v>
      </c>
      <c r="AG77" s="82">
        <v>0</v>
      </c>
      <c r="AH77" s="83" t="s">
        <v>231</v>
      </c>
      <c r="AI77" s="82">
        <v>0</v>
      </c>
      <c r="AJ77" s="83" t="s">
        <v>231</v>
      </c>
      <c r="AK77" s="82">
        <v>0</v>
      </c>
      <c r="AL77" s="83" t="s">
        <v>231</v>
      </c>
    </row>
    <row r="79" spans="1:42" ht="16" x14ac:dyDescent="0.2">
      <c r="A79" s="75" t="s">
        <v>519</v>
      </c>
    </row>
    <row r="80" spans="1:42" ht="16" x14ac:dyDescent="0.2">
      <c r="A80" s="75" t="s">
        <v>510</v>
      </c>
      <c r="B80" s="74" t="s">
        <v>520</v>
      </c>
    </row>
    <row r="81" spans="1:51" ht="16" x14ac:dyDescent="0.2">
      <c r="A81" s="75" t="s">
        <v>521</v>
      </c>
    </row>
    <row r="82" spans="1:51" ht="17" thickBot="1" x14ac:dyDescent="0.25">
      <c r="A82" s="75" t="s">
        <v>474</v>
      </c>
      <c r="B82" s="74" t="s">
        <v>522</v>
      </c>
      <c r="AN82" t="s">
        <v>562</v>
      </c>
    </row>
    <row r="83" spans="1:51" ht="11.25" customHeight="1" x14ac:dyDescent="0.2">
      <c r="AN83" s="100" t="s">
        <v>115</v>
      </c>
      <c r="AO83" s="108" t="s">
        <v>169</v>
      </c>
      <c r="AP83" s="108"/>
      <c r="AQ83" s="108"/>
      <c r="AR83" s="108"/>
      <c r="AS83" s="108" t="s">
        <v>170</v>
      </c>
      <c r="AT83" s="108"/>
      <c r="AU83" s="108"/>
      <c r="AV83" s="108"/>
      <c r="AW83" s="108" t="s">
        <v>171</v>
      </c>
      <c r="AX83" s="108"/>
      <c r="AY83" s="109"/>
    </row>
    <row r="84" spans="1:51" ht="11.25" customHeight="1" x14ac:dyDescent="0.2">
      <c r="AN84" s="103"/>
      <c r="AY84" s="110"/>
    </row>
    <row r="85" spans="1:51" ht="11.25" customHeight="1" x14ac:dyDescent="0.2">
      <c r="C85" t="s">
        <v>485</v>
      </c>
      <c r="D85" t="s">
        <v>289</v>
      </c>
      <c r="E85" t="s">
        <v>486</v>
      </c>
      <c r="F85" t="s">
        <v>487</v>
      </c>
      <c r="G85" t="s">
        <v>294</v>
      </c>
      <c r="H85" t="s">
        <v>488</v>
      </c>
      <c r="AN85" s="103"/>
      <c r="AO85" t="s">
        <v>166</v>
      </c>
      <c r="AP85" t="s">
        <v>110</v>
      </c>
      <c r="AQ85" t="s">
        <v>51</v>
      </c>
      <c r="AS85" t="s">
        <v>136</v>
      </c>
      <c r="AT85" t="s">
        <v>116</v>
      </c>
      <c r="AU85" t="s">
        <v>51</v>
      </c>
      <c r="AW85" t="s">
        <v>117</v>
      </c>
      <c r="AX85" t="s">
        <v>71</v>
      </c>
      <c r="AY85" s="110" t="s">
        <v>51</v>
      </c>
    </row>
    <row r="86" spans="1:51" ht="11.25" customHeight="1" x14ac:dyDescent="0.2">
      <c r="B86" t="s">
        <v>490</v>
      </c>
      <c r="C86">
        <v>0.19772237058946815</v>
      </c>
      <c r="D86">
        <v>48.445293898076699</v>
      </c>
      <c r="E86">
        <v>1.5938224653157987E-2</v>
      </c>
      <c r="F86">
        <v>57.1362482264785</v>
      </c>
      <c r="G86">
        <v>0.68446414233475039</v>
      </c>
      <c r="AN86" s="103"/>
      <c r="AO86" t="s">
        <v>96</v>
      </c>
      <c r="AP86">
        <v>442409</v>
      </c>
      <c r="AS86" t="s">
        <v>138</v>
      </c>
      <c r="AT86">
        <v>1433.4051599999998</v>
      </c>
      <c r="AW86" t="s">
        <v>155</v>
      </c>
      <c r="AX86">
        <v>0.46966710927785588</v>
      </c>
      <c r="AY86" s="110"/>
    </row>
    <row r="87" spans="1:51" ht="11.25" customHeight="1" x14ac:dyDescent="0.2">
      <c r="B87" t="s">
        <v>492</v>
      </c>
      <c r="C87">
        <v>8.646561095486895</v>
      </c>
      <c r="D87">
        <v>2.117483273015953</v>
      </c>
      <c r="E87">
        <v>0.10611656190505539</v>
      </c>
      <c r="F87">
        <v>20.300999670438316</v>
      </c>
      <c r="G87">
        <v>9.5997775923527414E-4</v>
      </c>
      <c r="AN87" s="103"/>
      <c r="AO87" t="s">
        <v>107</v>
      </c>
      <c r="AP87">
        <v>23555</v>
      </c>
      <c r="AS87" t="s">
        <v>137</v>
      </c>
      <c r="AT87">
        <v>853.37387999999987</v>
      </c>
      <c r="AW87" t="s">
        <v>156</v>
      </c>
      <c r="AX87">
        <v>5.4747486221197766E-2</v>
      </c>
      <c r="AY87" s="110"/>
    </row>
    <row r="88" spans="1:51" ht="11.25" customHeight="1" x14ac:dyDescent="0.2">
      <c r="B88" t="s">
        <v>494</v>
      </c>
      <c r="C88">
        <v>90.045791535788297</v>
      </c>
      <c r="D88">
        <v>49.425816707909604</v>
      </c>
      <c r="E88">
        <v>97.28887508798401</v>
      </c>
      <c r="F88">
        <v>22.562752103083181</v>
      </c>
      <c r="G88">
        <v>99.314556680350833</v>
      </c>
      <c r="AN88" s="103"/>
      <c r="AO88" t="s">
        <v>108</v>
      </c>
      <c r="AP88">
        <v>1459</v>
      </c>
      <c r="AS88" t="s">
        <v>139</v>
      </c>
      <c r="AT88">
        <v>262.62</v>
      </c>
      <c r="AW88" t="s">
        <v>225</v>
      </c>
      <c r="AX88">
        <v>0.23448246350892651</v>
      </c>
      <c r="AY88" s="110"/>
    </row>
    <row r="89" spans="1:51" ht="11.25" customHeight="1" x14ac:dyDescent="0.2">
      <c r="B89" t="s">
        <v>496</v>
      </c>
      <c r="C89">
        <v>1.1099249981353314</v>
      </c>
      <c r="D89">
        <v>1.1406120997732323E-2</v>
      </c>
      <c r="E89">
        <v>2.5890701254577668</v>
      </c>
      <c r="F89">
        <v>0</v>
      </c>
      <c r="G89">
        <v>1.919955518470548E-5</v>
      </c>
      <c r="AN89" s="103"/>
      <c r="AO89" t="s">
        <v>97</v>
      </c>
      <c r="AP89">
        <v>1554</v>
      </c>
      <c r="AS89" t="s">
        <v>222</v>
      </c>
      <c r="AT89">
        <v>1139.430726</v>
      </c>
      <c r="AW89" t="s">
        <v>157</v>
      </c>
      <c r="AX89">
        <v>0.14046173884007537</v>
      </c>
      <c r="AY89" s="110"/>
    </row>
    <row r="90" spans="1:51" ht="11.25" customHeight="1" x14ac:dyDescent="0.2">
      <c r="AN90" s="103"/>
      <c r="AO90" t="s">
        <v>98</v>
      </c>
      <c r="AP90">
        <v>115025</v>
      </c>
      <c r="AQ90" t="s">
        <v>173</v>
      </c>
      <c r="AS90" t="s">
        <v>140</v>
      </c>
      <c r="AT90">
        <v>3.9420000000000002</v>
      </c>
      <c r="AW90" t="s">
        <v>158</v>
      </c>
      <c r="AX90">
        <v>9.2010005583332846E-2</v>
      </c>
      <c r="AY90" s="110"/>
    </row>
    <row r="91" spans="1:51" ht="11.25" customHeight="1" x14ac:dyDescent="0.2">
      <c r="B91" t="s">
        <v>499</v>
      </c>
      <c r="C91">
        <v>86.424804882412928</v>
      </c>
      <c r="D91">
        <v>19.77733320292683</v>
      </c>
      <c r="E91">
        <v>96.857161678511105</v>
      </c>
      <c r="G91">
        <v>70.775224839188922</v>
      </c>
      <c r="AN91" s="103"/>
      <c r="AO91" t="s">
        <v>99</v>
      </c>
      <c r="AP91">
        <v>6753</v>
      </c>
      <c r="AS91" t="s">
        <v>223</v>
      </c>
      <c r="AT91">
        <v>2.2493537999999997</v>
      </c>
      <c r="AW91" t="s">
        <v>159</v>
      </c>
      <c r="AX91">
        <v>8.6311965686116637E-3</v>
      </c>
      <c r="AY91" s="110"/>
    </row>
    <row r="92" spans="1:51" ht="11.25" customHeight="1" x14ac:dyDescent="0.2">
      <c r="B92" t="s">
        <v>501</v>
      </c>
      <c r="C92">
        <v>3.6209866533753732</v>
      </c>
      <c r="D92">
        <v>29.648483504982774</v>
      </c>
      <c r="E92">
        <v>0.43171340947290288</v>
      </c>
      <c r="G92">
        <v>28.539331841161907</v>
      </c>
      <c r="AN92" s="103"/>
      <c r="AO92" t="s">
        <v>112</v>
      </c>
      <c r="AP92">
        <v>3834042</v>
      </c>
      <c r="AQ92" t="s">
        <v>267</v>
      </c>
      <c r="AS92" t="s">
        <v>141</v>
      </c>
      <c r="AT92">
        <v>671.32799999999997</v>
      </c>
      <c r="AY92" s="110"/>
    </row>
    <row r="93" spans="1:51" ht="11.25" customHeight="1" x14ac:dyDescent="0.2">
      <c r="AN93" s="103"/>
      <c r="AO93" t="s">
        <v>100</v>
      </c>
      <c r="AP93">
        <v>263387</v>
      </c>
      <c r="AS93" t="s">
        <v>142</v>
      </c>
      <c r="AT93">
        <v>12.571199999999999</v>
      </c>
      <c r="AY93" s="110"/>
    </row>
    <row r="94" spans="1:51" ht="11.25" customHeight="1" x14ac:dyDescent="0.2">
      <c r="C94" t="s">
        <v>289</v>
      </c>
      <c r="D94" t="s">
        <v>485</v>
      </c>
      <c r="AN94" s="103"/>
      <c r="AO94" t="s">
        <v>109</v>
      </c>
      <c r="AP94">
        <v>155</v>
      </c>
      <c r="AS94" t="s">
        <v>143</v>
      </c>
      <c r="AT94">
        <v>447.99081749999999</v>
      </c>
      <c r="AY94" s="110"/>
    </row>
    <row r="95" spans="1:51" ht="11.25" customHeight="1" x14ac:dyDescent="0.2">
      <c r="B95" t="s">
        <v>505</v>
      </c>
      <c r="C95">
        <v>48.183767670185105</v>
      </c>
      <c r="D95" s="85">
        <v>82.04523850490304</v>
      </c>
      <c r="AN95" s="103"/>
      <c r="AO95" t="s">
        <v>101</v>
      </c>
      <c r="AP95">
        <v>73</v>
      </c>
      <c r="AS95" t="s">
        <v>154</v>
      </c>
      <c r="AT95">
        <v>42.024742659900099</v>
      </c>
      <c r="AY95" s="110"/>
    </row>
    <row r="96" spans="1:51" ht="11.25" customHeight="1" x14ac:dyDescent="0.2">
      <c r="B96" t="s">
        <v>507</v>
      </c>
      <c r="C96">
        <v>51.816232329814895</v>
      </c>
      <c r="D96">
        <v>10.175932243973509</v>
      </c>
      <c r="H96" t="s">
        <v>508</v>
      </c>
      <c r="AN96" s="103"/>
      <c r="AO96" t="s">
        <v>102</v>
      </c>
      <c r="AP96">
        <v>97</v>
      </c>
      <c r="AY96" s="110"/>
    </row>
    <row r="97" spans="2:51" ht="11.25" customHeight="1" x14ac:dyDescent="0.2">
      <c r="B97" t="s">
        <v>511</v>
      </c>
      <c r="D97">
        <v>7.7788128956790885</v>
      </c>
      <c r="I97" t="s">
        <v>485</v>
      </c>
      <c r="J97" t="s">
        <v>486</v>
      </c>
      <c r="K97" t="s">
        <v>289</v>
      </c>
      <c r="L97" t="s">
        <v>294</v>
      </c>
      <c r="AN97" s="103"/>
      <c r="AO97" t="s">
        <v>172</v>
      </c>
      <c r="AP97">
        <v>34042</v>
      </c>
      <c r="AY97" s="110"/>
    </row>
    <row r="98" spans="2:51" ht="11.25" customHeight="1" x14ac:dyDescent="0.2">
      <c r="H98" t="s">
        <v>512</v>
      </c>
      <c r="J98">
        <v>12870250000</v>
      </c>
      <c r="K98">
        <v>2542692000</v>
      </c>
      <c r="L98">
        <v>224099100</v>
      </c>
      <c r="AN98" s="103"/>
      <c r="AS98" t="s">
        <v>145</v>
      </c>
      <c r="AT98" t="s">
        <v>116</v>
      </c>
      <c r="AU98" t="s">
        <v>51</v>
      </c>
      <c r="AY98" s="110"/>
    </row>
    <row r="99" spans="2:51" ht="11.25" customHeight="1" x14ac:dyDescent="0.2">
      <c r="H99" t="s">
        <v>501</v>
      </c>
      <c r="J99">
        <v>57365500</v>
      </c>
      <c r="K99">
        <v>3811786000</v>
      </c>
      <c r="L99">
        <v>90365500</v>
      </c>
      <c r="AN99" s="103"/>
      <c r="AO99" t="s">
        <v>68</v>
      </c>
      <c r="AP99" t="s">
        <v>111</v>
      </c>
      <c r="AQ99" t="s">
        <v>160</v>
      </c>
      <c r="AS99" t="s">
        <v>146</v>
      </c>
      <c r="AT99">
        <v>2286.7790399999994</v>
      </c>
      <c r="AU99" t="s">
        <v>144</v>
      </c>
      <c r="AY99" s="110"/>
    </row>
    <row r="100" spans="2:51" ht="11.25" customHeight="1" x14ac:dyDescent="0.2">
      <c r="B100" t="s">
        <v>513</v>
      </c>
      <c r="C100">
        <v>18200</v>
      </c>
      <c r="AN100" s="103"/>
      <c r="AS100" t="s">
        <v>147</v>
      </c>
      <c r="AT100">
        <v>266.56200000000001</v>
      </c>
      <c r="AU100" t="s">
        <v>144</v>
      </c>
      <c r="AY100" s="110"/>
    </row>
    <row r="101" spans="2:51" ht="11.25" customHeight="1" x14ac:dyDescent="0.2">
      <c r="AN101" s="103"/>
      <c r="AS101" t="s">
        <v>224</v>
      </c>
      <c r="AT101">
        <v>1141.6800798000002</v>
      </c>
      <c r="AU101" t="s">
        <v>144</v>
      </c>
      <c r="AY101" s="110"/>
    </row>
    <row r="102" spans="2:51" ht="11.25" customHeight="1" x14ac:dyDescent="0.2">
      <c r="AN102" s="103"/>
      <c r="AO102" t="s">
        <v>118</v>
      </c>
      <c r="AP102" t="s">
        <v>110</v>
      </c>
      <c r="AQ102" t="s">
        <v>51</v>
      </c>
      <c r="AS102" t="s">
        <v>148</v>
      </c>
      <c r="AT102">
        <v>683.89919999999995</v>
      </c>
      <c r="AU102" t="s">
        <v>144</v>
      </c>
      <c r="AY102" s="110"/>
    </row>
    <row r="103" spans="2:51" ht="11.25" customHeight="1" x14ac:dyDescent="0.2">
      <c r="AN103" s="103"/>
      <c r="AO103" t="s">
        <v>131</v>
      </c>
      <c r="AP103">
        <v>0.3</v>
      </c>
      <c r="AQ103" t="s">
        <v>272</v>
      </c>
      <c r="AS103" t="s">
        <v>149</v>
      </c>
      <c r="AT103">
        <v>447.99081749999999</v>
      </c>
      <c r="AY103" s="110"/>
    </row>
    <row r="104" spans="2:51" ht="11.25" customHeight="1" x14ac:dyDescent="0.2">
      <c r="AN104" s="103"/>
      <c r="AO104" t="s">
        <v>119</v>
      </c>
      <c r="AP104">
        <v>16332</v>
      </c>
      <c r="AQ104" t="s">
        <v>271</v>
      </c>
      <c r="AS104" t="s">
        <v>154</v>
      </c>
      <c r="AT104">
        <v>42.024742659900099</v>
      </c>
      <c r="AY104" s="110"/>
    </row>
    <row r="105" spans="2:51" ht="11.25" customHeight="1" x14ac:dyDescent="0.2">
      <c r="AN105" s="103"/>
      <c r="AO105" t="s">
        <v>120</v>
      </c>
      <c r="AP105">
        <v>3000</v>
      </c>
      <c r="AQ105" t="s">
        <v>273</v>
      </c>
      <c r="AY105" s="110"/>
    </row>
    <row r="106" spans="2:51" ht="11.25" customHeight="1" x14ac:dyDescent="0.2">
      <c r="AN106" s="103"/>
      <c r="AO106" t="s">
        <v>121</v>
      </c>
      <c r="AP106">
        <v>1.0799999999999999E-2</v>
      </c>
      <c r="AY106" s="110"/>
    </row>
    <row r="107" spans="2:51" ht="11.25" customHeight="1" x14ac:dyDescent="0.2">
      <c r="AN107" s="103"/>
      <c r="AO107" t="s">
        <v>122</v>
      </c>
      <c r="AP107">
        <v>3.2399999999999994E-3</v>
      </c>
      <c r="AY107" s="110"/>
    </row>
    <row r="108" spans="2:51" ht="11.25" customHeight="1" x14ac:dyDescent="0.2">
      <c r="AN108" s="103"/>
      <c r="AO108" t="s">
        <v>123</v>
      </c>
      <c r="AP108">
        <v>60000</v>
      </c>
      <c r="AQ108" t="s">
        <v>558</v>
      </c>
      <c r="AY108" s="110"/>
    </row>
    <row r="109" spans="2:51" ht="11.25" customHeight="1" x14ac:dyDescent="0.2">
      <c r="AN109" s="103"/>
      <c r="AO109" t="s">
        <v>124</v>
      </c>
      <c r="AP109">
        <v>120000</v>
      </c>
      <c r="AQ109" t="s">
        <v>274</v>
      </c>
      <c r="AY109" s="110"/>
    </row>
    <row r="110" spans="2:51" ht="11.25" customHeight="1" x14ac:dyDescent="0.2">
      <c r="AN110" s="103"/>
      <c r="AO110" t="s">
        <v>125</v>
      </c>
      <c r="AP110">
        <v>0.432</v>
      </c>
      <c r="AY110" s="110"/>
    </row>
    <row r="111" spans="2:51" ht="11.25" customHeight="1" x14ac:dyDescent="0.2">
      <c r="AN111" s="103"/>
      <c r="AO111" t="s">
        <v>126</v>
      </c>
      <c r="AP111">
        <v>0.12959999999999999</v>
      </c>
      <c r="AY111" s="110"/>
    </row>
    <row r="112" spans="2:51" ht="11.25" customHeight="1" x14ac:dyDescent="0.2">
      <c r="AN112" s="103"/>
      <c r="AO112" t="s">
        <v>226</v>
      </c>
      <c r="AP112">
        <v>13437</v>
      </c>
      <c r="AQ112" t="s">
        <v>268</v>
      </c>
      <c r="AY112" s="110"/>
    </row>
    <row r="113" spans="40:51" ht="11.25" customHeight="1" x14ac:dyDescent="0.2">
      <c r="AN113" s="103"/>
      <c r="AO113" t="s">
        <v>227</v>
      </c>
      <c r="AP113">
        <v>4.8373199999999998E-2</v>
      </c>
      <c r="AQ113" t="s">
        <v>275</v>
      </c>
      <c r="AY113" s="110"/>
    </row>
    <row r="114" spans="40:51" ht="11.25" customHeight="1" x14ac:dyDescent="0.2">
      <c r="AN114" s="103"/>
      <c r="AO114" t="s">
        <v>228</v>
      </c>
      <c r="AP114">
        <v>1.4511959999999999E-2</v>
      </c>
      <c r="AY114" s="110"/>
    </row>
    <row r="115" spans="40:51" ht="11.25" customHeight="1" x14ac:dyDescent="0.2">
      <c r="AN115" s="103"/>
      <c r="AO115" t="s">
        <v>128</v>
      </c>
      <c r="AP115">
        <v>50000</v>
      </c>
      <c r="AQ115" t="s">
        <v>269</v>
      </c>
      <c r="AY115" s="110"/>
    </row>
    <row r="116" spans="40:51" ht="11.25" customHeight="1" x14ac:dyDescent="0.2">
      <c r="AN116" s="103"/>
      <c r="AO116" t="s">
        <v>129</v>
      </c>
      <c r="AP116">
        <v>50000</v>
      </c>
      <c r="AQ116" t="s">
        <v>127</v>
      </c>
      <c r="AY116" s="110"/>
    </row>
    <row r="117" spans="40:51" ht="11.25" customHeight="1" x14ac:dyDescent="0.2">
      <c r="AN117" s="103"/>
      <c r="AO117" t="s">
        <v>130</v>
      </c>
      <c r="AP117">
        <v>0.18</v>
      </c>
      <c r="AY117" s="110"/>
    </row>
    <row r="118" spans="40:51" ht="11.25" customHeight="1" x14ac:dyDescent="0.2">
      <c r="AN118" s="103"/>
      <c r="AO118" t="s">
        <v>132</v>
      </c>
      <c r="AP118">
        <v>5.3999999999999999E-2</v>
      </c>
      <c r="AY118" s="110"/>
    </row>
    <row r="119" spans="40:51" ht="11.25" customHeight="1" x14ac:dyDescent="0.2">
      <c r="AN119" s="103"/>
      <c r="AO119" t="s">
        <v>278</v>
      </c>
      <c r="AP119">
        <v>13625</v>
      </c>
      <c r="AQ119" t="s">
        <v>277</v>
      </c>
      <c r="AY119" s="110"/>
    </row>
    <row r="120" spans="40:51" ht="11.25" customHeight="1" x14ac:dyDescent="0.2">
      <c r="AN120" s="103"/>
      <c r="AO120" t="s">
        <v>134</v>
      </c>
      <c r="AP120">
        <v>1021.875</v>
      </c>
      <c r="AQ120" t="s">
        <v>276</v>
      </c>
      <c r="AY120" s="110"/>
    </row>
    <row r="121" spans="40:51" ht="11.25" customHeight="1" x14ac:dyDescent="0.2">
      <c r="AN121" s="103"/>
      <c r="AO121" t="s">
        <v>135</v>
      </c>
      <c r="AP121">
        <v>3.6787499999999997E-3</v>
      </c>
      <c r="AY121" s="110"/>
    </row>
    <row r="122" spans="40:51" ht="11.25" customHeight="1" x14ac:dyDescent="0.2">
      <c r="AN122" s="103"/>
      <c r="AO122" t="s">
        <v>151</v>
      </c>
      <c r="AP122">
        <v>28.571428571428498</v>
      </c>
      <c r="AQ122" t="s">
        <v>133</v>
      </c>
      <c r="AY122" s="110"/>
    </row>
    <row r="123" spans="40:51" ht="11.25" customHeight="1" x14ac:dyDescent="0.2">
      <c r="AN123" s="103"/>
      <c r="AO123" t="s">
        <v>152</v>
      </c>
      <c r="AP123">
        <v>3.5000000000000087E-2</v>
      </c>
      <c r="AY123" s="110"/>
    </row>
    <row r="124" spans="40:51" ht="11.25" customHeight="1" x14ac:dyDescent="0.2">
      <c r="AN124" s="103"/>
      <c r="AO124" t="s">
        <v>153</v>
      </c>
      <c r="AP124">
        <v>3.5000000000000088E-8</v>
      </c>
      <c r="AY124" s="110"/>
    </row>
    <row r="125" spans="40:51" ht="11.25" customHeight="1" x14ac:dyDescent="0.2">
      <c r="AN125" s="103"/>
      <c r="AO125" t="s">
        <v>150</v>
      </c>
      <c r="AP125">
        <v>0.28599999999999998</v>
      </c>
      <c r="AQ125" t="s">
        <v>270</v>
      </c>
      <c r="AY125" s="110"/>
    </row>
    <row r="126" spans="40:51" ht="11.25" customHeight="1" x14ac:dyDescent="0.2">
      <c r="AN126" s="103"/>
      <c r="AO126" t="s">
        <v>175</v>
      </c>
      <c r="AP126">
        <v>1095</v>
      </c>
      <c r="AQ126" t="s">
        <v>270</v>
      </c>
      <c r="AY126" s="110"/>
    </row>
    <row r="127" spans="40:51" ht="11.25" customHeight="1" x14ac:dyDescent="0.2">
      <c r="AN127" s="103"/>
      <c r="AO127" t="s">
        <v>174</v>
      </c>
      <c r="AP127">
        <v>313.16999999999996</v>
      </c>
      <c r="AY127" s="110"/>
    </row>
    <row r="128" spans="40:51" ht="11.25" customHeight="1" thickBot="1" x14ac:dyDescent="0.25">
      <c r="AN128" s="105"/>
      <c r="AO128" s="113" t="s">
        <v>176</v>
      </c>
      <c r="AP128" s="113">
        <v>1.0960950000000026E-5</v>
      </c>
      <c r="AQ128" s="113"/>
      <c r="AR128" s="113"/>
      <c r="AS128" s="113"/>
      <c r="AT128" s="113"/>
      <c r="AU128" s="113"/>
      <c r="AV128" s="113"/>
      <c r="AW128" s="113"/>
      <c r="AX128" s="113"/>
      <c r="AY128" s="114"/>
    </row>
  </sheetData>
  <mergeCells count="19">
    <mergeCell ref="W10:X10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AK10:AL10"/>
    <mergeCell ref="Y10:Z10"/>
    <mergeCell ref="AA10:AB10"/>
    <mergeCell ref="AC10:AD10"/>
    <mergeCell ref="AE10:AF10"/>
    <mergeCell ref="AG10:AH10"/>
    <mergeCell ref="AI10:AJ10"/>
  </mergeCells>
  <hyperlinks>
    <hyperlink ref="AP38" r:id="rId1" location="/CBS/nl/dataset/84687NED/table?dl=5526A" xr:uid="{AD7F4E3C-01EE-D548-A231-E1B198F0EC7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3F58-49A8-B24D-A0D1-129E7F5D8921}">
  <sheetPr>
    <tabColor rgb="FFEBF1DE"/>
  </sheetPr>
  <dimension ref="A1:AW100"/>
  <sheetViews>
    <sheetView topLeftCell="AF1" workbookViewId="0">
      <selection activeCell="AU35" sqref="AU35"/>
    </sheetView>
  </sheetViews>
  <sheetFormatPr baseColWidth="10" defaultColWidth="8.83203125" defaultRowHeight="11.25" customHeight="1" x14ac:dyDescent="0.2"/>
  <cols>
    <col min="1" max="1" width="17" customWidth="1"/>
    <col min="2" max="2" width="63.1640625" customWidth="1"/>
    <col min="3" max="3" width="18" customWidth="1"/>
    <col min="4" max="4" width="19.5" customWidth="1"/>
    <col min="5" max="5" width="11" customWidth="1"/>
    <col min="6" max="6" width="5" customWidth="1"/>
    <col min="7" max="7" width="20" customWidth="1"/>
    <col min="8" max="8" width="5" customWidth="1"/>
    <col min="9" max="9" width="20" customWidth="1"/>
    <col min="10" max="10" width="9.5" customWidth="1"/>
    <col min="11" max="11" width="17" customWidth="1"/>
    <col min="12" max="12" width="10.5" customWidth="1"/>
    <col min="13" max="13" width="20" customWidth="1"/>
    <col min="14" max="14" width="5" customWidth="1"/>
    <col min="15" max="15" width="20" customWidth="1"/>
    <col min="16" max="16" width="5" customWidth="1"/>
    <col min="17" max="17" width="20" customWidth="1"/>
    <col min="18" max="18" width="5" customWidth="1"/>
    <col min="19" max="19" width="10" customWidth="1"/>
    <col min="20" max="20" width="5" customWidth="1"/>
    <col min="21" max="21" width="20" customWidth="1"/>
    <col min="22" max="22" width="5" customWidth="1"/>
    <col min="23" max="23" width="16" customWidth="1"/>
    <col min="24" max="24" width="5" customWidth="1"/>
    <col min="25" max="25" width="19" customWidth="1"/>
    <col min="26" max="26" width="5" customWidth="1"/>
    <col min="27" max="27" width="15" customWidth="1"/>
    <col min="28" max="28" width="5" customWidth="1"/>
    <col min="29" max="29" width="18" customWidth="1"/>
    <col min="30" max="30" width="5" customWidth="1"/>
    <col min="31" max="31" width="20" customWidth="1"/>
    <col min="32" max="32" width="5" customWidth="1"/>
    <col min="33" max="33" width="20" customWidth="1"/>
    <col min="34" max="34" width="5" customWidth="1"/>
    <col min="35" max="35" width="10" customWidth="1"/>
    <col min="36" max="36" width="5" customWidth="1"/>
    <col min="37" max="37" width="11" customWidth="1"/>
    <col min="38" max="38" width="5" customWidth="1"/>
    <col min="41" max="41" width="13.6640625" bestFit="1" customWidth="1"/>
  </cols>
  <sheetData>
    <row r="1" spans="1:38" ht="16" x14ac:dyDescent="0.2">
      <c r="A1" s="74" t="s">
        <v>439</v>
      </c>
    </row>
    <row r="2" spans="1:38" ht="16" x14ac:dyDescent="0.2">
      <c r="A2" s="74" t="s">
        <v>440</v>
      </c>
      <c r="B2" s="75" t="s">
        <v>441</v>
      </c>
    </row>
    <row r="3" spans="1:38" ht="16" x14ac:dyDescent="0.2">
      <c r="A3" s="74" t="s">
        <v>442</v>
      </c>
      <c r="B3" s="74" t="s">
        <v>443</v>
      </c>
    </row>
    <row r="4" spans="1:38" ht="16" x14ac:dyDescent="0.2"/>
    <row r="5" spans="1:38" ht="16" x14ac:dyDescent="0.2">
      <c r="A5" s="75" t="s">
        <v>444</v>
      </c>
      <c r="C5" s="74" t="s">
        <v>445</v>
      </c>
    </row>
    <row r="6" spans="1:38" ht="16" x14ac:dyDescent="0.2">
      <c r="A6" s="75" t="s">
        <v>446</v>
      </c>
      <c r="C6" s="74" t="s">
        <v>447</v>
      </c>
    </row>
    <row r="7" spans="1:38" ht="16" x14ac:dyDescent="0.2">
      <c r="A7" s="75" t="s">
        <v>448</v>
      </c>
      <c r="C7" s="74" t="s">
        <v>449</v>
      </c>
    </row>
    <row r="8" spans="1:38" ht="16" x14ac:dyDescent="0.2">
      <c r="A8" s="75" t="s">
        <v>450</v>
      </c>
      <c r="C8" s="74" t="s">
        <v>451</v>
      </c>
    </row>
    <row r="9" spans="1:38" ht="16" x14ac:dyDescent="0.2"/>
    <row r="10" spans="1:38" ht="16" x14ac:dyDescent="0.2">
      <c r="A10" s="131" t="s">
        <v>452</v>
      </c>
      <c r="B10" s="131" t="s">
        <v>452</v>
      </c>
      <c r="C10" s="130" t="s">
        <v>453</v>
      </c>
      <c r="D10" s="130" t="s">
        <v>231</v>
      </c>
      <c r="E10" s="130" t="s">
        <v>454</v>
      </c>
      <c r="F10" s="130" t="s">
        <v>231</v>
      </c>
      <c r="G10" s="130" t="s">
        <v>455</v>
      </c>
      <c r="H10" s="130" t="s">
        <v>231</v>
      </c>
      <c r="I10" s="130" t="s">
        <v>456</v>
      </c>
      <c r="J10" s="130" t="s">
        <v>231</v>
      </c>
      <c r="K10" s="130" t="s">
        <v>457</v>
      </c>
      <c r="L10" s="130" t="s">
        <v>231</v>
      </c>
      <c r="M10" s="130" t="s">
        <v>458</v>
      </c>
      <c r="N10" s="130" t="s">
        <v>231</v>
      </c>
      <c r="O10" s="130" t="s">
        <v>459</v>
      </c>
      <c r="P10" s="130" t="s">
        <v>231</v>
      </c>
      <c r="Q10" s="130" t="s">
        <v>460</v>
      </c>
      <c r="R10" s="130" t="s">
        <v>231</v>
      </c>
      <c r="S10" s="130" t="s">
        <v>461</v>
      </c>
      <c r="T10" s="130" t="s">
        <v>231</v>
      </c>
      <c r="U10" s="130" t="s">
        <v>462</v>
      </c>
      <c r="V10" s="130" t="s">
        <v>231</v>
      </c>
      <c r="W10" s="130" t="s">
        <v>463</v>
      </c>
      <c r="X10" s="130" t="s">
        <v>231</v>
      </c>
      <c r="Y10" s="130" t="s">
        <v>464</v>
      </c>
      <c r="Z10" s="130" t="s">
        <v>231</v>
      </c>
      <c r="AA10" s="130" t="s">
        <v>465</v>
      </c>
      <c r="AB10" s="130" t="s">
        <v>231</v>
      </c>
      <c r="AC10" s="130" t="s">
        <v>466</v>
      </c>
      <c r="AD10" s="130" t="s">
        <v>231</v>
      </c>
      <c r="AE10" s="130" t="s">
        <v>467</v>
      </c>
      <c r="AF10" s="130" t="s">
        <v>231</v>
      </c>
      <c r="AG10" s="130" t="s">
        <v>468</v>
      </c>
      <c r="AH10" s="130" t="s">
        <v>231</v>
      </c>
      <c r="AI10" s="130" t="s">
        <v>469</v>
      </c>
      <c r="AJ10" s="130" t="s">
        <v>231</v>
      </c>
      <c r="AK10" s="130" t="s">
        <v>177</v>
      </c>
      <c r="AL10" s="130" t="s">
        <v>231</v>
      </c>
    </row>
    <row r="11" spans="1:38" ht="16" x14ac:dyDescent="0.2">
      <c r="A11" s="76" t="s">
        <v>470</v>
      </c>
      <c r="B11" s="76" t="s">
        <v>471</v>
      </c>
      <c r="C11" s="77" t="s">
        <v>231</v>
      </c>
      <c r="D11" s="77" t="s">
        <v>231</v>
      </c>
      <c r="E11" s="77" t="s">
        <v>231</v>
      </c>
      <c r="F11" s="77" t="s">
        <v>231</v>
      </c>
      <c r="G11" s="77" t="s">
        <v>231</v>
      </c>
      <c r="H11" s="77" t="s">
        <v>231</v>
      </c>
      <c r="I11" s="77" t="s">
        <v>231</v>
      </c>
      <c r="J11" s="77" t="s">
        <v>231</v>
      </c>
      <c r="K11" s="77" t="s">
        <v>231</v>
      </c>
      <c r="L11" s="77" t="s">
        <v>231</v>
      </c>
      <c r="M11" s="77" t="s">
        <v>231</v>
      </c>
      <c r="N11" s="77" t="s">
        <v>231</v>
      </c>
      <c r="O11" s="77" t="s">
        <v>231</v>
      </c>
      <c r="P11" s="77" t="s">
        <v>231</v>
      </c>
      <c r="Q11" s="77" t="s">
        <v>231</v>
      </c>
      <c r="R11" s="77" t="s">
        <v>231</v>
      </c>
      <c r="S11" s="77" t="s">
        <v>231</v>
      </c>
      <c r="T11" s="77" t="s">
        <v>231</v>
      </c>
      <c r="U11" s="77" t="s">
        <v>231</v>
      </c>
      <c r="V11" s="77" t="s">
        <v>231</v>
      </c>
      <c r="W11" s="77" t="s">
        <v>231</v>
      </c>
      <c r="X11" s="77" t="s">
        <v>231</v>
      </c>
      <c r="Y11" s="77" t="s">
        <v>231</v>
      </c>
      <c r="Z11" s="77" t="s">
        <v>231</v>
      </c>
      <c r="AA11" s="77" t="s">
        <v>231</v>
      </c>
      <c r="AB11" s="77" t="s">
        <v>231</v>
      </c>
      <c r="AC11" s="77" t="s">
        <v>231</v>
      </c>
      <c r="AD11" s="77" t="s">
        <v>231</v>
      </c>
      <c r="AE11" s="77" t="s">
        <v>231</v>
      </c>
      <c r="AF11" s="77" t="s">
        <v>231</v>
      </c>
      <c r="AG11" s="77" t="s">
        <v>231</v>
      </c>
      <c r="AH11" s="77" t="s">
        <v>231</v>
      </c>
      <c r="AI11" s="77" t="s">
        <v>231</v>
      </c>
      <c r="AJ11" s="77" t="s">
        <v>231</v>
      </c>
      <c r="AK11" s="77" t="s">
        <v>231</v>
      </c>
      <c r="AL11" s="77" t="s">
        <v>231</v>
      </c>
    </row>
    <row r="12" spans="1:38" ht="16" x14ac:dyDescent="0.2">
      <c r="A12" s="78" t="s">
        <v>472</v>
      </c>
      <c r="B12" s="78" t="s">
        <v>473</v>
      </c>
      <c r="C12" s="79">
        <v>0</v>
      </c>
      <c r="D12" s="80" t="s">
        <v>231</v>
      </c>
      <c r="E12" s="79">
        <v>0</v>
      </c>
      <c r="F12" s="80" t="s">
        <v>231</v>
      </c>
      <c r="G12" s="81">
        <v>886.94600000000003</v>
      </c>
      <c r="H12" s="80" t="s">
        <v>474</v>
      </c>
      <c r="I12" s="79">
        <v>0</v>
      </c>
      <c r="J12" s="80" t="s">
        <v>231</v>
      </c>
      <c r="K12" s="79">
        <v>0</v>
      </c>
      <c r="L12" s="80" t="s">
        <v>231</v>
      </c>
      <c r="M12" s="79">
        <v>0</v>
      </c>
      <c r="N12" s="80" t="s">
        <v>231</v>
      </c>
      <c r="O12" s="79">
        <v>0</v>
      </c>
      <c r="P12" s="80" t="s">
        <v>231</v>
      </c>
      <c r="Q12" s="79">
        <v>0</v>
      </c>
      <c r="R12" s="80" t="s">
        <v>231</v>
      </c>
      <c r="S12" s="79">
        <v>0</v>
      </c>
      <c r="T12" s="80" t="s">
        <v>231</v>
      </c>
      <c r="U12" s="81">
        <v>1.522</v>
      </c>
      <c r="V12" s="80" t="s">
        <v>231</v>
      </c>
      <c r="W12" s="79">
        <v>0</v>
      </c>
      <c r="X12" s="80" t="s">
        <v>231</v>
      </c>
      <c r="Y12" s="79">
        <v>0</v>
      </c>
      <c r="Z12" s="80" t="s">
        <v>231</v>
      </c>
      <c r="AA12" s="79">
        <v>0</v>
      </c>
      <c r="AB12" s="80" t="s">
        <v>231</v>
      </c>
      <c r="AC12" s="79">
        <v>0</v>
      </c>
      <c r="AD12" s="80" t="s">
        <v>231</v>
      </c>
      <c r="AE12" s="79">
        <v>0</v>
      </c>
      <c r="AF12" s="80" t="s">
        <v>231</v>
      </c>
      <c r="AG12" s="79">
        <v>0</v>
      </c>
      <c r="AH12" s="80" t="s">
        <v>231</v>
      </c>
      <c r="AI12" s="79">
        <v>0</v>
      </c>
      <c r="AJ12" s="80" t="s">
        <v>231</v>
      </c>
      <c r="AK12" s="81">
        <v>6114.1719999999996</v>
      </c>
      <c r="AL12" s="80" t="s">
        <v>231</v>
      </c>
    </row>
    <row r="13" spans="1:38" ht="16" x14ac:dyDescent="0.2">
      <c r="A13" s="78" t="s">
        <v>472</v>
      </c>
      <c r="B13" s="78" t="s">
        <v>475</v>
      </c>
      <c r="C13" s="82">
        <v>0</v>
      </c>
      <c r="D13" s="83" t="s">
        <v>231</v>
      </c>
      <c r="E13" s="82">
        <v>0</v>
      </c>
      <c r="F13" s="83" t="s">
        <v>231</v>
      </c>
      <c r="G13" s="82">
        <v>0</v>
      </c>
      <c r="H13" s="83" t="s">
        <v>474</v>
      </c>
      <c r="I13" s="82">
        <v>0</v>
      </c>
      <c r="J13" s="83" t="s">
        <v>231</v>
      </c>
      <c r="K13" s="82">
        <v>0</v>
      </c>
      <c r="L13" s="83" t="s">
        <v>231</v>
      </c>
      <c r="M13" s="82">
        <v>0</v>
      </c>
      <c r="N13" s="83" t="s">
        <v>231</v>
      </c>
      <c r="O13" s="82">
        <v>0</v>
      </c>
      <c r="P13" s="83" t="s">
        <v>231</v>
      </c>
      <c r="Q13" s="82">
        <v>0</v>
      </c>
      <c r="R13" s="83" t="s">
        <v>231</v>
      </c>
      <c r="S13" s="82">
        <v>0</v>
      </c>
      <c r="T13" s="83" t="s">
        <v>231</v>
      </c>
      <c r="U13" s="82">
        <v>0</v>
      </c>
      <c r="V13" s="83" t="s">
        <v>231</v>
      </c>
      <c r="W13" s="82">
        <v>0</v>
      </c>
      <c r="X13" s="83" t="s">
        <v>231</v>
      </c>
      <c r="Y13" s="82">
        <v>0</v>
      </c>
      <c r="Z13" s="83" t="s">
        <v>231</v>
      </c>
      <c r="AA13" s="82">
        <v>0</v>
      </c>
      <c r="AB13" s="83" t="s">
        <v>231</v>
      </c>
      <c r="AC13" s="82">
        <v>0</v>
      </c>
      <c r="AD13" s="83" t="s">
        <v>231</v>
      </c>
      <c r="AE13" s="82">
        <v>0</v>
      </c>
      <c r="AF13" s="83" t="s">
        <v>231</v>
      </c>
      <c r="AG13" s="82">
        <v>0</v>
      </c>
      <c r="AH13" s="83" t="s">
        <v>231</v>
      </c>
      <c r="AI13" s="82">
        <v>0</v>
      </c>
      <c r="AJ13" s="83" t="s">
        <v>231</v>
      </c>
      <c r="AK13" s="84">
        <v>213.27099999999999</v>
      </c>
      <c r="AL13" s="83" t="s">
        <v>231</v>
      </c>
    </row>
    <row r="14" spans="1:38" ht="16" x14ac:dyDescent="0.2">
      <c r="A14" s="78" t="s">
        <v>472</v>
      </c>
      <c r="B14" s="78" t="s">
        <v>476</v>
      </c>
      <c r="C14" s="79">
        <v>0</v>
      </c>
      <c r="D14" s="80" t="s">
        <v>231</v>
      </c>
      <c r="E14" s="79">
        <v>0</v>
      </c>
      <c r="F14" s="80" t="s">
        <v>231</v>
      </c>
      <c r="G14" s="81">
        <v>886.94600000000003</v>
      </c>
      <c r="H14" s="80" t="s">
        <v>474</v>
      </c>
      <c r="I14" s="79">
        <v>0</v>
      </c>
      <c r="J14" s="80" t="s">
        <v>231</v>
      </c>
      <c r="K14" s="79">
        <v>0</v>
      </c>
      <c r="L14" s="80" t="s">
        <v>231</v>
      </c>
      <c r="M14" s="79">
        <v>0</v>
      </c>
      <c r="N14" s="80" t="s">
        <v>231</v>
      </c>
      <c r="O14" s="79">
        <v>0</v>
      </c>
      <c r="P14" s="80" t="s">
        <v>231</v>
      </c>
      <c r="Q14" s="79">
        <v>0</v>
      </c>
      <c r="R14" s="80" t="s">
        <v>231</v>
      </c>
      <c r="S14" s="79">
        <v>0</v>
      </c>
      <c r="T14" s="80" t="s">
        <v>231</v>
      </c>
      <c r="U14" s="81">
        <v>1.522</v>
      </c>
      <c r="V14" s="80" t="s">
        <v>231</v>
      </c>
      <c r="W14" s="79">
        <v>0</v>
      </c>
      <c r="X14" s="80" t="s">
        <v>231</v>
      </c>
      <c r="Y14" s="79">
        <v>0</v>
      </c>
      <c r="Z14" s="80" t="s">
        <v>231</v>
      </c>
      <c r="AA14" s="79">
        <v>0</v>
      </c>
      <c r="AB14" s="80" t="s">
        <v>231</v>
      </c>
      <c r="AC14" s="79">
        <v>0</v>
      </c>
      <c r="AD14" s="80" t="s">
        <v>231</v>
      </c>
      <c r="AE14" s="79">
        <v>0</v>
      </c>
      <c r="AF14" s="80" t="s">
        <v>231</v>
      </c>
      <c r="AG14" s="79">
        <v>0</v>
      </c>
      <c r="AH14" s="80" t="s">
        <v>231</v>
      </c>
      <c r="AI14" s="79">
        <v>0</v>
      </c>
      <c r="AJ14" s="80" t="s">
        <v>231</v>
      </c>
      <c r="AK14" s="79">
        <v>5425.29</v>
      </c>
      <c r="AL14" s="80" t="s">
        <v>231</v>
      </c>
    </row>
    <row r="15" spans="1:38" ht="16" x14ac:dyDescent="0.2">
      <c r="A15" s="78" t="s">
        <v>472</v>
      </c>
      <c r="B15" s="78" t="s">
        <v>477</v>
      </c>
      <c r="C15" s="82">
        <v>0</v>
      </c>
      <c r="D15" s="83" t="s">
        <v>231</v>
      </c>
      <c r="E15" s="82">
        <v>0</v>
      </c>
      <c r="F15" s="83" t="s">
        <v>231</v>
      </c>
      <c r="G15" s="82">
        <v>0</v>
      </c>
      <c r="H15" s="83" t="s">
        <v>474</v>
      </c>
      <c r="I15" s="82">
        <v>0</v>
      </c>
      <c r="J15" s="83" t="s">
        <v>231</v>
      </c>
      <c r="K15" s="82">
        <v>0</v>
      </c>
      <c r="L15" s="83" t="s">
        <v>231</v>
      </c>
      <c r="M15" s="82">
        <v>0</v>
      </c>
      <c r="N15" s="83" t="s">
        <v>231</v>
      </c>
      <c r="O15" s="82">
        <v>0</v>
      </c>
      <c r="P15" s="83" t="s">
        <v>231</v>
      </c>
      <c r="Q15" s="82">
        <v>0</v>
      </c>
      <c r="R15" s="83" t="s">
        <v>231</v>
      </c>
      <c r="S15" s="82">
        <v>0</v>
      </c>
      <c r="T15" s="83" t="s">
        <v>231</v>
      </c>
      <c r="U15" s="82">
        <v>0</v>
      </c>
      <c r="V15" s="83" t="s">
        <v>231</v>
      </c>
      <c r="W15" s="82">
        <v>0</v>
      </c>
      <c r="X15" s="83" t="s">
        <v>231</v>
      </c>
      <c r="Y15" s="82">
        <v>0</v>
      </c>
      <c r="Z15" s="83" t="s">
        <v>231</v>
      </c>
      <c r="AA15" s="82">
        <v>0</v>
      </c>
      <c r="AB15" s="83" t="s">
        <v>231</v>
      </c>
      <c r="AC15" s="82">
        <v>0</v>
      </c>
      <c r="AD15" s="83" t="s">
        <v>231</v>
      </c>
      <c r="AE15" s="82">
        <v>0</v>
      </c>
      <c r="AF15" s="83" t="s">
        <v>231</v>
      </c>
      <c r="AG15" s="82">
        <v>0</v>
      </c>
      <c r="AH15" s="83" t="s">
        <v>231</v>
      </c>
      <c r="AI15" s="82">
        <v>0</v>
      </c>
      <c r="AJ15" s="83" t="s">
        <v>231</v>
      </c>
      <c r="AK15" s="82">
        <v>475.61</v>
      </c>
      <c r="AL15" s="83" t="s">
        <v>231</v>
      </c>
    </row>
    <row r="16" spans="1:38" ht="16" x14ac:dyDescent="0.2">
      <c r="A16" s="78" t="s">
        <v>472</v>
      </c>
      <c r="B16" s="78" t="s">
        <v>478</v>
      </c>
      <c r="C16" s="79">
        <v>0</v>
      </c>
      <c r="D16" s="80" t="s">
        <v>231</v>
      </c>
      <c r="E16" s="81">
        <v>2656.9349999999999</v>
      </c>
      <c r="F16" s="80" t="s">
        <v>231</v>
      </c>
      <c r="G16" s="79">
        <v>353092.08</v>
      </c>
      <c r="H16" s="80" t="s">
        <v>474</v>
      </c>
      <c r="I16" s="81">
        <v>4084.319</v>
      </c>
      <c r="J16" s="80" t="s">
        <v>231</v>
      </c>
      <c r="K16" s="79">
        <v>0</v>
      </c>
      <c r="L16" s="80" t="s">
        <v>231</v>
      </c>
      <c r="M16" s="81">
        <v>160956.489</v>
      </c>
      <c r="N16" s="80" t="s">
        <v>231</v>
      </c>
      <c r="O16" s="79">
        <v>0</v>
      </c>
      <c r="P16" s="80" t="s">
        <v>231</v>
      </c>
      <c r="Q16" s="81">
        <v>175608.92600000001</v>
      </c>
      <c r="R16" s="80" t="s">
        <v>231</v>
      </c>
      <c r="S16" s="79">
        <v>0</v>
      </c>
      <c r="T16" s="80" t="s">
        <v>231</v>
      </c>
      <c r="U16" s="81">
        <v>23442.149000000001</v>
      </c>
      <c r="V16" s="80" t="s">
        <v>231</v>
      </c>
      <c r="W16" s="79">
        <v>0</v>
      </c>
      <c r="X16" s="80" t="s">
        <v>231</v>
      </c>
      <c r="Y16" s="81">
        <v>10998.849</v>
      </c>
      <c r="Z16" s="80" t="s">
        <v>231</v>
      </c>
      <c r="AA16" s="79">
        <v>0</v>
      </c>
      <c r="AB16" s="80" t="s">
        <v>231</v>
      </c>
      <c r="AC16" s="81">
        <v>12442.346</v>
      </c>
      <c r="AD16" s="80" t="s">
        <v>231</v>
      </c>
      <c r="AE16" s="79">
        <v>0</v>
      </c>
      <c r="AF16" s="80" t="s">
        <v>231</v>
      </c>
      <c r="AG16" s="79">
        <v>0</v>
      </c>
      <c r="AH16" s="80" t="s">
        <v>231</v>
      </c>
      <c r="AI16" s="79">
        <v>0</v>
      </c>
      <c r="AJ16" s="80" t="s">
        <v>231</v>
      </c>
      <c r="AK16" s="81">
        <v>5925.9859999999999</v>
      </c>
      <c r="AL16" s="80" t="s">
        <v>231</v>
      </c>
    </row>
    <row r="17" spans="1:45" ht="16" x14ac:dyDescent="0.2">
      <c r="A17" s="78" t="s">
        <v>472</v>
      </c>
      <c r="B17" s="78" t="s">
        <v>479</v>
      </c>
      <c r="C17" s="82">
        <v>0</v>
      </c>
      <c r="D17" s="83" t="s">
        <v>231</v>
      </c>
      <c r="E17" s="84">
        <v>1535.0940000000001</v>
      </c>
      <c r="F17" s="83" t="s">
        <v>231</v>
      </c>
      <c r="G17" s="84">
        <v>90699.744000000006</v>
      </c>
      <c r="H17" s="83" t="s">
        <v>474</v>
      </c>
      <c r="I17" s="82">
        <v>28.42</v>
      </c>
      <c r="J17" s="83" t="s">
        <v>231</v>
      </c>
      <c r="K17" s="82">
        <v>0</v>
      </c>
      <c r="L17" s="83" t="s">
        <v>231</v>
      </c>
      <c r="M17" s="84">
        <v>24.513999999999999</v>
      </c>
      <c r="N17" s="83" t="s">
        <v>231</v>
      </c>
      <c r="O17" s="82">
        <v>0</v>
      </c>
      <c r="P17" s="83" t="s">
        <v>231</v>
      </c>
      <c r="Q17" s="84">
        <v>84649.159</v>
      </c>
      <c r="R17" s="83" t="s">
        <v>231</v>
      </c>
      <c r="S17" s="82">
        <v>0</v>
      </c>
      <c r="T17" s="83" t="s">
        <v>231</v>
      </c>
      <c r="U17" s="84">
        <v>5999.3670000000002</v>
      </c>
      <c r="V17" s="83" t="s">
        <v>231</v>
      </c>
      <c r="W17" s="82">
        <v>0</v>
      </c>
      <c r="X17" s="83" t="s">
        <v>231</v>
      </c>
      <c r="Y17" s="84">
        <v>1.675</v>
      </c>
      <c r="Z17" s="83" t="s">
        <v>231</v>
      </c>
      <c r="AA17" s="82">
        <v>0</v>
      </c>
      <c r="AB17" s="83" t="s">
        <v>231</v>
      </c>
      <c r="AC17" s="84">
        <v>5997.6509999999998</v>
      </c>
      <c r="AD17" s="83" t="s">
        <v>231</v>
      </c>
      <c r="AE17" s="82">
        <v>0</v>
      </c>
      <c r="AF17" s="83" t="s">
        <v>231</v>
      </c>
      <c r="AG17" s="82">
        <v>0</v>
      </c>
      <c r="AH17" s="83" t="s">
        <v>231</v>
      </c>
      <c r="AI17" s="82">
        <v>0</v>
      </c>
      <c r="AJ17" s="83" t="s">
        <v>231</v>
      </c>
      <c r="AK17" s="84">
        <v>11.717000000000001</v>
      </c>
      <c r="AL17" s="83" t="s">
        <v>231</v>
      </c>
    </row>
    <row r="18" spans="1:45" ht="16" x14ac:dyDescent="0.2">
      <c r="A18" s="78" t="s">
        <v>472</v>
      </c>
      <c r="B18" s="78" t="s">
        <v>480</v>
      </c>
      <c r="C18" s="79">
        <v>0</v>
      </c>
      <c r="D18" s="80" t="s">
        <v>231</v>
      </c>
      <c r="E18" s="81">
        <v>549.67700000000002</v>
      </c>
      <c r="F18" s="80" t="s">
        <v>231</v>
      </c>
      <c r="G18" s="81">
        <v>4199.2659999999996</v>
      </c>
      <c r="H18" s="80" t="s">
        <v>474</v>
      </c>
      <c r="I18" s="79">
        <v>0.04</v>
      </c>
      <c r="J18" s="80" t="s">
        <v>231</v>
      </c>
      <c r="K18" s="79">
        <v>0</v>
      </c>
      <c r="L18" s="80" t="s">
        <v>231</v>
      </c>
      <c r="M18" s="81">
        <v>163.214</v>
      </c>
      <c r="N18" s="80" t="s">
        <v>231</v>
      </c>
      <c r="O18" s="79">
        <v>0</v>
      </c>
      <c r="P18" s="80" t="s">
        <v>231</v>
      </c>
      <c r="Q18" s="81">
        <v>3769.0509999999999</v>
      </c>
      <c r="R18" s="80" t="s">
        <v>231</v>
      </c>
      <c r="S18" s="79">
        <v>0</v>
      </c>
      <c r="T18" s="80" t="s">
        <v>231</v>
      </c>
      <c r="U18" s="81">
        <v>279.03100000000001</v>
      </c>
      <c r="V18" s="80" t="s">
        <v>231</v>
      </c>
      <c r="W18" s="79">
        <v>0</v>
      </c>
      <c r="X18" s="80" t="s">
        <v>231</v>
      </c>
      <c r="Y18" s="81">
        <v>11.156000000000001</v>
      </c>
      <c r="Z18" s="80" t="s">
        <v>231</v>
      </c>
      <c r="AA18" s="79">
        <v>0</v>
      </c>
      <c r="AB18" s="80" t="s">
        <v>231</v>
      </c>
      <c r="AC18" s="81">
        <v>266.96100000000001</v>
      </c>
      <c r="AD18" s="80" t="s">
        <v>231</v>
      </c>
      <c r="AE18" s="79">
        <v>0</v>
      </c>
      <c r="AF18" s="80" t="s">
        <v>231</v>
      </c>
      <c r="AG18" s="79">
        <v>0</v>
      </c>
      <c r="AH18" s="80" t="s">
        <v>231</v>
      </c>
      <c r="AI18" s="79">
        <v>0</v>
      </c>
      <c r="AJ18" s="80" t="s">
        <v>231</v>
      </c>
      <c r="AK18" s="81">
        <v>512.39400000000001</v>
      </c>
      <c r="AL18" s="80" t="s">
        <v>231</v>
      </c>
    </row>
    <row r="19" spans="1:45" ht="16" x14ac:dyDescent="0.2">
      <c r="A19" s="78" t="s">
        <v>472</v>
      </c>
      <c r="B19" s="78" t="s">
        <v>481</v>
      </c>
      <c r="C19" s="82">
        <v>0</v>
      </c>
      <c r="D19" s="83" t="s">
        <v>231</v>
      </c>
      <c r="E19" s="84">
        <v>572.16399999999999</v>
      </c>
      <c r="F19" s="83" t="s">
        <v>231</v>
      </c>
      <c r="G19" s="84">
        <v>254189.36499999999</v>
      </c>
      <c r="H19" s="83" t="s">
        <v>474</v>
      </c>
      <c r="I19" s="84">
        <v>4055.8580000000002</v>
      </c>
      <c r="J19" s="83" t="s">
        <v>231</v>
      </c>
      <c r="K19" s="82">
        <v>0</v>
      </c>
      <c r="L19" s="83" t="s">
        <v>231</v>
      </c>
      <c r="M19" s="84">
        <v>156786.60699999999</v>
      </c>
      <c r="N19" s="83" t="s">
        <v>231</v>
      </c>
      <c r="O19" s="82">
        <v>0</v>
      </c>
      <c r="P19" s="83" t="s">
        <v>231</v>
      </c>
      <c r="Q19" s="84">
        <v>87170.593999999997</v>
      </c>
      <c r="R19" s="83" t="s">
        <v>231</v>
      </c>
      <c r="S19" s="82">
        <v>0</v>
      </c>
      <c r="T19" s="83" t="s">
        <v>231</v>
      </c>
      <c r="U19" s="84">
        <v>16890.149000000001</v>
      </c>
      <c r="V19" s="83" t="s">
        <v>231</v>
      </c>
      <c r="W19" s="82">
        <v>0</v>
      </c>
      <c r="X19" s="83" t="s">
        <v>231</v>
      </c>
      <c r="Y19" s="84">
        <v>10713.842000000001</v>
      </c>
      <c r="Z19" s="83" t="s">
        <v>231</v>
      </c>
      <c r="AA19" s="82">
        <v>0</v>
      </c>
      <c r="AB19" s="83" t="s">
        <v>231</v>
      </c>
      <c r="AC19" s="84">
        <v>6176.3069999999998</v>
      </c>
      <c r="AD19" s="83" t="s">
        <v>231</v>
      </c>
      <c r="AE19" s="82">
        <v>0</v>
      </c>
      <c r="AF19" s="83" t="s">
        <v>231</v>
      </c>
      <c r="AG19" s="82">
        <v>0</v>
      </c>
      <c r="AH19" s="83" t="s">
        <v>231</v>
      </c>
      <c r="AI19" s="82">
        <v>0</v>
      </c>
      <c r="AJ19" s="83" t="s">
        <v>231</v>
      </c>
      <c r="AK19" s="84">
        <v>5336.1009999999997</v>
      </c>
      <c r="AL19" s="83" t="s">
        <v>231</v>
      </c>
    </row>
    <row r="20" spans="1:45" ht="16" x14ac:dyDescent="0.2">
      <c r="A20" s="78" t="s">
        <v>472</v>
      </c>
      <c r="B20" s="78" t="s">
        <v>482</v>
      </c>
      <c r="C20" s="79">
        <v>0</v>
      </c>
      <c r="D20" s="80" t="s">
        <v>231</v>
      </c>
      <c r="E20" s="79">
        <v>0</v>
      </c>
      <c r="F20" s="80" t="s">
        <v>231</v>
      </c>
      <c r="G20" s="81">
        <v>4003.7040000000002</v>
      </c>
      <c r="H20" s="80" t="s">
        <v>474</v>
      </c>
      <c r="I20" s="81">
        <v>1E-3</v>
      </c>
      <c r="J20" s="80" t="s">
        <v>231</v>
      </c>
      <c r="K20" s="79">
        <v>0</v>
      </c>
      <c r="L20" s="80" t="s">
        <v>231</v>
      </c>
      <c r="M20" s="81">
        <v>3982.154</v>
      </c>
      <c r="N20" s="80" t="s">
        <v>231</v>
      </c>
      <c r="O20" s="79">
        <v>0</v>
      </c>
      <c r="P20" s="80" t="s">
        <v>231</v>
      </c>
      <c r="Q20" s="81">
        <v>20.122</v>
      </c>
      <c r="R20" s="80" t="s">
        <v>231</v>
      </c>
      <c r="S20" s="79">
        <v>0</v>
      </c>
      <c r="T20" s="80" t="s">
        <v>231</v>
      </c>
      <c r="U20" s="81">
        <v>273.60199999999998</v>
      </c>
      <c r="V20" s="80" t="s">
        <v>231</v>
      </c>
      <c r="W20" s="79">
        <v>0</v>
      </c>
      <c r="X20" s="80" t="s">
        <v>231</v>
      </c>
      <c r="Y20" s="81">
        <v>272.17599999999999</v>
      </c>
      <c r="Z20" s="80" t="s">
        <v>231</v>
      </c>
      <c r="AA20" s="79">
        <v>0</v>
      </c>
      <c r="AB20" s="80" t="s">
        <v>231</v>
      </c>
      <c r="AC20" s="81">
        <v>1.427</v>
      </c>
      <c r="AD20" s="80" t="s">
        <v>231</v>
      </c>
      <c r="AE20" s="79">
        <v>0</v>
      </c>
      <c r="AF20" s="80" t="s">
        <v>231</v>
      </c>
      <c r="AG20" s="79">
        <v>0</v>
      </c>
      <c r="AH20" s="80" t="s">
        <v>231</v>
      </c>
      <c r="AI20" s="79">
        <v>0</v>
      </c>
      <c r="AJ20" s="80" t="s">
        <v>231</v>
      </c>
      <c r="AK20" s="81">
        <v>65.774000000000001</v>
      </c>
      <c r="AL20" s="80" t="s">
        <v>231</v>
      </c>
    </row>
    <row r="21" spans="1:45" ht="16" x14ac:dyDescent="0.2">
      <c r="A21" s="78" t="s">
        <v>472</v>
      </c>
      <c r="B21" s="78" t="s">
        <v>483</v>
      </c>
      <c r="C21" s="82">
        <v>0</v>
      </c>
      <c r="D21" s="83" t="s">
        <v>231</v>
      </c>
      <c r="E21" s="82">
        <v>0</v>
      </c>
      <c r="F21" s="83" t="s">
        <v>231</v>
      </c>
      <c r="G21" s="84">
        <v>4003.7040000000002</v>
      </c>
      <c r="H21" s="83" t="s">
        <v>474</v>
      </c>
      <c r="I21" s="84">
        <v>1E-3</v>
      </c>
      <c r="J21" s="83" t="s">
        <v>231</v>
      </c>
      <c r="K21" s="82">
        <v>0</v>
      </c>
      <c r="L21" s="83" t="s">
        <v>231</v>
      </c>
      <c r="M21" s="84">
        <v>3982.154</v>
      </c>
      <c r="N21" s="83" t="s">
        <v>231</v>
      </c>
      <c r="O21" s="82">
        <v>0</v>
      </c>
      <c r="P21" s="83" t="s">
        <v>231</v>
      </c>
      <c r="Q21" s="84">
        <v>20.122</v>
      </c>
      <c r="R21" s="83" t="s">
        <v>231</v>
      </c>
      <c r="S21" s="82">
        <v>0</v>
      </c>
      <c r="T21" s="83" t="s">
        <v>231</v>
      </c>
      <c r="U21" s="84">
        <v>273.60199999999998</v>
      </c>
      <c r="V21" s="83" t="s">
        <v>231</v>
      </c>
      <c r="W21" s="82">
        <v>0</v>
      </c>
      <c r="X21" s="83" t="s">
        <v>231</v>
      </c>
      <c r="Y21" s="84">
        <v>272.17599999999999</v>
      </c>
      <c r="Z21" s="83" t="s">
        <v>231</v>
      </c>
      <c r="AA21" s="82">
        <v>0</v>
      </c>
      <c r="AB21" s="83" t="s">
        <v>231</v>
      </c>
      <c r="AC21" s="84">
        <v>1.427</v>
      </c>
      <c r="AD21" s="83" t="s">
        <v>231</v>
      </c>
      <c r="AE21" s="82">
        <v>0</v>
      </c>
      <c r="AF21" s="83" t="s">
        <v>231</v>
      </c>
      <c r="AG21" s="82">
        <v>0</v>
      </c>
      <c r="AH21" s="83" t="s">
        <v>231</v>
      </c>
      <c r="AI21" s="82">
        <v>0</v>
      </c>
      <c r="AJ21" s="83" t="s">
        <v>231</v>
      </c>
      <c r="AK21" s="84">
        <v>65.774000000000001</v>
      </c>
      <c r="AL21" s="83" t="s">
        <v>231</v>
      </c>
    </row>
    <row r="22" spans="1:45" ht="16" x14ac:dyDescent="0.2">
      <c r="A22" s="78" t="s">
        <v>472</v>
      </c>
      <c r="B22" s="78" t="s">
        <v>484</v>
      </c>
      <c r="C22" s="79">
        <v>0</v>
      </c>
      <c r="D22" s="80" t="s">
        <v>231</v>
      </c>
      <c r="E22" s="81">
        <v>2585.2510000000002</v>
      </c>
      <c r="F22" s="80" t="s">
        <v>231</v>
      </c>
      <c r="G22" s="81">
        <v>347934.68199999997</v>
      </c>
      <c r="H22" s="80" t="s">
        <v>474</v>
      </c>
      <c r="I22" s="81">
        <v>5208.4539999999997</v>
      </c>
      <c r="J22" s="80" t="s">
        <v>231</v>
      </c>
      <c r="K22" s="79">
        <v>0</v>
      </c>
      <c r="L22" s="80" t="s">
        <v>231</v>
      </c>
      <c r="M22" s="79">
        <v>153806.34</v>
      </c>
      <c r="N22" s="80" t="s">
        <v>231</v>
      </c>
      <c r="O22" s="79">
        <v>0</v>
      </c>
      <c r="P22" s="80" t="s">
        <v>231</v>
      </c>
      <c r="Q22" s="79">
        <v>176414.05</v>
      </c>
      <c r="R22" s="80" t="s">
        <v>231</v>
      </c>
      <c r="S22" s="79">
        <v>0</v>
      </c>
      <c r="T22" s="80" t="s">
        <v>231</v>
      </c>
      <c r="U22" s="81">
        <v>23018.330999999998</v>
      </c>
      <c r="V22" s="80" t="s">
        <v>231</v>
      </c>
      <c r="W22" s="79">
        <v>0</v>
      </c>
      <c r="X22" s="80" t="s">
        <v>231</v>
      </c>
      <c r="Y22" s="81">
        <v>10512.494000000001</v>
      </c>
      <c r="Z22" s="80" t="s">
        <v>231</v>
      </c>
      <c r="AA22" s="79">
        <v>0</v>
      </c>
      <c r="AB22" s="80" t="s">
        <v>231</v>
      </c>
      <c r="AC22" s="81">
        <v>12505.837</v>
      </c>
      <c r="AD22" s="80" t="s">
        <v>231</v>
      </c>
      <c r="AE22" s="79">
        <v>0</v>
      </c>
      <c r="AF22" s="80" t="s">
        <v>231</v>
      </c>
      <c r="AG22" s="79">
        <v>0</v>
      </c>
      <c r="AH22" s="80" t="s">
        <v>231</v>
      </c>
      <c r="AI22" s="79">
        <v>0</v>
      </c>
      <c r="AJ22" s="80" t="s">
        <v>231</v>
      </c>
      <c r="AK22" s="81">
        <v>5925.9859999999999</v>
      </c>
      <c r="AL22" s="80" t="s">
        <v>231</v>
      </c>
      <c r="AN22" t="s">
        <v>485</v>
      </c>
      <c r="AO22" t="s">
        <v>289</v>
      </c>
      <c r="AP22" t="s">
        <v>486</v>
      </c>
      <c r="AQ22" t="s">
        <v>487</v>
      </c>
      <c r="AR22" t="s">
        <v>294</v>
      </c>
      <c r="AS22" t="s">
        <v>488</v>
      </c>
    </row>
    <row r="23" spans="1:45" ht="16" x14ac:dyDescent="0.2">
      <c r="A23" s="78" t="s">
        <v>472</v>
      </c>
      <c r="B23" s="78" t="s">
        <v>489</v>
      </c>
      <c r="C23" s="82">
        <v>0</v>
      </c>
      <c r="D23" s="83" t="s">
        <v>231</v>
      </c>
      <c r="E23" s="84">
        <v>1477.116</v>
      </c>
      <c r="F23" s="83" t="s">
        <v>231</v>
      </c>
      <c r="G23" s="84">
        <v>91582.957999999999</v>
      </c>
      <c r="H23" s="83" t="s">
        <v>474</v>
      </c>
      <c r="I23" s="82">
        <v>35.65</v>
      </c>
      <c r="J23" s="83" t="s">
        <v>231</v>
      </c>
      <c r="K23" s="82">
        <v>0</v>
      </c>
      <c r="L23" s="83" t="s">
        <v>231</v>
      </c>
      <c r="M23" s="84">
        <v>24.513999999999999</v>
      </c>
      <c r="N23" s="83" t="s">
        <v>231</v>
      </c>
      <c r="O23" s="82">
        <v>0</v>
      </c>
      <c r="P23" s="83" t="s">
        <v>231</v>
      </c>
      <c r="Q23" s="84">
        <v>85464.304999999993</v>
      </c>
      <c r="R23" s="83" t="s">
        <v>231</v>
      </c>
      <c r="S23" s="82">
        <v>0</v>
      </c>
      <c r="T23" s="83" t="s">
        <v>231</v>
      </c>
      <c r="U23" s="84">
        <v>6060.165</v>
      </c>
      <c r="V23" s="83" t="s">
        <v>231</v>
      </c>
      <c r="W23" s="82">
        <v>0</v>
      </c>
      <c r="X23" s="83" t="s">
        <v>231</v>
      </c>
      <c r="Y23" s="84">
        <v>1.675</v>
      </c>
      <c r="Z23" s="83" t="s">
        <v>231</v>
      </c>
      <c r="AA23" s="82">
        <v>0</v>
      </c>
      <c r="AB23" s="83" t="s">
        <v>231</v>
      </c>
      <c r="AC23" s="84">
        <v>6058.4889999999996</v>
      </c>
      <c r="AD23" s="83" t="s">
        <v>231</v>
      </c>
      <c r="AE23" s="82">
        <v>0</v>
      </c>
      <c r="AF23" s="83" t="s">
        <v>231</v>
      </c>
      <c r="AG23" s="82">
        <v>0</v>
      </c>
      <c r="AH23" s="83" t="s">
        <v>231</v>
      </c>
      <c r="AI23" s="82">
        <v>0</v>
      </c>
      <c r="AJ23" s="83" t="s">
        <v>231</v>
      </c>
      <c r="AK23" s="84">
        <v>11.717000000000001</v>
      </c>
      <c r="AL23" s="83" t="s">
        <v>231</v>
      </c>
      <c r="AM23" t="s">
        <v>490</v>
      </c>
      <c r="AN23">
        <f>AK23/SUM($AK$23:$AK$26)*100</f>
        <v>0.19772237058946815</v>
      </c>
      <c r="AO23">
        <f>Q23/SUM($Q$23:$Q$26)*100</f>
        <v>48.445293898076699</v>
      </c>
      <c r="AP23">
        <f>M23/SUM($M$23:$M$26)*100</f>
        <v>1.5938224653157987E-2</v>
      </c>
      <c r="AQ23">
        <f>E23/SUM($E$23:$E$26)*100</f>
        <v>57.1362482264785</v>
      </c>
      <c r="AR23">
        <f>I23/SUM($I$23:$I$26)*100</f>
        <v>0.68446414233475039</v>
      </c>
    </row>
    <row r="24" spans="1:45" ht="16" x14ac:dyDescent="0.2">
      <c r="A24" s="78" t="s">
        <v>472</v>
      </c>
      <c r="B24" s="78" t="s">
        <v>491</v>
      </c>
      <c r="C24" s="79">
        <v>0</v>
      </c>
      <c r="D24" s="80" t="s">
        <v>231</v>
      </c>
      <c r="E24" s="81">
        <v>524.83199999999999</v>
      </c>
      <c r="F24" s="80" t="s">
        <v>231</v>
      </c>
      <c r="G24" s="81">
        <v>4163.6109999999999</v>
      </c>
      <c r="H24" s="80" t="s">
        <v>474</v>
      </c>
      <c r="I24" s="79">
        <v>0.05</v>
      </c>
      <c r="J24" s="80" t="s">
        <v>231</v>
      </c>
      <c r="K24" s="79">
        <v>0</v>
      </c>
      <c r="L24" s="80" t="s">
        <v>231</v>
      </c>
      <c r="M24" s="81">
        <v>163.214</v>
      </c>
      <c r="N24" s="80" t="s">
        <v>231</v>
      </c>
      <c r="O24" s="79">
        <v>0</v>
      </c>
      <c r="P24" s="80" t="s">
        <v>231</v>
      </c>
      <c r="Q24" s="81">
        <v>3735.538</v>
      </c>
      <c r="R24" s="80" t="s">
        <v>231</v>
      </c>
      <c r="S24" s="79">
        <v>0</v>
      </c>
      <c r="T24" s="80" t="s">
        <v>231</v>
      </c>
      <c r="U24" s="81">
        <v>275.964</v>
      </c>
      <c r="V24" s="80" t="s">
        <v>231</v>
      </c>
      <c r="W24" s="79">
        <v>0</v>
      </c>
      <c r="X24" s="80" t="s">
        <v>231</v>
      </c>
      <c r="Y24" s="81">
        <v>11.156000000000001</v>
      </c>
      <c r="Z24" s="80" t="s">
        <v>231</v>
      </c>
      <c r="AA24" s="79">
        <v>0</v>
      </c>
      <c r="AB24" s="80" t="s">
        <v>231</v>
      </c>
      <c r="AC24" s="81">
        <v>264.80900000000003</v>
      </c>
      <c r="AD24" s="80" t="s">
        <v>231</v>
      </c>
      <c r="AE24" s="79">
        <v>0</v>
      </c>
      <c r="AF24" s="80" t="s">
        <v>231</v>
      </c>
      <c r="AG24" s="79">
        <v>0</v>
      </c>
      <c r="AH24" s="80" t="s">
        <v>231</v>
      </c>
      <c r="AI24" s="79">
        <v>0</v>
      </c>
      <c r="AJ24" s="80" t="s">
        <v>231</v>
      </c>
      <c r="AK24" s="81">
        <v>512.39400000000001</v>
      </c>
      <c r="AL24" s="80" t="s">
        <v>231</v>
      </c>
      <c r="AM24" t="s">
        <v>492</v>
      </c>
      <c r="AN24">
        <f t="shared" ref="AN24:AN26" si="0">AK24/SUM($AK$23:$AK$26)*100</f>
        <v>8.646561095486895</v>
      </c>
      <c r="AO24">
        <f t="shared" ref="AO24:AO26" si="1">Q24/SUM($Q$23:$Q$26)*100</f>
        <v>2.117483273015953</v>
      </c>
      <c r="AP24">
        <f t="shared" ref="AP24:AP26" si="2">M24/SUM($M$23:$M$26)*100</f>
        <v>0.10611656190505539</v>
      </c>
      <c r="AQ24">
        <f t="shared" ref="AQ24:AQ26" si="3">E24/SUM($E$23:$E$26)*100</f>
        <v>20.300999670438316</v>
      </c>
      <c r="AR24">
        <f t="shared" ref="AR24:AR26" si="4">I24/SUM($I$23:$I$26)*100</f>
        <v>9.5997775923527414E-4</v>
      </c>
    </row>
    <row r="25" spans="1:45" ht="16" x14ac:dyDescent="0.2">
      <c r="A25" s="78" t="s">
        <v>472</v>
      </c>
      <c r="B25" s="78" t="s">
        <v>493</v>
      </c>
      <c r="C25" s="82">
        <v>0</v>
      </c>
      <c r="D25" s="83" t="s">
        <v>231</v>
      </c>
      <c r="E25" s="84">
        <v>583.30399999999997</v>
      </c>
      <c r="F25" s="83" t="s">
        <v>231</v>
      </c>
      <c r="G25" s="84">
        <v>248184.408</v>
      </c>
      <c r="H25" s="83" t="s">
        <v>474</v>
      </c>
      <c r="I25" s="84">
        <v>5172.7529999999997</v>
      </c>
      <c r="J25" s="83" t="s">
        <v>231</v>
      </c>
      <c r="K25" s="82">
        <v>0</v>
      </c>
      <c r="L25" s="83" t="s">
        <v>231</v>
      </c>
      <c r="M25" s="84">
        <v>149636.45800000001</v>
      </c>
      <c r="N25" s="83" t="s">
        <v>231</v>
      </c>
      <c r="O25" s="82">
        <v>0</v>
      </c>
      <c r="P25" s="83" t="s">
        <v>231</v>
      </c>
      <c r="Q25" s="84">
        <v>87194.085000000006</v>
      </c>
      <c r="R25" s="83" t="s">
        <v>231</v>
      </c>
      <c r="S25" s="82">
        <v>0</v>
      </c>
      <c r="T25" s="83" t="s">
        <v>231</v>
      </c>
      <c r="U25" s="84">
        <v>16408.598000000002</v>
      </c>
      <c r="V25" s="83" t="s">
        <v>231</v>
      </c>
      <c r="W25" s="82">
        <v>0</v>
      </c>
      <c r="X25" s="83" t="s">
        <v>231</v>
      </c>
      <c r="Y25" s="84">
        <v>10227.486999999999</v>
      </c>
      <c r="Z25" s="83" t="s">
        <v>231</v>
      </c>
      <c r="AA25" s="82">
        <v>0</v>
      </c>
      <c r="AB25" s="83" t="s">
        <v>231</v>
      </c>
      <c r="AC25" s="84">
        <v>6181.1120000000001</v>
      </c>
      <c r="AD25" s="83" t="s">
        <v>231</v>
      </c>
      <c r="AE25" s="82">
        <v>0</v>
      </c>
      <c r="AF25" s="83" t="s">
        <v>231</v>
      </c>
      <c r="AG25" s="82">
        <v>0</v>
      </c>
      <c r="AH25" s="83" t="s">
        <v>231</v>
      </c>
      <c r="AI25" s="82">
        <v>0</v>
      </c>
      <c r="AJ25" s="83" t="s">
        <v>231</v>
      </c>
      <c r="AK25" s="84">
        <v>5336.1009999999997</v>
      </c>
      <c r="AL25" s="83" t="s">
        <v>231</v>
      </c>
      <c r="AM25" t="s">
        <v>494</v>
      </c>
      <c r="AN25">
        <f t="shared" si="0"/>
        <v>90.045791535788297</v>
      </c>
      <c r="AO25">
        <f t="shared" si="1"/>
        <v>49.425816707909604</v>
      </c>
      <c r="AP25">
        <f t="shared" si="2"/>
        <v>97.28887508798401</v>
      </c>
      <c r="AQ25">
        <f t="shared" si="3"/>
        <v>22.562752103083181</v>
      </c>
      <c r="AR25">
        <f t="shared" si="4"/>
        <v>99.314556680350833</v>
      </c>
    </row>
    <row r="26" spans="1:45" ht="16" x14ac:dyDescent="0.2">
      <c r="A26" s="78" t="s">
        <v>472</v>
      </c>
      <c r="B26" s="78" t="s">
        <v>495</v>
      </c>
      <c r="C26" s="79">
        <v>0</v>
      </c>
      <c r="D26" s="80" t="s">
        <v>231</v>
      </c>
      <c r="E26" s="79">
        <v>0</v>
      </c>
      <c r="F26" s="80" t="s">
        <v>231</v>
      </c>
      <c r="G26" s="81">
        <v>4003.7040000000002</v>
      </c>
      <c r="H26" s="80" t="s">
        <v>474</v>
      </c>
      <c r="I26" s="81">
        <v>1E-3</v>
      </c>
      <c r="J26" s="80" t="s">
        <v>231</v>
      </c>
      <c r="K26" s="79">
        <v>0</v>
      </c>
      <c r="L26" s="80" t="s">
        <v>231</v>
      </c>
      <c r="M26" s="81">
        <v>3982.154</v>
      </c>
      <c r="N26" s="80" t="s">
        <v>231</v>
      </c>
      <c r="O26" s="79">
        <v>0</v>
      </c>
      <c r="P26" s="80" t="s">
        <v>231</v>
      </c>
      <c r="Q26" s="81">
        <v>20.122</v>
      </c>
      <c r="R26" s="80" t="s">
        <v>231</v>
      </c>
      <c r="S26" s="79">
        <v>0</v>
      </c>
      <c r="T26" s="80" t="s">
        <v>231</v>
      </c>
      <c r="U26" s="81">
        <v>273.60300000000001</v>
      </c>
      <c r="V26" s="80" t="s">
        <v>231</v>
      </c>
      <c r="W26" s="79">
        <v>0</v>
      </c>
      <c r="X26" s="80" t="s">
        <v>231</v>
      </c>
      <c r="Y26" s="81">
        <v>272.17599999999999</v>
      </c>
      <c r="Z26" s="80" t="s">
        <v>231</v>
      </c>
      <c r="AA26" s="79">
        <v>0</v>
      </c>
      <c r="AB26" s="80" t="s">
        <v>231</v>
      </c>
      <c r="AC26" s="81">
        <v>1.427</v>
      </c>
      <c r="AD26" s="80" t="s">
        <v>231</v>
      </c>
      <c r="AE26" s="79">
        <v>0</v>
      </c>
      <c r="AF26" s="80" t="s">
        <v>231</v>
      </c>
      <c r="AG26" s="79">
        <v>0</v>
      </c>
      <c r="AH26" s="80" t="s">
        <v>231</v>
      </c>
      <c r="AI26" s="79">
        <v>0</v>
      </c>
      <c r="AJ26" s="80" t="s">
        <v>231</v>
      </c>
      <c r="AK26" s="81">
        <v>65.774000000000001</v>
      </c>
      <c r="AL26" s="80" t="s">
        <v>231</v>
      </c>
      <c r="AM26" t="s">
        <v>496</v>
      </c>
      <c r="AN26">
        <f t="shared" si="0"/>
        <v>1.1099249981353314</v>
      </c>
      <c r="AO26">
        <f t="shared" si="1"/>
        <v>1.1406120997732323E-2</v>
      </c>
      <c r="AP26">
        <f t="shared" si="2"/>
        <v>2.5890701254577668</v>
      </c>
      <c r="AQ26">
        <f t="shared" si="3"/>
        <v>0</v>
      </c>
      <c r="AR26">
        <f t="shared" si="4"/>
        <v>1.919955518470548E-5</v>
      </c>
    </row>
    <row r="27" spans="1:45" ht="16" x14ac:dyDescent="0.2">
      <c r="A27" s="78" t="s">
        <v>472</v>
      </c>
      <c r="B27" s="78" t="s">
        <v>497</v>
      </c>
      <c r="C27" s="82">
        <v>0</v>
      </c>
      <c r="D27" s="83" t="s">
        <v>231</v>
      </c>
      <c r="E27" s="82">
        <v>0</v>
      </c>
      <c r="F27" s="83" t="s">
        <v>231</v>
      </c>
      <c r="G27" s="84">
        <v>4003.7040000000002</v>
      </c>
      <c r="H27" s="83" t="s">
        <v>474</v>
      </c>
      <c r="I27" s="84">
        <v>1E-3</v>
      </c>
      <c r="J27" s="83" t="s">
        <v>231</v>
      </c>
      <c r="K27" s="82">
        <v>0</v>
      </c>
      <c r="L27" s="83" t="s">
        <v>231</v>
      </c>
      <c r="M27" s="84">
        <v>3982.154</v>
      </c>
      <c r="N27" s="83" t="s">
        <v>231</v>
      </c>
      <c r="O27" s="82">
        <v>0</v>
      </c>
      <c r="P27" s="83" t="s">
        <v>231</v>
      </c>
      <c r="Q27" s="84">
        <v>20.122</v>
      </c>
      <c r="R27" s="83" t="s">
        <v>231</v>
      </c>
      <c r="S27" s="82">
        <v>0</v>
      </c>
      <c r="T27" s="83" t="s">
        <v>231</v>
      </c>
      <c r="U27" s="84">
        <v>273.60300000000001</v>
      </c>
      <c r="V27" s="83" t="s">
        <v>231</v>
      </c>
      <c r="W27" s="82">
        <v>0</v>
      </c>
      <c r="X27" s="83" t="s">
        <v>231</v>
      </c>
      <c r="Y27" s="84">
        <v>272.17599999999999</v>
      </c>
      <c r="Z27" s="83" t="s">
        <v>231</v>
      </c>
      <c r="AA27" s="82">
        <v>0</v>
      </c>
      <c r="AB27" s="83" t="s">
        <v>231</v>
      </c>
      <c r="AC27" s="84">
        <v>1.427</v>
      </c>
      <c r="AD27" s="83" t="s">
        <v>231</v>
      </c>
      <c r="AE27" s="82">
        <v>0</v>
      </c>
      <c r="AF27" s="83" t="s">
        <v>231</v>
      </c>
      <c r="AG27" s="82">
        <v>0</v>
      </c>
      <c r="AH27" s="83" t="s">
        <v>231</v>
      </c>
      <c r="AI27" s="82">
        <v>0</v>
      </c>
      <c r="AJ27" s="83" t="s">
        <v>231</v>
      </c>
      <c r="AK27" s="84">
        <v>65.774000000000001</v>
      </c>
      <c r="AL27" s="83" t="s">
        <v>231</v>
      </c>
    </row>
    <row r="28" spans="1:45" ht="16" x14ac:dyDescent="0.2">
      <c r="A28" s="78" t="s">
        <v>472</v>
      </c>
      <c r="B28" s="78" t="s">
        <v>498</v>
      </c>
      <c r="C28" s="79">
        <v>0</v>
      </c>
      <c r="D28" s="80" t="s">
        <v>231</v>
      </c>
      <c r="E28" s="79">
        <v>0</v>
      </c>
      <c r="F28" s="80" t="s">
        <v>231</v>
      </c>
      <c r="G28" s="79">
        <v>0</v>
      </c>
      <c r="H28" s="80" t="s">
        <v>474</v>
      </c>
      <c r="I28" s="79">
        <v>0</v>
      </c>
      <c r="J28" s="80" t="s">
        <v>231</v>
      </c>
      <c r="K28" s="79">
        <v>0</v>
      </c>
      <c r="L28" s="80" t="s">
        <v>231</v>
      </c>
      <c r="M28" s="79">
        <v>0</v>
      </c>
      <c r="N28" s="80" t="s">
        <v>231</v>
      </c>
      <c r="O28" s="79">
        <v>0</v>
      </c>
      <c r="P28" s="80" t="s">
        <v>231</v>
      </c>
      <c r="Q28" s="79">
        <v>0</v>
      </c>
      <c r="R28" s="80" t="s">
        <v>231</v>
      </c>
      <c r="S28" s="79">
        <v>0</v>
      </c>
      <c r="T28" s="80" t="s">
        <v>231</v>
      </c>
      <c r="U28" s="79">
        <v>0</v>
      </c>
      <c r="V28" s="80" t="s">
        <v>231</v>
      </c>
      <c r="W28" s="79">
        <v>0</v>
      </c>
      <c r="X28" s="80" t="s">
        <v>231</v>
      </c>
      <c r="Y28" s="79">
        <v>0</v>
      </c>
      <c r="Z28" s="80" t="s">
        <v>231</v>
      </c>
      <c r="AA28" s="79">
        <v>0</v>
      </c>
      <c r="AB28" s="80" t="s">
        <v>231</v>
      </c>
      <c r="AC28" s="79">
        <v>0</v>
      </c>
      <c r="AD28" s="80" t="s">
        <v>231</v>
      </c>
      <c r="AE28" s="79">
        <v>0</v>
      </c>
      <c r="AF28" s="80" t="s">
        <v>231</v>
      </c>
      <c r="AG28" s="79">
        <v>0</v>
      </c>
      <c r="AH28" s="80" t="s">
        <v>231</v>
      </c>
      <c r="AI28" s="79">
        <v>0</v>
      </c>
      <c r="AJ28" s="80" t="s">
        <v>231</v>
      </c>
      <c r="AK28" s="79">
        <v>0</v>
      </c>
      <c r="AL28" s="80" t="s">
        <v>231</v>
      </c>
      <c r="AM28" t="s">
        <v>499</v>
      </c>
      <c r="AN28">
        <f>AR77/(AR77+AR78)*AN25</f>
        <v>86.424804882412928</v>
      </c>
      <c r="AO28">
        <f>AV35/(AV35+AV36)*AO25</f>
        <v>19.77733320292683</v>
      </c>
      <c r="AP28">
        <f>AU35/(AU35+AU36)*AP25</f>
        <v>96.857161678511105</v>
      </c>
      <c r="AR28">
        <f>AW35/(AW35+AW36)*AR25</f>
        <v>70.775224839188922</v>
      </c>
    </row>
    <row r="29" spans="1:45" ht="16" x14ac:dyDescent="0.2">
      <c r="A29" s="78" t="s">
        <v>472</v>
      </c>
      <c r="B29" s="78" t="s">
        <v>500</v>
      </c>
      <c r="C29" s="82">
        <v>0</v>
      </c>
      <c r="D29" s="83" t="s">
        <v>231</v>
      </c>
      <c r="E29" s="82">
        <v>0</v>
      </c>
      <c r="F29" s="83" t="s">
        <v>231</v>
      </c>
      <c r="G29" s="82">
        <v>0</v>
      </c>
      <c r="H29" s="83" t="s">
        <v>474</v>
      </c>
      <c r="I29" s="82">
        <v>0</v>
      </c>
      <c r="J29" s="83" t="s">
        <v>231</v>
      </c>
      <c r="K29" s="82">
        <v>0</v>
      </c>
      <c r="L29" s="83" t="s">
        <v>231</v>
      </c>
      <c r="M29" s="82">
        <v>0</v>
      </c>
      <c r="N29" s="83" t="s">
        <v>231</v>
      </c>
      <c r="O29" s="82">
        <v>0</v>
      </c>
      <c r="P29" s="83" t="s">
        <v>231</v>
      </c>
      <c r="Q29" s="82">
        <v>0</v>
      </c>
      <c r="R29" s="83" t="s">
        <v>231</v>
      </c>
      <c r="S29" s="82">
        <v>0</v>
      </c>
      <c r="T29" s="83" t="s">
        <v>231</v>
      </c>
      <c r="U29" s="82">
        <v>0</v>
      </c>
      <c r="V29" s="83" t="s">
        <v>231</v>
      </c>
      <c r="W29" s="82">
        <v>0</v>
      </c>
      <c r="X29" s="83" t="s">
        <v>231</v>
      </c>
      <c r="Y29" s="82">
        <v>0</v>
      </c>
      <c r="Z29" s="83" t="s">
        <v>231</v>
      </c>
      <c r="AA29" s="82">
        <v>0</v>
      </c>
      <c r="AB29" s="83" t="s">
        <v>231</v>
      </c>
      <c r="AC29" s="82">
        <v>0</v>
      </c>
      <c r="AD29" s="83" t="s">
        <v>231</v>
      </c>
      <c r="AE29" s="82">
        <v>0</v>
      </c>
      <c r="AF29" s="83" t="s">
        <v>231</v>
      </c>
      <c r="AG29" s="82">
        <v>0</v>
      </c>
      <c r="AH29" s="83" t="s">
        <v>231</v>
      </c>
      <c r="AI29" s="82">
        <v>0</v>
      </c>
      <c r="AJ29" s="83" t="s">
        <v>231</v>
      </c>
      <c r="AK29" s="82">
        <v>0</v>
      </c>
      <c r="AL29" s="83" t="s">
        <v>231</v>
      </c>
      <c r="AM29" t="s">
        <v>501</v>
      </c>
      <c r="AN29">
        <f>AR78/(AR78+AR77)*AN25</f>
        <v>3.6209866533753732</v>
      </c>
      <c r="AO29">
        <f>AV36/(AV36+AV35)*AO25</f>
        <v>29.648483504982774</v>
      </c>
      <c r="AP29">
        <f>AU36/(AU36+AU35)*AP25</f>
        <v>0.43171340947290288</v>
      </c>
      <c r="AR29">
        <f>AW36/(AW36+AW35)*AR25</f>
        <v>28.539331841161907</v>
      </c>
    </row>
    <row r="30" spans="1:45" ht="16" x14ac:dyDescent="0.2">
      <c r="A30" s="78" t="s">
        <v>472</v>
      </c>
      <c r="B30" s="78" t="s">
        <v>502</v>
      </c>
      <c r="C30" s="79">
        <v>0</v>
      </c>
      <c r="D30" s="80" t="s">
        <v>231</v>
      </c>
      <c r="E30" s="79">
        <v>0</v>
      </c>
      <c r="F30" s="80" t="s">
        <v>231</v>
      </c>
      <c r="G30" s="79">
        <v>0</v>
      </c>
      <c r="H30" s="80" t="s">
        <v>474</v>
      </c>
      <c r="I30" s="79">
        <v>0</v>
      </c>
      <c r="J30" s="80" t="s">
        <v>231</v>
      </c>
      <c r="K30" s="79">
        <v>0</v>
      </c>
      <c r="L30" s="80" t="s">
        <v>231</v>
      </c>
      <c r="M30" s="79">
        <v>0</v>
      </c>
      <c r="N30" s="80" t="s">
        <v>231</v>
      </c>
      <c r="O30" s="79">
        <v>0</v>
      </c>
      <c r="P30" s="80" t="s">
        <v>231</v>
      </c>
      <c r="Q30" s="79">
        <v>0</v>
      </c>
      <c r="R30" s="80" t="s">
        <v>231</v>
      </c>
      <c r="S30" s="79">
        <v>0</v>
      </c>
      <c r="T30" s="80" t="s">
        <v>231</v>
      </c>
      <c r="U30" s="79">
        <v>0</v>
      </c>
      <c r="V30" s="80" t="s">
        <v>231</v>
      </c>
      <c r="W30" s="79">
        <v>0</v>
      </c>
      <c r="X30" s="80" t="s">
        <v>231</v>
      </c>
      <c r="Y30" s="79">
        <v>0</v>
      </c>
      <c r="Z30" s="80" t="s">
        <v>231</v>
      </c>
      <c r="AA30" s="79">
        <v>0</v>
      </c>
      <c r="AB30" s="80" t="s">
        <v>231</v>
      </c>
      <c r="AC30" s="79">
        <v>0</v>
      </c>
      <c r="AD30" s="80" t="s">
        <v>231</v>
      </c>
      <c r="AE30" s="79">
        <v>0</v>
      </c>
      <c r="AF30" s="80" t="s">
        <v>231</v>
      </c>
      <c r="AG30" s="79">
        <v>0</v>
      </c>
      <c r="AH30" s="80" t="s">
        <v>231</v>
      </c>
      <c r="AI30" s="79">
        <v>0</v>
      </c>
      <c r="AJ30" s="80" t="s">
        <v>231</v>
      </c>
      <c r="AK30" s="79">
        <v>0</v>
      </c>
      <c r="AL30" s="80" t="s">
        <v>231</v>
      </c>
    </row>
    <row r="31" spans="1:45" ht="16" x14ac:dyDescent="0.2">
      <c r="A31" s="78" t="s">
        <v>472</v>
      </c>
      <c r="B31" s="78" t="s">
        <v>503</v>
      </c>
      <c r="C31" s="82">
        <v>0</v>
      </c>
      <c r="D31" s="83" t="s">
        <v>231</v>
      </c>
      <c r="E31" s="82">
        <v>0</v>
      </c>
      <c r="F31" s="83" t="s">
        <v>231</v>
      </c>
      <c r="G31" s="82">
        <v>0</v>
      </c>
      <c r="H31" s="83" t="s">
        <v>474</v>
      </c>
      <c r="I31" s="82">
        <v>0</v>
      </c>
      <c r="J31" s="83" t="s">
        <v>231</v>
      </c>
      <c r="K31" s="82">
        <v>0</v>
      </c>
      <c r="L31" s="83" t="s">
        <v>231</v>
      </c>
      <c r="M31" s="82">
        <v>0</v>
      </c>
      <c r="N31" s="83" t="s">
        <v>231</v>
      </c>
      <c r="O31" s="82">
        <v>0</v>
      </c>
      <c r="P31" s="83" t="s">
        <v>231</v>
      </c>
      <c r="Q31" s="82">
        <v>0</v>
      </c>
      <c r="R31" s="83" t="s">
        <v>231</v>
      </c>
      <c r="S31" s="82">
        <v>0</v>
      </c>
      <c r="T31" s="83" t="s">
        <v>231</v>
      </c>
      <c r="U31" s="82">
        <v>0</v>
      </c>
      <c r="V31" s="83" t="s">
        <v>231</v>
      </c>
      <c r="W31" s="82">
        <v>0</v>
      </c>
      <c r="X31" s="83" t="s">
        <v>231</v>
      </c>
      <c r="Y31" s="82">
        <v>0</v>
      </c>
      <c r="Z31" s="83" t="s">
        <v>231</v>
      </c>
      <c r="AA31" s="82">
        <v>0</v>
      </c>
      <c r="AB31" s="83" t="s">
        <v>231</v>
      </c>
      <c r="AC31" s="82">
        <v>0</v>
      </c>
      <c r="AD31" s="83" t="s">
        <v>231</v>
      </c>
      <c r="AE31" s="82">
        <v>0</v>
      </c>
      <c r="AF31" s="83" t="s">
        <v>231</v>
      </c>
      <c r="AG31" s="82">
        <v>0</v>
      </c>
      <c r="AH31" s="83" t="s">
        <v>231</v>
      </c>
      <c r="AI31" s="82">
        <v>0</v>
      </c>
      <c r="AJ31" s="83" t="s">
        <v>231</v>
      </c>
      <c r="AK31" s="82">
        <v>0</v>
      </c>
      <c r="AL31" s="83" t="s">
        <v>231</v>
      </c>
      <c r="AN31" t="s">
        <v>289</v>
      </c>
      <c r="AO31" t="s">
        <v>485</v>
      </c>
    </row>
    <row r="32" spans="1:45" ht="16" x14ac:dyDescent="0.2">
      <c r="A32" s="78" t="s">
        <v>472</v>
      </c>
      <c r="B32" s="78" t="s">
        <v>504</v>
      </c>
      <c r="C32" s="79">
        <v>0</v>
      </c>
      <c r="D32" s="80" t="s">
        <v>231</v>
      </c>
      <c r="E32" s="79">
        <v>0</v>
      </c>
      <c r="F32" s="80" t="s">
        <v>231</v>
      </c>
      <c r="G32" s="79">
        <v>0</v>
      </c>
      <c r="H32" s="80" t="s">
        <v>474</v>
      </c>
      <c r="I32" s="79">
        <v>0</v>
      </c>
      <c r="J32" s="80" t="s">
        <v>231</v>
      </c>
      <c r="K32" s="79">
        <v>0</v>
      </c>
      <c r="L32" s="80" t="s">
        <v>231</v>
      </c>
      <c r="M32" s="79">
        <v>0</v>
      </c>
      <c r="N32" s="80" t="s">
        <v>231</v>
      </c>
      <c r="O32" s="79">
        <v>0</v>
      </c>
      <c r="P32" s="80" t="s">
        <v>231</v>
      </c>
      <c r="Q32" s="79">
        <v>0</v>
      </c>
      <c r="R32" s="80" t="s">
        <v>231</v>
      </c>
      <c r="S32" s="79">
        <v>0</v>
      </c>
      <c r="T32" s="80" t="s">
        <v>231</v>
      </c>
      <c r="U32" s="79">
        <v>0</v>
      </c>
      <c r="V32" s="80" t="s">
        <v>231</v>
      </c>
      <c r="W32" s="79">
        <v>0</v>
      </c>
      <c r="X32" s="80" t="s">
        <v>231</v>
      </c>
      <c r="Y32" s="79">
        <v>0</v>
      </c>
      <c r="Z32" s="80" t="s">
        <v>231</v>
      </c>
      <c r="AA32" s="79">
        <v>0</v>
      </c>
      <c r="AB32" s="80" t="s">
        <v>231</v>
      </c>
      <c r="AC32" s="79">
        <v>0</v>
      </c>
      <c r="AD32" s="80" t="s">
        <v>231</v>
      </c>
      <c r="AE32" s="79">
        <v>0</v>
      </c>
      <c r="AF32" s="80" t="s">
        <v>231</v>
      </c>
      <c r="AG32" s="79">
        <v>0</v>
      </c>
      <c r="AH32" s="80" t="s">
        <v>231</v>
      </c>
      <c r="AI32" s="79">
        <v>0</v>
      </c>
      <c r="AJ32" s="80" t="s">
        <v>231</v>
      </c>
      <c r="AK32" s="79">
        <v>0</v>
      </c>
      <c r="AL32" s="80" t="s">
        <v>231</v>
      </c>
      <c r="AM32" t="s">
        <v>505</v>
      </c>
      <c r="AN32">
        <f>G36/(G36+G58)*100</f>
        <v>48.183767670185105</v>
      </c>
      <c r="AO32" s="85">
        <f>(AK13+AK36)/AK12*100</f>
        <v>82.04523850490304</v>
      </c>
    </row>
    <row r="33" spans="1:49" ht="16" x14ac:dyDescent="0.2">
      <c r="A33" s="78" t="s">
        <v>472</v>
      </c>
      <c r="B33" s="78" t="s">
        <v>506</v>
      </c>
      <c r="C33" s="82">
        <v>0</v>
      </c>
      <c r="D33" s="83" t="s">
        <v>231</v>
      </c>
      <c r="E33" s="82">
        <v>0</v>
      </c>
      <c r="F33" s="83" t="s">
        <v>231</v>
      </c>
      <c r="G33" s="82">
        <v>0</v>
      </c>
      <c r="H33" s="83" t="s">
        <v>474</v>
      </c>
      <c r="I33" s="82">
        <v>0</v>
      </c>
      <c r="J33" s="83" t="s">
        <v>231</v>
      </c>
      <c r="K33" s="82">
        <v>0</v>
      </c>
      <c r="L33" s="83" t="s">
        <v>231</v>
      </c>
      <c r="M33" s="82">
        <v>0</v>
      </c>
      <c r="N33" s="83" t="s">
        <v>231</v>
      </c>
      <c r="O33" s="82">
        <v>0</v>
      </c>
      <c r="P33" s="83" t="s">
        <v>231</v>
      </c>
      <c r="Q33" s="82">
        <v>0</v>
      </c>
      <c r="R33" s="83" t="s">
        <v>231</v>
      </c>
      <c r="S33" s="82">
        <v>0</v>
      </c>
      <c r="T33" s="83" t="s">
        <v>231</v>
      </c>
      <c r="U33" s="82">
        <v>0</v>
      </c>
      <c r="V33" s="83" t="s">
        <v>231</v>
      </c>
      <c r="W33" s="82">
        <v>0</v>
      </c>
      <c r="X33" s="83" t="s">
        <v>231</v>
      </c>
      <c r="Y33" s="82">
        <v>0</v>
      </c>
      <c r="Z33" s="83" t="s">
        <v>231</v>
      </c>
      <c r="AA33" s="82">
        <v>0</v>
      </c>
      <c r="AB33" s="83" t="s">
        <v>231</v>
      </c>
      <c r="AC33" s="82">
        <v>0</v>
      </c>
      <c r="AD33" s="83" t="s">
        <v>231</v>
      </c>
      <c r="AE33" s="82">
        <v>0</v>
      </c>
      <c r="AF33" s="83" t="s">
        <v>231</v>
      </c>
      <c r="AG33" s="82">
        <v>0</v>
      </c>
      <c r="AH33" s="83" t="s">
        <v>231</v>
      </c>
      <c r="AI33" s="82">
        <v>0</v>
      </c>
      <c r="AJ33" s="83" t="s">
        <v>231</v>
      </c>
      <c r="AK33" s="82">
        <v>0</v>
      </c>
      <c r="AL33" s="83" t="s">
        <v>231</v>
      </c>
      <c r="AM33" t="s">
        <v>507</v>
      </c>
      <c r="AN33">
        <f>G58/(G58+G36)*100</f>
        <v>51.816232329814895</v>
      </c>
      <c r="AO33">
        <f>AK58/AK12*100</f>
        <v>10.175932243973509</v>
      </c>
      <c r="AS33" t="s">
        <v>508</v>
      </c>
    </row>
    <row r="34" spans="1:49" ht="16" x14ac:dyDescent="0.2">
      <c r="A34" s="78" t="s">
        <v>509</v>
      </c>
      <c r="B34" s="78" t="s">
        <v>473</v>
      </c>
      <c r="C34" s="80" t="s">
        <v>510</v>
      </c>
      <c r="D34" s="80" t="s">
        <v>231</v>
      </c>
      <c r="E34" s="80" t="s">
        <v>510</v>
      </c>
      <c r="F34" s="80" t="s">
        <v>231</v>
      </c>
      <c r="G34" s="80" t="s">
        <v>510</v>
      </c>
      <c r="H34" s="80" t="s">
        <v>231</v>
      </c>
      <c r="I34" s="80" t="s">
        <v>510</v>
      </c>
      <c r="J34" s="80" t="s">
        <v>231</v>
      </c>
      <c r="K34" s="80" t="s">
        <v>510</v>
      </c>
      <c r="L34" s="80" t="s">
        <v>231</v>
      </c>
      <c r="M34" s="80" t="s">
        <v>510</v>
      </c>
      <c r="N34" s="80" t="s">
        <v>231</v>
      </c>
      <c r="O34" s="80" t="s">
        <v>510</v>
      </c>
      <c r="P34" s="80" t="s">
        <v>231</v>
      </c>
      <c r="Q34" s="80" t="s">
        <v>510</v>
      </c>
      <c r="R34" s="80" t="s">
        <v>231</v>
      </c>
      <c r="S34" s="80" t="s">
        <v>510</v>
      </c>
      <c r="T34" s="80" t="s">
        <v>231</v>
      </c>
      <c r="U34" s="80" t="s">
        <v>510</v>
      </c>
      <c r="V34" s="80" t="s">
        <v>231</v>
      </c>
      <c r="W34" s="80" t="s">
        <v>510</v>
      </c>
      <c r="X34" s="80" t="s">
        <v>231</v>
      </c>
      <c r="Y34" s="80" t="s">
        <v>510</v>
      </c>
      <c r="Z34" s="80" t="s">
        <v>231</v>
      </c>
      <c r="AA34" s="80" t="s">
        <v>510</v>
      </c>
      <c r="AB34" s="80" t="s">
        <v>231</v>
      </c>
      <c r="AC34" s="80" t="s">
        <v>510</v>
      </c>
      <c r="AD34" s="80" t="s">
        <v>231</v>
      </c>
      <c r="AE34" s="80" t="s">
        <v>510</v>
      </c>
      <c r="AF34" s="80" t="s">
        <v>231</v>
      </c>
      <c r="AG34" s="80" t="s">
        <v>510</v>
      </c>
      <c r="AH34" s="80" t="s">
        <v>231</v>
      </c>
      <c r="AI34" s="80" t="s">
        <v>510</v>
      </c>
      <c r="AJ34" s="80" t="s">
        <v>231</v>
      </c>
      <c r="AK34" s="80" t="s">
        <v>510</v>
      </c>
      <c r="AL34" s="80" t="s">
        <v>231</v>
      </c>
      <c r="AM34" t="s">
        <v>511</v>
      </c>
      <c r="AO34">
        <f>AK15/AK12*100</f>
        <v>7.7788128956790885</v>
      </c>
      <c r="AT34" t="s">
        <v>485</v>
      </c>
      <c r="AU34" t="s">
        <v>486</v>
      </c>
      <c r="AV34" t="s">
        <v>289</v>
      </c>
      <c r="AW34" t="s">
        <v>294</v>
      </c>
    </row>
    <row r="35" spans="1:49" ht="16" x14ac:dyDescent="0.2">
      <c r="A35" s="78" t="s">
        <v>509</v>
      </c>
      <c r="B35" s="78" t="s">
        <v>475</v>
      </c>
      <c r="C35" s="83" t="s">
        <v>510</v>
      </c>
      <c r="D35" s="83" t="s">
        <v>231</v>
      </c>
      <c r="E35" s="83" t="s">
        <v>510</v>
      </c>
      <c r="F35" s="83" t="s">
        <v>231</v>
      </c>
      <c r="G35" s="83" t="s">
        <v>510</v>
      </c>
      <c r="H35" s="83" t="s">
        <v>231</v>
      </c>
      <c r="I35" s="83" t="s">
        <v>510</v>
      </c>
      <c r="J35" s="83" t="s">
        <v>231</v>
      </c>
      <c r="K35" s="83" t="s">
        <v>510</v>
      </c>
      <c r="L35" s="83" t="s">
        <v>231</v>
      </c>
      <c r="M35" s="83" t="s">
        <v>510</v>
      </c>
      <c r="N35" s="83" t="s">
        <v>231</v>
      </c>
      <c r="O35" s="83" t="s">
        <v>510</v>
      </c>
      <c r="P35" s="83" t="s">
        <v>231</v>
      </c>
      <c r="Q35" s="83" t="s">
        <v>510</v>
      </c>
      <c r="R35" s="83" t="s">
        <v>231</v>
      </c>
      <c r="S35" s="83" t="s">
        <v>510</v>
      </c>
      <c r="T35" s="83" t="s">
        <v>231</v>
      </c>
      <c r="U35" s="83" t="s">
        <v>510</v>
      </c>
      <c r="V35" s="83" t="s">
        <v>231</v>
      </c>
      <c r="W35" s="83" t="s">
        <v>510</v>
      </c>
      <c r="X35" s="83" t="s">
        <v>231</v>
      </c>
      <c r="Y35" s="83" t="s">
        <v>510</v>
      </c>
      <c r="Z35" s="83" t="s">
        <v>231</v>
      </c>
      <c r="AA35" s="83" t="s">
        <v>510</v>
      </c>
      <c r="AB35" s="83" t="s">
        <v>231</v>
      </c>
      <c r="AC35" s="83" t="s">
        <v>510</v>
      </c>
      <c r="AD35" s="83" t="s">
        <v>231</v>
      </c>
      <c r="AE35" s="83" t="s">
        <v>510</v>
      </c>
      <c r="AF35" s="83" t="s">
        <v>231</v>
      </c>
      <c r="AG35" s="83" t="s">
        <v>510</v>
      </c>
      <c r="AH35" s="83" t="s">
        <v>231</v>
      </c>
      <c r="AI35" s="83" t="s">
        <v>510</v>
      </c>
      <c r="AJ35" s="83" t="s">
        <v>231</v>
      </c>
      <c r="AK35" s="83" t="s">
        <v>510</v>
      </c>
      <c r="AL35" s="83" t="s">
        <v>231</v>
      </c>
      <c r="AS35" t="s">
        <v>512</v>
      </c>
      <c r="AU35">
        <v>12870250000</v>
      </c>
      <c r="AV35">
        <v>2542692000</v>
      </c>
      <c r="AW35">
        <v>224099100</v>
      </c>
    </row>
    <row r="36" spans="1:49" ht="16" x14ac:dyDescent="0.2">
      <c r="A36" s="78" t="s">
        <v>509</v>
      </c>
      <c r="B36" s="78" t="s">
        <v>476</v>
      </c>
      <c r="C36" s="79">
        <v>0</v>
      </c>
      <c r="D36" s="80" t="s">
        <v>231</v>
      </c>
      <c r="E36" s="79">
        <v>0</v>
      </c>
      <c r="F36" s="80" t="s">
        <v>231</v>
      </c>
      <c r="G36" s="81">
        <v>427.36399999999998</v>
      </c>
      <c r="H36" s="80" t="s">
        <v>474</v>
      </c>
      <c r="I36" s="79">
        <v>0</v>
      </c>
      <c r="J36" s="80" t="s">
        <v>231</v>
      </c>
      <c r="K36" s="79">
        <v>0</v>
      </c>
      <c r="L36" s="80" t="s">
        <v>231</v>
      </c>
      <c r="M36" s="79">
        <v>0</v>
      </c>
      <c r="N36" s="80" t="s">
        <v>231</v>
      </c>
      <c r="O36" s="79">
        <v>0</v>
      </c>
      <c r="P36" s="80" t="s">
        <v>231</v>
      </c>
      <c r="Q36" s="79">
        <v>0</v>
      </c>
      <c r="R36" s="80" t="s">
        <v>231</v>
      </c>
      <c r="S36" s="79">
        <v>0</v>
      </c>
      <c r="T36" s="80" t="s">
        <v>231</v>
      </c>
      <c r="U36" s="81">
        <v>0.73299999999999998</v>
      </c>
      <c r="V36" s="80" t="s">
        <v>231</v>
      </c>
      <c r="W36" s="79">
        <v>0</v>
      </c>
      <c r="X36" s="80" t="s">
        <v>231</v>
      </c>
      <c r="Y36" s="79">
        <v>0</v>
      </c>
      <c r="Z36" s="80" t="s">
        <v>231</v>
      </c>
      <c r="AA36" s="79">
        <v>0</v>
      </c>
      <c r="AB36" s="80" t="s">
        <v>231</v>
      </c>
      <c r="AC36" s="79">
        <v>0</v>
      </c>
      <c r="AD36" s="80" t="s">
        <v>231</v>
      </c>
      <c r="AE36" s="79">
        <v>0</v>
      </c>
      <c r="AF36" s="80" t="s">
        <v>231</v>
      </c>
      <c r="AG36" s="79">
        <v>0</v>
      </c>
      <c r="AH36" s="80" t="s">
        <v>231</v>
      </c>
      <c r="AI36" s="79">
        <v>0</v>
      </c>
      <c r="AJ36" s="80" t="s">
        <v>231</v>
      </c>
      <c r="AK36" s="81">
        <v>4803.116</v>
      </c>
      <c r="AL36" s="80" t="s">
        <v>231</v>
      </c>
      <c r="AS36" t="s">
        <v>501</v>
      </c>
      <c r="AU36">
        <v>57365500</v>
      </c>
      <c r="AV36">
        <v>3811786000</v>
      </c>
      <c r="AW36">
        <v>90365500</v>
      </c>
    </row>
    <row r="37" spans="1:49" ht="16" x14ac:dyDescent="0.2">
      <c r="A37" s="78" t="s">
        <v>509</v>
      </c>
      <c r="B37" s="78" t="s">
        <v>477</v>
      </c>
      <c r="C37" s="83" t="s">
        <v>510</v>
      </c>
      <c r="D37" s="83" t="s">
        <v>231</v>
      </c>
      <c r="E37" s="83" t="s">
        <v>510</v>
      </c>
      <c r="F37" s="83" t="s">
        <v>231</v>
      </c>
      <c r="G37" s="83" t="s">
        <v>510</v>
      </c>
      <c r="H37" s="83" t="s">
        <v>231</v>
      </c>
      <c r="I37" s="83" t="s">
        <v>510</v>
      </c>
      <c r="J37" s="83" t="s">
        <v>231</v>
      </c>
      <c r="K37" s="83" t="s">
        <v>510</v>
      </c>
      <c r="L37" s="83" t="s">
        <v>231</v>
      </c>
      <c r="M37" s="83" t="s">
        <v>510</v>
      </c>
      <c r="N37" s="83" t="s">
        <v>231</v>
      </c>
      <c r="O37" s="83" t="s">
        <v>510</v>
      </c>
      <c r="P37" s="83" t="s">
        <v>231</v>
      </c>
      <c r="Q37" s="83" t="s">
        <v>510</v>
      </c>
      <c r="R37" s="83" t="s">
        <v>231</v>
      </c>
      <c r="S37" s="83" t="s">
        <v>510</v>
      </c>
      <c r="T37" s="83" t="s">
        <v>231</v>
      </c>
      <c r="U37" s="83" t="s">
        <v>510</v>
      </c>
      <c r="V37" s="83" t="s">
        <v>231</v>
      </c>
      <c r="W37" s="83" t="s">
        <v>510</v>
      </c>
      <c r="X37" s="83" t="s">
        <v>231</v>
      </c>
      <c r="Y37" s="83" t="s">
        <v>510</v>
      </c>
      <c r="Z37" s="83" t="s">
        <v>231</v>
      </c>
      <c r="AA37" s="83" t="s">
        <v>510</v>
      </c>
      <c r="AB37" s="83" t="s">
        <v>231</v>
      </c>
      <c r="AC37" s="83" t="s">
        <v>510</v>
      </c>
      <c r="AD37" s="83" t="s">
        <v>231</v>
      </c>
      <c r="AE37" s="83" t="s">
        <v>510</v>
      </c>
      <c r="AF37" s="83" t="s">
        <v>231</v>
      </c>
      <c r="AG37" s="83" t="s">
        <v>510</v>
      </c>
      <c r="AH37" s="83" t="s">
        <v>231</v>
      </c>
      <c r="AI37" s="83" t="s">
        <v>510</v>
      </c>
      <c r="AJ37" s="83" t="s">
        <v>231</v>
      </c>
      <c r="AK37" s="83" t="s">
        <v>510</v>
      </c>
      <c r="AL37" s="83" t="s">
        <v>231</v>
      </c>
      <c r="AM37" t="s">
        <v>513</v>
      </c>
      <c r="AN37">
        <v>18200</v>
      </c>
    </row>
    <row r="38" spans="1:49" ht="16" x14ac:dyDescent="0.2">
      <c r="A38" s="78" t="s">
        <v>509</v>
      </c>
      <c r="B38" s="78" t="s">
        <v>478</v>
      </c>
      <c r="C38" s="80" t="s">
        <v>510</v>
      </c>
      <c r="D38" s="80" t="s">
        <v>231</v>
      </c>
      <c r="E38" s="80" t="s">
        <v>510</v>
      </c>
      <c r="F38" s="80" t="s">
        <v>231</v>
      </c>
      <c r="G38" s="80" t="s">
        <v>510</v>
      </c>
      <c r="H38" s="80" t="s">
        <v>231</v>
      </c>
      <c r="I38" s="80" t="s">
        <v>510</v>
      </c>
      <c r="J38" s="80" t="s">
        <v>231</v>
      </c>
      <c r="K38" s="80" t="s">
        <v>510</v>
      </c>
      <c r="L38" s="80" t="s">
        <v>231</v>
      </c>
      <c r="M38" s="80" t="s">
        <v>510</v>
      </c>
      <c r="N38" s="80" t="s">
        <v>231</v>
      </c>
      <c r="O38" s="80" t="s">
        <v>510</v>
      </c>
      <c r="P38" s="80" t="s">
        <v>231</v>
      </c>
      <c r="Q38" s="80" t="s">
        <v>510</v>
      </c>
      <c r="R38" s="80" t="s">
        <v>231</v>
      </c>
      <c r="S38" s="80" t="s">
        <v>510</v>
      </c>
      <c r="T38" s="80" t="s">
        <v>231</v>
      </c>
      <c r="U38" s="80" t="s">
        <v>510</v>
      </c>
      <c r="V38" s="80" t="s">
        <v>231</v>
      </c>
      <c r="W38" s="80" t="s">
        <v>510</v>
      </c>
      <c r="X38" s="80" t="s">
        <v>231</v>
      </c>
      <c r="Y38" s="80" t="s">
        <v>510</v>
      </c>
      <c r="Z38" s="80" t="s">
        <v>231</v>
      </c>
      <c r="AA38" s="80" t="s">
        <v>510</v>
      </c>
      <c r="AB38" s="80" t="s">
        <v>231</v>
      </c>
      <c r="AC38" s="80" t="s">
        <v>510</v>
      </c>
      <c r="AD38" s="80" t="s">
        <v>231</v>
      </c>
      <c r="AE38" s="80" t="s">
        <v>510</v>
      </c>
      <c r="AF38" s="80" t="s">
        <v>231</v>
      </c>
      <c r="AG38" s="80" t="s">
        <v>510</v>
      </c>
      <c r="AH38" s="80" t="s">
        <v>231</v>
      </c>
      <c r="AI38" s="80" t="s">
        <v>510</v>
      </c>
      <c r="AJ38" s="80" t="s">
        <v>231</v>
      </c>
      <c r="AK38" s="80" t="s">
        <v>510</v>
      </c>
      <c r="AL38" s="80" t="s">
        <v>231</v>
      </c>
    </row>
    <row r="39" spans="1:49" ht="16" x14ac:dyDescent="0.2">
      <c r="A39" s="78" t="s">
        <v>509</v>
      </c>
      <c r="B39" s="78" t="s">
        <v>479</v>
      </c>
      <c r="C39" s="83" t="s">
        <v>510</v>
      </c>
      <c r="D39" s="83" t="s">
        <v>231</v>
      </c>
      <c r="E39" s="83" t="s">
        <v>510</v>
      </c>
      <c r="F39" s="83" t="s">
        <v>231</v>
      </c>
      <c r="G39" s="83" t="s">
        <v>510</v>
      </c>
      <c r="H39" s="83" t="s">
        <v>231</v>
      </c>
      <c r="I39" s="83" t="s">
        <v>510</v>
      </c>
      <c r="J39" s="83" t="s">
        <v>231</v>
      </c>
      <c r="K39" s="83" t="s">
        <v>510</v>
      </c>
      <c r="L39" s="83" t="s">
        <v>231</v>
      </c>
      <c r="M39" s="83" t="s">
        <v>510</v>
      </c>
      <c r="N39" s="83" t="s">
        <v>231</v>
      </c>
      <c r="O39" s="83" t="s">
        <v>510</v>
      </c>
      <c r="P39" s="83" t="s">
        <v>231</v>
      </c>
      <c r="Q39" s="83" t="s">
        <v>510</v>
      </c>
      <c r="R39" s="83" t="s">
        <v>231</v>
      </c>
      <c r="S39" s="83" t="s">
        <v>510</v>
      </c>
      <c r="T39" s="83" t="s">
        <v>231</v>
      </c>
      <c r="U39" s="83" t="s">
        <v>510</v>
      </c>
      <c r="V39" s="83" t="s">
        <v>231</v>
      </c>
      <c r="W39" s="83" t="s">
        <v>510</v>
      </c>
      <c r="X39" s="83" t="s">
        <v>231</v>
      </c>
      <c r="Y39" s="83" t="s">
        <v>510</v>
      </c>
      <c r="Z39" s="83" t="s">
        <v>231</v>
      </c>
      <c r="AA39" s="83" t="s">
        <v>510</v>
      </c>
      <c r="AB39" s="83" t="s">
        <v>231</v>
      </c>
      <c r="AC39" s="83" t="s">
        <v>510</v>
      </c>
      <c r="AD39" s="83" t="s">
        <v>231</v>
      </c>
      <c r="AE39" s="83" t="s">
        <v>510</v>
      </c>
      <c r="AF39" s="83" t="s">
        <v>231</v>
      </c>
      <c r="AG39" s="83" t="s">
        <v>510</v>
      </c>
      <c r="AH39" s="83" t="s">
        <v>231</v>
      </c>
      <c r="AI39" s="83" t="s">
        <v>510</v>
      </c>
      <c r="AJ39" s="83" t="s">
        <v>231</v>
      </c>
      <c r="AK39" s="83" t="s">
        <v>510</v>
      </c>
      <c r="AL39" s="83" t="s">
        <v>231</v>
      </c>
    </row>
    <row r="40" spans="1:49" ht="16" x14ac:dyDescent="0.2">
      <c r="A40" s="78" t="s">
        <v>509</v>
      </c>
      <c r="B40" s="78" t="s">
        <v>480</v>
      </c>
      <c r="C40" s="80" t="s">
        <v>510</v>
      </c>
      <c r="D40" s="80" t="s">
        <v>231</v>
      </c>
      <c r="E40" s="80" t="s">
        <v>510</v>
      </c>
      <c r="F40" s="80" t="s">
        <v>231</v>
      </c>
      <c r="G40" s="80" t="s">
        <v>510</v>
      </c>
      <c r="H40" s="80" t="s">
        <v>231</v>
      </c>
      <c r="I40" s="80" t="s">
        <v>510</v>
      </c>
      <c r="J40" s="80" t="s">
        <v>231</v>
      </c>
      <c r="K40" s="80" t="s">
        <v>510</v>
      </c>
      <c r="L40" s="80" t="s">
        <v>231</v>
      </c>
      <c r="M40" s="80" t="s">
        <v>510</v>
      </c>
      <c r="N40" s="80" t="s">
        <v>231</v>
      </c>
      <c r="O40" s="80" t="s">
        <v>510</v>
      </c>
      <c r="P40" s="80" t="s">
        <v>231</v>
      </c>
      <c r="Q40" s="80" t="s">
        <v>510</v>
      </c>
      <c r="R40" s="80" t="s">
        <v>231</v>
      </c>
      <c r="S40" s="80" t="s">
        <v>510</v>
      </c>
      <c r="T40" s="80" t="s">
        <v>231</v>
      </c>
      <c r="U40" s="80" t="s">
        <v>510</v>
      </c>
      <c r="V40" s="80" t="s">
        <v>231</v>
      </c>
      <c r="W40" s="80" t="s">
        <v>510</v>
      </c>
      <c r="X40" s="80" t="s">
        <v>231</v>
      </c>
      <c r="Y40" s="80" t="s">
        <v>510</v>
      </c>
      <c r="Z40" s="80" t="s">
        <v>231</v>
      </c>
      <c r="AA40" s="80" t="s">
        <v>510</v>
      </c>
      <c r="AB40" s="80" t="s">
        <v>231</v>
      </c>
      <c r="AC40" s="80" t="s">
        <v>510</v>
      </c>
      <c r="AD40" s="80" t="s">
        <v>231</v>
      </c>
      <c r="AE40" s="80" t="s">
        <v>510</v>
      </c>
      <c r="AF40" s="80" t="s">
        <v>231</v>
      </c>
      <c r="AG40" s="80" t="s">
        <v>510</v>
      </c>
      <c r="AH40" s="80" t="s">
        <v>231</v>
      </c>
      <c r="AI40" s="80" t="s">
        <v>510</v>
      </c>
      <c r="AJ40" s="80" t="s">
        <v>231</v>
      </c>
      <c r="AK40" s="80" t="s">
        <v>510</v>
      </c>
      <c r="AL40" s="80" t="s">
        <v>231</v>
      </c>
    </row>
    <row r="41" spans="1:49" ht="16" x14ac:dyDescent="0.2">
      <c r="A41" s="78" t="s">
        <v>509</v>
      </c>
      <c r="B41" s="78" t="s">
        <v>481</v>
      </c>
      <c r="C41" s="82">
        <v>0</v>
      </c>
      <c r="D41" s="83" t="s">
        <v>231</v>
      </c>
      <c r="E41" s="82">
        <v>0</v>
      </c>
      <c r="F41" s="83" t="s">
        <v>231</v>
      </c>
      <c r="G41" s="82">
        <v>0</v>
      </c>
      <c r="H41" s="83" t="s">
        <v>474</v>
      </c>
      <c r="I41" s="82">
        <v>0</v>
      </c>
      <c r="J41" s="83" t="s">
        <v>231</v>
      </c>
      <c r="K41" s="82">
        <v>0</v>
      </c>
      <c r="L41" s="83" t="s">
        <v>231</v>
      </c>
      <c r="M41" s="82">
        <v>0</v>
      </c>
      <c r="N41" s="83" t="s">
        <v>231</v>
      </c>
      <c r="O41" s="82">
        <v>0</v>
      </c>
      <c r="P41" s="83" t="s">
        <v>231</v>
      </c>
      <c r="Q41" s="82">
        <v>0</v>
      </c>
      <c r="R41" s="83" t="s">
        <v>231</v>
      </c>
      <c r="S41" s="82">
        <v>0</v>
      </c>
      <c r="T41" s="83" t="s">
        <v>231</v>
      </c>
      <c r="U41" s="82">
        <v>0</v>
      </c>
      <c r="V41" s="83" t="s">
        <v>231</v>
      </c>
      <c r="W41" s="82">
        <v>0</v>
      </c>
      <c r="X41" s="83" t="s">
        <v>231</v>
      </c>
      <c r="Y41" s="82">
        <v>0</v>
      </c>
      <c r="Z41" s="83" t="s">
        <v>231</v>
      </c>
      <c r="AA41" s="82">
        <v>0</v>
      </c>
      <c r="AB41" s="83" t="s">
        <v>231</v>
      </c>
      <c r="AC41" s="82">
        <v>0</v>
      </c>
      <c r="AD41" s="83" t="s">
        <v>231</v>
      </c>
      <c r="AE41" s="82">
        <v>0</v>
      </c>
      <c r="AF41" s="83" t="s">
        <v>231</v>
      </c>
      <c r="AG41" s="82">
        <v>0</v>
      </c>
      <c r="AH41" s="83" t="s">
        <v>231</v>
      </c>
      <c r="AI41" s="82">
        <v>0</v>
      </c>
      <c r="AJ41" s="83" t="s">
        <v>231</v>
      </c>
      <c r="AK41" s="82">
        <v>0</v>
      </c>
      <c r="AL41" s="83" t="s">
        <v>231</v>
      </c>
    </row>
    <row r="42" spans="1:49" ht="16" x14ac:dyDescent="0.2">
      <c r="A42" s="78" t="s">
        <v>509</v>
      </c>
      <c r="B42" s="78" t="s">
        <v>482</v>
      </c>
      <c r="C42" s="80" t="s">
        <v>510</v>
      </c>
      <c r="D42" s="80" t="s">
        <v>231</v>
      </c>
      <c r="E42" s="80" t="s">
        <v>510</v>
      </c>
      <c r="F42" s="80" t="s">
        <v>231</v>
      </c>
      <c r="G42" s="80" t="s">
        <v>510</v>
      </c>
      <c r="H42" s="80" t="s">
        <v>231</v>
      </c>
      <c r="I42" s="80" t="s">
        <v>510</v>
      </c>
      <c r="J42" s="80" t="s">
        <v>231</v>
      </c>
      <c r="K42" s="80" t="s">
        <v>510</v>
      </c>
      <c r="L42" s="80" t="s">
        <v>231</v>
      </c>
      <c r="M42" s="80" t="s">
        <v>510</v>
      </c>
      <c r="N42" s="80" t="s">
        <v>231</v>
      </c>
      <c r="O42" s="80" t="s">
        <v>510</v>
      </c>
      <c r="P42" s="80" t="s">
        <v>231</v>
      </c>
      <c r="Q42" s="80" t="s">
        <v>510</v>
      </c>
      <c r="R42" s="80" t="s">
        <v>231</v>
      </c>
      <c r="S42" s="80" t="s">
        <v>510</v>
      </c>
      <c r="T42" s="80" t="s">
        <v>231</v>
      </c>
      <c r="U42" s="80" t="s">
        <v>510</v>
      </c>
      <c r="V42" s="80" t="s">
        <v>231</v>
      </c>
      <c r="W42" s="80" t="s">
        <v>510</v>
      </c>
      <c r="X42" s="80" t="s">
        <v>231</v>
      </c>
      <c r="Y42" s="80" t="s">
        <v>510</v>
      </c>
      <c r="Z42" s="80" t="s">
        <v>231</v>
      </c>
      <c r="AA42" s="80" t="s">
        <v>510</v>
      </c>
      <c r="AB42" s="80" t="s">
        <v>231</v>
      </c>
      <c r="AC42" s="80" t="s">
        <v>510</v>
      </c>
      <c r="AD42" s="80" t="s">
        <v>231</v>
      </c>
      <c r="AE42" s="80" t="s">
        <v>510</v>
      </c>
      <c r="AF42" s="80" t="s">
        <v>231</v>
      </c>
      <c r="AG42" s="80" t="s">
        <v>510</v>
      </c>
      <c r="AH42" s="80" t="s">
        <v>231</v>
      </c>
      <c r="AI42" s="80" t="s">
        <v>510</v>
      </c>
      <c r="AJ42" s="80" t="s">
        <v>231</v>
      </c>
      <c r="AK42" s="80" t="s">
        <v>510</v>
      </c>
      <c r="AL42" s="80" t="s">
        <v>231</v>
      </c>
    </row>
    <row r="43" spans="1:49" ht="16" x14ac:dyDescent="0.2">
      <c r="A43" s="78" t="s">
        <v>509</v>
      </c>
      <c r="B43" s="78" t="s">
        <v>483</v>
      </c>
      <c r="C43" s="83" t="s">
        <v>510</v>
      </c>
      <c r="D43" s="83" t="s">
        <v>231</v>
      </c>
      <c r="E43" s="83" t="s">
        <v>510</v>
      </c>
      <c r="F43" s="83" t="s">
        <v>231</v>
      </c>
      <c r="G43" s="83" t="s">
        <v>510</v>
      </c>
      <c r="H43" s="83" t="s">
        <v>231</v>
      </c>
      <c r="I43" s="83" t="s">
        <v>510</v>
      </c>
      <c r="J43" s="83" t="s">
        <v>231</v>
      </c>
      <c r="K43" s="83" t="s">
        <v>510</v>
      </c>
      <c r="L43" s="83" t="s">
        <v>231</v>
      </c>
      <c r="M43" s="83" t="s">
        <v>510</v>
      </c>
      <c r="N43" s="83" t="s">
        <v>231</v>
      </c>
      <c r="O43" s="83" t="s">
        <v>510</v>
      </c>
      <c r="P43" s="83" t="s">
        <v>231</v>
      </c>
      <c r="Q43" s="83" t="s">
        <v>510</v>
      </c>
      <c r="R43" s="83" t="s">
        <v>231</v>
      </c>
      <c r="S43" s="83" t="s">
        <v>510</v>
      </c>
      <c r="T43" s="83" t="s">
        <v>231</v>
      </c>
      <c r="U43" s="83" t="s">
        <v>510</v>
      </c>
      <c r="V43" s="83" t="s">
        <v>231</v>
      </c>
      <c r="W43" s="83" t="s">
        <v>510</v>
      </c>
      <c r="X43" s="83" t="s">
        <v>231</v>
      </c>
      <c r="Y43" s="83" t="s">
        <v>510</v>
      </c>
      <c r="Z43" s="83" t="s">
        <v>231</v>
      </c>
      <c r="AA43" s="83" t="s">
        <v>510</v>
      </c>
      <c r="AB43" s="83" t="s">
        <v>231</v>
      </c>
      <c r="AC43" s="83" t="s">
        <v>510</v>
      </c>
      <c r="AD43" s="83" t="s">
        <v>231</v>
      </c>
      <c r="AE43" s="83" t="s">
        <v>510</v>
      </c>
      <c r="AF43" s="83" t="s">
        <v>231</v>
      </c>
      <c r="AG43" s="83" t="s">
        <v>510</v>
      </c>
      <c r="AH43" s="83" t="s">
        <v>231</v>
      </c>
      <c r="AI43" s="83" t="s">
        <v>510</v>
      </c>
      <c r="AJ43" s="83" t="s">
        <v>231</v>
      </c>
      <c r="AK43" s="83" t="s">
        <v>510</v>
      </c>
      <c r="AL43" s="83" t="s">
        <v>231</v>
      </c>
    </row>
    <row r="44" spans="1:49" ht="16" x14ac:dyDescent="0.2">
      <c r="A44" s="78" t="s">
        <v>509</v>
      </c>
      <c r="B44" s="78" t="s">
        <v>484</v>
      </c>
      <c r="C44" s="80" t="s">
        <v>510</v>
      </c>
      <c r="D44" s="80" t="s">
        <v>231</v>
      </c>
      <c r="E44" s="80" t="s">
        <v>510</v>
      </c>
      <c r="F44" s="80" t="s">
        <v>231</v>
      </c>
      <c r="G44" s="80" t="s">
        <v>510</v>
      </c>
      <c r="H44" s="80" t="s">
        <v>231</v>
      </c>
      <c r="I44" s="80" t="s">
        <v>510</v>
      </c>
      <c r="J44" s="80" t="s">
        <v>231</v>
      </c>
      <c r="K44" s="80" t="s">
        <v>510</v>
      </c>
      <c r="L44" s="80" t="s">
        <v>231</v>
      </c>
      <c r="M44" s="80" t="s">
        <v>510</v>
      </c>
      <c r="N44" s="80" t="s">
        <v>231</v>
      </c>
      <c r="O44" s="80" t="s">
        <v>510</v>
      </c>
      <c r="P44" s="80" t="s">
        <v>231</v>
      </c>
      <c r="Q44" s="80" t="s">
        <v>510</v>
      </c>
      <c r="R44" s="80" t="s">
        <v>231</v>
      </c>
      <c r="S44" s="80" t="s">
        <v>510</v>
      </c>
      <c r="T44" s="80" t="s">
        <v>231</v>
      </c>
      <c r="U44" s="80" t="s">
        <v>510</v>
      </c>
      <c r="V44" s="80" t="s">
        <v>231</v>
      </c>
      <c r="W44" s="80" t="s">
        <v>510</v>
      </c>
      <c r="X44" s="80" t="s">
        <v>231</v>
      </c>
      <c r="Y44" s="80" t="s">
        <v>510</v>
      </c>
      <c r="Z44" s="80" t="s">
        <v>231</v>
      </c>
      <c r="AA44" s="80" t="s">
        <v>510</v>
      </c>
      <c r="AB44" s="80" t="s">
        <v>231</v>
      </c>
      <c r="AC44" s="80" t="s">
        <v>510</v>
      </c>
      <c r="AD44" s="80" t="s">
        <v>231</v>
      </c>
      <c r="AE44" s="80" t="s">
        <v>510</v>
      </c>
      <c r="AF44" s="80" t="s">
        <v>231</v>
      </c>
      <c r="AG44" s="80" t="s">
        <v>510</v>
      </c>
      <c r="AH44" s="80" t="s">
        <v>231</v>
      </c>
      <c r="AI44" s="80" t="s">
        <v>510</v>
      </c>
      <c r="AJ44" s="80" t="s">
        <v>231</v>
      </c>
      <c r="AK44" s="80" t="s">
        <v>510</v>
      </c>
      <c r="AL44" s="80" t="s">
        <v>231</v>
      </c>
    </row>
    <row r="45" spans="1:49" ht="16" x14ac:dyDescent="0.2">
      <c r="A45" s="78" t="s">
        <v>509</v>
      </c>
      <c r="B45" s="78" t="s">
        <v>489</v>
      </c>
      <c r="C45" s="83" t="s">
        <v>510</v>
      </c>
      <c r="D45" s="83" t="s">
        <v>231</v>
      </c>
      <c r="E45" s="83" t="s">
        <v>510</v>
      </c>
      <c r="F45" s="83" t="s">
        <v>231</v>
      </c>
      <c r="G45" s="83" t="s">
        <v>510</v>
      </c>
      <c r="H45" s="83" t="s">
        <v>231</v>
      </c>
      <c r="I45" s="83" t="s">
        <v>510</v>
      </c>
      <c r="J45" s="83" t="s">
        <v>231</v>
      </c>
      <c r="K45" s="83" t="s">
        <v>510</v>
      </c>
      <c r="L45" s="83" t="s">
        <v>231</v>
      </c>
      <c r="M45" s="83" t="s">
        <v>510</v>
      </c>
      <c r="N45" s="83" t="s">
        <v>231</v>
      </c>
      <c r="O45" s="83" t="s">
        <v>510</v>
      </c>
      <c r="P45" s="83" t="s">
        <v>231</v>
      </c>
      <c r="Q45" s="83" t="s">
        <v>510</v>
      </c>
      <c r="R45" s="83" t="s">
        <v>231</v>
      </c>
      <c r="S45" s="83" t="s">
        <v>510</v>
      </c>
      <c r="T45" s="83" t="s">
        <v>231</v>
      </c>
      <c r="U45" s="83" t="s">
        <v>510</v>
      </c>
      <c r="V45" s="83" t="s">
        <v>231</v>
      </c>
      <c r="W45" s="83" t="s">
        <v>510</v>
      </c>
      <c r="X45" s="83" t="s">
        <v>231</v>
      </c>
      <c r="Y45" s="83" t="s">
        <v>510</v>
      </c>
      <c r="Z45" s="83" t="s">
        <v>231</v>
      </c>
      <c r="AA45" s="83" t="s">
        <v>510</v>
      </c>
      <c r="AB45" s="83" t="s">
        <v>231</v>
      </c>
      <c r="AC45" s="83" t="s">
        <v>510</v>
      </c>
      <c r="AD45" s="83" t="s">
        <v>231</v>
      </c>
      <c r="AE45" s="83" t="s">
        <v>510</v>
      </c>
      <c r="AF45" s="83" t="s">
        <v>231</v>
      </c>
      <c r="AG45" s="83" t="s">
        <v>510</v>
      </c>
      <c r="AH45" s="83" t="s">
        <v>231</v>
      </c>
      <c r="AI45" s="83" t="s">
        <v>510</v>
      </c>
      <c r="AJ45" s="83" t="s">
        <v>231</v>
      </c>
      <c r="AK45" s="83" t="s">
        <v>510</v>
      </c>
      <c r="AL45" s="83" t="s">
        <v>231</v>
      </c>
    </row>
    <row r="46" spans="1:49" ht="16" x14ac:dyDescent="0.2">
      <c r="A46" s="78" t="s">
        <v>509</v>
      </c>
      <c r="B46" s="78" t="s">
        <v>491</v>
      </c>
      <c r="C46" s="80" t="s">
        <v>510</v>
      </c>
      <c r="D46" s="80" t="s">
        <v>231</v>
      </c>
      <c r="E46" s="80" t="s">
        <v>510</v>
      </c>
      <c r="F46" s="80" t="s">
        <v>231</v>
      </c>
      <c r="G46" s="80" t="s">
        <v>510</v>
      </c>
      <c r="H46" s="80" t="s">
        <v>231</v>
      </c>
      <c r="I46" s="80" t="s">
        <v>510</v>
      </c>
      <c r="J46" s="80" t="s">
        <v>231</v>
      </c>
      <c r="K46" s="80" t="s">
        <v>510</v>
      </c>
      <c r="L46" s="80" t="s">
        <v>231</v>
      </c>
      <c r="M46" s="80" t="s">
        <v>510</v>
      </c>
      <c r="N46" s="80" t="s">
        <v>231</v>
      </c>
      <c r="O46" s="80" t="s">
        <v>510</v>
      </c>
      <c r="P46" s="80" t="s">
        <v>231</v>
      </c>
      <c r="Q46" s="80" t="s">
        <v>510</v>
      </c>
      <c r="R46" s="80" t="s">
        <v>231</v>
      </c>
      <c r="S46" s="80" t="s">
        <v>510</v>
      </c>
      <c r="T46" s="80" t="s">
        <v>231</v>
      </c>
      <c r="U46" s="80" t="s">
        <v>510</v>
      </c>
      <c r="V46" s="80" t="s">
        <v>231</v>
      </c>
      <c r="W46" s="80" t="s">
        <v>510</v>
      </c>
      <c r="X46" s="80" t="s">
        <v>231</v>
      </c>
      <c r="Y46" s="80" t="s">
        <v>510</v>
      </c>
      <c r="Z46" s="80" t="s">
        <v>231</v>
      </c>
      <c r="AA46" s="80" t="s">
        <v>510</v>
      </c>
      <c r="AB46" s="80" t="s">
        <v>231</v>
      </c>
      <c r="AC46" s="80" t="s">
        <v>510</v>
      </c>
      <c r="AD46" s="80" t="s">
        <v>231</v>
      </c>
      <c r="AE46" s="80" t="s">
        <v>510</v>
      </c>
      <c r="AF46" s="80" t="s">
        <v>231</v>
      </c>
      <c r="AG46" s="80" t="s">
        <v>510</v>
      </c>
      <c r="AH46" s="80" t="s">
        <v>231</v>
      </c>
      <c r="AI46" s="80" t="s">
        <v>510</v>
      </c>
      <c r="AJ46" s="80" t="s">
        <v>231</v>
      </c>
      <c r="AK46" s="80" t="s">
        <v>510</v>
      </c>
      <c r="AL46" s="80" t="s">
        <v>231</v>
      </c>
    </row>
    <row r="47" spans="1:49" ht="16" x14ac:dyDescent="0.2">
      <c r="A47" s="78" t="s">
        <v>509</v>
      </c>
      <c r="B47" s="78" t="s">
        <v>493</v>
      </c>
      <c r="C47" s="82">
        <v>0</v>
      </c>
      <c r="D47" s="83" t="s">
        <v>231</v>
      </c>
      <c r="E47" s="82">
        <v>0</v>
      </c>
      <c r="F47" s="83" t="s">
        <v>231</v>
      </c>
      <c r="G47" s="82">
        <v>0</v>
      </c>
      <c r="H47" s="83" t="s">
        <v>474</v>
      </c>
      <c r="I47" s="82">
        <v>0</v>
      </c>
      <c r="J47" s="83" t="s">
        <v>231</v>
      </c>
      <c r="K47" s="82">
        <v>0</v>
      </c>
      <c r="L47" s="83" t="s">
        <v>231</v>
      </c>
      <c r="M47" s="82">
        <v>0</v>
      </c>
      <c r="N47" s="83" t="s">
        <v>231</v>
      </c>
      <c r="O47" s="82">
        <v>0</v>
      </c>
      <c r="P47" s="83" t="s">
        <v>231</v>
      </c>
      <c r="Q47" s="82">
        <v>0</v>
      </c>
      <c r="R47" s="83" t="s">
        <v>231</v>
      </c>
      <c r="S47" s="82">
        <v>0</v>
      </c>
      <c r="T47" s="83" t="s">
        <v>231</v>
      </c>
      <c r="U47" s="82">
        <v>0</v>
      </c>
      <c r="V47" s="83" t="s">
        <v>231</v>
      </c>
      <c r="W47" s="82">
        <v>0</v>
      </c>
      <c r="X47" s="83" t="s">
        <v>231</v>
      </c>
      <c r="Y47" s="82">
        <v>0</v>
      </c>
      <c r="Z47" s="83" t="s">
        <v>231</v>
      </c>
      <c r="AA47" s="82">
        <v>0</v>
      </c>
      <c r="AB47" s="83" t="s">
        <v>231</v>
      </c>
      <c r="AC47" s="82">
        <v>0</v>
      </c>
      <c r="AD47" s="83" t="s">
        <v>231</v>
      </c>
      <c r="AE47" s="82">
        <v>0</v>
      </c>
      <c r="AF47" s="83" t="s">
        <v>231</v>
      </c>
      <c r="AG47" s="82">
        <v>0</v>
      </c>
      <c r="AH47" s="83" t="s">
        <v>231</v>
      </c>
      <c r="AI47" s="82">
        <v>0</v>
      </c>
      <c r="AJ47" s="83" t="s">
        <v>231</v>
      </c>
      <c r="AK47" s="82">
        <v>0</v>
      </c>
      <c r="AL47" s="83" t="s">
        <v>231</v>
      </c>
    </row>
    <row r="48" spans="1:49" ht="16" x14ac:dyDescent="0.2">
      <c r="A48" s="78" t="s">
        <v>509</v>
      </c>
      <c r="B48" s="78" t="s">
        <v>495</v>
      </c>
      <c r="C48" s="80" t="s">
        <v>510</v>
      </c>
      <c r="D48" s="80" t="s">
        <v>231</v>
      </c>
      <c r="E48" s="80" t="s">
        <v>510</v>
      </c>
      <c r="F48" s="80" t="s">
        <v>231</v>
      </c>
      <c r="G48" s="80" t="s">
        <v>510</v>
      </c>
      <c r="H48" s="80" t="s">
        <v>231</v>
      </c>
      <c r="I48" s="80" t="s">
        <v>510</v>
      </c>
      <c r="J48" s="80" t="s">
        <v>231</v>
      </c>
      <c r="K48" s="80" t="s">
        <v>510</v>
      </c>
      <c r="L48" s="80" t="s">
        <v>231</v>
      </c>
      <c r="M48" s="80" t="s">
        <v>510</v>
      </c>
      <c r="N48" s="80" t="s">
        <v>231</v>
      </c>
      <c r="O48" s="80" t="s">
        <v>510</v>
      </c>
      <c r="P48" s="80" t="s">
        <v>231</v>
      </c>
      <c r="Q48" s="80" t="s">
        <v>510</v>
      </c>
      <c r="R48" s="80" t="s">
        <v>231</v>
      </c>
      <c r="S48" s="80" t="s">
        <v>510</v>
      </c>
      <c r="T48" s="80" t="s">
        <v>231</v>
      </c>
      <c r="U48" s="80" t="s">
        <v>510</v>
      </c>
      <c r="V48" s="80" t="s">
        <v>231</v>
      </c>
      <c r="W48" s="80" t="s">
        <v>510</v>
      </c>
      <c r="X48" s="80" t="s">
        <v>231</v>
      </c>
      <c r="Y48" s="80" t="s">
        <v>510</v>
      </c>
      <c r="Z48" s="80" t="s">
        <v>231</v>
      </c>
      <c r="AA48" s="80" t="s">
        <v>510</v>
      </c>
      <c r="AB48" s="80" t="s">
        <v>231</v>
      </c>
      <c r="AC48" s="80" t="s">
        <v>510</v>
      </c>
      <c r="AD48" s="80" t="s">
        <v>231</v>
      </c>
      <c r="AE48" s="80" t="s">
        <v>510</v>
      </c>
      <c r="AF48" s="80" t="s">
        <v>231</v>
      </c>
      <c r="AG48" s="80" t="s">
        <v>510</v>
      </c>
      <c r="AH48" s="80" t="s">
        <v>231</v>
      </c>
      <c r="AI48" s="80" t="s">
        <v>510</v>
      </c>
      <c r="AJ48" s="80" t="s">
        <v>231</v>
      </c>
      <c r="AK48" s="80" t="s">
        <v>510</v>
      </c>
      <c r="AL48" s="80" t="s">
        <v>231</v>
      </c>
    </row>
    <row r="49" spans="1:38" ht="16" x14ac:dyDescent="0.2">
      <c r="A49" s="78" t="s">
        <v>509</v>
      </c>
      <c r="B49" s="78" t="s">
        <v>497</v>
      </c>
      <c r="C49" s="83" t="s">
        <v>510</v>
      </c>
      <c r="D49" s="83" t="s">
        <v>231</v>
      </c>
      <c r="E49" s="83" t="s">
        <v>510</v>
      </c>
      <c r="F49" s="83" t="s">
        <v>231</v>
      </c>
      <c r="G49" s="83" t="s">
        <v>510</v>
      </c>
      <c r="H49" s="83" t="s">
        <v>231</v>
      </c>
      <c r="I49" s="83" t="s">
        <v>510</v>
      </c>
      <c r="J49" s="83" t="s">
        <v>231</v>
      </c>
      <c r="K49" s="83" t="s">
        <v>510</v>
      </c>
      <c r="L49" s="83" t="s">
        <v>231</v>
      </c>
      <c r="M49" s="83" t="s">
        <v>510</v>
      </c>
      <c r="N49" s="83" t="s">
        <v>231</v>
      </c>
      <c r="O49" s="83" t="s">
        <v>510</v>
      </c>
      <c r="P49" s="83" t="s">
        <v>231</v>
      </c>
      <c r="Q49" s="83" t="s">
        <v>510</v>
      </c>
      <c r="R49" s="83" t="s">
        <v>231</v>
      </c>
      <c r="S49" s="83" t="s">
        <v>510</v>
      </c>
      <c r="T49" s="83" t="s">
        <v>231</v>
      </c>
      <c r="U49" s="83" t="s">
        <v>510</v>
      </c>
      <c r="V49" s="83" t="s">
        <v>231</v>
      </c>
      <c r="W49" s="83" t="s">
        <v>510</v>
      </c>
      <c r="X49" s="83" t="s">
        <v>231</v>
      </c>
      <c r="Y49" s="83" t="s">
        <v>510</v>
      </c>
      <c r="Z49" s="83" t="s">
        <v>231</v>
      </c>
      <c r="AA49" s="83" t="s">
        <v>510</v>
      </c>
      <c r="AB49" s="83" t="s">
        <v>231</v>
      </c>
      <c r="AC49" s="83" t="s">
        <v>510</v>
      </c>
      <c r="AD49" s="83" t="s">
        <v>231</v>
      </c>
      <c r="AE49" s="83" t="s">
        <v>510</v>
      </c>
      <c r="AF49" s="83" t="s">
        <v>231</v>
      </c>
      <c r="AG49" s="83" t="s">
        <v>510</v>
      </c>
      <c r="AH49" s="83" t="s">
        <v>231</v>
      </c>
      <c r="AI49" s="83" t="s">
        <v>510</v>
      </c>
      <c r="AJ49" s="83" t="s">
        <v>231</v>
      </c>
      <c r="AK49" s="83" t="s">
        <v>510</v>
      </c>
      <c r="AL49" s="83" t="s">
        <v>231</v>
      </c>
    </row>
    <row r="50" spans="1:38" ht="16" x14ac:dyDescent="0.2">
      <c r="A50" s="78" t="s">
        <v>509</v>
      </c>
      <c r="B50" s="78" t="s">
        <v>498</v>
      </c>
      <c r="C50" s="80" t="s">
        <v>510</v>
      </c>
      <c r="D50" s="80" t="s">
        <v>231</v>
      </c>
      <c r="E50" s="80" t="s">
        <v>510</v>
      </c>
      <c r="F50" s="80" t="s">
        <v>231</v>
      </c>
      <c r="G50" s="80" t="s">
        <v>510</v>
      </c>
      <c r="H50" s="80" t="s">
        <v>231</v>
      </c>
      <c r="I50" s="80" t="s">
        <v>510</v>
      </c>
      <c r="J50" s="80" t="s">
        <v>231</v>
      </c>
      <c r="K50" s="80" t="s">
        <v>510</v>
      </c>
      <c r="L50" s="80" t="s">
        <v>231</v>
      </c>
      <c r="M50" s="80" t="s">
        <v>510</v>
      </c>
      <c r="N50" s="80" t="s">
        <v>231</v>
      </c>
      <c r="O50" s="80" t="s">
        <v>510</v>
      </c>
      <c r="P50" s="80" t="s">
        <v>231</v>
      </c>
      <c r="Q50" s="80" t="s">
        <v>510</v>
      </c>
      <c r="R50" s="80" t="s">
        <v>231</v>
      </c>
      <c r="S50" s="80" t="s">
        <v>510</v>
      </c>
      <c r="T50" s="80" t="s">
        <v>231</v>
      </c>
      <c r="U50" s="80" t="s">
        <v>510</v>
      </c>
      <c r="V50" s="80" t="s">
        <v>231</v>
      </c>
      <c r="W50" s="80" t="s">
        <v>510</v>
      </c>
      <c r="X50" s="80" t="s">
        <v>231</v>
      </c>
      <c r="Y50" s="80" t="s">
        <v>510</v>
      </c>
      <c r="Z50" s="80" t="s">
        <v>231</v>
      </c>
      <c r="AA50" s="80" t="s">
        <v>510</v>
      </c>
      <c r="AB50" s="80" t="s">
        <v>231</v>
      </c>
      <c r="AC50" s="80" t="s">
        <v>510</v>
      </c>
      <c r="AD50" s="80" t="s">
        <v>231</v>
      </c>
      <c r="AE50" s="80" t="s">
        <v>510</v>
      </c>
      <c r="AF50" s="80" t="s">
        <v>231</v>
      </c>
      <c r="AG50" s="80" t="s">
        <v>510</v>
      </c>
      <c r="AH50" s="80" t="s">
        <v>231</v>
      </c>
      <c r="AI50" s="80" t="s">
        <v>510</v>
      </c>
      <c r="AJ50" s="80" t="s">
        <v>231</v>
      </c>
      <c r="AK50" s="80" t="s">
        <v>510</v>
      </c>
      <c r="AL50" s="80" t="s">
        <v>231</v>
      </c>
    </row>
    <row r="51" spans="1:38" ht="16" x14ac:dyDescent="0.2">
      <c r="A51" s="78" t="s">
        <v>509</v>
      </c>
      <c r="B51" s="78" t="s">
        <v>500</v>
      </c>
      <c r="C51" s="82">
        <v>0</v>
      </c>
      <c r="D51" s="83" t="s">
        <v>231</v>
      </c>
      <c r="E51" s="82">
        <v>0</v>
      </c>
      <c r="F51" s="83" t="s">
        <v>231</v>
      </c>
      <c r="G51" s="82">
        <v>0</v>
      </c>
      <c r="H51" s="83" t="s">
        <v>474</v>
      </c>
      <c r="I51" s="82">
        <v>0</v>
      </c>
      <c r="J51" s="83" t="s">
        <v>231</v>
      </c>
      <c r="K51" s="82">
        <v>0</v>
      </c>
      <c r="L51" s="83" t="s">
        <v>231</v>
      </c>
      <c r="M51" s="82">
        <v>0</v>
      </c>
      <c r="N51" s="83" t="s">
        <v>231</v>
      </c>
      <c r="O51" s="82">
        <v>0</v>
      </c>
      <c r="P51" s="83" t="s">
        <v>231</v>
      </c>
      <c r="Q51" s="82">
        <v>0</v>
      </c>
      <c r="R51" s="83" t="s">
        <v>231</v>
      </c>
      <c r="S51" s="82">
        <v>0</v>
      </c>
      <c r="T51" s="83" t="s">
        <v>231</v>
      </c>
      <c r="U51" s="82">
        <v>0</v>
      </c>
      <c r="V51" s="83" t="s">
        <v>231</v>
      </c>
      <c r="W51" s="82">
        <v>0</v>
      </c>
      <c r="X51" s="83" t="s">
        <v>231</v>
      </c>
      <c r="Y51" s="82">
        <v>0</v>
      </c>
      <c r="Z51" s="83" t="s">
        <v>231</v>
      </c>
      <c r="AA51" s="82">
        <v>0</v>
      </c>
      <c r="AB51" s="83" t="s">
        <v>231</v>
      </c>
      <c r="AC51" s="82">
        <v>0</v>
      </c>
      <c r="AD51" s="83" t="s">
        <v>231</v>
      </c>
      <c r="AE51" s="82">
        <v>0</v>
      </c>
      <c r="AF51" s="83" t="s">
        <v>231</v>
      </c>
      <c r="AG51" s="82">
        <v>0</v>
      </c>
      <c r="AH51" s="83" t="s">
        <v>231</v>
      </c>
      <c r="AI51" s="82">
        <v>0</v>
      </c>
      <c r="AJ51" s="83" t="s">
        <v>231</v>
      </c>
      <c r="AK51" s="82">
        <v>0</v>
      </c>
      <c r="AL51" s="83" t="s">
        <v>231</v>
      </c>
    </row>
    <row r="52" spans="1:38" ht="16" x14ac:dyDescent="0.2">
      <c r="A52" s="78" t="s">
        <v>509</v>
      </c>
      <c r="B52" s="78" t="s">
        <v>502</v>
      </c>
      <c r="C52" s="79">
        <v>0</v>
      </c>
      <c r="D52" s="80" t="s">
        <v>231</v>
      </c>
      <c r="E52" s="79">
        <v>0</v>
      </c>
      <c r="F52" s="80" t="s">
        <v>231</v>
      </c>
      <c r="G52" s="79">
        <v>0</v>
      </c>
      <c r="H52" s="80" t="s">
        <v>474</v>
      </c>
      <c r="I52" s="79">
        <v>0</v>
      </c>
      <c r="J52" s="80" t="s">
        <v>231</v>
      </c>
      <c r="K52" s="79">
        <v>0</v>
      </c>
      <c r="L52" s="80" t="s">
        <v>231</v>
      </c>
      <c r="M52" s="79">
        <v>0</v>
      </c>
      <c r="N52" s="80" t="s">
        <v>231</v>
      </c>
      <c r="O52" s="79">
        <v>0</v>
      </c>
      <c r="P52" s="80" t="s">
        <v>231</v>
      </c>
      <c r="Q52" s="79">
        <v>0</v>
      </c>
      <c r="R52" s="80" t="s">
        <v>231</v>
      </c>
      <c r="S52" s="79">
        <v>0</v>
      </c>
      <c r="T52" s="80" t="s">
        <v>231</v>
      </c>
      <c r="U52" s="79">
        <v>0</v>
      </c>
      <c r="V52" s="80" t="s">
        <v>231</v>
      </c>
      <c r="W52" s="79">
        <v>0</v>
      </c>
      <c r="X52" s="80" t="s">
        <v>231</v>
      </c>
      <c r="Y52" s="79">
        <v>0</v>
      </c>
      <c r="Z52" s="80" t="s">
        <v>231</v>
      </c>
      <c r="AA52" s="79">
        <v>0</v>
      </c>
      <c r="AB52" s="80" t="s">
        <v>231</v>
      </c>
      <c r="AC52" s="79">
        <v>0</v>
      </c>
      <c r="AD52" s="80" t="s">
        <v>231</v>
      </c>
      <c r="AE52" s="79">
        <v>0</v>
      </c>
      <c r="AF52" s="80" t="s">
        <v>231</v>
      </c>
      <c r="AG52" s="79">
        <v>0</v>
      </c>
      <c r="AH52" s="80" t="s">
        <v>231</v>
      </c>
      <c r="AI52" s="79">
        <v>0</v>
      </c>
      <c r="AJ52" s="80" t="s">
        <v>231</v>
      </c>
      <c r="AK52" s="79">
        <v>0</v>
      </c>
      <c r="AL52" s="80" t="s">
        <v>231</v>
      </c>
    </row>
    <row r="53" spans="1:38" ht="16" x14ac:dyDescent="0.2">
      <c r="A53" s="78" t="s">
        <v>509</v>
      </c>
      <c r="B53" s="78" t="s">
        <v>503</v>
      </c>
      <c r="C53" s="83" t="s">
        <v>510</v>
      </c>
      <c r="D53" s="83" t="s">
        <v>231</v>
      </c>
      <c r="E53" s="83" t="s">
        <v>510</v>
      </c>
      <c r="F53" s="83" t="s">
        <v>231</v>
      </c>
      <c r="G53" s="83" t="s">
        <v>510</v>
      </c>
      <c r="H53" s="83" t="s">
        <v>231</v>
      </c>
      <c r="I53" s="83" t="s">
        <v>510</v>
      </c>
      <c r="J53" s="83" t="s">
        <v>231</v>
      </c>
      <c r="K53" s="83" t="s">
        <v>510</v>
      </c>
      <c r="L53" s="83" t="s">
        <v>231</v>
      </c>
      <c r="M53" s="83" t="s">
        <v>510</v>
      </c>
      <c r="N53" s="83" t="s">
        <v>231</v>
      </c>
      <c r="O53" s="83" t="s">
        <v>510</v>
      </c>
      <c r="P53" s="83" t="s">
        <v>231</v>
      </c>
      <c r="Q53" s="83" t="s">
        <v>510</v>
      </c>
      <c r="R53" s="83" t="s">
        <v>231</v>
      </c>
      <c r="S53" s="83" t="s">
        <v>510</v>
      </c>
      <c r="T53" s="83" t="s">
        <v>231</v>
      </c>
      <c r="U53" s="83" t="s">
        <v>510</v>
      </c>
      <c r="V53" s="83" t="s">
        <v>231</v>
      </c>
      <c r="W53" s="83" t="s">
        <v>510</v>
      </c>
      <c r="X53" s="83" t="s">
        <v>231</v>
      </c>
      <c r="Y53" s="83" t="s">
        <v>510</v>
      </c>
      <c r="Z53" s="83" t="s">
        <v>231</v>
      </c>
      <c r="AA53" s="83" t="s">
        <v>510</v>
      </c>
      <c r="AB53" s="83" t="s">
        <v>231</v>
      </c>
      <c r="AC53" s="83" t="s">
        <v>510</v>
      </c>
      <c r="AD53" s="83" t="s">
        <v>231</v>
      </c>
      <c r="AE53" s="83" t="s">
        <v>510</v>
      </c>
      <c r="AF53" s="83" t="s">
        <v>231</v>
      </c>
      <c r="AG53" s="83" t="s">
        <v>510</v>
      </c>
      <c r="AH53" s="83" t="s">
        <v>231</v>
      </c>
      <c r="AI53" s="83" t="s">
        <v>510</v>
      </c>
      <c r="AJ53" s="83" t="s">
        <v>231</v>
      </c>
      <c r="AK53" s="83" t="s">
        <v>510</v>
      </c>
      <c r="AL53" s="83" t="s">
        <v>231</v>
      </c>
    </row>
    <row r="54" spans="1:38" ht="16" x14ac:dyDescent="0.2">
      <c r="A54" s="78" t="s">
        <v>509</v>
      </c>
      <c r="B54" s="78" t="s">
        <v>504</v>
      </c>
      <c r="C54" s="79">
        <v>0</v>
      </c>
      <c r="D54" s="80" t="s">
        <v>231</v>
      </c>
      <c r="E54" s="79">
        <v>0</v>
      </c>
      <c r="F54" s="80" t="s">
        <v>231</v>
      </c>
      <c r="G54" s="79">
        <v>0</v>
      </c>
      <c r="H54" s="80" t="s">
        <v>474</v>
      </c>
      <c r="I54" s="79">
        <v>0</v>
      </c>
      <c r="J54" s="80" t="s">
        <v>231</v>
      </c>
      <c r="K54" s="79">
        <v>0</v>
      </c>
      <c r="L54" s="80" t="s">
        <v>231</v>
      </c>
      <c r="M54" s="79">
        <v>0</v>
      </c>
      <c r="N54" s="80" t="s">
        <v>231</v>
      </c>
      <c r="O54" s="79">
        <v>0</v>
      </c>
      <c r="P54" s="80" t="s">
        <v>231</v>
      </c>
      <c r="Q54" s="79">
        <v>0</v>
      </c>
      <c r="R54" s="80" t="s">
        <v>231</v>
      </c>
      <c r="S54" s="79">
        <v>0</v>
      </c>
      <c r="T54" s="80" t="s">
        <v>231</v>
      </c>
      <c r="U54" s="79">
        <v>0</v>
      </c>
      <c r="V54" s="80" t="s">
        <v>231</v>
      </c>
      <c r="W54" s="79">
        <v>0</v>
      </c>
      <c r="X54" s="80" t="s">
        <v>231</v>
      </c>
      <c r="Y54" s="79">
        <v>0</v>
      </c>
      <c r="Z54" s="80" t="s">
        <v>231</v>
      </c>
      <c r="AA54" s="79">
        <v>0</v>
      </c>
      <c r="AB54" s="80" t="s">
        <v>231</v>
      </c>
      <c r="AC54" s="79">
        <v>0</v>
      </c>
      <c r="AD54" s="80" t="s">
        <v>231</v>
      </c>
      <c r="AE54" s="79">
        <v>0</v>
      </c>
      <c r="AF54" s="80" t="s">
        <v>231</v>
      </c>
      <c r="AG54" s="79">
        <v>0</v>
      </c>
      <c r="AH54" s="80" t="s">
        <v>231</v>
      </c>
      <c r="AI54" s="79">
        <v>0</v>
      </c>
      <c r="AJ54" s="80" t="s">
        <v>231</v>
      </c>
      <c r="AK54" s="79">
        <v>0</v>
      </c>
      <c r="AL54" s="80" t="s">
        <v>231</v>
      </c>
    </row>
    <row r="55" spans="1:38" ht="16" x14ac:dyDescent="0.2">
      <c r="A55" s="78" t="s">
        <v>509</v>
      </c>
      <c r="B55" s="78" t="s">
        <v>506</v>
      </c>
      <c r="C55" s="82">
        <v>0</v>
      </c>
      <c r="D55" s="83" t="s">
        <v>231</v>
      </c>
      <c r="E55" s="82">
        <v>0</v>
      </c>
      <c r="F55" s="83" t="s">
        <v>231</v>
      </c>
      <c r="G55" s="82">
        <v>0</v>
      </c>
      <c r="H55" s="83" t="s">
        <v>474</v>
      </c>
      <c r="I55" s="82">
        <v>0</v>
      </c>
      <c r="J55" s="83" t="s">
        <v>231</v>
      </c>
      <c r="K55" s="82">
        <v>0</v>
      </c>
      <c r="L55" s="83" t="s">
        <v>231</v>
      </c>
      <c r="M55" s="82">
        <v>0</v>
      </c>
      <c r="N55" s="83" t="s">
        <v>231</v>
      </c>
      <c r="O55" s="82">
        <v>0</v>
      </c>
      <c r="P55" s="83" t="s">
        <v>231</v>
      </c>
      <c r="Q55" s="82">
        <v>0</v>
      </c>
      <c r="R55" s="83" t="s">
        <v>231</v>
      </c>
      <c r="S55" s="82">
        <v>0</v>
      </c>
      <c r="T55" s="83" t="s">
        <v>231</v>
      </c>
      <c r="U55" s="82">
        <v>0</v>
      </c>
      <c r="V55" s="83" t="s">
        <v>231</v>
      </c>
      <c r="W55" s="82">
        <v>0</v>
      </c>
      <c r="X55" s="83" t="s">
        <v>231</v>
      </c>
      <c r="Y55" s="82">
        <v>0</v>
      </c>
      <c r="Z55" s="83" t="s">
        <v>231</v>
      </c>
      <c r="AA55" s="82">
        <v>0</v>
      </c>
      <c r="AB55" s="83" t="s">
        <v>231</v>
      </c>
      <c r="AC55" s="82">
        <v>0</v>
      </c>
      <c r="AD55" s="83" t="s">
        <v>231</v>
      </c>
      <c r="AE55" s="82">
        <v>0</v>
      </c>
      <c r="AF55" s="83" t="s">
        <v>231</v>
      </c>
      <c r="AG55" s="82">
        <v>0</v>
      </c>
      <c r="AH55" s="83" t="s">
        <v>231</v>
      </c>
      <c r="AI55" s="82">
        <v>0</v>
      </c>
      <c r="AJ55" s="83" t="s">
        <v>231</v>
      </c>
      <c r="AK55" s="82">
        <v>0</v>
      </c>
      <c r="AL55" s="83" t="s">
        <v>231</v>
      </c>
    </row>
    <row r="56" spans="1:38" ht="16" x14ac:dyDescent="0.2">
      <c r="A56" s="78" t="s">
        <v>514</v>
      </c>
      <c r="B56" s="78" t="s">
        <v>473</v>
      </c>
      <c r="C56" s="80" t="s">
        <v>510</v>
      </c>
      <c r="D56" s="80" t="s">
        <v>231</v>
      </c>
      <c r="E56" s="80" t="s">
        <v>510</v>
      </c>
      <c r="F56" s="80" t="s">
        <v>231</v>
      </c>
      <c r="G56" s="80" t="s">
        <v>510</v>
      </c>
      <c r="H56" s="80" t="s">
        <v>231</v>
      </c>
      <c r="I56" s="80" t="s">
        <v>510</v>
      </c>
      <c r="J56" s="80" t="s">
        <v>231</v>
      </c>
      <c r="K56" s="80" t="s">
        <v>510</v>
      </c>
      <c r="L56" s="80" t="s">
        <v>231</v>
      </c>
      <c r="M56" s="80" t="s">
        <v>510</v>
      </c>
      <c r="N56" s="80" t="s">
        <v>231</v>
      </c>
      <c r="O56" s="80" t="s">
        <v>510</v>
      </c>
      <c r="P56" s="80" t="s">
        <v>231</v>
      </c>
      <c r="Q56" s="80" t="s">
        <v>510</v>
      </c>
      <c r="R56" s="80" t="s">
        <v>231</v>
      </c>
      <c r="S56" s="80" t="s">
        <v>510</v>
      </c>
      <c r="T56" s="80" t="s">
        <v>231</v>
      </c>
      <c r="U56" s="80" t="s">
        <v>510</v>
      </c>
      <c r="V56" s="80" t="s">
        <v>231</v>
      </c>
      <c r="W56" s="80" t="s">
        <v>510</v>
      </c>
      <c r="X56" s="80" t="s">
        <v>231</v>
      </c>
      <c r="Y56" s="80" t="s">
        <v>510</v>
      </c>
      <c r="Z56" s="80" t="s">
        <v>231</v>
      </c>
      <c r="AA56" s="80" t="s">
        <v>510</v>
      </c>
      <c r="AB56" s="80" t="s">
        <v>231</v>
      </c>
      <c r="AC56" s="80" t="s">
        <v>510</v>
      </c>
      <c r="AD56" s="80" t="s">
        <v>231</v>
      </c>
      <c r="AE56" s="80" t="s">
        <v>510</v>
      </c>
      <c r="AF56" s="80" t="s">
        <v>231</v>
      </c>
      <c r="AG56" s="80" t="s">
        <v>510</v>
      </c>
      <c r="AH56" s="80" t="s">
        <v>231</v>
      </c>
      <c r="AI56" s="80" t="s">
        <v>510</v>
      </c>
      <c r="AJ56" s="80" t="s">
        <v>231</v>
      </c>
      <c r="AK56" s="80" t="s">
        <v>510</v>
      </c>
      <c r="AL56" s="80" t="s">
        <v>231</v>
      </c>
    </row>
    <row r="57" spans="1:38" ht="16" x14ac:dyDescent="0.2">
      <c r="A57" s="78" t="s">
        <v>514</v>
      </c>
      <c r="B57" s="78" t="s">
        <v>475</v>
      </c>
      <c r="C57" s="83" t="s">
        <v>510</v>
      </c>
      <c r="D57" s="83" t="s">
        <v>231</v>
      </c>
      <c r="E57" s="83" t="s">
        <v>510</v>
      </c>
      <c r="F57" s="83" t="s">
        <v>231</v>
      </c>
      <c r="G57" s="83" t="s">
        <v>510</v>
      </c>
      <c r="H57" s="83" t="s">
        <v>231</v>
      </c>
      <c r="I57" s="83" t="s">
        <v>510</v>
      </c>
      <c r="J57" s="83" t="s">
        <v>231</v>
      </c>
      <c r="K57" s="83" t="s">
        <v>510</v>
      </c>
      <c r="L57" s="83" t="s">
        <v>231</v>
      </c>
      <c r="M57" s="83" t="s">
        <v>510</v>
      </c>
      <c r="N57" s="83" t="s">
        <v>231</v>
      </c>
      <c r="O57" s="83" t="s">
        <v>510</v>
      </c>
      <c r="P57" s="83" t="s">
        <v>231</v>
      </c>
      <c r="Q57" s="83" t="s">
        <v>510</v>
      </c>
      <c r="R57" s="83" t="s">
        <v>231</v>
      </c>
      <c r="S57" s="83" t="s">
        <v>510</v>
      </c>
      <c r="T57" s="83" t="s">
        <v>231</v>
      </c>
      <c r="U57" s="83" t="s">
        <v>510</v>
      </c>
      <c r="V57" s="83" t="s">
        <v>231</v>
      </c>
      <c r="W57" s="83" t="s">
        <v>510</v>
      </c>
      <c r="X57" s="83" t="s">
        <v>231</v>
      </c>
      <c r="Y57" s="83" t="s">
        <v>510</v>
      </c>
      <c r="Z57" s="83" t="s">
        <v>231</v>
      </c>
      <c r="AA57" s="83" t="s">
        <v>510</v>
      </c>
      <c r="AB57" s="83" t="s">
        <v>231</v>
      </c>
      <c r="AC57" s="83" t="s">
        <v>510</v>
      </c>
      <c r="AD57" s="83" t="s">
        <v>231</v>
      </c>
      <c r="AE57" s="83" t="s">
        <v>510</v>
      </c>
      <c r="AF57" s="83" t="s">
        <v>231</v>
      </c>
      <c r="AG57" s="83" t="s">
        <v>510</v>
      </c>
      <c r="AH57" s="83" t="s">
        <v>231</v>
      </c>
      <c r="AI57" s="83" t="s">
        <v>510</v>
      </c>
      <c r="AJ57" s="83" t="s">
        <v>231</v>
      </c>
      <c r="AK57" s="83" t="s">
        <v>510</v>
      </c>
      <c r="AL57" s="83" t="s">
        <v>231</v>
      </c>
    </row>
    <row r="58" spans="1:38" ht="16" x14ac:dyDescent="0.2">
      <c r="A58" s="78" t="s">
        <v>514</v>
      </c>
      <c r="B58" s="78" t="s">
        <v>476</v>
      </c>
      <c r="C58" s="79">
        <v>0</v>
      </c>
      <c r="D58" s="80" t="s">
        <v>231</v>
      </c>
      <c r="E58" s="79">
        <v>0</v>
      </c>
      <c r="F58" s="80" t="s">
        <v>231</v>
      </c>
      <c r="G58" s="81">
        <v>459.58199999999999</v>
      </c>
      <c r="H58" s="80" t="s">
        <v>474</v>
      </c>
      <c r="I58" s="79">
        <v>0</v>
      </c>
      <c r="J58" s="80" t="s">
        <v>231</v>
      </c>
      <c r="K58" s="79">
        <v>0</v>
      </c>
      <c r="L58" s="80" t="s">
        <v>231</v>
      </c>
      <c r="M58" s="79">
        <v>0</v>
      </c>
      <c r="N58" s="80" t="s">
        <v>231</v>
      </c>
      <c r="O58" s="79">
        <v>0</v>
      </c>
      <c r="P58" s="80" t="s">
        <v>231</v>
      </c>
      <c r="Q58" s="79">
        <v>0</v>
      </c>
      <c r="R58" s="80" t="s">
        <v>231</v>
      </c>
      <c r="S58" s="79">
        <v>0</v>
      </c>
      <c r="T58" s="80" t="s">
        <v>231</v>
      </c>
      <c r="U58" s="81">
        <v>0.78900000000000003</v>
      </c>
      <c r="V58" s="80" t="s">
        <v>231</v>
      </c>
      <c r="W58" s="79">
        <v>0</v>
      </c>
      <c r="X58" s="80" t="s">
        <v>231</v>
      </c>
      <c r="Y58" s="79">
        <v>0</v>
      </c>
      <c r="Z58" s="80" t="s">
        <v>231</v>
      </c>
      <c r="AA58" s="79">
        <v>0</v>
      </c>
      <c r="AB58" s="80" t="s">
        <v>231</v>
      </c>
      <c r="AC58" s="79">
        <v>0</v>
      </c>
      <c r="AD58" s="80" t="s">
        <v>231</v>
      </c>
      <c r="AE58" s="79">
        <v>0</v>
      </c>
      <c r="AF58" s="80" t="s">
        <v>231</v>
      </c>
      <c r="AG58" s="79">
        <v>0</v>
      </c>
      <c r="AH58" s="80" t="s">
        <v>231</v>
      </c>
      <c r="AI58" s="79">
        <v>0</v>
      </c>
      <c r="AJ58" s="80" t="s">
        <v>231</v>
      </c>
      <c r="AK58" s="81">
        <v>622.17399999999998</v>
      </c>
      <c r="AL58" s="80" t="s">
        <v>231</v>
      </c>
    </row>
    <row r="59" spans="1:38" ht="16" x14ac:dyDescent="0.2">
      <c r="A59" s="78" t="s">
        <v>514</v>
      </c>
      <c r="B59" s="78" t="s">
        <v>477</v>
      </c>
      <c r="C59" s="83" t="s">
        <v>510</v>
      </c>
      <c r="D59" s="83" t="s">
        <v>231</v>
      </c>
      <c r="E59" s="83" t="s">
        <v>510</v>
      </c>
      <c r="F59" s="83" t="s">
        <v>231</v>
      </c>
      <c r="G59" s="83" t="s">
        <v>510</v>
      </c>
      <c r="H59" s="83" t="s">
        <v>231</v>
      </c>
      <c r="I59" s="83" t="s">
        <v>510</v>
      </c>
      <c r="J59" s="83" t="s">
        <v>231</v>
      </c>
      <c r="K59" s="83" t="s">
        <v>510</v>
      </c>
      <c r="L59" s="83" t="s">
        <v>231</v>
      </c>
      <c r="M59" s="83" t="s">
        <v>510</v>
      </c>
      <c r="N59" s="83" t="s">
        <v>231</v>
      </c>
      <c r="O59" s="83" t="s">
        <v>510</v>
      </c>
      <c r="P59" s="83" t="s">
        <v>231</v>
      </c>
      <c r="Q59" s="83" t="s">
        <v>510</v>
      </c>
      <c r="R59" s="83" t="s">
        <v>231</v>
      </c>
      <c r="S59" s="83" t="s">
        <v>510</v>
      </c>
      <c r="T59" s="83" t="s">
        <v>231</v>
      </c>
      <c r="U59" s="83" t="s">
        <v>510</v>
      </c>
      <c r="V59" s="83" t="s">
        <v>231</v>
      </c>
      <c r="W59" s="83" t="s">
        <v>510</v>
      </c>
      <c r="X59" s="83" t="s">
        <v>231</v>
      </c>
      <c r="Y59" s="83" t="s">
        <v>510</v>
      </c>
      <c r="Z59" s="83" t="s">
        <v>231</v>
      </c>
      <c r="AA59" s="83" t="s">
        <v>510</v>
      </c>
      <c r="AB59" s="83" t="s">
        <v>231</v>
      </c>
      <c r="AC59" s="83" t="s">
        <v>510</v>
      </c>
      <c r="AD59" s="83" t="s">
        <v>231</v>
      </c>
      <c r="AE59" s="83" t="s">
        <v>510</v>
      </c>
      <c r="AF59" s="83" t="s">
        <v>231</v>
      </c>
      <c r="AG59" s="83" t="s">
        <v>510</v>
      </c>
      <c r="AH59" s="83" t="s">
        <v>231</v>
      </c>
      <c r="AI59" s="83" t="s">
        <v>510</v>
      </c>
      <c r="AJ59" s="83" t="s">
        <v>231</v>
      </c>
      <c r="AK59" s="83" t="s">
        <v>510</v>
      </c>
      <c r="AL59" s="83" t="s">
        <v>231</v>
      </c>
    </row>
    <row r="60" spans="1:38" ht="16" x14ac:dyDescent="0.2">
      <c r="A60" s="78" t="s">
        <v>514</v>
      </c>
      <c r="B60" s="78" t="s">
        <v>478</v>
      </c>
      <c r="C60" s="80" t="s">
        <v>510</v>
      </c>
      <c r="D60" s="80" t="s">
        <v>231</v>
      </c>
      <c r="E60" s="80" t="s">
        <v>510</v>
      </c>
      <c r="F60" s="80" t="s">
        <v>231</v>
      </c>
      <c r="G60" s="80" t="s">
        <v>510</v>
      </c>
      <c r="H60" s="80" t="s">
        <v>231</v>
      </c>
      <c r="I60" s="80" t="s">
        <v>510</v>
      </c>
      <c r="J60" s="80" t="s">
        <v>231</v>
      </c>
      <c r="K60" s="80" t="s">
        <v>510</v>
      </c>
      <c r="L60" s="80" t="s">
        <v>231</v>
      </c>
      <c r="M60" s="80" t="s">
        <v>510</v>
      </c>
      <c r="N60" s="80" t="s">
        <v>231</v>
      </c>
      <c r="O60" s="80" t="s">
        <v>510</v>
      </c>
      <c r="P60" s="80" t="s">
        <v>231</v>
      </c>
      <c r="Q60" s="80" t="s">
        <v>510</v>
      </c>
      <c r="R60" s="80" t="s">
        <v>231</v>
      </c>
      <c r="S60" s="80" t="s">
        <v>510</v>
      </c>
      <c r="T60" s="80" t="s">
        <v>231</v>
      </c>
      <c r="U60" s="80" t="s">
        <v>510</v>
      </c>
      <c r="V60" s="80" t="s">
        <v>231</v>
      </c>
      <c r="W60" s="80" t="s">
        <v>510</v>
      </c>
      <c r="X60" s="80" t="s">
        <v>231</v>
      </c>
      <c r="Y60" s="80" t="s">
        <v>510</v>
      </c>
      <c r="Z60" s="80" t="s">
        <v>231</v>
      </c>
      <c r="AA60" s="80" t="s">
        <v>510</v>
      </c>
      <c r="AB60" s="80" t="s">
        <v>231</v>
      </c>
      <c r="AC60" s="80" t="s">
        <v>510</v>
      </c>
      <c r="AD60" s="80" t="s">
        <v>231</v>
      </c>
      <c r="AE60" s="80" t="s">
        <v>510</v>
      </c>
      <c r="AF60" s="80" t="s">
        <v>231</v>
      </c>
      <c r="AG60" s="80" t="s">
        <v>510</v>
      </c>
      <c r="AH60" s="80" t="s">
        <v>231</v>
      </c>
      <c r="AI60" s="80" t="s">
        <v>510</v>
      </c>
      <c r="AJ60" s="80" t="s">
        <v>231</v>
      </c>
      <c r="AK60" s="80" t="s">
        <v>510</v>
      </c>
      <c r="AL60" s="80" t="s">
        <v>231</v>
      </c>
    </row>
    <row r="61" spans="1:38" ht="16" x14ac:dyDescent="0.2">
      <c r="A61" s="78" t="s">
        <v>514</v>
      </c>
      <c r="B61" s="78" t="s">
        <v>479</v>
      </c>
      <c r="C61" s="83" t="s">
        <v>510</v>
      </c>
      <c r="D61" s="83" t="s">
        <v>231</v>
      </c>
      <c r="E61" s="83" t="s">
        <v>510</v>
      </c>
      <c r="F61" s="83" t="s">
        <v>231</v>
      </c>
      <c r="G61" s="83" t="s">
        <v>510</v>
      </c>
      <c r="H61" s="83" t="s">
        <v>231</v>
      </c>
      <c r="I61" s="83" t="s">
        <v>510</v>
      </c>
      <c r="J61" s="83" t="s">
        <v>231</v>
      </c>
      <c r="K61" s="83" t="s">
        <v>510</v>
      </c>
      <c r="L61" s="83" t="s">
        <v>231</v>
      </c>
      <c r="M61" s="83" t="s">
        <v>510</v>
      </c>
      <c r="N61" s="83" t="s">
        <v>231</v>
      </c>
      <c r="O61" s="83" t="s">
        <v>510</v>
      </c>
      <c r="P61" s="83" t="s">
        <v>231</v>
      </c>
      <c r="Q61" s="83" t="s">
        <v>510</v>
      </c>
      <c r="R61" s="83" t="s">
        <v>231</v>
      </c>
      <c r="S61" s="83" t="s">
        <v>510</v>
      </c>
      <c r="T61" s="83" t="s">
        <v>231</v>
      </c>
      <c r="U61" s="83" t="s">
        <v>510</v>
      </c>
      <c r="V61" s="83" t="s">
        <v>231</v>
      </c>
      <c r="W61" s="83" t="s">
        <v>510</v>
      </c>
      <c r="X61" s="83" t="s">
        <v>231</v>
      </c>
      <c r="Y61" s="83" t="s">
        <v>510</v>
      </c>
      <c r="Z61" s="83" t="s">
        <v>231</v>
      </c>
      <c r="AA61" s="83" t="s">
        <v>510</v>
      </c>
      <c r="AB61" s="83" t="s">
        <v>231</v>
      </c>
      <c r="AC61" s="83" t="s">
        <v>510</v>
      </c>
      <c r="AD61" s="83" t="s">
        <v>231</v>
      </c>
      <c r="AE61" s="83" t="s">
        <v>510</v>
      </c>
      <c r="AF61" s="83" t="s">
        <v>231</v>
      </c>
      <c r="AG61" s="83" t="s">
        <v>510</v>
      </c>
      <c r="AH61" s="83" t="s">
        <v>231</v>
      </c>
      <c r="AI61" s="83" t="s">
        <v>510</v>
      </c>
      <c r="AJ61" s="83" t="s">
        <v>231</v>
      </c>
      <c r="AK61" s="83" t="s">
        <v>510</v>
      </c>
      <c r="AL61" s="83" t="s">
        <v>231</v>
      </c>
    </row>
    <row r="62" spans="1:38" ht="16" x14ac:dyDescent="0.2">
      <c r="A62" s="78" t="s">
        <v>514</v>
      </c>
      <c r="B62" s="78" t="s">
        <v>480</v>
      </c>
      <c r="C62" s="80" t="s">
        <v>510</v>
      </c>
      <c r="D62" s="80" t="s">
        <v>231</v>
      </c>
      <c r="E62" s="80" t="s">
        <v>510</v>
      </c>
      <c r="F62" s="80" t="s">
        <v>231</v>
      </c>
      <c r="G62" s="80" t="s">
        <v>510</v>
      </c>
      <c r="H62" s="80" t="s">
        <v>231</v>
      </c>
      <c r="I62" s="80" t="s">
        <v>510</v>
      </c>
      <c r="J62" s="80" t="s">
        <v>231</v>
      </c>
      <c r="K62" s="80" t="s">
        <v>510</v>
      </c>
      <c r="L62" s="80" t="s">
        <v>231</v>
      </c>
      <c r="M62" s="80" t="s">
        <v>510</v>
      </c>
      <c r="N62" s="80" t="s">
        <v>231</v>
      </c>
      <c r="O62" s="80" t="s">
        <v>510</v>
      </c>
      <c r="P62" s="80" t="s">
        <v>231</v>
      </c>
      <c r="Q62" s="80" t="s">
        <v>510</v>
      </c>
      <c r="R62" s="80" t="s">
        <v>231</v>
      </c>
      <c r="S62" s="80" t="s">
        <v>510</v>
      </c>
      <c r="T62" s="80" t="s">
        <v>231</v>
      </c>
      <c r="U62" s="80" t="s">
        <v>510</v>
      </c>
      <c r="V62" s="80" t="s">
        <v>231</v>
      </c>
      <c r="W62" s="80" t="s">
        <v>510</v>
      </c>
      <c r="X62" s="80" t="s">
        <v>231</v>
      </c>
      <c r="Y62" s="80" t="s">
        <v>510</v>
      </c>
      <c r="Z62" s="80" t="s">
        <v>231</v>
      </c>
      <c r="AA62" s="80" t="s">
        <v>510</v>
      </c>
      <c r="AB62" s="80" t="s">
        <v>231</v>
      </c>
      <c r="AC62" s="80" t="s">
        <v>510</v>
      </c>
      <c r="AD62" s="80" t="s">
        <v>231</v>
      </c>
      <c r="AE62" s="80" t="s">
        <v>510</v>
      </c>
      <c r="AF62" s="80" t="s">
        <v>231</v>
      </c>
      <c r="AG62" s="80" t="s">
        <v>510</v>
      </c>
      <c r="AH62" s="80" t="s">
        <v>231</v>
      </c>
      <c r="AI62" s="80" t="s">
        <v>510</v>
      </c>
      <c r="AJ62" s="80" t="s">
        <v>231</v>
      </c>
      <c r="AK62" s="80" t="s">
        <v>510</v>
      </c>
      <c r="AL62" s="80" t="s">
        <v>231</v>
      </c>
    </row>
    <row r="63" spans="1:38" ht="16" x14ac:dyDescent="0.2">
      <c r="A63" s="78" t="s">
        <v>514</v>
      </c>
      <c r="B63" s="78" t="s">
        <v>481</v>
      </c>
      <c r="C63" s="82">
        <v>0</v>
      </c>
      <c r="D63" s="83" t="s">
        <v>231</v>
      </c>
      <c r="E63" s="82">
        <v>0</v>
      </c>
      <c r="F63" s="83" t="s">
        <v>231</v>
      </c>
      <c r="G63" s="82">
        <v>0</v>
      </c>
      <c r="H63" s="83" t="s">
        <v>474</v>
      </c>
      <c r="I63" s="82">
        <v>0</v>
      </c>
      <c r="J63" s="83" t="s">
        <v>231</v>
      </c>
      <c r="K63" s="82">
        <v>0</v>
      </c>
      <c r="L63" s="83" t="s">
        <v>231</v>
      </c>
      <c r="M63" s="82">
        <v>0</v>
      </c>
      <c r="N63" s="83" t="s">
        <v>231</v>
      </c>
      <c r="O63" s="82">
        <v>0</v>
      </c>
      <c r="P63" s="83" t="s">
        <v>231</v>
      </c>
      <c r="Q63" s="82">
        <v>0</v>
      </c>
      <c r="R63" s="83" t="s">
        <v>231</v>
      </c>
      <c r="S63" s="82">
        <v>0</v>
      </c>
      <c r="T63" s="83" t="s">
        <v>231</v>
      </c>
      <c r="U63" s="82">
        <v>0</v>
      </c>
      <c r="V63" s="83" t="s">
        <v>231</v>
      </c>
      <c r="W63" s="82">
        <v>0</v>
      </c>
      <c r="X63" s="83" t="s">
        <v>231</v>
      </c>
      <c r="Y63" s="82">
        <v>0</v>
      </c>
      <c r="Z63" s="83" t="s">
        <v>231</v>
      </c>
      <c r="AA63" s="82">
        <v>0</v>
      </c>
      <c r="AB63" s="83" t="s">
        <v>231</v>
      </c>
      <c r="AC63" s="82">
        <v>0</v>
      </c>
      <c r="AD63" s="83" t="s">
        <v>231</v>
      </c>
      <c r="AE63" s="82">
        <v>0</v>
      </c>
      <c r="AF63" s="83" t="s">
        <v>231</v>
      </c>
      <c r="AG63" s="82">
        <v>0</v>
      </c>
      <c r="AH63" s="83" t="s">
        <v>231</v>
      </c>
      <c r="AI63" s="82">
        <v>0</v>
      </c>
      <c r="AJ63" s="83" t="s">
        <v>231</v>
      </c>
      <c r="AK63" s="82">
        <v>0</v>
      </c>
      <c r="AL63" s="83" t="s">
        <v>231</v>
      </c>
    </row>
    <row r="64" spans="1:38" ht="16" x14ac:dyDescent="0.2">
      <c r="A64" s="78" t="s">
        <v>514</v>
      </c>
      <c r="B64" s="78" t="s">
        <v>482</v>
      </c>
      <c r="C64" s="80" t="s">
        <v>510</v>
      </c>
      <c r="D64" s="80" t="s">
        <v>231</v>
      </c>
      <c r="E64" s="80" t="s">
        <v>510</v>
      </c>
      <c r="F64" s="80" t="s">
        <v>231</v>
      </c>
      <c r="G64" s="80" t="s">
        <v>510</v>
      </c>
      <c r="H64" s="80" t="s">
        <v>231</v>
      </c>
      <c r="I64" s="80" t="s">
        <v>510</v>
      </c>
      <c r="J64" s="80" t="s">
        <v>231</v>
      </c>
      <c r="K64" s="80" t="s">
        <v>510</v>
      </c>
      <c r="L64" s="80" t="s">
        <v>231</v>
      </c>
      <c r="M64" s="80" t="s">
        <v>510</v>
      </c>
      <c r="N64" s="80" t="s">
        <v>231</v>
      </c>
      <c r="O64" s="80" t="s">
        <v>510</v>
      </c>
      <c r="P64" s="80" t="s">
        <v>231</v>
      </c>
      <c r="Q64" s="80" t="s">
        <v>510</v>
      </c>
      <c r="R64" s="80" t="s">
        <v>231</v>
      </c>
      <c r="S64" s="80" t="s">
        <v>510</v>
      </c>
      <c r="T64" s="80" t="s">
        <v>231</v>
      </c>
      <c r="U64" s="80" t="s">
        <v>510</v>
      </c>
      <c r="V64" s="80" t="s">
        <v>231</v>
      </c>
      <c r="W64" s="80" t="s">
        <v>510</v>
      </c>
      <c r="X64" s="80" t="s">
        <v>231</v>
      </c>
      <c r="Y64" s="80" t="s">
        <v>510</v>
      </c>
      <c r="Z64" s="80" t="s">
        <v>231</v>
      </c>
      <c r="AA64" s="80" t="s">
        <v>510</v>
      </c>
      <c r="AB64" s="80" t="s">
        <v>231</v>
      </c>
      <c r="AC64" s="80" t="s">
        <v>510</v>
      </c>
      <c r="AD64" s="80" t="s">
        <v>231</v>
      </c>
      <c r="AE64" s="80" t="s">
        <v>510</v>
      </c>
      <c r="AF64" s="80" t="s">
        <v>231</v>
      </c>
      <c r="AG64" s="80" t="s">
        <v>510</v>
      </c>
      <c r="AH64" s="80" t="s">
        <v>231</v>
      </c>
      <c r="AI64" s="80" t="s">
        <v>510</v>
      </c>
      <c r="AJ64" s="80" t="s">
        <v>231</v>
      </c>
      <c r="AK64" s="80" t="s">
        <v>510</v>
      </c>
      <c r="AL64" s="80" t="s">
        <v>231</v>
      </c>
    </row>
    <row r="65" spans="1:44" ht="16" x14ac:dyDescent="0.2">
      <c r="A65" s="78" t="s">
        <v>514</v>
      </c>
      <c r="B65" s="78" t="s">
        <v>483</v>
      </c>
      <c r="C65" s="83" t="s">
        <v>510</v>
      </c>
      <c r="D65" s="83" t="s">
        <v>231</v>
      </c>
      <c r="E65" s="83" t="s">
        <v>510</v>
      </c>
      <c r="F65" s="83" t="s">
        <v>231</v>
      </c>
      <c r="G65" s="83" t="s">
        <v>510</v>
      </c>
      <c r="H65" s="83" t="s">
        <v>231</v>
      </c>
      <c r="I65" s="83" t="s">
        <v>510</v>
      </c>
      <c r="J65" s="83" t="s">
        <v>231</v>
      </c>
      <c r="K65" s="83" t="s">
        <v>510</v>
      </c>
      <c r="L65" s="83" t="s">
        <v>231</v>
      </c>
      <c r="M65" s="83" t="s">
        <v>510</v>
      </c>
      <c r="N65" s="83" t="s">
        <v>231</v>
      </c>
      <c r="O65" s="83" t="s">
        <v>510</v>
      </c>
      <c r="P65" s="83" t="s">
        <v>231</v>
      </c>
      <c r="Q65" s="83" t="s">
        <v>510</v>
      </c>
      <c r="R65" s="83" t="s">
        <v>231</v>
      </c>
      <c r="S65" s="83" t="s">
        <v>510</v>
      </c>
      <c r="T65" s="83" t="s">
        <v>231</v>
      </c>
      <c r="U65" s="83" t="s">
        <v>510</v>
      </c>
      <c r="V65" s="83" t="s">
        <v>231</v>
      </c>
      <c r="W65" s="83" t="s">
        <v>510</v>
      </c>
      <c r="X65" s="83" t="s">
        <v>231</v>
      </c>
      <c r="Y65" s="83" t="s">
        <v>510</v>
      </c>
      <c r="Z65" s="83" t="s">
        <v>231</v>
      </c>
      <c r="AA65" s="83" t="s">
        <v>510</v>
      </c>
      <c r="AB65" s="83" t="s">
        <v>231</v>
      </c>
      <c r="AC65" s="83" t="s">
        <v>510</v>
      </c>
      <c r="AD65" s="83" t="s">
        <v>231</v>
      </c>
      <c r="AE65" s="83" t="s">
        <v>510</v>
      </c>
      <c r="AF65" s="83" t="s">
        <v>231</v>
      </c>
      <c r="AG65" s="83" t="s">
        <v>510</v>
      </c>
      <c r="AH65" s="83" t="s">
        <v>231</v>
      </c>
      <c r="AI65" s="83" t="s">
        <v>510</v>
      </c>
      <c r="AJ65" s="83" t="s">
        <v>231</v>
      </c>
      <c r="AK65" s="83" t="s">
        <v>510</v>
      </c>
      <c r="AL65" s="83" t="s">
        <v>231</v>
      </c>
    </row>
    <row r="66" spans="1:44" ht="16" x14ac:dyDescent="0.2">
      <c r="A66" s="78" t="s">
        <v>514</v>
      </c>
      <c r="B66" s="78" t="s">
        <v>484</v>
      </c>
      <c r="C66" s="80" t="s">
        <v>510</v>
      </c>
      <c r="D66" s="80" t="s">
        <v>231</v>
      </c>
      <c r="E66" s="80" t="s">
        <v>510</v>
      </c>
      <c r="F66" s="80" t="s">
        <v>231</v>
      </c>
      <c r="G66" s="80" t="s">
        <v>510</v>
      </c>
      <c r="H66" s="80" t="s">
        <v>231</v>
      </c>
      <c r="I66" s="80" t="s">
        <v>510</v>
      </c>
      <c r="J66" s="80" t="s">
        <v>231</v>
      </c>
      <c r="K66" s="80" t="s">
        <v>510</v>
      </c>
      <c r="L66" s="80" t="s">
        <v>231</v>
      </c>
      <c r="M66" s="80" t="s">
        <v>510</v>
      </c>
      <c r="N66" s="80" t="s">
        <v>231</v>
      </c>
      <c r="O66" s="80" t="s">
        <v>510</v>
      </c>
      <c r="P66" s="80" t="s">
        <v>231</v>
      </c>
      <c r="Q66" s="80" t="s">
        <v>510</v>
      </c>
      <c r="R66" s="80" t="s">
        <v>231</v>
      </c>
      <c r="S66" s="80" t="s">
        <v>510</v>
      </c>
      <c r="T66" s="80" t="s">
        <v>231</v>
      </c>
      <c r="U66" s="80" t="s">
        <v>510</v>
      </c>
      <c r="V66" s="80" t="s">
        <v>231</v>
      </c>
      <c r="W66" s="80" t="s">
        <v>510</v>
      </c>
      <c r="X66" s="80" t="s">
        <v>231</v>
      </c>
      <c r="Y66" s="80" t="s">
        <v>510</v>
      </c>
      <c r="Z66" s="80" t="s">
        <v>231</v>
      </c>
      <c r="AA66" s="80" t="s">
        <v>510</v>
      </c>
      <c r="AB66" s="80" t="s">
        <v>231</v>
      </c>
      <c r="AC66" s="80" t="s">
        <v>510</v>
      </c>
      <c r="AD66" s="80" t="s">
        <v>231</v>
      </c>
      <c r="AE66" s="80" t="s">
        <v>510</v>
      </c>
      <c r="AF66" s="80" t="s">
        <v>231</v>
      </c>
      <c r="AG66" s="80" t="s">
        <v>510</v>
      </c>
      <c r="AH66" s="80" t="s">
        <v>231</v>
      </c>
      <c r="AI66" s="80" t="s">
        <v>510</v>
      </c>
      <c r="AJ66" s="80" t="s">
        <v>231</v>
      </c>
      <c r="AK66" s="80" t="s">
        <v>510</v>
      </c>
      <c r="AL66" s="80" t="s">
        <v>231</v>
      </c>
    </row>
    <row r="67" spans="1:44" ht="16" x14ac:dyDescent="0.2">
      <c r="A67" s="78" t="s">
        <v>514</v>
      </c>
      <c r="B67" s="78" t="s">
        <v>489</v>
      </c>
      <c r="C67" s="83" t="s">
        <v>510</v>
      </c>
      <c r="D67" s="83" t="s">
        <v>231</v>
      </c>
      <c r="E67" s="83" t="s">
        <v>510</v>
      </c>
      <c r="F67" s="83" t="s">
        <v>231</v>
      </c>
      <c r="G67" s="83" t="s">
        <v>510</v>
      </c>
      <c r="H67" s="83" t="s">
        <v>231</v>
      </c>
      <c r="I67" s="83" t="s">
        <v>510</v>
      </c>
      <c r="J67" s="83" t="s">
        <v>231</v>
      </c>
      <c r="K67" s="83" t="s">
        <v>510</v>
      </c>
      <c r="L67" s="83" t="s">
        <v>231</v>
      </c>
      <c r="M67" s="83" t="s">
        <v>510</v>
      </c>
      <c r="N67" s="83" t="s">
        <v>231</v>
      </c>
      <c r="O67" s="83" t="s">
        <v>510</v>
      </c>
      <c r="P67" s="83" t="s">
        <v>231</v>
      </c>
      <c r="Q67" s="83" t="s">
        <v>510</v>
      </c>
      <c r="R67" s="83" t="s">
        <v>231</v>
      </c>
      <c r="S67" s="83" t="s">
        <v>510</v>
      </c>
      <c r="T67" s="83" t="s">
        <v>231</v>
      </c>
      <c r="U67" s="83" t="s">
        <v>510</v>
      </c>
      <c r="V67" s="83" t="s">
        <v>231</v>
      </c>
      <c r="W67" s="83" t="s">
        <v>510</v>
      </c>
      <c r="X67" s="83" t="s">
        <v>231</v>
      </c>
      <c r="Y67" s="83" t="s">
        <v>510</v>
      </c>
      <c r="Z67" s="83" t="s">
        <v>231</v>
      </c>
      <c r="AA67" s="83" t="s">
        <v>510</v>
      </c>
      <c r="AB67" s="83" t="s">
        <v>231</v>
      </c>
      <c r="AC67" s="83" t="s">
        <v>510</v>
      </c>
      <c r="AD67" s="83" t="s">
        <v>231</v>
      </c>
      <c r="AE67" s="83" t="s">
        <v>510</v>
      </c>
      <c r="AF67" s="83" t="s">
        <v>231</v>
      </c>
      <c r="AG67" s="83" t="s">
        <v>510</v>
      </c>
      <c r="AH67" s="83" t="s">
        <v>231</v>
      </c>
      <c r="AI67" s="83" t="s">
        <v>510</v>
      </c>
      <c r="AJ67" s="83" t="s">
        <v>231</v>
      </c>
      <c r="AK67" s="83" t="s">
        <v>510</v>
      </c>
      <c r="AL67" s="83" t="s">
        <v>231</v>
      </c>
      <c r="AO67" t="s">
        <v>515</v>
      </c>
    </row>
    <row r="68" spans="1:44" ht="16" x14ac:dyDescent="0.2">
      <c r="A68" s="78" t="s">
        <v>514</v>
      </c>
      <c r="B68" s="78" t="s">
        <v>491</v>
      </c>
      <c r="C68" s="80" t="s">
        <v>510</v>
      </c>
      <c r="D68" s="80" t="s">
        <v>231</v>
      </c>
      <c r="E68" s="80" t="s">
        <v>510</v>
      </c>
      <c r="F68" s="80" t="s">
        <v>231</v>
      </c>
      <c r="G68" s="80" t="s">
        <v>510</v>
      </c>
      <c r="H68" s="80" t="s">
        <v>231</v>
      </c>
      <c r="I68" s="80" t="s">
        <v>510</v>
      </c>
      <c r="J68" s="80" t="s">
        <v>231</v>
      </c>
      <c r="K68" s="80" t="s">
        <v>510</v>
      </c>
      <c r="L68" s="80" t="s">
        <v>231</v>
      </c>
      <c r="M68" s="80" t="s">
        <v>510</v>
      </c>
      <c r="N68" s="80" t="s">
        <v>231</v>
      </c>
      <c r="O68" s="80" t="s">
        <v>510</v>
      </c>
      <c r="P68" s="80" t="s">
        <v>231</v>
      </c>
      <c r="Q68" s="80" t="s">
        <v>510</v>
      </c>
      <c r="R68" s="80" t="s">
        <v>231</v>
      </c>
      <c r="S68" s="80" t="s">
        <v>510</v>
      </c>
      <c r="T68" s="80" t="s">
        <v>231</v>
      </c>
      <c r="U68" s="80" t="s">
        <v>510</v>
      </c>
      <c r="V68" s="80" t="s">
        <v>231</v>
      </c>
      <c r="W68" s="80" t="s">
        <v>510</v>
      </c>
      <c r="X68" s="80" t="s">
        <v>231</v>
      </c>
      <c r="Y68" s="80" t="s">
        <v>510</v>
      </c>
      <c r="Z68" s="80" t="s">
        <v>231</v>
      </c>
      <c r="AA68" s="80" t="s">
        <v>510</v>
      </c>
      <c r="AB68" s="80" t="s">
        <v>231</v>
      </c>
      <c r="AC68" s="80" t="s">
        <v>510</v>
      </c>
      <c r="AD68" s="80" t="s">
        <v>231</v>
      </c>
      <c r="AE68" s="80" t="s">
        <v>510</v>
      </c>
      <c r="AF68" s="80" t="s">
        <v>231</v>
      </c>
      <c r="AG68" s="80" t="s">
        <v>510</v>
      </c>
      <c r="AH68" s="80" t="s">
        <v>231</v>
      </c>
      <c r="AI68" s="80" t="s">
        <v>510</v>
      </c>
      <c r="AJ68" s="80" t="s">
        <v>231</v>
      </c>
      <c r="AK68" s="80" t="s">
        <v>510</v>
      </c>
      <c r="AL68" s="80" t="s">
        <v>231</v>
      </c>
      <c r="AO68" t="s">
        <v>516</v>
      </c>
    </row>
    <row r="69" spans="1:44" ht="16" x14ac:dyDescent="0.2">
      <c r="A69" s="78" t="s">
        <v>514</v>
      </c>
      <c r="B69" s="78" t="s">
        <v>493</v>
      </c>
      <c r="C69" s="82">
        <v>0</v>
      </c>
      <c r="D69" s="83" t="s">
        <v>231</v>
      </c>
      <c r="E69" s="82">
        <v>0</v>
      </c>
      <c r="F69" s="83" t="s">
        <v>231</v>
      </c>
      <c r="G69" s="82">
        <v>0</v>
      </c>
      <c r="H69" s="83" t="s">
        <v>474</v>
      </c>
      <c r="I69" s="82">
        <v>0</v>
      </c>
      <c r="J69" s="83" t="s">
        <v>231</v>
      </c>
      <c r="K69" s="82">
        <v>0</v>
      </c>
      <c r="L69" s="83" t="s">
        <v>231</v>
      </c>
      <c r="M69" s="82">
        <v>0</v>
      </c>
      <c r="N69" s="83" t="s">
        <v>231</v>
      </c>
      <c r="O69" s="82">
        <v>0</v>
      </c>
      <c r="P69" s="83" t="s">
        <v>231</v>
      </c>
      <c r="Q69" s="82">
        <v>0</v>
      </c>
      <c r="R69" s="83" t="s">
        <v>231</v>
      </c>
      <c r="S69" s="82">
        <v>0</v>
      </c>
      <c r="T69" s="83" t="s">
        <v>231</v>
      </c>
      <c r="U69" s="82">
        <v>0</v>
      </c>
      <c r="V69" s="83" t="s">
        <v>231</v>
      </c>
      <c r="W69" s="82">
        <v>0</v>
      </c>
      <c r="X69" s="83" t="s">
        <v>231</v>
      </c>
      <c r="Y69" s="82">
        <v>0</v>
      </c>
      <c r="Z69" s="83" t="s">
        <v>231</v>
      </c>
      <c r="AA69" s="82">
        <v>0</v>
      </c>
      <c r="AB69" s="83" t="s">
        <v>231</v>
      </c>
      <c r="AC69" s="82">
        <v>0</v>
      </c>
      <c r="AD69" s="83" t="s">
        <v>231</v>
      </c>
      <c r="AE69" s="82">
        <v>0</v>
      </c>
      <c r="AF69" s="83" t="s">
        <v>231</v>
      </c>
      <c r="AG69" s="82">
        <v>0</v>
      </c>
      <c r="AH69" s="83" t="s">
        <v>231</v>
      </c>
      <c r="AI69" s="82">
        <v>0</v>
      </c>
      <c r="AJ69" s="83" t="s">
        <v>231</v>
      </c>
      <c r="AK69" s="82">
        <v>0</v>
      </c>
      <c r="AL69" s="83" t="s">
        <v>231</v>
      </c>
    </row>
    <row r="70" spans="1:44" ht="16" x14ac:dyDescent="0.2">
      <c r="A70" s="78" t="s">
        <v>514</v>
      </c>
      <c r="B70" s="78" t="s">
        <v>495</v>
      </c>
      <c r="C70" s="80" t="s">
        <v>510</v>
      </c>
      <c r="D70" s="80" t="s">
        <v>231</v>
      </c>
      <c r="E70" s="80" t="s">
        <v>510</v>
      </c>
      <c r="F70" s="80" t="s">
        <v>231</v>
      </c>
      <c r="G70" s="80" t="s">
        <v>510</v>
      </c>
      <c r="H70" s="80" t="s">
        <v>231</v>
      </c>
      <c r="I70" s="80" t="s">
        <v>510</v>
      </c>
      <c r="J70" s="80" t="s">
        <v>231</v>
      </c>
      <c r="K70" s="80" t="s">
        <v>510</v>
      </c>
      <c r="L70" s="80" t="s">
        <v>231</v>
      </c>
      <c r="M70" s="80" t="s">
        <v>510</v>
      </c>
      <c r="N70" s="80" t="s">
        <v>231</v>
      </c>
      <c r="O70" s="80" t="s">
        <v>510</v>
      </c>
      <c r="P70" s="80" t="s">
        <v>231</v>
      </c>
      <c r="Q70" s="80" t="s">
        <v>510</v>
      </c>
      <c r="R70" s="80" t="s">
        <v>231</v>
      </c>
      <c r="S70" s="80" t="s">
        <v>510</v>
      </c>
      <c r="T70" s="80" t="s">
        <v>231</v>
      </c>
      <c r="U70" s="80" t="s">
        <v>510</v>
      </c>
      <c r="V70" s="80" t="s">
        <v>231</v>
      </c>
      <c r="W70" s="80" t="s">
        <v>510</v>
      </c>
      <c r="X70" s="80" t="s">
        <v>231</v>
      </c>
      <c r="Y70" s="80" t="s">
        <v>510</v>
      </c>
      <c r="Z70" s="80" t="s">
        <v>231</v>
      </c>
      <c r="AA70" s="80" t="s">
        <v>510</v>
      </c>
      <c r="AB70" s="80" t="s">
        <v>231</v>
      </c>
      <c r="AC70" s="80" t="s">
        <v>510</v>
      </c>
      <c r="AD70" s="80" t="s">
        <v>231</v>
      </c>
      <c r="AE70" s="80" t="s">
        <v>510</v>
      </c>
      <c r="AF70" s="80" t="s">
        <v>231</v>
      </c>
      <c r="AG70" s="80" t="s">
        <v>510</v>
      </c>
      <c r="AH70" s="80" t="s">
        <v>231</v>
      </c>
      <c r="AI70" s="80" t="s">
        <v>510</v>
      </c>
      <c r="AJ70" s="80" t="s">
        <v>231</v>
      </c>
      <c r="AK70" s="80" t="s">
        <v>510</v>
      </c>
      <c r="AL70" s="80" t="s">
        <v>231</v>
      </c>
    </row>
    <row r="71" spans="1:44" ht="16" x14ac:dyDescent="0.2">
      <c r="A71" s="78" t="s">
        <v>514</v>
      </c>
      <c r="B71" s="78" t="s">
        <v>497</v>
      </c>
      <c r="C71" s="83" t="s">
        <v>510</v>
      </c>
      <c r="D71" s="83" t="s">
        <v>231</v>
      </c>
      <c r="E71" s="83" t="s">
        <v>510</v>
      </c>
      <c r="F71" s="83" t="s">
        <v>231</v>
      </c>
      <c r="G71" s="83" t="s">
        <v>510</v>
      </c>
      <c r="H71" s="83" t="s">
        <v>231</v>
      </c>
      <c r="I71" s="83" t="s">
        <v>510</v>
      </c>
      <c r="J71" s="83" t="s">
        <v>231</v>
      </c>
      <c r="K71" s="83" t="s">
        <v>510</v>
      </c>
      <c r="L71" s="83" t="s">
        <v>231</v>
      </c>
      <c r="M71" s="83" t="s">
        <v>510</v>
      </c>
      <c r="N71" s="83" t="s">
        <v>231</v>
      </c>
      <c r="O71" s="83" t="s">
        <v>510</v>
      </c>
      <c r="P71" s="83" t="s">
        <v>231</v>
      </c>
      <c r="Q71" s="83" t="s">
        <v>510</v>
      </c>
      <c r="R71" s="83" t="s">
        <v>231</v>
      </c>
      <c r="S71" s="83" t="s">
        <v>510</v>
      </c>
      <c r="T71" s="83" t="s">
        <v>231</v>
      </c>
      <c r="U71" s="83" t="s">
        <v>510</v>
      </c>
      <c r="V71" s="83" t="s">
        <v>231</v>
      </c>
      <c r="W71" s="83" t="s">
        <v>510</v>
      </c>
      <c r="X71" s="83" t="s">
        <v>231</v>
      </c>
      <c r="Y71" s="83" t="s">
        <v>510</v>
      </c>
      <c r="Z71" s="83" t="s">
        <v>231</v>
      </c>
      <c r="AA71" s="83" t="s">
        <v>510</v>
      </c>
      <c r="AB71" s="83" t="s">
        <v>231</v>
      </c>
      <c r="AC71" s="83" t="s">
        <v>510</v>
      </c>
      <c r="AD71" s="83" t="s">
        <v>231</v>
      </c>
      <c r="AE71" s="83" t="s">
        <v>510</v>
      </c>
      <c r="AF71" s="83" t="s">
        <v>231</v>
      </c>
      <c r="AG71" s="83" t="s">
        <v>510</v>
      </c>
      <c r="AH71" s="83" t="s">
        <v>231</v>
      </c>
      <c r="AI71" s="83" t="s">
        <v>510</v>
      </c>
      <c r="AJ71" s="83" t="s">
        <v>231</v>
      </c>
      <c r="AK71" s="83" t="s">
        <v>510</v>
      </c>
      <c r="AL71" s="83" t="s">
        <v>231</v>
      </c>
    </row>
    <row r="72" spans="1:44" ht="16" x14ac:dyDescent="0.2">
      <c r="A72" s="78" t="s">
        <v>514</v>
      </c>
      <c r="B72" s="78" t="s">
        <v>498</v>
      </c>
      <c r="C72" s="80" t="s">
        <v>510</v>
      </c>
      <c r="D72" s="80" t="s">
        <v>231</v>
      </c>
      <c r="E72" s="80" t="s">
        <v>510</v>
      </c>
      <c r="F72" s="80" t="s">
        <v>231</v>
      </c>
      <c r="G72" s="80" t="s">
        <v>510</v>
      </c>
      <c r="H72" s="80" t="s">
        <v>231</v>
      </c>
      <c r="I72" s="80" t="s">
        <v>510</v>
      </c>
      <c r="J72" s="80" t="s">
        <v>231</v>
      </c>
      <c r="K72" s="80" t="s">
        <v>510</v>
      </c>
      <c r="L72" s="80" t="s">
        <v>231</v>
      </c>
      <c r="M72" s="80" t="s">
        <v>510</v>
      </c>
      <c r="N72" s="80" t="s">
        <v>231</v>
      </c>
      <c r="O72" s="80" t="s">
        <v>510</v>
      </c>
      <c r="P72" s="80" t="s">
        <v>231</v>
      </c>
      <c r="Q72" s="80" t="s">
        <v>510</v>
      </c>
      <c r="R72" s="80" t="s">
        <v>231</v>
      </c>
      <c r="S72" s="80" t="s">
        <v>510</v>
      </c>
      <c r="T72" s="80" t="s">
        <v>231</v>
      </c>
      <c r="U72" s="80" t="s">
        <v>510</v>
      </c>
      <c r="V72" s="80" t="s">
        <v>231</v>
      </c>
      <c r="W72" s="80" t="s">
        <v>510</v>
      </c>
      <c r="X72" s="80" t="s">
        <v>231</v>
      </c>
      <c r="Y72" s="80" t="s">
        <v>510</v>
      </c>
      <c r="Z72" s="80" t="s">
        <v>231</v>
      </c>
      <c r="AA72" s="80" t="s">
        <v>510</v>
      </c>
      <c r="AB72" s="80" t="s">
        <v>231</v>
      </c>
      <c r="AC72" s="80" t="s">
        <v>510</v>
      </c>
      <c r="AD72" s="80" t="s">
        <v>231</v>
      </c>
      <c r="AE72" s="80" t="s">
        <v>510</v>
      </c>
      <c r="AF72" s="80" t="s">
        <v>231</v>
      </c>
      <c r="AG72" s="80" t="s">
        <v>510</v>
      </c>
      <c r="AH72" s="80" t="s">
        <v>231</v>
      </c>
      <c r="AI72" s="80" t="s">
        <v>510</v>
      </c>
      <c r="AJ72" s="80" t="s">
        <v>231</v>
      </c>
      <c r="AK72" s="80" t="s">
        <v>510</v>
      </c>
      <c r="AL72" s="80" t="s">
        <v>231</v>
      </c>
    </row>
    <row r="73" spans="1:44" ht="16" x14ac:dyDescent="0.2">
      <c r="A73" s="78" t="s">
        <v>514</v>
      </c>
      <c r="B73" s="78" t="s">
        <v>500</v>
      </c>
      <c r="C73" s="82">
        <v>0</v>
      </c>
      <c r="D73" s="83" t="s">
        <v>231</v>
      </c>
      <c r="E73" s="82">
        <v>0</v>
      </c>
      <c r="F73" s="83" t="s">
        <v>231</v>
      </c>
      <c r="G73" s="82">
        <v>0</v>
      </c>
      <c r="H73" s="83" t="s">
        <v>474</v>
      </c>
      <c r="I73" s="82">
        <v>0</v>
      </c>
      <c r="J73" s="83" t="s">
        <v>231</v>
      </c>
      <c r="K73" s="82">
        <v>0</v>
      </c>
      <c r="L73" s="83" t="s">
        <v>231</v>
      </c>
      <c r="M73" s="82">
        <v>0</v>
      </c>
      <c r="N73" s="83" t="s">
        <v>231</v>
      </c>
      <c r="O73" s="82">
        <v>0</v>
      </c>
      <c r="P73" s="83" t="s">
        <v>231</v>
      </c>
      <c r="Q73" s="82">
        <v>0</v>
      </c>
      <c r="R73" s="83" t="s">
        <v>231</v>
      </c>
      <c r="S73" s="82">
        <v>0</v>
      </c>
      <c r="T73" s="83" t="s">
        <v>231</v>
      </c>
      <c r="U73" s="82">
        <v>0</v>
      </c>
      <c r="V73" s="83" t="s">
        <v>231</v>
      </c>
      <c r="W73" s="82">
        <v>0</v>
      </c>
      <c r="X73" s="83" t="s">
        <v>231</v>
      </c>
      <c r="Y73" s="82">
        <v>0</v>
      </c>
      <c r="Z73" s="83" t="s">
        <v>231</v>
      </c>
      <c r="AA73" s="82">
        <v>0</v>
      </c>
      <c r="AB73" s="83" t="s">
        <v>231</v>
      </c>
      <c r="AC73" s="82">
        <v>0</v>
      </c>
      <c r="AD73" s="83" t="s">
        <v>231</v>
      </c>
      <c r="AE73" s="82">
        <v>0</v>
      </c>
      <c r="AF73" s="83" t="s">
        <v>231</v>
      </c>
      <c r="AG73" s="82">
        <v>0</v>
      </c>
      <c r="AH73" s="83" t="s">
        <v>231</v>
      </c>
      <c r="AI73" s="82">
        <v>0</v>
      </c>
      <c r="AJ73" s="83" t="s">
        <v>231</v>
      </c>
      <c r="AK73" s="82">
        <v>0</v>
      </c>
      <c r="AL73" s="83" t="s">
        <v>231</v>
      </c>
    </row>
    <row r="74" spans="1:44" ht="16" x14ac:dyDescent="0.2">
      <c r="A74" s="78" t="s">
        <v>514</v>
      </c>
      <c r="B74" s="78" t="s">
        <v>502</v>
      </c>
      <c r="C74" s="79">
        <v>0</v>
      </c>
      <c r="D74" s="80" t="s">
        <v>231</v>
      </c>
      <c r="E74" s="79">
        <v>0</v>
      </c>
      <c r="F74" s="80" t="s">
        <v>231</v>
      </c>
      <c r="G74" s="79">
        <v>0</v>
      </c>
      <c r="H74" s="80" t="s">
        <v>474</v>
      </c>
      <c r="I74" s="79">
        <v>0</v>
      </c>
      <c r="J74" s="80" t="s">
        <v>231</v>
      </c>
      <c r="K74" s="79">
        <v>0</v>
      </c>
      <c r="L74" s="80" t="s">
        <v>231</v>
      </c>
      <c r="M74" s="79">
        <v>0</v>
      </c>
      <c r="N74" s="80" t="s">
        <v>231</v>
      </c>
      <c r="O74" s="79">
        <v>0</v>
      </c>
      <c r="P74" s="80" t="s">
        <v>231</v>
      </c>
      <c r="Q74" s="79">
        <v>0</v>
      </c>
      <c r="R74" s="80" t="s">
        <v>231</v>
      </c>
      <c r="S74" s="79">
        <v>0</v>
      </c>
      <c r="T74" s="80" t="s">
        <v>231</v>
      </c>
      <c r="U74" s="79">
        <v>0</v>
      </c>
      <c r="V74" s="80" t="s">
        <v>231</v>
      </c>
      <c r="W74" s="79">
        <v>0</v>
      </c>
      <c r="X74" s="80" t="s">
        <v>231</v>
      </c>
      <c r="Y74" s="79">
        <v>0</v>
      </c>
      <c r="Z74" s="80" t="s">
        <v>231</v>
      </c>
      <c r="AA74" s="79">
        <v>0</v>
      </c>
      <c r="AB74" s="80" t="s">
        <v>231</v>
      </c>
      <c r="AC74" s="79">
        <v>0</v>
      </c>
      <c r="AD74" s="80" t="s">
        <v>231</v>
      </c>
      <c r="AE74" s="79">
        <v>0</v>
      </c>
      <c r="AF74" s="80" t="s">
        <v>231</v>
      </c>
      <c r="AG74" s="79">
        <v>0</v>
      </c>
      <c r="AH74" s="80" t="s">
        <v>231</v>
      </c>
      <c r="AI74" s="79">
        <v>0</v>
      </c>
      <c r="AJ74" s="80" t="s">
        <v>231</v>
      </c>
      <c r="AK74" s="79">
        <v>0</v>
      </c>
      <c r="AL74" s="80" t="s">
        <v>231</v>
      </c>
    </row>
    <row r="75" spans="1:44" ht="16" x14ac:dyDescent="0.2">
      <c r="A75" s="78" t="s">
        <v>514</v>
      </c>
      <c r="B75" s="78" t="s">
        <v>503</v>
      </c>
      <c r="C75" s="83" t="s">
        <v>510</v>
      </c>
      <c r="D75" s="83" t="s">
        <v>231</v>
      </c>
      <c r="E75" s="83" t="s">
        <v>510</v>
      </c>
      <c r="F75" s="83" t="s">
        <v>231</v>
      </c>
      <c r="G75" s="83" t="s">
        <v>510</v>
      </c>
      <c r="H75" s="83" t="s">
        <v>231</v>
      </c>
      <c r="I75" s="83" t="s">
        <v>510</v>
      </c>
      <c r="J75" s="83" t="s">
        <v>231</v>
      </c>
      <c r="K75" s="83" t="s">
        <v>510</v>
      </c>
      <c r="L75" s="83" t="s">
        <v>231</v>
      </c>
      <c r="M75" s="83" t="s">
        <v>510</v>
      </c>
      <c r="N75" s="83" t="s">
        <v>231</v>
      </c>
      <c r="O75" s="83" t="s">
        <v>510</v>
      </c>
      <c r="P75" s="83" t="s">
        <v>231</v>
      </c>
      <c r="Q75" s="83" t="s">
        <v>510</v>
      </c>
      <c r="R75" s="83" t="s">
        <v>231</v>
      </c>
      <c r="S75" s="83" t="s">
        <v>510</v>
      </c>
      <c r="T75" s="83" t="s">
        <v>231</v>
      </c>
      <c r="U75" s="83" t="s">
        <v>510</v>
      </c>
      <c r="V75" s="83" t="s">
        <v>231</v>
      </c>
      <c r="W75" s="83" t="s">
        <v>510</v>
      </c>
      <c r="X75" s="83" t="s">
        <v>231</v>
      </c>
      <c r="Y75" s="83" t="s">
        <v>510</v>
      </c>
      <c r="Z75" s="83" t="s">
        <v>231</v>
      </c>
      <c r="AA75" s="83" t="s">
        <v>510</v>
      </c>
      <c r="AB75" s="83" t="s">
        <v>231</v>
      </c>
      <c r="AC75" s="83" t="s">
        <v>510</v>
      </c>
      <c r="AD75" s="83" t="s">
        <v>231</v>
      </c>
      <c r="AE75" s="83" t="s">
        <v>510</v>
      </c>
      <c r="AF75" s="83" t="s">
        <v>231</v>
      </c>
      <c r="AG75" s="83" t="s">
        <v>510</v>
      </c>
      <c r="AH75" s="83" t="s">
        <v>231</v>
      </c>
      <c r="AI75" s="83" t="s">
        <v>510</v>
      </c>
      <c r="AJ75" s="83" t="s">
        <v>231</v>
      </c>
      <c r="AK75" s="83" t="s">
        <v>510</v>
      </c>
      <c r="AL75" s="83" t="s">
        <v>231</v>
      </c>
    </row>
    <row r="76" spans="1:44" ht="16" x14ac:dyDescent="0.2">
      <c r="A76" s="78" t="s">
        <v>514</v>
      </c>
      <c r="B76" s="78" t="s">
        <v>504</v>
      </c>
      <c r="C76" s="79">
        <v>0</v>
      </c>
      <c r="D76" s="80" t="s">
        <v>231</v>
      </c>
      <c r="E76" s="79">
        <v>0</v>
      </c>
      <c r="F76" s="80" t="s">
        <v>231</v>
      </c>
      <c r="G76" s="79">
        <v>0</v>
      </c>
      <c r="H76" s="80" t="s">
        <v>474</v>
      </c>
      <c r="I76" s="79">
        <v>0</v>
      </c>
      <c r="J76" s="80" t="s">
        <v>231</v>
      </c>
      <c r="K76" s="79">
        <v>0</v>
      </c>
      <c r="L76" s="80" t="s">
        <v>231</v>
      </c>
      <c r="M76" s="79">
        <v>0</v>
      </c>
      <c r="N76" s="80" t="s">
        <v>231</v>
      </c>
      <c r="O76" s="79">
        <v>0</v>
      </c>
      <c r="P76" s="80" t="s">
        <v>231</v>
      </c>
      <c r="Q76" s="79">
        <v>0</v>
      </c>
      <c r="R76" s="80" t="s">
        <v>231</v>
      </c>
      <c r="S76" s="79">
        <v>0</v>
      </c>
      <c r="T76" s="80" t="s">
        <v>231</v>
      </c>
      <c r="U76" s="79">
        <v>0</v>
      </c>
      <c r="V76" s="80" t="s">
        <v>231</v>
      </c>
      <c r="W76" s="79">
        <v>0</v>
      </c>
      <c r="X76" s="80" t="s">
        <v>231</v>
      </c>
      <c r="Y76" s="79">
        <v>0</v>
      </c>
      <c r="Z76" s="80" t="s">
        <v>231</v>
      </c>
      <c r="AA76" s="79">
        <v>0</v>
      </c>
      <c r="AB76" s="80" t="s">
        <v>231</v>
      </c>
      <c r="AC76" s="79">
        <v>0</v>
      </c>
      <c r="AD76" s="80" t="s">
        <v>231</v>
      </c>
      <c r="AE76" s="79">
        <v>0</v>
      </c>
      <c r="AF76" s="80" t="s">
        <v>231</v>
      </c>
      <c r="AG76" s="79">
        <v>0</v>
      </c>
      <c r="AH76" s="80" t="s">
        <v>231</v>
      </c>
      <c r="AI76" s="79">
        <v>0</v>
      </c>
      <c r="AJ76" s="80" t="s">
        <v>231</v>
      </c>
      <c r="AK76" s="79">
        <v>0</v>
      </c>
      <c r="AL76" s="80" t="s">
        <v>231</v>
      </c>
    </row>
    <row r="77" spans="1:44" ht="16" x14ac:dyDescent="0.2">
      <c r="A77" s="78" t="s">
        <v>514</v>
      </c>
      <c r="B77" s="78" t="s">
        <v>506</v>
      </c>
      <c r="C77" s="82">
        <v>0</v>
      </c>
      <c r="D77" s="83" t="s">
        <v>231</v>
      </c>
      <c r="E77" s="82">
        <v>0</v>
      </c>
      <c r="F77" s="83" t="s">
        <v>231</v>
      </c>
      <c r="G77" s="82">
        <v>0</v>
      </c>
      <c r="H77" s="83" t="s">
        <v>474</v>
      </c>
      <c r="I77" s="82">
        <v>0</v>
      </c>
      <c r="J77" s="83" t="s">
        <v>231</v>
      </c>
      <c r="K77" s="82">
        <v>0</v>
      </c>
      <c r="L77" s="83" t="s">
        <v>231</v>
      </c>
      <c r="M77" s="82">
        <v>0</v>
      </c>
      <c r="N77" s="83" t="s">
        <v>231</v>
      </c>
      <c r="O77" s="82">
        <v>0</v>
      </c>
      <c r="P77" s="83" t="s">
        <v>231</v>
      </c>
      <c r="Q77" s="82">
        <v>0</v>
      </c>
      <c r="R77" s="83" t="s">
        <v>231</v>
      </c>
      <c r="S77" s="82">
        <v>0</v>
      </c>
      <c r="T77" s="83" t="s">
        <v>231</v>
      </c>
      <c r="U77" s="82">
        <v>0</v>
      </c>
      <c r="V77" s="83" t="s">
        <v>231</v>
      </c>
      <c r="W77" s="82">
        <v>0</v>
      </c>
      <c r="X77" s="83" t="s">
        <v>231</v>
      </c>
      <c r="Y77" s="82">
        <v>0</v>
      </c>
      <c r="Z77" s="83" t="s">
        <v>231</v>
      </c>
      <c r="AA77" s="82">
        <v>0</v>
      </c>
      <c r="AB77" s="83" t="s">
        <v>231</v>
      </c>
      <c r="AC77" s="82">
        <v>0</v>
      </c>
      <c r="AD77" s="83" t="s">
        <v>231</v>
      </c>
      <c r="AE77" s="82">
        <v>0</v>
      </c>
      <c r="AF77" s="83" t="s">
        <v>231</v>
      </c>
      <c r="AG77" s="82">
        <v>0</v>
      </c>
      <c r="AH77" s="83" t="s">
        <v>231</v>
      </c>
      <c r="AI77" s="82">
        <v>0</v>
      </c>
      <c r="AJ77" s="83" t="s">
        <v>231</v>
      </c>
      <c r="AK77" s="82">
        <v>0</v>
      </c>
      <c r="AL77" s="83" t="s">
        <v>231</v>
      </c>
      <c r="AN77" t="s">
        <v>517</v>
      </c>
      <c r="AO77">
        <v>588935</v>
      </c>
      <c r="AP77">
        <v>634</v>
      </c>
      <c r="AQ77">
        <v>417841</v>
      </c>
      <c r="AR77">
        <f>SUM(AO77:AQ77)</f>
        <v>1007410</v>
      </c>
    </row>
    <row r="78" spans="1:44" ht="11.25" customHeight="1" x14ac:dyDescent="0.2">
      <c r="AN78" t="s">
        <v>518</v>
      </c>
      <c r="AO78">
        <v>41475</v>
      </c>
      <c r="AP78">
        <v>37</v>
      </c>
      <c r="AQ78">
        <v>696</v>
      </c>
      <c r="AR78">
        <f>SUM(AO78:AQ78)</f>
        <v>42208</v>
      </c>
    </row>
    <row r="79" spans="1:44" ht="16" x14ac:dyDescent="0.2">
      <c r="A79" s="75" t="s">
        <v>519</v>
      </c>
    </row>
    <row r="80" spans="1:44" ht="16" x14ac:dyDescent="0.2">
      <c r="A80" s="75" t="s">
        <v>510</v>
      </c>
      <c r="B80" s="74" t="s">
        <v>520</v>
      </c>
    </row>
    <row r="81" spans="1:8" ht="16" x14ac:dyDescent="0.2">
      <c r="A81" s="75" t="s">
        <v>521</v>
      </c>
    </row>
    <row r="82" spans="1:8" ht="16" x14ac:dyDescent="0.2">
      <c r="A82" s="75" t="s">
        <v>474</v>
      </c>
      <c r="B82" s="74" t="s">
        <v>522</v>
      </c>
    </row>
    <row r="85" spans="1:8" ht="11.25" customHeight="1" x14ac:dyDescent="0.2">
      <c r="C85" t="s">
        <v>485</v>
      </c>
      <c r="D85" t="s">
        <v>289</v>
      </c>
      <c r="E85" t="s">
        <v>486</v>
      </c>
      <c r="F85" t="s">
        <v>487</v>
      </c>
      <c r="G85" t="s">
        <v>294</v>
      </c>
      <c r="H85" t="s">
        <v>488</v>
      </c>
    </row>
    <row r="86" spans="1:8" ht="11.25" customHeight="1" x14ac:dyDescent="0.2">
      <c r="B86" t="s">
        <v>490</v>
      </c>
      <c r="C86">
        <v>0.19772237058946815</v>
      </c>
      <c r="D86">
        <v>48.445293898076699</v>
      </c>
      <c r="E86">
        <v>1.5938224653157987E-2</v>
      </c>
      <c r="F86">
        <v>57.1362482264785</v>
      </c>
      <c r="G86">
        <v>0.68446414233475039</v>
      </c>
    </row>
    <row r="87" spans="1:8" ht="11.25" customHeight="1" x14ac:dyDescent="0.2">
      <c r="B87" t="s">
        <v>492</v>
      </c>
      <c r="C87">
        <v>8.646561095486895</v>
      </c>
      <c r="D87">
        <v>2.117483273015953</v>
      </c>
      <c r="E87">
        <v>0.10611656190505539</v>
      </c>
      <c r="F87">
        <v>20.300999670438316</v>
      </c>
      <c r="G87">
        <v>9.5997775923527414E-4</v>
      </c>
    </row>
    <row r="88" spans="1:8" ht="11.25" customHeight="1" x14ac:dyDescent="0.2">
      <c r="B88" t="s">
        <v>494</v>
      </c>
      <c r="C88">
        <v>90.045791535788297</v>
      </c>
      <c r="D88">
        <v>49.425816707909604</v>
      </c>
      <c r="E88">
        <v>97.28887508798401</v>
      </c>
      <c r="F88">
        <v>22.562752103083181</v>
      </c>
      <c r="G88">
        <v>99.314556680350833</v>
      </c>
    </row>
    <row r="89" spans="1:8" ht="11.25" customHeight="1" x14ac:dyDescent="0.2">
      <c r="B89" t="s">
        <v>496</v>
      </c>
      <c r="C89">
        <v>1.1099249981353314</v>
      </c>
      <c r="D89">
        <v>1.1406120997732323E-2</v>
      </c>
      <c r="E89">
        <v>2.5890701254577668</v>
      </c>
      <c r="F89">
        <v>0</v>
      </c>
      <c r="G89">
        <v>1.919955518470548E-5</v>
      </c>
    </row>
    <row r="91" spans="1:8" ht="11.25" customHeight="1" x14ac:dyDescent="0.2">
      <c r="B91" t="s">
        <v>499</v>
      </c>
      <c r="C91">
        <v>86.424804882412928</v>
      </c>
      <c r="D91">
        <v>19.77733320292683</v>
      </c>
      <c r="E91">
        <v>96.857161678511105</v>
      </c>
      <c r="G91">
        <v>70.775224839188922</v>
      </c>
    </row>
    <row r="92" spans="1:8" ht="11.25" customHeight="1" x14ac:dyDescent="0.2">
      <c r="B92" t="s">
        <v>501</v>
      </c>
      <c r="C92">
        <v>3.6209866533753732</v>
      </c>
      <c r="D92">
        <v>29.648483504982774</v>
      </c>
      <c r="E92">
        <v>0.43171340947290288</v>
      </c>
      <c r="G92">
        <v>28.539331841161907</v>
      </c>
    </row>
    <row r="94" spans="1:8" ht="11.25" customHeight="1" x14ac:dyDescent="0.2">
      <c r="C94" t="s">
        <v>289</v>
      </c>
      <c r="D94" t="s">
        <v>485</v>
      </c>
    </row>
    <row r="95" spans="1:8" ht="11.25" customHeight="1" x14ac:dyDescent="0.2">
      <c r="B95" t="s">
        <v>505</v>
      </c>
      <c r="C95">
        <v>48.183767670185105</v>
      </c>
      <c r="D95" s="85">
        <v>82.04523850490304</v>
      </c>
    </row>
    <row r="96" spans="1:8" ht="11.25" customHeight="1" x14ac:dyDescent="0.2">
      <c r="B96" t="s">
        <v>507</v>
      </c>
      <c r="C96">
        <v>51.816232329814895</v>
      </c>
      <c r="D96">
        <v>10.175932243973509</v>
      </c>
      <c r="H96" t="s">
        <v>508</v>
      </c>
    </row>
    <row r="97" spans="2:12" ht="11.25" customHeight="1" x14ac:dyDescent="0.2">
      <c r="B97" t="s">
        <v>511</v>
      </c>
      <c r="D97">
        <v>7.7788128956790885</v>
      </c>
      <c r="I97" t="s">
        <v>485</v>
      </c>
      <c r="J97" t="s">
        <v>486</v>
      </c>
      <c r="K97" t="s">
        <v>289</v>
      </c>
      <c r="L97" t="s">
        <v>294</v>
      </c>
    </row>
    <row r="98" spans="2:12" ht="11.25" customHeight="1" x14ac:dyDescent="0.2">
      <c r="H98" t="s">
        <v>512</v>
      </c>
      <c r="J98">
        <v>12870250000</v>
      </c>
      <c r="K98">
        <v>2542692000</v>
      </c>
      <c r="L98">
        <v>224099100</v>
      </c>
    </row>
    <row r="99" spans="2:12" ht="11.25" customHeight="1" x14ac:dyDescent="0.2">
      <c r="H99" t="s">
        <v>501</v>
      </c>
      <c r="J99">
        <v>57365500</v>
      </c>
      <c r="K99">
        <v>3811786000</v>
      </c>
      <c r="L99">
        <v>90365500</v>
      </c>
    </row>
    <row r="100" spans="2:12" ht="11.25" customHeight="1" x14ac:dyDescent="0.2">
      <c r="B100" t="s">
        <v>513</v>
      </c>
      <c r="C100">
        <v>18200</v>
      </c>
    </row>
  </sheetData>
  <mergeCells count="19">
    <mergeCell ref="W10:X10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AK10:AL10"/>
    <mergeCell ref="Y10:Z10"/>
    <mergeCell ref="AA10:AB10"/>
    <mergeCell ref="AC10:AD10"/>
    <mergeCell ref="AE10:AF10"/>
    <mergeCell ref="AG10:AH10"/>
    <mergeCell ref="AI10:AJ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6641-B769-E04B-B7D0-CAF24D5BC43E}">
  <sheetPr>
    <tabColor rgb="FFEBF1DE"/>
  </sheetPr>
  <dimension ref="A1:Q83"/>
  <sheetViews>
    <sheetView workbookViewId="0">
      <selection activeCell="H42" sqref="H42"/>
    </sheetView>
  </sheetViews>
  <sheetFormatPr baseColWidth="10" defaultRowHeight="16" x14ac:dyDescent="0.2"/>
  <cols>
    <col min="1" max="1" width="29.1640625" customWidth="1"/>
    <col min="2" max="2" width="57" bestFit="1" customWidth="1"/>
    <col min="3" max="3" width="12.6640625" customWidth="1"/>
    <col min="4" max="4" width="11" customWidth="1"/>
    <col min="5" max="5" width="24.6640625" customWidth="1"/>
    <col min="6" max="6" width="13.1640625" customWidth="1"/>
    <col min="7" max="7" width="3.83203125" customWidth="1"/>
    <col min="8" max="8" width="36.83203125" bestFit="1" customWidth="1"/>
    <col min="9" max="9" width="12.5" bestFit="1" customWidth="1"/>
    <col min="11" max="11" width="39" customWidth="1"/>
    <col min="13" max="13" width="5.1640625" customWidth="1"/>
    <col min="14" max="14" width="39" customWidth="1"/>
    <col min="17" max="17" width="34.1640625" customWidth="1"/>
  </cols>
  <sheetData>
    <row r="1" spans="1:17" x14ac:dyDescent="0.2">
      <c r="A1" s="50"/>
    </row>
    <row r="3" spans="1:17" x14ac:dyDescent="0.2">
      <c r="A3" s="1" t="s">
        <v>114</v>
      </c>
    </row>
    <row r="5" spans="1:17" x14ac:dyDescent="0.2">
      <c r="B5" s="132" t="s">
        <v>169</v>
      </c>
      <c r="C5" s="132"/>
      <c r="D5" s="132"/>
      <c r="E5" s="64"/>
      <c r="G5" s="133" t="s">
        <v>170</v>
      </c>
      <c r="H5" s="133"/>
      <c r="I5" s="133"/>
      <c r="J5" s="133"/>
      <c r="K5" s="133"/>
      <c r="M5" s="134" t="s">
        <v>171</v>
      </c>
      <c r="N5" s="135"/>
      <c r="O5" s="135"/>
      <c r="P5" s="135"/>
      <c r="Q5" s="135"/>
    </row>
    <row r="7" spans="1:17" x14ac:dyDescent="0.2">
      <c r="B7" s="1" t="s">
        <v>381</v>
      </c>
      <c r="C7" s="1" t="s">
        <v>394</v>
      </c>
      <c r="D7" s="1" t="s">
        <v>417</v>
      </c>
      <c r="E7" s="1" t="s">
        <v>416</v>
      </c>
      <c r="G7" s="65" t="s">
        <v>422</v>
      </c>
      <c r="H7" s="1" t="s">
        <v>69</v>
      </c>
      <c r="I7" s="1" t="s">
        <v>418</v>
      </c>
      <c r="J7" s="1" t="s">
        <v>417</v>
      </c>
      <c r="K7" s="1" t="s">
        <v>416</v>
      </c>
      <c r="M7" s="66" t="s">
        <v>422</v>
      </c>
      <c r="N7" s="1" t="s">
        <v>427</v>
      </c>
      <c r="O7" s="1" t="s">
        <v>424</v>
      </c>
      <c r="P7" s="1" t="s">
        <v>417</v>
      </c>
      <c r="Q7" s="1" t="s">
        <v>416</v>
      </c>
    </row>
    <row r="8" spans="1:17" x14ac:dyDescent="0.2">
      <c r="A8" s="67" t="s">
        <v>388</v>
      </c>
      <c r="B8" t="s">
        <v>36</v>
      </c>
      <c r="C8" s="51">
        <f>SUMIF('Datadump - road fuels'!$AR$4:$AR$73,_xlfn.CONCAT($B8,"*"),'Datadump - road fuels'!$AQ$4:$AQ$73)</f>
        <v>12870250000</v>
      </c>
      <c r="D8" s="51">
        <v>13380790000</v>
      </c>
      <c r="E8" s="51"/>
      <c r="H8" t="s">
        <v>36</v>
      </c>
      <c r="I8" s="51">
        <f>C8*0.001</f>
        <v>12870250</v>
      </c>
      <c r="J8" s="51">
        <v>13380790</v>
      </c>
      <c r="M8" s="67"/>
      <c r="N8" s="63" t="s">
        <v>167</v>
      </c>
      <c r="P8" s="69">
        <v>2.9629629629629628E-3</v>
      </c>
    </row>
    <row r="9" spans="1:17" x14ac:dyDescent="0.2">
      <c r="A9" s="67"/>
      <c r="B9" t="s">
        <v>37</v>
      </c>
      <c r="C9" s="51">
        <f>SUMIF('Datadump - road fuels'!$AR$4:$AR$73,_xlfn.CONCAT($B9,"*"),'Datadump - road fuels'!$AQ$4:$AQ$73)</f>
        <v>2542692000</v>
      </c>
      <c r="D9" s="51">
        <v>4905092000</v>
      </c>
      <c r="E9" s="51"/>
      <c r="H9" t="s">
        <v>37</v>
      </c>
      <c r="I9" s="51">
        <f t="shared" ref="I9:I16" si="0">C9*0.001</f>
        <v>2542692</v>
      </c>
      <c r="J9" s="51">
        <v>4905092</v>
      </c>
      <c r="M9" s="67"/>
      <c r="N9" s="63" t="s">
        <v>168</v>
      </c>
      <c r="P9" s="69">
        <v>0.99703703703703705</v>
      </c>
    </row>
    <row r="10" spans="1:17" x14ac:dyDescent="0.2">
      <c r="A10" s="67"/>
      <c r="B10" t="s">
        <v>38</v>
      </c>
      <c r="C10" s="51">
        <f>SUMIF('Datadump - road fuels'!$AR$4:$AR$73,_xlfn.CONCAT($B10,"*"),'Datadump - road fuels'!$AQ$4:$AQ$73)</f>
        <v>224099100</v>
      </c>
      <c r="D10" s="51">
        <v>310594800</v>
      </c>
      <c r="E10" s="51"/>
      <c r="H10" t="s">
        <v>38</v>
      </c>
      <c r="I10" s="51">
        <f t="shared" si="0"/>
        <v>224099.1</v>
      </c>
      <c r="J10" s="51">
        <v>310594.8</v>
      </c>
      <c r="M10" s="67"/>
    </row>
    <row r="11" spans="1:17" x14ac:dyDescent="0.2">
      <c r="A11" s="67" t="s">
        <v>229</v>
      </c>
      <c r="B11" t="s">
        <v>39</v>
      </c>
      <c r="C11" s="51">
        <f>SUMIF('Datadump - road fuels'!$AR$4:$AR$73,_xlfn.CONCAT($B11,"*"),'Datadump - road fuels'!$AQ$4:$AQ$73)</f>
        <v>57365500</v>
      </c>
      <c r="D11" s="51">
        <v>33927760</v>
      </c>
      <c r="E11" s="51"/>
      <c r="H11" t="s">
        <v>39</v>
      </c>
      <c r="I11" s="51">
        <f t="shared" si="0"/>
        <v>57365.5</v>
      </c>
      <c r="J11" s="51">
        <v>33927.760000000002</v>
      </c>
      <c r="M11" s="66" t="s">
        <v>423</v>
      </c>
      <c r="N11" s="1" t="s">
        <v>426</v>
      </c>
      <c r="O11" s="1" t="s">
        <v>424</v>
      </c>
      <c r="P11" s="1" t="s">
        <v>417</v>
      </c>
      <c r="Q11" s="1" t="s">
        <v>416</v>
      </c>
    </row>
    <row r="12" spans="1:17" x14ac:dyDescent="0.2">
      <c r="A12" s="67"/>
      <c r="B12" t="s">
        <v>47</v>
      </c>
      <c r="C12" s="51">
        <f>SUMIF('Datadump - road fuels'!$AR$4:$AR$73,_xlfn.CONCAT($B12,"*"),'Datadump - road fuels'!$AQ$4:$AQ$73)</f>
        <v>3811786000</v>
      </c>
      <c r="D12" s="51">
        <v>3700794000</v>
      </c>
      <c r="E12" s="51"/>
      <c r="H12" t="s">
        <v>47</v>
      </c>
      <c r="I12" s="51">
        <f t="shared" si="0"/>
        <v>3811786</v>
      </c>
      <c r="J12" s="51">
        <v>3700794</v>
      </c>
      <c r="M12" s="67"/>
      <c r="N12" t="s">
        <v>77</v>
      </c>
      <c r="O12" s="69">
        <f>I8/I24</f>
        <v>0.97033632204660702</v>
      </c>
      <c r="P12" s="69">
        <v>0.96255621014492809</v>
      </c>
    </row>
    <row r="13" spans="1:17" x14ac:dyDescent="0.2">
      <c r="A13" s="67"/>
      <c r="B13" t="s">
        <v>48</v>
      </c>
      <c r="C13" s="51">
        <f>SUMIF('Datadump - road fuels'!$AR$4:$AR$73,_xlfn.CONCAT($B13,"*"),'Datadump - road fuels'!$AQ$4:$AQ$73)</f>
        <v>90365500</v>
      </c>
      <c r="D13" s="51">
        <v>53079900</v>
      </c>
      <c r="E13" s="51"/>
      <c r="H13" t="s">
        <v>48</v>
      </c>
      <c r="I13" s="51">
        <f t="shared" si="0"/>
        <v>90365.5</v>
      </c>
      <c r="J13" s="51">
        <v>53079.9</v>
      </c>
      <c r="N13" t="s">
        <v>78</v>
      </c>
      <c r="O13" s="69">
        <f>I14/I24</f>
        <v>3.063760459334012E-4</v>
      </c>
      <c r="P13" s="69">
        <v>0</v>
      </c>
    </row>
    <row r="14" spans="1:17" x14ac:dyDescent="0.2">
      <c r="A14" s="67" t="s">
        <v>389</v>
      </c>
      <c r="B14" s="50" t="s">
        <v>382</v>
      </c>
      <c r="C14" s="51">
        <f>SUMIF('Datadump - road fuels'!$AR$4:$AR$73,_xlfn.CONCAT($B14,"*"),'Datadump - road fuels'!$AQ$4:$AQ$73)</f>
        <v>4063680</v>
      </c>
      <c r="D14" s="136">
        <v>6388474000</v>
      </c>
      <c r="E14" s="62"/>
      <c r="H14" t="s">
        <v>382</v>
      </c>
      <c r="I14" s="51">
        <f t="shared" si="0"/>
        <v>4063.6800000000003</v>
      </c>
      <c r="J14" s="136">
        <v>6388474</v>
      </c>
      <c r="N14" t="s">
        <v>79</v>
      </c>
      <c r="O14" s="69">
        <f>I18/I24</f>
        <v>9.765491509855852E-4</v>
      </c>
      <c r="P14" s="69">
        <v>1.4845093088625374E-4</v>
      </c>
    </row>
    <row r="15" spans="1:17" x14ac:dyDescent="0.2">
      <c r="A15" s="67"/>
      <c r="B15" s="50" t="s">
        <v>49</v>
      </c>
      <c r="C15" s="51">
        <f>SUMIF('Datadump - road fuels'!$AR$4:$AR$73,_xlfn.CONCAT($B15,"*"),'Datadump - road fuels'!$AQ$4:$AQ$73)</f>
        <v>6430257000</v>
      </c>
      <c r="D15" s="136"/>
      <c r="E15" s="62"/>
      <c r="H15" t="s">
        <v>49</v>
      </c>
      <c r="I15" s="51">
        <f t="shared" si="0"/>
        <v>6430257</v>
      </c>
      <c r="J15" s="136"/>
      <c r="N15" t="s">
        <v>80</v>
      </c>
      <c r="O15" s="69">
        <f>I17/I24</f>
        <v>2.4055752987055069E-2</v>
      </c>
      <c r="P15" s="69">
        <v>3.4854722481934747E-2</v>
      </c>
    </row>
    <row r="16" spans="1:17" x14ac:dyDescent="0.2">
      <c r="A16" s="67"/>
      <c r="B16" s="50" t="s">
        <v>383</v>
      </c>
      <c r="C16" s="51">
        <f>SUMIF('Datadump - road fuels'!$AR$4:$AR$73,_xlfn.CONCAT($B16,"*"),'Datadump - road fuels'!$AQ$4:$AQ$73)</f>
        <v>96211300</v>
      </c>
      <c r="D16" s="136"/>
      <c r="E16" s="62"/>
      <c r="H16" t="s">
        <v>383</v>
      </c>
      <c r="I16" s="51">
        <f t="shared" si="0"/>
        <v>96211.3</v>
      </c>
      <c r="J16" s="136"/>
      <c r="N16" t="s">
        <v>214</v>
      </c>
      <c r="O16" s="69">
        <f>I11/I24</f>
        <v>4.3249997694189812E-3</v>
      </c>
      <c r="P16" s="69">
        <v>2.44061644225092E-3</v>
      </c>
    </row>
    <row r="17" spans="1:17" x14ac:dyDescent="0.2">
      <c r="A17" s="67" t="s">
        <v>230</v>
      </c>
      <c r="B17" t="s">
        <v>40</v>
      </c>
      <c r="C17" s="51">
        <f>SUMIF('Datadump - road fuels'!$AR$4:$AR$73,_xlfn.CONCAT($B17,"*"),'Datadump - road fuels'!$AQ$4:$AQ$73)</f>
        <v>257530500</v>
      </c>
      <c r="D17" s="51">
        <v>300991100</v>
      </c>
      <c r="E17" s="51"/>
      <c r="H17" t="s">
        <v>50</v>
      </c>
      <c r="I17" s="51">
        <f>SUM(C17:C19)*0.001</f>
        <v>319068.29399999999</v>
      </c>
      <c r="J17" s="51">
        <v>484526.22</v>
      </c>
      <c r="K17" t="s">
        <v>279</v>
      </c>
      <c r="N17" t="s">
        <v>81</v>
      </c>
      <c r="O17" s="69">
        <f>I9/I25</f>
        <v>0.19484285262232978</v>
      </c>
      <c r="P17" s="69">
        <v>0.26059225710804301</v>
      </c>
    </row>
    <row r="18" spans="1:17" x14ac:dyDescent="0.2">
      <c r="A18" s="67" t="s">
        <v>390</v>
      </c>
      <c r="B18" t="s">
        <v>41</v>
      </c>
      <c r="C18" s="51">
        <f>SUMIF('Datadump - road fuels'!$AR$4:$AR$73,_xlfn.CONCAT($B18,"*"),'Datadump - road fuels'!$AQ$4:$AQ$73)</f>
        <v>59956600</v>
      </c>
      <c r="D18" s="51">
        <v>174521500</v>
      </c>
      <c r="E18" s="51"/>
      <c r="H18" t="s">
        <v>89</v>
      </c>
      <c r="I18" s="51">
        <f>(C20+C23)*0.001</f>
        <v>12952.6551</v>
      </c>
      <c r="J18" s="51">
        <v>478752.94</v>
      </c>
      <c r="K18" t="s">
        <v>420</v>
      </c>
      <c r="L18" t="s">
        <v>425</v>
      </c>
      <c r="N18" t="s">
        <v>82</v>
      </c>
      <c r="O18" s="69">
        <f>I15/I25</f>
        <v>0.49274140044280018</v>
      </c>
      <c r="P18" s="69">
        <v>0.51736143452840033</v>
      </c>
      <c r="Q18" s="47" t="s">
        <v>433</v>
      </c>
    </row>
    <row r="19" spans="1:17" x14ac:dyDescent="0.2">
      <c r="A19" s="67" t="s">
        <v>391</v>
      </c>
      <c r="B19" t="s">
        <v>44</v>
      </c>
      <c r="C19" s="51">
        <f>SUMIF('Datadump - road fuels'!$AR$4:$AR$73,_xlfn.CONCAT($B19,"*"),'Datadump - road fuels'!$AQ$4:$AQ$73)</f>
        <v>1581194</v>
      </c>
      <c r="D19" s="51">
        <v>9013620</v>
      </c>
      <c r="E19" s="51"/>
      <c r="H19" t="s">
        <v>42</v>
      </c>
      <c r="I19" s="51">
        <f>(C21+C24)*0.001</f>
        <v>265227.91000000003</v>
      </c>
      <c r="J19" s="51">
        <v>41338.268400000001</v>
      </c>
      <c r="K19" t="s">
        <v>420</v>
      </c>
      <c r="L19" t="s">
        <v>425</v>
      </c>
      <c r="N19" t="s">
        <v>216</v>
      </c>
      <c r="O19" s="69">
        <f>I12/I25</f>
        <v>0.29209171139322415</v>
      </c>
      <c r="P19" s="69">
        <v>0.1966116561222303</v>
      </c>
    </row>
    <row r="20" spans="1:17" x14ac:dyDescent="0.2">
      <c r="A20" s="67" t="s">
        <v>392</v>
      </c>
      <c r="B20" s="50" t="s">
        <v>384</v>
      </c>
      <c r="C20" s="51">
        <f>SUMIF('Datadump - road fuels'!$AR$4:$AR$73,_xlfn.CONCAT($B20,"*"),'Datadump - road fuels'!$AQ$4:$AQ$73)</f>
        <v>340678.1</v>
      </c>
      <c r="D20" s="51"/>
      <c r="E20" s="51"/>
      <c r="H20" t="s">
        <v>419</v>
      </c>
      <c r="I20" s="51">
        <f>(C22+C25)*0.001</f>
        <v>34345.69296</v>
      </c>
      <c r="J20" s="51">
        <v>2063.6620600000001</v>
      </c>
      <c r="K20" t="s">
        <v>420</v>
      </c>
      <c r="L20" t="s">
        <v>425</v>
      </c>
      <c r="N20" t="s">
        <v>83</v>
      </c>
      <c r="O20" s="69">
        <f>I19/I25</f>
        <v>2.0324035541645843E-2</v>
      </c>
      <c r="P20" s="69">
        <v>2.5434652241326256E-2</v>
      </c>
    </row>
    <row r="21" spans="1:17" x14ac:dyDescent="0.2">
      <c r="A21" s="67"/>
      <c r="B21" t="s">
        <v>45</v>
      </c>
      <c r="C21" s="51">
        <f>SUMIF('Datadump - road fuels'!$AR$4:$AR$73,_xlfn.CONCAT($B21,"*"),'Datadump - road fuels'!$AQ$4:$AQ$73)</f>
        <v>61348700</v>
      </c>
      <c r="D21" s="51">
        <v>104463300</v>
      </c>
      <c r="E21" s="51"/>
      <c r="H21" s="63" t="s">
        <v>70</v>
      </c>
      <c r="J21" s="51">
        <v>3349748.7</v>
      </c>
      <c r="N21" t="s">
        <v>428</v>
      </c>
      <c r="O21" s="69">
        <f>I10/I26</f>
        <v>0.50356904821052761</v>
      </c>
      <c r="P21" s="69">
        <v>0.85404566223605871</v>
      </c>
    </row>
    <row r="22" spans="1:17" x14ac:dyDescent="0.2">
      <c r="A22" s="67"/>
      <c r="B22" s="50" t="s">
        <v>385</v>
      </c>
      <c r="C22" s="51">
        <f>SUMIF('Datadump - road fuels'!$AR$4:$AR$73,_xlfn.CONCAT($B22,"*"),'Datadump - road fuels'!$AQ$4:$AQ$73)</f>
        <v>40687.96</v>
      </c>
      <c r="D22" s="51"/>
      <c r="E22" s="51"/>
      <c r="N22" t="s">
        <v>429</v>
      </c>
      <c r="O22" s="69">
        <f>I16/I26</f>
        <v>0.21619467801565259</v>
      </c>
      <c r="P22" s="69"/>
    </row>
    <row r="23" spans="1:17" x14ac:dyDescent="0.2">
      <c r="A23" s="67" t="s">
        <v>393</v>
      </c>
      <c r="B23" s="50" t="s">
        <v>386</v>
      </c>
      <c r="C23" s="51">
        <f>SUMIF('Datadump - road fuels'!$AR$4:$AR$73,_xlfn.CONCAT($B23,"*"),'Datadump - road fuels'!$AQ$4:$AQ$73)</f>
        <v>12611977</v>
      </c>
      <c r="D23" s="51"/>
      <c r="E23" s="51"/>
      <c r="G23" s="66" t="s">
        <v>423</v>
      </c>
      <c r="H23" s="1" t="s">
        <v>72</v>
      </c>
      <c r="I23" s="1" t="s">
        <v>418</v>
      </c>
      <c r="J23" s="1" t="s">
        <v>417</v>
      </c>
      <c r="K23" s="1" t="s">
        <v>416</v>
      </c>
      <c r="N23" t="s">
        <v>430</v>
      </c>
      <c r="O23" s="69">
        <f>I20/I26</f>
        <v>7.7177587567278119E-2</v>
      </c>
      <c r="P23" s="69"/>
    </row>
    <row r="24" spans="1:17" x14ac:dyDescent="0.2">
      <c r="A24" s="67"/>
      <c r="B24" t="s">
        <v>46</v>
      </c>
      <c r="C24" s="51">
        <f>SUMIF('Datadump - road fuels'!$AR$4:$AR$73,_xlfn.CONCAT($B24,"*"),'Datadump - road fuels'!$AQ$4:$AQ$73)</f>
        <v>203879210</v>
      </c>
      <c r="D24" s="51">
        <v>374289640</v>
      </c>
      <c r="E24" s="51"/>
      <c r="H24" t="s">
        <v>73</v>
      </c>
      <c r="I24" s="51">
        <f>I8+I11+I14+I17+I18</f>
        <v>13263700.129099999</v>
      </c>
      <c r="J24" s="51">
        <v>13901307.64206</v>
      </c>
      <c r="K24" t="s">
        <v>76</v>
      </c>
      <c r="L24" t="s">
        <v>425</v>
      </c>
      <c r="N24" t="s">
        <v>431</v>
      </c>
      <c r="O24" s="69">
        <f>I13/I26</f>
        <v>0.20305868620654177</v>
      </c>
      <c r="P24" s="69">
        <v>0.14595433776394123</v>
      </c>
    </row>
    <row r="25" spans="1:17" x14ac:dyDescent="0.2">
      <c r="A25" s="67"/>
      <c r="B25" s="50" t="s">
        <v>387</v>
      </c>
      <c r="C25" s="51">
        <f>SUMIF('Datadump - road fuels'!$AR$4:$AR$73,_xlfn.CONCAT($B25,"*"),'Datadump - road fuels'!$AQ$4:$AQ$73)</f>
        <v>34305005</v>
      </c>
      <c r="D25" s="51"/>
      <c r="E25" s="51"/>
      <c r="H25" t="s">
        <v>74</v>
      </c>
      <c r="I25" s="51">
        <f>I9+I12+I15+I19</f>
        <v>13049962.91</v>
      </c>
      <c r="J25" s="51">
        <v>18822861.640000001</v>
      </c>
      <c r="K25" t="s">
        <v>76</v>
      </c>
      <c r="L25" t="s">
        <v>425</v>
      </c>
      <c r="N25" s="63" t="s">
        <v>84</v>
      </c>
      <c r="O25" s="69"/>
      <c r="P25" s="68">
        <v>0</v>
      </c>
    </row>
    <row r="26" spans="1:17" x14ac:dyDescent="0.2">
      <c r="A26" s="70" t="s">
        <v>421</v>
      </c>
      <c r="B26" s="63" t="s">
        <v>70</v>
      </c>
      <c r="D26" s="51"/>
      <c r="E26" s="51" t="s">
        <v>432</v>
      </c>
      <c r="H26" t="s">
        <v>75</v>
      </c>
      <c r="I26" s="51">
        <f>I10+I13+I16+I20</f>
        <v>445021.59295999998</v>
      </c>
      <c r="J26" s="51">
        <v>363674.7</v>
      </c>
      <c r="K26" t="s">
        <v>76</v>
      </c>
      <c r="L26" t="s">
        <v>425</v>
      </c>
      <c r="N26" s="63" t="s">
        <v>85</v>
      </c>
      <c r="P26" s="68">
        <v>1</v>
      </c>
    </row>
    <row r="27" spans="1:17" x14ac:dyDescent="0.2">
      <c r="A27" s="67"/>
      <c r="L27" t="s">
        <v>425</v>
      </c>
      <c r="N27" s="63" t="s">
        <v>86</v>
      </c>
      <c r="P27" s="68">
        <v>0</v>
      </c>
    </row>
    <row r="28" spans="1:17" x14ac:dyDescent="0.2">
      <c r="N28" s="63" t="s">
        <v>87</v>
      </c>
      <c r="P28" s="68">
        <v>0</v>
      </c>
    </row>
    <row r="29" spans="1:17" x14ac:dyDescent="0.2">
      <c r="N29" s="63" t="s">
        <v>88</v>
      </c>
      <c r="P29" s="68">
        <v>1</v>
      </c>
    </row>
    <row r="30" spans="1:17" x14ac:dyDescent="0.2">
      <c r="N30" s="63" t="s">
        <v>218</v>
      </c>
      <c r="P30" s="68">
        <v>0</v>
      </c>
    </row>
    <row r="33" spans="1:5" ht="17" thickBot="1" x14ac:dyDescent="0.25">
      <c r="A33" s="71" t="s">
        <v>113</v>
      </c>
      <c r="B33" s="72" t="s">
        <v>52</v>
      </c>
      <c r="D33" s="1" t="s">
        <v>436</v>
      </c>
      <c r="E33" s="73" t="s">
        <v>417</v>
      </c>
    </row>
    <row r="34" spans="1:5" ht="17" thickTop="1" x14ac:dyDescent="0.2">
      <c r="B34" t="s">
        <v>53</v>
      </c>
      <c r="C34" t="s">
        <v>54</v>
      </c>
      <c r="D34" s="45">
        <f>O12</f>
        <v>0.97033632204660702</v>
      </c>
      <c r="E34" s="69">
        <v>0.96255621014492809</v>
      </c>
    </row>
    <row r="35" spans="1:5" x14ac:dyDescent="0.2">
      <c r="B35" t="s">
        <v>55</v>
      </c>
      <c r="C35" t="s">
        <v>54</v>
      </c>
      <c r="D35" s="45">
        <f>O13</f>
        <v>3.063760459334012E-4</v>
      </c>
      <c r="E35" s="69">
        <v>0</v>
      </c>
    </row>
    <row r="36" spans="1:5" x14ac:dyDescent="0.2">
      <c r="B36" t="s">
        <v>215</v>
      </c>
      <c r="C36" t="s">
        <v>54</v>
      </c>
      <c r="D36" s="45">
        <f>O16</f>
        <v>4.3249997694189812E-3</v>
      </c>
      <c r="E36" s="69">
        <v>2.44061644225092E-3</v>
      </c>
    </row>
    <row r="37" spans="1:5" x14ac:dyDescent="0.2">
      <c r="B37" t="s">
        <v>434</v>
      </c>
      <c r="C37" t="s">
        <v>54</v>
      </c>
      <c r="D37" s="45">
        <f>O14</f>
        <v>9.765491509855852E-4</v>
      </c>
      <c r="E37" s="69">
        <v>1.4845093088625374E-4</v>
      </c>
    </row>
    <row r="38" spans="1:5" x14ac:dyDescent="0.2">
      <c r="B38" t="s">
        <v>57</v>
      </c>
      <c r="C38" t="s">
        <v>54</v>
      </c>
      <c r="D38" s="45">
        <f>O15</f>
        <v>2.4055752987055069E-2</v>
      </c>
      <c r="E38" s="69">
        <v>3.4854722481934747E-2</v>
      </c>
    </row>
    <row r="39" spans="1:5" x14ac:dyDescent="0.2">
      <c r="E39" s="69"/>
    </row>
    <row r="40" spans="1:5" x14ac:dyDescent="0.2">
      <c r="B40" t="s">
        <v>58</v>
      </c>
      <c r="C40" t="s">
        <v>54</v>
      </c>
      <c r="D40" s="45">
        <f>O17</f>
        <v>0.19484285262232978</v>
      </c>
      <c r="E40" s="69">
        <v>0.26059225710804301</v>
      </c>
    </row>
    <row r="41" spans="1:5" x14ac:dyDescent="0.2">
      <c r="B41" t="s">
        <v>59</v>
      </c>
      <c r="C41" t="s">
        <v>54</v>
      </c>
      <c r="D41" s="45">
        <f>O18</f>
        <v>0.49274140044280018</v>
      </c>
      <c r="E41" s="69">
        <v>0.51736143452840033</v>
      </c>
    </row>
    <row r="42" spans="1:5" x14ac:dyDescent="0.2">
      <c r="B42" t="s">
        <v>217</v>
      </c>
      <c r="C42" t="s">
        <v>54</v>
      </c>
      <c r="D42" s="45">
        <f>O19</f>
        <v>0.29209171139322415</v>
      </c>
      <c r="E42" s="69">
        <v>0.1966116561222303</v>
      </c>
    </row>
    <row r="43" spans="1:5" x14ac:dyDescent="0.2">
      <c r="B43" t="s">
        <v>435</v>
      </c>
      <c r="C43" t="s">
        <v>54</v>
      </c>
      <c r="D43" s="45">
        <f>O20</f>
        <v>2.0324035541645843E-2</v>
      </c>
      <c r="E43" s="69">
        <v>2.5434652241326256E-2</v>
      </c>
    </row>
    <row r="44" spans="1:5" x14ac:dyDescent="0.2">
      <c r="E44" s="69"/>
    </row>
    <row r="45" spans="1:5" x14ac:dyDescent="0.2">
      <c r="B45" t="s">
        <v>220</v>
      </c>
      <c r="C45" t="s">
        <v>54</v>
      </c>
      <c r="D45" s="45">
        <f>O21</f>
        <v>0.50356904821052761</v>
      </c>
      <c r="E45" s="69">
        <v>0.85404566223605871</v>
      </c>
    </row>
    <row r="46" spans="1:5" x14ac:dyDescent="0.2">
      <c r="B46" t="s">
        <v>221</v>
      </c>
      <c r="C46" t="s">
        <v>54</v>
      </c>
      <c r="D46" s="45">
        <f>O24</f>
        <v>0.20305868620654177</v>
      </c>
      <c r="E46" s="69">
        <v>0.14595433776394123</v>
      </c>
    </row>
    <row r="47" spans="1:5" x14ac:dyDescent="0.2">
      <c r="B47" s="50" t="s">
        <v>437</v>
      </c>
      <c r="C47" t="s">
        <v>54</v>
      </c>
      <c r="D47" s="45">
        <f>O22</f>
        <v>0.21619467801565259</v>
      </c>
      <c r="E47" s="69"/>
    </row>
    <row r="48" spans="1:5" x14ac:dyDescent="0.2">
      <c r="B48" s="50" t="s">
        <v>438</v>
      </c>
      <c r="C48" t="s">
        <v>54</v>
      </c>
      <c r="D48" s="45">
        <f>O23</f>
        <v>7.7177587567278119E-2</v>
      </c>
      <c r="E48" s="69"/>
    </row>
    <row r="49" spans="5:5" x14ac:dyDescent="0.2">
      <c r="E49" s="69"/>
    </row>
    <row r="50" spans="5:5" x14ac:dyDescent="0.2">
      <c r="E50" s="69"/>
    </row>
    <row r="51" spans="5:5" x14ac:dyDescent="0.2">
      <c r="E51" s="69"/>
    </row>
    <row r="52" spans="5:5" x14ac:dyDescent="0.2">
      <c r="E52" s="69"/>
    </row>
    <row r="53" spans="5:5" x14ac:dyDescent="0.2">
      <c r="E53" s="69"/>
    </row>
    <row r="54" spans="5:5" x14ac:dyDescent="0.2">
      <c r="E54" s="69"/>
    </row>
    <row r="55" spans="5:5" x14ac:dyDescent="0.2">
      <c r="E55" s="69"/>
    </row>
    <row r="56" spans="5:5" x14ac:dyDescent="0.2">
      <c r="E56" s="69"/>
    </row>
    <row r="57" spans="5:5" x14ac:dyDescent="0.2">
      <c r="E57" s="69"/>
    </row>
    <row r="58" spans="5:5" x14ac:dyDescent="0.2">
      <c r="E58" s="69"/>
    </row>
    <row r="59" spans="5:5" x14ac:dyDescent="0.2">
      <c r="E59" s="69"/>
    </row>
    <row r="60" spans="5:5" x14ac:dyDescent="0.2">
      <c r="E60" s="69"/>
    </row>
    <row r="61" spans="5:5" x14ac:dyDescent="0.2">
      <c r="E61" s="69"/>
    </row>
    <row r="62" spans="5:5" x14ac:dyDescent="0.2">
      <c r="E62" s="69"/>
    </row>
    <row r="65" spans="5:5" x14ac:dyDescent="0.2">
      <c r="E65" s="69"/>
    </row>
    <row r="66" spans="5:5" x14ac:dyDescent="0.2">
      <c r="E66" s="69"/>
    </row>
    <row r="67" spans="5:5" x14ac:dyDescent="0.2">
      <c r="E67" s="69"/>
    </row>
    <row r="68" spans="5:5" x14ac:dyDescent="0.2">
      <c r="E68" s="69"/>
    </row>
    <row r="69" spans="5:5" x14ac:dyDescent="0.2">
      <c r="E69" s="69"/>
    </row>
    <row r="70" spans="5:5" x14ac:dyDescent="0.2">
      <c r="E70" s="69"/>
    </row>
    <row r="71" spans="5:5" x14ac:dyDescent="0.2">
      <c r="E71" s="69"/>
    </row>
    <row r="72" spans="5:5" x14ac:dyDescent="0.2">
      <c r="E72" s="69"/>
    </row>
    <row r="73" spans="5:5" x14ac:dyDescent="0.2">
      <c r="E73" s="69"/>
    </row>
    <row r="74" spans="5:5" x14ac:dyDescent="0.2">
      <c r="E74" s="69"/>
    </row>
    <row r="75" spans="5:5" x14ac:dyDescent="0.2">
      <c r="E75" s="69"/>
    </row>
    <row r="76" spans="5:5" x14ac:dyDescent="0.2">
      <c r="E76" s="69"/>
    </row>
    <row r="77" spans="5:5" x14ac:dyDescent="0.2">
      <c r="E77" s="69"/>
    </row>
    <row r="78" spans="5:5" x14ac:dyDescent="0.2">
      <c r="E78" s="69"/>
    </row>
    <row r="79" spans="5:5" x14ac:dyDescent="0.2">
      <c r="E79" s="69"/>
    </row>
    <row r="80" spans="5:5" x14ac:dyDescent="0.2">
      <c r="E80" s="69"/>
    </row>
    <row r="81" spans="5:5" x14ac:dyDescent="0.2">
      <c r="E81" s="69"/>
    </row>
    <row r="82" spans="5:5" x14ac:dyDescent="0.2">
      <c r="E82" s="69"/>
    </row>
    <row r="83" spans="5:5" x14ac:dyDescent="0.2">
      <c r="E83" s="69"/>
    </row>
  </sheetData>
  <mergeCells count="5">
    <mergeCell ref="B5:D5"/>
    <mergeCell ref="G5:K5"/>
    <mergeCell ref="M5:Q5"/>
    <mergeCell ref="D14:D16"/>
    <mergeCell ref="J14:J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3749-03C3-6346-829C-286E11A50CD9}">
  <sheetPr>
    <tabColor rgb="FFEBF1DE"/>
  </sheetPr>
  <dimension ref="A1:E22"/>
  <sheetViews>
    <sheetView workbookViewId="0"/>
  </sheetViews>
  <sheetFormatPr baseColWidth="10" defaultRowHeight="16" x14ac:dyDescent="0.2"/>
  <cols>
    <col min="1" max="1" width="17.33203125" customWidth="1"/>
    <col min="2" max="2" width="68.6640625" bestFit="1" customWidth="1"/>
    <col min="4" max="4" width="81.83203125" bestFit="1" customWidth="1"/>
    <col min="5" max="5" width="21.1640625" bestFit="1" customWidth="1"/>
  </cols>
  <sheetData>
    <row r="1" spans="1:5" x14ac:dyDescent="0.2">
      <c r="A1" s="3" t="s">
        <v>90</v>
      </c>
      <c r="B1" s="3" t="s">
        <v>231</v>
      </c>
      <c r="C1" s="3" t="s">
        <v>232</v>
      </c>
      <c r="D1" s="3" t="s">
        <v>92</v>
      </c>
      <c r="E1" s="4" t="s">
        <v>43</v>
      </c>
    </row>
    <row r="2" spans="1:5" x14ac:dyDescent="0.2">
      <c r="A2" s="2" t="s">
        <v>252</v>
      </c>
      <c r="B2" s="3" t="s">
        <v>233</v>
      </c>
      <c r="C2" s="2">
        <v>442409</v>
      </c>
      <c r="D2" s="2"/>
      <c r="E2" s="5" t="s">
        <v>96</v>
      </c>
    </row>
    <row r="3" spans="1:5" x14ac:dyDescent="0.2">
      <c r="A3" s="2" t="s">
        <v>253</v>
      </c>
      <c r="B3" s="3" t="s">
        <v>234</v>
      </c>
      <c r="C3" s="2">
        <v>1554</v>
      </c>
      <c r="D3" s="2"/>
      <c r="E3" s="5" t="s">
        <v>97</v>
      </c>
    </row>
    <row r="4" spans="1:5" x14ac:dyDescent="0.2">
      <c r="A4" s="2" t="s">
        <v>254</v>
      </c>
      <c r="B4" s="3" t="s">
        <v>235</v>
      </c>
      <c r="C4" s="2">
        <v>149067</v>
      </c>
      <c r="D4" s="2" t="s">
        <v>93</v>
      </c>
      <c r="E4" s="5" t="s">
        <v>98</v>
      </c>
    </row>
    <row r="5" spans="1:5" x14ac:dyDescent="0.2">
      <c r="A5" s="2" t="s">
        <v>255</v>
      </c>
      <c r="B5" s="3" t="s">
        <v>236</v>
      </c>
      <c r="C5" s="2">
        <v>6753</v>
      </c>
      <c r="D5" s="2" t="s">
        <v>94</v>
      </c>
      <c r="E5" s="5" t="s">
        <v>99</v>
      </c>
    </row>
    <row r="6" spans="1:5" x14ac:dyDescent="0.2">
      <c r="A6" s="2" t="s">
        <v>256</v>
      </c>
      <c r="B6" s="3" t="s">
        <v>237</v>
      </c>
      <c r="C6" s="2">
        <v>263387</v>
      </c>
      <c r="D6" s="2" t="s">
        <v>95</v>
      </c>
      <c r="E6" s="5" t="s">
        <v>100</v>
      </c>
    </row>
    <row r="7" spans="1:5" x14ac:dyDescent="0.2">
      <c r="A7" s="2" t="s">
        <v>257</v>
      </c>
      <c r="B7" s="3" t="s">
        <v>239</v>
      </c>
      <c r="C7" s="2">
        <v>73</v>
      </c>
      <c r="D7" s="2"/>
      <c r="E7" s="5" t="s">
        <v>101</v>
      </c>
    </row>
    <row r="8" spans="1:5" x14ac:dyDescent="0.2">
      <c r="A8" s="2" t="s">
        <v>258</v>
      </c>
      <c r="B8" s="3" t="s">
        <v>240</v>
      </c>
      <c r="C8" s="2">
        <v>97</v>
      </c>
      <c r="D8" s="2"/>
      <c r="E8" s="5" t="s">
        <v>102</v>
      </c>
    </row>
    <row r="9" spans="1:5" x14ac:dyDescent="0.2">
      <c r="A9" s="2" t="s">
        <v>259</v>
      </c>
      <c r="B9" s="3" t="s">
        <v>241</v>
      </c>
      <c r="C9" s="2">
        <v>615</v>
      </c>
      <c r="D9" s="2"/>
      <c r="E9" s="5" t="s">
        <v>103</v>
      </c>
    </row>
    <row r="10" spans="1:5" x14ac:dyDescent="0.2">
      <c r="A10" s="2" t="s">
        <v>260</v>
      </c>
      <c r="B10" s="3" t="s">
        <v>242</v>
      </c>
      <c r="C10" s="2">
        <v>13</v>
      </c>
      <c r="D10" s="2"/>
      <c r="E10" s="5" t="s">
        <v>104</v>
      </c>
    </row>
    <row r="11" spans="1:5" x14ac:dyDescent="0.2">
      <c r="A11" s="2" t="s">
        <v>261</v>
      </c>
      <c r="B11" s="3" t="s">
        <v>243</v>
      </c>
      <c r="C11" s="2">
        <v>35</v>
      </c>
      <c r="D11" s="2"/>
      <c r="E11" s="5" t="s">
        <v>105</v>
      </c>
    </row>
    <row r="12" spans="1:5" x14ac:dyDescent="0.2">
      <c r="A12" s="2" t="s">
        <v>262</v>
      </c>
      <c r="B12" s="3" t="s">
        <v>244</v>
      </c>
      <c r="C12" s="2">
        <v>64</v>
      </c>
      <c r="D12" s="2"/>
      <c r="E12" s="5" t="s">
        <v>106</v>
      </c>
    </row>
    <row r="13" spans="1:5" x14ac:dyDescent="0.2">
      <c r="A13" s="2" t="s">
        <v>263</v>
      </c>
      <c r="B13" s="3" t="s">
        <v>245</v>
      </c>
      <c r="C13" s="2">
        <v>23555</v>
      </c>
      <c r="D13" s="2"/>
      <c r="E13" s="5" t="s">
        <v>107</v>
      </c>
    </row>
    <row r="14" spans="1:5" x14ac:dyDescent="0.2">
      <c r="A14" s="2" t="s">
        <v>264</v>
      </c>
      <c r="B14" s="3" t="s">
        <v>246</v>
      </c>
      <c r="C14" s="2">
        <v>1459</v>
      </c>
      <c r="D14" s="2"/>
      <c r="E14" s="5" t="s">
        <v>108</v>
      </c>
    </row>
    <row r="15" spans="1:5" x14ac:dyDescent="0.2">
      <c r="A15" s="2" t="s">
        <v>265</v>
      </c>
      <c r="B15" s="3" t="s">
        <v>238</v>
      </c>
      <c r="C15" s="2">
        <v>155</v>
      </c>
      <c r="D15" s="2"/>
      <c r="E15" s="5" t="s">
        <v>109</v>
      </c>
    </row>
    <row r="16" spans="1:5" x14ac:dyDescent="0.2">
      <c r="A16" s="2" t="s">
        <v>266</v>
      </c>
      <c r="B16" s="3" t="s">
        <v>247</v>
      </c>
      <c r="C16" s="2">
        <v>34042</v>
      </c>
      <c r="D16" s="2"/>
      <c r="E16" s="5" t="s">
        <v>172</v>
      </c>
    </row>
    <row r="19" spans="2:3" x14ac:dyDescent="0.2">
      <c r="B19" s="2" t="s">
        <v>91</v>
      </c>
      <c r="C19" s="2" t="s">
        <v>248</v>
      </c>
    </row>
    <row r="20" spans="2:3" x14ac:dyDescent="0.2">
      <c r="B20" s="2" t="s">
        <v>249</v>
      </c>
      <c r="C20" s="2" t="s">
        <v>250</v>
      </c>
    </row>
    <row r="22" spans="2:3" x14ac:dyDescent="0.2">
      <c r="B22" s="2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8401-2256-9A48-AA59-4DC7F0E7097D}">
  <sheetPr filterMode="1">
    <tabColor rgb="FFEBF1DE"/>
  </sheetPr>
  <dimension ref="A1:AT76"/>
  <sheetViews>
    <sheetView topLeftCell="F58" zoomScale="112" workbookViewId="0">
      <selection activeCell="AR14" sqref="AR14"/>
    </sheetView>
  </sheetViews>
  <sheetFormatPr baseColWidth="10" defaultRowHeight="16" x14ac:dyDescent="0.2"/>
  <cols>
    <col min="1" max="1" width="70.5" customWidth="1"/>
    <col min="3" max="3" width="32.5" bestFit="1" customWidth="1"/>
    <col min="4" max="4" width="28.6640625" customWidth="1"/>
    <col min="5" max="5" width="18.33203125" customWidth="1"/>
    <col min="6" max="6" width="22" bestFit="1" customWidth="1"/>
    <col min="8" max="8" width="15.83203125" customWidth="1"/>
    <col min="9" max="9" width="15.33203125" bestFit="1" customWidth="1"/>
    <col min="10" max="38" width="0" hidden="1" customWidth="1"/>
    <col min="39" max="39" width="12.1640625" bestFit="1" customWidth="1"/>
    <col min="40" max="42" width="0" hidden="1" customWidth="1"/>
    <col min="43" max="43" width="12.1640625" bestFit="1" customWidth="1"/>
    <col min="44" max="44" width="38.33203125" customWidth="1"/>
  </cols>
  <sheetData>
    <row r="1" spans="1:46" x14ac:dyDescent="0.2">
      <c r="A1" s="47" t="s">
        <v>366</v>
      </c>
    </row>
    <row r="3" spans="1:46" x14ac:dyDescent="0.2">
      <c r="A3" s="1" t="s">
        <v>280</v>
      </c>
      <c r="B3" s="1" t="s">
        <v>281</v>
      </c>
      <c r="C3" s="1" t="s">
        <v>0</v>
      </c>
      <c r="D3" s="1" t="s">
        <v>1</v>
      </c>
      <c r="E3" s="1" t="s">
        <v>379</v>
      </c>
      <c r="F3" s="1" t="s">
        <v>282</v>
      </c>
      <c r="G3" s="1" t="s">
        <v>2</v>
      </c>
      <c r="H3" s="1" t="s">
        <v>283</v>
      </c>
      <c r="I3" s="1" t="s">
        <v>284</v>
      </c>
      <c r="J3" s="1">
        <v>1990</v>
      </c>
      <c r="K3" s="1">
        <v>1991</v>
      </c>
      <c r="L3" s="1">
        <v>1992</v>
      </c>
      <c r="M3" s="1">
        <v>1993</v>
      </c>
      <c r="N3" s="1">
        <v>1994</v>
      </c>
      <c r="O3" s="1">
        <v>1995</v>
      </c>
      <c r="P3" s="1">
        <v>1996</v>
      </c>
      <c r="Q3" s="1">
        <v>1997</v>
      </c>
      <c r="R3" s="1">
        <v>1998</v>
      </c>
      <c r="S3" s="1">
        <v>1999</v>
      </c>
      <c r="T3" s="1">
        <v>2000</v>
      </c>
      <c r="U3" s="1">
        <v>2001</v>
      </c>
      <c r="V3" s="1">
        <v>2002</v>
      </c>
      <c r="W3" s="1">
        <v>2003</v>
      </c>
      <c r="X3" s="1">
        <v>2004</v>
      </c>
      <c r="Y3" s="1">
        <v>2005</v>
      </c>
      <c r="Z3" s="1">
        <v>2006</v>
      </c>
      <c r="AA3" s="1">
        <v>2007</v>
      </c>
      <c r="AB3" s="1">
        <v>2008</v>
      </c>
      <c r="AC3" s="1">
        <v>2009</v>
      </c>
      <c r="AD3" s="1">
        <v>2010</v>
      </c>
      <c r="AE3" s="1">
        <v>2011</v>
      </c>
      <c r="AF3" s="1">
        <v>2012</v>
      </c>
      <c r="AG3" s="1">
        <v>2013</v>
      </c>
      <c r="AH3" s="1">
        <v>2014</v>
      </c>
      <c r="AI3" s="1">
        <v>2015</v>
      </c>
      <c r="AJ3" s="1">
        <v>2016</v>
      </c>
      <c r="AK3" s="1">
        <v>2017</v>
      </c>
      <c r="AL3" s="1">
        <v>2018</v>
      </c>
      <c r="AM3" s="1">
        <v>2019</v>
      </c>
      <c r="AN3" s="1">
        <v>2020</v>
      </c>
      <c r="AO3" s="1">
        <v>2021</v>
      </c>
      <c r="AP3" s="1">
        <v>2022</v>
      </c>
      <c r="AQ3" s="1">
        <v>2023</v>
      </c>
      <c r="AR3" s="1" t="s">
        <v>380</v>
      </c>
      <c r="AT3" s="47" t="s">
        <v>51</v>
      </c>
    </row>
    <row r="4" spans="1:46" hidden="1" x14ac:dyDescent="0.2">
      <c r="A4" t="s">
        <v>285</v>
      </c>
      <c r="B4" t="s">
        <v>286</v>
      </c>
      <c r="C4" t="s">
        <v>287</v>
      </c>
      <c r="D4" t="s">
        <v>367</v>
      </c>
      <c r="E4" t="s">
        <v>368</v>
      </c>
      <c r="F4" t="s">
        <v>4</v>
      </c>
      <c r="G4" t="s">
        <v>3</v>
      </c>
      <c r="H4" t="s">
        <v>288</v>
      </c>
      <c r="I4" t="s">
        <v>289</v>
      </c>
      <c r="J4">
        <v>26020500</v>
      </c>
      <c r="K4">
        <v>23940800</v>
      </c>
      <c r="L4">
        <v>23907700</v>
      </c>
      <c r="M4">
        <v>21092900</v>
      </c>
      <c r="N4">
        <v>20214200</v>
      </c>
      <c r="O4">
        <v>26236800</v>
      </c>
      <c r="P4">
        <v>25655000</v>
      </c>
      <c r="Q4">
        <v>23026100</v>
      </c>
      <c r="R4">
        <v>26022900</v>
      </c>
      <c r="S4">
        <v>28035500</v>
      </c>
      <c r="T4">
        <v>31683900</v>
      </c>
      <c r="U4">
        <v>33017900</v>
      </c>
      <c r="V4">
        <v>30152600</v>
      </c>
      <c r="W4">
        <v>27735500</v>
      </c>
      <c r="X4">
        <v>27593600</v>
      </c>
      <c r="Y4">
        <v>26354500</v>
      </c>
      <c r="Z4">
        <v>25572800</v>
      </c>
      <c r="AA4">
        <v>25299900</v>
      </c>
      <c r="AB4">
        <v>25112000</v>
      </c>
      <c r="AC4">
        <v>23851400</v>
      </c>
      <c r="AD4">
        <v>22789600</v>
      </c>
      <c r="AE4">
        <v>22294000</v>
      </c>
      <c r="AF4">
        <v>22743400</v>
      </c>
      <c r="AG4">
        <v>20826300</v>
      </c>
      <c r="AH4">
        <v>20787500</v>
      </c>
      <c r="AI4">
        <v>21274300</v>
      </c>
      <c r="AJ4">
        <v>21732200</v>
      </c>
      <c r="AK4">
        <v>23320800</v>
      </c>
      <c r="AL4">
        <v>24240400</v>
      </c>
      <c r="AM4">
        <v>22307000</v>
      </c>
      <c r="AN4">
        <v>8613640</v>
      </c>
      <c r="AO4">
        <v>9448210</v>
      </c>
      <c r="AP4">
        <v>13541400</v>
      </c>
      <c r="AQ4">
        <v>14867400</v>
      </c>
      <c r="AR4" s="48" t="s">
        <v>33</v>
      </c>
    </row>
    <row r="5" spans="1:46" hidden="1" x14ac:dyDescent="0.2">
      <c r="A5" t="s">
        <v>290</v>
      </c>
      <c r="B5" t="s">
        <v>286</v>
      </c>
      <c r="C5" t="s">
        <v>287</v>
      </c>
      <c r="D5" t="s">
        <v>369</v>
      </c>
      <c r="E5" t="s">
        <v>370</v>
      </c>
      <c r="F5" t="s">
        <v>4</v>
      </c>
      <c r="G5" t="s">
        <v>3</v>
      </c>
      <c r="H5" t="s">
        <v>288</v>
      </c>
      <c r="I5" t="s">
        <v>291</v>
      </c>
      <c r="Y5">
        <v>627713</v>
      </c>
      <c r="Z5">
        <v>1285900</v>
      </c>
      <c r="AA5">
        <v>1977700</v>
      </c>
      <c r="AB5">
        <v>2700320</v>
      </c>
      <c r="AC5">
        <v>3315850</v>
      </c>
      <c r="AD5">
        <v>3716590</v>
      </c>
      <c r="AE5">
        <v>4116350</v>
      </c>
      <c r="AF5">
        <v>4454710</v>
      </c>
      <c r="AG5">
        <v>4496370</v>
      </c>
      <c r="AH5">
        <v>4731330</v>
      </c>
      <c r="AI5">
        <v>5166740</v>
      </c>
      <c r="AJ5">
        <v>5670290</v>
      </c>
      <c r="AK5">
        <v>5911920</v>
      </c>
      <c r="AL5">
        <v>6097680</v>
      </c>
      <c r="AM5">
        <v>6320530</v>
      </c>
      <c r="AN5">
        <v>6457160</v>
      </c>
      <c r="AO5">
        <v>6640590</v>
      </c>
      <c r="AP5">
        <v>6920410</v>
      </c>
      <c r="AQ5">
        <v>6810970</v>
      </c>
      <c r="AR5" s="49"/>
    </row>
    <row r="6" spans="1:46" hidden="1" x14ac:dyDescent="0.2">
      <c r="A6" t="s">
        <v>292</v>
      </c>
      <c r="B6" t="s">
        <v>286</v>
      </c>
      <c r="C6" t="s">
        <v>287</v>
      </c>
      <c r="D6" t="s">
        <v>371</v>
      </c>
      <c r="E6" t="s">
        <v>368</v>
      </c>
      <c r="F6" t="s">
        <v>4</v>
      </c>
      <c r="G6" t="s">
        <v>3</v>
      </c>
      <c r="H6" t="s">
        <v>288</v>
      </c>
      <c r="I6" t="s">
        <v>289</v>
      </c>
      <c r="J6">
        <v>883031000</v>
      </c>
      <c r="K6">
        <v>872876000</v>
      </c>
      <c r="L6">
        <v>918402000</v>
      </c>
      <c r="M6">
        <v>952115000</v>
      </c>
      <c r="N6">
        <v>914909000</v>
      </c>
      <c r="O6">
        <v>857742000</v>
      </c>
      <c r="P6">
        <v>822701000</v>
      </c>
      <c r="Q6">
        <v>805934000</v>
      </c>
      <c r="R6">
        <v>790248000</v>
      </c>
      <c r="S6">
        <v>763922000</v>
      </c>
      <c r="T6">
        <v>658337000</v>
      </c>
      <c r="U6">
        <v>723197000</v>
      </c>
      <c r="V6">
        <v>741851000</v>
      </c>
      <c r="W6">
        <v>767594000</v>
      </c>
      <c r="X6">
        <v>803210000</v>
      </c>
      <c r="Y6">
        <v>751676000</v>
      </c>
      <c r="Z6">
        <v>676046000</v>
      </c>
      <c r="AA6">
        <v>639009000</v>
      </c>
      <c r="AB6">
        <v>600069000</v>
      </c>
      <c r="AC6">
        <v>537002000</v>
      </c>
      <c r="AD6">
        <v>549677000</v>
      </c>
      <c r="AE6">
        <v>552517000</v>
      </c>
      <c r="AF6">
        <v>551403000</v>
      </c>
      <c r="AG6">
        <v>550646000</v>
      </c>
      <c r="AH6">
        <v>558897000</v>
      </c>
      <c r="AI6">
        <v>572314000</v>
      </c>
      <c r="AJ6">
        <v>593181000</v>
      </c>
      <c r="AK6">
        <v>612411000</v>
      </c>
      <c r="AL6">
        <v>644939000</v>
      </c>
      <c r="AM6">
        <v>660282000</v>
      </c>
      <c r="AN6">
        <v>640547000</v>
      </c>
      <c r="AO6">
        <v>667190000</v>
      </c>
      <c r="AP6">
        <v>676212000</v>
      </c>
      <c r="AQ6">
        <v>675986000</v>
      </c>
      <c r="AR6" s="5" t="s">
        <v>17</v>
      </c>
    </row>
    <row r="7" spans="1:46" hidden="1" x14ac:dyDescent="0.2">
      <c r="A7" t="s">
        <v>293</v>
      </c>
      <c r="B7" t="s">
        <v>286</v>
      </c>
      <c r="C7" t="s">
        <v>287</v>
      </c>
      <c r="D7" t="s">
        <v>371</v>
      </c>
      <c r="E7" t="s">
        <v>372</v>
      </c>
      <c r="F7" t="s">
        <v>4</v>
      </c>
      <c r="G7" t="s">
        <v>3</v>
      </c>
      <c r="H7" t="s">
        <v>288</v>
      </c>
      <c r="I7" t="s">
        <v>294</v>
      </c>
      <c r="J7">
        <v>15200800</v>
      </c>
      <c r="K7">
        <v>17051400</v>
      </c>
      <c r="L7">
        <v>19747700</v>
      </c>
      <c r="M7">
        <v>22730300</v>
      </c>
      <c r="N7">
        <v>24507800</v>
      </c>
      <c r="O7">
        <v>25935700</v>
      </c>
      <c r="P7">
        <v>28113100</v>
      </c>
      <c r="Q7">
        <v>31144400</v>
      </c>
      <c r="R7">
        <v>34795300</v>
      </c>
      <c r="S7">
        <v>39048400</v>
      </c>
      <c r="T7">
        <v>39561800</v>
      </c>
      <c r="U7">
        <v>38884900</v>
      </c>
      <c r="V7">
        <v>35555400</v>
      </c>
      <c r="W7">
        <v>32319100</v>
      </c>
      <c r="X7">
        <v>30225100</v>
      </c>
      <c r="Y7">
        <v>27970900</v>
      </c>
      <c r="Z7">
        <v>26983000</v>
      </c>
      <c r="AA7">
        <v>27256600</v>
      </c>
      <c r="AB7">
        <v>28956800</v>
      </c>
      <c r="AC7">
        <v>30190400</v>
      </c>
      <c r="AD7">
        <v>30287200</v>
      </c>
      <c r="AE7">
        <v>30908800</v>
      </c>
      <c r="AF7">
        <v>30404500</v>
      </c>
      <c r="AG7">
        <v>31226400</v>
      </c>
      <c r="AH7">
        <v>31241700</v>
      </c>
      <c r="AI7">
        <v>31267800</v>
      </c>
      <c r="AJ7">
        <v>31914600</v>
      </c>
      <c r="AK7">
        <v>35160400</v>
      </c>
      <c r="AL7">
        <v>36749200</v>
      </c>
      <c r="AM7">
        <v>40458600</v>
      </c>
      <c r="AN7">
        <v>39825900</v>
      </c>
      <c r="AO7">
        <v>41306100</v>
      </c>
      <c r="AP7">
        <v>43264300</v>
      </c>
      <c r="AQ7">
        <v>46112500</v>
      </c>
      <c r="AR7" s="5" t="s">
        <v>21</v>
      </c>
    </row>
    <row r="8" spans="1:46" hidden="1" x14ac:dyDescent="0.2">
      <c r="A8" t="s">
        <v>295</v>
      </c>
      <c r="B8" t="s">
        <v>286</v>
      </c>
      <c r="C8" t="s">
        <v>287</v>
      </c>
      <c r="D8" t="s">
        <v>373</v>
      </c>
      <c r="E8" t="s">
        <v>372</v>
      </c>
      <c r="F8" t="s">
        <v>4</v>
      </c>
      <c r="G8" t="s">
        <v>3</v>
      </c>
      <c r="H8" t="s">
        <v>288</v>
      </c>
      <c r="I8" t="s">
        <v>291</v>
      </c>
      <c r="Y8">
        <v>4841.54</v>
      </c>
      <c r="Z8">
        <v>9561.8799999999992</v>
      </c>
      <c r="AA8">
        <v>15155.8</v>
      </c>
      <c r="AB8">
        <v>20861</v>
      </c>
      <c r="AC8">
        <v>27421.5</v>
      </c>
      <c r="AD8">
        <v>28391.599999999999</v>
      </c>
      <c r="AE8">
        <v>25985.3</v>
      </c>
      <c r="AF8">
        <v>25928.7</v>
      </c>
      <c r="AG8">
        <v>25562.6</v>
      </c>
      <c r="AH8">
        <v>24232.6</v>
      </c>
      <c r="AI8">
        <v>24186.1</v>
      </c>
      <c r="AJ8">
        <v>23058.5</v>
      </c>
      <c r="AK8">
        <v>23926</v>
      </c>
      <c r="AL8">
        <v>23700.799999999999</v>
      </c>
      <c r="AM8">
        <v>22220.400000000001</v>
      </c>
      <c r="AN8">
        <v>18720.099999999999</v>
      </c>
      <c r="AO8">
        <v>15846.7</v>
      </c>
      <c r="AP8">
        <v>14393.3</v>
      </c>
      <c r="AQ8">
        <v>13283.5</v>
      </c>
      <c r="AR8" s="49"/>
    </row>
    <row r="9" spans="1:46" hidden="1" x14ac:dyDescent="0.2">
      <c r="A9" t="s">
        <v>296</v>
      </c>
      <c r="B9" t="s">
        <v>286</v>
      </c>
      <c r="C9" t="s">
        <v>287</v>
      </c>
      <c r="D9" t="s">
        <v>371</v>
      </c>
      <c r="E9" t="s">
        <v>370</v>
      </c>
      <c r="F9" t="s">
        <v>4</v>
      </c>
      <c r="G9" t="s">
        <v>3</v>
      </c>
      <c r="H9" t="s">
        <v>288</v>
      </c>
      <c r="I9" t="s">
        <v>297</v>
      </c>
      <c r="J9">
        <v>76311100</v>
      </c>
      <c r="K9">
        <v>72902900</v>
      </c>
      <c r="L9">
        <v>74117600</v>
      </c>
      <c r="M9">
        <v>75075300</v>
      </c>
      <c r="N9">
        <v>70661400</v>
      </c>
      <c r="O9">
        <v>65363300</v>
      </c>
      <c r="P9">
        <v>61751500</v>
      </c>
      <c r="Q9">
        <v>59610800</v>
      </c>
      <c r="R9">
        <v>57324200</v>
      </c>
      <c r="S9">
        <v>53984600</v>
      </c>
      <c r="T9">
        <v>45244700</v>
      </c>
      <c r="U9">
        <v>35939300</v>
      </c>
      <c r="V9">
        <v>31032300</v>
      </c>
      <c r="W9">
        <v>26976900</v>
      </c>
      <c r="X9">
        <v>27083700</v>
      </c>
      <c r="Y9">
        <v>22079400</v>
      </c>
      <c r="Z9">
        <v>18431500</v>
      </c>
      <c r="AA9">
        <v>16205700</v>
      </c>
      <c r="AB9">
        <v>14568800</v>
      </c>
      <c r="AC9">
        <v>14078200</v>
      </c>
      <c r="AD9">
        <v>12913700</v>
      </c>
      <c r="AE9">
        <v>11314400</v>
      </c>
      <c r="AF9">
        <v>9448570</v>
      </c>
      <c r="AG9">
        <v>9119440</v>
      </c>
      <c r="AH9">
        <v>8715720</v>
      </c>
      <c r="AI9">
        <v>8226230</v>
      </c>
      <c r="AJ9">
        <v>8372470</v>
      </c>
      <c r="AK9">
        <v>8841480</v>
      </c>
      <c r="AL9">
        <v>9383680</v>
      </c>
      <c r="AM9">
        <v>10165600</v>
      </c>
      <c r="AN9">
        <v>10395300</v>
      </c>
      <c r="AO9">
        <v>12709000</v>
      </c>
      <c r="AP9">
        <v>14532000</v>
      </c>
      <c r="AQ9">
        <v>17040000</v>
      </c>
      <c r="AR9" s="48" t="s">
        <v>16</v>
      </c>
    </row>
    <row r="10" spans="1:46" x14ac:dyDescent="0.2">
      <c r="A10" t="s">
        <v>298</v>
      </c>
      <c r="B10" t="s">
        <v>286</v>
      </c>
      <c r="C10" t="s">
        <v>287</v>
      </c>
      <c r="D10" t="s">
        <v>374</v>
      </c>
      <c r="E10" t="s">
        <v>368</v>
      </c>
      <c r="F10" t="s">
        <v>4</v>
      </c>
      <c r="G10" t="s">
        <v>3</v>
      </c>
      <c r="H10" t="s">
        <v>288</v>
      </c>
      <c r="I10" t="s">
        <v>299</v>
      </c>
      <c r="J10">
        <v>19101200</v>
      </c>
      <c r="K10">
        <v>22252500</v>
      </c>
      <c r="L10">
        <v>26669500</v>
      </c>
      <c r="M10">
        <v>30480000</v>
      </c>
      <c r="N10">
        <v>32815000</v>
      </c>
      <c r="O10">
        <v>34632900</v>
      </c>
      <c r="P10">
        <v>38464300</v>
      </c>
      <c r="Q10">
        <v>40096300</v>
      </c>
      <c r="R10">
        <v>41567900</v>
      </c>
      <c r="S10">
        <v>43390400</v>
      </c>
      <c r="T10">
        <v>45526000</v>
      </c>
      <c r="U10">
        <v>47526400</v>
      </c>
      <c r="V10">
        <v>50490600</v>
      </c>
      <c r="W10">
        <v>52173900</v>
      </c>
      <c r="X10">
        <v>53524700</v>
      </c>
      <c r="Y10">
        <v>54361400</v>
      </c>
      <c r="Z10">
        <v>54826600</v>
      </c>
      <c r="AA10">
        <v>55344200</v>
      </c>
      <c r="AB10">
        <v>56143700</v>
      </c>
      <c r="AC10">
        <v>56545200</v>
      </c>
      <c r="AD10">
        <v>56509700</v>
      </c>
      <c r="AE10">
        <v>55962300</v>
      </c>
      <c r="AF10">
        <v>55032100</v>
      </c>
      <c r="AG10">
        <v>53607800</v>
      </c>
      <c r="AH10">
        <v>52005600</v>
      </c>
      <c r="AI10">
        <v>50438500</v>
      </c>
      <c r="AJ10">
        <v>49964600</v>
      </c>
      <c r="AK10">
        <v>49839800</v>
      </c>
      <c r="AL10">
        <v>49789100</v>
      </c>
      <c r="AM10">
        <v>50353600</v>
      </c>
      <c r="AN10">
        <v>49967900</v>
      </c>
      <c r="AO10">
        <v>49717200</v>
      </c>
      <c r="AP10">
        <v>49306100</v>
      </c>
      <c r="AQ10">
        <v>48990600</v>
      </c>
      <c r="AR10" s="6" t="s">
        <v>23</v>
      </c>
    </row>
    <row r="11" spans="1:46" hidden="1" x14ac:dyDescent="0.2">
      <c r="A11" t="s">
        <v>300</v>
      </c>
      <c r="B11" t="s">
        <v>286</v>
      </c>
      <c r="C11" t="s">
        <v>287</v>
      </c>
      <c r="D11" t="s">
        <v>375</v>
      </c>
      <c r="E11" t="s">
        <v>370</v>
      </c>
      <c r="F11" t="s">
        <v>4</v>
      </c>
      <c r="G11" t="s">
        <v>3</v>
      </c>
      <c r="H11" t="s">
        <v>288</v>
      </c>
      <c r="I11" t="s">
        <v>289</v>
      </c>
      <c r="J11">
        <v>35907100</v>
      </c>
      <c r="K11">
        <v>36958700</v>
      </c>
      <c r="L11">
        <v>37753100</v>
      </c>
      <c r="M11">
        <v>37495800</v>
      </c>
      <c r="N11">
        <v>37635700</v>
      </c>
      <c r="O11">
        <v>39224400</v>
      </c>
      <c r="P11">
        <v>40276000</v>
      </c>
      <c r="Q11">
        <v>40555900</v>
      </c>
      <c r="R11">
        <v>42144600</v>
      </c>
      <c r="S11">
        <v>43962600</v>
      </c>
      <c r="T11">
        <v>45205500</v>
      </c>
      <c r="U11">
        <v>45899200</v>
      </c>
      <c r="V11">
        <v>45999500</v>
      </c>
      <c r="W11">
        <v>45606400</v>
      </c>
      <c r="X11">
        <v>45580200</v>
      </c>
      <c r="Y11">
        <v>45579800</v>
      </c>
      <c r="Z11">
        <v>47500200</v>
      </c>
      <c r="AA11">
        <v>48285100</v>
      </c>
      <c r="AB11">
        <v>48948600</v>
      </c>
      <c r="AC11">
        <v>47319700</v>
      </c>
      <c r="AD11">
        <v>46686100</v>
      </c>
      <c r="AE11">
        <v>46276700</v>
      </c>
      <c r="AF11">
        <v>45563300</v>
      </c>
      <c r="AG11">
        <v>45860800</v>
      </c>
      <c r="AH11">
        <v>45790100</v>
      </c>
      <c r="AI11">
        <v>46465300</v>
      </c>
      <c r="AJ11">
        <v>47796500</v>
      </c>
      <c r="AK11">
        <v>49597300</v>
      </c>
      <c r="AL11">
        <v>51161800</v>
      </c>
      <c r="AM11">
        <v>53000500</v>
      </c>
      <c r="AN11">
        <v>53342200</v>
      </c>
      <c r="AO11">
        <v>54586700</v>
      </c>
      <c r="AP11">
        <v>56013700</v>
      </c>
      <c r="AQ11">
        <v>58131500</v>
      </c>
    </row>
    <row r="12" spans="1:46" hidden="1" x14ac:dyDescent="0.2">
      <c r="A12" t="s">
        <v>301</v>
      </c>
      <c r="B12" t="s">
        <v>286</v>
      </c>
      <c r="C12" t="s">
        <v>287</v>
      </c>
      <c r="D12" t="s">
        <v>371</v>
      </c>
      <c r="E12" t="s">
        <v>372</v>
      </c>
      <c r="F12" t="s">
        <v>4</v>
      </c>
      <c r="G12" t="s">
        <v>3</v>
      </c>
      <c r="H12" t="s">
        <v>288</v>
      </c>
      <c r="I12" t="s">
        <v>291</v>
      </c>
      <c r="Y12">
        <v>568.73199999999997</v>
      </c>
      <c r="Z12">
        <v>1118.19</v>
      </c>
      <c r="AA12">
        <v>1724.26</v>
      </c>
      <c r="AB12">
        <v>2365.0700000000002</v>
      </c>
      <c r="AC12">
        <v>2915.84</v>
      </c>
      <c r="AD12">
        <v>9815.6</v>
      </c>
      <c r="AE12">
        <v>14899.4</v>
      </c>
      <c r="AF12">
        <v>26057.200000000001</v>
      </c>
      <c r="AG12">
        <v>34605.199999999997</v>
      </c>
      <c r="AH12">
        <v>37708.6</v>
      </c>
      <c r="AI12">
        <v>46007.9</v>
      </c>
      <c r="AJ12">
        <v>56239.199999999997</v>
      </c>
      <c r="AK12">
        <v>61421.3</v>
      </c>
      <c r="AL12">
        <v>47626.1</v>
      </c>
      <c r="AM12">
        <v>53939.1</v>
      </c>
      <c r="AN12">
        <v>125380</v>
      </c>
      <c r="AO12">
        <v>425935</v>
      </c>
      <c r="AP12">
        <v>1088190</v>
      </c>
      <c r="AQ12">
        <v>2048210</v>
      </c>
      <c r="AR12" s="49"/>
    </row>
    <row r="13" spans="1:46" hidden="1" x14ac:dyDescent="0.2">
      <c r="A13" t="s">
        <v>302</v>
      </c>
      <c r="B13" t="s">
        <v>286</v>
      </c>
      <c r="C13" t="s">
        <v>287</v>
      </c>
      <c r="D13" t="s">
        <v>376</v>
      </c>
      <c r="E13" t="s">
        <v>368</v>
      </c>
      <c r="F13" t="s">
        <v>4</v>
      </c>
      <c r="G13" t="s">
        <v>3</v>
      </c>
      <c r="H13" t="s">
        <v>288</v>
      </c>
      <c r="I13" t="s">
        <v>299</v>
      </c>
      <c r="O13">
        <v>35173.5</v>
      </c>
      <c r="P13">
        <v>75757.2</v>
      </c>
      <c r="Q13">
        <v>190121</v>
      </c>
      <c r="R13">
        <v>301021</v>
      </c>
      <c r="S13">
        <v>406136</v>
      </c>
      <c r="T13">
        <v>497394</v>
      </c>
      <c r="U13">
        <v>579701</v>
      </c>
      <c r="V13">
        <v>673778</v>
      </c>
      <c r="W13">
        <v>705864</v>
      </c>
      <c r="X13">
        <v>729020</v>
      </c>
      <c r="Y13">
        <v>744787</v>
      </c>
      <c r="Z13">
        <v>760445</v>
      </c>
      <c r="AA13">
        <v>764473</v>
      </c>
      <c r="AB13">
        <v>877904</v>
      </c>
      <c r="AC13">
        <v>955120</v>
      </c>
      <c r="AD13">
        <v>1148460</v>
      </c>
      <c r="AE13">
        <v>1139210</v>
      </c>
      <c r="AF13">
        <v>1108880</v>
      </c>
      <c r="AG13">
        <v>1059330</v>
      </c>
      <c r="AH13">
        <v>1034550</v>
      </c>
      <c r="AI13">
        <v>980983</v>
      </c>
      <c r="AJ13">
        <v>933396</v>
      </c>
      <c r="AK13">
        <v>910921</v>
      </c>
      <c r="AL13">
        <v>885435</v>
      </c>
      <c r="AM13">
        <v>857280</v>
      </c>
      <c r="AN13">
        <v>835579</v>
      </c>
      <c r="AO13">
        <v>841313</v>
      </c>
      <c r="AP13">
        <v>846858</v>
      </c>
      <c r="AQ13">
        <v>833179</v>
      </c>
      <c r="AR13" s="6" t="s">
        <v>28</v>
      </c>
    </row>
    <row r="14" spans="1:46" hidden="1" x14ac:dyDescent="0.2">
      <c r="A14" t="s">
        <v>303</v>
      </c>
      <c r="B14" t="s">
        <v>286</v>
      </c>
      <c r="C14" t="s">
        <v>287</v>
      </c>
      <c r="D14" t="s">
        <v>373</v>
      </c>
      <c r="E14" t="s">
        <v>372</v>
      </c>
      <c r="F14" t="s">
        <v>4</v>
      </c>
      <c r="G14" t="s">
        <v>3</v>
      </c>
      <c r="H14" t="s">
        <v>288</v>
      </c>
      <c r="I14" t="s">
        <v>289</v>
      </c>
      <c r="J14">
        <v>8227690</v>
      </c>
      <c r="K14">
        <v>8442860</v>
      </c>
      <c r="L14">
        <v>8379230</v>
      </c>
      <c r="M14">
        <v>8622150</v>
      </c>
      <c r="N14">
        <v>8745960</v>
      </c>
      <c r="O14">
        <v>8496400</v>
      </c>
      <c r="P14">
        <v>8521620</v>
      </c>
      <c r="Q14">
        <v>8336750</v>
      </c>
      <c r="R14">
        <v>7978400</v>
      </c>
      <c r="S14">
        <v>7687820</v>
      </c>
      <c r="T14">
        <v>7398040</v>
      </c>
      <c r="U14">
        <v>7011600</v>
      </c>
      <c r="V14">
        <v>7408240</v>
      </c>
      <c r="W14">
        <v>7250290</v>
      </c>
      <c r="X14">
        <v>6949640</v>
      </c>
      <c r="Y14">
        <v>6529790</v>
      </c>
      <c r="Z14">
        <v>6393650</v>
      </c>
      <c r="AA14">
        <v>6699550</v>
      </c>
      <c r="AB14">
        <v>6865440</v>
      </c>
      <c r="AC14">
        <v>7157320</v>
      </c>
      <c r="AD14">
        <v>7143370</v>
      </c>
      <c r="AE14">
        <v>7081030</v>
      </c>
      <c r="AF14">
        <v>6673110</v>
      </c>
      <c r="AG14">
        <v>6576050</v>
      </c>
      <c r="AH14">
        <v>6157010</v>
      </c>
      <c r="AI14">
        <v>6081730</v>
      </c>
      <c r="AJ14">
        <v>5704360</v>
      </c>
      <c r="AK14">
        <v>6024180</v>
      </c>
      <c r="AL14">
        <v>5937090</v>
      </c>
      <c r="AM14">
        <v>5535670</v>
      </c>
      <c r="AN14">
        <v>4646330</v>
      </c>
      <c r="AO14">
        <v>3792830</v>
      </c>
      <c r="AP14">
        <v>3355080</v>
      </c>
      <c r="AQ14">
        <v>3114310</v>
      </c>
      <c r="AR14" s="52" t="s">
        <v>31</v>
      </c>
    </row>
    <row r="15" spans="1:46" hidden="1" x14ac:dyDescent="0.2">
      <c r="A15" t="s">
        <v>304</v>
      </c>
      <c r="B15" t="s">
        <v>286</v>
      </c>
      <c r="C15" t="s">
        <v>287</v>
      </c>
      <c r="D15" t="s">
        <v>373</v>
      </c>
      <c r="E15" t="s">
        <v>368</v>
      </c>
      <c r="F15" t="s">
        <v>4</v>
      </c>
      <c r="G15" t="s">
        <v>3</v>
      </c>
      <c r="H15" t="s">
        <v>288</v>
      </c>
      <c r="I15" t="s">
        <v>294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52330.9</v>
      </c>
      <c r="W15">
        <v>0</v>
      </c>
      <c r="X15">
        <v>0</v>
      </c>
      <c r="Y15">
        <v>3623330</v>
      </c>
      <c r="Z15">
        <v>6861670</v>
      </c>
      <c r="AA15">
        <v>7122070</v>
      </c>
      <c r="AB15">
        <v>9967820</v>
      </c>
      <c r="AC15">
        <v>16501700</v>
      </c>
      <c r="AD15">
        <v>27959100</v>
      </c>
      <c r="AE15">
        <v>30749000</v>
      </c>
      <c r="AF15">
        <v>31106800</v>
      </c>
      <c r="AG15">
        <v>41218500</v>
      </c>
      <c r="AH15">
        <v>39099100</v>
      </c>
      <c r="AI15">
        <v>35356900</v>
      </c>
      <c r="AJ15">
        <v>34616300</v>
      </c>
      <c r="AK15">
        <v>34027400</v>
      </c>
      <c r="AL15">
        <v>33080700</v>
      </c>
      <c r="AM15">
        <v>32991800</v>
      </c>
      <c r="AN15">
        <v>26037000</v>
      </c>
      <c r="AO15">
        <v>28926700</v>
      </c>
      <c r="AP15">
        <v>27651300</v>
      </c>
      <c r="AQ15">
        <v>26168800</v>
      </c>
      <c r="AR15" s="55" t="s">
        <v>410</v>
      </c>
    </row>
    <row r="16" spans="1:46" hidden="1" x14ac:dyDescent="0.2">
      <c r="A16" t="s">
        <v>305</v>
      </c>
      <c r="B16" t="s">
        <v>286</v>
      </c>
      <c r="C16" t="s">
        <v>287</v>
      </c>
      <c r="D16" t="s">
        <v>377</v>
      </c>
      <c r="E16" t="s">
        <v>368</v>
      </c>
      <c r="F16" t="s">
        <v>4</v>
      </c>
      <c r="G16" t="s">
        <v>3</v>
      </c>
      <c r="H16" t="s">
        <v>288</v>
      </c>
      <c r="I16" t="s">
        <v>291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690.00400000000002</v>
      </c>
      <c r="AN16">
        <v>8933.19</v>
      </c>
      <c r="AO16">
        <v>32799.4</v>
      </c>
      <c r="AP16">
        <v>65182.400000000001</v>
      </c>
      <c r="AQ16">
        <v>99724.5</v>
      </c>
      <c r="AR16" s="49"/>
    </row>
    <row r="17" spans="1:44" hidden="1" x14ac:dyDescent="0.2">
      <c r="A17" t="s">
        <v>306</v>
      </c>
      <c r="B17" t="s">
        <v>286</v>
      </c>
      <c r="C17" t="s">
        <v>287</v>
      </c>
      <c r="D17" t="s">
        <v>371</v>
      </c>
      <c r="E17" t="s">
        <v>368</v>
      </c>
      <c r="F17" t="s">
        <v>4</v>
      </c>
      <c r="G17" t="s">
        <v>3</v>
      </c>
      <c r="H17" t="s">
        <v>288</v>
      </c>
      <c r="I17" t="s">
        <v>297</v>
      </c>
      <c r="J17">
        <v>308846000</v>
      </c>
      <c r="K17">
        <v>276592000</v>
      </c>
      <c r="L17">
        <v>257586000</v>
      </c>
      <c r="M17">
        <v>241228000</v>
      </c>
      <c r="N17">
        <v>206745000</v>
      </c>
      <c r="O17">
        <v>172487000</v>
      </c>
      <c r="P17">
        <v>145170000</v>
      </c>
      <c r="Q17">
        <v>122909000</v>
      </c>
      <c r="R17">
        <v>101591000</v>
      </c>
      <c r="S17">
        <v>79913700</v>
      </c>
      <c r="T17">
        <v>53744400</v>
      </c>
      <c r="U17">
        <v>40842600</v>
      </c>
      <c r="V17">
        <v>35196100</v>
      </c>
      <c r="W17">
        <v>30685800</v>
      </c>
      <c r="X17">
        <v>30683400</v>
      </c>
      <c r="Y17">
        <v>23272700</v>
      </c>
      <c r="Z17">
        <v>18036000</v>
      </c>
      <c r="AA17">
        <v>14686100</v>
      </c>
      <c r="AB17">
        <v>12194100</v>
      </c>
      <c r="AC17">
        <v>10851300</v>
      </c>
      <c r="AD17">
        <v>10039300</v>
      </c>
      <c r="AE17">
        <v>8886970</v>
      </c>
      <c r="AF17">
        <v>7524940</v>
      </c>
      <c r="AG17">
        <v>7357190</v>
      </c>
      <c r="AH17">
        <v>7098710</v>
      </c>
      <c r="AI17">
        <v>6748630</v>
      </c>
      <c r="AJ17">
        <v>6874420</v>
      </c>
      <c r="AK17">
        <v>7224190</v>
      </c>
      <c r="AL17">
        <v>7620180</v>
      </c>
      <c r="AM17">
        <v>8327040</v>
      </c>
      <c r="AN17">
        <v>8645810</v>
      </c>
      <c r="AO17">
        <v>10797200</v>
      </c>
      <c r="AP17">
        <v>12697300</v>
      </c>
      <c r="AQ17">
        <v>15371300</v>
      </c>
      <c r="AR17" s="5" t="s">
        <v>14</v>
      </c>
    </row>
    <row r="18" spans="1:44" hidden="1" x14ac:dyDescent="0.2">
      <c r="A18" t="s">
        <v>307</v>
      </c>
      <c r="B18" t="s">
        <v>286</v>
      </c>
      <c r="C18" t="s">
        <v>287</v>
      </c>
      <c r="D18" t="s">
        <v>369</v>
      </c>
      <c r="E18" t="s">
        <v>368</v>
      </c>
      <c r="F18" t="s">
        <v>4</v>
      </c>
      <c r="G18" t="s">
        <v>3</v>
      </c>
      <c r="H18" t="s">
        <v>288</v>
      </c>
      <c r="I18" t="s">
        <v>291</v>
      </c>
      <c r="Y18">
        <v>496378</v>
      </c>
      <c r="Z18">
        <v>981847</v>
      </c>
      <c r="AA18">
        <v>1449880</v>
      </c>
      <c r="AB18">
        <v>1892830</v>
      </c>
      <c r="AC18">
        <v>2210980</v>
      </c>
      <c r="AD18">
        <v>2396290</v>
      </c>
      <c r="AE18">
        <v>2608660</v>
      </c>
      <c r="AF18">
        <v>2764810</v>
      </c>
      <c r="AG18">
        <v>2694700</v>
      </c>
      <c r="AH18">
        <v>2686330</v>
      </c>
      <c r="AI18">
        <v>2813230</v>
      </c>
      <c r="AJ18">
        <v>2984510</v>
      </c>
      <c r="AK18">
        <v>2990810</v>
      </c>
      <c r="AL18">
        <v>3883240</v>
      </c>
      <c r="AM18">
        <v>4019570</v>
      </c>
      <c r="AN18">
        <v>4087330</v>
      </c>
      <c r="AO18">
        <v>4213850</v>
      </c>
      <c r="AP18">
        <v>4371020</v>
      </c>
      <c r="AQ18">
        <v>4316620</v>
      </c>
      <c r="AR18" s="49"/>
    </row>
    <row r="19" spans="1:44" hidden="1" x14ac:dyDescent="0.2">
      <c r="A19" t="s">
        <v>308</v>
      </c>
      <c r="B19" t="s">
        <v>286</v>
      </c>
      <c r="C19" t="s">
        <v>287</v>
      </c>
      <c r="D19" t="s">
        <v>377</v>
      </c>
      <c r="E19" t="s">
        <v>370</v>
      </c>
      <c r="F19" t="s">
        <v>4</v>
      </c>
      <c r="G19" t="s">
        <v>3</v>
      </c>
      <c r="H19" t="s">
        <v>288</v>
      </c>
      <c r="I19" t="s">
        <v>291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715.09699999999998</v>
      </c>
      <c r="AN19">
        <v>15468.3</v>
      </c>
      <c r="AO19">
        <v>61532.3</v>
      </c>
      <c r="AP19">
        <v>127761</v>
      </c>
      <c r="AQ19">
        <v>196766</v>
      </c>
      <c r="AR19" s="49"/>
    </row>
    <row r="20" spans="1:44" hidden="1" x14ac:dyDescent="0.2">
      <c r="A20" t="s">
        <v>309</v>
      </c>
      <c r="B20" t="s">
        <v>286</v>
      </c>
      <c r="C20" t="s">
        <v>287</v>
      </c>
      <c r="D20" t="s">
        <v>367</v>
      </c>
      <c r="E20" t="s">
        <v>370</v>
      </c>
      <c r="F20" t="s">
        <v>4</v>
      </c>
      <c r="G20" t="s">
        <v>3</v>
      </c>
      <c r="H20" t="s">
        <v>288</v>
      </c>
      <c r="I20" t="s">
        <v>297</v>
      </c>
      <c r="J20">
        <v>58645.4</v>
      </c>
      <c r="K20">
        <v>30866</v>
      </c>
      <c r="L20">
        <v>30866</v>
      </c>
      <c r="M20">
        <v>30866</v>
      </c>
      <c r="N20">
        <v>37039.199999999997</v>
      </c>
      <c r="O20">
        <v>23149.5</v>
      </c>
      <c r="P20">
        <v>21606.2</v>
      </c>
      <c r="Q20">
        <v>20062.900000000001</v>
      </c>
      <c r="R20">
        <v>19291.3</v>
      </c>
      <c r="S20">
        <v>24692.799999999999</v>
      </c>
      <c r="T20">
        <v>22377.9</v>
      </c>
      <c r="U20">
        <v>24692.799999999999</v>
      </c>
      <c r="V20">
        <v>95546.1</v>
      </c>
      <c r="W20">
        <v>108607</v>
      </c>
      <c r="X20">
        <v>103019</v>
      </c>
      <c r="Y20">
        <v>11667.2</v>
      </c>
      <c r="Z20">
        <v>3218.3</v>
      </c>
      <c r="AA20">
        <v>9840.2999999999993</v>
      </c>
      <c r="AB20">
        <v>12158.7</v>
      </c>
      <c r="AC20">
        <v>6999.59</v>
      </c>
      <c r="AD20">
        <v>4303.07</v>
      </c>
      <c r="AE20">
        <v>6167.95</v>
      </c>
      <c r="AF20">
        <v>2315.77</v>
      </c>
      <c r="AG20">
        <v>4567.0200000000004</v>
      </c>
      <c r="AH20">
        <v>2398.67</v>
      </c>
      <c r="AI20">
        <v>257.59699999999998</v>
      </c>
      <c r="AJ20">
        <v>444.80200000000002</v>
      </c>
      <c r="AK20">
        <v>312.08300000000003</v>
      </c>
      <c r="AL20">
        <v>830.38499999999999</v>
      </c>
      <c r="AM20">
        <v>692.78200000000004</v>
      </c>
      <c r="AN20">
        <v>4543.2700000000004</v>
      </c>
      <c r="AO20">
        <v>116169</v>
      </c>
      <c r="AP20">
        <v>129052</v>
      </c>
      <c r="AQ20">
        <v>136263</v>
      </c>
      <c r="AR20" s="55" t="s">
        <v>404</v>
      </c>
    </row>
    <row r="21" spans="1:44" hidden="1" x14ac:dyDescent="0.2">
      <c r="A21" t="s">
        <v>310</v>
      </c>
      <c r="B21" t="s">
        <v>286</v>
      </c>
      <c r="C21" t="s">
        <v>287</v>
      </c>
      <c r="D21" t="s">
        <v>378</v>
      </c>
      <c r="E21" t="s">
        <v>370</v>
      </c>
      <c r="F21" t="s">
        <v>4</v>
      </c>
      <c r="G21" t="s">
        <v>3</v>
      </c>
      <c r="H21" t="s">
        <v>288</v>
      </c>
      <c r="I21" t="s">
        <v>299</v>
      </c>
      <c r="J21">
        <v>36936300</v>
      </c>
      <c r="K21">
        <v>37234500</v>
      </c>
      <c r="L21">
        <v>37103600</v>
      </c>
      <c r="M21">
        <v>36411100</v>
      </c>
      <c r="N21">
        <v>35988500</v>
      </c>
      <c r="O21">
        <v>35462000</v>
      </c>
      <c r="P21">
        <v>35011400</v>
      </c>
      <c r="Q21">
        <v>35042500</v>
      </c>
      <c r="R21">
        <v>34826800</v>
      </c>
      <c r="S21">
        <v>33841500</v>
      </c>
      <c r="T21">
        <v>32107300</v>
      </c>
      <c r="U21">
        <v>30667400</v>
      </c>
      <c r="V21">
        <v>28982300</v>
      </c>
      <c r="W21">
        <v>26916300</v>
      </c>
      <c r="X21">
        <v>22959700</v>
      </c>
      <c r="Y21">
        <v>22713100</v>
      </c>
      <c r="Z21">
        <v>22867200</v>
      </c>
      <c r="AA21">
        <v>24347100</v>
      </c>
      <c r="AB21">
        <v>26472500</v>
      </c>
      <c r="AC21">
        <v>29198800</v>
      </c>
      <c r="AD21">
        <v>26870200</v>
      </c>
      <c r="AE21">
        <v>27037500</v>
      </c>
      <c r="AF21">
        <v>26563700</v>
      </c>
      <c r="AG21">
        <v>25720500</v>
      </c>
      <c r="AH21">
        <v>25428800</v>
      </c>
      <c r="AI21">
        <v>24770800</v>
      </c>
      <c r="AJ21">
        <v>24366600</v>
      </c>
      <c r="AK21">
        <v>24788200</v>
      </c>
      <c r="AL21">
        <v>24266300</v>
      </c>
      <c r="AM21">
        <v>23135800</v>
      </c>
      <c r="AN21">
        <v>22153600</v>
      </c>
      <c r="AO21">
        <v>21514300</v>
      </c>
      <c r="AP21">
        <v>19999600</v>
      </c>
      <c r="AQ21">
        <v>18151100</v>
      </c>
      <c r="AR21" s="6" t="s">
        <v>26</v>
      </c>
    </row>
    <row r="22" spans="1:44" hidden="1" x14ac:dyDescent="0.2">
      <c r="A22" t="s">
        <v>311</v>
      </c>
      <c r="B22" t="s">
        <v>286</v>
      </c>
      <c r="C22" t="s">
        <v>287</v>
      </c>
      <c r="D22" t="s">
        <v>373</v>
      </c>
      <c r="E22" t="s">
        <v>368</v>
      </c>
      <c r="F22" t="s">
        <v>4</v>
      </c>
      <c r="G22" t="s">
        <v>3</v>
      </c>
      <c r="H22" t="s">
        <v>288</v>
      </c>
      <c r="I22" t="s">
        <v>289</v>
      </c>
      <c r="J22">
        <v>368555000</v>
      </c>
      <c r="K22">
        <v>378194000</v>
      </c>
      <c r="L22">
        <v>375344000</v>
      </c>
      <c r="M22">
        <v>386225000</v>
      </c>
      <c r="N22">
        <v>391771000</v>
      </c>
      <c r="O22">
        <v>380592000</v>
      </c>
      <c r="P22">
        <v>381722000</v>
      </c>
      <c r="Q22">
        <v>373441000</v>
      </c>
      <c r="R22">
        <v>357389000</v>
      </c>
      <c r="S22">
        <v>344372000</v>
      </c>
      <c r="T22">
        <v>331392000</v>
      </c>
      <c r="U22">
        <v>314082000</v>
      </c>
      <c r="V22">
        <v>331849000</v>
      </c>
      <c r="W22">
        <v>324773000</v>
      </c>
      <c r="X22">
        <v>311306000</v>
      </c>
      <c r="Y22">
        <v>291171000</v>
      </c>
      <c r="Z22">
        <v>283808000</v>
      </c>
      <c r="AA22">
        <v>296041000</v>
      </c>
      <c r="AB22">
        <v>302000000</v>
      </c>
      <c r="AC22">
        <v>313418000</v>
      </c>
      <c r="AD22">
        <v>314293000</v>
      </c>
      <c r="AE22">
        <v>312275000</v>
      </c>
      <c r="AF22">
        <v>294865000</v>
      </c>
      <c r="AG22">
        <v>293257000</v>
      </c>
      <c r="AH22">
        <v>282277000</v>
      </c>
      <c r="AI22">
        <v>280420000</v>
      </c>
      <c r="AJ22">
        <v>268708000</v>
      </c>
      <c r="AK22">
        <v>288332000</v>
      </c>
      <c r="AL22">
        <v>285033000</v>
      </c>
      <c r="AM22">
        <v>268690000</v>
      </c>
      <c r="AN22">
        <v>230113000</v>
      </c>
      <c r="AO22">
        <v>190593000</v>
      </c>
      <c r="AP22">
        <v>169048000</v>
      </c>
      <c r="AQ22">
        <v>157601000</v>
      </c>
      <c r="AR22" s="6" t="s">
        <v>30</v>
      </c>
    </row>
    <row r="23" spans="1:44" hidden="1" x14ac:dyDescent="0.2">
      <c r="A23" t="s">
        <v>312</v>
      </c>
      <c r="B23" t="s">
        <v>286</v>
      </c>
      <c r="C23" t="s">
        <v>287</v>
      </c>
      <c r="D23" t="s">
        <v>371</v>
      </c>
      <c r="E23" t="s">
        <v>370</v>
      </c>
      <c r="F23" t="s">
        <v>4</v>
      </c>
      <c r="G23" t="s">
        <v>3</v>
      </c>
      <c r="H23" t="s">
        <v>288</v>
      </c>
      <c r="I23" t="s">
        <v>291</v>
      </c>
      <c r="Y23">
        <v>198.679</v>
      </c>
      <c r="Z23">
        <v>386.43599999999998</v>
      </c>
      <c r="AA23">
        <v>589.85</v>
      </c>
      <c r="AB23">
        <v>800.86099999999999</v>
      </c>
      <c r="AC23">
        <v>977.59100000000001</v>
      </c>
      <c r="AD23">
        <v>3316.25</v>
      </c>
      <c r="AE23">
        <v>5185.34</v>
      </c>
      <c r="AF23">
        <v>9111.23</v>
      </c>
      <c r="AG23">
        <v>12329.7</v>
      </c>
      <c r="AH23">
        <v>13841.5</v>
      </c>
      <c r="AI23">
        <v>17030.3</v>
      </c>
      <c r="AJ23">
        <v>20879.8</v>
      </c>
      <c r="AK23">
        <v>23187.8</v>
      </c>
      <c r="AL23">
        <v>36463.1</v>
      </c>
      <c r="AM23">
        <v>40931.4</v>
      </c>
      <c r="AN23">
        <v>73897.5</v>
      </c>
      <c r="AO23">
        <v>213728</v>
      </c>
      <c r="AP23">
        <v>515574</v>
      </c>
      <c r="AQ23">
        <v>957206</v>
      </c>
      <c r="AR23" s="49"/>
    </row>
    <row r="24" spans="1:44" hidden="1" x14ac:dyDescent="0.2">
      <c r="A24" t="s">
        <v>313</v>
      </c>
      <c r="B24" t="s">
        <v>286</v>
      </c>
      <c r="C24" t="s">
        <v>287</v>
      </c>
      <c r="D24" t="s">
        <v>369</v>
      </c>
      <c r="E24" t="s">
        <v>372</v>
      </c>
      <c r="F24" t="s">
        <v>4</v>
      </c>
      <c r="G24" t="s">
        <v>3</v>
      </c>
      <c r="H24" t="s">
        <v>288</v>
      </c>
      <c r="I24" t="s">
        <v>291</v>
      </c>
      <c r="Y24">
        <v>1835250</v>
      </c>
      <c r="Z24">
        <v>3812380</v>
      </c>
      <c r="AA24">
        <v>5951830</v>
      </c>
      <c r="AB24">
        <v>8259750</v>
      </c>
      <c r="AC24">
        <v>10307300</v>
      </c>
      <c r="AD24">
        <v>11319400</v>
      </c>
      <c r="AE24">
        <v>12380100</v>
      </c>
      <c r="AF24">
        <v>13253600</v>
      </c>
      <c r="AG24">
        <v>13291900</v>
      </c>
      <c r="AH24">
        <v>13853100</v>
      </c>
      <c r="AI24">
        <v>15045300</v>
      </c>
      <c r="AJ24">
        <v>16412500</v>
      </c>
      <c r="AK24">
        <v>16956100</v>
      </c>
      <c r="AL24">
        <v>17731500</v>
      </c>
      <c r="AM24">
        <v>18369400</v>
      </c>
      <c r="AN24">
        <v>18775300</v>
      </c>
      <c r="AO24">
        <v>19313700</v>
      </c>
      <c r="AP24">
        <v>20126300</v>
      </c>
      <c r="AQ24">
        <v>19794300</v>
      </c>
      <c r="AR24" s="49"/>
    </row>
    <row r="25" spans="1:44" hidden="1" x14ac:dyDescent="0.2">
      <c r="A25" t="s">
        <v>314</v>
      </c>
      <c r="B25" t="s">
        <v>286</v>
      </c>
      <c r="C25" t="s">
        <v>287</v>
      </c>
      <c r="D25" t="s">
        <v>377</v>
      </c>
      <c r="E25" t="s">
        <v>368</v>
      </c>
      <c r="F25" t="s">
        <v>4</v>
      </c>
      <c r="G25" t="s">
        <v>3</v>
      </c>
      <c r="H25" t="s">
        <v>288</v>
      </c>
      <c r="I25" t="s">
        <v>297</v>
      </c>
      <c r="J25">
        <v>4305990000</v>
      </c>
      <c r="K25">
        <v>3731620000</v>
      </c>
      <c r="L25">
        <v>3947930000</v>
      </c>
      <c r="M25">
        <v>3826320000</v>
      </c>
      <c r="N25">
        <v>3946820000</v>
      </c>
      <c r="O25">
        <v>4237410000</v>
      </c>
      <c r="P25">
        <v>4169800000</v>
      </c>
      <c r="Q25">
        <v>4091040000</v>
      </c>
      <c r="R25">
        <v>3999070000</v>
      </c>
      <c r="S25">
        <v>3946820000</v>
      </c>
      <c r="T25">
        <v>3764690000</v>
      </c>
      <c r="U25">
        <v>3628490000</v>
      </c>
      <c r="V25">
        <v>3698670000</v>
      </c>
      <c r="W25">
        <v>3733090000</v>
      </c>
      <c r="X25">
        <v>3830820000</v>
      </c>
      <c r="Y25">
        <v>3658440000</v>
      </c>
      <c r="Z25">
        <v>3556500000</v>
      </c>
      <c r="AA25">
        <v>3507900000</v>
      </c>
      <c r="AB25">
        <v>3365770000</v>
      </c>
      <c r="AC25">
        <v>3318250000</v>
      </c>
      <c r="AD25">
        <v>3357600000</v>
      </c>
      <c r="AE25">
        <v>3365290000</v>
      </c>
      <c r="AF25">
        <v>3335050000</v>
      </c>
      <c r="AG25">
        <v>3335150000</v>
      </c>
      <c r="AH25">
        <v>3368540000</v>
      </c>
      <c r="AI25">
        <v>3383490000</v>
      </c>
      <c r="AJ25">
        <v>3469830000</v>
      </c>
      <c r="AK25">
        <v>3543120000</v>
      </c>
      <c r="AL25">
        <v>3665850000</v>
      </c>
      <c r="AM25">
        <v>3708650000</v>
      </c>
      <c r="AN25">
        <v>3243960000</v>
      </c>
      <c r="AO25">
        <v>3479890000</v>
      </c>
      <c r="AP25">
        <v>3685750000</v>
      </c>
      <c r="AQ25">
        <v>3885090000</v>
      </c>
      <c r="AR25" s="5" t="s">
        <v>5</v>
      </c>
    </row>
    <row r="26" spans="1:44" hidden="1" x14ac:dyDescent="0.2">
      <c r="A26" t="s">
        <v>315</v>
      </c>
      <c r="B26" t="s">
        <v>286</v>
      </c>
      <c r="C26" t="s">
        <v>287</v>
      </c>
      <c r="D26" t="s">
        <v>371</v>
      </c>
      <c r="E26" t="s">
        <v>370</v>
      </c>
      <c r="F26" t="s">
        <v>4</v>
      </c>
      <c r="G26" t="s">
        <v>3</v>
      </c>
      <c r="H26" t="s">
        <v>288</v>
      </c>
      <c r="I26" t="s">
        <v>289</v>
      </c>
      <c r="J26">
        <v>417205000</v>
      </c>
      <c r="K26">
        <v>439344000</v>
      </c>
      <c r="L26">
        <v>492858000</v>
      </c>
      <c r="M26">
        <v>552356000</v>
      </c>
      <c r="N26">
        <v>576942000</v>
      </c>
      <c r="O26">
        <v>593146000</v>
      </c>
      <c r="P26">
        <v>630460000</v>
      </c>
      <c r="Q26">
        <v>693540000</v>
      </c>
      <c r="R26">
        <v>776645000</v>
      </c>
      <c r="S26">
        <v>877014000</v>
      </c>
      <c r="T26">
        <v>910145000</v>
      </c>
      <c r="U26">
        <v>988912000</v>
      </c>
      <c r="V26">
        <v>1010680000</v>
      </c>
      <c r="W26">
        <v>1043060000</v>
      </c>
      <c r="X26">
        <v>1090240000</v>
      </c>
      <c r="Y26">
        <v>1075640000</v>
      </c>
      <c r="Z26">
        <v>1022880000</v>
      </c>
      <c r="AA26">
        <v>1025780000</v>
      </c>
      <c r="AB26">
        <v>1025720000</v>
      </c>
      <c r="AC26">
        <v>981402000</v>
      </c>
      <c r="AD26">
        <v>978954000</v>
      </c>
      <c r="AE26">
        <v>972566000</v>
      </c>
      <c r="AF26">
        <v>957473000</v>
      </c>
      <c r="AG26">
        <v>942644000</v>
      </c>
      <c r="AH26">
        <v>946812000</v>
      </c>
      <c r="AI26">
        <v>964243000</v>
      </c>
      <c r="AJ26">
        <v>1000590000</v>
      </c>
      <c r="AK26">
        <v>1032000000</v>
      </c>
      <c r="AL26">
        <v>1070730000</v>
      </c>
      <c r="AM26">
        <v>1096510000</v>
      </c>
      <c r="AN26">
        <v>1064660000</v>
      </c>
      <c r="AO26">
        <v>1109550000</v>
      </c>
      <c r="AP26">
        <v>1124890000</v>
      </c>
      <c r="AQ26">
        <v>1123920000</v>
      </c>
      <c r="AR26" s="5" t="s">
        <v>19</v>
      </c>
    </row>
    <row r="27" spans="1:44" hidden="1" x14ac:dyDescent="0.2">
      <c r="A27" t="s">
        <v>316</v>
      </c>
      <c r="B27" t="s">
        <v>286</v>
      </c>
      <c r="C27" t="s">
        <v>287</v>
      </c>
      <c r="D27" t="s">
        <v>375</v>
      </c>
      <c r="E27" t="s">
        <v>368</v>
      </c>
      <c r="F27" t="s">
        <v>4</v>
      </c>
      <c r="G27" t="s">
        <v>3</v>
      </c>
      <c r="H27" t="s">
        <v>288</v>
      </c>
      <c r="I27" t="s">
        <v>289</v>
      </c>
      <c r="J27">
        <v>29321200</v>
      </c>
      <c r="K27">
        <v>29965900</v>
      </c>
      <c r="L27">
        <v>30342200</v>
      </c>
      <c r="M27">
        <v>30073800</v>
      </c>
      <c r="N27">
        <v>29993500</v>
      </c>
      <c r="O27">
        <v>30746000</v>
      </c>
      <c r="P27">
        <v>31390700</v>
      </c>
      <c r="Q27">
        <v>31230100</v>
      </c>
      <c r="R27">
        <v>31982700</v>
      </c>
      <c r="S27">
        <v>33019700</v>
      </c>
      <c r="T27">
        <v>33637800</v>
      </c>
      <c r="U27">
        <v>33863800</v>
      </c>
      <c r="V27">
        <v>33764700</v>
      </c>
      <c r="W27">
        <v>33241300</v>
      </c>
      <c r="X27">
        <v>32965100</v>
      </c>
      <c r="Y27">
        <v>32715700</v>
      </c>
      <c r="Z27">
        <v>33610700</v>
      </c>
      <c r="AA27">
        <v>33909200</v>
      </c>
      <c r="AB27">
        <v>34194200</v>
      </c>
      <c r="AC27">
        <v>33173500</v>
      </c>
      <c r="AD27">
        <v>32580200</v>
      </c>
      <c r="AE27">
        <v>32107800</v>
      </c>
      <c r="AF27">
        <v>31612200</v>
      </c>
      <c r="AG27">
        <v>31764300</v>
      </c>
      <c r="AH27">
        <v>31826300</v>
      </c>
      <c r="AI27">
        <v>32146100</v>
      </c>
      <c r="AJ27">
        <v>33082500</v>
      </c>
      <c r="AK27">
        <v>34207200</v>
      </c>
      <c r="AL27">
        <v>35273600</v>
      </c>
      <c r="AM27">
        <v>36516300</v>
      </c>
      <c r="AN27">
        <v>36640100</v>
      </c>
      <c r="AO27">
        <v>37457700</v>
      </c>
      <c r="AP27">
        <v>37947300</v>
      </c>
      <c r="AQ27">
        <v>39583600</v>
      </c>
    </row>
    <row r="28" spans="1:44" hidden="1" x14ac:dyDescent="0.2">
      <c r="A28" t="s">
        <v>317</v>
      </c>
      <c r="B28" t="s">
        <v>286</v>
      </c>
      <c r="C28" t="s">
        <v>287</v>
      </c>
      <c r="D28" t="s">
        <v>371</v>
      </c>
      <c r="E28" t="s">
        <v>370</v>
      </c>
      <c r="F28" t="s">
        <v>4</v>
      </c>
      <c r="G28" t="s">
        <v>3</v>
      </c>
      <c r="H28" t="s">
        <v>288</v>
      </c>
      <c r="I28" t="s">
        <v>294</v>
      </c>
      <c r="J28">
        <v>21404400</v>
      </c>
      <c r="K28">
        <v>20453900</v>
      </c>
      <c r="L28">
        <v>20835700</v>
      </c>
      <c r="M28">
        <v>21533100</v>
      </c>
      <c r="N28">
        <v>21054700</v>
      </c>
      <c r="O28">
        <v>20402400</v>
      </c>
      <c r="P28">
        <v>20420000</v>
      </c>
      <c r="Q28">
        <v>21035700</v>
      </c>
      <c r="R28">
        <v>22004000</v>
      </c>
      <c r="S28">
        <v>23232800</v>
      </c>
      <c r="T28">
        <v>22260100</v>
      </c>
      <c r="U28">
        <v>21900500</v>
      </c>
      <c r="V28">
        <v>20320200</v>
      </c>
      <c r="W28">
        <v>18716700</v>
      </c>
      <c r="X28">
        <v>17675800</v>
      </c>
      <c r="Y28">
        <v>16242400</v>
      </c>
      <c r="Z28">
        <v>15541100</v>
      </c>
      <c r="AA28">
        <v>15555600</v>
      </c>
      <c r="AB28">
        <v>16363100</v>
      </c>
      <c r="AC28">
        <v>16882500</v>
      </c>
      <c r="AD28">
        <v>16949100</v>
      </c>
      <c r="AE28">
        <v>17245400</v>
      </c>
      <c r="AF28">
        <v>16897900</v>
      </c>
      <c r="AG28">
        <v>17365800</v>
      </c>
      <c r="AH28">
        <v>17223600</v>
      </c>
      <c r="AI28">
        <v>17289600</v>
      </c>
      <c r="AJ28">
        <v>17593900</v>
      </c>
      <c r="AK28">
        <v>19158300</v>
      </c>
      <c r="AL28">
        <v>20586200</v>
      </c>
      <c r="AM28">
        <v>22666000</v>
      </c>
      <c r="AN28">
        <v>22298100</v>
      </c>
      <c r="AO28">
        <v>23053700</v>
      </c>
      <c r="AP28">
        <v>24120300</v>
      </c>
      <c r="AQ28">
        <v>25690400</v>
      </c>
      <c r="AR28" s="5" t="s">
        <v>22</v>
      </c>
    </row>
    <row r="29" spans="1:44" hidden="1" x14ac:dyDescent="0.2">
      <c r="A29" t="s">
        <v>318</v>
      </c>
      <c r="B29" t="s">
        <v>286</v>
      </c>
      <c r="C29" t="s">
        <v>287</v>
      </c>
      <c r="D29" t="s">
        <v>377</v>
      </c>
      <c r="E29" t="s">
        <v>372</v>
      </c>
      <c r="F29" t="s">
        <v>4</v>
      </c>
      <c r="G29" t="s">
        <v>3</v>
      </c>
      <c r="H29" t="s">
        <v>288</v>
      </c>
      <c r="I29" t="s">
        <v>291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943.74</v>
      </c>
      <c r="AN29">
        <v>26372.2</v>
      </c>
      <c r="AO29">
        <v>105330</v>
      </c>
      <c r="AP29">
        <v>224231</v>
      </c>
      <c r="AQ29">
        <v>345255</v>
      </c>
      <c r="AR29" s="49"/>
    </row>
    <row r="30" spans="1:44" hidden="1" x14ac:dyDescent="0.2">
      <c r="A30" t="s">
        <v>319</v>
      </c>
      <c r="B30" t="s">
        <v>286</v>
      </c>
      <c r="C30" t="s">
        <v>287</v>
      </c>
      <c r="D30" t="s">
        <v>367</v>
      </c>
      <c r="E30" t="s">
        <v>370</v>
      </c>
      <c r="F30" t="s">
        <v>4</v>
      </c>
      <c r="G30" t="s">
        <v>3</v>
      </c>
      <c r="H30" t="s">
        <v>288</v>
      </c>
      <c r="I30" t="s">
        <v>294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10735.8</v>
      </c>
      <c r="W30">
        <v>7040.07</v>
      </c>
      <c r="X30">
        <v>0</v>
      </c>
      <c r="Y30">
        <v>22207.7</v>
      </c>
      <c r="Z30">
        <v>19343.7</v>
      </c>
      <c r="AA30">
        <v>29354.6</v>
      </c>
      <c r="AB30">
        <v>20740.2</v>
      </c>
      <c r="AC30">
        <v>18953.8</v>
      </c>
      <c r="AD30">
        <v>38601.4</v>
      </c>
      <c r="AE30">
        <v>26370.2</v>
      </c>
      <c r="AF30">
        <v>33116.800000000003</v>
      </c>
      <c r="AG30">
        <v>18683.099999999999</v>
      </c>
      <c r="AH30">
        <v>19570</v>
      </c>
      <c r="AI30">
        <v>30166.7</v>
      </c>
      <c r="AJ30">
        <v>11636.9</v>
      </c>
      <c r="AK30">
        <v>40704.800000000003</v>
      </c>
      <c r="AL30">
        <v>18751.3</v>
      </c>
      <c r="AM30">
        <v>27755.8</v>
      </c>
      <c r="AN30">
        <v>3614.28</v>
      </c>
      <c r="AO30">
        <v>9024.66</v>
      </c>
      <c r="AP30">
        <v>9776.25</v>
      </c>
      <c r="AQ30">
        <v>16173.3</v>
      </c>
      <c r="AR30" s="55" t="s">
        <v>405</v>
      </c>
    </row>
    <row r="31" spans="1:44" hidden="1" x14ac:dyDescent="0.2">
      <c r="A31" t="s">
        <v>320</v>
      </c>
      <c r="B31" t="s">
        <v>286</v>
      </c>
      <c r="C31" t="s">
        <v>287</v>
      </c>
      <c r="D31" t="s">
        <v>371</v>
      </c>
      <c r="E31" t="s">
        <v>368</v>
      </c>
      <c r="F31" t="s">
        <v>4</v>
      </c>
      <c r="G31" t="s">
        <v>3</v>
      </c>
      <c r="H31" t="s">
        <v>288</v>
      </c>
      <c r="I31" t="s">
        <v>291</v>
      </c>
      <c r="Y31">
        <v>295.56299999999999</v>
      </c>
      <c r="Z31">
        <v>566.12900000000002</v>
      </c>
      <c r="AA31">
        <v>852.16899999999998</v>
      </c>
      <c r="AB31">
        <v>1140.1400000000001</v>
      </c>
      <c r="AC31">
        <v>1371.07</v>
      </c>
      <c r="AD31">
        <v>4581.04</v>
      </c>
      <c r="AE31">
        <v>6794.57</v>
      </c>
      <c r="AF31">
        <v>11844.4</v>
      </c>
      <c r="AG31">
        <v>15412.9</v>
      </c>
      <c r="AH31">
        <v>16287.8</v>
      </c>
      <c r="AI31">
        <v>19644.7</v>
      </c>
      <c r="AJ31">
        <v>23615.200000000001</v>
      </c>
      <c r="AK31">
        <v>24603.7</v>
      </c>
      <c r="AL31">
        <v>19485.2</v>
      </c>
      <c r="AM31">
        <v>20974.6</v>
      </c>
      <c r="AN31">
        <v>33062.400000000001</v>
      </c>
      <c r="AO31">
        <v>89671.4</v>
      </c>
      <c r="AP31">
        <v>212601</v>
      </c>
      <c r="AQ31">
        <v>401848</v>
      </c>
      <c r="AR31" s="49"/>
    </row>
    <row r="32" spans="1:44" hidden="1" x14ac:dyDescent="0.2">
      <c r="A32" t="s">
        <v>321</v>
      </c>
      <c r="B32" t="s">
        <v>286</v>
      </c>
      <c r="C32" t="s">
        <v>287</v>
      </c>
      <c r="D32" t="s">
        <v>373</v>
      </c>
      <c r="E32" t="s">
        <v>370</v>
      </c>
      <c r="F32" t="s">
        <v>4</v>
      </c>
      <c r="G32" t="s">
        <v>3</v>
      </c>
      <c r="H32" t="s">
        <v>288</v>
      </c>
      <c r="I32" t="s">
        <v>297</v>
      </c>
      <c r="J32">
        <v>239483</v>
      </c>
      <c r="K32">
        <v>1036350</v>
      </c>
      <c r="L32">
        <v>1029930</v>
      </c>
      <c r="M32">
        <v>1062050</v>
      </c>
      <c r="N32">
        <v>524632</v>
      </c>
      <c r="O32">
        <v>891142</v>
      </c>
      <c r="P32">
        <v>1220380</v>
      </c>
      <c r="Q32">
        <v>1404530</v>
      </c>
      <c r="R32">
        <v>1419850</v>
      </c>
      <c r="S32">
        <v>2908610</v>
      </c>
      <c r="T32">
        <v>2873730</v>
      </c>
      <c r="U32">
        <v>3232870</v>
      </c>
      <c r="V32">
        <v>2892950</v>
      </c>
      <c r="W32">
        <v>2510880</v>
      </c>
      <c r="X32">
        <v>2203230</v>
      </c>
      <c r="Y32">
        <v>537019</v>
      </c>
      <c r="Z32">
        <v>480744</v>
      </c>
      <c r="AA32">
        <v>452873</v>
      </c>
      <c r="AB32">
        <v>191717</v>
      </c>
      <c r="AC32">
        <v>163314</v>
      </c>
      <c r="AD32">
        <v>493655</v>
      </c>
      <c r="AE32">
        <v>560888</v>
      </c>
      <c r="AF32">
        <v>560984</v>
      </c>
      <c r="AG32">
        <v>385901</v>
      </c>
      <c r="AH32">
        <v>404746</v>
      </c>
      <c r="AI32">
        <v>523839</v>
      </c>
      <c r="AJ32">
        <v>242583</v>
      </c>
      <c r="AK32">
        <v>233278</v>
      </c>
      <c r="AL32">
        <v>386883</v>
      </c>
      <c r="AM32">
        <v>965024</v>
      </c>
      <c r="AN32">
        <v>2616030</v>
      </c>
      <c r="AO32">
        <v>2743540</v>
      </c>
      <c r="AP32">
        <v>2687230</v>
      </c>
      <c r="AQ32">
        <v>2595990</v>
      </c>
      <c r="AR32" s="55" t="s">
        <v>413</v>
      </c>
    </row>
    <row r="33" spans="1:44" hidden="1" x14ac:dyDescent="0.2">
      <c r="A33" t="s">
        <v>322</v>
      </c>
      <c r="B33" t="s">
        <v>286</v>
      </c>
      <c r="C33" t="s">
        <v>287</v>
      </c>
      <c r="D33" t="s">
        <v>367</v>
      </c>
      <c r="E33" t="s">
        <v>372</v>
      </c>
      <c r="F33" t="s">
        <v>4</v>
      </c>
      <c r="G33" t="s">
        <v>3</v>
      </c>
      <c r="H33" t="s">
        <v>288</v>
      </c>
      <c r="I33" t="s">
        <v>297</v>
      </c>
      <c r="J33">
        <v>56438.6</v>
      </c>
      <c r="K33">
        <v>29704.5</v>
      </c>
      <c r="L33">
        <v>29704.5</v>
      </c>
      <c r="M33">
        <v>29704.5</v>
      </c>
      <c r="N33">
        <v>35645.4</v>
      </c>
      <c r="O33">
        <v>22278.400000000001</v>
      </c>
      <c r="P33">
        <v>20793.2</v>
      </c>
      <c r="Q33">
        <v>19307.900000000001</v>
      </c>
      <c r="R33">
        <v>18565.3</v>
      </c>
      <c r="S33">
        <v>23763.599999999999</v>
      </c>
      <c r="T33">
        <v>21535.8</v>
      </c>
      <c r="U33">
        <v>23763.599999999999</v>
      </c>
      <c r="V33">
        <v>91950.7</v>
      </c>
      <c r="W33">
        <v>104520</v>
      </c>
      <c r="X33">
        <v>99141.9</v>
      </c>
      <c r="Y33">
        <v>11876.1</v>
      </c>
      <c r="Z33">
        <v>3456.97</v>
      </c>
      <c r="AA33">
        <v>11130.7</v>
      </c>
      <c r="AB33">
        <v>14454.9</v>
      </c>
      <c r="AC33">
        <v>8730.75</v>
      </c>
      <c r="AD33">
        <v>5367.32</v>
      </c>
      <c r="AE33">
        <v>7693.43</v>
      </c>
      <c r="AF33">
        <v>2888.51</v>
      </c>
      <c r="AG33">
        <v>5696.54</v>
      </c>
      <c r="AH33">
        <v>2991.92</v>
      </c>
      <c r="AI33">
        <v>321.30700000000002</v>
      </c>
      <c r="AJ33">
        <v>554.81200000000001</v>
      </c>
      <c r="AK33">
        <v>389.26900000000001</v>
      </c>
      <c r="AL33">
        <v>1035.77</v>
      </c>
      <c r="AM33">
        <v>864.13199999999995</v>
      </c>
      <c r="AN33">
        <v>4427.9399999999996</v>
      </c>
      <c r="AO33">
        <v>102636</v>
      </c>
      <c r="AP33">
        <v>113543</v>
      </c>
      <c r="AQ33">
        <v>120065</v>
      </c>
      <c r="AR33" s="58" t="s">
        <v>406</v>
      </c>
    </row>
    <row r="34" spans="1:44" hidden="1" x14ac:dyDescent="0.2">
      <c r="A34" t="s">
        <v>323</v>
      </c>
      <c r="B34" t="s">
        <v>286</v>
      </c>
      <c r="C34" t="s">
        <v>287</v>
      </c>
      <c r="D34" t="s">
        <v>377</v>
      </c>
      <c r="E34" t="s">
        <v>372</v>
      </c>
      <c r="F34" t="s">
        <v>4</v>
      </c>
      <c r="G34" t="s">
        <v>3</v>
      </c>
      <c r="H34" t="s">
        <v>288</v>
      </c>
      <c r="I34" t="s">
        <v>289</v>
      </c>
      <c r="J34">
        <v>1184930000</v>
      </c>
      <c r="K34">
        <v>1291190000</v>
      </c>
      <c r="L34">
        <v>1325010000</v>
      </c>
      <c r="M34">
        <v>1263680000</v>
      </c>
      <c r="N34">
        <v>1289580000</v>
      </c>
      <c r="O34">
        <v>1329040000</v>
      </c>
      <c r="P34">
        <v>1379670000</v>
      </c>
      <c r="Q34">
        <v>1524830000</v>
      </c>
      <c r="R34">
        <v>1727840000</v>
      </c>
      <c r="S34">
        <v>2032510000</v>
      </c>
      <c r="T34">
        <v>2189490000</v>
      </c>
      <c r="U34">
        <v>2387360000</v>
      </c>
      <c r="V34">
        <v>2527160000</v>
      </c>
      <c r="W34">
        <v>2660330000</v>
      </c>
      <c r="X34">
        <v>2797310000</v>
      </c>
      <c r="Y34">
        <v>2803630000</v>
      </c>
      <c r="Z34">
        <v>2862680000</v>
      </c>
      <c r="AA34">
        <v>2897560000</v>
      </c>
      <c r="AB34">
        <v>2829850000</v>
      </c>
      <c r="AC34">
        <v>2717220000</v>
      </c>
      <c r="AD34">
        <v>2631380000</v>
      </c>
      <c r="AE34">
        <v>2559030000</v>
      </c>
      <c r="AF34">
        <v>2555300000</v>
      </c>
      <c r="AG34">
        <v>2500120000</v>
      </c>
      <c r="AH34">
        <v>2445680000</v>
      </c>
      <c r="AI34">
        <v>2461350000</v>
      </c>
      <c r="AJ34">
        <v>2498910000</v>
      </c>
      <c r="AK34">
        <v>2449040000</v>
      </c>
      <c r="AL34">
        <v>2429830000</v>
      </c>
      <c r="AM34">
        <v>2263300000</v>
      </c>
      <c r="AN34">
        <v>1627250000</v>
      </c>
      <c r="AO34">
        <v>1524330000</v>
      </c>
      <c r="AP34">
        <v>1450410000</v>
      </c>
      <c r="AQ34">
        <v>1261150000</v>
      </c>
      <c r="AR34" s="5" t="s">
        <v>9</v>
      </c>
    </row>
    <row r="35" spans="1:44" hidden="1" x14ac:dyDescent="0.2">
      <c r="A35" t="s">
        <v>324</v>
      </c>
      <c r="B35" t="s">
        <v>286</v>
      </c>
      <c r="C35" t="s">
        <v>287</v>
      </c>
      <c r="D35" t="s">
        <v>373</v>
      </c>
      <c r="E35" t="s">
        <v>370</v>
      </c>
      <c r="F35" t="s">
        <v>4</v>
      </c>
      <c r="G35" t="s">
        <v>3</v>
      </c>
      <c r="H35" t="s">
        <v>288</v>
      </c>
      <c r="I35" t="s">
        <v>289</v>
      </c>
      <c r="J35">
        <v>107402000</v>
      </c>
      <c r="K35">
        <v>110211000</v>
      </c>
      <c r="L35">
        <v>109380000</v>
      </c>
      <c r="M35">
        <v>112551000</v>
      </c>
      <c r="N35">
        <v>114167000</v>
      </c>
      <c r="O35">
        <v>110910000</v>
      </c>
      <c r="P35">
        <v>111239000</v>
      </c>
      <c r="Q35">
        <v>108826000</v>
      </c>
      <c r="R35">
        <v>104148000</v>
      </c>
      <c r="S35">
        <v>100355000</v>
      </c>
      <c r="T35">
        <v>96571900</v>
      </c>
      <c r="U35">
        <v>91527500</v>
      </c>
      <c r="V35">
        <v>96705000</v>
      </c>
      <c r="W35">
        <v>94643300</v>
      </c>
      <c r="X35">
        <v>90718600</v>
      </c>
      <c r="Y35">
        <v>84943700</v>
      </c>
      <c r="Z35">
        <v>82887300</v>
      </c>
      <c r="AA35">
        <v>86557200</v>
      </c>
      <c r="AB35">
        <v>88400500</v>
      </c>
      <c r="AC35">
        <v>91849300</v>
      </c>
      <c r="AD35">
        <v>92074400</v>
      </c>
      <c r="AE35">
        <v>91468200</v>
      </c>
      <c r="AF35">
        <v>86354800</v>
      </c>
      <c r="AG35">
        <v>85504100</v>
      </c>
      <c r="AH35">
        <v>81127100</v>
      </c>
      <c r="AI35">
        <v>80354300</v>
      </c>
      <c r="AJ35">
        <v>76161100</v>
      </c>
      <c r="AK35">
        <v>81062200</v>
      </c>
      <c r="AL35">
        <v>80098800</v>
      </c>
      <c r="AM35">
        <v>75072300</v>
      </c>
      <c r="AN35">
        <v>63703700</v>
      </c>
      <c r="AO35">
        <v>52389000</v>
      </c>
      <c r="AP35">
        <v>46402700</v>
      </c>
      <c r="AQ35">
        <v>43163900</v>
      </c>
      <c r="AR35" s="6" t="s">
        <v>32</v>
      </c>
    </row>
    <row r="36" spans="1:44" hidden="1" x14ac:dyDescent="0.2">
      <c r="A36" t="s">
        <v>325</v>
      </c>
      <c r="B36" t="s">
        <v>286</v>
      </c>
      <c r="C36" t="s">
        <v>287</v>
      </c>
      <c r="D36" t="s">
        <v>377</v>
      </c>
      <c r="E36" t="s">
        <v>370</v>
      </c>
      <c r="F36" t="s">
        <v>4</v>
      </c>
      <c r="G36" t="s">
        <v>3</v>
      </c>
      <c r="H36" t="s">
        <v>288</v>
      </c>
      <c r="I36" t="s">
        <v>297</v>
      </c>
      <c r="J36">
        <v>2971830000</v>
      </c>
      <c r="K36">
        <v>3105710000</v>
      </c>
      <c r="L36">
        <v>3305460000</v>
      </c>
      <c r="M36">
        <v>3513670000</v>
      </c>
      <c r="N36">
        <v>3643420000</v>
      </c>
      <c r="O36">
        <v>3294160000</v>
      </c>
      <c r="P36">
        <v>3451150000</v>
      </c>
      <c r="Q36">
        <v>3492260000</v>
      </c>
      <c r="R36">
        <v>3522280000</v>
      </c>
      <c r="S36">
        <v>3588070000</v>
      </c>
      <c r="T36">
        <v>3544910000</v>
      </c>
      <c r="U36">
        <v>3410700000</v>
      </c>
      <c r="V36">
        <v>3469080000</v>
      </c>
      <c r="W36">
        <v>3492990000</v>
      </c>
      <c r="X36">
        <v>3583510000</v>
      </c>
      <c r="Y36">
        <v>3500770000</v>
      </c>
      <c r="Z36">
        <v>3480880000</v>
      </c>
      <c r="AA36">
        <v>3511290000</v>
      </c>
      <c r="AB36">
        <v>3445200000</v>
      </c>
      <c r="AC36">
        <v>3473070000</v>
      </c>
      <c r="AD36">
        <v>3489910000</v>
      </c>
      <c r="AE36">
        <v>3482090000</v>
      </c>
      <c r="AF36">
        <v>3437130000</v>
      </c>
      <c r="AG36">
        <v>3430480000</v>
      </c>
      <c r="AH36">
        <v>3453760000</v>
      </c>
      <c r="AI36">
        <v>3481170000</v>
      </c>
      <c r="AJ36">
        <v>3571450000</v>
      </c>
      <c r="AK36">
        <v>3637390000</v>
      </c>
      <c r="AL36">
        <v>3754170000</v>
      </c>
      <c r="AM36">
        <v>3790350000</v>
      </c>
      <c r="AN36">
        <v>3302640000</v>
      </c>
      <c r="AO36">
        <v>3541400000</v>
      </c>
      <c r="AP36">
        <v>3742970000</v>
      </c>
      <c r="AQ36">
        <v>3944180000</v>
      </c>
      <c r="AR36" s="5" t="s">
        <v>7</v>
      </c>
    </row>
    <row r="37" spans="1:44" hidden="1" x14ac:dyDescent="0.2">
      <c r="A37" t="s">
        <v>326</v>
      </c>
      <c r="B37" t="s">
        <v>286</v>
      </c>
      <c r="C37" t="s">
        <v>287</v>
      </c>
      <c r="D37" t="s">
        <v>367</v>
      </c>
      <c r="E37" t="s">
        <v>368</v>
      </c>
      <c r="F37" t="s">
        <v>4</v>
      </c>
      <c r="G37" t="s">
        <v>3</v>
      </c>
      <c r="H37" t="s">
        <v>288</v>
      </c>
      <c r="I37" t="s">
        <v>291</v>
      </c>
      <c r="Y37">
        <v>7053.36</v>
      </c>
      <c r="Z37">
        <v>13833.2</v>
      </c>
      <c r="AA37">
        <v>20748.099999999999</v>
      </c>
      <c r="AB37">
        <v>27755.599999999999</v>
      </c>
      <c r="AC37">
        <v>33313.1</v>
      </c>
      <c r="AD37">
        <v>44629.9</v>
      </c>
      <c r="AE37">
        <v>50093.1</v>
      </c>
      <c r="AF37">
        <v>56642.6</v>
      </c>
      <c r="AG37">
        <v>57789.8</v>
      </c>
      <c r="AH37">
        <v>63058.400000000001</v>
      </c>
      <c r="AI37">
        <v>71329.899999999994</v>
      </c>
      <c r="AJ37">
        <v>78178.399999999994</v>
      </c>
      <c r="AK37">
        <v>88564.800000000003</v>
      </c>
      <c r="AL37">
        <v>94791</v>
      </c>
      <c r="AM37">
        <v>92265.5</v>
      </c>
      <c r="AN37">
        <v>36875.800000000003</v>
      </c>
      <c r="AO37">
        <v>41667.1</v>
      </c>
      <c r="AP37">
        <v>61275.9</v>
      </c>
      <c r="AQ37">
        <v>68964.2</v>
      </c>
      <c r="AR37" s="49"/>
    </row>
    <row r="38" spans="1:44" hidden="1" x14ac:dyDescent="0.2">
      <c r="A38" t="s">
        <v>327</v>
      </c>
      <c r="B38" t="s">
        <v>286</v>
      </c>
      <c r="C38" t="s">
        <v>287</v>
      </c>
      <c r="D38" t="s">
        <v>371</v>
      </c>
      <c r="E38" t="s">
        <v>368</v>
      </c>
      <c r="F38" t="s">
        <v>4</v>
      </c>
      <c r="G38" t="s">
        <v>3</v>
      </c>
      <c r="H38" t="s">
        <v>288</v>
      </c>
      <c r="I38" t="s">
        <v>294</v>
      </c>
      <c r="J38">
        <v>60593800</v>
      </c>
      <c r="K38">
        <v>54401400</v>
      </c>
      <c r="L38">
        <v>52212200</v>
      </c>
      <c r="M38">
        <v>49898600</v>
      </c>
      <c r="N38">
        <v>44670300</v>
      </c>
      <c r="O38">
        <v>39286000</v>
      </c>
      <c r="P38">
        <v>35316400</v>
      </c>
      <c r="Q38">
        <v>32250300</v>
      </c>
      <c r="R38">
        <v>29410100</v>
      </c>
      <c r="S38">
        <v>26465600</v>
      </c>
      <c r="T38">
        <v>20956100</v>
      </c>
      <c r="U38">
        <v>20785100</v>
      </c>
      <c r="V38">
        <v>19301800</v>
      </c>
      <c r="W38">
        <v>18008300</v>
      </c>
      <c r="X38">
        <v>17156300</v>
      </c>
      <c r="Y38">
        <v>14362200</v>
      </c>
      <c r="Z38">
        <v>12568800</v>
      </c>
      <c r="AA38">
        <v>11537600</v>
      </c>
      <c r="AB38">
        <v>11150600</v>
      </c>
      <c r="AC38">
        <v>10580400</v>
      </c>
      <c r="AD38">
        <v>10632200</v>
      </c>
      <c r="AE38">
        <v>10814500</v>
      </c>
      <c r="AF38">
        <v>10565800</v>
      </c>
      <c r="AG38">
        <v>10877600</v>
      </c>
      <c r="AH38">
        <v>10656900</v>
      </c>
      <c r="AI38">
        <v>10733500</v>
      </c>
      <c r="AJ38">
        <v>10877700</v>
      </c>
      <c r="AK38">
        <v>11660500</v>
      </c>
      <c r="AL38">
        <v>15028700</v>
      </c>
      <c r="AM38">
        <v>16551500</v>
      </c>
      <c r="AN38">
        <v>16253000</v>
      </c>
      <c r="AO38">
        <v>16715400</v>
      </c>
      <c r="AP38">
        <v>17453300</v>
      </c>
      <c r="AQ38">
        <v>18562600</v>
      </c>
      <c r="AR38" s="5" t="s">
        <v>20</v>
      </c>
    </row>
    <row r="39" spans="1:44" hidden="1" x14ac:dyDescent="0.2">
      <c r="A39" t="s">
        <v>328</v>
      </c>
      <c r="B39" t="s">
        <v>286</v>
      </c>
      <c r="C39" t="s">
        <v>287</v>
      </c>
      <c r="D39" t="s">
        <v>371</v>
      </c>
      <c r="E39" t="s">
        <v>372</v>
      </c>
      <c r="F39" t="s">
        <v>4</v>
      </c>
      <c r="G39" t="s">
        <v>3</v>
      </c>
      <c r="H39" t="s">
        <v>288</v>
      </c>
      <c r="I39" t="s">
        <v>297</v>
      </c>
      <c r="J39">
        <v>66638400</v>
      </c>
      <c r="K39">
        <v>73438100</v>
      </c>
      <c r="L39">
        <v>83368200</v>
      </c>
      <c r="M39">
        <v>94104300</v>
      </c>
      <c r="N39">
        <v>97108400</v>
      </c>
      <c r="O39">
        <v>97405800</v>
      </c>
      <c r="P39">
        <v>98702800</v>
      </c>
      <c r="Q39">
        <v>101149000</v>
      </c>
      <c r="R39">
        <v>102061000</v>
      </c>
      <c r="S39">
        <v>99393800</v>
      </c>
      <c r="T39">
        <v>84328400</v>
      </c>
      <c r="U39">
        <v>61506800</v>
      </c>
      <c r="V39">
        <v>51480800</v>
      </c>
      <c r="W39">
        <v>44675800</v>
      </c>
      <c r="X39">
        <v>44555300</v>
      </c>
      <c r="Y39">
        <v>36451500</v>
      </c>
      <c r="Z39">
        <v>30522500</v>
      </c>
      <c r="AA39">
        <v>26910000</v>
      </c>
      <c r="AB39">
        <v>24251300</v>
      </c>
      <c r="AC39">
        <v>23485300</v>
      </c>
      <c r="AD39">
        <v>21385700</v>
      </c>
      <c r="AE39">
        <v>18567400</v>
      </c>
      <c r="AF39">
        <v>15318300</v>
      </c>
      <c r="AG39">
        <v>14617800</v>
      </c>
      <c r="AH39">
        <v>13846900</v>
      </c>
      <c r="AI39">
        <v>12989300</v>
      </c>
      <c r="AJ39">
        <v>13200000</v>
      </c>
      <c r="AK39">
        <v>13990000</v>
      </c>
      <c r="AL39">
        <v>14686800</v>
      </c>
      <c r="AM39">
        <v>15828500</v>
      </c>
      <c r="AN39">
        <v>16008500</v>
      </c>
      <c r="AO39">
        <v>19256300</v>
      </c>
      <c r="AP39">
        <v>21674700</v>
      </c>
      <c r="AQ39">
        <v>24954200</v>
      </c>
      <c r="AR39" s="5" t="s">
        <v>15</v>
      </c>
    </row>
    <row r="40" spans="1:44" hidden="1" x14ac:dyDescent="0.2">
      <c r="A40" t="s">
        <v>329</v>
      </c>
      <c r="B40" t="s">
        <v>286</v>
      </c>
      <c r="C40" t="s">
        <v>287</v>
      </c>
      <c r="D40" t="s">
        <v>375</v>
      </c>
      <c r="E40" t="s">
        <v>372</v>
      </c>
      <c r="F40" t="s">
        <v>4</v>
      </c>
      <c r="G40" t="s">
        <v>3</v>
      </c>
      <c r="H40" t="s">
        <v>288</v>
      </c>
      <c r="I40" t="s">
        <v>289</v>
      </c>
      <c r="J40">
        <v>97500900</v>
      </c>
      <c r="K40">
        <v>100773000</v>
      </c>
      <c r="L40">
        <v>103461000</v>
      </c>
      <c r="M40">
        <v>102876000</v>
      </c>
      <c r="N40">
        <v>103635000</v>
      </c>
      <c r="O40">
        <v>109010000</v>
      </c>
      <c r="P40">
        <v>112283000</v>
      </c>
      <c r="Q40">
        <v>113801000</v>
      </c>
      <c r="R40">
        <v>119176000</v>
      </c>
      <c r="S40">
        <v>124985000</v>
      </c>
      <c r="T40">
        <v>129133000</v>
      </c>
      <c r="U40">
        <v>131680000</v>
      </c>
      <c r="V40">
        <v>132305000</v>
      </c>
      <c r="W40">
        <v>131632000</v>
      </c>
      <c r="X40">
        <v>132057000</v>
      </c>
      <c r="Y40">
        <v>132541000</v>
      </c>
      <c r="Z40">
        <v>139067000</v>
      </c>
      <c r="AA40">
        <v>141866000</v>
      </c>
      <c r="AB40">
        <v>144168000</v>
      </c>
      <c r="AC40">
        <v>139142000</v>
      </c>
      <c r="AD40">
        <v>137569000</v>
      </c>
      <c r="AE40">
        <v>136727000</v>
      </c>
      <c r="AF40">
        <v>134620000</v>
      </c>
      <c r="AG40">
        <v>135605000</v>
      </c>
      <c r="AH40">
        <v>135180000</v>
      </c>
      <c r="AI40">
        <v>137464000</v>
      </c>
      <c r="AJ40">
        <v>141372000</v>
      </c>
      <c r="AK40">
        <v>146936000</v>
      </c>
      <c r="AL40">
        <v>151596000</v>
      </c>
      <c r="AM40">
        <v>157093000</v>
      </c>
      <c r="AN40">
        <v>158323000</v>
      </c>
      <c r="AO40">
        <v>162089000</v>
      </c>
      <c r="AP40">
        <v>167281000</v>
      </c>
      <c r="AQ40">
        <v>173213000</v>
      </c>
    </row>
    <row r="41" spans="1:44" hidden="1" x14ac:dyDescent="0.2">
      <c r="A41" t="s">
        <v>330</v>
      </c>
      <c r="B41" t="s">
        <v>286</v>
      </c>
      <c r="C41" t="s">
        <v>287</v>
      </c>
      <c r="D41" t="s">
        <v>369</v>
      </c>
      <c r="E41" t="s">
        <v>372</v>
      </c>
      <c r="F41" t="s">
        <v>4</v>
      </c>
      <c r="G41" t="s">
        <v>3</v>
      </c>
      <c r="H41" t="s">
        <v>288</v>
      </c>
      <c r="I41" t="s">
        <v>297</v>
      </c>
      <c r="J41">
        <v>6337980</v>
      </c>
      <c r="K41">
        <v>5370650</v>
      </c>
      <c r="L41">
        <v>4955850</v>
      </c>
      <c r="M41">
        <v>4865400</v>
      </c>
      <c r="N41">
        <v>4645870</v>
      </c>
      <c r="O41">
        <v>4182450</v>
      </c>
      <c r="P41">
        <v>3857350</v>
      </c>
      <c r="Q41">
        <v>3628220</v>
      </c>
      <c r="R41">
        <v>3305910</v>
      </c>
      <c r="S41">
        <v>3067840</v>
      </c>
      <c r="T41">
        <v>1921680</v>
      </c>
      <c r="U41">
        <v>1876320</v>
      </c>
      <c r="V41">
        <v>1707920</v>
      </c>
      <c r="W41">
        <v>1599570</v>
      </c>
      <c r="X41">
        <v>1530360</v>
      </c>
      <c r="Y41">
        <v>589863</v>
      </c>
      <c r="Z41">
        <v>734837</v>
      </c>
      <c r="AA41">
        <v>445768</v>
      </c>
      <c r="AB41">
        <v>513192</v>
      </c>
      <c r="AC41">
        <v>415299</v>
      </c>
      <c r="AD41">
        <v>486740</v>
      </c>
      <c r="AE41">
        <v>317808</v>
      </c>
      <c r="AF41">
        <v>317585</v>
      </c>
      <c r="AG41">
        <v>423132</v>
      </c>
      <c r="AH41">
        <v>557393</v>
      </c>
      <c r="AI41">
        <v>817417</v>
      </c>
      <c r="AJ41">
        <v>765416</v>
      </c>
      <c r="AK41">
        <v>606784</v>
      </c>
      <c r="AL41">
        <v>596750</v>
      </c>
      <c r="AM41">
        <v>540329</v>
      </c>
      <c r="AN41">
        <v>570224</v>
      </c>
      <c r="AO41">
        <v>729306</v>
      </c>
      <c r="AP41">
        <v>1008910</v>
      </c>
      <c r="AQ41">
        <v>2237310</v>
      </c>
      <c r="AR41" s="55" t="s">
        <v>395</v>
      </c>
    </row>
    <row r="42" spans="1:44" hidden="1" x14ac:dyDescent="0.2">
      <c r="A42" t="s">
        <v>331</v>
      </c>
      <c r="B42" t="s">
        <v>286</v>
      </c>
      <c r="C42" t="s">
        <v>287</v>
      </c>
      <c r="D42" t="s">
        <v>377</v>
      </c>
      <c r="E42" t="s">
        <v>370</v>
      </c>
      <c r="F42" t="s">
        <v>4</v>
      </c>
      <c r="G42" t="s">
        <v>3</v>
      </c>
      <c r="H42" t="s">
        <v>288</v>
      </c>
      <c r="I42" t="s">
        <v>289</v>
      </c>
      <c r="J42">
        <v>978551000</v>
      </c>
      <c r="K42">
        <v>978489000</v>
      </c>
      <c r="L42">
        <v>1012600000</v>
      </c>
      <c r="M42">
        <v>1021970000</v>
      </c>
      <c r="N42">
        <v>1042810000</v>
      </c>
      <c r="O42">
        <v>962628000</v>
      </c>
      <c r="P42">
        <v>1006210000</v>
      </c>
      <c r="Q42">
        <v>1040060000</v>
      </c>
      <c r="R42">
        <v>1105260000</v>
      </c>
      <c r="S42">
        <v>1218360000</v>
      </c>
      <c r="T42">
        <v>1249510000</v>
      </c>
      <c r="U42">
        <v>1256740000</v>
      </c>
      <c r="V42">
        <v>1339600000</v>
      </c>
      <c r="W42">
        <v>1417850000</v>
      </c>
      <c r="X42">
        <v>1497710000</v>
      </c>
      <c r="Y42">
        <v>1550800000</v>
      </c>
      <c r="Z42">
        <v>1636540000</v>
      </c>
      <c r="AA42">
        <v>1712860000</v>
      </c>
      <c r="AB42">
        <v>1730840000</v>
      </c>
      <c r="AC42">
        <v>1720870000</v>
      </c>
      <c r="AD42">
        <v>1678380000</v>
      </c>
      <c r="AE42">
        <v>1632990000</v>
      </c>
      <c r="AF42">
        <v>1617340000</v>
      </c>
      <c r="AG42">
        <v>1582160000</v>
      </c>
      <c r="AH42">
        <v>1553460000</v>
      </c>
      <c r="AI42">
        <v>1565880000</v>
      </c>
      <c r="AJ42">
        <v>1582640000</v>
      </c>
      <c r="AK42">
        <v>1560520000</v>
      </c>
      <c r="AL42">
        <v>1494450000</v>
      </c>
      <c r="AM42">
        <v>1389380000</v>
      </c>
      <c r="AN42">
        <v>1004250000</v>
      </c>
      <c r="AO42">
        <v>941584000</v>
      </c>
      <c r="AP42">
        <v>895979000</v>
      </c>
      <c r="AQ42">
        <v>778994000</v>
      </c>
      <c r="AR42" s="57" t="s">
        <v>10</v>
      </c>
    </row>
    <row r="43" spans="1:44" hidden="1" x14ac:dyDescent="0.2">
      <c r="A43" t="s">
        <v>332</v>
      </c>
      <c r="B43" t="s">
        <v>286</v>
      </c>
      <c r="C43" t="s">
        <v>287</v>
      </c>
      <c r="D43" t="s">
        <v>367</v>
      </c>
      <c r="E43" t="s">
        <v>372</v>
      </c>
      <c r="F43" t="s">
        <v>4</v>
      </c>
      <c r="G43" t="s">
        <v>3</v>
      </c>
      <c r="H43" t="s">
        <v>288</v>
      </c>
      <c r="I43" t="s">
        <v>294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10331.799999999999</v>
      </c>
      <c r="W43">
        <v>6775.15</v>
      </c>
      <c r="X43">
        <v>0</v>
      </c>
      <c r="Y43">
        <v>21789.7</v>
      </c>
      <c r="Z43">
        <v>19353.099999999999</v>
      </c>
      <c r="AA43">
        <v>29951.3</v>
      </c>
      <c r="AB43">
        <v>21584.7</v>
      </c>
      <c r="AC43">
        <v>20122.900000000001</v>
      </c>
      <c r="AD43">
        <v>40982.5</v>
      </c>
      <c r="AE43">
        <v>27996.799999999999</v>
      </c>
      <c r="AF43">
        <v>35158.1</v>
      </c>
      <c r="AG43">
        <v>19835.5</v>
      </c>
      <c r="AH43">
        <v>20777.2</v>
      </c>
      <c r="AI43">
        <v>32025.599999999999</v>
      </c>
      <c r="AJ43">
        <v>12354.6</v>
      </c>
      <c r="AK43">
        <v>43212.9</v>
      </c>
      <c r="AL43">
        <v>19907.900000000001</v>
      </c>
      <c r="AM43">
        <v>32017.8</v>
      </c>
      <c r="AN43">
        <v>4222.29</v>
      </c>
      <c r="AO43">
        <v>8675.25</v>
      </c>
      <c r="AP43">
        <v>9245.77</v>
      </c>
      <c r="AQ43">
        <v>15224.8</v>
      </c>
      <c r="AR43" s="55" t="s">
        <v>407</v>
      </c>
    </row>
    <row r="44" spans="1:44" hidden="1" x14ac:dyDescent="0.2">
      <c r="A44" t="s">
        <v>333</v>
      </c>
      <c r="B44" t="s">
        <v>286</v>
      </c>
      <c r="C44" t="s">
        <v>287</v>
      </c>
      <c r="D44" t="s">
        <v>367</v>
      </c>
      <c r="E44" t="s">
        <v>372</v>
      </c>
      <c r="F44" t="s">
        <v>4</v>
      </c>
      <c r="G44" t="s">
        <v>3</v>
      </c>
      <c r="H44" t="s">
        <v>288</v>
      </c>
      <c r="I44" t="s">
        <v>289</v>
      </c>
      <c r="J44">
        <v>44495800</v>
      </c>
      <c r="K44">
        <v>40939500</v>
      </c>
      <c r="L44">
        <v>40882900</v>
      </c>
      <c r="M44">
        <v>36069500</v>
      </c>
      <c r="N44">
        <v>34566900</v>
      </c>
      <c r="O44">
        <v>44865700</v>
      </c>
      <c r="P44">
        <v>43870900</v>
      </c>
      <c r="Q44">
        <v>39375300</v>
      </c>
      <c r="R44">
        <v>44500000</v>
      </c>
      <c r="S44">
        <v>47941600</v>
      </c>
      <c r="T44">
        <v>54180300</v>
      </c>
      <c r="U44">
        <v>56461700</v>
      </c>
      <c r="V44">
        <v>51561900</v>
      </c>
      <c r="W44">
        <v>47428500</v>
      </c>
      <c r="X44">
        <v>47185900</v>
      </c>
      <c r="Y44">
        <v>45267500</v>
      </c>
      <c r="Z44">
        <v>44123200</v>
      </c>
      <c r="AA44">
        <v>43852800</v>
      </c>
      <c r="AB44">
        <v>43730000</v>
      </c>
      <c r="AC44">
        <v>41731400</v>
      </c>
      <c r="AD44">
        <v>39747100</v>
      </c>
      <c r="AE44">
        <v>38802800</v>
      </c>
      <c r="AF44">
        <v>39516400</v>
      </c>
      <c r="AG44">
        <v>36072900</v>
      </c>
      <c r="AH44">
        <v>35388500</v>
      </c>
      <c r="AI44">
        <v>35196000</v>
      </c>
      <c r="AJ44">
        <v>35150600</v>
      </c>
      <c r="AK44">
        <v>37024200</v>
      </c>
      <c r="AL44">
        <v>38097600</v>
      </c>
      <c r="AM44">
        <v>34526700</v>
      </c>
      <c r="AN44">
        <v>13217900</v>
      </c>
      <c r="AO44">
        <v>14398400</v>
      </c>
      <c r="AP44">
        <v>20259400</v>
      </c>
      <c r="AQ44">
        <v>21967700</v>
      </c>
      <c r="AR44" s="59" t="s">
        <v>34</v>
      </c>
    </row>
    <row r="45" spans="1:44" hidden="1" x14ac:dyDescent="0.2">
      <c r="A45" t="s">
        <v>334</v>
      </c>
      <c r="B45" t="s">
        <v>286</v>
      </c>
      <c r="C45" t="s">
        <v>287</v>
      </c>
      <c r="D45" t="s">
        <v>373</v>
      </c>
      <c r="E45" t="s">
        <v>370</v>
      </c>
      <c r="F45" t="s">
        <v>4</v>
      </c>
      <c r="G45" t="s">
        <v>3</v>
      </c>
      <c r="H45" t="s">
        <v>288</v>
      </c>
      <c r="I45" t="s">
        <v>294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15249.9</v>
      </c>
      <c r="W45">
        <v>0</v>
      </c>
      <c r="X45">
        <v>0</v>
      </c>
      <c r="Y45">
        <v>1056910</v>
      </c>
      <c r="Z45">
        <v>2003300</v>
      </c>
      <c r="AA45">
        <v>2081000</v>
      </c>
      <c r="AB45">
        <v>2914660</v>
      </c>
      <c r="AC45">
        <v>4828490</v>
      </c>
      <c r="AD45">
        <v>8180990</v>
      </c>
      <c r="AE45">
        <v>8997360</v>
      </c>
      <c r="AF45">
        <v>9102050</v>
      </c>
      <c r="AG45">
        <v>12060800</v>
      </c>
      <c r="AH45">
        <v>11440600</v>
      </c>
      <c r="AI45">
        <v>10345600</v>
      </c>
      <c r="AJ45">
        <v>10129000</v>
      </c>
      <c r="AK45">
        <v>9955950</v>
      </c>
      <c r="AL45">
        <v>9668700</v>
      </c>
      <c r="AM45">
        <v>9538790</v>
      </c>
      <c r="AN45">
        <v>7515730</v>
      </c>
      <c r="AO45">
        <v>8360650</v>
      </c>
      <c r="AP45">
        <v>7994200</v>
      </c>
      <c r="AQ45">
        <v>7563440</v>
      </c>
      <c r="AR45" s="55" t="s">
        <v>411</v>
      </c>
    </row>
    <row r="46" spans="1:44" hidden="1" x14ac:dyDescent="0.2">
      <c r="A46" t="s">
        <v>335</v>
      </c>
      <c r="B46" t="s">
        <v>286</v>
      </c>
      <c r="C46" t="s">
        <v>287</v>
      </c>
      <c r="D46" t="s">
        <v>367</v>
      </c>
      <c r="E46" t="s">
        <v>368</v>
      </c>
      <c r="F46" t="s">
        <v>4</v>
      </c>
      <c r="G46" t="s">
        <v>3</v>
      </c>
      <c r="H46" t="s">
        <v>288</v>
      </c>
      <c r="I46" t="s">
        <v>294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6041.9</v>
      </c>
      <c r="W46">
        <v>3962.01</v>
      </c>
      <c r="X46">
        <v>0</v>
      </c>
      <c r="Y46">
        <v>12491.4</v>
      </c>
      <c r="Z46">
        <v>10874.5</v>
      </c>
      <c r="AA46">
        <v>16493</v>
      </c>
      <c r="AB46">
        <v>11646.2</v>
      </c>
      <c r="AC46">
        <v>10636.7</v>
      </c>
      <c r="AD46">
        <v>21662.799999999999</v>
      </c>
      <c r="AE46">
        <v>14798.7</v>
      </c>
      <c r="AF46">
        <v>18593.5</v>
      </c>
      <c r="AG46">
        <v>10484.799999999999</v>
      </c>
      <c r="AH46">
        <v>10982.5</v>
      </c>
      <c r="AI46">
        <v>16941.2</v>
      </c>
      <c r="AJ46">
        <v>6530.63</v>
      </c>
      <c r="AK46">
        <v>22859.7</v>
      </c>
      <c r="AL46">
        <v>10523.1</v>
      </c>
      <c r="AM46">
        <v>15594.3</v>
      </c>
      <c r="AN46">
        <v>2031.02</v>
      </c>
      <c r="AO46">
        <v>5058.18</v>
      </c>
      <c r="AP46">
        <v>5585.54</v>
      </c>
      <c r="AQ46">
        <v>9289.86</v>
      </c>
      <c r="AR46" s="58" t="s">
        <v>408</v>
      </c>
    </row>
    <row r="47" spans="1:44" hidden="1" x14ac:dyDescent="0.2">
      <c r="A47" t="s">
        <v>336</v>
      </c>
      <c r="B47" t="s">
        <v>286</v>
      </c>
      <c r="C47" t="s">
        <v>287</v>
      </c>
      <c r="D47" t="s">
        <v>369</v>
      </c>
      <c r="E47" t="s">
        <v>368</v>
      </c>
      <c r="F47" t="s">
        <v>4</v>
      </c>
      <c r="G47" t="s">
        <v>3</v>
      </c>
      <c r="H47" t="s">
        <v>288</v>
      </c>
      <c r="I47" t="s">
        <v>294</v>
      </c>
      <c r="J47">
        <v>44722.1</v>
      </c>
      <c r="K47">
        <v>37228.9</v>
      </c>
      <c r="L47">
        <v>36230</v>
      </c>
      <c r="M47">
        <v>35963.199999999997</v>
      </c>
      <c r="N47">
        <v>37930.800000000003</v>
      </c>
      <c r="O47">
        <v>41357.300000000003</v>
      </c>
      <c r="P47">
        <v>54012.9</v>
      </c>
      <c r="Q47">
        <v>63186.7</v>
      </c>
      <c r="R47">
        <v>66231.5</v>
      </c>
      <c r="S47">
        <v>103925</v>
      </c>
      <c r="T47">
        <v>112869</v>
      </c>
      <c r="U47">
        <v>118249</v>
      </c>
      <c r="V47">
        <v>111267</v>
      </c>
      <c r="W47">
        <v>109175</v>
      </c>
      <c r="X47">
        <v>108879</v>
      </c>
      <c r="Y47">
        <v>168850</v>
      </c>
      <c r="Z47">
        <v>184715</v>
      </c>
      <c r="AA47">
        <v>162864</v>
      </c>
      <c r="AB47">
        <v>188061</v>
      </c>
      <c r="AC47">
        <v>346044</v>
      </c>
      <c r="AD47">
        <v>577058</v>
      </c>
      <c r="AE47">
        <v>1198360</v>
      </c>
      <c r="AF47">
        <v>1836910</v>
      </c>
      <c r="AG47">
        <v>3126130</v>
      </c>
      <c r="AH47">
        <v>4329740</v>
      </c>
      <c r="AI47">
        <v>4745360</v>
      </c>
      <c r="AJ47">
        <v>5695480</v>
      </c>
      <c r="AK47">
        <v>6427570</v>
      </c>
      <c r="AL47">
        <v>5152270</v>
      </c>
      <c r="AM47">
        <v>6411070</v>
      </c>
      <c r="AN47">
        <v>8185360</v>
      </c>
      <c r="AO47">
        <v>10703100</v>
      </c>
      <c r="AP47">
        <v>11034000</v>
      </c>
      <c r="AQ47">
        <v>10996700</v>
      </c>
      <c r="AR47" s="60" t="s">
        <v>399</v>
      </c>
    </row>
    <row r="48" spans="1:44" hidden="1" x14ac:dyDescent="0.2">
      <c r="A48" t="s">
        <v>337</v>
      </c>
      <c r="B48" t="s">
        <v>286</v>
      </c>
      <c r="C48" t="s">
        <v>287</v>
      </c>
      <c r="D48" t="s">
        <v>373</v>
      </c>
      <c r="E48" t="s">
        <v>372</v>
      </c>
      <c r="F48" t="s">
        <v>4</v>
      </c>
      <c r="G48" t="s">
        <v>3</v>
      </c>
      <c r="H48" t="s">
        <v>288</v>
      </c>
      <c r="I48" t="s">
        <v>297</v>
      </c>
      <c r="J48">
        <v>18346</v>
      </c>
      <c r="K48">
        <v>79391.5</v>
      </c>
      <c r="L48">
        <v>78899.399999999994</v>
      </c>
      <c r="M48">
        <v>81359.899999999994</v>
      </c>
      <c r="N48">
        <v>40190.199999999997</v>
      </c>
      <c r="O48">
        <v>68267.3</v>
      </c>
      <c r="P48">
        <v>93488.8</v>
      </c>
      <c r="Q48">
        <v>107596</v>
      </c>
      <c r="R48">
        <v>108770</v>
      </c>
      <c r="S48">
        <v>222818</v>
      </c>
      <c r="T48">
        <v>220147</v>
      </c>
      <c r="U48">
        <v>247659</v>
      </c>
      <c r="V48">
        <v>221619</v>
      </c>
      <c r="W48">
        <v>192350</v>
      </c>
      <c r="X48">
        <v>168782</v>
      </c>
      <c r="Y48">
        <v>41458.400000000001</v>
      </c>
      <c r="Z48">
        <v>37476.199999999997</v>
      </c>
      <c r="AA48">
        <v>35750.400000000001</v>
      </c>
      <c r="AB48">
        <v>15392.7</v>
      </c>
      <c r="AC48">
        <v>13430.6</v>
      </c>
      <c r="AD48">
        <v>62868.6</v>
      </c>
      <c r="AE48">
        <v>71275.3</v>
      </c>
      <c r="AF48">
        <v>71053.2</v>
      </c>
      <c r="AG48">
        <v>49312.5</v>
      </c>
      <c r="AH48">
        <v>51745.8</v>
      </c>
      <c r="AI48">
        <v>67168.600000000006</v>
      </c>
      <c r="AJ48">
        <v>31248.3</v>
      </c>
      <c r="AK48">
        <v>27566.799999999999</v>
      </c>
      <c r="AL48">
        <v>41704.9</v>
      </c>
      <c r="AM48">
        <v>79575.7</v>
      </c>
      <c r="AN48">
        <v>182486</v>
      </c>
      <c r="AO48">
        <v>191430</v>
      </c>
      <c r="AP48">
        <v>187463</v>
      </c>
      <c r="AQ48">
        <v>180977</v>
      </c>
      <c r="AR48" s="61" t="s">
        <v>414</v>
      </c>
    </row>
    <row r="49" spans="1:44" hidden="1" x14ac:dyDescent="0.2">
      <c r="A49" t="s">
        <v>338</v>
      </c>
      <c r="B49" t="s">
        <v>286</v>
      </c>
      <c r="C49" t="s">
        <v>287</v>
      </c>
      <c r="D49" t="s">
        <v>369</v>
      </c>
      <c r="E49" t="s">
        <v>372</v>
      </c>
      <c r="F49" t="s">
        <v>4</v>
      </c>
      <c r="G49" t="s">
        <v>3</v>
      </c>
      <c r="H49" t="s">
        <v>288</v>
      </c>
      <c r="I49" t="s">
        <v>289</v>
      </c>
      <c r="J49">
        <v>2240890000</v>
      </c>
      <c r="K49">
        <v>2416380000</v>
      </c>
      <c r="L49">
        <v>2625480000</v>
      </c>
      <c r="M49">
        <v>2685130000</v>
      </c>
      <c r="N49">
        <v>2732180000</v>
      </c>
      <c r="O49">
        <v>2897550000</v>
      </c>
      <c r="P49">
        <v>2942550000</v>
      </c>
      <c r="Q49">
        <v>3035050000</v>
      </c>
      <c r="R49">
        <v>3150090000</v>
      </c>
      <c r="S49">
        <v>3445400000</v>
      </c>
      <c r="T49">
        <v>3468930000</v>
      </c>
      <c r="U49">
        <v>3417060000</v>
      </c>
      <c r="V49">
        <v>3423210000</v>
      </c>
      <c r="W49">
        <v>3424650000</v>
      </c>
      <c r="X49">
        <v>3453080000</v>
      </c>
      <c r="Y49">
        <v>3421250000</v>
      </c>
      <c r="Z49">
        <v>3520110000</v>
      </c>
      <c r="AA49">
        <v>3646700000</v>
      </c>
      <c r="AB49">
        <v>3778620000</v>
      </c>
      <c r="AC49">
        <v>3775960000</v>
      </c>
      <c r="AD49">
        <v>3769030000</v>
      </c>
      <c r="AE49">
        <v>3747950000</v>
      </c>
      <c r="AF49">
        <v>3706420000</v>
      </c>
      <c r="AG49">
        <v>3501050000</v>
      </c>
      <c r="AH49">
        <v>3497530000</v>
      </c>
      <c r="AI49">
        <v>3656290000</v>
      </c>
      <c r="AJ49">
        <v>3874160000</v>
      </c>
      <c r="AK49">
        <v>3931200000</v>
      </c>
      <c r="AL49">
        <v>3967920000</v>
      </c>
      <c r="AM49">
        <v>3990020000</v>
      </c>
      <c r="AN49">
        <v>3977300000</v>
      </c>
      <c r="AO49">
        <v>4046190000</v>
      </c>
      <c r="AP49">
        <v>4182520000</v>
      </c>
      <c r="AQ49">
        <v>4073880000</v>
      </c>
      <c r="AR49" s="60" t="s">
        <v>397</v>
      </c>
    </row>
    <row r="50" spans="1:44" hidden="1" x14ac:dyDescent="0.2">
      <c r="A50" t="s">
        <v>339</v>
      </c>
      <c r="B50" t="s">
        <v>286</v>
      </c>
      <c r="C50" t="s">
        <v>287</v>
      </c>
      <c r="D50" t="s">
        <v>373</v>
      </c>
      <c r="E50" t="s">
        <v>368</v>
      </c>
      <c r="F50" t="s">
        <v>4</v>
      </c>
      <c r="G50" t="s">
        <v>3</v>
      </c>
      <c r="H50" t="s">
        <v>288</v>
      </c>
      <c r="I50" t="s">
        <v>297</v>
      </c>
      <c r="J50">
        <v>821800</v>
      </c>
      <c r="K50">
        <v>3556300</v>
      </c>
      <c r="L50">
        <v>3534260</v>
      </c>
      <c r="M50">
        <v>3644480</v>
      </c>
      <c r="N50">
        <v>1800300</v>
      </c>
      <c r="O50">
        <v>3058000</v>
      </c>
      <c r="P50">
        <v>4187790</v>
      </c>
      <c r="Q50">
        <v>4819710</v>
      </c>
      <c r="R50">
        <v>4872290</v>
      </c>
      <c r="S50">
        <v>9981040</v>
      </c>
      <c r="T50">
        <v>9861380</v>
      </c>
      <c r="U50">
        <v>11093800</v>
      </c>
      <c r="V50">
        <v>9927320</v>
      </c>
      <c r="W50">
        <v>8616230</v>
      </c>
      <c r="X50">
        <v>7560500</v>
      </c>
      <c r="Y50">
        <v>1842190</v>
      </c>
      <c r="Z50">
        <v>1648440</v>
      </c>
      <c r="AA50">
        <v>1552010</v>
      </c>
      <c r="AB50">
        <v>656521</v>
      </c>
      <c r="AC50">
        <v>558639</v>
      </c>
      <c r="AD50">
        <v>1669650</v>
      </c>
      <c r="AE50">
        <v>1893810</v>
      </c>
      <c r="AF50">
        <v>1891390</v>
      </c>
      <c r="AG50">
        <v>1299060</v>
      </c>
      <c r="AH50">
        <v>1362190</v>
      </c>
      <c r="AI50">
        <v>1759790</v>
      </c>
      <c r="AJ50">
        <v>816557</v>
      </c>
      <c r="AK50">
        <v>804431</v>
      </c>
      <c r="AL50">
        <v>1300870</v>
      </c>
      <c r="AM50">
        <v>3537090</v>
      </c>
      <c r="AN50">
        <v>9903770</v>
      </c>
      <c r="AO50">
        <v>10389200</v>
      </c>
      <c r="AP50">
        <v>10178400</v>
      </c>
      <c r="AQ50">
        <v>9835010</v>
      </c>
      <c r="AR50" s="55" t="s">
        <v>415</v>
      </c>
    </row>
    <row r="51" spans="1:44" hidden="1" x14ac:dyDescent="0.2">
      <c r="A51" t="s">
        <v>340</v>
      </c>
      <c r="B51" t="s">
        <v>286</v>
      </c>
      <c r="C51" t="s">
        <v>287</v>
      </c>
      <c r="D51" t="s">
        <v>369</v>
      </c>
      <c r="E51" t="s">
        <v>372</v>
      </c>
      <c r="F51" t="s">
        <v>4</v>
      </c>
      <c r="G51" t="s">
        <v>3</v>
      </c>
      <c r="H51" t="s">
        <v>288</v>
      </c>
      <c r="I51" t="s">
        <v>294</v>
      </c>
      <c r="J51">
        <v>87157.8</v>
      </c>
      <c r="K51">
        <v>78913.899999999994</v>
      </c>
      <c r="L51">
        <v>77457.100000000006</v>
      </c>
      <c r="M51">
        <v>78426.5</v>
      </c>
      <c r="N51">
        <v>78483</v>
      </c>
      <c r="O51">
        <v>88073.5</v>
      </c>
      <c r="P51">
        <v>118211</v>
      </c>
      <c r="Q51">
        <v>145966</v>
      </c>
      <c r="R51">
        <v>155579</v>
      </c>
      <c r="S51">
        <v>239514</v>
      </c>
      <c r="T51">
        <v>262464</v>
      </c>
      <c r="U51">
        <v>272702</v>
      </c>
      <c r="V51">
        <v>245462</v>
      </c>
      <c r="W51">
        <v>237333</v>
      </c>
      <c r="X51">
        <v>236990</v>
      </c>
      <c r="Y51">
        <v>369119</v>
      </c>
      <c r="Z51">
        <v>423065</v>
      </c>
      <c r="AA51">
        <v>416803</v>
      </c>
      <c r="AB51">
        <v>477772</v>
      </c>
      <c r="AC51">
        <v>975322</v>
      </c>
      <c r="AD51">
        <v>1300700</v>
      </c>
      <c r="AE51">
        <v>2428780</v>
      </c>
      <c r="AF51">
        <v>4648220</v>
      </c>
      <c r="AG51">
        <v>10328500</v>
      </c>
      <c r="AH51">
        <v>13978800</v>
      </c>
      <c r="AI51">
        <v>15099000</v>
      </c>
      <c r="AJ51">
        <v>19302600</v>
      </c>
      <c r="AK51">
        <v>21738300</v>
      </c>
      <c r="AL51">
        <v>25469200</v>
      </c>
      <c r="AM51">
        <v>34265500</v>
      </c>
      <c r="AN51">
        <v>46908900</v>
      </c>
      <c r="AO51">
        <v>63528400</v>
      </c>
      <c r="AP51">
        <v>65612100</v>
      </c>
      <c r="AQ51">
        <v>65579600</v>
      </c>
      <c r="AR51" s="58" t="s">
        <v>398</v>
      </c>
    </row>
    <row r="52" spans="1:44" hidden="1" x14ac:dyDescent="0.2">
      <c r="A52" t="s">
        <v>341</v>
      </c>
      <c r="B52" t="s">
        <v>286</v>
      </c>
      <c r="C52" t="s">
        <v>287</v>
      </c>
      <c r="D52" t="s">
        <v>369</v>
      </c>
      <c r="E52" t="s">
        <v>370</v>
      </c>
      <c r="F52" t="s">
        <v>4</v>
      </c>
      <c r="G52" t="s">
        <v>3</v>
      </c>
      <c r="H52" t="s">
        <v>288</v>
      </c>
      <c r="I52" t="s">
        <v>294</v>
      </c>
      <c r="J52">
        <v>43201.9</v>
      </c>
      <c r="K52">
        <v>35150</v>
      </c>
      <c r="L52">
        <v>34404.5</v>
      </c>
      <c r="M52">
        <v>33864.300000000003</v>
      </c>
      <c r="N52">
        <v>36140.400000000001</v>
      </c>
      <c r="O52">
        <v>38892.9</v>
      </c>
      <c r="P52">
        <v>49990.3</v>
      </c>
      <c r="Q52">
        <v>57677.5</v>
      </c>
      <c r="R52">
        <v>60090.5</v>
      </c>
      <c r="S52">
        <v>93524.4</v>
      </c>
      <c r="T52">
        <v>99985.2</v>
      </c>
      <c r="U52">
        <v>105147</v>
      </c>
      <c r="V52">
        <v>99005.8</v>
      </c>
      <c r="W52">
        <v>96557.7</v>
      </c>
      <c r="X52">
        <v>96031.5</v>
      </c>
      <c r="Y52">
        <v>145822</v>
      </c>
      <c r="Z52">
        <v>162153</v>
      </c>
      <c r="AA52">
        <v>154192</v>
      </c>
      <c r="AB52">
        <v>172122</v>
      </c>
      <c r="AC52">
        <v>338856</v>
      </c>
      <c r="AD52">
        <v>417311</v>
      </c>
      <c r="AE52">
        <v>686206</v>
      </c>
      <c r="AF52">
        <v>1203070</v>
      </c>
      <c r="AG52">
        <v>2522240</v>
      </c>
      <c r="AH52">
        <v>3605910</v>
      </c>
      <c r="AI52">
        <v>4171220</v>
      </c>
      <c r="AJ52">
        <v>5511270</v>
      </c>
      <c r="AK52">
        <v>6408410</v>
      </c>
      <c r="AL52">
        <v>7475210</v>
      </c>
      <c r="AM52">
        <v>10180700</v>
      </c>
      <c r="AN52">
        <v>14020600</v>
      </c>
      <c r="AO52">
        <v>18963800</v>
      </c>
      <c r="AP52">
        <v>19597000</v>
      </c>
      <c r="AQ52">
        <v>19635000</v>
      </c>
      <c r="AR52" s="56" t="s">
        <v>402</v>
      </c>
    </row>
    <row r="53" spans="1:44" hidden="1" x14ac:dyDescent="0.2">
      <c r="A53" t="s">
        <v>342</v>
      </c>
      <c r="B53" t="s">
        <v>286</v>
      </c>
      <c r="C53" t="s">
        <v>287</v>
      </c>
      <c r="D53" t="s">
        <v>367</v>
      </c>
      <c r="E53" t="s">
        <v>368</v>
      </c>
      <c r="F53" t="s">
        <v>4</v>
      </c>
      <c r="G53" t="s">
        <v>3</v>
      </c>
      <c r="H53" t="s">
        <v>288</v>
      </c>
      <c r="I53" t="s">
        <v>297</v>
      </c>
      <c r="J53">
        <v>33004.400000000001</v>
      </c>
      <c r="K53">
        <v>17370.8</v>
      </c>
      <c r="L53">
        <v>17370.8</v>
      </c>
      <c r="M53">
        <v>17370.8</v>
      </c>
      <c r="N53">
        <v>20844.900000000001</v>
      </c>
      <c r="O53">
        <v>13028.1</v>
      </c>
      <c r="P53">
        <v>12159.5</v>
      </c>
      <c r="Q53">
        <v>11291</v>
      </c>
      <c r="R53">
        <v>10856.7</v>
      </c>
      <c r="S53">
        <v>13896.6</v>
      </c>
      <c r="T53">
        <v>12593.8</v>
      </c>
      <c r="U53">
        <v>13896.6</v>
      </c>
      <c r="V53">
        <v>53771.4</v>
      </c>
      <c r="W53">
        <v>61121.9</v>
      </c>
      <c r="X53">
        <v>57976.7</v>
      </c>
      <c r="Y53">
        <v>6565.66</v>
      </c>
      <c r="Z53">
        <v>1810.98</v>
      </c>
      <c r="AA53">
        <v>5536.95</v>
      </c>
      <c r="AB53">
        <v>6841.02</v>
      </c>
      <c r="AC53">
        <v>3938.05</v>
      </c>
      <c r="AD53">
        <v>2420.96</v>
      </c>
      <c r="AE53">
        <v>3470.16</v>
      </c>
      <c r="AF53">
        <v>1302.8800000000001</v>
      </c>
      <c r="AG53">
        <v>2569.4499999999998</v>
      </c>
      <c r="AH53">
        <v>1349.52</v>
      </c>
      <c r="AI53">
        <v>144.92699999999999</v>
      </c>
      <c r="AJ53">
        <v>250.251</v>
      </c>
      <c r="AK53">
        <v>175.58199999999999</v>
      </c>
      <c r="AL53">
        <v>467.09100000000001</v>
      </c>
      <c r="AM53">
        <v>389.69</v>
      </c>
      <c r="AN53">
        <v>2433.5300000000002</v>
      </c>
      <c r="AO53">
        <v>71434.899999999994</v>
      </c>
      <c r="AP53">
        <v>80020</v>
      </c>
      <c r="AQ53">
        <v>84350.1</v>
      </c>
      <c r="AR53" s="55" t="s">
        <v>409</v>
      </c>
    </row>
    <row r="54" spans="1:44" hidden="1" x14ac:dyDescent="0.2">
      <c r="A54" t="s">
        <v>343</v>
      </c>
      <c r="B54" t="s">
        <v>286</v>
      </c>
      <c r="C54" t="s">
        <v>287</v>
      </c>
      <c r="D54" t="s">
        <v>377</v>
      </c>
      <c r="E54" t="s">
        <v>372</v>
      </c>
      <c r="F54" t="s">
        <v>4</v>
      </c>
      <c r="G54" t="s">
        <v>3</v>
      </c>
      <c r="H54" t="s">
        <v>288</v>
      </c>
      <c r="I54" t="s">
        <v>297</v>
      </c>
      <c r="J54">
        <v>2956350000</v>
      </c>
      <c r="K54">
        <v>3429120000</v>
      </c>
      <c r="L54">
        <v>3662070000</v>
      </c>
      <c r="M54">
        <v>3682960000</v>
      </c>
      <c r="N54">
        <v>3819190000</v>
      </c>
      <c r="O54">
        <v>3835110000</v>
      </c>
      <c r="P54">
        <v>3944880000</v>
      </c>
      <c r="Q54">
        <v>4178970000</v>
      </c>
      <c r="R54">
        <v>4402130000</v>
      </c>
      <c r="S54">
        <v>4670370000</v>
      </c>
      <c r="T54">
        <v>4833330000</v>
      </c>
      <c r="U54">
        <v>5197000000</v>
      </c>
      <c r="V54">
        <v>5284800000</v>
      </c>
      <c r="W54">
        <v>5321780000</v>
      </c>
      <c r="X54">
        <v>5468170000</v>
      </c>
      <c r="Y54">
        <v>5184050000</v>
      </c>
      <c r="Z54">
        <v>5002020000</v>
      </c>
      <c r="AA54">
        <v>4896060000</v>
      </c>
      <c r="AB54">
        <v>4661020000</v>
      </c>
      <c r="AC54">
        <v>4558490000</v>
      </c>
      <c r="AD54">
        <v>4563340000</v>
      </c>
      <c r="AE54">
        <v>4542570000</v>
      </c>
      <c r="AF54">
        <v>4475390000</v>
      </c>
      <c r="AG54">
        <v>4469670000</v>
      </c>
      <c r="AH54">
        <v>4500540000</v>
      </c>
      <c r="AI54">
        <v>4562620000</v>
      </c>
      <c r="AJ54">
        <v>4696860000</v>
      </c>
      <c r="AK54">
        <v>4775100000</v>
      </c>
      <c r="AL54">
        <v>4837730000</v>
      </c>
      <c r="AM54">
        <v>4879470000</v>
      </c>
      <c r="AN54">
        <v>4243150000</v>
      </c>
      <c r="AO54">
        <v>4545700000</v>
      </c>
      <c r="AP54">
        <v>4790310000</v>
      </c>
      <c r="AQ54">
        <v>5040980000</v>
      </c>
      <c r="AR54" s="53" t="s">
        <v>6</v>
      </c>
    </row>
    <row r="55" spans="1:44" hidden="1" x14ac:dyDescent="0.2">
      <c r="A55" t="s">
        <v>344</v>
      </c>
      <c r="B55" t="s">
        <v>286</v>
      </c>
      <c r="C55" t="s">
        <v>287</v>
      </c>
      <c r="D55" t="s">
        <v>369</v>
      </c>
      <c r="E55" t="s">
        <v>368</v>
      </c>
      <c r="F55" t="s">
        <v>4</v>
      </c>
      <c r="G55" t="s">
        <v>3</v>
      </c>
      <c r="H55" t="s">
        <v>288</v>
      </c>
      <c r="I55" t="s">
        <v>297</v>
      </c>
      <c r="J55">
        <v>3739550</v>
      </c>
      <c r="K55">
        <v>2901280</v>
      </c>
      <c r="L55">
        <v>2624250</v>
      </c>
      <c r="M55">
        <v>2460470</v>
      </c>
      <c r="N55">
        <v>2366100</v>
      </c>
      <c r="O55">
        <v>2075100</v>
      </c>
      <c r="P55">
        <v>1850280</v>
      </c>
      <c r="Q55">
        <v>1684800</v>
      </c>
      <c r="R55">
        <v>1479380</v>
      </c>
      <c r="S55">
        <v>1347590</v>
      </c>
      <c r="T55">
        <v>896202</v>
      </c>
      <c r="U55">
        <v>868966</v>
      </c>
      <c r="V55">
        <v>823217</v>
      </c>
      <c r="W55">
        <v>792382</v>
      </c>
      <c r="X55">
        <v>758817</v>
      </c>
      <c r="Y55">
        <v>243155</v>
      </c>
      <c r="Z55">
        <v>248492</v>
      </c>
      <c r="AA55">
        <v>134472</v>
      </c>
      <c r="AB55">
        <v>126156</v>
      </c>
      <c r="AC55">
        <v>77158.8</v>
      </c>
      <c r="AD55">
        <v>101784</v>
      </c>
      <c r="AE55">
        <v>75347.100000000006</v>
      </c>
      <c r="AF55">
        <v>87878.399999999994</v>
      </c>
      <c r="AG55">
        <v>159419</v>
      </c>
      <c r="AH55">
        <v>197906</v>
      </c>
      <c r="AI55">
        <v>260700</v>
      </c>
      <c r="AJ55">
        <v>251959</v>
      </c>
      <c r="AK55">
        <v>201486</v>
      </c>
      <c r="AL55">
        <v>248631</v>
      </c>
      <c r="AM55">
        <v>200965</v>
      </c>
      <c r="AN55">
        <v>195286</v>
      </c>
      <c r="AO55">
        <v>250934</v>
      </c>
      <c r="AP55">
        <v>320791</v>
      </c>
      <c r="AQ55">
        <v>591910</v>
      </c>
      <c r="AR55" s="55" t="s">
        <v>400</v>
      </c>
    </row>
    <row r="56" spans="1:44" hidden="1" x14ac:dyDescent="0.2">
      <c r="A56" t="s">
        <v>345</v>
      </c>
      <c r="B56" t="s">
        <v>286</v>
      </c>
      <c r="C56" t="s">
        <v>287</v>
      </c>
      <c r="D56" t="s">
        <v>369</v>
      </c>
      <c r="E56" t="s">
        <v>370</v>
      </c>
      <c r="F56" t="s">
        <v>4</v>
      </c>
      <c r="G56" t="s">
        <v>3</v>
      </c>
      <c r="H56" t="s">
        <v>288</v>
      </c>
      <c r="I56" t="s">
        <v>297</v>
      </c>
      <c r="J56">
        <v>3506290</v>
      </c>
      <c r="K56">
        <v>2656430</v>
      </c>
      <c r="L56">
        <v>2388090</v>
      </c>
      <c r="M56">
        <v>2201190</v>
      </c>
      <c r="N56">
        <v>2107910</v>
      </c>
      <c r="O56">
        <v>1825650</v>
      </c>
      <c r="P56">
        <v>1605150</v>
      </c>
      <c r="Q56">
        <v>1441230</v>
      </c>
      <c r="R56">
        <v>1247410</v>
      </c>
      <c r="S56">
        <v>1122910</v>
      </c>
      <c r="T56">
        <v>734903</v>
      </c>
      <c r="U56">
        <v>717240</v>
      </c>
      <c r="V56">
        <v>676752</v>
      </c>
      <c r="W56">
        <v>644821</v>
      </c>
      <c r="X56">
        <v>620544</v>
      </c>
      <c r="Y56">
        <v>226989</v>
      </c>
      <c r="Z56">
        <v>266430</v>
      </c>
      <c r="AA56">
        <v>153072</v>
      </c>
      <c r="AB56">
        <v>167473</v>
      </c>
      <c r="AC56">
        <v>122803</v>
      </c>
      <c r="AD56">
        <v>149953</v>
      </c>
      <c r="AE56">
        <v>100096</v>
      </c>
      <c r="AF56">
        <v>102405</v>
      </c>
      <c r="AG56">
        <v>151591</v>
      </c>
      <c r="AH56">
        <v>210974</v>
      </c>
      <c r="AI56">
        <v>309372</v>
      </c>
      <c r="AJ56">
        <v>310082</v>
      </c>
      <c r="AK56">
        <v>248517</v>
      </c>
      <c r="AL56">
        <v>341185</v>
      </c>
      <c r="AM56">
        <v>299429</v>
      </c>
      <c r="AN56">
        <v>312336</v>
      </c>
      <c r="AO56">
        <v>398698</v>
      </c>
      <c r="AP56">
        <v>569899</v>
      </c>
      <c r="AQ56">
        <v>1234460</v>
      </c>
      <c r="AR56" s="55" t="s">
        <v>396</v>
      </c>
    </row>
    <row r="57" spans="1:44" hidden="1" x14ac:dyDescent="0.2">
      <c r="A57" t="s">
        <v>346</v>
      </c>
      <c r="B57" t="s">
        <v>286</v>
      </c>
      <c r="C57" t="s">
        <v>287</v>
      </c>
      <c r="D57" t="s">
        <v>373</v>
      </c>
      <c r="E57" t="s">
        <v>368</v>
      </c>
      <c r="F57" t="s">
        <v>4</v>
      </c>
      <c r="G57" t="s">
        <v>3</v>
      </c>
      <c r="H57" t="s">
        <v>288</v>
      </c>
      <c r="I57" t="s">
        <v>291</v>
      </c>
      <c r="Y57">
        <v>214915</v>
      </c>
      <c r="Z57">
        <v>422739</v>
      </c>
      <c r="AA57">
        <v>667356</v>
      </c>
      <c r="AB57">
        <v>914882</v>
      </c>
      <c r="AC57">
        <v>1197800</v>
      </c>
      <c r="AD57">
        <v>1242070</v>
      </c>
      <c r="AE57">
        <v>1137180</v>
      </c>
      <c r="AF57">
        <v>1138160</v>
      </c>
      <c r="AG57">
        <v>1130580</v>
      </c>
      <c r="AH57">
        <v>1104300</v>
      </c>
      <c r="AI57">
        <v>1108490</v>
      </c>
      <c r="AJ57">
        <v>1086640</v>
      </c>
      <c r="AK57">
        <v>1143400</v>
      </c>
      <c r="AL57">
        <v>1135880</v>
      </c>
      <c r="AM57">
        <v>1077420</v>
      </c>
      <c r="AN57">
        <v>931769</v>
      </c>
      <c r="AO57">
        <v>801280</v>
      </c>
      <c r="AP57">
        <v>730345</v>
      </c>
      <c r="AQ57">
        <v>677477</v>
      </c>
      <c r="AR57" s="49"/>
    </row>
    <row r="58" spans="1:44" x14ac:dyDescent="0.2">
      <c r="A58" t="s">
        <v>347</v>
      </c>
      <c r="B58" t="s">
        <v>286</v>
      </c>
      <c r="C58" t="s">
        <v>287</v>
      </c>
      <c r="D58" t="s">
        <v>374</v>
      </c>
      <c r="E58" t="s">
        <v>372</v>
      </c>
      <c r="F58" t="s">
        <v>4</v>
      </c>
      <c r="G58" t="s">
        <v>3</v>
      </c>
      <c r="H58" t="s">
        <v>288</v>
      </c>
      <c r="I58" t="s">
        <v>299</v>
      </c>
      <c r="J58">
        <v>48734800</v>
      </c>
      <c r="K58">
        <v>56837100</v>
      </c>
      <c r="L58">
        <v>68194500</v>
      </c>
      <c r="M58">
        <v>78011900</v>
      </c>
      <c r="N58">
        <v>84044700</v>
      </c>
      <c r="O58">
        <v>88741900</v>
      </c>
      <c r="P58">
        <v>98593800</v>
      </c>
      <c r="Q58">
        <v>102809000</v>
      </c>
      <c r="R58">
        <v>106610000</v>
      </c>
      <c r="S58">
        <v>111795000</v>
      </c>
      <c r="T58">
        <v>118170000</v>
      </c>
      <c r="U58">
        <v>123949000</v>
      </c>
      <c r="V58">
        <v>132062000</v>
      </c>
      <c r="W58">
        <v>136713000</v>
      </c>
      <c r="X58">
        <v>140434000</v>
      </c>
      <c r="Y58">
        <v>142829000</v>
      </c>
      <c r="Z58">
        <v>143749000</v>
      </c>
      <c r="AA58">
        <v>143829000</v>
      </c>
      <c r="AB58">
        <v>144031000</v>
      </c>
      <c r="AC58">
        <v>143363000</v>
      </c>
      <c r="AD58">
        <v>141915000</v>
      </c>
      <c r="AE58">
        <v>138928000</v>
      </c>
      <c r="AF58">
        <v>135225000</v>
      </c>
      <c r="AG58">
        <v>130582000</v>
      </c>
      <c r="AH58">
        <v>125563000</v>
      </c>
      <c r="AI58">
        <v>120627000</v>
      </c>
      <c r="AJ58">
        <v>118235000</v>
      </c>
      <c r="AK58">
        <v>116973000</v>
      </c>
      <c r="AL58">
        <v>116428000</v>
      </c>
      <c r="AM58">
        <v>117117000</v>
      </c>
      <c r="AN58">
        <v>115621000</v>
      </c>
      <c r="AO58">
        <v>114356000</v>
      </c>
      <c r="AP58">
        <v>112950000</v>
      </c>
      <c r="AQ58">
        <v>111881000</v>
      </c>
      <c r="AR58" s="6" t="s">
        <v>24</v>
      </c>
    </row>
    <row r="59" spans="1:44" hidden="1" x14ac:dyDescent="0.2">
      <c r="A59" t="s">
        <v>348</v>
      </c>
      <c r="B59" t="s">
        <v>286</v>
      </c>
      <c r="C59" t="s">
        <v>287</v>
      </c>
      <c r="D59" t="s">
        <v>371</v>
      </c>
      <c r="E59" t="s">
        <v>372</v>
      </c>
      <c r="F59" t="s">
        <v>4</v>
      </c>
      <c r="G59" t="s">
        <v>3</v>
      </c>
      <c r="H59" t="s">
        <v>288</v>
      </c>
      <c r="I59" t="s">
        <v>289</v>
      </c>
      <c r="J59">
        <v>345983000</v>
      </c>
      <c r="K59">
        <v>419318000</v>
      </c>
      <c r="L59">
        <v>533408000</v>
      </c>
      <c r="M59">
        <v>666019000</v>
      </c>
      <c r="N59">
        <v>767022000</v>
      </c>
      <c r="O59">
        <v>861063000</v>
      </c>
      <c r="P59">
        <v>991509000</v>
      </c>
      <c r="Q59">
        <v>1173640000</v>
      </c>
      <c r="R59">
        <v>1406080000</v>
      </c>
      <c r="S59">
        <v>1690170000</v>
      </c>
      <c r="T59">
        <v>1858400000</v>
      </c>
      <c r="U59">
        <v>2023290000</v>
      </c>
      <c r="V59">
        <v>2068090000</v>
      </c>
      <c r="W59">
        <v>2132750000</v>
      </c>
      <c r="X59">
        <v>2229060000</v>
      </c>
      <c r="Y59">
        <v>2177320000</v>
      </c>
      <c r="Z59">
        <v>2047190000</v>
      </c>
      <c r="AA59">
        <v>2027220000</v>
      </c>
      <c r="AB59">
        <v>1998600000</v>
      </c>
      <c r="AC59">
        <v>1882130000</v>
      </c>
      <c r="AD59">
        <v>1849190000</v>
      </c>
      <c r="AE59">
        <v>1824210000</v>
      </c>
      <c r="AF59">
        <v>1781980000</v>
      </c>
      <c r="AG59">
        <v>1739130000</v>
      </c>
      <c r="AH59">
        <v>1734520000</v>
      </c>
      <c r="AI59">
        <v>1760780000</v>
      </c>
      <c r="AJ59">
        <v>1829500000</v>
      </c>
      <c r="AK59">
        <v>1885280000</v>
      </c>
      <c r="AL59">
        <v>1916830000</v>
      </c>
      <c r="AM59">
        <v>1963150000</v>
      </c>
      <c r="AN59">
        <v>1906830000</v>
      </c>
      <c r="AO59">
        <v>1987200000</v>
      </c>
      <c r="AP59">
        <v>2014510000</v>
      </c>
      <c r="AQ59">
        <v>2011880000</v>
      </c>
      <c r="AR59" s="53" t="s">
        <v>18</v>
      </c>
    </row>
    <row r="60" spans="1:44" hidden="1" x14ac:dyDescent="0.2">
      <c r="A60" t="s">
        <v>349</v>
      </c>
      <c r="B60" t="s">
        <v>286</v>
      </c>
      <c r="C60" t="s">
        <v>287</v>
      </c>
      <c r="D60" t="s">
        <v>369</v>
      </c>
      <c r="E60" t="s">
        <v>370</v>
      </c>
      <c r="F60" t="s">
        <v>4</v>
      </c>
      <c r="G60" t="s">
        <v>3</v>
      </c>
      <c r="H60" t="s">
        <v>288</v>
      </c>
      <c r="I60" t="s">
        <v>289</v>
      </c>
      <c r="J60">
        <v>1544600000</v>
      </c>
      <c r="K60">
        <v>1569640000</v>
      </c>
      <c r="L60">
        <v>1593510000</v>
      </c>
      <c r="M60">
        <v>1518960000</v>
      </c>
      <c r="N60">
        <v>1462070000</v>
      </c>
      <c r="O60">
        <v>1457820000</v>
      </c>
      <c r="P60">
        <v>1382420000</v>
      </c>
      <c r="Q60">
        <v>1341410000</v>
      </c>
      <c r="R60">
        <v>1302520000</v>
      </c>
      <c r="S60">
        <v>1338170000</v>
      </c>
      <c r="T60">
        <v>1261710000</v>
      </c>
      <c r="U60">
        <v>1221610000</v>
      </c>
      <c r="V60">
        <v>1211590000</v>
      </c>
      <c r="W60">
        <v>1202630000</v>
      </c>
      <c r="X60">
        <v>1205520000</v>
      </c>
      <c r="Y60">
        <v>1194220000</v>
      </c>
      <c r="Z60">
        <v>1224680000</v>
      </c>
      <c r="AA60">
        <v>1261710000</v>
      </c>
      <c r="AB60">
        <v>1295730000</v>
      </c>
      <c r="AC60">
        <v>1282530000</v>
      </c>
      <c r="AD60">
        <v>1297490000</v>
      </c>
      <c r="AE60">
        <v>1302530000</v>
      </c>
      <c r="AF60">
        <v>1298710000</v>
      </c>
      <c r="AG60">
        <v>1232950000</v>
      </c>
      <c r="AH60">
        <v>1241320000</v>
      </c>
      <c r="AI60">
        <v>1301320000</v>
      </c>
      <c r="AJ60">
        <v>1382470000</v>
      </c>
      <c r="AK60">
        <v>1411980000</v>
      </c>
      <c r="AL60">
        <v>1430980000</v>
      </c>
      <c r="AM60">
        <v>1439360000</v>
      </c>
      <c r="AN60">
        <v>1433550000</v>
      </c>
      <c r="AO60">
        <v>1456300000</v>
      </c>
      <c r="AP60">
        <v>1502460000</v>
      </c>
      <c r="AQ60">
        <v>1464370000</v>
      </c>
      <c r="AR60" s="55" t="s">
        <v>403</v>
      </c>
    </row>
    <row r="61" spans="1:44" hidden="1" x14ac:dyDescent="0.2">
      <c r="A61" t="s">
        <v>350</v>
      </c>
      <c r="B61" t="s">
        <v>286</v>
      </c>
      <c r="C61" t="s">
        <v>287</v>
      </c>
      <c r="D61" t="s">
        <v>377</v>
      </c>
      <c r="E61" t="s">
        <v>372</v>
      </c>
      <c r="F61" t="s">
        <v>4</v>
      </c>
      <c r="G61" t="s">
        <v>3</v>
      </c>
      <c r="H61" t="s">
        <v>288</v>
      </c>
      <c r="I61" t="s">
        <v>294</v>
      </c>
      <c r="J61">
        <v>869656000</v>
      </c>
      <c r="K61">
        <v>927732000</v>
      </c>
      <c r="L61">
        <v>913024000</v>
      </c>
      <c r="M61">
        <v>830855000</v>
      </c>
      <c r="N61">
        <v>794450000</v>
      </c>
      <c r="O61">
        <v>742920000</v>
      </c>
      <c r="P61">
        <v>738183000</v>
      </c>
      <c r="Q61">
        <v>746229000</v>
      </c>
      <c r="R61">
        <v>731744000</v>
      </c>
      <c r="S61">
        <v>696248000</v>
      </c>
      <c r="T61">
        <v>708232000</v>
      </c>
      <c r="U61">
        <v>697960000</v>
      </c>
      <c r="V61">
        <v>645372000</v>
      </c>
      <c r="W61">
        <v>576395000</v>
      </c>
      <c r="X61">
        <v>513782000</v>
      </c>
      <c r="Y61">
        <v>423689000</v>
      </c>
      <c r="Z61">
        <v>390557000</v>
      </c>
      <c r="AA61">
        <v>357390000</v>
      </c>
      <c r="AB61">
        <v>336234000</v>
      </c>
      <c r="AC61">
        <v>310938000</v>
      </c>
      <c r="AD61">
        <v>284694000</v>
      </c>
      <c r="AE61">
        <v>258795000</v>
      </c>
      <c r="AF61">
        <v>242879000</v>
      </c>
      <c r="AG61">
        <v>228896000</v>
      </c>
      <c r="AH61">
        <v>210178000</v>
      </c>
      <c r="AI61">
        <v>195628000</v>
      </c>
      <c r="AJ61">
        <v>180613000</v>
      </c>
      <c r="AK61">
        <v>165777000</v>
      </c>
      <c r="AL61">
        <v>155478000</v>
      </c>
      <c r="AM61">
        <v>139587000</v>
      </c>
      <c r="AN61">
        <v>104550000</v>
      </c>
      <c r="AO61">
        <v>103499000</v>
      </c>
      <c r="AP61">
        <v>101717000</v>
      </c>
      <c r="AQ61">
        <v>98796400</v>
      </c>
      <c r="AR61" s="54" t="s">
        <v>12</v>
      </c>
    </row>
    <row r="62" spans="1:44" hidden="1" x14ac:dyDescent="0.2">
      <c r="A62" t="s">
        <v>351</v>
      </c>
      <c r="B62" t="s">
        <v>286</v>
      </c>
      <c r="C62" t="s">
        <v>287</v>
      </c>
      <c r="D62" t="s">
        <v>376</v>
      </c>
      <c r="E62" t="s">
        <v>370</v>
      </c>
      <c r="F62" t="s">
        <v>4</v>
      </c>
      <c r="G62" t="s">
        <v>3</v>
      </c>
      <c r="H62" t="s">
        <v>288</v>
      </c>
      <c r="I62" t="s">
        <v>299</v>
      </c>
      <c r="O62">
        <v>31578.2</v>
      </c>
      <c r="P62">
        <v>68013.600000000006</v>
      </c>
      <c r="Q62">
        <v>170687</v>
      </c>
      <c r="R62">
        <v>270251</v>
      </c>
      <c r="S62">
        <v>364623</v>
      </c>
      <c r="T62">
        <v>446553</v>
      </c>
      <c r="U62">
        <v>520446</v>
      </c>
      <c r="V62">
        <v>604907</v>
      </c>
      <c r="W62">
        <v>633713</v>
      </c>
      <c r="X62">
        <v>654503</v>
      </c>
      <c r="Y62">
        <v>668658</v>
      </c>
      <c r="Z62">
        <v>682716</v>
      </c>
      <c r="AA62">
        <v>686332</v>
      </c>
      <c r="AB62">
        <v>788168</v>
      </c>
      <c r="AC62">
        <v>857491</v>
      </c>
      <c r="AD62">
        <v>1031070</v>
      </c>
      <c r="AE62">
        <v>1022760</v>
      </c>
      <c r="AF62">
        <v>995532</v>
      </c>
      <c r="AG62">
        <v>951046</v>
      </c>
      <c r="AH62">
        <v>928805</v>
      </c>
      <c r="AI62">
        <v>880711</v>
      </c>
      <c r="AJ62">
        <v>837988</v>
      </c>
      <c r="AK62">
        <v>817811</v>
      </c>
      <c r="AL62">
        <v>794930</v>
      </c>
      <c r="AM62">
        <v>769653</v>
      </c>
      <c r="AN62">
        <v>750169</v>
      </c>
      <c r="AO62">
        <v>755318</v>
      </c>
      <c r="AP62">
        <v>760296</v>
      </c>
      <c r="AQ62">
        <v>748015</v>
      </c>
      <c r="AR62" s="6" t="s">
        <v>29</v>
      </c>
    </row>
    <row r="63" spans="1:44" hidden="1" x14ac:dyDescent="0.2">
      <c r="A63" t="s">
        <v>352</v>
      </c>
      <c r="B63" t="s">
        <v>286</v>
      </c>
      <c r="C63" t="s">
        <v>287</v>
      </c>
      <c r="D63" t="s">
        <v>378</v>
      </c>
      <c r="E63" t="s">
        <v>368</v>
      </c>
      <c r="F63" t="s">
        <v>4</v>
      </c>
      <c r="G63" t="s">
        <v>3</v>
      </c>
      <c r="H63" t="s">
        <v>288</v>
      </c>
      <c r="I63" t="s">
        <v>299</v>
      </c>
      <c r="J63">
        <v>82259700</v>
      </c>
      <c r="K63">
        <v>82923900</v>
      </c>
      <c r="L63">
        <v>82632300</v>
      </c>
      <c r="M63">
        <v>81090100</v>
      </c>
      <c r="N63">
        <v>80149100</v>
      </c>
      <c r="O63">
        <v>78976400</v>
      </c>
      <c r="P63">
        <v>77972800</v>
      </c>
      <c r="Q63">
        <v>78042100</v>
      </c>
      <c r="R63">
        <v>77561700</v>
      </c>
      <c r="S63">
        <v>75383900</v>
      </c>
      <c r="T63">
        <v>71550800</v>
      </c>
      <c r="U63">
        <v>68365800</v>
      </c>
      <c r="V63">
        <v>64723600</v>
      </c>
      <c r="W63">
        <v>60296600</v>
      </c>
      <c r="X63">
        <v>51573600</v>
      </c>
      <c r="Y63">
        <v>51153900</v>
      </c>
      <c r="Z63">
        <v>51654400</v>
      </c>
      <c r="AA63">
        <v>55197100</v>
      </c>
      <c r="AB63">
        <v>60263400</v>
      </c>
      <c r="AC63">
        <v>66616600</v>
      </c>
      <c r="AD63">
        <v>61336500</v>
      </c>
      <c r="AE63">
        <v>61709800</v>
      </c>
      <c r="AF63">
        <v>60621100</v>
      </c>
      <c r="AG63">
        <v>58690300</v>
      </c>
      <c r="AH63">
        <v>58016100</v>
      </c>
      <c r="AI63">
        <v>56507900</v>
      </c>
      <c r="AJ63">
        <v>55577800</v>
      </c>
      <c r="AK63">
        <v>56522300</v>
      </c>
      <c r="AL63">
        <v>55333000</v>
      </c>
      <c r="AM63">
        <v>52832000</v>
      </c>
      <c r="AN63">
        <v>50769900</v>
      </c>
      <c r="AO63">
        <v>49433600</v>
      </c>
      <c r="AP63">
        <v>46040700</v>
      </c>
      <c r="AQ63">
        <v>41805500</v>
      </c>
      <c r="AR63" s="6" t="s">
        <v>27</v>
      </c>
    </row>
    <row r="64" spans="1:44" hidden="1" x14ac:dyDescent="0.2">
      <c r="A64" t="s">
        <v>353</v>
      </c>
      <c r="B64" t="s">
        <v>286</v>
      </c>
      <c r="C64" t="s">
        <v>287</v>
      </c>
      <c r="D64" t="s">
        <v>367</v>
      </c>
      <c r="E64" t="s">
        <v>370</v>
      </c>
      <c r="F64" t="s">
        <v>4</v>
      </c>
      <c r="G64" t="s">
        <v>3</v>
      </c>
      <c r="H64" t="s">
        <v>288</v>
      </c>
      <c r="I64" t="s">
        <v>289</v>
      </c>
      <c r="J64">
        <v>46235700</v>
      </c>
      <c r="K64">
        <v>42540300</v>
      </c>
      <c r="L64">
        <v>42481500</v>
      </c>
      <c r="M64">
        <v>37479900</v>
      </c>
      <c r="N64">
        <v>35918500</v>
      </c>
      <c r="O64">
        <v>46620000</v>
      </c>
      <c r="P64">
        <v>45586300</v>
      </c>
      <c r="Q64">
        <v>40915000</v>
      </c>
      <c r="R64">
        <v>46240000</v>
      </c>
      <c r="S64">
        <v>49816200</v>
      </c>
      <c r="T64">
        <v>56298900</v>
      </c>
      <c r="U64">
        <v>58669400</v>
      </c>
      <c r="V64">
        <v>53578000</v>
      </c>
      <c r="W64">
        <v>49283000</v>
      </c>
      <c r="X64">
        <v>49031000</v>
      </c>
      <c r="Y64">
        <v>46924400</v>
      </c>
      <c r="Z64">
        <v>45626800</v>
      </c>
      <c r="AA64">
        <v>45235300</v>
      </c>
      <c r="AB64">
        <v>44996000</v>
      </c>
      <c r="AC64">
        <v>42831100</v>
      </c>
      <c r="AD64">
        <v>40883600</v>
      </c>
      <c r="AE64">
        <v>39967000</v>
      </c>
      <c r="AF64">
        <v>40748700</v>
      </c>
      <c r="AG64">
        <v>37265400</v>
      </c>
      <c r="AH64">
        <v>36857000</v>
      </c>
      <c r="AI64">
        <v>37154900</v>
      </c>
      <c r="AJ64">
        <v>37509400</v>
      </c>
      <c r="AK64">
        <v>39846500</v>
      </c>
      <c r="AL64">
        <v>41265100</v>
      </c>
      <c r="AM64">
        <v>37675400</v>
      </c>
      <c r="AN64">
        <v>14483900</v>
      </c>
      <c r="AO64">
        <v>15820700</v>
      </c>
      <c r="AP64">
        <v>22466300</v>
      </c>
      <c r="AQ64">
        <v>24513600</v>
      </c>
      <c r="AR64" s="6" t="s">
        <v>35</v>
      </c>
    </row>
    <row r="65" spans="1:44" hidden="1" x14ac:dyDescent="0.2">
      <c r="A65" t="s">
        <v>354</v>
      </c>
      <c r="B65" t="s">
        <v>286</v>
      </c>
      <c r="C65" t="s">
        <v>287</v>
      </c>
      <c r="D65" t="s">
        <v>377</v>
      </c>
      <c r="E65" t="s">
        <v>368</v>
      </c>
      <c r="F65" t="s">
        <v>4</v>
      </c>
      <c r="G65" t="s">
        <v>3</v>
      </c>
      <c r="H65" t="s">
        <v>288</v>
      </c>
      <c r="I65" t="s">
        <v>294</v>
      </c>
      <c r="J65">
        <v>671173000</v>
      </c>
      <c r="K65">
        <v>530590000</v>
      </c>
      <c r="L65">
        <v>513832000</v>
      </c>
      <c r="M65">
        <v>447963000</v>
      </c>
      <c r="N65">
        <v>421149000</v>
      </c>
      <c r="O65">
        <v>414831000</v>
      </c>
      <c r="P65">
        <v>389444000</v>
      </c>
      <c r="Q65">
        <v>364773000</v>
      </c>
      <c r="R65">
        <v>332650000</v>
      </c>
      <c r="S65">
        <v>299286000</v>
      </c>
      <c r="T65">
        <v>291206000</v>
      </c>
      <c r="U65">
        <v>258219000</v>
      </c>
      <c r="V65">
        <v>237618000</v>
      </c>
      <c r="W65">
        <v>214562000</v>
      </c>
      <c r="X65">
        <v>194920000</v>
      </c>
      <c r="Y65">
        <v>168314000</v>
      </c>
      <c r="Z65">
        <v>162535000</v>
      </c>
      <c r="AA65">
        <v>155886000</v>
      </c>
      <c r="AB65">
        <v>153797000</v>
      </c>
      <c r="AC65">
        <v>149239000</v>
      </c>
      <c r="AD65">
        <v>137983000</v>
      </c>
      <c r="AE65">
        <v>127267000</v>
      </c>
      <c r="AF65">
        <v>120218000</v>
      </c>
      <c r="AG65">
        <v>113074000</v>
      </c>
      <c r="AH65">
        <v>105885000</v>
      </c>
      <c r="AI65">
        <v>98484700</v>
      </c>
      <c r="AJ65">
        <v>91807400</v>
      </c>
      <c r="AK65">
        <v>85169900</v>
      </c>
      <c r="AL65">
        <v>73110000</v>
      </c>
      <c r="AM65">
        <v>65709200</v>
      </c>
      <c r="AN65">
        <v>49377300</v>
      </c>
      <c r="AO65">
        <v>48769400</v>
      </c>
      <c r="AP65">
        <v>47929800</v>
      </c>
      <c r="AQ65">
        <v>46671800</v>
      </c>
      <c r="AR65" s="5" t="s">
        <v>11</v>
      </c>
    </row>
    <row r="66" spans="1:44" x14ac:dyDescent="0.2">
      <c r="A66" t="s">
        <v>355</v>
      </c>
      <c r="B66" t="s">
        <v>286</v>
      </c>
      <c r="C66" t="s">
        <v>287</v>
      </c>
      <c r="D66" t="s">
        <v>374</v>
      </c>
      <c r="E66" t="s">
        <v>370</v>
      </c>
      <c r="F66" t="s">
        <v>4</v>
      </c>
      <c r="G66" t="s">
        <v>3</v>
      </c>
      <c r="H66" t="s">
        <v>288</v>
      </c>
      <c r="I66" t="s">
        <v>299</v>
      </c>
      <c r="J66">
        <v>38988400</v>
      </c>
      <c r="K66">
        <v>45414400</v>
      </c>
      <c r="L66">
        <v>54407500</v>
      </c>
      <c r="M66">
        <v>62137100</v>
      </c>
      <c r="N66">
        <v>66847000</v>
      </c>
      <c r="O66">
        <v>70490300</v>
      </c>
      <c r="P66">
        <v>78210800</v>
      </c>
      <c r="Q66">
        <v>81480400</v>
      </c>
      <c r="R66">
        <v>84451500</v>
      </c>
      <c r="S66">
        <v>88186500</v>
      </c>
      <c r="T66">
        <v>92583400</v>
      </c>
      <c r="U66">
        <v>96607700</v>
      </c>
      <c r="V66">
        <v>102517000</v>
      </c>
      <c r="W66">
        <v>105871000</v>
      </c>
      <c r="X66">
        <v>108610000</v>
      </c>
      <c r="Y66">
        <v>110331000</v>
      </c>
      <c r="Z66">
        <v>111221000</v>
      </c>
      <c r="AA66">
        <v>112264000</v>
      </c>
      <c r="AB66">
        <v>113991000</v>
      </c>
      <c r="AC66">
        <v>114878000</v>
      </c>
      <c r="AD66">
        <v>114900000</v>
      </c>
      <c r="AE66">
        <v>113739000</v>
      </c>
      <c r="AF66">
        <v>111874000</v>
      </c>
      <c r="AG66">
        <v>109045000</v>
      </c>
      <c r="AH66">
        <v>105838000</v>
      </c>
      <c r="AI66">
        <v>102722000</v>
      </c>
      <c r="AJ66">
        <v>101781000</v>
      </c>
      <c r="AK66">
        <v>101336000</v>
      </c>
      <c r="AL66">
        <v>100600000</v>
      </c>
      <c r="AM66">
        <v>101272000</v>
      </c>
      <c r="AN66">
        <v>100008000</v>
      </c>
      <c r="AO66">
        <v>98905700</v>
      </c>
      <c r="AP66">
        <v>97721700</v>
      </c>
      <c r="AQ66">
        <v>96658900</v>
      </c>
      <c r="AR66" s="6" t="s">
        <v>25</v>
      </c>
    </row>
    <row r="67" spans="1:44" hidden="1" x14ac:dyDescent="0.2">
      <c r="A67" t="s">
        <v>356</v>
      </c>
      <c r="B67" t="s">
        <v>286</v>
      </c>
      <c r="C67" t="s">
        <v>287</v>
      </c>
      <c r="D67" t="s">
        <v>367</v>
      </c>
      <c r="E67" t="s">
        <v>372</v>
      </c>
      <c r="F67" t="s">
        <v>4</v>
      </c>
      <c r="G67" t="s">
        <v>3</v>
      </c>
      <c r="H67" t="s">
        <v>288</v>
      </c>
      <c r="I67" t="s">
        <v>291</v>
      </c>
      <c r="Y67">
        <v>12079.5</v>
      </c>
      <c r="Z67">
        <v>23699.200000000001</v>
      </c>
      <c r="AA67">
        <v>35558.800000000003</v>
      </c>
      <c r="AB67">
        <v>47586</v>
      </c>
      <c r="AC67">
        <v>57135</v>
      </c>
      <c r="AD67">
        <v>76544.399999999994</v>
      </c>
      <c r="AE67">
        <v>85914.2</v>
      </c>
      <c r="AF67">
        <v>97147.199999999997</v>
      </c>
      <c r="AG67">
        <v>98868.2</v>
      </c>
      <c r="AH67">
        <v>105060</v>
      </c>
      <c r="AI67">
        <v>114365</v>
      </c>
      <c r="AJ67">
        <v>122145</v>
      </c>
      <c r="AK67">
        <v>135815</v>
      </c>
      <c r="AL67">
        <v>144007</v>
      </c>
      <c r="AM67">
        <v>138705</v>
      </c>
      <c r="AN67">
        <v>55207.8</v>
      </c>
      <c r="AO67">
        <v>62097.4</v>
      </c>
      <c r="AP67">
        <v>89939.8</v>
      </c>
      <c r="AQ67">
        <v>100334</v>
      </c>
      <c r="AR67" s="49"/>
    </row>
    <row r="68" spans="1:44" hidden="1" x14ac:dyDescent="0.2">
      <c r="A68" t="s">
        <v>357</v>
      </c>
      <c r="B68" t="s">
        <v>286</v>
      </c>
      <c r="C68" t="s">
        <v>287</v>
      </c>
      <c r="D68" t="s">
        <v>369</v>
      </c>
      <c r="E68" t="s">
        <v>368</v>
      </c>
      <c r="F68" t="s">
        <v>4</v>
      </c>
      <c r="G68" t="s">
        <v>3</v>
      </c>
      <c r="H68" t="s">
        <v>288</v>
      </c>
      <c r="I68" t="s">
        <v>289</v>
      </c>
      <c r="J68">
        <v>1484300000</v>
      </c>
      <c r="K68">
        <v>1501590000</v>
      </c>
      <c r="L68">
        <v>1516780000</v>
      </c>
      <c r="M68">
        <v>1434990000</v>
      </c>
      <c r="N68">
        <v>1370930000</v>
      </c>
      <c r="O68">
        <v>1352090000</v>
      </c>
      <c r="P68">
        <v>1262710000</v>
      </c>
      <c r="Q68">
        <v>1206570000</v>
      </c>
      <c r="R68">
        <v>1144330000</v>
      </c>
      <c r="S68">
        <v>1145610000</v>
      </c>
      <c r="T68">
        <v>1040570000</v>
      </c>
      <c r="U68">
        <v>976420000</v>
      </c>
      <c r="V68">
        <v>949091000</v>
      </c>
      <c r="W68">
        <v>927292000</v>
      </c>
      <c r="X68">
        <v>918650000</v>
      </c>
      <c r="Y68">
        <v>941003000</v>
      </c>
      <c r="Z68">
        <v>989094000</v>
      </c>
      <c r="AA68">
        <v>1036890000</v>
      </c>
      <c r="AB68">
        <v>1072440000</v>
      </c>
      <c r="AC68">
        <v>1067080000</v>
      </c>
      <c r="AD68">
        <v>1037470000</v>
      </c>
      <c r="AE68">
        <v>1017430000</v>
      </c>
      <c r="AF68">
        <v>980386000</v>
      </c>
      <c r="AG68">
        <v>901999000</v>
      </c>
      <c r="AH68">
        <v>864566000</v>
      </c>
      <c r="AI68">
        <v>872802000</v>
      </c>
      <c r="AJ68">
        <v>906963000</v>
      </c>
      <c r="AK68">
        <v>906776000</v>
      </c>
      <c r="AL68">
        <v>879990000</v>
      </c>
      <c r="AM68">
        <v>881713000</v>
      </c>
      <c r="AN68">
        <v>872150000</v>
      </c>
      <c r="AO68">
        <v>887052000</v>
      </c>
      <c r="AP68">
        <v>911874000</v>
      </c>
      <c r="AQ68">
        <v>892007000</v>
      </c>
      <c r="AR68" s="56" t="s">
        <v>401</v>
      </c>
    </row>
    <row r="69" spans="1:44" hidden="1" x14ac:dyDescent="0.2">
      <c r="A69" t="s">
        <v>358</v>
      </c>
      <c r="B69" t="s">
        <v>286</v>
      </c>
      <c r="C69" t="s">
        <v>287</v>
      </c>
      <c r="D69" t="s">
        <v>373</v>
      </c>
      <c r="E69" t="s">
        <v>372</v>
      </c>
      <c r="F69" t="s">
        <v>4</v>
      </c>
      <c r="G69" t="s">
        <v>3</v>
      </c>
      <c r="H69" t="s">
        <v>288</v>
      </c>
      <c r="I69" t="s">
        <v>294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1168.24</v>
      </c>
      <c r="W69">
        <v>0</v>
      </c>
      <c r="X69">
        <v>0</v>
      </c>
      <c r="Y69">
        <v>80944.7</v>
      </c>
      <c r="Z69">
        <v>153387</v>
      </c>
      <c r="AA69">
        <v>159301</v>
      </c>
      <c r="AB69">
        <v>223072</v>
      </c>
      <c r="AC69">
        <v>369476</v>
      </c>
      <c r="AD69">
        <v>626009</v>
      </c>
      <c r="AE69">
        <v>688478</v>
      </c>
      <c r="AF69">
        <v>696488</v>
      </c>
      <c r="AG69">
        <v>922891</v>
      </c>
      <c r="AH69">
        <v>875438</v>
      </c>
      <c r="AI69">
        <v>791648</v>
      </c>
      <c r="AJ69">
        <v>775067</v>
      </c>
      <c r="AK69">
        <v>761786</v>
      </c>
      <c r="AL69">
        <v>739152</v>
      </c>
      <c r="AM69">
        <v>722570</v>
      </c>
      <c r="AN69">
        <v>568531</v>
      </c>
      <c r="AO69">
        <v>633144</v>
      </c>
      <c r="AP69">
        <v>605534</v>
      </c>
      <c r="AQ69">
        <v>572765</v>
      </c>
      <c r="AR69" s="55" t="s">
        <v>412</v>
      </c>
    </row>
    <row r="70" spans="1:44" hidden="1" x14ac:dyDescent="0.2">
      <c r="A70" t="s">
        <v>359</v>
      </c>
      <c r="B70" t="s">
        <v>286</v>
      </c>
      <c r="C70" t="s">
        <v>287</v>
      </c>
      <c r="D70" t="s">
        <v>373</v>
      </c>
      <c r="E70" t="s">
        <v>370</v>
      </c>
      <c r="F70" t="s">
        <v>4</v>
      </c>
      <c r="G70" t="s">
        <v>3</v>
      </c>
      <c r="H70" t="s">
        <v>288</v>
      </c>
      <c r="I70" t="s">
        <v>291</v>
      </c>
      <c r="Y70">
        <v>62893.4</v>
      </c>
      <c r="Z70">
        <v>123721</v>
      </c>
      <c r="AA70">
        <v>195326</v>
      </c>
      <c r="AB70">
        <v>267793</v>
      </c>
      <c r="AC70">
        <v>350633</v>
      </c>
      <c r="AD70">
        <v>363591</v>
      </c>
      <c r="AE70">
        <v>332894</v>
      </c>
      <c r="AF70">
        <v>333165</v>
      </c>
      <c r="AG70">
        <v>330096</v>
      </c>
      <c r="AH70">
        <v>317427</v>
      </c>
      <c r="AI70">
        <v>317492</v>
      </c>
      <c r="AJ70">
        <v>307298</v>
      </c>
      <c r="AK70">
        <v>321173</v>
      </c>
      <c r="AL70">
        <v>318988</v>
      </c>
      <c r="AM70">
        <v>300737</v>
      </c>
      <c r="AN70">
        <v>257259</v>
      </c>
      <c r="AO70">
        <v>219547</v>
      </c>
      <c r="AP70">
        <v>199751</v>
      </c>
      <c r="AQ70">
        <v>184808</v>
      </c>
      <c r="AR70" s="49"/>
    </row>
    <row r="71" spans="1:44" hidden="1" x14ac:dyDescent="0.2">
      <c r="A71" t="s">
        <v>360</v>
      </c>
      <c r="B71" t="s">
        <v>286</v>
      </c>
      <c r="C71" t="s">
        <v>287</v>
      </c>
      <c r="D71" t="s">
        <v>377</v>
      </c>
      <c r="E71" t="s">
        <v>370</v>
      </c>
      <c r="F71" t="s">
        <v>4</v>
      </c>
      <c r="G71" t="s">
        <v>3</v>
      </c>
      <c r="H71" t="s">
        <v>288</v>
      </c>
      <c r="I71" t="s">
        <v>294</v>
      </c>
      <c r="J71">
        <v>794744000</v>
      </c>
      <c r="K71">
        <v>759813000</v>
      </c>
      <c r="L71">
        <v>742368000</v>
      </c>
      <c r="M71">
        <v>711126000</v>
      </c>
      <c r="N71">
        <v>674917000</v>
      </c>
      <c r="O71">
        <v>562993000</v>
      </c>
      <c r="P71">
        <v>564543000</v>
      </c>
      <c r="Q71">
        <v>545090000</v>
      </c>
      <c r="R71">
        <v>512102000</v>
      </c>
      <c r="S71">
        <v>473026000</v>
      </c>
      <c r="T71">
        <v>468595000</v>
      </c>
      <c r="U71">
        <v>414173000</v>
      </c>
      <c r="V71">
        <v>380674000</v>
      </c>
      <c r="W71">
        <v>341623000</v>
      </c>
      <c r="X71">
        <v>307849000</v>
      </c>
      <c r="Y71">
        <v>268102000</v>
      </c>
      <c r="Z71">
        <v>261051000</v>
      </c>
      <c r="AA71">
        <v>252407000</v>
      </c>
      <c r="AB71">
        <v>251001000</v>
      </c>
      <c r="AC71">
        <v>245457000</v>
      </c>
      <c r="AD71">
        <v>225449000</v>
      </c>
      <c r="AE71">
        <v>205522000</v>
      </c>
      <c r="AF71">
        <v>193268000</v>
      </c>
      <c r="AG71">
        <v>182002000</v>
      </c>
      <c r="AH71">
        <v>167239000</v>
      </c>
      <c r="AI71">
        <v>155431000</v>
      </c>
      <c r="AJ71">
        <v>143792000</v>
      </c>
      <c r="AK71">
        <v>132046000</v>
      </c>
      <c r="AL71">
        <v>123598000</v>
      </c>
      <c r="AM71">
        <v>111006000</v>
      </c>
      <c r="AN71">
        <v>83267300</v>
      </c>
      <c r="AO71">
        <v>82324200</v>
      </c>
      <c r="AP71">
        <v>80896200</v>
      </c>
      <c r="AQ71">
        <v>78630900</v>
      </c>
      <c r="AR71" s="5" t="s">
        <v>13</v>
      </c>
    </row>
    <row r="72" spans="1:44" hidden="1" x14ac:dyDescent="0.2">
      <c r="A72" t="s">
        <v>361</v>
      </c>
      <c r="B72" t="s">
        <v>286</v>
      </c>
      <c r="C72" t="s">
        <v>287</v>
      </c>
      <c r="D72" t="s">
        <v>377</v>
      </c>
      <c r="E72" t="s">
        <v>368</v>
      </c>
      <c r="F72" t="s">
        <v>4</v>
      </c>
      <c r="G72" t="s">
        <v>3</v>
      </c>
      <c r="H72" t="s">
        <v>288</v>
      </c>
      <c r="I72" t="s">
        <v>289</v>
      </c>
      <c r="J72">
        <v>782947000</v>
      </c>
      <c r="K72">
        <v>650462000</v>
      </c>
      <c r="L72">
        <v>669125000</v>
      </c>
      <c r="M72">
        <v>616678000</v>
      </c>
      <c r="N72">
        <v>627958000</v>
      </c>
      <c r="O72">
        <v>688462000</v>
      </c>
      <c r="P72">
        <v>676836000</v>
      </c>
      <c r="Q72">
        <v>676218000</v>
      </c>
      <c r="R72">
        <v>692943000</v>
      </c>
      <c r="S72">
        <v>734420000</v>
      </c>
      <c r="T72">
        <v>727227000</v>
      </c>
      <c r="U72">
        <v>728268000</v>
      </c>
      <c r="V72">
        <v>772935000</v>
      </c>
      <c r="W72">
        <v>815509000</v>
      </c>
      <c r="X72">
        <v>859001000</v>
      </c>
      <c r="Y72">
        <v>899689000</v>
      </c>
      <c r="Z72">
        <v>961110000</v>
      </c>
      <c r="AA72">
        <v>1019090000</v>
      </c>
      <c r="AB72">
        <v>1044060000</v>
      </c>
      <c r="AC72">
        <v>1053220000</v>
      </c>
      <c r="AD72">
        <v>1047430000</v>
      </c>
      <c r="AE72">
        <v>1028720000</v>
      </c>
      <c r="AF72">
        <v>1013020000</v>
      </c>
      <c r="AG72">
        <v>988494000</v>
      </c>
      <c r="AH72">
        <v>975835000</v>
      </c>
      <c r="AI72">
        <v>989207000</v>
      </c>
      <c r="AJ72">
        <v>996306000</v>
      </c>
      <c r="AK72">
        <v>992819000</v>
      </c>
      <c r="AL72">
        <v>952322000</v>
      </c>
      <c r="AM72">
        <v>882182000</v>
      </c>
      <c r="AN72">
        <v>643159000</v>
      </c>
      <c r="AO72">
        <v>605830000</v>
      </c>
      <c r="AP72">
        <v>577801000</v>
      </c>
      <c r="AQ72">
        <v>502548000</v>
      </c>
      <c r="AR72" s="48" t="s">
        <v>8</v>
      </c>
    </row>
    <row r="73" spans="1:44" hidden="1" x14ac:dyDescent="0.2">
      <c r="A73" t="s">
        <v>362</v>
      </c>
      <c r="B73" t="s">
        <v>286</v>
      </c>
      <c r="C73" t="s">
        <v>287</v>
      </c>
      <c r="D73" t="s">
        <v>367</v>
      </c>
      <c r="E73" t="s">
        <v>370</v>
      </c>
      <c r="F73" t="s">
        <v>4</v>
      </c>
      <c r="G73" t="s">
        <v>3</v>
      </c>
      <c r="H73" t="s">
        <v>288</v>
      </c>
      <c r="I73" t="s">
        <v>291</v>
      </c>
      <c r="Y73">
        <v>12587.4</v>
      </c>
      <c r="Z73">
        <v>24685.1</v>
      </c>
      <c r="AA73">
        <v>37022.400000000001</v>
      </c>
      <c r="AB73">
        <v>49523.6</v>
      </c>
      <c r="AC73">
        <v>59436.2</v>
      </c>
      <c r="AD73">
        <v>79627.399999999994</v>
      </c>
      <c r="AE73">
        <v>89374.5</v>
      </c>
      <c r="AF73">
        <v>101060</v>
      </c>
      <c r="AG73">
        <v>102967</v>
      </c>
      <c r="AH73">
        <v>110755</v>
      </c>
      <c r="AI73">
        <v>122745</v>
      </c>
      <c r="AJ73">
        <v>132717</v>
      </c>
      <c r="AK73">
        <v>148800</v>
      </c>
      <c r="AL73">
        <v>158622</v>
      </c>
      <c r="AM73">
        <v>153575</v>
      </c>
      <c r="AN73">
        <v>61271</v>
      </c>
      <c r="AO73">
        <v>69032.3</v>
      </c>
      <c r="AP73">
        <v>100736</v>
      </c>
      <c r="AQ73">
        <v>112871</v>
      </c>
      <c r="AR73" s="49"/>
    </row>
    <row r="74" spans="1:44" hidden="1" x14ac:dyDescent="0.2">
      <c r="I74" s="46" t="s">
        <v>363</v>
      </c>
      <c r="J74" s="46">
        <f>SUM(J4:J73)</f>
        <v>23985847409.199997</v>
      </c>
      <c r="K74" s="46">
        <f t="shared" ref="K74:AQ74" si="0">SUM(K4:K73)</f>
        <v>24171171795.599998</v>
      </c>
      <c r="L74" s="46">
        <f t="shared" si="0"/>
        <v>25335500742.299999</v>
      </c>
      <c r="M74" s="46">
        <f t="shared" si="0"/>
        <v>25304518995.199997</v>
      </c>
      <c r="N74" s="46">
        <f t="shared" si="0"/>
        <v>25637317745.899998</v>
      </c>
      <c r="O74" s="46">
        <f t="shared" si="0"/>
        <v>25625244140.700001</v>
      </c>
      <c r="P74" s="46">
        <f t="shared" si="0"/>
        <v>25884572402.699997</v>
      </c>
      <c r="Q74" s="46">
        <f t="shared" si="0"/>
        <v>26414455036</v>
      </c>
      <c r="R74" s="46">
        <f t="shared" si="0"/>
        <v>27081052596.300003</v>
      </c>
      <c r="S74" s="46">
        <f t="shared" si="0"/>
        <v>28394128503.400002</v>
      </c>
      <c r="T74" s="46">
        <f t="shared" si="0"/>
        <v>28404800154.700001</v>
      </c>
      <c r="U74" s="46">
        <f t="shared" si="0"/>
        <v>28708283053</v>
      </c>
      <c r="V74" s="46">
        <f t="shared" si="0"/>
        <v>29133728364.540001</v>
      </c>
      <c r="W74" s="46">
        <f t="shared" si="0"/>
        <v>29403482591.830002</v>
      </c>
      <c r="X74" s="46">
        <f t="shared" si="0"/>
        <v>30055628434.100002</v>
      </c>
      <c r="Y74" s="46">
        <f t="shared" si="0"/>
        <v>29266088357.034004</v>
      </c>
      <c r="Z74" s="46">
        <f t="shared" si="0"/>
        <v>29030270114.885002</v>
      </c>
      <c r="AA74" s="46">
        <f t="shared" si="0"/>
        <v>29203408080.629002</v>
      </c>
      <c r="AB74" s="46">
        <f t="shared" si="0"/>
        <v>28867305103.691002</v>
      </c>
      <c r="AC74" s="46">
        <f t="shared" si="0"/>
        <v>28374159078.491001</v>
      </c>
      <c r="AD74" s="46">
        <f t="shared" si="0"/>
        <v>28199085503.84</v>
      </c>
      <c r="AE74" s="46">
        <f t="shared" si="0"/>
        <v>27912459906.049995</v>
      </c>
      <c r="AF74" s="46">
        <f t="shared" si="0"/>
        <v>27524234677.490002</v>
      </c>
      <c r="AG74" s="46">
        <f t="shared" si="0"/>
        <v>26956417550.310001</v>
      </c>
      <c r="AH74" s="46">
        <f t="shared" si="0"/>
        <v>26856986938.510002</v>
      </c>
      <c r="AI74" s="46">
        <f t="shared" si="0"/>
        <v>27240943716.831001</v>
      </c>
      <c r="AJ74" s="46">
        <f t="shared" si="0"/>
        <v>28032215939.394997</v>
      </c>
      <c r="AK74" s="46">
        <f t="shared" si="0"/>
        <v>28383581036.734001</v>
      </c>
      <c r="AL74" s="46">
        <f t="shared" si="0"/>
        <v>28677026669.646</v>
      </c>
      <c r="AM74" s="46">
        <f t="shared" si="0"/>
        <v>28541843417.044998</v>
      </c>
      <c r="AN74" s="46">
        <f t="shared" si="0"/>
        <v>25381258659.619999</v>
      </c>
      <c r="AO74" s="46">
        <f t="shared" si="0"/>
        <v>26205183777.59</v>
      </c>
      <c r="AP74" s="46">
        <f t="shared" si="0"/>
        <v>26966552793.960003</v>
      </c>
      <c r="AQ74" s="46">
        <f t="shared" si="0"/>
        <v>27065741369.260002</v>
      </c>
    </row>
    <row r="75" spans="1:44" hidden="1" x14ac:dyDescent="0.2">
      <c r="I75" s="46" t="s">
        <v>364</v>
      </c>
      <c r="J75" s="46">
        <v>23985853826.546577</v>
      </c>
      <c r="K75" s="46"/>
      <c r="L75" s="46"/>
      <c r="M75" s="46"/>
      <c r="N75" s="46"/>
      <c r="O75" s="46">
        <v>25625224559.983223</v>
      </c>
      <c r="P75" s="46"/>
      <c r="Q75" s="46"/>
      <c r="R75" s="46"/>
      <c r="S75" s="46"/>
      <c r="T75" s="46">
        <v>28404791744.742802</v>
      </c>
      <c r="U75" s="46"/>
      <c r="V75" s="46"/>
      <c r="W75" s="46"/>
      <c r="X75" s="46"/>
      <c r="Y75" s="46">
        <v>29266091756.486641</v>
      </c>
      <c r="Z75" s="46"/>
      <c r="AA75" s="46"/>
      <c r="AB75" s="46"/>
      <c r="AC75" s="46"/>
      <c r="AD75" s="46">
        <v>28199101107.095497</v>
      </c>
      <c r="AE75" s="46"/>
      <c r="AF75" s="46"/>
      <c r="AG75" s="46"/>
      <c r="AH75" s="46"/>
      <c r="AI75" s="46">
        <v>27240943931.209339</v>
      </c>
      <c r="AJ75" s="46"/>
      <c r="AK75" s="46"/>
      <c r="AL75" s="46"/>
      <c r="AM75" s="46">
        <v>28541849200.000061</v>
      </c>
      <c r="AN75" s="46">
        <v>25381250254.429295</v>
      </c>
      <c r="AO75" s="46">
        <v>26205187035.065697</v>
      </c>
      <c r="AP75" s="46">
        <v>26966560779.141144</v>
      </c>
      <c r="AQ75" s="46">
        <v>27065743305.475601</v>
      </c>
    </row>
    <row r="76" spans="1:44" hidden="1" x14ac:dyDescent="0.2">
      <c r="I76" s="46" t="s">
        <v>365</v>
      </c>
      <c r="J76" s="46">
        <f>J74/J75</f>
        <v>0.99999973245286045</v>
      </c>
      <c r="K76" s="46"/>
      <c r="L76" s="46"/>
      <c r="M76" s="46"/>
      <c r="N76" s="46"/>
      <c r="O76" s="46">
        <f>O74/O75</f>
        <v>1.0000007641188366</v>
      </c>
      <c r="P76" s="46"/>
      <c r="Q76" s="46"/>
      <c r="R76" s="46"/>
      <c r="S76" s="46"/>
      <c r="T76" s="46">
        <f>T74/T75</f>
        <v>1.0000002960752987</v>
      </c>
      <c r="U76" s="46"/>
      <c r="V76" s="46"/>
      <c r="W76" s="46"/>
      <c r="X76" s="46"/>
      <c r="Y76" s="46">
        <f>Y74/Y75</f>
        <v>0.99999988384330007</v>
      </c>
      <c r="Z76" s="46"/>
      <c r="AA76" s="46"/>
      <c r="AB76" s="46"/>
      <c r="AC76" s="46"/>
      <c r="AD76" s="46">
        <f>AD74/AD75</f>
        <v>0.99999944667542995</v>
      </c>
      <c r="AE76" s="46"/>
      <c r="AF76" s="46"/>
      <c r="AG76" s="46"/>
      <c r="AH76" s="46"/>
      <c r="AI76" s="46">
        <f>AI74/AI75</f>
        <v>0.99999999213028967</v>
      </c>
      <c r="AJ76" s="46"/>
      <c r="AK76" s="46"/>
      <c r="AL76" s="46"/>
      <c r="AM76" s="46">
        <f>AM74/AM75</f>
        <v>0.99999979738681177</v>
      </c>
      <c r="AN76" s="46">
        <f>AN74/AN75</f>
        <v>1.0000003311574734</v>
      </c>
      <c r="AO76" s="46">
        <f t="shared" ref="AO76:AQ76" si="1">AO74/AO75</f>
        <v>0.99999987569347659</v>
      </c>
      <c r="AP76" s="46">
        <f t="shared" si="1"/>
        <v>0.99999970388581594</v>
      </c>
      <c r="AQ76" s="46">
        <f t="shared" si="1"/>
        <v>0.99999992846250052</v>
      </c>
    </row>
  </sheetData>
  <autoFilter ref="A3:AR76" xr:uid="{2CA98401-2256-9A48-AA59-4DC7F0E7097D}">
    <filterColumn colId="3">
      <filters>
        <filter val="Uitlaatgassen motorfietse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sheet</vt:lpstr>
      <vt:lpstr>Assumptions</vt:lpstr>
      <vt:lpstr>Dashboard</vt:lpstr>
      <vt:lpstr>Analysis - transport</vt:lpstr>
      <vt:lpstr>Datadump - Eurostat</vt:lpstr>
      <vt:lpstr>Datadump - Emissieregistratie</vt:lpstr>
      <vt:lpstr>Datadump - road E and H2</vt:lpstr>
      <vt:lpstr>Datadump - road fuels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den Haan</dc:creator>
  <cp:lastModifiedBy>Max Kerpel</cp:lastModifiedBy>
  <dcterms:created xsi:type="dcterms:W3CDTF">2021-04-28T07:58:45Z</dcterms:created>
  <dcterms:modified xsi:type="dcterms:W3CDTF">2025-07-22T13:17:20Z</dcterms:modified>
</cp:coreProperties>
</file>